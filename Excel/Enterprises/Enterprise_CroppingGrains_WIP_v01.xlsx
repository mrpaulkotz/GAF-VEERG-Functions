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drawings/drawing16.xml" ContentType="application/vnd.openxmlformats-officedocument.drawing+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drawings/drawing17.xml" ContentType="application/vnd.openxmlformats-officedocument.drawing+xml"/>
  <Override PartName="/xl/tables/table10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E969DFF8-04C8-4DC5-867A-726F99F764ED}" xr6:coauthVersionLast="47" xr6:coauthVersionMax="47" xr10:uidLastSave="{00000000-0000-0000-0000-000000000000}"/>
  <bookViews>
    <workbookView xWindow="615" yWindow="2460" windowWidth="37785" windowHeight="19140" firstSheet="1" activeTab="1" xr2:uid="{992023F3-CAB7-4E5B-A348-08D563A0EF40}"/>
  </bookViews>
  <sheets>
    <sheet name="Home" sheetId="71" r:id="rId1"/>
    <sheet name="Results" sheetId="13" r:id="rId2"/>
    <sheet name="Input - Enterprise" sheetId="72" r:id="rId3"/>
    <sheet name="Input - Site" sheetId="75" r:id="rId4"/>
    <sheet name="Input - Crop" sheetId="97" r:id="rId5"/>
    <sheet name="Input - Fert Prod System" sheetId="76" r:id="rId6"/>
    <sheet name="Input - Fertiliser" sheetId="79" r:id="rId7"/>
    <sheet name="Input - Fuel" sheetId="90" r:id="rId8"/>
    <sheet name="Input - Electricity" sheetId="87" r:id="rId9"/>
    <sheet name="Input - Farm Inputs" sheetId="102" r:id="rId10"/>
    <sheet name="Input - Freight" sheetId="103" r:id="rId11"/>
    <sheet name="Input - Manure sent off-site" sheetId="104" r:id="rId12"/>
    <sheet name="5.1.1.1-2 Inorganic fert N2O" sheetId="80" r:id="rId13"/>
    <sheet name="5.1.1.3-4 Inorganic fert CO2" sheetId="81" r:id="rId14"/>
    <sheet name="5.2.1.1-2 Organic Fert N2O" sheetId="82" r:id="rId15"/>
    <sheet name="5.3.1.1-2 Lime CO2" sheetId="83" r:id="rId16"/>
    <sheet name="5.4.1.1-4 Atmos deposition" sheetId="84" r:id="rId17"/>
    <sheet name="5.5.1.1-2 Leaching and runoff" sheetId="85" r:id="rId18"/>
    <sheet name="6.1.1.1-2 Crop residue N2O" sheetId="98" r:id="rId19"/>
    <sheet name="6.3.1.1-2 Leach runoff crop" sheetId="99" r:id="rId20"/>
    <sheet name="6.4.1.1-2 Residue burning" sheetId="100" r:id="rId21"/>
    <sheet name="8.1.1.1-2 Transport fuel" sheetId="91" r:id="rId22"/>
    <sheet name="8.2.1.1-2 Stationary fuel" sheetId="92" r:id="rId23"/>
    <sheet name="14.1.1-2 Purchased electricity" sheetId="88" r:id="rId24"/>
    <sheet name="15 Scope 3" sheetId="105" r:id="rId25"/>
    <sheet name="Calcs - Manure sent off-site" sheetId="106" r:id="rId26"/>
    <sheet name="Constants - Ag Residue" sheetId="101" r:id="rId27"/>
    <sheet name="Constants - Common Livestock" sheetId="108" r:id="rId28"/>
    <sheet name="Constants - Electricity" sheetId="89" r:id="rId29"/>
    <sheet name="Constants - Fertiliser" sheetId="86" r:id="rId30"/>
    <sheet name="Constants - Fuel" sheetId="93" r:id="rId31"/>
    <sheet name="Constants - Scope 3" sheetId="107" r:id="rId32"/>
    <sheet name="Constants - Common" sheetId="74" r:id="rId33"/>
    <sheet name="Input - Solid waste" sheetId="94" r:id="rId34"/>
    <sheet name="10.1.1-2 Solid waste treatment" sheetId="95" r:id="rId35"/>
    <sheet name="Constants - Solid Waste" sheetId="96" r:id="rId36"/>
    <sheet name="Overview" sheetId="109" r:id="rId37"/>
    <sheet name="Input - Data quality" sheetId="78" r:id="rId38"/>
  </sheets>
  <definedNames>
    <definedName name="_Toc225350871" localSheetId="16">'5.4.1.1-4 Atmos deposition'!$C$1</definedName>
    <definedName name="_Toc225350871" localSheetId="17">'5.5.1.1-2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 localSheetId="24">_xlfn.LAMBDA(_xlpm.Mburnc,_xlpm.CCc,_xlpm.EFCH4,_xlpm.C_CH4, _xlpm.Mburnc * _xlpm.CCc * _xlpm.EFCH4 * _xlpm.C_CH4 * 10 ^ (-3))</definedName>
    <definedName name="AgResidue_Equations_FieldBurning.VEERG_6_4_1_1__1__MethaneEmissionsFromBurningOfCropResidues" localSheetId="25">_xlfn.LAMBDA(_xlpm.Mburnc,_xlpm.CCc,_xlpm.EFCH4,_xlpm.C_CH4, _xlpm.Mburnc * _xlpm.CCc * _xlpm.EFCH4 * _xlpm.C_CH4 * 10 ^ (-3))</definedName>
    <definedName name="AgResidue_Equations_FieldBurning.VEERG_6_4_1_1__1__MethaneEmissionsFromBurningOfCropResidues" localSheetId="27">_xlfn.LAMBDA(_xlpm.Mburnc,_xlpm.CCc,_xlpm.EFCH4,_xlpm.C_CH4, _xlpm.Mburnc * _xlpm.CCc * _xlpm.EFCH4 * _xlpm.C_CH4 * 10 ^ (-3))</definedName>
    <definedName name="AgResidue_Equations_FieldBurning.VEERG_6_4_1_1__1__MethaneEmissionsFromBurningOfCropResidues" localSheetId="31">_xlfn.LAMBDA(_xlpm.Mburnc,_xlpm.CCc,_xlpm.EFCH4,_xlpm.C_CH4, _xlpm.Mburnc * _xlpm.CCc * _xlpm.EFCH4 * _xlpm.C_CH4 * 10 ^ (-3))</definedName>
    <definedName name="AgResidue_Equations_FieldBurning.VEERG_6_4_1_1__1__MethaneEmissionsFromBurningOfCropResidues" localSheetId="9">_xlfn.LAMBDA(_xlpm.Mburnc,_xlpm.CCc,_xlpm.EFCH4,_xlpm.C_CH4, _xlpm.Mburnc * _xlpm.CCc * _xlpm.EFCH4 * _xlpm.C_CH4 * 10 ^ (-3))</definedName>
    <definedName name="AgResidue_Equations_FieldBurning.VEERG_6_4_1_1__1__MethaneEmissionsFromBurningOfCropResidues" localSheetId="10">_xlfn.LAMBDA(_xlpm.Mburnc,_xlpm.CCc,_xlpm.EFCH4,_xlpm.C_CH4, _xlpm.Mburnc * _xlpm.CCc * _xlpm.EFCH4 * _xlpm.C_CH4 * 10 ^ (-3))</definedName>
    <definedName name="AgResidue_Equations_FieldBurning.VEERG_6_4_1_1__1__MethaneEmissionsFromBurningOfCropResidues" localSheetId="11">_xlfn.LAMBDA(_xlpm.Mburnc,_xlpm.CCc,_xlpm.EFCH4,_xlpm.C_CH4, _xlpm.Mburnc * _xlpm.CCc * _xlpm.EFCH4 * _xlpm.C_CH4 * 10 ^ (-3))</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 localSheetId="24">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25">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27">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31">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9">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0">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 localSheetId="11">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 localSheetId="24">_xlfn.LAMBDA("E_{CH4}=\sum_{c}(M_{burn,c}\times CC_{c}\times EF_{CH4}\times C_{CH4}\times 10^{-3})")</definedName>
    <definedName name="AgResidue_Equations_FieldBurning.VEERG_6_4_1_1__1__MethaneEmissionsFromBurningOfCropResidues_LatexEquation" localSheetId="25">_xlfn.LAMBDA("E_{CH4}=\sum_{c}(M_{burn,c}\times CC_{c}\times EF_{CH4}\times C_{CH4}\times 10^{-3})")</definedName>
    <definedName name="AgResidue_Equations_FieldBurning.VEERG_6_4_1_1__1__MethaneEmissionsFromBurningOfCropResidues_LatexEquation" localSheetId="27">_xlfn.LAMBDA("E_{CH4}=\sum_{c}(M_{burn,c}\times CC_{c}\times EF_{CH4}\times C_{CH4}\times 10^{-3})")</definedName>
    <definedName name="AgResidue_Equations_FieldBurning.VEERG_6_4_1_1__1__MethaneEmissionsFromBurningOfCropResidues_LatexEquation" localSheetId="31">_xlfn.LAMBDA("E_{CH4}=\sum_{c}(M_{burn,c}\times CC_{c}\times EF_{CH4}\times C_{CH4}\times 10^{-3})")</definedName>
    <definedName name="AgResidue_Equations_FieldBurning.VEERG_6_4_1_1__1__MethaneEmissionsFromBurningOfCropResidues_LatexEquation" localSheetId="9">_xlfn.LAMBDA("E_{CH4}=\sum_{c}(M_{burn,c}\times CC_{c}\times EF_{CH4}\times C_{CH4}\times 10^{-3})")</definedName>
    <definedName name="AgResidue_Equations_FieldBurning.VEERG_6_4_1_1__1__MethaneEmissionsFromBurningOfCropResidues_LatexEquation" localSheetId="10">_xlfn.LAMBDA("E_{CH4}=\sum_{c}(M_{burn,c}\times CC_{c}\times EF_{CH4}\times C_{CH4}\times 10^{-3})")</definedName>
    <definedName name="AgResidue_Equations_FieldBurning.VEERG_6_4_1_1__1__MethaneEmissionsFromBurningOfCropResidues_LatexEquation" localSheetId="11">_xlfn.LAMBDA("E_{CH4}=\sum_{c}(M_{burn,c}\times CC_{c}\times EF_{CH4}\times C_{CH4}\times 10^{-3})")</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 localSheetId="24">_xlfn.LAMBDA(_xlpm.Mburnc,_xlpm.NCAGc,_xlpm.EFN2O,_xlpm.CN2O, _xlpm.Mburnc * _xlpm.NCAGc * _xlpm.EFN2O * _xlpm.CN2O * 10 ^ (-3))</definedName>
    <definedName name="AgResidue_Equations_FieldBurning.VEERG_6_4_1_1__2__NitrousOxideEmissionsFromBurningOfCropResidues" localSheetId="25">_xlfn.LAMBDA(_xlpm.Mburnc,_xlpm.NCAGc,_xlpm.EFN2O,_xlpm.CN2O, _xlpm.Mburnc * _xlpm.NCAGc * _xlpm.EFN2O * _xlpm.CN2O * 10 ^ (-3))</definedName>
    <definedName name="AgResidue_Equations_FieldBurning.VEERG_6_4_1_1__2__NitrousOxideEmissionsFromBurningOfCropResidues" localSheetId="27">_xlfn.LAMBDA(_xlpm.Mburnc,_xlpm.NCAGc,_xlpm.EFN2O,_xlpm.CN2O, _xlpm.Mburnc * _xlpm.NCAGc * _xlpm.EFN2O * _xlpm.CN2O * 10 ^ (-3))</definedName>
    <definedName name="AgResidue_Equations_FieldBurning.VEERG_6_4_1_1__2__NitrousOxideEmissionsFromBurningOfCropResidues" localSheetId="31">_xlfn.LAMBDA(_xlpm.Mburnc,_xlpm.NCAGc,_xlpm.EFN2O,_xlpm.CN2O, _xlpm.Mburnc * _xlpm.NCAGc * _xlpm.EFN2O * _xlpm.CN2O * 10 ^ (-3))</definedName>
    <definedName name="AgResidue_Equations_FieldBurning.VEERG_6_4_1_1__2__NitrousOxideEmissionsFromBurningOfCropResidues" localSheetId="9">_xlfn.LAMBDA(_xlpm.Mburnc,_xlpm.NCAGc,_xlpm.EFN2O,_xlpm.CN2O, _xlpm.Mburnc * _xlpm.NCAGc * _xlpm.EFN2O * _xlpm.CN2O * 10 ^ (-3))</definedName>
    <definedName name="AgResidue_Equations_FieldBurning.VEERG_6_4_1_1__2__NitrousOxideEmissionsFromBurningOfCropResidues" localSheetId="10">_xlfn.LAMBDA(_xlpm.Mburnc,_xlpm.NCAGc,_xlpm.EFN2O,_xlpm.CN2O, _xlpm.Mburnc * _xlpm.NCAGc * _xlpm.EFN2O * _xlpm.CN2O * 10 ^ (-3))</definedName>
    <definedName name="AgResidue_Equations_FieldBurning.VEERG_6_4_1_1__2__NitrousOxideEmissionsFromBurningOfCropResidues" localSheetId="11">_xlfn.LAMBDA(_xlpm.Mburnc,_xlpm.NCAGc,_xlpm.EFN2O,_xlpm.CN2O, _xlpm.Mburnc * _xlpm.NCAGc * _xlpm.EFN2O * _xlpm.CN2O * 10 ^ (-3))</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 localSheetId="24">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25">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27">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31">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9">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0">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 localSheetId="11">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 localSheetId="24">_xlfn.LAMBDA("E_{N2O}=\sum_{c}(M_{burn,c}\times NC_{AGc}\times EF_{N2O}\times C_{N2O}\times 10^{-3})")</definedName>
    <definedName name="AgResidue_Equations_FieldBurning.VEERG_6_4_1_1__2__NitrousOxideEmissionsFromBurningOfCropResidues_LatexEquation" localSheetId="25">_xlfn.LAMBDA("E_{N2O}=\sum_{c}(M_{burn,c}\times NC_{AGc}\times EF_{N2O}\times C_{N2O}\times 10^{-3})")</definedName>
    <definedName name="AgResidue_Equations_FieldBurning.VEERG_6_4_1_1__2__NitrousOxideEmissionsFromBurningOfCropResidues_LatexEquation" localSheetId="27">_xlfn.LAMBDA("E_{N2O}=\sum_{c}(M_{burn,c}\times NC_{AGc}\times EF_{N2O}\times C_{N2O}\times 10^{-3})")</definedName>
    <definedName name="AgResidue_Equations_FieldBurning.VEERG_6_4_1_1__2__NitrousOxideEmissionsFromBurningOfCropResidues_LatexEquation" localSheetId="31">_xlfn.LAMBDA("E_{N2O}=\sum_{c}(M_{burn,c}\times NC_{AGc}\times EF_{N2O}\times C_{N2O}\times 10^{-3})")</definedName>
    <definedName name="AgResidue_Equations_FieldBurning.VEERG_6_4_1_1__2__NitrousOxideEmissionsFromBurningOfCropResidues_LatexEquation" localSheetId="9">_xlfn.LAMBDA("E_{N2O}=\sum_{c}(M_{burn,c}\times NC_{AGc}\times EF_{N2O}\times C_{N2O}\times 10^{-3})")</definedName>
    <definedName name="AgResidue_Equations_FieldBurning.VEERG_6_4_1_1__2__NitrousOxideEmissionsFromBurningOfCropResidues_LatexEquation" localSheetId="10">_xlfn.LAMBDA("E_{N2O}=\sum_{c}(M_{burn,c}\times NC_{AGc}\times EF_{N2O}\times C_{N2O}\times 10^{-3})")</definedName>
    <definedName name="AgResidue_Equations_FieldBurning.VEERG_6_4_1_1__2__NitrousOxideEmissionsFromBurningOfCropResidues_LatexEquation" localSheetId="11">_xlfn.LAMBDA("E_{N2O}=\sum_{c}(M_{burn,c}\times NC_{AGc}\times EF_{N2O}\times C_{N2O}\times 10^{-3})")</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 localSheetId="24">_xlfn.LAMBDA(_xlpm.Pc,_xlpm.RAGc,_xlpm.Sc,_xlpm.DMc,_xlpm.Zc,_xlpm.Fc, _xlpm.Pc * _xlpm.RAGc * _xlpm.Sc * _xlpm.DMc * _xlpm.Zc * _xlpm.Fc)</definedName>
    <definedName name="AgResidue_Equations_FieldBurning.VEERG_6_4_1_1__3__MassOfCropResidueBurnt" localSheetId="25">_xlfn.LAMBDA(_xlpm.Pc,_xlpm.RAGc,_xlpm.Sc,_xlpm.DMc,_xlpm.Zc,_xlpm.Fc, _xlpm.Pc * _xlpm.RAGc * _xlpm.Sc * _xlpm.DMc * _xlpm.Zc * _xlpm.Fc)</definedName>
    <definedName name="AgResidue_Equations_FieldBurning.VEERG_6_4_1_1__3__MassOfCropResidueBurnt" localSheetId="27">_xlfn.LAMBDA(_xlpm.Pc,_xlpm.RAGc,_xlpm.Sc,_xlpm.DMc,_xlpm.Zc,_xlpm.Fc, _xlpm.Pc * _xlpm.RAGc * _xlpm.Sc * _xlpm.DMc * _xlpm.Zc * _xlpm.Fc)</definedName>
    <definedName name="AgResidue_Equations_FieldBurning.VEERG_6_4_1_1__3__MassOfCropResidueBurnt" localSheetId="31">_xlfn.LAMBDA(_xlpm.Pc,_xlpm.RAGc,_xlpm.Sc,_xlpm.DMc,_xlpm.Zc,_xlpm.Fc, _xlpm.Pc * _xlpm.RAGc * _xlpm.Sc * _xlpm.DMc * _xlpm.Zc * _xlpm.Fc)</definedName>
    <definedName name="AgResidue_Equations_FieldBurning.VEERG_6_4_1_1__3__MassOfCropResidueBurnt" localSheetId="9">_xlfn.LAMBDA(_xlpm.Pc,_xlpm.RAGc,_xlpm.Sc,_xlpm.DMc,_xlpm.Zc,_xlpm.Fc, _xlpm.Pc * _xlpm.RAGc * _xlpm.Sc * _xlpm.DMc * _xlpm.Zc * _xlpm.Fc)</definedName>
    <definedName name="AgResidue_Equations_FieldBurning.VEERG_6_4_1_1__3__MassOfCropResidueBurnt" localSheetId="10">_xlfn.LAMBDA(_xlpm.Pc,_xlpm.RAGc,_xlpm.Sc,_xlpm.DMc,_xlpm.Zc,_xlpm.Fc, _xlpm.Pc * _xlpm.RAGc * _xlpm.Sc * _xlpm.DMc * _xlpm.Zc * _xlpm.Fc)</definedName>
    <definedName name="AgResidue_Equations_FieldBurning.VEERG_6_4_1_1__3__MassOfCropResidueBurnt" localSheetId="11">_xlfn.LAMBDA(_xlpm.Pc,_xlpm.RAGc,_xlpm.Sc,_xlpm.DMc,_xlpm.Zc,_xlpm.Fc, _xlpm.Pc * _xlpm.RAGc * _xlpm.Sc * _xlpm.DMc * _xlpm.Zc * _xlpm.Fc)</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 localSheetId="24">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25">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27">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31">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9">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0">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 localSheetId="11">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 localSheetId="24">_xlfn.LAMBDA("Mburnc")</definedName>
    <definedName name="AgResidue_Equations_FieldBurning.VEERG_6_4_1_1__3__MassOfCropResidueBurnt_Variable" localSheetId="25">_xlfn.LAMBDA("Mburnc")</definedName>
    <definedName name="AgResidue_Equations_FieldBurning.VEERG_6_4_1_1__3__MassOfCropResidueBurnt_Variable" localSheetId="27">_xlfn.LAMBDA("Mburnc")</definedName>
    <definedName name="AgResidue_Equations_FieldBurning.VEERG_6_4_1_1__3__MassOfCropResidueBurnt_Variable" localSheetId="31">_xlfn.LAMBDA("Mburnc")</definedName>
    <definedName name="AgResidue_Equations_FieldBurning.VEERG_6_4_1_1__3__MassOfCropResidueBurnt_Variable" localSheetId="9">_xlfn.LAMBDA("Mburnc")</definedName>
    <definedName name="AgResidue_Equations_FieldBurning.VEERG_6_4_1_1__3__MassOfCropResidueBurnt_Variable" localSheetId="10">_xlfn.LAMBDA("Mburnc")</definedName>
    <definedName name="AgResidue_Equations_FieldBurning.VEERG_6_4_1_1__3__MassOfCropResidueBurnt_Variable" localSheetId="11">_xlfn.LAMBDA("Mburnc")</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2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3">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2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1">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3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 localSheetId="2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3">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2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1">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3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 localSheetId="21">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22">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30">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 localSheetId="7">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 localSheetId="21">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22">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30">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 localSheetId="7">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 localSheetId="2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8">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9">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5">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6">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27">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3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4">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9">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0">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 localSheetId="11">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2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3">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'6.1.1.1-2 Crop residue N2O'!Fertiliser_InputFunctions.Fertiliser_SumProductApplied(_xlpm.ChemicalCompound, _xlpm.ProductIngredient1, _xlpm.calculatedAmount1) + IFERROR('6.1.1.1-2 Crop residue N2O'!Fertiliser_InputFunctions.Fertiliser_SumProductApplied(_xlpm.ChemicalCompound, _xlpm.ProductIngredient2, _xlpm.calculatedAmount2), 0) + IFERROR('6.1.1.1-2 Crop residue N2O'!Fertiliser_InputFunctions.Fertiliser_SumProductApplied(_xlpm.ChemicalCompound, _xlpm.ProductIngredient3, _xlpm.calculatedAmount3), 0)))</definedName>
    <definedName name="Fertiliser_InputFunctions.Fertiliser_TotalActiveIngredientAppliedAllIngredients" localSheetId="1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'6.3.1.1-2 Leach runoff crop'!Fertiliser_InputFunctions.Fertiliser_SumProductApplied(_xlpm.ChemicalCompound, _xlpm.ProductIngredient1, _xlpm.calculatedAmount1) + IFERROR('6.3.1.1-2 Leach runoff crop'!Fertiliser_InputFunctions.Fertiliser_SumProductApplied(_xlpm.ChemicalCompound, _xlpm.ProductIngredient2, _xlpm.calculatedAmount2), 0) + IFERROR('6.3.1.1-2 Leach runoff crop'!Fertiliser_InputFunctions.Fertiliser_SumProductApplied(_xlpm.ChemicalCompound, _xlpm.ProductIngredient3, _xlpm.calculatedAmount3), 0)))</definedName>
    <definedName name="Fertiliser_InputFunctions.Fertiliser_TotalActiveIngredientAppliedAllIngredients" localSheetId="2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'6.4.1.1-2 Residue burning'!Fertiliser_InputFunctions.Fertiliser_SumProductApplied(_xlpm.ChemicalCompound, _xlpm.ProductIngredient1, _xlpm.calculatedAmount1) + IFERROR('6.4.1.1-2 Residue burning'!Fertiliser_InputFunctions.Fertiliser_SumProductApplied(_xlpm.ChemicalCompound, _xlpm.ProductIngredient2, _xlpm.calculatedAmount2), 0) + IFERROR('6.4.1.1-2 Residue burning'!Fertiliser_InputFunctions.Fertiliser_SumProductApplied(_xlpm.ChemicalCompound, _xlpm.ProductIngredient3, _xlpm.calculatedAmount3), 0)))</definedName>
    <definedName name="Fertiliser_InputFunctions.Fertiliser_TotalActiveIngredientAppliedAllIngredients" localSheetId="2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definedName>
    <definedName name="Fertiliser_InputFunctions.Fertiliser_TotalActiveIngredientAppliedAllIngredients" localSheetId="2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Ag Residue'!Fertiliser_InputFunctions.Fertiliser_SumProductApplied(_xlpm.ChemicalCompound, _xlpm.ProductIngredient1, _xlpm.calculatedAmount1) + IFERROR('Constants - Ag Residue'!Fertiliser_InputFunctions.Fertiliser_SumProductApplied(_xlpm.ChemicalCompound, _xlpm.ProductIngredient2, _xlpm.calculatedAmount2), 0) + IFERROR('Constants - Ag Residue'!Fertiliser_InputFunctions.Fertiliser_SumProductApplied(_xlpm.ChemicalCompound, _xlpm.ProductIngredient3, _xlpm.calculatedAmount3), 0)))</definedName>
    <definedName name="Fertiliser_InputFunctions.Fertiliser_TotalActiveIngredientAppliedAllIngredients" localSheetId="2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Common Livestock'!Fertiliser_InputFunctions.Fertiliser_SumProductApplied(_xlpm.ChemicalCompound, _xlpm.ProductIngredient1, _xlpm.calculatedAmount1) + IFERROR('Constants - Common Livestock'!Fertiliser_InputFunctions.Fertiliser_SumProductApplied(_xlpm.ChemicalCompound, _xlpm.ProductIngredient2, _xlpm.calculatedAmount2), 0) + IFERROR('Constants - Common Livestock'!Fertiliser_InputFunctions.Fertiliser_SumProductApplied(_xlpm.ChemicalCompound, _xlpm.ProductIngredient3, _xlpm.calculatedAmount3), 0)))</definedName>
    <definedName name="Fertiliser_InputFunctions.Fertiliser_TotalActiveIngredientAppliedAllIngredients" localSheetId="2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3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definedName>
    <definedName name="Fertiliser_InputFunctions.Fertiliser_TotalActiveIngredientAppliedAllIngredients" localSheetId="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Crop'!Fertiliser_InputFunctions.Fertiliser_SumProductApplied(_xlpm.ChemicalCompound, _xlpm.ProductIngredient1, _xlpm.calculatedAmount1) + IFERROR('Input - Crop'!Fertiliser_InputFunctions.Fertiliser_SumProductApplied(_xlpm.ChemicalCompound, _xlpm.ProductIngredient2, _xlpm.calculatedAmount2), 0) + IFERROR('Input - Crop'!Fertiliser_InputFunctions.Fertiliser_SumProductApplied(_xlpm.ChemicalCompound, _xlpm.ProductIngredient3, _xlpm.calculatedAmount3), 0)))</definedName>
    <definedName name="Fertiliser_InputFunctions.Fertiliser_TotalActiveIngredientAppliedAllIngredients" localSheetId="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Farm Inputs'!Fertiliser_InputFunctions.Fertiliser_SumProductApplied(_xlpm.ChemicalCompound, _xlpm.ProductIngredient1, _xlpm.calculatedAmount1) + IFERROR('Input - Farm Inputs'!Fertiliser_InputFunctions.Fertiliser_SumProductApplied(_xlpm.ChemicalCompound, _xlpm.ProductIngredient2, _xlpm.calculatedAmount2), 0) + IFERROR('Input - Farm Inputs'!Fertiliser_InputFunctions.Fertiliser_SumProductApplied(_xlpm.ChemicalCompound, _xlpm.ProductIngredient3, _xlpm.calculatedAmount3), 0)))</definedName>
    <definedName name="Fertiliser_InputFunctions.Fertiliser_TotalActiveIngredientAppliedAllIngredients" localSheetId="1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definedName>
    <definedName name="Fertiliser_InputFunctions.Fertiliser_TotalActiveIngredientAppliedAllIngredients" localSheetId="11">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definedName>
    <definedName name="Fertiliser_InputFunctions.Fertiliser_TotalActiveIngredientAppliedAllIngredients" localSheetId="3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2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'15 Scope 3'!Fertiliser_InputFunctions.Fertiliser_SumProductApplied(_xlpm.ChemicalCompound, _xlpm.ProductIngredient1, _xlpm.calculatedAmount1) + IFERROR('15 Scope 3'!Fertiliser_InputFunctions.Fertiliser_SumProductApplied(_xlpm.ChemicalCompound, _xlpm.ProductIngredient2, _xlpm.calculatedAmount2), 0) + IFERROR('15 Scope 3'!Fertiliser_InputFunctions.Fertiliser_SumProductApplied(_xlpm.ChemicalCompound, _xlpm.ProductIngredient3, _xlpm.calculatedAmount3), 0) + IFERROR('15 Scope 3'!Fertiliser_InputFunctions.Fertiliser_SumProductApplied(_xlpm.ChemicalCompound, _xlpm.ProductIngredient4, _xlpm.calculatedAmount4), 0) + IFERROR('15 Scope 3'!Fertiliser_InputFunctions.Fertiliser_SumProductApplied(_xlpm.ChemicalCompound, _xlpm.ProductIngredient5, _xlpm.calculatedAmount5), 0) + IFERROR('15 Scope 3'!Fertiliser_InputFunctions.Fertiliser_SumProductApplied(_xlpm.ChemicalCompound,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3">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'6.1.1.1-2 Crop residue N2O'!Fertiliser_InputFunctions.Fertiliser_SumProductApplied(
      _xlpm.ChemicalCompound,
      _xlpm.ProductIngredient1,
      _xlpm.calculatedAmount1
    ) + IFERROR(
      '6.1.1.1-2 Crop residue N2O'!Fertiliser_InputFunctions.Fertiliser_SumProductApplied(
        _xlpm.ChemicalCompound,
        _xlpm.ProductIngredient2,
        _xlpm.calculatedAmount2
      ),
      0
    ) + IFERROR(
      '6.1.1.1-2 Crop residue N2O'!Fertiliser_InputFunctions.Fertiliser_SumProductApplied(
        _xlpm.ChemicalCompound,
        _xlpm.ProductIngredient3,
        _xlpm.calculatedAmount3
      ),
      0
    ) + IFERROR(
      '6.1.1.1-2 Crop residue N2O'!Fertiliser_InputFunctions.Fertiliser_SumProductApplied(
        _xlpm.ChemicalCompound,
        _xlpm.ProductIngredient4,
        _xlpm.calculatedAmount4
      ),
      0
    ) + IFERROR(
      '6.1.1.1-2 Crop residue N2O'!Fertiliser_InputFunctions.Fertiliser_SumProductApplied(
        _xlpm.ChemicalCompound,
        _xlpm.ProductIngredient5,
        _xlpm.calculatedAmount5
      ),
      0
    ) + IFERROR(
      '6.1.1.1-2 Crop residue N2O'!Fertiliser_InputFunctions.Fertiliser_SumProductApplied(
        _xlpm.ChemicalCompound,
        _xlpm.ProductIngredient6,
        _xlpm.calculatedAmount6
      ),
      0
    )
  )
)</definedName>
    <definedName name="Fertiliser_InputFunctions.Fertiliser_TotalChemicalCompoundAppliedAllIngredients" localSheetId="1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'6.3.1.1-2 Leach runoff crop'!Fertiliser_InputFunctions.Fertiliser_SumProductApplied(
      _xlpm.ChemicalCompound,
      _xlpm.ProductIngredient1,
      _xlpm.calculatedAmount1
    ) + IFERROR(
      '6.3.1.1-2 Leach runoff crop'!Fertiliser_InputFunctions.Fertiliser_SumProductApplied(
        _xlpm.ChemicalCompound,
        _xlpm.ProductIngredient2,
        _xlpm.calculatedAmount2
      ),
      0
    ) + IFERROR(
      '6.3.1.1-2 Leach runoff crop'!Fertiliser_InputFunctions.Fertiliser_SumProductApplied(
        _xlpm.ChemicalCompound,
        _xlpm.ProductIngredient3,
        _xlpm.calculatedAmount3
      ),
      0
    ) + IFERROR(
      '6.3.1.1-2 Leach runoff crop'!Fertiliser_InputFunctions.Fertiliser_SumProductApplied(
        _xlpm.ChemicalCompound,
        _xlpm.ProductIngredient4,
        _xlpm.calculatedAmount4
      ),
      0
    ) + IFERROR(
      '6.3.1.1-2 Leach runoff crop'!Fertiliser_InputFunctions.Fertiliser_SumProductApplied(
        _xlpm.ChemicalCompound,
        _xlpm.ProductIngredient5,
        _xlpm.calculatedAmount5
      ),
      0
    ) + IFERROR(
      '6.3.1.1-2 Leach runoff crop'!Fertiliser_InputFunctions.Fertiliser_SumProductApplied(
        _xlpm.ChemicalCompound,
        _xlpm.ProductIngredient6,
        _xlpm.calculatedAmount6
      ),
      0
    )
  )
)</definedName>
    <definedName name="Fertiliser_InputFunctions.Fertiliser_TotalChemicalCompoundAppliedAllIngredients" localSheetId="2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'6.4.1.1-2 Residue burning'!Fertiliser_InputFunctions.Fertiliser_SumProductApplied(
      _xlpm.ChemicalCompound,
      _xlpm.ProductIngredient1,
      _xlpm.calculatedAmount1
    ) + IFERROR(
      '6.4.1.1-2 Residue burning'!Fertiliser_InputFunctions.Fertiliser_SumProductApplied(
        _xlpm.ChemicalCompound,
        _xlpm.ProductIngredient2,
        _xlpm.calculatedAmount2
      ),
      0
    ) + IFERROR(
      '6.4.1.1-2 Residue burning'!Fertiliser_InputFunctions.Fertiliser_SumProductApplied(
        _xlpm.ChemicalCompound,
        _xlpm.ProductIngredient3,
        _xlpm.calculatedAmount3
      ),
      0
    ) + IFERROR(
      '6.4.1.1-2 Residue burning'!Fertiliser_InputFunctions.Fertiliser_SumProductApplied(
        _xlpm.ChemicalCompound,
        _xlpm.ProductIngredient4,
        _xlpm.calculatedAmount4
      ),
      0
    ) + IFERROR(
      '6.4.1.1-2 Residue burning'!Fertiliser_InputFunctions.Fertiliser_SumProductApplied(
        _xlpm.ChemicalCompound,
        _xlpm.ProductIngredient5,
        _xlpm.calculatedAmount5
      ),
      0
    ) + IFERROR(
      '6.4.1.1-2 Residue burning'!Fertiliser_InputFunctions.Fertiliser_SumProductApplied(
        _xlpm.ChemicalCompound,
        _xlpm.ProductIngredient6,
        _xlpm.calculatedAmount6
      ),
      0
    )
  )
)</definedName>
    <definedName name="Fertiliser_InputFunctions.Fertiliser_TotalChemicalCompoundAppliedAllIngredients" localSheetId="2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'Calcs - Manure sent off-site'!Fertiliser_InputFunctions.Fertiliser_SumProductApplied(_xlpm.ChemicalCompound, _xlpm.ProductIngredient1, _xlpm.calculatedAmount1) + IFERROR('Calcs - Manure sent off-site'!Fertiliser_InputFunctions.Fertiliser_SumProductApplied(_xlpm.ChemicalCompound, _xlpm.ProductIngredient2, _xlpm.calculatedAmount2), 0) + IFERROR('Calcs - Manure sent off-site'!Fertiliser_InputFunctions.Fertiliser_SumProductApplied(_xlpm.ChemicalCompound, _xlpm.ProductIngredient3, _xlpm.calculatedAmount3), 0) + IFERROR('Calcs - Manure sent off-site'!Fertiliser_InputFunctions.Fertiliser_SumProductApplied(_xlpm.ChemicalCompound, _xlpm.ProductIngredient4, _xlpm.calculatedAmount4), 0) + IFERROR('Calcs - Manure sent off-site'!Fertiliser_InputFunctions.Fertiliser_SumProductApplied(_xlpm.ChemicalCompound, _xlpm.ProductIngredient5, _xlpm.calculatedAmount5), 0) + IFERROR('Calcs - Manure sent off-site'!Fertiliser_InputFunctions.Fertiliser_SumProductApplied(_xlpm.ChemicalCompound, _xlpm.ProductIngredient6, _xlpm.calculatedAmount6), 0)))</definedName>
    <definedName name="Fertiliser_InputFunctions.Fertiliser_TotalChemicalCompoundAppliedAllIngredients" localSheetId="2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'Constants - Ag Residue'!Fertiliser_InputFunctions.Fertiliser_SumProductApplied(
      _xlpm.ChemicalCompound,
      _xlpm.ProductIngredient1,
      _xlpm.calculatedAmount1
    ) + IFERROR(
      'Constants - Ag Residue'!Fertiliser_InputFunctions.Fertiliser_SumProductApplied(
        _xlpm.ChemicalCompound,
        _xlpm.ProductIngredient2,
        _xlpm.calculatedAmount2
      ),
      0
    ) + IFERROR(
      'Constants - Ag Residue'!Fertiliser_InputFunctions.Fertiliser_SumProductApplied(
        _xlpm.ChemicalCompound,
        _xlpm.ProductIngredient3,
        _xlpm.calculatedAmount3
      ),
      0
    ) + IFERROR(
      'Constants - Ag Residue'!Fertiliser_InputFunctions.Fertiliser_SumProductApplied(
        _xlpm.ChemicalCompound,
        _xlpm.ProductIngredient4,
        _xlpm.calculatedAmount4
      ),
      0
    ) + IFERROR(
      'Constants - Ag Residue'!Fertiliser_InputFunctions.Fertiliser_SumProductApplied(
        _xlpm.ChemicalCompound,
        _xlpm.ProductIngredient5,
        _xlpm.calculatedAmount5
      ),
      0
    ) + IFERROR(
      'Constants - Ag Residue'!Fertiliser_InputFunctions.Fertiliser_SumProductApplied(
        _xlpm.ChemicalCompound,
        _xlpm.ProductIngredient6,
        _xlpm.calculatedAmount6
      ),
      0
    )
  )
)</definedName>
    <definedName name="Fertiliser_InputFunctions.Fertiliser_TotalChemicalCompoundAppliedAllIngredients" localSheetId="2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Common Livestock'!Fertiliser_InputFunctions.Fertiliser_SumProductApplied(_xlpm.ChemicalCompound, _xlpm.ProductIngredient1, _xlpm.calculatedAmount1) + IFERROR('Constants - Common Livestock'!Fertiliser_InputFunctions.Fertiliser_SumProductApplied(_xlpm.ChemicalCompound, _xlpm.ProductIngredient2, _xlpm.calculatedAmount2), 0) + IFERROR('Constants - Common Livestock'!Fertiliser_InputFunctions.Fertiliser_SumProductApplied(_xlpm.ChemicalCompound, _xlpm.ProductIngredient3, _xlpm.calculatedAmount3), 0) + IFERROR('Constants - Common Livestock'!Fertiliser_InputFunctions.Fertiliser_SumProductApplied(_xlpm.ChemicalCompound, _xlpm.ProductIngredient4, _xlpm.calculatedAmount4), 0) + IFERROR('Constants - Common Livestock'!Fertiliser_InputFunctions.Fertiliser_SumProductApplied(_xlpm.ChemicalCompound, _xlpm.ProductIngredient5, _xlpm.calculatedAmount5), 0) + IFERROR('Constants - Common Livestock'!Fertiliser_InputFunctions.Fertiliser_SumProductApplied(_xlpm.ChemicalCompound, _xlpm.ProductIngredient6, _xlpm.calculatedAmount6), 0)))</definedName>
    <definedName name="Fertiliser_InputFunctions.Fertiliser_TotalChemicalCompoundAppliedAllIngredients" localSheetId="2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3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'Constants - Scope 3'!Fertiliser_InputFunctions.Fertiliser_SumProductApplied(_xlpm.ChemicalCompound, _xlpm.ProductIngredient1, _xlpm.calculatedAmount1) + IFERROR('Constants - Scope 3'!Fertiliser_InputFunctions.Fertiliser_SumProductApplied(_xlpm.ChemicalCompound, _xlpm.ProductIngredient2, _xlpm.calculatedAmount2), 0) + IFERROR('Constants - Scope 3'!Fertiliser_InputFunctions.Fertiliser_SumProductApplied(_xlpm.ChemicalCompound, _xlpm.ProductIngredient3, _xlpm.calculatedAmount3), 0) + IFERROR('Constants - Scope 3'!Fertiliser_InputFunctions.Fertiliser_SumProductApplied(_xlpm.ChemicalCompound, _xlpm.ProductIngredient4, _xlpm.calculatedAmount4), 0) + IFERROR('Constants - Scope 3'!Fertiliser_InputFunctions.Fertiliser_SumProductApplied(_xlpm.ChemicalCompound, _xlpm.ProductIngredient5, _xlpm.calculatedAmount5), 0) + IFERROR('Constants - Scope 3'!Fertiliser_InputFunctions.Fertiliser_SumProductApplied(_xlpm.ChemicalCompound, _xlpm.ProductIngredient6, _xlpm.calculatedAmount6), 0)))</definedName>
    <definedName name="Fertiliser_InputFunctions.Fertiliser_TotalChemicalCompoundAppliedAllIngredients" localSheetId="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'Input - Crop'!Fertiliser_InputFunctions.Fertiliser_SumProductApplied(
      _xlpm.ChemicalCompound,
      _xlpm.ProductIngredient1,
      _xlpm.calculatedAmount1
    ) + IFERROR(
      'Input - Crop'!Fertiliser_InputFunctions.Fertiliser_SumProductApplied(
        _xlpm.ChemicalCompound,
        _xlpm.ProductIngredient2,
        _xlpm.calculatedAmount2
      ),
      0
    ) + IFERROR(
      'Input - Crop'!Fertiliser_InputFunctions.Fertiliser_SumProductApplied(
        _xlpm.ChemicalCompound,
        _xlpm.ProductIngredient3,
        _xlpm.calculatedAmount3
      ),
      0
    ) + IFERROR(
      'Input - Crop'!Fertiliser_InputFunctions.Fertiliser_SumProductApplied(
        _xlpm.ChemicalCompound,
        _xlpm.ProductIngredient4,
        _xlpm.calculatedAmount4
      ),
      0
    ) + IFERROR(
      'Input - Crop'!Fertiliser_InputFunctions.Fertiliser_SumProductApplied(
        _xlpm.ChemicalCompound,
        _xlpm.ProductIngredient5,
        _xlpm.calculatedAmount5
      ),
      0
    ) + IFERROR(
      'Input - Crop'!Fertiliser_InputFunctions.Fertiliser_SumProductApplied(
        _xlpm.ChemicalCompound,
        _xlpm.ProductIngredient6,
        _xlpm.calculatedAmount6
      ),
      0
    )
  )
)</definedName>
    <definedName name="Fertiliser_InputFunctions.Fertiliser_TotalChemicalCompoundAppliedAllIngredients" localSheetId="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Farm Inputs'!Fertiliser_InputFunctions.Fertiliser_SumProductApplied(_xlpm.ChemicalCompound, _xlpm.ProductIngredient1, _xlpm.calculatedAmount1) + IFERROR('Input - Farm Inputs'!Fertiliser_InputFunctions.Fertiliser_SumProductApplied(_xlpm.ChemicalCompound, _xlpm.ProductIngredient2, _xlpm.calculatedAmount2), 0) + IFERROR('Input - Farm Inputs'!Fertiliser_InputFunctions.Fertiliser_SumProductApplied(_xlpm.ChemicalCompound, _xlpm.ProductIngredient3, _xlpm.calculatedAmount3), 0) + IFERROR('Input - Farm Inputs'!Fertiliser_InputFunctions.Fertiliser_SumProductApplied(_xlpm.ChemicalCompound, _xlpm.ProductIngredient4, _xlpm.calculatedAmount4), 0) + IFERROR('Input - Farm Inputs'!Fertiliser_InputFunctions.Fertiliser_SumProductApplied(_xlpm.ChemicalCompound, _xlpm.ProductIngredient5, _xlpm.calculatedAmount5), 0) + IFERROR('Input - Farm Inputs'!Fertiliser_InputFunctions.Fertiliser_SumProductApplied(_xlpm.ChemicalCompound, _xlpm.ProductIngredient6, _xlpm.calculatedAmount6), 0)))</definedName>
    <definedName name="Fertiliser_InputFunctions.Fertiliser_TotalChemicalCompoundAppliedAllIngredients" localSheetId="1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Freight'!Fertiliser_InputFunctions.Fertiliser_SumProductApplied(_xlpm.ChemicalCompound, _xlpm.ProductIngredient1, _xlpm.calculatedAmount1) + IFERROR('Input - Freight'!Fertiliser_InputFunctions.Fertiliser_SumProductApplied(_xlpm.ChemicalCompound, _xlpm.ProductIngredient2, _xlpm.calculatedAmount2), 0) + IFERROR('Input - Freight'!Fertiliser_InputFunctions.Fertiliser_SumProductApplied(_xlpm.ChemicalCompound, _xlpm.ProductIngredient3, _xlpm.calculatedAmount3), 0) + IFERROR('Input - Freight'!Fertiliser_InputFunctions.Fertiliser_SumProductApplied(_xlpm.ChemicalCompound, _xlpm.ProductIngredient4, _xlpm.calculatedAmount4), 0) + IFERROR('Input - Freight'!Fertiliser_InputFunctions.Fertiliser_SumProductApplied(_xlpm.ChemicalCompound, _xlpm.ProductIngredient5, _xlpm.calculatedAmount5), 0) + IFERROR('Input - Freight'!Fertiliser_InputFunctions.Fertiliser_SumProductApplied(_xlpm.ChemicalCompound, _xlpm.ProductIngredient6, _xlpm.calculatedAmount6), 0)))</definedName>
    <definedName name="Fertiliser_InputFunctions.Fertiliser_TotalChemicalCompoundAppliedAllIngredients" localSheetId="11">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'Input - Manure sent off-site'!Fertiliser_InputFunctions.Fertiliser_SumProductApplied(_xlpm.ChemicalCompound, _xlpm.ProductIngredient1, _xlpm.calculatedAmount1) + IFERROR('Input - Manure sent off-site'!Fertiliser_InputFunctions.Fertiliser_SumProductApplied(_xlpm.ChemicalCompound, _xlpm.ProductIngredient2, _xlpm.calculatedAmount2), 0) + IFERROR('Input - Manure sent off-site'!Fertiliser_InputFunctions.Fertiliser_SumProductApplied(_xlpm.ChemicalCompound, _xlpm.ProductIngredient3, _xlpm.calculatedAmount3), 0) + IFERROR('Input - Manure sent off-site'!Fertiliser_InputFunctions.Fertiliser_SumProductApplied(_xlpm.ChemicalCompound, _xlpm.ProductIngredient4, _xlpm.calculatedAmount4), 0) + IFERROR('Input - Manure sent off-site'!Fertiliser_InputFunctions.Fertiliser_SumProductApplied(_xlpm.ChemicalCompound, _xlpm.ProductIngredient5, _xlpm.calculatedAmount5), 0) + IFERROR('Input - Manure sent off-site'!Fertiliser_InputFunctions.Fertiliser_SumProductApplied(_xlpm.ChemicalCompound, _xlpm.ProductIngredient6, _xlpm.calculatedAmount6), 0)))</definedName>
    <definedName name="Fertiliser_InputFunctions.Fertiliser_TotalChemicalCompoundAppliedAllIngredients" localSheetId="3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2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'15 Scope 3'!Fertiliser_InputFunctions.Fertiliser_SumProductApplied(_xlpm.ChemicalCompound, _xlpm.ProductIngredient1, _xlpm.calculatedAmount1, _xlpm.Source, _xlpm.ProductIngredientSource) + IFERROR('15 Scope 3'!Fertiliser_InputFunctions.Fertiliser_SumProductApplied(_xlpm.ChemicalCompound, _xlpm.ProductIngredient2, _xlpm.calculatedAmount2, _xlpm.Source, _xlpm.ProductIngredientSource), 0) + IFERROR('15 Scope 3'!Fertiliser_InputFunctions.Fertiliser_SumProductApplied(_xlpm.ChemicalCompound, _xlpm.ProductIngredient3, _xlpm.calculatedAmount3, _xlpm.Source, _xlpm.ProductIngredientSource), 0) + IFERROR('15 Scope 3'!Fertiliser_InputFunctions.Fertiliser_SumProductApplied(_xlpm.ChemicalCompound, _xlpm.ProductIngredient4, _xlpm.calculatedAmount4, _xlpm.Source, _xlpm.ProductIngredientSource), 0) + IFERROR('15 Scope 3'!Fertiliser_InputFunctions.Fertiliser_SumProductApplied(_xlpm.ChemicalCompound, _xlpm.ProductIngredient5, _xlpm.calculatedAmount5, _xlpm.Source, _xlpm.ProductIngredientSource), 0) + IFERROR('15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3">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'6.1.1.1-2 Crop residue N2O'!Fertiliser_InputFunctions.Fertiliser_SumProductApplied(
      _xlpm.ChemicalCompound,
      _xlpm.ProductIngredient1,
      _xlpm.calculatedAmount1,
      _xlpm.Source,
      _xlpm.ProductIngredientSource
    ) + IFERROR(
      '6.1.1.1-2 Crop residue N2O'!Fertiliser_InputFunctions.Fertiliser_SumProductApplied(
        _xlpm.ChemicalCompound,
        _xlpm.ProductIngredient2,
        _xlpm.calculatedAmount2,
        _xlpm.Source,
        _xlpm.ProductIngredientSource
      ),
      0
    ) + IFERROR(
      '6.1.1.1-2 Crop residue N2O'!Fertiliser_InputFunctions.Fertiliser_SumProductApplied(
        _xlpm.ChemicalCompound,
        _xlpm.ProductIngredient3,
        _xlpm.calculatedAmount3,
        _xlpm.Source,
        _xlpm.ProductIngredientSource
      ),
      0
    ) + IFERROR(
      '6.1.1.1-2 Crop residue N2O'!Fertiliser_InputFunctions.Fertiliser_SumProductApplied(
        _xlpm.ChemicalCompound,
        _xlpm.ProductIngredient4,
        _xlpm.calculatedAmount4,
        _xlpm.Source,
        _xlpm.ProductIngredientSource
      ),
      0
    ) + IFERROR(
      '6.1.1.1-2 Crop residue N2O'!Fertiliser_InputFunctions.Fertiliser_SumProductApplied(
        _xlpm.ChemicalCompound,
        _xlpm.ProductIngredient5,
        _xlpm.calculatedAmount5,
        _xlpm.Source,
        _xlpm.ProductIngredientSource
      ),
      0
    ) + IFERROR(
      '6.1.1.1-2 Crop residue N2O'!Fertiliser_InputFunctions.Fertiliser_SumProductApplied(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1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'6.3.1.1-2 Leach runoff crop'!Fertiliser_InputFunctions.Fertiliser_SumProductApplied(
      _xlpm.ChemicalCompound,
      _xlpm.ProductIngredient1,
      _xlpm.calculatedAmount1,
      _xlpm.Source,
      _xlpm.ProductIngredientSource
    ) + IFERROR(
      '6.3.1.1-2 Leach runoff crop'!Fertiliser_InputFunctions.Fertiliser_SumProductApplied(
        _xlpm.ChemicalCompound,
        _xlpm.ProductIngredient2,
        _xlpm.calculatedAmount2,
        _xlpm.Source,
        _xlpm.ProductIngredientSource
      ),
      0
    ) + IFERROR(
      '6.3.1.1-2 Leach runoff crop'!Fertiliser_InputFunctions.Fertiliser_SumProductApplied(
        _xlpm.ChemicalCompound,
        _xlpm.ProductIngredient3,
        _xlpm.calculatedAmount3,
        _xlpm.Source,
        _xlpm.ProductIngredientSource
      ),
      0
    ) + IFERROR(
      '6.3.1.1-2 Leach runoff crop'!Fertiliser_InputFunctions.Fertiliser_SumProductApplied(
        _xlpm.ChemicalCompound,
        _xlpm.ProductIngredient4,
        _xlpm.calculatedAmount4,
        _xlpm.Source,
        _xlpm.ProductIngredientSource
      ),
      0
    ) + IFERROR(
      '6.3.1.1-2 Leach runoff crop'!Fertiliser_InputFunctions.Fertiliser_SumProductApplied(
        _xlpm.ChemicalCompound,
        _xlpm.ProductIngredient5,
        _xlpm.calculatedAmount5,
        _xlpm.Source,
        _xlpm.ProductIngredientSource
      ),
      0
    ) + IFERROR(
      '6.3.1.1-2 Leach runoff crop'!Fertiliser_InputFunctions.Fertiliser_SumProductApplied(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'6.4.1.1-2 Residue burning'!Fertiliser_InputFunctions.Fertiliser_SumProductApplied(
      _xlpm.ChemicalCompound,
      _xlpm.ProductIngredient1,
      _xlpm.calculatedAmount1,
      _xlpm.Source,
      _xlpm.ProductIngredientSource
    ) + IFERROR(
      '6.4.1.1-2 Residue burning'!Fertiliser_InputFunctions.Fertiliser_SumProductApplied(
        _xlpm.ChemicalCompound,
        _xlpm.ProductIngredient2,
        _xlpm.calculatedAmount2,
        _xlpm.Source,
        _xlpm.ProductIngredientSource
      ),
      0
    ) + IFERROR(
      '6.4.1.1-2 Residue burning'!Fertiliser_InputFunctions.Fertiliser_SumProductApplied(
        _xlpm.ChemicalCompound,
        _xlpm.ProductIngredient3,
        _xlpm.calculatedAmount3,
        _xlpm.Source,
        _xlpm.ProductIngredientSource
      ),
      0
    ) + IFERROR(
      '6.4.1.1-2 Residue burning'!Fertiliser_InputFunctions.Fertiliser_SumProductApplied(
        _xlpm.ChemicalCompound,
        _xlpm.ProductIngredient4,
        _xlpm.calculatedAmount4,
        _xlpm.Source,
        _xlpm.ProductIngredientSource
      ),
      0
    ) + IFERROR(
      '6.4.1.1-2 Residue burning'!Fertiliser_InputFunctions.Fertiliser_SumProductApplied(
        _xlpm.ChemicalCompound,
        _xlpm.ProductIngredient5,
        _xlpm.calculatedAmount5,
        _xlpm.Source,
        _xlpm.ProductIngredientSource
      ),
      0
    ) + IFERROR(
      '6.4.1.1-2 Residue burning'!Fertiliser_InputFunctions.Fertiliser_SumProductApplied(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'Calcs - Manure sent off-site'!Fertiliser_InputFunctions.Fertiliser_SumProductApplied(_xlpm.ChemicalCompound, _xlpm.ProductIngredient1, _xlpm.calculatedAmount1, _xlpm.Source, _xlpm.ProductIngredientSource) + IFERROR('Calcs - Manure sent off-site'!Fertiliser_InputFunctions.Fertiliser_SumProductApplied(_xlpm.ChemicalCompound, _xlpm.ProductIngredient2, _xlpm.calculatedAmount2, _xlpm.Source, _xlpm.ProductIngredientSource), 0) + IFERROR('Calcs - Manure sent off-site'!Fertiliser_InputFunctions.Fertiliser_SumProductApplied(_xlpm.ChemicalCompound, _xlpm.ProductIngredient3, _xlpm.calculatedAmount3, _xlpm.Source, _xlpm.ProductIngredientSource), 0) + IFERROR('Calcs - Manure sent off-site'!Fertiliser_InputFunctions.Fertiliser_SumProductApplied(_xlpm.ChemicalCompound, _xlpm.ProductIngredient4, _xlpm.calculatedAmount4, _xlpm.Source, _xlpm.ProductIngredientSource), 0) + IFERROR('Calcs - Manure sent off-site'!Fertiliser_InputFunctions.Fertiliser_SumProductApplied(_xlpm.ChemicalCompound, _xlpm.ProductIngredient5, _xlpm.calculatedAmount5, _xlpm.Source, _xlpm.ProductIngredientSource), 0) + IFERROR('Calcs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'Constants - Ag Residue'!Fertiliser_InputFunctions.Fertiliser_SumProductApplied(
      _xlpm.ChemicalCompound,
      _xlpm.ProductIngredient1,
      _xlpm.calculatedAmount1,
      _xlpm.Source,
      _xlpm.ProductIngredientSource
    ) + IFERROR(
      'Constants - Ag Residue'!Fertiliser_InputFunctions.Fertiliser_SumProductApplied(
        _xlpm.ChemicalCompound,
        _xlpm.ProductIngredient2,
        _xlpm.calculatedAmount2,
        _xlpm.Source,
        _xlpm.ProductIngredientSource
      ),
      0
    ) + IFERROR(
      'Constants - Ag Residue'!Fertiliser_InputFunctions.Fertiliser_SumProductApplied(
        _xlpm.ChemicalCompound,
        _xlpm.ProductIngredient3,
        _xlpm.calculatedAmount3,
        _xlpm.Source,
        _xlpm.ProductIngredientSource
      ),
      0
    ) + IFERROR(
      'Constants - Ag Residue'!Fertiliser_InputFunctions.Fertiliser_SumProductApplied(
        _xlpm.ChemicalCompound,
        _xlpm.ProductIngredient4,
        _xlpm.calculatedAmount4,
        _xlpm.Source,
        _xlpm.ProductIngredientSource
      ),
      0
    ) + IFERROR(
      'Constants - Ag Residue'!Fertiliser_InputFunctions.Fertiliser_SumProductApplied(
        _xlpm.ChemicalCompound,
        _xlpm.ProductIngredient5,
        _xlpm.calculatedAmount5,
        _xlpm.Source,
        _xlpm.ProductIngredientSource
      ),
      0
    ) + IFERROR(
      'Constants - Ag Residue'!Fertiliser_InputFunctions.Fertiliser_SumProductApplied(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2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Common Livestock'!Fertiliser_InputFunctions.Fertiliser_SumProductApplied(_xlpm.ChemicalCompound, _xlpm.ProductIngredient1, _xlpm.calculatedAmount1, _xlpm.Source, _xlpm.ProductIngredientSource) + IFERROR('Constants - Common Livestock'!Fertiliser_InputFunctions.Fertiliser_SumProductApplied(_xlpm.ChemicalCompound, _xlpm.ProductIngredient2, _xlpm.calculatedAmount2, _xlpm.Source, _xlpm.ProductIngredientSource), 0) + IFERROR('Constants - Common Livestock'!Fertiliser_InputFunctions.Fertiliser_SumProductApplied(_xlpm.ChemicalCompound, _xlpm.ProductIngredient3, _xlpm.calculatedAmount3, _xlpm.Source, _xlpm.ProductIngredientSource), 0) + IFERROR('Constants - Common Livestock'!Fertiliser_InputFunctions.Fertiliser_SumProductApplied(_xlpm.ChemicalCompound, _xlpm.ProductIngredient4, _xlpm.calculatedAmount4, _xlpm.Source, _xlpm.ProductIngredientSource), 0) + IFERROR('Constants - Common Livestock'!Fertiliser_InputFunctions.Fertiliser_SumProductApplied(_xlpm.ChemicalCompound, _xlpm.ProductIngredient5, _xlpm.calculatedAmount5, _xlpm.Source, _xlpm.ProductIngredientSource), 0) + IFERROR('Constants - Common Livestock'!Fertiliser_InputFunctions.Fertiliser_SumProductApplied(_xlpm.ChemicalCompound,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'Constants - Scope 3'!Fertiliser_InputFunctions.Fertiliser_SumProductApplied(_xlpm.ChemicalCompound, _xlpm.ProductIngredient1, _xlpm.calculatedAmount1, _xlpm.Source, _xlpm.ProductIngredientSource) + IFERROR('Constants - Scope 3'!Fertiliser_InputFunctions.Fertiliser_SumProductApplied(_xlpm.ChemicalCompound, _xlpm.ProductIngredient2, _xlpm.calculatedAmount2, _xlpm.Source, _xlpm.ProductIngredientSource), 0) + IFERROR('Constants - Scope 3'!Fertiliser_InputFunctions.Fertiliser_SumProductApplied(_xlpm.ChemicalCompound, _xlpm.ProductIngredient3, _xlpm.calculatedAmount3, _xlpm.Source, _xlpm.ProductIngredientSource), 0) + IFERROR('Constants - Scope 3'!Fertiliser_InputFunctions.Fertiliser_SumProductApplied(_xlpm.ChemicalCompound, _xlpm.ProductIngredient4, _xlpm.calculatedAmount4, _xlpm.Source, _xlpm.ProductIngredientSource), 0) + IFERROR('Constants - Scope 3'!Fertiliser_InputFunctions.Fertiliser_SumProductApplied(_xlpm.ChemicalCompound, _xlpm.ProductIngredient5, _xlpm.calculatedAmount5, _xlpm.Source, _xlpm.ProductIngredientSource), 0) + IFERROR('Constants - Scope 3'!Fertiliser_InputFunctions.Fertiliser_SumProductApplied(_xlpm.ChemicalCompound,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'Input - Crop'!Fertiliser_InputFunctions.Fertiliser_SumProductApplied(
      _xlpm.ChemicalCompound,
      _xlpm.ProductIngredient1,
      _xlpm.calculatedAmount1,
      _xlpm.Source,
      _xlpm.ProductIngredientSource
    ) + IFERROR(
      'Input - Crop'!Fertiliser_InputFunctions.Fertiliser_SumProductApplied(
        _xlpm.ChemicalCompound,
        _xlpm.ProductIngredient2,
        _xlpm.calculatedAmount2,
        _xlpm.Source,
        _xlpm.ProductIngredientSource
      ),
      0
    ) + IFERROR(
      'Input - Crop'!Fertiliser_InputFunctions.Fertiliser_SumProductApplied(
        _xlpm.ChemicalCompound,
        _xlpm.ProductIngredient3,
        _xlpm.calculatedAmount3,
        _xlpm.Source,
        _xlpm.ProductIngredientSource
      ),
      0
    ) + IFERROR(
      'Input - Crop'!Fertiliser_InputFunctions.Fertiliser_SumProductApplied(
        _xlpm.ChemicalCompound,
        _xlpm.ProductIngredient4,
        _xlpm.calculatedAmount4,
        _xlpm.Source,
        _xlpm.ProductIngredientSource
      ),
      0
    ) + IFERROR(
      'Input - Crop'!Fertiliser_InputFunctions.Fertiliser_SumProductApplied(
        _xlpm.ChemicalCompound,
        _xlpm.ProductIngredient5,
        _xlpm.calculatedAmount5,
        _xlpm.Source,
        _xlpm.ProductIngredientSource
      ),
      0
    ) + IFERROR(
      'Input - Crop'!Fertiliser_InputFunctions.Fertiliser_SumProductApplied(
        _xlpm.ChemicalCompound,
        _xlpm.ProductIngredient6,
        _xlpm.calculatedAmount6,
        _xlpm.Source,
        _xlpm.ProductIngredientSource
      ),
      0
    )
  )
)</definedName>
    <definedName name="Fertiliser_InputFunctions.Fertiliser_TotalChemicalCompoundtAppliedBySourceAllIngredients" localSheetId="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Farm Inputs'!Fertiliser_InputFunctions.Fertiliser_SumProductApplied(_xlpm.ChemicalCompound, _xlpm.ProductIngredient1, _xlpm.calculatedAmount1, _xlpm.Source, _xlpm.ProductIngredientSource) + IFERROR('Input - Farm Inputs'!Fertiliser_InputFunctions.Fertiliser_SumProductApplied(_xlpm.ChemicalCompound, _xlpm.ProductIngredient2, _xlpm.calculatedAmount2, _xlpm.Source, _xlpm.ProductIngredientSource), 0) + IFERROR('Input - Farm Inputs'!Fertiliser_InputFunctions.Fertiliser_SumProductApplied(_xlpm.ChemicalCompound, _xlpm.ProductIngredient3, _xlpm.calculatedAmount3, _xlpm.Source, _xlpm.ProductIngredientSource), 0) + IFERROR('Input - Farm Inputs'!Fertiliser_InputFunctions.Fertiliser_SumProductApplied(_xlpm.ChemicalCompound, _xlpm.ProductIngredient4, _xlpm.calculatedAmount4, _xlpm.Source, _xlpm.ProductIngredientSource), 0) + IFERROR('Input - Farm Inputs'!Fertiliser_InputFunctions.Fertiliser_SumProductApplied(_xlpm.ChemicalCompound, _xlpm.ProductIngredient5, _xlpm.calculatedAmount5, _xlpm.Source, _xlpm.ProductIngredientSource), 0) + IFERROR('Input - Farm Inputs'!Fertiliser_InputFunctions.Fertiliser_SumProductApplied(_xlpm.ChemicalCompound,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Freight'!Fertiliser_InputFunctions.Fertiliser_SumProductApplied(_xlpm.ChemicalCompound, _xlpm.ProductIngredient1, _xlpm.calculatedAmount1, _xlpm.Source, _xlpm.ProductIngredientSource) + IFERROR('Input - Freight'!Fertiliser_InputFunctions.Fertiliser_SumProductApplied(_xlpm.ChemicalCompound, _xlpm.ProductIngredient2, _xlpm.calculatedAmount2, _xlpm.Source, _xlpm.ProductIngredientSource), 0) + IFERROR('Input - Freight'!Fertiliser_InputFunctions.Fertiliser_SumProductApplied(_xlpm.ChemicalCompound, _xlpm.ProductIngredient3, _xlpm.calculatedAmount3, _xlpm.Source, _xlpm.ProductIngredientSource), 0) + IFERROR('Input - Freight'!Fertiliser_InputFunctions.Fertiliser_SumProductApplied(_xlpm.ChemicalCompound, _xlpm.ProductIngredient4, _xlpm.calculatedAmount4, _xlpm.Source, _xlpm.ProductIngredientSource), 0) + IFERROR('Input - Freight'!Fertiliser_InputFunctions.Fertiliser_SumProductApplied(_xlpm.ChemicalCompound, _xlpm.ProductIngredient5, _xlpm.calculatedAmount5, _xlpm.Source, _xlpm.ProductIngredientSource), 0) + IFERROR('Input - Freight'!Fertiliser_InputFunctions.Fertiliser_SumProductApplied(_xlpm.ChemicalCompound,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1">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'Input - Manure sent off-site'!Fertiliser_InputFunctions.Fertiliser_SumProductApplied(_xlpm.ChemicalCompound, _xlpm.ProductIngredient1, _xlpm.calculatedAmount1, _xlpm.Source, _xlpm.ProductIngredientSource) + IFERROR('Input - Manure sent off-site'!Fertiliser_InputFunctions.Fertiliser_SumProductApplied(_xlpm.ChemicalCompound, _xlpm.ProductIngredient2, _xlpm.calculatedAmount2, _xlpm.Source, _xlpm.ProductIngredientSource), 0) + IFERROR('Input - Manure sent off-site'!Fertiliser_InputFunctions.Fertiliser_SumProductApplied(_xlpm.ChemicalCompound, _xlpm.ProductIngredient3, _xlpm.calculatedAmount3, _xlpm.Source, _xlpm.ProductIngredientSource), 0) + IFERROR('Input - Manure sent off-site'!Fertiliser_InputFunctions.Fertiliser_SumProductApplied(_xlpm.ChemicalCompound, _xlpm.ProductIngredient4, _xlpm.calculatedAmount4, _xlpm.Source, _xlpm.ProductIngredientSource), 0) + IFERROR('Input - Manure sent off-site'!Fertiliser_InputFunctions.Fertiliser_SumProductApplied(_xlpm.ChemicalCompound, _xlpm.ProductIngredient5, _xlpm.calculatedAmount5, _xlpm.Source, _xlpm.ProductIngredientSource), 0) + IFERROR('Input - Manure sent off-site'!Fertiliser_InputFunctions.Fertiliser_SumProductApplied(_xlpm.ChemicalCompound,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3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 localSheetId="24">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25">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27">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31">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9">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0">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 localSheetId="11">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 localSheetId="24">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25">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27">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31">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9">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0">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 localSheetId="11">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 localSheetId="24">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25">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27">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3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9">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0">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 localSheetId="1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24">_xlfn.LAMBDA(_xlpm.Q_Transtq,_xlpm.EC_Transq,_xlpm.EF_Trans1tqg, [0]!Fuel_Equations.VEERG_8_FuelCombustion(_xlpm.Q_Transtq, _xlpm.EC_Transq, _xlpm.EF_Trans1tqg))</definedName>
    <definedName name="Fuel_Equations.VEERG_8_1_1_1__1_FuelCombustionTransport" localSheetId="21">_xlfn.LAMBDA(_xlpm.Q_Transtq,_xlpm.EC_Transq,_xlpm.EF_Trans1tqg, [0]!Fuel_Equations.VEERG_8_FuelCombustion(_xlpm.Q_Transtq, _xlpm.EC_Transq, _xlpm.EF_Trans1tqg))</definedName>
    <definedName name="Fuel_Equations.VEERG_8_1_1_1__1_FuelCombustionTransport" localSheetId="22">_xlfn.LAMBDA(_xlpm.Q_Transtq,_xlpm.EC_Transq,_xlpm.EF_Trans1tqg, [0]!Fuel_Equations.VEERG_8_FuelCombustion(_xlpm.Q_Transtq, _xlpm.EC_Transq, _xlpm.EF_Trans1tqg))</definedName>
    <definedName name="Fuel_Equations.VEERG_8_1_1_1__1_FuelCombustionTransport" localSheetId="25">_xlfn.LAMBDA(_xlpm.Q_Transtq,_xlpm.EC_Transq,_xlpm.EF_Trans1tqg, [0]!Fuel_Equations.VEERG_8_FuelCombustion(_xlpm.Q_Transtq, _xlpm.EC_Transq, _xlpm.EF_Trans1tqg))</definedName>
    <definedName name="Fuel_Equations.VEERG_8_1_1_1__1_FuelCombustionTransport" localSheetId="27">_xlfn.LAMBDA(_xlpm.Q_Transtq,_xlpm.EC_Transq,_xlpm.EF_Trans1tqg, [0]!Fuel_Equations.VEERG_8_FuelCombustion(_xlpm.Q_Transtq, _xlpm.EC_Transq, _xlpm.EF_Trans1tqg))</definedName>
    <definedName name="Fuel_Equations.VEERG_8_1_1_1__1_FuelCombustionTransport" localSheetId="30">_xlfn.LAMBDA(_xlpm.Q_Transtq,_xlpm.EC_Transq,_xlpm.EF_Trans1tqg, [0]!Fuel_Equations.VEERG_8_FuelCombustion(_xlpm.Q_Transtq, _xlpm.EC_Transq, _xlpm.EF_Trans1tqg))</definedName>
    <definedName name="Fuel_Equations.VEERG_8_1_1_1__1_FuelCombustionTransport" localSheetId="31">_xlfn.LAMBDA(_xlpm.Q_Transtq,_xlpm.EC_Transq,_xlpm.EF_Trans1tqg, [0]!Fuel_Equations.VEERG_8_FuelCombustion(_xlpm.Q_Transtq, _xlpm.EC_Transq, _xlpm.EF_Trans1tqg))</definedName>
    <definedName name="Fuel_Equations.VEERG_8_1_1_1__1_FuelCombustionTransport" localSheetId="9">_xlfn.LAMBDA(_xlpm.Q_Transtq,_xlpm.EC_Transq,_xlpm.EF_Trans1tqg, [0]!Fuel_Equations.VEERG_8_FuelCombustion(_xlpm.Q_Transtq, _xlpm.EC_Transq, _xlpm.EF_Trans1tqg))</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24">_xlfn.LAMBDA(_xlpm.Q_SCq,_xlpm.EC_SCq,_xlpm.EF_SC1qg, [0]!Fuel_Equations.VEERG_8_FuelCombustion(_xlpm.Q_SCq, _xlpm.EC_SCq, _xlpm.EF_SC1qg))</definedName>
    <definedName name="Fuel_Equations.VEERG_8_2_1_1__1_FuelCombustionStationary" localSheetId="21">_xlfn.LAMBDA(_xlpm.Q_SCq,_xlpm.EC_SCq,_xlpm.EF_SC1qg, [0]!Fuel_Equations.VEERG_8_FuelCombustion(_xlpm.Q_SCq, _xlpm.EC_SCq, _xlpm.EF_SC1qg))</definedName>
    <definedName name="Fuel_Equations.VEERG_8_2_1_1__1_FuelCombustionStationary" localSheetId="22">_xlfn.LAMBDA(_xlpm.Q_SCq,_xlpm.EC_SCq,_xlpm.EF_SC1qg, [0]!Fuel_Equations.VEERG_8_FuelCombustion(_xlpm.Q_SCq, _xlpm.EC_SCq, _xlpm.EF_SC1qg))</definedName>
    <definedName name="Fuel_Equations.VEERG_8_2_1_1__1_FuelCombustionStationary" localSheetId="25">_xlfn.LAMBDA(_xlpm.Q_SCq,_xlpm.EC_SCq,_xlpm.EF_SC1qg, [0]!Fuel_Equations.VEERG_8_FuelCombustion(_xlpm.Q_SCq, _xlpm.EC_SCq, _xlpm.EF_SC1qg))</definedName>
    <definedName name="Fuel_Equations.VEERG_8_2_1_1__1_FuelCombustionStationary" localSheetId="27">_xlfn.LAMBDA(_xlpm.Q_SCq,_xlpm.EC_SCq,_xlpm.EF_SC1qg, [0]!Fuel_Equations.VEERG_8_FuelCombustion(_xlpm.Q_SCq, _xlpm.EC_SCq, _xlpm.EF_SC1qg))</definedName>
    <definedName name="Fuel_Equations.VEERG_8_2_1_1__1_FuelCombustionStationary" localSheetId="30">_xlfn.LAMBDA(_xlpm.Q_SCq,_xlpm.EC_SCq,_xlpm.EF_SC1qg, [0]!Fuel_Equations.VEERG_8_FuelCombustion(_xlpm.Q_SCq, _xlpm.EC_SCq, _xlpm.EF_SC1qg))</definedName>
    <definedName name="Fuel_Equations.VEERG_8_2_1_1__1_FuelCombustionStationary" localSheetId="31">_xlfn.LAMBDA(_xlpm.Q_SCq,_xlpm.EC_SCq,_xlpm.EF_SC1qg, [0]!Fuel_Equations.VEERG_8_FuelCombustion(_xlpm.Q_SCq, _xlpm.EC_SCq, _xlpm.EF_SC1qg))</definedName>
    <definedName name="Fuel_Equations.VEERG_8_2_1_1__1_FuelCombustionStationary" localSheetId="9">_xlfn.LAMBDA(_xlpm.Q_SCq,_xlpm.EC_SCq,_xlpm.EF_SC1qg, [0]!Fuel_Equations.VEERG_8_FuelCombustion(_xlpm.Q_SCq, _xlpm.EC_SCq, _xlpm.EF_SC1qg))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 localSheetId="24">_xlfn.LAMBDA(_xlpm.Cell, RIGHT(_xlpm.Cell, LEN(_xlpm.Cell) - FIND(", ", _xlpm.Cell)))</definedName>
    <definedName name="Fuel_InputFunctions.Fuel_GetStationaryFuelString" localSheetId="25">_xlfn.LAMBDA(_xlpm.Cell, RIGHT(_xlpm.Cell, LEN(_xlpm.Cell) - FIND(", ", _xlpm.Cell)))</definedName>
    <definedName name="Fuel_InputFunctions.Fuel_GetStationaryFuelString" localSheetId="27">_xlfn.LAMBDA(_xlpm.Cell, RIGHT(_xlpm.Cell, LEN(_xlpm.Cell) - FIND(", ", _xlpm.Cell)))</definedName>
    <definedName name="Fuel_InputFunctions.Fuel_GetStationaryFuelString" localSheetId="31">_xlfn.LAMBDA(_xlpm.Cell, RIGHT(_xlpm.Cell, LEN(_xlpm.Cell) - FIND(", ", _xlpm.Cell)))</definedName>
    <definedName name="Fuel_InputFunctions.Fuel_GetStationaryFuelString" localSheetId="9">_xlfn.LAMBDA(_xlpm.Cell, RIGHT(_xlpm.Cell, LEN(_xlpm.Cell) - FIND(", ", _xlpm.Cell)))</definedName>
    <definedName name="Fuel_InputFunctions.Fuel_GetStationaryFuelString" localSheetId="10">_xlfn.LAMBDA(_xlpm.Cell, RIGHT(_xlpm.Cell, LEN(_xlpm.Cell) - FIND(", ", _xlpm.Cell)))</definedName>
    <definedName name="Fuel_InputFunctions.Fuel_GetStationaryFuelString" localSheetId="11">_xlfn.LAMBDA(_xlpm.Cell, RIGHT(_xlpm.Cell, LEN(_xlpm.Cell) - FIND(", ", _xlpm.Cell)))</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 localSheetId="19">'6.3.1.1-2 Leach runoff crop'!$N$44:$O$46</definedName>
    <definedName name="M1_Table_E_N2O">'5.1.1.1-2 Inorganic fert N2O'!$D$59:$E$78</definedName>
    <definedName name="M1_Table_E_N2O_Consumer_1" localSheetId="19">'6.3.1.1-2 Leach runoff crop'!$D$44:$E$46</definedName>
    <definedName name="M1_Table_M_leach_cp" localSheetId="19">'6.3.1.1-2 Leach runoff crop'!$D$23:$I$25</definedName>
    <definedName name="M2_Table_FertApplications">'5.1.1.1-2 Inorganic fert N2O'!$M$44:$W$54</definedName>
    <definedName name="M2_Table_M_leach_cp" localSheetId="19">'6.3.1.1-2 Leach runoff crop'!$N$23:$S$23</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Results!$E$50</definedName>
    <definedName name="Result_EmissionsForWholeProductionCycle_Method1">Results!$E$39</definedName>
    <definedName name="Result_EmissionsForWholeProductionCycle_Method2">Results!$F$39</definedName>
    <definedName name="Result_Enterprise_Method1">Results!$H$25</definedName>
    <definedName name="Result_Enterprise_Method2">Results!$I$25</definedName>
    <definedName name="Result_NetEmissions_Method1">Results!$E$56</definedName>
    <definedName name="Result_NetEmissions_Method2">Results!$F$56</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 localSheetId="24">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25">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27">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31">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9">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0">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 localSheetId="11">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 localSheetId="24">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25">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27">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31">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9">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0">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 localSheetId="11">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 localSheetId="24">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25">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27">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31">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9">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0">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 localSheetId="11">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 localSheetId="24">_xlfn.LAMBDA(_xlpm.E_N2O,_xlpm.E_ad,_xlpm.E_leach, _xlpm.E_N2O + _xlpm.E_ad + _xlpm.E_leach)</definedName>
    <definedName name="Scope3_Equations.VEERG_15_13_1_3__1_EmissionsFromSolidWasteTreatmentFacility" localSheetId="25">_xlfn.LAMBDA(_xlpm.E_N2O,_xlpm.E_ad,_xlpm.E_leach, _xlpm.E_N2O + _xlpm.E_ad + _xlpm.E_leach)</definedName>
    <definedName name="Scope3_Equations.VEERG_15_13_1_3__1_EmissionsFromSolidWasteTreatmentFacility" localSheetId="27">_xlfn.LAMBDA(_xlpm.E_N2O,_xlpm.E_ad,_xlpm.E_leach, _xlpm.E_N2O + _xlpm.E_ad + _xlpm.E_leach)</definedName>
    <definedName name="Scope3_Equations.VEERG_15_13_1_3__1_EmissionsFromSolidWasteTreatmentFacility" localSheetId="31">_xlfn.LAMBDA(_xlpm.E_N2O,_xlpm.E_ad,_xlpm.E_leach, _xlpm.E_N2O + _xlpm.E_ad + _xlpm.E_leach)</definedName>
    <definedName name="Scope3_Equations.VEERG_15_13_1_3__1_EmissionsFromSolidWasteTreatmentFacility" localSheetId="9">_xlfn.LAMBDA(_xlpm.E_N2O,_xlpm.E_ad,_xlpm.E_leach, _xlpm.E_N2O + _xlpm.E_ad + _xlpm.E_leach)</definedName>
    <definedName name="Scope3_Equations.VEERG_15_13_1_3__1_EmissionsFromSolidWasteTreatmentFacility" localSheetId="10">_xlfn.LAMBDA(_xlpm.E_N2O,_xlpm.E_ad,_xlpm.E_leach, _xlpm.E_N2O + _xlpm.E_ad + _xlpm.E_leach)</definedName>
    <definedName name="Scope3_Equations.VEERG_15_13_1_3__1_EmissionsFromSolidWasteTreatmentFacility" localSheetId="11">_xlfn.LAMBDA(_xlpm.E_N2O,_xlpm.E_ad,_xlpm.E_leach, _xlpm.E_N2O + _xlpm.E_ad + _xlpm.E_leach)</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 localSheetId="24">'Calcs - Manure sent off-site'!$E$55</definedName>
    <definedName name="VEERG_5_4_1_3__1_OrganicFertiliserAtmosphericDepositionN2OEmissions_Result_Method1" localSheetId="25">'Calcs - Manure sent off-site'!$E$55</definedName>
    <definedName name="VEERG_5_4_1_3__1_OrganicFertiliserAtmosphericDepositionN2OEmissions_Result_Method1" localSheetId="27">'Calcs - Manure sent off-site'!$E$55</definedName>
    <definedName name="VEERG_5_4_1_3__1_OrganicFertiliserAtmosphericDepositionN2OEmissions_Result_Method1" localSheetId="31">'Calcs - Manure sent off-site'!$E$55</definedName>
    <definedName name="VEERG_5_4_1_3__1_OrganicFertiliserAtmosphericDepositionN2OEmissions_Result_Method1" localSheetId="9">'Calcs - Manure sent off-site'!$E$55</definedName>
    <definedName name="VEERG_5_4_1_3__1_OrganicFertiliserAtmosphericDepositionN2OEmissions_Result_Method1" localSheetId="10">'Calcs - Manure sent off-site'!$E$55</definedName>
    <definedName name="VEERG_5_4_1_3__1_OrganicFertiliserAtmosphericDepositionN2OEmissions_Result_Method1" localSheetId="11">'Calcs - Manure sent off-site'!$E$55</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 localSheetId="24">'Calcs - Manure sent off-site'!$E$90</definedName>
    <definedName name="VEERG_5_5_1_1__1_FertiliserLeachingAndRunoffN2OEmissions_Result_Method1" localSheetId="25">'Calcs - Manure sent off-site'!$E$90</definedName>
    <definedName name="VEERG_5_5_1_1__1_FertiliserLeachingAndRunoffN2OEmissions_Result_Method1" localSheetId="27">'Calcs - Manure sent off-site'!$E$90</definedName>
    <definedName name="VEERG_5_5_1_1__1_FertiliserLeachingAndRunoffN2OEmissions_Result_Method1" localSheetId="31">'Calcs - Manure sent off-site'!$E$90</definedName>
    <definedName name="VEERG_5_5_1_1__1_FertiliserLeachingAndRunoffN2OEmissions_Result_Method1" localSheetId="9">'Calcs - Manure sent off-site'!$E$90</definedName>
    <definedName name="VEERG_5_5_1_1__1_FertiliserLeachingAndRunoffN2OEmissions_Result_Method1" localSheetId="10">'Calcs - Manure sent off-site'!$E$90</definedName>
    <definedName name="VEERG_5_5_1_1__1_FertiliserLeachingAndRunoffN2OEmissions_Result_Method1" localSheetId="11">'Calcs - Manure sent off-site'!$E$90</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Result_Method1" localSheetId="19">'6.3.1.1-2 Leach runoff crop'!$E$48</definedName>
    <definedName name="VEERG_6_3_1_1__1__LeachingAndRunoffEmissionsCropAndPastureResidue_Result_Method2" localSheetId="19">'6.3.1.1-2 Leach runoff crop'!$O$48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TotalProductionOfCrop">'Input - Crop'!$E$22</definedName>
    <definedName name="X_Cell_Crop_TotalResidueBaled">'Input - Crop'!$E$36</definedName>
    <definedName name="X_Cell_Crop_YieldPerHectare">'Input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Result_ActivityPeriodEmissions_RowsToCols">Results!$D$33:$F$38</definedName>
    <definedName name="X_Table_Result_CarbonRemovalsFromPlantings_RowsToCols">Results!$D$44:$E$49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13" l="1"/>
  <c r="E49" i="13" l="1"/>
  <c r="E48" i="13"/>
  <c r="E47" i="13"/>
  <c r="E46" i="13"/>
  <c r="E45" i="13"/>
  <c r="F38" i="13"/>
  <c r="E38" i="13"/>
  <c r="F37" i="13"/>
  <c r="E37" i="13"/>
  <c r="F36" i="13"/>
  <c r="E36" i="13"/>
  <c r="F35" i="13"/>
  <c r="E35" i="13"/>
  <c r="F34" i="13"/>
  <c r="E34" i="13"/>
  <c r="A49" i="78"/>
  <c r="A48" i="78"/>
  <c r="A47" i="78"/>
  <c r="A46" i="78"/>
  <c r="A45" i="78"/>
  <c r="A44" i="78"/>
  <c r="A43" i="78"/>
  <c r="A42" i="78"/>
  <c r="A38" i="78"/>
  <c r="A37" i="78"/>
  <c r="A36" i="78"/>
  <c r="A35" i="78"/>
  <c r="A34" i="78"/>
  <c r="A33" i="78"/>
  <c r="A32" i="78"/>
  <c r="A31" i="78"/>
  <c r="A30" i="78"/>
  <c r="A29" i="78"/>
  <c r="A28" i="78"/>
  <c r="A27" i="78"/>
  <c r="A26" i="78"/>
  <c r="A25" i="78"/>
  <c r="A24" i="78"/>
  <c r="A20" i="78"/>
  <c r="A19" i="78"/>
  <c r="A18" i="78"/>
  <c r="A17" i="78"/>
  <c r="A16" i="78"/>
  <c r="A15" i="78"/>
  <c r="A14" i="78"/>
  <c r="A13" i="78"/>
  <c r="A12" i="78"/>
  <c r="A11" i="78"/>
  <c r="A10" i="78"/>
  <c r="A9" i="78"/>
  <c r="A5" i="78"/>
  <c r="A4" i="78"/>
  <c r="A3" i="78"/>
  <c r="A49" i="109"/>
  <c r="A48" i="109"/>
  <c r="A47" i="109"/>
  <c r="A46" i="109"/>
  <c r="A45" i="109"/>
  <c r="A44" i="109"/>
  <c r="A43" i="109"/>
  <c r="A42" i="109"/>
  <c r="A38" i="109"/>
  <c r="A37" i="109"/>
  <c r="A36" i="109"/>
  <c r="A35" i="109"/>
  <c r="A34" i="109"/>
  <c r="A33" i="109"/>
  <c r="A32" i="109"/>
  <c r="A31" i="109"/>
  <c r="A30" i="109"/>
  <c r="A29" i="109"/>
  <c r="A28" i="109"/>
  <c r="A27" i="109"/>
  <c r="A26" i="109"/>
  <c r="A25" i="109"/>
  <c r="A24" i="109"/>
  <c r="A20" i="109"/>
  <c r="A19" i="109"/>
  <c r="A18" i="109"/>
  <c r="A17" i="109"/>
  <c r="A16" i="109"/>
  <c r="A15" i="109"/>
  <c r="A14" i="109"/>
  <c r="A13" i="109"/>
  <c r="A12" i="109"/>
  <c r="A11" i="109"/>
  <c r="A10" i="109"/>
  <c r="A9" i="109"/>
  <c r="A5" i="109"/>
  <c r="A4" i="109"/>
  <c r="A3" i="109"/>
  <c r="A49" i="96"/>
  <c r="A48" i="96"/>
  <c r="A47" i="96"/>
  <c r="A46" i="96"/>
  <c r="A45" i="96"/>
  <c r="A44" i="96"/>
  <c r="A43" i="96"/>
  <c r="A42" i="96"/>
  <c r="A38" i="96"/>
  <c r="A37" i="96"/>
  <c r="A36" i="96"/>
  <c r="A35" i="96"/>
  <c r="A34" i="96"/>
  <c r="A33" i="96"/>
  <c r="A32" i="96"/>
  <c r="A31" i="96"/>
  <c r="A30" i="96"/>
  <c r="A29" i="96"/>
  <c r="A28" i="96"/>
  <c r="A27" i="96"/>
  <c r="A26" i="96"/>
  <c r="A25" i="96"/>
  <c r="A24" i="96"/>
  <c r="A20" i="96"/>
  <c r="A19" i="96"/>
  <c r="A18" i="96"/>
  <c r="A17" i="96"/>
  <c r="A16" i="96"/>
  <c r="A15" i="96"/>
  <c r="A14" i="96"/>
  <c r="A13" i="96"/>
  <c r="A12" i="96"/>
  <c r="A11" i="96"/>
  <c r="A10" i="96"/>
  <c r="A9" i="96"/>
  <c r="A5" i="96"/>
  <c r="A4" i="96"/>
  <c r="A3" i="96"/>
  <c r="A49" i="95"/>
  <c r="A48" i="95"/>
  <c r="A47" i="95"/>
  <c r="A46" i="95"/>
  <c r="A45" i="95"/>
  <c r="A44" i="95"/>
  <c r="A43" i="95"/>
  <c r="A42" i="95"/>
  <c r="A38" i="95"/>
  <c r="A37" i="95"/>
  <c r="A36" i="95"/>
  <c r="A35" i="95"/>
  <c r="A34" i="95"/>
  <c r="A33" i="95"/>
  <c r="A32" i="95"/>
  <c r="A31" i="95"/>
  <c r="A30" i="95"/>
  <c r="A29" i="95"/>
  <c r="A28" i="95"/>
  <c r="A27" i="95"/>
  <c r="A26" i="95"/>
  <c r="A25" i="95"/>
  <c r="A24" i="95"/>
  <c r="A20" i="95"/>
  <c r="A19" i="95"/>
  <c r="A18" i="95"/>
  <c r="A17" i="95"/>
  <c r="A16" i="95"/>
  <c r="A15" i="95"/>
  <c r="A14" i="95"/>
  <c r="A13" i="95"/>
  <c r="A12" i="95"/>
  <c r="A11" i="95"/>
  <c r="A10" i="95"/>
  <c r="A9" i="95"/>
  <c r="A5" i="95"/>
  <c r="A4" i="95"/>
  <c r="A3" i="95"/>
  <c r="A49" i="94"/>
  <c r="A48" i="94"/>
  <c r="A47" i="94"/>
  <c r="A46" i="94"/>
  <c r="A45" i="94"/>
  <c r="A44" i="94"/>
  <c r="A43" i="94"/>
  <c r="A42" i="94"/>
  <c r="A38" i="94"/>
  <c r="A37" i="94"/>
  <c r="A36" i="94"/>
  <c r="A35" i="94"/>
  <c r="A34" i="94"/>
  <c r="A33" i="94"/>
  <c r="A32" i="94"/>
  <c r="A31" i="94"/>
  <c r="A30" i="94"/>
  <c r="A29" i="94"/>
  <c r="A28" i="94"/>
  <c r="A27" i="94"/>
  <c r="A26" i="94"/>
  <c r="A25" i="94"/>
  <c r="A24" i="94"/>
  <c r="A20" i="94"/>
  <c r="A19" i="94"/>
  <c r="A18" i="94"/>
  <c r="A17" i="94"/>
  <c r="A16" i="94"/>
  <c r="A15" i="94"/>
  <c r="A14" i="94"/>
  <c r="A13" i="94"/>
  <c r="A12" i="94"/>
  <c r="A11" i="94"/>
  <c r="A10" i="94"/>
  <c r="A9" i="94"/>
  <c r="A5" i="94"/>
  <c r="A4" i="94"/>
  <c r="A3" i="94"/>
  <c r="A49" i="74"/>
  <c r="A48" i="74"/>
  <c r="A47" i="74"/>
  <c r="A46" i="74"/>
  <c r="A45" i="74"/>
  <c r="A44" i="74"/>
  <c r="A43" i="74"/>
  <c r="A42" i="74"/>
  <c r="A38" i="74"/>
  <c r="A37" i="74"/>
  <c r="A36" i="74"/>
  <c r="A35" i="74"/>
  <c r="A34" i="74"/>
  <c r="A33" i="74"/>
  <c r="A32" i="74"/>
  <c r="A31" i="74"/>
  <c r="A30" i="74"/>
  <c r="A29" i="74"/>
  <c r="A28" i="74"/>
  <c r="A27" i="74"/>
  <c r="A26" i="74"/>
  <c r="A25" i="74"/>
  <c r="A24" i="74"/>
  <c r="A20" i="74"/>
  <c r="A19" i="74"/>
  <c r="A18" i="74"/>
  <c r="A17" i="74"/>
  <c r="A16" i="74"/>
  <c r="A15" i="74"/>
  <c r="A14" i="74"/>
  <c r="A13" i="74"/>
  <c r="A12" i="74"/>
  <c r="A11" i="74"/>
  <c r="A10" i="74"/>
  <c r="A9" i="74"/>
  <c r="A5" i="74"/>
  <c r="A4" i="74"/>
  <c r="A3" i="74"/>
  <c r="A49" i="107"/>
  <c r="A48" i="107"/>
  <c r="A47" i="107"/>
  <c r="A46" i="107"/>
  <c r="A45" i="107"/>
  <c r="A44" i="107"/>
  <c r="A43" i="107"/>
  <c r="A42" i="107"/>
  <c r="A38" i="107"/>
  <c r="A37" i="107"/>
  <c r="A36" i="107"/>
  <c r="A35" i="107"/>
  <c r="A34" i="107"/>
  <c r="A33" i="107"/>
  <c r="A32" i="107"/>
  <c r="A31" i="107"/>
  <c r="A30" i="107"/>
  <c r="A29" i="107"/>
  <c r="A28" i="107"/>
  <c r="A27" i="107"/>
  <c r="A26" i="107"/>
  <c r="A25" i="107"/>
  <c r="A24" i="107"/>
  <c r="A20" i="107"/>
  <c r="A19" i="107"/>
  <c r="A18" i="107"/>
  <c r="A17" i="107"/>
  <c r="A16" i="107"/>
  <c r="A15" i="107"/>
  <c r="A14" i="107"/>
  <c r="A13" i="107"/>
  <c r="A12" i="107"/>
  <c r="A11" i="107"/>
  <c r="A10" i="107"/>
  <c r="A9" i="107"/>
  <c r="A5" i="107"/>
  <c r="A4" i="107"/>
  <c r="A3" i="107"/>
  <c r="A49" i="93"/>
  <c r="A48" i="93"/>
  <c r="A47" i="93"/>
  <c r="A46" i="93"/>
  <c r="A45" i="93"/>
  <c r="A44" i="93"/>
  <c r="A43" i="93"/>
  <c r="A42" i="93"/>
  <c r="A38" i="93"/>
  <c r="A37" i="93"/>
  <c r="A36" i="93"/>
  <c r="A35" i="93"/>
  <c r="A34" i="93"/>
  <c r="A33" i="93"/>
  <c r="A32" i="93"/>
  <c r="A31" i="93"/>
  <c r="A30" i="93"/>
  <c r="A29" i="93"/>
  <c r="A28" i="93"/>
  <c r="A27" i="93"/>
  <c r="A26" i="93"/>
  <c r="A25" i="93"/>
  <c r="A24" i="93"/>
  <c r="A20" i="93"/>
  <c r="A19" i="93"/>
  <c r="A18" i="93"/>
  <c r="A17" i="93"/>
  <c r="A16" i="93"/>
  <c r="A15" i="93"/>
  <c r="A14" i="93"/>
  <c r="A13" i="93"/>
  <c r="A12" i="93"/>
  <c r="A11" i="93"/>
  <c r="A10" i="93"/>
  <c r="A9" i="93"/>
  <c r="A5" i="93"/>
  <c r="A4" i="93"/>
  <c r="A3" i="93"/>
  <c r="A49" i="86"/>
  <c r="A48" i="86"/>
  <c r="A47" i="86"/>
  <c r="A46" i="86"/>
  <c r="A45" i="86"/>
  <c r="A44" i="86"/>
  <c r="A43" i="86"/>
  <c r="A42" i="86"/>
  <c r="A38" i="86"/>
  <c r="A37" i="86"/>
  <c r="A36" i="86"/>
  <c r="A35" i="86"/>
  <c r="A34" i="86"/>
  <c r="A33" i="86"/>
  <c r="A32" i="86"/>
  <c r="A31" i="86"/>
  <c r="A30" i="86"/>
  <c r="A29" i="86"/>
  <c r="A28" i="86"/>
  <c r="A27" i="86"/>
  <c r="A26" i="86"/>
  <c r="A25" i="86"/>
  <c r="A24" i="86"/>
  <c r="A20" i="86"/>
  <c r="A19" i="86"/>
  <c r="A18" i="86"/>
  <c r="A17" i="86"/>
  <c r="A16" i="86"/>
  <c r="A15" i="86"/>
  <c r="A14" i="86"/>
  <c r="A13" i="86"/>
  <c r="A12" i="86"/>
  <c r="A11" i="86"/>
  <c r="A10" i="86"/>
  <c r="A9" i="86"/>
  <c r="A5" i="86"/>
  <c r="A4" i="86"/>
  <c r="A3" i="86"/>
  <c r="A49" i="89"/>
  <c r="A48" i="89"/>
  <c r="A47" i="89"/>
  <c r="A46" i="89"/>
  <c r="A45" i="89"/>
  <c r="A44" i="89"/>
  <c r="A43" i="89"/>
  <c r="A42" i="89"/>
  <c r="A38" i="89"/>
  <c r="A37" i="89"/>
  <c r="A36" i="89"/>
  <c r="A35" i="89"/>
  <c r="A34" i="89"/>
  <c r="A33" i="89"/>
  <c r="A32" i="89"/>
  <c r="A31" i="89"/>
  <c r="A30" i="89"/>
  <c r="A29" i="89"/>
  <c r="A28" i="89"/>
  <c r="A27" i="89"/>
  <c r="A26" i="89"/>
  <c r="A25" i="89"/>
  <c r="A24" i="89"/>
  <c r="A20" i="89"/>
  <c r="A19" i="89"/>
  <c r="A18" i="89"/>
  <c r="A17" i="89"/>
  <c r="A16" i="89"/>
  <c r="A15" i="89"/>
  <c r="A14" i="89"/>
  <c r="A13" i="89"/>
  <c r="A12" i="89"/>
  <c r="A11" i="89"/>
  <c r="A10" i="89"/>
  <c r="A9" i="89"/>
  <c r="A5" i="89"/>
  <c r="A4" i="89"/>
  <c r="A3" i="89"/>
  <c r="A49" i="108"/>
  <c r="A48" i="108"/>
  <c r="A47" i="108"/>
  <c r="A46" i="108"/>
  <c r="A45" i="108"/>
  <c r="A44" i="108"/>
  <c r="A43" i="108"/>
  <c r="A42" i="108"/>
  <c r="A38" i="108"/>
  <c r="A37" i="108"/>
  <c r="A36" i="108"/>
  <c r="A35" i="108"/>
  <c r="A34" i="108"/>
  <c r="A33" i="108"/>
  <c r="A32" i="108"/>
  <c r="A31" i="108"/>
  <c r="A30" i="108"/>
  <c r="A29" i="108"/>
  <c r="A28" i="108"/>
  <c r="A27" i="108"/>
  <c r="A26" i="108"/>
  <c r="A25" i="108"/>
  <c r="A24" i="108"/>
  <c r="A20" i="108"/>
  <c r="A19" i="108"/>
  <c r="A18" i="108"/>
  <c r="A17" i="108"/>
  <c r="A16" i="108"/>
  <c r="A15" i="108"/>
  <c r="A14" i="108"/>
  <c r="A13" i="108"/>
  <c r="A12" i="108"/>
  <c r="A11" i="108"/>
  <c r="A10" i="108"/>
  <c r="A9" i="108"/>
  <c r="A5" i="108"/>
  <c r="A4" i="108"/>
  <c r="A3" i="108"/>
  <c r="A49" i="101"/>
  <c r="A48" i="101"/>
  <c r="A47" i="101"/>
  <c r="A46" i="101"/>
  <c r="A45" i="101"/>
  <c r="A44" i="101"/>
  <c r="A43" i="101"/>
  <c r="A42" i="101"/>
  <c r="A38" i="101"/>
  <c r="A37" i="101"/>
  <c r="A36" i="101"/>
  <c r="A35" i="101"/>
  <c r="A34" i="101"/>
  <c r="A33" i="101"/>
  <c r="A32" i="101"/>
  <c r="A31" i="101"/>
  <c r="A30" i="101"/>
  <c r="A29" i="101"/>
  <c r="A28" i="101"/>
  <c r="A27" i="101"/>
  <c r="A26" i="101"/>
  <c r="A25" i="101"/>
  <c r="A24" i="101"/>
  <c r="A20" i="101"/>
  <c r="A19" i="101"/>
  <c r="A18" i="101"/>
  <c r="A17" i="101"/>
  <c r="A16" i="101"/>
  <c r="A15" i="101"/>
  <c r="A14" i="101"/>
  <c r="A13" i="101"/>
  <c r="A12" i="101"/>
  <c r="A11" i="101"/>
  <c r="A10" i="101"/>
  <c r="A9" i="101"/>
  <c r="A5" i="101"/>
  <c r="A4" i="101"/>
  <c r="A3" i="101"/>
  <c r="A49" i="106"/>
  <c r="A48" i="106"/>
  <c r="A47" i="106"/>
  <c r="A46" i="106"/>
  <c r="A45" i="106"/>
  <c r="A44" i="106"/>
  <c r="A43" i="106"/>
  <c r="A42" i="106"/>
  <c r="A38" i="106"/>
  <c r="A37" i="106"/>
  <c r="A36" i="106"/>
  <c r="A35" i="106"/>
  <c r="A34" i="106"/>
  <c r="A33" i="106"/>
  <c r="A32" i="106"/>
  <c r="A31" i="106"/>
  <c r="A30" i="106"/>
  <c r="A29" i="106"/>
  <c r="A28" i="106"/>
  <c r="A27" i="106"/>
  <c r="A26" i="106"/>
  <c r="A25" i="106"/>
  <c r="A24" i="106"/>
  <c r="A20" i="106"/>
  <c r="A19" i="106"/>
  <c r="A18" i="106"/>
  <c r="A17" i="106"/>
  <c r="A16" i="106"/>
  <c r="A15" i="106"/>
  <c r="A14" i="106"/>
  <c r="A13" i="106"/>
  <c r="A12" i="106"/>
  <c r="A11" i="106"/>
  <c r="A10" i="106"/>
  <c r="A9" i="106"/>
  <c r="A5" i="106"/>
  <c r="A4" i="106"/>
  <c r="A3" i="106"/>
  <c r="A49" i="105"/>
  <c r="A48" i="105"/>
  <c r="A47" i="105"/>
  <c r="A46" i="105"/>
  <c r="A45" i="105"/>
  <c r="A44" i="105"/>
  <c r="A43" i="105"/>
  <c r="A42" i="105"/>
  <c r="A38" i="105"/>
  <c r="A37" i="105"/>
  <c r="A36" i="105"/>
  <c r="A35" i="105"/>
  <c r="A34" i="105"/>
  <c r="A33" i="105"/>
  <c r="A32" i="105"/>
  <c r="A31" i="105"/>
  <c r="A30" i="105"/>
  <c r="A29" i="105"/>
  <c r="A28" i="105"/>
  <c r="A27" i="105"/>
  <c r="A26" i="105"/>
  <c r="A25" i="105"/>
  <c r="A24" i="105"/>
  <c r="A20" i="105"/>
  <c r="A19" i="105"/>
  <c r="A18" i="105"/>
  <c r="A17" i="105"/>
  <c r="A16" i="105"/>
  <c r="A15" i="105"/>
  <c r="A14" i="105"/>
  <c r="A13" i="105"/>
  <c r="A12" i="105"/>
  <c r="A11" i="105"/>
  <c r="A10" i="105"/>
  <c r="A9" i="105"/>
  <c r="A5" i="105"/>
  <c r="A4" i="105"/>
  <c r="A3" i="105"/>
  <c r="A49" i="88"/>
  <c r="A48" i="88"/>
  <c r="A47" i="88"/>
  <c r="A46" i="88"/>
  <c r="A45" i="88"/>
  <c r="A44" i="88"/>
  <c r="A43" i="88"/>
  <c r="A42" i="88"/>
  <c r="A38" i="88"/>
  <c r="A37" i="88"/>
  <c r="A36" i="88"/>
  <c r="A35" i="88"/>
  <c r="A34" i="88"/>
  <c r="A33" i="88"/>
  <c r="A32" i="88"/>
  <c r="A31" i="88"/>
  <c r="A30" i="88"/>
  <c r="A29" i="88"/>
  <c r="A28" i="88"/>
  <c r="A27" i="88"/>
  <c r="A26" i="88"/>
  <c r="A25" i="88"/>
  <c r="A24" i="88"/>
  <c r="A20" i="88"/>
  <c r="A19" i="88"/>
  <c r="A18" i="88"/>
  <c r="A17" i="88"/>
  <c r="A16" i="88"/>
  <c r="A15" i="88"/>
  <c r="A14" i="88"/>
  <c r="A13" i="88"/>
  <c r="A12" i="88"/>
  <c r="A11" i="88"/>
  <c r="A10" i="88"/>
  <c r="A9" i="88"/>
  <c r="A5" i="88"/>
  <c r="A4" i="88"/>
  <c r="A3" i="88"/>
  <c r="A49" i="92"/>
  <c r="A48" i="92"/>
  <c r="A47" i="92"/>
  <c r="A46" i="92"/>
  <c r="A45" i="92"/>
  <c r="A44" i="92"/>
  <c r="A43" i="92"/>
  <c r="A42" i="92"/>
  <c r="A38" i="92"/>
  <c r="A37" i="92"/>
  <c r="A36" i="92"/>
  <c r="A35" i="92"/>
  <c r="A34" i="92"/>
  <c r="A33" i="92"/>
  <c r="A32" i="92"/>
  <c r="A31" i="92"/>
  <c r="A30" i="92"/>
  <c r="A29" i="92"/>
  <c r="A28" i="92"/>
  <c r="A27" i="92"/>
  <c r="A26" i="92"/>
  <c r="A25" i="92"/>
  <c r="A24" i="92"/>
  <c r="A20" i="92"/>
  <c r="A19" i="92"/>
  <c r="A18" i="92"/>
  <c r="A17" i="92"/>
  <c r="A16" i="92"/>
  <c r="A15" i="92"/>
  <c r="A14" i="92"/>
  <c r="A13" i="92"/>
  <c r="A12" i="92"/>
  <c r="A11" i="92"/>
  <c r="A10" i="92"/>
  <c r="A9" i="92"/>
  <c r="A5" i="92"/>
  <c r="A4" i="92"/>
  <c r="A3" i="92"/>
  <c r="A49" i="91"/>
  <c r="A48" i="91"/>
  <c r="A47" i="91"/>
  <c r="A46" i="91"/>
  <c r="A45" i="91"/>
  <c r="A44" i="91"/>
  <c r="A43" i="91"/>
  <c r="A42" i="91"/>
  <c r="A38" i="91"/>
  <c r="A37" i="91"/>
  <c r="A36" i="91"/>
  <c r="A35" i="91"/>
  <c r="A34" i="91"/>
  <c r="A33" i="91"/>
  <c r="A32" i="91"/>
  <c r="A31" i="91"/>
  <c r="A30" i="91"/>
  <c r="A29" i="91"/>
  <c r="A28" i="91"/>
  <c r="A27" i="91"/>
  <c r="A26" i="91"/>
  <c r="A25" i="91"/>
  <c r="A24" i="91"/>
  <c r="A20" i="91"/>
  <c r="A19" i="91"/>
  <c r="A18" i="91"/>
  <c r="A17" i="91"/>
  <c r="A16" i="91"/>
  <c r="A15" i="91"/>
  <c r="A14" i="91"/>
  <c r="A13" i="91"/>
  <c r="A12" i="91"/>
  <c r="A11" i="91"/>
  <c r="A10" i="91"/>
  <c r="A9" i="91"/>
  <c r="A5" i="91"/>
  <c r="A4" i="91"/>
  <c r="A3" i="91"/>
  <c r="A49" i="100"/>
  <c r="A48" i="100"/>
  <c r="A47" i="100"/>
  <c r="A46" i="100"/>
  <c r="A45" i="100"/>
  <c r="A44" i="100"/>
  <c r="A43" i="100"/>
  <c r="A42" i="100"/>
  <c r="A38" i="100"/>
  <c r="A37" i="100"/>
  <c r="A36" i="100"/>
  <c r="A35" i="100"/>
  <c r="A34" i="100"/>
  <c r="A33" i="100"/>
  <c r="A32" i="100"/>
  <c r="A31" i="100"/>
  <c r="A30" i="100"/>
  <c r="A29" i="100"/>
  <c r="A28" i="100"/>
  <c r="A27" i="100"/>
  <c r="A26" i="100"/>
  <c r="A25" i="100"/>
  <c r="A24" i="100"/>
  <c r="A20" i="100"/>
  <c r="A19" i="100"/>
  <c r="A18" i="100"/>
  <c r="A17" i="100"/>
  <c r="A16" i="100"/>
  <c r="A15" i="100"/>
  <c r="A14" i="100"/>
  <c r="A13" i="100"/>
  <c r="A12" i="100"/>
  <c r="A11" i="100"/>
  <c r="A10" i="100"/>
  <c r="A9" i="100"/>
  <c r="A5" i="100"/>
  <c r="A4" i="100"/>
  <c r="A3" i="100"/>
  <c r="A49" i="99"/>
  <c r="A48" i="99"/>
  <c r="A47" i="99"/>
  <c r="A46" i="99"/>
  <c r="A45" i="99"/>
  <c r="A44" i="99"/>
  <c r="A43" i="99"/>
  <c r="A42" i="99"/>
  <c r="A38" i="99"/>
  <c r="A37" i="99"/>
  <c r="A36" i="99"/>
  <c r="A35" i="99"/>
  <c r="A34" i="99"/>
  <c r="A33" i="99"/>
  <c r="A32" i="99"/>
  <c r="A31" i="99"/>
  <c r="A30" i="99"/>
  <c r="A29" i="99"/>
  <c r="A28" i="99"/>
  <c r="A27" i="99"/>
  <c r="A26" i="99"/>
  <c r="A25" i="99"/>
  <c r="A24" i="99"/>
  <c r="A20" i="99"/>
  <c r="A19" i="99"/>
  <c r="A18" i="99"/>
  <c r="A17" i="99"/>
  <c r="A16" i="99"/>
  <c r="A15" i="99"/>
  <c r="A14" i="99"/>
  <c r="A13" i="99"/>
  <c r="A12" i="99"/>
  <c r="A11" i="99"/>
  <c r="A10" i="99"/>
  <c r="A9" i="99"/>
  <c r="A5" i="99"/>
  <c r="A4" i="99"/>
  <c r="A3" i="99"/>
  <c r="A49" i="98"/>
  <c r="A48" i="98"/>
  <c r="A47" i="98"/>
  <c r="A46" i="98"/>
  <c r="A45" i="98"/>
  <c r="A44" i="98"/>
  <c r="A43" i="98"/>
  <c r="A42" i="98"/>
  <c r="A38" i="98"/>
  <c r="A37" i="98"/>
  <c r="A36" i="98"/>
  <c r="A35" i="98"/>
  <c r="A34" i="98"/>
  <c r="A33" i="98"/>
  <c r="A32" i="98"/>
  <c r="A31" i="98"/>
  <c r="A30" i="98"/>
  <c r="A29" i="98"/>
  <c r="A28" i="98"/>
  <c r="A27" i="98"/>
  <c r="A26" i="98"/>
  <c r="A25" i="98"/>
  <c r="A24" i="98"/>
  <c r="A20" i="98"/>
  <c r="A19" i="98"/>
  <c r="A18" i="98"/>
  <c r="A17" i="98"/>
  <c r="A16" i="98"/>
  <c r="A15" i="98"/>
  <c r="A14" i="98"/>
  <c r="A13" i="98"/>
  <c r="A12" i="98"/>
  <c r="A11" i="98"/>
  <c r="A10" i="98"/>
  <c r="A9" i="98"/>
  <c r="A5" i="98"/>
  <c r="A4" i="98"/>
  <c r="A3" i="98"/>
  <c r="A49" i="85"/>
  <c r="A48" i="85"/>
  <c r="A47" i="85"/>
  <c r="A46" i="85"/>
  <c r="A45" i="85"/>
  <c r="A44" i="85"/>
  <c r="A43" i="85"/>
  <c r="A42" i="85"/>
  <c r="A38" i="85"/>
  <c r="A37" i="85"/>
  <c r="A36" i="85"/>
  <c r="A35" i="85"/>
  <c r="A34" i="85"/>
  <c r="A33" i="85"/>
  <c r="A32" i="85"/>
  <c r="A31" i="85"/>
  <c r="A30" i="85"/>
  <c r="A29" i="85"/>
  <c r="A28" i="85"/>
  <c r="A27" i="85"/>
  <c r="A26" i="85"/>
  <c r="A25" i="85"/>
  <c r="A24" i="85"/>
  <c r="A20" i="85"/>
  <c r="A19" i="85"/>
  <c r="A18" i="85"/>
  <c r="A17" i="85"/>
  <c r="A16" i="85"/>
  <c r="A15" i="85"/>
  <c r="A14" i="85"/>
  <c r="A13" i="85"/>
  <c r="A12" i="85"/>
  <c r="A11" i="85"/>
  <c r="A10" i="85"/>
  <c r="A9" i="85"/>
  <c r="A5" i="85"/>
  <c r="A4" i="85"/>
  <c r="A3" i="85"/>
  <c r="A49" i="84"/>
  <c r="A48" i="84"/>
  <c r="A47" i="84"/>
  <c r="A46" i="84"/>
  <c r="A45" i="84"/>
  <c r="A44" i="84"/>
  <c r="A43" i="84"/>
  <c r="A42" i="84"/>
  <c r="A38" i="84"/>
  <c r="A37" i="84"/>
  <c r="A36" i="84"/>
  <c r="A35" i="84"/>
  <c r="A34" i="84"/>
  <c r="A33" i="84"/>
  <c r="A32" i="84"/>
  <c r="A31" i="84"/>
  <c r="A30" i="84"/>
  <c r="A29" i="84"/>
  <c r="A28" i="84"/>
  <c r="A27" i="84"/>
  <c r="A26" i="84"/>
  <c r="A25" i="84"/>
  <c r="A24" i="84"/>
  <c r="A20" i="84"/>
  <c r="A19" i="84"/>
  <c r="A18" i="84"/>
  <c r="A17" i="84"/>
  <c r="A16" i="84"/>
  <c r="A15" i="84"/>
  <c r="A14" i="84"/>
  <c r="A13" i="84"/>
  <c r="A12" i="84"/>
  <c r="A11" i="84"/>
  <c r="A10" i="84"/>
  <c r="A9" i="84"/>
  <c r="A5" i="84"/>
  <c r="A4" i="84"/>
  <c r="A3" i="84"/>
  <c r="A49" i="83"/>
  <c r="A48" i="83"/>
  <c r="A47" i="83"/>
  <c r="A46" i="83"/>
  <c r="A45" i="83"/>
  <c r="A44" i="83"/>
  <c r="A43" i="83"/>
  <c r="A42" i="83"/>
  <c r="A38" i="83"/>
  <c r="A37" i="83"/>
  <c r="A36" i="83"/>
  <c r="A35" i="83"/>
  <c r="A34" i="83"/>
  <c r="A33" i="83"/>
  <c r="A32" i="83"/>
  <c r="A31" i="83"/>
  <c r="A30" i="83"/>
  <c r="A29" i="83"/>
  <c r="A28" i="83"/>
  <c r="A27" i="83"/>
  <c r="A26" i="83"/>
  <c r="A25" i="83"/>
  <c r="A24" i="83"/>
  <c r="A20" i="83"/>
  <c r="A19" i="83"/>
  <c r="A18" i="83"/>
  <c r="A17" i="83"/>
  <c r="A16" i="83"/>
  <c r="A15" i="83"/>
  <c r="A14" i="83"/>
  <c r="A13" i="83"/>
  <c r="A12" i="83"/>
  <c r="A11" i="83"/>
  <c r="A10" i="83"/>
  <c r="A9" i="83"/>
  <c r="A5" i="83"/>
  <c r="A4" i="83"/>
  <c r="A3" i="83"/>
  <c r="A49" i="82"/>
  <c r="A48" i="82"/>
  <c r="A47" i="82"/>
  <c r="A46" i="82"/>
  <c r="A45" i="82"/>
  <c r="A44" i="82"/>
  <c r="A43" i="82"/>
  <c r="A42" i="82"/>
  <c r="A38" i="82"/>
  <c r="A37" i="82"/>
  <c r="A36" i="82"/>
  <c r="A35" i="82"/>
  <c r="A34" i="82"/>
  <c r="A33" i="82"/>
  <c r="A32" i="82"/>
  <c r="A31" i="82"/>
  <c r="A30" i="82"/>
  <c r="A29" i="82"/>
  <c r="A28" i="82"/>
  <c r="A27" i="82"/>
  <c r="A26" i="82"/>
  <c r="A25" i="82"/>
  <c r="A24" i="82"/>
  <c r="A20" i="82"/>
  <c r="A19" i="82"/>
  <c r="A18" i="82"/>
  <c r="A17" i="82"/>
  <c r="A16" i="82"/>
  <c r="A15" i="82"/>
  <c r="A14" i="82"/>
  <c r="A13" i="82"/>
  <c r="A12" i="82"/>
  <c r="A11" i="82"/>
  <c r="A10" i="82"/>
  <c r="A9" i="82"/>
  <c r="A5" i="82"/>
  <c r="A4" i="82"/>
  <c r="A3" i="82"/>
  <c r="A49" i="81"/>
  <c r="A48" i="81"/>
  <c r="A47" i="81"/>
  <c r="A46" i="81"/>
  <c r="A45" i="81"/>
  <c r="A44" i="81"/>
  <c r="A43" i="81"/>
  <c r="A42" i="81"/>
  <c r="A38" i="81"/>
  <c r="A37" i="81"/>
  <c r="A36" i="81"/>
  <c r="A35" i="81"/>
  <c r="A34" i="81"/>
  <c r="A33" i="81"/>
  <c r="A32" i="81"/>
  <c r="A31" i="81"/>
  <c r="A30" i="81"/>
  <c r="A29" i="81"/>
  <c r="A28" i="81"/>
  <c r="A27" i="81"/>
  <c r="A26" i="81"/>
  <c r="A25" i="81"/>
  <c r="A24" i="81"/>
  <c r="A20" i="81"/>
  <c r="A19" i="81"/>
  <c r="A18" i="81"/>
  <c r="A17" i="81"/>
  <c r="A16" i="81"/>
  <c r="A15" i="81"/>
  <c r="A14" i="81"/>
  <c r="A13" i="81"/>
  <c r="A12" i="81"/>
  <c r="A11" i="81"/>
  <c r="A10" i="81"/>
  <c r="A9" i="81"/>
  <c r="A5" i="81"/>
  <c r="A4" i="81"/>
  <c r="A3" i="81"/>
  <c r="A49" i="80"/>
  <c r="A48" i="80"/>
  <c r="A47" i="80"/>
  <c r="A46" i="80"/>
  <c r="A45" i="80"/>
  <c r="A44" i="80"/>
  <c r="A43" i="80"/>
  <c r="A42" i="80"/>
  <c r="A38" i="80"/>
  <c r="A37" i="80"/>
  <c r="A36" i="80"/>
  <c r="A35" i="80"/>
  <c r="A34" i="80"/>
  <c r="A33" i="80"/>
  <c r="A32" i="80"/>
  <c r="A31" i="80"/>
  <c r="A30" i="80"/>
  <c r="A29" i="80"/>
  <c r="A28" i="80"/>
  <c r="A27" i="80"/>
  <c r="A26" i="80"/>
  <c r="A25" i="80"/>
  <c r="A24" i="80"/>
  <c r="A20" i="80"/>
  <c r="A19" i="80"/>
  <c r="A18" i="80"/>
  <c r="A17" i="80"/>
  <c r="A16" i="80"/>
  <c r="A15" i="80"/>
  <c r="A14" i="80"/>
  <c r="A13" i="80"/>
  <c r="A12" i="80"/>
  <c r="A11" i="80"/>
  <c r="A10" i="80"/>
  <c r="A9" i="80"/>
  <c r="A5" i="80"/>
  <c r="A4" i="80"/>
  <c r="A3" i="80"/>
  <c r="A49" i="104"/>
  <c r="A48" i="104"/>
  <c r="A47" i="104"/>
  <c r="A46" i="104"/>
  <c r="A45" i="104"/>
  <c r="A44" i="104"/>
  <c r="A43" i="104"/>
  <c r="A42" i="104"/>
  <c r="A38" i="104"/>
  <c r="A37" i="104"/>
  <c r="A36" i="104"/>
  <c r="A35" i="104"/>
  <c r="A34" i="104"/>
  <c r="A33" i="104"/>
  <c r="A32" i="104"/>
  <c r="A31" i="104"/>
  <c r="A30" i="104"/>
  <c r="A29" i="104"/>
  <c r="A28" i="104"/>
  <c r="A27" i="104"/>
  <c r="A26" i="104"/>
  <c r="A25" i="104"/>
  <c r="A24" i="104"/>
  <c r="A20" i="104"/>
  <c r="A19" i="104"/>
  <c r="A18" i="104"/>
  <c r="A17" i="104"/>
  <c r="A16" i="104"/>
  <c r="A15" i="104"/>
  <c r="A14" i="104"/>
  <c r="A13" i="104"/>
  <c r="A12" i="104"/>
  <c r="A11" i="104"/>
  <c r="A10" i="104"/>
  <c r="A9" i="104"/>
  <c r="A5" i="104"/>
  <c r="A4" i="104"/>
  <c r="A3" i="104"/>
  <c r="A49" i="103"/>
  <c r="A48" i="103"/>
  <c r="A47" i="103"/>
  <c r="A46" i="103"/>
  <c r="A45" i="103"/>
  <c r="A44" i="103"/>
  <c r="A43" i="103"/>
  <c r="A42" i="103"/>
  <c r="A38" i="103"/>
  <c r="A37" i="103"/>
  <c r="A36" i="103"/>
  <c r="A35" i="103"/>
  <c r="A34" i="103"/>
  <c r="A33" i="103"/>
  <c r="A32" i="103"/>
  <c r="A31" i="103"/>
  <c r="A30" i="103"/>
  <c r="A29" i="103"/>
  <c r="A28" i="103"/>
  <c r="A27" i="103"/>
  <c r="A26" i="103"/>
  <c r="A25" i="103"/>
  <c r="A24" i="103"/>
  <c r="A20" i="103"/>
  <c r="A19" i="103"/>
  <c r="A18" i="103"/>
  <c r="A17" i="103"/>
  <c r="A16" i="103"/>
  <c r="A15" i="103"/>
  <c r="A14" i="103"/>
  <c r="A13" i="103"/>
  <c r="A12" i="103"/>
  <c r="A11" i="103"/>
  <c r="A10" i="103"/>
  <c r="A9" i="103"/>
  <c r="A5" i="103"/>
  <c r="A4" i="103"/>
  <c r="A3" i="103"/>
  <c r="A49" i="102"/>
  <c r="A48" i="102"/>
  <c r="A47" i="102"/>
  <c r="A46" i="102"/>
  <c r="A45" i="102"/>
  <c r="A44" i="102"/>
  <c r="A43" i="102"/>
  <c r="A42" i="102"/>
  <c r="A38" i="102"/>
  <c r="A37" i="102"/>
  <c r="A36" i="102"/>
  <c r="A35" i="102"/>
  <c r="A34" i="102"/>
  <c r="A33" i="102"/>
  <c r="A32" i="102"/>
  <c r="A31" i="102"/>
  <c r="A30" i="102"/>
  <c r="A29" i="102"/>
  <c r="A28" i="102"/>
  <c r="A27" i="102"/>
  <c r="A26" i="102"/>
  <c r="A25" i="102"/>
  <c r="A24" i="102"/>
  <c r="A20" i="102"/>
  <c r="A19" i="102"/>
  <c r="A18" i="102"/>
  <c r="A17" i="102"/>
  <c r="A16" i="102"/>
  <c r="A15" i="102"/>
  <c r="A14" i="102"/>
  <c r="A13" i="102"/>
  <c r="A12" i="102"/>
  <c r="A11" i="102"/>
  <c r="A10" i="102"/>
  <c r="A9" i="102"/>
  <c r="A5" i="102"/>
  <c r="A4" i="102"/>
  <c r="A3" i="102"/>
  <c r="A49" i="87"/>
  <c r="A48" i="87"/>
  <c r="A47" i="87"/>
  <c r="A46" i="87"/>
  <c r="A45" i="87"/>
  <c r="A44" i="87"/>
  <c r="A43" i="87"/>
  <c r="A42" i="87"/>
  <c r="A38" i="87"/>
  <c r="A37" i="87"/>
  <c r="A36" i="87"/>
  <c r="A35" i="87"/>
  <c r="A34" i="87"/>
  <c r="A33" i="87"/>
  <c r="A32" i="87"/>
  <c r="A31" i="87"/>
  <c r="A30" i="87"/>
  <c r="A29" i="87"/>
  <c r="A28" i="87"/>
  <c r="A27" i="87"/>
  <c r="A26" i="87"/>
  <c r="A25" i="87"/>
  <c r="A24" i="87"/>
  <c r="A20" i="87"/>
  <c r="A19" i="87"/>
  <c r="A18" i="87"/>
  <c r="A17" i="87"/>
  <c r="A16" i="87"/>
  <c r="A15" i="87"/>
  <c r="A14" i="87"/>
  <c r="A13" i="87"/>
  <c r="A12" i="87"/>
  <c r="A11" i="87"/>
  <c r="A10" i="87"/>
  <c r="A9" i="87"/>
  <c r="A5" i="87"/>
  <c r="A4" i="87"/>
  <c r="A3" i="87"/>
  <c r="A49" i="90"/>
  <c r="A48" i="90"/>
  <c r="A47" i="90"/>
  <c r="A46" i="90"/>
  <c r="A45" i="90"/>
  <c r="A44" i="90"/>
  <c r="A43" i="90"/>
  <c r="A42" i="90"/>
  <c r="A38" i="90"/>
  <c r="A37" i="90"/>
  <c r="A36" i="90"/>
  <c r="A35" i="90"/>
  <c r="A34" i="90"/>
  <c r="A33" i="90"/>
  <c r="A32" i="90"/>
  <c r="A31" i="90"/>
  <c r="A30" i="90"/>
  <c r="A29" i="90"/>
  <c r="A28" i="90"/>
  <c r="A27" i="90"/>
  <c r="A26" i="90"/>
  <c r="A25" i="90"/>
  <c r="A24" i="90"/>
  <c r="A20" i="90"/>
  <c r="A19" i="90"/>
  <c r="A18" i="90"/>
  <c r="A17" i="90"/>
  <c r="A16" i="90"/>
  <c r="A15" i="90"/>
  <c r="A14" i="90"/>
  <c r="A13" i="90"/>
  <c r="A12" i="90"/>
  <c r="A11" i="90"/>
  <c r="A10" i="90"/>
  <c r="A9" i="90"/>
  <c r="A5" i="90"/>
  <c r="A4" i="90"/>
  <c r="A3" i="90"/>
  <c r="A49" i="79"/>
  <c r="A48" i="79"/>
  <c r="A47" i="79"/>
  <c r="A46" i="79"/>
  <c r="A45" i="79"/>
  <c r="A44" i="79"/>
  <c r="A43" i="79"/>
  <c r="A42" i="79"/>
  <c r="A38" i="79"/>
  <c r="A37" i="79"/>
  <c r="A36" i="79"/>
  <c r="A35" i="79"/>
  <c r="A34" i="79"/>
  <c r="A33" i="79"/>
  <c r="A32" i="79"/>
  <c r="A31" i="79"/>
  <c r="A30" i="79"/>
  <c r="A29" i="79"/>
  <c r="A28" i="79"/>
  <c r="A27" i="79"/>
  <c r="A26" i="79"/>
  <c r="A25" i="79"/>
  <c r="A24" i="79"/>
  <c r="A20" i="79"/>
  <c r="A19" i="79"/>
  <c r="A18" i="79"/>
  <c r="A17" i="79"/>
  <c r="A16" i="79"/>
  <c r="A15" i="79"/>
  <c r="A14" i="79"/>
  <c r="A13" i="79"/>
  <c r="A12" i="79"/>
  <c r="A11" i="79"/>
  <c r="A10" i="79"/>
  <c r="A9" i="79"/>
  <c r="A5" i="79"/>
  <c r="A4" i="79"/>
  <c r="A3" i="79"/>
  <c r="A49" i="76"/>
  <c r="A48" i="76"/>
  <c r="A47" i="76"/>
  <c r="A46" i="76"/>
  <c r="A45" i="76"/>
  <c r="A44" i="76"/>
  <c r="A43" i="76"/>
  <c r="A42" i="76"/>
  <c r="A38" i="76"/>
  <c r="A37" i="76"/>
  <c r="A36" i="76"/>
  <c r="A35" i="76"/>
  <c r="A34" i="76"/>
  <c r="A33" i="76"/>
  <c r="A32" i="76"/>
  <c r="A31" i="76"/>
  <c r="A30" i="76"/>
  <c r="A29" i="76"/>
  <c r="A28" i="76"/>
  <c r="A27" i="76"/>
  <c r="A26" i="76"/>
  <c r="A25" i="76"/>
  <c r="A24" i="76"/>
  <c r="A20" i="76"/>
  <c r="A19" i="76"/>
  <c r="A18" i="76"/>
  <c r="A17" i="76"/>
  <c r="A16" i="76"/>
  <c r="A15" i="76"/>
  <c r="A14" i="76"/>
  <c r="A13" i="76"/>
  <c r="A12" i="76"/>
  <c r="A11" i="76"/>
  <c r="A10" i="76"/>
  <c r="A9" i="76"/>
  <c r="A5" i="76"/>
  <c r="A4" i="76"/>
  <c r="A3" i="76"/>
  <c r="A49" i="97"/>
  <c r="A48" i="97"/>
  <c r="A47" i="97"/>
  <c r="A46" i="97"/>
  <c r="A45" i="97"/>
  <c r="A44" i="97"/>
  <c r="A43" i="97"/>
  <c r="A42" i="97"/>
  <c r="A38" i="97"/>
  <c r="A37" i="97"/>
  <c r="A36" i="97"/>
  <c r="A35" i="97"/>
  <c r="A34" i="97"/>
  <c r="A33" i="97"/>
  <c r="A32" i="97"/>
  <c r="A31" i="97"/>
  <c r="A30" i="97"/>
  <c r="A29" i="97"/>
  <c r="A28" i="97"/>
  <c r="A27" i="97"/>
  <c r="A26" i="97"/>
  <c r="A25" i="97"/>
  <c r="A24" i="97"/>
  <c r="A20" i="97"/>
  <c r="A19" i="97"/>
  <c r="A18" i="97"/>
  <c r="A17" i="97"/>
  <c r="A16" i="97"/>
  <c r="A15" i="97"/>
  <c r="A14" i="97"/>
  <c r="A13" i="97"/>
  <c r="A12" i="97"/>
  <c r="A11" i="97"/>
  <c r="A10" i="97"/>
  <c r="A9" i="97"/>
  <c r="A5" i="97"/>
  <c r="A4" i="97"/>
  <c r="A3" i="97"/>
  <c r="A49" i="75"/>
  <c r="A48" i="75"/>
  <c r="A47" i="75"/>
  <c r="A46" i="75"/>
  <c r="A45" i="75"/>
  <c r="A44" i="75"/>
  <c r="A43" i="75"/>
  <c r="A42" i="75"/>
  <c r="A38" i="75"/>
  <c r="A37" i="75"/>
  <c r="A36" i="75"/>
  <c r="A35" i="75"/>
  <c r="A34" i="75"/>
  <c r="A33" i="75"/>
  <c r="A32" i="75"/>
  <c r="A31" i="75"/>
  <c r="A30" i="75"/>
  <c r="A29" i="75"/>
  <c r="A28" i="75"/>
  <c r="A27" i="75"/>
  <c r="A26" i="75"/>
  <c r="A25" i="75"/>
  <c r="A24" i="75"/>
  <c r="A20" i="75"/>
  <c r="A19" i="75"/>
  <c r="A18" i="75"/>
  <c r="A17" i="75"/>
  <c r="A16" i="75"/>
  <c r="A15" i="75"/>
  <c r="A14" i="75"/>
  <c r="A13" i="75"/>
  <c r="A12" i="75"/>
  <c r="A11" i="75"/>
  <c r="A10" i="75"/>
  <c r="A9" i="75"/>
  <c r="A5" i="75"/>
  <c r="A4" i="75"/>
  <c r="A3" i="75"/>
  <c r="A49" i="72"/>
  <c r="A48" i="72"/>
  <c r="A47" i="72"/>
  <c r="A46" i="72"/>
  <c r="A45" i="72"/>
  <c r="A44" i="72"/>
  <c r="A43" i="72"/>
  <c r="A42" i="72"/>
  <c r="A38" i="72"/>
  <c r="A37" i="72"/>
  <c r="A36" i="72"/>
  <c r="A35" i="72"/>
  <c r="A34" i="72"/>
  <c r="A33" i="72"/>
  <c r="A32" i="72"/>
  <c r="A31" i="72"/>
  <c r="A30" i="72"/>
  <c r="A29" i="72"/>
  <c r="A28" i="72"/>
  <c r="A27" i="72"/>
  <c r="A26" i="72"/>
  <c r="A25" i="72"/>
  <c r="A24" i="72"/>
  <c r="A20" i="72"/>
  <c r="A19" i="72"/>
  <c r="A18" i="72"/>
  <c r="A17" i="72"/>
  <c r="A16" i="72"/>
  <c r="A15" i="72"/>
  <c r="A14" i="72"/>
  <c r="A13" i="72"/>
  <c r="A12" i="72"/>
  <c r="A11" i="72"/>
  <c r="A10" i="72"/>
  <c r="A9" i="72"/>
  <c r="A5" i="72"/>
  <c r="A4" i="72"/>
  <c r="A3" i="72"/>
  <c r="A49" i="13"/>
  <c r="A48" i="13"/>
  <c r="A47" i="13"/>
  <c r="A46" i="13"/>
  <c r="A45" i="13"/>
  <c r="A44" i="13"/>
  <c r="A43" i="13"/>
  <c r="A42" i="13"/>
  <c r="A38" i="13"/>
  <c r="A37" i="13"/>
  <c r="A36" i="13"/>
  <c r="A35" i="13"/>
  <c r="A34" i="13"/>
  <c r="A33" i="13"/>
  <c r="A32" i="13"/>
  <c r="A31" i="13"/>
  <c r="A30" i="13"/>
  <c r="A29" i="13"/>
  <c r="A28" i="13"/>
  <c r="A27" i="13"/>
  <c r="A26" i="13"/>
  <c r="A25" i="13"/>
  <c r="A24" i="13"/>
  <c r="A20" i="13"/>
  <c r="A19" i="13"/>
  <c r="A18" i="13"/>
  <c r="A17" i="13"/>
  <c r="A16" i="13"/>
  <c r="A15" i="13"/>
  <c r="A14" i="13"/>
  <c r="A13" i="13"/>
  <c r="A12" i="13"/>
  <c r="A11" i="13"/>
  <c r="A10" i="13"/>
  <c r="A9" i="13"/>
  <c r="A5" i="13"/>
  <c r="A4" i="13"/>
  <c r="A3" i="13"/>
  <c r="A49" i="71"/>
  <c r="A48" i="71"/>
  <c r="A47" i="71"/>
  <c r="A46" i="71"/>
  <c r="A45" i="71"/>
  <c r="A44" i="71"/>
  <c r="A43" i="71"/>
  <c r="A42" i="71"/>
  <c r="A38" i="71"/>
  <c r="A37" i="71"/>
  <c r="A36" i="71"/>
  <c r="A35" i="71"/>
  <c r="A34" i="71"/>
  <c r="A33" i="71"/>
  <c r="A32" i="71"/>
  <c r="A31" i="71"/>
  <c r="A30" i="71"/>
  <c r="A29" i="71"/>
  <c r="A28" i="71"/>
  <c r="A27" i="71"/>
  <c r="A26" i="71"/>
  <c r="A25" i="71"/>
  <c r="A24" i="71"/>
  <c r="A20" i="71"/>
  <c r="A19" i="71"/>
  <c r="A18" i="71"/>
  <c r="A17" i="71"/>
  <c r="A16" i="71"/>
  <c r="A15" i="71"/>
  <c r="A14" i="71"/>
  <c r="A13" i="71"/>
  <c r="A12" i="71"/>
  <c r="A11" i="71"/>
  <c r="A10" i="71"/>
  <c r="A9" i="71"/>
  <c r="A5" i="71"/>
  <c r="A4" i="71"/>
  <c r="A3" i="71"/>
  <c r="F627" i="105" a="1"/>
  <c r="F627" i="105" s="1"/>
  <c r="E627" i="105" a="1"/>
  <c r="E627" i="105" s="1"/>
  <c r="D627" i="105" a="1"/>
  <c r="D627" i="105" s="1"/>
  <c r="F609" i="105" a="1"/>
  <c r="F609" i="105" s="1"/>
  <c r="E609" i="105" a="1"/>
  <c r="E609" i="105" s="1"/>
  <c r="D609" i="105" a="1"/>
  <c r="D609" i="105" s="1"/>
  <c r="F490" i="105" a="1"/>
  <c r="F490" i="105" s="1"/>
  <c r="E490" i="105" a="1"/>
  <c r="E490" i="105" s="1"/>
  <c r="K490" i="105" s="1" a="1"/>
  <c r="K490" i="105" s="1"/>
  <c r="D490" i="105" a="1"/>
  <c r="D490" i="105" s="1"/>
  <c r="F448" i="105" a="1"/>
  <c r="F448" i="105" s="1"/>
  <c r="J448" i="105" s="1" a="1"/>
  <c r="J448" i="105" s="1"/>
  <c r="E448" i="105" a="1"/>
  <c r="E448" i="105" s="1"/>
  <c r="D448" i="105" a="1"/>
  <c r="D448" i="105" s="1"/>
  <c r="F430" i="105" a="1"/>
  <c r="F430" i="105" s="1"/>
  <c r="J430" i="105" s="1" a="1"/>
  <c r="J430" i="105" s="1"/>
  <c r="E430" i="105" a="1"/>
  <c r="E430" i="105" s="1"/>
  <c r="G430" i="105" s="1" a="1"/>
  <c r="G430" i="105" s="1"/>
  <c r="D430" i="105" a="1"/>
  <c r="D430" i="105" s="1"/>
  <c r="F399" i="105" a="1"/>
  <c r="F399" i="105" s="1"/>
  <c r="E399" i="105" a="1"/>
  <c r="E399" i="105" s="1"/>
  <c r="J399" i="105" s="1" a="1"/>
  <c r="J399" i="105" s="1"/>
  <c r="D399" i="105" a="1"/>
  <c r="D399" i="105" s="1"/>
  <c r="E367" i="105" a="1"/>
  <c r="E367" i="105" s="1"/>
  <c r="D367" i="105" a="1"/>
  <c r="D367" i="105" s="1"/>
  <c r="G336" i="105" a="1"/>
  <c r="G336" i="105" s="1"/>
  <c r="F336" i="105" a="1"/>
  <c r="F336" i="105" s="1"/>
  <c r="K336" i="105" s="1" a="1"/>
  <c r="K336" i="105" s="1"/>
  <c r="E336" i="105" a="1"/>
  <c r="E336" i="105" s="1"/>
  <c r="D336" i="105" a="1"/>
  <c r="D336" i="105" s="1"/>
  <c r="D305" i="105" a="1"/>
  <c r="D305" i="105" s="1"/>
  <c r="AD237" i="105" a="1"/>
  <c r="AD237" i="105" s="1"/>
  <c r="AC237" i="105" a="1"/>
  <c r="AC237" i="105" s="1"/>
  <c r="Z237" i="105" a="1"/>
  <c r="Z237" i="105" s="1"/>
  <c r="Y237" i="105" a="1"/>
  <c r="Y237" i="105" s="1"/>
  <c r="V237" i="105" a="1"/>
  <c r="V237" i="105" s="1"/>
  <c r="U237" i="105" a="1"/>
  <c r="U237" i="105" s="1"/>
  <c r="R237" i="105" a="1"/>
  <c r="R237" i="105" s="1"/>
  <c r="Q237" i="105" a="1"/>
  <c r="Q237" i="105" s="1"/>
  <c r="P237" i="105" a="1"/>
  <c r="P237" i="105" s="1"/>
  <c r="O237" i="105" a="1"/>
  <c r="O237" i="105" s="1"/>
  <c r="D237" i="105" a="1"/>
  <c r="D237" i="105" s="1"/>
  <c r="D221" i="105" a="1"/>
  <c r="D221" i="105" s="1"/>
  <c r="AA119" i="105" a="1"/>
  <c r="AA119" i="105" s="1"/>
  <c r="Z119" i="105" a="1"/>
  <c r="Z119" i="105" s="1"/>
  <c r="Y119" i="105" a="1"/>
  <c r="Y119" i="105" s="1"/>
  <c r="W119" i="105" a="1"/>
  <c r="W119" i="105" s="1"/>
  <c r="V119" i="105" a="1"/>
  <c r="V119" i="105" s="1"/>
  <c r="U119" i="105" a="1"/>
  <c r="U119" i="105" s="1"/>
  <c r="S119" i="105" a="1"/>
  <c r="S119" i="105" s="1"/>
  <c r="R119" i="105" a="1"/>
  <c r="R119" i="105" s="1"/>
  <c r="Q119" i="105" a="1"/>
  <c r="Q119" i="105" s="1"/>
  <c r="O119" i="105" a="1"/>
  <c r="O119" i="105" s="1"/>
  <c r="N119" i="105" a="1"/>
  <c r="N119" i="105" s="1"/>
  <c r="M119" i="105" a="1"/>
  <c r="M119" i="105" s="1"/>
  <c r="E119" i="105" a="1"/>
  <c r="E119" i="105" s="1"/>
  <c r="I119" i="105" s="1" a="1"/>
  <c r="I119" i="105" s="1"/>
  <c r="D119" i="105" a="1"/>
  <c r="D119" i="105" s="1"/>
  <c r="D32" i="92"/>
  <c r="D25" i="92"/>
  <c r="F39" i="91"/>
  <c r="M39" i="91" s="1" a="1"/>
  <c r="M39" i="91" s="1"/>
  <c r="D37" i="91"/>
  <c r="D34" i="91"/>
  <c r="D33" i="91"/>
  <c r="D25" i="91"/>
  <c r="D75" i="85"/>
  <c r="D74" i="85"/>
  <c r="D73" i="85"/>
  <c r="D72" i="85"/>
  <c r="D71" i="85"/>
  <c r="D70" i="85"/>
  <c r="D69" i="85"/>
  <c r="D68" i="85"/>
  <c r="D134" i="84" a="1"/>
  <c r="D134" i="84" s="1"/>
  <c r="D102" i="84" a="1"/>
  <c r="D102" i="84" s="1"/>
  <c r="G25" i="83" a="1"/>
  <c r="G25" i="83" s="1"/>
  <c r="F25" i="83" a="1"/>
  <c r="F25" i="83" s="1"/>
  <c r="D25" i="83" a="1"/>
  <c r="D25" i="83" s="1"/>
  <c r="H20" i="82" a="1"/>
  <c r="H20" i="82" s="1"/>
  <c r="E20" i="82" a="1"/>
  <c r="E20" i="82" s="1"/>
  <c r="D20" i="82" a="1"/>
  <c r="D20" i="82" s="1"/>
  <c r="N82" i="80" a="1"/>
  <c r="N82" i="80" s="1"/>
  <c r="N77" i="80" a="1"/>
  <c r="N77" i="80" s="1"/>
  <c r="W54" i="80"/>
  <c r="W53" i="80"/>
  <c r="N50" i="80" a="1"/>
  <c r="N50" i="80" s="1"/>
  <c r="N45" i="80" a="1"/>
  <c r="N45" i="80" s="1"/>
  <c r="J21" i="90" a="1"/>
  <c r="J21" i="90" s="1"/>
  <c r="G21" i="90" a="1"/>
  <c r="G21" i="90" s="1"/>
  <c r="J20" i="90" a="1"/>
  <c r="J20" i="90" s="1"/>
  <c r="G20" i="90" a="1"/>
  <c r="G20" i="90" s="1"/>
  <c r="J19" i="90" a="1"/>
  <c r="J19" i="90" s="1"/>
  <c r="G19" i="90" a="1"/>
  <c r="G19" i="90" s="1"/>
  <c r="J18" i="90" a="1"/>
  <c r="J18" i="90" s="1"/>
  <c r="G18" i="90" a="1"/>
  <c r="G18" i="90" s="1"/>
  <c r="J17" i="90" a="1"/>
  <c r="J17" i="90" s="1"/>
  <c r="G17" i="90" a="1"/>
  <c r="G17" i="90" s="1"/>
  <c r="E65" i="108" a="1"/>
  <c r="E65" i="108" s="1"/>
  <c r="D65" i="108" a="1"/>
  <c r="D65" i="108" s="1"/>
  <c r="D63" i="108" a="1"/>
  <c r="D63" i="108" s="1"/>
  <c r="D62" i="108" a="1"/>
  <c r="D62" i="108" s="1"/>
  <c r="E60" i="108" a="1"/>
  <c r="E60" i="108" s="1"/>
  <c r="D60" i="108" a="1"/>
  <c r="D60" i="108" s="1"/>
  <c r="D58" i="108" a="1"/>
  <c r="D58" i="108" s="1"/>
  <c r="D57" i="108" a="1"/>
  <c r="D57" i="108" s="1"/>
  <c r="E55" i="108" a="1"/>
  <c r="E55" i="108" s="1"/>
  <c r="D55" i="108" a="1"/>
  <c r="D55" i="108" s="1"/>
  <c r="D53" i="108" a="1"/>
  <c r="D53" i="108" s="1"/>
  <c r="D52" i="108" a="1"/>
  <c r="D52" i="108" s="1"/>
  <c r="E50" i="108" a="1"/>
  <c r="E50" i="108" s="1"/>
  <c r="D50" i="108" a="1"/>
  <c r="D50" i="108" s="1"/>
  <c r="E49" i="108" a="1"/>
  <c r="E49" i="108" s="1"/>
  <c r="D49" i="108" a="1"/>
  <c r="D49" i="108" s="1"/>
  <c r="E48" i="108" a="1"/>
  <c r="E48" i="108" s="1"/>
  <c r="D48" i="108" a="1"/>
  <c r="D48" i="108" s="1"/>
  <c r="E47" i="108" a="1"/>
  <c r="E47" i="108" s="1"/>
  <c r="D47" i="108" a="1"/>
  <c r="D47" i="108" s="1"/>
  <c r="E46" i="108" a="1"/>
  <c r="E46" i="108" s="1"/>
  <c r="D46" i="108" a="1"/>
  <c r="D46" i="108" s="1"/>
  <c r="E45" i="108" a="1"/>
  <c r="E45" i="108" s="1"/>
  <c r="D45" i="108" a="1"/>
  <c r="D45" i="108" s="1"/>
  <c r="E44" i="108" a="1"/>
  <c r="E44" i="108" s="1"/>
  <c r="D44" i="108" a="1"/>
  <c r="D44" i="108" s="1"/>
  <c r="D42" i="108" a="1"/>
  <c r="D42" i="108" s="1"/>
  <c r="D41" i="108" a="1"/>
  <c r="D41" i="108" s="1"/>
  <c r="E39" i="108" a="1"/>
  <c r="E39" i="108" s="1"/>
  <c r="D39" i="108" a="1"/>
  <c r="D39" i="108" s="1"/>
  <c r="E38" i="108" a="1"/>
  <c r="E38" i="108" s="1"/>
  <c r="D38" i="108" a="1"/>
  <c r="D38" i="108" s="1"/>
  <c r="E37" i="108" a="1"/>
  <c r="E37" i="108" s="1"/>
  <c r="D37" i="108" a="1"/>
  <c r="D37" i="108" s="1"/>
  <c r="E36" i="108" a="1"/>
  <c r="E36" i="108" s="1"/>
  <c r="D36" i="108" a="1"/>
  <c r="D36" i="108" s="1"/>
  <c r="E35" i="108" a="1"/>
  <c r="E35" i="108" s="1"/>
  <c r="D35" i="108" a="1"/>
  <c r="D35" i="108" s="1"/>
  <c r="E34" i="108" a="1"/>
  <c r="E34" i="108" s="1"/>
  <c r="D34" i="108" a="1"/>
  <c r="D34" i="108" s="1"/>
  <c r="E33" i="108" a="1"/>
  <c r="E33" i="108" s="1"/>
  <c r="D33" i="108" a="1"/>
  <c r="D33" i="108" s="1"/>
  <c r="E32" i="108" a="1"/>
  <c r="E32" i="108" s="1"/>
  <c r="D32" i="108" a="1"/>
  <c r="D32" i="108" s="1"/>
  <c r="D30" i="108"/>
  <c r="D30" i="108" a="1"/>
  <c r="D29" i="108" a="1"/>
  <c r="D29" i="108" s="1"/>
  <c r="F27" i="108" a="1"/>
  <c r="F27" i="108" s="1"/>
  <c r="E27" i="108" a="1"/>
  <c r="E27" i="108" s="1"/>
  <c r="D27" i="108" a="1"/>
  <c r="D27" i="108" s="1"/>
  <c r="F26" i="108" a="1"/>
  <c r="F26" i="108" s="1"/>
  <c r="E26" i="108" a="1"/>
  <c r="E26" i="108" s="1"/>
  <c r="D26" i="108" a="1"/>
  <c r="D26" i="108" s="1"/>
  <c r="F25" i="108" a="1"/>
  <c r="F25" i="108" s="1"/>
  <c r="E25" i="108" a="1"/>
  <c r="E25" i="108" s="1"/>
  <c r="D25" i="108" a="1"/>
  <c r="D25" i="108" s="1"/>
  <c r="F24" i="108" a="1"/>
  <c r="F24" i="108" s="1"/>
  <c r="E24" i="108" a="1"/>
  <c r="E24" i="108" s="1"/>
  <c r="D24" i="108" a="1"/>
  <c r="D24" i="108" s="1"/>
  <c r="F23" i="108" a="1"/>
  <c r="F23" i="108" s="1"/>
  <c r="E23" i="108" a="1"/>
  <c r="E23" i="108" s="1"/>
  <c r="D23" i="108" a="1"/>
  <c r="D23" i="108" s="1"/>
  <c r="F22" i="108" a="1"/>
  <c r="F22" i="108" s="1"/>
  <c r="E22" i="108" a="1"/>
  <c r="E22" i="108" s="1"/>
  <c r="D22" i="108" a="1"/>
  <c r="D22" i="108" s="1"/>
  <c r="F21" i="108" a="1"/>
  <c r="F21" i="108" s="1"/>
  <c r="E21" i="108" a="1"/>
  <c r="E21" i="108" s="1"/>
  <c r="D21" i="108" a="1"/>
  <c r="D21" i="108" s="1"/>
  <c r="F20" i="108" a="1"/>
  <c r="F20" i="108" s="1"/>
  <c r="E20" i="108" a="1"/>
  <c r="E20" i="108" s="1"/>
  <c r="D20" i="108" a="1"/>
  <c r="D20" i="108" s="1"/>
  <c r="F19" i="108" a="1"/>
  <c r="F19" i="108" s="1"/>
  <c r="E19" i="108" a="1"/>
  <c r="E19" i="108" s="1"/>
  <c r="D19" i="108" a="1"/>
  <c r="D19" i="108" s="1"/>
  <c r="F18" i="108" a="1"/>
  <c r="F18" i="108" s="1"/>
  <c r="E18" i="108" a="1"/>
  <c r="E18" i="108" s="1"/>
  <c r="D18" i="108" a="1"/>
  <c r="D18" i="108" s="1"/>
  <c r="F17" i="108" a="1"/>
  <c r="F17" i="108" s="1"/>
  <c r="E17" i="108" a="1"/>
  <c r="E17" i="108" s="1"/>
  <c r="D17" i="108" a="1"/>
  <c r="D17" i="108" s="1"/>
  <c r="F16" i="108" a="1"/>
  <c r="F16" i="108" s="1"/>
  <c r="E16" i="108" a="1"/>
  <c r="E16" i="108" s="1"/>
  <c r="D16" i="108" a="1"/>
  <c r="D16" i="108" s="1"/>
  <c r="F15" i="108" a="1"/>
  <c r="F15" i="108" s="1"/>
  <c r="E15" i="108" a="1"/>
  <c r="E15" i="108" s="1"/>
  <c r="D15" i="108" a="1"/>
  <c r="D15"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D8" i="108" a="1"/>
  <c r="D8" i="108" s="1"/>
  <c r="D7" i="108" a="1"/>
  <c r="D7" i="108" s="1"/>
  <c r="D6" i="108" a="1"/>
  <c r="D6" i="108" s="1"/>
  <c r="I237" i="107" a="1"/>
  <c r="I237" i="107" s="1"/>
  <c r="H237" i="107" a="1"/>
  <c r="H237" i="107" s="1"/>
  <c r="G237" i="107" a="1"/>
  <c r="G237" i="107" s="1"/>
  <c r="F237" i="107" a="1"/>
  <c r="F237" i="107" s="1"/>
  <c r="E237" i="107" a="1"/>
  <c r="E237" i="107" s="1"/>
  <c r="D237" i="107" a="1"/>
  <c r="D237" i="107" s="1"/>
  <c r="I236" i="107" a="1"/>
  <c r="I236" i="107" s="1"/>
  <c r="H236" i="107" a="1"/>
  <c r="H236" i="107" s="1"/>
  <c r="G236" i="107" a="1"/>
  <c r="G236" i="107" s="1"/>
  <c r="F236" i="107" a="1"/>
  <c r="F236" i="107" s="1"/>
  <c r="E236" i="107" a="1"/>
  <c r="E236" i="107" s="1"/>
  <c r="D236" i="107" a="1"/>
  <c r="D236" i="107" s="1"/>
  <c r="I235" i="107" a="1"/>
  <c r="I235" i="107" s="1"/>
  <c r="H235" i="107" a="1"/>
  <c r="H235" i="107" s="1"/>
  <c r="G235" i="107" a="1"/>
  <c r="G235" i="107" s="1"/>
  <c r="F235" i="107" a="1"/>
  <c r="F235" i="107" s="1"/>
  <c r="E235" i="107" a="1"/>
  <c r="E235" i="107" s="1"/>
  <c r="E302" i="105" s="1" a="1"/>
  <c r="E302" i="105" s="1"/>
  <c r="D235" i="107" a="1"/>
  <c r="D235" i="107" s="1"/>
  <c r="I231" i="107" a="1"/>
  <c r="I231" i="107" s="1"/>
  <c r="H231" i="107" a="1"/>
  <c r="H231" i="107" s="1"/>
  <c r="G231" i="107" a="1"/>
  <c r="G231" i="107" s="1"/>
  <c r="F231" i="107" a="1"/>
  <c r="F231" i="107" s="1"/>
  <c r="E231" i="107" a="1"/>
  <c r="E231" i="107" s="1"/>
  <c r="D231" i="107" a="1"/>
  <c r="D231" i="107" s="1"/>
  <c r="I230" i="107" a="1"/>
  <c r="I230" i="107" s="1"/>
  <c r="H230" i="107" a="1"/>
  <c r="H230" i="107" s="1"/>
  <c r="G230" i="107" a="1"/>
  <c r="G230" i="107" s="1"/>
  <c r="F230" i="107" a="1"/>
  <c r="F230" i="107" s="1"/>
  <c r="E230" i="107" a="1"/>
  <c r="E230" i="107" s="1"/>
  <c r="D230" i="107" a="1"/>
  <c r="D230" i="107" s="1"/>
  <c r="I229" i="107" a="1"/>
  <c r="I229" i="107" s="1"/>
  <c r="H229" i="107" a="1"/>
  <c r="H229" i="107" s="1"/>
  <c r="G229" i="107" a="1"/>
  <c r="G229" i="107" s="1"/>
  <c r="F229" i="107" a="1"/>
  <c r="F229" i="107" s="1"/>
  <c r="E229" i="107" a="1"/>
  <c r="E229" i="107" s="1"/>
  <c r="D229" i="107" a="1"/>
  <c r="D229" i="107" s="1"/>
  <c r="I228" i="107" a="1"/>
  <c r="I228" i="107" s="1"/>
  <c r="H228" i="107" a="1"/>
  <c r="H228" i="107" s="1"/>
  <c r="G228" i="107" a="1"/>
  <c r="G228" i="107" s="1"/>
  <c r="F228" i="107" a="1"/>
  <c r="F228" i="107" s="1"/>
  <c r="E228" i="107" a="1"/>
  <c r="E228" i="107" s="1"/>
  <c r="D228" i="107" a="1"/>
  <c r="D228" i="107" s="1"/>
  <c r="I227" i="107" a="1"/>
  <c r="I227" i="107" s="1"/>
  <c r="H227" i="107" a="1"/>
  <c r="H227" i="107" s="1"/>
  <c r="G227" i="107" a="1"/>
  <c r="G227" i="107" s="1"/>
  <c r="F227" i="107" a="1"/>
  <c r="F227" i="107" s="1"/>
  <c r="E227" i="107" a="1"/>
  <c r="E227" i="107" s="1"/>
  <c r="D227" i="107" a="1"/>
  <c r="D227" i="107" s="1"/>
  <c r="I226" i="107" a="1"/>
  <c r="I226" i="107" s="1"/>
  <c r="H226" i="107" a="1"/>
  <c r="H226" i="107" s="1"/>
  <c r="G226" i="107" a="1"/>
  <c r="G226" i="107" s="1"/>
  <c r="F226" i="107" a="1"/>
  <c r="F226" i="107" s="1"/>
  <c r="E226" i="107" a="1"/>
  <c r="E226" i="107" s="1"/>
  <c r="D226" i="107" a="1"/>
  <c r="D226" i="107" s="1"/>
  <c r="I225" i="107" a="1"/>
  <c r="I225" i="107" s="1"/>
  <c r="H225" i="107" a="1"/>
  <c r="H225" i="107" s="1"/>
  <c r="G225" i="107" a="1"/>
  <c r="G225" i="107" s="1"/>
  <c r="F225" i="107" a="1"/>
  <c r="F225" i="107" s="1"/>
  <c r="E225" i="107" a="1"/>
  <c r="E225" i="107" s="1"/>
  <c r="D225" i="107" a="1"/>
  <c r="D225" i="107" s="1"/>
  <c r="I224" i="107" a="1"/>
  <c r="I224" i="107" s="1"/>
  <c r="H224" i="107" a="1"/>
  <c r="H224" i="107" s="1"/>
  <c r="G224" i="107" a="1"/>
  <c r="G224" i="107" s="1"/>
  <c r="F224" i="107" a="1"/>
  <c r="F224" i="107" s="1"/>
  <c r="E224" i="107" a="1"/>
  <c r="E224" i="107" s="1"/>
  <c r="D224" i="107" a="1"/>
  <c r="D224" i="107" s="1"/>
  <c r="I223" i="107" a="1"/>
  <c r="I223" i="107" s="1"/>
  <c r="H223" i="107" a="1"/>
  <c r="H223" i="107" s="1"/>
  <c r="G223" i="107" a="1"/>
  <c r="G223" i="107" s="1"/>
  <c r="F223" i="107" a="1"/>
  <c r="F223" i="107" s="1"/>
  <c r="E223" i="107" a="1"/>
  <c r="E223" i="107" s="1"/>
  <c r="D223" i="107" a="1"/>
  <c r="D223" i="107" s="1"/>
  <c r="I222" i="107" a="1"/>
  <c r="I222" i="107" s="1"/>
  <c r="H222" i="107" a="1"/>
  <c r="H222" i="107" s="1"/>
  <c r="G222" i="107" a="1"/>
  <c r="G222" i="107" s="1"/>
  <c r="F222" i="107" a="1"/>
  <c r="F222" i="107" s="1"/>
  <c r="E222" i="107" a="1"/>
  <c r="E222" i="107" s="1"/>
  <c r="D222" i="107" a="1"/>
  <c r="D222" i="107" s="1"/>
  <c r="I221" i="107" a="1"/>
  <c r="I221" i="107" s="1"/>
  <c r="H221" i="107" a="1"/>
  <c r="H221" i="107" s="1"/>
  <c r="G221" i="107" a="1"/>
  <c r="G221" i="107" s="1"/>
  <c r="F221" i="107" a="1"/>
  <c r="F221" i="107" s="1"/>
  <c r="E221" i="107" a="1"/>
  <c r="E221" i="107" s="1"/>
  <c r="D221" i="107" a="1"/>
  <c r="D221" i="107" s="1"/>
  <c r="I220" i="107" a="1"/>
  <c r="I220" i="107" s="1"/>
  <c r="H220" i="107" a="1"/>
  <c r="H220" i="107" s="1"/>
  <c r="G220" i="107" a="1"/>
  <c r="G220" i="107" s="1"/>
  <c r="F220" i="107" a="1"/>
  <c r="F220" i="107" s="1"/>
  <c r="E220" i="107" a="1"/>
  <c r="E220" i="107" s="1"/>
  <c r="D270" i="105" s="1" a="1"/>
  <c r="D220" i="107" a="1"/>
  <c r="D220" i="107" s="1"/>
  <c r="I216" i="107" a="1"/>
  <c r="I216" i="107" s="1"/>
  <c r="H216" i="107" a="1"/>
  <c r="H216" i="107" s="1"/>
  <c r="G216" i="107" a="1"/>
  <c r="G216" i="107" s="1"/>
  <c r="F216" i="107" a="1"/>
  <c r="F216" i="107" s="1"/>
  <c r="E216" i="107" a="1"/>
  <c r="E216" i="107" s="1"/>
  <c r="D216" i="107" a="1"/>
  <c r="D216" i="107" s="1"/>
  <c r="I215" i="107" a="1"/>
  <c r="I215" i="107" s="1"/>
  <c r="H215" i="107" a="1"/>
  <c r="H215" i="107" s="1"/>
  <c r="G215" i="107" a="1"/>
  <c r="G215" i="107" s="1"/>
  <c r="F215" i="107" a="1"/>
  <c r="F215" i="107" s="1"/>
  <c r="E215" i="107" a="1"/>
  <c r="E215" i="107" s="1"/>
  <c r="D215" i="107" a="1"/>
  <c r="D215" i="107" s="1"/>
  <c r="I214" i="107" a="1"/>
  <c r="I214" i="107" s="1"/>
  <c r="H214" i="107" a="1"/>
  <c r="H214" i="107" s="1"/>
  <c r="G214" i="107" a="1"/>
  <c r="G214" i="107" s="1"/>
  <c r="F214" i="107" a="1"/>
  <c r="F214" i="107" s="1"/>
  <c r="E214" i="107" a="1"/>
  <c r="E214" i="107" s="1"/>
  <c r="D214" i="107" a="1"/>
  <c r="D214" i="107" s="1"/>
  <c r="I213" i="107" a="1"/>
  <c r="I213" i="107" s="1"/>
  <c r="H213" i="107" a="1"/>
  <c r="H213" i="107" s="1"/>
  <c r="G213" i="107" a="1"/>
  <c r="G213" i="107" s="1"/>
  <c r="F213" i="107" a="1"/>
  <c r="F213" i="107" s="1"/>
  <c r="E213" i="107" a="1"/>
  <c r="E213" i="107" s="1"/>
  <c r="G368" i="105" s="1" a="1"/>
  <c r="G368" i="105" s="1"/>
  <c r="D213" i="107" a="1"/>
  <c r="D213" i="107" s="1"/>
  <c r="I209" i="107" a="1"/>
  <c r="I209" i="107" s="1"/>
  <c r="H209" i="107" a="1"/>
  <c r="H209" i="107" s="1"/>
  <c r="G209" i="107" a="1"/>
  <c r="G209" i="107" s="1"/>
  <c r="F209" i="107" a="1"/>
  <c r="F209" i="107" s="1"/>
  <c r="E209" i="107" a="1"/>
  <c r="E209" i="107" s="1"/>
  <c r="D125" i="102" s="1"/>
  <c r="D470" i="105" s="1"/>
  <c r="F470" i="105" s="1" a="1"/>
  <c r="F470" i="105" s="1"/>
  <c r="D209" i="107" a="1"/>
  <c r="D209" i="107" s="1"/>
  <c r="I208" i="107" a="1"/>
  <c r="I208" i="107" s="1"/>
  <c r="H208" i="107" a="1"/>
  <c r="H208" i="107" s="1"/>
  <c r="G208" i="107" a="1"/>
  <c r="G208" i="107" s="1"/>
  <c r="F208" i="107" a="1"/>
  <c r="F208" i="107" s="1"/>
  <c r="E208" i="107" a="1"/>
  <c r="E208" i="107" s="1"/>
  <c r="D124" i="102" s="1"/>
  <c r="D469" i="105" s="1"/>
  <c r="F469" i="105" s="1" a="1"/>
  <c r="F469" i="105" s="1"/>
  <c r="D208" i="107" a="1"/>
  <c r="D208" i="107" s="1"/>
  <c r="I207" i="107" a="1"/>
  <c r="I207" i="107" s="1"/>
  <c r="H207" i="107" a="1"/>
  <c r="H207" i="107" s="1"/>
  <c r="G207" i="107" a="1"/>
  <c r="G207" i="107" s="1"/>
  <c r="F207" i="107" a="1"/>
  <c r="F207" i="107" s="1"/>
  <c r="E207" i="107" a="1"/>
  <c r="E207" i="107" s="1"/>
  <c r="D123" i="102" s="1"/>
  <c r="D468" i="105" s="1"/>
  <c r="F468" i="105" s="1" a="1"/>
  <c r="F468" i="105" s="1"/>
  <c r="D207" i="107" a="1"/>
  <c r="D207" i="107" s="1"/>
  <c r="I206" i="107" a="1"/>
  <c r="I206" i="107" s="1"/>
  <c r="H206" i="107" a="1"/>
  <c r="H206" i="107" s="1"/>
  <c r="G206" i="107" a="1"/>
  <c r="G206" i="107" s="1"/>
  <c r="F206" i="107" a="1"/>
  <c r="F206" i="107" s="1"/>
  <c r="E206" i="107" a="1"/>
  <c r="E206" i="107" s="1"/>
  <c r="D130" i="102" s="1"/>
  <c r="D481" i="105" s="1"/>
  <c r="F481" i="105" s="1" a="1"/>
  <c r="F481" i="105" s="1"/>
  <c r="D206" i="107" a="1"/>
  <c r="D206" i="107" s="1"/>
  <c r="I205" i="107" a="1"/>
  <c r="I205" i="107" s="1"/>
  <c r="H205" i="107" a="1"/>
  <c r="H205" i="107" s="1"/>
  <c r="G205" i="107" a="1"/>
  <c r="G205" i="107" s="1"/>
  <c r="F205" i="107" a="1"/>
  <c r="F205" i="107" s="1"/>
  <c r="E205" i="107" a="1"/>
  <c r="E205" i="107" s="1"/>
  <c r="D122" i="102" s="1"/>
  <c r="D467" i="105" s="1"/>
  <c r="F467" i="105" s="1" a="1"/>
  <c r="F467" i="105" s="1"/>
  <c r="D205" i="107" a="1"/>
  <c r="D205" i="107" s="1"/>
  <c r="I204" i="107" a="1"/>
  <c r="I204" i="107" s="1"/>
  <c r="H204" i="107" a="1"/>
  <c r="H204" i="107" s="1"/>
  <c r="G204" i="107" a="1"/>
  <c r="G204" i="107" s="1"/>
  <c r="F204" i="107" a="1"/>
  <c r="F204" i="107" s="1"/>
  <c r="E204" i="107" a="1"/>
  <c r="E204" i="107" s="1"/>
  <c r="D121" i="102" s="1"/>
  <c r="D466" i="105" s="1"/>
  <c r="F466" i="105" s="1" a="1"/>
  <c r="F466" i="105" s="1"/>
  <c r="D204" i="107" a="1"/>
  <c r="D204" i="107" s="1"/>
  <c r="I203" i="107" a="1"/>
  <c r="I203" i="107" s="1"/>
  <c r="H203" i="107" a="1"/>
  <c r="H203" i="107" s="1"/>
  <c r="G203" i="107" a="1"/>
  <c r="G203" i="107" s="1"/>
  <c r="F203" i="107" a="1"/>
  <c r="F203" i="107" s="1"/>
  <c r="E203" i="107" a="1"/>
  <c r="E203" i="107" s="1"/>
  <c r="D129" i="102" s="1"/>
  <c r="D480" i="105" s="1"/>
  <c r="F480" i="105" s="1" a="1"/>
  <c r="F480" i="105" s="1"/>
  <c r="D203" i="107" a="1"/>
  <c r="D203" i="107" s="1"/>
  <c r="I202" i="107" a="1"/>
  <c r="I202" i="107" s="1"/>
  <c r="H202" i="107" a="1"/>
  <c r="H202" i="107" s="1"/>
  <c r="G202" i="107" a="1"/>
  <c r="G202" i="107" s="1"/>
  <c r="F202" i="107" a="1"/>
  <c r="F202" i="107" s="1"/>
  <c r="E202" i="107" a="1"/>
  <c r="E202" i="107" s="1"/>
  <c r="D128" i="102" s="1"/>
  <c r="D479" i="105" s="1"/>
  <c r="F479" i="105" s="1" a="1"/>
  <c r="F479" i="105" s="1"/>
  <c r="D202" i="107" a="1"/>
  <c r="D202" i="107" s="1"/>
  <c r="M198" i="107" a="1"/>
  <c r="M198" i="107" s="1"/>
  <c r="L198" i="107" a="1"/>
  <c r="L198" i="107" s="1"/>
  <c r="K198" i="107" a="1"/>
  <c r="K198" i="107" s="1"/>
  <c r="F198" i="107" a="1"/>
  <c r="F198" i="107" s="1"/>
  <c r="E198" i="107" a="1"/>
  <c r="E198" i="107" s="1"/>
  <c r="D198" i="107" a="1"/>
  <c r="D198" i="107" s="1"/>
  <c r="M197" i="107" a="1"/>
  <c r="M197" i="107" s="1"/>
  <c r="L197" i="107" a="1"/>
  <c r="L197" i="107" s="1"/>
  <c r="K197" i="107" a="1"/>
  <c r="K197" i="107" s="1"/>
  <c r="F197" i="107" a="1"/>
  <c r="F197" i="107" s="1"/>
  <c r="E197" i="107" a="1"/>
  <c r="E197" i="107" s="1"/>
  <c r="D197" i="107" a="1"/>
  <c r="D197" i="107" s="1"/>
  <c r="M196" i="107" a="1"/>
  <c r="M196" i="107" s="1"/>
  <c r="L196" i="107" a="1"/>
  <c r="L196" i="107" s="1"/>
  <c r="K196" i="107" a="1"/>
  <c r="K196" i="107" s="1"/>
  <c r="F196" i="107" a="1"/>
  <c r="F196" i="107" s="1"/>
  <c r="E196" i="107" a="1"/>
  <c r="E196" i="107" s="1"/>
  <c r="D196" i="107" a="1"/>
  <c r="D196" i="107" s="1"/>
  <c r="M195" i="107" a="1"/>
  <c r="M195" i="107" s="1"/>
  <c r="L195" i="107" a="1"/>
  <c r="L195" i="107" s="1"/>
  <c r="K195" i="107" a="1"/>
  <c r="K195" i="107" s="1"/>
  <c r="F195" i="107" a="1"/>
  <c r="F195" i="107" s="1"/>
  <c r="E195" i="107" a="1"/>
  <c r="E195" i="107" s="1"/>
  <c r="D195" i="107" a="1"/>
  <c r="D195" i="107" s="1"/>
  <c r="M194" i="107" a="1"/>
  <c r="M194" i="107" s="1"/>
  <c r="L194" i="107" a="1"/>
  <c r="L194" i="107" s="1"/>
  <c r="K194" i="107" a="1"/>
  <c r="K194" i="107" s="1"/>
  <c r="F194" i="107" a="1"/>
  <c r="F194" i="107" s="1"/>
  <c r="E194" i="107" a="1"/>
  <c r="E194" i="107" s="1"/>
  <c r="D194" i="107" a="1"/>
  <c r="D194" i="107" s="1"/>
  <c r="M193" i="107" a="1"/>
  <c r="M193" i="107" s="1"/>
  <c r="L193" i="107" a="1"/>
  <c r="L193" i="107" s="1"/>
  <c r="K193" i="107" a="1"/>
  <c r="K193" i="107" s="1"/>
  <c r="F193" i="107" a="1"/>
  <c r="F193" i="107" s="1"/>
  <c r="E193" i="107" a="1"/>
  <c r="E193" i="107" s="1"/>
  <c r="D193" i="107" a="1"/>
  <c r="D193" i="107" s="1"/>
  <c r="M192" i="107" a="1"/>
  <c r="M192" i="107" s="1"/>
  <c r="L192" i="107" a="1"/>
  <c r="L192" i="107" s="1"/>
  <c r="K192" i="107" a="1"/>
  <c r="K192" i="107" s="1"/>
  <c r="F192" i="107" a="1"/>
  <c r="F192" i="107" s="1"/>
  <c r="E192" i="107" a="1"/>
  <c r="E192" i="107" s="1"/>
  <c r="D192" i="107" a="1"/>
  <c r="D192" i="107" s="1"/>
  <c r="M191" i="107" a="1"/>
  <c r="M191" i="107" s="1"/>
  <c r="L191" i="107" a="1"/>
  <c r="L191" i="107" s="1"/>
  <c r="K191" i="107" a="1"/>
  <c r="K191" i="107" s="1"/>
  <c r="F191" i="107" a="1"/>
  <c r="F191" i="107" s="1"/>
  <c r="E191" i="107" a="1"/>
  <c r="E191" i="107" s="1"/>
  <c r="D191" i="107" a="1"/>
  <c r="D191" i="107" s="1"/>
  <c r="M190" i="107" a="1"/>
  <c r="M190" i="107" s="1"/>
  <c r="L190" i="107" a="1"/>
  <c r="L190" i="107" s="1"/>
  <c r="K190" i="107" a="1"/>
  <c r="K190" i="107" s="1"/>
  <c r="F190" i="107" a="1"/>
  <c r="F190" i="107" s="1"/>
  <c r="E190" i="107" a="1"/>
  <c r="E190" i="107" s="1"/>
  <c r="D190" i="107" a="1"/>
  <c r="D190" i="107" s="1"/>
  <c r="M189" i="107" a="1"/>
  <c r="M189" i="107" s="1"/>
  <c r="L189" i="107" a="1"/>
  <c r="L189" i="107" s="1"/>
  <c r="K189" i="107" a="1"/>
  <c r="K189" i="107" s="1"/>
  <c r="F189" i="107" a="1"/>
  <c r="F189" i="107" s="1"/>
  <c r="E189" i="107" a="1"/>
  <c r="E189" i="107" s="1"/>
  <c r="D189" i="107" a="1"/>
  <c r="D189" i="107" s="1"/>
  <c r="M188" i="107" a="1"/>
  <c r="M188" i="107" s="1"/>
  <c r="L188" i="107" a="1"/>
  <c r="L188" i="107" s="1"/>
  <c r="K188" i="107" a="1"/>
  <c r="K188" i="107" s="1"/>
  <c r="F188" i="107" a="1"/>
  <c r="F188" i="107" s="1"/>
  <c r="E188" i="107" a="1"/>
  <c r="E188" i="107" s="1"/>
  <c r="D188" i="107" a="1"/>
  <c r="D188" i="107" s="1"/>
  <c r="M187" i="107" a="1"/>
  <c r="M187" i="107" s="1"/>
  <c r="L187" i="107" a="1"/>
  <c r="L187" i="107" s="1"/>
  <c r="K187" i="107" a="1"/>
  <c r="K187" i="107" s="1"/>
  <c r="F187" i="107" a="1"/>
  <c r="F187" i="107" s="1"/>
  <c r="E187" i="107" a="1"/>
  <c r="E187" i="107" s="1"/>
  <c r="D187" i="107" a="1"/>
  <c r="D187" i="107" s="1"/>
  <c r="M186" i="107" a="1"/>
  <c r="M186" i="107" s="1"/>
  <c r="L186" i="107" a="1"/>
  <c r="L186" i="107" s="1"/>
  <c r="K186" i="107" a="1"/>
  <c r="K186" i="107" s="1"/>
  <c r="F186" i="107" a="1"/>
  <c r="F186" i="107" s="1"/>
  <c r="E186" i="107" a="1"/>
  <c r="E186" i="107" s="1"/>
  <c r="D186" i="107" a="1"/>
  <c r="D186" i="107" s="1"/>
  <c r="M185" i="107" a="1"/>
  <c r="M185" i="107" s="1"/>
  <c r="L185" i="107" a="1"/>
  <c r="L185" i="107" s="1"/>
  <c r="K185" i="107" a="1"/>
  <c r="K185" i="107" s="1"/>
  <c r="F185" i="107" a="1"/>
  <c r="F185" i="107" s="1"/>
  <c r="E185" i="107" a="1"/>
  <c r="E185" i="107" s="1"/>
  <c r="D185" i="107" a="1"/>
  <c r="D185" i="107" s="1"/>
  <c r="M184" i="107" a="1"/>
  <c r="M184" i="107" s="1"/>
  <c r="L184" i="107" a="1"/>
  <c r="L184" i="107" s="1"/>
  <c r="K184" i="107" a="1"/>
  <c r="K184" i="107" s="1"/>
  <c r="F184" i="107" a="1"/>
  <c r="F184" i="107" s="1"/>
  <c r="E184" i="107" a="1"/>
  <c r="E184" i="107" s="1"/>
  <c r="D184" i="107" a="1"/>
  <c r="D184" i="107" s="1"/>
  <c r="M183" i="107" a="1"/>
  <c r="M183" i="107" s="1"/>
  <c r="L183" i="107" a="1"/>
  <c r="L183" i="107" s="1"/>
  <c r="K183" i="107" a="1"/>
  <c r="K183" i="107" s="1"/>
  <c r="F183" i="107" a="1"/>
  <c r="F183" i="107" s="1"/>
  <c r="E183" i="107" a="1"/>
  <c r="E183" i="107" s="1"/>
  <c r="D183" i="107" a="1"/>
  <c r="D183" i="107" s="1"/>
  <c r="M182" i="107" a="1"/>
  <c r="M182" i="107" s="1"/>
  <c r="L182" i="107" a="1"/>
  <c r="L182" i="107" s="1"/>
  <c r="K182" i="107" a="1"/>
  <c r="K182" i="107" s="1"/>
  <c r="F182" i="107" a="1"/>
  <c r="F182" i="107" s="1"/>
  <c r="E182" i="107" a="1"/>
  <c r="E182" i="107" s="1"/>
  <c r="D182" i="107" a="1"/>
  <c r="D182" i="107" s="1"/>
  <c r="M181" i="107" a="1"/>
  <c r="M181" i="107" s="1"/>
  <c r="L181" i="107" a="1"/>
  <c r="L181" i="107" s="1"/>
  <c r="K181" i="107" a="1"/>
  <c r="K181" i="107" s="1"/>
  <c r="F181" i="107" a="1"/>
  <c r="F181" i="107" s="1"/>
  <c r="E181" i="107" a="1"/>
  <c r="E181" i="107" s="1"/>
  <c r="D181" i="107" a="1"/>
  <c r="D181" i="107" s="1"/>
  <c r="M180" i="107" a="1"/>
  <c r="M180" i="107" s="1"/>
  <c r="L180" i="107" a="1"/>
  <c r="L180" i="107" s="1"/>
  <c r="K180" i="107" a="1"/>
  <c r="K180" i="107" s="1"/>
  <c r="F180" i="107" a="1"/>
  <c r="F180" i="107" s="1"/>
  <c r="E180" i="107" a="1"/>
  <c r="E180" i="107" s="1"/>
  <c r="D180" i="107" a="1"/>
  <c r="D180" i="107" s="1"/>
  <c r="M179" i="107" a="1"/>
  <c r="M179" i="107" s="1"/>
  <c r="L179" i="107" a="1"/>
  <c r="L179" i="107" s="1"/>
  <c r="K179" i="107" a="1"/>
  <c r="K179" i="107" s="1"/>
  <c r="F179" i="107" a="1"/>
  <c r="F179" i="107" s="1"/>
  <c r="E179" i="107" a="1"/>
  <c r="E179" i="107" s="1"/>
  <c r="D179" i="107" a="1"/>
  <c r="D179" i="107" s="1"/>
  <c r="M178" i="107" a="1"/>
  <c r="M178" i="107" s="1"/>
  <c r="L178" i="107" a="1"/>
  <c r="L178" i="107" s="1"/>
  <c r="K178" i="107" a="1"/>
  <c r="K178" i="107" s="1"/>
  <c r="F178" i="107" a="1"/>
  <c r="F178" i="107" s="1"/>
  <c r="E178" i="107" a="1"/>
  <c r="E178" i="107" s="1"/>
  <c r="D178" i="107" a="1"/>
  <c r="D178" i="107" s="1"/>
  <c r="M177" i="107" a="1"/>
  <c r="M177" i="107" s="1"/>
  <c r="L177" i="107" a="1"/>
  <c r="L177" i="107" s="1"/>
  <c r="K177" i="107" a="1"/>
  <c r="K177" i="107" s="1"/>
  <c r="F177" i="107" a="1"/>
  <c r="F177" i="107" s="1"/>
  <c r="E177" i="107" a="1"/>
  <c r="E177" i="107" s="1"/>
  <c r="D177" i="107" a="1"/>
  <c r="D177" i="107" s="1"/>
  <c r="M176" i="107" a="1"/>
  <c r="M176" i="107" s="1"/>
  <c r="L176" i="107" a="1"/>
  <c r="L176" i="107" s="1"/>
  <c r="K176" i="107" a="1"/>
  <c r="K176" i="107" s="1"/>
  <c r="F176" i="107" a="1"/>
  <c r="F176" i="107" s="1"/>
  <c r="E176" i="107" a="1"/>
  <c r="E176" i="107" s="1"/>
  <c r="D176" i="107" a="1"/>
  <c r="D176" i="107" s="1"/>
  <c r="M175" i="107" a="1"/>
  <c r="M175" i="107" s="1"/>
  <c r="L175" i="107" a="1"/>
  <c r="L175" i="107" s="1"/>
  <c r="K175" i="107" a="1"/>
  <c r="K175" i="107" s="1"/>
  <c r="F175" i="107" a="1"/>
  <c r="F175" i="107" s="1"/>
  <c r="E175" i="107" a="1"/>
  <c r="E175" i="107" s="1"/>
  <c r="D175" i="107" a="1"/>
  <c r="D175" i="107" s="1"/>
  <c r="M174" i="107" a="1"/>
  <c r="M174" i="107" s="1"/>
  <c r="L174" i="107" a="1"/>
  <c r="L174" i="107" s="1"/>
  <c r="K174" i="107" a="1"/>
  <c r="K174" i="107" s="1"/>
  <c r="F174" i="107" a="1"/>
  <c r="F174" i="107" s="1"/>
  <c r="E174" i="107" a="1"/>
  <c r="E174" i="107" s="1"/>
  <c r="D174" i="107" a="1"/>
  <c r="D174" i="107" s="1"/>
  <c r="I170" i="107" a="1"/>
  <c r="I170" i="107" s="1"/>
  <c r="H170" i="107" a="1"/>
  <c r="H170" i="107" s="1"/>
  <c r="G170" i="107" a="1"/>
  <c r="G170" i="107" s="1"/>
  <c r="F170" i="107" a="1"/>
  <c r="F170" i="107" s="1"/>
  <c r="E170" i="107" a="1"/>
  <c r="E170" i="107" s="1"/>
  <c r="D170" i="107" a="1"/>
  <c r="D170" i="107" s="1"/>
  <c r="I169" i="107" a="1"/>
  <c r="I169" i="107" s="1"/>
  <c r="H169" i="107" a="1"/>
  <c r="H169" i="107" s="1"/>
  <c r="G169" i="107" a="1"/>
  <c r="G169" i="107" s="1"/>
  <c r="F169" i="107" a="1"/>
  <c r="F169" i="107" s="1"/>
  <c r="E169" i="107" a="1"/>
  <c r="E169" i="107" s="1"/>
  <c r="D169" i="107" a="1"/>
  <c r="D169" i="107" s="1"/>
  <c r="I168" i="107" a="1"/>
  <c r="I168" i="107" s="1"/>
  <c r="H168" i="107" a="1"/>
  <c r="H168" i="107" s="1"/>
  <c r="G168" i="107" a="1"/>
  <c r="G168" i="107" s="1"/>
  <c r="F168" i="107" a="1"/>
  <c r="F168" i="107" s="1"/>
  <c r="E168" i="107" a="1"/>
  <c r="E168" i="107" s="1"/>
  <c r="D51" i="102" s="1" a="1"/>
  <c r="D168" i="107" a="1"/>
  <c r="D168" i="107" s="1"/>
  <c r="I165" i="107" a="1"/>
  <c r="I165" i="107" s="1"/>
  <c r="H165" i="107" a="1"/>
  <c r="H165" i="107" s="1"/>
  <c r="G165" i="107" a="1"/>
  <c r="G165" i="107" s="1"/>
  <c r="F165" i="107" a="1"/>
  <c r="F165" i="107" s="1"/>
  <c r="E165" i="107" a="1"/>
  <c r="E165" i="107" s="1"/>
  <c r="D165" i="107" a="1"/>
  <c r="D165" i="107" s="1"/>
  <c r="I164" i="107" a="1"/>
  <c r="I164" i="107" s="1"/>
  <c r="H164" i="107" a="1"/>
  <c r="H164" i="107" s="1"/>
  <c r="G164" i="107" a="1"/>
  <c r="G164" i="107" s="1"/>
  <c r="F164" i="107" a="1"/>
  <c r="F164" i="107" s="1"/>
  <c r="E164" i="107" a="1"/>
  <c r="E164" i="107" s="1"/>
  <c r="D164" i="107" a="1"/>
  <c r="D164" i="107" s="1"/>
  <c r="I163" i="107" a="1"/>
  <c r="I163" i="107" s="1"/>
  <c r="H163" i="107" a="1"/>
  <c r="H163" i="107" s="1"/>
  <c r="G163" i="107" a="1"/>
  <c r="G163" i="107" s="1"/>
  <c r="F163" i="107" a="1"/>
  <c r="F163" i="107" s="1"/>
  <c r="E163" i="107" a="1"/>
  <c r="E163" i="107" s="1"/>
  <c r="D163" i="107" a="1"/>
  <c r="D163" i="107" s="1"/>
  <c r="I162" i="107" a="1"/>
  <c r="I162" i="107" s="1"/>
  <c r="H162" i="107" a="1"/>
  <c r="H162" i="107" s="1"/>
  <c r="G162" i="107" a="1"/>
  <c r="G162" i="107" s="1"/>
  <c r="F162" i="107" a="1"/>
  <c r="F162" i="107" s="1"/>
  <c r="E162" i="107" a="1"/>
  <c r="E162" i="107" s="1"/>
  <c r="D56" i="102" s="1" a="1"/>
  <c r="D162" i="107" a="1"/>
  <c r="D162" i="107" s="1"/>
  <c r="I159" i="107" a="1"/>
  <c r="I159" i="107" s="1"/>
  <c r="H159" i="107" a="1"/>
  <c r="H159" i="107" s="1"/>
  <c r="G159" i="107" a="1"/>
  <c r="G159" i="107" s="1"/>
  <c r="F159" i="107" a="1"/>
  <c r="F159" i="107" s="1"/>
  <c r="O159" i="107" s="1"/>
  <c r="E159" i="107" a="1"/>
  <c r="E159" i="107" s="1"/>
  <c r="N159" i="107" s="1"/>
  <c r="P158" i="107" s="1"/>
  <c r="D159" i="107" a="1"/>
  <c r="D159" i="107" s="1"/>
  <c r="I158" i="107" a="1"/>
  <c r="I158" i="107" s="1"/>
  <c r="H158" i="107" a="1"/>
  <c r="H158" i="107" s="1"/>
  <c r="G158" i="107" a="1"/>
  <c r="G158" i="107" s="1"/>
  <c r="F158" i="107" a="1"/>
  <c r="F158" i="107" s="1"/>
  <c r="L158" i="107" s="1"/>
  <c r="E158" i="107" a="1"/>
  <c r="E158" i="107" s="1"/>
  <c r="K158" i="107" s="1"/>
  <c r="M157" i="107" s="1"/>
  <c r="D158" i="107" a="1"/>
  <c r="D158" i="107" s="1"/>
  <c r="I157" i="107" a="1"/>
  <c r="I157" i="107" s="1"/>
  <c r="H157" i="107" a="1"/>
  <c r="H157" i="107" s="1"/>
  <c r="G157" i="107" a="1"/>
  <c r="G157" i="107" s="1"/>
  <c r="F157" i="107" a="1"/>
  <c r="F157" i="107" s="1"/>
  <c r="O157" i="107" s="1"/>
  <c r="E157" i="107" a="1"/>
  <c r="E157" i="107" s="1"/>
  <c r="N157" i="107" s="1"/>
  <c r="P156" i="107" s="1"/>
  <c r="D157" i="107" a="1"/>
  <c r="D157" i="107" s="1"/>
  <c r="I156" i="107" a="1"/>
  <c r="I156" i="107" s="1"/>
  <c r="H156" i="107" a="1"/>
  <c r="H156" i="107" s="1"/>
  <c r="G156" i="107" a="1"/>
  <c r="G156" i="107" s="1"/>
  <c r="F156" i="107" a="1"/>
  <c r="F156" i="107" s="1"/>
  <c r="L156" i="107" s="1"/>
  <c r="E156" i="107" a="1"/>
  <c r="E156" i="107" s="1"/>
  <c r="K156" i="107" s="1"/>
  <c r="M155" i="107" s="1"/>
  <c r="D156" i="107" a="1"/>
  <c r="D156" i="107" s="1"/>
  <c r="I155" i="107" a="1"/>
  <c r="I155" i="107" s="1"/>
  <c r="H155" i="107" a="1"/>
  <c r="H155" i="107" s="1"/>
  <c r="G155" i="107" a="1"/>
  <c r="G155" i="107" s="1"/>
  <c r="F155" i="107" a="1"/>
  <c r="F155" i="107" s="1"/>
  <c r="O155" i="107" s="1"/>
  <c r="E155" i="107" a="1"/>
  <c r="E155" i="107" s="1"/>
  <c r="N155" i="107" s="1"/>
  <c r="P154" i="107" s="1"/>
  <c r="D155" i="107" a="1"/>
  <c r="D155" i="107" s="1"/>
  <c r="I154" i="107" a="1"/>
  <c r="I154" i="107" s="1"/>
  <c r="H154" i="107" a="1"/>
  <c r="H154" i="107" s="1"/>
  <c r="G154" i="107" a="1"/>
  <c r="G154" i="107" s="1"/>
  <c r="F154" i="107" a="1"/>
  <c r="F154" i="107" s="1"/>
  <c r="L154" i="107" s="1"/>
  <c r="E154" i="107" a="1"/>
  <c r="E154" i="107" s="1"/>
  <c r="K154" i="107" s="1"/>
  <c r="M153" i="107" s="1"/>
  <c r="D154" i="107" a="1"/>
  <c r="D154" i="107" s="1"/>
  <c r="I153" i="107" a="1"/>
  <c r="I153" i="107" s="1"/>
  <c r="H153" i="107" a="1"/>
  <c r="H153" i="107" s="1"/>
  <c r="G153" i="107" a="1"/>
  <c r="G153" i="107" s="1"/>
  <c r="F153" i="107" a="1"/>
  <c r="F153" i="107" s="1"/>
  <c r="O153" i="107" s="1"/>
  <c r="E153" i="107" a="1"/>
  <c r="E153" i="107" s="1"/>
  <c r="N153" i="107" s="1"/>
  <c r="P152" i="107" s="1"/>
  <c r="D153" i="107" a="1"/>
  <c r="D153" i="107" s="1"/>
  <c r="I152" i="107" a="1"/>
  <c r="I152" i="107" s="1"/>
  <c r="H152" i="107" a="1"/>
  <c r="H152" i="107" s="1"/>
  <c r="G152" i="107" a="1"/>
  <c r="G152" i="107" s="1"/>
  <c r="F152" i="107" a="1"/>
  <c r="F152" i="107" s="1"/>
  <c r="L152" i="107" s="1"/>
  <c r="E152" i="107" a="1"/>
  <c r="E152" i="107" s="1"/>
  <c r="K152" i="107" s="1"/>
  <c r="M151" i="107" s="1"/>
  <c r="D152" i="107" a="1"/>
  <c r="D152" i="107" s="1"/>
  <c r="I151" i="107" a="1"/>
  <c r="I151" i="107" s="1"/>
  <c r="H151" i="107" a="1"/>
  <c r="H151" i="107" s="1"/>
  <c r="G151" i="107" a="1"/>
  <c r="G151" i="107" s="1"/>
  <c r="F151" i="107" a="1"/>
  <c r="F151" i="107" s="1"/>
  <c r="O151" i="107" s="1"/>
  <c r="E151" i="107" a="1"/>
  <c r="E151" i="107" s="1"/>
  <c r="N151" i="107" s="1"/>
  <c r="D151" i="107" a="1"/>
  <c r="D151" i="107" s="1"/>
  <c r="I150" i="107" a="1"/>
  <c r="I150" i="107" s="1"/>
  <c r="H150" i="107" a="1"/>
  <c r="H150" i="107" s="1"/>
  <c r="G150" i="107" a="1"/>
  <c r="G150" i="107" s="1"/>
  <c r="F150" i="107" a="1"/>
  <c r="F150" i="107" s="1"/>
  <c r="O150" i="107" s="1"/>
  <c r="E150" i="107" a="1"/>
  <c r="E150" i="107" s="1"/>
  <c r="N150" i="107" s="1"/>
  <c r="D150" i="107" a="1"/>
  <c r="D150" i="107" s="1"/>
  <c r="I149" i="107" a="1"/>
  <c r="I149" i="107" s="1"/>
  <c r="H149" i="107" a="1"/>
  <c r="H149" i="107" s="1"/>
  <c r="G149" i="107" a="1"/>
  <c r="G149" i="107" s="1"/>
  <c r="F149" i="107" a="1"/>
  <c r="F149" i="107" s="1"/>
  <c r="O149" i="107" s="1"/>
  <c r="E149" i="107" a="1"/>
  <c r="E149" i="107" s="1"/>
  <c r="N149" i="107" s="1"/>
  <c r="D149" i="107" a="1"/>
  <c r="D149" i="107" s="1"/>
  <c r="I148" i="107" a="1"/>
  <c r="I148" i="107" s="1"/>
  <c r="H148" i="107" a="1"/>
  <c r="H148" i="107" s="1"/>
  <c r="G148" i="107" a="1"/>
  <c r="G148" i="107" s="1"/>
  <c r="F148" i="107" a="1"/>
  <c r="F148" i="107" s="1"/>
  <c r="O148" i="107" s="1"/>
  <c r="E148" i="107" a="1"/>
  <c r="E148" i="107" s="1"/>
  <c r="N148" i="107" s="1"/>
  <c r="D148" i="107" a="1"/>
  <c r="D148" i="107" s="1"/>
  <c r="I147" i="107" a="1"/>
  <c r="I147" i="107" s="1"/>
  <c r="H147" i="107" a="1"/>
  <c r="H147" i="107" s="1"/>
  <c r="G147" i="107" a="1"/>
  <c r="G147" i="107" s="1"/>
  <c r="F147" i="107" a="1"/>
  <c r="F147" i="107" s="1"/>
  <c r="O147" i="107" s="1"/>
  <c r="E147" i="107" a="1"/>
  <c r="E147" i="107" s="1"/>
  <c r="N147" i="107" s="1"/>
  <c r="D147" i="107" a="1"/>
  <c r="D147" i="107" s="1"/>
  <c r="I146" i="107" a="1"/>
  <c r="I146" i="107" s="1"/>
  <c r="H146" i="107" a="1"/>
  <c r="H146" i="107" s="1"/>
  <c r="G146" i="107" a="1"/>
  <c r="G146" i="107" s="1"/>
  <c r="F146" i="107" a="1"/>
  <c r="F146" i="107" s="1"/>
  <c r="O146" i="107" s="1"/>
  <c r="E146" i="107" a="1"/>
  <c r="E146" i="107" s="1"/>
  <c r="N146" i="107" s="1"/>
  <c r="D146" i="107" a="1"/>
  <c r="D146" i="107" s="1"/>
  <c r="I145" i="107" a="1"/>
  <c r="I145" i="107" s="1"/>
  <c r="H145" i="107" a="1"/>
  <c r="H145" i="107" s="1"/>
  <c r="G145" i="107" a="1"/>
  <c r="G145" i="107" s="1"/>
  <c r="F145" i="107" a="1"/>
  <c r="F145" i="107" s="1"/>
  <c r="O145" i="107" s="1"/>
  <c r="E145" i="107" a="1"/>
  <c r="E145" i="107" s="1"/>
  <c r="N145" i="107" s="1"/>
  <c r="P144" i="107" s="1"/>
  <c r="D145" i="107" a="1"/>
  <c r="D145" i="107" s="1"/>
  <c r="I144" i="107" a="1"/>
  <c r="I144" i="107" s="1"/>
  <c r="H144" i="107" a="1"/>
  <c r="H144" i="107" s="1"/>
  <c r="G144" i="107" a="1"/>
  <c r="G144" i="107" s="1"/>
  <c r="F144" i="107" a="1"/>
  <c r="F144" i="107" s="1"/>
  <c r="L144" i="107" s="1"/>
  <c r="E144" i="107" a="1"/>
  <c r="E144" i="107" s="1"/>
  <c r="K144" i="107" s="1"/>
  <c r="D144" i="107" a="1"/>
  <c r="D144" i="107" s="1"/>
  <c r="I143" i="107" a="1"/>
  <c r="I143" i="107" s="1"/>
  <c r="H143" i="107" a="1"/>
  <c r="H143" i="107" s="1"/>
  <c r="G143" i="107" a="1"/>
  <c r="G143" i="107" s="1"/>
  <c r="F143" i="107" a="1"/>
  <c r="F143" i="107" s="1"/>
  <c r="L143" i="107" s="1"/>
  <c r="E143" i="107" a="1"/>
  <c r="E143" i="107" s="1"/>
  <c r="K143" i="107" s="1"/>
  <c r="D143" i="107" a="1"/>
  <c r="D143" i="107" s="1"/>
  <c r="I142" i="107" a="1"/>
  <c r="I142" i="107" s="1"/>
  <c r="H142" i="107" a="1"/>
  <c r="H142" i="107" s="1"/>
  <c r="G142" i="107" a="1"/>
  <c r="G142" i="107" s="1"/>
  <c r="F142" i="107" a="1"/>
  <c r="F142" i="107" s="1"/>
  <c r="L142" i="107" s="1"/>
  <c r="E142" i="107" a="1"/>
  <c r="E142" i="107" s="1"/>
  <c r="K142" i="107" s="1"/>
  <c r="D142" i="107" a="1"/>
  <c r="D142" i="107" s="1"/>
  <c r="I141" i="107" a="1"/>
  <c r="I141" i="107" s="1"/>
  <c r="H141" i="107" a="1"/>
  <c r="H141" i="107" s="1"/>
  <c r="G141" i="107" a="1"/>
  <c r="G141" i="107" s="1"/>
  <c r="F141" i="107" a="1"/>
  <c r="F141" i="107" s="1"/>
  <c r="L141" i="107" s="1"/>
  <c r="E141" i="107" a="1"/>
  <c r="E141" i="107" s="1"/>
  <c r="K141" i="107" s="1"/>
  <c r="D141" i="107" a="1"/>
  <c r="D141" i="107" s="1"/>
  <c r="I140" i="107" a="1"/>
  <c r="I140" i="107" s="1"/>
  <c r="H140" i="107" a="1"/>
  <c r="H140" i="107" s="1"/>
  <c r="G140" i="107" a="1"/>
  <c r="G140" i="107" s="1"/>
  <c r="F140" i="107" a="1"/>
  <c r="F140" i="107" s="1"/>
  <c r="L140" i="107" s="1"/>
  <c r="E140" i="107" a="1"/>
  <c r="E140" i="107" s="1"/>
  <c r="K140" i="107" s="1"/>
  <c r="D140" i="107" a="1"/>
  <c r="D140" i="107" s="1"/>
  <c r="I139" i="107" a="1"/>
  <c r="I139" i="107" s="1"/>
  <c r="H139" i="107" a="1"/>
  <c r="H139" i="107" s="1"/>
  <c r="G139" i="107" a="1"/>
  <c r="G139" i="107" s="1"/>
  <c r="F139" i="107" a="1"/>
  <c r="F139" i="107" s="1"/>
  <c r="L139" i="107" s="1"/>
  <c r="E139" i="107" a="1"/>
  <c r="E139" i="107" s="1"/>
  <c r="K139" i="107" s="1"/>
  <c r="M138" i="107" s="1"/>
  <c r="D139" i="107" a="1"/>
  <c r="D139" i="107" s="1"/>
  <c r="I138" i="107" a="1"/>
  <c r="I138" i="107" s="1"/>
  <c r="H138" i="107" a="1"/>
  <c r="H138" i="107" s="1"/>
  <c r="G138" i="107" a="1"/>
  <c r="G138" i="107" s="1"/>
  <c r="F138" i="107" a="1"/>
  <c r="F138" i="107" s="1"/>
  <c r="O138" i="107" s="1"/>
  <c r="E138" i="107" a="1"/>
  <c r="E138" i="107" s="1"/>
  <c r="N138" i="107" s="1"/>
  <c r="D138" i="107" a="1"/>
  <c r="D138" i="107" s="1"/>
  <c r="I137" i="107" a="1"/>
  <c r="I137" i="107" s="1"/>
  <c r="H137" i="107" a="1"/>
  <c r="H137" i="107" s="1"/>
  <c r="G137" i="107" a="1"/>
  <c r="G137" i="107" s="1"/>
  <c r="F137" i="107" a="1"/>
  <c r="F137" i="107" s="1"/>
  <c r="O137" i="107" s="1"/>
  <c r="E137" i="107" a="1"/>
  <c r="E137" i="107" s="1"/>
  <c r="N137" i="107" s="1"/>
  <c r="D137" i="107" a="1"/>
  <c r="D137" i="107" s="1"/>
  <c r="I136" i="107" a="1"/>
  <c r="I136" i="107" s="1"/>
  <c r="H136" i="107" a="1"/>
  <c r="H136" i="107" s="1"/>
  <c r="G136" i="107" a="1"/>
  <c r="G136" i="107" s="1"/>
  <c r="F136" i="107" a="1"/>
  <c r="F136" i="107" s="1"/>
  <c r="O136" i="107" s="1"/>
  <c r="E136" i="107" a="1"/>
  <c r="E136" i="107" s="1"/>
  <c r="N136" i="107" s="1"/>
  <c r="D136" i="107" a="1"/>
  <c r="D136" i="107" s="1"/>
  <c r="I135" i="107" a="1"/>
  <c r="I135" i="107" s="1"/>
  <c r="H135" i="107" a="1"/>
  <c r="H135" i="107" s="1"/>
  <c r="G135" i="107" a="1"/>
  <c r="G135" i="107" s="1"/>
  <c r="F135" i="107" a="1"/>
  <c r="F135" i="107" s="1"/>
  <c r="O135" i="107" s="1"/>
  <c r="E135" i="107" a="1"/>
  <c r="E135" i="107" s="1"/>
  <c r="N135" i="107" s="1"/>
  <c r="D135" i="107" a="1"/>
  <c r="D135" i="107" s="1"/>
  <c r="I134" i="107" a="1"/>
  <c r="I134" i="107" s="1"/>
  <c r="H134" i="107" a="1"/>
  <c r="H134" i="107" s="1"/>
  <c r="G134" i="107" a="1"/>
  <c r="G134" i="107" s="1"/>
  <c r="F134" i="107" a="1"/>
  <c r="F134" i="107" s="1"/>
  <c r="O134" i="107" s="1"/>
  <c r="E134" i="107" a="1"/>
  <c r="E134" i="107" s="1"/>
  <c r="N134" i="107" s="1"/>
  <c r="D134" i="107" a="1"/>
  <c r="D134" i="107" s="1"/>
  <c r="I133" i="107" a="1"/>
  <c r="I133" i="107" s="1"/>
  <c r="H133" i="107" a="1"/>
  <c r="H133" i="107" s="1"/>
  <c r="G133" i="107" a="1"/>
  <c r="G133" i="107" s="1"/>
  <c r="F133" i="107" a="1"/>
  <c r="F133" i="107" s="1"/>
  <c r="O133" i="107" s="1"/>
  <c r="E133" i="107" a="1"/>
  <c r="E133" i="107" s="1"/>
  <c r="N133" i="107" s="1"/>
  <c r="D133" i="107" a="1"/>
  <c r="D133" i="107" s="1"/>
  <c r="I132" i="107" a="1"/>
  <c r="I132" i="107" s="1"/>
  <c r="H132" i="107" a="1"/>
  <c r="H132" i="107" s="1"/>
  <c r="G132" i="107" a="1"/>
  <c r="G132" i="107" s="1"/>
  <c r="F132" i="107" a="1"/>
  <c r="F132" i="107" s="1"/>
  <c r="O132" i="107" s="1"/>
  <c r="E132" i="107" a="1"/>
  <c r="E132" i="107" s="1"/>
  <c r="N132" i="107" s="1"/>
  <c r="P131" i="107" s="1"/>
  <c r="D132" i="107" a="1"/>
  <c r="D132" i="107" s="1"/>
  <c r="I131" i="107" a="1"/>
  <c r="I131" i="107" s="1"/>
  <c r="H131" i="107" a="1"/>
  <c r="H131" i="107" s="1"/>
  <c r="G131" i="107" a="1"/>
  <c r="G131" i="107" s="1"/>
  <c r="F131" i="107" a="1"/>
  <c r="F131" i="107" s="1"/>
  <c r="L131" i="107" s="1"/>
  <c r="E131" i="107" a="1"/>
  <c r="E131" i="107" s="1"/>
  <c r="K131" i="107" s="1"/>
  <c r="D131" i="107" a="1"/>
  <c r="D131" i="107" s="1"/>
  <c r="I130" i="107" a="1"/>
  <c r="I130" i="107" s="1"/>
  <c r="H130" i="107" a="1"/>
  <c r="H130" i="107" s="1"/>
  <c r="G130" i="107" a="1"/>
  <c r="G130" i="107" s="1"/>
  <c r="F130" i="107" a="1"/>
  <c r="F130" i="107" s="1"/>
  <c r="L130" i="107" s="1"/>
  <c r="E130" i="107" a="1"/>
  <c r="E130" i="107" s="1"/>
  <c r="K130" i="107" s="1"/>
  <c r="D130" i="107" a="1"/>
  <c r="D130" i="107" s="1"/>
  <c r="I129" i="107" a="1"/>
  <c r="I129" i="107" s="1"/>
  <c r="H129" i="107" a="1"/>
  <c r="H129" i="107" s="1"/>
  <c r="G129" i="107" a="1"/>
  <c r="G129" i="107" s="1"/>
  <c r="F129" i="107" a="1"/>
  <c r="F129" i="107" s="1"/>
  <c r="L129" i="107" s="1"/>
  <c r="E129" i="107" a="1"/>
  <c r="E129" i="107" s="1"/>
  <c r="K129" i="107" s="1"/>
  <c r="D129" i="107" a="1"/>
  <c r="D129" i="107" s="1"/>
  <c r="I128" i="107" a="1"/>
  <c r="I128" i="107" s="1"/>
  <c r="H128" i="107" a="1"/>
  <c r="H128" i="107" s="1"/>
  <c r="G128" i="107" a="1"/>
  <c r="G128" i="107" s="1"/>
  <c r="F128" i="107" a="1"/>
  <c r="F128" i="107" s="1"/>
  <c r="L128" i="107" s="1"/>
  <c r="E128" i="107" a="1"/>
  <c r="E128" i="107" s="1"/>
  <c r="K128" i="107" s="1"/>
  <c r="D128" i="107" a="1"/>
  <c r="D128" i="107" s="1"/>
  <c r="I127" i="107" a="1"/>
  <c r="I127" i="107" s="1"/>
  <c r="H127" i="107" a="1"/>
  <c r="H127" i="107" s="1"/>
  <c r="G127" i="107" a="1"/>
  <c r="G127" i="107" s="1"/>
  <c r="F127" i="107" a="1"/>
  <c r="F127" i="107" s="1"/>
  <c r="L127" i="107" s="1"/>
  <c r="E127" i="107" a="1"/>
  <c r="E127" i="107" s="1"/>
  <c r="K127" i="107" s="1"/>
  <c r="D127" i="107" a="1"/>
  <c r="D127" i="107" s="1"/>
  <c r="I126" i="107" a="1"/>
  <c r="I126" i="107" s="1"/>
  <c r="H126" i="107" a="1"/>
  <c r="H126" i="107" s="1"/>
  <c r="G126" i="107" a="1"/>
  <c r="G126" i="107" s="1"/>
  <c r="F126" i="107" a="1"/>
  <c r="F126" i="107" s="1"/>
  <c r="L126" i="107" s="1"/>
  <c r="E126" i="107" a="1"/>
  <c r="E126" i="107" s="1"/>
  <c r="K126" i="107" s="1"/>
  <c r="M125" i="107" s="1"/>
  <c r="D126" i="107" a="1"/>
  <c r="D126" i="107" s="1"/>
  <c r="I125" i="107" a="1"/>
  <c r="I125" i="107" s="1"/>
  <c r="H125" i="107" a="1"/>
  <c r="H125" i="107" s="1"/>
  <c r="G125" i="107" a="1"/>
  <c r="G125" i="107" s="1"/>
  <c r="F125" i="107" a="1"/>
  <c r="F125" i="107" s="1"/>
  <c r="O125" i="107" s="1"/>
  <c r="E125" i="107" a="1"/>
  <c r="E125" i="107" s="1"/>
  <c r="N125" i="107" s="1"/>
  <c r="D125" i="107" a="1"/>
  <c r="D125" i="107" s="1"/>
  <c r="I124" i="107" a="1"/>
  <c r="I124" i="107" s="1"/>
  <c r="H124" i="107" a="1"/>
  <c r="H124" i="107" s="1"/>
  <c r="G124" i="107" a="1"/>
  <c r="G124" i="107" s="1"/>
  <c r="F124" i="107" a="1"/>
  <c r="F124" i="107" s="1"/>
  <c r="O124" i="107" s="1"/>
  <c r="E124" i="107" a="1"/>
  <c r="E124" i="107" s="1"/>
  <c r="N124" i="107" s="1"/>
  <c r="D124" i="107" a="1"/>
  <c r="D124" i="107" s="1"/>
  <c r="I123" i="107" a="1"/>
  <c r="I123" i="107" s="1"/>
  <c r="H123" i="107" a="1"/>
  <c r="H123" i="107" s="1"/>
  <c r="G123" i="107" a="1"/>
  <c r="G123" i="107" s="1"/>
  <c r="F123" i="107" a="1"/>
  <c r="F123" i="107" s="1"/>
  <c r="O123" i="107" s="1"/>
  <c r="E123" i="107" a="1"/>
  <c r="E123" i="107" s="1"/>
  <c r="N123" i="107" s="1"/>
  <c r="D123" i="107" a="1"/>
  <c r="D123" i="107" s="1"/>
  <c r="I122" i="107" a="1"/>
  <c r="I122" i="107" s="1"/>
  <c r="H122" i="107" a="1"/>
  <c r="H122" i="107" s="1"/>
  <c r="G122" i="107" a="1"/>
  <c r="G122" i="107" s="1"/>
  <c r="F122" i="107" a="1"/>
  <c r="F122" i="107" s="1"/>
  <c r="O122" i="107" s="1"/>
  <c r="E122" i="107" a="1"/>
  <c r="E122" i="107" s="1"/>
  <c r="N122" i="107" s="1"/>
  <c r="D122" i="107" a="1"/>
  <c r="D122" i="107" s="1"/>
  <c r="I121" i="107" a="1"/>
  <c r="I121" i="107" s="1"/>
  <c r="H121" i="107" a="1"/>
  <c r="H121" i="107" s="1"/>
  <c r="G121" i="107" a="1"/>
  <c r="G121" i="107" s="1"/>
  <c r="F121" i="107" a="1"/>
  <c r="F121" i="107" s="1"/>
  <c r="O121" i="107" s="1"/>
  <c r="E121" i="107" a="1"/>
  <c r="E121" i="107" s="1"/>
  <c r="N121" i="107" s="1"/>
  <c r="D121" i="107" a="1"/>
  <c r="D121" i="107" s="1"/>
  <c r="I120" i="107" a="1"/>
  <c r="I120" i="107" s="1"/>
  <c r="H120" i="107" a="1"/>
  <c r="H120" i="107" s="1"/>
  <c r="G120" i="107" a="1"/>
  <c r="G120" i="107" s="1"/>
  <c r="F120" i="107" a="1"/>
  <c r="F120" i="107" s="1"/>
  <c r="O120" i="107" s="1"/>
  <c r="E120" i="107" a="1"/>
  <c r="E120" i="107" s="1"/>
  <c r="N120" i="107" s="1"/>
  <c r="D120" i="107" a="1"/>
  <c r="D120" i="107" s="1"/>
  <c r="I119" i="107" a="1"/>
  <c r="I119" i="107" s="1"/>
  <c r="H119" i="107" a="1"/>
  <c r="H119" i="107" s="1"/>
  <c r="G119" i="107" a="1"/>
  <c r="G119" i="107" s="1"/>
  <c r="F119" i="107" a="1"/>
  <c r="F119" i="107" s="1"/>
  <c r="O119" i="107" s="1"/>
  <c r="E119" i="107" a="1"/>
  <c r="E119" i="107" s="1"/>
  <c r="N119" i="107" s="1"/>
  <c r="P118" i="107" s="1"/>
  <c r="D119" i="107" a="1"/>
  <c r="D119" i="107" s="1"/>
  <c r="I118" i="107" a="1"/>
  <c r="I118" i="107" s="1"/>
  <c r="H118" i="107" a="1"/>
  <c r="H118" i="107" s="1"/>
  <c r="G118" i="107" a="1"/>
  <c r="G118" i="107" s="1"/>
  <c r="F118" i="107" a="1"/>
  <c r="F118" i="107" s="1"/>
  <c r="L118" i="107" s="1"/>
  <c r="E118" i="107" a="1"/>
  <c r="E118" i="107" s="1"/>
  <c r="K118" i="107" s="1"/>
  <c r="D118" i="107" a="1"/>
  <c r="D118" i="107" s="1"/>
  <c r="I117" i="107" a="1"/>
  <c r="I117" i="107" s="1"/>
  <c r="H117" i="107" a="1"/>
  <c r="H117" i="107" s="1"/>
  <c r="G117" i="107" a="1"/>
  <c r="G117" i="107" s="1"/>
  <c r="F117" i="107" a="1"/>
  <c r="F117" i="107" s="1"/>
  <c r="L117" i="107" s="1"/>
  <c r="E117" i="107" a="1"/>
  <c r="E117" i="107" s="1"/>
  <c r="K117" i="107" s="1"/>
  <c r="D117" i="107" a="1"/>
  <c r="D117" i="107" s="1"/>
  <c r="I116" i="107" a="1"/>
  <c r="I116" i="107" s="1"/>
  <c r="H116" i="107" a="1"/>
  <c r="H116" i="107" s="1"/>
  <c r="G116" i="107" a="1"/>
  <c r="G116" i="107" s="1"/>
  <c r="F116" i="107" a="1"/>
  <c r="F116" i="107" s="1"/>
  <c r="L116" i="107" s="1"/>
  <c r="E116" i="107" a="1"/>
  <c r="E116" i="107" s="1"/>
  <c r="K116" i="107" s="1"/>
  <c r="D116" i="107" a="1"/>
  <c r="D116" i="107" s="1"/>
  <c r="I115" i="107" a="1"/>
  <c r="I115" i="107" s="1"/>
  <c r="H115" i="107" a="1"/>
  <c r="H115" i="107" s="1"/>
  <c r="G115" i="107" a="1"/>
  <c r="G115" i="107" s="1"/>
  <c r="F115" i="107" a="1"/>
  <c r="F115" i="107" s="1"/>
  <c r="L115" i="107" s="1"/>
  <c r="E115" i="107" a="1"/>
  <c r="E115" i="107" s="1"/>
  <c r="K115" i="107" s="1"/>
  <c r="D115" i="107" a="1"/>
  <c r="D115" i="107" s="1"/>
  <c r="I114" i="107" a="1"/>
  <c r="I114" i="107" s="1"/>
  <c r="H114" i="107" a="1"/>
  <c r="H114" i="107" s="1"/>
  <c r="G114" i="107" a="1"/>
  <c r="G114" i="107" s="1"/>
  <c r="F114" i="107" a="1"/>
  <c r="F114" i="107" s="1"/>
  <c r="L114" i="107" s="1"/>
  <c r="E114" i="107" a="1"/>
  <c r="E114" i="107" s="1"/>
  <c r="K114" i="107" s="1"/>
  <c r="D114" i="107" a="1"/>
  <c r="D114" i="107" s="1"/>
  <c r="I113" i="107" a="1"/>
  <c r="I113" i="107" s="1"/>
  <c r="H113" i="107" a="1"/>
  <c r="H113" i="107" s="1"/>
  <c r="G113" i="107" a="1"/>
  <c r="G113" i="107" s="1"/>
  <c r="F113" i="107" a="1"/>
  <c r="F113" i="107" s="1"/>
  <c r="L113" i="107" s="1"/>
  <c r="E113" i="107" a="1"/>
  <c r="E113" i="107" s="1"/>
  <c r="K113" i="107" s="1"/>
  <c r="D113" i="107" a="1"/>
  <c r="D113" i="107" s="1"/>
  <c r="I112" i="107" a="1"/>
  <c r="I112" i="107" s="1"/>
  <c r="H112" i="107" a="1"/>
  <c r="H112" i="107" s="1"/>
  <c r="G112" i="107" a="1"/>
  <c r="G112" i="107" s="1"/>
  <c r="F112" i="107" a="1"/>
  <c r="F112" i="107" s="1"/>
  <c r="L112" i="107" s="1"/>
  <c r="E112" i="107" a="1"/>
  <c r="E112" i="107" s="1"/>
  <c r="K112" i="107" s="1"/>
  <c r="D112" i="107" a="1"/>
  <c r="D112" i="107" s="1"/>
  <c r="I111" i="107" a="1"/>
  <c r="I111" i="107" s="1"/>
  <c r="H111" i="107" a="1"/>
  <c r="H111" i="107" s="1"/>
  <c r="G111" i="107" a="1"/>
  <c r="G111" i="107" s="1"/>
  <c r="F111" i="107" a="1"/>
  <c r="F111" i="107" s="1"/>
  <c r="L111" i="107" s="1"/>
  <c r="E111" i="107" a="1"/>
  <c r="E111" i="107" s="1"/>
  <c r="K111" i="107" s="1"/>
  <c r="M110" i="107" s="1"/>
  <c r="D111" i="107" a="1"/>
  <c r="D111" i="107" s="1"/>
  <c r="I110" i="107" a="1"/>
  <c r="I110" i="107" s="1"/>
  <c r="H110" i="107" a="1"/>
  <c r="H110" i="107" s="1"/>
  <c r="G110" i="107" a="1"/>
  <c r="G110" i="107" s="1"/>
  <c r="F110" i="107" a="1"/>
  <c r="F110" i="107" s="1"/>
  <c r="O110" i="107" s="1"/>
  <c r="E110" i="107" a="1"/>
  <c r="E110" i="107" s="1"/>
  <c r="N110" i="107" s="1"/>
  <c r="D110" i="107" a="1"/>
  <c r="D110" i="107" s="1"/>
  <c r="I109" i="107" a="1"/>
  <c r="I109" i="107" s="1"/>
  <c r="H109" i="107" a="1"/>
  <c r="H109" i="107" s="1"/>
  <c r="G109" i="107" a="1"/>
  <c r="G109" i="107" s="1"/>
  <c r="F109" i="107" a="1"/>
  <c r="F109" i="107" s="1"/>
  <c r="O109" i="107" s="1"/>
  <c r="E109" i="107" a="1"/>
  <c r="E109" i="107" s="1"/>
  <c r="N109" i="107" s="1"/>
  <c r="D109" i="107" a="1"/>
  <c r="D109" i="107" s="1"/>
  <c r="I108" i="107" a="1"/>
  <c r="I108" i="107" s="1"/>
  <c r="H108" i="107" a="1"/>
  <c r="H108" i="107" s="1"/>
  <c r="G108" i="107" a="1"/>
  <c r="G108" i="107" s="1"/>
  <c r="F108" i="107" a="1"/>
  <c r="F108" i="107" s="1"/>
  <c r="O108" i="107" s="1"/>
  <c r="E108" i="107" a="1"/>
  <c r="E108" i="107" s="1"/>
  <c r="N108" i="107" s="1"/>
  <c r="D108" i="107" a="1"/>
  <c r="D108" i="107" s="1"/>
  <c r="I107" i="107" a="1"/>
  <c r="I107" i="107" s="1"/>
  <c r="H107" i="107" a="1"/>
  <c r="H107" i="107" s="1"/>
  <c r="G107" i="107" a="1"/>
  <c r="G107" i="107" s="1"/>
  <c r="F107" i="107" a="1"/>
  <c r="F107" i="107" s="1"/>
  <c r="O107" i="107" s="1"/>
  <c r="E107" i="107" a="1"/>
  <c r="E107" i="107" s="1"/>
  <c r="N107" i="107" s="1"/>
  <c r="D107" i="107" a="1"/>
  <c r="D107" i="107" s="1"/>
  <c r="I106" i="107" a="1"/>
  <c r="I106" i="107" s="1"/>
  <c r="H106" i="107" a="1"/>
  <c r="H106" i="107" s="1"/>
  <c r="G106" i="107" a="1"/>
  <c r="G106" i="107" s="1"/>
  <c r="F106" i="107" a="1"/>
  <c r="F106" i="107" s="1"/>
  <c r="O106" i="107" s="1"/>
  <c r="E106" i="107" a="1"/>
  <c r="E106" i="107" s="1"/>
  <c r="N106" i="107" s="1"/>
  <c r="P105" i="107" s="1"/>
  <c r="D106" i="107" a="1"/>
  <c r="D106" i="107" s="1"/>
  <c r="I105" i="107" a="1"/>
  <c r="I105" i="107" s="1"/>
  <c r="H105" i="107" a="1"/>
  <c r="H105" i="107" s="1"/>
  <c r="G105" i="107" a="1"/>
  <c r="G105" i="107" s="1"/>
  <c r="F105" i="107" a="1"/>
  <c r="F105" i="107" s="1"/>
  <c r="L105" i="107" s="1"/>
  <c r="E105" i="107"/>
  <c r="K105" i="107" s="1"/>
  <c r="E105" i="107" a="1"/>
  <c r="D105" i="107" a="1"/>
  <c r="D105" i="107" s="1"/>
  <c r="I104" i="107" a="1"/>
  <c r="I104" i="107" s="1"/>
  <c r="H104" i="107" a="1"/>
  <c r="H104" i="107" s="1"/>
  <c r="G104" i="107" a="1"/>
  <c r="G104" i="107" s="1"/>
  <c r="F104" i="107" a="1"/>
  <c r="F104" i="107" s="1"/>
  <c r="L104" i="107" s="1"/>
  <c r="E104" i="107" a="1"/>
  <c r="E104" i="107" s="1"/>
  <c r="K104" i="107" s="1"/>
  <c r="D104" i="107" a="1"/>
  <c r="D104" i="107" s="1"/>
  <c r="I103" i="107" a="1"/>
  <c r="I103" i="107" s="1"/>
  <c r="H103" i="107" a="1"/>
  <c r="H103" i="107" s="1"/>
  <c r="G103" i="107" a="1"/>
  <c r="G103" i="107" s="1"/>
  <c r="F103" i="107" a="1"/>
  <c r="F103" i="107" s="1"/>
  <c r="L103" i="107" s="1"/>
  <c r="E103" i="107" a="1"/>
  <c r="E103" i="107" s="1"/>
  <c r="K103" i="107" s="1"/>
  <c r="D103" i="107" a="1"/>
  <c r="D103" i="107" s="1"/>
  <c r="I102" i="107" a="1"/>
  <c r="I102" i="107" s="1"/>
  <c r="H102" i="107" a="1"/>
  <c r="H102" i="107" s="1"/>
  <c r="G102" i="107" a="1"/>
  <c r="G102" i="107" s="1"/>
  <c r="F102" i="107" a="1"/>
  <c r="F102" i="107" s="1"/>
  <c r="L102" i="107" s="1"/>
  <c r="E102" i="107" a="1"/>
  <c r="E102" i="107" s="1"/>
  <c r="K102" i="107" s="1"/>
  <c r="D102" i="107" a="1"/>
  <c r="D102" i="107" s="1"/>
  <c r="I101" i="107" a="1"/>
  <c r="I101" i="107" s="1"/>
  <c r="H101" i="107" a="1"/>
  <c r="H101" i="107" s="1"/>
  <c r="G101" i="107" a="1"/>
  <c r="G101" i="107" s="1"/>
  <c r="F101" i="107" a="1"/>
  <c r="F101" i="107" s="1"/>
  <c r="L101" i="107" s="1"/>
  <c r="E101" i="107" a="1"/>
  <c r="E101" i="107" s="1"/>
  <c r="K101" i="107" s="1"/>
  <c r="D101" i="107" a="1"/>
  <c r="D101" i="107" s="1"/>
  <c r="I100" i="107" a="1"/>
  <c r="I100" i="107" s="1"/>
  <c r="H100" i="107" a="1"/>
  <c r="H100" i="107" s="1"/>
  <c r="G100" i="107" a="1"/>
  <c r="G100" i="107" s="1"/>
  <c r="F100" i="107" a="1"/>
  <c r="F100" i="107" s="1"/>
  <c r="L100" i="107" s="1"/>
  <c r="E100" i="107" a="1"/>
  <c r="E100" i="107" s="1"/>
  <c r="K100" i="107" s="1"/>
  <c r="D100" i="107" a="1"/>
  <c r="D100" i="107" s="1"/>
  <c r="I99" i="107" a="1"/>
  <c r="I99" i="107" s="1"/>
  <c r="H99" i="107" a="1"/>
  <c r="H99" i="107" s="1"/>
  <c r="G99" i="107" a="1"/>
  <c r="G99" i="107" s="1"/>
  <c r="F99" i="107" a="1"/>
  <c r="F99" i="107" s="1"/>
  <c r="L99" i="107" s="1"/>
  <c r="E99" i="107" a="1"/>
  <c r="E99" i="107" s="1"/>
  <c r="K99" i="107" s="1"/>
  <c r="M98" i="107" s="1"/>
  <c r="D99" i="107" a="1"/>
  <c r="D99" i="107" s="1"/>
  <c r="I98" i="107" a="1"/>
  <c r="I98" i="107" s="1"/>
  <c r="H98" i="107" a="1"/>
  <c r="H98" i="107" s="1"/>
  <c r="G98" i="107" a="1"/>
  <c r="G98" i="107" s="1"/>
  <c r="F98" i="107" a="1"/>
  <c r="F98" i="107" s="1"/>
  <c r="O98" i="107" s="1"/>
  <c r="E98" i="107" a="1"/>
  <c r="E98" i="107" s="1"/>
  <c r="N98" i="107" s="1"/>
  <c r="D98" i="107" a="1"/>
  <c r="D98" i="107" s="1"/>
  <c r="I97" i="107" a="1"/>
  <c r="I97" i="107" s="1"/>
  <c r="H97" i="107" a="1"/>
  <c r="H97" i="107" s="1"/>
  <c r="G97" i="107" a="1"/>
  <c r="G97" i="107" s="1"/>
  <c r="F97" i="107" a="1"/>
  <c r="F97" i="107" s="1"/>
  <c r="O97" i="107" s="1"/>
  <c r="E97" i="107" a="1"/>
  <c r="E97" i="107" s="1"/>
  <c r="N97" i="107" s="1"/>
  <c r="D97" i="107" a="1"/>
  <c r="D97" i="107" s="1"/>
  <c r="I96" i="107" a="1"/>
  <c r="I96" i="107" s="1"/>
  <c r="H96" i="107" a="1"/>
  <c r="H96" i="107" s="1"/>
  <c r="G96" i="107" a="1"/>
  <c r="G96" i="107" s="1"/>
  <c r="F96" i="107" a="1"/>
  <c r="F96" i="107" s="1"/>
  <c r="O96" i="107" s="1"/>
  <c r="E96" i="107" a="1"/>
  <c r="E96" i="107" s="1"/>
  <c r="N96" i="107" s="1"/>
  <c r="D96" i="107" a="1"/>
  <c r="D96" i="107" s="1"/>
  <c r="I95" i="107" a="1"/>
  <c r="I95" i="107" s="1"/>
  <c r="H95" i="107" a="1"/>
  <c r="H95" i="107" s="1"/>
  <c r="G95" i="107" a="1"/>
  <c r="G95" i="107" s="1"/>
  <c r="F95" i="107" a="1"/>
  <c r="F95" i="107" s="1"/>
  <c r="O95" i="107" s="1"/>
  <c r="E95" i="107" a="1"/>
  <c r="E95" i="107" s="1"/>
  <c r="N95" i="107" s="1"/>
  <c r="D95" i="107" a="1"/>
  <c r="D95" i="107" s="1"/>
  <c r="I94" i="107" a="1"/>
  <c r="I94" i="107" s="1"/>
  <c r="H94" i="107" a="1"/>
  <c r="H94" i="107" s="1"/>
  <c r="G94" i="107" a="1"/>
  <c r="G94" i="107" s="1"/>
  <c r="F94" i="107" a="1"/>
  <c r="F94" i="107" s="1"/>
  <c r="O94" i="107" s="1"/>
  <c r="E94" i="107" a="1"/>
  <c r="E94" i="107" s="1"/>
  <c r="N94" i="107" s="1"/>
  <c r="D94" i="107" a="1"/>
  <c r="D94" i="107" s="1"/>
  <c r="I93" i="107" a="1"/>
  <c r="I93" i="107" s="1"/>
  <c r="H93" i="107" a="1"/>
  <c r="H93" i="107" s="1"/>
  <c r="G93" i="107" a="1"/>
  <c r="G93" i="107" s="1"/>
  <c r="F93" i="107" a="1"/>
  <c r="F93" i="107" s="1"/>
  <c r="O93" i="107" s="1"/>
  <c r="E93" i="107" a="1"/>
  <c r="E93" i="107" s="1"/>
  <c r="N93" i="107" s="1"/>
  <c r="D93" i="107" a="1"/>
  <c r="D93" i="107" s="1"/>
  <c r="I92" i="107" a="1"/>
  <c r="I92" i="107" s="1"/>
  <c r="H92" i="107" a="1"/>
  <c r="H92" i="107" s="1"/>
  <c r="G92" i="107" a="1"/>
  <c r="G92" i="107" s="1"/>
  <c r="F92" i="107" a="1"/>
  <c r="F92" i="107" s="1"/>
  <c r="O92" i="107" s="1"/>
  <c r="E92" i="107" a="1"/>
  <c r="E92" i="107" s="1"/>
  <c r="N92" i="107" s="1"/>
  <c r="D92" i="107" a="1"/>
  <c r="D92" i="107" s="1"/>
  <c r="I91" i="107" a="1"/>
  <c r="I91" i="107" s="1"/>
  <c r="H91" i="107" a="1"/>
  <c r="H91" i="107" s="1"/>
  <c r="G91" i="107" a="1"/>
  <c r="G91" i="107" s="1"/>
  <c r="F91" i="107" a="1"/>
  <c r="F91" i="107" s="1"/>
  <c r="O91" i="107" s="1"/>
  <c r="E91" i="107" a="1"/>
  <c r="E91" i="107" s="1"/>
  <c r="N91" i="107" s="1"/>
  <c r="P90" i="107" s="1"/>
  <c r="D91" i="107" a="1"/>
  <c r="D91" i="107" s="1"/>
  <c r="I90" i="107" a="1"/>
  <c r="I90" i="107" s="1"/>
  <c r="H90" i="107" a="1"/>
  <c r="H90" i="107" s="1"/>
  <c r="G90" i="107" a="1"/>
  <c r="G90" i="107" s="1"/>
  <c r="F90" i="107" a="1"/>
  <c r="F90" i="107" s="1"/>
  <c r="L90" i="107" s="1"/>
  <c r="E90" i="107" a="1"/>
  <c r="E90" i="107" s="1"/>
  <c r="K90" i="107" s="1"/>
  <c r="M89" i="107" s="1"/>
  <c r="D90" i="107" a="1"/>
  <c r="D90" i="107" s="1"/>
  <c r="I86" i="107" a="1"/>
  <c r="I86" i="107" s="1"/>
  <c r="H86" i="107" a="1"/>
  <c r="H86" i="107" s="1"/>
  <c r="G86" i="107" a="1"/>
  <c r="G86" i="107" s="1"/>
  <c r="F86" i="107" a="1"/>
  <c r="F86" i="107" s="1"/>
  <c r="E86" i="107" a="1"/>
  <c r="E86" i="107" s="1"/>
  <c r="D86" i="107" a="1"/>
  <c r="D86" i="107" s="1"/>
  <c r="I85" i="107" a="1"/>
  <c r="I85" i="107" s="1"/>
  <c r="H85" i="107" a="1"/>
  <c r="H85" i="107" s="1"/>
  <c r="G85" i="107" a="1"/>
  <c r="G85" i="107" s="1"/>
  <c r="F85" i="107" a="1"/>
  <c r="F85" i="107" s="1"/>
  <c r="E85" i="107" a="1"/>
  <c r="E85" i="107" s="1"/>
  <c r="D85" i="107" a="1"/>
  <c r="D85" i="107" s="1"/>
  <c r="I84" i="107" a="1"/>
  <c r="I84" i="107" s="1"/>
  <c r="H84" i="107" a="1"/>
  <c r="H84" i="107" s="1"/>
  <c r="G84" i="107" a="1"/>
  <c r="G84" i="107" s="1"/>
  <c r="F84" i="107" a="1"/>
  <c r="F84" i="107" s="1"/>
  <c r="E84" i="107" a="1"/>
  <c r="E84" i="107" s="1"/>
  <c r="D84" i="107" a="1"/>
  <c r="D84" i="107" s="1"/>
  <c r="I83" i="107" a="1"/>
  <c r="I83" i="107" s="1"/>
  <c r="H83" i="107" a="1"/>
  <c r="H83" i="107" s="1"/>
  <c r="G83" i="107" a="1"/>
  <c r="G83" i="107" s="1"/>
  <c r="F83" i="107" a="1"/>
  <c r="F83" i="107" s="1"/>
  <c r="E83" i="107" a="1"/>
  <c r="E83" i="107" s="1"/>
  <c r="G448" i="105" s="1" a="1"/>
  <c r="G448" i="105" s="1"/>
  <c r="D83" i="107" a="1"/>
  <c r="D83" i="107" s="1"/>
  <c r="I80" i="107" a="1"/>
  <c r="I80" i="107" s="1"/>
  <c r="H80" i="107" a="1"/>
  <c r="H80" i="107" s="1"/>
  <c r="G80" i="107" a="1"/>
  <c r="G80" i="107" s="1"/>
  <c r="F80" i="107" a="1"/>
  <c r="F80" i="107" s="1"/>
  <c r="E80" i="107" a="1"/>
  <c r="E80" i="107" s="1"/>
  <c r="D80" i="107" a="1"/>
  <c r="D80" i="107" s="1"/>
  <c r="I79" i="107" a="1"/>
  <c r="I79" i="107" s="1"/>
  <c r="H79" i="107" a="1"/>
  <c r="H79" i="107" s="1"/>
  <c r="G79" i="107" a="1"/>
  <c r="G79" i="107" s="1"/>
  <c r="F79" i="107" a="1"/>
  <c r="F79" i="107" s="1"/>
  <c r="E79" i="107" a="1"/>
  <c r="E79" i="107" s="1"/>
  <c r="D79" i="107" a="1"/>
  <c r="D79" i="107" s="1"/>
  <c r="I78" i="107" a="1"/>
  <c r="I78" i="107" s="1"/>
  <c r="H78" i="107" a="1"/>
  <c r="H78" i="107" s="1"/>
  <c r="G78" i="107" a="1"/>
  <c r="G78" i="107" s="1"/>
  <c r="F78" i="107" a="1"/>
  <c r="F78" i="107" s="1"/>
  <c r="E78" i="107" a="1"/>
  <c r="E78" i="107" s="1"/>
  <c r="D78" i="107" a="1"/>
  <c r="D78" i="107" s="1"/>
  <c r="I74" i="107" a="1"/>
  <c r="I74" i="107" s="1"/>
  <c r="H74" i="107" a="1"/>
  <c r="H74" i="107" s="1"/>
  <c r="G74" i="107" a="1"/>
  <c r="G74" i="107" s="1"/>
  <c r="F74" i="107" a="1"/>
  <c r="F74" i="107" s="1"/>
  <c r="E74" i="107" a="1"/>
  <c r="E74" i="107" s="1"/>
  <c r="D74" i="107" a="1"/>
  <c r="D74" i="107" s="1"/>
  <c r="I73" i="107" a="1"/>
  <c r="I73" i="107" s="1"/>
  <c r="H73" i="107" a="1"/>
  <c r="H73" i="107" s="1"/>
  <c r="G73" i="107" a="1"/>
  <c r="G73" i="107" s="1"/>
  <c r="F73" i="107" a="1"/>
  <c r="F73" i="107" s="1"/>
  <c r="E73" i="107" a="1"/>
  <c r="E73" i="107" s="1"/>
  <c r="D73" i="107" a="1"/>
  <c r="D73" i="107" s="1"/>
  <c r="I72" i="107" a="1"/>
  <c r="I72" i="107" s="1"/>
  <c r="H72" i="107" a="1"/>
  <c r="H72" i="107" s="1"/>
  <c r="G72" i="107" a="1"/>
  <c r="G72" i="107" s="1"/>
  <c r="F72" i="107" a="1"/>
  <c r="F72" i="107" s="1"/>
  <c r="E72" i="107" a="1"/>
  <c r="E72" i="107" s="1"/>
  <c r="D72" i="107" a="1"/>
  <c r="D72" i="107" s="1"/>
  <c r="I71" i="107" a="1"/>
  <c r="I71" i="107" s="1"/>
  <c r="H71" i="107" a="1"/>
  <c r="H71" i="107" s="1"/>
  <c r="G71" i="107" a="1"/>
  <c r="G71" i="107" s="1"/>
  <c r="F71" i="107" a="1"/>
  <c r="F71" i="107" s="1"/>
  <c r="E71" i="107" a="1"/>
  <c r="E71" i="107" s="1"/>
  <c r="D71" i="107" a="1"/>
  <c r="D71" i="107" s="1"/>
  <c r="I70" i="107" a="1"/>
  <c r="I70" i="107" s="1"/>
  <c r="H70" i="107" a="1"/>
  <c r="H70" i="107" s="1"/>
  <c r="G70" i="107" a="1"/>
  <c r="G70" i="107" s="1"/>
  <c r="F70" i="107" a="1"/>
  <c r="F70" i="107" s="1"/>
  <c r="E70" i="107" a="1"/>
  <c r="E70" i="107" s="1"/>
  <c r="D70" i="107" a="1"/>
  <c r="D70" i="107" s="1"/>
  <c r="I69" i="107" a="1"/>
  <c r="I69" i="107" s="1"/>
  <c r="H69" i="107" a="1"/>
  <c r="H69" i="107" s="1"/>
  <c r="G69" i="107" a="1"/>
  <c r="G69" i="107" s="1"/>
  <c r="F69" i="107" a="1"/>
  <c r="F69" i="107" s="1"/>
  <c r="E69" i="107" a="1"/>
  <c r="E69" i="107" s="1"/>
  <c r="D69" i="107" a="1"/>
  <c r="D69" i="107" s="1"/>
  <c r="I68" i="107" a="1"/>
  <c r="I68" i="107" s="1"/>
  <c r="H68" i="107" a="1"/>
  <c r="H68" i="107" s="1"/>
  <c r="G68" i="107" a="1"/>
  <c r="G68" i="107" s="1"/>
  <c r="F68" i="107" a="1"/>
  <c r="F68" i="107" s="1"/>
  <c r="E68" i="107" a="1"/>
  <c r="E68" i="107" s="1"/>
  <c r="D68" i="107" a="1"/>
  <c r="D68" i="107" s="1"/>
  <c r="I67" i="107" a="1"/>
  <c r="I67" i="107" s="1"/>
  <c r="H67" i="107" a="1"/>
  <c r="H67" i="107" s="1"/>
  <c r="G67" i="107" a="1"/>
  <c r="G67" i="107" s="1"/>
  <c r="F67" i="107" a="1"/>
  <c r="F67" i="107" s="1"/>
  <c r="E67" i="107" a="1"/>
  <c r="E67" i="107" s="1"/>
  <c r="D67" i="107" a="1"/>
  <c r="D67" i="107" s="1"/>
  <c r="I66" i="107" a="1"/>
  <c r="I66" i="107" s="1"/>
  <c r="H66" i="107" a="1"/>
  <c r="H66" i="107" s="1"/>
  <c r="G66" i="107" a="1"/>
  <c r="G66" i="107" s="1"/>
  <c r="F66" i="107" a="1"/>
  <c r="F66" i="107" s="1"/>
  <c r="E66" i="107" a="1"/>
  <c r="E66" i="107" s="1"/>
  <c r="D66" i="107" a="1"/>
  <c r="D66" i="107" s="1"/>
  <c r="I65" i="107" a="1"/>
  <c r="I65" i="107" s="1"/>
  <c r="H65" i="107" a="1"/>
  <c r="H65" i="107" s="1"/>
  <c r="G65" i="107" a="1"/>
  <c r="G65" i="107" s="1"/>
  <c r="F65" i="107" a="1"/>
  <c r="F65" i="107" s="1"/>
  <c r="E65" i="107" a="1"/>
  <c r="E65" i="107" s="1"/>
  <c r="D65" i="107" a="1"/>
  <c r="D65" i="107" s="1"/>
  <c r="I64" i="107" a="1"/>
  <c r="I64" i="107" s="1"/>
  <c r="H64" i="107" a="1"/>
  <c r="H64" i="107" s="1"/>
  <c r="G64" i="107" a="1"/>
  <c r="G64" i="107" s="1"/>
  <c r="F64" i="107" a="1"/>
  <c r="F64" i="107" s="1"/>
  <c r="E64" i="107" a="1"/>
  <c r="E64" i="107" s="1"/>
  <c r="D64" i="107" a="1"/>
  <c r="D64" i="107" s="1"/>
  <c r="I63" i="107" a="1"/>
  <c r="I63" i="107" s="1"/>
  <c r="H63" i="107" a="1"/>
  <c r="H63" i="107" s="1"/>
  <c r="G63" i="107" a="1"/>
  <c r="G63" i="107" s="1"/>
  <c r="F63" i="107" a="1"/>
  <c r="F63" i="107" s="1"/>
  <c r="E63" i="107" a="1"/>
  <c r="E63" i="107" s="1"/>
  <c r="D63" i="107" a="1"/>
  <c r="D63" i="107" s="1"/>
  <c r="I62" i="107" a="1"/>
  <c r="I62" i="107" s="1"/>
  <c r="H62" i="107" a="1"/>
  <c r="H62" i="107" s="1"/>
  <c r="G62" i="107" a="1"/>
  <c r="G62" i="107" s="1"/>
  <c r="F62" i="107" a="1"/>
  <c r="F62" i="107" s="1"/>
  <c r="E62" i="107" a="1"/>
  <c r="E62" i="107" s="1"/>
  <c r="D62" i="107" a="1"/>
  <c r="D62" i="107" s="1"/>
  <c r="I61" i="107" a="1"/>
  <c r="I61" i="107" s="1"/>
  <c r="H61" i="107" a="1"/>
  <c r="H61" i="107" s="1"/>
  <c r="G61" i="107" a="1"/>
  <c r="G61" i="107" s="1"/>
  <c r="F61" i="107" a="1"/>
  <c r="F61" i="107" s="1"/>
  <c r="E61" i="107" a="1"/>
  <c r="E61" i="107" s="1"/>
  <c r="D61" i="107" a="1"/>
  <c r="D61" i="107" s="1"/>
  <c r="I60" i="107" a="1"/>
  <c r="I60" i="107" s="1"/>
  <c r="H60" i="107" a="1"/>
  <c r="H60" i="107" s="1"/>
  <c r="G60" i="107" a="1"/>
  <c r="G60" i="107" s="1"/>
  <c r="F60" i="107" a="1"/>
  <c r="F60" i="107" s="1"/>
  <c r="E60" i="107" a="1"/>
  <c r="E60" i="107" s="1"/>
  <c r="D60" i="107" a="1"/>
  <c r="D60" i="107" s="1"/>
  <c r="I59" i="107" a="1"/>
  <c r="I59" i="107" s="1"/>
  <c r="H59" i="107" a="1"/>
  <c r="H59" i="107" s="1"/>
  <c r="G59" i="107" a="1"/>
  <c r="G59" i="107" s="1"/>
  <c r="F59" i="107" a="1"/>
  <c r="F59" i="107" s="1"/>
  <c r="E59" i="107" a="1"/>
  <c r="E59" i="107" s="1"/>
  <c r="D59" i="107" a="1"/>
  <c r="D59" i="107" s="1"/>
  <c r="I58" i="107" a="1"/>
  <c r="I58" i="107" s="1"/>
  <c r="H58" i="107" a="1"/>
  <c r="H58" i="107" s="1"/>
  <c r="G58" i="107" a="1"/>
  <c r="G58" i="107" s="1"/>
  <c r="F58" i="107" a="1"/>
  <c r="F58" i="107" s="1"/>
  <c r="E58" i="107" a="1"/>
  <c r="E58" i="107" s="1"/>
  <c r="D58" i="107" a="1"/>
  <c r="D58" i="107" s="1"/>
  <c r="I57" i="107" a="1"/>
  <c r="I57" i="107" s="1"/>
  <c r="H57" i="107" a="1"/>
  <c r="H57" i="107" s="1"/>
  <c r="G57" i="107" a="1"/>
  <c r="G57" i="107" s="1"/>
  <c r="F57" i="107" a="1"/>
  <c r="F57" i="107" s="1"/>
  <c r="E57" i="107" a="1"/>
  <c r="E57" i="107" s="1"/>
  <c r="D57" i="107" a="1"/>
  <c r="D57" i="107" s="1"/>
  <c r="I56" i="107" a="1"/>
  <c r="I56" i="107" s="1"/>
  <c r="H56" i="107" a="1"/>
  <c r="H56" i="107" s="1"/>
  <c r="G56" i="107" a="1"/>
  <c r="G56" i="107" s="1"/>
  <c r="F56" i="107" a="1"/>
  <c r="F56" i="107" s="1"/>
  <c r="E56" i="107" a="1"/>
  <c r="E56" i="107" s="1"/>
  <c r="D56" i="107" a="1"/>
  <c r="D56" i="107" s="1"/>
  <c r="I55" i="107" a="1"/>
  <c r="I55" i="107" s="1"/>
  <c r="H55" i="107" a="1"/>
  <c r="H55" i="107" s="1"/>
  <c r="G55" i="107" a="1"/>
  <c r="G55" i="107" s="1"/>
  <c r="F55" i="107" a="1"/>
  <c r="F55" i="107" s="1"/>
  <c r="E55" i="107" a="1"/>
  <c r="E55" i="107" s="1"/>
  <c r="D55" i="107" a="1"/>
  <c r="D55" i="107" s="1"/>
  <c r="I54" i="107" a="1"/>
  <c r="I54" i="107" s="1"/>
  <c r="H54" i="107" a="1"/>
  <c r="H54" i="107" s="1"/>
  <c r="G54" i="107" a="1"/>
  <c r="G54" i="107" s="1"/>
  <c r="F54" i="107" a="1"/>
  <c r="F54" i="107" s="1"/>
  <c r="E54" i="107" a="1"/>
  <c r="E54" i="107" s="1"/>
  <c r="D54" i="107" a="1"/>
  <c r="D54" i="107" s="1"/>
  <c r="I53" i="107" a="1"/>
  <c r="I53" i="107" s="1"/>
  <c r="H53" i="107" a="1"/>
  <c r="H53" i="107" s="1"/>
  <c r="G53" i="107" a="1"/>
  <c r="G53" i="107" s="1"/>
  <c r="F53" i="107" a="1"/>
  <c r="F53" i="107" s="1"/>
  <c r="E53" i="107" a="1"/>
  <c r="E53" i="107" s="1"/>
  <c r="D53" i="107" a="1"/>
  <c r="D53" i="107" s="1"/>
  <c r="I52" i="107" a="1"/>
  <c r="I52" i="107" s="1"/>
  <c r="H52" i="107" a="1"/>
  <c r="H52" i="107" s="1"/>
  <c r="G52" i="107" a="1"/>
  <c r="G52" i="107" s="1"/>
  <c r="F52" i="107" a="1"/>
  <c r="F52" i="107" s="1"/>
  <c r="E52" i="107" a="1"/>
  <c r="E52" i="107" s="1"/>
  <c r="D52" i="107" a="1"/>
  <c r="D52" i="107" s="1"/>
  <c r="I51" i="107" a="1"/>
  <c r="I51" i="107" s="1"/>
  <c r="H51" i="107" a="1"/>
  <c r="H51" i="107" s="1"/>
  <c r="G51" i="107" a="1"/>
  <c r="G51" i="107" s="1"/>
  <c r="F51" i="107" a="1"/>
  <c r="F51" i="107" s="1"/>
  <c r="E51" i="107" a="1"/>
  <c r="E51" i="107" s="1"/>
  <c r="D51" i="107" a="1"/>
  <c r="D51" i="107" s="1"/>
  <c r="I50" i="107" a="1"/>
  <c r="I50" i="107" s="1"/>
  <c r="H50" i="107" a="1"/>
  <c r="H50" i="107" s="1"/>
  <c r="G50" i="107" a="1"/>
  <c r="G50" i="107" s="1"/>
  <c r="F50" i="107" a="1"/>
  <c r="F50" i="107" s="1"/>
  <c r="E50" i="107" a="1"/>
  <c r="E50" i="107" s="1"/>
  <c r="D50" i="107" a="1"/>
  <c r="D50" i="107" s="1"/>
  <c r="I49" i="107" a="1"/>
  <c r="I49" i="107" s="1"/>
  <c r="H49" i="107" a="1"/>
  <c r="H49" i="107" s="1"/>
  <c r="G49" i="107" a="1"/>
  <c r="G49" i="107" s="1"/>
  <c r="F49" i="107" a="1"/>
  <c r="F49" i="107" s="1"/>
  <c r="E49" i="107" a="1"/>
  <c r="E49" i="107" s="1"/>
  <c r="D49" i="107" a="1"/>
  <c r="D49" i="107" s="1"/>
  <c r="I48" i="107" a="1"/>
  <c r="I48" i="107" s="1"/>
  <c r="H48" i="107" a="1"/>
  <c r="H48" i="107" s="1"/>
  <c r="G48" i="107" a="1"/>
  <c r="G48" i="107" s="1"/>
  <c r="F48" i="107" a="1"/>
  <c r="F48" i="107" s="1"/>
  <c r="E48" i="107" a="1"/>
  <c r="E48" i="107" s="1"/>
  <c r="D48" i="107" a="1"/>
  <c r="D48" i="107" s="1"/>
  <c r="I47" i="107" a="1"/>
  <c r="I47" i="107" s="1"/>
  <c r="H47" i="107" a="1"/>
  <c r="H47" i="107" s="1"/>
  <c r="G47" i="107" a="1"/>
  <c r="G47" i="107" s="1"/>
  <c r="F47" i="107" a="1"/>
  <c r="F47" i="107" s="1"/>
  <c r="E47" i="107" a="1"/>
  <c r="E47" i="107" s="1"/>
  <c r="D47" i="107" a="1"/>
  <c r="D47" i="107" s="1"/>
  <c r="I46" i="107" a="1"/>
  <c r="I46" i="107" s="1"/>
  <c r="H46" i="107" a="1"/>
  <c r="H46" i="107" s="1"/>
  <c r="G46" i="107" a="1"/>
  <c r="G46" i="107" s="1"/>
  <c r="F46" i="107" a="1"/>
  <c r="F46" i="107" s="1"/>
  <c r="E46" i="107" a="1"/>
  <c r="E46" i="107" s="1"/>
  <c r="D46" i="107" a="1"/>
  <c r="D46" i="107" s="1"/>
  <c r="I45" i="107" a="1"/>
  <c r="I45" i="107" s="1"/>
  <c r="H45" i="107" a="1"/>
  <c r="H45" i="107" s="1"/>
  <c r="G45" i="107" a="1"/>
  <c r="G45" i="107" s="1"/>
  <c r="F45" i="107" a="1"/>
  <c r="F45" i="107" s="1"/>
  <c r="E45" i="107" a="1"/>
  <c r="E45" i="107" s="1"/>
  <c r="D45" i="107" a="1"/>
  <c r="D45" i="107" s="1"/>
  <c r="I44" i="107" a="1"/>
  <c r="I44" i="107" s="1"/>
  <c r="H44" i="107" a="1"/>
  <c r="H44" i="107" s="1"/>
  <c r="G44" i="107" a="1"/>
  <c r="G44" i="107" s="1"/>
  <c r="F44" i="107" a="1"/>
  <c r="F44" i="107" s="1"/>
  <c r="E44" i="107" a="1"/>
  <c r="E44" i="107" s="1"/>
  <c r="D44" i="107" a="1"/>
  <c r="D44" i="107" s="1"/>
  <c r="I43" i="107" a="1"/>
  <c r="I43" i="107" s="1"/>
  <c r="H43" i="107" a="1"/>
  <c r="H43" i="107" s="1"/>
  <c r="G43" i="107" a="1"/>
  <c r="G43" i="107" s="1"/>
  <c r="F43" i="107" a="1"/>
  <c r="F43" i="107" s="1"/>
  <c r="E43" i="107" a="1"/>
  <c r="E43" i="107" s="1"/>
  <c r="D43" i="107" a="1"/>
  <c r="D43" i="107" s="1"/>
  <c r="I42" i="107" a="1"/>
  <c r="I42" i="107" s="1"/>
  <c r="H42" i="107" a="1"/>
  <c r="H42" i="107" s="1"/>
  <c r="G42" i="107" a="1"/>
  <c r="G42" i="107" s="1"/>
  <c r="F42" i="107" a="1"/>
  <c r="F42" i="107" s="1"/>
  <c r="E42" i="107" a="1"/>
  <c r="E42" i="107" s="1"/>
  <c r="D42" i="107" a="1"/>
  <c r="D42" i="107" s="1"/>
  <c r="I41" i="107" a="1"/>
  <c r="I41" i="107" s="1"/>
  <c r="H41" i="107" a="1"/>
  <c r="H41" i="107" s="1"/>
  <c r="G41" i="107" a="1"/>
  <c r="G41" i="107" s="1"/>
  <c r="F41" i="107" a="1"/>
  <c r="F41" i="107" s="1"/>
  <c r="E41" i="107" a="1"/>
  <c r="E41" i="107" s="1"/>
  <c r="D41" i="107" a="1"/>
  <c r="D41" i="107" s="1"/>
  <c r="I40" i="107" a="1"/>
  <c r="I40" i="107" s="1"/>
  <c r="H40" i="107" a="1"/>
  <c r="H40" i="107" s="1"/>
  <c r="G40" i="107" a="1"/>
  <c r="G40" i="107" s="1"/>
  <c r="F40" i="107" a="1"/>
  <c r="F40" i="107" s="1"/>
  <c r="E40" i="107" a="1"/>
  <c r="E40" i="107" s="1"/>
  <c r="D40" i="107" a="1"/>
  <c r="D40" i="107" s="1"/>
  <c r="I39" i="107" a="1"/>
  <c r="I39" i="107" s="1"/>
  <c r="H39" i="107" a="1"/>
  <c r="H39" i="107" s="1"/>
  <c r="G39" i="107" a="1"/>
  <c r="G39" i="107" s="1"/>
  <c r="F39" i="107" a="1"/>
  <c r="F39" i="107" s="1"/>
  <c r="E39" i="107" a="1"/>
  <c r="E39" i="107" s="1"/>
  <c r="D39" i="107" a="1"/>
  <c r="D39" i="107" s="1"/>
  <c r="I38" i="107" a="1"/>
  <c r="I38" i="107" s="1"/>
  <c r="H38" i="107" a="1"/>
  <c r="H38" i="107" s="1"/>
  <c r="G38" i="107" a="1"/>
  <c r="G38" i="107" s="1"/>
  <c r="F38" i="107" a="1"/>
  <c r="F38" i="107" s="1"/>
  <c r="E38" i="107" a="1"/>
  <c r="E38" i="107" s="1"/>
  <c r="D38" i="107" a="1"/>
  <c r="D38" i="107" s="1"/>
  <c r="I37" i="107" a="1"/>
  <c r="I37" i="107" s="1"/>
  <c r="H37" i="107" a="1"/>
  <c r="H37" i="107" s="1"/>
  <c r="G37" i="107" a="1"/>
  <c r="G37" i="107" s="1"/>
  <c r="F37" i="107" a="1"/>
  <c r="F37" i="107" s="1"/>
  <c r="E37" i="107" a="1"/>
  <c r="E37" i="107" s="1"/>
  <c r="D37" i="107" a="1"/>
  <c r="D37" i="107" s="1"/>
  <c r="I36" i="107" a="1"/>
  <c r="I36" i="107" s="1"/>
  <c r="H36" i="107" a="1"/>
  <c r="H36" i="107" s="1"/>
  <c r="G36" i="107" a="1"/>
  <c r="G36" i="107" s="1"/>
  <c r="F36" i="107" a="1"/>
  <c r="F36" i="107" s="1"/>
  <c r="E36" i="107" a="1"/>
  <c r="E36" i="107" s="1"/>
  <c r="D36" i="107" a="1"/>
  <c r="D36" i="107" s="1"/>
  <c r="I35" i="107" a="1"/>
  <c r="I35" i="107" s="1"/>
  <c r="H35" i="107" a="1"/>
  <c r="H35" i="107" s="1"/>
  <c r="G35" i="107" a="1"/>
  <c r="G35" i="107" s="1"/>
  <c r="F35" i="107" a="1"/>
  <c r="F35" i="107" s="1"/>
  <c r="E35" i="107" a="1"/>
  <c r="E35" i="107" s="1"/>
  <c r="D35" i="107" a="1"/>
  <c r="D35" i="107" s="1"/>
  <c r="I34" i="107" a="1"/>
  <c r="I34" i="107" s="1"/>
  <c r="H34" i="107" a="1"/>
  <c r="H34" i="107" s="1"/>
  <c r="G34" i="107" a="1"/>
  <c r="G34" i="107" s="1"/>
  <c r="F34" i="107" a="1"/>
  <c r="F34" i="107" s="1"/>
  <c r="E34" i="107" a="1"/>
  <c r="E34" i="107" s="1"/>
  <c r="I30" i="105" s="1" a="1"/>
  <c r="I30" i="105" s="1"/>
  <c r="D34" i="107" a="1"/>
  <c r="D34" i="107" s="1"/>
  <c r="R85" i="106" a="1"/>
  <c r="R85" i="106" s="1"/>
  <c r="N85" i="106" a="1"/>
  <c r="N85" i="106" s="1"/>
  <c r="H85" i="106" a="1"/>
  <c r="H85" i="106" s="1"/>
  <c r="D85" i="106" a="1"/>
  <c r="D85" i="106" s="1"/>
  <c r="O83" i="106" a="1"/>
  <c r="O83" i="106" s="1"/>
  <c r="E83" i="106" a="1"/>
  <c r="E83" i="106" s="1"/>
  <c r="O82" i="106" a="1"/>
  <c r="O82" i="106" s="1"/>
  <c r="E82" i="106" a="1"/>
  <c r="E82" i="106" s="1"/>
  <c r="N78" i="106" a="1"/>
  <c r="N78" i="106" s="1"/>
  <c r="D78" i="106" a="1"/>
  <c r="D78" i="106" s="1"/>
  <c r="N77" i="106" a="1"/>
  <c r="N77" i="106" s="1"/>
  <c r="D77" i="106" a="1"/>
  <c r="D77" i="106" s="1"/>
  <c r="I72" i="106"/>
  <c r="I71" i="106"/>
  <c r="I70" i="106"/>
  <c r="S67" i="106"/>
  <c r="Q67" i="106" a="1"/>
  <c r="Q67" i="106" s="1"/>
  <c r="N67" i="106" a="1"/>
  <c r="N67" i="106" s="1"/>
  <c r="I67" i="106"/>
  <c r="G67" i="106" a="1"/>
  <c r="G67" i="106" s="1"/>
  <c r="D67" i="106" a="1"/>
  <c r="D67" i="106" s="1"/>
  <c r="O65" i="106" a="1"/>
  <c r="O65" i="106" s="1"/>
  <c r="E65" i="106" a="1"/>
  <c r="E65" i="106" s="1"/>
  <c r="F74" i="106" s="1"/>
  <c r="O64" i="106" a="1"/>
  <c r="O64" i="106" s="1"/>
  <c r="E64" i="106" a="1"/>
  <c r="E64" i="106" s="1"/>
  <c r="N60" i="106" a="1"/>
  <c r="N60" i="106" s="1"/>
  <c r="D60" i="106" a="1"/>
  <c r="D60" i="106" s="1"/>
  <c r="N59" i="106" a="1"/>
  <c r="N59" i="106" s="1"/>
  <c r="D59" i="106" a="1"/>
  <c r="D59" i="106" s="1"/>
  <c r="I52" i="106"/>
  <c r="I51" i="106"/>
  <c r="Q48" i="106" a="1"/>
  <c r="Q48" i="106" s="1"/>
  <c r="N48" i="106" a="1"/>
  <c r="N48" i="106" s="1"/>
  <c r="G48" i="106" a="1"/>
  <c r="G48" i="106" s="1"/>
  <c r="D48" i="106" a="1"/>
  <c r="D48" i="106" s="1"/>
  <c r="O46" i="106" a="1"/>
  <c r="O46" i="106" s="1"/>
  <c r="E46" i="106" a="1"/>
  <c r="E46" i="106" s="1"/>
  <c r="O45" i="106" a="1"/>
  <c r="O45" i="106" s="1"/>
  <c r="E45" i="106" a="1"/>
  <c r="E45" i="106" s="1"/>
  <c r="N41" i="106" a="1"/>
  <c r="N41" i="106" s="1"/>
  <c r="D41" i="106" a="1"/>
  <c r="D41" i="106" s="1"/>
  <c r="N40" i="106" a="1"/>
  <c r="N40" i="106" s="1"/>
  <c r="D40" i="106" a="1"/>
  <c r="D40" i="106" s="1"/>
  <c r="S32" i="106"/>
  <c r="Q32" i="106" a="1"/>
  <c r="Q32" i="106" s="1"/>
  <c r="N32" i="106" a="1"/>
  <c r="N32" i="106" s="1"/>
  <c r="I32" i="106"/>
  <c r="G32" i="106" a="1"/>
  <c r="G32" i="106" s="1"/>
  <c r="D32" i="106" a="1"/>
  <c r="D32" i="106" s="1"/>
  <c r="O30" i="106" a="1"/>
  <c r="O30" i="106" s="1"/>
  <c r="P35" i="106" s="1"/>
  <c r="E30" i="106" a="1"/>
  <c r="E30" i="106" s="1"/>
  <c r="F35" i="106" s="1"/>
  <c r="O29" i="106" a="1"/>
  <c r="O29" i="106" s="1"/>
  <c r="E29" i="106" a="1"/>
  <c r="E29" i="106" s="1"/>
  <c r="N25" i="106" a="1"/>
  <c r="N25" i="106" s="1"/>
  <c r="D25" i="106" a="1"/>
  <c r="D25" i="106" s="1"/>
  <c r="N24" i="106" a="1"/>
  <c r="N24" i="106" s="1"/>
  <c r="D24" i="106" a="1"/>
  <c r="D24" i="106" s="1"/>
  <c r="J16" i="106"/>
  <c r="T13" i="106"/>
  <c r="R13" i="106" a="1"/>
  <c r="R13" i="106" s="1"/>
  <c r="N13" i="106" a="1"/>
  <c r="N13" i="106" s="1"/>
  <c r="J13" i="106"/>
  <c r="H13" i="106" a="1"/>
  <c r="H13" i="106" s="1"/>
  <c r="D13" i="106" a="1"/>
  <c r="D13" i="106" s="1"/>
  <c r="O11" i="106" a="1"/>
  <c r="O11" i="106" s="1"/>
  <c r="E11" i="106" a="1"/>
  <c r="E11" i="106" s="1"/>
  <c r="O10" i="106" a="1"/>
  <c r="O10" i="106" s="1"/>
  <c r="E10" i="106" a="1"/>
  <c r="E10" i="106" s="1"/>
  <c r="N6" i="106" a="1"/>
  <c r="N6" i="106" s="1"/>
  <c r="D6" i="106" a="1"/>
  <c r="D6" i="106" s="1"/>
  <c r="N5" i="106" a="1"/>
  <c r="N5" i="106" s="1"/>
  <c r="D5" i="106" a="1"/>
  <c r="D5" i="106" s="1"/>
  <c r="J636" i="105" a="1"/>
  <c r="J636" i="105" s="1"/>
  <c r="J635" i="105" a="1"/>
  <c r="J635" i="105" s="1"/>
  <c r="J631" i="105" a="1"/>
  <c r="J631" i="105" s="1"/>
  <c r="J630" i="105" a="1"/>
  <c r="J630" i="105" s="1"/>
  <c r="J629" i="105" a="1"/>
  <c r="J629" i="105" s="1"/>
  <c r="J628" i="105" a="1"/>
  <c r="J628" i="105" s="1"/>
  <c r="J632" i="105" a="1"/>
  <c r="J632" i="105" s="1"/>
  <c r="J618" i="105" a="1"/>
  <c r="J618" i="105" s="1"/>
  <c r="J617" i="105" a="1"/>
  <c r="J617" i="105" s="1"/>
  <c r="J613" i="105" a="1"/>
  <c r="J613" i="105" s="1"/>
  <c r="J612" i="105" a="1"/>
  <c r="J612" i="105" s="1"/>
  <c r="J611" i="105" a="1"/>
  <c r="J611" i="105" s="1"/>
  <c r="J610" i="105" a="1"/>
  <c r="J610" i="105" s="1"/>
  <c r="J615" i="105" a="1"/>
  <c r="J615" i="105" s="1"/>
  <c r="G601" i="105" a="1"/>
  <c r="G601" i="105" s="1"/>
  <c r="D601" i="105" a="1"/>
  <c r="D601" i="105" s="1"/>
  <c r="E599" i="105" a="1"/>
  <c r="E599" i="105" s="1"/>
  <c r="E598" i="105" a="1"/>
  <c r="E598" i="105" s="1"/>
  <c r="D593" i="105" a="1"/>
  <c r="D593" i="105" s="1"/>
  <c r="D592" i="105" a="1"/>
  <c r="D592" i="105" s="1"/>
  <c r="E586" i="105" a="1"/>
  <c r="E586" i="105" s="1"/>
  <c r="F588" i="105" s="1"/>
  <c r="E585" i="105" a="1"/>
  <c r="E585" i="105" s="1"/>
  <c r="D583" i="105" a="1"/>
  <c r="D583" i="105" s="1"/>
  <c r="D582" i="105" a="1"/>
  <c r="D582" i="105" s="1"/>
  <c r="N578" i="105" a="1"/>
  <c r="N578" i="105" s="1"/>
  <c r="F578" i="105" a="1"/>
  <c r="F578" i="105" s="1"/>
  <c r="L575" i="105" a="1"/>
  <c r="L575" i="105" s="1"/>
  <c r="D575" i="105" a="1"/>
  <c r="D575" i="105" s="1"/>
  <c r="P569" i="105" a="1"/>
  <c r="P569" i="105" s="1"/>
  <c r="L569" i="105" a="1"/>
  <c r="L569" i="105" s="1"/>
  <c r="H569" i="105" a="1"/>
  <c r="H569" i="105" s="1"/>
  <c r="D569" i="105" a="1"/>
  <c r="D569" i="105" s="1"/>
  <c r="E565" i="105" a="1"/>
  <c r="E565" i="105" s="1"/>
  <c r="E564" i="105" a="1"/>
  <c r="E564" i="105" s="1"/>
  <c r="D560" i="105" a="1"/>
  <c r="D560" i="105" s="1"/>
  <c r="D559" i="105" a="1"/>
  <c r="D559" i="105" s="1"/>
  <c r="I553" i="105"/>
  <c r="I549" i="105"/>
  <c r="I548" i="105"/>
  <c r="I547" i="105"/>
  <c r="G547" i="105" a="1"/>
  <c r="G547" i="105" s="1"/>
  <c r="D547" i="105" a="1"/>
  <c r="D547" i="105" s="1"/>
  <c r="E545" i="105" a="1"/>
  <c r="E545" i="105" s="1"/>
  <c r="E544" i="105" a="1"/>
  <c r="E544" i="105" s="1"/>
  <c r="D539" i="105" a="1"/>
  <c r="D539" i="105" s="1"/>
  <c r="D538" i="105" a="1"/>
  <c r="D538" i="105" s="1"/>
  <c r="D537" i="105" a="1"/>
  <c r="D537" i="105" s="1"/>
  <c r="I531" i="105"/>
  <c r="I529" i="105"/>
  <c r="G529" i="105" a="1"/>
  <c r="G529" i="105" s="1"/>
  <c r="D529" i="105" a="1"/>
  <c r="D529" i="105" s="1"/>
  <c r="E527" i="105" a="1"/>
  <c r="E527" i="105" s="1"/>
  <c r="E526" i="105" a="1"/>
  <c r="E526" i="105" s="1"/>
  <c r="D522" i="105" a="1"/>
  <c r="D522" i="105" s="1"/>
  <c r="D521" i="105" a="1"/>
  <c r="D521" i="105" s="1"/>
  <c r="G515" i="105" a="1"/>
  <c r="G515" i="105" s="1"/>
  <c r="D515" i="105" a="1"/>
  <c r="D515" i="105" s="1"/>
  <c r="E513" i="105" a="1"/>
  <c r="E513" i="105" s="1"/>
  <c r="E512" i="105" a="1"/>
  <c r="E512" i="105" s="1"/>
  <c r="D507" i="105" a="1"/>
  <c r="D507" i="105" s="1"/>
  <c r="D506" i="105" a="1"/>
  <c r="D506" i="105" s="1"/>
  <c r="K499" i="105" a="1"/>
  <c r="K499" i="105" s="1"/>
  <c r="K498" i="105" a="1"/>
  <c r="K498" i="105" s="1"/>
  <c r="K497" i="105" a="1"/>
  <c r="K497" i="105" s="1"/>
  <c r="K496" i="105" a="1"/>
  <c r="K496" i="105" s="1"/>
  <c r="K493" i="105" a="1"/>
  <c r="K493" i="105" s="1"/>
  <c r="K492" i="105" a="1"/>
  <c r="K492" i="105" s="1"/>
  <c r="K491" i="105" a="1"/>
  <c r="K491" i="105" s="1"/>
  <c r="K495" i="105" a="1"/>
  <c r="K495" i="105" s="1"/>
  <c r="E481" i="105"/>
  <c r="I481" i="105" s="1" a="1"/>
  <c r="I481" i="105" s="1"/>
  <c r="E480" i="105"/>
  <c r="E479" i="105"/>
  <c r="I479" i="105" s="1" a="1"/>
  <c r="I479" i="105" s="1"/>
  <c r="E470" i="105"/>
  <c r="I470" i="105" s="1" a="1"/>
  <c r="I470" i="105" s="1"/>
  <c r="E469" i="105"/>
  <c r="E468" i="105"/>
  <c r="I468" i="105" s="1" a="1"/>
  <c r="I468" i="105" s="1"/>
  <c r="E467" i="105"/>
  <c r="E466" i="105"/>
  <c r="I466" i="105" s="1" a="1"/>
  <c r="I466" i="105" s="1"/>
  <c r="J453" i="105" a="1"/>
  <c r="J453" i="105" s="1"/>
  <c r="J452" i="105" a="1"/>
  <c r="J452" i="105" s="1"/>
  <c r="J450" i="105" a="1"/>
  <c r="J450" i="105" s="1"/>
  <c r="J451" i="105" a="1"/>
  <c r="J451" i="105" s="1"/>
  <c r="J435" i="105" a="1"/>
  <c r="J435" i="105" s="1"/>
  <c r="J434" i="105" a="1"/>
  <c r="J434" i="105" s="1"/>
  <c r="J432" i="105" a="1"/>
  <c r="J432" i="105" s="1"/>
  <c r="J433" i="105" a="1"/>
  <c r="J433" i="105" s="1"/>
  <c r="G424" i="105" a="1"/>
  <c r="G424" i="105" s="1"/>
  <c r="D424" i="105" a="1"/>
  <c r="D424" i="105" s="1"/>
  <c r="E422" i="105" a="1"/>
  <c r="E422" i="105" s="1"/>
  <c r="E421" i="105" a="1"/>
  <c r="E421" i="105" s="1"/>
  <c r="D416" i="105" a="1"/>
  <c r="D416" i="105" s="1"/>
  <c r="D415" i="105" a="1"/>
  <c r="D415" i="105" s="1"/>
  <c r="J408" i="105" a="1"/>
  <c r="J408" i="105" s="1"/>
  <c r="J407" i="105" a="1"/>
  <c r="J407" i="105" s="1"/>
  <c r="J403" i="105" a="1"/>
  <c r="J403" i="105" s="1"/>
  <c r="K402" i="105"/>
  <c r="K407" i="105"/>
  <c r="J400" i="105" a="1"/>
  <c r="J400" i="105" s="1"/>
  <c r="F392" i="105" a="1"/>
  <c r="F392" i="105" s="1"/>
  <c r="D392" i="105" a="1"/>
  <c r="D392" i="105" s="1"/>
  <c r="E390" i="105" a="1"/>
  <c r="E390" i="105" s="1"/>
  <c r="E389" i="105" a="1"/>
  <c r="E389" i="105" s="1"/>
  <c r="D384" i="105" a="1"/>
  <c r="D384" i="105" s="1"/>
  <c r="D383" i="105" a="1"/>
  <c r="D383" i="105" s="1"/>
  <c r="F362" i="105" a="1"/>
  <c r="F362" i="105" s="1"/>
  <c r="D362" i="105" a="1"/>
  <c r="D362" i="105" s="1"/>
  <c r="E360" i="105" a="1"/>
  <c r="E360" i="105" s="1"/>
  <c r="E359" i="105" a="1"/>
  <c r="E359" i="105" s="1"/>
  <c r="D354" i="105" a="1"/>
  <c r="D354" i="105" s="1"/>
  <c r="D353" i="105" a="1"/>
  <c r="D353" i="105" s="1"/>
  <c r="D352" i="105" a="1"/>
  <c r="D352" i="105" s="1"/>
  <c r="L343" i="105"/>
  <c r="K341" i="105" a="1"/>
  <c r="K341" i="105" s="1"/>
  <c r="L340" i="105"/>
  <c r="K340" i="105" a="1"/>
  <c r="K340" i="105" s="1"/>
  <c r="L339" i="105"/>
  <c r="G329" i="105" a="1"/>
  <c r="G329" i="105" s="1"/>
  <c r="D329" i="105" a="1"/>
  <c r="D329" i="105" s="1"/>
  <c r="E327" i="105" a="1"/>
  <c r="E327" i="105" s="1"/>
  <c r="E326" i="105" a="1"/>
  <c r="E326" i="105" s="1"/>
  <c r="D322" i="105" a="1"/>
  <c r="D322" i="105" s="1"/>
  <c r="D321" i="105" a="1"/>
  <c r="D321" i="105" s="1"/>
  <c r="F296" i="105" a="1"/>
  <c r="G300" i="105" s="1"/>
  <c r="D296" i="105" a="1"/>
  <c r="D296" i="105" s="1"/>
  <c r="E294" i="105" a="1"/>
  <c r="E294" i="105" s="1"/>
  <c r="E293" i="105" a="1"/>
  <c r="E293" i="105" s="1"/>
  <c r="D289" i="105" a="1"/>
  <c r="D289" i="105" s="1"/>
  <c r="D288" i="105" a="1"/>
  <c r="D288" i="105" s="1"/>
  <c r="G265" i="105" a="1"/>
  <c r="G265" i="105" s="1"/>
  <c r="D265" i="105" a="1"/>
  <c r="D265" i="105" s="1"/>
  <c r="E263" i="105" a="1"/>
  <c r="E263" i="105" s="1"/>
  <c r="E262" i="105" a="1"/>
  <c r="E262" i="105" s="1"/>
  <c r="D257" i="105" a="1"/>
  <c r="D257" i="105" s="1"/>
  <c r="D256" i="105" a="1"/>
  <c r="D256" i="105" s="1"/>
  <c r="G209" i="105" a="1"/>
  <c r="G209" i="105" s="1"/>
  <c r="D209" i="105" a="1"/>
  <c r="D209" i="105" s="1"/>
  <c r="E207" i="105" a="1"/>
  <c r="E207" i="105" s="1"/>
  <c r="E206" i="105" a="1"/>
  <c r="E206" i="105" s="1"/>
  <c r="D202" i="105" a="1"/>
  <c r="D202" i="105" s="1"/>
  <c r="D201" i="105" a="1"/>
  <c r="D201" i="105" s="1"/>
  <c r="D200" i="105" a="1"/>
  <c r="D200" i="105" s="1"/>
  <c r="G194" i="105" a="1"/>
  <c r="G194" i="105" s="1"/>
  <c r="D194" i="105" a="1"/>
  <c r="D194" i="105" s="1"/>
  <c r="E192" i="105" a="1"/>
  <c r="E192" i="105" s="1"/>
  <c r="E191" i="105" a="1"/>
  <c r="E191" i="105" s="1"/>
  <c r="D187" i="105" a="1"/>
  <c r="D187" i="105" s="1"/>
  <c r="D186" i="105" a="1"/>
  <c r="D186" i="105" s="1"/>
  <c r="G180" i="105" a="1"/>
  <c r="G180" i="105" s="1"/>
  <c r="D180" i="105" a="1"/>
  <c r="D180" i="105" s="1"/>
  <c r="E178" i="105" a="1"/>
  <c r="E178" i="105" s="1"/>
  <c r="E177" i="105" a="1"/>
  <c r="E177" i="105" s="1"/>
  <c r="D173" i="105" a="1"/>
  <c r="D173" i="105" s="1"/>
  <c r="D172" i="105" a="1"/>
  <c r="D172" i="105" s="1"/>
  <c r="D171" i="105" a="1"/>
  <c r="D171" i="105" s="1"/>
  <c r="E164" i="105"/>
  <c r="I164" i="105" s="1" a="1"/>
  <c r="I164" i="105" s="1"/>
  <c r="E163" i="105"/>
  <c r="I163" i="105" s="1" a="1"/>
  <c r="I163" i="105" s="1"/>
  <c r="E162" i="105"/>
  <c r="I162" i="105" s="1" a="1"/>
  <c r="I162" i="105" s="1"/>
  <c r="G157" i="105" a="1"/>
  <c r="G157" i="105" s="1"/>
  <c r="D157" i="105" a="1"/>
  <c r="D157" i="105" s="1"/>
  <c r="E155" i="105" a="1"/>
  <c r="E155" i="105" s="1"/>
  <c r="E154" i="105" a="1"/>
  <c r="E154" i="105" s="1"/>
  <c r="D150" i="105" a="1"/>
  <c r="D150" i="105" s="1"/>
  <c r="D149" i="105" a="1"/>
  <c r="D149" i="105" s="1"/>
  <c r="E139" i="105"/>
  <c r="E138" i="105"/>
  <c r="E137" i="105"/>
  <c r="I137" i="105" s="1" a="1"/>
  <c r="I137" i="105" s="1"/>
  <c r="E136" i="105"/>
  <c r="I136" i="105" s="1" a="1"/>
  <c r="I136" i="105" s="1"/>
  <c r="I121" i="105" a="1"/>
  <c r="I121" i="105" s="1"/>
  <c r="G106" i="105" a="1"/>
  <c r="G106" i="105" s="1"/>
  <c r="D106" i="105" a="1"/>
  <c r="D106" i="105" s="1"/>
  <c r="E104" i="105" a="1"/>
  <c r="E104" i="105" s="1"/>
  <c r="F621" i="105" s="1"/>
  <c r="E103" i="105" a="1"/>
  <c r="E103" i="105" s="1"/>
  <c r="D99" i="105" a="1"/>
  <c r="D99" i="105" s="1"/>
  <c r="D98" i="105" a="1"/>
  <c r="D98" i="105" s="1"/>
  <c r="J62" i="105" a="1"/>
  <c r="J62" i="105" s="1"/>
  <c r="G13" i="105" a="1"/>
  <c r="G13" i="105" s="1"/>
  <c r="D13" i="105" a="1"/>
  <c r="D13" i="105" s="1"/>
  <c r="E11" i="105" a="1"/>
  <c r="E11" i="105" s="1"/>
  <c r="F91" i="105" s="1"/>
  <c r="E10" i="105" a="1"/>
  <c r="E10" i="105" s="1"/>
  <c r="D6" i="105" a="1"/>
  <c r="D6" i="105" s="1"/>
  <c r="D5" i="105" a="1"/>
  <c r="D5" i="105" s="1"/>
  <c r="H102" i="102"/>
  <c r="H101" i="102"/>
  <c r="H100" i="102"/>
  <c r="H99" i="102"/>
  <c r="H98" i="102"/>
  <c r="H97" i="102"/>
  <c r="H96" i="102"/>
  <c r="H95" i="102"/>
  <c r="H94" i="102"/>
  <c r="H93" i="102"/>
  <c r="F367" i="105" s="1" a="1"/>
  <c r="F367" i="105" s="1"/>
  <c r="H20" i="102"/>
  <c r="O20" i="102" s="1"/>
  <c r="H19" i="102"/>
  <c r="R19" i="102" s="1"/>
  <c r="R18" i="102"/>
  <c r="L18" i="102"/>
  <c r="H18" i="102"/>
  <c r="O18" i="102" s="1"/>
  <c r="H17" i="102"/>
  <c r="L17" i="102" s="1"/>
  <c r="O16" i="102"/>
  <c r="L16" i="102"/>
  <c r="H16" i="102"/>
  <c r="R16" i="102" s="1"/>
  <c r="O15" i="102"/>
  <c r="H15" i="102"/>
  <c r="R15" i="102" s="1"/>
  <c r="R14" i="102"/>
  <c r="O14" i="102"/>
  <c r="H14" i="102"/>
  <c r="L14" i="102" s="1"/>
  <c r="R13" i="102"/>
  <c r="H13" i="102"/>
  <c r="L13" i="102" s="1"/>
  <c r="H12" i="102"/>
  <c r="R12" i="102" s="1"/>
  <c r="H11" i="102"/>
  <c r="R11" i="102" s="1"/>
  <c r="Q9" i="102" a="1"/>
  <c r="Q9" i="102" s="1"/>
  <c r="N9" i="102" a="1"/>
  <c r="N9" i="102" s="1"/>
  <c r="K9" i="102"/>
  <c r="K9" i="102" a="1"/>
  <c r="F235" i="101" a="1"/>
  <c r="F235" i="101" s="1"/>
  <c r="E235" i="101" a="1"/>
  <c r="E235" i="101" s="1"/>
  <c r="D235" i="101" a="1"/>
  <c r="D235" i="101" s="1"/>
  <c r="F234" i="101" a="1"/>
  <c r="F234" i="101" s="1"/>
  <c r="E234" i="101" a="1"/>
  <c r="E234" i="101" s="1"/>
  <c r="D234" i="101" a="1"/>
  <c r="D234" i="101" s="1"/>
  <c r="F233" i="101" a="1"/>
  <c r="F233" i="101" s="1"/>
  <c r="E233" i="101" a="1"/>
  <c r="E233" i="101" s="1"/>
  <c r="D233" i="101" a="1"/>
  <c r="D233" i="101" s="1"/>
  <c r="F232" i="101" a="1"/>
  <c r="F232" i="101" s="1"/>
  <c r="E232" i="101" a="1"/>
  <c r="E232" i="101" s="1"/>
  <c r="D232" i="101" a="1"/>
  <c r="D232" i="101" s="1"/>
  <c r="F231" i="101" a="1"/>
  <c r="F231" i="101" s="1"/>
  <c r="E231" i="101" a="1"/>
  <c r="E231" i="101" s="1"/>
  <c r="D231" i="101" a="1"/>
  <c r="D231" i="101" s="1"/>
  <c r="F230" i="101" a="1"/>
  <c r="F230" i="101" s="1"/>
  <c r="E230" i="101" a="1"/>
  <c r="E230" i="101" s="1"/>
  <c r="D230" i="101" a="1"/>
  <c r="D230" i="101" s="1"/>
  <c r="F229" i="101" a="1"/>
  <c r="F229" i="101" s="1"/>
  <c r="E229" i="101" a="1"/>
  <c r="E229" i="101" s="1"/>
  <c r="D229" i="101" a="1"/>
  <c r="D229" i="101" s="1"/>
  <c r="F228" i="101" a="1"/>
  <c r="F228" i="101" s="1"/>
  <c r="E228" i="101" a="1"/>
  <c r="E228" i="101" s="1"/>
  <c r="D228" i="101" a="1"/>
  <c r="D228" i="101" s="1"/>
  <c r="F227" i="101" a="1"/>
  <c r="F227" i="101" s="1"/>
  <c r="E227" i="101" a="1"/>
  <c r="E227" i="101" s="1"/>
  <c r="D227" i="101" a="1"/>
  <c r="D227" i="101" s="1"/>
  <c r="F226" i="101" a="1"/>
  <c r="F226" i="101" s="1"/>
  <c r="E226" i="101" a="1"/>
  <c r="E226" i="101" s="1"/>
  <c r="D226" i="101" a="1"/>
  <c r="D226" i="101" s="1"/>
  <c r="F225" i="101" a="1"/>
  <c r="F225" i="101" s="1"/>
  <c r="E225" i="101" a="1"/>
  <c r="E225" i="101" s="1"/>
  <c r="D225" i="101" a="1"/>
  <c r="D225" i="101" s="1"/>
  <c r="F224" i="101" a="1"/>
  <c r="F224" i="101" s="1"/>
  <c r="E224" i="101" a="1"/>
  <c r="E224" i="101" s="1"/>
  <c r="D224" i="101" a="1"/>
  <c r="D224" i="101" s="1"/>
  <c r="F223" i="101" a="1"/>
  <c r="F223" i="101" s="1"/>
  <c r="E223" i="101" a="1"/>
  <c r="E223" i="101" s="1"/>
  <c r="D223" i="101" a="1"/>
  <c r="D223" i="101" s="1"/>
  <c r="F222" i="101" a="1"/>
  <c r="F222" i="101" s="1"/>
  <c r="E222" i="101" a="1"/>
  <c r="E222" i="101" s="1"/>
  <c r="D222" i="101" a="1"/>
  <c r="D222" i="101" s="1"/>
  <c r="F221" i="101" a="1"/>
  <c r="F221" i="101" s="1"/>
  <c r="E221" i="101" a="1"/>
  <c r="E221" i="101" s="1"/>
  <c r="D221" i="101" a="1"/>
  <c r="D221" i="101" s="1"/>
  <c r="F220" i="101" a="1"/>
  <c r="F220" i="101" s="1"/>
  <c r="E220" i="101" a="1"/>
  <c r="E220" i="101" s="1"/>
  <c r="D220" i="101" a="1"/>
  <c r="D220" i="101" s="1"/>
  <c r="F219" i="101" a="1"/>
  <c r="F219" i="101" s="1"/>
  <c r="E219" i="101" a="1"/>
  <c r="E219" i="101" s="1"/>
  <c r="D219" i="101" a="1"/>
  <c r="D219" i="101" s="1"/>
  <c r="F218" i="101" a="1"/>
  <c r="F218" i="101" s="1"/>
  <c r="E218" i="101" a="1"/>
  <c r="E218" i="101" s="1"/>
  <c r="D218" i="101" a="1"/>
  <c r="D218" i="101" s="1"/>
  <c r="F217" i="101" a="1"/>
  <c r="F217" i="101" s="1"/>
  <c r="E217" i="101" a="1"/>
  <c r="E217" i="101" s="1"/>
  <c r="D217" i="101" a="1"/>
  <c r="D217" i="101" s="1"/>
  <c r="F216" i="101" a="1"/>
  <c r="F216" i="101" s="1"/>
  <c r="E216" i="101" a="1"/>
  <c r="E216" i="101" s="1"/>
  <c r="D216" i="101" a="1"/>
  <c r="D216" i="101" s="1"/>
  <c r="F215" i="101" a="1"/>
  <c r="F215" i="101" s="1"/>
  <c r="E215" i="101" a="1"/>
  <c r="E215" i="101" s="1"/>
  <c r="D215" i="101" a="1"/>
  <c r="D215" i="101" s="1"/>
  <c r="F214" i="101" a="1"/>
  <c r="F214" i="101" s="1"/>
  <c r="E214" i="101" a="1"/>
  <c r="E214" i="101" s="1"/>
  <c r="D214" i="101" a="1"/>
  <c r="D214" i="101" s="1"/>
  <c r="F213" i="101" a="1"/>
  <c r="F213" i="101" s="1"/>
  <c r="E213" i="101" a="1"/>
  <c r="E213" i="101" s="1"/>
  <c r="D213" i="101" a="1"/>
  <c r="D213" i="101" s="1"/>
  <c r="F212" i="101" a="1"/>
  <c r="F212" i="101" s="1"/>
  <c r="E212" i="101" a="1"/>
  <c r="E212" i="101" s="1"/>
  <c r="D212" i="101" a="1"/>
  <c r="D212" i="101" s="1"/>
  <c r="F211" i="101" a="1"/>
  <c r="F211" i="101" s="1"/>
  <c r="E211" i="101" a="1"/>
  <c r="E211" i="101" s="1"/>
  <c r="D211" i="101" a="1"/>
  <c r="D211" i="101" s="1"/>
  <c r="F210" i="101" a="1"/>
  <c r="F210" i="101" s="1"/>
  <c r="E210" i="101" a="1"/>
  <c r="E210" i="101" s="1"/>
  <c r="D210" i="101" a="1"/>
  <c r="D210" i="101" s="1"/>
  <c r="F209" i="101" a="1"/>
  <c r="F209" i="101" s="1"/>
  <c r="E209" i="101" a="1"/>
  <c r="E209" i="101" s="1"/>
  <c r="D209" i="101" a="1"/>
  <c r="D209" i="101" s="1"/>
  <c r="F208" i="101" a="1"/>
  <c r="F208" i="101" s="1"/>
  <c r="E208" i="101" a="1"/>
  <c r="E208" i="101" s="1"/>
  <c r="D208" i="101" a="1"/>
  <c r="D208" i="101" s="1"/>
  <c r="F207" i="101" a="1"/>
  <c r="F207" i="101" s="1"/>
  <c r="E207" i="101" a="1"/>
  <c r="E207" i="101" s="1"/>
  <c r="D207" i="101" a="1"/>
  <c r="D207" i="101" s="1"/>
  <c r="F206" i="101" a="1"/>
  <c r="F206" i="101" s="1"/>
  <c r="E206" i="101" a="1"/>
  <c r="E206" i="101" s="1"/>
  <c r="D206" i="101" a="1"/>
  <c r="D206" i="101" s="1"/>
  <c r="F205" i="101" a="1"/>
  <c r="F205" i="101" s="1"/>
  <c r="E205" i="101" a="1"/>
  <c r="E205" i="101" s="1"/>
  <c r="D205" i="101" a="1"/>
  <c r="D205" i="101" s="1"/>
  <c r="F204" i="101" a="1"/>
  <c r="F204" i="101" s="1"/>
  <c r="E204" i="101" a="1"/>
  <c r="E204" i="101" s="1"/>
  <c r="D204" i="101" a="1"/>
  <c r="D204" i="101" s="1"/>
  <c r="F203" i="101" a="1"/>
  <c r="F203" i="101" s="1"/>
  <c r="E203" i="101" a="1"/>
  <c r="E203" i="101" s="1"/>
  <c r="D203" i="101" a="1"/>
  <c r="D203" i="101" s="1"/>
  <c r="F202" i="101" a="1"/>
  <c r="F202" i="101" s="1"/>
  <c r="E202" i="101" a="1"/>
  <c r="E202" i="101" s="1"/>
  <c r="D202" i="101" a="1"/>
  <c r="D202" i="101" s="1"/>
  <c r="F201" i="101" a="1"/>
  <c r="F201" i="101" s="1"/>
  <c r="E201" i="101" a="1"/>
  <c r="E201" i="101" s="1"/>
  <c r="D201" i="101" a="1"/>
  <c r="D201" i="101" s="1"/>
  <c r="F200" i="101" a="1"/>
  <c r="F200" i="101" s="1"/>
  <c r="E200" i="101" a="1"/>
  <c r="E200" i="101" s="1"/>
  <c r="D200" i="101" a="1"/>
  <c r="D200" i="101" s="1"/>
  <c r="F199" i="101" a="1"/>
  <c r="F199" i="101" s="1"/>
  <c r="E199" i="101" a="1"/>
  <c r="E199" i="101" s="1"/>
  <c r="D199" i="101" a="1"/>
  <c r="D199" i="101" s="1"/>
  <c r="F198" i="101" a="1"/>
  <c r="F198" i="101" s="1"/>
  <c r="E198" i="101" a="1"/>
  <c r="E198" i="101" s="1"/>
  <c r="D198" i="101" a="1"/>
  <c r="D198" i="101" s="1"/>
  <c r="F197" i="101" a="1"/>
  <c r="F197" i="101" s="1"/>
  <c r="E197" i="101" a="1"/>
  <c r="E197" i="101" s="1"/>
  <c r="D197" i="101" a="1"/>
  <c r="D197" i="101" s="1"/>
  <c r="F196" i="101" a="1"/>
  <c r="F196" i="101" s="1"/>
  <c r="E196" i="101" a="1"/>
  <c r="E196" i="101" s="1"/>
  <c r="D196" i="101" a="1"/>
  <c r="D196" i="101" s="1"/>
  <c r="F195" i="101" a="1"/>
  <c r="F195" i="101" s="1"/>
  <c r="E195" i="101" a="1"/>
  <c r="E195" i="101" s="1"/>
  <c r="D195" i="101" a="1"/>
  <c r="D195" i="101" s="1"/>
  <c r="F194" i="101" a="1"/>
  <c r="F194" i="101" s="1"/>
  <c r="E194" i="101" a="1"/>
  <c r="E194" i="101" s="1"/>
  <c r="D194" i="101" a="1"/>
  <c r="D194" i="101" s="1"/>
  <c r="F193" i="101" a="1"/>
  <c r="F193" i="101" s="1"/>
  <c r="E193" i="101" a="1"/>
  <c r="E193" i="101" s="1"/>
  <c r="D193" i="101" a="1"/>
  <c r="D193" i="101" s="1"/>
  <c r="F192" i="101" a="1"/>
  <c r="F192" i="101" s="1"/>
  <c r="E192" i="101" a="1"/>
  <c r="E192" i="101" s="1"/>
  <c r="D192" i="101" a="1"/>
  <c r="D192" i="101" s="1"/>
  <c r="F191" i="101" a="1"/>
  <c r="F191" i="101" s="1"/>
  <c r="E191" i="101" a="1"/>
  <c r="E191" i="101" s="1"/>
  <c r="D191" i="101" a="1"/>
  <c r="D191" i="101" s="1"/>
  <c r="F190" i="101" a="1"/>
  <c r="F190" i="101" s="1"/>
  <c r="E190" i="101" a="1"/>
  <c r="E190" i="101" s="1"/>
  <c r="D190" i="101" a="1"/>
  <c r="D190" i="101" s="1"/>
  <c r="F189" i="101" a="1"/>
  <c r="F189" i="101" s="1"/>
  <c r="E189" i="101" a="1"/>
  <c r="E189" i="101" s="1"/>
  <c r="D189" i="101" a="1"/>
  <c r="D189" i="101" s="1"/>
  <c r="F188" i="101" a="1"/>
  <c r="F188" i="101" s="1"/>
  <c r="E188" i="101" a="1"/>
  <c r="E188" i="101" s="1"/>
  <c r="D188" i="101" a="1"/>
  <c r="D188" i="101" s="1"/>
  <c r="F187" i="101" a="1"/>
  <c r="F187" i="101" s="1"/>
  <c r="E187" i="101" a="1"/>
  <c r="E187" i="101" s="1"/>
  <c r="D187" i="101" a="1"/>
  <c r="D187" i="101" s="1"/>
  <c r="F186" i="101" a="1"/>
  <c r="F186" i="101" s="1"/>
  <c r="E186" i="101" a="1"/>
  <c r="E186" i="101" s="1"/>
  <c r="D186" i="101" a="1"/>
  <c r="D186" i="101" s="1"/>
  <c r="F185" i="101" a="1"/>
  <c r="F185" i="101" s="1"/>
  <c r="E185" i="101" a="1"/>
  <c r="E185" i="101" s="1"/>
  <c r="D185" i="101" a="1"/>
  <c r="D185" i="101" s="1"/>
  <c r="F184" i="101" a="1"/>
  <c r="F184" i="101" s="1"/>
  <c r="E184" i="101" a="1"/>
  <c r="E184" i="101" s="1"/>
  <c r="D184" i="101" a="1"/>
  <c r="D184" i="101" s="1"/>
  <c r="F183" i="101" a="1"/>
  <c r="F183" i="101" s="1"/>
  <c r="E183" i="101" a="1"/>
  <c r="E183" i="101" s="1"/>
  <c r="D183" i="101" a="1"/>
  <c r="D183" i="101" s="1"/>
  <c r="F182" i="101" a="1"/>
  <c r="F182" i="101" s="1"/>
  <c r="E182" i="101" a="1"/>
  <c r="E182" i="101" s="1"/>
  <c r="D182" i="101" a="1"/>
  <c r="D182" i="101" s="1"/>
  <c r="F181" i="101" a="1"/>
  <c r="F181" i="101" s="1"/>
  <c r="E181" i="101" a="1"/>
  <c r="E181" i="101" s="1"/>
  <c r="D181" i="101" a="1"/>
  <c r="D181" i="101" s="1"/>
  <c r="F180" i="101" a="1"/>
  <c r="F180" i="101" s="1"/>
  <c r="E180" i="101" a="1"/>
  <c r="E180" i="101" s="1"/>
  <c r="D180" i="101" a="1"/>
  <c r="D180" i="101" s="1"/>
  <c r="F179" i="101" a="1"/>
  <c r="F179" i="101" s="1"/>
  <c r="E179" i="101" a="1"/>
  <c r="E179" i="101" s="1"/>
  <c r="D179" i="101" a="1"/>
  <c r="D179" i="101" s="1"/>
  <c r="F178" i="101" a="1"/>
  <c r="F178" i="101" s="1"/>
  <c r="E178" i="101" a="1"/>
  <c r="E178" i="101" s="1"/>
  <c r="D178" i="101" a="1"/>
  <c r="D178" i="101" s="1"/>
  <c r="F177" i="101" a="1"/>
  <c r="F177" i="101" s="1"/>
  <c r="E177" i="101" a="1"/>
  <c r="E177" i="101" s="1"/>
  <c r="D177" i="101" a="1"/>
  <c r="D177" i="101" s="1"/>
  <c r="F176" i="101" a="1"/>
  <c r="F176" i="101" s="1"/>
  <c r="E176" i="101" a="1"/>
  <c r="E176" i="101" s="1"/>
  <c r="D176" i="101" a="1"/>
  <c r="D176" i="101" s="1"/>
  <c r="F175" i="101" a="1"/>
  <c r="F175" i="101" s="1"/>
  <c r="E175" i="101" a="1"/>
  <c r="E175" i="101" s="1"/>
  <c r="D175" i="101" a="1"/>
  <c r="D175" i="101" s="1"/>
  <c r="F174" i="101" a="1"/>
  <c r="F174" i="101" s="1"/>
  <c r="E174" i="101" a="1"/>
  <c r="E174" i="101" s="1"/>
  <c r="D174" i="101" a="1"/>
  <c r="D174" i="101" s="1"/>
  <c r="F173" i="101" a="1"/>
  <c r="F173" i="101" s="1"/>
  <c r="E173" i="101" a="1"/>
  <c r="E173" i="101" s="1"/>
  <c r="D173" i="101" a="1"/>
  <c r="D173" i="101" s="1"/>
  <c r="F172" i="101" a="1"/>
  <c r="F172" i="101" s="1"/>
  <c r="E172" i="101" a="1"/>
  <c r="E172" i="101" s="1"/>
  <c r="D172" i="101" a="1"/>
  <c r="D172" i="101" s="1"/>
  <c r="F171" i="101" a="1"/>
  <c r="F171" i="101" s="1"/>
  <c r="E171" i="101" a="1"/>
  <c r="E171" i="101" s="1"/>
  <c r="D171" i="101" a="1"/>
  <c r="D171" i="101" s="1"/>
  <c r="F170" i="101" a="1"/>
  <c r="F170" i="101" s="1"/>
  <c r="E170" i="101" a="1"/>
  <c r="E170" i="101" s="1"/>
  <c r="D170" i="101" a="1"/>
  <c r="D170" i="101" s="1"/>
  <c r="F169" i="101" a="1"/>
  <c r="F169" i="101" s="1"/>
  <c r="E169" i="101" a="1"/>
  <c r="E169" i="101" s="1"/>
  <c r="D169" i="101" a="1"/>
  <c r="D169" i="101" s="1"/>
  <c r="F168" i="101" a="1"/>
  <c r="F168" i="101" s="1"/>
  <c r="E168" i="101" a="1"/>
  <c r="E168" i="101" s="1"/>
  <c r="D168" i="101" a="1"/>
  <c r="D168" i="101" s="1"/>
  <c r="F167" i="101" a="1"/>
  <c r="F167" i="101" s="1"/>
  <c r="E167" i="101" a="1"/>
  <c r="E167" i="101" s="1"/>
  <c r="D167" i="101" a="1"/>
  <c r="D167" i="101" s="1"/>
  <c r="F166" i="101" a="1"/>
  <c r="F166" i="101" s="1"/>
  <c r="E166" i="101" a="1"/>
  <c r="E166" i="101" s="1"/>
  <c r="D166" i="101" a="1"/>
  <c r="D166" i="101" s="1"/>
  <c r="F165" i="101" a="1"/>
  <c r="F165" i="101" s="1"/>
  <c r="E165" i="101" a="1"/>
  <c r="E165" i="101" s="1"/>
  <c r="D165" i="101" a="1"/>
  <c r="D165" i="101" s="1"/>
  <c r="F164" i="101" a="1"/>
  <c r="F164" i="101" s="1"/>
  <c r="E164" i="101" a="1"/>
  <c r="E164" i="101" s="1"/>
  <c r="D164" i="101" a="1"/>
  <c r="D164" i="101" s="1"/>
  <c r="F163" i="101" a="1"/>
  <c r="F163" i="101" s="1"/>
  <c r="E163" i="101" a="1"/>
  <c r="E163" i="101" s="1"/>
  <c r="D163" i="101" a="1"/>
  <c r="D163" i="101" s="1"/>
  <c r="F162" i="101" a="1"/>
  <c r="F162" i="101" s="1"/>
  <c r="E162" i="101" a="1"/>
  <c r="E162" i="101" s="1"/>
  <c r="D162" i="101" a="1"/>
  <c r="D162" i="101" s="1"/>
  <c r="F161" i="101" a="1"/>
  <c r="F161" i="101" s="1"/>
  <c r="E161" i="101" a="1"/>
  <c r="E161" i="101" s="1"/>
  <c r="D161" i="101" a="1"/>
  <c r="D161" i="101" s="1"/>
  <c r="F160" i="101" a="1"/>
  <c r="F160" i="101" s="1"/>
  <c r="E160" i="101" a="1"/>
  <c r="E160" i="101" s="1"/>
  <c r="D160" i="101" a="1"/>
  <c r="D160" i="101" s="1"/>
  <c r="F159" i="101" a="1"/>
  <c r="F159" i="101" s="1"/>
  <c r="E159" i="101" a="1"/>
  <c r="E159" i="101" s="1"/>
  <c r="D159" i="101" a="1"/>
  <c r="D159" i="101" s="1"/>
  <c r="F158" i="101" a="1"/>
  <c r="F158" i="101" s="1"/>
  <c r="E158" i="101" a="1"/>
  <c r="E158" i="101" s="1"/>
  <c r="D158" i="101" a="1"/>
  <c r="D158" i="101" s="1"/>
  <c r="F157" i="101" a="1"/>
  <c r="F157" i="101" s="1"/>
  <c r="E157" i="101" a="1"/>
  <c r="E157" i="101" s="1"/>
  <c r="D157" i="101" a="1"/>
  <c r="D157" i="101" s="1"/>
  <c r="F156" i="101" a="1"/>
  <c r="F156" i="101" s="1"/>
  <c r="E156" i="101" a="1"/>
  <c r="E156" i="101" s="1"/>
  <c r="D156" i="101" a="1"/>
  <c r="D156" i="101" s="1"/>
  <c r="F155" i="101" a="1"/>
  <c r="F155" i="101" s="1"/>
  <c r="E155" i="101" a="1"/>
  <c r="E155" i="101" s="1"/>
  <c r="D155" i="101" a="1"/>
  <c r="D155" i="101" s="1"/>
  <c r="F154" i="101" a="1"/>
  <c r="F154" i="101" s="1"/>
  <c r="E154" i="101" a="1"/>
  <c r="E154" i="101" s="1"/>
  <c r="D154" i="101" a="1"/>
  <c r="D154" i="101" s="1"/>
  <c r="F153" i="101" a="1"/>
  <c r="F153" i="101" s="1"/>
  <c r="E153" i="101" a="1"/>
  <c r="E153" i="101" s="1"/>
  <c r="D153" i="101" a="1"/>
  <c r="D153" i="101" s="1"/>
  <c r="F152" i="101" a="1"/>
  <c r="F152" i="101" s="1"/>
  <c r="E152" i="101" a="1"/>
  <c r="E152" i="101" s="1"/>
  <c r="D152" i="101" a="1"/>
  <c r="D152" i="101" s="1"/>
  <c r="F151" i="101" a="1"/>
  <c r="F151" i="101" s="1"/>
  <c r="E151" i="101" a="1"/>
  <c r="E151" i="101" s="1"/>
  <c r="D151" i="101" a="1"/>
  <c r="D151" i="101" s="1"/>
  <c r="F150" i="101" a="1"/>
  <c r="F150" i="101" s="1"/>
  <c r="E150" i="101" a="1"/>
  <c r="E150" i="101" s="1"/>
  <c r="D150" i="101" a="1"/>
  <c r="D150" i="101" s="1"/>
  <c r="F149" i="101" a="1"/>
  <c r="F149" i="101" s="1"/>
  <c r="E149" i="101" a="1"/>
  <c r="E149" i="101" s="1"/>
  <c r="D149" i="101" a="1"/>
  <c r="D149" i="101" s="1"/>
  <c r="F148" i="101" a="1"/>
  <c r="F148" i="101" s="1"/>
  <c r="E148" i="101" a="1"/>
  <c r="E148" i="101" s="1"/>
  <c r="D148" i="101" a="1"/>
  <c r="D148" i="101" s="1"/>
  <c r="F147" i="101" a="1"/>
  <c r="F147" i="101" s="1"/>
  <c r="E147" i="101" a="1"/>
  <c r="E147" i="101" s="1"/>
  <c r="D147" i="101" a="1"/>
  <c r="D147" i="101" s="1"/>
  <c r="F146" i="101" a="1"/>
  <c r="F146" i="101" s="1"/>
  <c r="E146" i="101" a="1"/>
  <c r="E146" i="101" s="1"/>
  <c r="D146" i="101" a="1"/>
  <c r="D146" i="101" s="1"/>
  <c r="F145" i="101" a="1"/>
  <c r="F145" i="101" s="1"/>
  <c r="E145" i="101" a="1"/>
  <c r="E145" i="101" s="1"/>
  <c r="D145" i="101" a="1"/>
  <c r="D145" i="101" s="1"/>
  <c r="F144" i="101" a="1"/>
  <c r="F144" i="101" s="1"/>
  <c r="E144" i="101" a="1"/>
  <c r="E144" i="101" s="1"/>
  <c r="D144" i="101" a="1"/>
  <c r="D144" i="101" s="1"/>
  <c r="F143" i="101" a="1"/>
  <c r="F143" i="101" s="1"/>
  <c r="E143" i="101" a="1"/>
  <c r="E143" i="101" s="1"/>
  <c r="D143" i="101" a="1"/>
  <c r="D143" i="101" s="1"/>
  <c r="F142" i="101" a="1"/>
  <c r="F142" i="101" s="1"/>
  <c r="E142" i="101" a="1"/>
  <c r="E142" i="101" s="1"/>
  <c r="D142" i="101" a="1"/>
  <c r="D142" i="101" s="1"/>
  <c r="F141" i="101" a="1"/>
  <c r="F141" i="101" s="1"/>
  <c r="E141" i="101" a="1"/>
  <c r="E141" i="101" s="1"/>
  <c r="D141" i="101" a="1"/>
  <c r="D141" i="101" s="1"/>
  <c r="F140" i="101" a="1"/>
  <c r="F140" i="101" s="1"/>
  <c r="E140" i="101" a="1"/>
  <c r="E140" i="101" s="1"/>
  <c r="D140" i="101" a="1"/>
  <c r="D140" i="101" s="1"/>
  <c r="F139" i="101" a="1"/>
  <c r="F139" i="101" s="1"/>
  <c r="E139" i="101" a="1"/>
  <c r="E139" i="101" s="1"/>
  <c r="D139" i="101" a="1"/>
  <c r="D139" i="101" s="1"/>
  <c r="F138" i="101" a="1"/>
  <c r="F138" i="101" s="1"/>
  <c r="E138" i="101" a="1"/>
  <c r="E138" i="101" s="1"/>
  <c r="D138" i="101" a="1"/>
  <c r="D138" i="101" s="1"/>
  <c r="F137" i="101" a="1"/>
  <c r="F137" i="101" s="1"/>
  <c r="E137" i="101" a="1"/>
  <c r="E137" i="101" s="1"/>
  <c r="D137" i="101" a="1"/>
  <c r="D137" i="101" s="1"/>
  <c r="F136" i="101" a="1"/>
  <c r="F136" i="101" s="1"/>
  <c r="E136" i="101" a="1"/>
  <c r="E136" i="101" s="1"/>
  <c r="D136" i="101" a="1"/>
  <c r="D136" i="101" s="1"/>
  <c r="F135" i="101" a="1"/>
  <c r="F135" i="101" s="1"/>
  <c r="E135" i="101" a="1"/>
  <c r="E135" i="101" s="1"/>
  <c r="D135" i="101" a="1"/>
  <c r="D135" i="101" s="1"/>
  <c r="F134" i="101" a="1"/>
  <c r="F134" i="101" s="1"/>
  <c r="E134" i="101" a="1"/>
  <c r="E134" i="101" s="1"/>
  <c r="D134" i="101" a="1"/>
  <c r="D134" i="101" s="1"/>
  <c r="F133" i="101" a="1"/>
  <c r="F133" i="101" s="1"/>
  <c r="E133" i="101" a="1"/>
  <c r="E133" i="101" s="1"/>
  <c r="D133" i="101" a="1"/>
  <c r="D133" i="101" s="1"/>
  <c r="F132" i="101" a="1"/>
  <c r="F132" i="101" s="1"/>
  <c r="E132" i="101" a="1"/>
  <c r="E132" i="101" s="1"/>
  <c r="D132" i="101" a="1"/>
  <c r="D132" i="101" s="1"/>
  <c r="F131" i="101" a="1"/>
  <c r="F131" i="101" s="1"/>
  <c r="E131" i="101" a="1"/>
  <c r="E131" i="101" s="1"/>
  <c r="D131" i="101" a="1"/>
  <c r="D131" i="101" s="1"/>
  <c r="F130" i="101" a="1"/>
  <c r="F130" i="101" s="1"/>
  <c r="E130" i="101" a="1"/>
  <c r="E130" i="101" s="1"/>
  <c r="D130" i="101" a="1"/>
  <c r="D130" i="101" s="1"/>
  <c r="F129" i="101" a="1"/>
  <c r="F129" i="101" s="1"/>
  <c r="E129" i="101" a="1"/>
  <c r="E129" i="101" s="1"/>
  <c r="D129" i="101" a="1"/>
  <c r="D129" i="101" s="1"/>
  <c r="F128" i="101" a="1"/>
  <c r="F128" i="101" s="1"/>
  <c r="E128" i="101" a="1"/>
  <c r="E128" i="101" s="1"/>
  <c r="D128" i="101" a="1"/>
  <c r="D128" i="101" s="1"/>
  <c r="F127" i="101" a="1"/>
  <c r="F127" i="101" s="1"/>
  <c r="E127" i="101" a="1"/>
  <c r="E127" i="101" s="1"/>
  <c r="D127" i="101" a="1"/>
  <c r="D127" i="101" s="1"/>
  <c r="F126" i="101" a="1"/>
  <c r="F126" i="101" s="1"/>
  <c r="E126" i="101" a="1"/>
  <c r="E126" i="101" s="1"/>
  <c r="D126" i="101" a="1"/>
  <c r="D126" i="101" s="1"/>
  <c r="F125" i="101" a="1"/>
  <c r="F125" i="101" s="1"/>
  <c r="E125" i="101" a="1"/>
  <c r="E125" i="101" s="1"/>
  <c r="D125" i="101" a="1"/>
  <c r="D125" i="101" s="1"/>
  <c r="F124" i="101" a="1"/>
  <c r="F124" i="101" s="1"/>
  <c r="E124" i="101" a="1"/>
  <c r="E124" i="101" s="1"/>
  <c r="D124" i="101" a="1"/>
  <c r="D124" i="101" s="1"/>
  <c r="F123" i="101" a="1"/>
  <c r="F123" i="101" s="1"/>
  <c r="E123" i="101" a="1"/>
  <c r="E123" i="101" s="1"/>
  <c r="D123" i="101" a="1"/>
  <c r="D123" i="101" s="1"/>
  <c r="F122" i="101" a="1"/>
  <c r="F122" i="101" s="1"/>
  <c r="E122" i="101" a="1"/>
  <c r="E122" i="101" s="1"/>
  <c r="D122" i="101" a="1"/>
  <c r="D122" i="101" s="1"/>
  <c r="F121" i="101" a="1"/>
  <c r="F121" i="101" s="1"/>
  <c r="E121" i="101" a="1"/>
  <c r="E121" i="101" s="1"/>
  <c r="D121" i="101" a="1"/>
  <c r="D121" i="101" s="1"/>
  <c r="F120" i="101" a="1"/>
  <c r="F120" i="101" s="1"/>
  <c r="E120" i="101" a="1"/>
  <c r="E120" i="101" s="1"/>
  <c r="D120" i="101" a="1"/>
  <c r="D120" i="101" s="1"/>
  <c r="F119" i="101" a="1"/>
  <c r="F119" i="101" s="1"/>
  <c r="E119" i="101" a="1"/>
  <c r="E119" i="101" s="1"/>
  <c r="D119" i="101" a="1"/>
  <c r="D119" i="101" s="1"/>
  <c r="F118" i="101" a="1"/>
  <c r="F118" i="101" s="1"/>
  <c r="E118" i="101" a="1"/>
  <c r="E118" i="101" s="1"/>
  <c r="D118" i="101" a="1"/>
  <c r="D118" i="101" s="1"/>
  <c r="F117" i="101" a="1"/>
  <c r="F117" i="101" s="1"/>
  <c r="E117" i="101" a="1"/>
  <c r="E117" i="101" s="1"/>
  <c r="D117" i="101" a="1"/>
  <c r="D117" i="101" s="1"/>
  <c r="F116" i="101" a="1"/>
  <c r="F116" i="101" s="1"/>
  <c r="E116" i="101" a="1"/>
  <c r="E116" i="101" s="1"/>
  <c r="D116" i="101" a="1"/>
  <c r="D116" i="101" s="1"/>
  <c r="F115" i="101" a="1"/>
  <c r="F115" i="101" s="1"/>
  <c r="E115" i="101" a="1"/>
  <c r="E115" i="101" s="1"/>
  <c r="D115" i="101" a="1"/>
  <c r="D115" i="101" s="1"/>
  <c r="F114" i="101" a="1"/>
  <c r="F114" i="101" s="1"/>
  <c r="E114" i="101" a="1"/>
  <c r="E114" i="101" s="1"/>
  <c r="D114" i="101" a="1"/>
  <c r="D114" i="101" s="1"/>
  <c r="F113" i="101" a="1"/>
  <c r="F113" i="101" s="1"/>
  <c r="E113" i="101" a="1"/>
  <c r="E113" i="101" s="1"/>
  <c r="D113" i="101" a="1"/>
  <c r="D113" i="101" s="1"/>
  <c r="F112" i="101" a="1"/>
  <c r="F112" i="101" s="1"/>
  <c r="E112" i="101" a="1"/>
  <c r="E112" i="101" s="1"/>
  <c r="D112" i="101" a="1"/>
  <c r="D112" i="101" s="1"/>
  <c r="F111" i="101" a="1"/>
  <c r="F111" i="101" s="1"/>
  <c r="E111" i="101" a="1"/>
  <c r="E111" i="101" s="1"/>
  <c r="D111" i="101" a="1"/>
  <c r="D111" i="101" s="1"/>
  <c r="F110" i="101" a="1"/>
  <c r="F110" i="101" s="1"/>
  <c r="E110" i="101" a="1"/>
  <c r="E110" i="101" s="1"/>
  <c r="D110" i="101" a="1"/>
  <c r="D110" i="101" s="1"/>
  <c r="F109" i="101" a="1"/>
  <c r="F109" i="101" s="1"/>
  <c r="E109" i="101" a="1"/>
  <c r="E109" i="101" s="1"/>
  <c r="D109" i="101" a="1"/>
  <c r="D109" i="101" s="1"/>
  <c r="F108" i="101" a="1"/>
  <c r="F108" i="101" s="1"/>
  <c r="E108" i="101" a="1"/>
  <c r="E108" i="101" s="1"/>
  <c r="D108" i="101" a="1"/>
  <c r="D108" i="101" s="1"/>
  <c r="F107" i="101" a="1"/>
  <c r="F107" i="101" s="1"/>
  <c r="E107" i="101" a="1"/>
  <c r="E107" i="101" s="1"/>
  <c r="D107" i="101" a="1"/>
  <c r="D107" i="101" s="1"/>
  <c r="F106" i="101" a="1"/>
  <c r="F106" i="101" s="1"/>
  <c r="E106" i="101" a="1"/>
  <c r="E106" i="101" s="1"/>
  <c r="D106" i="101" a="1"/>
  <c r="D106" i="101" s="1"/>
  <c r="F105" i="101" a="1"/>
  <c r="F105" i="101" s="1"/>
  <c r="E105" i="101" a="1"/>
  <c r="E105" i="101" s="1"/>
  <c r="D105" i="101" a="1"/>
  <c r="D105" i="101" s="1"/>
  <c r="F104" i="101" a="1"/>
  <c r="F104" i="101" s="1"/>
  <c r="E104" i="101" a="1"/>
  <c r="E104" i="101" s="1"/>
  <c r="D104" i="101" a="1"/>
  <c r="D104" i="101" s="1"/>
  <c r="F103" i="101" a="1"/>
  <c r="F103" i="101" s="1"/>
  <c r="E103" i="101" a="1"/>
  <c r="E103" i="101" s="1"/>
  <c r="D103" i="101" a="1"/>
  <c r="D103" i="101" s="1"/>
  <c r="F102" i="101" a="1"/>
  <c r="F102" i="101" s="1"/>
  <c r="E102" i="101" a="1"/>
  <c r="E102" i="101" s="1"/>
  <c r="D102" i="101" a="1"/>
  <c r="D102" i="101" s="1"/>
  <c r="F101" i="101" a="1"/>
  <c r="F101" i="101" s="1"/>
  <c r="E101" i="101" a="1"/>
  <c r="E101" i="101" s="1"/>
  <c r="D101" i="101" a="1"/>
  <c r="D101" i="101" s="1"/>
  <c r="F100" i="101" a="1"/>
  <c r="F100" i="101" s="1"/>
  <c r="E100" i="101" a="1"/>
  <c r="E100" i="101" s="1"/>
  <c r="D100" i="101" a="1"/>
  <c r="D100" i="101" s="1"/>
  <c r="F99" i="101" a="1"/>
  <c r="F99" i="101" s="1"/>
  <c r="E99" i="101" a="1"/>
  <c r="E99" i="101" s="1"/>
  <c r="D99" i="101" a="1"/>
  <c r="D99" i="101" s="1"/>
  <c r="F98" i="101" a="1"/>
  <c r="F98" i="101" s="1"/>
  <c r="E98" i="101" a="1"/>
  <c r="E98" i="101" s="1"/>
  <c r="D98" i="101" a="1"/>
  <c r="D98" i="101" s="1"/>
  <c r="F97" i="101" a="1"/>
  <c r="F97" i="101" s="1"/>
  <c r="E97" i="101" a="1"/>
  <c r="E97" i="101" s="1"/>
  <c r="D97" i="101" a="1"/>
  <c r="D97" i="101" s="1"/>
  <c r="F96" i="101" a="1"/>
  <c r="F96" i="101" s="1"/>
  <c r="E96" i="101" a="1"/>
  <c r="E96" i="101" s="1"/>
  <c r="D96" i="101" a="1"/>
  <c r="D96" i="101" s="1"/>
  <c r="F95" i="101" a="1"/>
  <c r="F95" i="101" s="1"/>
  <c r="E95" i="101" a="1"/>
  <c r="E95" i="101" s="1"/>
  <c r="D95" i="101" a="1"/>
  <c r="D95" i="101" s="1"/>
  <c r="F94" i="101" a="1"/>
  <c r="F94" i="101" s="1"/>
  <c r="E94" i="101" a="1"/>
  <c r="E94" i="101" s="1"/>
  <c r="D94" i="101" a="1"/>
  <c r="D94" i="101" s="1"/>
  <c r="F93" i="101" a="1"/>
  <c r="F93" i="101" s="1"/>
  <c r="E93" i="101" a="1"/>
  <c r="E93" i="101" s="1"/>
  <c r="D93" i="101" a="1"/>
  <c r="D93" i="101" s="1"/>
  <c r="D91" i="101" a="1"/>
  <c r="D91" i="101" s="1"/>
  <c r="F89" i="101" a="1"/>
  <c r="F89" i="101" s="1"/>
  <c r="E89" i="101" a="1"/>
  <c r="E89" i="101" s="1"/>
  <c r="D89" i="101" a="1"/>
  <c r="D89" i="101" s="1"/>
  <c r="F88" i="101" a="1"/>
  <c r="F88" i="101" s="1"/>
  <c r="E88" i="101" a="1"/>
  <c r="E88" i="101" s="1"/>
  <c r="D88" i="101" a="1"/>
  <c r="D88" i="101" s="1"/>
  <c r="F87" i="101" a="1"/>
  <c r="F87" i="101" s="1"/>
  <c r="E87" i="101" a="1"/>
  <c r="E87" i="101" s="1"/>
  <c r="D87" i="101" a="1"/>
  <c r="D87" i="101" s="1"/>
  <c r="F86" i="101" a="1"/>
  <c r="F86" i="101" s="1"/>
  <c r="E86" i="101" a="1"/>
  <c r="E86" i="101" s="1"/>
  <c r="D86" i="101" a="1"/>
  <c r="D86" i="101" s="1"/>
  <c r="F85" i="101" a="1"/>
  <c r="F85" i="101" s="1"/>
  <c r="E85" i="101" a="1"/>
  <c r="E85" i="101" s="1"/>
  <c r="D85" i="101" a="1"/>
  <c r="D85" i="101" s="1"/>
  <c r="F84" i="101" a="1"/>
  <c r="F84" i="101" s="1"/>
  <c r="E84" i="101" a="1"/>
  <c r="E84" i="101" s="1"/>
  <c r="D84" i="101" a="1"/>
  <c r="D84" i="101" s="1"/>
  <c r="F83" i="101" a="1"/>
  <c r="F83" i="101" s="1"/>
  <c r="E83" i="101" a="1"/>
  <c r="E83" i="101" s="1"/>
  <c r="D83" i="101" a="1"/>
  <c r="D83" i="101" s="1"/>
  <c r="F82" i="101" a="1"/>
  <c r="F82" i="101" s="1"/>
  <c r="E82" i="101" a="1"/>
  <c r="E82" i="101" s="1"/>
  <c r="D82" i="101" a="1"/>
  <c r="D82" i="101" s="1"/>
  <c r="F81" i="101" a="1"/>
  <c r="F81" i="101" s="1"/>
  <c r="E81" i="101" a="1"/>
  <c r="E81" i="101" s="1"/>
  <c r="D81" i="101" a="1"/>
  <c r="D81" i="101" s="1"/>
  <c r="F80" i="101" a="1"/>
  <c r="F80" i="101" s="1"/>
  <c r="E80" i="101" a="1"/>
  <c r="E80" i="101" s="1"/>
  <c r="D80" i="101" a="1"/>
  <c r="D80" i="101" s="1"/>
  <c r="F79" i="101" a="1"/>
  <c r="F79" i="101" s="1"/>
  <c r="E79" i="101" a="1"/>
  <c r="E79" i="101" s="1"/>
  <c r="D79" i="101" a="1"/>
  <c r="D79" i="101" s="1"/>
  <c r="F78" i="101" a="1"/>
  <c r="F78" i="101" s="1"/>
  <c r="E78" i="101" a="1"/>
  <c r="E78" i="101" s="1"/>
  <c r="D78" i="101" a="1"/>
  <c r="D78" i="101" s="1"/>
  <c r="F77" i="101" a="1"/>
  <c r="F77" i="101" s="1"/>
  <c r="E77" i="101" a="1"/>
  <c r="E77" i="101" s="1"/>
  <c r="D77" i="101" a="1"/>
  <c r="D77" i="101" s="1"/>
  <c r="F76" i="101" a="1"/>
  <c r="F76" i="101" s="1"/>
  <c r="E76" i="101" a="1"/>
  <c r="E76" i="101" s="1"/>
  <c r="D76" i="101" a="1"/>
  <c r="D76" i="101" s="1"/>
  <c r="F75" i="101" a="1"/>
  <c r="F75" i="101" s="1"/>
  <c r="E75" i="101" a="1"/>
  <c r="E75" i="101" s="1"/>
  <c r="D75" i="101" a="1"/>
  <c r="D75" i="101" s="1"/>
  <c r="F74" i="101" a="1"/>
  <c r="F74" i="101" s="1"/>
  <c r="E74" i="101" a="1"/>
  <c r="E74" i="101" s="1"/>
  <c r="D74" i="101" a="1"/>
  <c r="D74" i="101" s="1"/>
  <c r="D71" i="101" a="1"/>
  <c r="D71" i="101" s="1"/>
  <c r="D70" i="101" a="1"/>
  <c r="D70" i="101" s="1"/>
  <c r="F67" i="101" a="1"/>
  <c r="F67" i="101" s="1"/>
  <c r="E67" i="101" a="1"/>
  <c r="E67" i="101" s="1"/>
  <c r="D67" i="101" a="1"/>
  <c r="D67" i="101" s="1"/>
  <c r="F66" i="101" a="1"/>
  <c r="F66" i="101" s="1"/>
  <c r="E66" i="101" a="1"/>
  <c r="E66" i="101" s="1"/>
  <c r="D66" i="101" a="1"/>
  <c r="D66" i="101" s="1"/>
  <c r="F65" i="101" a="1"/>
  <c r="F65" i="101" s="1"/>
  <c r="E65" i="101" a="1"/>
  <c r="E65" i="101" s="1"/>
  <c r="D65" i="101" a="1"/>
  <c r="D65" i="101" s="1"/>
  <c r="F64" i="101" a="1"/>
  <c r="F64" i="101" s="1"/>
  <c r="E64" i="101" a="1"/>
  <c r="E64" i="101" s="1"/>
  <c r="D64" i="101" a="1"/>
  <c r="D64" i="101" s="1"/>
  <c r="F63" i="101" a="1"/>
  <c r="F63" i="101" s="1"/>
  <c r="E63" i="101" a="1"/>
  <c r="E63" i="101" s="1"/>
  <c r="D63" i="101" a="1"/>
  <c r="D63" i="101" s="1"/>
  <c r="I58" i="100" s="1" a="1"/>
  <c r="I58" i="100" s="1"/>
  <c r="D60" i="101" a="1"/>
  <c r="D60" i="101" s="1"/>
  <c r="D59" i="101" a="1"/>
  <c r="D59" i="101" s="1"/>
  <c r="I56" i="101" a="1"/>
  <c r="I56" i="101" s="1"/>
  <c r="H56" i="101" a="1"/>
  <c r="H56" i="101" s="1"/>
  <c r="G56" i="101" a="1"/>
  <c r="G56" i="101" s="1"/>
  <c r="F56" i="101" a="1"/>
  <c r="F56" i="101" s="1"/>
  <c r="E56" i="101" a="1"/>
  <c r="E56" i="101" s="1"/>
  <c r="D56" i="101" a="1"/>
  <c r="D56" i="101" s="1"/>
  <c r="I55" i="101" a="1"/>
  <c r="I55" i="101" s="1"/>
  <c r="H55" i="101" a="1"/>
  <c r="H55" i="101" s="1"/>
  <c r="G55" i="101" a="1"/>
  <c r="G55" i="101" s="1"/>
  <c r="F55" i="101" a="1"/>
  <c r="F55" i="101" s="1"/>
  <c r="E55" i="101" a="1"/>
  <c r="E55" i="101" s="1"/>
  <c r="D55" i="101" a="1"/>
  <c r="D55" i="101" s="1"/>
  <c r="I54" i="101" a="1"/>
  <c r="I54" i="101" s="1"/>
  <c r="H54" i="101" a="1"/>
  <c r="H54" i="101" s="1"/>
  <c r="G54" i="101" a="1"/>
  <c r="G54" i="101" s="1"/>
  <c r="F54" i="101" a="1"/>
  <c r="F54" i="101" s="1"/>
  <c r="E54" i="101" a="1"/>
  <c r="E54" i="101" s="1"/>
  <c r="D54" i="101" a="1"/>
  <c r="D54" i="101" s="1"/>
  <c r="I53" i="101" a="1"/>
  <c r="I53" i="101" s="1"/>
  <c r="H53" i="101" a="1"/>
  <c r="H53" i="101" s="1"/>
  <c r="G53" i="101" a="1"/>
  <c r="G53" i="101" s="1"/>
  <c r="F53" i="101" a="1"/>
  <c r="F53" i="101" s="1"/>
  <c r="E53" i="101" a="1"/>
  <c r="E53" i="101" s="1"/>
  <c r="D53" i="101" a="1"/>
  <c r="D53" i="101" s="1"/>
  <c r="I52" i="101" a="1"/>
  <c r="I52" i="101" s="1"/>
  <c r="H52" i="101" a="1"/>
  <c r="H52" i="101" s="1"/>
  <c r="G52" i="101" a="1"/>
  <c r="G52" i="101" s="1"/>
  <c r="F52" i="101" a="1"/>
  <c r="F52" i="101" s="1"/>
  <c r="E52" i="101" a="1"/>
  <c r="E52" i="101" s="1"/>
  <c r="D52" i="101" a="1"/>
  <c r="D52" i="101" s="1"/>
  <c r="D49" i="101" a="1"/>
  <c r="D49" i="101" s="1"/>
  <c r="D48" i="101" a="1"/>
  <c r="D48" i="101" s="1"/>
  <c r="E45" i="101" a="1"/>
  <c r="E45" i="101" s="1"/>
  <c r="D45" i="101" a="1"/>
  <c r="D45" i="101" s="1"/>
  <c r="E44" i="101" a="1"/>
  <c r="E44" i="101" s="1"/>
  <c r="D44" i="101" a="1"/>
  <c r="D44" i="101" s="1"/>
  <c r="D41" i="101" a="1"/>
  <c r="D41" i="101" s="1"/>
  <c r="D40" i="101" a="1"/>
  <c r="D40" i="101" s="1"/>
  <c r="L37" i="101" a="1"/>
  <c r="L37" i="101" s="1"/>
  <c r="K37" i="101" a="1"/>
  <c r="K37" i="101" s="1"/>
  <c r="J37" i="101" a="1"/>
  <c r="J37" i="101" s="1"/>
  <c r="I37" i="101" a="1"/>
  <c r="I37" i="101" s="1"/>
  <c r="H37" i="101" a="1"/>
  <c r="H37" i="101" s="1"/>
  <c r="G37" i="101" a="1"/>
  <c r="G37" i="101" s="1"/>
  <c r="F37" i="101" a="1"/>
  <c r="F37" i="101" s="1"/>
  <c r="E37" i="101" a="1"/>
  <c r="E37" i="101" s="1"/>
  <c r="D37" i="101" a="1"/>
  <c r="D37" i="101" s="1"/>
  <c r="L36" i="101" a="1"/>
  <c r="L36" i="101" s="1"/>
  <c r="K36" i="101" a="1"/>
  <c r="K36" i="101" s="1"/>
  <c r="J36" i="101" a="1"/>
  <c r="J36" i="101" s="1"/>
  <c r="I36" i="101" a="1"/>
  <c r="I36" i="101" s="1"/>
  <c r="H36" i="101" a="1"/>
  <c r="H36" i="101" s="1"/>
  <c r="G36" i="101" a="1"/>
  <c r="G36" i="101" s="1"/>
  <c r="F36" i="101" a="1"/>
  <c r="F36" i="101" s="1"/>
  <c r="E36" i="101" a="1"/>
  <c r="E36" i="101" s="1"/>
  <c r="D36" i="101" a="1"/>
  <c r="D36" i="101" s="1"/>
  <c r="L35" i="101" a="1"/>
  <c r="L35" i="101" s="1"/>
  <c r="K35" i="101" a="1"/>
  <c r="K35" i="101" s="1"/>
  <c r="J35" i="101" a="1"/>
  <c r="J35" i="101" s="1"/>
  <c r="I35" i="101" a="1"/>
  <c r="I35" i="101" s="1"/>
  <c r="H35" i="101" a="1"/>
  <c r="H35" i="101" s="1"/>
  <c r="G35" i="101" a="1"/>
  <c r="G35" i="101" s="1"/>
  <c r="F35" i="101" a="1"/>
  <c r="F35" i="101" s="1"/>
  <c r="E35" i="101" a="1"/>
  <c r="E35" i="101" s="1"/>
  <c r="D35" i="101" a="1"/>
  <c r="D35" i="101" s="1"/>
  <c r="L34" i="101" a="1"/>
  <c r="L34" i="101" s="1"/>
  <c r="K34" i="101" a="1"/>
  <c r="K34" i="101" s="1"/>
  <c r="J34" i="101" a="1"/>
  <c r="J34" i="101" s="1"/>
  <c r="I34" i="101" a="1"/>
  <c r="I34" i="101" s="1"/>
  <c r="H34" i="101" a="1"/>
  <c r="H34" i="101" s="1"/>
  <c r="G34" i="101" a="1"/>
  <c r="G34" i="101" s="1"/>
  <c r="F34" i="101" a="1"/>
  <c r="F34" i="101" s="1"/>
  <c r="E34" i="101" a="1"/>
  <c r="E34" i="101" s="1"/>
  <c r="D34" i="101" a="1"/>
  <c r="D34" i="101" s="1"/>
  <c r="L33" i="101" a="1"/>
  <c r="L33" i="101" s="1"/>
  <c r="K33" i="101" a="1"/>
  <c r="K33" i="101" s="1"/>
  <c r="J33" i="101" a="1"/>
  <c r="J33" i="101" s="1"/>
  <c r="I33" i="101" a="1"/>
  <c r="I33" i="101" s="1"/>
  <c r="H33" i="101" a="1"/>
  <c r="H33" i="101" s="1"/>
  <c r="G33" i="101" a="1"/>
  <c r="G33" i="101" s="1"/>
  <c r="F33" i="101" a="1"/>
  <c r="F33" i="101" s="1"/>
  <c r="E33" i="101" a="1"/>
  <c r="E33" i="101" s="1"/>
  <c r="D33" i="101" a="1"/>
  <c r="D33" i="101" s="1"/>
  <c r="L32" i="101" a="1"/>
  <c r="L32" i="101" s="1"/>
  <c r="K32" i="101" a="1"/>
  <c r="K32" i="101" s="1"/>
  <c r="J32" i="101" a="1"/>
  <c r="J32" i="101" s="1"/>
  <c r="I32" i="101" a="1"/>
  <c r="I32" i="101" s="1"/>
  <c r="H32" i="101" a="1"/>
  <c r="H32" i="101" s="1"/>
  <c r="G32" i="101" a="1"/>
  <c r="G32" i="101" s="1"/>
  <c r="F32" i="101" a="1"/>
  <c r="F32" i="101" s="1"/>
  <c r="E32" i="101" a="1"/>
  <c r="E32" i="101" s="1"/>
  <c r="D32" i="101" a="1"/>
  <c r="D32" i="101" s="1"/>
  <c r="L31" i="101" a="1"/>
  <c r="L31" i="101" s="1"/>
  <c r="K31" i="101" a="1"/>
  <c r="K31" i="101" s="1"/>
  <c r="J31" i="101" a="1"/>
  <c r="J31" i="101" s="1"/>
  <c r="I31" i="101" a="1"/>
  <c r="I31" i="101" s="1"/>
  <c r="H31" i="101" a="1"/>
  <c r="H31" i="101" s="1"/>
  <c r="G31" i="101" a="1"/>
  <c r="G31" i="101" s="1"/>
  <c r="F31" i="101" a="1"/>
  <c r="F31" i="101" s="1"/>
  <c r="E31" i="101" a="1"/>
  <c r="E31" i="101" s="1"/>
  <c r="D31" i="101" a="1"/>
  <c r="D31" i="101" s="1"/>
  <c r="L30" i="101" a="1"/>
  <c r="L30" i="101" s="1"/>
  <c r="K30" i="101" a="1"/>
  <c r="K30" i="101" s="1"/>
  <c r="J30" i="101" a="1"/>
  <c r="J30" i="101" s="1"/>
  <c r="I30" i="101" a="1"/>
  <c r="I30" i="101" s="1"/>
  <c r="H30" i="101" a="1"/>
  <c r="H30" i="101" s="1"/>
  <c r="G30" i="101" a="1"/>
  <c r="G30" i="101" s="1"/>
  <c r="F30" i="101" a="1"/>
  <c r="F30" i="101" s="1"/>
  <c r="E30" i="101" a="1"/>
  <c r="E30" i="101" s="1"/>
  <c r="D30" i="101" a="1"/>
  <c r="D30" i="101" s="1"/>
  <c r="L29" i="101" a="1"/>
  <c r="L29" i="101" s="1"/>
  <c r="K29" i="101" a="1"/>
  <c r="K29" i="101" s="1"/>
  <c r="J29" i="101" a="1"/>
  <c r="J29" i="101" s="1"/>
  <c r="I29" i="101" a="1"/>
  <c r="I29" i="101" s="1"/>
  <c r="H29" i="101" a="1"/>
  <c r="H29" i="101" s="1"/>
  <c r="G29" i="101" a="1"/>
  <c r="G29" i="101" s="1"/>
  <c r="F29" i="101" a="1"/>
  <c r="F29" i="101" s="1"/>
  <c r="E29" i="101" a="1"/>
  <c r="E29" i="101" s="1"/>
  <c r="D29" i="101" a="1"/>
  <c r="D29" i="101" s="1"/>
  <c r="L28" i="101" a="1"/>
  <c r="L28" i="101" s="1"/>
  <c r="K28" i="101" a="1"/>
  <c r="K28" i="101" s="1"/>
  <c r="J28" i="101" a="1"/>
  <c r="J28" i="101" s="1"/>
  <c r="I28" i="101" a="1"/>
  <c r="I28" i="101" s="1"/>
  <c r="H28" i="101" a="1"/>
  <c r="H28" i="101" s="1"/>
  <c r="G28" i="101" a="1"/>
  <c r="G28" i="101" s="1"/>
  <c r="F28" i="101" a="1"/>
  <c r="F28" i="101" s="1"/>
  <c r="E28" i="101" a="1"/>
  <c r="E28" i="101" s="1"/>
  <c r="D28" i="101" a="1"/>
  <c r="D28" i="101" s="1"/>
  <c r="L27" i="101" a="1"/>
  <c r="L27" i="101" s="1"/>
  <c r="K27" i="101" a="1"/>
  <c r="K27" i="101" s="1"/>
  <c r="J27" i="101" a="1"/>
  <c r="J27" i="101" s="1"/>
  <c r="I27" i="101" a="1"/>
  <c r="I27" i="101" s="1"/>
  <c r="H27" i="101" a="1"/>
  <c r="H27" i="101" s="1"/>
  <c r="G27" i="101" a="1"/>
  <c r="G27" i="101" s="1"/>
  <c r="F27" i="101" a="1"/>
  <c r="F27" i="101" s="1"/>
  <c r="E27" i="101" a="1"/>
  <c r="E27" i="101" s="1"/>
  <c r="D27" i="101" a="1"/>
  <c r="D27" i="101" s="1"/>
  <c r="L26" i="101" a="1"/>
  <c r="L26" i="101" s="1"/>
  <c r="K26" i="101" a="1"/>
  <c r="K26" i="101" s="1"/>
  <c r="J26" i="101" a="1"/>
  <c r="J26" i="101" s="1"/>
  <c r="I26" i="101" a="1"/>
  <c r="I26" i="101" s="1"/>
  <c r="H26" i="101" a="1"/>
  <c r="H26" i="101" s="1"/>
  <c r="G26" i="101" a="1"/>
  <c r="G26" i="101" s="1"/>
  <c r="F26" i="101" a="1"/>
  <c r="F26" i="101" s="1"/>
  <c r="E26" i="101" a="1"/>
  <c r="E26" i="101" s="1"/>
  <c r="D26" i="101" a="1"/>
  <c r="D26" i="101" s="1"/>
  <c r="L25" i="101" a="1"/>
  <c r="L25" i="101" s="1"/>
  <c r="K25" i="101" a="1"/>
  <c r="K25" i="101" s="1"/>
  <c r="J25" i="101" a="1"/>
  <c r="J25" i="101" s="1"/>
  <c r="I25" i="101" a="1"/>
  <c r="I25" i="101" s="1"/>
  <c r="H25" i="101" a="1"/>
  <c r="H25" i="101" s="1"/>
  <c r="G25" i="101" a="1"/>
  <c r="G25" i="101" s="1"/>
  <c r="F25" i="101" a="1"/>
  <c r="F25" i="101" s="1"/>
  <c r="E25" i="101" a="1"/>
  <c r="E25" i="101" s="1"/>
  <c r="D25" i="101" a="1"/>
  <c r="D25" i="101" s="1"/>
  <c r="L24" i="101" a="1"/>
  <c r="L24" i="101" s="1"/>
  <c r="K24" i="101" a="1"/>
  <c r="K24" i="101" s="1"/>
  <c r="J24" i="101" a="1"/>
  <c r="J24" i="101" s="1"/>
  <c r="I24" i="101" a="1"/>
  <c r="I24" i="101" s="1"/>
  <c r="H24" i="101" a="1"/>
  <c r="H24" i="101" s="1"/>
  <c r="G24" i="101" a="1"/>
  <c r="G24" i="101" s="1"/>
  <c r="F24" i="101" a="1"/>
  <c r="F24" i="101" s="1"/>
  <c r="E24" i="101" a="1"/>
  <c r="E24" i="101" s="1"/>
  <c r="D24" i="101" a="1"/>
  <c r="D24" i="101" s="1"/>
  <c r="L23" i="101" a="1"/>
  <c r="L23" i="101" s="1"/>
  <c r="K23" i="101" a="1"/>
  <c r="K23" i="101" s="1"/>
  <c r="J23" i="101" a="1"/>
  <c r="J23" i="101" s="1"/>
  <c r="I23" i="101" a="1"/>
  <c r="I23" i="101" s="1"/>
  <c r="H23" i="101" a="1"/>
  <c r="H23" i="101" s="1"/>
  <c r="G23" i="101" a="1"/>
  <c r="G23" i="101" s="1"/>
  <c r="F23" i="101" a="1"/>
  <c r="F23" i="101" s="1"/>
  <c r="E23" i="101" a="1"/>
  <c r="E23" i="101" s="1"/>
  <c r="D23" i="101" a="1"/>
  <c r="D23" i="101" s="1"/>
  <c r="L22" i="101" a="1"/>
  <c r="L22" i="101" s="1"/>
  <c r="K22" i="101" a="1"/>
  <c r="K22" i="101" s="1"/>
  <c r="J22" i="101" a="1"/>
  <c r="J22" i="101" s="1"/>
  <c r="I22" i="101" a="1"/>
  <c r="I22" i="101" s="1"/>
  <c r="H22" i="101" a="1"/>
  <c r="H22" i="101" s="1"/>
  <c r="G22" i="101" a="1"/>
  <c r="G22" i="101" s="1"/>
  <c r="F22" i="101" a="1"/>
  <c r="F22" i="101" s="1"/>
  <c r="E22" i="101" a="1"/>
  <c r="E22" i="101" s="1"/>
  <c r="D22" i="101" a="1"/>
  <c r="D22" i="101" s="1"/>
  <c r="L21" i="101" a="1"/>
  <c r="L21" i="101" s="1"/>
  <c r="K21" i="101" a="1"/>
  <c r="K21" i="101" s="1"/>
  <c r="J21" i="101" a="1"/>
  <c r="J21" i="101" s="1"/>
  <c r="I21" i="101" a="1"/>
  <c r="I21" i="101" s="1"/>
  <c r="H21" i="101" a="1"/>
  <c r="H21" i="101" s="1"/>
  <c r="G21" i="101" a="1"/>
  <c r="G21" i="101" s="1"/>
  <c r="F21" i="101" a="1"/>
  <c r="F21" i="101" s="1"/>
  <c r="E21" i="101" a="1"/>
  <c r="E21" i="101" s="1"/>
  <c r="D21" i="101" a="1"/>
  <c r="D21" i="101" s="1"/>
  <c r="L20" i="101" a="1"/>
  <c r="L20" i="101" s="1"/>
  <c r="K20" i="101" a="1"/>
  <c r="K20" i="101" s="1"/>
  <c r="J20" i="101" a="1"/>
  <c r="J20" i="101" s="1"/>
  <c r="I20" i="101" a="1"/>
  <c r="I20" i="101" s="1"/>
  <c r="H20" i="101" a="1"/>
  <c r="H20" i="101" s="1"/>
  <c r="G20" i="101" a="1"/>
  <c r="G20" i="101" s="1"/>
  <c r="F20" i="101" a="1"/>
  <c r="F20" i="101" s="1"/>
  <c r="E20" i="101" a="1"/>
  <c r="E20" i="101" s="1"/>
  <c r="D20" i="101" a="1"/>
  <c r="D20" i="101" s="1"/>
  <c r="E18" i="97" s="1"/>
  <c r="D17" i="101" a="1"/>
  <c r="D17" i="101" s="1"/>
  <c r="D16" i="101" a="1"/>
  <c r="D16" i="101" s="1"/>
  <c r="D15" i="101" a="1"/>
  <c r="D15" i="101" s="1"/>
  <c r="K10" i="101" a="1"/>
  <c r="K10" i="101" s="1"/>
  <c r="J10" i="101" a="1"/>
  <c r="J10" i="101" s="1"/>
  <c r="I10" i="101" a="1"/>
  <c r="I10" i="101" s="1"/>
  <c r="H10" i="101" a="1"/>
  <c r="H10" i="101" s="1"/>
  <c r="G10" i="101" a="1"/>
  <c r="G10" i="101" s="1"/>
  <c r="F10" i="101" a="1"/>
  <c r="F10" i="101" s="1"/>
  <c r="E10" i="101" a="1"/>
  <c r="E10" i="101" s="1"/>
  <c r="D10" i="101" a="1"/>
  <c r="D10" i="101" s="1"/>
  <c r="K9" i="101" a="1"/>
  <c r="K9" i="101" s="1"/>
  <c r="J9" i="101" a="1"/>
  <c r="J9" i="101" s="1"/>
  <c r="I9" i="101" a="1"/>
  <c r="I9" i="101" s="1"/>
  <c r="H9" i="101" a="1"/>
  <c r="H9" i="101" s="1"/>
  <c r="G9" i="101" a="1"/>
  <c r="G9" i="101" s="1"/>
  <c r="F9" i="101" a="1"/>
  <c r="F9" i="101" s="1"/>
  <c r="E9" i="101" a="1"/>
  <c r="E9" i="101" s="1"/>
  <c r="D9" i="101" a="1"/>
  <c r="D9" i="101" s="1"/>
  <c r="K8" i="101" a="1"/>
  <c r="K8" i="101" s="1"/>
  <c r="J8" i="101" a="1"/>
  <c r="J8" i="101" s="1"/>
  <c r="I8" i="101" a="1"/>
  <c r="I8" i="101" s="1"/>
  <c r="H8" i="101" a="1"/>
  <c r="H8" i="101" s="1"/>
  <c r="G8" i="101" a="1"/>
  <c r="G8" i="101" s="1"/>
  <c r="F8" i="101" a="1"/>
  <c r="F8" i="101" s="1"/>
  <c r="E8" i="101" a="1"/>
  <c r="E8" i="101" s="1"/>
  <c r="D8" i="101" a="1"/>
  <c r="D8" i="101" s="1"/>
  <c r="F22" i="97" s="1"/>
  <c r="D5" i="101" a="1"/>
  <c r="D5" i="101" s="1"/>
  <c r="F67" i="100" a="1"/>
  <c r="F67" i="100" s="1"/>
  <c r="D64" i="100" a="1"/>
  <c r="D64" i="100" s="1"/>
  <c r="F62" i="100" a="1"/>
  <c r="F62" i="100" s="1"/>
  <c r="I60" i="100"/>
  <c r="G56" i="100" a="1"/>
  <c r="G56" i="100" s="1"/>
  <c r="D56" i="100" a="1"/>
  <c r="D56" i="100" s="1"/>
  <c r="E54" i="100" a="1"/>
  <c r="E54" i="100" s="1"/>
  <c r="E53" i="100" a="1"/>
  <c r="E53" i="100" s="1"/>
  <c r="D49" i="100" a="1"/>
  <c r="D49" i="100" s="1"/>
  <c r="D48" i="100" a="1"/>
  <c r="D48" i="100" s="1"/>
  <c r="F44" i="100" a="1"/>
  <c r="F44" i="100" s="1"/>
  <c r="D41" i="100" a="1"/>
  <c r="D41" i="100" s="1"/>
  <c r="F39" i="100" a="1"/>
  <c r="F39" i="100" s="1"/>
  <c r="I37" i="100"/>
  <c r="G33" i="100" a="1"/>
  <c r="G33" i="100" s="1"/>
  <c r="D33" i="100" a="1"/>
  <c r="D33" i="100" s="1"/>
  <c r="E31" i="100" a="1"/>
  <c r="E31" i="100" s="1"/>
  <c r="E30" i="100" a="1"/>
  <c r="E30" i="100" s="1"/>
  <c r="D26" i="100" a="1"/>
  <c r="D26" i="100" s="1"/>
  <c r="D25" i="100" a="1"/>
  <c r="D25" i="100" s="1"/>
  <c r="F21" i="100" a="1"/>
  <c r="F21" i="100" s="1"/>
  <c r="I19" i="100"/>
  <c r="I15" i="100" s="1" a="1"/>
  <c r="I15" i="100" s="1"/>
  <c r="I18" i="100"/>
  <c r="I13" i="100"/>
  <c r="G13" i="100" a="1"/>
  <c r="G13" i="100" s="1"/>
  <c r="D13" i="100" a="1"/>
  <c r="D13" i="100" s="1"/>
  <c r="E11" i="100" a="1"/>
  <c r="E11" i="100" s="1"/>
  <c r="E10" i="100" a="1"/>
  <c r="E10" i="100" s="1"/>
  <c r="D6" i="100" a="1"/>
  <c r="D6" i="100" s="1"/>
  <c r="D5" i="100" a="1"/>
  <c r="D5" i="100" s="1"/>
  <c r="P53" i="99" a="1"/>
  <c r="P53" i="99" s="1"/>
  <c r="F53" i="99" a="1"/>
  <c r="F53" i="99" s="1"/>
  <c r="N50" i="99" a="1"/>
  <c r="N50" i="99" s="1"/>
  <c r="D50" i="99" a="1"/>
  <c r="D50" i="99" s="1"/>
  <c r="N46" i="99"/>
  <c r="D46" i="99"/>
  <c r="J39" i="99"/>
  <c r="J36" i="99" a="1"/>
  <c r="J36" i="99" s="1"/>
  <c r="H36" i="99" a="1"/>
  <c r="H36" i="99" s="1"/>
  <c r="D36" i="99" a="1"/>
  <c r="D36" i="99" s="1"/>
  <c r="E34" i="99" a="1"/>
  <c r="E34" i="99" s="1"/>
  <c r="P48" i="99" s="1"/>
  <c r="E33" i="99" a="1"/>
  <c r="E33" i="99" s="1"/>
  <c r="D29" i="99" a="1"/>
  <c r="D29" i="99" s="1"/>
  <c r="D28" i="99" a="1"/>
  <c r="D28" i="99" s="1"/>
  <c r="G24" i="99"/>
  <c r="F24" i="99"/>
  <c r="J19" i="99" a="1"/>
  <c r="J19" i="99" s="1"/>
  <c r="J17" i="99"/>
  <c r="J16" i="99" a="1"/>
  <c r="J16" i="99" s="1"/>
  <c r="J14" i="99" a="1"/>
  <c r="J14" i="99" s="1"/>
  <c r="J13" i="99" a="1"/>
  <c r="J13" i="99" s="1"/>
  <c r="H13" i="99" a="1"/>
  <c r="H13" i="99" s="1"/>
  <c r="D13" i="99" a="1"/>
  <c r="D13" i="99" s="1"/>
  <c r="E11" i="99" a="1"/>
  <c r="E11" i="99" s="1"/>
  <c r="E10" i="99" a="1"/>
  <c r="E10" i="99" s="1"/>
  <c r="D6" i="99" a="1"/>
  <c r="D6" i="99" s="1"/>
  <c r="D5" i="99" a="1"/>
  <c r="D5" i="99" s="1"/>
  <c r="O82" i="98" a="1"/>
  <c r="O82" i="98" s="1"/>
  <c r="M79" i="98" a="1"/>
  <c r="M79" i="98" s="1"/>
  <c r="R74" i="98"/>
  <c r="P71" i="98" a="1"/>
  <c r="P71" i="98" s="1"/>
  <c r="M71" i="98" a="1"/>
  <c r="M71" i="98" s="1"/>
  <c r="N69" i="98" a="1"/>
  <c r="N69" i="98" s="1"/>
  <c r="N68" i="98" a="1"/>
  <c r="N68" i="98" s="1"/>
  <c r="M64" i="98" a="1"/>
  <c r="M64" i="98" s="1"/>
  <c r="M63" i="98" a="1"/>
  <c r="M63" i="98" s="1"/>
  <c r="P48" i="98" a="1"/>
  <c r="P48" i="98" s="1"/>
  <c r="M48" i="98" a="1"/>
  <c r="M48" i="98" s="1"/>
  <c r="F47" i="98" a="1"/>
  <c r="F47" i="98" s="1"/>
  <c r="N46" i="98" a="1"/>
  <c r="N46" i="98" s="1"/>
  <c r="N45" i="98" a="1"/>
  <c r="N45" i="98" s="1"/>
  <c r="D44" i="98" a="1"/>
  <c r="D44" i="98" s="1"/>
  <c r="M41" i="98" a="1"/>
  <c r="M41" i="98" s="1"/>
  <c r="M40" i="98" a="1"/>
  <c r="M40" i="98" s="1"/>
  <c r="I39" i="98"/>
  <c r="G36" i="98" a="1"/>
  <c r="G36" i="98" s="1"/>
  <c r="D36" i="98" a="1"/>
  <c r="D36" i="98" s="1"/>
  <c r="S34" i="98"/>
  <c r="E34" i="98" a="1"/>
  <c r="E34" i="98" s="1"/>
  <c r="Q33" i="98" a="1"/>
  <c r="Q33" i="98" s="1"/>
  <c r="M33" i="98" a="1"/>
  <c r="M33" i="98" s="1"/>
  <c r="E33" i="98" a="1"/>
  <c r="E33" i="98" s="1"/>
  <c r="N31" i="98" a="1"/>
  <c r="N31" i="98" s="1"/>
  <c r="N30" i="98" a="1"/>
  <c r="N30" i="98" s="1"/>
  <c r="D29" i="98" a="1"/>
  <c r="D29" i="98" s="1"/>
  <c r="D28" i="98" a="1"/>
  <c r="D28" i="98" s="1"/>
  <c r="M26" i="98" a="1"/>
  <c r="M26" i="98" s="1"/>
  <c r="M25" i="98" a="1"/>
  <c r="M25" i="98" s="1"/>
  <c r="M24" i="98" a="1"/>
  <c r="M24" i="98" s="1"/>
  <c r="I21" i="98"/>
  <c r="I20" i="98" s="1" a="1"/>
  <c r="I20" i="98" s="1"/>
  <c r="Q19" i="98"/>
  <c r="Q17" i="98"/>
  <c r="Q16" i="98"/>
  <c r="I16" i="98"/>
  <c r="O15" i="98" a="1"/>
  <c r="O15" i="98" s="1"/>
  <c r="M15" i="98" a="1"/>
  <c r="M15" i="98" s="1"/>
  <c r="N13" i="98" a="1"/>
  <c r="N13" i="98" s="1"/>
  <c r="I13" i="98"/>
  <c r="G13" i="98" a="1"/>
  <c r="G13" i="98" s="1"/>
  <c r="D13" i="98" a="1"/>
  <c r="D13" i="98" s="1"/>
  <c r="N12" i="98" a="1"/>
  <c r="N12" i="98" s="1"/>
  <c r="E11" i="98" a="1"/>
  <c r="E11" i="98" s="1"/>
  <c r="E10" i="98" a="1"/>
  <c r="E10" i="98" s="1"/>
  <c r="M7" i="98" a="1"/>
  <c r="M7" i="98" s="1"/>
  <c r="M6" i="98" a="1"/>
  <c r="M6" i="98" s="1"/>
  <c r="D6" i="98" a="1"/>
  <c r="D6" i="98" s="1"/>
  <c r="M5" i="98" a="1"/>
  <c r="M5" i="98" s="1"/>
  <c r="D5" i="98" a="1"/>
  <c r="D5" i="98" s="1"/>
  <c r="E22" i="97"/>
  <c r="E68" i="96" a="1"/>
  <c r="E68" i="96" s="1"/>
  <c r="D68" i="96" a="1"/>
  <c r="D68" i="96" s="1"/>
  <c r="E67" i="96" a="1"/>
  <c r="E67" i="96" s="1"/>
  <c r="D67" i="96" a="1"/>
  <c r="D67" i="96" s="1"/>
  <c r="E66" i="96" a="1"/>
  <c r="E66" i="96" s="1"/>
  <c r="D66" i="96" a="1"/>
  <c r="D66" i="96" s="1"/>
  <c r="E65" i="96" a="1"/>
  <c r="E65" i="96" s="1"/>
  <c r="D65" i="96" a="1"/>
  <c r="D65" i="96" s="1"/>
  <c r="E64" i="96" a="1"/>
  <c r="E64" i="96" s="1"/>
  <c r="D64" i="96" a="1"/>
  <c r="D64" i="96" s="1"/>
  <c r="E63" i="96" a="1"/>
  <c r="E63" i="96" s="1"/>
  <c r="D63" i="96" a="1"/>
  <c r="D63" i="96" s="1"/>
  <c r="E62" i="96" a="1"/>
  <c r="E62" i="96" s="1"/>
  <c r="D62" i="96" a="1"/>
  <c r="D62" i="96" s="1"/>
  <c r="E61" i="96" a="1"/>
  <c r="E61" i="96" s="1"/>
  <c r="D61" i="96" a="1"/>
  <c r="D61" i="96" s="1"/>
  <c r="E60" i="96" a="1"/>
  <c r="E60" i="96" s="1"/>
  <c r="D60" i="96" a="1"/>
  <c r="D60" i="96" s="1"/>
  <c r="E59" i="96" a="1"/>
  <c r="E59" i="96" s="1"/>
  <c r="D59" i="96" a="1"/>
  <c r="D59" i="96" s="1"/>
  <c r="E58" i="96" a="1"/>
  <c r="E58" i="96" s="1"/>
  <c r="D58" i="96" a="1"/>
  <c r="D58" i="96" s="1"/>
  <c r="D56" i="96" a="1"/>
  <c r="D56" i="96" s="1"/>
  <c r="D55" i="96" a="1"/>
  <c r="D55" i="96" s="1"/>
  <c r="D54" i="96" a="1"/>
  <c r="D54" i="96" s="1"/>
  <c r="D53" i="96" a="1"/>
  <c r="D53" i="96" s="1"/>
  <c r="D52" i="96" a="1"/>
  <c r="D52" i="96" s="1"/>
  <c r="G50" i="96" a="1"/>
  <c r="G50" i="96" s="1"/>
  <c r="F50" i="96" a="1"/>
  <c r="F50" i="96" s="1"/>
  <c r="E50" i="96" a="1"/>
  <c r="E50" i="96" s="1"/>
  <c r="O21" i="96" s="1"/>
  <c r="D50" i="96" a="1"/>
  <c r="D50" i="96" s="1"/>
  <c r="G49" i="96" a="1"/>
  <c r="G49" i="96" s="1"/>
  <c r="F49" i="96" a="1"/>
  <c r="F49" i="96" s="1"/>
  <c r="E49" i="96" a="1"/>
  <c r="E49" i="96" s="1"/>
  <c r="O20" i="96" s="1"/>
  <c r="D49" i="96" a="1"/>
  <c r="D49" i="96" s="1"/>
  <c r="G48" i="96" a="1"/>
  <c r="G48" i="96" s="1"/>
  <c r="F48" i="96" a="1"/>
  <c r="F48" i="96" s="1"/>
  <c r="E48" i="96" a="1"/>
  <c r="E48" i="96" s="1"/>
  <c r="O19" i="96" s="1"/>
  <c r="D48" i="96" a="1"/>
  <c r="D48" i="96" s="1"/>
  <c r="G47" i="96" a="1"/>
  <c r="G47" i="96" s="1"/>
  <c r="F47" i="96" a="1"/>
  <c r="F47" i="96" s="1"/>
  <c r="E47" i="96" a="1"/>
  <c r="E47" i="96" s="1"/>
  <c r="O18" i="96" s="1"/>
  <c r="D47" i="96" a="1"/>
  <c r="D47" i="96" s="1"/>
  <c r="G46" i="96" a="1"/>
  <c r="G46" i="96" s="1"/>
  <c r="F46" i="96" a="1"/>
  <c r="F46" i="96" s="1"/>
  <c r="E46" i="96" a="1"/>
  <c r="E46" i="96" s="1"/>
  <c r="O17" i="96" s="1"/>
  <c r="D46" i="96" a="1"/>
  <c r="D46" i="96" s="1"/>
  <c r="G45" i="96" a="1"/>
  <c r="G45" i="96" s="1"/>
  <c r="F45" i="96" a="1"/>
  <c r="F45" i="96" s="1"/>
  <c r="E45" i="96" a="1"/>
  <c r="E45" i="96" s="1"/>
  <c r="D45" i="96" a="1"/>
  <c r="D45" i="96" s="1"/>
  <c r="G44" i="96" a="1"/>
  <c r="G44" i="96" s="1"/>
  <c r="F44" i="96" a="1"/>
  <c r="F44" i="96" s="1"/>
  <c r="E44" i="96" a="1"/>
  <c r="E44" i="96" s="1"/>
  <c r="M21" i="96" s="1"/>
  <c r="D44" i="96" a="1"/>
  <c r="D44" i="96" s="1"/>
  <c r="G43" i="96" a="1"/>
  <c r="G43" i="96" s="1"/>
  <c r="F43" i="96" a="1"/>
  <c r="F43" i="96" s="1"/>
  <c r="E43" i="96" a="1"/>
  <c r="E43" i="96" s="1"/>
  <c r="M20" i="96" s="1"/>
  <c r="D43" i="96" a="1"/>
  <c r="D43" i="96" s="1"/>
  <c r="G42" i="96" a="1"/>
  <c r="G42" i="96" s="1"/>
  <c r="F42" i="96" a="1"/>
  <c r="F42" i="96" s="1"/>
  <c r="E42" i="96" a="1"/>
  <c r="E42" i="96" s="1"/>
  <c r="M19" i="96" s="1"/>
  <c r="D42" i="96" a="1"/>
  <c r="D42" i="96" s="1"/>
  <c r="G41" i="96" a="1"/>
  <c r="G41" i="96" s="1"/>
  <c r="F41" i="96" a="1"/>
  <c r="F41" i="96" s="1"/>
  <c r="E41" i="96" a="1"/>
  <c r="E41" i="96" s="1"/>
  <c r="M18" i="96" s="1"/>
  <c r="D41" i="96" a="1"/>
  <c r="D41" i="96" s="1"/>
  <c r="G40" i="96" a="1"/>
  <c r="G40" i="96" s="1"/>
  <c r="F40" i="96" a="1"/>
  <c r="F40" i="96" s="1"/>
  <c r="E40" i="96" a="1"/>
  <c r="E40" i="96" s="1"/>
  <c r="M17" i="96" s="1"/>
  <c r="D40" i="96" a="1"/>
  <c r="D40" i="96" s="1"/>
  <c r="G39" i="96" a="1"/>
  <c r="G39" i="96" s="1"/>
  <c r="F39" i="96" a="1"/>
  <c r="F39" i="96" s="1"/>
  <c r="E39" i="96" a="1"/>
  <c r="E39" i="96" s="1"/>
  <c r="D39" i="96" a="1"/>
  <c r="D39" i="96" s="1"/>
  <c r="G38" i="96" a="1"/>
  <c r="G38" i="96" s="1"/>
  <c r="F38" i="96" a="1"/>
  <c r="F38" i="96" s="1"/>
  <c r="E38" i="96" a="1"/>
  <c r="E38" i="96" s="1"/>
  <c r="K26" i="96" s="1"/>
  <c r="D38" i="96" a="1"/>
  <c r="D38" i="96" s="1"/>
  <c r="G37" i="96" a="1"/>
  <c r="G37" i="96" s="1"/>
  <c r="F37" i="96" a="1"/>
  <c r="F37" i="96" s="1"/>
  <c r="E37" i="96" a="1"/>
  <c r="E37" i="96" s="1"/>
  <c r="K25" i="96" s="1"/>
  <c r="D37" i="96" a="1"/>
  <c r="D37" i="96" s="1"/>
  <c r="G36" i="96" a="1"/>
  <c r="G36" i="96" s="1"/>
  <c r="F36" i="96" a="1"/>
  <c r="F36" i="96" s="1"/>
  <c r="E36" i="96" a="1"/>
  <c r="E36" i="96" s="1"/>
  <c r="K24" i="96" s="1"/>
  <c r="D36" i="96" a="1"/>
  <c r="D36" i="96" s="1"/>
  <c r="G35" i="96" a="1"/>
  <c r="G35" i="96" s="1"/>
  <c r="F35" i="96" a="1"/>
  <c r="F35" i="96" s="1"/>
  <c r="E35" i="96" a="1"/>
  <c r="E35" i="96" s="1"/>
  <c r="K23" i="96" s="1"/>
  <c r="D35" i="96" a="1"/>
  <c r="D35" i="96" s="1"/>
  <c r="G34" i="96" a="1"/>
  <c r="G34" i="96" s="1"/>
  <c r="F34" i="96" a="1"/>
  <c r="F34" i="96" s="1"/>
  <c r="E34" i="96" a="1"/>
  <c r="E34" i="96" s="1"/>
  <c r="K22" i="96" s="1"/>
  <c r="D34" i="96" a="1"/>
  <c r="D34" i="96" s="1"/>
  <c r="G33" i="96" a="1"/>
  <c r="G33" i="96" s="1"/>
  <c r="F33" i="96" a="1"/>
  <c r="F33" i="96" s="1"/>
  <c r="E33" i="96" a="1"/>
  <c r="E33" i="96" s="1"/>
  <c r="K21" i="96" s="1"/>
  <c r="D33" i="96" a="1"/>
  <c r="D33" i="96" s="1"/>
  <c r="G32" i="96" a="1"/>
  <c r="G32" i="96" s="1"/>
  <c r="F32" i="96" a="1"/>
  <c r="F32" i="96" s="1"/>
  <c r="E32" i="96" a="1"/>
  <c r="E32" i="96" s="1"/>
  <c r="K20" i="96" s="1"/>
  <c r="D32" i="96" a="1"/>
  <c r="D32" i="96" s="1"/>
  <c r="G31" i="96" a="1"/>
  <c r="G31" i="96" s="1"/>
  <c r="F31" i="96" a="1"/>
  <c r="F31" i="96" s="1"/>
  <c r="E31" i="96" a="1"/>
  <c r="E31" i="96" s="1"/>
  <c r="K19" i="96" s="1"/>
  <c r="D31" i="96" a="1"/>
  <c r="D31" i="96" s="1"/>
  <c r="G30" i="96" a="1"/>
  <c r="G30" i="96" s="1"/>
  <c r="F30" i="96" a="1"/>
  <c r="F30" i="96" s="1"/>
  <c r="E30" i="96" a="1"/>
  <c r="E30" i="96" s="1"/>
  <c r="K18" i="96" s="1"/>
  <c r="D30" i="96" a="1"/>
  <c r="D30" i="96" s="1"/>
  <c r="G29" i="96" a="1"/>
  <c r="G29" i="96" s="1"/>
  <c r="F29" i="96" a="1"/>
  <c r="F29" i="96" s="1"/>
  <c r="E29" i="96" a="1"/>
  <c r="E29" i="96" s="1"/>
  <c r="K17" i="96" s="1"/>
  <c r="D29" i="96" a="1"/>
  <c r="D29" i="96" s="1"/>
  <c r="G28" i="96" a="1"/>
  <c r="G28" i="96" s="1"/>
  <c r="F28" i="96" a="1"/>
  <c r="F28" i="96" s="1"/>
  <c r="E28" i="96" a="1"/>
  <c r="E28" i="96" s="1"/>
  <c r="D28" i="96" a="1"/>
  <c r="D28" i="96" s="1"/>
  <c r="G27" i="96" a="1"/>
  <c r="G27" i="96" s="1"/>
  <c r="F27" i="96" a="1"/>
  <c r="F27" i="96" s="1"/>
  <c r="E27" i="96" a="1"/>
  <c r="E27" i="96" s="1"/>
  <c r="I27" i="96" s="1"/>
  <c r="D27" i="96" a="1"/>
  <c r="D27" i="96" s="1"/>
  <c r="G26" i="96" a="1"/>
  <c r="G26" i="96" s="1"/>
  <c r="F26" i="96" a="1"/>
  <c r="F26" i="96" s="1"/>
  <c r="E26" i="96" a="1"/>
  <c r="E26" i="96" s="1"/>
  <c r="I26" i="96" s="1"/>
  <c r="D26" i="96" a="1"/>
  <c r="D26" i="96" s="1"/>
  <c r="G25" i="96" a="1"/>
  <c r="G25" i="96" s="1"/>
  <c r="F25" i="96" a="1"/>
  <c r="F25" i="96" s="1"/>
  <c r="E25" i="96" a="1"/>
  <c r="E25" i="96" s="1"/>
  <c r="I25" i="96" s="1"/>
  <c r="D25" i="96" a="1"/>
  <c r="D25" i="96" s="1"/>
  <c r="G24" i="96" a="1"/>
  <c r="G24" i="96" s="1"/>
  <c r="F24" i="96" a="1"/>
  <c r="F24" i="96" s="1"/>
  <c r="E24" i="96" a="1"/>
  <c r="E24" i="96" s="1"/>
  <c r="I24" i="96" s="1"/>
  <c r="D24" i="96" a="1"/>
  <c r="D24" i="96" s="1"/>
  <c r="G23" i="96" a="1"/>
  <c r="G23" i="96" s="1"/>
  <c r="F23" i="96" a="1"/>
  <c r="F23" i="96" s="1"/>
  <c r="E23" i="96" a="1"/>
  <c r="E23" i="96" s="1"/>
  <c r="I23" i="96" s="1"/>
  <c r="D23" i="96" a="1"/>
  <c r="D23" i="96" s="1"/>
  <c r="G22" i="96" a="1"/>
  <c r="G22" i="96" s="1"/>
  <c r="F22" i="96" a="1"/>
  <c r="F22" i="96" s="1"/>
  <c r="E22" i="96" a="1"/>
  <c r="E22" i="96" s="1"/>
  <c r="I22" i="96" s="1"/>
  <c r="D22" i="96" a="1"/>
  <c r="D22" i="96" s="1"/>
  <c r="G21" i="96" a="1"/>
  <c r="G21" i="96" s="1"/>
  <c r="F21" i="96" a="1"/>
  <c r="F21" i="96" s="1"/>
  <c r="E21" i="96" a="1"/>
  <c r="E21" i="96" s="1"/>
  <c r="I21" i="96" s="1"/>
  <c r="D21" i="96" a="1"/>
  <c r="D21" i="96" s="1"/>
  <c r="G20" i="96" a="1"/>
  <c r="G20" i="96" s="1"/>
  <c r="F20" i="96" a="1"/>
  <c r="F20" i="96" s="1"/>
  <c r="E20" i="96" a="1"/>
  <c r="E20" i="96" s="1"/>
  <c r="I20" i="96" s="1"/>
  <c r="D20" i="96" a="1"/>
  <c r="D20" i="96" s="1"/>
  <c r="G19" i="96" a="1"/>
  <c r="G19" i="96" s="1"/>
  <c r="F19" i="96" a="1"/>
  <c r="F19" i="96" s="1"/>
  <c r="E19" i="96" a="1"/>
  <c r="E19" i="96" s="1"/>
  <c r="I19" i="96" s="1"/>
  <c r="D19" i="96" a="1"/>
  <c r="D19" i="96" s="1"/>
  <c r="G18" i="96" a="1"/>
  <c r="G18" i="96" s="1"/>
  <c r="F18" i="96" a="1"/>
  <c r="F18" i="96" s="1"/>
  <c r="E18" i="96" a="1"/>
  <c r="E18" i="96" s="1"/>
  <c r="I18" i="96" s="1"/>
  <c r="D18" i="96" a="1"/>
  <c r="D18" i="96" s="1"/>
  <c r="G17" i="96" a="1"/>
  <c r="G17" i="96" s="1"/>
  <c r="F17" i="96" a="1"/>
  <c r="F17" i="96" s="1"/>
  <c r="E17" i="96" a="1"/>
  <c r="E17" i="96" s="1"/>
  <c r="I17" i="96" s="1"/>
  <c r="D17" i="96" a="1"/>
  <c r="D17" i="96" s="1"/>
  <c r="D15" i="96" a="1"/>
  <c r="D15" i="96" s="1"/>
  <c r="D14" i="96" a="1"/>
  <c r="D14" i="96" s="1"/>
  <c r="D7" i="96" a="1"/>
  <c r="D7" i="96" s="1"/>
  <c r="D6" i="96" a="1"/>
  <c r="D6" i="96" s="1"/>
  <c r="D5" i="96" a="1"/>
  <c r="D5" i="96" s="1"/>
  <c r="H185" i="95"/>
  <c r="H179" i="95"/>
  <c r="H168" i="95"/>
  <c r="H144" i="95"/>
  <c r="H138" i="95"/>
  <c r="H127" i="95"/>
  <c r="H105" i="95" a="1"/>
  <c r="H105" i="95" s="1"/>
  <c r="D105" i="95" a="1"/>
  <c r="D105" i="95" s="1"/>
  <c r="E103" i="95" a="1"/>
  <c r="E103" i="95" s="1"/>
  <c r="E102" i="95" a="1"/>
  <c r="E102" i="95" s="1"/>
  <c r="D98" i="95" a="1"/>
  <c r="D98" i="95" s="1"/>
  <c r="D97" i="95" a="1"/>
  <c r="D97" i="95" s="1"/>
  <c r="D96" i="95" a="1"/>
  <c r="D96" i="95" s="1"/>
  <c r="J16" i="95" a="1"/>
  <c r="J16" i="95" s="1"/>
  <c r="I16" i="95" a="1"/>
  <c r="I16" i="95" s="1"/>
  <c r="J15" i="95" a="1"/>
  <c r="J15" i="95" s="1"/>
  <c r="I15" i="95" a="1"/>
  <c r="I15" i="95" s="1"/>
  <c r="J14" i="95" a="1"/>
  <c r="J14" i="95" s="1"/>
  <c r="I14" i="95" a="1"/>
  <c r="I14" i="95" s="1"/>
  <c r="J13" i="95" a="1"/>
  <c r="J13" i="95" s="1"/>
  <c r="I13" i="95" a="1"/>
  <c r="I13" i="95" s="1"/>
  <c r="G13" i="95" a="1"/>
  <c r="G13" i="95" s="1"/>
  <c r="D13" i="95" a="1"/>
  <c r="D13" i="95" s="1"/>
  <c r="E11" i="95" a="1"/>
  <c r="E11" i="95" s="1"/>
  <c r="E10" i="95" a="1"/>
  <c r="E10" i="95" s="1"/>
  <c r="D6" i="95" a="1"/>
  <c r="D6" i="95" s="1"/>
  <c r="D5" i="95" a="1"/>
  <c r="D5" i="95" s="1"/>
  <c r="E139" i="93"/>
  <c r="F40" i="92" s="1"/>
  <c r="G138" i="93"/>
  <c r="F32" i="91" s="1"/>
  <c r="E138" i="93"/>
  <c r="F39" i="92" s="1"/>
  <c r="G137" i="93"/>
  <c r="F31" i="91" s="1"/>
  <c r="E137" i="93"/>
  <c r="F38" i="92" s="1"/>
  <c r="D137" i="93"/>
  <c r="F31" i="92" s="1"/>
  <c r="G136" i="93"/>
  <c r="F30" i="91" s="1"/>
  <c r="E136" i="93"/>
  <c r="F37" i="92" s="1"/>
  <c r="D136" i="93"/>
  <c r="F30" i="92" s="1"/>
  <c r="G135" i="93"/>
  <c r="F29" i="91" s="1"/>
  <c r="E135" i="93"/>
  <c r="F36" i="92" s="1"/>
  <c r="D135" i="93"/>
  <c r="F29" i="92" s="1"/>
  <c r="G134" i="93"/>
  <c r="F28" i="91" s="1"/>
  <c r="E134" i="93"/>
  <c r="F35" i="92" s="1"/>
  <c r="D134" i="93"/>
  <c r="F28" i="92" s="1"/>
  <c r="G133" i="93"/>
  <c r="F27" i="91" s="1"/>
  <c r="F133" i="93"/>
  <c r="F36" i="91" s="1"/>
  <c r="E133" i="93"/>
  <c r="F34" i="92" s="1"/>
  <c r="D133" i="93"/>
  <c r="F27" i="92" s="1"/>
  <c r="I132" i="93"/>
  <c r="F38" i="91" s="1"/>
  <c r="G132" i="93"/>
  <c r="F26" i="91" s="1"/>
  <c r="F132" i="93"/>
  <c r="F35" i="91" s="1"/>
  <c r="E132" i="93"/>
  <c r="F33" i="92" s="1"/>
  <c r="D132" i="93"/>
  <c r="F26" i="92" s="1"/>
  <c r="I131" i="93"/>
  <c r="F37" i="91" s="1"/>
  <c r="H131" i="93"/>
  <c r="F33" i="91" s="1"/>
  <c r="G131" i="93"/>
  <c r="F25" i="91" s="1"/>
  <c r="F131" i="93"/>
  <c r="F34" i="91" s="1"/>
  <c r="E131" i="93"/>
  <c r="F32" i="92" s="1"/>
  <c r="D131" i="93"/>
  <c r="F25" i="92" s="1"/>
  <c r="F120" i="93" a="1"/>
  <c r="F120" i="93" s="1"/>
  <c r="E120" i="93" a="1"/>
  <c r="E120" i="93" s="1"/>
  <c r="D120" i="93" a="1"/>
  <c r="D120" i="93" s="1"/>
  <c r="F119" i="93" a="1"/>
  <c r="F119" i="93" s="1"/>
  <c r="E119" i="93" a="1"/>
  <c r="E119" i="93" s="1"/>
  <c r="D119" i="93" a="1"/>
  <c r="D119" i="93" s="1"/>
  <c r="F118" i="93" a="1"/>
  <c r="F118" i="93" s="1"/>
  <c r="E118" i="93" a="1"/>
  <c r="E118" i="93" s="1"/>
  <c r="D118" i="93" a="1"/>
  <c r="D118" i="93" s="1"/>
  <c r="F117" i="93" a="1"/>
  <c r="F117" i="93" s="1"/>
  <c r="E117" i="93" a="1"/>
  <c r="E117" i="93" s="1"/>
  <c r="D117" i="93" a="1"/>
  <c r="D117" i="93" s="1"/>
  <c r="F116" i="93" a="1"/>
  <c r="F116" i="93" s="1"/>
  <c r="E116" i="93" a="1"/>
  <c r="E116" i="93" s="1"/>
  <c r="D116" i="93" a="1"/>
  <c r="D116" i="93" s="1"/>
  <c r="F115" i="93" a="1"/>
  <c r="F115" i="93" s="1"/>
  <c r="E115" i="93" a="1"/>
  <c r="E115" i="93" s="1"/>
  <c r="D115" i="93" a="1"/>
  <c r="D115" i="93" s="1"/>
  <c r="F114" i="93" a="1"/>
  <c r="F114" i="93" s="1"/>
  <c r="E114" i="93" a="1"/>
  <c r="E114" i="93" s="1"/>
  <c r="D114" i="93" a="1"/>
  <c r="D114" i="93" s="1"/>
  <c r="G113" i="93" a="1"/>
  <c r="G113" i="93" s="1"/>
  <c r="F113" i="93" a="1"/>
  <c r="F113" i="93" s="1"/>
  <c r="E113" i="93" a="1"/>
  <c r="E113" i="93" s="1"/>
  <c r="D113" i="93" a="1"/>
  <c r="D113" i="93" s="1"/>
  <c r="D110" i="93" a="1"/>
  <c r="D110" i="93" s="1"/>
  <c r="D109" i="93" a="1"/>
  <c r="D109" i="93" s="1"/>
  <c r="D108" i="93" a="1"/>
  <c r="D108" i="93" s="1"/>
  <c r="D107" i="93" a="1"/>
  <c r="D107" i="93" s="1"/>
  <c r="J104" i="93" a="1"/>
  <c r="J104" i="93" s="1"/>
  <c r="I104" i="93" a="1"/>
  <c r="I104" i="93" s="1"/>
  <c r="H104" i="93" a="1"/>
  <c r="H104" i="93" s="1"/>
  <c r="G104" i="93" a="1"/>
  <c r="G104" i="93" s="1"/>
  <c r="F104" i="93" a="1"/>
  <c r="F104" i="93" s="1"/>
  <c r="E104" i="93" a="1"/>
  <c r="E104" i="93" s="1"/>
  <c r="D104" i="93" a="1"/>
  <c r="D104" i="93" s="1"/>
  <c r="E40" i="92" s="1"/>
  <c r="J103" i="93" a="1"/>
  <c r="J103" i="93" s="1"/>
  <c r="I103" i="93" a="1"/>
  <c r="I103" i="93" s="1"/>
  <c r="H103" i="93" a="1"/>
  <c r="H103" i="93" s="1"/>
  <c r="G103" i="93" a="1"/>
  <c r="G103" i="93" s="1"/>
  <c r="F103" i="93" a="1"/>
  <c r="F103" i="93" s="1"/>
  <c r="E103" i="93" a="1"/>
  <c r="E103" i="93" s="1"/>
  <c r="D103" i="93" a="1"/>
  <c r="D103" i="93" s="1"/>
  <c r="E39" i="92" s="1"/>
  <c r="J102" i="93" a="1"/>
  <c r="J102" i="93" s="1"/>
  <c r="I102" i="93" a="1"/>
  <c r="I102" i="93" s="1"/>
  <c r="H102" i="93" a="1"/>
  <c r="H102" i="93" s="1"/>
  <c r="G102" i="93" a="1"/>
  <c r="G102" i="93" s="1"/>
  <c r="F102" i="93" a="1"/>
  <c r="F102" i="93" s="1"/>
  <c r="E102" i="93" a="1"/>
  <c r="E102" i="93" s="1"/>
  <c r="D102" i="93" a="1"/>
  <c r="D102" i="93" s="1"/>
  <c r="J101" i="93" a="1"/>
  <c r="J101" i="93" s="1"/>
  <c r="I101" i="93" a="1"/>
  <c r="I101" i="93" s="1"/>
  <c r="H101" i="93" a="1"/>
  <c r="H101" i="93" s="1"/>
  <c r="G101" i="93" a="1"/>
  <c r="G101" i="93" s="1"/>
  <c r="F101" i="93" a="1"/>
  <c r="F101" i="93" s="1"/>
  <c r="E101" i="93" a="1"/>
  <c r="E101" i="93" s="1"/>
  <c r="D101" i="93" a="1"/>
  <c r="D101" i="93" s="1"/>
  <c r="J100" i="93" a="1"/>
  <c r="J100" i="93" s="1"/>
  <c r="I100" i="93" a="1"/>
  <c r="I100" i="93" s="1"/>
  <c r="H100" i="93" a="1"/>
  <c r="H100" i="93" s="1"/>
  <c r="G100" i="93" a="1"/>
  <c r="G100" i="93" s="1"/>
  <c r="F100" i="93" a="1"/>
  <c r="F100" i="93" s="1"/>
  <c r="E100" i="93" a="1"/>
  <c r="E100" i="93" s="1"/>
  <c r="D100" i="93" a="1"/>
  <c r="D100" i="93" s="1"/>
  <c r="J99" i="93" a="1"/>
  <c r="J99" i="93" s="1"/>
  <c r="I99" i="93" a="1"/>
  <c r="I99" i="93" s="1"/>
  <c r="H99" i="93" a="1"/>
  <c r="H99" i="93" s="1"/>
  <c r="G99" i="93" a="1"/>
  <c r="G99" i="93" s="1"/>
  <c r="F99" i="93" a="1"/>
  <c r="F99" i="93" s="1"/>
  <c r="E99" i="93" a="1"/>
  <c r="E99" i="93" s="1"/>
  <c r="D99" i="93" a="1"/>
  <c r="D99" i="93" s="1"/>
  <c r="J98" i="93" a="1"/>
  <c r="J98" i="93" s="1"/>
  <c r="I98" i="93" a="1"/>
  <c r="I98" i="93" s="1"/>
  <c r="H98" i="93" a="1"/>
  <c r="H98" i="93" s="1"/>
  <c r="G98" i="93" a="1"/>
  <c r="G98" i="93" s="1"/>
  <c r="F98" i="93" a="1"/>
  <c r="F98" i="93" s="1"/>
  <c r="E98" i="93" a="1"/>
  <c r="E98" i="93" s="1"/>
  <c r="D98" i="93" a="1"/>
  <c r="D98" i="93" s="1"/>
  <c r="J97" i="93" a="1"/>
  <c r="J97" i="93" s="1"/>
  <c r="I97" i="93" a="1"/>
  <c r="I97" i="93" s="1"/>
  <c r="H97" i="93" a="1"/>
  <c r="H97" i="93" s="1"/>
  <c r="G97" i="93" a="1"/>
  <c r="G97" i="93" s="1"/>
  <c r="F97" i="93" a="1"/>
  <c r="F97" i="93" s="1"/>
  <c r="E97" i="93" a="1"/>
  <c r="E97" i="93" s="1"/>
  <c r="D97" i="93" a="1"/>
  <c r="D97" i="93" s="1"/>
  <c r="J96" i="93" a="1"/>
  <c r="J96" i="93" s="1"/>
  <c r="I96" i="93" a="1"/>
  <c r="I96" i="93" s="1"/>
  <c r="H96" i="93" a="1"/>
  <c r="H96" i="93" s="1"/>
  <c r="G96" i="93" a="1"/>
  <c r="G96" i="93" s="1"/>
  <c r="F96" i="93" a="1"/>
  <c r="F96" i="93" s="1"/>
  <c r="E96" i="93" a="1"/>
  <c r="E96" i="93" s="1"/>
  <c r="D96" i="93" a="1"/>
  <c r="D96" i="93" s="1"/>
  <c r="J95" i="93" a="1"/>
  <c r="J95" i="93" s="1"/>
  <c r="I95" i="93" a="1"/>
  <c r="I95" i="93" s="1"/>
  <c r="H95" i="93" a="1"/>
  <c r="H95" i="93" s="1"/>
  <c r="G95" i="93" a="1"/>
  <c r="G95" i="93" s="1"/>
  <c r="F95" i="93" a="1"/>
  <c r="F95" i="93" s="1"/>
  <c r="E95" i="93" a="1"/>
  <c r="E95" i="93" s="1"/>
  <c r="D95" i="93" a="1"/>
  <c r="D95" i="93" s="1"/>
  <c r="J94" i="93" a="1"/>
  <c r="J94" i="93" s="1"/>
  <c r="I94" i="93" a="1"/>
  <c r="I94" i="93" s="1"/>
  <c r="H94" i="93" a="1"/>
  <c r="H94" i="93" s="1"/>
  <c r="G94" i="93" a="1"/>
  <c r="G94" i="93" s="1"/>
  <c r="F94" i="93" a="1"/>
  <c r="F94" i="93" s="1"/>
  <c r="E94" i="93" a="1"/>
  <c r="E94" i="93" s="1"/>
  <c r="D94" i="93" a="1"/>
  <c r="D94" i="93" s="1"/>
  <c r="J93" i="93" a="1"/>
  <c r="J93" i="93" s="1"/>
  <c r="I93" i="93" a="1"/>
  <c r="I93" i="93" s="1"/>
  <c r="H93" i="93" a="1"/>
  <c r="H93" i="93" s="1"/>
  <c r="G93" i="93" a="1"/>
  <c r="G93" i="93" s="1"/>
  <c r="F93" i="93" a="1"/>
  <c r="F93" i="93" s="1"/>
  <c r="E93" i="93" a="1"/>
  <c r="E93" i="93" s="1"/>
  <c r="D93" i="93" a="1"/>
  <c r="D93" i="93" s="1"/>
  <c r="J92" i="93" a="1"/>
  <c r="J92" i="93" s="1"/>
  <c r="I92" i="93" a="1"/>
  <c r="I92" i="93" s="1"/>
  <c r="H92" i="93" a="1"/>
  <c r="H92" i="93" s="1"/>
  <c r="G92" i="93" a="1"/>
  <c r="G92" i="93" s="1"/>
  <c r="F92" i="93" a="1"/>
  <c r="F92" i="93" s="1"/>
  <c r="E92" i="93" a="1"/>
  <c r="E92" i="93" s="1"/>
  <c r="D92" i="93" a="1"/>
  <c r="D92" i="93" s="1"/>
  <c r="J91" i="93" a="1"/>
  <c r="J91" i="93" s="1"/>
  <c r="I91" i="93" a="1"/>
  <c r="I91" i="93" s="1"/>
  <c r="H91" i="93" a="1"/>
  <c r="H91" i="93" s="1"/>
  <c r="G91" i="93" a="1"/>
  <c r="G91" i="93" s="1"/>
  <c r="F91" i="93" a="1"/>
  <c r="F91" i="93" s="1"/>
  <c r="E91" i="93" a="1"/>
  <c r="E91" i="93" s="1"/>
  <c r="D91" i="93" a="1"/>
  <c r="D91" i="93" s="1"/>
  <c r="J90" i="93" a="1"/>
  <c r="J90" i="93" s="1"/>
  <c r="I90" i="93" a="1"/>
  <c r="I90" i="93" s="1"/>
  <c r="H90" i="93" a="1"/>
  <c r="H90" i="93" s="1"/>
  <c r="G90" i="93" a="1"/>
  <c r="G90" i="93" s="1"/>
  <c r="F90" i="93" a="1"/>
  <c r="F90" i="93" s="1"/>
  <c r="E90" i="93" a="1"/>
  <c r="E90" i="93" s="1"/>
  <c r="D90" i="93" a="1"/>
  <c r="D90" i="93" s="1"/>
  <c r="J89" i="93" a="1"/>
  <c r="J89" i="93" s="1"/>
  <c r="I89" i="93" a="1"/>
  <c r="I89" i="93" s="1"/>
  <c r="H89" i="93" a="1"/>
  <c r="H89" i="93" s="1"/>
  <c r="G89" i="93" a="1"/>
  <c r="G89" i="93" s="1"/>
  <c r="F89" i="93" a="1"/>
  <c r="F89" i="93" s="1"/>
  <c r="E89" i="93" a="1"/>
  <c r="E89" i="93" s="1"/>
  <c r="D89" i="93" a="1"/>
  <c r="D89" i="93" s="1"/>
  <c r="J88" i="93" a="1"/>
  <c r="J88" i="93" s="1"/>
  <c r="I88" i="93" a="1"/>
  <c r="I88" i="93" s="1"/>
  <c r="H88" i="93" a="1"/>
  <c r="H88" i="93" s="1"/>
  <c r="G88" i="93" a="1"/>
  <c r="G88" i="93" s="1"/>
  <c r="F88" i="93" a="1"/>
  <c r="F88" i="93" s="1"/>
  <c r="E88" i="93" a="1"/>
  <c r="E88" i="93" s="1"/>
  <c r="D88" i="93" a="1"/>
  <c r="D88" i="93" s="1"/>
  <c r="J87" i="93" a="1"/>
  <c r="J87" i="93" s="1"/>
  <c r="I87" i="93" a="1"/>
  <c r="I87" i="93" s="1"/>
  <c r="H87" i="93" a="1"/>
  <c r="H87" i="93" s="1"/>
  <c r="G87" i="93" a="1"/>
  <c r="G87" i="93" s="1"/>
  <c r="F87" i="93" a="1"/>
  <c r="F87" i="93" s="1"/>
  <c r="E87" i="93" a="1"/>
  <c r="E87" i="93" s="1"/>
  <c r="D87" i="93" a="1"/>
  <c r="D87" i="93" s="1"/>
  <c r="D84" i="93" a="1"/>
  <c r="D84" i="93" s="1"/>
  <c r="D83" i="93" a="1"/>
  <c r="D83" i="93" s="1"/>
  <c r="D82" i="93" a="1"/>
  <c r="D82" i="93" s="1"/>
  <c r="D81" i="93" a="1"/>
  <c r="D81" i="93" s="1"/>
  <c r="K77" i="93" a="1"/>
  <c r="K77" i="93" s="1"/>
  <c r="J77" i="93" a="1"/>
  <c r="J77" i="93" s="1"/>
  <c r="I77" i="93" a="1"/>
  <c r="I77" i="93" s="1"/>
  <c r="H77" i="93" a="1"/>
  <c r="H77" i="93" s="1"/>
  <c r="G77" i="93" a="1"/>
  <c r="G77" i="93" s="1"/>
  <c r="F77" i="93" a="1"/>
  <c r="F77" i="93" s="1"/>
  <c r="E77" i="93" a="1"/>
  <c r="E77" i="93" s="1"/>
  <c r="D77" i="93" a="1"/>
  <c r="D77" i="93" s="1"/>
  <c r="E31" i="92" s="1"/>
  <c r="K76" i="93" a="1"/>
  <c r="K76" i="93" s="1"/>
  <c r="J76" i="93" a="1"/>
  <c r="J76" i="93" s="1"/>
  <c r="I76" i="93" a="1"/>
  <c r="I76" i="93" s="1"/>
  <c r="H76" i="93" a="1"/>
  <c r="H76" i="93" s="1"/>
  <c r="G76" i="93" a="1"/>
  <c r="G76" i="93" s="1"/>
  <c r="F76" i="93" a="1"/>
  <c r="F76" i="93" s="1"/>
  <c r="E76" i="93" a="1"/>
  <c r="E76" i="93" s="1"/>
  <c r="D76" i="93" a="1"/>
  <c r="D76" i="93" s="1"/>
  <c r="K75" i="93" a="1"/>
  <c r="K75" i="93" s="1"/>
  <c r="J75" i="93" a="1"/>
  <c r="J75" i="93" s="1"/>
  <c r="I75" i="93" a="1"/>
  <c r="I75" i="93" s="1"/>
  <c r="H75" i="93" a="1"/>
  <c r="H75" i="93" s="1"/>
  <c r="G75" i="93" a="1"/>
  <c r="G75" i="93" s="1"/>
  <c r="F75" i="93" a="1"/>
  <c r="F75" i="93" s="1"/>
  <c r="E75" i="93" a="1"/>
  <c r="E75" i="93" s="1"/>
  <c r="D75" i="93" a="1"/>
  <c r="D75" i="93" s="1"/>
  <c r="E37" i="92" s="1"/>
  <c r="K74" i="93" a="1"/>
  <c r="K74" i="93" s="1"/>
  <c r="J74" i="93" a="1"/>
  <c r="J74" i="93" s="1"/>
  <c r="I74" i="93" a="1"/>
  <c r="I74" i="93" s="1"/>
  <c r="H74" i="93" a="1"/>
  <c r="H74" i="93" s="1"/>
  <c r="G74" i="93" a="1"/>
  <c r="G74" i="93" s="1"/>
  <c r="F74" i="93" a="1"/>
  <c r="F74" i="93" s="1"/>
  <c r="E74" i="93" a="1"/>
  <c r="E74" i="93" s="1"/>
  <c r="D74" i="93" a="1"/>
  <c r="D74" i="93" s="1"/>
  <c r="E29" i="92" s="1"/>
  <c r="K73" i="93" a="1"/>
  <c r="K73" i="93" s="1"/>
  <c r="J73" i="93" a="1"/>
  <c r="J73" i="93" s="1"/>
  <c r="I73" i="93" a="1"/>
  <c r="I73" i="93" s="1"/>
  <c r="H73" i="93" a="1"/>
  <c r="H73" i="93" s="1"/>
  <c r="G73" i="93" a="1"/>
  <c r="G73" i="93" s="1"/>
  <c r="F73" i="93" a="1"/>
  <c r="F73" i="93" s="1"/>
  <c r="E73" i="93" a="1"/>
  <c r="E73" i="93" s="1"/>
  <c r="D73" i="93" a="1"/>
  <c r="D73" i="93" s="1"/>
  <c r="E35" i="92" s="1"/>
  <c r="K72" i="93" a="1"/>
  <c r="K72" i="93" s="1"/>
  <c r="J72" i="93" a="1"/>
  <c r="J72" i="93" s="1"/>
  <c r="I72" i="93" a="1"/>
  <c r="I72" i="93" s="1"/>
  <c r="H72" i="93" a="1"/>
  <c r="H72" i="93" s="1"/>
  <c r="G72" i="93" a="1"/>
  <c r="G72" i="93" s="1"/>
  <c r="F72" i="93" a="1"/>
  <c r="F72" i="93" s="1"/>
  <c r="E72" i="93" a="1"/>
  <c r="E72" i="93" s="1"/>
  <c r="D72" i="93" a="1"/>
  <c r="D72" i="93" s="1"/>
  <c r="K71" i="93" a="1"/>
  <c r="K71" i="93" s="1"/>
  <c r="J71" i="93" a="1"/>
  <c r="J71" i="93" s="1"/>
  <c r="I71" i="93" a="1"/>
  <c r="I71" i="93" s="1"/>
  <c r="H71" i="93" a="1"/>
  <c r="H71" i="93" s="1"/>
  <c r="G71" i="93" a="1"/>
  <c r="G71" i="93" s="1"/>
  <c r="F71" i="93" a="1"/>
  <c r="F71" i="93" s="1"/>
  <c r="E71" i="93" a="1"/>
  <c r="E71" i="93" s="1"/>
  <c r="D71" i="93" a="1"/>
  <c r="D71" i="93" s="1"/>
  <c r="K70" i="93" a="1"/>
  <c r="K70" i="93" s="1"/>
  <c r="J70" i="93" a="1"/>
  <c r="J70" i="93" s="1"/>
  <c r="I70" i="93" a="1"/>
  <c r="I70" i="93" s="1"/>
  <c r="H70" i="93" a="1"/>
  <c r="H70" i="93" s="1"/>
  <c r="G70" i="93" a="1"/>
  <c r="G70" i="93" s="1"/>
  <c r="F70" i="93" a="1"/>
  <c r="F70" i="93" s="1"/>
  <c r="E70" i="93" a="1"/>
  <c r="E70" i="93" s="1"/>
  <c r="D70" i="93" a="1"/>
  <c r="D70" i="93" s="1"/>
  <c r="K69" i="93" a="1"/>
  <c r="K69" i="93" s="1"/>
  <c r="J69" i="93" a="1"/>
  <c r="J69" i="93" s="1"/>
  <c r="I69" i="93" a="1"/>
  <c r="I69" i="93" s="1"/>
  <c r="H69" i="93" a="1"/>
  <c r="H69" i="93" s="1"/>
  <c r="G69" i="93" a="1"/>
  <c r="G69" i="93" s="1"/>
  <c r="F69" i="93" a="1"/>
  <c r="F69" i="93" s="1"/>
  <c r="E69" i="93" a="1"/>
  <c r="E69" i="93" s="1"/>
  <c r="D69" i="93" a="1"/>
  <c r="D69" i="93" s="1"/>
  <c r="K68" i="93" a="1"/>
  <c r="K68" i="93" s="1"/>
  <c r="J68" i="93" a="1"/>
  <c r="J68" i="93" s="1"/>
  <c r="I68" i="93" a="1"/>
  <c r="I68" i="93" s="1"/>
  <c r="H68" i="93" a="1"/>
  <c r="H68" i="93" s="1"/>
  <c r="G68" i="93" a="1"/>
  <c r="G68" i="93" s="1"/>
  <c r="F68" i="93" a="1"/>
  <c r="F68" i="93" s="1"/>
  <c r="E68" i="93" a="1"/>
  <c r="E68" i="93" s="1"/>
  <c r="D68" i="93" a="1"/>
  <c r="D68" i="93" s="1"/>
  <c r="K67" i="93" a="1"/>
  <c r="K67" i="93" s="1"/>
  <c r="J67" i="93" a="1"/>
  <c r="J67" i="93" s="1"/>
  <c r="I67" i="93" a="1"/>
  <c r="I67" i="93" s="1"/>
  <c r="H67" i="93" a="1"/>
  <c r="H67" i="93" s="1"/>
  <c r="G67" i="93" a="1"/>
  <c r="G67" i="93" s="1"/>
  <c r="F67" i="93" a="1"/>
  <c r="F67" i="93" s="1"/>
  <c r="E67" i="93" a="1"/>
  <c r="E67" i="93" s="1"/>
  <c r="D67" i="93" a="1"/>
  <c r="D67" i="93" s="1"/>
  <c r="E34" i="92" s="1"/>
  <c r="K66" i="93" a="1"/>
  <c r="K66" i="93" s="1"/>
  <c r="J66" i="93" a="1"/>
  <c r="J66" i="93" s="1"/>
  <c r="I66" i="93" a="1"/>
  <c r="I66" i="93" s="1"/>
  <c r="H66" i="93" a="1"/>
  <c r="H66" i="93" s="1"/>
  <c r="G66" i="93" a="1"/>
  <c r="G66" i="93" s="1"/>
  <c r="F66" i="93" a="1"/>
  <c r="F66" i="93" s="1"/>
  <c r="E66" i="93" a="1"/>
  <c r="E66" i="93" s="1"/>
  <c r="D66" i="93" a="1"/>
  <c r="D66" i="93" s="1"/>
  <c r="K65" i="93" a="1"/>
  <c r="K65" i="93" s="1"/>
  <c r="J65" i="93" a="1"/>
  <c r="J65" i="93" s="1"/>
  <c r="I65" i="93" a="1"/>
  <c r="I65" i="93" s="1"/>
  <c r="H65" i="93" a="1"/>
  <c r="H65" i="93" s="1"/>
  <c r="G65" i="93" a="1"/>
  <c r="G65" i="93" s="1"/>
  <c r="F65" i="93" a="1"/>
  <c r="F65" i="93" s="1"/>
  <c r="E65" i="93" a="1"/>
  <c r="E65" i="93" s="1"/>
  <c r="D65" i="93" a="1"/>
  <c r="D65" i="93" s="1"/>
  <c r="K64" i="93" a="1"/>
  <c r="K64" i="93" s="1"/>
  <c r="J64" i="93" a="1"/>
  <c r="J64" i="93" s="1"/>
  <c r="I64" i="93" a="1"/>
  <c r="I64" i="93" s="1"/>
  <c r="H64" i="93" a="1"/>
  <c r="H64" i="93" s="1"/>
  <c r="G64" i="93" a="1"/>
  <c r="G64" i="93" s="1"/>
  <c r="F64" i="93" a="1"/>
  <c r="F64" i="93" s="1"/>
  <c r="E64" i="93" a="1"/>
  <c r="E64" i="93" s="1"/>
  <c r="D64" i="93" a="1"/>
  <c r="D64" i="93" s="1"/>
  <c r="K63" i="93" a="1"/>
  <c r="K63" i="93" s="1"/>
  <c r="J63" i="93" a="1"/>
  <c r="J63" i="93" s="1"/>
  <c r="I63" i="93" a="1"/>
  <c r="I63" i="93" s="1"/>
  <c r="H63" i="93" a="1"/>
  <c r="H63" i="93" s="1"/>
  <c r="G63" i="93" a="1"/>
  <c r="G63" i="93" s="1"/>
  <c r="F63" i="93" a="1"/>
  <c r="F63" i="93" s="1"/>
  <c r="E63" i="93" a="1"/>
  <c r="E63" i="93" s="1"/>
  <c r="D63" i="93" a="1"/>
  <c r="D63" i="93" s="1"/>
  <c r="E26" i="92" s="1"/>
  <c r="K62" i="93" a="1"/>
  <c r="K62" i="93" s="1"/>
  <c r="J62" i="93" a="1"/>
  <c r="J62" i="93" s="1"/>
  <c r="I62" i="93" a="1"/>
  <c r="I62" i="93" s="1"/>
  <c r="H62" i="93" a="1"/>
  <c r="H62" i="93" s="1"/>
  <c r="G62" i="93" a="1"/>
  <c r="G62" i="93" s="1"/>
  <c r="F62" i="93" a="1"/>
  <c r="F62" i="93" s="1"/>
  <c r="E62" i="93" a="1"/>
  <c r="E62" i="93" s="1"/>
  <c r="D62" i="93" a="1"/>
  <c r="D62" i="93" s="1"/>
  <c r="K61" i="93" a="1"/>
  <c r="K61" i="93" s="1"/>
  <c r="J61" i="93" a="1"/>
  <c r="J61" i="93" s="1"/>
  <c r="I61" i="93" a="1"/>
  <c r="I61" i="93" s="1"/>
  <c r="H61" i="93" a="1"/>
  <c r="H61" i="93" s="1"/>
  <c r="G61" i="93" a="1"/>
  <c r="G61" i="93" s="1"/>
  <c r="F61" i="93" a="1"/>
  <c r="F61" i="93" s="1"/>
  <c r="E61" i="93" a="1"/>
  <c r="E61" i="93" s="1"/>
  <c r="D61" i="93" a="1"/>
  <c r="D61" i="93" s="1"/>
  <c r="K60" i="93" a="1"/>
  <c r="K60" i="93" s="1"/>
  <c r="J60" i="93" a="1"/>
  <c r="J60" i="93" s="1"/>
  <c r="I60" i="93" a="1"/>
  <c r="I60" i="93" s="1"/>
  <c r="H60" i="93" a="1"/>
  <c r="H60" i="93" s="1"/>
  <c r="G60" i="93" a="1"/>
  <c r="G60" i="93" s="1"/>
  <c r="F60" i="93" a="1"/>
  <c r="F60" i="93" s="1"/>
  <c r="E60" i="93" a="1"/>
  <c r="E60" i="93" s="1"/>
  <c r="D60" i="93" a="1"/>
  <c r="D60" i="93" s="1"/>
  <c r="K59" i="93" a="1"/>
  <c r="K59" i="93" s="1"/>
  <c r="J59" i="93" a="1"/>
  <c r="J59" i="93" s="1"/>
  <c r="I59" i="93" a="1"/>
  <c r="I59" i="93" s="1"/>
  <c r="H59" i="93" a="1"/>
  <c r="H59" i="93" s="1"/>
  <c r="G59" i="93" a="1"/>
  <c r="G59" i="93" s="1"/>
  <c r="F59" i="93" a="1"/>
  <c r="F59" i="93" s="1"/>
  <c r="E59" i="93" a="1"/>
  <c r="E59" i="93" s="1"/>
  <c r="D59" i="93" a="1"/>
  <c r="D59" i="93" s="1"/>
  <c r="K58" i="93" a="1"/>
  <c r="K58" i="93" s="1"/>
  <c r="J58" i="93" a="1"/>
  <c r="J58" i="93" s="1"/>
  <c r="I58" i="93" a="1"/>
  <c r="I58" i="93" s="1"/>
  <c r="H58" i="93" a="1"/>
  <c r="H58" i="93" s="1"/>
  <c r="G58" i="93" a="1"/>
  <c r="G58" i="93" s="1"/>
  <c r="F58" i="93" a="1"/>
  <c r="F58" i="93" s="1"/>
  <c r="E58" i="93" a="1"/>
  <c r="E58" i="93" s="1"/>
  <c r="D58" i="93" a="1"/>
  <c r="D58" i="93" s="1"/>
  <c r="E32" i="92" s="1"/>
  <c r="K57" i="93" a="1"/>
  <c r="K57" i="93" s="1"/>
  <c r="J57" i="93" a="1"/>
  <c r="J57" i="93" s="1"/>
  <c r="I57" i="93" a="1"/>
  <c r="I57" i="93" s="1"/>
  <c r="H57" i="93" a="1"/>
  <c r="H57" i="93" s="1"/>
  <c r="G57" i="93" a="1"/>
  <c r="G57" i="93" s="1"/>
  <c r="F57" i="93" a="1"/>
  <c r="F57" i="93" s="1"/>
  <c r="E57" i="93" a="1"/>
  <c r="E57" i="93" s="1"/>
  <c r="D57" i="93" a="1"/>
  <c r="D57" i="93" s="1"/>
  <c r="K56" i="93" a="1"/>
  <c r="K56" i="93" s="1"/>
  <c r="J56" i="93" a="1"/>
  <c r="J56" i="93" s="1"/>
  <c r="I56" i="93" a="1"/>
  <c r="I56" i="93" s="1"/>
  <c r="H56" i="93" a="1"/>
  <c r="H56" i="93" s="1"/>
  <c r="G56" i="93" a="1"/>
  <c r="G56" i="93" s="1"/>
  <c r="F56" i="93" a="1"/>
  <c r="F56" i="93" s="1"/>
  <c r="E56" i="93" a="1"/>
  <c r="E56" i="93" s="1"/>
  <c r="D56" i="93" a="1"/>
  <c r="D56" i="93" s="1"/>
  <c r="K55" i="93" a="1"/>
  <c r="K55" i="93" s="1"/>
  <c r="J55" i="93" a="1"/>
  <c r="J55" i="93" s="1"/>
  <c r="I55" i="93" a="1"/>
  <c r="I55" i="93" s="1"/>
  <c r="H55" i="93" a="1"/>
  <c r="H55" i="93" s="1"/>
  <c r="G55" i="93" a="1"/>
  <c r="G55" i="93" s="1"/>
  <c r="F55" i="93" a="1"/>
  <c r="F55" i="93" s="1"/>
  <c r="E55" i="93" a="1"/>
  <c r="E55" i="93" s="1"/>
  <c r="D55" i="93" a="1"/>
  <c r="D55" i="93" s="1"/>
  <c r="K54" i="93" a="1"/>
  <c r="K54" i="93" s="1"/>
  <c r="J54" i="93" a="1"/>
  <c r="J54" i="93" s="1"/>
  <c r="I54" i="93" a="1"/>
  <c r="I54" i="93" s="1"/>
  <c r="H54" i="93" a="1"/>
  <c r="H54" i="93" s="1"/>
  <c r="G54" i="93" a="1"/>
  <c r="G54" i="93" s="1"/>
  <c r="F54" i="93" a="1"/>
  <c r="F54" i="93" s="1"/>
  <c r="E54" i="93" a="1"/>
  <c r="E54" i="93" s="1"/>
  <c r="D54" i="93" a="1"/>
  <c r="D54" i="93" s="1"/>
  <c r="D52" i="93" a="1"/>
  <c r="D52" i="93" s="1"/>
  <c r="D51" i="93" a="1"/>
  <c r="D51" i="93" s="1"/>
  <c r="D50" i="93" a="1"/>
  <c r="D50" i="93" s="1"/>
  <c r="D49" i="93" a="1"/>
  <c r="D49" i="93" s="1"/>
  <c r="J43" i="93" a="1"/>
  <c r="J43" i="93" s="1"/>
  <c r="I43" i="93" a="1"/>
  <c r="I43" i="93" s="1"/>
  <c r="H43" i="93" a="1"/>
  <c r="H43" i="93" s="1"/>
  <c r="G43" i="93" a="1"/>
  <c r="G43" i="93" s="1"/>
  <c r="F43" i="93" a="1"/>
  <c r="F43" i="93" s="1"/>
  <c r="E43" i="93" a="1"/>
  <c r="E43" i="93" s="1"/>
  <c r="D43" i="93" a="1"/>
  <c r="D43" i="93" s="1"/>
  <c r="J42" i="93" a="1"/>
  <c r="J42" i="93" s="1"/>
  <c r="I42" i="93" a="1"/>
  <c r="I42" i="93" s="1"/>
  <c r="H42" i="93" a="1"/>
  <c r="H42" i="93" s="1"/>
  <c r="G42" i="93" a="1"/>
  <c r="G42" i="93" s="1"/>
  <c r="F42" i="93" a="1"/>
  <c r="F42" i="93" s="1"/>
  <c r="E42" i="93" a="1"/>
  <c r="E42" i="93" s="1"/>
  <c r="D42" i="93" a="1"/>
  <c r="D42" i="93" s="1"/>
  <c r="J41" i="93" a="1"/>
  <c r="J41" i="93" s="1"/>
  <c r="I41" i="93" a="1"/>
  <c r="I41" i="93" s="1"/>
  <c r="H41" i="93" a="1"/>
  <c r="H41" i="93" s="1"/>
  <c r="G41" i="93" a="1"/>
  <c r="G41" i="93" s="1"/>
  <c r="F41" i="93" a="1"/>
  <c r="F41" i="93" s="1"/>
  <c r="E41" i="93" a="1"/>
  <c r="E41" i="93" s="1"/>
  <c r="D41" i="93" a="1"/>
  <c r="D41" i="93" s="1"/>
  <c r="J40" i="93" a="1"/>
  <c r="J40" i="93" s="1"/>
  <c r="I40" i="93" a="1"/>
  <c r="I40" i="93" s="1"/>
  <c r="H40" i="93" a="1"/>
  <c r="H40" i="93" s="1"/>
  <c r="G40" i="93" a="1"/>
  <c r="G40" i="93" s="1"/>
  <c r="F40" i="93" a="1"/>
  <c r="F40" i="93" s="1"/>
  <c r="E40" i="93" a="1"/>
  <c r="E40" i="93" s="1"/>
  <c r="D40" i="93" a="1"/>
  <c r="D40" i="93" s="1"/>
  <c r="D38" i="93" a="1"/>
  <c r="D38" i="93" s="1"/>
  <c r="D37" i="93" a="1"/>
  <c r="D37" i="93" s="1"/>
  <c r="L34" i="93" a="1"/>
  <c r="L34" i="93" s="1"/>
  <c r="K34" i="93" a="1"/>
  <c r="K34" i="93" s="1"/>
  <c r="J34" i="93" a="1"/>
  <c r="J34" i="93" s="1"/>
  <c r="I34" i="93" a="1"/>
  <c r="I34" i="93" s="1"/>
  <c r="H34" i="93" a="1"/>
  <c r="H34" i="93" s="1"/>
  <c r="G34" i="93" a="1"/>
  <c r="G34" i="93" s="1"/>
  <c r="F34" i="93" a="1"/>
  <c r="F34" i="93" s="1"/>
  <c r="E34" i="93" a="1"/>
  <c r="E34" i="93" s="1"/>
  <c r="D34" i="93" a="1"/>
  <c r="D34" i="93" s="1"/>
  <c r="L33" i="93" a="1"/>
  <c r="L33" i="93" s="1"/>
  <c r="K33" i="93" a="1"/>
  <c r="K33" i="93" s="1"/>
  <c r="J33" i="93" a="1"/>
  <c r="J33" i="93" s="1"/>
  <c r="I33" i="93" a="1"/>
  <c r="I33" i="93" s="1"/>
  <c r="H33" i="93" a="1"/>
  <c r="H33" i="93" s="1"/>
  <c r="G33" i="93" a="1"/>
  <c r="G33" i="93" s="1"/>
  <c r="F33" i="93" a="1"/>
  <c r="F33" i="93" s="1"/>
  <c r="E33" i="93" a="1"/>
  <c r="E33" i="93" s="1"/>
  <c r="E39" i="91" s="1"/>
  <c r="D33" i="93" a="1"/>
  <c r="D33" i="93" s="1"/>
  <c r="L32" i="93" a="1"/>
  <c r="L32" i="93" s="1"/>
  <c r="K32" i="93" a="1"/>
  <c r="K32" i="93" s="1"/>
  <c r="J32" i="93" a="1"/>
  <c r="J32" i="93" s="1"/>
  <c r="I32" i="93" a="1"/>
  <c r="I32" i="93" s="1"/>
  <c r="H32" i="93" a="1"/>
  <c r="H32" i="93" s="1"/>
  <c r="G32" i="93" a="1"/>
  <c r="G32" i="93" s="1"/>
  <c r="F32" i="93" a="1"/>
  <c r="F32" i="93" s="1"/>
  <c r="E32" i="93" a="1"/>
  <c r="E32" i="93" s="1"/>
  <c r="D32" i="93" a="1"/>
  <c r="D32" i="93" s="1"/>
  <c r="L31" i="93" a="1"/>
  <c r="L31" i="93" s="1"/>
  <c r="K31" i="93" a="1"/>
  <c r="K31" i="93" s="1"/>
  <c r="J31" i="93" a="1"/>
  <c r="J31" i="93" s="1"/>
  <c r="I31" i="93" a="1"/>
  <c r="I31" i="93" s="1"/>
  <c r="H31" i="93" a="1"/>
  <c r="H31" i="93" s="1"/>
  <c r="G31" i="93" a="1"/>
  <c r="G31" i="93" s="1"/>
  <c r="F31" i="93" a="1"/>
  <c r="F31" i="93" s="1"/>
  <c r="E31" i="93" a="1"/>
  <c r="E31" i="93" s="1"/>
  <c r="D31" i="93" a="1"/>
  <c r="D31" i="93" s="1"/>
  <c r="L30" i="93" a="1"/>
  <c r="L30" i="93" s="1"/>
  <c r="K30" i="93" a="1"/>
  <c r="K30" i="93" s="1"/>
  <c r="J30" i="93" a="1"/>
  <c r="J30" i="93" s="1"/>
  <c r="I30" i="93" a="1"/>
  <c r="I30" i="93" s="1"/>
  <c r="H30" i="93" a="1"/>
  <c r="H30" i="93" s="1"/>
  <c r="G30" i="93" a="1"/>
  <c r="G30" i="93" s="1"/>
  <c r="F30" i="93" a="1"/>
  <c r="F30" i="93" s="1"/>
  <c r="E30" i="93" a="1"/>
  <c r="E30" i="93" s="1"/>
  <c r="E36" i="91" s="1"/>
  <c r="D30" i="93" a="1"/>
  <c r="D30" i="93" s="1"/>
  <c r="L29" i="93" a="1"/>
  <c r="L29" i="93" s="1"/>
  <c r="K29" i="93" a="1"/>
  <c r="K29" i="93" s="1"/>
  <c r="J29" i="93" a="1"/>
  <c r="J29" i="93" s="1"/>
  <c r="I29" i="93" a="1"/>
  <c r="I29" i="93" s="1"/>
  <c r="H29" i="93" a="1"/>
  <c r="H29" i="93" s="1"/>
  <c r="G29" i="93" a="1"/>
  <c r="G29" i="93" s="1"/>
  <c r="F29" i="93" a="1"/>
  <c r="F29" i="93" s="1"/>
  <c r="E29" i="93" a="1"/>
  <c r="E29" i="93" s="1"/>
  <c r="E35" i="91" s="1"/>
  <c r="D29" i="93" a="1"/>
  <c r="D29" i="93" s="1"/>
  <c r="L28" i="93" a="1"/>
  <c r="L28" i="93" s="1"/>
  <c r="K28" i="93" a="1"/>
  <c r="K28" i="93" s="1"/>
  <c r="J28" i="93" a="1"/>
  <c r="J28" i="93" s="1"/>
  <c r="I28" i="93" a="1"/>
  <c r="I28" i="93" s="1"/>
  <c r="H28" i="93" a="1"/>
  <c r="H28" i="93" s="1"/>
  <c r="G28" i="93" a="1"/>
  <c r="G28" i="93" s="1"/>
  <c r="F28" i="93" a="1"/>
  <c r="F28" i="93" s="1"/>
  <c r="E28" i="93" a="1"/>
  <c r="E28" i="93" s="1"/>
  <c r="E34" i="91" s="1"/>
  <c r="D28" i="93" a="1"/>
  <c r="D28" i="93" s="1"/>
  <c r="L27" i="93" a="1"/>
  <c r="L27" i="93" s="1"/>
  <c r="K27" i="93" a="1"/>
  <c r="K27" i="93" s="1"/>
  <c r="J27" i="93" a="1"/>
  <c r="J27" i="93" s="1"/>
  <c r="I27" i="93" a="1"/>
  <c r="I27" i="93" s="1"/>
  <c r="H27" i="93" a="1"/>
  <c r="H27" i="93" s="1"/>
  <c r="G27" i="93" a="1"/>
  <c r="G27" i="93" s="1"/>
  <c r="F27" i="93" a="1"/>
  <c r="F27" i="93" s="1"/>
  <c r="E27" i="93" a="1"/>
  <c r="E27" i="93" s="1"/>
  <c r="D27" i="93" a="1"/>
  <c r="D27" i="93" s="1"/>
  <c r="L26" i="93" a="1"/>
  <c r="L26" i="93" s="1"/>
  <c r="K26" i="93" a="1"/>
  <c r="K26" i="93" s="1"/>
  <c r="J26" i="93" a="1"/>
  <c r="J26" i="93" s="1"/>
  <c r="I26" i="93" a="1"/>
  <c r="I26" i="93" s="1"/>
  <c r="H26" i="93" a="1"/>
  <c r="H26" i="93" s="1"/>
  <c r="G26" i="93" a="1"/>
  <c r="G26" i="93" s="1"/>
  <c r="F26" i="93" a="1"/>
  <c r="F26" i="93" s="1"/>
  <c r="E26" i="93" a="1"/>
  <c r="E26" i="93" s="1"/>
  <c r="D26" i="93" a="1"/>
  <c r="D26" i="93" s="1"/>
  <c r="L25" i="93" a="1"/>
  <c r="L25" i="93" s="1"/>
  <c r="K25" i="93" a="1"/>
  <c r="K25" i="93" s="1"/>
  <c r="J25" i="93" a="1"/>
  <c r="J25" i="93" s="1"/>
  <c r="I25" i="93" a="1"/>
  <c r="I25" i="93" s="1"/>
  <c r="H25" i="93" a="1"/>
  <c r="H25" i="93" s="1"/>
  <c r="G25" i="93" a="1"/>
  <c r="G25" i="93" s="1"/>
  <c r="F25" i="93" a="1"/>
  <c r="F25" i="93" s="1"/>
  <c r="E25" i="93" a="1"/>
  <c r="E25" i="93" s="1"/>
  <c r="D25" i="93" a="1"/>
  <c r="D25" i="93" s="1"/>
  <c r="L24" i="93" a="1"/>
  <c r="L24" i="93" s="1"/>
  <c r="K24" i="93" a="1"/>
  <c r="K24" i="93" s="1"/>
  <c r="J24" i="93" a="1"/>
  <c r="J24" i="93" s="1"/>
  <c r="I24" i="93" a="1"/>
  <c r="I24" i="93" s="1"/>
  <c r="H24" i="93" a="1"/>
  <c r="H24" i="93" s="1"/>
  <c r="G24" i="93" a="1"/>
  <c r="G24" i="93" s="1"/>
  <c r="F24" i="93" a="1"/>
  <c r="F24" i="93" s="1"/>
  <c r="E24" i="93" a="1"/>
  <c r="E24" i="93" s="1"/>
  <c r="D24" i="93" a="1"/>
  <c r="D24" i="93" s="1"/>
  <c r="L23" i="93" a="1"/>
  <c r="L23" i="93" s="1"/>
  <c r="K23" i="93" a="1"/>
  <c r="K23" i="93" s="1"/>
  <c r="J23" i="93" a="1"/>
  <c r="J23" i="93" s="1"/>
  <c r="I23" i="93" a="1"/>
  <c r="I23" i="93" s="1"/>
  <c r="H23" i="93" a="1"/>
  <c r="H23" i="93" s="1"/>
  <c r="G23" i="93" a="1"/>
  <c r="G23" i="93" s="1"/>
  <c r="F23" i="93" a="1"/>
  <c r="F23" i="93" s="1"/>
  <c r="E23" i="93" a="1"/>
  <c r="E23" i="93" s="1"/>
  <c r="D23" i="93" a="1"/>
  <c r="D23" i="93" s="1"/>
  <c r="L22" i="93" a="1"/>
  <c r="L22" i="93" s="1"/>
  <c r="K22" i="93" a="1"/>
  <c r="K22" i="93" s="1"/>
  <c r="J22" i="93" a="1"/>
  <c r="J22" i="93" s="1"/>
  <c r="I22" i="93" a="1"/>
  <c r="I22" i="93" s="1"/>
  <c r="H22" i="93" a="1"/>
  <c r="H22" i="93" s="1"/>
  <c r="G22" i="93" a="1"/>
  <c r="G22" i="93" s="1"/>
  <c r="F22" i="93" a="1"/>
  <c r="F22" i="93" s="1"/>
  <c r="E22" i="93" a="1"/>
  <c r="E22" i="93" s="1"/>
  <c r="D22" i="93" a="1"/>
  <c r="D22" i="93" s="1"/>
  <c r="L21" i="93" a="1"/>
  <c r="L21" i="93" s="1"/>
  <c r="K21" i="93" a="1"/>
  <c r="K21" i="93" s="1"/>
  <c r="J21" i="93" a="1"/>
  <c r="J21" i="93" s="1"/>
  <c r="I21" i="93" a="1"/>
  <c r="I21" i="93" s="1"/>
  <c r="H21" i="93" a="1"/>
  <c r="H21" i="93" s="1"/>
  <c r="G21" i="93" a="1"/>
  <c r="G21" i="93" s="1"/>
  <c r="F21" i="93" a="1"/>
  <c r="F21" i="93" s="1"/>
  <c r="E21" i="93" a="1"/>
  <c r="E21" i="93" s="1"/>
  <c r="D21" i="93" a="1"/>
  <c r="D21" i="93" s="1"/>
  <c r="L20" i="93" a="1"/>
  <c r="L20" i="93" s="1"/>
  <c r="K20" i="93" a="1"/>
  <c r="K20" i="93" s="1"/>
  <c r="J20" i="93" a="1"/>
  <c r="J20" i="93" s="1"/>
  <c r="I20" i="93" a="1"/>
  <c r="I20" i="93" s="1"/>
  <c r="H20" i="93" a="1"/>
  <c r="H20" i="93" s="1"/>
  <c r="G20" i="93" a="1"/>
  <c r="G20" i="93" s="1"/>
  <c r="F20" i="93" a="1"/>
  <c r="F20" i="93" s="1"/>
  <c r="E20" i="93" a="1"/>
  <c r="E20" i="93" s="1"/>
  <c r="D20" i="93" a="1"/>
  <c r="D20" i="93" s="1"/>
  <c r="L19" i="93" a="1"/>
  <c r="L19" i="93" s="1"/>
  <c r="K19" i="93" a="1"/>
  <c r="K19" i="93" s="1"/>
  <c r="J19" i="93" a="1"/>
  <c r="J19" i="93" s="1"/>
  <c r="I19" i="93" a="1"/>
  <c r="I19" i="93" s="1"/>
  <c r="H19" i="93" a="1"/>
  <c r="H19" i="93" s="1"/>
  <c r="G19" i="93" a="1"/>
  <c r="G19" i="93" s="1"/>
  <c r="F19" i="93" a="1"/>
  <c r="F19" i="93" s="1"/>
  <c r="E19" i="93" a="1"/>
  <c r="E19" i="93" s="1"/>
  <c r="D19" i="93" a="1"/>
  <c r="D19" i="93" s="1"/>
  <c r="L18" i="93" a="1"/>
  <c r="L18" i="93" s="1"/>
  <c r="K18" i="93" a="1"/>
  <c r="K18" i="93" s="1"/>
  <c r="J18" i="93" a="1"/>
  <c r="J18" i="93" s="1"/>
  <c r="I18" i="93" a="1"/>
  <c r="I18" i="93" s="1"/>
  <c r="H18" i="93" a="1"/>
  <c r="H18" i="93" s="1"/>
  <c r="G18" i="93" a="1"/>
  <c r="G18" i="93" s="1"/>
  <c r="F18" i="93" a="1"/>
  <c r="F18" i="93" s="1"/>
  <c r="E18" i="93" a="1"/>
  <c r="E18" i="93" s="1"/>
  <c r="D18" i="93" a="1"/>
  <c r="D18" i="93" s="1"/>
  <c r="L17" i="93" a="1"/>
  <c r="L17" i="93" s="1"/>
  <c r="K17" i="93" a="1"/>
  <c r="K17" i="93" s="1"/>
  <c r="J17" i="93" a="1"/>
  <c r="J17" i="93" s="1"/>
  <c r="I17" i="93" a="1"/>
  <c r="I17" i="93" s="1"/>
  <c r="H17" i="93" a="1"/>
  <c r="H17" i="93" s="1"/>
  <c r="G17" i="93" a="1"/>
  <c r="G17" i="93" s="1"/>
  <c r="F17" i="93" a="1"/>
  <c r="F17" i="93" s="1"/>
  <c r="E17" i="93" a="1"/>
  <c r="E17" i="93" s="1"/>
  <c r="E32" i="91" s="1"/>
  <c r="D17" i="93" a="1"/>
  <c r="D17" i="93" s="1"/>
  <c r="L16" i="93" a="1"/>
  <c r="L16" i="93" s="1"/>
  <c r="K16" i="93" a="1"/>
  <c r="K16" i="93" s="1"/>
  <c r="J16" i="93" a="1"/>
  <c r="J16" i="93" s="1"/>
  <c r="I16" i="93" a="1"/>
  <c r="I16" i="93" s="1"/>
  <c r="H16" i="93" a="1"/>
  <c r="H16" i="93" s="1"/>
  <c r="G16" i="93" a="1"/>
  <c r="G16" i="93" s="1"/>
  <c r="F16" i="93" a="1"/>
  <c r="F16" i="93" s="1"/>
  <c r="E16" i="93" a="1"/>
  <c r="E16" i="93" s="1"/>
  <c r="E31" i="91" s="1"/>
  <c r="D16" i="93" a="1"/>
  <c r="D16" i="93" s="1"/>
  <c r="L15" i="93" a="1"/>
  <c r="L15" i="93" s="1"/>
  <c r="K15" i="93" a="1"/>
  <c r="K15" i="93" s="1"/>
  <c r="J15" i="93" a="1"/>
  <c r="J15" i="93" s="1"/>
  <c r="I15" i="93" a="1"/>
  <c r="I15" i="93" s="1"/>
  <c r="H15" i="93" a="1"/>
  <c r="H15" i="93" s="1"/>
  <c r="G15" i="93" a="1"/>
  <c r="G15" i="93" s="1"/>
  <c r="F15" i="93" a="1"/>
  <c r="F15" i="93" s="1"/>
  <c r="E15" i="93" a="1"/>
  <c r="E15" i="93" s="1"/>
  <c r="E30" i="91" s="1"/>
  <c r="D15" i="93" a="1"/>
  <c r="D15" i="93" s="1"/>
  <c r="L14" i="93" a="1"/>
  <c r="L14" i="93" s="1"/>
  <c r="K14" i="93" a="1"/>
  <c r="K14" i="93" s="1"/>
  <c r="J14" i="93" a="1"/>
  <c r="J14" i="93" s="1"/>
  <c r="I14" i="93" a="1"/>
  <c r="I14" i="93" s="1"/>
  <c r="H14" i="93" a="1"/>
  <c r="H14" i="93" s="1"/>
  <c r="G14" i="93" a="1"/>
  <c r="G14" i="93" s="1"/>
  <c r="F14" i="93" a="1"/>
  <c r="F14" i="93" s="1"/>
  <c r="E14" i="93" a="1"/>
  <c r="E14" i="93" s="1"/>
  <c r="E29" i="91" s="1"/>
  <c r="D14" i="93" a="1"/>
  <c r="D14" i="93" s="1"/>
  <c r="L13" i="93" a="1"/>
  <c r="L13" i="93" s="1"/>
  <c r="K13" i="93" a="1"/>
  <c r="K13" i="93" s="1"/>
  <c r="J13" i="93" a="1"/>
  <c r="J13" i="93" s="1"/>
  <c r="I13" i="93" a="1"/>
  <c r="I13" i="93" s="1"/>
  <c r="H13" i="93" a="1"/>
  <c r="H13" i="93" s="1"/>
  <c r="G13" i="93" a="1"/>
  <c r="G13" i="93" s="1"/>
  <c r="F13" i="93" a="1"/>
  <c r="F13" i="93" s="1"/>
  <c r="E13" i="93" a="1"/>
  <c r="E13" i="93" s="1"/>
  <c r="E28" i="91" s="1"/>
  <c r="D13" i="93" a="1"/>
  <c r="D13" i="93" s="1"/>
  <c r="L12" i="93" a="1"/>
  <c r="L12" i="93" s="1"/>
  <c r="K12" i="93" a="1"/>
  <c r="K12" i="93" s="1"/>
  <c r="J12" i="93" a="1"/>
  <c r="J12" i="93" s="1"/>
  <c r="I12" i="93" a="1"/>
  <c r="I12" i="93" s="1"/>
  <c r="H12" i="93" a="1"/>
  <c r="H12" i="93" s="1"/>
  <c r="G12" i="93" a="1"/>
  <c r="G12" i="93" s="1"/>
  <c r="F12" i="93" a="1"/>
  <c r="F12" i="93" s="1"/>
  <c r="E12" i="93" a="1"/>
  <c r="E12" i="93" s="1"/>
  <c r="E27" i="91" s="1"/>
  <c r="D12" i="93" a="1"/>
  <c r="D12" i="93" s="1"/>
  <c r="L11" i="93" a="1"/>
  <c r="L11" i="93" s="1"/>
  <c r="K11" i="93" a="1"/>
  <c r="K11" i="93" s="1"/>
  <c r="J11" i="93" a="1"/>
  <c r="J11" i="93" s="1"/>
  <c r="I11" i="93" a="1"/>
  <c r="I11" i="93" s="1"/>
  <c r="H11" i="93" a="1"/>
  <c r="H11" i="93" s="1"/>
  <c r="G11" i="93" a="1"/>
  <c r="G11" i="93" s="1"/>
  <c r="F11" i="93" a="1"/>
  <c r="F11" i="93" s="1"/>
  <c r="E11" i="93" a="1"/>
  <c r="E11" i="93" s="1"/>
  <c r="E26" i="91" s="1"/>
  <c r="D11" i="93" a="1"/>
  <c r="D11" i="93" s="1"/>
  <c r="L10" i="93" a="1"/>
  <c r="L10" i="93" s="1"/>
  <c r="K10" i="93" a="1"/>
  <c r="K10" i="93" s="1"/>
  <c r="J10" i="93" a="1"/>
  <c r="J10" i="93" s="1"/>
  <c r="I10" i="93" a="1"/>
  <c r="I10" i="93" s="1"/>
  <c r="H10" i="93" a="1"/>
  <c r="H10" i="93" s="1"/>
  <c r="G10" i="93" a="1"/>
  <c r="G10" i="93" s="1"/>
  <c r="F10" i="93" a="1"/>
  <c r="F10" i="93" s="1"/>
  <c r="E10" i="93" a="1"/>
  <c r="E10" i="93" s="1"/>
  <c r="D10" i="93" a="1"/>
  <c r="D10" i="93" s="1"/>
  <c r="D8" i="93" a="1"/>
  <c r="D8" i="93" s="1"/>
  <c r="D7" i="93" a="1"/>
  <c r="D7" i="93" s="1"/>
  <c r="D6" i="93" a="1"/>
  <c r="D6" i="93" s="1"/>
  <c r="D5" i="93" a="1"/>
  <c r="D5" i="93" s="1"/>
  <c r="D34" i="92"/>
  <c r="D36" i="92"/>
  <c r="D27" i="92"/>
  <c r="D29" i="92"/>
  <c r="P18" i="92"/>
  <c r="P17" i="92"/>
  <c r="P16" i="92" a="1"/>
  <c r="P16" i="92" s="1"/>
  <c r="I16" i="92" a="1"/>
  <c r="I16" i="92" s="1"/>
  <c r="P15" i="92" a="1"/>
  <c r="P15" i="92" s="1"/>
  <c r="I15" i="92" a="1"/>
  <c r="I15" i="92" s="1"/>
  <c r="P14" i="92" a="1"/>
  <c r="P14" i="92" s="1"/>
  <c r="N14" i="92" a="1"/>
  <c r="N14" i="92" s="1"/>
  <c r="K14" i="92" a="1"/>
  <c r="K14" i="92" s="1"/>
  <c r="I14" i="92" a="1"/>
  <c r="I14" i="92" s="1"/>
  <c r="G14" i="92" a="1"/>
  <c r="G14" i="92" s="1"/>
  <c r="D14" i="92" a="1"/>
  <c r="D14" i="92" s="1"/>
  <c r="L12" i="92" a="1"/>
  <c r="L12" i="92" s="1"/>
  <c r="E12" i="92" a="1"/>
  <c r="E12" i="92" s="1"/>
  <c r="L11" i="92" a="1"/>
  <c r="L11" i="92" s="1"/>
  <c r="E11" i="92" a="1"/>
  <c r="E11" i="92" s="1"/>
  <c r="K7" i="92" a="1"/>
  <c r="K7" i="92" s="1"/>
  <c r="K6" i="92" a="1"/>
  <c r="K6" i="92" s="1"/>
  <c r="D6" i="92" a="1"/>
  <c r="D6" i="92" s="1"/>
  <c r="K5" i="92" a="1"/>
  <c r="K5" i="92" s="1"/>
  <c r="D5" i="92" a="1"/>
  <c r="D5" i="92" s="1"/>
  <c r="D39" i="91"/>
  <c r="D60" i="91"/>
  <c r="D48" i="91"/>
  <c r="D30" i="91"/>
  <c r="D28" i="91"/>
  <c r="P16" i="91" a="1"/>
  <c r="P16" i="91" s="1"/>
  <c r="I16" i="91" a="1"/>
  <c r="I16" i="91" s="1"/>
  <c r="P15" i="91" a="1"/>
  <c r="P15" i="91" s="1"/>
  <c r="I15" i="91" a="1"/>
  <c r="I15" i="91" s="1"/>
  <c r="P14" i="91" a="1"/>
  <c r="P14" i="91" s="1"/>
  <c r="N14" i="91" a="1"/>
  <c r="N14" i="91" s="1"/>
  <c r="K14" i="91" a="1"/>
  <c r="K14" i="91" s="1"/>
  <c r="I14" i="91" a="1"/>
  <c r="I14" i="91" s="1"/>
  <c r="G14" i="91" a="1"/>
  <c r="G14" i="91" s="1"/>
  <c r="D14" i="91" a="1"/>
  <c r="D14" i="91" s="1"/>
  <c r="L12" i="91" a="1"/>
  <c r="L12" i="91" s="1"/>
  <c r="E12" i="91" a="1"/>
  <c r="E12" i="91" s="1"/>
  <c r="F70" i="91" s="1"/>
  <c r="L11" i="91" a="1"/>
  <c r="L11" i="91" s="1"/>
  <c r="E11" i="91" a="1"/>
  <c r="E11" i="91" s="1"/>
  <c r="K6" i="91" a="1"/>
  <c r="K6" i="91" s="1"/>
  <c r="D6" i="91" a="1"/>
  <c r="D6" i="91" s="1"/>
  <c r="K5" i="91" a="1"/>
  <c r="K5" i="91" s="1"/>
  <c r="D5" i="91" a="1"/>
  <c r="D5" i="91" s="1"/>
  <c r="H21" i="90"/>
  <c r="H20" i="90"/>
  <c r="H19" i="90"/>
  <c r="H18" i="90"/>
  <c r="H17" i="90"/>
  <c r="H25" i="89" a="1"/>
  <c r="H25" i="89" s="1"/>
  <c r="G25" i="89" a="1"/>
  <c r="G25" i="89" s="1"/>
  <c r="I552" i="105" s="1" a="1"/>
  <c r="I552" i="105" s="1"/>
  <c r="F25" i="89" a="1"/>
  <c r="F25" i="89" s="1"/>
  <c r="E25" i="89" a="1"/>
  <c r="E25" i="89" s="1"/>
  <c r="J36" i="88" s="1" a="1"/>
  <c r="J36" i="88" s="1"/>
  <c r="D25" i="89" a="1"/>
  <c r="D25" i="89" s="1"/>
  <c r="D22" i="89" a="1"/>
  <c r="D22" i="89" s="1"/>
  <c r="D21" i="89" a="1"/>
  <c r="D21" i="89" s="1"/>
  <c r="F19" i="89" a="1"/>
  <c r="F19" i="89" s="1"/>
  <c r="E19" i="89" a="1"/>
  <c r="E19" i="89" s="1"/>
  <c r="D19" i="89" a="1"/>
  <c r="D19" i="89" s="1"/>
  <c r="F18" i="89" a="1"/>
  <c r="F18" i="89" s="1"/>
  <c r="E18" i="89" a="1"/>
  <c r="E18" i="89" s="1"/>
  <c r="D18" i="89" a="1"/>
  <c r="D18" i="89" s="1"/>
  <c r="F17" i="89" a="1"/>
  <c r="F17" i="89" s="1"/>
  <c r="E17" i="89" a="1"/>
  <c r="E17" i="89" s="1"/>
  <c r="D17" i="89" a="1"/>
  <c r="D17" i="89" s="1"/>
  <c r="F16" i="89" a="1"/>
  <c r="F16" i="89" s="1"/>
  <c r="E16" i="89" a="1"/>
  <c r="E16" i="89" s="1"/>
  <c r="D16" i="89" a="1"/>
  <c r="D16" i="89" s="1"/>
  <c r="F15" i="89" a="1"/>
  <c r="F15" i="89" s="1"/>
  <c r="E15" i="89" a="1"/>
  <c r="E15" i="89" s="1"/>
  <c r="D15" i="89" a="1"/>
  <c r="D15" i="89" s="1"/>
  <c r="F14" i="89" a="1"/>
  <c r="F14" i="89" s="1"/>
  <c r="E14" i="89" a="1"/>
  <c r="E14" i="89" s="1"/>
  <c r="D14" i="89" a="1"/>
  <c r="D14" i="89" s="1"/>
  <c r="F13" i="89" a="1"/>
  <c r="F13" i="89" s="1"/>
  <c r="E13" i="89" a="1"/>
  <c r="E13" i="89" s="1"/>
  <c r="D13" i="89" a="1"/>
  <c r="D13" i="89" s="1"/>
  <c r="F12" i="89" a="1"/>
  <c r="F12" i="89" s="1"/>
  <c r="E12" i="89" a="1"/>
  <c r="E12" i="89" s="1"/>
  <c r="D12" i="89" a="1"/>
  <c r="D12" i="89" s="1"/>
  <c r="F11" i="89" a="1"/>
  <c r="F11" i="89" s="1"/>
  <c r="E11" i="89" a="1"/>
  <c r="E11" i="89" s="1"/>
  <c r="D11" i="89" a="1"/>
  <c r="D11" i="89" s="1"/>
  <c r="F10" i="89" a="1"/>
  <c r="F10" i="89" s="1"/>
  <c r="E10" i="89" a="1"/>
  <c r="E10" i="89" s="1"/>
  <c r="D10" i="89" a="1"/>
  <c r="D10" i="89" s="1"/>
  <c r="D7" i="89" a="1"/>
  <c r="D7" i="89" s="1"/>
  <c r="D6" i="89" a="1"/>
  <c r="D6" i="89" s="1"/>
  <c r="D5" i="89" a="1"/>
  <c r="D5" i="89" s="1"/>
  <c r="J37" i="88"/>
  <c r="J33" i="88" s="1"/>
  <c r="J32" i="88"/>
  <c r="J31" i="88"/>
  <c r="H31" i="88" a="1"/>
  <c r="H31" i="88" s="1"/>
  <c r="D31" i="88" a="1"/>
  <c r="D31" i="88" s="1"/>
  <c r="E29" i="88" a="1"/>
  <c r="E29" i="88" s="1"/>
  <c r="F39" i="88" s="1"/>
  <c r="E28" i="88" a="1"/>
  <c r="E28" i="88" s="1"/>
  <c r="D24" i="88" a="1"/>
  <c r="D24" i="88" s="1"/>
  <c r="D23" i="88" a="1"/>
  <c r="D23" i="88" s="1"/>
  <c r="D22" i="88" a="1"/>
  <c r="D22" i="88" s="1"/>
  <c r="I16" i="88"/>
  <c r="I14" i="88"/>
  <c r="G14" i="88" a="1"/>
  <c r="G14" i="88" s="1"/>
  <c r="D14" i="88" a="1"/>
  <c r="D14" i="88" s="1"/>
  <c r="E12" i="88" a="1"/>
  <c r="E12" i="88" s="1"/>
  <c r="F18" i="88" s="1"/>
  <c r="E11" i="88" a="1"/>
  <c r="E11" i="88" s="1"/>
  <c r="D7" i="88" a="1"/>
  <c r="D7" i="88" s="1"/>
  <c r="D6" i="88" a="1"/>
  <c r="D6" i="88" s="1"/>
  <c r="D5" i="88" a="1"/>
  <c r="D5" i="88" s="1"/>
  <c r="H48" i="87"/>
  <c r="E48" i="87"/>
  <c r="H47" i="87"/>
  <c r="E47" i="87"/>
  <c r="H46" i="87"/>
  <c r="E46" i="87"/>
  <c r="H39" i="87"/>
  <c r="H38" i="87"/>
  <c r="H37" i="87"/>
  <c r="E29" i="87"/>
  <c r="E16" i="87"/>
  <c r="E22" i="87" s="1"/>
  <c r="E6" i="87"/>
  <c r="AE153" i="86" a="1"/>
  <c r="AE153" i="86" s="1"/>
  <c r="AD153" i="86" a="1"/>
  <c r="AD153" i="86" s="1"/>
  <c r="AC153" i="86" a="1"/>
  <c r="AC153" i="86" s="1"/>
  <c r="AB153" i="86" a="1"/>
  <c r="AB153" i="86" s="1"/>
  <c r="AA153" i="86" a="1"/>
  <c r="AA153" i="86" s="1"/>
  <c r="Z153" i="86" a="1"/>
  <c r="Z153" i="86" s="1"/>
  <c r="Y153" i="86" a="1"/>
  <c r="Y153" i="86" s="1"/>
  <c r="X153" i="86" a="1"/>
  <c r="X153" i="86" s="1"/>
  <c r="W153" i="86" a="1"/>
  <c r="W153" i="86" s="1"/>
  <c r="V153" i="86" a="1"/>
  <c r="V153" i="86" s="1"/>
  <c r="U153" i="86" a="1"/>
  <c r="U153" i="86" s="1"/>
  <c r="T153" i="86" a="1"/>
  <c r="T153" i="86" s="1"/>
  <c r="S153" i="86" a="1"/>
  <c r="S153" i="86" s="1"/>
  <c r="R153" i="86" a="1"/>
  <c r="R153" i="86" s="1"/>
  <c r="Q153" i="86" a="1"/>
  <c r="Q153" i="86" s="1"/>
  <c r="P153" i="86" a="1"/>
  <c r="P153" i="86" s="1"/>
  <c r="O153" i="86" a="1"/>
  <c r="O153" i="86" s="1"/>
  <c r="N153" i="86" a="1"/>
  <c r="N153" i="86" s="1"/>
  <c r="M153" i="86" a="1"/>
  <c r="M153" i="86" s="1"/>
  <c r="L153" i="86" a="1"/>
  <c r="L153" i="86" s="1"/>
  <c r="K153" i="86" a="1"/>
  <c r="K153" i="86" s="1"/>
  <c r="J153" i="86" a="1"/>
  <c r="J153" i="86" s="1"/>
  <c r="I153" i="86" a="1"/>
  <c r="I153" i="86" s="1"/>
  <c r="H153" i="86" a="1"/>
  <c r="H153" i="86" s="1"/>
  <c r="G153" i="86" a="1"/>
  <c r="G153" i="86" s="1"/>
  <c r="F153" i="86" a="1"/>
  <c r="F153" i="86" s="1"/>
  <c r="E153" i="86" a="1"/>
  <c r="E153" i="86" s="1"/>
  <c r="D153" i="86" a="1"/>
  <c r="D153" i="86" s="1"/>
  <c r="AE152" i="86" a="1"/>
  <c r="AE152" i="86" s="1"/>
  <c r="AD152" i="86" a="1"/>
  <c r="AD152" i="86" s="1"/>
  <c r="AC152" i="86" a="1"/>
  <c r="AC152" i="86" s="1"/>
  <c r="AB152" i="86" a="1"/>
  <c r="AB152" i="86" s="1"/>
  <c r="AA152" i="86" a="1"/>
  <c r="AA152" i="86" s="1"/>
  <c r="Z152" i="86" a="1"/>
  <c r="Z152" i="86" s="1"/>
  <c r="Y152" i="86" a="1"/>
  <c r="Y152" i="86" s="1"/>
  <c r="X152" i="86" a="1"/>
  <c r="X152" i="86" s="1"/>
  <c r="W152" i="86" a="1"/>
  <c r="W152" i="86" s="1"/>
  <c r="V152" i="86" a="1"/>
  <c r="V152" i="86" s="1"/>
  <c r="U152" i="86" a="1"/>
  <c r="U152" i="86" s="1"/>
  <c r="T152" i="86" a="1"/>
  <c r="T152" i="86" s="1"/>
  <c r="S152" i="86" a="1"/>
  <c r="S152" i="86" s="1"/>
  <c r="R152" i="86" a="1"/>
  <c r="R152" i="86" s="1"/>
  <c r="Q152" i="86" a="1"/>
  <c r="Q152" i="86" s="1"/>
  <c r="P152" i="86" a="1"/>
  <c r="P152" i="86" s="1"/>
  <c r="O152" i="86" a="1"/>
  <c r="O152" i="86" s="1"/>
  <c r="N152" i="86" a="1"/>
  <c r="N152" i="86" s="1"/>
  <c r="M152" i="86" a="1"/>
  <c r="M152" i="86" s="1"/>
  <c r="L152" i="86" a="1"/>
  <c r="L152" i="86" s="1"/>
  <c r="K152" i="86" a="1"/>
  <c r="K152" i="86" s="1"/>
  <c r="J152" i="86" a="1"/>
  <c r="J152" i="86" s="1"/>
  <c r="I152" i="86" a="1"/>
  <c r="I152" i="86" s="1"/>
  <c r="H152" i="86" a="1"/>
  <c r="H152" i="86" s="1"/>
  <c r="G152" i="86" a="1"/>
  <c r="G152" i="86" s="1"/>
  <c r="F152" i="86" a="1"/>
  <c r="F152" i="86" s="1"/>
  <c r="E152" i="86" a="1"/>
  <c r="E152" i="86" s="1"/>
  <c r="D152" i="86" a="1"/>
  <c r="D152" i="86" s="1"/>
  <c r="AE151" i="86" a="1"/>
  <c r="AE151" i="86" s="1"/>
  <c r="AD151" i="86" a="1"/>
  <c r="AD151" i="86" s="1"/>
  <c r="AC151" i="86" a="1"/>
  <c r="AC151" i="86" s="1"/>
  <c r="AB151" i="86" a="1"/>
  <c r="AB151" i="86" s="1"/>
  <c r="AA151" i="86" a="1"/>
  <c r="AA151" i="86" s="1"/>
  <c r="Z151" i="86" a="1"/>
  <c r="Z151" i="86" s="1"/>
  <c r="Y151" i="86" a="1"/>
  <c r="Y151" i="86" s="1"/>
  <c r="X151" i="86" a="1"/>
  <c r="X151" i="86" s="1"/>
  <c r="W151" i="86" a="1"/>
  <c r="W151" i="86" s="1"/>
  <c r="V151" i="86" a="1"/>
  <c r="V151" i="86" s="1"/>
  <c r="U151" i="86" a="1"/>
  <c r="U151" i="86" s="1"/>
  <c r="T151" i="86" a="1"/>
  <c r="T151" i="86" s="1"/>
  <c r="S151" i="86" a="1"/>
  <c r="S151" i="86" s="1"/>
  <c r="R151" i="86" a="1"/>
  <c r="R151" i="86" s="1"/>
  <c r="Q151" i="86" a="1"/>
  <c r="Q151" i="86" s="1"/>
  <c r="P151" i="86" a="1"/>
  <c r="P151" i="86" s="1"/>
  <c r="O151" i="86" a="1"/>
  <c r="O151" i="86" s="1"/>
  <c r="N151" i="86" a="1"/>
  <c r="N151" i="86" s="1"/>
  <c r="M151" i="86" a="1"/>
  <c r="M151" i="86" s="1"/>
  <c r="L151" i="86" a="1"/>
  <c r="L151" i="86" s="1"/>
  <c r="K151" i="86" a="1"/>
  <c r="K151" i="86" s="1"/>
  <c r="J151" i="86" a="1"/>
  <c r="J151" i="86" s="1"/>
  <c r="I151" i="86" a="1"/>
  <c r="I151" i="86" s="1"/>
  <c r="H151" i="86" a="1"/>
  <c r="H151" i="86" s="1"/>
  <c r="G151" i="86" a="1"/>
  <c r="G151" i="86" s="1"/>
  <c r="F151" i="86" a="1"/>
  <c r="F151" i="86" s="1"/>
  <c r="E151" i="86" a="1"/>
  <c r="E151" i="86" s="1"/>
  <c r="D151" i="86" a="1"/>
  <c r="D151" i="86" s="1"/>
  <c r="AE150" i="86" a="1"/>
  <c r="AE150" i="86" s="1"/>
  <c r="AD150" i="86" a="1"/>
  <c r="AD150" i="86" s="1"/>
  <c r="AC150" i="86" a="1"/>
  <c r="AC150" i="86" s="1"/>
  <c r="AB150" i="86" a="1"/>
  <c r="AB150" i="86" s="1"/>
  <c r="AA150" i="86" a="1"/>
  <c r="AA150" i="86" s="1"/>
  <c r="Z150" i="86" a="1"/>
  <c r="Z150" i="86" s="1"/>
  <c r="Y150" i="86" a="1"/>
  <c r="Y150" i="86" s="1"/>
  <c r="X150" i="86" a="1"/>
  <c r="X150" i="86" s="1"/>
  <c r="W150" i="86" a="1"/>
  <c r="W150" i="86" s="1"/>
  <c r="V150" i="86" a="1"/>
  <c r="V150" i="86" s="1"/>
  <c r="U150" i="86" a="1"/>
  <c r="U150" i="86" s="1"/>
  <c r="T150" i="86" a="1"/>
  <c r="T150" i="86" s="1"/>
  <c r="S150" i="86" a="1"/>
  <c r="S150" i="86" s="1"/>
  <c r="R150" i="86" a="1"/>
  <c r="R150" i="86" s="1"/>
  <c r="Q150" i="86" a="1"/>
  <c r="Q150" i="86" s="1"/>
  <c r="P150" i="86" a="1"/>
  <c r="P150" i="86" s="1"/>
  <c r="O150" i="86" a="1"/>
  <c r="O150" i="86" s="1"/>
  <c r="N150" i="86" a="1"/>
  <c r="N150" i="86" s="1"/>
  <c r="M150" i="86" a="1"/>
  <c r="M150" i="86" s="1"/>
  <c r="L150" i="86" a="1"/>
  <c r="L150" i="86" s="1"/>
  <c r="K150" i="86" a="1"/>
  <c r="K150" i="86" s="1"/>
  <c r="J150" i="86" a="1"/>
  <c r="J150" i="86" s="1"/>
  <c r="I150" i="86" a="1"/>
  <c r="I150" i="86" s="1"/>
  <c r="H150" i="86" a="1"/>
  <c r="H150" i="86" s="1"/>
  <c r="G150" i="86" a="1"/>
  <c r="G150" i="86" s="1"/>
  <c r="F150" i="86" a="1"/>
  <c r="F150" i="86" s="1"/>
  <c r="E150" i="86" a="1"/>
  <c r="E150" i="86" s="1"/>
  <c r="D150" i="86" a="1"/>
  <c r="D150" i="86" s="1"/>
  <c r="AE149" i="86" a="1"/>
  <c r="AE149" i="86" s="1"/>
  <c r="AD149" i="86" a="1"/>
  <c r="AD149" i="86" s="1"/>
  <c r="AC149" i="86" a="1"/>
  <c r="AC149" i="86" s="1"/>
  <c r="AB149" i="86" a="1"/>
  <c r="AB149" i="86" s="1"/>
  <c r="AA149" i="86" a="1"/>
  <c r="AA149" i="86" s="1"/>
  <c r="Z149" i="86" a="1"/>
  <c r="Z149" i="86" s="1"/>
  <c r="Y149" i="86" a="1"/>
  <c r="Y149" i="86" s="1"/>
  <c r="X149" i="86" a="1"/>
  <c r="X149" i="86" s="1"/>
  <c r="W149" i="86" a="1"/>
  <c r="W149" i="86" s="1"/>
  <c r="V149" i="86" a="1"/>
  <c r="V149" i="86" s="1"/>
  <c r="U149" i="86" a="1"/>
  <c r="U149" i="86" s="1"/>
  <c r="T149" i="86" a="1"/>
  <c r="T149" i="86" s="1"/>
  <c r="S149" i="86" a="1"/>
  <c r="S149" i="86" s="1"/>
  <c r="R149" i="86" a="1"/>
  <c r="R149" i="86" s="1"/>
  <c r="Q149" i="86" a="1"/>
  <c r="Q149" i="86" s="1"/>
  <c r="P149" i="86" a="1"/>
  <c r="P149" i="86" s="1"/>
  <c r="O149" i="86" a="1"/>
  <c r="O149" i="86" s="1"/>
  <c r="N149" i="86" a="1"/>
  <c r="N149" i="86" s="1"/>
  <c r="M149" i="86" a="1"/>
  <c r="M149" i="86" s="1"/>
  <c r="L149" i="86" a="1"/>
  <c r="L149" i="86" s="1"/>
  <c r="K149" i="86" a="1"/>
  <c r="K149" i="86" s="1"/>
  <c r="J149" i="86" a="1"/>
  <c r="J149" i="86" s="1"/>
  <c r="I149" i="86" a="1"/>
  <c r="I149" i="86" s="1"/>
  <c r="H149" i="86" a="1"/>
  <c r="H149" i="86" s="1"/>
  <c r="G149" i="86" a="1"/>
  <c r="G149" i="86" s="1"/>
  <c r="F149" i="86" a="1"/>
  <c r="F149" i="86" s="1"/>
  <c r="E149" i="86" a="1"/>
  <c r="E149" i="86" s="1"/>
  <c r="D149" i="86" a="1"/>
  <c r="D149" i="86" s="1"/>
  <c r="AE148" i="86" a="1"/>
  <c r="AE148" i="86" s="1"/>
  <c r="AD148" i="86" a="1"/>
  <c r="AD148" i="86" s="1"/>
  <c r="AC148" i="86" a="1"/>
  <c r="AC148" i="86" s="1"/>
  <c r="AB148" i="86" a="1"/>
  <c r="AB148" i="86" s="1"/>
  <c r="AA148" i="86" a="1"/>
  <c r="AA148" i="86" s="1"/>
  <c r="Z148" i="86" a="1"/>
  <c r="Z148" i="86" s="1"/>
  <c r="Y148" i="86" a="1"/>
  <c r="Y148" i="86" s="1"/>
  <c r="X148" i="86" a="1"/>
  <c r="X148" i="86" s="1"/>
  <c r="W148" i="86" a="1"/>
  <c r="W148" i="86" s="1"/>
  <c r="V148" i="86" a="1"/>
  <c r="V148" i="86" s="1"/>
  <c r="U148" i="86" a="1"/>
  <c r="U148" i="86" s="1"/>
  <c r="T148" i="86" a="1"/>
  <c r="T148" i="86" s="1"/>
  <c r="S148" i="86" a="1"/>
  <c r="S148" i="86" s="1"/>
  <c r="R148" i="86" a="1"/>
  <c r="R148" i="86" s="1"/>
  <c r="Q148" i="86" a="1"/>
  <c r="Q148" i="86" s="1"/>
  <c r="P148" i="86" a="1"/>
  <c r="P148" i="86" s="1"/>
  <c r="O148" i="86" a="1"/>
  <c r="O148" i="86" s="1"/>
  <c r="N148" i="86" a="1"/>
  <c r="N148" i="86" s="1"/>
  <c r="M148" i="86" a="1"/>
  <c r="M148" i="86" s="1"/>
  <c r="L148" i="86" a="1"/>
  <c r="L148" i="86" s="1"/>
  <c r="K148" i="86" a="1"/>
  <c r="K148" i="86" s="1"/>
  <c r="J148" i="86" a="1"/>
  <c r="J148" i="86" s="1"/>
  <c r="I148" i="86" a="1"/>
  <c r="I148" i="86" s="1"/>
  <c r="H148" i="86" a="1"/>
  <c r="H148" i="86" s="1"/>
  <c r="G148" i="86" a="1"/>
  <c r="G148" i="86" s="1"/>
  <c r="F148" i="86" a="1"/>
  <c r="F148" i="86" s="1"/>
  <c r="E148" i="86" a="1"/>
  <c r="E148" i="86" s="1"/>
  <c r="D148" i="86" a="1"/>
  <c r="D148" i="86" s="1"/>
  <c r="AE147" i="86" a="1"/>
  <c r="AE147" i="86" s="1"/>
  <c r="AD147" i="86" a="1"/>
  <c r="AD147" i="86" s="1"/>
  <c r="AC147" i="86" a="1"/>
  <c r="AC147" i="86" s="1"/>
  <c r="AB147" i="86" a="1"/>
  <c r="AB147" i="86" s="1"/>
  <c r="AA147" i="86" a="1"/>
  <c r="AA147" i="86" s="1"/>
  <c r="Z147" i="86" a="1"/>
  <c r="Z147" i="86" s="1"/>
  <c r="Y147" i="86" a="1"/>
  <c r="Y147" i="86" s="1"/>
  <c r="X147" i="86" a="1"/>
  <c r="X147" i="86" s="1"/>
  <c r="W147" i="86" a="1"/>
  <c r="W147" i="86" s="1"/>
  <c r="V147" i="86" a="1"/>
  <c r="V147" i="86" s="1"/>
  <c r="U147" i="86" a="1"/>
  <c r="U147" i="86" s="1"/>
  <c r="T147" i="86" a="1"/>
  <c r="T147" i="86" s="1"/>
  <c r="S147" i="86" a="1"/>
  <c r="S147" i="86" s="1"/>
  <c r="R147" i="86" a="1"/>
  <c r="R147" i="86" s="1"/>
  <c r="Q147" i="86" a="1"/>
  <c r="Q147" i="86" s="1"/>
  <c r="P147" i="86" a="1"/>
  <c r="P147" i="86" s="1"/>
  <c r="O147" i="86" a="1"/>
  <c r="O147" i="86" s="1"/>
  <c r="N147" i="86" a="1"/>
  <c r="N147" i="86" s="1"/>
  <c r="M147" i="86" a="1"/>
  <c r="M147" i="86" s="1"/>
  <c r="L147" i="86" a="1"/>
  <c r="L147" i="86" s="1"/>
  <c r="K147" i="86" a="1"/>
  <c r="K147" i="86" s="1"/>
  <c r="J147" i="86" a="1"/>
  <c r="J147" i="86" s="1"/>
  <c r="I147" i="86" a="1"/>
  <c r="I147" i="86" s="1"/>
  <c r="H147" i="86" a="1"/>
  <c r="H147" i="86" s="1"/>
  <c r="G147" i="86" a="1"/>
  <c r="G147" i="86" s="1"/>
  <c r="F147" i="86" a="1"/>
  <c r="F147" i="86" s="1"/>
  <c r="E147" i="86" a="1"/>
  <c r="E147" i="86" s="1"/>
  <c r="D147" i="86" a="1"/>
  <c r="D147" i="86" s="1"/>
  <c r="AE146" i="86" a="1"/>
  <c r="AE146" i="86" s="1"/>
  <c r="AD146" i="86" a="1"/>
  <c r="AD146" i="86" s="1"/>
  <c r="AC146" i="86" a="1"/>
  <c r="AC146" i="86" s="1"/>
  <c r="AB146" i="86" a="1"/>
  <c r="AB146" i="86" s="1"/>
  <c r="AA146" i="86" a="1"/>
  <c r="AA146" i="86" s="1"/>
  <c r="Z146" i="86" a="1"/>
  <c r="Z146" i="86" s="1"/>
  <c r="Y146" i="86" a="1"/>
  <c r="Y146" i="86" s="1"/>
  <c r="X146" i="86" a="1"/>
  <c r="X146" i="86" s="1"/>
  <c r="W146" i="86" a="1"/>
  <c r="W146" i="86" s="1"/>
  <c r="V146" i="86" a="1"/>
  <c r="V146" i="86" s="1"/>
  <c r="U146" i="86" a="1"/>
  <c r="U146" i="86" s="1"/>
  <c r="T146" i="86" a="1"/>
  <c r="T146" i="86" s="1"/>
  <c r="S146" i="86" a="1"/>
  <c r="S146" i="86" s="1"/>
  <c r="R146" i="86" a="1"/>
  <c r="R146" i="86" s="1"/>
  <c r="Q146" i="86" a="1"/>
  <c r="Q146" i="86" s="1"/>
  <c r="P146" i="86" a="1"/>
  <c r="P146" i="86" s="1"/>
  <c r="O146" i="86" a="1"/>
  <c r="O146" i="86" s="1"/>
  <c r="N146" i="86" a="1"/>
  <c r="N146" i="86" s="1"/>
  <c r="M146" i="86" a="1"/>
  <c r="M146" i="86" s="1"/>
  <c r="L146" i="86" a="1"/>
  <c r="L146" i="86" s="1"/>
  <c r="K146" i="86" a="1"/>
  <c r="K146" i="86" s="1"/>
  <c r="J146" i="86" a="1"/>
  <c r="J146" i="86" s="1"/>
  <c r="I146" i="86" a="1"/>
  <c r="I146" i="86" s="1"/>
  <c r="H146" i="86" a="1"/>
  <c r="H146" i="86" s="1"/>
  <c r="G146" i="86" a="1"/>
  <c r="G146" i="86" s="1"/>
  <c r="F146" i="86" a="1"/>
  <c r="F146" i="86" s="1"/>
  <c r="E146" i="86" a="1"/>
  <c r="E146" i="86" s="1"/>
  <c r="D146" i="86" a="1"/>
  <c r="D146" i="86" s="1"/>
  <c r="AE145" i="86" a="1"/>
  <c r="AE145" i="86" s="1"/>
  <c r="AD145" i="86" a="1"/>
  <c r="AD145" i="86" s="1"/>
  <c r="AC145" i="86" a="1"/>
  <c r="AC145" i="86" s="1"/>
  <c r="AB145" i="86" a="1"/>
  <c r="AB145" i="86" s="1"/>
  <c r="AA145" i="86" a="1"/>
  <c r="AA145" i="86" s="1"/>
  <c r="Z145" i="86" a="1"/>
  <c r="Z145" i="86" s="1"/>
  <c r="Y145" i="86" a="1"/>
  <c r="Y145" i="86" s="1"/>
  <c r="X145" i="86" a="1"/>
  <c r="X145" i="86" s="1"/>
  <c r="W145" i="86" a="1"/>
  <c r="W145" i="86" s="1"/>
  <c r="V145" i="86" a="1"/>
  <c r="V145" i="86" s="1"/>
  <c r="U145" i="86" a="1"/>
  <c r="U145" i="86" s="1"/>
  <c r="T145" i="86" a="1"/>
  <c r="T145" i="86" s="1"/>
  <c r="S145" i="86" a="1"/>
  <c r="S145" i="86" s="1"/>
  <c r="R145" i="86" a="1"/>
  <c r="R145" i="86" s="1"/>
  <c r="Q145" i="86" a="1"/>
  <c r="Q145" i="86" s="1"/>
  <c r="P145" i="86" a="1"/>
  <c r="P145" i="86" s="1"/>
  <c r="O145" i="86" a="1"/>
  <c r="O145" i="86" s="1"/>
  <c r="N145" i="86" a="1"/>
  <c r="N145" i="86" s="1"/>
  <c r="M145" i="86" a="1"/>
  <c r="M145" i="86" s="1"/>
  <c r="L145" i="86" a="1"/>
  <c r="L145" i="86" s="1"/>
  <c r="K145" i="86" a="1"/>
  <c r="K145" i="86" s="1"/>
  <c r="J145" i="86" a="1"/>
  <c r="J145" i="86" s="1"/>
  <c r="I145" i="86" a="1"/>
  <c r="I145" i="86" s="1"/>
  <c r="H145" i="86" a="1"/>
  <c r="H145" i="86" s="1"/>
  <c r="G145" i="86" a="1"/>
  <c r="G145" i="86" s="1"/>
  <c r="F145" i="86" a="1"/>
  <c r="F145" i="86" s="1"/>
  <c r="E145" i="86" a="1"/>
  <c r="E145" i="86" s="1"/>
  <c r="D145" i="86" a="1"/>
  <c r="D145" i="86" s="1"/>
  <c r="AE144" i="86" a="1"/>
  <c r="AE144" i="86" s="1"/>
  <c r="AD144" i="86" a="1"/>
  <c r="AD144" i="86" s="1"/>
  <c r="AC144" i="86" a="1"/>
  <c r="AC144" i="86" s="1"/>
  <c r="AB144" i="86" a="1"/>
  <c r="AB144" i="86" s="1"/>
  <c r="AA144" i="86" a="1"/>
  <c r="AA144" i="86" s="1"/>
  <c r="Z144" i="86" a="1"/>
  <c r="Z144" i="86" s="1"/>
  <c r="Y144" i="86" a="1"/>
  <c r="Y144" i="86" s="1"/>
  <c r="X144" i="86" a="1"/>
  <c r="X144" i="86" s="1"/>
  <c r="W144" i="86" a="1"/>
  <c r="W144" i="86" s="1"/>
  <c r="V144" i="86" a="1"/>
  <c r="V144" i="86" s="1"/>
  <c r="U144" i="86" a="1"/>
  <c r="U144" i="86" s="1"/>
  <c r="T144" i="86" a="1"/>
  <c r="T144" i="86" s="1"/>
  <c r="S144" i="86" a="1"/>
  <c r="S144" i="86" s="1"/>
  <c r="R144" i="86" a="1"/>
  <c r="R144" i="86" s="1"/>
  <c r="Q144" i="86" a="1"/>
  <c r="Q144" i="86" s="1"/>
  <c r="P144" i="86" a="1"/>
  <c r="P144" i="86" s="1"/>
  <c r="O144" i="86" a="1"/>
  <c r="O144" i="86" s="1"/>
  <c r="N144" i="86" a="1"/>
  <c r="N144" i="86" s="1"/>
  <c r="M144" i="86" a="1"/>
  <c r="M144" i="86" s="1"/>
  <c r="L144" i="86" a="1"/>
  <c r="L144" i="86" s="1"/>
  <c r="K144" i="86" a="1"/>
  <c r="K144" i="86" s="1"/>
  <c r="J144" i="86" a="1"/>
  <c r="J144" i="86" s="1"/>
  <c r="I144" i="86" a="1"/>
  <c r="I144" i="86" s="1"/>
  <c r="H144" i="86" a="1"/>
  <c r="H144" i="86" s="1"/>
  <c r="G144" i="86" a="1"/>
  <c r="G144" i="86" s="1"/>
  <c r="F144" i="86" a="1"/>
  <c r="F144" i="86" s="1"/>
  <c r="E144" i="86" a="1"/>
  <c r="E144" i="86" s="1"/>
  <c r="D144" i="86" a="1"/>
  <c r="D144" i="86" s="1"/>
  <c r="AE143" i="86" a="1"/>
  <c r="AE143" i="86" s="1"/>
  <c r="AD143" i="86" a="1"/>
  <c r="AD143" i="86" s="1"/>
  <c r="AC143" i="86" a="1"/>
  <c r="AC143" i="86" s="1"/>
  <c r="AB143" i="86" a="1"/>
  <c r="AB143" i="86" s="1"/>
  <c r="AA143" i="86" a="1"/>
  <c r="AA143" i="86" s="1"/>
  <c r="Z143" i="86" a="1"/>
  <c r="Z143" i="86" s="1"/>
  <c r="Y143" i="86" a="1"/>
  <c r="Y143" i="86" s="1"/>
  <c r="X143" i="86" a="1"/>
  <c r="X143" i="86" s="1"/>
  <c r="W143" i="86" a="1"/>
  <c r="W143" i="86" s="1"/>
  <c r="V143" i="86" a="1"/>
  <c r="V143" i="86" s="1"/>
  <c r="U143" i="86" a="1"/>
  <c r="U143" i="86" s="1"/>
  <c r="T143" i="86" a="1"/>
  <c r="T143" i="86" s="1"/>
  <c r="S143" i="86" a="1"/>
  <c r="S143" i="86" s="1"/>
  <c r="R143" i="86" a="1"/>
  <c r="R143" i="86" s="1"/>
  <c r="Q143" i="86" a="1"/>
  <c r="Q143" i="86" s="1"/>
  <c r="P143" i="86" a="1"/>
  <c r="P143" i="86" s="1"/>
  <c r="O143" i="86" a="1"/>
  <c r="O143" i="86" s="1"/>
  <c r="N143" i="86" a="1"/>
  <c r="N143" i="86" s="1"/>
  <c r="M143" i="86" a="1"/>
  <c r="M143" i="86" s="1"/>
  <c r="L143" i="86" a="1"/>
  <c r="L143" i="86" s="1"/>
  <c r="K143" i="86" a="1"/>
  <c r="K143" i="86" s="1"/>
  <c r="J143" i="86" a="1"/>
  <c r="J143" i="86" s="1"/>
  <c r="I143" i="86" a="1"/>
  <c r="I143" i="86" s="1"/>
  <c r="H143" i="86" a="1"/>
  <c r="H143" i="86" s="1"/>
  <c r="G143" i="86" a="1"/>
  <c r="G143" i="86" s="1"/>
  <c r="F143" i="86" a="1"/>
  <c r="F143" i="86" s="1"/>
  <c r="E143" i="86" a="1"/>
  <c r="E143" i="86" s="1"/>
  <c r="D143" i="86" a="1"/>
  <c r="D143" i="86" s="1"/>
  <c r="AE142" i="86" a="1"/>
  <c r="AE142" i="86" s="1"/>
  <c r="AD142" i="86" a="1"/>
  <c r="AD142" i="86" s="1"/>
  <c r="AC142" i="86" a="1"/>
  <c r="AC142" i="86" s="1"/>
  <c r="AB142" i="86" a="1"/>
  <c r="AB142" i="86" s="1"/>
  <c r="AA142" i="86" a="1"/>
  <c r="AA142" i="86" s="1"/>
  <c r="Z142" i="86" a="1"/>
  <c r="Z142" i="86" s="1"/>
  <c r="Y142" i="86" a="1"/>
  <c r="Y142" i="86" s="1"/>
  <c r="X142" i="86" a="1"/>
  <c r="X142" i="86" s="1"/>
  <c r="W142" i="86" a="1"/>
  <c r="W142" i="86" s="1"/>
  <c r="V142" i="86" a="1"/>
  <c r="V142" i="86" s="1"/>
  <c r="U142" i="86" a="1"/>
  <c r="U142" i="86" s="1"/>
  <c r="T142" i="86" a="1"/>
  <c r="T142" i="86" s="1"/>
  <c r="S142" i="86" a="1"/>
  <c r="S142" i="86" s="1"/>
  <c r="R142" i="86" a="1"/>
  <c r="R142" i="86" s="1"/>
  <c r="Q142" i="86" a="1"/>
  <c r="Q142" i="86" s="1"/>
  <c r="P142" i="86" a="1"/>
  <c r="P142" i="86" s="1"/>
  <c r="O142" i="86" a="1"/>
  <c r="O142" i="86" s="1"/>
  <c r="N142" i="86" a="1"/>
  <c r="N142" i="86" s="1"/>
  <c r="M142" i="86" a="1"/>
  <c r="M142" i="86" s="1"/>
  <c r="L142" i="86" a="1"/>
  <c r="L142" i="86" s="1"/>
  <c r="K142" i="86" a="1"/>
  <c r="K142" i="86" s="1"/>
  <c r="J142" i="86" a="1"/>
  <c r="J142" i="86" s="1"/>
  <c r="I142" i="86" a="1"/>
  <c r="I142" i="86" s="1"/>
  <c r="H142" i="86" a="1"/>
  <c r="H142" i="86" s="1"/>
  <c r="G142" i="86" a="1"/>
  <c r="G142" i="86" s="1"/>
  <c r="F142" i="86" a="1"/>
  <c r="F142" i="86" s="1"/>
  <c r="E142" i="86" a="1"/>
  <c r="E142" i="86" s="1"/>
  <c r="D142" i="86" a="1"/>
  <c r="D142" i="86" s="1"/>
  <c r="AE141" i="86" a="1"/>
  <c r="AE141" i="86" s="1"/>
  <c r="AD141" i="86" a="1"/>
  <c r="AD141" i="86" s="1"/>
  <c r="AC141" i="86" a="1"/>
  <c r="AC141" i="86" s="1"/>
  <c r="AB141" i="86" a="1"/>
  <c r="AB141" i="86" s="1"/>
  <c r="AA141" i="86" a="1"/>
  <c r="AA141" i="86" s="1"/>
  <c r="Z141" i="86" a="1"/>
  <c r="Z141" i="86" s="1"/>
  <c r="Y141" i="86" a="1"/>
  <c r="Y141" i="86" s="1"/>
  <c r="X141" i="86" a="1"/>
  <c r="X141" i="86" s="1"/>
  <c r="W141" i="86" a="1"/>
  <c r="W141" i="86" s="1"/>
  <c r="V141" i="86" a="1"/>
  <c r="V141" i="86" s="1"/>
  <c r="U141" i="86" a="1"/>
  <c r="U141" i="86" s="1"/>
  <c r="T141" i="86" a="1"/>
  <c r="T141" i="86" s="1"/>
  <c r="S141" i="86" a="1"/>
  <c r="S141" i="86" s="1"/>
  <c r="R141" i="86" a="1"/>
  <c r="R141" i="86" s="1"/>
  <c r="Q141" i="86" a="1"/>
  <c r="Q141" i="86" s="1"/>
  <c r="P141" i="86" a="1"/>
  <c r="P141" i="86" s="1"/>
  <c r="O141" i="86" a="1"/>
  <c r="O141" i="86" s="1"/>
  <c r="N141" i="86" a="1"/>
  <c r="N141" i="86" s="1"/>
  <c r="M141" i="86" a="1"/>
  <c r="M141" i="86" s="1"/>
  <c r="L141" i="86" a="1"/>
  <c r="L141" i="86" s="1"/>
  <c r="K141" i="86" a="1"/>
  <c r="K141" i="86" s="1"/>
  <c r="J141" i="86" a="1"/>
  <c r="J141" i="86" s="1"/>
  <c r="I141" i="86" a="1"/>
  <c r="I141" i="86" s="1"/>
  <c r="H141" i="86" a="1"/>
  <c r="H141" i="86" s="1"/>
  <c r="G141" i="86" a="1"/>
  <c r="G141" i="86" s="1"/>
  <c r="F141" i="86" a="1"/>
  <c r="F141" i="86" s="1"/>
  <c r="E141" i="86" a="1"/>
  <c r="E141" i="86" s="1"/>
  <c r="D141" i="86" a="1"/>
  <c r="D141" i="86" s="1"/>
  <c r="AE140" i="86" a="1"/>
  <c r="AE140" i="86" s="1"/>
  <c r="AD140" i="86" a="1"/>
  <c r="AD140" i="86" s="1"/>
  <c r="AC140" i="86" a="1"/>
  <c r="AC140" i="86" s="1"/>
  <c r="AB140" i="86" a="1"/>
  <c r="AB140" i="86" s="1"/>
  <c r="AA140" i="86" a="1"/>
  <c r="AA140" i="86" s="1"/>
  <c r="Z140" i="86" a="1"/>
  <c r="Z140" i="86" s="1"/>
  <c r="Y140" i="86" a="1"/>
  <c r="Y140" i="86" s="1"/>
  <c r="X140" i="86" a="1"/>
  <c r="X140" i="86" s="1"/>
  <c r="W140" i="86" a="1"/>
  <c r="W140" i="86" s="1"/>
  <c r="V140" i="86" a="1"/>
  <c r="V140" i="86" s="1"/>
  <c r="U140" i="86" a="1"/>
  <c r="U140" i="86" s="1"/>
  <c r="T140" i="86" a="1"/>
  <c r="T140" i="86" s="1"/>
  <c r="S140" i="86" a="1"/>
  <c r="S140" i="86" s="1"/>
  <c r="R140" i="86" a="1"/>
  <c r="R140" i="86" s="1"/>
  <c r="Q140" i="86" a="1"/>
  <c r="Q140" i="86" s="1"/>
  <c r="P140" i="86" a="1"/>
  <c r="P140" i="86" s="1"/>
  <c r="O140" i="86" a="1"/>
  <c r="O140" i="86" s="1"/>
  <c r="N140" i="86" a="1"/>
  <c r="N140" i="86" s="1"/>
  <c r="M140" i="86" a="1"/>
  <c r="M140" i="86" s="1"/>
  <c r="L140" i="86" a="1"/>
  <c r="L140" i="86" s="1"/>
  <c r="K140" i="86" a="1"/>
  <c r="K140" i="86" s="1"/>
  <c r="J140" i="86" a="1"/>
  <c r="J140" i="86" s="1"/>
  <c r="I140" i="86" a="1"/>
  <c r="I140" i="86" s="1"/>
  <c r="H140" i="86" a="1"/>
  <c r="H140" i="86" s="1"/>
  <c r="G140" i="86" a="1"/>
  <c r="G140" i="86" s="1"/>
  <c r="F140" i="86" a="1"/>
  <c r="F140" i="86" s="1"/>
  <c r="E140" i="86" a="1"/>
  <c r="E140" i="86" s="1"/>
  <c r="D140" i="86" a="1"/>
  <c r="D140" i="86" s="1"/>
  <c r="AE139" i="86" a="1"/>
  <c r="AE139" i="86" s="1"/>
  <c r="AD139" i="86" a="1"/>
  <c r="AD139" i="86" s="1"/>
  <c r="AC139" i="86" a="1"/>
  <c r="AC139" i="86" s="1"/>
  <c r="AB139" i="86" a="1"/>
  <c r="AB139" i="86" s="1"/>
  <c r="AA139" i="86" a="1"/>
  <c r="AA139" i="86" s="1"/>
  <c r="Z139" i="86" a="1"/>
  <c r="Z139" i="86" s="1"/>
  <c r="Y139" i="86" a="1"/>
  <c r="Y139" i="86" s="1"/>
  <c r="X139" i="86" a="1"/>
  <c r="X139" i="86" s="1"/>
  <c r="W139" i="86" a="1"/>
  <c r="W139" i="86" s="1"/>
  <c r="V139" i="86" a="1"/>
  <c r="V139" i="86" s="1"/>
  <c r="U139" i="86" a="1"/>
  <c r="U139" i="86" s="1"/>
  <c r="T139" i="86" a="1"/>
  <c r="T139" i="86" s="1"/>
  <c r="S139" i="86" a="1"/>
  <c r="S139" i="86" s="1"/>
  <c r="R139" i="86" a="1"/>
  <c r="R139" i="86" s="1"/>
  <c r="Q139" i="86" a="1"/>
  <c r="Q139" i="86" s="1"/>
  <c r="P139" i="86" a="1"/>
  <c r="P139" i="86" s="1"/>
  <c r="O139" i="86" a="1"/>
  <c r="O139" i="86" s="1"/>
  <c r="N139" i="86" a="1"/>
  <c r="N139" i="86" s="1"/>
  <c r="M139" i="86" a="1"/>
  <c r="M139" i="86" s="1"/>
  <c r="L139" i="86" a="1"/>
  <c r="L139" i="86" s="1"/>
  <c r="K139" i="86" a="1"/>
  <c r="K139" i="86" s="1"/>
  <c r="J139" i="86" a="1"/>
  <c r="J139" i="86" s="1"/>
  <c r="I139" i="86" a="1"/>
  <c r="I139" i="86" s="1"/>
  <c r="H139" i="86" a="1"/>
  <c r="H139" i="86" s="1"/>
  <c r="G139" i="86" a="1"/>
  <c r="G139" i="86" s="1"/>
  <c r="F139" i="86" a="1"/>
  <c r="F139" i="86" s="1"/>
  <c r="E139" i="86" a="1"/>
  <c r="E139" i="86" s="1"/>
  <c r="D139" i="86" a="1"/>
  <c r="D139" i="86" s="1"/>
  <c r="AE138" i="86" a="1"/>
  <c r="AE138" i="86" s="1"/>
  <c r="AD138" i="86" a="1"/>
  <c r="AD138" i="86" s="1"/>
  <c r="AC138" i="86" a="1"/>
  <c r="AC138" i="86" s="1"/>
  <c r="AB138" i="86" a="1"/>
  <c r="AB138" i="86" s="1"/>
  <c r="AA138" i="86" a="1"/>
  <c r="AA138" i="86" s="1"/>
  <c r="Z138" i="86" a="1"/>
  <c r="Z138" i="86" s="1"/>
  <c r="Y138" i="86" a="1"/>
  <c r="Y138" i="86" s="1"/>
  <c r="X138" i="86" a="1"/>
  <c r="X138" i="86" s="1"/>
  <c r="W138" i="86" a="1"/>
  <c r="W138" i="86" s="1"/>
  <c r="V138" i="86" a="1"/>
  <c r="V138" i="86" s="1"/>
  <c r="U138" i="86" a="1"/>
  <c r="U138" i="86" s="1"/>
  <c r="T138" i="86" a="1"/>
  <c r="T138" i="86" s="1"/>
  <c r="S138" i="86" a="1"/>
  <c r="S138" i="86" s="1"/>
  <c r="R138" i="86" a="1"/>
  <c r="R138" i="86" s="1"/>
  <c r="Q138" i="86" a="1"/>
  <c r="Q138" i="86" s="1"/>
  <c r="P138" i="86" a="1"/>
  <c r="P138" i="86" s="1"/>
  <c r="O138" i="86" a="1"/>
  <c r="O138" i="86" s="1"/>
  <c r="N138" i="86" a="1"/>
  <c r="N138" i="86" s="1"/>
  <c r="M138" i="86" a="1"/>
  <c r="M138" i="86" s="1"/>
  <c r="L138" i="86" a="1"/>
  <c r="L138" i="86" s="1"/>
  <c r="K138" i="86" a="1"/>
  <c r="K138" i="86" s="1"/>
  <c r="J138" i="86" a="1"/>
  <c r="J138" i="86" s="1"/>
  <c r="I138" i="86" a="1"/>
  <c r="I138" i="86" s="1"/>
  <c r="H138" i="86" a="1"/>
  <c r="H138" i="86" s="1"/>
  <c r="G138" i="86" a="1"/>
  <c r="G138" i="86" s="1"/>
  <c r="F138" i="86" a="1"/>
  <c r="F138" i="86" s="1"/>
  <c r="E138" i="86" a="1"/>
  <c r="E138" i="86" s="1"/>
  <c r="D138" i="86" a="1"/>
  <c r="D138" i="86" s="1"/>
  <c r="AE137" i="86" a="1"/>
  <c r="AE137" i="86" s="1"/>
  <c r="AD137" i="86" a="1"/>
  <c r="AD137" i="86" s="1"/>
  <c r="AC137" i="86" a="1"/>
  <c r="AC137" i="86" s="1"/>
  <c r="AB137" i="86" a="1"/>
  <c r="AB137" i="86" s="1"/>
  <c r="AA137" i="86" a="1"/>
  <c r="AA137" i="86" s="1"/>
  <c r="Z137" i="86" a="1"/>
  <c r="Z137" i="86" s="1"/>
  <c r="Y137" i="86" a="1"/>
  <c r="Y137" i="86" s="1"/>
  <c r="X137" i="86" a="1"/>
  <c r="X137" i="86" s="1"/>
  <c r="W137" i="86" a="1"/>
  <c r="W137" i="86" s="1"/>
  <c r="V137" i="86" a="1"/>
  <c r="V137" i="86" s="1"/>
  <c r="U137" i="86" a="1"/>
  <c r="U137" i="86" s="1"/>
  <c r="T137" i="86" a="1"/>
  <c r="T137" i="86" s="1"/>
  <c r="S137" i="86" a="1"/>
  <c r="S137" i="86" s="1"/>
  <c r="R137" i="86" a="1"/>
  <c r="R137" i="86" s="1"/>
  <c r="Q137" i="86" a="1"/>
  <c r="Q137" i="86" s="1"/>
  <c r="P137" i="86" a="1"/>
  <c r="P137" i="86" s="1"/>
  <c r="O137" i="86" a="1"/>
  <c r="O137" i="86" s="1"/>
  <c r="N137" i="86" a="1"/>
  <c r="N137" i="86" s="1"/>
  <c r="M137" i="86" a="1"/>
  <c r="M137" i="86" s="1"/>
  <c r="L137" i="86" a="1"/>
  <c r="L137" i="86" s="1"/>
  <c r="K137" i="86" a="1"/>
  <c r="K137" i="86" s="1"/>
  <c r="J137" i="86" a="1"/>
  <c r="J137" i="86" s="1"/>
  <c r="I137" i="86" a="1"/>
  <c r="I137" i="86" s="1"/>
  <c r="H137" i="86" a="1"/>
  <c r="H137" i="86" s="1"/>
  <c r="G137" i="86" a="1"/>
  <c r="G137" i="86" s="1"/>
  <c r="F137" i="86" a="1"/>
  <c r="F137" i="86" s="1"/>
  <c r="E137" i="86" a="1"/>
  <c r="E137" i="86" s="1"/>
  <c r="D137" i="86" a="1"/>
  <c r="D137" i="86" s="1"/>
  <c r="AE136" i="86" a="1"/>
  <c r="AE136" i="86" s="1"/>
  <c r="AD136" i="86" a="1"/>
  <c r="AD136" i="86" s="1"/>
  <c r="AC136" i="86" a="1"/>
  <c r="AC136" i="86" s="1"/>
  <c r="AB136" i="86" a="1"/>
  <c r="AB136" i="86" s="1"/>
  <c r="AA136" i="86" a="1"/>
  <c r="AA136" i="86" s="1"/>
  <c r="Z136" i="86" a="1"/>
  <c r="Z136" i="86" s="1"/>
  <c r="Y136" i="86" a="1"/>
  <c r="Y136" i="86" s="1"/>
  <c r="X136" i="86" a="1"/>
  <c r="X136" i="86" s="1"/>
  <c r="W136" i="86" a="1"/>
  <c r="W136" i="86" s="1"/>
  <c r="V136" i="86" a="1"/>
  <c r="V136" i="86" s="1"/>
  <c r="U136" i="86" a="1"/>
  <c r="U136" i="86" s="1"/>
  <c r="T136" i="86" a="1"/>
  <c r="T136" i="86" s="1"/>
  <c r="S136" i="86" a="1"/>
  <c r="S136" i="86" s="1"/>
  <c r="R136" i="86" a="1"/>
  <c r="R136" i="86" s="1"/>
  <c r="Q136" i="86" a="1"/>
  <c r="Q136" i="86" s="1"/>
  <c r="P136" i="86" a="1"/>
  <c r="P136" i="86" s="1"/>
  <c r="O136" i="86" a="1"/>
  <c r="O136" i="86" s="1"/>
  <c r="N136" i="86" a="1"/>
  <c r="N136" i="86" s="1"/>
  <c r="M136" i="86" a="1"/>
  <c r="M136" i="86" s="1"/>
  <c r="L136" i="86" a="1"/>
  <c r="L136" i="86" s="1"/>
  <c r="K136" i="86" a="1"/>
  <c r="K136" i="86" s="1"/>
  <c r="J136" i="86" a="1"/>
  <c r="J136" i="86" s="1"/>
  <c r="I136" i="86" a="1"/>
  <c r="I136" i="86" s="1"/>
  <c r="H136" i="86" a="1"/>
  <c r="H136" i="86" s="1"/>
  <c r="G136" i="86" a="1"/>
  <c r="G136" i="86" s="1"/>
  <c r="F136" i="86" a="1"/>
  <c r="F136" i="86" s="1"/>
  <c r="E136" i="86" a="1"/>
  <c r="E136" i="86" s="1"/>
  <c r="D136" i="86" a="1"/>
  <c r="D136" i="86" s="1"/>
  <c r="AE135" i="86" a="1"/>
  <c r="AE135" i="86" s="1"/>
  <c r="AD135" i="86" a="1"/>
  <c r="AD135" i="86" s="1"/>
  <c r="AC135" i="86" a="1"/>
  <c r="AC135" i="86" s="1"/>
  <c r="AB135" i="86" a="1"/>
  <c r="AB135" i="86" s="1"/>
  <c r="AA135" i="86" a="1"/>
  <c r="AA135" i="86" s="1"/>
  <c r="Z135" i="86" a="1"/>
  <c r="Z135" i="86" s="1"/>
  <c r="Y135" i="86" a="1"/>
  <c r="Y135" i="86" s="1"/>
  <c r="X135" i="86" a="1"/>
  <c r="X135" i="86" s="1"/>
  <c r="W135" i="86" a="1"/>
  <c r="W135" i="86" s="1"/>
  <c r="V135" i="86" a="1"/>
  <c r="V135" i="86" s="1"/>
  <c r="U135" i="86" a="1"/>
  <c r="U135" i="86" s="1"/>
  <c r="T135" i="86" a="1"/>
  <c r="T135" i="86" s="1"/>
  <c r="S135" i="86" a="1"/>
  <c r="S135" i="86" s="1"/>
  <c r="R135" i="86" a="1"/>
  <c r="R135" i="86" s="1"/>
  <c r="Q135" i="86" a="1"/>
  <c r="Q135" i="86" s="1"/>
  <c r="P135" i="86" a="1"/>
  <c r="P135" i="86" s="1"/>
  <c r="O135" i="86" a="1"/>
  <c r="O135" i="86" s="1"/>
  <c r="N135" i="86" a="1"/>
  <c r="N135" i="86" s="1"/>
  <c r="M135" i="86" a="1"/>
  <c r="M135" i="86" s="1"/>
  <c r="L135" i="86" a="1"/>
  <c r="L135" i="86" s="1"/>
  <c r="K135" i="86" a="1"/>
  <c r="K135" i="86" s="1"/>
  <c r="J135" i="86" a="1"/>
  <c r="J135" i="86" s="1"/>
  <c r="I135" i="86" a="1"/>
  <c r="I135" i="86" s="1"/>
  <c r="H135" i="86" a="1"/>
  <c r="H135" i="86" s="1"/>
  <c r="G135" i="86" a="1"/>
  <c r="G135" i="86" s="1"/>
  <c r="F135" i="86" a="1"/>
  <c r="F135" i="86" s="1"/>
  <c r="E135" i="86" a="1"/>
  <c r="E135" i="86" s="1"/>
  <c r="D135" i="86" a="1"/>
  <c r="D135" i="86" s="1"/>
  <c r="AE134" i="86" a="1"/>
  <c r="AE134" i="86" s="1"/>
  <c r="AD134" i="86" a="1"/>
  <c r="AD134" i="86" s="1"/>
  <c r="AC134" i="86" a="1"/>
  <c r="AC134" i="86" s="1"/>
  <c r="AB134" i="86" a="1"/>
  <c r="AB134" i="86" s="1"/>
  <c r="AA134" i="86" a="1"/>
  <c r="AA134" i="86" s="1"/>
  <c r="Z134" i="86" a="1"/>
  <c r="Z134" i="86" s="1"/>
  <c r="Y134" i="86" a="1"/>
  <c r="Y134" i="86" s="1"/>
  <c r="X134" i="86" a="1"/>
  <c r="X134" i="86" s="1"/>
  <c r="W134" i="86" a="1"/>
  <c r="W134" i="86" s="1"/>
  <c r="V134" i="86" a="1"/>
  <c r="V134" i="86" s="1"/>
  <c r="U134" i="86" a="1"/>
  <c r="U134" i="86" s="1"/>
  <c r="T134" i="86" a="1"/>
  <c r="T134" i="86" s="1"/>
  <c r="S134" i="86" a="1"/>
  <c r="S134" i="86" s="1"/>
  <c r="R134" i="86" a="1"/>
  <c r="R134" i="86" s="1"/>
  <c r="Q134" i="86" a="1"/>
  <c r="Q134" i="86" s="1"/>
  <c r="P134" i="86" a="1"/>
  <c r="P134" i="86" s="1"/>
  <c r="O134" i="86" a="1"/>
  <c r="O134" i="86" s="1"/>
  <c r="N134" i="86" a="1"/>
  <c r="N134" i="86" s="1"/>
  <c r="M134" i="86" a="1"/>
  <c r="M134" i="86" s="1"/>
  <c r="L134" i="86" a="1"/>
  <c r="L134" i="86" s="1"/>
  <c r="K134" i="86" a="1"/>
  <c r="K134" i="86" s="1"/>
  <c r="J134" i="86" a="1"/>
  <c r="J134" i="86" s="1"/>
  <c r="I134" i="86" a="1"/>
  <c r="I134" i="86" s="1"/>
  <c r="H134" i="86" a="1"/>
  <c r="H134" i="86" s="1"/>
  <c r="G134" i="86" a="1"/>
  <c r="G134" i="86" s="1"/>
  <c r="F134" i="86" a="1"/>
  <c r="F134" i="86" s="1"/>
  <c r="E134" i="86" a="1"/>
  <c r="E134" i="86" s="1"/>
  <c r="D134" i="86" a="1"/>
  <c r="D134" i="86" s="1"/>
  <c r="AE133" i="86" a="1"/>
  <c r="AE133" i="86" s="1"/>
  <c r="AD133" i="86" a="1"/>
  <c r="AD133" i="86" s="1"/>
  <c r="AC133" i="86" a="1"/>
  <c r="AC133" i="86" s="1"/>
  <c r="AB133" i="86" a="1"/>
  <c r="AB133" i="86" s="1"/>
  <c r="AA133" i="86" a="1"/>
  <c r="AA133" i="86" s="1"/>
  <c r="Z133" i="86" a="1"/>
  <c r="Z133" i="86" s="1"/>
  <c r="Y133" i="86" a="1"/>
  <c r="Y133" i="86" s="1"/>
  <c r="X133" i="86" a="1"/>
  <c r="X133" i="86" s="1"/>
  <c r="W133" i="86" a="1"/>
  <c r="W133" i="86" s="1"/>
  <c r="V133" i="86" a="1"/>
  <c r="V133" i="86" s="1"/>
  <c r="U133" i="86" a="1"/>
  <c r="U133" i="86" s="1"/>
  <c r="T133" i="86" a="1"/>
  <c r="T133" i="86" s="1"/>
  <c r="S133" i="86" a="1"/>
  <c r="S133" i="86" s="1"/>
  <c r="R133" i="86" a="1"/>
  <c r="R133" i="86" s="1"/>
  <c r="Q133" i="86" a="1"/>
  <c r="Q133" i="86" s="1"/>
  <c r="P133" i="86" a="1"/>
  <c r="P133" i="86" s="1"/>
  <c r="O133" i="86" a="1"/>
  <c r="O133" i="86" s="1"/>
  <c r="N133" i="86" a="1"/>
  <c r="N133" i="86" s="1"/>
  <c r="M133" i="86" a="1"/>
  <c r="M133" i="86" s="1"/>
  <c r="L133" i="86" a="1"/>
  <c r="L133" i="86" s="1"/>
  <c r="K133" i="86" a="1"/>
  <c r="K133" i="86" s="1"/>
  <c r="J133" i="86" a="1"/>
  <c r="J133" i="86" s="1"/>
  <c r="I133" i="86" a="1"/>
  <c r="I133" i="86" s="1"/>
  <c r="H133" i="86" a="1"/>
  <c r="H133" i="86" s="1"/>
  <c r="G133" i="86" a="1"/>
  <c r="G133" i="86" s="1"/>
  <c r="F133" i="86" a="1"/>
  <c r="F133" i="86" s="1"/>
  <c r="E133" i="86" a="1"/>
  <c r="E133" i="86" s="1"/>
  <c r="D133" i="86" a="1"/>
  <c r="D133" i="86" s="1"/>
  <c r="AE132" i="86" a="1"/>
  <c r="AE132" i="86" s="1"/>
  <c r="AD132" i="86" a="1"/>
  <c r="AD132" i="86" s="1"/>
  <c r="AC132" i="86" a="1"/>
  <c r="AC132" i="86" s="1"/>
  <c r="AB132" i="86" a="1"/>
  <c r="AB132" i="86" s="1"/>
  <c r="AA132" i="86" a="1"/>
  <c r="AA132" i="86" s="1"/>
  <c r="Z132" i="86" a="1"/>
  <c r="Z132" i="86" s="1"/>
  <c r="Y132" i="86" a="1"/>
  <c r="Y132" i="86" s="1"/>
  <c r="X132" i="86" a="1"/>
  <c r="X132" i="86" s="1"/>
  <c r="W132" i="86" a="1"/>
  <c r="W132" i="86" s="1"/>
  <c r="V132" i="86" a="1"/>
  <c r="V132" i="86" s="1"/>
  <c r="U132" i="86" a="1"/>
  <c r="U132" i="86" s="1"/>
  <c r="T132" i="86" a="1"/>
  <c r="T132" i="86" s="1"/>
  <c r="S132" i="86" a="1"/>
  <c r="S132" i="86" s="1"/>
  <c r="R132" i="86" a="1"/>
  <c r="R132" i="86" s="1"/>
  <c r="Q132" i="86" a="1"/>
  <c r="Q132" i="86" s="1"/>
  <c r="P132" i="86" a="1"/>
  <c r="P132" i="86" s="1"/>
  <c r="O132" i="86" a="1"/>
  <c r="O132" i="86" s="1"/>
  <c r="N132" i="86" a="1"/>
  <c r="N132" i="86" s="1"/>
  <c r="M132" i="86" a="1"/>
  <c r="M132" i="86" s="1"/>
  <c r="L132" i="86" a="1"/>
  <c r="L132" i="86" s="1"/>
  <c r="K132" i="86" a="1"/>
  <c r="K132" i="86" s="1"/>
  <c r="J132" i="86" a="1"/>
  <c r="J132" i="86" s="1"/>
  <c r="I132" i="86" a="1"/>
  <c r="I132" i="86" s="1"/>
  <c r="H132" i="86" a="1"/>
  <c r="H132" i="86" s="1"/>
  <c r="G132" i="86" a="1"/>
  <c r="G132" i="86" s="1"/>
  <c r="F132" i="86" a="1"/>
  <c r="F132" i="86" s="1"/>
  <c r="E132" i="86" a="1"/>
  <c r="E132" i="86" s="1"/>
  <c r="D132" i="86" a="1"/>
  <c r="D132" i="86" s="1"/>
  <c r="AE131" i="86" a="1"/>
  <c r="AE131" i="86" s="1"/>
  <c r="AD131" i="86" a="1"/>
  <c r="AD131" i="86" s="1"/>
  <c r="AC131" i="86" a="1"/>
  <c r="AC131" i="86" s="1"/>
  <c r="AB131" i="86" a="1"/>
  <c r="AB131" i="86" s="1"/>
  <c r="AA131" i="86" a="1"/>
  <c r="AA131" i="86" s="1"/>
  <c r="Z131" i="86" a="1"/>
  <c r="Z131" i="86" s="1"/>
  <c r="Y131" i="86" a="1"/>
  <c r="Y131" i="86" s="1"/>
  <c r="X131" i="86" a="1"/>
  <c r="X131" i="86" s="1"/>
  <c r="W131" i="86" a="1"/>
  <c r="W131" i="86" s="1"/>
  <c r="V131" i="86" a="1"/>
  <c r="V131" i="86" s="1"/>
  <c r="U131" i="86" a="1"/>
  <c r="U131" i="86" s="1"/>
  <c r="T131" i="86" a="1"/>
  <c r="T131" i="86" s="1"/>
  <c r="S131" i="86" a="1"/>
  <c r="S131" i="86" s="1"/>
  <c r="R131" i="86" a="1"/>
  <c r="R131" i="86" s="1"/>
  <c r="Q131" i="86" a="1"/>
  <c r="Q131" i="86" s="1"/>
  <c r="P131" i="86" a="1"/>
  <c r="P131" i="86" s="1"/>
  <c r="O131" i="86" a="1"/>
  <c r="O131" i="86" s="1"/>
  <c r="N131" i="86" a="1"/>
  <c r="N131" i="86" s="1"/>
  <c r="M131" i="86" a="1"/>
  <c r="M131" i="86" s="1"/>
  <c r="L131" i="86" a="1"/>
  <c r="L131" i="86" s="1"/>
  <c r="K131" i="86" a="1"/>
  <c r="K131" i="86" s="1"/>
  <c r="J131" i="86" a="1"/>
  <c r="J131" i="86" s="1"/>
  <c r="I131" i="86" a="1"/>
  <c r="I131" i="86" s="1"/>
  <c r="H131" i="86" a="1"/>
  <c r="H131" i="86" s="1"/>
  <c r="G131" i="86" a="1"/>
  <c r="G131" i="86" s="1"/>
  <c r="F131" i="86" a="1"/>
  <c r="F131" i="86" s="1"/>
  <c r="E131" i="86" a="1"/>
  <c r="E131" i="86" s="1"/>
  <c r="D131" i="86" a="1"/>
  <c r="D131" i="86" s="1"/>
  <c r="AE130" i="86" a="1"/>
  <c r="AE130" i="86" s="1"/>
  <c r="AD130" i="86" a="1"/>
  <c r="AD130" i="86" s="1"/>
  <c r="AC130" i="86" a="1"/>
  <c r="AC130" i="86" s="1"/>
  <c r="AB130" i="86" a="1"/>
  <c r="AB130" i="86" s="1"/>
  <c r="AA130" i="86" a="1"/>
  <c r="AA130" i="86" s="1"/>
  <c r="Z130" i="86" a="1"/>
  <c r="Z130" i="86" s="1"/>
  <c r="Y130" i="86" a="1"/>
  <c r="Y130" i="86" s="1"/>
  <c r="X130" i="86" a="1"/>
  <c r="X130" i="86" s="1"/>
  <c r="W130" i="86" a="1"/>
  <c r="W130" i="86" s="1"/>
  <c r="V130" i="86" a="1"/>
  <c r="V130" i="86" s="1"/>
  <c r="U130" i="86" a="1"/>
  <c r="U130" i="86" s="1"/>
  <c r="T130" i="86" a="1"/>
  <c r="T130" i="86" s="1"/>
  <c r="S130" i="86" a="1"/>
  <c r="S130" i="86" s="1"/>
  <c r="R130" i="86" a="1"/>
  <c r="R130" i="86" s="1"/>
  <c r="Q130" i="86" a="1"/>
  <c r="Q130" i="86" s="1"/>
  <c r="P130" i="86" a="1"/>
  <c r="P130" i="86" s="1"/>
  <c r="O130" i="86" a="1"/>
  <c r="O130" i="86" s="1"/>
  <c r="N130" i="86" a="1"/>
  <c r="N130" i="86" s="1"/>
  <c r="M130" i="86" a="1"/>
  <c r="M130" i="86" s="1"/>
  <c r="L130" i="86" a="1"/>
  <c r="L130" i="86" s="1"/>
  <c r="K130" i="86" a="1"/>
  <c r="K130" i="86" s="1"/>
  <c r="J130" i="86" a="1"/>
  <c r="J130" i="86" s="1"/>
  <c r="I130" i="86" a="1"/>
  <c r="I130" i="86" s="1"/>
  <c r="H130" i="86" a="1"/>
  <c r="H130" i="86" s="1"/>
  <c r="G130" i="86" a="1"/>
  <c r="G130" i="86" s="1"/>
  <c r="F130" i="86" a="1"/>
  <c r="F130" i="86" s="1"/>
  <c r="E130" i="86" a="1"/>
  <c r="E130" i="86" s="1"/>
  <c r="D130" i="86" a="1"/>
  <c r="D130" i="86" s="1"/>
  <c r="AE129" i="86" a="1"/>
  <c r="AE129" i="86" s="1"/>
  <c r="AD129" i="86" a="1"/>
  <c r="AD129" i="86" s="1"/>
  <c r="AC129" i="86" a="1"/>
  <c r="AC129" i="86" s="1"/>
  <c r="AB129" i="86" a="1"/>
  <c r="AB129" i="86" s="1"/>
  <c r="AA129" i="86" a="1"/>
  <c r="AA129" i="86" s="1"/>
  <c r="Z129" i="86" a="1"/>
  <c r="Z129" i="86" s="1"/>
  <c r="Y129" i="86" a="1"/>
  <c r="Y129" i="86" s="1"/>
  <c r="X129" i="86" a="1"/>
  <c r="X129" i="86" s="1"/>
  <c r="W129" i="86" a="1"/>
  <c r="W129" i="86" s="1"/>
  <c r="V129" i="86" a="1"/>
  <c r="V129" i="86" s="1"/>
  <c r="U129" i="86" a="1"/>
  <c r="U129" i="86" s="1"/>
  <c r="T129" i="86" a="1"/>
  <c r="T129" i="86" s="1"/>
  <c r="S129" i="86" a="1"/>
  <c r="S129" i="86" s="1"/>
  <c r="R129" i="86" a="1"/>
  <c r="R129" i="86" s="1"/>
  <c r="Q129" i="86" a="1"/>
  <c r="Q129" i="86" s="1"/>
  <c r="P129" i="86" a="1"/>
  <c r="P129" i="86" s="1"/>
  <c r="O129" i="86" a="1"/>
  <c r="O129" i="86" s="1"/>
  <c r="N129" i="86" a="1"/>
  <c r="N129" i="86" s="1"/>
  <c r="M129" i="86" a="1"/>
  <c r="M129" i="86" s="1"/>
  <c r="L129" i="86" a="1"/>
  <c r="L129" i="86" s="1"/>
  <c r="K129" i="86" a="1"/>
  <c r="K129" i="86" s="1"/>
  <c r="J129" i="86" a="1"/>
  <c r="J129" i="86" s="1"/>
  <c r="I129" i="86" a="1"/>
  <c r="I129" i="86" s="1"/>
  <c r="H129" i="86" a="1"/>
  <c r="H129" i="86" s="1"/>
  <c r="G129" i="86" a="1"/>
  <c r="G129" i="86" s="1"/>
  <c r="F129" i="86" a="1"/>
  <c r="F129" i="86" s="1"/>
  <c r="E129" i="86" a="1"/>
  <c r="E129" i="86" s="1"/>
  <c r="D129" i="86" a="1"/>
  <c r="D129" i="86" s="1"/>
  <c r="AE128" i="86" a="1"/>
  <c r="AE128" i="86" s="1"/>
  <c r="AD128" i="86" a="1"/>
  <c r="AD128" i="86" s="1"/>
  <c r="AC128" i="86" a="1"/>
  <c r="AC128" i="86" s="1"/>
  <c r="AB128" i="86" a="1"/>
  <c r="AB128" i="86" s="1"/>
  <c r="AA128" i="86" a="1"/>
  <c r="AA128" i="86" s="1"/>
  <c r="Z128" i="86" a="1"/>
  <c r="Z128" i="86" s="1"/>
  <c r="Y128" i="86" a="1"/>
  <c r="Y128" i="86" s="1"/>
  <c r="X128" i="86" a="1"/>
  <c r="X128" i="86" s="1"/>
  <c r="W128" i="86" a="1"/>
  <c r="W128" i="86" s="1"/>
  <c r="V128" i="86" a="1"/>
  <c r="V128" i="86" s="1"/>
  <c r="U128" i="86" a="1"/>
  <c r="U128" i="86" s="1"/>
  <c r="T128" i="86" a="1"/>
  <c r="T128" i="86" s="1"/>
  <c r="S128" i="86" a="1"/>
  <c r="S128" i="86" s="1"/>
  <c r="R128" i="86" a="1"/>
  <c r="R128" i="86" s="1"/>
  <c r="Q128" i="86" a="1"/>
  <c r="Q128" i="86" s="1"/>
  <c r="P128" i="86" a="1"/>
  <c r="P128" i="86" s="1"/>
  <c r="O128" i="86" a="1"/>
  <c r="O128" i="86" s="1"/>
  <c r="N128" i="86" a="1"/>
  <c r="N128" i="86" s="1"/>
  <c r="M128" i="86" a="1"/>
  <c r="M128" i="86" s="1"/>
  <c r="L128" i="86" a="1"/>
  <c r="L128" i="86" s="1"/>
  <c r="K128" i="86" a="1"/>
  <c r="K128" i="86" s="1"/>
  <c r="J128" i="86" a="1"/>
  <c r="J128" i="86" s="1"/>
  <c r="I128" i="86" a="1"/>
  <c r="I128" i="86" s="1"/>
  <c r="H128" i="86" a="1"/>
  <c r="H128" i="86" s="1"/>
  <c r="G128" i="86" a="1"/>
  <c r="G128" i="86" s="1"/>
  <c r="F128" i="86" a="1"/>
  <c r="F128" i="86" s="1"/>
  <c r="E128" i="86" a="1"/>
  <c r="E128" i="86" s="1"/>
  <c r="D128" i="86" a="1"/>
  <c r="D128" i="86" s="1"/>
  <c r="AE127" i="86" a="1"/>
  <c r="AE127" i="86" s="1"/>
  <c r="AD127" i="86" a="1"/>
  <c r="AD127" i="86" s="1"/>
  <c r="AC127" i="86" a="1"/>
  <c r="AC127" i="86" s="1"/>
  <c r="AB127" i="86" a="1"/>
  <c r="AB127" i="86" s="1"/>
  <c r="AA127" i="86" a="1"/>
  <c r="AA127" i="86" s="1"/>
  <c r="Z127" i="86" a="1"/>
  <c r="Z127" i="86" s="1"/>
  <c r="Y127" i="86" a="1"/>
  <c r="Y127" i="86" s="1"/>
  <c r="X127" i="86" a="1"/>
  <c r="X127" i="86" s="1"/>
  <c r="W127" i="86" a="1"/>
  <c r="W127" i="86" s="1"/>
  <c r="V127" i="86" a="1"/>
  <c r="V127" i="86" s="1"/>
  <c r="U127" i="86" a="1"/>
  <c r="U127" i="86" s="1"/>
  <c r="T127" i="86" a="1"/>
  <c r="T127" i="86" s="1"/>
  <c r="S127" i="86" a="1"/>
  <c r="S127" i="86" s="1"/>
  <c r="R127" i="86" a="1"/>
  <c r="R127" i="86" s="1"/>
  <c r="Q127" i="86" a="1"/>
  <c r="Q127" i="86" s="1"/>
  <c r="P127" i="86" a="1"/>
  <c r="P127" i="86" s="1"/>
  <c r="O127" i="86" a="1"/>
  <c r="O127" i="86" s="1"/>
  <c r="N127" i="86" a="1"/>
  <c r="N127" i="86" s="1"/>
  <c r="M127" i="86" a="1"/>
  <c r="M127" i="86" s="1"/>
  <c r="L127" i="86" a="1"/>
  <c r="L127" i="86" s="1"/>
  <c r="K127" i="86" a="1"/>
  <c r="K127" i="86" s="1"/>
  <c r="J127" i="86" a="1"/>
  <c r="J127" i="86" s="1"/>
  <c r="I127" i="86" a="1"/>
  <c r="I127" i="86" s="1"/>
  <c r="H127" i="86" a="1"/>
  <c r="H127" i="86" s="1"/>
  <c r="G127" i="86" a="1"/>
  <c r="G127" i="86" s="1"/>
  <c r="F127" i="86" a="1"/>
  <c r="F127" i="86" s="1"/>
  <c r="E127" i="86" a="1"/>
  <c r="E127" i="86" s="1"/>
  <c r="D127" i="86" a="1"/>
  <c r="D127" i="86" s="1"/>
  <c r="AE126" i="86" a="1"/>
  <c r="AE126" i="86" s="1"/>
  <c r="AD126" i="86" a="1"/>
  <c r="AD126" i="86" s="1"/>
  <c r="AC126" i="86" a="1"/>
  <c r="AC126" i="86" s="1"/>
  <c r="AB126" i="86" a="1"/>
  <c r="AB126" i="86" s="1"/>
  <c r="AA126" i="86" a="1"/>
  <c r="AA126" i="86" s="1"/>
  <c r="Z126" i="86" a="1"/>
  <c r="Z126" i="86" s="1"/>
  <c r="Y126" i="86" a="1"/>
  <c r="Y126" i="86" s="1"/>
  <c r="X126" i="86" a="1"/>
  <c r="X126" i="86" s="1"/>
  <c r="W126" i="86" a="1"/>
  <c r="W126" i="86" s="1"/>
  <c r="V126" i="86" a="1"/>
  <c r="V126" i="86" s="1"/>
  <c r="U126" i="86" a="1"/>
  <c r="U126" i="86" s="1"/>
  <c r="T126" i="86" a="1"/>
  <c r="T126" i="86" s="1"/>
  <c r="S126" i="86" a="1"/>
  <c r="S126" i="86" s="1"/>
  <c r="R126" i="86" a="1"/>
  <c r="R126" i="86" s="1"/>
  <c r="Q126" i="86" a="1"/>
  <c r="Q126" i="86" s="1"/>
  <c r="P126" i="86" a="1"/>
  <c r="P126" i="86" s="1"/>
  <c r="O126" i="86" a="1"/>
  <c r="O126" i="86" s="1"/>
  <c r="N126" i="86" a="1"/>
  <c r="N126" i="86" s="1"/>
  <c r="M126" i="86" a="1"/>
  <c r="M126" i="86" s="1"/>
  <c r="L126" i="86" a="1"/>
  <c r="L126" i="86" s="1"/>
  <c r="K126" i="86" a="1"/>
  <c r="K126" i="86" s="1"/>
  <c r="J126" i="86" a="1"/>
  <c r="J126" i="86" s="1"/>
  <c r="I126" i="86" a="1"/>
  <c r="I126" i="86" s="1"/>
  <c r="H126" i="86" a="1"/>
  <c r="H126" i="86" s="1"/>
  <c r="G126" i="86" a="1"/>
  <c r="G126" i="86" s="1"/>
  <c r="F126" i="86" a="1"/>
  <c r="F126" i="86" s="1"/>
  <c r="E126" i="86" a="1"/>
  <c r="E126" i="86" s="1"/>
  <c r="D126" i="86" a="1"/>
  <c r="D126" i="86" s="1"/>
  <c r="AE125" i="86" a="1"/>
  <c r="AE125" i="86" s="1"/>
  <c r="AD125" i="86" a="1"/>
  <c r="AD125" i="86" s="1"/>
  <c r="AC125" i="86" a="1"/>
  <c r="AC125" i="86" s="1"/>
  <c r="AB125" i="86" a="1"/>
  <c r="AB125" i="86" s="1"/>
  <c r="AA125" i="86" a="1"/>
  <c r="AA125" i="86" s="1"/>
  <c r="Z125" i="86" a="1"/>
  <c r="Z125" i="86" s="1"/>
  <c r="Y125" i="86" a="1"/>
  <c r="Y125" i="86" s="1"/>
  <c r="X125" i="86" a="1"/>
  <c r="X125" i="86" s="1"/>
  <c r="W125" i="86" a="1"/>
  <c r="W125" i="86" s="1"/>
  <c r="V125" i="86" a="1"/>
  <c r="V125" i="86" s="1"/>
  <c r="U125" i="86" a="1"/>
  <c r="U125" i="86" s="1"/>
  <c r="T125" i="86" a="1"/>
  <c r="T125" i="86" s="1"/>
  <c r="S125" i="86" a="1"/>
  <c r="S125" i="86" s="1"/>
  <c r="R125" i="86" a="1"/>
  <c r="R125" i="86" s="1"/>
  <c r="Q125" i="86" a="1"/>
  <c r="Q125" i="86" s="1"/>
  <c r="P125" i="86" a="1"/>
  <c r="P125" i="86" s="1"/>
  <c r="O125" i="86" a="1"/>
  <c r="O125" i="86" s="1"/>
  <c r="N125" i="86" a="1"/>
  <c r="N125" i="86" s="1"/>
  <c r="M125" i="86" a="1"/>
  <c r="M125" i="86" s="1"/>
  <c r="L125" i="86" a="1"/>
  <c r="L125" i="86" s="1"/>
  <c r="K125" i="86" a="1"/>
  <c r="K125" i="86" s="1"/>
  <c r="J125" i="86" a="1"/>
  <c r="J125" i="86" s="1"/>
  <c r="I125" i="86" a="1"/>
  <c r="I125" i="86" s="1"/>
  <c r="H125" i="86" a="1"/>
  <c r="H125" i="86" s="1"/>
  <c r="G125" i="86" a="1"/>
  <c r="G125" i="86" s="1"/>
  <c r="F125" i="86" a="1"/>
  <c r="F125" i="86" s="1"/>
  <c r="E125" i="86" a="1"/>
  <c r="E125" i="86" s="1"/>
  <c r="D125" i="86" a="1"/>
  <c r="D125" i="86" s="1"/>
  <c r="AE124" i="86" a="1"/>
  <c r="AE124" i="86" s="1"/>
  <c r="AD124" i="86" a="1"/>
  <c r="AD124" i="86" s="1"/>
  <c r="AC124" i="86" a="1"/>
  <c r="AC124" i="86" s="1"/>
  <c r="AB124" i="86" a="1"/>
  <c r="AB124" i="86" s="1"/>
  <c r="AA124" i="86" a="1"/>
  <c r="AA124" i="86" s="1"/>
  <c r="Z124" i="86" a="1"/>
  <c r="Z124" i="86" s="1"/>
  <c r="Y124" i="86" a="1"/>
  <c r="Y124" i="86" s="1"/>
  <c r="X124" i="86" a="1"/>
  <c r="X124" i="86" s="1"/>
  <c r="W124" i="86" a="1"/>
  <c r="W124" i="86" s="1"/>
  <c r="V124" i="86" a="1"/>
  <c r="V124" i="86" s="1"/>
  <c r="U124" i="86" a="1"/>
  <c r="U124" i="86" s="1"/>
  <c r="T124" i="86" a="1"/>
  <c r="T124" i="86" s="1"/>
  <c r="S124" i="86" a="1"/>
  <c r="S124" i="86" s="1"/>
  <c r="R124" i="86" a="1"/>
  <c r="R124" i="86" s="1"/>
  <c r="Q124" i="86" a="1"/>
  <c r="Q124" i="86" s="1"/>
  <c r="P124" i="86" a="1"/>
  <c r="P124" i="86" s="1"/>
  <c r="O124" i="86" a="1"/>
  <c r="O124" i="86" s="1"/>
  <c r="N124" i="86" a="1"/>
  <c r="N124" i="86" s="1"/>
  <c r="M124" i="86" a="1"/>
  <c r="M124" i="86" s="1"/>
  <c r="L124" i="86" a="1"/>
  <c r="L124" i="86" s="1"/>
  <c r="K124" i="86" a="1"/>
  <c r="K124" i="86" s="1"/>
  <c r="J124" i="86" a="1"/>
  <c r="J124" i="86" s="1"/>
  <c r="I124" i="86" a="1"/>
  <c r="I124" i="86" s="1"/>
  <c r="H124" i="86" a="1"/>
  <c r="H124" i="86" s="1"/>
  <c r="G124" i="86" a="1"/>
  <c r="G124" i="86" s="1"/>
  <c r="F124" i="86" a="1"/>
  <c r="F124" i="86" s="1"/>
  <c r="E124" i="86" a="1"/>
  <c r="E124" i="86" s="1"/>
  <c r="D124" i="86" a="1"/>
  <c r="D124" i="86" s="1"/>
  <c r="AE123" i="86" a="1"/>
  <c r="AE123" i="86" s="1"/>
  <c r="AD123" i="86" a="1"/>
  <c r="AD123" i="86" s="1"/>
  <c r="AC123" i="86" a="1"/>
  <c r="AC123" i="86" s="1"/>
  <c r="AB123" i="86" a="1"/>
  <c r="AB123" i="86" s="1"/>
  <c r="AA123" i="86" a="1"/>
  <c r="AA123" i="86" s="1"/>
  <c r="Z123" i="86" a="1"/>
  <c r="Z123" i="86" s="1"/>
  <c r="Y123" i="86" a="1"/>
  <c r="Y123" i="86" s="1"/>
  <c r="X123" i="86" a="1"/>
  <c r="X123" i="86" s="1"/>
  <c r="W123" i="86" a="1"/>
  <c r="W123" i="86" s="1"/>
  <c r="V123" i="86" a="1"/>
  <c r="V123" i="86" s="1"/>
  <c r="U123" i="86" a="1"/>
  <c r="U123" i="86" s="1"/>
  <c r="T123" i="86" a="1"/>
  <c r="T123" i="86" s="1"/>
  <c r="S123" i="86" a="1"/>
  <c r="S123" i="86" s="1"/>
  <c r="R123" i="86" a="1"/>
  <c r="R123" i="86" s="1"/>
  <c r="Q123" i="86" a="1"/>
  <c r="Q123" i="86" s="1"/>
  <c r="P123" i="86" a="1"/>
  <c r="P123" i="86" s="1"/>
  <c r="O123" i="86" a="1"/>
  <c r="O123" i="86" s="1"/>
  <c r="N123" i="86" a="1"/>
  <c r="N123" i="86" s="1"/>
  <c r="M123" i="86" a="1"/>
  <c r="M123" i="86" s="1"/>
  <c r="L123" i="86" a="1"/>
  <c r="L123" i="86" s="1"/>
  <c r="K123" i="86" a="1"/>
  <c r="K123" i="86" s="1"/>
  <c r="J123" i="86" a="1"/>
  <c r="J123" i="86" s="1"/>
  <c r="I123" i="86" a="1"/>
  <c r="I123" i="86" s="1"/>
  <c r="H123" i="86" a="1"/>
  <c r="H123" i="86" s="1"/>
  <c r="G123" i="86" a="1"/>
  <c r="G123" i="86" s="1"/>
  <c r="F123" i="86" a="1"/>
  <c r="F123" i="86" s="1"/>
  <c r="E123" i="86" a="1"/>
  <c r="E123" i="86" s="1"/>
  <c r="D123" i="86" a="1"/>
  <c r="D123" i="86" s="1"/>
  <c r="AE122" i="86" a="1"/>
  <c r="AE122" i="86" s="1"/>
  <c r="AD122" i="86" a="1"/>
  <c r="AD122" i="86" s="1"/>
  <c r="AC122" i="86" a="1"/>
  <c r="AC122" i="86" s="1"/>
  <c r="AB122" i="86" a="1"/>
  <c r="AB122" i="86" s="1"/>
  <c r="AA122" i="86" a="1"/>
  <c r="AA122" i="86" s="1"/>
  <c r="Z122" i="86" a="1"/>
  <c r="Z122" i="86" s="1"/>
  <c r="Y122" i="86" a="1"/>
  <c r="Y122" i="86" s="1"/>
  <c r="X122" i="86" a="1"/>
  <c r="X122" i="86" s="1"/>
  <c r="W122" i="86" a="1"/>
  <c r="W122" i="86" s="1"/>
  <c r="V122" i="86" a="1"/>
  <c r="V122" i="86" s="1"/>
  <c r="U122" i="86" a="1"/>
  <c r="U122" i="86" s="1"/>
  <c r="T122" i="86" a="1"/>
  <c r="T122" i="86" s="1"/>
  <c r="S122" i="86" a="1"/>
  <c r="S122" i="86" s="1"/>
  <c r="R122" i="86" a="1"/>
  <c r="R122" i="86" s="1"/>
  <c r="Q122" i="86" a="1"/>
  <c r="Q122" i="86" s="1"/>
  <c r="P122" i="86" a="1"/>
  <c r="P122" i="86" s="1"/>
  <c r="O122" i="86" a="1"/>
  <c r="O122" i="86" s="1"/>
  <c r="N122" i="86" a="1"/>
  <c r="N122" i="86" s="1"/>
  <c r="M122" i="86" a="1"/>
  <c r="M122" i="86" s="1"/>
  <c r="L122" i="86" a="1"/>
  <c r="L122" i="86" s="1"/>
  <c r="K122" i="86" a="1"/>
  <c r="K122" i="86" s="1"/>
  <c r="J122" i="86" a="1"/>
  <c r="J122" i="86" s="1"/>
  <c r="I122" i="86" a="1"/>
  <c r="I122" i="86" s="1"/>
  <c r="H122" i="86" a="1"/>
  <c r="H122" i="86" s="1"/>
  <c r="G122" i="86" a="1"/>
  <c r="G122" i="86" s="1"/>
  <c r="F122" i="86" a="1"/>
  <c r="F122" i="86" s="1"/>
  <c r="E122" i="86" a="1"/>
  <c r="E122" i="86" s="1"/>
  <c r="D122" i="86" a="1"/>
  <c r="D122" i="86" s="1"/>
  <c r="AE121" i="86" a="1"/>
  <c r="AE121" i="86" s="1"/>
  <c r="AD121" i="86" a="1"/>
  <c r="AD121" i="86" s="1"/>
  <c r="AC121" i="86" a="1"/>
  <c r="AC121" i="86" s="1"/>
  <c r="AB121" i="86" a="1"/>
  <c r="AB121" i="86" s="1"/>
  <c r="AA121" i="86" a="1"/>
  <c r="AA121" i="86" s="1"/>
  <c r="Z121" i="86" a="1"/>
  <c r="Z121" i="86" s="1"/>
  <c r="Y121" i="86" a="1"/>
  <c r="Y121" i="86" s="1"/>
  <c r="X121" i="86" a="1"/>
  <c r="X121" i="86" s="1"/>
  <c r="W121" i="86" a="1"/>
  <c r="W121" i="86" s="1"/>
  <c r="V121" i="86" a="1"/>
  <c r="V121" i="86" s="1"/>
  <c r="U121" i="86" a="1"/>
  <c r="U121" i="86" s="1"/>
  <c r="T121" i="86" a="1"/>
  <c r="T121" i="86" s="1"/>
  <c r="S121" i="86" a="1"/>
  <c r="S121" i="86" s="1"/>
  <c r="R121" i="86" a="1"/>
  <c r="R121" i="86" s="1"/>
  <c r="Q121" i="86" a="1"/>
  <c r="Q121" i="86" s="1"/>
  <c r="P121" i="86" a="1"/>
  <c r="P121" i="86" s="1"/>
  <c r="O121" i="86" a="1"/>
  <c r="O121" i="86" s="1"/>
  <c r="N121" i="86" a="1"/>
  <c r="N121" i="86" s="1"/>
  <c r="M121" i="86" a="1"/>
  <c r="M121" i="86" s="1"/>
  <c r="L121" i="86" a="1"/>
  <c r="L121" i="86" s="1"/>
  <c r="K121" i="86" a="1"/>
  <c r="K121" i="86" s="1"/>
  <c r="J121" i="86" a="1"/>
  <c r="J121" i="86" s="1"/>
  <c r="I121" i="86" a="1"/>
  <c r="I121" i="86" s="1"/>
  <c r="H121" i="86" a="1"/>
  <c r="H121" i="86" s="1"/>
  <c r="G121" i="86" a="1"/>
  <c r="G121" i="86" s="1"/>
  <c r="F121" i="86" a="1"/>
  <c r="F121" i="86" s="1"/>
  <c r="E121" i="86" a="1"/>
  <c r="E121" i="86" s="1"/>
  <c r="D121" i="86" a="1"/>
  <c r="D121" i="86" s="1"/>
  <c r="AE120" i="86" a="1"/>
  <c r="AE120" i="86" s="1"/>
  <c r="AD120" i="86" a="1"/>
  <c r="AD120" i="86" s="1"/>
  <c r="AC120" i="86" a="1"/>
  <c r="AC120" i="86" s="1"/>
  <c r="AB120" i="86" a="1"/>
  <c r="AB120" i="86" s="1"/>
  <c r="AA120" i="86" a="1"/>
  <c r="AA120" i="86" s="1"/>
  <c r="Z120" i="86" a="1"/>
  <c r="Z120" i="86" s="1"/>
  <c r="Y120" i="86" a="1"/>
  <c r="Y120" i="86" s="1"/>
  <c r="X120" i="86" a="1"/>
  <c r="X120" i="86" s="1"/>
  <c r="W120" i="86" a="1"/>
  <c r="W120" i="86" s="1"/>
  <c r="V120" i="86" a="1"/>
  <c r="V120" i="86" s="1"/>
  <c r="U120" i="86" a="1"/>
  <c r="U120" i="86" s="1"/>
  <c r="T120" i="86" a="1"/>
  <c r="T120" i="86" s="1"/>
  <c r="S120" i="86" a="1"/>
  <c r="S120" i="86" s="1"/>
  <c r="R120" i="86" a="1"/>
  <c r="R120" i="86" s="1"/>
  <c r="Q120" i="86" a="1"/>
  <c r="Q120" i="86" s="1"/>
  <c r="P120" i="86" a="1"/>
  <c r="P120" i="86" s="1"/>
  <c r="O120" i="86" a="1"/>
  <c r="O120" i="86" s="1"/>
  <c r="N120" i="86" a="1"/>
  <c r="N120" i="86" s="1"/>
  <c r="M120" i="86" a="1"/>
  <c r="M120" i="86" s="1"/>
  <c r="L120" i="86" a="1"/>
  <c r="L120" i="86" s="1"/>
  <c r="K120" i="86" a="1"/>
  <c r="K120" i="86" s="1"/>
  <c r="J120" i="86" a="1"/>
  <c r="J120" i="86" s="1"/>
  <c r="I120" i="86" a="1"/>
  <c r="I120" i="86" s="1"/>
  <c r="H120" i="86" a="1"/>
  <c r="H120" i="86" s="1"/>
  <c r="G120" i="86" a="1"/>
  <c r="G120" i="86" s="1"/>
  <c r="F120" i="86" a="1"/>
  <c r="F120" i="86" s="1"/>
  <c r="E120" i="86" a="1"/>
  <c r="E120" i="86" s="1"/>
  <c r="D120" i="86" a="1"/>
  <c r="D120" i="86" s="1"/>
  <c r="AE119" i="86" a="1"/>
  <c r="AE119" i="86" s="1"/>
  <c r="AD119" i="86" a="1"/>
  <c r="AD119" i="86" s="1"/>
  <c r="AC119" i="86" a="1"/>
  <c r="AC119" i="86" s="1"/>
  <c r="AB119" i="86" a="1"/>
  <c r="AB119" i="86" s="1"/>
  <c r="AA119" i="86" a="1"/>
  <c r="AA119" i="86" s="1"/>
  <c r="Z119" i="86" a="1"/>
  <c r="Z119" i="86" s="1"/>
  <c r="Y119" i="86" a="1"/>
  <c r="Y119" i="86" s="1"/>
  <c r="X119" i="86" a="1"/>
  <c r="X119" i="86" s="1"/>
  <c r="W119" i="86" a="1"/>
  <c r="W119" i="86" s="1"/>
  <c r="V119" i="86" a="1"/>
  <c r="V119" i="86" s="1"/>
  <c r="U119" i="86" a="1"/>
  <c r="U119" i="86" s="1"/>
  <c r="T119" i="86" a="1"/>
  <c r="T119" i="86" s="1"/>
  <c r="S119" i="86" a="1"/>
  <c r="S119" i="86" s="1"/>
  <c r="R119" i="86" a="1"/>
  <c r="R119" i="86" s="1"/>
  <c r="Q119" i="86" a="1"/>
  <c r="Q119" i="86" s="1"/>
  <c r="P119" i="86" a="1"/>
  <c r="P119" i="86" s="1"/>
  <c r="O119" i="86" a="1"/>
  <c r="O119" i="86" s="1"/>
  <c r="N119" i="86" a="1"/>
  <c r="N119" i="86" s="1"/>
  <c r="M119" i="86" a="1"/>
  <c r="M119" i="86" s="1"/>
  <c r="L119" i="86" a="1"/>
  <c r="L119" i="86" s="1"/>
  <c r="K119" i="86" a="1"/>
  <c r="K119" i="86" s="1"/>
  <c r="J119" i="86" a="1"/>
  <c r="J119" i="86" s="1"/>
  <c r="I119" i="86" a="1"/>
  <c r="I119" i="86" s="1"/>
  <c r="H119" i="86" a="1"/>
  <c r="H119" i="86" s="1"/>
  <c r="G119" i="86" a="1"/>
  <c r="G119" i="86" s="1"/>
  <c r="F119" i="86" a="1"/>
  <c r="F119" i="86" s="1"/>
  <c r="E119" i="86" a="1"/>
  <c r="E119" i="86" s="1"/>
  <c r="D119" i="86" a="1"/>
  <c r="D119" i="86" s="1"/>
  <c r="AE118" i="86" a="1"/>
  <c r="AE118" i="86" s="1"/>
  <c r="AD118" i="86" a="1"/>
  <c r="AD118" i="86" s="1"/>
  <c r="AC118" i="86" a="1"/>
  <c r="AC118" i="86" s="1"/>
  <c r="AB118" i="86" a="1"/>
  <c r="AB118" i="86" s="1"/>
  <c r="AA118" i="86" a="1"/>
  <c r="AA118" i="86" s="1"/>
  <c r="Z118" i="86" a="1"/>
  <c r="Z118" i="86" s="1"/>
  <c r="Y118" i="86" a="1"/>
  <c r="Y118" i="86" s="1"/>
  <c r="X118" i="86" a="1"/>
  <c r="X118" i="86" s="1"/>
  <c r="W118" i="86" a="1"/>
  <c r="W118" i="86" s="1"/>
  <c r="V118" i="86" a="1"/>
  <c r="V118" i="86" s="1"/>
  <c r="U118" i="86" a="1"/>
  <c r="U118" i="86" s="1"/>
  <c r="T118" i="86" a="1"/>
  <c r="T118" i="86" s="1"/>
  <c r="S118" i="86" a="1"/>
  <c r="S118" i="86" s="1"/>
  <c r="R118" i="86" a="1"/>
  <c r="R118" i="86" s="1"/>
  <c r="Q118" i="86" a="1"/>
  <c r="Q118" i="86" s="1"/>
  <c r="P118" i="86" a="1"/>
  <c r="P118" i="86" s="1"/>
  <c r="O118" i="86" a="1"/>
  <c r="O118" i="86" s="1"/>
  <c r="N118" i="86" a="1"/>
  <c r="N118" i="86" s="1"/>
  <c r="M118" i="86" a="1"/>
  <c r="M118" i="86" s="1"/>
  <c r="L118" i="86" a="1"/>
  <c r="L118" i="86" s="1"/>
  <c r="K118" i="86" a="1"/>
  <c r="K118" i="86" s="1"/>
  <c r="J118" i="86" a="1"/>
  <c r="J118" i="86" s="1"/>
  <c r="I118" i="86" a="1"/>
  <c r="I118" i="86" s="1"/>
  <c r="H118" i="86" a="1"/>
  <c r="H118" i="86" s="1"/>
  <c r="G118" i="86" a="1"/>
  <c r="G118" i="86" s="1"/>
  <c r="F118" i="86" a="1"/>
  <c r="F118" i="86" s="1"/>
  <c r="E118" i="86" a="1"/>
  <c r="E118" i="86" s="1"/>
  <c r="D118" i="86" a="1"/>
  <c r="D118" i="86" s="1"/>
  <c r="AE117" i="86" a="1"/>
  <c r="AE117" i="86" s="1"/>
  <c r="AD117" i="86" a="1"/>
  <c r="AD117" i="86" s="1"/>
  <c r="AC117" i="86" a="1"/>
  <c r="AC117" i="86" s="1"/>
  <c r="AB117" i="86" a="1"/>
  <c r="AB117" i="86" s="1"/>
  <c r="AA117" i="86" a="1"/>
  <c r="AA117" i="86" s="1"/>
  <c r="Z117" i="86" a="1"/>
  <c r="Z117" i="86" s="1"/>
  <c r="Y117" i="86" a="1"/>
  <c r="Y117" i="86" s="1"/>
  <c r="X117" i="86" a="1"/>
  <c r="X117" i="86" s="1"/>
  <c r="W117" i="86" a="1"/>
  <c r="W117" i="86" s="1"/>
  <c r="V117" i="86" a="1"/>
  <c r="V117" i="86" s="1"/>
  <c r="U117" i="86" a="1"/>
  <c r="U117" i="86" s="1"/>
  <c r="T117" i="86" a="1"/>
  <c r="T117" i="86" s="1"/>
  <c r="S117" i="86" a="1"/>
  <c r="S117" i="86" s="1"/>
  <c r="R117" i="86" a="1"/>
  <c r="R117" i="86" s="1"/>
  <c r="Q117" i="86" a="1"/>
  <c r="Q117" i="86" s="1"/>
  <c r="P117" i="86" a="1"/>
  <c r="P117" i="86" s="1"/>
  <c r="O117" i="86" a="1"/>
  <c r="O117" i="86" s="1"/>
  <c r="N117" i="86" a="1"/>
  <c r="N117" i="86" s="1"/>
  <c r="M117" i="86" a="1"/>
  <c r="M117" i="86" s="1"/>
  <c r="L117" i="86" a="1"/>
  <c r="L117" i="86" s="1"/>
  <c r="K117" i="86" a="1"/>
  <c r="K117" i="86" s="1"/>
  <c r="J117" i="86" a="1"/>
  <c r="J117" i="86" s="1"/>
  <c r="I117" i="86" a="1"/>
  <c r="I117" i="86" s="1"/>
  <c r="H117" i="86" a="1"/>
  <c r="H117" i="86" s="1"/>
  <c r="G117" i="86" a="1"/>
  <c r="G117" i="86" s="1"/>
  <c r="F117" i="86" a="1"/>
  <c r="F117" i="86" s="1"/>
  <c r="E117" i="86" a="1"/>
  <c r="E117" i="86" s="1"/>
  <c r="D117" i="86" a="1"/>
  <c r="D117" i="86" s="1"/>
  <c r="AE116" i="86" a="1"/>
  <c r="AE116" i="86" s="1"/>
  <c r="AD116" i="86" a="1"/>
  <c r="AD116" i="86" s="1"/>
  <c r="AC116" i="86" a="1"/>
  <c r="AC116" i="86" s="1"/>
  <c r="AB116" i="86" a="1"/>
  <c r="AB116" i="86" s="1"/>
  <c r="AA116" i="86" a="1"/>
  <c r="AA116" i="86" s="1"/>
  <c r="Z116" i="86" a="1"/>
  <c r="Z116" i="86" s="1"/>
  <c r="Y116" i="86" a="1"/>
  <c r="Y116" i="86" s="1"/>
  <c r="X116" i="86" a="1"/>
  <c r="X116" i="86" s="1"/>
  <c r="W116" i="86" a="1"/>
  <c r="W116" i="86" s="1"/>
  <c r="V116" i="86" a="1"/>
  <c r="V116" i="86" s="1"/>
  <c r="U116" i="86" a="1"/>
  <c r="U116" i="86" s="1"/>
  <c r="T116" i="86" a="1"/>
  <c r="T116" i="86" s="1"/>
  <c r="S116" i="86" a="1"/>
  <c r="S116" i="86" s="1"/>
  <c r="R116" i="86" a="1"/>
  <c r="R116" i="86" s="1"/>
  <c r="Q116" i="86" a="1"/>
  <c r="Q116" i="86" s="1"/>
  <c r="P116" i="86" a="1"/>
  <c r="P116" i="86" s="1"/>
  <c r="O116" i="86" a="1"/>
  <c r="O116" i="86" s="1"/>
  <c r="N116" i="86" a="1"/>
  <c r="N116" i="86" s="1"/>
  <c r="M116" i="86" a="1"/>
  <c r="M116" i="86" s="1"/>
  <c r="L116" i="86" a="1"/>
  <c r="L116" i="86" s="1"/>
  <c r="K116" i="86" a="1"/>
  <c r="K116" i="86" s="1"/>
  <c r="J116" i="86" a="1"/>
  <c r="J116" i="86" s="1"/>
  <c r="I116" i="86" a="1"/>
  <c r="I116" i="86" s="1"/>
  <c r="H116" i="86" a="1"/>
  <c r="H116" i="86" s="1"/>
  <c r="G116" i="86" a="1"/>
  <c r="G116" i="86" s="1"/>
  <c r="F116" i="86" a="1"/>
  <c r="F116" i="86" s="1"/>
  <c r="E116" i="86" a="1"/>
  <c r="E116" i="86" s="1"/>
  <c r="D116" i="86" a="1"/>
  <c r="D116" i="86" s="1"/>
  <c r="AE115" i="86" a="1"/>
  <c r="AE115" i="86" s="1"/>
  <c r="AD115" i="86" a="1"/>
  <c r="AD115" i="86" s="1"/>
  <c r="AC115" i="86" a="1"/>
  <c r="AC115" i="86" s="1"/>
  <c r="AB115" i="86" a="1"/>
  <c r="AB115" i="86" s="1"/>
  <c r="AA115" i="86" a="1"/>
  <c r="AA115" i="86" s="1"/>
  <c r="Z115" i="86" a="1"/>
  <c r="Z115" i="86" s="1"/>
  <c r="Y115" i="86" a="1"/>
  <c r="Y115" i="86" s="1"/>
  <c r="X115" i="86" a="1"/>
  <c r="X115" i="86" s="1"/>
  <c r="W115" i="86" a="1"/>
  <c r="W115" i="86" s="1"/>
  <c r="V115" i="86" a="1"/>
  <c r="V115" i="86" s="1"/>
  <c r="U115" i="86" a="1"/>
  <c r="U115" i="86" s="1"/>
  <c r="T115" i="86" a="1"/>
  <c r="T115" i="86" s="1"/>
  <c r="S115" i="86" a="1"/>
  <c r="S115" i="86" s="1"/>
  <c r="R115" i="86" a="1"/>
  <c r="R115" i="86" s="1"/>
  <c r="Q115" i="86" a="1"/>
  <c r="Q115" i="86" s="1"/>
  <c r="P115" i="86" a="1"/>
  <c r="P115" i="86" s="1"/>
  <c r="O115" i="86" a="1"/>
  <c r="O115" i="86" s="1"/>
  <c r="N115" i="86" a="1"/>
  <c r="N115" i="86" s="1"/>
  <c r="M115" i="86" a="1"/>
  <c r="M115" i="86" s="1"/>
  <c r="L115" i="86" a="1"/>
  <c r="L115" i="86" s="1"/>
  <c r="K115" i="86" a="1"/>
  <c r="K115" i="86" s="1"/>
  <c r="J115" i="86" a="1"/>
  <c r="J115" i="86" s="1"/>
  <c r="I115" i="86" a="1"/>
  <c r="I115" i="86" s="1"/>
  <c r="H115" i="86" a="1"/>
  <c r="H115" i="86" s="1"/>
  <c r="G115" i="86" a="1"/>
  <c r="G115" i="86" s="1"/>
  <c r="F115" i="86" a="1"/>
  <c r="F115" i="86" s="1"/>
  <c r="E115" i="86" a="1"/>
  <c r="E115" i="86" s="1"/>
  <c r="D115" i="86" a="1"/>
  <c r="D115" i="86" s="1"/>
  <c r="AE114" i="86" a="1"/>
  <c r="AE114" i="86" s="1"/>
  <c r="AD114" i="86" a="1"/>
  <c r="AD114" i="86" s="1"/>
  <c r="AC114" i="86" a="1"/>
  <c r="AC114" i="86" s="1"/>
  <c r="AB114" i="86" a="1"/>
  <c r="AB114" i="86" s="1"/>
  <c r="AA114" i="86" a="1"/>
  <c r="AA114" i="86" s="1"/>
  <c r="Z114" i="86" a="1"/>
  <c r="Z114" i="86" s="1"/>
  <c r="Y114" i="86" a="1"/>
  <c r="Y114" i="86" s="1"/>
  <c r="X114" i="86" a="1"/>
  <c r="X114" i="86" s="1"/>
  <c r="W114" i="86" a="1"/>
  <c r="W114" i="86" s="1"/>
  <c r="V114" i="86" a="1"/>
  <c r="V114" i="86" s="1"/>
  <c r="U114" i="86" a="1"/>
  <c r="U114" i="86" s="1"/>
  <c r="T114" i="86" a="1"/>
  <c r="T114" i="86" s="1"/>
  <c r="S114" i="86" a="1"/>
  <c r="S114" i="86" s="1"/>
  <c r="R114" i="86" a="1"/>
  <c r="R114" i="86" s="1"/>
  <c r="Q114" i="86" a="1"/>
  <c r="Q114" i="86" s="1"/>
  <c r="P114" i="86" a="1"/>
  <c r="P114" i="86" s="1"/>
  <c r="O114" i="86" a="1"/>
  <c r="O114" i="86" s="1"/>
  <c r="N114" i="86" a="1"/>
  <c r="N114" i="86" s="1"/>
  <c r="M114" i="86" a="1"/>
  <c r="M114" i="86" s="1"/>
  <c r="L114" i="86" a="1"/>
  <c r="L114" i="86" s="1"/>
  <c r="K114" i="86" a="1"/>
  <c r="K114" i="86" s="1"/>
  <c r="J114" i="86" a="1"/>
  <c r="J114" i="86" s="1"/>
  <c r="I114" i="86" a="1"/>
  <c r="I114" i="86" s="1"/>
  <c r="H114" i="86" a="1"/>
  <c r="H114" i="86" s="1"/>
  <c r="G114" i="86" a="1"/>
  <c r="G114" i="86" s="1"/>
  <c r="F114" i="86" a="1"/>
  <c r="F114" i="86" s="1"/>
  <c r="E114" i="86" a="1"/>
  <c r="E114" i="86" s="1"/>
  <c r="D114" i="86" a="1"/>
  <c r="D114" i="86" s="1"/>
  <c r="AE113" i="86" a="1"/>
  <c r="AE113" i="86" s="1"/>
  <c r="AD113" i="86" a="1"/>
  <c r="AD113" i="86" s="1"/>
  <c r="AC113" i="86" a="1"/>
  <c r="AC113" i="86" s="1"/>
  <c r="AB113" i="86" a="1"/>
  <c r="AB113" i="86" s="1"/>
  <c r="AA113" i="86" a="1"/>
  <c r="AA113" i="86" s="1"/>
  <c r="Z113" i="86" a="1"/>
  <c r="Z113" i="86" s="1"/>
  <c r="Y113" i="86" a="1"/>
  <c r="Y113" i="86" s="1"/>
  <c r="X113" i="86" a="1"/>
  <c r="X113" i="86" s="1"/>
  <c r="W113" i="86" a="1"/>
  <c r="W113" i="86" s="1"/>
  <c r="V113" i="86" a="1"/>
  <c r="V113" i="86" s="1"/>
  <c r="U113" i="86" a="1"/>
  <c r="U113" i="86" s="1"/>
  <c r="T113" i="86" a="1"/>
  <c r="T113" i="86" s="1"/>
  <c r="S113" i="86" a="1"/>
  <c r="S113" i="86" s="1"/>
  <c r="R113" i="86" a="1"/>
  <c r="R113" i="86" s="1"/>
  <c r="Q113" i="86" a="1"/>
  <c r="Q113" i="86" s="1"/>
  <c r="P113" i="86" a="1"/>
  <c r="P113" i="86" s="1"/>
  <c r="O113" i="86" a="1"/>
  <c r="O113" i="86" s="1"/>
  <c r="N113" i="86" a="1"/>
  <c r="N113" i="86" s="1"/>
  <c r="M113" i="86" a="1"/>
  <c r="M113" i="86" s="1"/>
  <c r="L113" i="86" a="1"/>
  <c r="L113" i="86" s="1"/>
  <c r="K113" i="86" a="1"/>
  <c r="K113" i="86" s="1"/>
  <c r="J113" i="86" a="1"/>
  <c r="J113" i="86" s="1"/>
  <c r="I113" i="86" a="1"/>
  <c r="I113" i="86" s="1"/>
  <c r="H113" i="86" a="1"/>
  <c r="H113" i="86" s="1"/>
  <c r="G113" i="86" a="1"/>
  <c r="G113" i="86" s="1"/>
  <c r="F113" i="86" a="1"/>
  <c r="F113" i="86" s="1"/>
  <c r="E113" i="86" a="1"/>
  <c r="E113" i="86" s="1"/>
  <c r="D113" i="86" a="1"/>
  <c r="D113" i="86" s="1"/>
  <c r="AE112" i="86" a="1"/>
  <c r="AE112" i="86" s="1"/>
  <c r="AD112" i="86" a="1"/>
  <c r="AD112" i="86" s="1"/>
  <c r="AC112" i="86" a="1"/>
  <c r="AC112" i="86" s="1"/>
  <c r="AB112" i="86" a="1"/>
  <c r="AB112" i="86" s="1"/>
  <c r="AA112" i="86" a="1"/>
  <c r="AA112" i="86" s="1"/>
  <c r="Z112" i="86" a="1"/>
  <c r="Z112" i="86" s="1"/>
  <c r="Y112" i="86" a="1"/>
  <c r="Y112" i="86" s="1"/>
  <c r="X112" i="86" a="1"/>
  <c r="X112" i="86" s="1"/>
  <c r="W112" i="86" a="1"/>
  <c r="W112" i="86" s="1"/>
  <c r="V112" i="86" a="1"/>
  <c r="V112" i="86" s="1"/>
  <c r="U112" i="86" a="1"/>
  <c r="U112" i="86" s="1"/>
  <c r="T112" i="86" a="1"/>
  <c r="T112" i="86" s="1"/>
  <c r="S112" i="86" a="1"/>
  <c r="S112" i="86" s="1"/>
  <c r="R112" i="86" a="1"/>
  <c r="R112" i="86" s="1"/>
  <c r="Q112" i="86" a="1"/>
  <c r="Q112" i="86" s="1"/>
  <c r="P112" i="86" a="1"/>
  <c r="P112" i="86" s="1"/>
  <c r="O112" i="86" a="1"/>
  <c r="O112" i="86" s="1"/>
  <c r="N112" i="86" a="1"/>
  <c r="N112" i="86" s="1"/>
  <c r="M112" i="86" a="1"/>
  <c r="M112" i="86" s="1"/>
  <c r="L112" i="86" a="1"/>
  <c r="L112" i="86" s="1"/>
  <c r="K112" i="86" a="1"/>
  <c r="K112" i="86" s="1"/>
  <c r="J112" i="86" a="1"/>
  <c r="J112" i="86" s="1"/>
  <c r="I112" i="86" a="1"/>
  <c r="I112" i="86" s="1"/>
  <c r="H112" i="86" a="1"/>
  <c r="H112" i="86" s="1"/>
  <c r="G112" i="86" a="1"/>
  <c r="G112" i="86" s="1"/>
  <c r="F112" i="86" a="1"/>
  <c r="F112" i="86" s="1"/>
  <c r="E112" i="86" a="1"/>
  <c r="E112" i="86" s="1"/>
  <c r="D112" i="86" a="1"/>
  <c r="D112" i="86" s="1"/>
  <c r="AE111" i="86" a="1"/>
  <c r="AE111" i="86" s="1"/>
  <c r="AD111" i="86" a="1"/>
  <c r="AD111" i="86" s="1"/>
  <c r="AC111" i="86" a="1"/>
  <c r="AC111" i="86" s="1"/>
  <c r="AB111" i="86" a="1"/>
  <c r="AB111" i="86" s="1"/>
  <c r="AA111" i="86" a="1"/>
  <c r="AA111" i="86" s="1"/>
  <c r="Z111" i="86" a="1"/>
  <c r="Z111" i="86" s="1"/>
  <c r="Y111" i="86" a="1"/>
  <c r="Y111" i="86" s="1"/>
  <c r="X111" i="86" a="1"/>
  <c r="X111" i="86" s="1"/>
  <c r="W111" i="86" a="1"/>
  <c r="W111" i="86" s="1"/>
  <c r="V111" i="86" a="1"/>
  <c r="V111" i="86" s="1"/>
  <c r="U111" i="86" a="1"/>
  <c r="U111" i="86" s="1"/>
  <c r="T111" i="86" a="1"/>
  <c r="T111" i="86" s="1"/>
  <c r="S111" i="86" a="1"/>
  <c r="S111" i="86" s="1"/>
  <c r="R111" i="86" a="1"/>
  <c r="R111" i="86" s="1"/>
  <c r="Q111" i="86" a="1"/>
  <c r="Q111" i="86" s="1"/>
  <c r="P111" i="86" a="1"/>
  <c r="P111" i="86" s="1"/>
  <c r="O111" i="86" a="1"/>
  <c r="O111" i="86" s="1"/>
  <c r="N111" i="86" a="1"/>
  <c r="N111" i="86" s="1"/>
  <c r="M111" i="86" a="1"/>
  <c r="M111" i="86" s="1"/>
  <c r="L111" i="86" a="1"/>
  <c r="L111" i="86" s="1"/>
  <c r="K111" i="86" a="1"/>
  <c r="K111" i="86" s="1"/>
  <c r="J111" i="86" a="1"/>
  <c r="J111" i="86" s="1"/>
  <c r="I111" i="86" a="1"/>
  <c r="I111" i="86" s="1"/>
  <c r="H111" i="86" a="1"/>
  <c r="H111" i="86" s="1"/>
  <c r="G111" i="86" a="1"/>
  <c r="G111" i="86" s="1"/>
  <c r="F111" i="86" a="1"/>
  <c r="F111" i="86" s="1"/>
  <c r="E111" i="86" a="1"/>
  <c r="E111" i="86" s="1"/>
  <c r="D111" i="86" a="1"/>
  <c r="D111" i="86" s="1"/>
  <c r="AE110" i="86" a="1"/>
  <c r="AE110" i="86" s="1"/>
  <c r="AD110" i="86" a="1"/>
  <c r="AD110" i="86" s="1"/>
  <c r="AC110" i="86" a="1"/>
  <c r="AC110" i="86" s="1"/>
  <c r="AB110" i="86" a="1"/>
  <c r="AB110" i="86" s="1"/>
  <c r="AA110" i="86" a="1"/>
  <c r="AA110" i="86" s="1"/>
  <c r="Z110" i="86" a="1"/>
  <c r="Z110" i="86" s="1"/>
  <c r="Y110" i="86" a="1"/>
  <c r="Y110" i="86" s="1"/>
  <c r="X110" i="86" a="1"/>
  <c r="X110" i="86" s="1"/>
  <c r="W110" i="86" a="1"/>
  <c r="W110" i="86" s="1"/>
  <c r="V110" i="86" a="1"/>
  <c r="V110" i="86" s="1"/>
  <c r="U110" i="86" a="1"/>
  <c r="U110" i="86" s="1"/>
  <c r="T110" i="86" a="1"/>
  <c r="T110" i="86" s="1"/>
  <c r="S110" i="86" a="1"/>
  <c r="S110" i="86" s="1"/>
  <c r="R110" i="86" a="1"/>
  <c r="R110" i="86" s="1"/>
  <c r="Q110" i="86" a="1"/>
  <c r="Q110" i="86" s="1"/>
  <c r="P110" i="86" a="1"/>
  <c r="P110" i="86" s="1"/>
  <c r="O110" i="86" a="1"/>
  <c r="O110" i="86" s="1"/>
  <c r="N110" i="86" a="1"/>
  <c r="N110" i="86" s="1"/>
  <c r="M110" i="86" a="1"/>
  <c r="M110" i="86" s="1"/>
  <c r="L110" i="86" a="1"/>
  <c r="L110" i="86" s="1"/>
  <c r="K110" i="86" a="1"/>
  <c r="K110" i="86" s="1"/>
  <c r="J110" i="86" a="1"/>
  <c r="J110" i="86" s="1"/>
  <c r="I110" i="86" a="1"/>
  <c r="I110" i="86" s="1"/>
  <c r="H110" i="86" a="1"/>
  <c r="H110" i="86" s="1"/>
  <c r="G110" i="86" a="1"/>
  <c r="G110" i="86" s="1"/>
  <c r="F110" i="86" a="1"/>
  <c r="F110" i="86" s="1"/>
  <c r="E110" i="86" a="1"/>
  <c r="E110" i="86" s="1"/>
  <c r="D110" i="86" a="1"/>
  <c r="D110" i="86" s="1"/>
  <c r="AE109" i="86" a="1"/>
  <c r="AE109" i="86" s="1"/>
  <c r="AD109" i="86" a="1"/>
  <c r="AD109" i="86" s="1"/>
  <c r="AC109" i="86" a="1"/>
  <c r="AC109" i="86" s="1"/>
  <c r="AB109" i="86" a="1"/>
  <c r="AB109" i="86" s="1"/>
  <c r="AA109" i="86" a="1"/>
  <c r="AA109" i="86" s="1"/>
  <c r="Z109" i="86" a="1"/>
  <c r="Z109" i="86" s="1"/>
  <c r="Y109" i="86" a="1"/>
  <c r="Y109" i="86" s="1"/>
  <c r="X109" i="86" a="1"/>
  <c r="X109" i="86" s="1"/>
  <c r="W109" i="86" a="1"/>
  <c r="W109" i="86" s="1"/>
  <c r="V109" i="86" a="1"/>
  <c r="V109" i="86" s="1"/>
  <c r="U109" i="86" a="1"/>
  <c r="U109" i="86" s="1"/>
  <c r="T109" i="86" a="1"/>
  <c r="T109" i="86" s="1"/>
  <c r="S109" i="86" a="1"/>
  <c r="S109" i="86" s="1"/>
  <c r="R109" i="86" a="1"/>
  <c r="R109" i="86" s="1"/>
  <c r="Q109" i="86" a="1"/>
  <c r="Q109" i="86" s="1"/>
  <c r="P109" i="86" a="1"/>
  <c r="P109" i="86" s="1"/>
  <c r="O109" i="86" a="1"/>
  <c r="O109" i="86" s="1"/>
  <c r="N109" i="86" a="1"/>
  <c r="N109" i="86" s="1"/>
  <c r="M109" i="86" a="1"/>
  <c r="M109" i="86" s="1"/>
  <c r="L109" i="86" a="1"/>
  <c r="L109" i="86" s="1"/>
  <c r="K109" i="86" a="1"/>
  <c r="K109" i="86" s="1"/>
  <c r="J109" i="86" a="1"/>
  <c r="J109" i="86" s="1"/>
  <c r="I109" i="86" a="1"/>
  <c r="I109" i="86" s="1"/>
  <c r="H109" i="86" a="1"/>
  <c r="H109" i="86" s="1"/>
  <c r="G109" i="86" a="1"/>
  <c r="G109" i="86" s="1"/>
  <c r="F109" i="86" a="1"/>
  <c r="F109" i="86" s="1"/>
  <c r="E109" i="86" a="1"/>
  <c r="E109" i="86" s="1"/>
  <c r="D109" i="86" a="1"/>
  <c r="D109" i="86" s="1"/>
  <c r="AE108" i="86" a="1"/>
  <c r="AE108" i="86" s="1"/>
  <c r="AD108" i="86" a="1"/>
  <c r="AD108" i="86" s="1"/>
  <c r="AC108" i="86" a="1"/>
  <c r="AC108" i="86" s="1"/>
  <c r="AB108" i="86" a="1"/>
  <c r="AB108" i="86" s="1"/>
  <c r="AA108" i="86" a="1"/>
  <c r="AA108" i="86" s="1"/>
  <c r="Z108" i="86" a="1"/>
  <c r="Z108" i="86" s="1"/>
  <c r="Y108" i="86" a="1"/>
  <c r="Y108" i="86" s="1"/>
  <c r="X108" i="86" a="1"/>
  <c r="X108" i="86" s="1"/>
  <c r="W108" i="86" a="1"/>
  <c r="W108" i="86" s="1"/>
  <c r="V108" i="86" a="1"/>
  <c r="V108" i="86" s="1"/>
  <c r="U108" i="86" a="1"/>
  <c r="U108" i="86" s="1"/>
  <c r="T108" i="86" a="1"/>
  <c r="T108" i="86" s="1"/>
  <c r="S108" i="86" a="1"/>
  <c r="S108" i="86" s="1"/>
  <c r="R108" i="86" a="1"/>
  <c r="R108" i="86" s="1"/>
  <c r="Q108" i="86" a="1"/>
  <c r="Q108" i="86" s="1"/>
  <c r="P108" i="86" a="1"/>
  <c r="P108" i="86" s="1"/>
  <c r="O108" i="86" a="1"/>
  <c r="O108" i="86" s="1"/>
  <c r="N108" i="86" a="1"/>
  <c r="N108" i="86" s="1"/>
  <c r="M108" i="86" a="1"/>
  <c r="M108" i="86" s="1"/>
  <c r="L108" i="86" a="1"/>
  <c r="L108" i="86" s="1"/>
  <c r="K108" i="86" a="1"/>
  <c r="K108" i="86" s="1"/>
  <c r="J108" i="86" a="1"/>
  <c r="J108" i="86" s="1"/>
  <c r="I108" i="86" a="1"/>
  <c r="I108" i="86" s="1"/>
  <c r="H108" i="86" a="1"/>
  <c r="H108" i="86" s="1"/>
  <c r="G108" i="86" a="1"/>
  <c r="G108" i="86" s="1"/>
  <c r="F108" i="86" a="1"/>
  <c r="F108" i="86" s="1"/>
  <c r="E108" i="86" a="1"/>
  <c r="E108" i="86" s="1"/>
  <c r="D108" i="86" a="1"/>
  <c r="D108" i="86" s="1"/>
  <c r="AE107" i="86" a="1"/>
  <c r="AE107" i="86" s="1"/>
  <c r="AD107" i="86" a="1"/>
  <c r="AD107" i="86" s="1"/>
  <c r="AC107" i="86" a="1"/>
  <c r="AC107" i="86" s="1"/>
  <c r="AB107" i="86" a="1"/>
  <c r="AB107" i="86" s="1"/>
  <c r="AA107" i="86" a="1"/>
  <c r="AA107" i="86" s="1"/>
  <c r="Z107" i="86" a="1"/>
  <c r="Z107" i="86" s="1"/>
  <c r="Y107" i="86" a="1"/>
  <c r="Y107" i="86" s="1"/>
  <c r="X107" i="86" a="1"/>
  <c r="X107" i="86" s="1"/>
  <c r="W107" i="86" a="1"/>
  <c r="W107" i="86" s="1"/>
  <c r="V107" i="86" a="1"/>
  <c r="V107" i="86" s="1"/>
  <c r="U107" i="86" a="1"/>
  <c r="U107" i="86" s="1"/>
  <c r="T107" i="86" a="1"/>
  <c r="T107" i="86" s="1"/>
  <c r="S107" i="86" a="1"/>
  <c r="S107" i="86" s="1"/>
  <c r="R107" i="86" a="1"/>
  <c r="R107" i="86" s="1"/>
  <c r="Q107" i="86" a="1"/>
  <c r="Q107" i="86" s="1"/>
  <c r="P107" i="86" a="1"/>
  <c r="P107" i="86" s="1"/>
  <c r="O107" i="86" a="1"/>
  <c r="O107" i="86" s="1"/>
  <c r="N107" i="86" a="1"/>
  <c r="N107" i="86" s="1"/>
  <c r="M107" i="86" a="1"/>
  <c r="M107" i="86" s="1"/>
  <c r="L107" i="86" a="1"/>
  <c r="L107" i="86" s="1"/>
  <c r="K107" i="86" a="1"/>
  <c r="K107" i="86" s="1"/>
  <c r="J107" i="86" a="1"/>
  <c r="J107" i="86" s="1"/>
  <c r="I107" i="86" a="1"/>
  <c r="I107" i="86" s="1"/>
  <c r="H107" i="86" a="1"/>
  <c r="H107" i="86" s="1"/>
  <c r="G107" i="86" a="1"/>
  <c r="G107" i="86" s="1"/>
  <c r="F107" i="86" a="1"/>
  <c r="F107" i="86" s="1"/>
  <c r="E107" i="86" a="1"/>
  <c r="E107" i="86" s="1"/>
  <c r="D107" i="86" a="1"/>
  <c r="D107" i="86" s="1"/>
  <c r="AE106" i="86" a="1"/>
  <c r="AE106" i="86" s="1"/>
  <c r="AD106" i="86" a="1"/>
  <c r="AD106" i="86" s="1"/>
  <c r="AC106" i="86" a="1"/>
  <c r="AC106" i="86" s="1"/>
  <c r="AB106" i="86" a="1"/>
  <c r="AB106" i="86" s="1"/>
  <c r="AA106" i="86" a="1"/>
  <c r="AA106" i="86" s="1"/>
  <c r="Z106" i="86" a="1"/>
  <c r="Z106" i="86" s="1"/>
  <c r="Y106" i="86" a="1"/>
  <c r="Y106" i="86" s="1"/>
  <c r="X106" i="86" a="1"/>
  <c r="X106" i="86" s="1"/>
  <c r="W106" i="86" a="1"/>
  <c r="W106" i="86" s="1"/>
  <c r="V106" i="86" a="1"/>
  <c r="V106" i="86" s="1"/>
  <c r="U106" i="86" a="1"/>
  <c r="U106" i="86" s="1"/>
  <c r="T106" i="86" a="1"/>
  <c r="T106" i="86" s="1"/>
  <c r="S106" i="86" a="1"/>
  <c r="S106" i="86" s="1"/>
  <c r="R106" i="86" a="1"/>
  <c r="R106" i="86" s="1"/>
  <c r="Q106" i="86" a="1"/>
  <c r="Q106" i="86" s="1"/>
  <c r="P106" i="86" a="1"/>
  <c r="P106" i="86" s="1"/>
  <c r="O106" i="86" a="1"/>
  <c r="O106" i="86" s="1"/>
  <c r="N106" i="86" a="1"/>
  <c r="N106" i="86" s="1"/>
  <c r="M106" i="86" a="1"/>
  <c r="M106" i="86" s="1"/>
  <c r="L106" i="86" a="1"/>
  <c r="L106" i="86" s="1"/>
  <c r="K106" i="86" a="1"/>
  <c r="K106" i="86" s="1"/>
  <c r="J106" i="86" a="1"/>
  <c r="J106" i="86" s="1"/>
  <c r="I106" i="86" a="1"/>
  <c r="I106" i="86" s="1"/>
  <c r="H106" i="86" a="1"/>
  <c r="H106" i="86" s="1"/>
  <c r="G106" i="86" a="1"/>
  <c r="G106" i="86" s="1"/>
  <c r="F106" i="86" a="1"/>
  <c r="F106" i="86" s="1"/>
  <c r="E106" i="86" a="1"/>
  <c r="E106" i="86" s="1"/>
  <c r="D106" i="86" a="1"/>
  <c r="D106" i="86" s="1"/>
  <c r="AE105" i="86" a="1"/>
  <c r="AE105" i="86" s="1"/>
  <c r="AD105" i="86" a="1"/>
  <c r="AD105" i="86" s="1"/>
  <c r="AC105" i="86" a="1"/>
  <c r="AC105" i="86" s="1"/>
  <c r="AB105" i="86" a="1"/>
  <c r="AB105" i="86" s="1"/>
  <c r="AA105" i="86" a="1"/>
  <c r="AA105" i="86" s="1"/>
  <c r="Z105" i="86" a="1"/>
  <c r="Z105" i="86" s="1"/>
  <c r="Y105" i="86" a="1"/>
  <c r="Y105" i="86" s="1"/>
  <c r="X105" i="86" a="1"/>
  <c r="X105" i="86" s="1"/>
  <c r="W105" i="86" a="1"/>
  <c r="W105" i="86" s="1"/>
  <c r="V105" i="86" a="1"/>
  <c r="V105" i="86" s="1"/>
  <c r="U105" i="86" a="1"/>
  <c r="U105" i="86" s="1"/>
  <c r="T105" i="86" a="1"/>
  <c r="T105" i="86" s="1"/>
  <c r="S105" i="86" a="1"/>
  <c r="S105" i="86" s="1"/>
  <c r="R105" i="86" a="1"/>
  <c r="R105" i="86" s="1"/>
  <c r="Q105" i="86" a="1"/>
  <c r="Q105" i="86" s="1"/>
  <c r="P105" i="86" a="1"/>
  <c r="P105" i="86" s="1"/>
  <c r="O105" i="86" a="1"/>
  <c r="O105" i="86" s="1"/>
  <c r="N105" i="86" a="1"/>
  <c r="N105" i="86" s="1"/>
  <c r="M105" i="86" a="1"/>
  <c r="M105" i="86" s="1"/>
  <c r="L105" i="86" a="1"/>
  <c r="L105" i="86" s="1"/>
  <c r="K105" i="86" a="1"/>
  <c r="K105" i="86" s="1"/>
  <c r="J105" i="86" a="1"/>
  <c r="J105" i="86" s="1"/>
  <c r="I105" i="86" a="1"/>
  <c r="I105" i="86" s="1"/>
  <c r="H105" i="86" a="1"/>
  <c r="H105" i="86" s="1"/>
  <c r="G105" i="86" a="1"/>
  <c r="G105" i="86" s="1"/>
  <c r="F105" i="86" a="1"/>
  <c r="F105" i="86" s="1"/>
  <c r="E105" i="86" a="1"/>
  <c r="E105" i="86" s="1"/>
  <c r="D105" i="86" a="1"/>
  <c r="D105" i="86" s="1"/>
  <c r="AE104" i="86" a="1"/>
  <c r="AE104" i="86" s="1"/>
  <c r="AD104" i="86" a="1"/>
  <c r="AD104" i="86" s="1"/>
  <c r="AC104" i="86" a="1"/>
  <c r="AC104" i="86" s="1"/>
  <c r="AB104" i="86" a="1"/>
  <c r="AB104" i="86" s="1"/>
  <c r="AA104" i="86" a="1"/>
  <c r="AA104" i="86" s="1"/>
  <c r="Z104" i="86" a="1"/>
  <c r="Z104" i="86" s="1"/>
  <c r="Y104" i="86" a="1"/>
  <c r="Y104" i="86" s="1"/>
  <c r="X104" i="86" a="1"/>
  <c r="X104" i="86" s="1"/>
  <c r="W104" i="86" a="1"/>
  <c r="W104" i="86" s="1"/>
  <c r="V104" i="86" a="1"/>
  <c r="V104" i="86" s="1"/>
  <c r="U104" i="86" a="1"/>
  <c r="U104" i="86" s="1"/>
  <c r="T104" i="86" a="1"/>
  <c r="T104" i="86" s="1"/>
  <c r="S104" i="86" a="1"/>
  <c r="S104" i="86" s="1"/>
  <c r="R104" i="86" a="1"/>
  <c r="R104" i="86" s="1"/>
  <c r="Q104" i="86" a="1"/>
  <c r="Q104" i="86" s="1"/>
  <c r="P104" i="86" a="1"/>
  <c r="P104" i="86" s="1"/>
  <c r="O104" i="86" a="1"/>
  <c r="O104" i="86" s="1"/>
  <c r="N104" i="86" a="1"/>
  <c r="N104" i="86" s="1"/>
  <c r="M104" i="86" a="1"/>
  <c r="M104" i="86" s="1"/>
  <c r="L104" i="86" a="1"/>
  <c r="L104" i="86" s="1"/>
  <c r="K104" i="86" a="1"/>
  <c r="K104" i="86" s="1"/>
  <c r="J104" i="86" a="1"/>
  <c r="J104" i="86" s="1"/>
  <c r="I104" i="86" a="1"/>
  <c r="I104" i="86" s="1"/>
  <c r="H104" i="86" a="1"/>
  <c r="H104" i="86" s="1"/>
  <c r="G104" i="86" a="1"/>
  <c r="G104" i="86" s="1"/>
  <c r="F104" i="86" a="1"/>
  <c r="F104" i="86" s="1"/>
  <c r="E104" i="86" a="1"/>
  <c r="E104" i="86" s="1"/>
  <c r="D104" i="86" a="1"/>
  <c r="D104" i="86" s="1"/>
  <c r="AE103" i="86" a="1"/>
  <c r="AE103" i="86" s="1"/>
  <c r="AD103" i="86" a="1"/>
  <c r="AD103" i="86" s="1"/>
  <c r="AC103" i="86" a="1"/>
  <c r="AC103" i="86" s="1"/>
  <c r="AB103" i="86" a="1"/>
  <c r="AB103" i="86" s="1"/>
  <c r="AA103" i="86" a="1"/>
  <c r="AA103" i="86" s="1"/>
  <c r="Z103" i="86" a="1"/>
  <c r="Z103" i="86" s="1"/>
  <c r="Y103" i="86" a="1"/>
  <c r="Y103" i="86" s="1"/>
  <c r="X103" i="86" a="1"/>
  <c r="X103" i="86" s="1"/>
  <c r="W103" i="86" a="1"/>
  <c r="W103" i="86" s="1"/>
  <c r="V103" i="86" a="1"/>
  <c r="V103" i="86" s="1"/>
  <c r="U103" i="86" a="1"/>
  <c r="U103" i="86" s="1"/>
  <c r="T103" i="86" a="1"/>
  <c r="T103" i="86" s="1"/>
  <c r="S103" i="86" a="1"/>
  <c r="S103" i="86" s="1"/>
  <c r="R103" i="86" a="1"/>
  <c r="R103" i="86" s="1"/>
  <c r="Q103" i="86" a="1"/>
  <c r="Q103" i="86" s="1"/>
  <c r="P103" i="86" a="1"/>
  <c r="P103" i="86" s="1"/>
  <c r="O103" i="86" a="1"/>
  <c r="O103" i="86" s="1"/>
  <c r="N103" i="86" a="1"/>
  <c r="N103" i="86" s="1"/>
  <c r="M103" i="86" a="1"/>
  <c r="M103" i="86" s="1"/>
  <c r="L103" i="86" a="1"/>
  <c r="L103" i="86" s="1"/>
  <c r="K103" i="86" a="1"/>
  <c r="K103" i="86" s="1"/>
  <c r="J103" i="86" a="1"/>
  <c r="J103" i="86" s="1"/>
  <c r="I103" i="86" a="1"/>
  <c r="I103" i="86" s="1"/>
  <c r="H103" i="86" a="1"/>
  <c r="H103" i="86" s="1"/>
  <c r="G103" i="86" a="1"/>
  <c r="G103" i="86" s="1"/>
  <c r="F103" i="86" a="1"/>
  <c r="F103" i="86" s="1"/>
  <c r="E103" i="86" a="1"/>
  <c r="E103" i="86" s="1"/>
  <c r="D103" i="86" a="1"/>
  <c r="D103" i="86" s="1"/>
  <c r="AE102" i="86" a="1"/>
  <c r="AE102" i="86" s="1"/>
  <c r="AD102" i="86" a="1"/>
  <c r="AD102" i="86" s="1"/>
  <c r="AC102" i="86" a="1"/>
  <c r="AC102" i="86" s="1"/>
  <c r="AB102" i="86" a="1"/>
  <c r="AB102" i="86" s="1"/>
  <c r="AA102" i="86" a="1"/>
  <c r="AA102" i="86" s="1"/>
  <c r="Z102" i="86" a="1"/>
  <c r="Z102" i="86" s="1"/>
  <c r="Y102" i="86" a="1"/>
  <c r="Y102" i="86" s="1"/>
  <c r="X102" i="86" a="1"/>
  <c r="X102" i="86" s="1"/>
  <c r="W102" i="86" a="1"/>
  <c r="W102" i="86" s="1"/>
  <c r="V102" i="86" a="1"/>
  <c r="V102" i="86" s="1"/>
  <c r="U102" i="86" a="1"/>
  <c r="U102" i="86" s="1"/>
  <c r="T102" i="86" a="1"/>
  <c r="T102" i="86" s="1"/>
  <c r="S102" i="86" a="1"/>
  <c r="S102" i="86" s="1"/>
  <c r="R102" i="86" a="1"/>
  <c r="R102" i="86" s="1"/>
  <c r="Q102" i="86" a="1"/>
  <c r="Q102" i="86" s="1"/>
  <c r="P102" i="86" a="1"/>
  <c r="P102" i="86" s="1"/>
  <c r="O102" i="86" a="1"/>
  <c r="O102" i="86" s="1"/>
  <c r="N102" i="86" a="1"/>
  <c r="N102" i="86" s="1"/>
  <c r="M102" i="86" a="1"/>
  <c r="M102" i="86" s="1"/>
  <c r="L102" i="86" a="1"/>
  <c r="L102" i="86" s="1"/>
  <c r="K102" i="86" a="1"/>
  <c r="K102" i="86" s="1"/>
  <c r="J102" i="86" a="1"/>
  <c r="J102" i="86" s="1"/>
  <c r="I102" i="86" a="1"/>
  <c r="I102" i="86" s="1"/>
  <c r="H102" i="86" a="1"/>
  <c r="H102" i="86" s="1"/>
  <c r="G102" i="86" a="1"/>
  <c r="G102" i="86" s="1"/>
  <c r="F102" i="86" a="1"/>
  <c r="F102" i="86" s="1"/>
  <c r="E102" i="86" a="1"/>
  <c r="E102" i="86" s="1"/>
  <c r="D102" i="86" a="1"/>
  <c r="D102" i="86" s="1"/>
  <c r="AE101" i="86" a="1"/>
  <c r="AE101" i="86" s="1"/>
  <c r="AD101" i="86" a="1"/>
  <c r="AD101" i="86" s="1"/>
  <c r="AC101" i="86" a="1"/>
  <c r="AC101" i="86" s="1"/>
  <c r="AB101" i="86" a="1"/>
  <c r="AB101" i="86" s="1"/>
  <c r="AA101" i="86" a="1"/>
  <c r="AA101" i="86" s="1"/>
  <c r="Z101" i="86" a="1"/>
  <c r="Z101" i="86" s="1"/>
  <c r="Y101" i="86" a="1"/>
  <c r="Y101" i="86" s="1"/>
  <c r="X101" i="86" a="1"/>
  <c r="X101" i="86" s="1"/>
  <c r="W101" i="86" a="1"/>
  <c r="W101" i="86" s="1"/>
  <c r="V101" i="86" a="1"/>
  <c r="V101" i="86" s="1"/>
  <c r="U101" i="86" a="1"/>
  <c r="U101" i="86" s="1"/>
  <c r="T101" i="86" a="1"/>
  <c r="T101" i="86" s="1"/>
  <c r="S101" i="86" a="1"/>
  <c r="S101" i="86" s="1"/>
  <c r="R101" i="86" a="1"/>
  <c r="R101" i="86" s="1"/>
  <c r="Q101" i="86" a="1"/>
  <c r="Q101" i="86" s="1"/>
  <c r="P101" i="86" a="1"/>
  <c r="P101" i="86" s="1"/>
  <c r="O101" i="86" a="1"/>
  <c r="O101" i="86" s="1"/>
  <c r="N101" i="86" a="1"/>
  <c r="N101" i="86" s="1"/>
  <c r="M101" i="86" a="1"/>
  <c r="M101" i="86" s="1"/>
  <c r="L101" i="86" a="1"/>
  <c r="L101" i="86" s="1"/>
  <c r="K101" i="86" a="1"/>
  <c r="K101" i="86" s="1"/>
  <c r="J101" i="86" a="1"/>
  <c r="J101" i="86" s="1"/>
  <c r="I101" i="86" a="1"/>
  <c r="I101" i="86" s="1"/>
  <c r="H101" i="86" a="1"/>
  <c r="H101" i="86" s="1"/>
  <c r="G101" i="86" a="1"/>
  <c r="G101" i="86" s="1"/>
  <c r="F101" i="86" a="1"/>
  <c r="F101" i="86" s="1"/>
  <c r="E101" i="86" a="1"/>
  <c r="E101" i="86" s="1"/>
  <c r="D101" i="86" a="1"/>
  <c r="D101" i="86" s="1"/>
  <c r="AE100" i="86" a="1"/>
  <c r="AE100" i="86" s="1"/>
  <c r="AD100" i="86" a="1"/>
  <c r="AD100" i="86" s="1"/>
  <c r="AC100" i="86" a="1"/>
  <c r="AC100" i="86" s="1"/>
  <c r="AB100" i="86" a="1"/>
  <c r="AB100" i="86" s="1"/>
  <c r="AA100" i="86" a="1"/>
  <c r="AA100" i="86" s="1"/>
  <c r="Z100" i="86" a="1"/>
  <c r="Z100" i="86" s="1"/>
  <c r="Y100" i="86" a="1"/>
  <c r="Y100" i="86" s="1"/>
  <c r="X100" i="86" a="1"/>
  <c r="X100" i="86" s="1"/>
  <c r="W100" i="86" a="1"/>
  <c r="W100" i="86" s="1"/>
  <c r="V100" i="86" a="1"/>
  <c r="V100" i="86" s="1"/>
  <c r="U100" i="86" a="1"/>
  <c r="U100" i="86" s="1"/>
  <c r="T100" i="86" a="1"/>
  <c r="T100" i="86" s="1"/>
  <c r="S100" i="86" a="1"/>
  <c r="S100" i="86" s="1"/>
  <c r="R100" i="86" a="1"/>
  <c r="R100" i="86" s="1"/>
  <c r="Q100" i="86" a="1"/>
  <c r="Q100" i="86" s="1"/>
  <c r="P100" i="86" a="1"/>
  <c r="P100" i="86" s="1"/>
  <c r="O100" i="86" a="1"/>
  <c r="O100" i="86" s="1"/>
  <c r="N100" i="86" a="1"/>
  <c r="N100" i="86" s="1"/>
  <c r="M100" i="86" a="1"/>
  <c r="M100" i="86" s="1"/>
  <c r="L100" i="86" a="1"/>
  <c r="L100" i="86" s="1"/>
  <c r="K100" i="86" a="1"/>
  <c r="K100" i="86" s="1"/>
  <c r="J100" i="86" a="1"/>
  <c r="J100" i="86" s="1"/>
  <c r="I100" i="86" a="1"/>
  <c r="I100" i="86" s="1"/>
  <c r="H100" i="86" a="1"/>
  <c r="H100" i="86" s="1"/>
  <c r="G100" i="86" a="1"/>
  <c r="G100" i="86" s="1"/>
  <c r="F100" i="86" a="1"/>
  <c r="F100" i="86" s="1"/>
  <c r="E100" i="86" a="1"/>
  <c r="E100" i="86" s="1"/>
  <c r="D100" i="86" a="1"/>
  <c r="D100" i="86" s="1"/>
  <c r="AE99" i="86" a="1"/>
  <c r="AE99" i="86" s="1"/>
  <c r="AD99" i="86" a="1"/>
  <c r="AD99" i="86" s="1"/>
  <c r="AC99" i="86" a="1"/>
  <c r="AC99" i="86" s="1"/>
  <c r="AB99" i="86" a="1"/>
  <c r="AB99" i="86" s="1"/>
  <c r="AA99" i="86" a="1"/>
  <c r="AA99" i="86" s="1"/>
  <c r="Z99" i="86" a="1"/>
  <c r="Z99" i="86" s="1"/>
  <c r="Y99" i="86" a="1"/>
  <c r="Y99" i="86" s="1"/>
  <c r="X99" i="86" a="1"/>
  <c r="X99" i="86" s="1"/>
  <c r="W99" i="86" a="1"/>
  <c r="W99" i="86" s="1"/>
  <c r="V99" i="86" a="1"/>
  <c r="V99" i="86" s="1"/>
  <c r="U99" i="86" a="1"/>
  <c r="U99" i="86" s="1"/>
  <c r="T99" i="86" a="1"/>
  <c r="T99" i="86" s="1"/>
  <c r="S99" i="86" a="1"/>
  <c r="S99" i="86" s="1"/>
  <c r="R99" i="86" a="1"/>
  <c r="R99" i="86" s="1"/>
  <c r="Q99" i="86" a="1"/>
  <c r="Q99" i="86" s="1"/>
  <c r="P99" i="86" a="1"/>
  <c r="P99" i="86" s="1"/>
  <c r="O99" i="86" a="1"/>
  <c r="O99" i="86" s="1"/>
  <c r="N99" i="86" a="1"/>
  <c r="N99" i="86" s="1"/>
  <c r="M99" i="86" a="1"/>
  <c r="M99" i="86" s="1"/>
  <c r="L99" i="86" a="1"/>
  <c r="L99" i="86" s="1"/>
  <c r="K99" i="86" a="1"/>
  <c r="K99" i="86" s="1"/>
  <c r="J99" i="86" a="1"/>
  <c r="J99" i="86" s="1"/>
  <c r="I99" i="86" a="1"/>
  <c r="I99" i="86" s="1"/>
  <c r="H99" i="86" a="1"/>
  <c r="H99" i="86" s="1"/>
  <c r="G99" i="86" a="1"/>
  <c r="G99" i="86" s="1"/>
  <c r="F99" i="86" a="1"/>
  <c r="F99" i="86" s="1"/>
  <c r="E99" i="86" a="1"/>
  <c r="E99" i="86" s="1"/>
  <c r="D99" i="86" a="1"/>
  <c r="D99" i="86" s="1"/>
  <c r="AE98" i="86" a="1"/>
  <c r="AE98" i="86" s="1"/>
  <c r="AD98" i="86" a="1"/>
  <c r="AD98" i="86" s="1"/>
  <c r="AC98" i="86" a="1"/>
  <c r="AC98" i="86" s="1"/>
  <c r="AB98" i="86" a="1"/>
  <c r="AB98" i="86" s="1"/>
  <c r="AA98" i="86" a="1"/>
  <c r="AA98" i="86" s="1"/>
  <c r="Z98" i="86" a="1"/>
  <c r="Z98" i="86" s="1"/>
  <c r="Y98" i="86" a="1"/>
  <c r="Y98" i="86" s="1"/>
  <c r="X98" i="86" a="1"/>
  <c r="X98" i="86" s="1"/>
  <c r="W98" i="86" a="1"/>
  <c r="W98" i="86" s="1"/>
  <c r="V98" i="86" a="1"/>
  <c r="V98" i="86" s="1"/>
  <c r="U98" i="86" a="1"/>
  <c r="U98" i="86" s="1"/>
  <c r="T98" i="86" a="1"/>
  <c r="T98" i="86" s="1"/>
  <c r="S98" i="86" a="1"/>
  <c r="S98" i="86" s="1"/>
  <c r="R98" i="86" a="1"/>
  <c r="R98" i="86" s="1"/>
  <c r="Q98" i="86" a="1"/>
  <c r="Q98" i="86" s="1"/>
  <c r="P98" i="86" a="1"/>
  <c r="P98" i="86" s="1"/>
  <c r="O98" i="86" a="1"/>
  <c r="O98" i="86" s="1"/>
  <c r="N98" i="86" a="1"/>
  <c r="N98" i="86" s="1"/>
  <c r="M98" i="86" a="1"/>
  <c r="M98" i="86" s="1"/>
  <c r="L98" i="86" a="1"/>
  <c r="L98" i="86" s="1"/>
  <c r="K98" i="86" a="1"/>
  <c r="K98" i="86" s="1"/>
  <c r="J98" i="86" a="1"/>
  <c r="J98" i="86" s="1"/>
  <c r="I98" i="86" a="1"/>
  <c r="I98" i="86" s="1"/>
  <c r="H98" i="86" a="1"/>
  <c r="H98" i="86" s="1"/>
  <c r="G98" i="86" a="1"/>
  <c r="G98" i="86" s="1"/>
  <c r="F98" i="86" a="1"/>
  <c r="F98" i="86" s="1"/>
  <c r="E98" i="86" a="1"/>
  <c r="E98" i="86" s="1"/>
  <c r="D98" i="86" a="1"/>
  <c r="D98" i="86" s="1"/>
  <c r="AE97" i="86" a="1"/>
  <c r="AE97" i="86" s="1"/>
  <c r="AD97" i="86" a="1"/>
  <c r="AD97" i="86" s="1"/>
  <c r="AC97" i="86" a="1"/>
  <c r="AC97" i="86" s="1"/>
  <c r="AB97" i="86" a="1"/>
  <c r="AB97" i="86" s="1"/>
  <c r="AA97" i="86" a="1"/>
  <c r="AA97" i="86" s="1"/>
  <c r="Z97" i="86" a="1"/>
  <c r="Z97" i="86" s="1"/>
  <c r="Y97" i="86" a="1"/>
  <c r="Y97" i="86" s="1"/>
  <c r="X97" i="86" a="1"/>
  <c r="X97" i="86" s="1"/>
  <c r="W97" i="86" a="1"/>
  <c r="W97" i="86" s="1"/>
  <c r="V97" i="86" a="1"/>
  <c r="V97" i="86" s="1"/>
  <c r="U97" i="86" a="1"/>
  <c r="U97" i="86" s="1"/>
  <c r="T97" i="86" a="1"/>
  <c r="T97" i="86" s="1"/>
  <c r="S97" i="86" a="1"/>
  <c r="S97" i="86" s="1"/>
  <c r="R97" i="86" a="1"/>
  <c r="R97" i="86" s="1"/>
  <c r="Q97" i="86" a="1"/>
  <c r="Q97" i="86" s="1"/>
  <c r="P97" i="86" a="1"/>
  <c r="P97" i="86" s="1"/>
  <c r="O97" i="86" a="1"/>
  <c r="O97" i="86" s="1"/>
  <c r="N97" i="86" a="1"/>
  <c r="N97" i="86" s="1"/>
  <c r="M97" i="86" a="1"/>
  <c r="M97" i="86" s="1"/>
  <c r="L97" i="86" a="1"/>
  <c r="L97" i="86" s="1"/>
  <c r="K97" i="86" a="1"/>
  <c r="K97" i="86" s="1"/>
  <c r="J97" i="86" a="1"/>
  <c r="J97" i="86" s="1"/>
  <c r="I97" i="86" a="1"/>
  <c r="I97" i="86" s="1"/>
  <c r="H97" i="86" a="1"/>
  <c r="H97" i="86" s="1"/>
  <c r="G97" i="86" a="1"/>
  <c r="G97" i="86" s="1"/>
  <c r="F97" i="86" a="1"/>
  <c r="F97" i="86" s="1"/>
  <c r="E97" i="86" a="1"/>
  <c r="E97" i="86" s="1"/>
  <c r="D97" i="86" a="1"/>
  <c r="D97" i="86" s="1"/>
  <c r="AE96" i="86" a="1"/>
  <c r="AE96" i="86" s="1"/>
  <c r="AD96" i="86" a="1"/>
  <c r="AD96" i="86" s="1"/>
  <c r="AC96" i="86" a="1"/>
  <c r="AC96" i="86" s="1"/>
  <c r="AB96" i="86" a="1"/>
  <c r="AB96" i="86" s="1"/>
  <c r="AA96" i="86" a="1"/>
  <c r="AA96" i="86" s="1"/>
  <c r="Z96" i="86" a="1"/>
  <c r="Z96" i="86" s="1"/>
  <c r="Y96" i="86" a="1"/>
  <c r="Y96" i="86" s="1"/>
  <c r="X96" i="86" a="1"/>
  <c r="X96" i="86" s="1"/>
  <c r="W96" i="86" a="1"/>
  <c r="W96" i="86" s="1"/>
  <c r="V96" i="86" a="1"/>
  <c r="V96" i="86" s="1"/>
  <c r="U96" i="86" a="1"/>
  <c r="U96" i="86" s="1"/>
  <c r="T96" i="86" a="1"/>
  <c r="T96" i="86" s="1"/>
  <c r="S96" i="86" a="1"/>
  <c r="S96" i="86" s="1"/>
  <c r="R96" i="86" a="1"/>
  <c r="R96" i="86" s="1"/>
  <c r="Q96" i="86" a="1"/>
  <c r="Q96" i="86" s="1"/>
  <c r="P96" i="86" a="1"/>
  <c r="P96" i="86" s="1"/>
  <c r="O96" i="86" a="1"/>
  <c r="O96" i="86" s="1"/>
  <c r="N96" i="86" a="1"/>
  <c r="N96" i="86" s="1"/>
  <c r="M96" i="86" a="1"/>
  <c r="M96" i="86" s="1"/>
  <c r="L96" i="86" a="1"/>
  <c r="L96" i="86" s="1"/>
  <c r="K96" i="86" a="1"/>
  <c r="K96" i="86" s="1"/>
  <c r="J96" i="86" a="1"/>
  <c r="J96" i="86" s="1"/>
  <c r="I96" i="86" a="1"/>
  <c r="I96" i="86" s="1"/>
  <c r="H96" i="86" a="1"/>
  <c r="H96" i="86" s="1"/>
  <c r="G96" i="86" a="1"/>
  <c r="G96" i="86" s="1"/>
  <c r="F96" i="86" a="1"/>
  <c r="F96" i="86" s="1"/>
  <c r="E96" i="86" a="1"/>
  <c r="E96" i="86" s="1"/>
  <c r="D96" i="86" a="1"/>
  <c r="D96" i="86" s="1"/>
  <c r="AE95" i="86" a="1"/>
  <c r="AE95" i="86" s="1"/>
  <c r="AD95" i="86" a="1"/>
  <c r="AD95" i="86" s="1"/>
  <c r="AC95" i="86" a="1"/>
  <c r="AC95" i="86" s="1"/>
  <c r="AB95" i="86" a="1"/>
  <c r="AB95" i="86" s="1"/>
  <c r="AA95" i="86" a="1"/>
  <c r="AA95" i="86" s="1"/>
  <c r="Z95" i="86" a="1"/>
  <c r="Z95" i="86" s="1"/>
  <c r="Y95" i="86" a="1"/>
  <c r="Y95" i="86" s="1"/>
  <c r="X95" i="86" a="1"/>
  <c r="X95" i="86" s="1"/>
  <c r="W95" i="86" a="1"/>
  <c r="W95" i="86" s="1"/>
  <c r="V95" i="86" a="1"/>
  <c r="V95" i="86" s="1"/>
  <c r="U95" i="86" a="1"/>
  <c r="U95" i="86" s="1"/>
  <c r="T95" i="86" a="1"/>
  <c r="T95" i="86" s="1"/>
  <c r="S95" i="86" a="1"/>
  <c r="S95" i="86" s="1"/>
  <c r="R95" i="86" a="1"/>
  <c r="R95" i="86" s="1"/>
  <c r="Q95" i="86" a="1"/>
  <c r="Q95" i="86" s="1"/>
  <c r="P95" i="86" a="1"/>
  <c r="P95" i="86" s="1"/>
  <c r="O95" i="86" a="1"/>
  <c r="O95" i="86" s="1"/>
  <c r="N95" i="86" a="1"/>
  <c r="N95" i="86" s="1"/>
  <c r="M95" i="86" a="1"/>
  <c r="M95" i="86" s="1"/>
  <c r="L95" i="86" a="1"/>
  <c r="L95" i="86" s="1"/>
  <c r="K95" i="86" a="1"/>
  <c r="K95" i="86" s="1"/>
  <c r="J95" i="86" a="1"/>
  <c r="J95" i="86" s="1"/>
  <c r="I95" i="86" a="1"/>
  <c r="I95" i="86" s="1"/>
  <c r="H95" i="86" a="1"/>
  <c r="H95" i="86" s="1"/>
  <c r="G95" i="86" a="1"/>
  <c r="G95" i="86" s="1"/>
  <c r="F95" i="86" a="1"/>
  <c r="F95" i="86" s="1"/>
  <c r="E95" i="86" a="1"/>
  <c r="E95" i="86" s="1"/>
  <c r="D95" i="86" a="1"/>
  <c r="D95" i="86" s="1"/>
  <c r="AE94" i="86" a="1"/>
  <c r="AE94" i="86" s="1"/>
  <c r="AD94" i="86" a="1"/>
  <c r="AD94" i="86" s="1"/>
  <c r="AC94" i="86" a="1"/>
  <c r="AC94" i="86" s="1"/>
  <c r="AB94" i="86" a="1"/>
  <c r="AB94" i="86" s="1"/>
  <c r="AA94" i="86" a="1"/>
  <c r="AA94" i="86" s="1"/>
  <c r="Z94" i="86" a="1"/>
  <c r="Z94" i="86" s="1"/>
  <c r="Y94" i="86" a="1"/>
  <c r="Y94" i="86" s="1"/>
  <c r="X94" i="86" a="1"/>
  <c r="X94" i="86" s="1"/>
  <c r="W94" i="86" a="1"/>
  <c r="W94" i="86" s="1"/>
  <c r="V94" i="86" a="1"/>
  <c r="V94" i="86" s="1"/>
  <c r="U94" i="86" a="1"/>
  <c r="U94" i="86" s="1"/>
  <c r="T94" i="86" a="1"/>
  <c r="T94" i="86" s="1"/>
  <c r="S94" i="86" a="1"/>
  <c r="S94" i="86" s="1"/>
  <c r="R94" i="86" a="1"/>
  <c r="R94" i="86" s="1"/>
  <c r="Q94" i="86" a="1"/>
  <c r="Q94" i="86" s="1"/>
  <c r="P94" i="86" a="1"/>
  <c r="P94" i="86" s="1"/>
  <c r="O94" i="86" a="1"/>
  <c r="O94" i="86" s="1"/>
  <c r="N94" i="86" a="1"/>
  <c r="N94" i="86" s="1"/>
  <c r="M94" i="86" a="1"/>
  <c r="M94" i="86" s="1"/>
  <c r="L94" i="86" a="1"/>
  <c r="L94" i="86" s="1"/>
  <c r="K94" i="86" a="1"/>
  <c r="K94" i="86" s="1"/>
  <c r="J94" i="86" a="1"/>
  <c r="J94" i="86" s="1"/>
  <c r="I94" i="86" a="1"/>
  <c r="I94" i="86" s="1"/>
  <c r="H94" i="86" a="1"/>
  <c r="H94" i="86" s="1"/>
  <c r="G94" i="86" a="1"/>
  <c r="G94" i="86" s="1"/>
  <c r="F94" i="86" a="1"/>
  <c r="F94" i="86" s="1"/>
  <c r="E94" i="86" a="1"/>
  <c r="E94" i="86" s="1"/>
  <c r="D94" i="86" a="1"/>
  <c r="D94" i="86" s="1"/>
  <c r="AE93" i="86" a="1"/>
  <c r="AE93" i="86" s="1"/>
  <c r="AD93" i="86" a="1"/>
  <c r="AD93" i="86" s="1"/>
  <c r="AC93" i="86" a="1"/>
  <c r="AC93" i="86" s="1"/>
  <c r="AB93" i="86" a="1"/>
  <c r="AB93" i="86" s="1"/>
  <c r="AA93" i="86" a="1"/>
  <c r="AA93" i="86" s="1"/>
  <c r="Z93" i="86" a="1"/>
  <c r="Z93" i="86" s="1"/>
  <c r="Y93" i="86" a="1"/>
  <c r="Y93" i="86" s="1"/>
  <c r="X93" i="86" a="1"/>
  <c r="X93" i="86" s="1"/>
  <c r="W93" i="86" a="1"/>
  <c r="W93" i="86" s="1"/>
  <c r="V93" i="86" a="1"/>
  <c r="V93" i="86" s="1"/>
  <c r="U93" i="86" a="1"/>
  <c r="U93" i="86" s="1"/>
  <c r="T93" i="86" a="1"/>
  <c r="T93" i="86" s="1"/>
  <c r="S93" i="86" a="1"/>
  <c r="S93" i="86" s="1"/>
  <c r="R93" i="86" a="1"/>
  <c r="R93" i="86" s="1"/>
  <c r="Q93" i="86" a="1"/>
  <c r="Q93" i="86" s="1"/>
  <c r="P93" i="86" a="1"/>
  <c r="P93" i="86" s="1"/>
  <c r="O93" i="86" a="1"/>
  <c r="O93" i="86" s="1"/>
  <c r="N93" i="86" a="1"/>
  <c r="N93" i="86" s="1"/>
  <c r="M93" i="86" a="1"/>
  <c r="M93" i="86" s="1"/>
  <c r="L93" i="86" a="1"/>
  <c r="L93" i="86" s="1"/>
  <c r="K93" i="86" a="1"/>
  <c r="K93" i="86" s="1"/>
  <c r="J93" i="86" a="1"/>
  <c r="J93" i="86" s="1"/>
  <c r="I93" i="86" a="1"/>
  <c r="I93" i="86" s="1"/>
  <c r="H93" i="86" a="1"/>
  <c r="H93" i="86" s="1"/>
  <c r="G93" i="86" a="1"/>
  <c r="G93" i="86" s="1"/>
  <c r="F93" i="86" a="1"/>
  <c r="F93" i="86" s="1"/>
  <c r="E93" i="86" a="1"/>
  <c r="E93" i="86" s="1"/>
  <c r="D93" i="86" a="1"/>
  <c r="D93" i="86" s="1"/>
  <c r="AE92" i="86" a="1"/>
  <c r="AE92" i="86" s="1"/>
  <c r="AD92" i="86" a="1"/>
  <c r="AD92" i="86" s="1"/>
  <c r="AC92" i="86" a="1"/>
  <c r="AC92" i="86" s="1"/>
  <c r="AB92" i="86" a="1"/>
  <c r="AB92" i="86" s="1"/>
  <c r="AA92" i="86" a="1"/>
  <c r="AA92" i="86" s="1"/>
  <c r="Z92" i="86" a="1"/>
  <c r="Z92" i="86" s="1"/>
  <c r="Y92" i="86" a="1"/>
  <c r="Y92" i="86" s="1"/>
  <c r="X92" i="86" a="1"/>
  <c r="X92" i="86" s="1"/>
  <c r="W92" i="86" a="1"/>
  <c r="W92" i="86" s="1"/>
  <c r="V92" i="86" a="1"/>
  <c r="V92" i="86" s="1"/>
  <c r="U92" i="86" a="1"/>
  <c r="U92" i="86" s="1"/>
  <c r="T92" i="86" a="1"/>
  <c r="T92" i="86" s="1"/>
  <c r="S92" i="86" a="1"/>
  <c r="S92" i="86" s="1"/>
  <c r="R92" i="86" a="1"/>
  <c r="R92" i="86" s="1"/>
  <c r="Q92" i="86" a="1"/>
  <c r="Q92" i="86" s="1"/>
  <c r="P92" i="86" a="1"/>
  <c r="P92" i="86" s="1"/>
  <c r="O92" i="86" a="1"/>
  <c r="O92" i="86" s="1"/>
  <c r="N92" i="86" a="1"/>
  <c r="N92" i="86" s="1"/>
  <c r="M92" i="86" a="1"/>
  <c r="M92" i="86" s="1"/>
  <c r="L92" i="86" a="1"/>
  <c r="L92" i="86" s="1"/>
  <c r="K92" i="86" a="1"/>
  <c r="K92" i="86" s="1"/>
  <c r="J92" i="86" a="1"/>
  <c r="J92" i="86" s="1"/>
  <c r="I92" i="86" a="1"/>
  <c r="I92" i="86" s="1"/>
  <c r="H92" i="86" a="1"/>
  <c r="H92" i="86" s="1"/>
  <c r="G92" i="86" a="1"/>
  <c r="G92" i="86" s="1"/>
  <c r="F92" i="86" a="1"/>
  <c r="F92" i="86" s="1"/>
  <c r="E92" i="86" a="1"/>
  <c r="E92" i="86" s="1"/>
  <c r="D92" i="86" a="1"/>
  <c r="D92" i="86" s="1"/>
  <c r="AE91" i="86" a="1"/>
  <c r="AE91" i="86" s="1"/>
  <c r="AD91" i="86" a="1"/>
  <c r="AD91" i="86" s="1"/>
  <c r="AC91" i="86" a="1"/>
  <c r="AC91" i="86" s="1"/>
  <c r="AB91" i="86" a="1"/>
  <c r="AB91" i="86" s="1"/>
  <c r="AA91" i="86" a="1"/>
  <c r="AA91" i="86" s="1"/>
  <c r="Z91" i="86" a="1"/>
  <c r="Z91" i="86" s="1"/>
  <c r="Y91" i="86" a="1"/>
  <c r="Y91" i="86" s="1"/>
  <c r="X91" i="86" a="1"/>
  <c r="X91" i="86" s="1"/>
  <c r="W91" i="86" a="1"/>
  <c r="W91" i="86" s="1"/>
  <c r="V91" i="86" a="1"/>
  <c r="V91" i="86" s="1"/>
  <c r="U91" i="86" a="1"/>
  <c r="U91" i="86" s="1"/>
  <c r="T91" i="86" a="1"/>
  <c r="T91" i="86" s="1"/>
  <c r="S91" i="86" a="1"/>
  <c r="S91" i="86" s="1"/>
  <c r="R91" i="86" a="1"/>
  <c r="R91" i="86" s="1"/>
  <c r="Q91" i="86" a="1"/>
  <c r="Q91" i="86" s="1"/>
  <c r="P91" i="86" a="1"/>
  <c r="P91" i="86" s="1"/>
  <c r="O91" i="86" a="1"/>
  <c r="O91" i="86" s="1"/>
  <c r="N91" i="86" a="1"/>
  <c r="N91" i="86" s="1"/>
  <c r="M91" i="86" a="1"/>
  <c r="M91" i="86" s="1"/>
  <c r="L91" i="86" a="1"/>
  <c r="L91" i="86" s="1"/>
  <c r="K91" i="86" a="1"/>
  <c r="K91" i="86" s="1"/>
  <c r="J91" i="86" a="1"/>
  <c r="J91" i="86" s="1"/>
  <c r="I91" i="86" a="1"/>
  <c r="I91" i="86" s="1"/>
  <c r="H91" i="86" a="1"/>
  <c r="H91" i="86" s="1"/>
  <c r="G91" i="86" a="1"/>
  <c r="G91" i="86" s="1"/>
  <c r="F91" i="86" a="1"/>
  <c r="F91" i="86" s="1"/>
  <c r="E91" i="86" a="1"/>
  <c r="E91" i="86" s="1"/>
  <c r="D91" i="86" a="1"/>
  <c r="D91" i="86" s="1"/>
  <c r="AE90" i="86" a="1"/>
  <c r="AE90" i="86" s="1"/>
  <c r="AD90" i="86" a="1"/>
  <c r="AD90" i="86" s="1"/>
  <c r="AC90" i="86" a="1"/>
  <c r="AC90" i="86" s="1"/>
  <c r="AB90" i="86" a="1"/>
  <c r="AB90" i="86" s="1"/>
  <c r="AA90" i="86" a="1"/>
  <c r="AA90" i="86" s="1"/>
  <c r="Z90" i="86" a="1"/>
  <c r="Z90" i="86" s="1"/>
  <c r="Y90" i="86" a="1"/>
  <c r="Y90" i="86" s="1"/>
  <c r="X90" i="86" a="1"/>
  <c r="X90" i="86" s="1"/>
  <c r="W90" i="86" a="1"/>
  <c r="W90" i="86" s="1"/>
  <c r="V90" i="86" a="1"/>
  <c r="V90" i="86" s="1"/>
  <c r="U90" i="86" a="1"/>
  <c r="U90" i="86" s="1"/>
  <c r="T90" i="86" a="1"/>
  <c r="T90" i="86" s="1"/>
  <c r="S90" i="86" a="1"/>
  <c r="S90" i="86" s="1"/>
  <c r="R90" i="86" a="1"/>
  <c r="R90" i="86" s="1"/>
  <c r="Q90" i="86" a="1"/>
  <c r="Q90" i="86" s="1"/>
  <c r="P90" i="86" a="1"/>
  <c r="P90" i="86" s="1"/>
  <c r="O90" i="86" a="1"/>
  <c r="O90" i="86" s="1"/>
  <c r="N90" i="86" a="1"/>
  <c r="N90" i="86" s="1"/>
  <c r="M90" i="86" a="1"/>
  <c r="M90" i="86" s="1"/>
  <c r="L90" i="86" a="1"/>
  <c r="L90" i="86" s="1"/>
  <c r="K90" i="86" a="1"/>
  <c r="K90" i="86" s="1"/>
  <c r="J90" i="86" a="1"/>
  <c r="J90" i="86" s="1"/>
  <c r="I90" i="86" a="1"/>
  <c r="I90" i="86" s="1"/>
  <c r="H90" i="86" a="1"/>
  <c r="H90" i="86" s="1"/>
  <c r="G90" i="86" a="1"/>
  <c r="G90" i="86" s="1"/>
  <c r="F90" i="86" a="1"/>
  <c r="F90" i="86" s="1"/>
  <c r="E90" i="86" a="1"/>
  <c r="E90" i="86" s="1"/>
  <c r="D90" i="86" a="1"/>
  <c r="D90" i="86" s="1"/>
  <c r="F83" i="86" a="1"/>
  <c r="F83" i="86" s="1"/>
  <c r="E83" i="86" a="1"/>
  <c r="E83" i="86" s="1"/>
  <c r="D83" i="86" a="1"/>
  <c r="D83" i="86" s="1"/>
  <c r="D82" i="86" a="1"/>
  <c r="D82" i="86" s="1"/>
  <c r="D81" i="86" a="1"/>
  <c r="D81" i="86" s="1"/>
  <c r="F78" i="86" a="1"/>
  <c r="F78" i="86" s="1"/>
  <c r="E78" i="86" a="1"/>
  <c r="E78" i="86" s="1"/>
  <c r="I57" i="85" s="1"/>
  <c r="D78" i="86" a="1"/>
  <c r="D78" i="86" s="1"/>
  <c r="D77" i="86" a="1"/>
  <c r="D77" i="86" s="1"/>
  <c r="D76" i="86" a="1"/>
  <c r="D76" i="86" s="1"/>
  <c r="F73" i="86" a="1"/>
  <c r="F73" i="86" s="1"/>
  <c r="E73" i="86" a="1"/>
  <c r="E73" i="86" s="1"/>
  <c r="D73" i="86" a="1"/>
  <c r="D73" i="86" s="1"/>
  <c r="D72" i="86" a="1"/>
  <c r="D72" i="86" s="1"/>
  <c r="D71" i="86" a="1"/>
  <c r="D71" i="86" s="1"/>
  <c r="F68" i="86" a="1"/>
  <c r="F68" i="86" s="1"/>
  <c r="E68" i="86" a="1"/>
  <c r="E68" i="86" s="1"/>
  <c r="D68" i="86" a="1"/>
  <c r="D68" i="86" s="1"/>
  <c r="F67" i="86" a="1"/>
  <c r="F67" i="86" s="1"/>
  <c r="I19" i="83" s="1"/>
  <c r="E67" i="86" a="1"/>
  <c r="E67" i="86" s="1"/>
  <c r="I18" i="83" s="1"/>
  <c r="D67" i="86" a="1"/>
  <c r="D67" i="86" s="1"/>
  <c r="F66" i="86" a="1"/>
  <c r="F66" i="86" s="1"/>
  <c r="I16" i="83" s="1"/>
  <c r="E66" i="86" a="1"/>
  <c r="E66" i="86" s="1"/>
  <c r="I15" i="83" s="1"/>
  <c r="D66" i="86" a="1"/>
  <c r="D66" i="86" s="1"/>
  <c r="D64" i="86" a="1"/>
  <c r="D64" i="86" s="1"/>
  <c r="D63" i="86" a="1"/>
  <c r="D63" i="86" s="1"/>
  <c r="F60" i="86" a="1"/>
  <c r="F60" i="86" s="1"/>
  <c r="E60" i="86" a="1"/>
  <c r="E60" i="86" s="1"/>
  <c r="I50" i="81" s="1"/>
  <c r="D60" i="86" a="1"/>
  <c r="D60" i="86" s="1"/>
  <c r="D59" i="86" a="1"/>
  <c r="D59" i="86" s="1"/>
  <c r="D58" i="86" a="1"/>
  <c r="D58" i="86" s="1"/>
  <c r="E55" i="86" a="1"/>
  <c r="E55" i="86" s="1"/>
  <c r="D55" i="86" a="1"/>
  <c r="D55" i="86" s="1"/>
  <c r="E54" i="86" a="1"/>
  <c r="E54" i="86" s="1"/>
  <c r="D54" i="86" a="1"/>
  <c r="D54" i="86" s="1"/>
  <c r="E53" i="86" a="1"/>
  <c r="E53" i="86" s="1"/>
  <c r="D53" i="86" a="1"/>
  <c r="D53" i="86" s="1"/>
  <c r="E52" i="86" a="1"/>
  <c r="E52" i="86" s="1"/>
  <c r="D52" i="86" a="1"/>
  <c r="D52" i="86" s="1"/>
  <c r="E51" i="86" a="1"/>
  <c r="E51" i="86" s="1"/>
  <c r="D51" i="86" a="1"/>
  <c r="D51" i="86" s="1"/>
  <c r="D49" i="86" a="1"/>
  <c r="D49" i="86" s="1"/>
  <c r="D48" i="86" a="1"/>
  <c r="D48" i="86" s="1"/>
  <c r="I38" i="86" a="1"/>
  <c r="I38" i="86" s="1"/>
  <c r="H38" i="86" a="1"/>
  <c r="H38" i="86" s="1"/>
  <c r="G38" i="86" a="1"/>
  <c r="G38" i="86" s="1"/>
  <c r="F38" i="86" a="1"/>
  <c r="F38" i="86" s="1"/>
  <c r="E38" i="86" a="1"/>
  <c r="E38" i="86" s="1"/>
  <c r="D38" i="86" a="1"/>
  <c r="D38" i="86" s="1"/>
  <c r="G180" i="107" s="1"/>
  <c r="I37" i="86" a="1"/>
  <c r="I37" i="86" s="1"/>
  <c r="H37" i="86" a="1"/>
  <c r="H37" i="86" s="1"/>
  <c r="G37" i="86" a="1"/>
  <c r="G37" i="86" s="1"/>
  <c r="F37" i="86" a="1"/>
  <c r="F37" i="86" s="1"/>
  <c r="E37" i="86" a="1"/>
  <c r="E37" i="86" s="1"/>
  <c r="D37" i="86" a="1"/>
  <c r="D37" i="86" s="1"/>
  <c r="I36" i="86" a="1"/>
  <c r="I36" i="86" s="1"/>
  <c r="H36" i="86" a="1"/>
  <c r="H36" i="86" s="1"/>
  <c r="G36" i="86" a="1"/>
  <c r="G36" i="86" s="1"/>
  <c r="F36" i="86" a="1"/>
  <c r="F36" i="86" s="1"/>
  <c r="E36" i="86" a="1"/>
  <c r="E36" i="86" s="1"/>
  <c r="D36" i="86" a="1"/>
  <c r="D36" i="86" s="1"/>
  <c r="G190" i="107" s="1"/>
  <c r="I35" i="86" a="1"/>
  <c r="I35" i="86" s="1"/>
  <c r="H35" i="86" a="1"/>
  <c r="H35" i="86" s="1"/>
  <c r="G35" i="86" a="1"/>
  <c r="G35" i="86" s="1"/>
  <c r="F35" i="86" a="1"/>
  <c r="F35" i="86" s="1"/>
  <c r="E35" i="86" a="1"/>
  <c r="E35" i="86" s="1"/>
  <c r="D35" i="86" a="1"/>
  <c r="D35" i="86" s="1"/>
  <c r="G182" i="107" s="1"/>
  <c r="I34" i="86" a="1"/>
  <c r="I34" i="86" s="1"/>
  <c r="H34" i="86" a="1"/>
  <c r="H34" i="86" s="1"/>
  <c r="G34" i="86" a="1"/>
  <c r="G34" i="86" s="1"/>
  <c r="F34" i="86" a="1"/>
  <c r="F34" i="86" s="1"/>
  <c r="E34" i="86" a="1"/>
  <c r="E34" i="86" s="1"/>
  <c r="D34" i="86" a="1"/>
  <c r="D34" i="86" s="1"/>
  <c r="G184" i="107" s="1"/>
  <c r="I33" i="86" a="1"/>
  <c r="I33" i="86" s="1"/>
  <c r="H33" i="86" a="1"/>
  <c r="H33" i="86" s="1"/>
  <c r="G33" i="86" a="1"/>
  <c r="G33" i="86" s="1"/>
  <c r="F33" i="86" a="1"/>
  <c r="F33" i="86" s="1"/>
  <c r="E33" i="86" a="1"/>
  <c r="E33" i="86" s="1"/>
  <c r="D33" i="86" a="1"/>
  <c r="D33" i="86" s="1"/>
  <c r="G198" i="107" s="1"/>
  <c r="I32" i="86" a="1"/>
  <c r="I32" i="86" s="1"/>
  <c r="H32" i="86" a="1"/>
  <c r="H32" i="86" s="1"/>
  <c r="G32" i="86" a="1"/>
  <c r="G32" i="86" s="1"/>
  <c r="F32" i="86" a="1"/>
  <c r="F32" i="86" s="1"/>
  <c r="E32" i="86" a="1"/>
  <c r="E32" i="86" s="1"/>
  <c r="D32" i="86" a="1"/>
  <c r="D32" i="86" s="1"/>
  <c r="G191" i="107" s="1"/>
  <c r="I31" i="86" a="1"/>
  <c r="I31" i="86" s="1"/>
  <c r="H31" i="86" a="1"/>
  <c r="H31" i="86" s="1"/>
  <c r="G31" i="86" a="1"/>
  <c r="G31" i="86" s="1"/>
  <c r="F31" i="86" a="1"/>
  <c r="F31" i="86" s="1"/>
  <c r="E31" i="86" a="1"/>
  <c r="E31" i="86" s="1"/>
  <c r="D31" i="86" a="1"/>
  <c r="D31" i="86" s="1"/>
  <c r="G189" i="107" s="1"/>
  <c r="I30" i="86" a="1"/>
  <c r="I30" i="86" s="1"/>
  <c r="H30" i="86" a="1"/>
  <c r="H30" i="86" s="1"/>
  <c r="G30" i="86" a="1"/>
  <c r="G30" i="86" s="1"/>
  <c r="F30" i="86" a="1"/>
  <c r="F30" i="86" s="1"/>
  <c r="E30" i="86" a="1"/>
  <c r="E30" i="86" s="1"/>
  <c r="D30" i="86" a="1"/>
  <c r="D30" i="86" s="1"/>
  <c r="G188" i="107" s="1"/>
  <c r="I29" i="86" a="1"/>
  <c r="I29" i="86" s="1"/>
  <c r="H29" i="86" a="1"/>
  <c r="H29" i="86" s="1"/>
  <c r="G29" i="86" a="1"/>
  <c r="G29" i="86" s="1"/>
  <c r="F29" i="86" a="1"/>
  <c r="F29" i="86" s="1"/>
  <c r="E29" i="86" a="1"/>
  <c r="E29" i="86" s="1"/>
  <c r="D29" i="86" a="1"/>
  <c r="D29" i="86" s="1"/>
  <c r="G186" i="107" s="1"/>
  <c r="R28" i="86" a="1"/>
  <c r="R28" i="86" s="1"/>
  <c r="Q28" i="86" a="1"/>
  <c r="Q28" i="86" s="1"/>
  <c r="L28" i="86" a="1"/>
  <c r="L28" i="86" s="1"/>
  <c r="K28" i="86" a="1"/>
  <c r="K28" i="86" s="1"/>
  <c r="I28" i="86" a="1"/>
  <c r="I28" i="86" s="1"/>
  <c r="H28" i="86" a="1"/>
  <c r="H28" i="86" s="1"/>
  <c r="G28" i="86" a="1"/>
  <c r="G28" i="86" s="1"/>
  <c r="F28" i="86" a="1"/>
  <c r="F28" i="86" s="1"/>
  <c r="E28" i="86" a="1"/>
  <c r="E28" i="86" s="1"/>
  <c r="D28" i="86" a="1"/>
  <c r="D28" i="86" s="1"/>
  <c r="G187" i="107" s="1"/>
  <c r="R27" i="86" a="1"/>
  <c r="R27" i="86" s="1"/>
  <c r="Q27" i="86" a="1"/>
  <c r="Q27" i="86" s="1"/>
  <c r="L27" i="86" a="1"/>
  <c r="L27" i="86" s="1"/>
  <c r="K27" i="86" a="1"/>
  <c r="K27" i="86" s="1"/>
  <c r="I27" i="86" a="1"/>
  <c r="I27" i="86" s="1"/>
  <c r="H27" i="86" a="1"/>
  <c r="H27" i="86" s="1"/>
  <c r="G27" i="86" a="1"/>
  <c r="G27" i="86" s="1"/>
  <c r="F27" i="86" a="1"/>
  <c r="F27" i="86" s="1"/>
  <c r="E27" i="86" a="1"/>
  <c r="E27" i="86" s="1"/>
  <c r="D27" i="86" a="1"/>
  <c r="D27" i="86" s="1"/>
  <c r="G185" i="107" s="1"/>
  <c r="R26" i="86" a="1"/>
  <c r="R26" i="86" s="1"/>
  <c r="Q26" i="86" a="1"/>
  <c r="Q26" i="86" s="1"/>
  <c r="L26" i="86" a="1"/>
  <c r="L26" i="86" s="1"/>
  <c r="K26" i="86" a="1"/>
  <c r="K26" i="86" s="1"/>
  <c r="I26" i="86" a="1"/>
  <c r="I26" i="86" s="1"/>
  <c r="H26" i="86" a="1"/>
  <c r="H26" i="86" s="1"/>
  <c r="G26" i="86" a="1"/>
  <c r="G26" i="86" s="1"/>
  <c r="F26" i="86" a="1"/>
  <c r="F26" i="86" s="1"/>
  <c r="E26" i="86" a="1"/>
  <c r="E26" i="86" s="1"/>
  <c r="D26" i="86" a="1"/>
  <c r="D26" i="86" s="1"/>
  <c r="G179" i="107" s="1"/>
  <c r="R25" i="86" a="1"/>
  <c r="R25" i="86" s="1"/>
  <c r="Q25" i="86" a="1"/>
  <c r="Q25" i="86" s="1"/>
  <c r="L25" i="86" a="1"/>
  <c r="L25" i="86" s="1"/>
  <c r="K25" i="86" a="1"/>
  <c r="K25" i="86" s="1"/>
  <c r="I25" i="86" a="1"/>
  <c r="I25" i="86" s="1"/>
  <c r="H25" i="86" a="1"/>
  <c r="H25" i="86" s="1"/>
  <c r="G25" i="86" a="1"/>
  <c r="G25" i="86" s="1"/>
  <c r="F25" i="86" a="1"/>
  <c r="F25" i="86" s="1"/>
  <c r="E25" i="86" a="1"/>
  <c r="E25" i="86" s="1"/>
  <c r="D25" i="86" a="1"/>
  <c r="D25" i="86" s="1"/>
  <c r="G178" i="107" s="1"/>
  <c r="R24" i="86" a="1"/>
  <c r="R24" i="86" s="1"/>
  <c r="Q24" i="86" a="1"/>
  <c r="Q24" i="86" s="1"/>
  <c r="L24" i="86" a="1"/>
  <c r="L24" i="86" s="1"/>
  <c r="K24" i="86" a="1"/>
  <c r="K24" i="86" s="1"/>
  <c r="I24" i="86" a="1"/>
  <c r="I24" i="86" s="1"/>
  <c r="H24" i="86" a="1"/>
  <c r="H24" i="86" s="1"/>
  <c r="G24" i="86" a="1"/>
  <c r="G24" i="86" s="1"/>
  <c r="F24" i="86" a="1"/>
  <c r="F24" i="86" s="1"/>
  <c r="E24" i="86" a="1"/>
  <c r="E24" i="86" s="1"/>
  <c r="D24" i="86" a="1"/>
  <c r="D24" i="86" s="1"/>
  <c r="G193" i="107" s="1"/>
  <c r="V23" i="86" a="1"/>
  <c r="V23" i="86" s="1"/>
  <c r="R23" i="86" a="1"/>
  <c r="R23" i="86" s="1"/>
  <c r="Q23" i="86" a="1"/>
  <c r="Q23" i="86" s="1"/>
  <c r="L23" i="86" a="1"/>
  <c r="L23" i="86" s="1"/>
  <c r="K23" i="86" a="1"/>
  <c r="K23" i="86" s="1"/>
  <c r="I23" i="86" a="1"/>
  <c r="I23" i="86" s="1"/>
  <c r="H23" i="86" a="1"/>
  <c r="H23" i="86" s="1"/>
  <c r="G23" i="86" a="1"/>
  <c r="G23" i="86" s="1"/>
  <c r="F23" i="86" a="1"/>
  <c r="F23" i="86" s="1"/>
  <c r="E23" i="86" a="1"/>
  <c r="E23" i="86" s="1"/>
  <c r="D23" i="86" a="1"/>
  <c r="D23" i="86" s="1"/>
  <c r="G192" i="107" s="1"/>
  <c r="V22" i="86" a="1"/>
  <c r="V22" i="86" s="1"/>
  <c r="R22" i="86" a="1"/>
  <c r="R22" i="86" s="1"/>
  <c r="Q22" i="86" a="1"/>
  <c r="Q22" i="86" s="1"/>
  <c r="L22" i="86" a="1"/>
  <c r="L22" i="86" s="1"/>
  <c r="K22" i="86" a="1"/>
  <c r="K22" i="86" s="1"/>
  <c r="I22" i="86" a="1"/>
  <c r="I22" i="86" s="1"/>
  <c r="H22" i="86" a="1"/>
  <c r="H22" i="86" s="1"/>
  <c r="G22" i="86" a="1"/>
  <c r="G22" i="86" s="1"/>
  <c r="F22" i="86" a="1"/>
  <c r="F22" i="86" s="1"/>
  <c r="E22" i="86" a="1"/>
  <c r="E22" i="86" s="1"/>
  <c r="D22" i="86" a="1"/>
  <c r="D22" i="86" s="1"/>
  <c r="G197" i="107" s="1"/>
  <c r="V21" i="86" a="1"/>
  <c r="V21" i="86" s="1"/>
  <c r="R21" i="86" a="1"/>
  <c r="R21" i="86" s="1"/>
  <c r="Q21" i="86" a="1"/>
  <c r="Q21" i="86" s="1"/>
  <c r="L21" i="86" a="1"/>
  <c r="L21" i="86" s="1"/>
  <c r="K21" i="86" a="1"/>
  <c r="K21" i="86" s="1"/>
  <c r="I21" i="86" a="1"/>
  <c r="I21" i="86" s="1"/>
  <c r="H21" i="86" a="1"/>
  <c r="H21" i="86" s="1"/>
  <c r="G21" i="86" a="1"/>
  <c r="G21" i="86" s="1"/>
  <c r="F21" i="86" a="1"/>
  <c r="F21" i="86" s="1"/>
  <c r="E21" i="86" a="1"/>
  <c r="E21" i="86" s="1"/>
  <c r="D21" i="86" a="1"/>
  <c r="D21" i="86" s="1"/>
  <c r="G181" i="107" s="1"/>
  <c r="V20" i="86" a="1"/>
  <c r="V20" i="86" s="1"/>
  <c r="R20" i="86" a="1"/>
  <c r="R20" i="86" s="1"/>
  <c r="Q20" i="86" a="1"/>
  <c r="Q20" i="86" s="1"/>
  <c r="L20" i="86" a="1"/>
  <c r="L20" i="86" s="1"/>
  <c r="K20" i="86" a="1"/>
  <c r="K20" i="86" s="1"/>
  <c r="I20" i="86" a="1"/>
  <c r="I20" i="86" s="1"/>
  <c r="H20" i="86" a="1"/>
  <c r="H20" i="86" s="1"/>
  <c r="G20" i="86" a="1"/>
  <c r="G20" i="86" s="1"/>
  <c r="F20" i="86" a="1"/>
  <c r="F20" i="86" s="1"/>
  <c r="E20" i="86" a="1"/>
  <c r="E20" i="86" s="1"/>
  <c r="D20" i="86" a="1"/>
  <c r="D20" i="86" s="1"/>
  <c r="V18" i="86" a="1"/>
  <c r="V18" i="86" s="1"/>
  <c r="Q18" i="86" a="1"/>
  <c r="Q18" i="86" s="1"/>
  <c r="K18" i="86" a="1"/>
  <c r="K18" i="86" s="1"/>
  <c r="V17" i="86" a="1"/>
  <c r="V17" i="86" s="1"/>
  <c r="Q17" i="86" a="1"/>
  <c r="Q17" i="86" s="1"/>
  <c r="K17" i="86" a="1"/>
  <c r="K17" i="86" s="1"/>
  <c r="D7" i="86" a="1"/>
  <c r="D7" i="86" s="1"/>
  <c r="D6" i="86" a="1"/>
  <c r="D6" i="86" s="1"/>
  <c r="D5" i="86" a="1"/>
  <c r="D5" i="86" s="1"/>
  <c r="F99" i="85" a="1"/>
  <c r="F99" i="85" s="1"/>
  <c r="D96" i="85" a="1"/>
  <c r="D96" i="85" s="1"/>
  <c r="H89" i="85" a="1"/>
  <c r="H89" i="85" s="1"/>
  <c r="D89" i="85" a="1"/>
  <c r="D89" i="85" s="1"/>
  <c r="E87" i="85" a="1"/>
  <c r="E87" i="85" s="1"/>
  <c r="F94" i="85" s="1"/>
  <c r="E86" i="85" a="1"/>
  <c r="E86" i="85" s="1"/>
  <c r="D82" i="85" a="1"/>
  <c r="D82" i="85" s="1"/>
  <c r="D81" i="85" a="1"/>
  <c r="D81" i="85" s="1"/>
  <c r="D67" i="85"/>
  <c r="D66" i="85"/>
  <c r="D65" i="85"/>
  <c r="I59" i="85"/>
  <c r="I58" i="85"/>
  <c r="I55" i="85" a="1"/>
  <c r="I55" i="85" s="1"/>
  <c r="G55" i="85" a="1"/>
  <c r="G55" i="85" s="1"/>
  <c r="D55" i="85" a="1"/>
  <c r="D55" i="85" s="1"/>
  <c r="E53" i="85" a="1"/>
  <c r="E53" i="85" s="1"/>
  <c r="F77" i="85" s="1"/>
  <c r="E52" i="85" a="1"/>
  <c r="E52" i="85" s="1"/>
  <c r="D48" i="85" a="1"/>
  <c r="D48" i="85" s="1"/>
  <c r="D47" i="85" a="1"/>
  <c r="D47" i="85" s="1"/>
  <c r="I17" i="85"/>
  <c r="I16" i="85"/>
  <c r="I13" i="85" a="1"/>
  <c r="I13" i="85" s="1"/>
  <c r="G13" i="85" a="1"/>
  <c r="G13" i="85" s="1"/>
  <c r="D13" i="85" a="1"/>
  <c r="D13" i="85" s="1"/>
  <c r="E11" i="85" a="1"/>
  <c r="E11" i="85" s="1"/>
  <c r="F43" i="85" s="1"/>
  <c r="E10" i="85" a="1"/>
  <c r="E10" i="85" s="1"/>
  <c r="D6" i="85" a="1"/>
  <c r="D6" i="85" s="1"/>
  <c r="D5" i="85" a="1"/>
  <c r="D5" i="85" s="1"/>
  <c r="F151" i="84" a="1"/>
  <c r="F151" i="84" s="1"/>
  <c r="D148" i="84" a="1"/>
  <c r="D148" i="84" s="1"/>
  <c r="I127" i="84"/>
  <c r="I124" i="84" a="1"/>
  <c r="I124" i="84" s="1"/>
  <c r="G124" i="84" a="1"/>
  <c r="G124" i="84" s="1"/>
  <c r="D124" i="84" a="1"/>
  <c r="D124" i="84" s="1"/>
  <c r="E122" i="84" a="1"/>
  <c r="E122" i="84" s="1"/>
  <c r="F146" i="84" s="1"/>
  <c r="E121" i="84" a="1"/>
  <c r="E121" i="84" s="1"/>
  <c r="D117" i="84" a="1"/>
  <c r="D117" i="84" s="1"/>
  <c r="D116" i="84" a="1"/>
  <c r="D116" i="84" s="1"/>
  <c r="I96" i="84" a="1"/>
  <c r="I96" i="84" s="1"/>
  <c r="G96" i="84" a="1"/>
  <c r="G96" i="84" s="1"/>
  <c r="D96" i="84" a="1"/>
  <c r="D96" i="84" s="1"/>
  <c r="E94" i="84" a="1"/>
  <c r="E94" i="84" s="1"/>
  <c r="G102" i="84" s="1"/>
  <c r="E93" i="84" a="1"/>
  <c r="E93" i="84" s="1"/>
  <c r="D89" i="84" a="1"/>
  <c r="D89" i="84" s="1"/>
  <c r="D88" i="84" a="1"/>
  <c r="D88" i="84" s="1"/>
  <c r="F84" i="84" a="1"/>
  <c r="F84" i="84" s="1"/>
  <c r="D81" i="84" a="1"/>
  <c r="D81" i="84" s="1"/>
  <c r="J52" i="84"/>
  <c r="J49" i="84" a="1"/>
  <c r="J49" i="84" s="1"/>
  <c r="H49" i="84" a="1"/>
  <c r="H49" i="84" s="1"/>
  <c r="D49" i="84" a="1"/>
  <c r="D49" i="84" s="1"/>
  <c r="E47" i="84" a="1"/>
  <c r="E47" i="84" s="1"/>
  <c r="F79" i="84" s="1"/>
  <c r="E46" i="84" a="1"/>
  <c r="E46" i="84" s="1"/>
  <c r="D42" i="84" a="1"/>
  <c r="D42" i="84" s="1"/>
  <c r="D41" i="84" a="1"/>
  <c r="D41" i="84" s="1"/>
  <c r="I14" i="84" a="1"/>
  <c r="I14" i="84" s="1"/>
  <c r="I13" i="84" a="1"/>
  <c r="I13" i="84" s="1"/>
  <c r="G13" i="84" a="1"/>
  <c r="G13" i="84" s="1"/>
  <c r="D13" i="84" a="1"/>
  <c r="D13" i="84" s="1"/>
  <c r="E11" i="84" a="1"/>
  <c r="E11" i="84" s="1"/>
  <c r="E10" i="84" a="1"/>
  <c r="E10" i="84" s="1"/>
  <c r="D6" i="84" a="1"/>
  <c r="D6" i="84" s="1"/>
  <c r="D5" i="84" a="1"/>
  <c r="D5" i="84" s="1"/>
  <c r="I17" i="83" a="1"/>
  <c r="I17" i="83" s="1"/>
  <c r="I14" i="83" a="1"/>
  <c r="I14" i="83" s="1"/>
  <c r="I13" i="83" a="1"/>
  <c r="I13" i="83" s="1"/>
  <c r="G13" i="83" a="1"/>
  <c r="G13" i="83" s="1"/>
  <c r="D13" i="83" a="1"/>
  <c r="D13" i="83" s="1"/>
  <c r="E11" i="83" a="1"/>
  <c r="E11" i="83" s="1"/>
  <c r="E10" i="83" a="1"/>
  <c r="E10" i="83" s="1"/>
  <c r="D6" i="83" a="1"/>
  <c r="D6" i="83" s="1"/>
  <c r="D5" i="83" a="1"/>
  <c r="D5" i="83" s="1"/>
  <c r="F55" i="82" a="1"/>
  <c r="F55" i="82" s="1"/>
  <c r="D52" i="82" a="1"/>
  <c r="D52" i="82" s="1"/>
  <c r="K47" i="82"/>
  <c r="I44" i="82" a="1"/>
  <c r="I44" i="82" s="1"/>
  <c r="D44" i="82" a="1"/>
  <c r="D44" i="82" s="1"/>
  <c r="E42" i="82" a="1"/>
  <c r="E42" i="82" s="1"/>
  <c r="F50" i="82" s="1"/>
  <c r="E41" i="82" a="1"/>
  <c r="E41" i="82" s="1"/>
  <c r="D37" i="82" a="1"/>
  <c r="D37" i="82" s="1"/>
  <c r="D36" i="82" a="1"/>
  <c r="D36" i="82" s="1"/>
  <c r="I30" i="82" a="1"/>
  <c r="I30" i="82" s="1"/>
  <c r="I29" i="82" a="1"/>
  <c r="I29" i="82" s="1"/>
  <c r="I28" i="82" a="1"/>
  <c r="I28" i="82" s="1"/>
  <c r="I27" i="82" a="1"/>
  <c r="I27" i="82" s="1"/>
  <c r="I26" i="82" a="1"/>
  <c r="I26" i="82" s="1"/>
  <c r="E71" i="85" s="1"/>
  <c r="I25" i="82" a="1"/>
  <c r="I25" i="82" s="1"/>
  <c r="E70" i="85" s="1"/>
  <c r="I24" i="82" a="1"/>
  <c r="I24" i="82" s="1"/>
  <c r="I23" i="82" a="1"/>
  <c r="I23" i="82" s="1"/>
  <c r="I15" i="82" a="1"/>
  <c r="I15" i="82" s="1"/>
  <c r="I14" i="82" a="1"/>
  <c r="I14" i="82" s="1"/>
  <c r="I13" i="82" a="1"/>
  <c r="I13" i="82" s="1"/>
  <c r="G13" i="82" a="1"/>
  <c r="G13" i="82" s="1"/>
  <c r="D13" i="82" a="1"/>
  <c r="D13" i="82" s="1"/>
  <c r="E11" i="82" a="1"/>
  <c r="E11" i="82" s="1"/>
  <c r="F32" i="82" s="1"/>
  <c r="E10" i="82" a="1"/>
  <c r="E10" i="82" s="1"/>
  <c r="D6" i="82" a="1"/>
  <c r="D6" i="82" s="1"/>
  <c r="D5" i="82" a="1"/>
  <c r="D5" i="82" s="1"/>
  <c r="I53" i="81" a="1"/>
  <c r="I53" i="81" s="1"/>
  <c r="I52" i="81"/>
  <c r="I49" i="81" a="1"/>
  <c r="I49" i="81" s="1"/>
  <c r="G49" i="81" a="1"/>
  <c r="G49" i="81" s="1"/>
  <c r="D49" i="81" a="1"/>
  <c r="D49" i="81" s="1"/>
  <c r="E47" i="81" a="1"/>
  <c r="E47" i="81" s="1"/>
  <c r="E46" i="81" a="1"/>
  <c r="E46" i="81" s="1"/>
  <c r="D42" i="81" a="1"/>
  <c r="D42" i="81" s="1"/>
  <c r="D41" i="81" a="1"/>
  <c r="D41" i="81" s="1"/>
  <c r="I14" i="81" a="1"/>
  <c r="I14" i="81" s="1"/>
  <c r="I13" i="81" a="1"/>
  <c r="I13" i="81" s="1"/>
  <c r="G13" i="81" a="1"/>
  <c r="G13" i="81" s="1"/>
  <c r="D13" i="81" a="1"/>
  <c r="D13" i="81" s="1"/>
  <c r="E11" i="81" a="1"/>
  <c r="E11" i="81" s="1"/>
  <c r="E10" i="81" a="1"/>
  <c r="E10" i="81" s="1"/>
  <c r="D6" i="81" a="1"/>
  <c r="D6" i="81" s="1"/>
  <c r="D5" i="81" a="1"/>
  <c r="D5" i="81" s="1"/>
  <c r="O93" i="80" a="1"/>
  <c r="O93" i="80" s="1"/>
  <c r="M90" i="80" a="1"/>
  <c r="M90" i="80" s="1"/>
  <c r="F85" i="80" a="1"/>
  <c r="F85" i="80" s="1"/>
  <c r="D82" i="80" a="1"/>
  <c r="D82" i="80" s="1"/>
  <c r="S70" i="80"/>
  <c r="S67" i="80" a="1"/>
  <c r="S67" i="80" s="1"/>
  <c r="Q67" i="80" a="1"/>
  <c r="Q67" i="80" s="1"/>
  <c r="M67" i="80" a="1"/>
  <c r="M67" i="80" s="1"/>
  <c r="N65" i="80" a="1"/>
  <c r="N65" i="80" s="1"/>
  <c r="N64" i="80" a="1"/>
  <c r="N64" i="80" s="1"/>
  <c r="M59" i="80" a="1"/>
  <c r="M59" i="80" s="1"/>
  <c r="M58" i="80" a="1"/>
  <c r="M58" i="80" s="1"/>
  <c r="V54" i="80" a="1"/>
  <c r="V54" i="80" s="1"/>
  <c r="T54" i="80"/>
  <c r="U54" i="80" s="1"/>
  <c r="S54" i="80" a="1"/>
  <c r="S54" i="80" s="1"/>
  <c r="R54" i="80" a="1"/>
  <c r="R54" i="80" s="1"/>
  <c r="Q54" i="80"/>
  <c r="V53" i="80" a="1"/>
  <c r="V53" i="80" s="1"/>
  <c r="T53" i="80"/>
  <c r="U53" i="80" s="1"/>
  <c r="S53" i="80" a="1"/>
  <c r="S53" i="80" s="1"/>
  <c r="R53" i="80" a="1"/>
  <c r="R53" i="80" s="1"/>
  <c r="Q53" i="80"/>
  <c r="I53" i="80"/>
  <c r="I52" i="80"/>
  <c r="I49" i="80" a="1"/>
  <c r="I49" i="80" s="1"/>
  <c r="G49" i="80" a="1"/>
  <c r="G49" i="80" s="1"/>
  <c r="D49" i="80" a="1"/>
  <c r="D49" i="80" s="1"/>
  <c r="E47" i="80" a="1"/>
  <c r="E47" i="80" s="1"/>
  <c r="F80" i="80" s="1"/>
  <c r="E46" i="80" a="1"/>
  <c r="E46" i="80" s="1"/>
  <c r="D41" i="80" a="1"/>
  <c r="D41" i="80" s="1"/>
  <c r="D40" i="80" a="1"/>
  <c r="D40" i="80" s="1"/>
  <c r="R35" i="80" a="1"/>
  <c r="R35" i="80" s="1"/>
  <c r="P35" i="80" a="1"/>
  <c r="P35" i="80" s="1"/>
  <c r="M35" i="80" a="1"/>
  <c r="M35" i="80" s="1"/>
  <c r="N33" i="80" a="1"/>
  <c r="N33" i="80" s="1"/>
  <c r="V43" i="80" s="1"/>
  <c r="N32" i="80" a="1"/>
  <c r="N32" i="80" s="1"/>
  <c r="V44" i="80" s="1"/>
  <c r="M28" i="80" a="1"/>
  <c r="M28" i="80" s="1"/>
  <c r="M27" i="80" a="1"/>
  <c r="M27" i="80" s="1"/>
  <c r="R23" i="80" a="1"/>
  <c r="R23" i="80" s="1"/>
  <c r="P23" i="80" a="1"/>
  <c r="P23" i="80" s="1"/>
  <c r="M23" i="80" a="1"/>
  <c r="M23" i="80" s="1"/>
  <c r="N21" i="80" a="1"/>
  <c r="N21" i="80" s="1"/>
  <c r="S43" i="80" s="1"/>
  <c r="N20" i="80" a="1"/>
  <c r="N20" i="80" s="1"/>
  <c r="S44" i="80" s="1"/>
  <c r="M17" i="80" a="1"/>
  <c r="M17" i="80" s="1"/>
  <c r="M16" i="80" a="1"/>
  <c r="M16" i="80" s="1"/>
  <c r="I14" i="80" a="1"/>
  <c r="I14" i="80" s="1"/>
  <c r="I13" i="80" a="1"/>
  <c r="I13" i="80" s="1"/>
  <c r="G13" i="80" a="1"/>
  <c r="G13" i="80" s="1"/>
  <c r="D13" i="80" a="1"/>
  <c r="D13" i="80" s="1"/>
  <c r="R12" i="80" a="1"/>
  <c r="R12" i="80" s="1"/>
  <c r="P12" i="80" a="1"/>
  <c r="P12" i="80" s="1"/>
  <c r="M12" i="80" a="1"/>
  <c r="M12" i="80" s="1"/>
  <c r="E11" i="80" a="1"/>
  <c r="E11" i="80" s="1"/>
  <c r="N10" i="80" a="1"/>
  <c r="N10" i="80" s="1"/>
  <c r="R43" i="80" s="1"/>
  <c r="E10" i="80" a="1"/>
  <c r="E10" i="80" s="1"/>
  <c r="N9" i="80" a="1"/>
  <c r="N9" i="80" s="1"/>
  <c r="R44" i="80" s="1"/>
  <c r="M6" i="80" a="1"/>
  <c r="M6" i="80" s="1"/>
  <c r="D6" i="80" a="1"/>
  <c r="D6" i="80" s="1"/>
  <c r="M5" i="80" a="1"/>
  <c r="M5" i="80" s="1"/>
  <c r="D5" i="80" a="1"/>
  <c r="D5" i="80" s="1"/>
  <c r="G44" i="79"/>
  <c r="G43" i="79"/>
  <c r="G42" i="79"/>
  <c r="K33" i="79"/>
  <c r="K32" i="79"/>
  <c r="K31" i="79"/>
  <c r="O7" i="106"/>
  <c r="E188" i="105" a="1"/>
  <c r="E7" i="91" a="1"/>
  <c r="E290" i="105" a="1"/>
  <c r="E42" i="106"/>
  <c r="E7" i="99" a="1"/>
  <c r="E50" i="100"/>
  <c r="O42" i="106"/>
  <c r="E7" i="81" a="1"/>
  <c r="E61" i="106" a="1"/>
  <c r="E42" i="80" a="1"/>
  <c r="E43" i="81" a="1"/>
  <c r="E26" i="106" a="1"/>
  <c r="E418" i="105" a="1"/>
  <c r="E30" i="98"/>
  <c r="E594" i="105" a="1"/>
  <c r="L8" i="92" a="1"/>
  <c r="E30" i="99" a="1"/>
  <c r="E27" i="100"/>
  <c r="E7" i="82" a="1"/>
  <c r="E540" i="105"/>
  <c r="E8" i="88"/>
  <c r="E203" i="105" a="1"/>
  <c r="E561" i="105" a="1"/>
  <c r="E7" i="80" a="1"/>
  <c r="E118" i="84" a="1"/>
  <c r="E100" i="105" a="1"/>
  <c r="N60" i="80" a="1"/>
  <c r="O26" i="106" a="1"/>
  <c r="E43" i="84" a="1"/>
  <c r="N8" i="98" a="1"/>
  <c r="E385" i="105" a="1"/>
  <c r="E83" i="85"/>
  <c r="E7" i="95" a="1"/>
  <c r="E90" i="84" a="1"/>
  <c r="E7" i="92" a="1"/>
  <c r="E38" i="82" a="1"/>
  <c r="E174" i="105" a="1"/>
  <c r="E7" i="100" a="1"/>
  <c r="E523" i="105"/>
  <c r="E258" i="105" a="1"/>
  <c r="E99" i="95" a="1"/>
  <c r="E49" i="85" a="1"/>
  <c r="E355" i="105" a="1"/>
  <c r="E151" i="105" a="1"/>
  <c r="O79" i="106"/>
  <c r="N65" i="98"/>
  <c r="E7" i="85" a="1"/>
  <c r="E7" i="83" a="1"/>
  <c r="E7" i="84" a="1"/>
  <c r="E25" i="88"/>
  <c r="N42" i="98" a="1"/>
  <c r="E7" i="106"/>
  <c r="O61" i="106" a="1"/>
  <c r="E323" i="105" a="1"/>
  <c r="E7" i="98" a="1"/>
  <c r="E508" i="105"/>
  <c r="E7" i="105" a="1"/>
  <c r="L7" i="91" a="1"/>
  <c r="E79" i="106"/>
  <c r="J91" i="85" l="1"/>
  <c r="J87" i="106"/>
  <c r="M34" i="92" a="1"/>
  <c r="M34" i="92" s="1"/>
  <c r="L34" i="92" a="1"/>
  <c r="L34" i="92" s="1"/>
  <c r="M31" i="91" a="1"/>
  <c r="M31" i="91" s="1"/>
  <c r="I14" i="100"/>
  <c r="Q18" i="98"/>
  <c r="I14" i="98"/>
  <c r="E19" i="97"/>
  <c r="I174" i="107"/>
  <c r="H194" i="107"/>
  <c r="K37" i="92"/>
  <c r="J37" i="92"/>
  <c r="I37" i="92"/>
  <c r="H37" i="92"/>
  <c r="G37" i="92"/>
  <c r="J39" i="92"/>
  <c r="I39" i="92"/>
  <c r="H39" i="92"/>
  <c r="G39" i="92"/>
  <c r="M36" i="91" a="1"/>
  <c r="M36" i="91" s="1"/>
  <c r="M39" i="92" a="1"/>
  <c r="M39" i="92" s="1"/>
  <c r="M25" i="92" a="1"/>
  <c r="M25" i="92" s="1"/>
  <c r="L25" i="92" a="1"/>
  <c r="L25" i="92" s="1"/>
  <c r="M27" i="91" a="1"/>
  <c r="M27" i="91" s="1"/>
  <c r="M32" i="91" a="1"/>
  <c r="M32" i="91" s="1"/>
  <c r="H26" i="92"/>
  <c r="G26" i="92"/>
  <c r="K26" i="92"/>
  <c r="J26" i="92"/>
  <c r="I26" i="92"/>
  <c r="K31" i="92"/>
  <c r="J31" i="92"/>
  <c r="I31" i="92"/>
  <c r="H31" i="92"/>
  <c r="G31" i="92"/>
  <c r="M32" i="92" a="1"/>
  <c r="M32" i="92" s="1"/>
  <c r="M28" i="92" a="1"/>
  <c r="M28" i="92" s="1"/>
  <c r="M40" i="92" a="1"/>
  <c r="M40" i="92" s="1"/>
  <c r="M34" i="91" a="1"/>
  <c r="M34" i="91" s="1"/>
  <c r="L34" i="91" a="1"/>
  <c r="L34" i="91" s="1"/>
  <c r="M35" i="92" a="1"/>
  <c r="M35" i="92" s="1"/>
  <c r="I32" i="92"/>
  <c r="H32" i="92"/>
  <c r="G32" i="92"/>
  <c r="K32" i="92"/>
  <c r="J32" i="92"/>
  <c r="M25" i="91" a="1"/>
  <c r="M25" i="91" s="1"/>
  <c r="L25" i="91" a="1"/>
  <c r="L25" i="91" s="1"/>
  <c r="M28" i="91" a="1"/>
  <c r="M28" i="91" s="1"/>
  <c r="L28" i="91" a="1"/>
  <c r="L28" i="91" s="1"/>
  <c r="M33" i="91" a="1"/>
  <c r="M33" i="91" s="1"/>
  <c r="M29" i="92" a="1"/>
  <c r="M29" i="92" s="1"/>
  <c r="L29" i="92" a="1"/>
  <c r="L29" i="92" s="1"/>
  <c r="E72" i="85"/>
  <c r="E109" i="84"/>
  <c r="G175" i="107"/>
  <c r="G174" i="107"/>
  <c r="G177" i="107"/>
  <c r="G176" i="107"/>
  <c r="K34" i="92"/>
  <c r="Q34" i="92" s="1" a="1"/>
  <c r="Q34" i="92" s="1"/>
  <c r="J34" i="92"/>
  <c r="I34" i="92"/>
  <c r="H34" i="92"/>
  <c r="G34" i="92"/>
  <c r="I29" i="92"/>
  <c r="H29" i="92"/>
  <c r="G29" i="92"/>
  <c r="K29" i="92"/>
  <c r="J29" i="92"/>
  <c r="M37" i="91" a="1"/>
  <c r="M37" i="91" s="1"/>
  <c r="L37" i="91" a="1"/>
  <c r="L37" i="91" s="1"/>
  <c r="M36" i="92" a="1"/>
  <c r="M36" i="92" s="1"/>
  <c r="L36" i="92" a="1"/>
  <c r="L36" i="92" s="1"/>
  <c r="D51" i="102"/>
  <c r="D162" i="105" s="1"/>
  <c r="F162" i="105" s="1" a="1"/>
  <c r="F162" i="105" s="1"/>
  <c r="D163" i="105"/>
  <c r="F163" i="105" s="1" a="1"/>
  <c r="F163" i="105" s="1"/>
  <c r="D164" i="105"/>
  <c r="F164" i="105" s="1" a="1"/>
  <c r="F164" i="105" s="1"/>
  <c r="G164" i="105" s="1" a="1"/>
  <c r="G164" i="105" s="1"/>
  <c r="G40" i="92"/>
  <c r="J40" i="92"/>
  <c r="I40" i="92"/>
  <c r="H40" i="92"/>
  <c r="M26" i="92" a="1"/>
  <c r="M26" i="92" s="1"/>
  <c r="M29" i="91" a="1"/>
  <c r="M29" i="91" s="1"/>
  <c r="L29" i="91" a="1"/>
  <c r="L29" i="91" s="1"/>
  <c r="H38" i="91" a="1"/>
  <c r="H38" i="91" s="1"/>
  <c r="M33" i="92" a="1"/>
  <c r="M33" i="92" s="1"/>
  <c r="M30" i="92" a="1"/>
  <c r="M30" i="92" s="1"/>
  <c r="D270" i="105"/>
  <c r="F281" i="105" a="1"/>
  <c r="F281" i="105" s="1"/>
  <c r="F274" i="105" a="1"/>
  <c r="F274" i="105" s="1"/>
  <c r="E281" i="105"/>
  <c r="I281" i="105" s="1" a="1"/>
  <c r="I281" i="105" s="1"/>
  <c r="E274" i="105"/>
  <c r="F280" i="105" a="1"/>
  <c r="F280" i="105" s="1"/>
  <c r="F273" i="105" a="1"/>
  <c r="F273" i="105" s="1"/>
  <c r="E280" i="105"/>
  <c r="E273" i="105"/>
  <c r="G273" i="105" s="1" a="1"/>
  <c r="G273" i="105" s="1"/>
  <c r="F279" i="105" a="1"/>
  <c r="F279" i="105" s="1"/>
  <c r="F272" i="105" a="1"/>
  <c r="F272" i="105" s="1"/>
  <c r="E279" i="105"/>
  <c r="E272" i="105"/>
  <c r="I272" i="105" s="1" a="1"/>
  <c r="I272" i="105" s="1"/>
  <c r="F278" i="105" a="1"/>
  <c r="F278" i="105" s="1"/>
  <c r="F271" i="105" a="1"/>
  <c r="F271" i="105" s="1"/>
  <c r="E271" i="105"/>
  <c r="F277" i="105" a="1"/>
  <c r="F277" i="105" s="1"/>
  <c r="E277" i="105"/>
  <c r="F276" i="105" a="1"/>
  <c r="F276" i="105" s="1"/>
  <c r="F275" i="105" a="1"/>
  <c r="F275" i="105" s="1"/>
  <c r="E275" i="105"/>
  <c r="G275" i="105" s="1" a="1"/>
  <c r="G275" i="105" s="1"/>
  <c r="M35" i="91" a="1"/>
  <c r="M35" i="91" s="1"/>
  <c r="M37" i="92" a="1"/>
  <c r="M37" i="92" s="1"/>
  <c r="L37" i="92" a="1"/>
  <c r="L37" i="92" s="1"/>
  <c r="E111" i="84"/>
  <c r="E74" i="85"/>
  <c r="E112" i="84"/>
  <c r="F112" i="84" s="1" a="1"/>
  <c r="F112" i="84" s="1"/>
  <c r="E144" i="84" s="1"/>
  <c r="E75" i="85"/>
  <c r="I177" i="107"/>
  <c r="H197" i="107"/>
  <c r="I97" i="84"/>
  <c r="I33" i="106"/>
  <c r="E35" i="106" s="1" a="1"/>
  <c r="E35" i="106" s="1"/>
  <c r="I48" i="106" s="1"/>
  <c r="M26" i="91" a="1"/>
  <c r="M26" i="91" s="1"/>
  <c r="M30" i="91" a="1"/>
  <c r="M30" i="91" s="1"/>
  <c r="L30" i="91" a="1"/>
  <c r="L30" i="91" s="1"/>
  <c r="D56" i="102"/>
  <c r="D136" i="105" s="1"/>
  <c r="F136" i="105" s="1" a="1"/>
  <c r="F136" i="105" s="1"/>
  <c r="D139" i="105"/>
  <c r="F139" i="105" s="1" a="1"/>
  <c r="F139" i="105" s="1"/>
  <c r="I139" i="105" s="1" a="1"/>
  <c r="I139" i="105" s="1"/>
  <c r="D138" i="105"/>
  <c r="F138" i="105" s="1" a="1"/>
  <c r="F138" i="105" s="1"/>
  <c r="D137" i="105"/>
  <c r="F137" i="105" s="1" a="1"/>
  <c r="F137" i="105" s="1"/>
  <c r="G183" i="107"/>
  <c r="AA237" i="105" s="1" a="1"/>
  <c r="AA237" i="105" s="1"/>
  <c r="D19" i="81" a="1"/>
  <c r="P22" i="79"/>
  <c r="P21" i="79"/>
  <c r="P20" i="79"/>
  <c r="D19" i="84" a="1"/>
  <c r="D60" i="80" a="1"/>
  <c r="D60" i="80" s="1"/>
  <c r="D23" i="85" a="1"/>
  <c r="D23" i="85" s="1"/>
  <c r="D59" i="84" a="1"/>
  <c r="D59" i="84" s="1"/>
  <c r="D58" i="81" a="1"/>
  <c r="D58" i="81" s="1"/>
  <c r="D19" i="80" a="1"/>
  <c r="S16" i="79" a="1"/>
  <c r="S16" i="79" s="1"/>
  <c r="F15" i="79"/>
  <c r="K14" i="79" a="1"/>
  <c r="K14" i="79" s="1"/>
  <c r="N13" i="79" a="1"/>
  <c r="N13" i="79" s="1"/>
  <c r="Q12" i="79" a="1"/>
  <c r="Q12" i="79" s="1"/>
  <c r="AD221" i="105" s="1" a="1"/>
  <c r="AD221" i="105" s="1"/>
  <c r="R16" i="79" a="1"/>
  <c r="R16" i="79" s="1"/>
  <c r="U15" i="79" a="1"/>
  <c r="U15" i="79" s="1"/>
  <c r="X14" i="79"/>
  <c r="J14" i="79" a="1"/>
  <c r="J14" i="79" s="1"/>
  <c r="M13" i="79" a="1"/>
  <c r="M13" i="79" s="1"/>
  <c r="P12" i="79" a="1"/>
  <c r="P12" i="79" s="1"/>
  <c r="AC221" i="105" s="1" a="1"/>
  <c r="Q16" i="79" a="1"/>
  <c r="Q16" i="79" s="1"/>
  <c r="T15" i="79" a="1"/>
  <c r="T15" i="79" s="1"/>
  <c r="W14" i="79"/>
  <c r="G14" i="79"/>
  <c r="L13" i="79" a="1"/>
  <c r="L13" i="79" s="1"/>
  <c r="O12" i="79" a="1"/>
  <c r="O12" i="79" s="1"/>
  <c r="P16" i="79" a="1"/>
  <c r="P16" i="79" s="1"/>
  <c r="S15" i="79" a="1"/>
  <c r="S15" i="79" s="1"/>
  <c r="F14" i="79"/>
  <c r="K13" i="79" a="1"/>
  <c r="K13" i="79" s="1"/>
  <c r="N12" i="79" a="1"/>
  <c r="N12" i="79" s="1"/>
  <c r="O16" i="79" a="1"/>
  <c r="O16" i="79" s="1"/>
  <c r="R15" i="79" a="1"/>
  <c r="R15" i="79" s="1"/>
  <c r="U14" i="79" a="1"/>
  <c r="U14" i="79" s="1"/>
  <c r="X13" i="79"/>
  <c r="J13" i="79" a="1"/>
  <c r="J13" i="79" s="1"/>
  <c r="M12" i="79" a="1"/>
  <c r="M12" i="79" s="1"/>
  <c r="V221" i="105" s="1" a="1"/>
  <c r="V221" i="105" s="1"/>
  <c r="N16" i="79" a="1"/>
  <c r="N16" i="79" s="1"/>
  <c r="Q15" i="79" a="1"/>
  <c r="Q15" i="79" s="1"/>
  <c r="T14" i="79" a="1"/>
  <c r="T14" i="79" s="1"/>
  <c r="W13" i="79"/>
  <c r="G13" i="79"/>
  <c r="L12" i="79" a="1"/>
  <c r="L12" i="79" s="1"/>
  <c r="M16" i="79" a="1"/>
  <c r="M16" i="79" s="1"/>
  <c r="P15" i="79" a="1"/>
  <c r="P15" i="79" s="1"/>
  <c r="S14" i="79" a="1"/>
  <c r="S14" i="79" s="1"/>
  <c r="F13" i="79"/>
  <c r="K12" i="79" a="1"/>
  <c r="K12" i="79" s="1"/>
  <c r="L16" i="79" a="1"/>
  <c r="L16" i="79" s="1"/>
  <c r="O15" i="79" a="1"/>
  <c r="O15" i="79" s="1"/>
  <c r="R14" i="79" a="1"/>
  <c r="R14" i="79" s="1"/>
  <c r="U13" i="79" a="1"/>
  <c r="U13" i="79" s="1"/>
  <c r="X12" i="79"/>
  <c r="J12" i="79" a="1"/>
  <c r="J12" i="79" s="1"/>
  <c r="K16" i="79" a="1"/>
  <c r="K16" i="79" s="1"/>
  <c r="N15" i="79" a="1"/>
  <c r="N15" i="79" s="1"/>
  <c r="Q14" i="79" a="1"/>
  <c r="Q14" i="79" s="1"/>
  <c r="T13" i="79" a="1"/>
  <c r="T13" i="79" s="1"/>
  <c r="W12" i="79"/>
  <c r="G12" i="79"/>
  <c r="X16" i="79"/>
  <c r="J16" i="79" a="1"/>
  <c r="J16" i="79" s="1"/>
  <c r="M15" i="79" a="1"/>
  <c r="M15" i="79" s="1"/>
  <c r="P14" i="79" a="1"/>
  <c r="P14" i="79" s="1"/>
  <c r="S13" i="79" a="1"/>
  <c r="S13" i="79" s="1"/>
  <c r="F12" i="79"/>
  <c r="W16" i="79"/>
  <c r="G16" i="79"/>
  <c r="L15" i="79" a="1"/>
  <c r="L15" i="79" s="1"/>
  <c r="O14" i="79" a="1"/>
  <c r="O14" i="79" s="1"/>
  <c r="R13" i="79" a="1"/>
  <c r="R13" i="79" s="1"/>
  <c r="U12" i="79" a="1"/>
  <c r="U12" i="79" s="1"/>
  <c r="F16" i="79"/>
  <c r="K15" i="79" a="1"/>
  <c r="K15" i="79" s="1"/>
  <c r="N14" i="79" a="1"/>
  <c r="N14" i="79" s="1"/>
  <c r="Q13" i="79" a="1"/>
  <c r="Q13" i="79" s="1"/>
  <c r="T12" i="79" a="1"/>
  <c r="T12" i="79" s="1"/>
  <c r="U16" i="79" a="1"/>
  <c r="U16" i="79" s="1"/>
  <c r="X15" i="79"/>
  <c r="J15" i="79" a="1"/>
  <c r="J15" i="79" s="1"/>
  <c r="M14" i="79" a="1"/>
  <c r="M14" i="79" s="1"/>
  <c r="P13" i="79" a="1"/>
  <c r="P13" i="79" s="1"/>
  <c r="S12" i="79" a="1"/>
  <c r="S12" i="79" s="1"/>
  <c r="T16" i="79" a="1"/>
  <c r="T16" i="79" s="1"/>
  <c r="W15" i="79"/>
  <c r="G15" i="79"/>
  <c r="L14" i="79" a="1"/>
  <c r="L14" i="79" s="1"/>
  <c r="O13" i="79" a="1"/>
  <c r="O13" i="79" s="1"/>
  <c r="R12" i="79" a="1"/>
  <c r="R12" i="79" s="1"/>
  <c r="E105" i="84"/>
  <c r="F105" i="84" s="1" a="1"/>
  <c r="F105" i="84" s="1"/>
  <c r="E137" i="84" s="1"/>
  <c r="E68" i="85"/>
  <c r="H195" i="107"/>
  <c r="I175" i="107"/>
  <c r="M38" i="91" a="1"/>
  <c r="M38" i="91" s="1"/>
  <c r="M31" i="92" a="1"/>
  <c r="M31" i="92" s="1"/>
  <c r="L31" i="92" a="1"/>
  <c r="L31" i="92" s="1"/>
  <c r="E73" i="85"/>
  <c r="E110" i="84"/>
  <c r="F110" i="84" s="1" a="1"/>
  <c r="F110" i="84" s="1"/>
  <c r="E142" i="84" s="1"/>
  <c r="H196" i="107"/>
  <c r="I176" i="107"/>
  <c r="E69" i="85"/>
  <c r="E106" i="84"/>
  <c r="J35" i="92"/>
  <c r="I35" i="92"/>
  <c r="H35" i="92"/>
  <c r="G35" i="92"/>
  <c r="K35" i="92"/>
  <c r="M27" i="92" a="1"/>
  <c r="M27" i="92" s="1"/>
  <c r="L27" i="92" a="1"/>
  <c r="L27" i="92" s="1"/>
  <c r="M38" i="92" a="1"/>
  <c r="M38" i="92" s="1"/>
  <c r="L38" i="92" a="1"/>
  <c r="L38" i="92" s="1"/>
  <c r="AE237" i="105" a="1"/>
  <c r="AE237" i="105" s="1"/>
  <c r="D24" i="97"/>
  <c r="H26" i="91" a="1"/>
  <c r="H26" i="91" s="1"/>
  <c r="I29" i="91" a="1"/>
  <c r="I29" i="91" s="1"/>
  <c r="J32" i="91" a="1"/>
  <c r="J32" i="91" s="1"/>
  <c r="I35" i="91" a="1"/>
  <c r="I35" i="91" s="1"/>
  <c r="I38" i="91" a="1"/>
  <c r="I38" i="91" s="1"/>
  <c r="E28" i="92"/>
  <c r="I31" i="105" a="1"/>
  <c r="I31" i="105" s="1"/>
  <c r="M31" i="105" s="1" a="1"/>
  <c r="M31" i="105" s="1"/>
  <c r="T119" i="105" a="1"/>
  <c r="T119" i="105" s="1"/>
  <c r="T121" i="105" a="1"/>
  <c r="T121" i="105" s="1"/>
  <c r="AB124" i="105" a="1"/>
  <c r="AB124" i="105" s="1"/>
  <c r="T128" i="105" a="1"/>
  <c r="T128" i="105" s="1"/>
  <c r="F128" i="105" s="1"/>
  <c r="I128" i="105" s="1" a="1"/>
  <c r="I128" i="105" s="1"/>
  <c r="W239" i="105" a="1"/>
  <c r="W239" i="105" s="1"/>
  <c r="E300" i="105" a="1"/>
  <c r="E300" i="105" s="1"/>
  <c r="G370" i="105" a="1"/>
  <c r="G370" i="105" s="1"/>
  <c r="G431" i="105" a="1"/>
  <c r="G431" i="105" s="1"/>
  <c r="H431" i="105" s="1" a="1"/>
  <c r="H431" i="105" s="1"/>
  <c r="G450" i="105" a="1"/>
  <c r="G450" i="105" s="1"/>
  <c r="H450" i="105" s="1" a="1"/>
  <c r="H450" i="105" s="1"/>
  <c r="J127" i="95" a="1"/>
  <c r="J127" i="95" s="1"/>
  <c r="J162" i="95" a="1"/>
  <c r="J162" i="95" s="1"/>
  <c r="I57" i="100" a="1"/>
  <c r="I57" i="100" s="1"/>
  <c r="D25" i="97"/>
  <c r="I26" i="91" a="1"/>
  <c r="I26" i="91" s="1"/>
  <c r="J29" i="91" a="1"/>
  <c r="J29" i="91" s="1"/>
  <c r="K32" i="91" a="1"/>
  <c r="K32" i="91" s="1"/>
  <c r="J35" i="91" a="1"/>
  <c r="J35" i="91" s="1"/>
  <c r="E37" i="91"/>
  <c r="H37" i="91" s="1" a="1"/>
  <c r="H37" i="91" s="1"/>
  <c r="N37" i="91" s="1" a="1"/>
  <c r="N37" i="91" s="1"/>
  <c r="J38" i="91" a="1"/>
  <c r="J38" i="91" s="1"/>
  <c r="E25" i="92"/>
  <c r="I32" i="105" a="1"/>
  <c r="I32" i="105" s="1"/>
  <c r="J32" i="105" s="1" a="1"/>
  <c r="J32" i="105" s="1"/>
  <c r="X121" i="105" a="1"/>
  <c r="X121" i="105" s="1"/>
  <c r="P125" i="105" a="1"/>
  <c r="P125" i="105" s="1"/>
  <c r="X128" i="105" a="1"/>
  <c r="X128" i="105" s="1"/>
  <c r="E301" i="105" a="1"/>
  <c r="E301" i="105" s="1"/>
  <c r="G371" i="105" a="1"/>
  <c r="G371" i="105" s="1"/>
  <c r="J371" i="105" s="1" a="1"/>
  <c r="J371" i="105" s="1"/>
  <c r="G432" i="105" a="1"/>
  <c r="G432" i="105" s="1"/>
  <c r="H432" i="105" s="1" a="1"/>
  <c r="H432" i="105" s="1"/>
  <c r="G451" i="105" a="1"/>
  <c r="G451" i="105" s="1"/>
  <c r="H451" i="105" s="1" a="1"/>
  <c r="H451" i="105" s="1"/>
  <c r="J120" i="95" a="1"/>
  <c r="J120" i="95" s="1"/>
  <c r="D157" i="95" a="1"/>
  <c r="D157" i="95" s="1"/>
  <c r="D26" i="97"/>
  <c r="I21" i="90"/>
  <c r="L39" i="91" s="1" a="1"/>
  <c r="L39" i="91" s="1"/>
  <c r="E25" i="91"/>
  <c r="H25" i="91" s="1" a="1"/>
  <c r="H25" i="91" s="1"/>
  <c r="J26" i="91" a="1"/>
  <c r="J26" i="91" s="1"/>
  <c r="K29" i="91" a="1"/>
  <c r="K29" i="91" s="1"/>
  <c r="G31" i="91" a="1"/>
  <c r="G31" i="91" s="1"/>
  <c r="K35" i="91" a="1"/>
  <c r="K35" i="91" s="1"/>
  <c r="K38" i="91" a="1"/>
  <c r="K38" i="91" s="1"/>
  <c r="E39" i="105" a="1"/>
  <c r="E39" i="105" s="1"/>
  <c r="J45" i="105" s="1" a="1"/>
  <c r="J45" i="105" s="1"/>
  <c r="AB121" i="105" a="1"/>
  <c r="AB121" i="105" s="1"/>
  <c r="T125" i="105" a="1"/>
  <c r="T125" i="105" s="1"/>
  <c r="AB128" i="105" a="1"/>
  <c r="AB128" i="105" s="1"/>
  <c r="G372" i="105" a="1"/>
  <c r="G372" i="105" s="1"/>
  <c r="H372" i="105" s="1" a="1"/>
  <c r="H372" i="105" s="1"/>
  <c r="G433" i="105" a="1"/>
  <c r="G433" i="105" s="1"/>
  <c r="H433" i="105" s="1" a="1"/>
  <c r="H433" i="105" s="1"/>
  <c r="G452" i="105" a="1"/>
  <c r="G452" i="105" s="1"/>
  <c r="H452" i="105" s="1" a="1"/>
  <c r="H452" i="105" s="1"/>
  <c r="D21" i="95" a="1"/>
  <c r="E157" i="95" a="1"/>
  <c r="E157" i="95" s="1"/>
  <c r="J163" i="95" a="1"/>
  <c r="J163" i="95" s="1"/>
  <c r="D30" i="97"/>
  <c r="K26" i="91" a="1"/>
  <c r="K26" i="91" s="1"/>
  <c r="G28" i="91" a="1"/>
  <c r="G28" i="91" s="1"/>
  <c r="H31" i="91" a="1"/>
  <c r="H31" i="91" s="1"/>
  <c r="G34" i="91" a="1"/>
  <c r="G34" i="91" s="1"/>
  <c r="G37" i="91" a="1"/>
  <c r="G37" i="91" s="1"/>
  <c r="E36" i="92"/>
  <c r="E58" i="105" a="1"/>
  <c r="E58" i="105" s="1"/>
  <c r="G68" i="105" s="1" a="1"/>
  <c r="G68" i="105" s="1"/>
  <c r="P122" i="105" a="1"/>
  <c r="P122" i="105" s="1"/>
  <c r="X125" i="105" a="1"/>
  <c r="X125" i="105" s="1"/>
  <c r="S240" i="105" a="1"/>
  <c r="S240" i="105" s="1"/>
  <c r="G373" i="105" a="1"/>
  <c r="G373" i="105" s="1"/>
  <c r="G434" i="105" a="1"/>
  <c r="G434" i="105" s="1"/>
  <c r="H434" i="105" s="1" a="1"/>
  <c r="H434" i="105" s="1"/>
  <c r="G453" i="105" a="1"/>
  <c r="G453" i="105" s="1"/>
  <c r="H453" i="105" s="1" a="1"/>
  <c r="H453" i="105" s="1"/>
  <c r="E21" i="95" a="1"/>
  <c r="G25" i="91" a="1"/>
  <c r="G25" i="91" s="1"/>
  <c r="H28" i="91" a="1"/>
  <c r="H28" i="91" s="1"/>
  <c r="I31" i="91" a="1"/>
  <c r="I31" i="91" s="1"/>
  <c r="H34" i="91" a="1"/>
  <c r="H34" i="91" s="1"/>
  <c r="E30" i="92"/>
  <c r="E33" i="92"/>
  <c r="E76" i="105" a="1"/>
  <c r="E76" i="105" s="1"/>
  <c r="X119" i="105" a="1"/>
  <c r="X119" i="105" s="1"/>
  <c r="T122" i="105" a="1"/>
  <c r="T122" i="105" s="1"/>
  <c r="AB125" i="105" a="1"/>
  <c r="AB125" i="105" s="1"/>
  <c r="G374" i="105" a="1"/>
  <c r="G374" i="105" s="1"/>
  <c r="G435" i="105" a="1"/>
  <c r="G435" i="105" s="1"/>
  <c r="H435" i="105" s="1" a="1"/>
  <c r="H435" i="105" s="1"/>
  <c r="G454" i="105" a="1"/>
  <c r="G454" i="105" s="1"/>
  <c r="D116" i="95" a="1"/>
  <c r="D116" i="95" s="1"/>
  <c r="J157" i="95" a="1"/>
  <c r="J157" i="95" s="1"/>
  <c r="J164" i="95" a="1"/>
  <c r="J164" i="95" s="1"/>
  <c r="I34" i="100" a="1"/>
  <c r="I34" i="100" s="1"/>
  <c r="L15" i="102"/>
  <c r="I28" i="91" a="1"/>
  <c r="I28" i="91" s="1"/>
  <c r="J31" i="91" a="1"/>
  <c r="J31" i="91" s="1"/>
  <c r="E33" i="91"/>
  <c r="G33" i="91" s="1" a="1"/>
  <c r="G33" i="91" s="1"/>
  <c r="I34" i="91" a="1"/>
  <c r="I34" i="91" s="1"/>
  <c r="E27" i="92"/>
  <c r="X122" i="105" a="1"/>
  <c r="X122" i="105" s="1"/>
  <c r="P126" i="105" a="1"/>
  <c r="P126" i="105" s="1"/>
  <c r="F126" i="105" s="1"/>
  <c r="G126" i="105" s="1" a="1"/>
  <c r="G126" i="105" s="1"/>
  <c r="G375" i="105" a="1"/>
  <c r="G375" i="105" s="1"/>
  <c r="J375" i="105" s="1" a="1"/>
  <c r="J375" i="105" s="1"/>
  <c r="G436" i="105" a="1"/>
  <c r="G436" i="105" s="1"/>
  <c r="G455" i="105" a="1"/>
  <c r="G455" i="105" s="1"/>
  <c r="J455" i="105" s="1" a="1"/>
  <c r="J455" i="105" s="1"/>
  <c r="E116" i="95" a="1"/>
  <c r="E116" i="95" s="1"/>
  <c r="J174" i="95" a="1"/>
  <c r="J174" i="95" s="1"/>
  <c r="I530" i="105" a="1"/>
  <c r="I530" i="105" s="1"/>
  <c r="E533" i="105" s="1" a="1"/>
  <c r="E533" i="105" s="1"/>
  <c r="E107" i="84"/>
  <c r="F107" i="84" s="1" a="1"/>
  <c r="F107" i="84" s="1"/>
  <c r="E139" i="84" s="1"/>
  <c r="I25" i="91" a="1"/>
  <c r="I25" i="91" s="1"/>
  <c r="J28" i="91" a="1"/>
  <c r="J28" i="91" s="1"/>
  <c r="K31" i="91" a="1"/>
  <c r="K31" i="91" s="1"/>
  <c r="J34" i="91" a="1"/>
  <c r="J34" i="91" s="1"/>
  <c r="I23" i="105" a="1"/>
  <c r="I23" i="105" s="1"/>
  <c r="AB122" i="105" a="1"/>
  <c r="AB122" i="105" s="1"/>
  <c r="T126" i="105" a="1"/>
  <c r="T126" i="105" s="1"/>
  <c r="AE240" i="105" a="1"/>
  <c r="AE240" i="105" s="1"/>
  <c r="G376" i="105" a="1"/>
  <c r="G376" i="105" s="1"/>
  <c r="G437" i="105" a="1"/>
  <c r="G437" i="105" s="1"/>
  <c r="G456" i="105" a="1"/>
  <c r="G456" i="105" s="1"/>
  <c r="J456" i="105" s="1" a="1"/>
  <c r="J456" i="105" s="1"/>
  <c r="J132" i="95" a="1"/>
  <c r="J132" i="95" s="1"/>
  <c r="J158" i="95" a="1"/>
  <c r="J158" i="95" s="1"/>
  <c r="L11" i="102"/>
  <c r="E108" i="84"/>
  <c r="F108" i="84" s="1" a="1"/>
  <c r="F108" i="84" s="1"/>
  <c r="E140" i="84" s="1"/>
  <c r="J25" i="91" a="1"/>
  <c r="J25" i="91" s="1"/>
  <c r="K28" i="91" a="1"/>
  <c r="K28" i="91" s="1"/>
  <c r="G30" i="91" a="1"/>
  <c r="G30" i="91" s="1"/>
  <c r="K34" i="91" a="1"/>
  <c r="K34" i="91" s="1"/>
  <c r="G36" i="91" a="1"/>
  <c r="G36" i="91" s="1"/>
  <c r="G39" i="91" a="1"/>
  <c r="G39" i="91" s="1"/>
  <c r="I24" i="105" a="1"/>
  <c r="I24" i="105" s="1"/>
  <c r="J24" i="105" s="1" a="1"/>
  <c r="J24" i="105" s="1"/>
  <c r="P123" i="105" a="1"/>
  <c r="P123" i="105" s="1"/>
  <c r="X126" i="105" a="1"/>
  <c r="X126" i="105" s="1"/>
  <c r="G438" i="105" a="1"/>
  <c r="G438" i="105" s="1"/>
  <c r="H438" i="105" s="1" a="1"/>
  <c r="H438" i="105" s="1"/>
  <c r="G457" i="105" a="1"/>
  <c r="G457" i="105" s="1"/>
  <c r="J457" i="105" s="1" a="1"/>
  <c r="J457" i="105" s="1"/>
  <c r="G194" i="107"/>
  <c r="AE244" i="105" s="1" a="1"/>
  <c r="AE244" i="105" s="1"/>
  <c r="J116" i="95" a="1"/>
  <c r="J116" i="95" s="1"/>
  <c r="J123" i="95" a="1"/>
  <c r="J123" i="95" s="1"/>
  <c r="O11" i="102"/>
  <c r="I19" i="98" a="1"/>
  <c r="I19" i="98" s="1"/>
  <c r="G27" i="91" a="1"/>
  <c r="G27" i="91" s="1"/>
  <c r="H30" i="91" a="1"/>
  <c r="H30" i="91" s="1"/>
  <c r="H33" i="91" a="1"/>
  <c r="H33" i="91" s="1"/>
  <c r="H36" i="91" a="1"/>
  <c r="H36" i="91" s="1"/>
  <c r="H39" i="91" a="1"/>
  <c r="H39" i="91" s="1"/>
  <c r="E38" i="92"/>
  <c r="I25" i="105" a="1"/>
  <c r="I25" i="105" s="1"/>
  <c r="M25" i="105" s="1" a="1"/>
  <c r="M25" i="105" s="1"/>
  <c r="AB119" i="105" a="1"/>
  <c r="AB119" i="105" s="1"/>
  <c r="T123" i="105" a="1"/>
  <c r="T123" i="105" s="1"/>
  <c r="AB126" i="105" a="1"/>
  <c r="AB126" i="105" s="1"/>
  <c r="G439" i="105" a="1"/>
  <c r="G439" i="105" s="1"/>
  <c r="J439" i="105" s="1" a="1"/>
  <c r="J439" i="105" s="1"/>
  <c r="J166" i="95" a="1"/>
  <c r="J166" i="95" s="1"/>
  <c r="I69" i="106"/>
  <c r="I35" i="100" a="1"/>
  <c r="I35" i="100" s="1"/>
  <c r="H27" i="91" a="1"/>
  <c r="H27" i="91" s="1"/>
  <c r="I30" i="91" a="1"/>
  <c r="I30" i="91" s="1"/>
  <c r="I36" i="91" a="1"/>
  <c r="I36" i="91" s="1"/>
  <c r="I39" i="91" a="1"/>
  <c r="I39" i="91" s="1"/>
  <c r="I26" i="105" a="1"/>
  <c r="I26" i="105" s="1"/>
  <c r="M26" i="105" s="1" a="1"/>
  <c r="M26" i="105" s="1"/>
  <c r="P120" i="105" a="1"/>
  <c r="P120" i="105" s="1"/>
  <c r="F120" i="105" s="1"/>
  <c r="G120" i="105" s="1" a="1"/>
  <c r="G120" i="105" s="1"/>
  <c r="X123" i="105" a="1"/>
  <c r="X123" i="105" s="1"/>
  <c r="P127" i="105" a="1"/>
  <c r="P127" i="105" s="1"/>
  <c r="F127" i="105" s="1"/>
  <c r="I127" i="105" s="1" a="1"/>
  <c r="I127" i="105" s="1"/>
  <c r="G195" i="107"/>
  <c r="S243" i="105" s="1" a="1"/>
  <c r="S243" i="105" s="1"/>
  <c r="J117" i="95" a="1"/>
  <c r="J117" i="95" s="1"/>
  <c r="D17" i="97"/>
  <c r="I27" i="91" a="1"/>
  <c r="I27" i="91" s="1"/>
  <c r="J30" i="91" a="1"/>
  <c r="J30" i="91" s="1"/>
  <c r="J36" i="91" a="1"/>
  <c r="J36" i="91" s="1"/>
  <c r="E38" i="91"/>
  <c r="J39" i="91" a="1"/>
  <c r="J39" i="91" s="1"/>
  <c r="I27" i="105" a="1"/>
  <c r="I27" i="105" s="1"/>
  <c r="M27" i="105" s="1" a="1"/>
  <c r="M27" i="105" s="1"/>
  <c r="P119" i="105" a="1"/>
  <c r="P119" i="105" s="1"/>
  <c r="T120" i="105" a="1"/>
  <c r="T120" i="105" s="1"/>
  <c r="AB123" i="105" a="1"/>
  <c r="AB123" i="105" s="1"/>
  <c r="T127" i="105" a="1"/>
  <c r="T127" i="105" s="1"/>
  <c r="D59" i="95" a="1"/>
  <c r="J134" i="95" a="1"/>
  <c r="J134" i="95" s="1"/>
  <c r="J167" i="95" a="1"/>
  <c r="J167" i="95" s="1"/>
  <c r="I15" i="88" a="1"/>
  <c r="I15" i="88" s="1"/>
  <c r="I15" i="98" a="1"/>
  <c r="I15" i="98" s="1"/>
  <c r="I17" i="100" a="1"/>
  <c r="I17" i="100" s="1"/>
  <c r="F17" i="97"/>
  <c r="J27" i="91" a="1"/>
  <c r="J27" i="91" s="1"/>
  <c r="K30" i="91" a="1"/>
  <c r="K30" i="91" s="1"/>
  <c r="G32" i="91" a="1"/>
  <c r="G32" i="91" s="1"/>
  <c r="K36" i="91" a="1"/>
  <c r="K36" i="91" s="1"/>
  <c r="K39" i="91" a="1"/>
  <c r="K39" i="91" s="1"/>
  <c r="I28" i="105" a="1"/>
  <c r="I28" i="105" s="1"/>
  <c r="J28" i="105" s="1" a="1"/>
  <c r="J28" i="105" s="1"/>
  <c r="X120" i="105" a="1"/>
  <c r="X120" i="105" s="1"/>
  <c r="P124" i="105" a="1"/>
  <c r="P124" i="105" s="1"/>
  <c r="X127" i="105" a="1"/>
  <c r="X127" i="105" s="1"/>
  <c r="G367" i="105" a="1"/>
  <c r="G367" i="105" s="1"/>
  <c r="G196" i="107"/>
  <c r="E59" i="95" a="1"/>
  <c r="J118" i="95" a="1"/>
  <c r="J118" i="95" s="1"/>
  <c r="O13" i="102"/>
  <c r="E276" i="105" s="1"/>
  <c r="I19" i="90"/>
  <c r="L26" i="91" s="1" a="1"/>
  <c r="L26" i="91" s="1"/>
  <c r="K27" i="91" a="1"/>
  <c r="K27" i="91" s="1"/>
  <c r="G29" i="91" a="1"/>
  <c r="G29" i="91" s="1"/>
  <c r="H32" i="91" a="1"/>
  <c r="H32" i="91" s="1"/>
  <c r="G35" i="91" a="1"/>
  <c r="G35" i="91" s="1"/>
  <c r="G38" i="91" a="1"/>
  <c r="G38" i="91" s="1"/>
  <c r="I29" i="105" a="1"/>
  <c r="I29" i="105" s="1"/>
  <c r="AB120" i="105" a="1"/>
  <c r="AB120" i="105" s="1"/>
  <c r="T124" i="105" a="1"/>
  <c r="T124" i="105" s="1"/>
  <c r="AB127" i="105" a="1"/>
  <c r="AB127" i="105" s="1"/>
  <c r="K40" i="92" a="1"/>
  <c r="K40" i="92" s="1"/>
  <c r="G26" i="91" a="1"/>
  <c r="G26" i="91" s="1"/>
  <c r="H29" i="91" a="1"/>
  <c r="H29" i="91" s="1"/>
  <c r="I32" i="91" a="1"/>
  <c r="I32" i="91" s="1"/>
  <c r="H35" i="91" a="1"/>
  <c r="H35" i="91" s="1"/>
  <c r="P121" i="105" a="1"/>
  <c r="P121" i="105" s="1"/>
  <c r="X124" i="105" a="1"/>
  <c r="X124" i="105" s="1"/>
  <c r="P128" i="105" a="1"/>
  <c r="P128" i="105" s="1"/>
  <c r="S246" i="105" a="1"/>
  <c r="S246" i="105" s="1"/>
  <c r="G369" i="105" a="1"/>
  <c r="G369" i="105" s="1"/>
  <c r="H369" i="105" s="1" a="1"/>
  <c r="H369" i="105" s="1"/>
  <c r="G449" i="105" a="1"/>
  <c r="G449" i="105" s="1"/>
  <c r="H449" i="105" s="1" a="1"/>
  <c r="H449" i="105" s="1"/>
  <c r="K39" i="92" a="1"/>
  <c r="K39" i="92" s="1"/>
  <c r="O35" i="106" a="1"/>
  <c r="O35" i="106" s="1"/>
  <c r="S48" i="106" s="1"/>
  <c r="I16" i="100" a="1"/>
  <c r="I16" i="100" s="1"/>
  <c r="I18" i="98" a="1"/>
  <c r="I18" i="98" s="1"/>
  <c r="J627" i="105" a="1"/>
  <c r="J627" i="105" s="1"/>
  <c r="H430" i="105" a="1"/>
  <c r="H430" i="105" s="1"/>
  <c r="I138" i="105" a="1"/>
  <c r="I138" i="105" s="1"/>
  <c r="G468" i="105" a="1"/>
  <c r="G468" i="105" s="1"/>
  <c r="G481" i="105" a="1"/>
  <c r="G481" i="105" s="1"/>
  <c r="G470" i="105" a="1"/>
  <c r="G470" i="105" s="1"/>
  <c r="F19" i="106"/>
  <c r="P19" i="106"/>
  <c r="P74" i="106"/>
  <c r="G136" i="105" a="1"/>
  <c r="G136" i="105" s="1"/>
  <c r="G466" i="105" a="1"/>
  <c r="G466" i="105" s="1"/>
  <c r="G479" i="105" a="1"/>
  <c r="G479" i="105" s="1"/>
  <c r="E61" i="106"/>
  <c r="O61" i="106"/>
  <c r="E26" i="106"/>
  <c r="O26" i="106"/>
  <c r="P90" i="106"/>
  <c r="F90" i="106"/>
  <c r="P55" i="106"/>
  <c r="F55" i="106"/>
  <c r="G138" i="105" a="1"/>
  <c r="G138" i="105" s="1"/>
  <c r="F145" i="105"/>
  <c r="G163" i="105" a="1"/>
  <c r="G163" i="105" s="1"/>
  <c r="F130" i="105"/>
  <c r="E7" i="105"/>
  <c r="E355" i="105"/>
  <c r="E100" i="105"/>
  <c r="E188" i="105"/>
  <c r="E258" i="105"/>
  <c r="E151" i="105"/>
  <c r="E174" i="105"/>
  <c r="E203" i="105"/>
  <c r="E323" i="105"/>
  <c r="E385" i="105"/>
  <c r="E418" i="105"/>
  <c r="E290" i="105"/>
  <c r="E561" i="105"/>
  <c r="E594" i="105"/>
  <c r="E167" i="105"/>
  <c r="J86" i="105" a="1"/>
  <c r="J86" i="105" s="1"/>
  <c r="I274" i="105" a="1"/>
  <c r="I274" i="105" s="1"/>
  <c r="G274" i="105" a="1"/>
  <c r="G274" i="105" s="1"/>
  <c r="F484" i="105"/>
  <c r="F473" i="105"/>
  <c r="F317" i="105"/>
  <c r="F501" i="105"/>
  <c r="F378" i="105"/>
  <c r="F348" i="105"/>
  <c r="F483" i="105"/>
  <c r="F472" i="105"/>
  <c r="F460" i="105"/>
  <c r="F442" i="105"/>
  <c r="F411" i="105"/>
  <c r="F316" i="105"/>
  <c r="F533" i="105"/>
  <c r="F555" i="105"/>
  <c r="F502" i="105"/>
  <c r="F379" i="105"/>
  <c r="F251" i="105"/>
  <c r="F410" i="105"/>
  <c r="F248" i="105"/>
  <c r="F347" i="105"/>
  <c r="F459" i="105"/>
  <c r="F284" i="105"/>
  <c r="F283" i="105"/>
  <c r="F441" i="105"/>
  <c r="F518" i="105"/>
  <c r="F252" i="105"/>
  <c r="F167" i="105"/>
  <c r="F249" i="105"/>
  <c r="F166" i="105"/>
  <c r="J437" i="105" a="1"/>
  <c r="J437" i="105" s="1"/>
  <c r="H437" i="105" a="1"/>
  <c r="H437" i="105" s="1"/>
  <c r="I467" i="105" a="1"/>
  <c r="I467" i="105" s="1"/>
  <c r="G467" i="105" a="1"/>
  <c r="G467" i="105" s="1"/>
  <c r="N573" i="105"/>
  <c r="F573" i="105"/>
  <c r="G50" i="105" a="1"/>
  <c r="G50" i="105" s="1"/>
  <c r="J87" i="105" a="1"/>
  <c r="J87" i="105" s="1"/>
  <c r="G84" i="105" a="1"/>
  <c r="G84" i="105" s="1"/>
  <c r="J80" i="105" a="1"/>
  <c r="J80" i="105" s="1"/>
  <c r="G87" i="105" a="1"/>
  <c r="G87" i="105" s="1"/>
  <c r="J83" i="105" a="1"/>
  <c r="J83" i="105" s="1"/>
  <c r="G80" i="105" a="1"/>
  <c r="G80" i="105" s="1"/>
  <c r="G62" i="105" a="1"/>
  <c r="G62" i="105" s="1"/>
  <c r="J68" i="105" a="1"/>
  <c r="J68" i="105" s="1"/>
  <c r="G65" i="105" a="1"/>
  <c r="G65" i="105" s="1"/>
  <c r="J30" i="105" a="1"/>
  <c r="J30" i="105" s="1"/>
  <c r="F53" i="105"/>
  <c r="F73" i="105"/>
  <c r="F93" i="105"/>
  <c r="F142" i="105"/>
  <c r="H368" i="105" a="1"/>
  <c r="H368" i="105" s="1"/>
  <c r="H370" i="105" a="1"/>
  <c r="H370" i="105" s="1"/>
  <c r="H374" i="105" a="1"/>
  <c r="H374" i="105" s="1"/>
  <c r="J373" i="105" a="1"/>
  <c r="J373" i="105" s="1"/>
  <c r="F54" i="105"/>
  <c r="F94" i="105"/>
  <c r="F144" i="105"/>
  <c r="J374" i="105" a="1"/>
  <c r="J374" i="105" s="1"/>
  <c r="H376" i="105" a="1"/>
  <c r="H376" i="105" s="1"/>
  <c r="G469" i="105" a="1"/>
  <c r="G469" i="105" s="1"/>
  <c r="I469" i="105" a="1"/>
  <c r="I469" i="105" s="1"/>
  <c r="J26" i="105" a="1"/>
  <c r="J26" i="105" s="1"/>
  <c r="J69" i="105" a="1"/>
  <c r="J69" i="105" s="1"/>
  <c r="G81" i="105" a="1"/>
  <c r="G81" i="105" s="1"/>
  <c r="J84" i="105" a="1"/>
  <c r="J84" i="105" s="1"/>
  <c r="G88" i="105" a="1"/>
  <c r="G88" i="105" s="1"/>
  <c r="I120" i="105" a="1"/>
  <c r="I120" i="105" s="1"/>
  <c r="K342" i="105" a="1"/>
  <c r="K342" i="105" s="1"/>
  <c r="K337" i="105" a="1"/>
  <c r="K337" i="105" s="1"/>
  <c r="K345" i="105" a="1"/>
  <c r="K345" i="105" s="1"/>
  <c r="K343" i="105" a="1"/>
  <c r="K343" i="105" s="1"/>
  <c r="K338" i="105" a="1"/>
  <c r="K338" i="105" s="1"/>
  <c r="J436" i="105" a="1"/>
  <c r="J436" i="105" s="1"/>
  <c r="H436" i="105" a="1"/>
  <c r="H436" i="105" s="1"/>
  <c r="H456" i="105" a="1"/>
  <c r="H456" i="105" s="1"/>
  <c r="J454" i="105" a="1"/>
  <c r="J454" i="105" s="1"/>
  <c r="H454" i="105" a="1"/>
  <c r="H454" i="105" s="1"/>
  <c r="G480" i="105" a="1"/>
  <c r="G480" i="105" s="1"/>
  <c r="I480" i="105" a="1"/>
  <c r="I480" i="105" s="1"/>
  <c r="E484" i="105" s="1"/>
  <c r="M24" i="105" a="1"/>
  <c r="M24" i="105" s="1"/>
  <c r="G63" i="105" a="1"/>
  <c r="G63" i="105" s="1"/>
  <c r="J66" i="105" a="1"/>
  <c r="J66" i="105" s="1"/>
  <c r="J81" i="105" a="1"/>
  <c r="J81" i="105" s="1"/>
  <c r="G85" i="105" a="1"/>
  <c r="G85" i="105" s="1"/>
  <c r="J88" i="105" a="1"/>
  <c r="J88" i="105" s="1"/>
  <c r="G137" i="105" a="1"/>
  <c r="G137" i="105" s="1"/>
  <c r="G162" i="105" a="1"/>
  <c r="G162" i="105" s="1"/>
  <c r="L337" i="105"/>
  <c r="L341" i="105"/>
  <c r="L338" i="105"/>
  <c r="L342" i="105"/>
  <c r="K344" i="105" a="1"/>
  <c r="K344" i="105" s="1"/>
  <c r="J29" i="105" a="1"/>
  <c r="J29" i="105" s="1"/>
  <c r="F131" i="105"/>
  <c r="G139" i="105" a="1"/>
  <c r="G139" i="105" s="1"/>
  <c r="L336" i="105"/>
  <c r="K404" i="105"/>
  <c r="H457" i="105" a="1"/>
  <c r="H457" i="105" s="1"/>
  <c r="F34" i="105"/>
  <c r="J63" i="105" a="1"/>
  <c r="J63" i="105" s="1"/>
  <c r="G67" i="105" a="1"/>
  <c r="G67" i="105" s="1"/>
  <c r="G82" i="105" a="1"/>
  <c r="G82" i="105" s="1"/>
  <c r="J85" i="105" a="1"/>
  <c r="J85" i="105" s="1"/>
  <c r="F296" i="105"/>
  <c r="L344" i="105"/>
  <c r="F90" i="105"/>
  <c r="I273" i="105" a="1"/>
  <c r="I273" i="105" s="1"/>
  <c r="G279" i="105" a="1"/>
  <c r="G279" i="105" s="1"/>
  <c r="J401" i="105" a="1"/>
  <c r="J401" i="105" s="1"/>
  <c r="J405" i="105" a="1"/>
  <c r="J405" i="105" s="1"/>
  <c r="J404" i="105" a="1"/>
  <c r="J404" i="105" s="1"/>
  <c r="J402" i="105" a="1"/>
  <c r="J402" i="105" s="1"/>
  <c r="J406" i="105" a="1"/>
  <c r="J406" i="105" s="1"/>
  <c r="J44" i="105" a="1"/>
  <c r="J44" i="105" s="1"/>
  <c r="J82" i="105" a="1"/>
  <c r="J82" i="105" s="1"/>
  <c r="G86" i="105" a="1"/>
  <c r="G86" i="105" s="1"/>
  <c r="I279" i="105" a="1"/>
  <c r="I279" i="105" s="1"/>
  <c r="L345" i="105"/>
  <c r="J438" i="105" a="1"/>
  <c r="J438" i="105" s="1"/>
  <c r="J27" i="105" a="1"/>
  <c r="J27" i="105" s="1"/>
  <c r="F35" i="105"/>
  <c r="F72" i="105"/>
  <c r="F642" i="105"/>
  <c r="F641" i="105"/>
  <c r="F639" i="105"/>
  <c r="F638" i="105"/>
  <c r="F620" i="105"/>
  <c r="F141" i="105"/>
  <c r="K339" i="105" a="1"/>
  <c r="K339" i="105" s="1"/>
  <c r="K405" i="105"/>
  <c r="K400" i="105"/>
  <c r="K408" i="105"/>
  <c r="K403" i="105"/>
  <c r="K406" i="105"/>
  <c r="K401" i="105"/>
  <c r="G83" i="105" a="1"/>
  <c r="G83" i="105" s="1"/>
  <c r="I271" i="105" a="1"/>
  <c r="I271" i="105" s="1"/>
  <c r="K399" i="105"/>
  <c r="J431" i="105" a="1"/>
  <c r="J431" i="105" s="1"/>
  <c r="J449" i="105" a="1"/>
  <c r="J449" i="105" s="1"/>
  <c r="K494" i="105" a="1"/>
  <c r="K494" i="105" s="1"/>
  <c r="E502" i="105" s="1"/>
  <c r="J633" i="105" a="1"/>
  <c r="J633" i="105" s="1"/>
  <c r="H448" i="105" a="1"/>
  <c r="H448" i="105" s="1"/>
  <c r="J616" i="105" a="1"/>
  <c r="J616" i="105" s="1"/>
  <c r="J634" i="105" a="1"/>
  <c r="J634" i="105" s="1"/>
  <c r="J614" i="105" a="1"/>
  <c r="J614" i="105" s="1"/>
  <c r="J609" i="105" a="1"/>
  <c r="J609" i="105" s="1"/>
  <c r="L12" i="102"/>
  <c r="E278" i="105" s="1"/>
  <c r="R17" i="102"/>
  <c r="O12" i="102"/>
  <c r="L20" i="102"/>
  <c r="R20" i="102"/>
  <c r="O17" i="102"/>
  <c r="L19" i="102"/>
  <c r="O19" i="102"/>
  <c r="E7" i="100"/>
  <c r="E7" i="99"/>
  <c r="E30" i="99"/>
  <c r="F42" i="98"/>
  <c r="O77" i="98"/>
  <c r="F48" i="99"/>
  <c r="E7" i="98"/>
  <c r="N8" i="98"/>
  <c r="N42" i="98"/>
  <c r="O59" i="98"/>
  <c r="F24" i="98"/>
  <c r="E20" i="97"/>
  <c r="E30" i="97"/>
  <c r="E99" i="95"/>
  <c r="E7" i="95"/>
  <c r="F192" i="95"/>
  <c r="F151" i="95"/>
  <c r="E7" i="92"/>
  <c r="L8" i="92"/>
  <c r="F58" i="92"/>
  <c r="F49" i="92"/>
  <c r="F57" i="92"/>
  <c r="F46" i="92"/>
  <c r="F56" i="92"/>
  <c r="F45" i="92"/>
  <c r="F55" i="92"/>
  <c r="F44" i="92"/>
  <c r="F52" i="92"/>
  <c r="F43" i="92"/>
  <c r="F51" i="92"/>
  <c r="F50" i="92"/>
  <c r="D39" i="92"/>
  <c r="L39" i="92" s="1" a="1"/>
  <c r="L39" i="92" s="1"/>
  <c r="D42" i="92"/>
  <c r="F43" i="91"/>
  <c r="D30" i="92"/>
  <c r="L30" i="92" s="1" a="1"/>
  <c r="L30" i="92" s="1"/>
  <c r="D37" i="92"/>
  <c r="D28" i="92"/>
  <c r="D35" i="92"/>
  <c r="L35" i="92" s="1" a="1"/>
  <c r="L35" i="92" s="1"/>
  <c r="D26" i="92"/>
  <c r="L26" i="92" s="1" a="1"/>
  <c r="L26" i="92" s="1"/>
  <c r="D33" i="92"/>
  <c r="D40" i="92"/>
  <c r="L40" i="92" s="1" a="1"/>
  <c r="L40" i="92" s="1"/>
  <c r="D31" i="92"/>
  <c r="D38" i="92"/>
  <c r="D48" i="92"/>
  <c r="E7" i="91"/>
  <c r="L7" i="91"/>
  <c r="F52" i="91"/>
  <c r="F62" i="91"/>
  <c r="F44" i="91"/>
  <c r="D54" i="91"/>
  <c r="D29" i="91"/>
  <c r="F63" i="91"/>
  <c r="D38" i="91"/>
  <c r="L38" i="91" s="1" a="1"/>
  <c r="L38" i="91" s="1"/>
  <c r="F45" i="91"/>
  <c r="F55" i="91"/>
  <c r="F64" i="91"/>
  <c r="F46" i="91"/>
  <c r="F56" i="91"/>
  <c r="F67" i="91"/>
  <c r="D32" i="91"/>
  <c r="F57" i="91"/>
  <c r="D27" i="91"/>
  <c r="L27" i="91" s="1" a="1"/>
  <c r="L27" i="91" s="1"/>
  <c r="F49" i="91"/>
  <c r="F68" i="91"/>
  <c r="D36" i="91"/>
  <c r="L36" i="91" s="1" a="1"/>
  <c r="L36" i="91" s="1"/>
  <c r="F58" i="91"/>
  <c r="D31" i="91"/>
  <c r="L31" i="91" s="1" a="1"/>
  <c r="L31" i="91" s="1"/>
  <c r="F50" i="91"/>
  <c r="F69" i="91"/>
  <c r="D26" i="91"/>
  <c r="D42" i="91"/>
  <c r="D35" i="91"/>
  <c r="L35" i="91" s="1" a="1"/>
  <c r="L35" i="91" s="1"/>
  <c r="F51" i="91"/>
  <c r="F61" i="91"/>
  <c r="I18" i="90"/>
  <c r="L32" i="92" s="1" a="1"/>
  <c r="L32" i="92" s="1"/>
  <c r="I17" i="90"/>
  <c r="I20" i="90"/>
  <c r="L33" i="91" s="1" a="1"/>
  <c r="L33" i="91" s="1"/>
  <c r="E18" i="88" a="1"/>
  <c r="E18" i="88" s="1"/>
  <c r="I15" i="85"/>
  <c r="F111" i="84" a="1"/>
  <c r="F111" i="84" s="1"/>
  <c r="E143" i="84" s="1"/>
  <c r="F109" i="84" a="1"/>
  <c r="F109" i="84" s="1"/>
  <c r="E141" i="84" s="1"/>
  <c r="D29" i="79"/>
  <c r="E49" i="85"/>
  <c r="E7" i="85"/>
  <c r="F106" i="84" a="1"/>
  <c r="F106" i="84" s="1"/>
  <c r="E138" i="84" s="1"/>
  <c r="E43" i="84"/>
  <c r="E118" i="84"/>
  <c r="E7" i="84"/>
  <c r="E90" i="84"/>
  <c r="G59" i="84"/>
  <c r="E7" i="83"/>
  <c r="E38" i="82"/>
  <c r="E7" i="82"/>
  <c r="E7" i="81"/>
  <c r="E43" i="81"/>
  <c r="F78" i="81"/>
  <c r="F58" i="81"/>
  <c r="E7" i="80"/>
  <c r="E42" i="80"/>
  <c r="N60" i="80"/>
  <c r="O88" i="80"/>
  <c r="F60" i="80"/>
  <c r="E8" i="76" a="1"/>
  <c r="E8" i="76" s="1"/>
  <c r="S71" i="80" s="1"/>
  <c r="E10" i="76" a="1"/>
  <c r="E10" i="76" s="1"/>
  <c r="E9" i="76" a="1"/>
  <c r="E9" i="76" s="1"/>
  <c r="N39" i="91" l="1" a="1"/>
  <c r="N39" i="91" s="1"/>
  <c r="Q39" i="91" a="1"/>
  <c r="Q39" i="91" s="1"/>
  <c r="G276" i="105" a="1"/>
  <c r="G276" i="105" s="1"/>
  <c r="I276" i="105" a="1"/>
  <c r="I276" i="105" s="1"/>
  <c r="I278" i="105" a="1"/>
  <c r="I278" i="105" s="1"/>
  <c r="G278" i="105" a="1"/>
  <c r="G278" i="105" s="1"/>
  <c r="E21" i="95"/>
  <c r="H21" i="95" s="1" a="1"/>
  <c r="H21" i="95" s="1"/>
  <c r="H48" i="95" a="1"/>
  <c r="H48" i="95" s="1"/>
  <c r="H40" i="95" a="1"/>
  <c r="H40" i="95" s="1"/>
  <c r="H33" i="95" a="1"/>
  <c r="H33" i="95" s="1"/>
  <c r="H25" i="95" a="1"/>
  <c r="H25" i="95" s="1"/>
  <c r="H47" i="95" a="1"/>
  <c r="H47" i="95" s="1"/>
  <c r="H39" i="95" a="1"/>
  <c r="H39" i="95" s="1"/>
  <c r="H31" i="95" a="1"/>
  <c r="H31" i="95" s="1"/>
  <c r="H24" i="95" a="1"/>
  <c r="H24" i="95" s="1"/>
  <c r="H54" i="95" a="1"/>
  <c r="H54" i="95" s="1"/>
  <c r="H46" i="95" a="1"/>
  <c r="H46" i="95" s="1"/>
  <c r="H38" i="95" a="1"/>
  <c r="H38" i="95" s="1"/>
  <c r="H30" i="95" a="1"/>
  <c r="H30" i="95" s="1"/>
  <c r="H23" i="95" a="1"/>
  <c r="H23" i="95" s="1"/>
  <c r="H53" i="95" a="1"/>
  <c r="H53" i="95" s="1"/>
  <c r="H45" i="95" a="1"/>
  <c r="H45" i="95" s="1"/>
  <c r="H37" i="95" a="1"/>
  <c r="H37" i="95" s="1"/>
  <c r="H29" i="95" a="1"/>
  <c r="H29" i="95" s="1"/>
  <c r="H22" i="95" a="1"/>
  <c r="H22" i="95" s="1"/>
  <c r="H52" i="95" a="1"/>
  <c r="H52" i="95" s="1"/>
  <c r="H44" i="95" a="1"/>
  <c r="H44" i="95" s="1"/>
  <c r="H36" i="95" a="1"/>
  <c r="H36" i="95" s="1"/>
  <c r="H28" i="95" a="1"/>
  <c r="H28" i="95" s="1"/>
  <c r="H51" i="95" a="1"/>
  <c r="H51" i="95" s="1"/>
  <c r="H42" i="95" a="1"/>
  <c r="H42" i="95" s="1"/>
  <c r="H35" i="95" a="1"/>
  <c r="H35" i="95" s="1"/>
  <c r="H27" i="95" a="1"/>
  <c r="H27" i="95" s="1"/>
  <c r="H50" i="95" a="1"/>
  <c r="H50" i="95" s="1"/>
  <c r="H41" i="95" a="1"/>
  <c r="H41" i="95" s="1"/>
  <c r="H34" i="95" a="1"/>
  <c r="H34" i="95" s="1"/>
  <c r="H26" i="95" a="1"/>
  <c r="H26" i="95" s="1"/>
  <c r="D21" i="95"/>
  <c r="G170" i="95" a="1"/>
  <c r="G170" i="95" s="1"/>
  <c r="G162" i="95" a="1"/>
  <c r="G162" i="95" s="1"/>
  <c r="G148" i="95" a="1"/>
  <c r="G148" i="95" s="1"/>
  <c r="G136" i="95" a="1"/>
  <c r="G136" i="95" s="1"/>
  <c r="G178" i="95" a="1"/>
  <c r="G178" i="95" s="1"/>
  <c r="G169" i="95" a="1"/>
  <c r="G169" i="95" s="1"/>
  <c r="G147" i="95" a="1"/>
  <c r="G147" i="95" s="1"/>
  <c r="G126" i="95" a="1"/>
  <c r="G126" i="95" s="1"/>
  <c r="G119" i="95" a="1"/>
  <c r="G119" i="95" s="1"/>
  <c r="G48" i="95" a="1"/>
  <c r="G48" i="95" s="1"/>
  <c r="G40" i="95" a="1"/>
  <c r="G40" i="95" s="1"/>
  <c r="G33" i="95" a="1"/>
  <c r="G33" i="95" s="1"/>
  <c r="G25" i="95" a="1"/>
  <c r="G25" i="95" s="1"/>
  <c r="G190" i="95" a="1"/>
  <c r="G190" i="95" s="1"/>
  <c r="G161" i="95" a="1"/>
  <c r="G161" i="95" s="1"/>
  <c r="G146" i="95" a="1"/>
  <c r="G146" i="95" s="1"/>
  <c r="G135" i="95" a="1"/>
  <c r="G135" i="95" s="1"/>
  <c r="G189" i="95" a="1"/>
  <c r="G189" i="95" s="1"/>
  <c r="G177" i="95" a="1"/>
  <c r="G177" i="95" s="1"/>
  <c r="G145" i="95" a="1"/>
  <c r="G145" i="95" s="1"/>
  <c r="G125" i="95" a="1"/>
  <c r="G125" i="95" s="1"/>
  <c r="G118" i="95" a="1"/>
  <c r="G118" i="95" s="1"/>
  <c r="G47" i="95" a="1"/>
  <c r="G47" i="95" s="1"/>
  <c r="G39" i="95" a="1"/>
  <c r="G39" i="95" s="1"/>
  <c r="G31" i="95" a="1"/>
  <c r="G31" i="95" s="1"/>
  <c r="G24" i="95" a="1"/>
  <c r="G24" i="95" s="1"/>
  <c r="G188" i="95" a="1"/>
  <c r="G188" i="95" s="1"/>
  <c r="G167" i="95" a="1"/>
  <c r="G167" i="95" s="1"/>
  <c r="G160" i="95" a="1"/>
  <c r="G160" i="95" s="1"/>
  <c r="G134" i="95" a="1"/>
  <c r="G134" i="95" s="1"/>
  <c r="G187" i="95" a="1"/>
  <c r="G187" i="95" s="1"/>
  <c r="G176" i="95" a="1"/>
  <c r="G176" i="95" s="1"/>
  <c r="G143" i="95" a="1"/>
  <c r="G143" i="95" s="1"/>
  <c r="G124" i="95" a="1"/>
  <c r="G124" i="95" s="1"/>
  <c r="G117" i="95" a="1"/>
  <c r="G117" i="95" s="1"/>
  <c r="G54" i="95" a="1"/>
  <c r="G54" i="95" s="1"/>
  <c r="G46" i="95" a="1"/>
  <c r="G46" i="95" s="1"/>
  <c r="G38" i="95" a="1"/>
  <c r="G38" i="95" s="1"/>
  <c r="G30" i="95" a="1"/>
  <c r="G30" i="95" s="1"/>
  <c r="G23" i="95" a="1"/>
  <c r="G23" i="95" s="1"/>
  <c r="G186" i="95" a="1"/>
  <c r="G186" i="95" s="1"/>
  <c r="G166" i="95" a="1"/>
  <c r="G166" i="95" s="1"/>
  <c r="G159" i="95" a="1"/>
  <c r="G159" i="95" s="1"/>
  <c r="G142" i="95" a="1"/>
  <c r="G142" i="95" s="1"/>
  <c r="G133" i="95" a="1"/>
  <c r="G133" i="95" s="1"/>
  <c r="G175" i="95" a="1"/>
  <c r="G175" i="95" s="1"/>
  <c r="G141" i="95" a="1"/>
  <c r="G141" i="95" s="1"/>
  <c r="G123" i="95" a="1"/>
  <c r="G123" i="95" s="1"/>
  <c r="G53" i="95" a="1"/>
  <c r="G53" i="95" s="1"/>
  <c r="G45" i="95" a="1"/>
  <c r="G45" i="95" s="1"/>
  <c r="G37" i="95" a="1"/>
  <c r="G37" i="95" s="1"/>
  <c r="G29" i="95" a="1"/>
  <c r="G29" i="95" s="1"/>
  <c r="G22" i="95" a="1"/>
  <c r="G22" i="95" s="1"/>
  <c r="G184" i="95" a="1"/>
  <c r="G184" i="95" s="1"/>
  <c r="G165" i="95" a="1"/>
  <c r="G165" i="95" s="1"/>
  <c r="G158" i="95" a="1"/>
  <c r="G158" i="95" s="1"/>
  <c r="G140" i="95" a="1"/>
  <c r="G140" i="95" s="1"/>
  <c r="G132" i="95" a="1"/>
  <c r="G132" i="95" s="1"/>
  <c r="G183" i="95" a="1"/>
  <c r="G183" i="95" s="1"/>
  <c r="G174" i="95" a="1"/>
  <c r="G174" i="95" s="1"/>
  <c r="G139" i="95" a="1"/>
  <c r="G139" i="95" s="1"/>
  <c r="G131" i="95" a="1"/>
  <c r="G131" i="95" s="1"/>
  <c r="G122" i="95" a="1"/>
  <c r="G122" i="95" s="1"/>
  <c r="G52" i="95" a="1"/>
  <c r="G52" i="95" s="1"/>
  <c r="G44" i="95" a="1"/>
  <c r="G44" i="95" s="1"/>
  <c r="G36" i="95" a="1"/>
  <c r="G36" i="95" s="1"/>
  <c r="G28" i="95" a="1"/>
  <c r="G28" i="95" s="1"/>
  <c r="G182" i="95" a="1"/>
  <c r="G182" i="95" s="1"/>
  <c r="G164" i="95" a="1"/>
  <c r="G164" i="95" s="1"/>
  <c r="G130" i="95" a="1"/>
  <c r="G130" i="95" s="1"/>
  <c r="G181" i="95" a="1"/>
  <c r="G181" i="95" s="1"/>
  <c r="G173" i="95" a="1"/>
  <c r="G173" i="95" s="1"/>
  <c r="G129" i="95" a="1"/>
  <c r="G129" i="95" s="1"/>
  <c r="G121" i="95" a="1"/>
  <c r="G121" i="95" s="1"/>
  <c r="G51" i="95" a="1"/>
  <c r="G51" i="95" s="1"/>
  <c r="I51" i="95" s="1" a="1"/>
  <c r="I51" i="95" s="1"/>
  <c r="H146" i="95" s="1"/>
  <c r="G42" i="95" a="1"/>
  <c r="G42" i="95" s="1"/>
  <c r="G35" i="95" a="1"/>
  <c r="G35" i="95" s="1"/>
  <c r="G27" i="95" a="1"/>
  <c r="G27" i="95" s="1"/>
  <c r="G180" i="95" a="1"/>
  <c r="G180" i="95" s="1"/>
  <c r="G172" i="95" a="1"/>
  <c r="G172" i="95" s="1"/>
  <c r="G163" i="95" a="1"/>
  <c r="G163" i="95" s="1"/>
  <c r="G137" i="95" a="1"/>
  <c r="G137" i="95" s="1"/>
  <c r="G128" i="95" a="1"/>
  <c r="G128" i="95" s="1"/>
  <c r="G171" i="95" a="1"/>
  <c r="G171" i="95" s="1"/>
  <c r="G149" i="95" a="1"/>
  <c r="G149" i="95" s="1"/>
  <c r="G120" i="95" a="1"/>
  <c r="G120" i="95" s="1"/>
  <c r="G50" i="95" a="1"/>
  <c r="G50" i="95" s="1"/>
  <c r="G41" i="95" a="1"/>
  <c r="G41" i="95" s="1"/>
  <c r="G34" i="95" a="1"/>
  <c r="G34" i="95" s="1"/>
  <c r="G26" i="95" a="1"/>
  <c r="G26" i="95" s="1"/>
  <c r="D59" i="95"/>
  <c r="G90" i="95" a="1"/>
  <c r="G90" i="95" s="1"/>
  <c r="G82" i="95" a="1"/>
  <c r="G82" i="95" s="1"/>
  <c r="G74" i="95" a="1"/>
  <c r="G74" i="95" s="1"/>
  <c r="G66" i="95" a="1"/>
  <c r="G66" i="95" s="1"/>
  <c r="G89" i="95" a="1"/>
  <c r="G89" i="95" s="1"/>
  <c r="G80" i="95" a="1"/>
  <c r="G80" i="95" s="1"/>
  <c r="G73" i="95" a="1"/>
  <c r="G73" i="95" s="1"/>
  <c r="G65" i="95" a="1"/>
  <c r="G65" i="95" s="1"/>
  <c r="G88" i="95" a="1"/>
  <c r="G88" i="95" s="1"/>
  <c r="I88" i="95" s="1" a="1"/>
  <c r="I88" i="95" s="1"/>
  <c r="H186" i="95" s="1"/>
  <c r="G79" i="95" a="1"/>
  <c r="G79" i="95" s="1"/>
  <c r="I79" i="95" s="1" a="1"/>
  <c r="I79" i="95" s="1"/>
  <c r="H177" i="95" s="1"/>
  <c r="G72" i="95" a="1"/>
  <c r="G72" i="95" s="1"/>
  <c r="I72" i="95" s="1" a="1"/>
  <c r="I72" i="95" s="1"/>
  <c r="H170" i="95" s="1"/>
  <c r="G64" i="95" a="1"/>
  <c r="G64" i="95" s="1"/>
  <c r="I64" i="95" s="1" a="1"/>
  <c r="I64" i="95" s="1"/>
  <c r="H162" i="95" s="1"/>
  <c r="G86" i="95" a="1"/>
  <c r="G86" i="95" s="1"/>
  <c r="G78" i="95" a="1"/>
  <c r="G78" i="95" s="1"/>
  <c r="G71" i="95" a="1"/>
  <c r="G71" i="95" s="1"/>
  <c r="G63" i="95" a="1"/>
  <c r="G63" i="95" s="1"/>
  <c r="G85" i="95" a="1"/>
  <c r="G85" i="95" s="1"/>
  <c r="G77" i="95" a="1"/>
  <c r="G77" i="95" s="1"/>
  <c r="G69" i="95" a="1"/>
  <c r="G69" i="95" s="1"/>
  <c r="G62" i="95" a="1"/>
  <c r="G62" i="95" s="1"/>
  <c r="G92" i="95" a="1"/>
  <c r="G92" i="95" s="1"/>
  <c r="I92" i="95" s="1" a="1"/>
  <c r="I92" i="95" s="1"/>
  <c r="H190" i="95" s="1"/>
  <c r="G84" i="95" a="1"/>
  <c r="G84" i="95" s="1"/>
  <c r="G76" i="95" a="1"/>
  <c r="G76" i="95" s="1"/>
  <c r="G68" i="95" a="1"/>
  <c r="G68" i="95" s="1"/>
  <c r="G61" i="95" a="1"/>
  <c r="G61" i="95" s="1"/>
  <c r="I61" i="95" s="1" a="1"/>
  <c r="I61" i="95" s="1"/>
  <c r="H159" i="95" s="1"/>
  <c r="I159" i="95" s="1"/>
  <c r="K159" i="95" s="1" a="1"/>
  <c r="K159" i="95" s="1"/>
  <c r="G91" i="95" a="1"/>
  <c r="G91" i="95" s="1"/>
  <c r="G83" i="95" a="1"/>
  <c r="G83" i="95" s="1"/>
  <c r="G75" i="95" a="1"/>
  <c r="G75" i="95" s="1"/>
  <c r="G67" i="95" a="1"/>
  <c r="G67" i="95" s="1"/>
  <c r="G60" i="95" a="1"/>
  <c r="G60" i="95" s="1"/>
  <c r="S244" i="105" a="1"/>
  <c r="S244" i="105" s="1"/>
  <c r="K25" i="92"/>
  <c r="J25" i="92"/>
  <c r="I25" i="92"/>
  <c r="H25" i="92"/>
  <c r="G25" i="92"/>
  <c r="R221" i="105" a="1"/>
  <c r="R221" i="105" s="1"/>
  <c r="AC221" i="105"/>
  <c r="G51" i="105" a="1"/>
  <c r="G51" i="105" s="1"/>
  <c r="J50" i="105" a="1"/>
  <c r="J50" i="105" s="1"/>
  <c r="W245" i="105" a="1"/>
  <c r="W245" i="105" s="1"/>
  <c r="J37" i="91" a="1"/>
  <c r="J37" i="91" s="1"/>
  <c r="P37" i="91" s="1" a="1"/>
  <c r="P37" i="91" s="1"/>
  <c r="AA240" i="105" a="1"/>
  <c r="AA240" i="105" s="1"/>
  <c r="K36" i="92"/>
  <c r="Q36" i="92" s="1" a="1"/>
  <c r="Q36" i="92" s="1"/>
  <c r="J36" i="92"/>
  <c r="I36" i="92"/>
  <c r="H36" i="92"/>
  <c r="G36" i="92"/>
  <c r="AE246" i="105" a="1"/>
  <c r="AE246" i="105" s="1"/>
  <c r="AG221" i="105" a="1"/>
  <c r="J178" i="95" a="1"/>
  <c r="J178" i="95" s="1"/>
  <c r="J46" i="105" a="1"/>
  <c r="J46" i="105" s="1"/>
  <c r="H439" i="105" a="1"/>
  <c r="H439" i="105" s="1"/>
  <c r="AK221" i="105" a="1"/>
  <c r="J47" i="105" a="1"/>
  <c r="J47" i="105" s="1"/>
  <c r="J43" i="105" a="1"/>
  <c r="J43" i="105" s="1"/>
  <c r="M32" i="105" a="1"/>
  <c r="M32" i="105" s="1"/>
  <c r="AE241" i="105" a="1"/>
  <c r="AE241" i="105" s="1"/>
  <c r="AE239" i="105" a="1"/>
  <c r="AE239" i="105" s="1"/>
  <c r="V12" i="79"/>
  <c r="D19" i="84"/>
  <c r="F19" i="84" s="1" a="1"/>
  <c r="F19" i="84" s="1"/>
  <c r="G19" i="84" s="1" a="1"/>
  <c r="G19" i="84" s="1"/>
  <c r="F37" i="84" a="1"/>
  <c r="F37" i="84" s="1"/>
  <c r="G37" i="84" s="1" a="1"/>
  <c r="G37" i="84" s="1"/>
  <c r="F30" i="84" a="1"/>
  <c r="F30" i="84" s="1"/>
  <c r="G30" i="84" s="1" a="1"/>
  <c r="G30" i="84" s="1"/>
  <c r="F23" i="84" a="1"/>
  <c r="F23" i="84" s="1"/>
  <c r="G23" i="84" s="1" a="1"/>
  <c r="G23" i="84" s="1"/>
  <c r="F36" i="84" a="1"/>
  <c r="F36" i="84" s="1"/>
  <c r="G36" i="84" s="1" a="1"/>
  <c r="G36" i="84" s="1"/>
  <c r="F29" i="84" a="1"/>
  <c r="F29" i="84" s="1"/>
  <c r="G29" i="84" s="1" a="1"/>
  <c r="G29" i="84" s="1"/>
  <c r="F22" i="84" a="1"/>
  <c r="F22" i="84" s="1"/>
  <c r="G22" i="84" s="1" a="1"/>
  <c r="G22" i="84" s="1"/>
  <c r="F35" i="84" a="1"/>
  <c r="F35" i="84" s="1"/>
  <c r="G35" i="84" s="1" a="1"/>
  <c r="G35" i="84" s="1"/>
  <c r="F28" i="84" a="1"/>
  <c r="F28" i="84" s="1"/>
  <c r="G28" i="84" s="1" a="1"/>
  <c r="G28" i="84" s="1"/>
  <c r="F21" i="84" a="1"/>
  <c r="F21" i="84" s="1"/>
  <c r="G21" i="84" s="1" a="1"/>
  <c r="G21" i="84" s="1"/>
  <c r="F34" i="84" a="1"/>
  <c r="F34" i="84" s="1"/>
  <c r="G34" i="84" s="1" a="1"/>
  <c r="G34" i="84" s="1"/>
  <c r="F27" i="84" a="1"/>
  <c r="F27" i="84" s="1"/>
  <c r="G27" i="84" s="1" a="1"/>
  <c r="G27" i="84" s="1"/>
  <c r="F20" i="84" a="1"/>
  <c r="F20" i="84" s="1"/>
  <c r="G20" i="84" s="1" a="1"/>
  <c r="G20" i="84" s="1"/>
  <c r="F33" i="84" a="1"/>
  <c r="F33" i="84" s="1"/>
  <c r="G33" i="84" s="1" a="1"/>
  <c r="G33" i="84" s="1"/>
  <c r="F26" i="84" a="1"/>
  <c r="F26" i="84" s="1"/>
  <c r="G26" i="84" s="1" a="1"/>
  <c r="G26" i="84" s="1"/>
  <c r="F32" i="84" a="1"/>
  <c r="F32" i="84" s="1"/>
  <c r="G32" i="84" s="1" a="1"/>
  <c r="G32" i="84" s="1"/>
  <c r="F25" i="84" a="1"/>
  <c r="F25" i="84" s="1"/>
  <c r="G25" i="84" s="1" a="1"/>
  <c r="G25" i="84" s="1"/>
  <c r="F31" i="84" a="1"/>
  <c r="F31" i="84" s="1"/>
  <c r="G31" i="84" s="1" a="1"/>
  <c r="G31" i="84" s="1"/>
  <c r="F24" i="84" a="1"/>
  <c r="F24" i="84" s="1"/>
  <c r="G24" i="84" s="1" a="1"/>
  <c r="G24" i="84" s="1"/>
  <c r="K30" i="92"/>
  <c r="Q30" i="92" s="1" a="1"/>
  <c r="Q30" i="92" s="1"/>
  <c r="J30" i="92"/>
  <c r="I30" i="92"/>
  <c r="H30" i="92"/>
  <c r="G30" i="92"/>
  <c r="AE245" i="105" a="1"/>
  <c r="AE245" i="105" s="1"/>
  <c r="F245" i="105" s="1" a="1"/>
  <c r="F245" i="105" s="1"/>
  <c r="W242" i="105" a="1"/>
  <c r="W242" i="105" s="1"/>
  <c r="AE238" i="105" a="1"/>
  <c r="AE238" i="105" s="1"/>
  <c r="AA245" i="105" a="1"/>
  <c r="AA245" i="105" s="1"/>
  <c r="AA238" i="105" a="1"/>
  <c r="AA238" i="105" s="1"/>
  <c r="W241" i="105" a="1"/>
  <c r="W241" i="105" s="1"/>
  <c r="AA244" i="105" a="1"/>
  <c r="AA244" i="105" s="1"/>
  <c r="W244" i="105" a="1"/>
  <c r="W244" i="105" s="1"/>
  <c r="W240" i="105" a="1"/>
  <c r="W240" i="105" s="1"/>
  <c r="W243" i="105" a="1"/>
  <c r="W243" i="105" s="1"/>
  <c r="W237" i="105" a="1"/>
  <c r="W237" i="105" s="1"/>
  <c r="Q29" i="91" a="1"/>
  <c r="Q29" i="91" s="1"/>
  <c r="J67" i="105" a="1"/>
  <c r="J67" i="105" s="1"/>
  <c r="G44" i="105" a="1"/>
  <c r="G44" i="105" s="1"/>
  <c r="G49" i="105" a="1"/>
  <c r="G49" i="105" s="1"/>
  <c r="J48" i="105" a="1"/>
  <c r="J48" i="105" s="1"/>
  <c r="J126" i="95" a="1"/>
  <c r="J126" i="95" s="1"/>
  <c r="J177" i="95" a="1"/>
  <c r="J177" i="95" s="1"/>
  <c r="K33" i="91" a="1"/>
  <c r="K33" i="91" s="1"/>
  <c r="W238" i="105" a="1"/>
  <c r="W238" i="105" s="1"/>
  <c r="J176" i="95" a="1"/>
  <c r="J176" i="95" s="1"/>
  <c r="I33" i="91" a="1"/>
  <c r="I33" i="91" s="1"/>
  <c r="O33" i="91" s="1" a="1"/>
  <c r="O33" i="91" s="1"/>
  <c r="E50" i="91" s="1"/>
  <c r="J38" i="92"/>
  <c r="I38" i="92"/>
  <c r="H38" i="92"/>
  <c r="G38" i="92"/>
  <c r="K38" i="92"/>
  <c r="J173" i="95" a="1"/>
  <c r="J173" i="95" s="1"/>
  <c r="O221" i="105" a="1"/>
  <c r="O221" i="105" s="1"/>
  <c r="Y221" i="105" a="1"/>
  <c r="O50" i="80" a="1"/>
  <c r="G64" i="105" a="1"/>
  <c r="G64" i="105" s="1"/>
  <c r="G46" i="105" a="1"/>
  <c r="G46" i="105" s="1"/>
  <c r="J119" i="95" a="1"/>
  <c r="J119" i="95" s="1"/>
  <c r="J161" i="95" a="1"/>
  <c r="J161" i="95" s="1"/>
  <c r="J168" i="95" a="1"/>
  <c r="J168" i="95" s="1"/>
  <c r="J144" i="95" a="1"/>
  <c r="J144" i="95" s="1"/>
  <c r="S241" i="105" a="1"/>
  <c r="S241" i="105" s="1"/>
  <c r="J185" i="95" a="1"/>
  <c r="J185" i="95" s="1"/>
  <c r="K27" i="92"/>
  <c r="J27" i="92"/>
  <c r="I27" i="92"/>
  <c r="H27" i="92"/>
  <c r="N27" i="92" s="1" a="1"/>
  <c r="N27" i="92" s="1"/>
  <c r="G27" i="92"/>
  <c r="J138" i="95" a="1"/>
  <c r="J138" i="95" s="1"/>
  <c r="W246" i="105" a="1"/>
  <c r="W246" i="105" s="1"/>
  <c r="V15" i="79"/>
  <c r="AL221" i="105" a="1"/>
  <c r="AL221" i="105" s="1"/>
  <c r="J53" i="84"/>
  <c r="I128" i="84"/>
  <c r="I60" i="85"/>
  <c r="S73" i="80"/>
  <c r="I18" i="85"/>
  <c r="I54" i="80"/>
  <c r="J64" i="105" a="1"/>
  <c r="J64" i="105" s="1"/>
  <c r="G48" i="105" a="1"/>
  <c r="G48" i="105" s="1"/>
  <c r="J31" i="105" a="1"/>
  <c r="J31" i="105" s="1"/>
  <c r="G281" i="105" a="1"/>
  <c r="G281" i="105" s="1"/>
  <c r="G43" i="105" a="1"/>
  <c r="G43" i="105" s="1"/>
  <c r="J51" i="105" a="1"/>
  <c r="J51" i="105" s="1"/>
  <c r="J135" i="95" a="1"/>
  <c r="J135" i="95" s="1"/>
  <c r="J125" i="95" a="1"/>
  <c r="J125" i="95" s="1"/>
  <c r="J124" i="95" a="1"/>
  <c r="J124" i="95" s="1"/>
  <c r="J165" i="95" a="1"/>
  <c r="J165" i="95" s="1"/>
  <c r="I37" i="91" a="1"/>
  <c r="I37" i="91" s="1"/>
  <c r="O37" i="91" s="1" a="1"/>
  <c r="O37" i="91" s="1"/>
  <c r="AE243" i="105" a="1"/>
  <c r="AE243" i="105" s="1"/>
  <c r="J121" i="95" a="1"/>
  <c r="J121" i="95" s="1"/>
  <c r="AE242" i="105" a="1"/>
  <c r="AE242" i="105" s="1"/>
  <c r="U221" i="105" a="1"/>
  <c r="AH221" i="105" a="1"/>
  <c r="AH221" i="105" s="1"/>
  <c r="F22" i="79"/>
  <c r="G22" i="79" s="1"/>
  <c r="F21" i="79"/>
  <c r="G21" i="79" s="1"/>
  <c r="H44" i="79"/>
  <c r="H15" i="79"/>
  <c r="I15" i="79" s="1"/>
  <c r="H42" i="79"/>
  <c r="H14" i="79"/>
  <c r="I14" i="79" s="1"/>
  <c r="H12" i="79"/>
  <c r="F31" i="79"/>
  <c r="G31" i="79" s="1"/>
  <c r="F20" i="79"/>
  <c r="H43" i="79"/>
  <c r="H13" i="79"/>
  <c r="I13" i="79" s="1"/>
  <c r="F33" i="79"/>
  <c r="G33" i="79" s="1"/>
  <c r="H16" i="79"/>
  <c r="I16" i="79" s="1"/>
  <c r="F32" i="79"/>
  <c r="G32" i="79" s="1"/>
  <c r="V13" i="79"/>
  <c r="D19" i="81"/>
  <c r="F19" i="81" s="1" a="1"/>
  <c r="F19" i="81" s="1"/>
  <c r="F37" i="81" a="1"/>
  <c r="F37" i="81" s="1"/>
  <c r="F23" i="81" a="1"/>
  <c r="F23" i="81" s="1"/>
  <c r="F36" i="81" a="1"/>
  <c r="F36" i="81" s="1"/>
  <c r="F22" i="81" a="1"/>
  <c r="F22" i="81" s="1"/>
  <c r="F35" i="81" a="1"/>
  <c r="F35" i="81" s="1"/>
  <c r="F21" i="81" a="1"/>
  <c r="F21" i="81" s="1"/>
  <c r="F34" i="81" a="1"/>
  <c r="F34" i="81" s="1"/>
  <c r="F20" i="81" a="1"/>
  <c r="F20" i="81" s="1"/>
  <c r="F33" i="81" a="1"/>
  <c r="F33" i="81" s="1"/>
  <c r="F32" i="81" a="1"/>
  <c r="F32" i="81" s="1"/>
  <c r="F31" i="81" a="1"/>
  <c r="F31" i="81" s="1"/>
  <c r="F30" i="81" a="1"/>
  <c r="F30" i="81" s="1"/>
  <c r="F29" i="81" a="1"/>
  <c r="F29" i="81" s="1"/>
  <c r="F28" i="81" a="1"/>
  <c r="F28" i="81" s="1"/>
  <c r="F27" i="81" a="1"/>
  <c r="F27" i="81" s="1"/>
  <c r="F26" i="81" a="1"/>
  <c r="F26" i="81" s="1"/>
  <c r="F25" i="81" a="1"/>
  <c r="F25" i="81" s="1"/>
  <c r="F24" i="81" a="1"/>
  <c r="F24" i="81" s="1"/>
  <c r="J49" i="105" a="1"/>
  <c r="J49" i="105" s="1"/>
  <c r="G47" i="105" a="1"/>
  <c r="G47" i="105" s="1"/>
  <c r="E59" i="95"/>
  <c r="H59" i="95" s="1" a="1"/>
  <c r="H59" i="95" s="1"/>
  <c r="H90" i="95" a="1"/>
  <c r="H90" i="95" s="1"/>
  <c r="H82" i="95" a="1"/>
  <c r="H82" i="95" s="1"/>
  <c r="H74" i="95" a="1"/>
  <c r="H74" i="95" s="1"/>
  <c r="H66" i="95" a="1"/>
  <c r="H66" i="95" s="1"/>
  <c r="H89" i="95" a="1"/>
  <c r="H89" i="95" s="1"/>
  <c r="H80" i="95" a="1"/>
  <c r="H80" i="95" s="1"/>
  <c r="H73" i="95" a="1"/>
  <c r="H73" i="95" s="1"/>
  <c r="H65" i="95" a="1"/>
  <c r="H65" i="95" s="1"/>
  <c r="H88" i="95" a="1"/>
  <c r="H88" i="95" s="1"/>
  <c r="H79" i="95" a="1"/>
  <c r="H79" i="95" s="1"/>
  <c r="H72" i="95" a="1"/>
  <c r="H72" i="95" s="1"/>
  <c r="H64" i="95" a="1"/>
  <c r="H64" i="95" s="1"/>
  <c r="H86" i="95" a="1"/>
  <c r="H86" i="95" s="1"/>
  <c r="H78" i="95" a="1"/>
  <c r="H78" i="95" s="1"/>
  <c r="H71" i="95" a="1"/>
  <c r="H71" i="95" s="1"/>
  <c r="H63" i="95" a="1"/>
  <c r="H63" i="95" s="1"/>
  <c r="H85" i="95" a="1"/>
  <c r="H85" i="95" s="1"/>
  <c r="H77" i="95" a="1"/>
  <c r="H77" i="95" s="1"/>
  <c r="H69" i="95" a="1"/>
  <c r="H69" i="95" s="1"/>
  <c r="H62" i="95" a="1"/>
  <c r="H62" i="95" s="1"/>
  <c r="H92" i="95" a="1"/>
  <c r="H92" i="95" s="1"/>
  <c r="H84" i="95" a="1"/>
  <c r="H84" i="95" s="1"/>
  <c r="H76" i="95" a="1"/>
  <c r="H76" i="95" s="1"/>
  <c r="H68" i="95" a="1"/>
  <c r="H68" i="95" s="1"/>
  <c r="H61" i="95" a="1"/>
  <c r="H61" i="95" s="1"/>
  <c r="H91" i="95" a="1"/>
  <c r="H91" i="95" s="1"/>
  <c r="H83" i="95" a="1"/>
  <c r="H83" i="95" s="1"/>
  <c r="H75" i="95" a="1"/>
  <c r="H75" i="95" s="1"/>
  <c r="H67" i="95" a="1"/>
  <c r="H67" i="95" s="1"/>
  <c r="H60" i="95" a="1"/>
  <c r="H60" i="95" s="1"/>
  <c r="AA246" i="105" a="1"/>
  <c r="AA246" i="105" s="1"/>
  <c r="Q26" i="92" a="1"/>
  <c r="Q26" i="92" s="1"/>
  <c r="G45" i="105" a="1"/>
  <c r="G45" i="105" s="1"/>
  <c r="AA242" i="105" a="1"/>
  <c r="AA242" i="105" s="1"/>
  <c r="S245" i="105" a="1"/>
  <c r="S245" i="105" s="1"/>
  <c r="S239" i="105" a="1"/>
  <c r="S239" i="105" s="1"/>
  <c r="AA241" i="105" a="1"/>
  <c r="AA241" i="105" s="1"/>
  <c r="J159" i="95" a="1"/>
  <c r="J159" i="95" s="1"/>
  <c r="K25" i="91" a="1"/>
  <c r="K25" i="91" s="1"/>
  <c r="Q25" i="91" s="1" a="1"/>
  <c r="Q25" i="91" s="1"/>
  <c r="K37" i="91" a="1"/>
  <c r="K37" i="91" s="1"/>
  <c r="Q37" i="91" s="1" a="1"/>
  <c r="Q37" i="91" s="1"/>
  <c r="J122" i="95" a="1"/>
  <c r="J122" i="95" s="1"/>
  <c r="AA239" i="105" a="1"/>
  <c r="AA239" i="105" s="1"/>
  <c r="P221" i="105" a="1"/>
  <c r="P221" i="105" s="1"/>
  <c r="G271" i="105" a="1"/>
  <c r="G271" i="105" s="1"/>
  <c r="F270" i="105" a="1"/>
  <c r="F270" i="105" s="1"/>
  <c r="E270" i="105"/>
  <c r="V16" i="79"/>
  <c r="Q221" i="105" a="1"/>
  <c r="Z221" i="105" a="1"/>
  <c r="Z221" i="105" s="1"/>
  <c r="J65" i="105" a="1"/>
  <c r="J65" i="105" s="1"/>
  <c r="H455" i="105" a="1"/>
  <c r="H455" i="105" s="1"/>
  <c r="G69" i="105" a="1"/>
  <c r="G69" i="105" s="1"/>
  <c r="S242" i="105" a="1"/>
  <c r="S242" i="105" s="1"/>
  <c r="S238" i="105" a="1"/>
  <c r="S238" i="105" s="1"/>
  <c r="F238" i="105" s="1" a="1"/>
  <c r="F238" i="105" s="1"/>
  <c r="J133" i="95" a="1"/>
  <c r="J133" i="95" s="1"/>
  <c r="K33" i="92"/>
  <c r="Q33" i="92" s="1" a="1"/>
  <c r="Q33" i="92" s="1"/>
  <c r="J33" i="92"/>
  <c r="I33" i="92"/>
  <c r="H33" i="92"/>
  <c r="G33" i="92"/>
  <c r="AA243" i="105" a="1"/>
  <c r="AA243" i="105" s="1"/>
  <c r="J137" i="95" a="1"/>
  <c r="J137" i="95" s="1"/>
  <c r="J179" i="95" a="1"/>
  <c r="J179" i="95" s="1"/>
  <c r="V14" i="79"/>
  <c r="S237" i="105" a="1"/>
  <c r="S237" i="105" s="1"/>
  <c r="D19" i="80"/>
  <c r="F19" i="80" s="1" a="1"/>
  <c r="F19" i="80" s="1"/>
  <c r="F31" i="80" a="1"/>
  <c r="F31" i="80" s="1"/>
  <c r="F30" i="80" a="1"/>
  <c r="F30" i="80" s="1"/>
  <c r="F29" i="80" a="1"/>
  <c r="F29" i="80" s="1"/>
  <c r="F28" i="80" a="1"/>
  <c r="F28" i="80" s="1"/>
  <c r="F27" i="80" a="1"/>
  <c r="F27" i="80" s="1"/>
  <c r="F26" i="80" a="1"/>
  <c r="F26" i="80" s="1"/>
  <c r="F25" i="80" a="1"/>
  <c r="F25" i="80" s="1"/>
  <c r="F24" i="80" a="1"/>
  <c r="F24" i="80" s="1"/>
  <c r="F37" i="80" a="1"/>
  <c r="F37" i="80" s="1"/>
  <c r="F23" i="80" a="1"/>
  <c r="F23" i="80" s="1"/>
  <c r="F36" i="80" a="1"/>
  <c r="F36" i="80" s="1"/>
  <c r="F22" i="80" a="1"/>
  <c r="F22" i="80" s="1"/>
  <c r="F35" i="80" a="1"/>
  <c r="F35" i="80" s="1"/>
  <c r="F21" i="80" a="1"/>
  <c r="F21" i="80" s="1"/>
  <c r="F34" i="80" a="1"/>
  <c r="F34" i="80" s="1"/>
  <c r="F20" i="80" a="1"/>
  <c r="F20" i="80" s="1"/>
  <c r="F33" i="80" a="1"/>
  <c r="F33" i="80" s="1"/>
  <c r="F32" i="80" a="1"/>
  <c r="F32" i="80" s="1"/>
  <c r="J70" i="105" a="1"/>
  <c r="J70" i="105" s="1"/>
  <c r="G70" i="105" a="1"/>
  <c r="G70" i="105" s="1"/>
  <c r="G66" i="105" a="1"/>
  <c r="G66" i="105" s="1"/>
  <c r="J160" i="95" a="1"/>
  <c r="J160" i="95" s="1"/>
  <c r="J33" i="91" a="1"/>
  <c r="J33" i="91" s="1"/>
  <c r="J175" i="95" a="1"/>
  <c r="J175" i="95" s="1"/>
  <c r="J136" i="95" a="1"/>
  <c r="J136" i="95" s="1"/>
  <c r="K28" i="92"/>
  <c r="Q28" i="92" s="1" a="1"/>
  <c r="Q28" i="92" s="1"/>
  <c r="J28" i="92"/>
  <c r="I28" i="92"/>
  <c r="H28" i="92"/>
  <c r="G28" i="92"/>
  <c r="L33" i="92" a="1"/>
  <c r="L33" i="92" s="1"/>
  <c r="N33" i="92" s="1" a="1"/>
  <c r="N33" i="92" s="1"/>
  <c r="L28" i="92" a="1"/>
  <c r="L28" i="92" s="1"/>
  <c r="L32" i="91" a="1"/>
  <c r="L32" i="91" s="1"/>
  <c r="Q32" i="91" s="1" a="1"/>
  <c r="Q32" i="91" s="1"/>
  <c r="I162" i="95"/>
  <c r="K162" i="95" s="1" a="1"/>
  <c r="K162" i="95" s="1"/>
  <c r="E473" i="105"/>
  <c r="E142" i="105"/>
  <c r="I126" i="105" a="1"/>
  <c r="I126" i="105" s="1"/>
  <c r="F124" i="105"/>
  <c r="I124" i="105" s="1" a="1"/>
  <c r="I124" i="105" s="1"/>
  <c r="F125" i="105"/>
  <c r="I125" i="105" s="1" a="1"/>
  <c r="I125" i="105" s="1"/>
  <c r="O39" i="91" a="1"/>
  <c r="O39" i="91" s="1"/>
  <c r="P39" i="91" a="1"/>
  <c r="P39" i="91" s="1"/>
  <c r="Q33" i="91" a="1"/>
  <c r="Q33" i="91" s="1"/>
  <c r="E52" i="91" s="1"/>
  <c r="P33" i="91" a="1"/>
  <c r="P33" i="91" s="1"/>
  <c r="E51" i="91" s="1"/>
  <c r="N33" i="91" a="1"/>
  <c r="N33" i="91" s="1"/>
  <c r="E49" i="91" s="1"/>
  <c r="P28" i="91" a="1"/>
  <c r="P28" i="91" s="1"/>
  <c r="P30" i="91" a="1"/>
  <c r="P30" i="91" s="1"/>
  <c r="F241" i="105" a="1"/>
  <c r="F241" i="105" s="1"/>
  <c r="J376" i="105" a="1"/>
  <c r="J376" i="105" s="1"/>
  <c r="F244" i="105" a="1"/>
  <c r="F244" i="105" s="1"/>
  <c r="J25" i="105" a="1"/>
  <c r="J25" i="105" s="1"/>
  <c r="F119" i="105"/>
  <c r="G119" i="105" s="1" a="1"/>
  <c r="G119" i="105" s="1"/>
  <c r="E483" i="105"/>
  <c r="J370" i="105" a="1"/>
  <c r="J370" i="105" s="1"/>
  <c r="F122" i="105"/>
  <c r="I122" i="105" s="1" a="1"/>
  <c r="I122" i="105" s="1"/>
  <c r="E442" i="105"/>
  <c r="E472" i="105"/>
  <c r="J369" i="105" a="1"/>
  <c r="J369" i="105" s="1"/>
  <c r="E348" i="105"/>
  <c r="F121" i="105"/>
  <c r="G121" i="105" s="1" a="1"/>
  <c r="G121" i="105" s="1"/>
  <c r="E166" i="105"/>
  <c r="M30" i="105" a="1"/>
  <c r="M30" i="105" s="1"/>
  <c r="E141" i="105"/>
  <c r="M28" i="105" a="1"/>
  <c r="M28" i="105" s="1"/>
  <c r="F123" i="105"/>
  <c r="I123" i="105" s="1" a="1"/>
  <c r="I123" i="105" s="1"/>
  <c r="E639" i="105"/>
  <c r="E441" i="105"/>
  <c r="E460" i="105"/>
  <c r="H371" i="105" a="1"/>
  <c r="H371" i="105" s="1"/>
  <c r="E459" i="105"/>
  <c r="E411" i="105"/>
  <c r="F243" i="105" a="1"/>
  <c r="F243" i="105" s="1"/>
  <c r="H373" i="105" a="1"/>
  <c r="H373" i="105" s="1"/>
  <c r="J368" i="105" a="1"/>
  <c r="J368" i="105" s="1"/>
  <c r="H375" i="105" a="1"/>
  <c r="H375" i="105" s="1"/>
  <c r="E621" i="105"/>
  <c r="F239" i="105" a="1"/>
  <c r="F239" i="105" s="1"/>
  <c r="G128" i="105" a="1"/>
  <c r="G128" i="105" s="1"/>
  <c r="F240" i="105" a="1"/>
  <c r="F240" i="105" s="1"/>
  <c r="G125" i="105" a="1"/>
  <c r="G125" i="105" s="1"/>
  <c r="M29" i="105" a="1"/>
  <c r="M29" i="105" s="1"/>
  <c r="G42" i="105" a="1"/>
  <c r="G42" i="105" s="1"/>
  <c r="J42" i="105" a="1"/>
  <c r="J42" i="105" s="1"/>
  <c r="E54" i="105" s="1"/>
  <c r="I275" i="105" a="1"/>
  <c r="I275" i="105" s="1"/>
  <c r="F237" i="105" a="1"/>
  <c r="F237" i="105" s="1"/>
  <c r="I280" i="105" a="1"/>
  <c r="I280" i="105" s="1"/>
  <c r="G280" i="105" a="1"/>
  <c r="G280" i="105" s="1"/>
  <c r="J372" i="105" a="1"/>
  <c r="J372" i="105" s="1"/>
  <c r="G61" i="105" a="1"/>
  <c r="G61" i="105" s="1"/>
  <c r="J61" i="105" a="1"/>
  <c r="J61" i="105" s="1"/>
  <c r="E73" i="105" s="1"/>
  <c r="J23" i="105" a="1"/>
  <c r="J23" i="105" s="1"/>
  <c r="M23" i="105" a="1"/>
  <c r="M23" i="105" s="1"/>
  <c r="G277" i="105" a="1"/>
  <c r="G277" i="105" s="1"/>
  <c r="I277" i="105" a="1"/>
  <c r="I277" i="105" s="1"/>
  <c r="J367" i="105" a="1"/>
  <c r="J367" i="105" s="1"/>
  <c r="H367" i="105" a="1"/>
  <c r="H367" i="105" s="1"/>
  <c r="G272" i="105" a="1"/>
  <c r="G272" i="105" s="1"/>
  <c r="G127" i="105" a="1"/>
  <c r="G127" i="105" s="1"/>
  <c r="I270" i="105" a="1"/>
  <c r="I270" i="105" s="1"/>
  <c r="G270" i="105" a="1"/>
  <c r="G270" i="105" s="1"/>
  <c r="F246" i="105" a="1"/>
  <c r="F246" i="105" s="1"/>
  <c r="J79" i="105" a="1"/>
  <c r="J79" i="105" s="1"/>
  <c r="E91" i="105" s="1"/>
  <c r="G79" i="105" a="1"/>
  <c r="G79" i="105" s="1"/>
  <c r="E90" i="105" s="1"/>
  <c r="E21" i="100" a="1"/>
  <c r="E21" i="100" s="1"/>
  <c r="I56" i="100" s="1"/>
  <c r="N59" i="98" a="1"/>
  <c r="N59" i="98" s="1"/>
  <c r="I33" i="95" a="1"/>
  <c r="I33" i="95" s="1"/>
  <c r="H128" i="95" s="1"/>
  <c r="I177" i="95"/>
  <c r="K177" i="95" s="1" a="1"/>
  <c r="K177" i="95" s="1"/>
  <c r="I48" i="95" a="1"/>
  <c r="I48" i="95" s="1"/>
  <c r="H143" i="95" s="1"/>
  <c r="I25" i="95" a="1"/>
  <c r="I25" i="95" s="1"/>
  <c r="H120" i="95" s="1"/>
  <c r="I120" i="95" s="1"/>
  <c r="K120" i="95" s="1" a="1"/>
  <c r="K120" i="95" s="1"/>
  <c r="I52" i="95" a="1"/>
  <c r="I52" i="95" s="1"/>
  <c r="H147" i="95" s="1"/>
  <c r="I86" i="95" a="1"/>
  <c r="I86" i="95" s="1"/>
  <c r="H184" i="95" s="1"/>
  <c r="I24" i="95" a="1"/>
  <c r="I24" i="95" s="1"/>
  <c r="H119" i="95" s="1"/>
  <c r="I119" i="95" s="1"/>
  <c r="K119" i="95" s="1" a="1"/>
  <c r="K119" i="95" s="1"/>
  <c r="I41" i="95" a="1"/>
  <c r="I41" i="95" s="1"/>
  <c r="H136" i="95" s="1"/>
  <c r="I136" i="95" s="1"/>
  <c r="K136" i="95" s="1" a="1"/>
  <c r="K136" i="95" s="1"/>
  <c r="I37" i="95" a="1"/>
  <c r="I37" i="95" s="1"/>
  <c r="H132" i="95" s="1"/>
  <c r="I132" i="95" s="1"/>
  <c r="K132" i="95" s="1" a="1"/>
  <c r="K132" i="95" s="1"/>
  <c r="I39" i="95" a="1"/>
  <c r="I39" i="95" s="1"/>
  <c r="H134" i="95" s="1"/>
  <c r="I134" i="95" s="1"/>
  <c r="K134" i="95" s="1" a="1"/>
  <c r="K134" i="95" s="1"/>
  <c r="I30" i="95" a="1"/>
  <c r="I30" i="95" s="1"/>
  <c r="H125" i="95" s="1"/>
  <c r="I125" i="95" s="1"/>
  <c r="K125" i="95" s="1" a="1"/>
  <c r="K125" i="95" s="1"/>
  <c r="I63" i="95" a="1"/>
  <c r="I63" i="95" s="1"/>
  <c r="H161" i="95" s="1"/>
  <c r="I161" i="95" s="1"/>
  <c r="K161" i="95" s="1" a="1"/>
  <c r="K161" i="95" s="1"/>
  <c r="E44" i="97"/>
  <c r="E40" i="97"/>
  <c r="E36" i="97"/>
  <c r="E35" i="97" s="1"/>
  <c r="Q15" i="98" s="1"/>
  <c r="N21" i="98" s="1" a="1"/>
  <c r="N21" i="98" s="1"/>
  <c r="S33" i="98" s="1"/>
  <c r="N36" i="98" s="1" a="1"/>
  <c r="N36" i="98" s="1"/>
  <c r="R52" i="98" s="1"/>
  <c r="I76" i="95" a="1"/>
  <c r="I76" i="95" s="1"/>
  <c r="H174" i="95" s="1"/>
  <c r="I174" i="95" s="1"/>
  <c r="K174" i="95" s="1" a="1"/>
  <c r="K174" i="95" s="1"/>
  <c r="I35" i="95" a="1"/>
  <c r="I35" i="95" s="1"/>
  <c r="H130" i="95" s="1"/>
  <c r="I73" i="95" a="1"/>
  <c r="I73" i="95" s="1"/>
  <c r="H171" i="95" s="1"/>
  <c r="I67" i="95" a="1"/>
  <c r="I67" i="95" s="1"/>
  <c r="H165" i="95" s="1"/>
  <c r="I165" i="95" s="1"/>
  <c r="K165" i="95" s="1" a="1"/>
  <c r="K165" i="95" s="1"/>
  <c r="I22" i="95" a="1"/>
  <c r="I22" i="95" s="1"/>
  <c r="H117" i="95" s="1"/>
  <c r="I117" i="95" s="1"/>
  <c r="K117" i="95" s="1" a="1"/>
  <c r="K117" i="95" s="1"/>
  <c r="I40" i="95" a="1"/>
  <c r="I40" i="95" s="1"/>
  <c r="H135" i="95" s="1"/>
  <c r="I135" i="95" s="1"/>
  <c r="K135" i="95" s="1" a="1"/>
  <c r="K135" i="95" s="1"/>
  <c r="I83" i="95" a="1"/>
  <c r="I83" i="95" s="1"/>
  <c r="H181" i="95" s="1"/>
  <c r="I28" i="95" a="1"/>
  <c r="I28" i="95" s="1"/>
  <c r="H123" i="95" s="1"/>
  <c r="I123" i="95" s="1"/>
  <c r="K123" i="95" s="1" a="1"/>
  <c r="K123" i="95" s="1"/>
  <c r="I29" i="95" a="1"/>
  <c r="I29" i="95" s="1"/>
  <c r="H124" i="95" s="1"/>
  <c r="I124" i="95" s="1"/>
  <c r="K124" i="95" s="1" a="1"/>
  <c r="K124" i="95" s="1"/>
  <c r="I60" i="95" a="1"/>
  <c r="I60" i="95" s="1"/>
  <c r="H158" i="95" s="1"/>
  <c r="I158" i="95" s="1"/>
  <c r="K158" i="95" s="1" a="1"/>
  <c r="K158" i="95" s="1"/>
  <c r="I84" i="95" a="1"/>
  <c r="I84" i="95" s="1"/>
  <c r="H182" i="95" s="1"/>
  <c r="I31" i="95" a="1"/>
  <c r="I31" i="95" s="1"/>
  <c r="H126" i="95" s="1"/>
  <c r="I126" i="95" s="1"/>
  <c r="K126" i="95" s="1" a="1"/>
  <c r="K126" i="95" s="1"/>
  <c r="I50" i="95" a="1"/>
  <c r="I50" i="95" s="1"/>
  <c r="H145" i="95" s="1"/>
  <c r="I23" i="95" a="1"/>
  <c r="I23" i="95" s="1"/>
  <c r="H118" i="95" s="1"/>
  <c r="I118" i="95" s="1"/>
  <c r="K118" i="95" s="1" a="1"/>
  <c r="K118" i="95" s="1"/>
  <c r="I42" i="95" a="1"/>
  <c r="I42" i="95" s="1"/>
  <c r="H137" i="95" s="1"/>
  <c r="I137" i="95" s="1"/>
  <c r="K137" i="95" s="1" a="1"/>
  <c r="K137" i="95" s="1"/>
  <c r="I68" i="95" a="1"/>
  <c r="I68" i="95" s="1"/>
  <c r="H166" i="95" s="1"/>
  <c r="I166" i="95" s="1"/>
  <c r="K166" i="95" s="1" a="1"/>
  <c r="K166" i="95" s="1"/>
  <c r="I78" i="95" a="1"/>
  <c r="I78" i="95" s="1"/>
  <c r="H176" i="95" s="1"/>
  <c r="I176" i="95" s="1"/>
  <c r="K176" i="95" s="1" a="1"/>
  <c r="K176" i="95" s="1"/>
  <c r="I34" i="95" a="1"/>
  <c r="I34" i="95" s="1"/>
  <c r="H129" i="95" s="1"/>
  <c r="I89" i="95" a="1"/>
  <c r="I89" i="95" s="1"/>
  <c r="H187" i="95" s="1"/>
  <c r="I91" i="95" a="1"/>
  <c r="I91" i="95" s="1"/>
  <c r="H189" i="95" s="1"/>
  <c r="I36" i="95" a="1"/>
  <c r="I36" i="95" s="1"/>
  <c r="H131" i="95" s="1"/>
  <c r="I44" i="95" a="1"/>
  <c r="I44" i="95" s="1"/>
  <c r="H139" i="95" s="1"/>
  <c r="Q39" i="92" a="1"/>
  <c r="Q39" i="92" s="1"/>
  <c r="I71" i="95" a="1"/>
  <c r="I71" i="95" s="1"/>
  <c r="H169" i="95" s="1"/>
  <c r="I26" i="95" a="1"/>
  <c r="I26" i="95" s="1"/>
  <c r="H121" i="95" s="1"/>
  <c r="I121" i="95" s="1"/>
  <c r="K121" i="95" s="1" a="1"/>
  <c r="K121" i="95" s="1"/>
  <c r="I54" i="95" a="1"/>
  <c r="I54" i="95" s="1"/>
  <c r="H149" i="95" s="1"/>
  <c r="I53" i="95" a="1"/>
  <c r="I53" i="95" s="1"/>
  <c r="H148" i="95" s="1"/>
  <c r="I80" i="95" a="1"/>
  <c r="I80" i="95" s="1"/>
  <c r="H178" i="95" s="1"/>
  <c r="I178" i="95" s="1"/>
  <c r="K178" i="95" s="1" a="1"/>
  <c r="K178" i="95" s="1"/>
  <c r="Q40" i="92" a="1"/>
  <c r="Q40" i="92" s="1"/>
  <c r="I27" i="95" a="1"/>
  <c r="I27" i="95" s="1"/>
  <c r="H122" i="95" s="1"/>
  <c r="I122" i="95" s="1"/>
  <c r="K122" i="95" s="1" a="1"/>
  <c r="K122" i="95" s="1"/>
  <c r="I46" i="95" a="1"/>
  <c r="I46" i="95" s="1"/>
  <c r="H141" i="95" s="1"/>
  <c r="I45" i="95" a="1"/>
  <c r="I45" i="95" s="1"/>
  <c r="H140" i="95" s="1"/>
  <c r="I75" i="95" a="1"/>
  <c r="I75" i="95" s="1"/>
  <c r="H173" i="95" s="1"/>
  <c r="I173" i="95" s="1"/>
  <c r="K173" i="95" s="1" a="1"/>
  <c r="K173" i="95" s="1"/>
  <c r="I47" i="95" a="1"/>
  <c r="I47" i="95" s="1"/>
  <c r="H142" i="95" s="1"/>
  <c r="I38" i="95" a="1"/>
  <c r="I38" i="95" s="1"/>
  <c r="H133" i="95" s="1"/>
  <c r="I133" i="95" s="1"/>
  <c r="K133" i="95" s="1" a="1"/>
  <c r="K133" i="95" s="1"/>
  <c r="I65" i="95" a="1"/>
  <c r="I65" i="95" s="1"/>
  <c r="H163" i="95" s="1"/>
  <c r="I163" i="95" s="1"/>
  <c r="K163" i="95" s="1" a="1"/>
  <c r="K163" i="95" s="1"/>
  <c r="P37" i="92" a="1"/>
  <c r="P37" i="92" s="1"/>
  <c r="O37" i="92" a="1"/>
  <c r="O37" i="92" s="1"/>
  <c r="N37" i="92" a="1"/>
  <c r="N37" i="92" s="1"/>
  <c r="Q37" i="92" a="1"/>
  <c r="Q37" i="92" s="1"/>
  <c r="P38" i="92" a="1"/>
  <c r="P38" i="92" s="1"/>
  <c r="O38" i="92" a="1"/>
  <c r="O38" i="92" s="1"/>
  <c r="N38" i="92" a="1"/>
  <c r="N38" i="92" s="1"/>
  <c r="Q38" i="92" a="1"/>
  <c r="Q38" i="92" s="1"/>
  <c r="P31" i="92" a="1"/>
  <c r="P31" i="92" s="1"/>
  <c r="O31" i="92" a="1"/>
  <c r="O31" i="92" s="1"/>
  <c r="N31" i="92" a="1"/>
  <c r="N31" i="92" s="1"/>
  <c r="Q31" i="92" a="1"/>
  <c r="Q31" i="92" s="1"/>
  <c r="P35" i="92" a="1"/>
  <c r="P35" i="92" s="1"/>
  <c r="O35" i="92" a="1"/>
  <c r="O35" i="92" s="1"/>
  <c r="N35" i="92" a="1"/>
  <c r="N35" i="92" s="1"/>
  <c r="P40" i="92" a="1"/>
  <c r="P40" i="92" s="1"/>
  <c r="O40" i="92" a="1"/>
  <c r="O40" i="92" s="1"/>
  <c r="N40" i="92" a="1"/>
  <c r="N40" i="92" s="1"/>
  <c r="P25" i="92" a="1"/>
  <c r="P25" i="92" s="1"/>
  <c r="O25" i="92" a="1"/>
  <c r="O25" i="92" s="1"/>
  <c r="N25" i="92" a="1"/>
  <c r="N25" i="92" s="1"/>
  <c r="P33" i="92" a="1"/>
  <c r="P33" i="92" s="1"/>
  <c r="O33" i="92" a="1"/>
  <c r="O33" i="92" s="1"/>
  <c r="P28" i="92" a="1"/>
  <c r="P28" i="92" s="1"/>
  <c r="O28" i="92" a="1"/>
  <c r="O28" i="92" s="1"/>
  <c r="N28" i="92" a="1"/>
  <c r="N28" i="92" s="1"/>
  <c r="O29" i="92" a="1"/>
  <c r="O29" i="92" s="1"/>
  <c r="N29" i="92" a="1"/>
  <c r="N29" i="92" s="1"/>
  <c r="P29" i="92" a="1"/>
  <c r="P29" i="92" s="1"/>
  <c r="Q35" i="92" a="1"/>
  <c r="Q35" i="92" s="1"/>
  <c r="P27" i="92" a="1"/>
  <c r="P27" i="92" s="1"/>
  <c r="O27" i="92" a="1"/>
  <c r="O27" i="92" s="1"/>
  <c r="P26" i="92" a="1"/>
  <c r="P26" i="92" s="1"/>
  <c r="O26" i="92" a="1"/>
  <c r="O26" i="92" s="1"/>
  <c r="N26" i="92" a="1"/>
  <c r="N26" i="92" s="1"/>
  <c r="N34" i="92" a="1"/>
  <c r="N34" i="92" s="1"/>
  <c r="P34" i="92" a="1"/>
  <c r="P34" i="92" s="1"/>
  <c r="O34" i="92" a="1"/>
  <c r="O34" i="92" s="1"/>
  <c r="P39" i="92" a="1"/>
  <c r="P39" i="92" s="1"/>
  <c r="O39" i="92" a="1"/>
  <c r="O39" i="92" s="1"/>
  <c r="N39" i="92" a="1"/>
  <c r="N39" i="92" s="1"/>
  <c r="Q25" i="92" a="1"/>
  <c r="Q25" i="92" s="1"/>
  <c r="Q29" i="92" a="1"/>
  <c r="Q29" i="92" s="1"/>
  <c r="P32" i="92" a="1"/>
  <c r="P32" i="92" s="1"/>
  <c r="O32" i="92" a="1"/>
  <c r="O32" i="92" s="1"/>
  <c r="N32" i="92" a="1"/>
  <c r="N32" i="92" s="1"/>
  <c r="Q32" i="92" a="1"/>
  <c r="Q32" i="92" s="1"/>
  <c r="O36" i="92" a="1"/>
  <c r="O36" i="92" s="1"/>
  <c r="N36" i="92" a="1"/>
  <c r="N36" i="92" s="1"/>
  <c r="P36" i="92" a="1"/>
  <c r="P36" i="92" s="1"/>
  <c r="P30" i="92" a="1"/>
  <c r="P30" i="92" s="1"/>
  <c r="O30" i="92" a="1"/>
  <c r="O30" i="92" s="1"/>
  <c r="N30" i="92" a="1"/>
  <c r="N30" i="92" s="1"/>
  <c r="Q38" i="91" a="1"/>
  <c r="Q38" i="91" s="1"/>
  <c r="P38" i="91" a="1"/>
  <c r="P38" i="91" s="1"/>
  <c r="O38" i="91" a="1"/>
  <c r="O38" i="91" s="1"/>
  <c r="N38" i="91" a="1"/>
  <c r="N38" i="91" s="1"/>
  <c r="E61" i="91" s="1"/>
  <c r="N27" i="91" a="1"/>
  <c r="N27" i="91" s="1"/>
  <c r="Q27" i="91" a="1"/>
  <c r="Q27" i="91" s="1"/>
  <c r="P27" i="91" a="1"/>
  <c r="P27" i="91" s="1"/>
  <c r="O27" i="91" a="1"/>
  <c r="O27" i="91" s="1"/>
  <c r="Q26" i="91" a="1"/>
  <c r="Q26" i="91" s="1"/>
  <c r="P26" i="91" a="1"/>
  <c r="P26" i="91" s="1"/>
  <c r="O26" i="91" a="1"/>
  <c r="O26" i="91" s="1"/>
  <c r="N26" i="91" a="1"/>
  <c r="N26" i="91" s="1"/>
  <c r="P31" i="91" a="1"/>
  <c r="P31" i="91" s="1"/>
  <c r="O31" i="91" a="1"/>
  <c r="O31" i="91" s="1"/>
  <c r="N31" i="91" a="1"/>
  <c r="N31" i="91" s="1"/>
  <c r="Q31" i="91" a="1"/>
  <c r="Q31" i="91" s="1"/>
  <c r="Q35" i="91" a="1"/>
  <c r="Q35" i="91" s="1"/>
  <c r="P35" i="91" a="1"/>
  <c r="P35" i="91" s="1"/>
  <c r="O35" i="91" a="1"/>
  <c r="O35" i="91" s="1"/>
  <c r="N35" i="91" a="1"/>
  <c r="N35" i="91" s="1"/>
  <c r="N25" i="91" a="1"/>
  <c r="N25" i="91" s="1"/>
  <c r="N36" i="91" a="1"/>
  <c r="N36" i="91" s="1"/>
  <c r="Q36" i="91" a="1"/>
  <c r="Q36" i="91" s="1"/>
  <c r="P36" i="91" a="1"/>
  <c r="P36" i="91" s="1"/>
  <c r="O36" i="91" a="1"/>
  <c r="O36" i="91" s="1"/>
  <c r="O25" i="91" a="1"/>
  <c r="O25" i="91" s="1"/>
  <c r="P25" i="91" a="1"/>
  <c r="P25" i="91" s="1"/>
  <c r="Q34" i="91" a="1"/>
  <c r="Q34" i="91" s="1"/>
  <c r="P34" i="91" a="1"/>
  <c r="P34" i="91" s="1"/>
  <c r="O34" i="91" a="1"/>
  <c r="O34" i="91" s="1"/>
  <c r="N34" i="91" a="1"/>
  <c r="N34" i="91" s="1"/>
  <c r="P29" i="91" a="1"/>
  <c r="P29" i="91" s="1"/>
  <c r="O29" i="91" a="1"/>
  <c r="O29" i="91" s="1"/>
  <c r="N29" i="91" a="1"/>
  <c r="N29" i="91" s="1"/>
  <c r="Q30" i="91" a="1"/>
  <c r="Q30" i="91" s="1"/>
  <c r="N30" i="91" a="1"/>
  <c r="N30" i="91" s="1"/>
  <c r="O32" i="91" a="1"/>
  <c r="O32" i="91" s="1"/>
  <c r="N32" i="91" a="1"/>
  <c r="N32" i="91" s="1"/>
  <c r="P32" i="91" a="1"/>
  <c r="P32" i="91" s="1"/>
  <c r="Q28" i="91" a="1"/>
  <c r="Q28" i="91" s="1"/>
  <c r="O30" i="91" a="1"/>
  <c r="O30" i="91" s="1"/>
  <c r="N28" i="91" a="1"/>
  <c r="N28" i="91" s="1"/>
  <c r="O28" i="91" a="1"/>
  <c r="O28" i="91" s="1"/>
  <c r="F242" i="105" l="1" a="1"/>
  <c r="F242" i="105" s="1"/>
  <c r="E305" i="105" a="1"/>
  <c r="E305" i="105" s="1"/>
  <c r="E25" i="83" a="1"/>
  <c r="AE227" i="105" a="1"/>
  <c r="AE227" i="105" s="1"/>
  <c r="I69" i="95" a="1"/>
  <c r="I69" i="95" s="1"/>
  <c r="H167" i="95" s="1"/>
  <c r="I167" i="95" s="1"/>
  <c r="K167" i="95" s="1" a="1"/>
  <c r="K167" i="95" s="1"/>
  <c r="G244" i="105" a="1"/>
  <c r="G244" i="105" s="1"/>
  <c r="E53" i="105"/>
  <c r="P45" i="80" a="1"/>
  <c r="I12" i="79"/>
  <c r="AE225" i="105" a="1"/>
  <c r="AE225" i="105" s="1"/>
  <c r="I77" i="95" a="1"/>
  <c r="I77" i="95" s="1"/>
  <c r="H175" i="95" s="1"/>
  <c r="I175" i="95" s="1"/>
  <c r="K175" i="95" s="1" a="1"/>
  <c r="K175" i="95" s="1"/>
  <c r="I66" i="95" a="1"/>
  <c r="I66" i="95" s="1"/>
  <c r="H164" i="95" s="1"/>
  <c r="I164" i="95" s="1"/>
  <c r="K164" i="95" s="1" a="1"/>
  <c r="K164" i="95" s="1"/>
  <c r="AG221" i="105"/>
  <c r="AI221" i="105" s="1" a="1"/>
  <c r="AI221" i="105" s="1"/>
  <c r="AI224" i="105" a="1"/>
  <c r="AI224" i="105" s="1"/>
  <c r="AI226" i="105" a="1"/>
  <c r="AI226" i="105" s="1"/>
  <c r="AI228" i="105" a="1"/>
  <c r="AI228" i="105" s="1"/>
  <c r="AI230" i="105" a="1"/>
  <c r="AI230" i="105" s="1"/>
  <c r="AI223" i="105" a="1"/>
  <c r="AI223" i="105" s="1"/>
  <c r="AI225" i="105" a="1"/>
  <c r="AI225" i="105" s="1"/>
  <c r="AI227" i="105" a="1"/>
  <c r="AI227" i="105" s="1"/>
  <c r="AI229" i="105" a="1"/>
  <c r="AI229" i="105" s="1"/>
  <c r="AI222" i="105" a="1"/>
  <c r="AI222" i="105" s="1"/>
  <c r="AE223" i="105" a="1"/>
  <c r="AE223" i="105" s="1"/>
  <c r="I85" i="95" a="1"/>
  <c r="I85" i="95" s="1"/>
  <c r="H183" i="95" s="1"/>
  <c r="I74" i="95" a="1"/>
  <c r="I74" i="95" s="1"/>
  <c r="H172" i="95" s="1"/>
  <c r="J42" i="79"/>
  <c r="G20" i="82" a="1"/>
  <c r="F20" i="82" a="1"/>
  <c r="F20" i="82" s="1"/>
  <c r="I42" i="79"/>
  <c r="AE230" i="105" a="1"/>
  <c r="AE230" i="105" s="1"/>
  <c r="I82" i="95" a="1"/>
  <c r="I82" i="95" s="1"/>
  <c r="H180" i="95" s="1"/>
  <c r="I179" i="95" s="1"/>
  <c r="K179" i="95" s="1" a="1"/>
  <c r="K179" i="95" s="1"/>
  <c r="G240" i="105" a="1"/>
  <c r="G240" i="105" s="1"/>
  <c r="AE228" i="105" a="1"/>
  <c r="AE228" i="105" s="1"/>
  <c r="I90" i="95" a="1"/>
  <c r="I90" i="95" s="1"/>
  <c r="H188" i="95" s="1"/>
  <c r="I185" i="95" s="1"/>
  <c r="K185" i="95" s="1" a="1"/>
  <c r="K185" i="95" s="1"/>
  <c r="I44" i="79"/>
  <c r="J44" i="79"/>
  <c r="O45" i="80" a="1"/>
  <c r="AE226" i="105" a="1"/>
  <c r="AE226" i="105" s="1"/>
  <c r="G59" i="95" a="1"/>
  <c r="G59" i="95" s="1"/>
  <c r="I59" i="95" s="1" a="1"/>
  <c r="I59" i="95" s="1"/>
  <c r="H157" i="95" s="1"/>
  <c r="O50" i="80"/>
  <c r="T51" i="80"/>
  <c r="R52" i="80" a="1"/>
  <c r="R52" i="80" s="1"/>
  <c r="S51" i="80" a="1"/>
  <c r="S51" i="80" s="1"/>
  <c r="T52" i="80"/>
  <c r="V52" i="80" s="1" a="1"/>
  <c r="V52" i="80" s="1"/>
  <c r="V51" i="80" a="1"/>
  <c r="V51" i="80" s="1"/>
  <c r="R51" i="80" a="1"/>
  <c r="R51" i="80" s="1"/>
  <c r="Q51" i="80"/>
  <c r="S52" i="80" a="1"/>
  <c r="S52" i="80" s="1"/>
  <c r="AE224" i="105" a="1"/>
  <c r="AE224" i="105" s="1"/>
  <c r="Q221" i="105"/>
  <c r="S221" i="105" s="1" a="1"/>
  <c r="S221" i="105" s="1"/>
  <c r="S227" i="105" a="1"/>
  <c r="S227" i="105" s="1"/>
  <c r="S229" i="105" a="1"/>
  <c r="S229" i="105" s="1"/>
  <c r="S222" i="105" a="1"/>
  <c r="S222" i="105" s="1"/>
  <c r="S224" i="105" a="1"/>
  <c r="S224" i="105" s="1"/>
  <c r="F224" i="105" s="1" a="1"/>
  <c r="F224" i="105" s="1"/>
  <c r="S226" i="105" a="1"/>
  <c r="S226" i="105" s="1"/>
  <c r="F226" i="105" s="1" a="1"/>
  <c r="F226" i="105" s="1"/>
  <c r="S228" i="105" a="1"/>
  <c r="S228" i="105" s="1"/>
  <c r="F228" i="105" s="1" a="1"/>
  <c r="F228" i="105" s="1"/>
  <c r="S230" i="105" a="1"/>
  <c r="S230" i="105" s="1"/>
  <c r="F230" i="105" s="1" a="1"/>
  <c r="F230" i="105" s="1"/>
  <c r="S223" i="105" a="1"/>
  <c r="S223" i="105" s="1"/>
  <c r="F223" i="105" s="1" a="1"/>
  <c r="F223" i="105" s="1"/>
  <c r="S225" i="105" a="1"/>
  <c r="S225" i="105" s="1"/>
  <c r="F225" i="105" s="1" a="1"/>
  <c r="F225" i="105" s="1"/>
  <c r="Y221" i="105"/>
  <c r="AA221" i="105" s="1" a="1"/>
  <c r="AA221" i="105" s="1"/>
  <c r="AA229" i="105" a="1"/>
  <c r="AA229" i="105" s="1"/>
  <c r="AA222" i="105" a="1"/>
  <c r="AA222" i="105" s="1"/>
  <c r="AA224" i="105" a="1"/>
  <c r="AA224" i="105" s="1"/>
  <c r="AA226" i="105" a="1"/>
  <c r="AA226" i="105" s="1"/>
  <c r="AA228" i="105" a="1"/>
  <c r="AA228" i="105" s="1"/>
  <c r="AA230" i="105" a="1"/>
  <c r="AA230" i="105" s="1"/>
  <c r="AA223" i="105" a="1"/>
  <c r="AA223" i="105" s="1"/>
  <c r="AA225" i="105" a="1"/>
  <c r="AA225" i="105" s="1"/>
  <c r="AA227" i="105" a="1"/>
  <c r="AA227" i="105" s="1"/>
  <c r="AE222" i="105" a="1"/>
  <c r="AE222" i="105" s="1"/>
  <c r="U221" i="105"/>
  <c r="W221" i="105" s="1" a="1"/>
  <c r="W221" i="105" s="1"/>
  <c r="F221" i="105" s="1" a="1"/>
  <c r="F221" i="105" s="1"/>
  <c r="W227" i="105" a="1"/>
  <c r="W227" i="105" s="1"/>
  <c r="W229" i="105" a="1"/>
  <c r="W229" i="105" s="1"/>
  <c r="W222" i="105" a="1"/>
  <c r="W222" i="105" s="1"/>
  <c r="W224" i="105" a="1"/>
  <c r="W224" i="105" s="1"/>
  <c r="W226" i="105" a="1"/>
  <c r="W226" i="105" s="1"/>
  <c r="W228" i="105" a="1"/>
  <c r="W228" i="105" s="1"/>
  <c r="W230" i="105" a="1"/>
  <c r="W230" i="105" s="1"/>
  <c r="W223" i="105" a="1"/>
  <c r="W223" i="105" s="1"/>
  <c r="W225" i="105" a="1"/>
  <c r="W225" i="105" s="1"/>
  <c r="AE221" i="105" a="1"/>
  <c r="AE221" i="105" s="1"/>
  <c r="G241" i="105" a="1"/>
  <c r="G241" i="105" s="1"/>
  <c r="E63" i="91"/>
  <c r="G124" i="105" a="1"/>
  <c r="G124" i="105" s="1"/>
  <c r="AE229" i="105" a="1"/>
  <c r="AE229" i="105" s="1"/>
  <c r="E62" i="91"/>
  <c r="E64" i="91"/>
  <c r="Q27" i="92" a="1"/>
  <c r="Q27" i="92" s="1"/>
  <c r="AK221" i="105"/>
  <c r="AM221" i="105" s="1" a="1"/>
  <c r="AM221" i="105" s="1"/>
  <c r="AM224" i="105" a="1"/>
  <c r="AM224" i="105" s="1"/>
  <c r="AM226" i="105" a="1"/>
  <c r="AM226" i="105" s="1"/>
  <c r="AM228" i="105" a="1"/>
  <c r="AM228" i="105" s="1"/>
  <c r="AM230" i="105" a="1"/>
  <c r="AM230" i="105" s="1"/>
  <c r="AM223" i="105" a="1"/>
  <c r="AM223" i="105" s="1"/>
  <c r="AM225" i="105" a="1"/>
  <c r="AM225" i="105" s="1"/>
  <c r="AM227" i="105" a="1"/>
  <c r="AM227" i="105" s="1"/>
  <c r="AM229" i="105" a="1"/>
  <c r="AM229" i="105" s="1"/>
  <c r="AM222" i="105" a="1"/>
  <c r="AM222" i="105" s="1"/>
  <c r="I43" i="79"/>
  <c r="J43" i="79"/>
  <c r="G116" i="95" a="1"/>
  <c r="G116" i="95" s="1"/>
  <c r="G21" i="95" a="1"/>
  <c r="G21" i="95" s="1"/>
  <c r="I21" i="95" s="1" a="1"/>
  <c r="I21" i="95" s="1"/>
  <c r="H116" i="95" s="1"/>
  <c r="I116" i="95" s="1"/>
  <c r="K116" i="95" s="1" a="1"/>
  <c r="K116" i="95" s="1"/>
  <c r="G157" i="95" a="1"/>
  <c r="G157" i="95" s="1"/>
  <c r="E72" i="105"/>
  <c r="G20" i="79"/>
  <c r="E237" i="105" s="1" a="1"/>
  <c r="P50" i="80" a="1"/>
  <c r="I62" i="95" a="1"/>
  <c r="I62" i="95" s="1"/>
  <c r="H160" i="95" s="1"/>
  <c r="I160" i="95" s="1"/>
  <c r="K160" i="95" s="1" a="1"/>
  <c r="K160" i="95" s="1"/>
  <c r="E34" i="105"/>
  <c r="E93" i="105" s="1"/>
  <c r="R71" i="98"/>
  <c r="O24" i="99"/>
  <c r="E642" i="105"/>
  <c r="G122" i="105" a="1"/>
  <c r="G122" i="105" s="1"/>
  <c r="E131" i="105"/>
  <c r="E145" i="105" s="1"/>
  <c r="G123" i="105" a="1"/>
  <c r="G123" i="105" s="1"/>
  <c r="E379" i="105"/>
  <c r="E378" i="105"/>
  <c r="E35" i="105"/>
  <c r="E94" i="105" s="1"/>
  <c r="E283" i="105"/>
  <c r="E284" i="105"/>
  <c r="I33" i="100"/>
  <c r="I168" i="95"/>
  <c r="K168" i="95" s="1" a="1"/>
  <c r="K168" i="95" s="1"/>
  <c r="E46" i="97"/>
  <c r="I127" i="95"/>
  <c r="K127" i="95" s="1" a="1"/>
  <c r="K127" i="95" s="1"/>
  <c r="I157" i="95"/>
  <c r="K157" i="95" s="1" a="1"/>
  <c r="K157" i="95" s="1"/>
  <c r="I138" i="95"/>
  <c r="K138" i="95" s="1" a="1"/>
  <c r="K138" i="95" s="1"/>
  <c r="I144" i="95"/>
  <c r="K144" i="95" s="1" a="1"/>
  <c r="K144" i="95" s="1"/>
  <c r="E51" i="92"/>
  <c r="E45" i="91"/>
  <c r="E44" i="91"/>
  <c r="E46" i="91"/>
  <c r="E52" i="92"/>
  <c r="E43" i="92"/>
  <c r="E55" i="91"/>
  <c r="E49" i="92"/>
  <c r="E44" i="92"/>
  <c r="E50" i="92"/>
  <c r="E45" i="92"/>
  <c r="E46" i="92"/>
  <c r="E56" i="91"/>
  <c r="E43" i="91"/>
  <c r="E57" i="91"/>
  <c r="E58" i="91"/>
  <c r="P50" i="80" l="1"/>
  <c r="U51" i="80"/>
  <c r="U52" i="80"/>
  <c r="F222" i="105" a="1"/>
  <c r="F222" i="105" s="1"/>
  <c r="G222" i="105" s="1" a="1"/>
  <c r="G222" i="105" s="1"/>
  <c r="F229" i="105" a="1"/>
  <c r="F229" i="105" s="1"/>
  <c r="J245" i="105" a="1"/>
  <c r="J245" i="105" s="1"/>
  <c r="J238" i="105" a="1"/>
  <c r="J238" i="105" s="1"/>
  <c r="J244" i="105" a="1"/>
  <c r="J244" i="105" s="1"/>
  <c r="H238" i="105" a="1"/>
  <c r="H238" i="105" s="1"/>
  <c r="E237" i="105"/>
  <c r="J242" i="105" a="1"/>
  <c r="J242" i="105" s="1"/>
  <c r="J246" i="105" a="1"/>
  <c r="J246" i="105" s="1"/>
  <c r="J241" i="105" a="1"/>
  <c r="J241" i="105" s="1"/>
  <c r="K240" i="105" a="1"/>
  <c r="K240" i="105" s="1"/>
  <c r="J243" i="105" a="1"/>
  <c r="J243" i="105" s="1"/>
  <c r="J240" i="105" a="1"/>
  <c r="J240" i="105" s="1"/>
  <c r="J239" i="105" a="1"/>
  <c r="J239" i="105" s="1"/>
  <c r="K243" i="105" a="1"/>
  <c r="K243" i="105" s="1"/>
  <c r="H244" i="105" a="1"/>
  <c r="H244" i="105" s="1"/>
  <c r="H245" i="105" a="1"/>
  <c r="H245" i="105" s="1"/>
  <c r="K242" i="105" a="1"/>
  <c r="K242" i="105" s="1"/>
  <c r="H240" i="105" a="1"/>
  <c r="H240" i="105" s="1"/>
  <c r="K246" i="105" a="1"/>
  <c r="K246" i="105" s="1"/>
  <c r="K241" i="105" a="1"/>
  <c r="K241" i="105" s="1"/>
  <c r="K245" i="105" a="1"/>
  <c r="K245" i="105" s="1"/>
  <c r="H243" i="105" a="1"/>
  <c r="H243" i="105" s="1"/>
  <c r="H239" i="105" a="1"/>
  <c r="H239" i="105" s="1"/>
  <c r="H241" i="105" a="1"/>
  <c r="H241" i="105" s="1"/>
  <c r="K244" i="105" a="1"/>
  <c r="K244" i="105" s="1"/>
  <c r="H246" i="105" a="1"/>
  <c r="H246" i="105" s="1"/>
  <c r="K238" i="105" a="1"/>
  <c r="K238" i="105" s="1"/>
  <c r="K239" i="105" a="1"/>
  <c r="K239" i="105" s="1"/>
  <c r="H242" i="105" a="1"/>
  <c r="H242" i="105" s="1"/>
  <c r="G243" i="105" a="1"/>
  <c r="G243" i="105" s="1"/>
  <c r="F227" i="105" a="1"/>
  <c r="F227" i="105" s="1"/>
  <c r="G227" i="105" s="1" a="1"/>
  <c r="G227" i="105" s="1"/>
  <c r="E25" i="83"/>
  <c r="R50" i="80" a="1"/>
  <c r="R50" i="80" s="1"/>
  <c r="Q50" i="80"/>
  <c r="T50" i="80"/>
  <c r="S50" i="80" a="1"/>
  <c r="S50" i="80" s="1"/>
  <c r="G20" i="82"/>
  <c r="I20" i="82" s="1" a="1"/>
  <c r="I20" i="82" s="1"/>
  <c r="I22" i="82" a="1"/>
  <c r="I22" i="82" s="1"/>
  <c r="I21" i="82" a="1"/>
  <c r="I21" i="82" s="1"/>
  <c r="H305" i="105" a="1"/>
  <c r="H305" i="105" s="1"/>
  <c r="F305" i="105" a="1"/>
  <c r="G305" i="105" a="1"/>
  <c r="G305" i="105" s="1"/>
  <c r="G239" i="105" a="1"/>
  <c r="G239" i="105" s="1"/>
  <c r="G246" i="105" a="1"/>
  <c r="G246" i="105" s="1"/>
  <c r="G242" i="105" a="1"/>
  <c r="G242" i="105" s="1"/>
  <c r="P45" i="80"/>
  <c r="E34" i="80" a="1"/>
  <c r="E34" i="80" s="1"/>
  <c r="G34" i="80" s="1" a="1"/>
  <c r="G34" i="80" s="1"/>
  <c r="E22" i="81" a="1"/>
  <c r="E22" i="81" s="1"/>
  <c r="G22" i="81" s="1" a="1"/>
  <c r="G22" i="81" s="1"/>
  <c r="E27" i="81" a="1"/>
  <c r="E27" i="81" s="1"/>
  <c r="G27" i="81" s="1" a="1"/>
  <c r="G27" i="81" s="1"/>
  <c r="E27" i="80" a="1"/>
  <c r="E27" i="80" s="1"/>
  <c r="G27" i="80" s="1" a="1"/>
  <c r="G27" i="80" s="1"/>
  <c r="E30" i="80" a="1"/>
  <c r="E30" i="80" s="1"/>
  <c r="G30" i="80" s="1" a="1"/>
  <c r="G30" i="80" s="1"/>
  <c r="E20" i="81" a="1"/>
  <c r="E20" i="81" s="1"/>
  <c r="G20" i="81" s="1" a="1"/>
  <c r="G20" i="81" s="1"/>
  <c r="E20" i="80" a="1"/>
  <c r="E20" i="80" s="1"/>
  <c r="G20" i="80" s="1" a="1"/>
  <c r="G20" i="80" s="1"/>
  <c r="E22" i="80" a="1"/>
  <c r="E22" i="80" s="1"/>
  <c r="G22" i="80" s="1" a="1"/>
  <c r="G22" i="80" s="1"/>
  <c r="E37" i="81" a="1"/>
  <c r="E37" i="81" s="1"/>
  <c r="G37" i="81" s="1" a="1"/>
  <c r="G37" i="81" s="1"/>
  <c r="E32" i="80" a="1"/>
  <c r="E32" i="80" s="1"/>
  <c r="G32" i="80" s="1" a="1"/>
  <c r="G32" i="80" s="1"/>
  <c r="E32" i="81" a="1"/>
  <c r="E32" i="81" s="1"/>
  <c r="G32" i="81" s="1" a="1"/>
  <c r="G32" i="81" s="1"/>
  <c r="E35" i="81" a="1"/>
  <c r="E35" i="81" s="1"/>
  <c r="G35" i="81" s="1" a="1"/>
  <c r="G35" i="81" s="1"/>
  <c r="E30" i="81" a="1"/>
  <c r="E30" i="81" s="1"/>
  <c r="G30" i="81" s="1" a="1"/>
  <c r="G30" i="81" s="1"/>
  <c r="E25" i="80" a="1"/>
  <c r="E25" i="80" s="1"/>
  <c r="G25" i="80" s="1" a="1"/>
  <c r="G25" i="80" s="1"/>
  <c r="E23" i="81" a="1"/>
  <c r="E23" i="81" s="1"/>
  <c r="G23" i="81" s="1" a="1"/>
  <c r="G23" i="81" s="1"/>
  <c r="E25" i="81" a="1"/>
  <c r="E25" i="81" s="1"/>
  <c r="G25" i="81" s="1" a="1"/>
  <c r="G25" i="81" s="1"/>
  <c r="E37" i="80" a="1"/>
  <c r="E37" i="80" s="1"/>
  <c r="G37" i="80" s="1" a="1"/>
  <c r="G37" i="80" s="1"/>
  <c r="E28" i="81" a="1"/>
  <c r="E28" i="81" s="1"/>
  <c r="G28" i="81" s="1" a="1"/>
  <c r="G28" i="81" s="1"/>
  <c r="E35" i="80" a="1"/>
  <c r="E35" i="80" s="1"/>
  <c r="G35" i="80" s="1" a="1"/>
  <c r="G35" i="80" s="1"/>
  <c r="E33" i="80" a="1"/>
  <c r="E33" i="80" s="1"/>
  <c r="G33" i="80" s="1" a="1"/>
  <c r="G33" i="80" s="1"/>
  <c r="E21" i="81" a="1"/>
  <c r="E21" i="81" s="1"/>
  <c r="G21" i="81" s="1" a="1"/>
  <c r="G21" i="81" s="1"/>
  <c r="E26" i="80" a="1"/>
  <c r="E26" i="80" s="1"/>
  <c r="G26" i="80" s="1" a="1"/>
  <c r="G26" i="80" s="1"/>
  <c r="E23" i="80" a="1"/>
  <c r="E23" i="80" s="1"/>
  <c r="G23" i="80" s="1" a="1"/>
  <c r="G23" i="80" s="1"/>
  <c r="E28" i="80" a="1"/>
  <c r="E28" i="80" s="1"/>
  <c r="G28" i="80" s="1" a="1"/>
  <c r="G28" i="80" s="1"/>
  <c r="E21" i="80" a="1"/>
  <c r="E21" i="80" s="1"/>
  <c r="G21" i="80" s="1" a="1"/>
  <c r="G21" i="80" s="1"/>
  <c r="E19" i="80" a="1"/>
  <c r="E19" i="80" s="1"/>
  <c r="G19" i="80" s="1" a="1"/>
  <c r="G19" i="80" s="1"/>
  <c r="E19" i="81" a="1"/>
  <c r="E19" i="81" s="1"/>
  <c r="G19" i="81" s="1" a="1"/>
  <c r="G19" i="81" s="1"/>
  <c r="E29" i="80" a="1"/>
  <c r="E29" i="80" s="1"/>
  <c r="G29" i="80" s="1" a="1"/>
  <c r="G29" i="80" s="1"/>
  <c r="E33" i="81" a="1"/>
  <c r="E33" i="81" s="1"/>
  <c r="G33" i="81" s="1" a="1"/>
  <c r="G33" i="81" s="1"/>
  <c r="E31" i="80" a="1"/>
  <c r="E31" i="80" s="1"/>
  <c r="G31" i="80" s="1" a="1"/>
  <c r="G31" i="80" s="1"/>
  <c r="E221" i="105" a="1"/>
  <c r="G228" i="105" s="1" a="1"/>
  <c r="G228" i="105" s="1"/>
  <c r="E36" i="80" a="1"/>
  <c r="E36" i="80" s="1"/>
  <c r="G36" i="80" s="1" a="1"/>
  <c r="G36" i="80" s="1"/>
  <c r="E24" i="80" a="1"/>
  <c r="E24" i="80" s="1"/>
  <c r="G24" i="80" s="1" a="1"/>
  <c r="G24" i="80" s="1"/>
  <c r="E31" i="81" a="1"/>
  <c r="E31" i="81" s="1"/>
  <c r="G31" i="81" s="1" a="1"/>
  <c r="G31" i="81" s="1"/>
  <c r="E36" i="81" a="1"/>
  <c r="E36" i="81" s="1"/>
  <c r="G36" i="81" s="1" a="1"/>
  <c r="G36" i="81" s="1"/>
  <c r="E26" i="81" a="1"/>
  <c r="E26" i="81" s="1"/>
  <c r="G26" i="81" s="1" a="1"/>
  <c r="G26" i="81" s="1"/>
  <c r="E29" i="81" a="1"/>
  <c r="E29" i="81" s="1"/>
  <c r="G29" i="81" s="1" a="1"/>
  <c r="G29" i="81" s="1"/>
  <c r="E34" i="81" a="1"/>
  <c r="E34" i="81" s="1"/>
  <c r="G34" i="81" s="1" a="1"/>
  <c r="G34" i="81" s="1"/>
  <c r="E24" i="81" a="1"/>
  <c r="E24" i="81" s="1"/>
  <c r="G24" i="81" s="1" a="1"/>
  <c r="G24" i="81" s="1"/>
  <c r="Q52" i="80"/>
  <c r="G245" i="105" a="1"/>
  <c r="G245" i="105" s="1"/>
  <c r="O45" i="80"/>
  <c r="W47" i="80"/>
  <c r="W46" i="80"/>
  <c r="T48" i="80"/>
  <c r="V48" i="80" s="1" a="1"/>
  <c r="V48" i="80" s="1"/>
  <c r="S47" i="80" a="1"/>
  <c r="S47" i="80" s="1"/>
  <c r="R49" i="80" a="1"/>
  <c r="R49" i="80" s="1"/>
  <c r="S48" i="80" a="1"/>
  <c r="S48" i="80" s="1"/>
  <c r="R47" i="80" a="1"/>
  <c r="R47" i="80" s="1"/>
  <c r="T49" i="80"/>
  <c r="V49" i="80" s="1" a="1"/>
  <c r="V49" i="80" s="1"/>
  <c r="S46" i="80" a="1"/>
  <c r="S46" i="80" s="1"/>
  <c r="S49" i="80" a="1"/>
  <c r="S49" i="80" s="1"/>
  <c r="R46" i="80" a="1"/>
  <c r="R46" i="80" s="1"/>
  <c r="T47" i="80"/>
  <c r="U47" i="80" s="1"/>
  <c r="V47" i="80" a="1"/>
  <c r="V47" i="80" s="1"/>
  <c r="T46" i="80"/>
  <c r="U46" i="80" s="1"/>
  <c r="V46" i="80" a="1"/>
  <c r="V46" i="80" s="1"/>
  <c r="Q48" i="80"/>
  <c r="Q47" i="80"/>
  <c r="Q49" i="80"/>
  <c r="Q46" i="80"/>
  <c r="R48" i="80" a="1"/>
  <c r="R48" i="80" s="1"/>
  <c r="G238" i="105" a="1"/>
  <c r="G238" i="105" s="1"/>
  <c r="E130" i="105"/>
  <c r="E144" i="105" s="1"/>
  <c r="E70" i="91"/>
  <c r="I515" i="105" s="1"/>
  <c r="E151" i="95"/>
  <c r="E192" i="95"/>
  <c r="E588" i="105" s="1"/>
  <c r="E69" i="91"/>
  <c r="E58" i="92"/>
  <c r="I516" i="105" s="1"/>
  <c r="E57" i="92"/>
  <c r="E56" i="92"/>
  <c r="E55" i="92"/>
  <c r="E68" i="91"/>
  <c r="E67" i="91"/>
  <c r="G73" i="13"/>
  <c r="G74" i="13" s="1"/>
  <c r="G70" i="13"/>
  <c r="G71" i="13" s="1"/>
  <c r="E24" i="85" l="1"/>
  <c r="E20" i="84"/>
  <c r="H20" i="84" s="1" a="1"/>
  <c r="H20" i="84" s="1"/>
  <c r="E60" i="84" s="1"/>
  <c r="E33" i="84"/>
  <c r="H33" i="84" s="1" a="1"/>
  <c r="H33" i="84" s="1"/>
  <c r="E73" i="84" s="1"/>
  <c r="E37" i="85"/>
  <c r="K237" i="105" a="1"/>
  <c r="K237" i="105" s="1"/>
  <c r="H237" i="105" a="1"/>
  <c r="H237" i="105" s="1"/>
  <c r="J237" i="105" a="1"/>
  <c r="J237" i="105" s="1"/>
  <c r="G237" i="105" a="1"/>
  <c r="G237" i="105" s="1"/>
  <c r="E39" i="85"/>
  <c r="E35" i="84"/>
  <c r="H35" i="84" s="1" a="1"/>
  <c r="H35" i="84" s="1"/>
  <c r="E75" i="84" s="1"/>
  <c r="E31" i="84"/>
  <c r="H31" i="84" s="1" a="1"/>
  <c r="H31" i="84" s="1"/>
  <c r="E71" i="84" s="1"/>
  <c r="E35" i="85"/>
  <c r="F305" i="105"/>
  <c r="J308" i="105" a="1"/>
  <c r="J308" i="105" s="1"/>
  <c r="I308" i="105" a="1"/>
  <c r="I308" i="105" s="1"/>
  <c r="I314" i="105" a="1"/>
  <c r="I314" i="105" s="1"/>
  <c r="I313" i="105" a="1"/>
  <c r="I313" i="105" s="1"/>
  <c r="J309" i="105" a="1"/>
  <c r="J309" i="105" s="1"/>
  <c r="J307" i="105" a="1"/>
  <c r="J307" i="105" s="1"/>
  <c r="I309" i="105" a="1"/>
  <c r="I309" i="105" s="1"/>
  <c r="I311" i="105" a="1"/>
  <c r="I311" i="105" s="1"/>
  <c r="I306" i="105" a="1"/>
  <c r="I306" i="105" s="1"/>
  <c r="J312" i="105" a="1"/>
  <c r="J312" i="105" s="1"/>
  <c r="J313" i="105" a="1"/>
  <c r="J313" i="105" s="1"/>
  <c r="I307" i="105" a="1"/>
  <c r="I307" i="105" s="1"/>
  <c r="J311" i="105" a="1"/>
  <c r="J311" i="105" s="1"/>
  <c r="J306" i="105" a="1"/>
  <c r="J306" i="105" s="1"/>
  <c r="J310" i="105" a="1"/>
  <c r="J310" i="105" s="1"/>
  <c r="I310" i="105" a="1"/>
  <c r="I310" i="105" s="1"/>
  <c r="I312" i="105" a="1"/>
  <c r="I312" i="105" s="1"/>
  <c r="J314" i="105" a="1"/>
  <c r="J314" i="105" s="1"/>
  <c r="E28" i="85"/>
  <c r="E24" i="84"/>
  <c r="H24" i="84" s="1" a="1"/>
  <c r="H24" i="84" s="1"/>
  <c r="E64" i="84" s="1"/>
  <c r="R45" i="80" a="1"/>
  <c r="R45" i="80" s="1"/>
  <c r="S45" i="80" a="1"/>
  <c r="S45" i="80" s="1"/>
  <c r="T45" i="80"/>
  <c r="V45" i="80" s="1" a="1"/>
  <c r="V45" i="80" s="1"/>
  <c r="Q45" i="80"/>
  <c r="G225" i="105" a="1"/>
  <c r="G225" i="105" s="1"/>
  <c r="E29" i="84"/>
  <c r="H29" i="84" s="1" a="1"/>
  <c r="H29" i="84" s="1"/>
  <c r="E69" i="84" s="1"/>
  <c r="E33" i="85"/>
  <c r="E25" i="84"/>
  <c r="H25" i="84" s="1" a="1"/>
  <c r="H25" i="84" s="1"/>
  <c r="E65" i="84" s="1"/>
  <c r="E29" i="85"/>
  <c r="E103" i="84"/>
  <c r="F103" i="84" s="1" a="1"/>
  <c r="F103" i="84" s="1"/>
  <c r="E135" i="84" s="1"/>
  <c r="E66" i="85"/>
  <c r="G229" i="105" a="1"/>
  <c r="G229" i="105" s="1"/>
  <c r="E38" i="85"/>
  <c r="E34" i="84"/>
  <c r="H34" i="84" s="1" a="1"/>
  <c r="H34" i="84" s="1"/>
  <c r="E74" i="84" s="1"/>
  <c r="U48" i="80"/>
  <c r="E67" i="85"/>
  <c r="E104" i="84"/>
  <c r="F104" i="84" s="1" a="1"/>
  <c r="F104" i="84" s="1"/>
  <c r="E136" i="84" s="1"/>
  <c r="E40" i="85"/>
  <c r="E36" i="84"/>
  <c r="H36" i="84" s="1" a="1"/>
  <c r="H36" i="84" s="1"/>
  <c r="E76" i="84" s="1"/>
  <c r="H224" i="105" a="1"/>
  <c r="H224" i="105" s="1"/>
  <c r="H230" i="105" a="1"/>
  <c r="H230" i="105" s="1"/>
  <c r="K224" i="105" a="1"/>
  <c r="K224" i="105" s="1"/>
  <c r="H222" i="105" a="1"/>
  <c r="H222" i="105" s="1"/>
  <c r="H227" i="105" a="1"/>
  <c r="H227" i="105" s="1"/>
  <c r="H223" i="105" a="1"/>
  <c r="H223" i="105" s="1"/>
  <c r="H228" i="105" a="1"/>
  <c r="H228" i="105" s="1"/>
  <c r="K223" i="105" a="1"/>
  <c r="K223" i="105" s="1"/>
  <c r="K229" i="105" a="1"/>
  <c r="K229" i="105" s="1"/>
  <c r="J224" i="105" a="1"/>
  <c r="J224" i="105" s="1"/>
  <c r="K230" i="105" a="1"/>
  <c r="K230" i="105" s="1"/>
  <c r="K228" i="105" a="1"/>
  <c r="K228" i="105" s="1"/>
  <c r="K226" i="105" a="1"/>
  <c r="K226" i="105" s="1"/>
  <c r="H229" i="105" a="1"/>
  <c r="H229" i="105" s="1"/>
  <c r="J223" i="105" a="1"/>
  <c r="J223" i="105" s="1"/>
  <c r="K225" i="105" a="1"/>
  <c r="K225" i="105" s="1"/>
  <c r="J226" i="105" a="1"/>
  <c r="J226" i="105" s="1"/>
  <c r="G224" i="105" a="1"/>
  <c r="G224" i="105" s="1"/>
  <c r="H226" i="105" a="1"/>
  <c r="H226" i="105" s="1"/>
  <c r="K222" i="105" a="1"/>
  <c r="K222" i="105" s="1"/>
  <c r="E221" i="105"/>
  <c r="J229" i="105" a="1"/>
  <c r="J229" i="105" s="1"/>
  <c r="K227" i="105" a="1"/>
  <c r="K227" i="105" s="1"/>
  <c r="J227" i="105" a="1"/>
  <c r="J227" i="105" s="1"/>
  <c r="J222" i="105" a="1"/>
  <c r="J222" i="105" s="1"/>
  <c r="J225" i="105" a="1"/>
  <c r="J225" i="105" s="1"/>
  <c r="J228" i="105" a="1"/>
  <c r="J228" i="105" s="1"/>
  <c r="H225" i="105" a="1"/>
  <c r="H225" i="105" s="1"/>
  <c r="J230" i="105" a="1"/>
  <c r="J230" i="105" s="1"/>
  <c r="U45" i="80"/>
  <c r="E102" i="84"/>
  <c r="F102" i="84" s="1" a="1"/>
  <c r="F102" i="84" s="1"/>
  <c r="E134" i="84" s="1"/>
  <c r="E32" i="82"/>
  <c r="K44" i="82" s="1"/>
  <c r="E65" i="85"/>
  <c r="E25" i="85"/>
  <c r="E21" i="84"/>
  <c r="H21" i="84" s="1" a="1"/>
  <c r="H21" i="84" s="1"/>
  <c r="E61" i="84" s="1"/>
  <c r="U49" i="80"/>
  <c r="E23" i="85"/>
  <c r="E19" i="84"/>
  <c r="H19" i="84" s="1" a="1"/>
  <c r="H19" i="84" s="1"/>
  <c r="E59" i="84" s="1"/>
  <c r="E32" i="85"/>
  <c r="E28" i="84"/>
  <c r="H28" i="84" s="1" a="1"/>
  <c r="H28" i="84" s="1"/>
  <c r="E68" i="84" s="1"/>
  <c r="E32" i="84"/>
  <c r="H32" i="84" s="1" a="1"/>
  <c r="H32" i="84" s="1"/>
  <c r="E72" i="84" s="1"/>
  <c r="E36" i="85"/>
  <c r="U50" i="80"/>
  <c r="V50" i="80" a="1"/>
  <c r="V50" i="80" s="1"/>
  <c r="E27" i="84"/>
  <c r="H27" i="84" s="1" a="1"/>
  <c r="H27" i="84" s="1"/>
  <c r="E67" i="84" s="1"/>
  <c r="E31" i="85"/>
  <c r="E23" i="84"/>
  <c r="H23" i="84" s="1" a="1"/>
  <c r="H23" i="84" s="1"/>
  <c r="E63" i="84" s="1"/>
  <c r="E27" i="85"/>
  <c r="E30" i="84"/>
  <c r="H30" i="84" s="1" a="1"/>
  <c r="H30" i="84" s="1"/>
  <c r="E70" i="84" s="1"/>
  <c r="E34" i="85"/>
  <c r="E41" i="85"/>
  <c r="E37" i="84"/>
  <c r="H37" i="84" s="1" a="1"/>
  <c r="H37" i="84" s="1"/>
  <c r="E77" i="84" s="1"/>
  <c r="G226" i="105" a="1"/>
  <c r="G226" i="105" s="1"/>
  <c r="E26" i="84"/>
  <c r="H26" i="84" s="1" a="1"/>
  <c r="H26" i="84" s="1"/>
  <c r="E66" i="84" s="1"/>
  <c r="E30" i="85"/>
  <c r="E22" i="84"/>
  <c r="H22" i="84" s="1" a="1"/>
  <c r="H22" i="84" s="1"/>
  <c r="E62" i="84" s="1"/>
  <c r="E26" i="85"/>
  <c r="G223" i="105" a="1"/>
  <c r="G223" i="105" s="1"/>
  <c r="G230" i="105" a="1"/>
  <c r="G230" i="105" s="1"/>
  <c r="E518" i="105" a="1"/>
  <c r="E518" i="105" s="1"/>
  <c r="E30" i="72"/>
  <c r="E25" i="72"/>
  <c r="J305" i="105" l="1" a="1"/>
  <c r="J305" i="105" s="1"/>
  <c r="E317" i="105" s="1"/>
  <c r="I305" i="105" a="1"/>
  <c r="I305" i="105" s="1"/>
  <c r="E316" i="105" s="1"/>
  <c r="G221" i="105" a="1"/>
  <c r="G221" i="105" s="1"/>
  <c r="E248" i="105" s="1"/>
  <c r="J221" i="105" a="1"/>
  <c r="J221" i="105" s="1"/>
  <c r="E249" i="105" s="1"/>
  <c r="K221" i="105" a="1"/>
  <c r="K221" i="105" s="1"/>
  <c r="E252" i="105" s="1"/>
  <c r="H221" i="105" a="1"/>
  <c r="H221" i="105" s="1"/>
  <c r="E251" i="105" s="1"/>
  <c r="E27" i="72" a="1"/>
  <c r="E27" i="72" s="1"/>
  <c r="E22" i="72" a="1"/>
  <c r="E22" i="72" s="1"/>
  <c r="F72" i="13" l="1"/>
  <c r="F63" i="13"/>
  <c r="F61" i="13"/>
  <c r="F62" i="13" s="1"/>
  <c r="F70" i="13"/>
  <c r="F71" i="13" s="1"/>
  <c r="F75" i="13"/>
  <c r="F64" i="13"/>
  <c r="F65" i="13" s="1"/>
  <c r="F73" i="13"/>
  <c r="F74" i="13" s="1"/>
  <c r="F66" i="13"/>
  <c r="E23" i="13" a="1"/>
  <c r="E23" i="13" s="1"/>
  <c r="H23" i="13" s="1"/>
  <c r="E22" i="13" a="1"/>
  <c r="E22" i="13" s="1"/>
  <c r="E21" i="13" a="1"/>
  <c r="E21" i="13" s="1"/>
  <c r="F21" i="13" s="1"/>
  <c r="E20" i="13" a="1"/>
  <c r="E20" i="13" s="1"/>
  <c r="H20" i="13" s="1"/>
  <c r="E19" i="13" a="1"/>
  <c r="E19" i="13" s="1"/>
  <c r="F19" i="13" s="1"/>
  <c r="E18" i="13" a="1"/>
  <c r="E18" i="13" s="1"/>
  <c r="E17" i="13" a="1"/>
  <c r="E17" i="13" s="1"/>
  <c r="H17" i="13" s="1"/>
  <c r="D34" i="13" a="1"/>
  <c r="D45" i="13" a="1"/>
  <c r="D30" i="13" a="1"/>
  <c r="D30" i="13" s="1"/>
  <c r="E13" i="72"/>
  <c r="E18" i="75"/>
  <c r="E259" i="74" a="1"/>
  <c r="E259" i="74" s="1"/>
  <c r="D259" i="74" a="1"/>
  <c r="D259" i="74" s="1"/>
  <c r="E258" i="74" a="1"/>
  <c r="E258" i="74" s="1"/>
  <c r="D258" i="74" a="1"/>
  <c r="D258" i="74" s="1"/>
  <c r="D256" i="74" a="1"/>
  <c r="D256" i="74" s="1"/>
  <c r="D255" i="74" a="1"/>
  <c r="D255" i="74" s="1"/>
  <c r="D254" i="74" a="1"/>
  <c r="D254" i="74" s="1"/>
  <c r="D253" i="74" a="1"/>
  <c r="D253" i="74" s="1"/>
  <c r="S250" i="74" a="1"/>
  <c r="S250" i="74" s="1"/>
  <c r="R250" i="74" a="1"/>
  <c r="R250" i="74" s="1"/>
  <c r="Q250" i="74" a="1"/>
  <c r="Q250" i="74" s="1"/>
  <c r="P250" i="74" a="1"/>
  <c r="P250" i="74" s="1"/>
  <c r="O250" i="74" a="1"/>
  <c r="O250" i="74" s="1"/>
  <c r="N250" i="74" a="1"/>
  <c r="N250" i="74" s="1"/>
  <c r="M250" i="74" a="1"/>
  <c r="M250" i="74" s="1"/>
  <c r="L250" i="74" a="1"/>
  <c r="L250" i="74" s="1"/>
  <c r="K250" i="74" a="1"/>
  <c r="K250" i="74" s="1"/>
  <c r="J250" i="74" a="1"/>
  <c r="J250" i="74" s="1"/>
  <c r="I250" i="74" a="1"/>
  <c r="I250" i="74" s="1"/>
  <c r="H250" i="74" a="1"/>
  <c r="H250" i="74" s="1"/>
  <c r="G250" i="74" a="1"/>
  <c r="G250" i="74" s="1"/>
  <c r="F250" i="74" a="1"/>
  <c r="F250" i="74" s="1"/>
  <c r="E250" i="74" a="1"/>
  <c r="E250" i="74" s="1"/>
  <c r="D250" i="74" a="1"/>
  <c r="D250" i="74" s="1"/>
  <c r="S249" i="74" a="1"/>
  <c r="S249" i="74" s="1"/>
  <c r="R249" i="74" a="1"/>
  <c r="R249" i="74" s="1"/>
  <c r="Q249" i="74" a="1"/>
  <c r="Q249" i="74" s="1"/>
  <c r="P249" i="74" a="1"/>
  <c r="P249" i="74" s="1"/>
  <c r="O249" i="74" a="1"/>
  <c r="O249" i="74" s="1"/>
  <c r="N249" i="74" a="1"/>
  <c r="N249" i="74" s="1"/>
  <c r="M249" i="74" a="1"/>
  <c r="M249" i="74" s="1"/>
  <c r="L249" i="74" a="1"/>
  <c r="L249" i="74" s="1"/>
  <c r="K249" i="74" a="1"/>
  <c r="K249" i="74" s="1"/>
  <c r="J249" i="74" a="1"/>
  <c r="J249" i="74" s="1"/>
  <c r="I249" i="74" a="1"/>
  <c r="I249" i="74" s="1"/>
  <c r="H249" i="74" a="1"/>
  <c r="H249" i="74" s="1"/>
  <c r="G249" i="74" a="1"/>
  <c r="G249" i="74" s="1"/>
  <c r="F249" i="74" a="1"/>
  <c r="F249" i="74" s="1"/>
  <c r="E249" i="74" a="1"/>
  <c r="E249" i="74" s="1"/>
  <c r="D249" i="74" a="1"/>
  <c r="D249" i="74" s="1"/>
  <c r="S248" i="74" a="1"/>
  <c r="S248" i="74" s="1"/>
  <c r="R248" i="74" a="1"/>
  <c r="R248" i="74" s="1"/>
  <c r="Q248" i="74" a="1"/>
  <c r="Q248" i="74" s="1"/>
  <c r="P248" i="74" a="1"/>
  <c r="P248" i="74" s="1"/>
  <c r="O248" i="74" a="1"/>
  <c r="O248" i="74" s="1"/>
  <c r="N248" i="74" a="1"/>
  <c r="N248" i="74" s="1"/>
  <c r="M248" i="74" a="1"/>
  <c r="M248" i="74" s="1"/>
  <c r="L248" i="74" a="1"/>
  <c r="L248" i="74" s="1"/>
  <c r="K248" i="74" a="1"/>
  <c r="K248" i="74" s="1"/>
  <c r="J248" i="74" a="1"/>
  <c r="J248" i="74" s="1"/>
  <c r="I248" i="74" a="1"/>
  <c r="I248" i="74" s="1"/>
  <c r="H248" i="74" a="1"/>
  <c r="H248" i="74" s="1"/>
  <c r="G248" i="74" a="1"/>
  <c r="G248" i="74" s="1"/>
  <c r="F248" i="74" a="1"/>
  <c r="F248" i="74" s="1"/>
  <c r="E248" i="74" a="1"/>
  <c r="E248" i="74" s="1"/>
  <c r="D248" i="74" a="1"/>
  <c r="D248" i="74" s="1"/>
  <c r="S247" i="74" a="1"/>
  <c r="S247" i="74" s="1"/>
  <c r="R247" i="74" a="1"/>
  <c r="R247" i="74" s="1"/>
  <c r="Q247" i="74" a="1"/>
  <c r="Q247" i="74" s="1"/>
  <c r="P247" i="74" a="1"/>
  <c r="P247" i="74" s="1"/>
  <c r="O247" i="74" a="1"/>
  <c r="O247" i="74" s="1"/>
  <c r="N247" i="74" a="1"/>
  <c r="N247" i="74" s="1"/>
  <c r="M247" i="74" a="1"/>
  <c r="M247" i="74" s="1"/>
  <c r="L247" i="74" a="1"/>
  <c r="L247" i="74" s="1"/>
  <c r="K247" i="74" a="1"/>
  <c r="K247" i="74" s="1"/>
  <c r="J247" i="74" a="1"/>
  <c r="J247" i="74" s="1"/>
  <c r="I247" i="74" a="1"/>
  <c r="I247" i="74" s="1"/>
  <c r="H247" i="74" a="1"/>
  <c r="H247" i="74" s="1"/>
  <c r="G247" i="74" a="1"/>
  <c r="G247" i="74" s="1"/>
  <c r="F247" i="74" a="1"/>
  <c r="F247" i="74" s="1"/>
  <c r="E247" i="74" a="1"/>
  <c r="E247" i="74" s="1"/>
  <c r="D247" i="74" a="1"/>
  <c r="D247" i="74" s="1"/>
  <c r="S246" i="74" a="1"/>
  <c r="S246" i="74" s="1"/>
  <c r="R246" i="74" a="1"/>
  <c r="R246" i="74" s="1"/>
  <c r="Q246" i="74" a="1"/>
  <c r="Q246" i="74" s="1"/>
  <c r="P246" i="74" a="1"/>
  <c r="P246" i="74" s="1"/>
  <c r="O246" i="74" a="1"/>
  <c r="O246" i="74" s="1"/>
  <c r="N246" i="74" a="1"/>
  <c r="N246" i="74" s="1"/>
  <c r="M246" i="74" a="1"/>
  <c r="M246" i="74" s="1"/>
  <c r="L246" i="74" a="1"/>
  <c r="L246" i="74" s="1"/>
  <c r="K246" i="74" a="1"/>
  <c r="K246" i="74" s="1"/>
  <c r="J246" i="74" a="1"/>
  <c r="J246" i="74" s="1"/>
  <c r="I246" i="74" a="1"/>
  <c r="I246" i="74" s="1"/>
  <c r="H246" i="74" a="1"/>
  <c r="H246" i="74" s="1"/>
  <c r="G246" i="74" a="1"/>
  <c r="G246" i="74" s="1"/>
  <c r="F246" i="74" a="1"/>
  <c r="F246" i="74" s="1"/>
  <c r="E246" i="74" a="1"/>
  <c r="E246" i="74" s="1"/>
  <c r="D246" i="74" a="1"/>
  <c r="D246" i="74" s="1"/>
  <c r="S245" i="74" a="1"/>
  <c r="S245" i="74" s="1"/>
  <c r="R245" i="74" a="1"/>
  <c r="R245" i="74" s="1"/>
  <c r="Q245" i="74" a="1"/>
  <c r="Q245" i="74" s="1"/>
  <c r="P245" i="74" a="1"/>
  <c r="P245" i="74" s="1"/>
  <c r="O245" i="74" a="1"/>
  <c r="O245" i="74" s="1"/>
  <c r="N245" i="74" a="1"/>
  <c r="N245" i="74" s="1"/>
  <c r="M245" i="74" a="1"/>
  <c r="M245" i="74" s="1"/>
  <c r="L245" i="74" a="1"/>
  <c r="L245" i="74" s="1"/>
  <c r="K245" i="74" a="1"/>
  <c r="K245" i="74" s="1"/>
  <c r="J245" i="74" a="1"/>
  <c r="J245" i="74" s="1"/>
  <c r="I245" i="74" a="1"/>
  <c r="I245" i="74" s="1"/>
  <c r="H245" i="74" a="1"/>
  <c r="H245" i="74" s="1"/>
  <c r="G245" i="74" a="1"/>
  <c r="G245" i="74" s="1"/>
  <c r="F245" i="74" a="1"/>
  <c r="F245" i="74" s="1"/>
  <c r="E245" i="74" a="1"/>
  <c r="E245" i="74" s="1"/>
  <c r="D245" i="74" a="1"/>
  <c r="D245" i="74" s="1"/>
  <c r="S244" i="74" a="1"/>
  <c r="S244" i="74" s="1"/>
  <c r="R244" i="74" a="1"/>
  <c r="R244" i="74" s="1"/>
  <c r="Q244" i="74" a="1"/>
  <c r="Q244" i="74" s="1"/>
  <c r="P244" i="74" a="1"/>
  <c r="P244" i="74" s="1"/>
  <c r="O244" i="74" a="1"/>
  <c r="O244" i="74" s="1"/>
  <c r="N244" i="74" a="1"/>
  <c r="N244" i="74" s="1"/>
  <c r="M244" i="74" a="1"/>
  <c r="M244" i="74" s="1"/>
  <c r="L244" i="74" a="1"/>
  <c r="L244" i="74" s="1"/>
  <c r="K244" i="74" a="1"/>
  <c r="K244" i="74" s="1"/>
  <c r="J244" i="74" a="1"/>
  <c r="J244" i="74" s="1"/>
  <c r="I244" i="74" a="1"/>
  <c r="I244" i="74" s="1"/>
  <c r="H244" i="74" a="1"/>
  <c r="H244" i="74" s="1"/>
  <c r="G244" i="74" a="1"/>
  <c r="G244" i="74" s="1"/>
  <c r="F244" i="74" a="1"/>
  <c r="F244" i="74" s="1"/>
  <c r="E244" i="74" a="1"/>
  <c r="E244" i="74" s="1"/>
  <c r="D244" i="74" a="1"/>
  <c r="D244" i="74" s="1"/>
  <c r="S243" i="74" a="1"/>
  <c r="S243" i="74" s="1"/>
  <c r="R243" i="74" a="1"/>
  <c r="R243" i="74" s="1"/>
  <c r="Q243" i="74" a="1"/>
  <c r="Q243" i="74" s="1"/>
  <c r="P243" i="74" a="1"/>
  <c r="P243" i="74" s="1"/>
  <c r="O243" i="74" a="1"/>
  <c r="O243" i="74" s="1"/>
  <c r="N243" i="74" a="1"/>
  <c r="N243" i="74" s="1"/>
  <c r="M243" i="74" a="1"/>
  <c r="M243" i="74" s="1"/>
  <c r="L243" i="74" a="1"/>
  <c r="L243" i="74" s="1"/>
  <c r="K243" i="74" a="1"/>
  <c r="K243" i="74" s="1"/>
  <c r="J243" i="74" a="1"/>
  <c r="J243" i="74" s="1"/>
  <c r="I243" i="74" a="1"/>
  <c r="I243" i="74" s="1"/>
  <c r="H243" i="74" a="1"/>
  <c r="H243" i="74" s="1"/>
  <c r="G243" i="74" a="1"/>
  <c r="G243" i="74" s="1"/>
  <c r="F243" i="74" a="1"/>
  <c r="F243" i="74" s="1"/>
  <c r="E243" i="74" a="1"/>
  <c r="E243" i="74" s="1"/>
  <c r="D243" i="74" a="1"/>
  <c r="D243" i="74" s="1"/>
  <c r="S242" i="74" a="1"/>
  <c r="S242" i="74" s="1"/>
  <c r="R242" i="74" a="1"/>
  <c r="R242" i="74" s="1"/>
  <c r="Q242" i="74" a="1"/>
  <c r="Q242" i="74" s="1"/>
  <c r="P242" i="74" a="1"/>
  <c r="P242" i="74" s="1"/>
  <c r="O242" i="74" a="1"/>
  <c r="O242" i="74" s="1"/>
  <c r="N242" i="74" a="1"/>
  <c r="N242" i="74" s="1"/>
  <c r="M242" i="74" a="1"/>
  <c r="M242" i="74" s="1"/>
  <c r="L242" i="74" a="1"/>
  <c r="L242" i="74" s="1"/>
  <c r="K242" i="74" a="1"/>
  <c r="K242" i="74" s="1"/>
  <c r="J242" i="74" a="1"/>
  <c r="J242" i="74" s="1"/>
  <c r="I242" i="74" a="1"/>
  <c r="I242" i="74" s="1"/>
  <c r="H242" i="74" a="1"/>
  <c r="H242" i="74" s="1"/>
  <c r="G242" i="74" a="1"/>
  <c r="G242" i="74" s="1"/>
  <c r="F242" i="74" a="1"/>
  <c r="F242" i="74" s="1"/>
  <c r="E242" i="74" a="1"/>
  <c r="E242" i="74" s="1"/>
  <c r="D242" i="74" a="1"/>
  <c r="D242" i="74" s="1"/>
  <c r="S241" i="74" a="1"/>
  <c r="S241" i="74" s="1"/>
  <c r="R241" i="74" a="1"/>
  <c r="R241" i="74" s="1"/>
  <c r="Q241" i="74" a="1"/>
  <c r="Q241" i="74" s="1"/>
  <c r="P241" i="74" a="1"/>
  <c r="P241" i="74" s="1"/>
  <c r="O241" i="74" a="1"/>
  <c r="O241" i="74" s="1"/>
  <c r="N241" i="74" a="1"/>
  <c r="N241" i="74" s="1"/>
  <c r="M241" i="74" a="1"/>
  <c r="M241" i="74" s="1"/>
  <c r="L241" i="74" a="1"/>
  <c r="L241" i="74" s="1"/>
  <c r="K241" i="74" a="1"/>
  <c r="K241" i="74" s="1"/>
  <c r="J241" i="74" a="1"/>
  <c r="J241" i="74" s="1"/>
  <c r="I241" i="74" a="1"/>
  <c r="I241" i="74" s="1"/>
  <c r="H241" i="74" a="1"/>
  <c r="H241" i="74" s="1"/>
  <c r="G241" i="74" a="1"/>
  <c r="G241" i="74" s="1"/>
  <c r="F241" i="74" a="1"/>
  <c r="F241" i="74" s="1"/>
  <c r="E241" i="74" a="1"/>
  <c r="E241" i="74" s="1"/>
  <c r="D241" i="74" a="1"/>
  <c r="D241" i="74" s="1"/>
  <c r="S240" i="74" a="1"/>
  <c r="S240" i="74" s="1"/>
  <c r="R240" i="74" a="1"/>
  <c r="R240" i="74" s="1"/>
  <c r="Q240" i="74" a="1"/>
  <c r="Q240" i="74" s="1"/>
  <c r="P240" i="74" a="1"/>
  <c r="P240" i="74" s="1"/>
  <c r="O240" i="74" a="1"/>
  <c r="O240" i="74" s="1"/>
  <c r="N240" i="74" a="1"/>
  <c r="N240" i="74" s="1"/>
  <c r="M240" i="74" a="1"/>
  <c r="M240" i="74" s="1"/>
  <c r="L240" i="74" a="1"/>
  <c r="L240" i="74" s="1"/>
  <c r="K240" i="74" a="1"/>
  <c r="K240" i="74" s="1"/>
  <c r="J240" i="74" a="1"/>
  <c r="J240" i="74" s="1"/>
  <c r="I240" i="74" a="1"/>
  <c r="I240" i="74" s="1"/>
  <c r="H240" i="74" a="1"/>
  <c r="H240" i="74" s="1"/>
  <c r="G240" i="74" a="1"/>
  <c r="G240" i="74" s="1"/>
  <c r="F240" i="74" a="1"/>
  <c r="F240" i="74" s="1"/>
  <c r="E240" i="74" a="1"/>
  <c r="E240" i="74" s="1"/>
  <c r="D240" i="74" a="1"/>
  <c r="D240" i="74" s="1"/>
  <c r="S239" i="74" a="1"/>
  <c r="S239" i="74" s="1"/>
  <c r="R239" i="74" a="1"/>
  <c r="R239" i="74" s="1"/>
  <c r="Q239" i="74" a="1"/>
  <c r="Q239" i="74" s="1"/>
  <c r="P239" i="74" a="1"/>
  <c r="P239" i="74" s="1"/>
  <c r="O239" i="74" a="1"/>
  <c r="O239" i="74" s="1"/>
  <c r="N239" i="74" a="1"/>
  <c r="N239" i="74" s="1"/>
  <c r="M239" i="74" a="1"/>
  <c r="M239" i="74" s="1"/>
  <c r="L239" i="74" a="1"/>
  <c r="L239" i="74" s="1"/>
  <c r="K239" i="74" a="1"/>
  <c r="K239" i="74" s="1"/>
  <c r="J239" i="74" a="1"/>
  <c r="J239" i="74" s="1"/>
  <c r="I239" i="74" a="1"/>
  <c r="I239" i="74" s="1"/>
  <c r="H239" i="74" a="1"/>
  <c r="H239" i="74" s="1"/>
  <c r="G239" i="74" a="1"/>
  <c r="G239" i="74" s="1"/>
  <c r="F239" i="74" a="1"/>
  <c r="F239" i="74" s="1"/>
  <c r="E239" i="74" a="1"/>
  <c r="E239" i="74" s="1"/>
  <c r="D239" i="74" a="1"/>
  <c r="D239" i="74" s="1"/>
  <c r="S238" i="74" a="1"/>
  <c r="S238" i="74" s="1"/>
  <c r="R238" i="74" a="1"/>
  <c r="R238" i="74" s="1"/>
  <c r="Q238" i="74" a="1"/>
  <c r="Q238" i="74" s="1"/>
  <c r="P238" i="74" a="1"/>
  <c r="P238" i="74" s="1"/>
  <c r="O238" i="74" a="1"/>
  <c r="O238" i="74" s="1"/>
  <c r="N238" i="74" a="1"/>
  <c r="N238" i="74" s="1"/>
  <c r="M238" i="74" a="1"/>
  <c r="M238" i="74" s="1"/>
  <c r="L238" i="74" a="1"/>
  <c r="L238" i="74" s="1"/>
  <c r="K238" i="74" a="1"/>
  <c r="K238" i="74" s="1"/>
  <c r="J238" i="74" a="1"/>
  <c r="J238" i="74" s="1"/>
  <c r="I238" i="74" a="1"/>
  <c r="I238" i="74" s="1"/>
  <c r="H238" i="74" a="1"/>
  <c r="H238" i="74" s="1"/>
  <c r="G238" i="74" a="1"/>
  <c r="G238" i="74" s="1"/>
  <c r="F238" i="74" a="1"/>
  <c r="F238" i="74" s="1"/>
  <c r="E238" i="74" a="1"/>
  <c r="E238" i="74" s="1"/>
  <c r="D238" i="74" a="1"/>
  <c r="D238" i="74" s="1"/>
  <c r="S237" i="74" a="1"/>
  <c r="S237" i="74" s="1"/>
  <c r="R237" i="74" a="1"/>
  <c r="R237" i="74" s="1"/>
  <c r="Q237" i="74" a="1"/>
  <c r="Q237" i="74" s="1"/>
  <c r="P237" i="74" a="1"/>
  <c r="P237" i="74" s="1"/>
  <c r="O237" i="74" a="1"/>
  <c r="O237" i="74" s="1"/>
  <c r="N237" i="74" a="1"/>
  <c r="N237" i="74" s="1"/>
  <c r="M237" i="74" a="1"/>
  <c r="M237" i="74" s="1"/>
  <c r="L237" i="74" a="1"/>
  <c r="L237" i="74" s="1"/>
  <c r="K237" i="74" a="1"/>
  <c r="K237" i="74" s="1"/>
  <c r="J237" i="74" a="1"/>
  <c r="J237" i="74" s="1"/>
  <c r="I237" i="74" a="1"/>
  <c r="I237" i="74" s="1"/>
  <c r="H237" i="74" a="1"/>
  <c r="H237" i="74" s="1"/>
  <c r="G237" i="74" a="1"/>
  <c r="G237" i="74" s="1"/>
  <c r="F237" i="74" a="1"/>
  <c r="F237" i="74" s="1"/>
  <c r="E237" i="74" a="1"/>
  <c r="E237" i="74" s="1"/>
  <c r="D237" i="74" a="1"/>
  <c r="D237" i="74" s="1"/>
  <c r="S236" i="74" a="1"/>
  <c r="S236" i="74" s="1"/>
  <c r="R236" i="74" a="1"/>
  <c r="R236" i="74" s="1"/>
  <c r="Q236" i="74" a="1"/>
  <c r="Q236" i="74" s="1"/>
  <c r="P236" i="74" a="1"/>
  <c r="P236" i="74" s="1"/>
  <c r="O236" i="74" a="1"/>
  <c r="O236" i="74" s="1"/>
  <c r="N236" i="74" a="1"/>
  <c r="N236" i="74" s="1"/>
  <c r="M236" i="74" a="1"/>
  <c r="M236" i="74" s="1"/>
  <c r="L236" i="74" a="1"/>
  <c r="L236" i="74" s="1"/>
  <c r="K236" i="74" a="1"/>
  <c r="K236" i="74" s="1"/>
  <c r="J236" i="74" a="1"/>
  <c r="J236" i="74" s="1"/>
  <c r="I236" i="74" a="1"/>
  <c r="I236" i="74" s="1"/>
  <c r="H236" i="74" a="1"/>
  <c r="H236" i="74" s="1"/>
  <c r="G236" i="74" a="1"/>
  <c r="G236" i="74" s="1"/>
  <c r="F236" i="74" a="1"/>
  <c r="F236" i="74" s="1"/>
  <c r="E236" i="74" a="1"/>
  <c r="E236" i="74" s="1"/>
  <c r="D236" i="74" a="1"/>
  <c r="D236" i="74" s="1"/>
  <c r="S235" i="74" a="1"/>
  <c r="S235" i="74" s="1"/>
  <c r="R235" i="74" a="1"/>
  <c r="R235" i="74" s="1"/>
  <c r="Q235" i="74" a="1"/>
  <c r="Q235" i="74" s="1"/>
  <c r="P235" i="74" a="1"/>
  <c r="P235" i="74" s="1"/>
  <c r="O235" i="74" a="1"/>
  <c r="O235" i="74" s="1"/>
  <c r="N235" i="74" a="1"/>
  <c r="N235" i="74" s="1"/>
  <c r="M235" i="74" a="1"/>
  <c r="M235" i="74" s="1"/>
  <c r="L235" i="74" a="1"/>
  <c r="L235" i="74" s="1"/>
  <c r="K235" i="74" a="1"/>
  <c r="K235" i="74" s="1"/>
  <c r="J235" i="74" a="1"/>
  <c r="J235" i="74" s="1"/>
  <c r="I235" i="74" a="1"/>
  <c r="I235" i="74" s="1"/>
  <c r="H235" i="74" a="1"/>
  <c r="H235" i="74" s="1"/>
  <c r="G235" i="74" a="1"/>
  <c r="G235" i="74" s="1"/>
  <c r="F235" i="74" a="1"/>
  <c r="F235" i="74" s="1"/>
  <c r="E235" i="74" a="1"/>
  <c r="E235" i="74" s="1"/>
  <c r="D235" i="74" a="1"/>
  <c r="D235" i="74" s="1"/>
  <c r="S234" i="74" a="1"/>
  <c r="S234" i="74" s="1"/>
  <c r="R234" i="74" a="1"/>
  <c r="R234" i="74" s="1"/>
  <c r="Q234" i="74" a="1"/>
  <c r="Q234" i="74" s="1"/>
  <c r="P234" i="74" a="1"/>
  <c r="P234" i="74" s="1"/>
  <c r="O234" i="74" a="1"/>
  <c r="O234" i="74" s="1"/>
  <c r="N234" i="74" a="1"/>
  <c r="N234" i="74" s="1"/>
  <c r="M234" i="74" a="1"/>
  <c r="M234" i="74" s="1"/>
  <c r="L234" i="74" a="1"/>
  <c r="L234" i="74" s="1"/>
  <c r="K234" i="74" a="1"/>
  <c r="K234" i="74" s="1"/>
  <c r="J234" i="74" a="1"/>
  <c r="J234" i="74" s="1"/>
  <c r="I234" i="74" a="1"/>
  <c r="I234" i="74" s="1"/>
  <c r="H234" i="74" a="1"/>
  <c r="H234" i="74" s="1"/>
  <c r="G234" i="74" a="1"/>
  <c r="G234" i="74" s="1"/>
  <c r="F234" i="74" a="1"/>
  <c r="F234" i="74" s="1"/>
  <c r="E234" i="74" a="1"/>
  <c r="E234" i="74" s="1"/>
  <c r="D234" i="74" a="1"/>
  <c r="D234" i="74" s="1"/>
  <c r="S233" i="74" a="1"/>
  <c r="S233" i="74" s="1"/>
  <c r="R233" i="74" a="1"/>
  <c r="R233" i="74" s="1"/>
  <c r="Q233" i="74" a="1"/>
  <c r="Q233" i="74" s="1"/>
  <c r="P233" i="74" a="1"/>
  <c r="P233" i="74" s="1"/>
  <c r="O233" i="74" a="1"/>
  <c r="O233" i="74" s="1"/>
  <c r="N233" i="74" a="1"/>
  <c r="N233" i="74" s="1"/>
  <c r="M233" i="74" a="1"/>
  <c r="M233" i="74" s="1"/>
  <c r="L233" i="74" a="1"/>
  <c r="L233" i="74" s="1"/>
  <c r="K233" i="74" a="1"/>
  <c r="K233" i="74" s="1"/>
  <c r="J233" i="74" a="1"/>
  <c r="J233" i="74" s="1"/>
  <c r="I233" i="74" a="1"/>
  <c r="I233" i="74" s="1"/>
  <c r="H233" i="74" a="1"/>
  <c r="H233" i="74" s="1"/>
  <c r="G233" i="74" a="1"/>
  <c r="G233" i="74" s="1"/>
  <c r="F233" i="74" a="1"/>
  <c r="F233" i="74" s="1"/>
  <c r="E233" i="74" a="1"/>
  <c r="E233" i="74" s="1"/>
  <c r="D233" i="74" a="1"/>
  <c r="D233" i="74" s="1"/>
  <c r="S232" i="74" a="1"/>
  <c r="S232" i="74" s="1"/>
  <c r="R232" i="74" a="1"/>
  <c r="R232" i="74" s="1"/>
  <c r="Q232" i="74" a="1"/>
  <c r="Q232" i="74" s="1"/>
  <c r="P232" i="74" a="1"/>
  <c r="P232" i="74" s="1"/>
  <c r="O232" i="74" a="1"/>
  <c r="O232" i="74" s="1"/>
  <c r="N232" i="74" a="1"/>
  <c r="N232" i="74" s="1"/>
  <c r="M232" i="74" a="1"/>
  <c r="M232" i="74" s="1"/>
  <c r="L232" i="74" a="1"/>
  <c r="L232" i="74" s="1"/>
  <c r="K232" i="74" a="1"/>
  <c r="K232" i="74" s="1"/>
  <c r="J232" i="74" a="1"/>
  <c r="J232" i="74" s="1"/>
  <c r="I232" i="74" a="1"/>
  <c r="I232" i="74" s="1"/>
  <c r="H232" i="74" a="1"/>
  <c r="H232" i="74" s="1"/>
  <c r="G232" i="74" a="1"/>
  <c r="G232" i="74" s="1"/>
  <c r="F232" i="74" a="1"/>
  <c r="F232" i="74" s="1"/>
  <c r="E232" i="74" a="1"/>
  <c r="E232" i="74" s="1"/>
  <c r="D232" i="74" a="1"/>
  <c r="D232" i="74" s="1"/>
  <c r="D229" i="74" a="1"/>
  <c r="D229" i="74" s="1"/>
  <c r="D228" i="74" a="1"/>
  <c r="D228" i="74" s="1"/>
  <c r="D227" i="74" a="1"/>
  <c r="D227" i="74" s="1"/>
  <c r="E224" i="74" a="1"/>
  <c r="E224" i="74" s="1"/>
  <c r="D224" i="74" a="1"/>
  <c r="D224" i="74" s="1"/>
  <c r="E223" i="74" a="1"/>
  <c r="E223" i="74" s="1"/>
  <c r="D223" i="74" a="1"/>
  <c r="D223" i="74" s="1"/>
  <c r="E222" i="74" a="1"/>
  <c r="E222" i="74" s="1"/>
  <c r="D222" i="74" a="1"/>
  <c r="D222" i="74" s="1"/>
  <c r="E221" i="74" a="1"/>
  <c r="E221" i="74" s="1"/>
  <c r="D221" i="74" a="1"/>
  <c r="D221" i="74" s="1"/>
  <c r="E220" i="74" a="1"/>
  <c r="E220" i="74" s="1"/>
  <c r="D220" i="74" a="1"/>
  <c r="D220" i="74" s="1"/>
  <c r="E219" i="74" a="1"/>
  <c r="E219" i="74" s="1"/>
  <c r="D219" i="74" a="1"/>
  <c r="D219" i="74" s="1"/>
  <c r="E218" i="74" a="1"/>
  <c r="E218" i="74" s="1"/>
  <c r="D218" i="74" a="1"/>
  <c r="D218" i="74" s="1"/>
  <c r="E217" i="74" a="1"/>
  <c r="E217" i="74" s="1"/>
  <c r="D217" i="74" a="1"/>
  <c r="D217" i="74" s="1"/>
  <c r="E216" i="74" a="1"/>
  <c r="E216" i="74" s="1"/>
  <c r="D216" i="74" a="1"/>
  <c r="D216" i="74" s="1"/>
  <c r="E215" i="74" a="1"/>
  <c r="E215" i="74" s="1"/>
  <c r="D215" i="74" a="1"/>
  <c r="D215" i="74" s="1"/>
  <c r="E214" i="74" a="1"/>
  <c r="E214" i="74" s="1"/>
  <c r="D214" i="74" a="1"/>
  <c r="D214" i="74" s="1"/>
  <c r="E213" i="74" a="1"/>
  <c r="E213" i="74" s="1"/>
  <c r="D213" i="74" a="1"/>
  <c r="D213" i="74" s="1"/>
  <c r="D211" i="74" a="1"/>
  <c r="D211" i="74" s="1"/>
  <c r="E208" i="74" a="1"/>
  <c r="E208" i="74" s="1"/>
  <c r="D208" i="74" a="1"/>
  <c r="D208" i="74" s="1"/>
  <c r="E207" i="74" a="1"/>
  <c r="E207" i="74" s="1"/>
  <c r="D207" i="74" a="1"/>
  <c r="D207" i="74" s="1"/>
  <c r="D205" i="74" a="1"/>
  <c r="D205" i="74" s="1"/>
  <c r="D204" i="74" a="1"/>
  <c r="D204" i="74" s="1"/>
  <c r="D203" i="74" a="1"/>
  <c r="D203" i="74" s="1"/>
  <c r="D202" i="74" a="1"/>
  <c r="D202" i="74" s="1"/>
  <c r="H199" i="74" a="1"/>
  <c r="H199" i="74" s="1"/>
  <c r="G199" i="74" a="1"/>
  <c r="G199" i="74" s="1"/>
  <c r="F199" i="74" a="1"/>
  <c r="F199" i="74" s="1"/>
  <c r="E199" i="74" a="1"/>
  <c r="E199" i="74" s="1"/>
  <c r="D199" i="74" a="1"/>
  <c r="D199" i="74" s="1"/>
  <c r="H198" i="74" a="1"/>
  <c r="H198" i="74" s="1"/>
  <c r="G198" i="74" a="1"/>
  <c r="G198" i="74" s="1"/>
  <c r="F198" i="74" a="1"/>
  <c r="F198" i="74" s="1"/>
  <c r="E198" i="74" a="1"/>
  <c r="E198" i="74" s="1"/>
  <c r="D198" i="74" a="1"/>
  <c r="D198" i="74" s="1"/>
  <c r="H197" i="74" a="1"/>
  <c r="H197" i="74" s="1"/>
  <c r="G197" i="74" a="1"/>
  <c r="G197" i="74" s="1"/>
  <c r="F197" i="74" a="1"/>
  <c r="F197" i="74" s="1"/>
  <c r="E197" i="74" a="1"/>
  <c r="E197" i="74" s="1"/>
  <c r="D197" i="74" a="1"/>
  <c r="D197" i="74" s="1"/>
  <c r="H196" i="74" a="1"/>
  <c r="H196" i="74" s="1"/>
  <c r="G196" i="74" a="1"/>
  <c r="G196" i="74" s="1"/>
  <c r="F196" i="74" a="1"/>
  <c r="F196" i="74" s="1"/>
  <c r="E196" i="74" a="1"/>
  <c r="E196" i="74" s="1"/>
  <c r="D196" i="74" a="1"/>
  <c r="D196" i="74" s="1"/>
  <c r="H195" i="74" a="1"/>
  <c r="H195" i="74" s="1"/>
  <c r="G195" i="74" a="1"/>
  <c r="G195" i="74" s="1"/>
  <c r="F195" i="74" a="1"/>
  <c r="F195" i="74" s="1"/>
  <c r="E195" i="74" a="1"/>
  <c r="E195" i="74" s="1"/>
  <c r="D195" i="74" a="1"/>
  <c r="D195" i="74" s="1"/>
  <c r="H194" i="74" a="1"/>
  <c r="H194" i="74" s="1"/>
  <c r="G194" i="74" a="1"/>
  <c r="G194" i="74" s="1"/>
  <c r="F194" i="74" a="1"/>
  <c r="F194" i="74" s="1"/>
  <c r="E194" i="74" a="1"/>
  <c r="E194" i="74" s="1"/>
  <c r="D194" i="74" a="1"/>
  <c r="D194" i="74" s="1"/>
  <c r="H193" i="74" a="1"/>
  <c r="H193" i="74" s="1"/>
  <c r="G193" i="74" a="1"/>
  <c r="G193" i="74" s="1"/>
  <c r="F193" i="74" a="1"/>
  <c r="F193" i="74" s="1"/>
  <c r="E193" i="74" a="1"/>
  <c r="E193" i="74" s="1"/>
  <c r="D193" i="74" a="1"/>
  <c r="D193" i="74" s="1"/>
  <c r="H192" i="74" a="1"/>
  <c r="H192" i="74" s="1"/>
  <c r="G192" i="74" a="1"/>
  <c r="G192" i="74" s="1"/>
  <c r="F192" i="74" a="1"/>
  <c r="F192" i="74" s="1"/>
  <c r="E192" i="74" a="1"/>
  <c r="E192" i="74" s="1"/>
  <c r="D192" i="74" a="1"/>
  <c r="D192" i="74" s="1"/>
  <c r="H191" i="74" a="1"/>
  <c r="H191" i="74" s="1"/>
  <c r="G191" i="74" a="1"/>
  <c r="G191" i="74" s="1"/>
  <c r="F191" i="74" a="1"/>
  <c r="F191" i="74" s="1"/>
  <c r="E191" i="74" a="1"/>
  <c r="E191" i="74" s="1"/>
  <c r="D191" i="74" a="1"/>
  <c r="D191" i="74" s="1"/>
  <c r="H190" i="74" a="1"/>
  <c r="H190" i="74" s="1"/>
  <c r="G190" i="74" a="1"/>
  <c r="G190" i="74" s="1"/>
  <c r="F190" i="74" a="1"/>
  <c r="F190" i="74" s="1"/>
  <c r="E190" i="74" a="1"/>
  <c r="E190" i="74" s="1"/>
  <c r="D190" i="74" a="1"/>
  <c r="D190" i="74" s="1"/>
  <c r="H189" i="74" a="1"/>
  <c r="H189" i="74" s="1"/>
  <c r="G189" i="74" a="1"/>
  <c r="G189" i="74" s="1"/>
  <c r="F189" i="74" a="1"/>
  <c r="F189" i="74" s="1"/>
  <c r="E189" i="74" a="1"/>
  <c r="E189" i="74" s="1"/>
  <c r="D189" i="74" a="1"/>
  <c r="D189" i="74" s="1"/>
  <c r="H188" i="74" a="1"/>
  <c r="H188" i="74" s="1"/>
  <c r="G188" i="74" a="1"/>
  <c r="G188" i="74" s="1"/>
  <c r="F188" i="74" a="1"/>
  <c r="F188" i="74" s="1"/>
  <c r="E188" i="74" a="1"/>
  <c r="E188" i="74" s="1"/>
  <c r="D188" i="74" a="1"/>
  <c r="D188" i="74" s="1"/>
  <c r="H187" i="74" a="1"/>
  <c r="H187" i="74" s="1"/>
  <c r="G187" i="74" a="1"/>
  <c r="G187" i="74" s="1"/>
  <c r="F187" i="74" a="1"/>
  <c r="F187" i="74" s="1"/>
  <c r="E187" i="74" a="1"/>
  <c r="E187" i="74" s="1"/>
  <c r="D187" i="74" a="1"/>
  <c r="D187" i="74" s="1"/>
  <c r="D181" i="74" a="1"/>
  <c r="D181" i="74" s="1"/>
  <c r="D180" i="74" a="1"/>
  <c r="D180" i="74" s="1"/>
  <c r="D179" i="74" a="1"/>
  <c r="D179" i="74" s="1"/>
  <c r="D178" i="74" a="1"/>
  <c r="D178" i="74" s="1"/>
  <c r="E175" i="74" a="1"/>
  <c r="E175" i="74" s="1"/>
  <c r="D175" i="74" a="1"/>
  <c r="D175" i="74" s="1"/>
  <c r="D174" i="74" a="1"/>
  <c r="D174" i="74" s="1"/>
  <c r="D173" i="74" a="1"/>
  <c r="D173" i="74" s="1"/>
  <c r="D170" i="74" a="1"/>
  <c r="D169" i="74" a="1"/>
  <c r="D169" i="74" s="1"/>
  <c r="D168" i="74" a="1"/>
  <c r="D168" i="74" s="1"/>
  <c r="D167" i="74" a="1"/>
  <c r="D167" i="74" s="1"/>
  <c r="D164" i="74" a="1"/>
  <c r="D163" i="74" a="1"/>
  <c r="D163" i="74" s="1"/>
  <c r="D162" i="74" a="1"/>
  <c r="D162" i="74" s="1"/>
  <c r="D161" i="74" a="1"/>
  <c r="D161" i="74" s="1"/>
  <c r="E158" i="74" a="1"/>
  <c r="E158" i="74" s="1"/>
  <c r="D158" i="74" a="1"/>
  <c r="D158" i="74" s="1"/>
  <c r="E157" i="74" a="1"/>
  <c r="E157" i="74" s="1"/>
  <c r="D157" i="74" a="1"/>
  <c r="D157" i="74" s="1"/>
  <c r="E156" i="74" a="1"/>
  <c r="E156" i="74" s="1"/>
  <c r="D156" i="74" a="1"/>
  <c r="D156" i="74" s="1"/>
  <c r="E155" i="74" a="1"/>
  <c r="E155" i="74" s="1"/>
  <c r="D155" i="74" a="1"/>
  <c r="D155" i="74" s="1"/>
  <c r="E154" i="74" a="1"/>
  <c r="E154" i="74" s="1"/>
  <c r="D154" i="74" a="1"/>
  <c r="D154" i="74" s="1"/>
  <c r="D151" i="74" a="1"/>
  <c r="D151" i="74" s="1"/>
  <c r="D150" i="74" a="1"/>
  <c r="D150" i="74" s="1"/>
  <c r="E147" i="74" a="1"/>
  <c r="E147" i="74" s="1"/>
  <c r="D147" i="74" a="1"/>
  <c r="D147" i="74" s="1"/>
  <c r="E146" i="74" a="1"/>
  <c r="E146" i="74" s="1"/>
  <c r="D146" i="74" a="1"/>
  <c r="D146" i="74" s="1"/>
  <c r="E145" i="74" a="1"/>
  <c r="E145" i="74" s="1"/>
  <c r="D145" i="74" a="1"/>
  <c r="D145" i="74" s="1"/>
  <c r="E144" i="74" a="1"/>
  <c r="E144" i="74" s="1"/>
  <c r="D144" i="74" a="1"/>
  <c r="D144" i="74" s="1"/>
  <c r="E143" i="74" a="1"/>
  <c r="E143" i="74" s="1"/>
  <c r="D143" i="74" a="1"/>
  <c r="D143" i="74" s="1"/>
  <c r="D141" i="74" a="1"/>
  <c r="D141" i="74" s="1"/>
  <c r="D140" i="74" a="1"/>
  <c r="D140" i="74" s="1"/>
  <c r="D139" i="74" a="1"/>
  <c r="D139" i="74" s="1"/>
  <c r="E136" i="74" a="1"/>
  <c r="E136" i="74" s="1"/>
  <c r="D136" i="74" a="1"/>
  <c r="D136" i="74" s="1"/>
  <c r="E135" i="74" a="1"/>
  <c r="E135" i="74" s="1"/>
  <c r="D135" i="74" a="1"/>
  <c r="D135" i="74" s="1"/>
  <c r="D133" i="74" a="1"/>
  <c r="D133" i="74" s="1"/>
  <c r="D132" i="74" a="1"/>
  <c r="D132" i="74" s="1"/>
  <c r="E129" i="74" a="1"/>
  <c r="E129" i="74" s="1"/>
  <c r="D129" i="74" a="1"/>
  <c r="D129" i="74" s="1"/>
  <c r="E128" i="74" a="1"/>
  <c r="E128" i="74" s="1"/>
  <c r="D128" i="74" a="1"/>
  <c r="D128" i="74" s="1"/>
  <c r="D125" i="74" a="1"/>
  <c r="D125" i="74" s="1"/>
  <c r="D124" i="74" a="1"/>
  <c r="D124" i="74" s="1"/>
  <c r="G121" i="74" a="1"/>
  <c r="G121" i="74" s="1"/>
  <c r="F121" i="74" a="1"/>
  <c r="F121" i="74" s="1"/>
  <c r="E121" i="74" a="1"/>
  <c r="E121" i="74" s="1"/>
  <c r="D121" i="74" a="1"/>
  <c r="D121" i="74" s="1"/>
  <c r="G120" i="74" a="1"/>
  <c r="G120" i="74" s="1"/>
  <c r="F120" i="74" a="1"/>
  <c r="F120" i="74" s="1"/>
  <c r="E120" i="74" a="1"/>
  <c r="E120" i="74" s="1"/>
  <c r="D120" i="74" a="1"/>
  <c r="D120" i="74" s="1"/>
  <c r="D117" i="74" a="1"/>
  <c r="D117" i="74" s="1"/>
  <c r="D116" i="74" a="1"/>
  <c r="D116" i="74" s="1"/>
  <c r="D115" i="74" a="1"/>
  <c r="D115" i="74" s="1"/>
  <c r="G112" i="74" a="1"/>
  <c r="G112" i="74" s="1"/>
  <c r="F112" i="74" a="1"/>
  <c r="F112" i="74" s="1"/>
  <c r="E112" i="74" a="1"/>
  <c r="E112" i="74" s="1"/>
  <c r="D112" i="74" a="1"/>
  <c r="D112" i="74" s="1"/>
  <c r="G111" i="74" a="1"/>
  <c r="G111" i="74" s="1"/>
  <c r="F111" i="74" a="1"/>
  <c r="F111" i="74" s="1"/>
  <c r="E111" i="74" a="1"/>
  <c r="E111" i="74" s="1"/>
  <c r="D111" i="74" a="1"/>
  <c r="D111" i="74" s="1"/>
  <c r="G110" i="74" a="1"/>
  <c r="G110" i="74" s="1"/>
  <c r="F110" i="74" a="1"/>
  <c r="F110" i="74" s="1"/>
  <c r="E110" i="74" a="1"/>
  <c r="E110" i="74" s="1"/>
  <c r="D110" i="74" a="1"/>
  <c r="D110" i="74" s="1"/>
  <c r="D107" i="74" a="1"/>
  <c r="D107" i="74" s="1"/>
  <c r="D106" i="74" a="1"/>
  <c r="D106" i="74" s="1"/>
  <c r="D105" i="74" a="1"/>
  <c r="D105" i="74" s="1"/>
  <c r="D99" i="74" a="1"/>
  <c r="D99" i="74" s="1"/>
  <c r="S97" i="74" a="1"/>
  <c r="S97" i="74" s="1"/>
  <c r="R97" i="74" a="1"/>
  <c r="R97" i="74" s="1"/>
  <c r="Q97" i="74" a="1"/>
  <c r="Q97" i="74" s="1"/>
  <c r="P97" i="74" a="1"/>
  <c r="P97" i="74" s="1"/>
  <c r="O97" i="74" a="1"/>
  <c r="O97" i="74" s="1"/>
  <c r="N97" i="74" a="1"/>
  <c r="N97" i="74" s="1"/>
  <c r="M97" i="74" a="1"/>
  <c r="M97" i="74" s="1"/>
  <c r="L97" i="74" a="1"/>
  <c r="L97" i="74" s="1"/>
  <c r="K97" i="74" a="1"/>
  <c r="K97" i="74" s="1"/>
  <c r="J97" i="74" a="1"/>
  <c r="J97" i="74" s="1"/>
  <c r="I97" i="74" a="1"/>
  <c r="I97" i="74" s="1"/>
  <c r="H97" i="74" a="1"/>
  <c r="H97" i="74" s="1"/>
  <c r="G97" i="74" a="1"/>
  <c r="G97" i="74" s="1"/>
  <c r="F97" i="74" a="1"/>
  <c r="F97" i="74" s="1"/>
  <c r="E97" i="74" a="1"/>
  <c r="E97" i="74" s="1"/>
  <c r="D97" i="74" a="1"/>
  <c r="D97" i="74" s="1"/>
  <c r="S96" i="74" a="1"/>
  <c r="S96" i="74" s="1"/>
  <c r="R96" i="74" a="1"/>
  <c r="R96" i="74" s="1"/>
  <c r="Q96" i="74" a="1"/>
  <c r="Q96" i="74" s="1"/>
  <c r="P96" i="74" a="1"/>
  <c r="P96" i="74" s="1"/>
  <c r="O96" i="74" a="1"/>
  <c r="O96" i="74" s="1"/>
  <c r="N96" i="74" a="1"/>
  <c r="N96" i="74" s="1"/>
  <c r="M96" i="74" a="1"/>
  <c r="M96" i="74" s="1"/>
  <c r="L96" i="74" a="1"/>
  <c r="L96" i="74" s="1"/>
  <c r="K96" i="74" a="1"/>
  <c r="K96" i="74" s="1"/>
  <c r="J96" i="74" a="1"/>
  <c r="J96" i="74" s="1"/>
  <c r="I96" i="74" a="1"/>
  <c r="I96" i="74" s="1"/>
  <c r="H96" i="74" a="1"/>
  <c r="H96" i="74" s="1"/>
  <c r="G96" i="74" a="1"/>
  <c r="G96" i="74" s="1"/>
  <c r="F96" i="74" a="1"/>
  <c r="F96" i="74" s="1"/>
  <c r="E96" i="74" a="1"/>
  <c r="E96" i="74" s="1"/>
  <c r="D96" i="74" a="1"/>
  <c r="D96" i="74" s="1"/>
  <c r="S95" i="74" a="1"/>
  <c r="S95" i="74" s="1"/>
  <c r="R95" i="74" a="1"/>
  <c r="R95" i="74" s="1"/>
  <c r="Q95" i="74" a="1"/>
  <c r="Q95" i="74" s="1"/>
  <c r="P95" i="74" a="1"/>
  <c r="P95" i="74" s="1"/>
  <c r="O95" i="74" a="1"/>
  <c r="O95" i="74" s="1"/>
  <c r="N95" i="74" a="1"/>
  <c r="N95" i="74" s="1"/>
  <c r="M95" i="74" a="1"/>
  <c r="M95" i="74" s="1"/>
  <c r="L95" i="74" a="1"/>
  <c r="L95" i="74" s="1"/>
  <c r="K95" i="74" a="1"/>
  <c r="K95" i="74" s="1"/>
  <c r="J95" i="74" a="1"/>
  <c r="J95" i="74" s="1"/>
  <c r="I95" i="74" a="1"/>
  <c r="I95" i="74" s="1"/>
  <c r="H95" i="74" a="1"/>
  <c r="H95" i="74" s="1"/>
  <c r="G95" i="74" a="1"/>
  <c r="G95" i="74" s="1"/>
  <c r="F95" i="74" a="1"/>
  <c r="F95" i="74" s="1"/>
  <c r="E95" i="74" a="1"/>
  <c r="E95" i="74" s="1"/>
  <c r="D95" i="74" a="1"/>
  <c r="D95" i="74" s="1"/>
  <c r="S94" i="74" a="1"/>
  <c r="S94" i="74" s="1"/>
  <c r="R94" i="74" a="1"/>
  <c r="R94" i="74" s="1"/>
  <c r="Q94" i="74" a="1"/>
  <c r="Q94" i="74" s="1"/>
  <c r="P94" i="74" a="1"/>
  <c r="P94" i="74" s="1"/>
  <c r="O94" i="74" a="1"/>
  <c r="O94" i="74" s="1"/>
  <c r="N94" i="74" a="1"/>
  <c r="N94" i="74" s="1"/>
  <c r="M94" i="74" a="1"/>
  <c r="M94" i="74" s="1"/>
  <c r="L94" i="74" a="1"/>
  <c r="L94" i="74" s="1"/>
  <c r="K94" i="74" a="1"/>
  <c r="K94" i="74" s="1"/>
  <c r="J94" i="74" a="1"/>
  <c r="J94" i="74" s="1"/>
  <c r="I94" i="74" a="1"/>
  <c r="I94" i="74" s="1"/>
  <c r="H94" i="74" a="1"/>
  <c r="H94" i="74" s="1"/>
  <c r="G94" i="74" a="1"/>
  <c r="G94" i="74" s="1"/>
  <c r="F94" i="74" a="1"/>
  <c r="F94" i="74" s="1"/>
  <c r="E94" i="74" a="1"/>
  <c r="E94" i="74" s="1"/>
  <c r="D94" i="74" a="1"/>
  <c r="D94" i="74" s="1"/>
  <c r="S93" i="74" a="1"/>
  <c r="S93" i="74" s="1"/>
  <c r="R93" i="74" a="1"/>
  <c r="R93" i="74" s="1"/>
  <c r="Q93" i="74" a="1"/>
  <c r="Q93" i="74" s="1"/>
  <c r="P93" i="74" a="1"/>
  <c r="P93" i="74" s="1"/>
  <c r="O93" i="74" a="1"/>
  <c r="O93" i="74" s="1"/>
  <c r="N93" i="74" a="1"/>
  <c r="N93" i="74" s="1"/>
  <c r="M93" i="74" a="1"/>
  <c r="M93" i="74" s="1"/>
  <c r="L93" i="74" a="1"/>
  <c r="L93" i="74" s="1"/>
  <c r="K93" i="74" a="1"/>
  <c r="K93" i="74" s="1"/>
  <c r="J93" i="74" a="1"/>
  <c r="J93" i="74" s="1"/>
  <c r="I93" i="74" a="1"/>
  <c r="I93" i="74" s="1"/>
  <c r="H93" i="74" a="1"/>
  <c r="H93" i="74" s="1"/>
  <c r="G93" i="74" a="1"/>
  <c r="G93" i="74" s="1"/>
  <c r="F93" i="74" a="1"/>
  <c r="F93" i="74" s="1"/>
  <c r="E93" i="74" a="1"/>
  <c r="E93" i="74" s="1"/>
  <c r="D93" i="74" a="1"/>
  <c r="D93" i="74" s="1"/>
  <c r="S92" i="74" a="1"/>
  <c r="S92" i="74" s="1"/>
  <c r="R92" i="74" a="1"/>
  <c r="R92" i="74" s="1"/>
  <c r="Q92" i="74" a="1"/>
  <c r="Q92" i="74" s="1"/>
  <c r="P92" i="74" a="1"/>
  <c r="P92" i="74" s="1"/>
  <c r="O92" i="74" a="1"/>
  <c r="O92" i="74" s="1"/>
  <c r="N92" i="74" a="1"/>
  <c r="N92" i="74" s="1"/>
  <c r="M92" i="74" a="1"/>
  <c r="M92" i="74" s="1"/>
  <c r="L92" i="74" a="1"/>
  <c r="L92" i="74" s="1"/>
  <c r="K92" i="74" a="1"/>
  <c r="K92" i="74" s="1"/>
  <c r="J92" i="74" a="1"/>
  <c r="J92" i="74" s="1"/>
  <c r="I92" i="74" a="1"/>
  <c r="I92" i="74" s="1"/>
  <c r="H92" i="74" a="1"/>
  <c r="H92" i="74" s="1"/>
  <c r="G92" i="74" a="1"/>
  <c r="G92" i="74" s="1"/>
  <c r="F92" i="74" a="1"/>
  <c r="F92" i="74" s="1"/>
  <c r="E92" i="74" a="1"/>
  <c r="E92" i="74" s="1"/>
  <c r="D92" i="74" a="1"/>
  <c r="D92" i="74" s="1"/>
  <c r="S91" i="74" a="1"/>
  <c r="S91" i="74" s="1"/>
  <c r="R91" i="74" a="1"/>
  <c r="R91" i="74" s="1"/>
  <c r="Q91" i="74" a="1"/>
  <c r="Q91" i="74" s="1"/>
  <c r="P91" i="74" a="1"/>
  <c r="P91" i="74" s="1"/>
  <c r="O91" i="74" a="1"/>
  <c r="O91" i="74" s="1"/>
  <c r="N91" i="74" a="1"/>
  <c r="N91" i="74" s="1"/>
  <c r="M91" i="74" a="1"/>
  <c r="M91" i="74" s="1"/>
  <c r="L91" i="74" a="1"/>
  <c r="L91" i="74" s="1"/>
  <c r="K91" i="74" a="1"/>
  <c r="K91" i="74" s="1"/>
  <c r="J91" i="74" a="1"/>
  <c r="J91" i="74" s="1"/>
  <c r="I91" i="74" a="1"/>
  <c r="I91" i="74" s="1"/>
  <c r="H91" i="74" a="1"/>
  <c r="H91" i="74" s="1"/>
  <c r="G91" i="74" a="1"/>
  <c r="G91" i="74" s="1"/>
  <c r="F91" i="74" a="1"/>
  <c r="F91" i="74" s="1"/>
  <c r="E91" i="74" a="1"/>
  <c r="E91" i="74" s="1"/>
  <c r="D91" i="74" a="1"/>
  <c r="D91" i="74" s="1"/>
  <c r="S90" i="74" a="1"/>
  <c r="S90" i="74" s="1"/>
  <c r="R90" i="74" a="1"/>
  <c r="R90" i="74" s="1"/>
  <c r="Q90" i="74" a="1"/>
  <c r="Q90" i="74" s="1"/>
  <c r="P90" i="74" a="1"/>
  <c r="P90" i="74" s="1"/>
  <c r="O90" i="74" a="1"/>
  <c r="O90" i="74" s="1"/>
  <c r="N90" i="74" a="1"/>
  <c r="N90" i="74" s="1"/>
  <c r="M90" i="74" a="1"/>
  <c r="M90" i="74" s="1"/>
  <c r="L90" i="74" a="1"/>
  <c r="L90" i="74" s="1"/>
  <c r="K90" i="74" a="1"/>
  <c r="K90" i="74" s="1"/>
  <c r="J90" i="74" a="1"/>
  <c r="J90" i="74" s="1"/>
  <c r="I90" i="74" a="1"/>
  <c r="I90" i="74" s="1"/>
  <c r="H90" i="74" a="1"/>
  <c r="H90" i="74" s="1"/>
  <c r="G90" i="74" a="1"/>
  <c r="G90" i="74" s="1"/>
  <c r="F90" i="74" a="1"/>
  <c r="F90" i="74" s="1"/>
  <c r="E90" i="74" a="1"/>
  <c r="E90" i="74" s="1"/>
  <c r="D90" i="74" a="1"/>
  <c r="D90" i="74" s="1"/>
  <c r="D83" i="74" a="1"/>
  <c r="D83" i="74" s="1"/>
  <c r="D82" i="74" a="1"/>
  <c r="D82" i="74" s="1"/>
  <c r="D81" i="74" a="1"/>
  <c r="D81" i="74" s="1"/>
  <c r="E77" i="74" a="1"/>
  <c r="E77" i="74" s="1"/>
  <c r="D77" i="74" a="1"/>
  <c r="D77" i="74" s="1"/>
  <c r="E76" i="74" a="1"/>
  <c r="E76" i="74" s="1"/>
  <c r="D76" i="74" a="1"/>
  <c r="D76" i="74" s="1"/>
  <c r="E75" i="74" a="1"/>
  <c r="E75" i="74" s="1"/>
  <c r="D75" i="74" a="1"/>
  <c r="D75" i="74" s="1"/>
  <c r="E74" i="74" a="1"/>
  <c r="E74" i="74" s="1"/>
  <c r="D74" i="74" a="1"/>
  <c r="D74" i="74" s="1"/>
  <c r="E73" i="74" a="1"/>
  <c r="E73" i="74" s="1"/>
  <c r="D73" i="74" a="1"/>
  <c r="D73" i="74" s="1"/>
  <c r="E72" i="74" a="1"/>
  <c r="E72" i="74" s="1"/>
  <c r="D72" i="74" a="1"/>
  <c r="D72" i="74" s="1"/>
  <c r="E71" i="74" a="1"/>
  <c r="E71" i="74" s="1"/>
  <c r="D71" i="74" a="1"/>
  <c r="D71" i="74" s="1"/>
  <c r="E70" i="74" a="1"/>
  <c r="E70" i="74" s="1"/>
  <c r="D70" i="74" a="1"/>
  <c r="D70" i="74" s="1"/>
  <c r="E69" i="74" a="1"/>
  <c r="E69" i="74" s="1"/>
  <c r="D69" i="74" a="1"/>
  <c r="D69" i="74" s="1"/>
  <c r="E68" i="74" a="1"/>
  <c r="E68" i="74" s="1"/>
  <c r="D68" i="74" a="1"/>
  <c r="D68" i="74" s="1"/>
  <c r="E67" i="74" a="1"/>
  <c r="E67" i="74" s="1"/>
  <c r="D67" i="74" a="1"/>
  <c r="D67" i="74" s="1"/>
  <c r="E66" i="74" a="1"/>
  <c r="E66" i="74" s="1"/>
  <c r="D66" i="74" a="1"/>
  <c r="D66" i="74" s="1"/>
  <c r="E65" i="74" a="1"/>
  <c r="E65" i="74" s="1"/>
  <c r="D65" i="74" a="1"/>
  <c r="D65" i="74" s="1"/>
  <c r="E64" i="74" a="1"/>
  <c r="E64" i="74" s="1"/>
  <c r="D64" i="74" a="1"/>
  <c r="D64" i="74" s="1"/>
  <c r="D59" i="74" a="1"/>
  <c r="D59" i="74" s="1"/>
  <c r="D58" i="74" a="1"/>
  <c r="D58" i="74" s="1"/>
  <c r="D57" i="74" a="1"/>
  <c r="D57" i="74" s="1"/>
  <c r="G54" i="74" a="1"/>
  <c r="G54" i="74" s="1"/>
  <c r="F54" i="74" a="1"/>
  <c r="F54" i="74" s="1"/>
  <c r="E54" i="74" a="1"/>
  <c r="E54" i="74" s="1"/>
  <c r="D54" i="74" a="1"/>
  <c r="D54" i="74" s="1"/>
  <c r="G53" i="74" a="1"/>
  <c r="G53" i="74" s="1"/>
  <c r="F53" i="74" a="1"/>
  <c r="F53" i="74" s="1"/>
  <c r="E53" i="74" a="1"/>
  <c r="E53" i="74" s="1"/>
  <c r="D53" i="74" a="1"/>
  <c r="D53" i="74" s="1"/>
  <c r="G52" i="74" a="1"/>
  <c r="G52" i="74" s="1"/>
  <c r="F52" i="74" a="1"/>
  <c r="F52" i="74" s="1"/>
  <c r="E52" i="74" a="1"/>
  <c r="E52" i="74" s="1"/>
  <c r="D52" i="74" a="1"/>
  <c r="D52" i="74" s="1"/>
  <c r="G51" i="74" a="1"/>
  <c r="G51" i="74" s="1"/>
  <c r="F51" i="74" a="1"/>
  <c r="F51" i="74" s="1"/>
  <c r="E51" i="74" a="1"/>
  <c r="E51" i="74" s="1"/>
  <c r="D51" i="74" a="1"/>
  <c r="D51" i="74" s="1"/>
  <c r="G50" i="74" a="1"/>
  <c r="G50" i="74" s="1"/>
  <c r="F50" i="74" a="1"/>
  <c r="F50" i="74" s="1"/>
  <c r="E50" i="74" a="1"/>
  <c r="E50" i="74" s="1"/>
  <c r="D50" i="74" a="1"/>
  <c r="D50" i="74" s="1"/>
  <c r="G49" i="74" a="1"/>
  <c r="G49" i="74" s="1"/>
  <c r="F49" i="74" a="1"/>
  <c r="F49" i="74" s="1"/>
  <c r="E49" i="74" a="1"/>
  <c r="E49" i="74" s="1"/>
  <c r="D49" i="74" a="1"/>
  <c r="D49" i="74" s="1"/>
  <c r="G48" i="74" a="1"/>
  <c r="G48" i="74" s="1"/>
  <c r="F48" i="74" a="1"/>
  <c r="F48" i="74" s="1"/>
  <c r="E48" i="74" a="1"/>
  <c r="E48" i="74" s="1"/>
  <c r="D48" i="74" a="1"/>
  <c r="D48" i="74" s="1"/>
  <c r="D46" i="74" a="1"/>
  <c r="D46" i="74" s="1"/>
  <c r="D45" i="74" a="1"/>
  <c r="D45" i="74" s="1"/>
  <c r="E43" i="74" a="1"/>
  <c r="E43" i="74" s="1"/>
  <c r="D43" i="74" a="1"/>
  <c r="D43" i="74" s="1"/>
  <c r="E42" i="74" a="1"/>
  <c r="E42" i="74" s="1"/>
  <c r="D42" i="74" a="1"/>
  <c r="D42" i="74" s="1"/>
  <c r="E41" i="74" a="1"/>
  <c r="E41" i="74" s="1"/>
  <c r="D41" i="74" a="1"/>
  <c r="D41" i="74" s="1"/>
  <c r="E40" i="74" a="1"/>
  <c r="E40" i="74" s="1"/>
  <c r="D40" i="74" a="1"/>
  <c r="D40" i="74" s="1"/>
  <c r="E39" i="74" a="1"/>
  <c r="E39" i="74" s="1"/>
  <c r="D39" i="74" a="1"/>
  <c r="D39" i="74" s="1"/>
  <c r="E38" i="74" a="1"/>
  <c r="E38" i="74" s="1"/>
  <c r="D38" i="74" a="1"/>
  <c r="D38" i="74" s="1"/>
  <c r="E37" i="74" a="1"/>
  <c r="E37" i="74" s="1"/>
  <c r="D37" i="74" a="1"/>
  <c r="D37" i="74" s="1"/>
  <c r="D35" i="74" a="1"/>
  <c r="D35" i="74" s="1"/>
  <c r="D34" i="74" a="1"/>
  <c r="D34" i="74" s="1"/>
  <c r="D30" i="74" a="1"/>
  <c r="D30" i="74" s="1"/>
  <c r="D29" i="74" a="1"/>
  <c r="D29" i="74" s="1"/>
  <c r="D28" i="74" a="1"/>
  <c r="D28" i="74" s="1"/>
  <c r="D27" i="74" a="1"/>
  <c r="D27" i="74" s="1"/>
  <c r="D26" i="74" a="1"/>
  <c r="D26" i="74" s="1"/>
  <c r="D25" i="74" a="1"/>
  <c r="D25" i="74" s="1"/>
  <c r="D24" i="74" a="1"/>
  <c r="D24" i="74" s="1"/>
  <c r="D23" i="74" a="1"/>
  <c r="D23" i="74" s="1"/>
  <c r="D22" i="74" a="1"/>
  <c r="D22" i="74" s="1"/>
  <c r="D21" i="74" a="1"/>
  <c r="D21" i="74" s="1"/>
  <c r="D19" i="74" a="1"/>
  <c r="D19" i="74" s="1"/>
  <c r="D18" i="74" a="1"/>
  <c r="D18" i="74" s="1"/>
  <c r="F14" i="74" a="1"/>
  <c r="F14" i="74" s="1"/>
  <c r="E14" i="74" a="1"/>
  <c r="E14" i="74" s="1"/>
  <c r="D14" i="74" a="1"/>
  <c r="D14" i="74" s="1"/>
  <c r="F13" i="74" a="1"/>
  <c r="F13" i="74" s="1"/>
  <c r="E13" i="74" a="1"/>
  <c r="E13" i="74" s="1"/>
  <c r="D13" i="74" a="1"/>
  <c r="D13" i="74" s="1"/>
  <c r="F12" i="74" a="1"/>
  <c r="F12" i="74" s="1"/>
  <c r="E12" i="74" a="1"/>
  <c r="E12" i="74" s="1"/>
  <c r="D12" i="74" a="1"/>
  <c r="D12" i="74" s="1"/>
  <c r="F11" i="74" a="1"/>
  <c r="F11" i="74" s="1"/>
  <c r="E11" i="74" a="1"/>
  <c r="E11" i="74" s="1"/>
  <c r="D11" i="74" a="1"/>
  <c r="D11" i="74" s="1"/>
  <c r="F10" i="74" a="1"/>
  <c r="F10" i="74" s="1"/>
  <c r="E10" i="74" a="1"/>
  <c r="E10" i="74" s="1"/>
  <c r="D10" i="74" a="1"/>
  <c r="D10" i="74" s="1"/>
  <c r="F9" i="74" a="1"/>
  <c r="F9" i="74" s="1"/>
  <c r="E9" i="74" a="1"/>
  <c r="E9" i="74" s="1"/>
  <c r="D9" i="74" a="1"/>
  <c r="D9" i="74" s="1"/>
  <c r="F8" i="74" a="1"/>
  <c r="F8" i="74" s="1"/>
  <c r="E8" i="74" a="1"/>
  <c r="E8" i="74" s="1"/>
  <c r="D8" i="74" a="1"/>
  <c r="D8" i="74" s="1"/>
  <c r="F7" i="74" a="1"/>
  <c r="F7" i="74" s="1"/>
  <c r="E7" i="74" a="1"/>
  <c r="E7" i="74" s="1"/>
  <c r="D7" i="74" a="1"/>
  <c r="D7" i="74" s="1"/>
  <c r="D5" i="74" a="1"/>
  <c r="D5" i="74" s="1"/>
  <c r="E20" i="72"/>
  <c r="H24" i="99" l="1"/>
  <c r="S24" i="99" s="1" a="1"/>
  <c r="S24" i="99" s="1"/>
  <c r="N45" i="99" s="1"/>
  <c r="I68" i="106"/>
  <c r="I56" i="85"/>
  <c r="I14" i="85"/>
  <c r="I49" i="106"/>
  <c r="W51" i="80"/>
  <c r="I50" i="80"/>
  <c r="J50" i="84"/>
  <c r="I125" i="84"/>
  <c r="W52" i="80"/>
  <c r="W49" i="80"/>
  <c r="W48" i="80"/>
  <c r="W50" i="80"/>
  <c r="W45" i="80"/>
  <c r="I22" i="98"/>
  <c r="I17" i="98" s="1" a="1"/>
  <c r="I17" i="98" s="1"/>
  <c r="E24" i="98" s="1" a="1"/>
  <c r="E24" i="98" s="1"/>
  <c r="D164" i="74"/>
  <c r="J15" i="99"/>
  <c r="D170" i="74"/>
  <c r="J37" i="99"/>
  <c r="G45" i="98"/>
  <c r="H42" i="100"/>
  <c r="G53" i="82"/>
  <c r="P91" i="80"/>
  <c r="Q51" i="99"/>
  <c r="G83" i="80"/>
  <c r="G51" i="99"/>
  <c r="G97" i="85"/>
  <c r="G82" i="84"/>
  <c r="O576" i="105"/>
  <c r="P80" i="98"/>
  <c r="G576" i="105"/>
  <c r="H65" i="100"/>
  <c r="G149" i="84"/>
  <c r="D4" i="13"/>
  <c r="E30" i="87"/>
  <c r="E22" i="75"/>
  <c r="I19" i="13" a="1"/>
  <c r="I19" i="13" s="1"/>
  <c r="I21" i="13" a="1"/>
  <c r="I21" i="13" s="1"/>
  <c r="H22" i="13" a="1"/>
  <c r="H22" i="13" s="1"/>
  <c r="H18" i="13" a="1"/>
  <c r="H18" i="13" s="1"/>
  <c r="D45" i="13"/>
  <c r="D34" i="13"/>
  <c r="F17" i="13"/>
  <c r="I17" i="13" s="1"/>
  <c r="F23" i="13"/>
  <c r="I23" i="13" s="1"/>
  <c r="F18" i="13"/>
  <c r="I18" i="13" s="1" a="1"/>
  <c r="I18" i="13" s="1"/>
  <c r="H21" i="13" a="1"/>
  <c r="H21" i="13" s="1"/>
  <c r="F20" i="13"/>
  <c r="I20" i="13" s="1"/>
  <c r="F22" i="13"/>
  <c r="I22" i="13" s="1" a="1"/>
  <c r="I22" i="13" s="1"/>
  <c r="H19" i="13" a="1"/>
  <c r="H19" i="13" s="1"/>
  <c r="E19" i="75"/>
  <c r="E20" i="75"/>
  <c r="E21" i="75" s="1"/>
  <c r="H54" i="74"/>
  <c r="H51" i="74"/>
  <c r="H49" i="74"/>
  <c r="I59" i="100" s="1"/>
  <c r="E62" i="100" s="1" a="1"/>
  <c r="E62" i="100" s="1"/>
  <c r="G64" i="13"/>
  <c r="G65" i="13" s="1"/>
  <c r="H53" i="74"/>
  <c r="H48" i="74"/>
  <c r="I20" i="83" s="1"/>
  <c r="H52" i="74"/>
  <c r="H50" i="74"/>
  <c r="J15" i="106" s="1"/>
  <c r="H28" i="83" l="1" a="1"/>
  <c r="H28" i="83" s="1"/>
  <c r="H29" i="83" a="1"/>
  <c r="H29" i="83" s="1"/>
  <c r="H26" i="83" a="1"/>
  <c r="H26" i="83" s="1"/>
  <c r="H27" i="83" a="1"/>
  <c r="H27" i="83" s="1"/>
  <c r="H25" i="83" a="1"/>
  <c r="H25" i="83" s="1"/>
  <c r="H64" i="100"/>
  <c r="E67" i="100" s="1" a="1"/>
  <c r="E67" i="100" s="1"/>
  <c r="E16" i="13" a="1"/>
  <c r="E16" i="13" s="1"/>
  <c r="I50" i="106"/>
  <c r="I36" i="100"/>
  <c r="E39" i="100" s="1" a="1"/>
  <c r="E39" i="100" s="1"/>
  <c r="J88" i="106"/>
  <c r="I38" i="98"/>
  <c r="I51" i="80"/>
  <c r="E67" i="80" s="1" a="1"/>
  <c r="E67" i="80" s="1"/>
  <c r="I51" i="81"/>
  <c r="F142" i="84" a="1"/>
  <c r="F142" i="84" s="1"/>
  <c r="F138" i="84" a="1"/>
  <c r="F138" i="84" s="1"/>
  <c r="F144" i="84" a="1"/>
  <c r="F144" i="84" s="1"/>
  <c r="F137" i="84" a="1"/>
  <c r="F137" i="84" s="1"/>
  <c r="F134" i="84" a="1"/>
  <c r="F134" i="84" s="1"/>
  <c r="F135" i="84" a="1"/>
  <c r="F135" i="84" s="1"/>
  <c r="J51" i="84"/>
  <c r="F63" i="84" s="1" a="1"/>
  <c r="F63" i="84" s="1"/>
  <c r="F72" i="84" a="1"/>
  <c r="F72" i="84" s="1"/>
  <c r="F69" i="84" a="1"/>
  <c r="F69" i="84" s="1"/>
  <c r="F68" i="84" a="1"/>
  <c r="F68" i="84" s="1"/>
  <c r="F60" i="84" a="1"/>
  <c r="F60" i="84" s="1"/>
  <c r="F75" i="84" a="1"/>
  <c r="F75" i="84" s="1"/>
  <c r="F70" i="84" a="1"/>
  <c r="F70" i="84" s="1"/>
  <c r="F62" i="84" a="1"/>
  <c r="F62" i="84" s="1"/>
  <c r="R73" i="98"/>
  <c r="I126" i="84"/>
  <c r="F141" i="84" s="1" a="1"/>
  <c r="F141" i="84" s="1"/>
  <c r="E70" i="80" a="1"/>
  <c r="E70" i="80" s="1"/>
  <c r="E73" i="80" a="1"/>
  <c r="E73" i="80" s="1"/>
  <c r="E71" i="80" a="1"/>
  <c r="E71" i="80" s="1"/>
  <c r="E72" i="80" a="1"/>
  <c r="E72" i="80" s="1"/>
  <c r="E60" i="80" a="1"/>
  <c r="E60" i="80" s="1"/>
  <c r="E64" i="80" a="1"/>
  <c r="E64" i="80" s="1"/>
  <c r="E65" i="80" a="1"/>
  <c r="E65" i="80" s="1"/>
  <c r="I40" i="98"/>
  <c r="I37" i="98" s="1" a="1"/>
  <c r="I37" i="98" s="1"/>
  <c r="J17" i="106"/>
  <c r="J14" i="106" s="1"/>
  <c r="R75" i="98"/>
  <c r="R72" i="98" s="1" a="1"/>
  <c r="R72" i="98" s="1"/>
  <c r="N77" i="98" s="1" a="1"/>
  <c r="N77" i="98" s="1"/>
  <c r="K48" i="82"/>
  <c r="K45" i="82" s="1"/>
  <c r="E50" i="82" s="1" a="1"/>
  <c r="E50" i="82" s="1"/>
  <c r="J92" i="85"/>
  <c r="O55" i="106" a="1"/>
  <c r="O55" i="106" s="1"/>
  <c r="R570" i="105" s="1"/>
  <c r="E55" i="106" a="1"/>
  <c r="E55" i="106" s="1"/>
  <c r="J570" i="105" s="1"/>
  <c r="I39" i="87"/>
  <c r="I47" i="87"/>
  <c r="I38" i="87"/>
  <c r="I48" i="87"/>
  <c r="I46" i="87"/>
  <c r="E50" i="87" s="1"/>
  <c r="I37" i="87"/>
  <c r="E41" i="87" s="1"/>
  <c r="J54" i="84"/>
  <c r="I53" i="106"/>
  <c r="S74" i="80"/>
  <c r="S68" i="80" s="1" a="1"/>
  <c r="S68" i="80" s="1"/>
  <c r="I55" i="80"/>
  <c r="I129" i="84"/>
  <c r="S69" i="80"/>
  <c r="J38" i="99"/>
  <c r="F33" i="85" a="1"/>
  <c r="F33" i="85" s="1"/>
  <c r="F35" i="85" a="1"/>
  <c r="F35" i="85" s="1"/>
  <c r="F41" i="85" a="1"/>
  <c r="F41" i="85" s="1"/>
  <c r="F24" i="85" a="1"/>
  <c r="F24" i="85" s="1"/>
  <c r="F27" i="85" a="1"/>
  <c r="F27" i="85" s="1"/>
  <c r="F29" i="85" a="1"/>
  <c r="F29" i="85" s="1"/>
  <c r="F23" i="85" a="1"/>
  <c r="F23" i="85" s="1"/>
  <c r="F38" i="85" a="1"/>
  <c r="F38" i="85" s="1"/>
  <c r="F28" i="85" a="1"/>
  <c r="F28" i="85" s="1"/>
  <c r="F31" i="85" a="1"/>
  <c r="F31" i="85" s="1"/>
  <c r="F32" i="85" a="1"/>
  <c r="F32" i="85" s="1"/>
  <c r="F25" i="85" a="1"/>
  <c r="F25" i="85" s="1"/>
  <c r="F37" i="85" a="1"/>
  <c r="F37" i="85" s="1"/>
  <c r="F34" i="85" a="1"/>
  <c r="F34" i="85" s="1"/>
  <c r="F36" i="85" a="1"/>
  <c r="F36" i="85" s="1"/>
  <c r="F40" i="85" a="1"/>
  <c r="F40" i="85" s="1"/>
  <c r="F39" i="85" a="1"/>
  <c r="F39" i="85" s="1"/>
  <c r="F30" i="85" a="1"/>
  <c r="F30" i="85" s="1"/>
  <c r="F26" i="85" a="1"/>
  <c r="F26" i="85" s="1"/>
  <c r="K46" i="82"/>
  <c r="F69" i="85" a="1"/>
  <c r="F69" i="85" s="1"/>
  <c r="F68" i="85" a="1"/>
  <c r="F68" i="85" s="1"/>
  <c r="F72" i="85" a="1"/>
  <c r="F72" i="85" s="1"/>
  <c r="F74" i="85" a="1"/>
  <c r="F74" i="85" s="1"/>
  <c r="F73" i="85" a="1"/>
  <c r="F73" i="85" s="1"/>
  <c r="F70" i="85" a="1"/>
  <c r="F70" i="85" s="1"/>
  <c r="F71" i="85" a="1"/>
  <c r="F71" i="85" s="1"/>
  <c r="F75" i="85" a="1"/>
  <c r="F75" i="85" s="1"/>
  <c r="F66" i="85" a="1"/>
  <c r="F66" i="85" s="1"/>
  <c r="F65" i="85" a="1"/>
  <c r="F65" i="85" s="1"/>
  <c r="F67" i="85" a="1"/>
  <c r="F67" i="85" s="1"/>
  <c r="O74" i="106" a="1"/>
  <c r="O74" i="106" s="1"/>
  <c r="T86" i="106" s="1"/>
  <c r="O90" i="106" s="1" a="1"/>
  <c r="O90" i="106" s="1"/>
  <c r="R571" i="105" s="1"/>
  <c r="E74" i="106" a="1"/>
  <c r="E74" i="106" s="1"/>
  <c r="J86" i="106" s="1"/>
  <c r="E90" i="106" s="1" a="1"/>
  <c r="E90" i="106" s="1"/>
  <c r="J571" i="105" s="1"/>
  <c r="I36" i="98"/>
  <c r="E24" i="99"/>
  <c r="I24" i="99" s="1" a="1"/>
  <c r="I24" i="99" s="1"/>
  <c r="D45" i="99" s="1"/>
  <c r="E45" i="99" s="1" a="1"/>
  <c r="E45" i="99" s="1"/>
  <c r="E48" i="99" s="1"/>
  <c r="O45" i="99" a="1"/>
  <c r="O45" i="99" s="1"/>
  <c r="O48" i="99" s="1"/>
  <c r="G61" i="13"/>
  <c r="G62" i="13" s="1"/>
  <c r="G52" i="82" l="1"/>
  <c r="E55" i="82" s="1" a="1"/>
  <c r="E55" i="82" s="1"/>
  <c r="E9" i="13" a="1"/>
  <c r="E9" i="13" s="1"/>
  <c r="P79" i="98"/>
  <c r="N82" i="98" s="1" a="1"/>
  <c r="N82" i="98" s="1"/>
  <c r="F13" i="13" a="1"/>
  <c r="F13" i="13" s="1"/>
  <c r="I13" i="13" s="1" a="1"/>
  <c r="I13" i="13" s="1"/>
  <c r="O83" i="80" a="1"/>
  <c r="O83" i="80" s="1"/>
  <c r="P83" i="80" s="1" a="1"/>
  <c r="P83" i="80" s="1"/>
  <c r="O86" i="80" a="1"/>
  <c r="O86" i="80" s="1"/>
  <c r="P86" i="80" s="1" a="1"/>
  <c r="P86" i="80" s="1"/>
  <c r="O81" i="80" a="1"/>
  <c r="O81" i="80" s="1"/>
  <c r="P81" i="80" s="1" a="1"/>
  <c r="P81" i="80" s="1"/>
  <c r="O80" i="80" a="1"/>
  <c r="O80" i="80" s="1"/>
  <c r="P80" i="80" s="1" a="1"/>
  <c r="P80" i="80" s="1"/>
  <c r="O79" i="80" a="1"/>
  <c r="O79" i="80" s="1"/>
  <c r="P79" i="80" s="1" a="1"/>
  <c r="P79" i="80" s="1"/>
  <c r="O82" i="80" a="1"/>
  <c r="O82" i="80" s="1"/>
  <c r="P82" i="80" s="1" a="1"/>
  <c r="P82" i="80" s="1"/>
  <c r="O78" i="80" a="1"/>
  <c r="O78" i="80" s="1"/>
  <c r="P78" i="80" s="1" a="1"/>
  <c r="P78" i="80" s="1"/>
  <c r="O84" i="80" a="1"/>
  <c r="O84" i="80" s="1"/>
  <c r="P84" i="80" s="1" a="1"/>
  <c r="P84" i="80" s="1"/>
  <c r="O77" i="80" a="1"/>
  <c r="O77" i="80" s="1"/>
  <c r="P77" i="80" s="1" a="1"/>
  <c r="P77" i="80" s="1"/>
  <c r="O85" i="80" a="1"/>
  <c r="O85" i="80" s="1"/>
  <c r="P85" i="80" s="1" a="1"/>
  <c r="P85" i="80" s="1"/>
  <c r="E19" i="106" a="1"/>
  <c r="E19" i="106" s="1"/>
  <c r="J569" i="105" s="1"/>
  <c r="O19" i="106" a="1"/>
  <c r="O19" i="106" s="1"/>
  <c r="R569" i="105" s="1"/>
  <c r="M573" i="105" s="1" a="1"/>
  <c r="M573" i="105" s="1"/>
  <c r="O575" i="105" s="1"/>
  <c r="M578" i="105" s="1" a="1"/>
  <c r="M578" i="105" s="1"/>
  <c r="F73" i="84" a="1"/>
  <c r="F73" i="84" s="1"/>
  <c r="E66" i="81" a="1"/>
  <c r="E66" i="81" s="1"/>
  <c r="E75" i="81" a="1"/>
  <c r="E75" i="81" s="1"/>
  <c r="E73" i="81" a="1"/>
  <c r="E73" i="81" s="1"/>
  <c r="E58" i="81" a="1"/>
  <c r="E58" i="81" s="1"/>
  <c r="E69" i="81" a="1"/>
  <c r="E69" i="81" s="1"/>
  <c r="E68" i="81" a="1"/>
  <c r="E68" i="81" s="1"/>
  <c r="E65" i="81" a="1"/>
  <c r="E65" i="81" s="1"/>
  <c r="E74" i="81" a="1"/>
  <c r="E74" i="81" s="1"/>
  <c r="E71" i="81" a="1"/>
  <c r="E71" i="81" s="1"/>
  <c r="E70" i="81" a="1"/>
  <c r="E70" i="81" s="1"/>
  <c r="E67" i="81" a="1"/>
  <c r="E67" i="81" s="1"/>
  <c r="E72" i="81" a="1"/>
  <c r="E72" i="81" s="1"/>
  <c r="E64" i="81" a="1"/>
  <c r="E64" i="81" s="1"/>
  <c r="E61" i="81" a="1"/>
  <c r="E61" i="81" s="1"/>
  <c r="E63" i="81" a="1"/>
  <c r="E63" i="81" s="1"/>
  <c r="E60" i="81" a="1"/>
  <c r="E60" i="81" s="1"/>
  <c r="E59" i="81" a="1"/>
  <c r="E59" i="81" s="1"/>
  <c r="E62" i="81" a="1"/>
  <c r="E62" i="81" s="1"/>
  <c r="E76" i="81" a="1"/>
  <c r="E76" i="81" s="1"/>
  <c r="Q50" i="99"/>
  <c r="O53" i="99" s="1" a="1"/>
  <c r="O53" i="99" s="1"/>
  <c r="F14" i="13" a="1"/>
  <c r="F14" i="13" s="1"/>
  <c r="I14" i="13" s="1" a="1"/>
  <c r="I14" i="13" s="1"/>
  <c r="F67" i="84" a="1"/>
  <c r="F67" i="84" s="1"/>
  <c r="E146" i="84"/>
  <c r="H41" i="100"/>
  <c r="E44" i="100" s="1" a="1"/>
  <c r="E44" i="100" s="1"/>
  <c r="E15" i="13" a="1"/>
  <c r="E15" i="13" s="1"/>
  <c r="J34" i="88"/>
  <c r="I550" i="105"/>
  <c r="E62" i="80" a="1"/>
  <c r="E62" i="80" s="1"/>
  <c r="E63" i="80" a="1"/>
  <c r="E63" i="80" s="1"/>
  <c r="F59" i="84" a="1"/>
  <c r="F59" i="84" s="1"/>
  <c r="F136" i="84" a="1"/>
  <c r="F136" i="84" s="1"/>
  <c r="J35" i="88"/>
  <c r="I551" i="105"/>
  <c r="E75" i="80" a="1"/>
  <c r="E75" i="80" s="1"/>
  <c r="E78" i="80" a="1"/>
  <c r="E78" i="80" s="1"/>
  <c r="F71" i="84" a="1"/>
  <c r="F71" i="84" s="1"/>
  <c r="F16" i="13"/>
  <c r="I16" i="13" s="1" a="1"/>
  <c r="I16" i="13" s="1"/>
  <c r="H16" i="13" a="1"/>
  <c r="H16" i="13" s="1"/>
  <c r="E66" i="80" a="1"/>
  <c r="E66" i="80" s="1"/>
  <c r="E68" i="80" a="1"/>
  <c r="E68" i="80" s="1"/>
  <c r="F74" i="84" a="1"/>
  <c r="F74" i="84" s="1"/>
  <c r="E74" i="80" a="1"/>
  <c r="E74" i="80" s="1"/>
  <c r="E61" i="80" a="1"/>
  <c r="E61" i="80" s="1"/>
  <c r="E80" i="80" s="1"/>
  <c r="F76" i="84" a="1"/>
  <c r="F76" i="84" s="1"/>
  <c r="F139" i="84" a="1"/>
  <c r="F139" i="84" s="1"/>
  <c r="E31" i="83"/>
  <c r="E10" i="13" s="1" a="1"/>
  <c r="E10" i="13" s="1"/>
  <c r="E77" i="80" a="1"/>
  <c r="E77" i="80" s="1"/>
  <c r="F64" i="84" a="1"/>
  <c r="F64" i="84" s="1"/>
  <c r="F140" i="84" a="1"/>
  <c r="F140" i="84" s="1"/>
  <c r="G50" i="99"/>
  <c r="E53" i="99" s="1" a="1"/>
  <c r="E53" i="99" s="1"/>
  <c r="E14" i="13" a="1"/>
  <c r="E14" i="13" s="1"/>
  <c r="H14" i="13" s="1" a="1"/>
  <c r="H14" i="13" s="1"/>
  <c r="E42" i="98" a="1"/>
  <c r="E42" i="98" s="1"/>
  <c r="E77" i="85"/>
  <c r="J90" i="85" s="1"/>
  <c r="E43" i="85"/>
  <c r="J89" i="85" s="1"/>
  <c r="E573" i="105" a="1"/>
  <c r="E573" i="105" s="1"/>
  <c r="G575" i="105" s="1"/>
  <c r="E578" i="105" s="1" a="1"/>
  <c r="E578" i="105" s="1"/>
  <c r="E69" i="80" a="1"/>
  <c r="E69" i="80" s="1"/>
  <c r="E76" i="80" a="1"/>
  <c r="E76" i="80" s="1"/>
  <c r="F77" i="84" a="1"/>
  <c r="F77" i="84" s="1"/>
  <c r="F66" i="84" a="1"/>
  <c r="F66" i="84" s="1"/>
  <c r="F143" i="84" a="1"/>
  <c r="F143" i="84" s="1"/>
  <c r="F65" i="84" a="1"/>
  <c r="F65" i="84" s="1"/>
  <c r="F61" i="84" a="1"/>
  <c r="F61" i="84" s="1"/>
  <c r="G82" i="80" l="1"/>
  <c r="E85" i="80" s="1" a="1"/>
  <c r="E85" i="80" s="1"/>
  <c r="E7" i="13" a="1"/>
  <c r="E7" i="13" s="1"/>
  <c r="H7" i="13" s="1" a="1"/>
  <c r="H7" i="13" s="1"/>
  <c r="G44" i="98"/>
  <c r="E47" i="98" s="1" a="1"/>
  <c r="E47" i="98" s="1"/>
  <c r="E13" i="13" a="1"/>
  <c r="E13" i="13" s="1"/>
  <c r="H13" i="13" s="1" a="1"/>
  <c r="H13" i="13" s="1"/>
  <c r="G148" i="84"/>
  <c r="E151" i="84" s="1" a="1"/>
  <c r="E151" i="84" s="1"/>
  <c r="E11" i="13" a="1"/>
  <c r="E11" i="13" s="1"/>
  <c r="F10" i="13"/>
  <c r="I10" i="13" s="1"/>
  <c r="H10" i="13"/>
  <c r="E78" i="81"/>
  <c r="E8" i="13" s="1" a="1"/>
  <c r="E8" i="13" s="1"/>
  <c r="E79" i="84"/>
  <c r="G81" i="84" s="1"/>
  <c r="E84" i="84" s="1" a="1"/>
  <c r="E84" i="84" s="1"/>
  <c r="E555" i="105" a="1"/>
  <c r="E555" i="105" s="1"/>
  <c r="N88" i="80"/>
  <c r="E94" i="85" a="1"/>
  <c r="E94" i="85" s="1"/>
  <c r="E39" i="88" a="1"/>
  <c r="E39" i="88" s="1"/>
  <c r="E24" i="13" s="1" a="1"/>
  <c r="E24" i="13" s="1"/>
  <c r="H9" i="13" a="1"/>
  <c r="H9" i="13" s="1"/>
  <c r="F9" i="13"/>
  <c r="I9" i="13" s="1" a="1"/>
  <c r="I9" i="13" s="1"/>
  <c r="F15" i="13"/>
  <c r="I15" i="13" s="1" a="1"/>
  <c r="I15" i="13" s="1"/>
  <c r="H15" i="13" a="1"/>
  <c r="H15" i="13" s="1"/>
  <c r="G96" i="85" l="1"/>
  <c r="E99" i="85" s="1" a="1"/>
  <c r="E99" i="85" s="1"/>
  <c r="E12" i="13" a="1"/>
  <c r="E12" i="13" s="1"/>
  <c r="F8" i="13"/>
  <c r="I8" i="13" s="1"/>
  <c r="H8" i="13"/>
  <c r="F11" i="13"/>
  <c r="I11" i="13" s="1" a="1"/>
  <c r="I11" i="13" s="1"/>
  <c r="H11" i="13" a="1"/>
  <c r="H11" i="13" s="1"/>
  <c r="H24" i="13"/>
  <c r="F24" i="13"/>
  <c r="I24" i="13" s="1"/>
  <c r="P90" i="80"/>
  <c r="N93" i="80" s="1" a="1"/>
  <c r="N93" i="80" s="1"/>
  <c r="F7" i="13" a="1"/>
  <c r="F7" i="13" s="1"/>
  <c r="I7" i="13" s="1" a="1"/>
  <c r="I7" i="13" s="1"/>
  <c r="H12" i="13" l="1" a="1"/>
  <c r="H12" i="13" s="1"/>
  <c r="H25" i="13" s="1"/>
  <c r="E39" i="13" s="1"/>
  <c r="F12" i="13"/>
  <c r="I12" i="13" s="1" a="1"/>
  <c r="I12" i="13" s="1"/>
  <c r="I25" i="13" s="1"/>
  <c r="F39" i="13" s="1"/>
  <c r="I64" i="13" l="1"/>
  <c r="I74" i="13"/>
  <c r="I71" i="13"/>
  <c r="I62" i="13"/>
  <c r="F56" i="13"/>
  <c r="I65" i="13" s="1"/>
  <c r="I70" i="13"/>
  <c r="I61" i="13"/>
  <c r="I73" i="13"/>
  <c r="H70" i="13"/>
  <c r="H74" i="13"/>
  <c r="H71" i="13"/>
  <c r="H62" i="13"/>
  <c r="E56" i="13"/>
  <c r="H65" i="13" s="1"/>
  <c r="H64" i="13"/>
  <c r="H61" i="13"/>
  <c r="H73"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<sst xmlns="http://schemas.openxmlformats.org/spreadsheetml/2006/main" count="2471" uniqueCount="981">
  <si>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</si>
  <si>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</si>
  <si>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</si>
  <si>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</si>
  <si>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</si>
  <si>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</si>
  <si>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</si>
  <si>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</si>
  <si>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</si>
  <si>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</si>
  <si>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</si>
  <si>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</si>
  <si>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</si>
  <si>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</si>
  <si>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</si>
  <si>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</si>
  <si>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</si>
  <si>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</si>
  <si>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</si>
  <si>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</si>
  <si>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</si>
  <si>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</si>
  <si>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</si>
  <si>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</si>
  <si>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</si>
  <si>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</si>
  <si>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</si>
  <si>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</si>
  <si>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</si>
  <si>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</si>
  <si>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</si>
  <si>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</si>
  <si>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</si>
  <si>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</si>
  <si>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</si>
  <si>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</si>
  <si>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</si>
  <si>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</si>
  <si>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</si>
  <si>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</si>
  <si>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</si>
  <si>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</si>
  <si>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</si>
  <si>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</si>
  <si>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</si>
  <si>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</si>
  <si>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</si>
  <si>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</si>
  <si>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</si>
  <si>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</si>
  <si>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</si>
  <si>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</si>
  <si>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</si>
  <si>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</si>
  <si>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</si>
  <si>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</si>
  <si>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</si>
  <si>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</si>
  <si>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</si>
  <si>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</si>
  <si>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</si>
  <si>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</si>
  <si>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</si>
  <si>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</si>
  <si>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</si>
  <si>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</si>
  <si>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</si>
  <si>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</si>
  <si>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</si>
  <si>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</si>
  <si>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</si>
  <si>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</si>
  <si>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</si>
  <si>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</si>
  <si>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</si>
  <si>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</si>
  <si>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</si>
  <si>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</si>
  <si>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</si>
  <si>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</si>
  <si>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</si>
  <si>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</si>
  <si>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</si>
  <si>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</si>
  <si>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</si>
  <si>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</si>
  <si>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</si>
  <si>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</si>
  <si>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</si>
  <si>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</si>
  <si>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</si>
  <si>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</si>
  <si>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</si>
  <si>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</si>
  <si>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</si>
  <si>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</si>
  <si>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</si>
  <si>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</si>
  <si>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</si>
  <si>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</si>
  <si>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2"/>
        <color theme="1" tint="0.34998626667073579"/>
        <rFont val="Times New Roman"/>
        <family val="1"/>
      </rPr>
      <t xml:space="preserve">← </t>
    </r>
    <r>
      <rPr>
        <i/>
        <sz val="12"/>
        <color theme="1" tint="0.34998626667073579"/>
        <rFont val="Times New Roman"/>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</si>
  <si>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</si>
  <si>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</si>
  <si>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</si>
  <si>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</si>
  <si>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</si>
  <si>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</si>
  <si>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</si>
  <si>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</si>
  <si>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</si>
  <si>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</si>
  <si>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</si>
  <si>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</si>
  <si>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</si>
  <si>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</si>
  <si>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for whole production cycle</t>
  </si>
  <si>
    <t>Emissions calculation cycle</t>
  </si>
  <si>
    <t>Enter the method 1 and 2 CO2e emissions from prevoius emissions calculation periods if applicable.</t>
  </si>
  <si>
    <t>Months</t>
  </si>
  <si>
    <t>Product emissions</t>
  </si>
  <si>
    <t>Amount (tonnnes)</t>
  </si>
  <si>
    <t>Unit</t>
  </si>
  <si>
    <t>Emissions intensity (Method 1)</t>
  </si>
  <si>
    <t>Emissions intensity (Method 2)</t>
  </si>
  <si>
    <t>Product type</t>
  </si>
  <si>
    <t>Main product</t>
  </si>
  <si>
    <t>Co-product</t>
  </si>
  <si>
    <t>N/A</t>
  </si>
  <si>
    <t>Residual product</t>
  </si>
  <si>
    <t>Carbon removals from plantings</t>
  </si>
  <si>
    <t>CO2 removed attributed to this enterprise</t>
  </si>
  <si>
    <t>t CO2</t>
  </si>
  <si>
    <t>Total emissions for production cycle</t>
  </si>
  <si>
    <t>Total carbon removals for production cycle</t>
  </si>
  <si>
    <t>Net emissions</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</si>
  <si>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</si>
  <si>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</si>
  <si>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</si>
  <si>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</si>
  <si>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</si>
  <si>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</si>
  <si>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</si>
  <si>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</si>
  <si>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</si>
  <si>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</si>
  <si>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</si>
  <si>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</si>
  <si>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</si>
  <si>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</si>
  <si>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</si>
  <si>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</si>
  <si>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</si>
  <si>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</si>
  <si>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</si>
  <si>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</si>
  <si>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</si>
  <si>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</si>
  <si>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</si>
  <si>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</si>
  <si>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</si>
  <si>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</si>
  <si>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</si>
  <si>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</si>
  <si>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</si>
  <si>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</si>
  <si>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</si>
  <si>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</si>
  <si>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</si>
  <si>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</si>
  <si>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</si>
  <si>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</si>
  <si>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</si>
  <si>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</si>
  <si>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</si>
  <si>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</si>
  <si>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</si>
  <si>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</si>
  <si>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</si>
  <si>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</si>
  <si>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</si>
  <si>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</si>
  <si>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Enterprise: Grain Crop: Results</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</si>
  <si>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</si>
  <si>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</si>
  <si>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</si>
  <si>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</si>
  <si>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</si>
  <si>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</si>
  <si>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</si>
  <si>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Input</t>
  </si>
  <si>
    <t>Temporal representativeness</t>
  </si>
  <si>
    <t>Spatial resolution</t>
  </si>
  <si>
    <t>Sample size</t>
  </si>
  <si>
    <t>Notes</t>
  </si>
  <si>
    <t>Evidence files</t>
  </si>
  <si>
    <t>Score</t>
  </si>
  <si>
    <t>Input name</t>
  </si>
  <si>
    <t>TR4</t>
  </si>
  <si>
    <t>SR5</t>
  </si>
  <si>
    <t>SS3</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</si>
  <si>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</si>
  <si>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</si>
  <si>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</si>
  <si>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</si>
  <si>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</si>
  <si>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</si>
  <si>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</si>
  <si>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</si>
  <si>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</si>
  <si>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</si>
  <si>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</si>
  <si>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</si>
  <si>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</si>
  <si>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</si>
  <si>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</si>
  <si>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</si>
  <si>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</si>
  <si>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</si>
  <si>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</si>
  <si>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</si>
  <si>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</si>
  <si>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</si>
  <si>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</si>
  <si>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</si>
  <si>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</si>
  <si>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</si>
  <si>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</si>
  <si>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</si>
  <si>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</si>
  <si>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</si>
  <si>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</si>
  <si>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</si>
  <si>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</si>
  <si>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</si>
  <si>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</si>
  <si>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</si>
  <si>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</si>
  <si>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</si>
  <si>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</si>
  <si>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</si>
  <si>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</si>
  <si>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</si>
  <si>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</si>
  <si>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</si>
  <si>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</si>
  <si>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</si>
  <si>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</si>
  <si>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</si>
  <si>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</si>
  <si>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</si>
  <si>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</si>
  <si>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</si>
  <si>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</si>
  <si>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</si>
  <si>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</si>
  <si>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</si>
  <si>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</si>
  <si>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</si>
  <si>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</si>
  <si>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</si>
  <si>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</si>
  <si>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</si>
  <si>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</si>
  <si>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</si>
  <si>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</si>
  <si>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</si>
  <si>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</si>
  <si>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Function name</t>
  </si>
  <si>
    <t>Variable</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</si>
  <si>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</si>
  <si>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</si>
  <si>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</si>
  <si>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</si>
  <si>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</si>
  <si>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</si>
  <si>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</si>
  <si>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</si>
  <si>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</si>
  <si>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</si>
  <si>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</si>
  <si>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</si>
  <si>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hectares</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</si>
  <si>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</si>
  <si>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</si>
  <si>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</si>
  <si>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</si>
  <si>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</si>
  <si>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</si>
  <si>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</si>
  <si>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</si>
  <si>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</si>
  <si>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</si>
  <si>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</si>
  <si>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</si>
  <si>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</si>
  <si>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</si>
  <si>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</si>
  <si>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</si>
  <si>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</si>
  <si>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</si>
  <si>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</si>
  <si>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</si>
  <si>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</si>
  <si>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</si>
  <si>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</si>
  <si>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</si>
  <si>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</si>
  <si>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</si>
  <si>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</si>
  <si>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</si>
  <si>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</si>
  <si>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</si>
  <si>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</si>
  <si>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</si>
  <si>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t>FNorganicf</t>
  </si>
  <si>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</si>
  <si>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</si>
  <si>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</si>
  <si>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</si>
  <si>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</si>
  <si>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</si>
  <si>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</si>
  <si>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</si>
  <si>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</si>
  <si>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</si>
  <si>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</si>
  <si>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</si>
  <si>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</si>
  <si>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</si>
  <si>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</si>
  <si>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</si>
  <si>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</si>
  <si>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</si>
  <si>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</si>
  <si>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</si>
  <si>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</si>
  <si>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</si>
  <si>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</si>
  <si>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</si>
  <si>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</si>
  <si>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</si>
  <si>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</si>
  <si>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</si>
  <si>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</si>
  <si>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</si>
  <si>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</si>
  <si>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</si>
  <si>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</si>
  <si>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</si>
  <si>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</si>
  <si>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</si>
  <si>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</si>
  <si>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</si>
  <si>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</si>
  <si>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</si>
  <si>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</si>
  <si>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</si>
  <si>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</si>
  <si>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</si>
  <si>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</si>
  <si>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</si>
  <si>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</si>
  <si>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</si>
  <si>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</si>
  <si>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</si>
  <si>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</si>
  <si>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</si>
  <si>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</si>
  <si>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Grains</t>
  </si>
  <si>
    <t>Drip irrigation</t>
  </si>
  <si>
    <t>Maize</t>
  </si>
  <si>
    <t>Sprinkler irrigation</t>
  </si>
  <si>
    <t>Manure - Swine</t>
  </si>
  <si>
    <t>Cotton</t>
  </si>
  <si>
    <t>Surface irrigation</t>
  </si>
  <si>
    <t>Other irrigation</t>
  </si>
  <si>
    <t>FracGASF f</t>
  </si>
  <si>
    <t>P</t>
  </si>
  <si>
    <t>EF</t>
  </si>
  <si>
    <t xml:space="preserve">Nitrogen - Generic </t>
  </si>
  <si>
    <t>Fertiliser products</t>
  </si>
  <si>
    <t>Include or Exclude</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</si>
  <si>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</si>
  <si>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</si>
  <si>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</si>
  <si>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</si>
  <si>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</si>
  <si>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</si>
  <si>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</si>
  <si>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</si>
  <si>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</si>
  <si>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</si>
  <si>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</si>
  <si>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</si>
  <si>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</si>
  <si>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</si>
  <si>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</si>
  <si>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</si>
  <si>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</si>
  <si>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</si>
  <si>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</si>
  <si>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</si>
  <si>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</si>
  <si>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</si>
  <si>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</si>
  <si>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</si>
  <si>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</si>
  <si>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</si>
  <si>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</si>
  <si>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</si>
  <si>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</si>
  <si>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</si>
  <si>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</si>
  <si>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Description</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</si>
  <si>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</si>
  <si>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</si>
  <si>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</si>
  <si>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</si>
  <si>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</si>
  <si>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</si>
  <si>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</si>
  <si>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</si>
  <si>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</si>
  <si>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</si>
  <si>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</si>
  <si>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</si>
  <si>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</si>
  <si>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</si>
  <si>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</si>
  <si>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</si>
  <si>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</si>
  <si>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6"/>
        <color theme="1" tint="0.24994659260841701"/>
        <rFont val="Times New Roman"/>
        <family val="1"/>
      </rPr>
      <t>E</t>
    </r>
    <r>
      <rPr>
        <b/>
        <vertAlign val="subscript"/>
        <sz val="16"/>
        <color theme="1" tint="0.24994659260841701"/>
        <rFont val="Times New Roman"/>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</si>
  <si>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</si>
  <si>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</si>
  <si>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</si>
  <si>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</si>
  <si>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</si>
  <si>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</si>
  <si>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</si>
  <si>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</si>
  <si>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</si>
  <si>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</si>
  <si>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</si>
  <si>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</si>
  <si>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</si>
  <si>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</si>
  <si>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</si>
  <si>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</si>
  <si>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</si>
  <si>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</si>
  <si>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</si>
  <si>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</si>
  <si>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</si>
  <si>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</si>
  <si>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</si>
  <si>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</si>
  <si>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</si>
  <si>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</si>
  <si>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</si>
  <si>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</si>
  <si>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</si>
  <si>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</si>
  <si>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</si>
  <si>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</si>
  <si>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</si>
  <si>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</si>
  <si>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</si>
  <si>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</si>
  <si>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</si>
  <si>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</si>
  <si>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</si>
  <si>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</si>
  <si>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</si>
  <si>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</si>
  <si>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</si>
  <si>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</si>
  <si>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</si>
  <si>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</si>
  <si>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</si>
  <si>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</si>
  <si>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</si>
  <si>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</si>
  <si>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</si>
  <si>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</si>
  <si>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</si>
  <si>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</si>
  <si>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</si>
  <si>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</si>
  <si>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</si>
  <si>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</si>
  <si>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</si>
  <si>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</si>
  <si>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</si>
  <si>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</si>
  <si>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</si>
  <si>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</si>
  <si>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</si>
  <si>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</si>
  <si>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</si>
  <si>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</si>
  <si>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</si>
  <si>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</si>
  <si>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</si>
  <si>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</si>
  <si>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</si>
  <si>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</si>
  <si>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</si>
  <si>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</si>
  <si>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</si>
  <si>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</si>
  <si>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</si>
  <si>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</si>
  <si>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</si>
  <si>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</si>
  <si>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</si>
  <si>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</si>
  <si>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</si>
  <si>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</si>
  <si>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</si>
  <si>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</si>
  <si>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</si>
  <si>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</si>
  <si>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</si>
  <si>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</si>
  <si>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</si>
  <si>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</si>
  <si>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</si>
  <si>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</si>
  <si>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</si>
  <si>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</si>
  <si>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</si>
  <si>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</si>
  <si>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</si>
  <si>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</si>
  <si>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</si>
  <si>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</si>
  <si>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</si>
  <si>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</si>
  <si>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</si>
  <si>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</si>
  <si>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</si>
  <si>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</si>
  <si>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</si>
  <si>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</si>
  <si>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</si>
  <si>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</si>
  <si>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</si>
  <si>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</si>
  <si>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</si>
  <si>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</si>
  <si>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</si>
  <si>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</si>
  <si>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</si>
  <si>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</si>
  <si>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</si>
  <si>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</si>
  <si>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</si>
  <si>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</si>
  <si>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</si>
  <si>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</si>
  <si>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</si>
  <si>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</si>
  <si>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</si>
  <si>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</si>
  <si>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</si>
  <si>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</si>
  <si>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</si>
  <si>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</si>
  <si>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</si>
  <si>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</si>
  <si>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</si>
  <si>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</si>
  <si>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</si>
  <si>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</si>
  <si>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</si>
  <si>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</si>
  <si>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</si>
  <si>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</si>
  <si>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</si>
  <si>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</si>
  <si>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</si>
  <si>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</si>
  <si>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</si>
  <si>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</si>
  <si>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</si>
  <si>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</si>
  <si>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</si>
  <si>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</si>
  <si>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</si>
  <si>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</si>
  <si>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</si>
  <si>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</si>
  <si>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</si>
  <si>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</si>
  <si>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</si>
  <si>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</si>
  <si>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</si>
  <si>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</si>
  <si>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</si>
  <si>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</si>
  <si>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</si>
  <si>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</si>
  <si>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</si>
  <si>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</si>
  <si>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</si>
  <si>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</si>
  <si>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</si>
  <si>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</si>
  <si>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</si>
  <si>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</si>
  <si>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</si>
  <si>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</si>
  <si>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Cash grain crop</t>
  </si>
  <si>
    <t>Hectares</t>
  </si>
  <si>
    <t>Yield</t>
  </si>
  <si>
    <t>Residue:crop ratio²</t>
  </si>
  <si>
    <t>Crop residue biomass</t>
  </si>
  <si>
    <t>Tonnes per hectare</t>
  </si>
  <si>
    <t>Whole plant above ground biomass</t>
  </si>
  <si>
    <t>Total production of crop³</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</si>
  <si>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</si>
  <si>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</si>
  <si>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</si>
  <si>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</si>
  <si>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</si>
  <si>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</si>
  <si>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</si>
  <si>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</si>
  <si>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</si>
  <si>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</si>
  <si>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</si>
  <si>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</si>
  <si>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</si>
  <si>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</si>
  <si>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</si>
  <si>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</si>
  <si>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</si>
  <si>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6.1.1.1-2 Crop residue N2O emissions</t>
  </si>
  <si>
    <r>
      <t>FFOD</t>
    </r>
    <r>
      <rPr>
        <b/>
        <vertAlign val="subscript"/>
        <sz val="12"/>
        <color theme="1" tint="0.24994659260841701"/>
        <rFont val="Times New Roman"/>
        <family val="1"/>
      </rPr>
      <t>c,baled</t>
    </r>
  </si>
  <si>
    <r>
      <t>M</t>
    </r>
    <r>
      <rPr>
        <b/>
        <vertAlign val="subscript"/>
        <sz val="12"/>
        <color theme="1" tint="0.24994659260841701"/>
        <rFont val="Times New Roman"/>
        <family val="1"/>
      </rPr>
      <t>c</t>
    </r>
  </si>
  <si>
    <r>
      <t>FFOD</t>
    </r>
    <r>
      <rPr>
        <b/>
        <vertAlign val="subscript"/>
        <sz val="12"/>
        <color theme="1" tint="0.24994659260841701"/>
        <rFont val="Times New Roman"/>
        <family val="1"/>
      </rPr>
      <t>c</t>
    </r>
  </si>
  <si>
    <t>6.3.1.1-2 Leaching and run-off from crop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</si>
  <si>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</si>
  <si>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</si>
  <si>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</si>
  <si>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</si>
  <si>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</si>
  <si>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</si>
  <si>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</si>
  <si>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</si>
  <si>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</si>
  <si>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</si>
  <si>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</si>
  <si>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6"/>
        <color theme="1"/>
        <rFont val="Times New Roman"/>
        <family val="1"/>
        <scheme val="minor"/>
      </rPr>
      <t>N2O</t>
    </r>
  </si>
  <si>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</si>
  <si>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</si>
  <si>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</si>
  <si>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</si>
  <si>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</si>
  <si>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</si>
  <si>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</si>
  <si>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</si>
  <si>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</si>
  <si>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</si>
  <si>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</si>
  <si>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</si>
  <si>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</si>
  <si>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</si>
  <si>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</si>
  <si>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</si>
  <si>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</si>
  <si>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</si>
  <si>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</si>
  <si>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</si>
  <si>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</si>
  <si>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Pasture type</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</si>
  <si>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</si>
  <si>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</si>
  <si>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</si>
  <si>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</si>
  <si>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</si>
  <si>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</si>
  <si>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</si>
  <si>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</si>
  <si>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</si>
  <si>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</si>
  <si>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Farm inputs</t>
  </si>
  <si>
    <t>Chemicals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</si>
  <si>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</si>
  <si>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</si>
  <si>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</si>
  <si>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</si>
  <si>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</si>
  <si>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</si>
  <si>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</si>
  <si>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</si>
  <si>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</si>
  <si>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</si>
  <si>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</si>
  <si>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</si>
  <si>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</si>
  <si>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</si>
  <si>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</si>
  <si>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</si>
  <si>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</si>
  <si>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</si>
  <si>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</si>
  <si>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</si>
  <si>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</si>
  <si>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</si>
  <si>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</si>
  <si>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</si>
  <si>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</si>
  <si>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</si>
  <si>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</si>
  <si>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Cleaning chemicals</t>
  </si>
  <si>
    <t>Type (select)</t>
  </si>
  <si>
    <t>Quantity purchased (kg)</t>
  </si>
  <si>
    <t>Acid kleen</t>
  </si>
  <si>
    <t>Phosphoric acid</t>
  </si>
  <si>
    <t>Kleen alk</t>
  </si>
  <si>
    <t>Alkaline cleaner</t>
  </si>
  <si>
    <t>White king</t>
  </si>
  <si>
    <t>Bleach</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</si>
  <si>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</si>
  <si>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</si>
  <si>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</si>
  <si>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</si>
  <si>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</si>
  <si>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</si>
  <si>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</si>
  <si>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</si>
  <si>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</si>
  <si>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</si>
  <si>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Feed</t>
  </si>
  <si>
    <t>Lick blocks</t>
  </si>
  <si>
    <t>Feed rations</t>
  </si>
  <si>
    <t>Purchased feed blends</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</si>
  <si>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</si>
  <si>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</si>
  <si>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</si>
  <si>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</si>
  <si>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</si>
  <si>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</si>
  <si>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</si>
  <si>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</si>
  <si>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</si>
  <si>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</si>
  <si>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SA</t>
  </si>
  <si>
    <t>Cereal hay</t>
  </si>
  <si>
    <t>Canola oil</t>
  </si>
  <si>
    <t>Australia</t>
  </si>
  <si>
    <t>Molasses</t>
  </si>
  <si>
    <t>QLD</t>
  </si>
  <si>
    <t>Lucerne hay</t>
  </si>
  <si>
    <t>WA</t>
  </si>
  <si>
    <t>NSW</t>
  </si>
  <si>
    <t>Hay bales in paddock</t>
  </si>
  <si>
    <t>Sardines (whole)</t>
  </si>
  <si>
    <t>VIC</t>
  </si>
  <si>
    <t>Soybean meal</t>
  </si>
  <si>
    <t>Brazil</t>
  </si>
  <si>
    <t>Pasture hay</t>
  </si>
  <si>
    <t>Services and contractors</t>
  </si>
  <si>
    <t>Service provider / contractor</t>
  </si>
  <si>
    <t>Activity</t>
  </si>
  <si>
    <t>Total amount</t>
  </si>
  <si>
    <t>Pete's Pickers</t>
  </si>
  <si>
    <t>Fruit picking</t>
  </si>
  <si>
    <t>Hour</t>
  </si>
  <si>
    <t>Harini's Harvesting Services Pty Ltd</t>
  </si>
  <si>
    <t>Wheat harvesting</t>
  </si>
  <si>
    <t>Hectare</t>
  </si>
  <si>
    <t>Packaging</t>
  </si>
  <si>
    <t>Packaging name</t>
  </si>
  <si>
    <t>Quantity purchased</t>
  </si>
  <si>
    <t>Primary material</t>
  </si>
  <si>
    <t>Weight per unit (kg)</t>
  </si>
  <si>
    <t>Total weight purchased (kg)</t>
  </si>
  <si>
    <t>250g punnet</t>
  </si>
  <si>
    <t>Plastic sheet HDPE</t>
  </si>
  <si>
    <t>Grow Media</t>
  </si>
  <si>
    <t>Grow media type</t>
  </si>
  <si>
    <t>Coir</t>
  </si>
  <si>
    <t>Peat moss</t>
  </si>
  <si>
    <t>m3</t>
  </si>
  <si>
    <t>tiny gravel</t>
  </si>
  <si>
    <t>Seed</t>
  </si>
  <si>
    <t>Miscellaneous inputs</t>
  </si>
  <si>
    <t>tags</t>
  </si>
  <si>
    <t>Uncategorised products</t>
  </si>
  <si>
    <t>Product / service name</t>
  </si>
  <si>
    <t>Something</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</si>
  <si>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</si>
  <si>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</si>
  <si>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</si>
  <si>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</si>
  <si>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</si>
  <si>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</si>
  <si>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</si>
  <si>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</si>
  <si>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</si>
  <si>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</si>
  <si>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</si>
  <si>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</si>
  <si>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</si>
  <si>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</si>
  <si>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</si>
  <si>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</si>
  <si>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</si>
  <si>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</si>
  <si>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</si>
  <si>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</si>
  <si>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</si>
  <si>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</si>
  <si>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</si>
  <si>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</si>
  <si>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</si>
  <si>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</si>
  <si>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</si>
  <si>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</si>
  <si>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</si>
  <si>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</si>
  <si>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EF</t>
    </r>
    <r>
      <rPr>
        <b/>
        <vertAlign val="subscript"/>
        <sz val="11"/>
        <color rgb="FF183C1B"/>
        <rFont val="Times New Roman"/>
        <family val="1"/>
      </rPr>
      <t>co</t>
    </r>
    <r>
      <rPr>
        <b/>
        <sz val="11"/>
        <color rgb="FF183C1B"/>
        <rFont val="Times New Roman"/>
        <family val="1"/>
      </rPr>
      <t xml:space="preserve"> (Method 1)</t>
    </r>
  </si>
  <si>
    <t>E (Method 1)</t>
  </si>
  <si>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</si>
  <si>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533001"/>
        <rFont val="Times New Roman"/>
        <family val="1"/>
      </rPr>
      <t>co</t>
    </r>
    <r>
      <rPr>
        <b/>
        <sz val="11"/>
        <color rgb="FF533001"/>
        <rFont val="Times New Roman"/>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</si>
  <si>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</si>
  <si>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</si>
  <si>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</si>
  <si>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</si>
  <si>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</si>
  <si>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</si>
  <si>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</si>
  <si>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</si>
  <si>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</si>
  <si>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</si>
  <si>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10"/>
        <color theme="1" tint="0.34998626667073579"/>
        <rFont val="Times New Roman"/>
        <family val="1"/>
      </rPr>
      <t>co</t>
    </r>
    <r>
      <rPr>
        <sz val="10"/>
        <color theme="1" tint="0.34998626667073579"/>
        <rFont val="Times New Roman"/>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</si>
  <si>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</si>
  <si>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</si>
  <si>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</si>
  <si>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</si>
  <si>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</si>
  <si>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</si>
  <si>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</si>
  <si>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</si>
  <si>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</si>
  <si>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</si>
  <si>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</si>
  <si>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</si>
  <si>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</si>
  <si>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</si>
  <si>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1"/>
        <color rgb="FF533001"/>
        <rFont val="Times New Roman"/>
        <family val="1"/>
      </rPr>
      <t>j</t>
    </r>
  </si>
  <si>
    <r>
      <t>EF</t>
    </r>
    <r>
      <rPr>
        <b/>
        <vertAlign val="subscript"/>
        <sz val="11"/>
        <color rgb="FF183C1B"/>
        <rFont val="Times New Roman"/>
        <family val="1"/>
      </rPr>
      <t>j</t>
    </r>
    <r>
      <rPr>
        <b/>
        <sz val="11"/>
        <color rgb="FF183C1B"/>
        <rFont val="Times New Roman"/>
        <family val="1"/>
      </rPr>
      <t xml:space="preserve"> (Method 1)</t>
    </r>
  </si>
  <si>
    <r>
      <t>EF</t>
    </r>
    <r>
      <rPr>
        <b/>
        <vertAlign val="subscript"/>
        <sz val="11"/>
        <color rgb="FF533001"/>
        <rFont val="Times New Roman"/>
        <family val="1"/>
      </rPr>
      <t>j</t>
    </r>
    <r>
      <rPr>
        <b/>
        <sz val="11"/>
        <color rgb="FF533001"/>
        <rFont val="Times New Roman"/>
        <family val="1"/>
      </rPr>
      <t xml:space="preserve"> (Method 2)</t>
    </r>
  </si>
  <si>
    <t>Ingredient 1 source</t>
  </si>
  <si>
    <t>Ingredient 1 EF</t>
  </si>
  <si>
    <t>Ingredient 2 source</t>
  </si>
  <si>
    <t>Ingredient 2 EF</t>
  </si>
  <si>
    <t>Ingredient 3 source</t>
  </si>
  <si>
    <t>Ingredient 3 EF</t>
  </si>
  <si>
    <t>Ingredient 4 source</t>
  </si>
  <si>
    <t>Ingredient 4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</si>
  <si>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</si>
  <si>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</si>
  <si>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</si>
  <si>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Branded fertiliser product purchases</t>
  </si>
  <si>
    <t>Scope 3 emissions are calculated on a maximum of 20 branded fertiliser product purchases</t>
  </si>
  <si>
    <t>Total amount (kg)</t>
  </si>
  <si>
    <r>
      <t>EF</t>
    </r>
    <r>
      <rPr>
        <b/>
        <vertAlign val="subscript"/>
        <sz val="11"/>
        <color rgb="FF183C1B"/>
        <rFont val="Times New Roman"/>
        <family val="1"/>
      </rPr>
      <t>f</t>
    </r>
    <r>
      <rPr>
        <b/>
        <sz val="11"/>
        <color rgb="FF183C1B"/>
        <rFont val="Times New Roman"/>
        <family val="1"/>
      </rPr>
      <t xml:space="preserve"> (Method 1)</t>
    </r>
  </si>
  <si>
    <t>E- Product (Method 1)</t>
  </si>
  <si>
    <t>E - Fertiliser components (Method 1)</t>
  </si>
  <si>
    <r>
      <t>EF</t>
    </r>
    <r>
      <rPr>
        <b/>
        <vertAlign val="subscript"/>
        <sz val="11"/>
        <color rgb="FF533001"/>
        <rFont val="Times New Roman"/>
        <family val="1"/>
      </rPr>
      <t>f</t>
    </r>
    <r>
      <rPr>
        <b/>
        <sz val="11"/>
        <color rgb="FF533001"/>
        <rFont val="Times New Roman"/>
        <family val="1"/>
      </rPr>
      <t xml:space="preserve"> (Method 2)</t>
    </r>
  </si>
  <si>
    <t>E- Product (Method 2)</t>
  </si>
  <si>
    <t>E - Fertiliser components (Method 2)</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</si>
  <si>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</si>
  <si>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</si>
  <si>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</si>
  <si>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</si>
  <si>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</si>
  <si>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</si>
  <si>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</si>
  <si>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</si>
  <si>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</si>
  <si>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</si>
  <si>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</si>
  <si>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</si>
  <si>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</si>
  <si>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</si>
  <si>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</si>
  <si>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</si>
  <si>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</si>
  <si>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</si>
  <si>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</si>
  <si>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</si>
  <si>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</si>
  <si>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</si>
  <si>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</si>
  <si>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</si>
  <si>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t>Total amount (t)</t>
  </si>
  <si>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</si>
  <si>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</si>
  <si>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</si>
  <si>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t>E(Method 2)</t>
  </si>
  <si>
    <t>VEERG_15_7_1_1__1_EmissionsFromPurchasedServices_Result_Method1</t>
  </si>
  <si>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</si>
  <si>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t>Product EF (Method 1)</t>
  </si>
  <si>
    <t>Scope 3 (Method 1)</t>
  </si>
  <si>
    <t>Product EF (Method 2)</t>
  </si>
  <si>
    <t>Scope 3 (Method 2)</t>
  </si>
  <si>
    <t>Scope 3 unit</t>
  </si>
  <si>
    <t>No data</t>
  </si>
  <si>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</si>
  <si>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</si>
  <si>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</si>
  <si>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</si>
  <si>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</si>
  <si>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</si>
  <si>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</si>
  <si>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</si>
  <si>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</si>
  <si>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</si>
  <si>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</si>
  <si>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</si>
  <si>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</si>
  <si>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</si>
  <si>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</si>
  <si>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</si>
  <si>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4"/>
        <color theme="1" tint="0.24994659260841701"/>
        <rFont val="Times New Roman"/>
        <family val="1"/>
      </rPr>
      <t>3,elec</t>
    </r>
  </si>
  <si>
    <t>Route</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</si>
  <si>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</si>
  <si>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</si>
  <si>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</si>
  <si>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</si>
  <si>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</si>
  <si>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</si>
  <si>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</si>
  <si>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</si>
  <si>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2"/>
        <color theme="1" tint="0.24994659260841701"/>
        <rFont val="Times New Roman"/>
        <family val="1"/>
      </rPr>
      <t>vol,inorganic,jf</t>
    </r>
  </si>
  <si>
    <r>
      <t>M</t>
    </r>
    <r>
      <rPr>
        <b/>
        <vertAlign val="subscript"/>
        <sz val="12"/>
        <color theme="1" tint="0.24994659260841701"/>
        <rFont val="Times New Roman"/>
        <family val="1"/>
      </rPr>
      <t>leach,inorganic,jf</t>
    </r>
  </si>
  <si>
    <t>Animals</t>
  </si>
  <si>
    <t>Table_ProductRegions_Beefcattle</t>
  </si>
  <si>
    <t>Category</t>
  </si>
  <si>
    <t>Region of origin</t>
  </si>
  <si>
    <t>Quantity Unit</t>
  </si>
  <si>
    <t>AusLCI Emissions intensity</t>
  </si>
  <si>
    <t>System boundary</t>
  </si>
  <si>
    <t>Region</t>
  </si>
  <si>
    <t>Scope3 region</t>
  </si>
  <si>
    <t>ACT</t>
  </si>
  <si>
    <t>TAS</t>
  </si>
  <si>
    <t>WA - South west</t>
  </si>
  <si>
    <t>WA - Pilbara</t>
  </si>
  <si>
    <t>WA - Kimberley</t>
  </si>
  <si>
    <t>NT - Alice Springs</t>
  </si>
  <si>
    <t>NT</t>
  </si>
  <si>
    <t>NT - Barkly</t>
  </si>
  <si>
    <t>NT - Northern</t>
  </si>
  <si>
    <t>QLD - High</t>
  </si>
  <si>
    <t>QLD - Moderate/High</t>
  </si>
  <si>
    <t>QLD - Moderate/Low</t>
  </si>
  <si>
    <t>QLD - Low</t>
  </si>
  <si>
    <t>Inorganic fertilisers</t>
  </si>
  <si>
    <t>Quantity</t>
  </si>
  <si>
    <t>Other agricultural inputs</t>
  </si>
  <si>
    <t>Soil ameliorants</t>
  </si>
  <si>
    <t>Constants - Livestock</t>
  </si>
  <si>
    <t>Symbol</t>
  </si>
  <si>
    <t>Manure management system</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</si>
  <si>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</si>
  <si>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</si>
  <si>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</si>
  <si>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</si>
  <si>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</si>
  <si>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</si>
  <si>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</si>
  <si>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5: Fertiliser Use: Overview</t>
  </si>
  <si>
    <t>💡 Below is a diagram that maps the equations used to calculate emissions, and how they interact with each other.</t>
  </si>
  <si>
    <t xml:space="preserve">    Click on a box to go to the corresponding calculation.</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</si>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</sst>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C09]d\ mmmm\ yyyy;@"/>
    <numFmt numFmtId="171" formatCode="0.00000"/>
  </numFmts>
  <fonts count="88"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u/>
      <sz val="11"/>
      <color theme="10"/>
      <name val="Times New Roman"/>
      <family val="2"/>
      <scheme val="minor"/>
    </font>
    <font>
      <b/>
      <sz val="12"/>
      <color theme="1" tint="0.24994659260841701"/>
      <name val="Times New Roman"/>
      <family val="1"/>
    </font>
    <font>
      <i/>
      <sz val="10"/>
      <color theme="1" tint="0.34998626667073579"/>
      <name val="Times New Roman"/>
      <family val="1"/>
    </font>
    <font>
      <b/>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sz val="11"/>
      <color rgb="FF242424"/>
      <name val="Consolas"/>
      <family val="3"/>
    </font>
    <font>
      <b/>
      <sz val="12"/>
      <color theme="1"/>
      <name val="Times New Roman"/>
      <family val="2"/>
    </font>
    <font>
      <sz val="11"/>
      <name val="Times New Roman"/>
      <family val="1"/>
    </font>
    <font>
      <sz val="12"/>
      <name val="Times New Roman"/>
      <family val="1"/>
    </font>
    <font>
      <b/>
      <sz val="10"/>
      <color theme="1" tint="0.14999847407452621"/>
      <name val="Times New Roman"/>
      <family val="1"/>
    </font>
    <font>
      <sz val="9"/>
      <color rgb="FF404040"/>
      <name val="Times New Roman"/>
      <family val="1"/>
    </font>
    <font>
      <b/>
      <vertAlign val="subscript"/>
      <sz val="11"/>
      <color rgb="FF533001"/>
      <name val="Times New Roman"/>
      <family val="1"/>
    </font>
    <font>
      <b/>
      <vertAlign val="subscript"/>
      <sz val="11"/>
      <color rgb="FF183C1B"/>
      <name val="Times New Roman"/>
      <family val="1"/>
    </font>
    <font>
      <b/>
      <i/>
      <sz val="12"/>
      <color rgb="FFCC6600"/>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9"/>
      <name val="Times New Roman"/>
      <family val="1"/>
    </font>
    <font>
      <b/>
      <vertAlign val="subscript"/>
      <sz val="12"/>
      <color theme="1" tint="0.24994659260841701"/>
      <name val="Times New Roman"/>
      <family val="1"/>
    </font>
    <font>
      <b/>
      <sz val="11"/>
      <color theme="1"/>
      <name val="Times New Roman"/>
      <family val="2"/>
      <scheme val="minor"/>
    </font>
    <font>
      <sz val="9"/>
      <color theme="1"/>
      <name val="Times New Roman"/>
      <family val="2"/>
      <scheme val="minor"/>
    </font>
    <font>
      <b/>
      <sz val="10"/>
      <color theme="1" tint="0.34998626667073579"/>
      <name val="Times New Roman"/>
      <family val="1"/>
    </font>
    <font>
      <sz val="16"/>
      <name val="Times New Roman"/>
      <family val="1"/>
    </font>
    <font>
      <sz val="10"/>
      <color theme="1"/>
      <name val="Times New Roman"/>
      <family val="2"/>
      <scheme val="minor"/>
    </font>
    <font>
      <b/>
      <sz val="9"/>
      <name val="Times New Roman"/>
      <family val="1"/>
    </font>
    <font>
      <b/>
      <sz val="11"/>
      <color theme="1"/>
      <name val="Times New Roman"/>
      <family val="2"/>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
      <sz val="14"/>
      <color theme="5"/>
      <name val="Times New Roman"/>
      <family val="1"/>
    </font>
    <font>
      <b/>
      <vertAlign val="subscript"/>
      <sz val="12"/>
      <color theme="1"/>
      <name val="Times New Roman"/>
      <family val="1"/>
    </font>
    <font>
      <vertAlign val="subscript"/>
      <sz val="10"/>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b/>
      <vertAlign val="subscript"/>
      <sz val="14"/>
      <color theme="1" tint="0.24994659260841701"/>
      <name val="Times New Roman"/>
      <family val="1"/>
    </font>
    <font>
      <b/>
      <vertAlign val="superscript"/>
      <sz val="11"/>
      <color rgb="FF183C1B"/>
      <name val="Times New Roman"/>
      <family val="1"/>
    </font>
    <font>
      <b/>
      <sz val="20"/>
      <color theme="3" tint="9.9978637043366805E-2"/>
      <name val="Times New Roman"/>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1">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6" fillId="2" borderId="0">
      <alignment horizontal="left" vertical="center" indent="1"/>
      <protection locked="0"/>
    </xf>
    <xf numFmtId="0" fontId="5" fillId="0" borderId="0"/>
    <xf numFmtId="0" fontId="2" fillId="0" borderId="0">
      <alignment vertical="center"/>
    </xf>
    <xf numFmtId="0" fontId="17" fillId="3" borderId="0">
      <alignment vertical="center"/>
    </xf>
    <xf numFmtId="0" fontId="28" fillId="4" borderId="0">
      <alignment horizontal="left" vertical="center"/>
    </xf>
    <xf numFmtId="0" fontId="32" fillId="4" borderId="0">
      <alignment vertical="center"/>
    </xf>
    <xf numFmtId="0" fontId="4" fillId="4" borderId="0">
      <alignment horizontal="left" vertical="center"/>
    </xf>
    <xf numFmtId="0" fontId="3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7" fillId="4" borderId="3">
      <alignment horizontal="left" vertical="center" indent="1"/>
    </xf>
    <xf numFmtId="164" fontId="9" fillId="4" borderId="3">
      <alignment horizontal="center" vertical="center"/>
    </xf>
    <xf numFmtId="0" fontId="4" fillId="4" borderId="3">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3" fillId="0" borderId="0">
      <alignment horizontal="left" vertical="center" indent="1"/>
    </xf>
    <xf numFmtId="0" fontId="18" fillId="9" borderId="4">
      <alignment horizontal="left" vertical="center" indent="1"/>
    </xf>
    <xf numFmtId="0" fontId="21" fillId="10" borderId="0">
      <alignment horizontal="left" vertical="center" indent="1"/>
    </xf>
    <xf numFmtId="0" fontId="21" fillId="5" borderId="0">
      <alignment horizontal="left" vertical="center" indent="1"/>
    </xf>
    <xf numFmtId="0" fontId="21" fillId="8" borderId="0">
      <alignment horizontal="left" vertical="center" indent="1"/>
    </xf>
    <xf numFmtId="0" fontId="22" fillId="0" borderId="0">
      <alignment horizontal="left" vertical="center" indent="2"/>
    </xf>
    <xf numFmtId="0" fontId="33" fillId="13" borderId="5">
      <alignment horizontal="left" vertical="center"/>
    </xf>
    <xf numFmtId="3" fontId="26" fillId="4" borderId="2">
      <alignment horizontal="center" vertical="center"/>
    </xf>
    <xf numFmtId="167" fontId="3" fillId="0" borderId="2">
      <alignment horizontal="center" vertical="center"/>
    </xf>
    <xf numFmtId="0" fontId="27" fillId="0" borderId="0"/>
    <xf numFmtId="0" fontId="10" fillId="0" borderId="0"/>
    <xf numFmtId="0" fontId="27" fillId="0" borderId="0"/>
    <xf numFmtId="166" fontId="26" fillId="4" borderId="2">
      <alignment horizontal="center" vertical="center"/>
    </xf>
    <xf numFmtId="4" fontId="26" fillId="4" borderId="2">
      <alignment horizontal="center" vertical="center"/>
    </xf>
    <xf numFmtId="0" fontId="37"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7" fillId="4" borderId="0">
      <alignment horizontal="left" vertical="center"/>
    </xf>
    <xf numFmtId="0" fontId="31" fillId="4" borderId="0">
      <alignment horizontal="left" vertical="center"/>
    </xf>
    <xf numFmtId="0" fontId="10" fillId="0" borderId="0"/>
    <xf numFmtId="0" fontId="3" fillId="0" borderId="2">
      <alignment horizontal="center" vertical="center"/>
    </xf>
    <xf numFmtId="0" fontId="35" fillId="4" borderId="0">
      <alignment horizontal="left" vertical="center"/>
    </xf>
    <xf numFmtId="0" fontId="36" fillId="4" borderId="0">
      <alignment horizontal="left" vertical="center"/>
    </xf>
    <xf numFmtId="0" fontId="38" fillId="4" borderId="0">
      <alignment horizontal="left" vertical="center"/>
    </xf>
    <xf numFmtId="0" fontId="34" fillId="11" borderId="0">
      <alignment horizontal="center" vertical="center"/>
    </xf>
    <xf numFmtId="0" fontId="21" fillId="11" borderId="0">
      <alignment horizontal="left" vertical="center" indent="1"/>
    </xf>
    <xf numFmtId="0" fontId="40" fillId="4" borderId="2">
      <alignment horizontal="left" vertical="center"/>
    </xf>
    <xf numFmtId="0" fontId="26" fillId="4" borderId="2">
      <alignment horizontal="left" vertical="center"/>
    </xf>
    <xf numFmtId="0" fontId="41" fillId="14" borderId="2">
      <alignment horizontal="center" vertical="center"/>
    </xf>
    <xf numFmtId="0" fontId="42" fillId="15" borderId="2">
      <alignment horizontal="center" vertical="center"/>
    </xf>
    <xf numFmtId="0" fontId="43"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 fillId="0" borderId="0"/>
    <xf numFmtId="0" fontId="79" fillId="4" borderId="0">
      <alignment horizontal="left" vertical="center"/>
    </xf>
    <xf numFmtId="0" fontId="42" fillId="17" borderId="2">
      <alignment horizontal="center" vertical="center"/>
    </xf>
  </cellStyleXfs>
  <cellXfs count="265">
    <xf numFmtId="0" fontId="0" fillId="0" borderId="0" xfId="0"/>
    <xf numFmtId="0" fontId="30" fillId="4" borderId="0" xfId="8">
      <alignment horizontal="left" vertical="center"/>
    </xf>
    <xf numFmtId="0" fontId="28" fillId="4" borderId="0" xfId="5">
      <alignment horizontal="left" vertical="center"/>
    </xf>
    <xf numFmtId="0" fontId="2" fillId="0" borderId="0" xfId="3">
      <alignment vertical="center"/>
    </xf>
    <xf numFmtId="0" fontId="3" fillId="9" borderId="0" xfId="7" applyFont="1" applyFill="1" applyAlignment="1">
      <alignment horizontal="left" vertical="center" indent="1"/>
    </xf>
    <xf numFmtId="0" fontId="3" fillId="0" borderId="0" xfId="33">
      <alignment horizontal="left" vertical="center" indent="1"/>
    </xf>
    <xf numFmtId="0" fontId="19" fillId="9" borderId="4" xfId="34" applyFont="1">
      <alignment horizontal="left" vertical="center" indent="1"/>
    </xf>
    <xf numFmtId="0" fontId="20" fillId="9" borderId="4" xfId="34" applyFont="1">
      <alignment horizontal="left" vertical="center" indent="1"/>
    </xf>
    <xf numFmtId="0" fontId="0" fillId="4" borderId="0" xfId="0" applyFill="1"/>
    <xf numFmtId="2" fontId="24"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3" fillId="4" borderId="0" xfId="0" applyFont="1" applyFill="1"/>
    <xf numFmtId="2" fontId="24" fillId="4" borderId="0" xfId="0" applyNumberFormat="1" applyFont="1" applyFill="1"/>
    <xf numFmtId="0" fontId="24" fillId="4" borderId="1" xfId="0" applyFont="1" applyFill="1" applyBorder="1"/>
    <xf numFmtId="0" fontId="7" fillId="4" borderId="0" xfId="53">
      <alignment horizontal="left" vertical="center"/>
    </xf>
    <xf numFmtId="0" fontId="11" fillId="0" borderId="0" xfId="32"/>
    <xf numFmtId="9" fontId="9" fillId="4" borderId="0" xfId="11">
      <alignment horizontal="center" vertical="center"/>
    </xf>
    <xf numFmtId="164" fontId="9" fillId="4" borderId="0" xfId="10">
      <alignment horizontal="center" vertical="center"/>
    </xf>
    <xf numFmtId="2" fontId="24" fillId="4" borderId="1" xfId="0" applyNumberFormat="1" applyFont="1" applyFill="1" applyBorder="1" applyAlignment="1">
      <alignment horizontal="center"/>
    </xf>
    <xf numFmtId="0" fontId="34" fillId="11" borderId="0" xfId="60">
      <alignment horizontal="center" vertical="center"/>
    </xf>
    <xf numFmtId="0" fontId="39" fillId="0" borderId="0" xfId="2" applyFont="1"/>
    <xf numFmtId="0" fontId="3" fillId="4" borderId="0" xfId="7" applyFont="1">
      <alignment horizontal="left" vertical="center"/>
    </xf>
    <xf numFmtId="0" fontId="4" fillId="12" borderId="2" xfId="15">
      <alignment horizontal="center" vertical="center"/>
    </xf>
    <xf numFmtId="167" fontId="3" fillId="0" borderId="2" xfId="41">
      <alignment horizontal="center" vertical="center"/>
    </xf>
    <xf numFmtId="0" fontId="26" fillId="4" borderId="2" xfId="52">
      <alignment horizontal="center" vertical="center"/>
    </xf>
    <xf numFmtId="0" fontId="7" fillId="4" borderId="0" xfId="12">
      <alignment horizontal="left" vertical="center" indent="1"/>
    </xf>
    <xf numFmtId="0" fontId="32" fillId="4" borderId="0" xfId="6">
      <alignment vertical="center"/>
    </xf>
    <xf numFmtId="9" fontId="3" fillId="0" borderId="2" xfId="16">
      <alignment horizontal="center" vertical="center"/>
    </xf>
    <xf numFmtId="9" fontId="26" fillId="4" borderId="2" xfId="68" applyFont="1" applyFill="1" applyBorder="1" applyAlignment="1">
      <alignment horizontal="center" vertical="center"/>
    </xf>
    <xf numFmtId="0" fontId="0" fillId="0" borderId="0" xfId="8" applyFont="1" applyFill="1">
      <alignment horizontal="left" vertical="center"/>
    </xf>
    <xf numFmtId="0" fontId="5" fillId="0" borderId="0" xfId="2"/>
    <xf numFmtId="0" fontId="4" fillId="0" borderId="0" xfId="7" applyFill="1">
      <alignment horizontal="left" vertical="center"/>
    </xf>
    <xf numFmtId="0" fontId="17" fillId="3" borderId="0" xfId="4">
      <alignment vertical="center"/>
    </xf>
    <xf numFmtId="0" fontId="17" fillId="0" borderId="0" xfId="4" applyFill="1">
      <alignment vertical="center"/>
    </xf>
    <xf numFmtId="0" fontId="4" fillId="4" borderId="0" xfId="7">
      <alignment horizontal="left" vertical="center"/>
    </xf>
    <xf numFmtId="0" fontId="31" fillId="4" borderId="0" xfId="54">
      <alignment horizontal="left" vertical="center"/>
    </xf>
    <xf numFmtId="0" fontId="0" fillId="0" borderId="0" xfId="7" applyFont="1" applyFill="1">
      <alignment horizontal="left" vertical="center"/>
    </xf>
    <xf numFmtId="0" fontId="11" fillId="0" borderId="0" xfId="2" applyFont="1"/>
    <xf numFmtId="0" fontId="17" fillId="7" borderId="0" xfId="31">
      <alignment vertical="center"/>
    </xf>
    <xf numFmtId="0" fontId="4" fillId="4" borderId="6" xfId="7" applyBorder="1">
      <alignment horizontal="left" vertical="center"/>
    </xf>
    <xf numFmtId="0" fontId="28" fillId="0" borderId="0" xfId="5" applyFill="1">
      <alignment horizontal="left" vertical="center"/>
    </xf>
    <xf numFmtId="0" fontId="12" fillId="4" borderId="0" xfId="30">
      <alignment vertical="center"/>
    </xf>
    <xf numFmtId="0" fontId="32" fillId="0" borderId="0" xfId="6" applyFill="1">
      <alignment vertical="center"/>
    </xf>
    <xf numFmtId="0" fontId="3" fillId="0" borderId="2" xfId="14">
      <alignment horizontal="center" vertical="center"/>
    </xf>
    <xf numFmtId="0" fontId="30" fillId="0" borderId="0" xfId="8" applyFill="1">
      <alignment horizontal="left" vertical="center"/>
    </xf>
    <xf numFmtId="0" fontId="33" fillId="13" borderId="7" xfId="39" applyBorder="1">
      <alignment horizontal="left" vertical="center"/>
    </xf>
    <xf numFmtId="0" fontId="33" fillId="13" borderId="8" xfId="39" applyBorder="1">
      <alignment horizontal="left" vertical="center"/>
    </xf>
    <xf numFmtId="0" fontId="33" fillId="13" borderId="9" xfId="39" applyBorder="1">
      <alignment horizontal="left" vertical="center"/>
    </xf>
    <xf numFmtId="0" fontId="33" fillId="13" borderId="10" xfId="39" applyBorder="1">
      <alignment horizontal="left" vertical="center"/>
    </xf>
    <xf numFmtId="0" fontId="45" fillId="0" borderId="0" xfId="12" applyFont="1" applyFill="1" applyAlignment="1">
      <alignment horizontal="left" vertical="center"/>
    </xf>
    <xf numFmtId="166" fontId="26" fillId="4" borderId="2" xfId="40" applyNumberFormat="1">
      <alignment horizontal="center" vertical="center"/>
    </xf>
    <xf numFmtId="0" fontId="3" fillId="0" borderId="0" xfId="7" applyFont="1" applyFill="1">
      <alignment horizontal="left" vertical="center"/>
    </xf>
    <xf numFmtId="0" fontId="46" fillId="13" borderId="11" xfId="39" applyFont="1" applyBorder="1">
      <alignment horizontal="left" vertical="center"/>
    </xf>
    <xf numFmtId="0" fontId="33" fillId="13" borderId="12" xfId="39" applyBorder="1">
      <alignment horizontal="left" vertical="center"/>
    </xf>
    <xf numFmtId="0" fontId="33" fillId="13" borderId="13" xfId="39" applyBorder="1">
      <alignment horizontal="left" vertical="center"/>
    </xf>
    <xf numFmtId="0" fontId="33" fillId="13" borderId="14" xfId="39" applyBorder="1">
      <alignment horizontal="left" vertical="center"/>
    </xf>
    <xf numFmtId="0" fontId="33" fillId="13" borderId="15" xfId="39" applyBorder="1">
      <alignment horizontal="left" vertical="center"/>
    </xf>
    <xf numFmtId="0" fontId="33" fillId="13" borderId="16" xfId="39" applyBorder="1">
      <alignment horizontal="left" vertical="center"/>
    </xf>
    <xf numFmtId="4" fontId="3" fillId="4" borderId="0" xfId="17" applyFill="1" applyBorder="1">
      <alignment horizontal="center" vertical="center"/>
    </xf>
    <xf numFmtId="0" fontId="13" fillId="4" borderId="0" xfId="29" applyFill="1">
      <alignment horizontal="center" vertical="center"/>
      <protection locked="0"/>
    </xf>
    <xf numFmtId="0" fontId="47" fillId="0" borderId="0" xfId="0" applyFont="1" applyAlignment="1" applyProtection="1">
      <alignment horizontal="center" vertical="center"/>
      <protection locked="0"/>
    </xf>
    <xf numFmtId="4" fontId="48" fillId="0" borderId="0" xfId="17" applyFont="1" applyBorder="1">
      <alignment horizontal="center" vertical="center"/>
    </xf>
    <xf numFmtId="164" fontId="9" fillId="4" borderId="0" xfId="26" applyBorder="1">
      <alignment horizontal="center" vertical="center"/>
    </xf>
    <xf numFmtId="4" fontId="48" fillId="4" borderId="0" xfId="17" applyFont="1" applyFill="1" applyBorder="1">
      <alignment horizontal="center" vertical="center"/>
    </xf>
    <xf numFmtId="0" fontId="48" fillId="4" borderId="0" xfId="12" applyFont="1" applyAlignment="1">
      <alignment horizontal="center" vertical="center"/>
    </xf>
    <xf numFmtId="0" fontId="48" fillId="4" borderId="0" xfId="8" applyFont="1" applyAlignment="1">
      <alignment horizontal="center" vertical="center"/>
    </xf>
    <xf numFmtId="166" fontId="48" fillId="4" borderId="0" xfId="8" applyNumberFormat="1" applyFont="1" applyAlignment="1">
      <alignment horizontal="center" vertical="center"/>
    </xf>
    <xf numFmtId="9" fontId="48" fillId="4" borderId="0" xfId="68"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xf numFmtId="0" fontId="48" fillId="4" borderId="0" xfId="0" applyFont="1" applyFill="1"/>
    <xf numFmtId="0" fontId="48" fillId="0" borderId="0" xfId="0" applyFont="1"/>
    <xf numFmtId="0" fontId="50" fillId="4" borderId="0" xfId="7" applyFont="1" applyAlignment="1">
      <alignment horizontal="center" vertical="center"/>
    </xf>
    <xf numFmtId="0" fontId="51" fillId="4" borderId="0" xfId="7" applyFont="1" applyAlignment="1">
      <alignment horizontal="center" vertical="center"/>
    </xf>
    <xf numFmtId="166" fontId="51" fillId="4" borderId="0" xfId="7" applyNumberFormat="1" applyFont="1" applyAlignment="1">
      <alignment horizontal="center" vertical="center"/>
    </xf>
    <xf numFmtId="0" fontId="51" fillId="4" borderId="0" xfId="0" applyFont="1" applyFill="1" applyAlignment="1">
      <alignment horizontal="center" vertical="center"/>
    </xf>
    <xf numFmtId="0" fontId="52" fillId="4" borderId="0" xfId="0" applyFont="1" applyFill="1" applyAlignment="1">
      <alignment horizontal="center" vertical="center"/>
    </xf>
    <xf numFmtId="0" fontId="52" fillId="4" borderId="0" xfId="0" applyFont="1" applyFill="1" applyAlignment="1">
      <alignment horizontal="left" vertical="center"/>
    </xf>
    <xf numFmtId="14" fontId="4" fillId="4" borderId="0" xfId="7" applyNumberFormat="1">
      <alignment horizontal="left" vertical="center"/>
    </xf>
    <xf numFmtId="0" fontId="33" fillId="13" borderId="5" xfId="39">
      <alignment horizontal="left" vertical="center"/>
    </xf>
    <xf numFmtId="0" fontId="43" fillId="4" borderId="0" xfId="66" applyFill="1" applyBorder="1"/>
    <xf numFmtId="166" fontId="3" fillId="4" borderId="0" xfId="18" applyNumberFormat="1" applyFill="1" applyBorder="1">
      <alignment horizontal="center" vertical="center"/>
    </xf>
    <xf numFmtId="169" fontId="4" fillId="4" borderId="0" xfId="67" applyNumberFormat="1" applyFont="1" applyFill="1" applyBorder="1" applyAlignment="1">
      <alignment horizontal="center" vertical="center"/>
    </xf>
    <xf numFmtId="0" fontId="0" fillId="4" borderId="0" xfId="7" applyFont="1">
      <alignment horizontal="left" vertical="center"/>
    </xf>
    <xf numFmtId="0" fontId="53" fillId="4" borderId="0" xfId="0" applyFont="1" applyFill="1"/>
    <xf numFmtId="0" fontId="3" fillId="0" borderId="2" xfId="56">
      <alignment horizontal="center" vertical="center"/>
    </xf>
    <xf numFmtId="2" fontId="30" fillId="4" borderId="0" xfId="8" applyNumberFormat="1">
      <alignment horizontal="left" vertical="center"/>
    </xf>
    <xf numFmtId="0" fontId="44" fillId="4" borderId="0" xfId="8" applyFont="1">
      <alignment horizontal="left" vertical="center"/>
    </xf>
    <xf numFmtId="0" fontId="24" fillId="4" borderId="0" xfId="0" applyFont="1" applyFill="1"/>
    <xf numFmtId="0" fontId="26" fillId="4" borderId="2" xfId="52" quotePrefix="1">
      <alignment horizontal="center" vertical="center"/>
    </xf>
    <xf numFmtId="0" fontId="37" fillId="4" borderId="0" xfId="47">
      <alignment horizontal="left" vertical="center"/>
    </xf>
    <xf numFmtId="0" fontId="13" fillId="6" borderId="0" xfId="29">
      <alignment horizontal="center" vertical="center"/>
      <protection locked="0"/>
    </xf>
    <xf numFmtId="0" fontId="0" fillId="0" borderId="0" xfId="14" applyFont="1" applyBorder="1">
      <alignment horizontal="center" vertical="center"/>
    </xf>
    <xf numFmtId="0" fontId="33" fillId="13" borderId="11" xfId="39" applyBorder="1">
      <alignment horizontal="left" vertical="center"/>
    </xf>
    <xf numFmtId="0" fontId="55" fillId="4" borderId="0" xfId="0" applyFont="1" applyFill="1" applyAlignment="1">
      <alignment horizontal="center" vertical="center"/>
    </xf>
    <xf numFmtId="0" fontId="55" fillId="4" borderId="0" xfId="0" applyFont="1" applyFill="1"/>
    <xf numFmtId="0" fontId="56" fillId="4" borderId="0" xfId="0" applyFont="1" applyFill="1"/>
    <xf numFmtId="0" fontId="33" fillId="13" borderId="17" xfId="39" applyBorder="1">
      <alignment horizontal="left" vertical="center"/>
    </xf>
    <xf numFmtId="0" fontId="21" fillId="5" borderId="0" xfId="36">
      <alignment horizontal="left" vertical="center" indent="1"/>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0" xfId="55" applyAlignment="1">
      <alignment horizontal="center" vertical="center" wrapText="1"/>
    </xf>
    <xf numFmtId="0" fontId="10" fillId="0" borderId="0" xfId="55" applyAlignment="1" applyProtection="1">
      <alignment horizontal="center" vertical="center" wrapText="1"/>
      <protection locked="0"/>
    </xf>
    <xf numFmtId="0" fontId="4" fillId="12" borderId="2" xfId="15" applyAlignment="1">
      <alignment horizontal="center" vertical="center" wrapText="1"/>
    </xf>
    <xf numFmtId="4" fontId="0" fillId="0" borderId="0" xfId="17" applyFont="1" applyBorder="1" applyAlignment="1">
      <alignment horizontal="center" vertical="center" wrapText="1"/>
    </xf>
    <xf numFmtId="0" fontId="26" fillId="4" borderId="2" xfId="52" applyAlignment="1">
      <alignment horizontal="center" vertical="center" wrapText="1"/>
    </xf>
    <xf numFmtId="0" fontId="4" fillId="9" borderId="2" xfId="15" applyFill="1" applyAlignment="1">
      <alignment horizontal="center" vertical="center" wrapText="1"/>
    </xf>
    <xf numFmtId="4" fontId="0" fillId="0" borderId="2" xfId="17" applyFont="1" applyAlignment="1">
      <alignment horizontal="center" vertical="center" wrapText="1"/>
    </xf>
    <xf numFmtId="0" fontId="47" fillId="4" borderId="0" xfId="43" applyFont="1" applyFill="1" applyAlignment="1">
      <alignment horizontal="left" vertical="center" wrapText="1"/>
    </xf>
    <xf numFmtId="2" fontId="55" fillId="4" borderId="0" xfId="67" applyNumberFormat="1" applyFont="1" applyFill="1" applyBorder="1" applyAlignment="1" applyProtection="1">
      <alignment horizontal="center" wrapText="1"/>
      <protection locked="0"/>
    </xf>
    <xf numFmtId="1" fontId="55" fillId="4" borderId="0" xfId="67" applyNumberFormat="1" applyFont="1" applyFill="1" applyBorder="1" applyAlignment="1" applyProtection="1">
      <alignment horizontal="center" wrapText="1"/>
      <protection locked="0"/>
    </xf>
    <xf numFmtId="0" fontId="55" fillId="4" borderId="0" xfId="0" applyFont="1" applyFill="1" applyAlignment="1">
      <alignment horizontal="left" wrapText="1"/>
    </xf>
    <xf numFmtId="0" fontId="56" fillId="4" borderId="0" xfId="0" applyFont="1" applyFill="1" applyAlignment="1">
      <alignment wrapText="1"/>
    </xf>
    <xf numFmtId="0" fontId="30" fillId="4" borderId="0" xfId="8" applyAlignment="1">
      <alignment horizontal="left" vertical="center" wrapText="1"/>
    </xf>
    <xf numFmtId="0" fontId="37" fillId="4" borderId="0" xfId="47" applyAlignment="1">
      <alignment horizontal="left" vertical="center" wrapText="1"/>
    </xf>
    <xf numFmtId="0" fontId="0" fillId="4" borderId="0" xfId="0" applyFill="1" applyAlignment="1">
      <alignment wrapText="1"/>
    </xf>
    <xf numFmtId="0" fontId="57"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57" fillId="12" borderId="2" xfId="15" applyFont="1">
      <alignment horizontal="center" vertical="center"/>
    </xf>
    <xf numFmtId="9" fontId="0" fillId="0" borderId="18" xfId="68" applyFont="1" applyFill="1" applyBorder="1" applyAlignment="1">
      <alignment horizontal="center" vertical="center" wrapText="1"/>
    </xf>
    <xf numFmtId="0" fontId="58" fillId="9" borderId="4" xfId="34" applyFont="1">
      <alignment horizontal="left" vertical="center" indent="1"/>
    </xf>
    <xf numFmtId="0" fontId="33" fillId="13" borderId="19" xfId="39" applyBorder="1">
      <alignment horizontal="left" vertical="center"/>
    </xf>
    <xf numFmtId="0" fontId="33" fillId="13" borderId="0" xfId="39" applyBorder="1">
      <alignment horizontal="left" vertical="center"/>
    </xf>
    <xf numFmtId="0" fontId="33" fillId="13" borderId="20" xfId="39" applyBorder="1">
      <alignment horizontal="left" vertical="center"/>
    </xf>
    <xf numFmtId="0" fontId="38" fillId="4" borderId="0" xfId="59">
      <alignment horizontal="left" vertical="center"/>
    </xf>
    <xf numFmtId="0" fontId="13"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4" fillId="4" borderId="0" xfId="68" applyFont="1" applyFill="1" applyAlignment="1">
      <alignment horizontal="center" vertical="center" wrapText="1"/>
    </xf>
    <xf numFmtId="9" fontId="0" fillId="4" borderId="0" xfId="0" applyNumberFormat="1" applyFill="1"/>
    <xf numFmtId="0" fontId="0" fillId="0" borderId="0" xfId="0" applyAlignment="1">
      <alignment wrapText="1"/>
    </xf>
    <xf numFmtId="0" fontId="16" fillId="4" borderId="0" xfId="24">
      <alignment horizontal="left" vertical="center"/>
    </xf>
    <xf numFmtId="0" fontId="26" fillId="4" borderId="2" xfId="52" applyAlignment="1">
      <alignment horizontal="left" vertical="center"/>
    </xf>
    <xf numFmtId="0" fontId="26" fillId="4" borderId="21" xfId="52" applyBorder="1" applyAlignment="1">
      <alignment horizontal="left" vertical="center"/>
    </xf>
    <xf numFmtId="0" fontId="26" fillId="4" borderId="22" xfId="52" applyBorder="1" applyAlignment="1">
      <alignment horizontal="left" vertical="center"/>
    </xf>
    <xf numFmtId="0" fontId="42" fillId="15" borderId="2" xfId="65">
      <alignment horizontal="center" vertical="center"/>
    </xf>
    <xf numFmtId="0" fontId="41" fillId="14" borderId="2" xfId="64">
      <alignment horizontal="center" vertical="center"/>
    </xf>
    <xf numFmtId="0" fontId="40" fillId="4" borderId="21" xfId="62" applyBorder="1">
      <alignment horizontal="left" vertical="center"/>
    </xf>
    <xf numFmtId="0" fontId="26" fillId="4" borderId="23" xfId="52" applyBorder="1">
      <alignment horizontal="center" vertical="center"/>
    </xf>
    <xf numFmtId="0" fontId="40" fillId="4" borderId="2" xfId="62">
      <alignment horizontal="left" vertical="center"/>
    </xf>
    <xf numFmtId="0" fontId="21" fillId="8" borderId="0" xfId="37">
      <alignment horizontal="left" vertical="center" indent="1"/>
    </xf>
    <xf numFmtId="0" fontId="26" fillId="4" borderId="23" xfId="52" applyBorder="1" applyAlignment="1">
      <alignment horizontal="left" vertical="center"/>
    </xf>
    <xf numFmtId="0" fontId="35" fillId="4" borderId="0" xfId="57">
      <alignment horizontal="left" vertical="center"/>
    </xf>
    <xf numFmtId="0" fontId="36" fillId="4" borderId="0" xfId="58">
      <alignment horizontal="left" vertical="center"/>
    </xf>
    <xf numFmtId="0" fontId="6" fillId="2" borderId="0" xfId="9">
      <alignment horizontal="center" vertical="center"/>
    </xf>
    <xf numFmtId="0" fontId="30" fillId="4" borderId="1" xfId="8" applyBorder="1">
      <alignment horizontal="left" vertical="center"/>
    </xf>
    <xf numFmtId="0" fontId="30" fillId="16" borderId="0" xfId="8" applyFill="1">
      <alignment horizontal="left" vertical="center"/>
    </xf>
    <xf numFmtId="0" fontId="7" fillId="4" borderId="0" xfId="12" applyAlignment="1">
      <alignment horizontal="center" vertical="center"/>
    </xf>
    <xf numFmtId="0" fontId="62" fillId="4" borderId="1" xfId="8" applyFont="1" applyBorder="1">
      <alignment horizontal="left" vertical="center"/>
    </xf>
    <xf numFmtId="0" fontId="64" fillId="4" borderId="1" xfId="8" applyFont="1" applyBorder="1">
      <alignment horizontal="left" vertical="center"/>
    </xf>
    <xf numFmtId="0" fontId="65" fillId="4" borderId="1" xfId="53" applyFont="1" applyBorder="1">
      <alignment horizontal="left" vertical="center"/>
    </xf>
    <xf numFmtId="0" fontId="26" fillId="4" borderId="22" xfId="52" applyBorder="1">
      <alignment horizontal="center" vertical="center"/>
    </xf>
    <xf numFmtId="0" fontId="7" fillId="4" borderId="1" xfId="53" applyBorder="1">
      <alignment horizontal="left" vertical="center"/>
    </xf>
    <xf numFmtId="0" fontId="26" fillId="4" borderId="2" xfId="63">
      <alignment horizontal="left" vertical="center"/>
    </xf>
    <xf numFmtId="0" fontId="6" fillId="2" borderId="0" xfId="1">
      <alignment horizontal="left" vertical="center" indent="1"/>
      <protection locked="0"/>
    </xf>
    <xf numFmtId="4" fontId="26" fillId="4" borderId="2" xfId="52" applyNumberFormat="1">
      <alignment horizontal="center" vertical="center"/>
    </xf>
    <xf numFmtId="9" fontId="26" fillId="4" borderId="2" xfId="52" applyNumberFormat="1">
      <alignment horizontal="center" vertical="center"/>
    </xf>
    <xf numFmtId="0" fontId="67" fillId="4" borderId="0" xfId="0" applyFont="1" applyFill="1"/>
    <xf numFmtId="0" fontId="44" fillId="4" borderId="1" xfId="8" applyFont="1" applyBorder="1">
      <alignment horizontal="left" vertical="center"/>
    </xf>
    <xf numFmtId="0" fontId="7" fillId="4" borderId="1" xfId="12" applyBorder="1">
      <alignment horizontal="left" vertical="center" indent="1"/>
    </xf>
    <xf numFmtId="0" fontId="30" fillId="4" borderId="24" xfId="8" applyBorder="1">
      <alignment horizontal="left" vertical="center"/>
    </xf>
    <xf numFmtId="0" fontId="26" fillId="4" borderId="21" xfId="63" applyBorder="1">
      <alignment horizontal="left" vertical="center"/>
    </xf>
    <xf numFmtId="0" fontId="26" fillId="4" borderId="22" xfId="63" applyBorder="1">
      <alignment horizontal="left" vertical="center"/>
    </xf>
    <xf numFmtId="0" fontId="26" fillId="4" borderId="23" xfId="63" applyBorder="1">
      <alignment horizontal="left" vertical="center"/>
    </xf>
    <xf numFmtId="3" fontId="26" fillId="4" borderId="2" xfId="52" applyNumberFormat="1">
      <alignment horizontal="center" vertical="center"/>
    </xf>
    <xf numFmtId="4" fontId="26" fillId="4" borderId="2" xfId="46">
      <alignment horizontal="center" vertical="center"/>
    </xf>
    <xf numFmtId="0" fontId="65" fillId="4" borderId="1" xfId="12" applyFont="1" applyBorder="1">
      <alignment horizontal="left" vertical="center" indent="1"/>
    </xf>
    <xf numFmtId="0" fontId="6" fillId="2" borderId="0" xfId="9" applyAlignment="1">
      <alignment horizontal="center" vertical="center" wrapText="1"/>
    </xf>
    <xf numFmtId="0" fontId="30" fillId="4" borderId="25" xfId="8" applyBorder="1">
      <alignment horizontal="left" vertical="center"/>
    </xf>
    <xf numFmtId="0" fontId="6" fillId="2" borderId="0" xfId="1" applyAlignment="1">
      <alignment horizontal="center" vertical="center"/>
      <protection locked="0"/>
    </xf>
    <xf numFmtId="0" fontId="0" fillId="0" borderId="0" xfId="0" applyAlignment="1">
      <alignment vertical="center"/>
    </xf>
    <xf numFmtId="0" fontId="21" fillId="10" borderId="0" xfId="35">
      <alignment horizontal="left" vertical="center" indent="1"/>
    </xf>
    <xf numFmtId="0" fontId="0" fillId="0" borderId="0" xfId="0" applyAlignment="1">
      <alignment vertical="center" wrapText="1"/>
    </xf>
    <xf numFmtId="4" fontId="3" fillId="0" borderId="2" xfId="17">
      <alignment horizontal="center" vertical="center"/>
    </xf>
    <xf numFmtId="166" fontId="26" fillId="4" borderId="2" xfId="45">
      <alignment horizontal="center" vertical="center"/>
    </xf>
    <xf numFmtId="170" fontId="0" fillId="0" borderId="0" xfId="8" applyNumberFormat="1" applyFont="1" applyFill="1">
      <alignment horizontal="left" vertical="center"/>
    </xf>
    <xf numFmtId="0" fontId="29" fillId="4" borderId="0" xfId="48">
      <alignment horizontal="center" vertical="center"/>
    </xf>
    <xf numFmtId="17" fontId="0" fillId="0" borderId="0" xfId="8" applyNumberFormat="1" applyFont="1" applyFill="1">
      <alignment horizontal="left" vertical="center"/>
    </xf>
    <xf numFmtId="43" fontId="30" fillId="4" borderId="0" xfId="8" applyNumberFormat="1">
      <alignment horizontal="left" vertical="center"/>
    </xf>
    <xf numFmtId="9" fontId="26" fillId="4" borderId="2" xfId="63" applyNumberFormat="1">
      <alignment horizontal="left" vertical="center"/>
    </xf>
    <xf numFmtId="0" fontId="70"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4" fillId="12" borderId="26" xfId="15" applyBorder="1">
      <alignment horizontal="center" vertical="center"/>
    </xf>
    <xf numFmtId="0" fontId="26" fillId="4" borderId="26" xfId="52" applyBorder="1">
      <alignment horizontal="center" vertical="center"/>
    </xf>
    <xf numFmtId="9" fontId="0" fillId="0" borderId="26" xfId="16" applyFont="1" applyBorder="1">
      <alignment horizontal="center" vertical="center"/>
    </xf>
    <xf numFmtId="0" fontId="29" fillId="4" borderId="0" xfId="48" applyAlignment="1">
      <alignment horizontal="left" vertical="center"/>
    </xf>
    <xf numFmtId="171" fontId="71" fillId="4" borderId="2" xfId="52" applyNumberFormat="1" applyFont="1">
      <alignment horizontal="center" vertical="center"/>
    </xf>
    <xf numFmtId="0" fontId="25" fillId="4" borderId="0" xfId="50">
      <alignment horizontal="left" vertical="center"/>
    </xf>
    <xf numFmtId="4" fontId="26" fillId="4" borderId="26" xfId="46" applyBorder="1">
      <alignment horizontal="center" vertical="center"/>
    </xf>
    <xf numFmtId="171" fontId="71" fillId="4" borderId="26" xfId="52" applyNumberFormat="1" applyFont="1" applyBorder="1">
      <alignment horizontal="center" vertical="center"/>
    </xf>
    <xf numFmtId="0" fontId="4" fillId="4" borderId="1" xfId="7" applyBorder="1">
      <alignment horizontal="left" vertical="center"/>
    </xf>
    <xf numFmtId="0" fontId="29" fillId="4" borderId="1" xfId="48" applyBorder="1" applyAlignment="1">
      <alignment horizontal="left" vertical="center"/>
    </xf>
    <xf numFmtId="0" fontId="26" fillId="4" borderId="27" xfId="52" applyBorder="1">
      <alignment horizontal="center" vertical="center"/>
    </xf>
    <xf numFmtId="0" fontId="26" fillId="4" borderId="28" xfId="52" applyBorder="1">
      <alignment horizontal="center" vertical="center"/>
    </xf>
    <xf numFmtId="4" fontId="26" fillId="4" borderId="27" xfId="46" applyBorder="1">
      <alignment horizontal="center" vertical="center"/>
    </xf>
    <xf numFmtId="4" fontId="26" fillId="4" borderId="29" xfId="46" applyBorder="1">
      <alignment horizontal="center" vertical="center"/>
    </xf>
    <xf numFmtId="171" fontId="71" fillId="4" borderId="29" xfId="52" applyNumberFormat="1" applyFont="1" applyBorder="1">
      <alignment horizontal="center" vertical="center"/>
    </xf>
    <xf numFmtId="171" fontId="71" fillId="4" borderId="27" xfId="52" applyNumberFormat="1" applyFont="1" applyBorder="1">
      <alignment horizontal="center" vertical="center"/>
    </xf>
    <xf numFmtId="0" fontId="26" fillId="4" borderId="29" xfId="52" applyBorder="1">
      <alignment horizontal="center" vertical="center"/>
    </xf>
    <xf numFmtId="0" fontId="71" fillId="4" borderId="29" xfId="52" applyFont="1" applyBorder="1">
      <alignment horizontal="center" vertical="center"/>
    </xf>
    <xf numFmtId="0" fontId="4" fillId="4" borderId="25" xfId="7" applyBorder="1">
      <alignment horizontal="left" vertical="center"/>
    </xf>
    <xf numFmtId="165" fontId="67" fillId="4" borderId="25" xfId="0" applyNumberFormat="1" applyFont="1" applyFill="1" applyBorder="1"/>
    <xf numFmtId="0" fontId="7" fillId="4" borderId="25" xfId="12" applyBorder="1">
      <alignment horizontal="left" vertical="center" indent="1"/>
    </xf>
    <xf numFmtId="168" fontId="67" fillId="4" borderId="0" xfId="0" applyNumberFormat="1" applyFont="1" applyFill="1" applyAlignment="1">
      <alignment vertical="center"/>
    </xf>
    <xf numFmtId="165" fontId="67" fillId="4" borderId="25" xfId="0" applyNumberFormat="1" applyFont="1" applyFill="1" applyBorder="1" applyAlignment="1">
      <alignment vertical="center"/>
    </xf>
    <xf numFmtId="0" fontId="67" fillId="4" borderId="0" xfId="0" applyFont="1" applyFill="1" applyAlignment="1">
      <alignment vertical="center"/>
    </xf>
    <xf numFmtId="165" fontId="72" fillId="4" borderId="25" xfId="0" applyNumberFormat="1" applyFont="1" applyFill="1" applyBorder="1" applyAlignment="1">
      <alignment vertical="center"/>
    </xf>
    <xf numFmtId="168" fontId="71" fillId="4" borderId="2" xfId="46" applyNumberFormat="1" applyFont="1">
      <alignment horizontal="center" vertical="center"/>
    </xf>
    <xf numFmtId="168" fontId="71" fillId="4" borderId="26" xfId="46" applyNumberFormat="1" applyFont="1" applyBorder="1">
      <alignment horizontal="center" vertical="center"/>
    </xf>
    <xf numFmtId="168" fontId="71" fillId="4" borderId="29" xfId="46" applyNumberFormat="1" applyFont="1" applyBorder="1">
      <alignment horizontal="center" vertical="center"/>
    </xf>
    <xf numFmtId="0" fontId="70" fillId="0" borderId="0" xfId="0" applyFont="1" applyAlignment="1">
      <alignment vertical="center" wrapText="1"/>
    </xf>
    <xf numFmtId="0" fontId="73" fillId="0" borderId="0" xfId="0" applyFont="1" applyAlignment="1">
      <alignment horizontal="left" vertical="center"/>
    </xf>
    <xf numFmtId="0" fontId="73" fillId="0" borderId="0" xfId="8" applyFont="1" applyFill="1">
      <alignment horizontal="left" vertical="center"/>
    </xf>
    <xf numFmtId="0" fontId="70" fillId="0" borderId="0" xfId="0" applyFont="1" applyAlignment="1">
      <alignment horizontal="left" vertical="center"/>
    </xf>
    <xf numFmtId="0" fontId="0" fillId="0" borderId="0" xfId="0" applyAlignment="1">
      <alignment horizontal="left" vertical="center"/>
    </xf>
    <xf numFmtId="0" fontId="30" fillId="4" borderId="0" xfId="8" applyAlignment="1">
      <alignment horizontal="right" vertical="center"/>
    </xf>
    <xf numFmtId="0" fontId="70" fillId="4" borderId="0" xfId="0" applyFont="1" applyFill="1" applyAlignment="1">
      <alignment horizontal="left" vertical="center"/>
    </xf>
    <xf numFmtId="0" fontId="44" fillId="4" borderId="0" xfId="8" applyFont="1" applyAlignment="1">
      <alignment horizontal="right" vertical="center"/>
    </xf>
    <xf numFmtId="0" fontId="74" fillId="4" borderId="0" xfId="0" applyFont="1" applyFill="1"/>
    <xf numFmtId="0" fontId="70" fillId="0" borderId="0" xfId="0" applyFont="1"/>
    <xf numFmtId="0" fontId="70" fillId="0" borderId="0" xfId="7" applyFont="1" applyFill="1">
      <alignment horizontal="left" vertical="center"/>
    </xf>
    <xf numFmtId="0" fontId="70" fillId="4" borderId="0" xfId="0" applyFont="1" applyFill="1"/>
    <xf numFmtId="0" fontId="70" fillId="4" borderId="0" xfId="7" applyFont="1">
      <alignment horizontal="left" vertical="center"/>
    </xf>
    <xf numFmtId="0" fontId="69" fillId="2" borderId="0" xfId="8" applyFont="1" applyFill="1">
      <alignment horizontal="left" vertical="center"/>
    </xf>
    <xf numFmtId="0" fontId="75" fillId="0" borderId="0" xfId="8" applyFont="1" applyFill="1">
      <alignment horizontal="left" vertical="center"/>
    </xf>
    <xf numFmtId="3" fontId="26" fillId="4" borderId="2" xfId="40">
      <alignment horizontal="center" vertical="center"/>
    </xf>
    <xf numFmtId="3" fontId="26" fillId="4" borderId="2" xfId="63" applyNumberFormat="1">
      <alignment horizontal="left" vertical="center"/>
    </xf>
    <xf numFmtId="0" fontId="0" fillId="4" borderId="1" xfId="0" applyFill="1" applyBorder="1" applyAlignment="1">
      <alignment vertical="center"/>
    </xf>
    <xf numFmtId="0" fontId="0" fillId="4" borderId="1" xfId="0" applyFill="1" applyBorder="1"/>
    <xf numFmtId="0" fontId="30" fillId="4" borderId="0" xfId="8" applyAlignment="1">
      <alignment horizontal="center" vertical="center"/>
    </xf>
    <xf numFmtId="0" fontId="0" fillId="4" borderId="0" xfId="0" quotePrefix="1" applyFill="1"/>
    <xf numFmtId="0" fontId="76" fillId="4" borderId="1" xfId="0" applyFont="1" applyFill="1" applyBorder="1"/>
    <xf numFmtId="0" fontId="78" fillId="4" borderId="1" xfId="0" applyFont="1" applyFill="1" applyBorder="1"/>
    <xf numFmtId="0" fontId="23" fillId="0" borderId="0" xfId="0" applyFont="1"/>
    <xf numFmtId="0" fontId="10" fillId="0" borderId="0" xfId="55"/>
    <xf numFmtId="0" fontId="1" fillId="0" borderId="0" xfId="69"/>
    <xf numFmtId="0" fontId="79" fillId="4" borderId="0" xfId="70">
      <alignment horizontal="left" vertical="center"/>
    </xf>
    <xf numFmtId="0" fontId="1" fillId="4" borderId="0" xfId="69" applyFill="1"/>
    <xf numFmtId="0" fontId="33" fillId="13" borderId="30" xfId="39" applyBorder="1">
      <alignment horizontal="left" vertical="center"/>
    </xf>
    <xf numFmtId="0" fontId="10" fillId="4" borderId="0" xfId="55" applyFill="1"/>
    <xf numFmtId="0" fontId="1" fillId="0" borderId="0" xfId="69" applyAlignment="1">
      <alignment horizontal="center" vertical="center" wrapText="1"/>
    </xf>
    <xf numFmtId="0" fontId="0" fillId="0" borderId="0" xfId="8" applyFont="1" applyFill="1" applyAlignment="1">
      <alignment horizontal="left" vertical="center" wrapText="1"/>
    </xf>
    <xf numFmtId="4" fontId="0" fillId="0" borderId="0" xfId="17" applyFont="1" applyBorder="1">
      <alignment horizontal="center" vertical="center"/>
    </xf>
    <xf numFmtId="0" fontId="3" fillId="0" borderId="26" xfId="56" applyBorder="1">
      <alignment horizontal="center" vertical="center"/>
    </xf>
    <xf numFmtId="0" fontId="4" fillId="12" borderId="26" xfId="15" applyBorder="1" applyAlignment="1">
      <alignment horizontal="center" vertical="center" wrapText="1"/>
    </xf>
    <xf numFmtId="0" fontId="55" fillId="4" borderId="0" xfId="55" applyFont="1" applyFill="1" applyAlignment="1" applyProtection="1">
      <alignment horizontal="center"/>
      <protection locked="0"/>
    </xf>
    <xf numFmtId="0" fontId="55" fillId="4" borderId="0" xfId="55" applyFont="1" applyFill="1" applyAlignment="1">
      <alignment horizontal="center" vertical="center"/>
    </xf>
    <xf numFmtId="0" fontId="0" fillId="0" borderId="0" xfId="17" applyNumberFormat="1" applyFont="1" applyBorder="1">
      <alignment horizontal="center" vertical="center"/>
    </xf>
    <xf numFmtId="0" fontId="0" fillId="0" borderId="0" xfId="29" applyFont="1" applyFill="1" applyProtection="1">
      <alignment horizontal="center" vertical="center"/>
    </xf>
    <xf numFmtId="0" fontId="0" fillId="0" borderId="2" xfId="56" applyFont="1">
      <alignment horizontal="center" vertical="center"/>
    </xf>
    <xf numFmtId="0" fontId="42" fillId="17" borderId="2" xfId="71">
      <alignment horizontal="center" vertical="center"/>
    </xf>
    <xf numFmtId="0" fontId="54" fillId="6" borderId="0" xfId="8" applyFont="1" applyFill="1">
      <alignment horizontal="left" vertical="center"/>
    </xf>
    <xf numFmtId="0" fontId="71" fillId="4" borderId="2" xfId="52" applyFont="1">
      <alignment horizontal="center" vertical="center"/>
    </xf>
    <xf numFmtId="0" fontId="82" fillId="4" borderId="1" xfId="8" applyFont="1" applyBorder="1">
      <alignment horizontal="left" vertical="center"/>
    </xf>
    <xf numFmtId="4" fontId="26" fillId="4" borderId="2" xfId="63" applyNumberFormat="1">
      <alignment horizontal="left" vertical="center"/>
    </xf>
    <xf numFmtId="0" fontId="54" fillId="2" borderId="0" xfId="8" applyFont="1" applyFill="1">
      <alignment horizontal="left" vertical="center"/>
    </xf>
    <xf numFmtId="0" fontId="87" fillId="9" borderId="0" xfId="32" applyFont="1" applyFill="1"/>
    <xf numFmtId="0" fontId="30" fillId="9" borderId="0" xfId="8" applyFill="1">
      <alignment horizontal="left" vertical="center"/>
    </xf>
    <xf numFmtId="0" fontId="0" fillId="9" borderId="0" xfId="0" applyFill="1"/>
    <xf numFmtId="0" fontId="17" fillId="11" borderId="0" xfId="31" applyFill="1">
      <alignment vertical="center"/>
    </xf>
    <xf numFmtId="0" fontId="21" fillId="11" borderId="0" xfId="61">
      <alignment horizontal="left" vertical="center" indent="1"/>
    </xf>
    <xf numFmtId="0" fontId="46" fillId="13" borderId="14" xfId="39" applyFont="1" applyBorder="1">
      <alignment horizontal="lef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C1DC2CB6-F897-4019-96EC-8C7EBF0A9B5B}"/>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3" xfId="69" xr:uid="{AFFE805C-8BA5-4F36-8138-39A647C4062B}"/>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CAD2E836-E69D-4C68-A1B1-BB96E4256AFA}"/>
    <cellStyle name="Variable type other" xfId="64" xr:uid="{105BD9DE-B567-4DA0-87E6-C60A0ECC1C65}"/>
  </cellStyles>
  <dxfs count="44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numFmt numFmtId="170" formatCode="[$-C09]d\ mmmm\ yyyy;@"/>
    </dxf>
    <dxf>
      <numFmt numFmtId="170"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43"/>
      <tableStyleElement type="headerRow" dxfId="442"/>
      <tableStyleElement type="totalRow" dxfId="441"/>
      <tableStyleElement type="firstColumn" dxfId="440"/>
      <tableStyleElement type="firstRowStripe" dxfId="439"/>
      <tableStyleElement type="secondRowStripe" dxfId="438"/>
    </tableStyle>
    <tableStyle name="Equation table" pivot="0" count="6" xr9:uid="{B247698E-E41D-4CCD-AA0A-C14817E9DE65}">
      <tableStyleElement type="wholeTable" dxfId="437"/>
      <tableStyleElement type="headerRow" dxfId="436"/>
      <tableStyleElement type="totalRow" dxfId="435"/>
      <tableStyleElement type="firstColumn" dxfId="434"/>
      <tableStyleElement type="firstRowStripe" dxfId="433"/>
      <tableStyleElement type="secondRowStripe" dxfId="432"/>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22/10/relationships/richValueRel" Target="richData/richValueRel.xml"/><Relationship Id="rId48"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customXml" Target="../customXml/item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06/relationships/rdRichValueTypes" Target="richData/rdRichValueTypes.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7.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twoCellAnchor>
    <xdr:from>
      <xdr:col>8</xdr:col>
      <xdr:colOff>938212</xdr:colOff>
      <xdr:row>62</xdr:row>
      <xdr:rowOff>200025</xdr:rowOff>
    </xdr:from>
    <xdr:to>
      <xdr:col>9</xdr:col>
      <xdr:colOff>1443037</xdr:colOff>
      <xdr:row>74</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C30E169-D694-4B14-8151-0B018F91945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8C30E169-D694-4B14-8151-0B018F91945D}"/>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C44E2CC-746A-4229-B9F9-7F616672E094}"/>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3C44E2CC-746A-4229-B9F9-7F616672E094}"/>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A6C29A5-A902-4122-B174-EC99E7525DB6}"/>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5A6C29A5-A902-4122-B174-EC99E7525DB6}"/>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3B795E2-44D4-43EB-A835-2C8094C00DF1}"/>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63B795E2-44D4-43EB-A835-2C8094C00DF1}"/>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9A217AF-9E4C-4E37-9914-2CD769E862A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09A217AF-9E4C-4E37-9914-2CD769E862A2}"/>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CA96B80-C3A8-4864-A1F0-AD6B6DCB642B}"/>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7CA96B80-C3A8-4864-A1F0-AD6B6DCB642B}"/>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F4A2E630-7B22-462B-8545-E7585226EDE6}"/>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F4A2E630-7B22-462B-8545-E7585226EDE6}"/>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D6BADAF-CC29-47EF-96E7-3C78453E62B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D6BADAF-CC29-47EF-96E7-3C78453E62BC}"/>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C58A1F5-C51B-4856-AA01-B9112524E1A9}"/>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C58A1F5-C51B-4856-AA01-B9112524E1A9}"/>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B49ED01-A1FF-404A-BA96-66E1F2B6CDE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BB49ED01-A1FF-404A-BA96-66E1F2B6CDE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239FD0A-4605-4D3E-A127-309FDED57BDB}"/>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C239FD0A-4605-4D3E-A127-309FDED57BDB}"/>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3E0E7DA-C3DD-41FF-ACD5-FDE7094FCA7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23E0E7DA-C3DD-41FF-ACD5-FDE7094FCA7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6731AD7-65D8-46D5-9F3B-D01894265F82}"/>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6731AD7-65D8-46D5-9F3B-D01894265F82}"/>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A08F7A4-8445-47D2-AD3E-0D3ABB065CAC}"/>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A08F7A4-8445-47D2-AD3E-0D3ABB065CAC}"/>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E9019ED-0B7E-425F-9F95-D897B2945D56}"/>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AE9019ED-0B7E-425F-9F95-D897B2945D56}"/>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882E8AC-0EDF-48E1-8137-1B240032411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5882E8AC-0EDF-48E1-8137-1B240032411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69A06C3-88C9-4B94-91AB-1C4EAD446B54}"/>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469A06C3-88C9-4B94-91AB-1C4EAD446B54}"/>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0ABE93-A8AA-46AE-AED6-3E68A2CC5AE4}"/>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30ABE93-A8AA-46AE-AED6-3E68A2CC5AE4}"/>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D5C4B08-A941-4E7D-976E-5E36FA530D30}"/>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8D5C4B08-A941-4E7D-976E-5E36FA530D30}"/>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A9621A-24B7-4D83-97B0-34806B35C98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CA9621A-24B7-4D83-97B0-34806B35C98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D8098CD-59C3-4EF5-B6C7-B723E1584846}"/>
                </a:ext>
              </a:extLst>
            </xdr:cNvPr>
            <xdr:cNvSpPr txBox="1"/>
          </xdr:nvSpPr>
          <xdr:spPr>
            <a:xfrm>
              <a:off x="1593532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3" name="TextBox 2">
              <a:extLst>
                <a:ext uri="{FF2B5EF4-FFF2-40B4-BE49-F238E27FC236}">
                  <a16:creationId xmlns:a16="http://schemas.microsoft.com/office/drawing/2014/main" id="{FD8098CD-59C3-4EF5-B6C7-B723E1584846}"/>
                </a:ext>
              </a:extLst>
            </xdr:cNvPr>
            <xdr:cNvSpPr txBox="1"/>
          </xdr:nvSpPr>
          <xdr:spPr>
            <a:xfrm>
              <a:off x="1593532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5405CBA-89C0-459D-BDA8-150C01CAD27B}"/>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D5405CBA-89C0-459D-BDA8-150C01CAD27B}"/>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DC93431-29E6-4628-AB6F-B3F4EEFDEA6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DC93431-29E6-4628-AB6F-B3F4EEFDEA6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8976F6E9-AD44-43B7-8237-FFA8EBF102D8}"/>
                </a:ext>
              </a:extLst>
            </xdr:cNvPr>
            <xdr:cNvSpPr txBox="1"/>
          </xdr:nvSpPr>
          <xdr:spPr>
            <a:xfrm>
              <a:off x="15906750"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6" name="TextBox 5">
              <a:extLst>
                <a:ext uri="{FF2B5EF4-FFF2-40B4-BE49-F238E27FC236}">
                  <a16:creationId xmlns:a16="http://schemas.microsoft.com/office/drawing/2014/main" id="{8976F6E9-AD44-43B7-8237-FFA8EBF102D8}"/>
                </a:ext>
              </a:extLst>
            </xdr:cNvPr>
            <xdr:cNvSpPr txBox="1"/>
          </xdr:nvSpPr>
          <xdr:spPr>
            <a:xfrm>
              <a:off x="15906750"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69EB844-5207-40D4-A8C9-C148148A6196}"/>
                </a:ext>
              </a:extLst>
            </xdr:cNvPr>
            <xdr:cNvSpPr txBox="1"/>
          </xdr:nvSpPr>
          <xdr:spPr>
            <a:xfrm>
              <a:off x="15887700" y="106822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7" name="TextBox 6">
              <a:extLst>
                <a:ext uri="{FF2B5EF4-FFF2-40B4-BE49-F238E27FC236}">
                  <a16:creationId xmlns:a16="http://schemas.microsoft.com/office/drawing/2014/main" id="{F69EB844-5207-40D4-A8C9-C148148A6196}"/>
                </a:ext>
              </a:extLst>
            </xdr:cNvPr>
            <xdr:cNvSpPr txBox="1"/>
          </xdr:nvSpPr>
          <xdr:spPr>
            <a:xfrm>
              <a:off x="15887700" y="106822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937970E-187A-44C7-8FA8-00EC53BF3871}"/>
                </a:ext>
              </a:extLst>
            </xdr:cNvPr>
            <xdr:cNvSpPr txBox="1"/>
          </xdr:nvSpPr>
          <xdr:spPr>
            <a:xfrm>
              <a:off x="15925800" y="162591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4937970E-187A-44C7-8FA8-00EC53BF3871}"/>
                </a:ext>
              </a:extLst>
            </xdr:cNvPr>
            <xdr:cNvSpPr txBox="1"/>
          </xdr:nvSpPr>
          <xdr:spPr>
            <a:xfrm>
              <a:off x="15925800" y="162591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295999C-9A90-4060-BA23-F81AA7D106F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8295999C-9A90-4060-BA23-F81AA7D106F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6077F18-8F1A-49B5-A5D3-70CFD611E2A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36077F18-8F1A-49B5-A5D3-70CFD611E2A2}"/>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6A6CC3B-144C-4E22-A352-C93486931F02}"/>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F6A6CC3B-144C-4E22-A352-C93486931F02}"/>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21A5382-7F2A-4D9E-8F1C-2E8596690A43}"/>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21A5382-7F2A-4D9E-8F1C-2E8596690A43}"/>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077612-0686-4B2F-A4B8-EB8FE986593B}"/>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31077612-0686-4B2F-A4B8-EB8FE986593B}"/>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𝐸_𝐶𝐻4=∑2_𝑐▒(𝑀_(𝑏𝑢𝑟𝑛,𝑐)×𝐶𝐶_𝑐 ) ×𝐸𝐹_𝐶𝐻4×𝐶_𝐶𝐻4×10^(−3)</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DD5DE1E-2BD6-4874-86D9-F9E2342B0C98}"/>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1DD5DE1E-2BD6-4874-86D9-F9E2342B0C98}"/>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A616979-1705-4964-8212-DFE08E2B0FDD}"/>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1A616979-1705-4964-8212-DFE08E2B0FDD}"/>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887104D-DCCC-4421-AEA0-25F3604AF6BD}"/>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6887104D-DCCC-4421-AEA0-25F3604AF6BD}"/>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6AFBCCE-D560-473B-8794-9EB297192C75}"/>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A6AFBCCE-D560-473B-8794-9EB297192C75}"/>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3CBD8E4-CB50-4BCE-BC15-699B236388FF}"/>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33CBD8E4-CB50-4BCE-BC15-699B236388FF}"/>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E24635B-E0C9-44D1-9E1A-2F3697F3C4E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E24635B-E0C9-44D1-9E1A-2F3697F3C4E2}"/>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6864B4A-0F99-4CFF-9020-099002936408}"/>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26864B4A-0F99-4CFF-9020-099002936408}"/>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𝐸_(2,𝑒𝑙𝑒𝑐)=𝑄_𝑒𝑙𝑒𝑐×𝐸𝐹_(2,𝑒𝑙𝑒𝑐)×10^(−3)</a:t>
              </a:r>
              <a:endParaRPr lang="en-AU" sz="11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E1B5F8D5-E2E3-4DDA-8824-04E8B74CEB84}"/>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E1B5F8D5-E2E3-4DDA-8824-04E8B74CEB84}"/>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E47B692-FE97-4A58-8EFE-F6038337490B}"/>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2,</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EE47B692-FE97-4A58-8EFE-F6038337490B}"/>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6742C73-F626-4FF5-878C-125A65B5BEA8}"/>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96742C73-F626-4FF5-878C-125A65B5BEA8}"/>
                </a:ext>
              </a:extLst>
            </xdr:cNvPr>
            <xdr:cNvSpPr txBox="1"/>
          </xdr:nvSpPr>
          <xdr:spPr>
            <a:xfrm>
              <a:off x="3081712"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𝐸=∑2_𝑐▒∑2_𝑜▒(𝑁_𝑐𝑜×𝑊_𝑐𝑜×𝐸𝐹_𝑐𝑜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AFDFD5B-21E7-4A9C-830C-72B652892E30}"/>
                </a:ext>
              </a:extLst>
            </xdr:cNvPr>
            <xdr:cNvSpPr txBox="1"/>
          </xdr:nvSpPr>
          <xdr:spPr>
            <a:xfrm>
              <a:off x="3081712" y="2496027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DAFDFD5B-21E7-4A9C-830C-72B652892E30}"/>
                </a:ext>
              </a:extLst>
            </xdr:cNvPr>
            <xdr:cNvSpPr txBox="1"/>
          </xdr:nvSpPr>
          <xdr:spPr>
            <a:xfrm>
              <a:off x="3081712" y="2496027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BB529F2-1FFE-49C4-8C17-EDB3EB869146}"/>
                </a:ext>
              </a:extLst>
            </xdr:cNvPr>
            <xdr:cNvSpPr txBox="1"/>
          </xdr:nvSpPr>
          <xdr:spPr>
            <a:xfrm>
              <a:off x="3081712" y="3759042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9BB529F2-1FFE-49C4-8C17-EDB3EB869146}"/>
                </a:ext>
              </a:extLst>
            </xdr:cNvPr>
            <xdr:cNvSpPr txBox="1"/>
          </xdr:nvSpPr>
          <xdr:spPr>
            <a:xfrm>
              <a:off x="3081712" y="3759042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DC32DEB-5ECF-4D03-AF85-37EE2B6874FB}"/>
                </a:ext>
              </a:extLst>
            </xdr:cNvPr>
            <xdr:cNvSpPr txBox="1"/>
          </xdr:nvSpPr>
          <xdr:spPr>
            <a:xfrm>
              <a:off x="3081712" y="4675347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6DC32DEB-5ECF-4D03-AF85-37EE2B6874FB}"/>
                </a:ext>
              </a:extLst>
            </xdr:cNvPr>
            <xdr:cNvSpPr txBox="1"/>
          </xdr:nvSpPr>
          <xdr:spPr>
            <a:xfrm>
              <a:off x="3081712" y="4675347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54BE5A3-D09D-4D9B-912F-504A2131BDE3}"/>
                </a:ext>
              </a:extLst>
            </xdr:cNvPr>
            <xdr:cNvSpPr txBox="1"/>
          </xdr:nvSpPr>
          <xdr:spPr>
            <a:xfrm>
              <a:off x="7371981" y="5045750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6" name="TextBox 5">
              <a:extLst>
                <a:ext uri="{FF2B5EF4-FFF2-40B4-BE49-F238E27FC236}">
                  <a16:creationId xmlns:a16="http://schemas.microsoft.com/office/drawing/2014/main" id="{554BE5A3-D09D-4D9B-912F-504A2131BDE3}"/>
                </a:ext>
              </a:extLst>
            </xdr:cNvPr>
            <xdr:cNvSpPr txBox="1"/>
          </xdr:nvSpPr>
          <xdr:spPr>
            <a:xfrm>
              <a:off x="7371981" y="5045750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𝐸=∑2_𝑓▒∑2_𝑐▒∑2_𝑗▒((𝐹_𝑐𝑓×𝑇𝑀_𝑗𝑓)/100×𝐸𝐹_𝑐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946B154-DE2D-4ACB-B796-280CCAA3EC4B}"/>
                </a:ext>
              </a:extLst>
            </xdr:cNvPr>
            <xdr:cNvSpPr txBox="1"/>
          </xdr:nvSpPr>
          <xdr:spPr>
            <a:xfrm>
              <a:off x="3040545" y="504667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8946B154-DE2D-4ACB-B796-280CCAA3EC4B}"/>
                </a:ext>
              </a:extLst>
            </xdr:cNvPr>
            <xdr:cNvSpPr txBox="1"/>
          </xdr:nvSpPr>
          <xdr:spPr>
            <a:xfrm>
              <a:off x="3040545" y="504667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𝐸=∑2_𝑓▒∑2_𝑐▒∑2_𝑗▒(𝐹_𝑐𝑓×𝑇𝑀_𝑗𝑓×𝐸𝐹_𝑐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C637EA5-B81E-4667-B1C6-9A00333790C9}"/>
                </a:ext>
              </a:extLst>
            </xdr:cNvPr>
            <xdr:cNvSpPr txBox="1"/>
          </xdr:nvSpPr>
          <xdr:spPr>
            <a:xfrm>
              <a:off x="3057525" y="4333875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DC637EA5-B81E-4667-B1C6-9A00333790C9}"/>
                </a:ext>
              </a:extLst>
            </xdr:cNvPr>
            <xdr:cNvSpPr txBox="1"/>
          </xdr:nvSpPr>
          <xdr:spPr>
            <a:xfrm>
              <a:off x="3057525" y="4333875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𝐸𝐹_𝑓=∑2_𝑐▒(𝐹_𝑐𝑓×𝐸𝐹_𝑐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25D5F546-FC8C-4E44-9A7C-4CD52E8577BC}"/>
                </a:ext>
              </a:extLst>
            </xdr:cNvPr>
            <xdr:cNvSpPr txBox="1"/>
          </xdr:nvSpPr>
          <xdr:spPr>
            <a:xfrm>
              <a:off x="3057526" y="6418057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25D5F546-FC8C-4E44-9A7C-4CD52E8577BC}"/>
                </a:ext>
              </a:extLst>
            </xdr:cNvPr>
            <xdr:cNvSpPr txBox="1"/>
          </xdr:nvSpPr>
          <xdr:spPr>
            <a:xfrm>
              <a:off x="3057526" y="6418057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2BAC5B9-90F0-4EEC-8ADC-3C3EF63447DA}"/>
                </a:ext>
              </a:extLst>
            </xdr:cNvPr>
            <xdr:cNvSpPr txBox="1"/>
          </xdr:nvSpPr>
          <xdr:spPr>
            <a:xfrm>
              <a:off x="3068731" y="710396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2BAC5B9-90F0-4EEC-8ADC-3C3EF63447DA}"/>
                </a:ext>
              </a:extLst>
            </xdr:cNvPr>
            <xdr:cNvSpPr txBox="1"/>
          </xdr:nvSpPr>
          <xdr:spPr>
            <a:xfrm>
              <a:off x="3068731" y="710396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69075C8-7C59-489B-B126-0381BB8D1767}"/>
                </a:ext>
              </a:extLst>
            </xdr:cNvPr>
            <xdr:cNvSpPr txBox="1"/>
          </xdr:nvSpPr>
          <xdr:spPr>
            <a:xfrm>
              <a:off x="3135966" y="77961005"/>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1" name="TextBox 10">
              <a:extLst>
                <a:ext uri="{FF2B5EF4-FFF2-40B4-BE49-F238E27FC236}">
                  <a16:creationId xmlns:a16="http://schemas.microsoft.com/office/drawing/2014/main" id="{069075C8-7C59-489B-B126-0381BB8D1767}"/>
                </a:ext>
              </a:extLst>
            </xdr:cNvPr>
            <xdr:cNvSpPr txBox="1"/>
          </xdr:nvSpPr>
          <xdr:spPr>
            <a:xfrm>
              <a:off x="3135966" y="77961005"/>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A09F677-4B7B-49F4-9546-0B0E34AF75CC}"/>
                </a:ext>
              </a:extLst>
            </xdr:cNvPr>
            <xdr:cNvSpPr txBox="1"/>
          </xdr:nvSpPr>
          <xdr:spPr>
            <a:xfrm>
              <a:off x="3102349" y="84616177"/>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2" name="TextBox 11">
              <a:extLst>
                <a:ext uri="{FF2B5EF4-FFF2-40B4-BE49-F238E27FC236}">
                  <a16:creationId xmlns:a16="http://schemas.microsoft.com/office/drawing/2014/main" id="{3A09F677-4B7B-49F4-9546-0B0E34AF75CC}"/>
                </a:ext>
              </a:extLst>
            </xdr:cNvPr>
            <xdr:cNvSpPr txBox="1"/>
          </xdr:nvSpPr>
          <xdr:spPr>
            <a:xfrm>
              <a:off x="3102349" y="84616177"/>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573BAF8-3A4E-4E48-B65A-32939388ED11}"/>
                </a:ext>
              </a:extLst>
            </xdr:cNvPr>
            <xdr:cNvSpPr txBox="1"/>
          </xdr:nvSpPr>
          <xdr:spPr>
            <a:xfrm>
              <a:off x="3079936" y="90856734"/>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3" name="TextBox 12">
              <a:extLst>
                <a:ext uri="{FF2B5EF4-FFF2-40B4-BE49-F238E27FC236}">
                  <a16:creationId xmlns:a16="http://schemas.microsoft.com/office/drawing/2014/main" id="{3573BAF8-3A4E-4E48-B65A-32939388ED11}"/>
                </a:ext>
              </a:extLst>
            </xdr:cNvPr>
            <xdr:cNvSpPr txBox="1"/>
          </xdr:nvSpPr>
          <xdr:spPr>
            <a:xfrm>
              <a:off x="3079936" y="90856734"/>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82B38090-7BBB-478A-A4EB-20C14F32BB86}"/>
                </a:ext>
              </a:extLst>
            </xdr:cNvPr>
            <xdr:cNvSpPr txBox="1"/>
          </xdr:nvSpPr>
          <xdr:spPr>
            <a:xfrm>
              <a:off x="3067050" y="976502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14" name="TextBox 13">
              <a:extLst>
                <a:ext uri="{FF2B5EF4-FFF2-40B4-BE49-F238E27FC236}">
                  <a16:creationId xmlns:a16="http://schemas.microsoft.com/office/drawing/2014/main" id="{82B38090-7BBB-478A-A4EB-20C14F32BB86}"/>
                </a:ext>
              </a:extLst>
            </xdr:cNvPr>
            <xdr:cNvSpPr txBox="1"/>
          </xdr:nvSpPr>
          <xdr:spPr>
            <a:xfrm>
              <a:off x="3067050" y="976502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FC4EBF25-77C6-4B37-BF7E-711BBD88A543}"/>
                </a:ext>
              </a:extLst>
            </xdr:cNvPr>
            <xdr:cNvSpPr txBox="1"/>
          </xdr:nvSpPr>
          <xdr:spPr>
            <a:xfrm>
              <a:off x="3068732" y="1164985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15" name="TextBox 14">
              <a:extLst>
                <a:ext uri="{FF2B5EF4-FFF2-40B4-BE49-F238E27FC236}">
                  <a16:creationId xmlns:a16="http://schemas.microsoft.com/office/drawing/2014/main" id="{FC4EBF25-77C6-4B37-BF7E-711BBD88A543}"/>
                </a:ext>
              </a:extLst>
            </xdr:cNvPr>
            <xdr:cNvSpPr txBox="1"/>
          </xdr:nvSpPr>
          <xdr:spPr>
            <a:xfrm>
              <a:off x="3068732" y="1164985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𝐸=∑2_𝑞▒𝐸_(𝑊𝑇𝑇,𝑡𝑟𝑎𝑛𝑠,𝑞) +∑2_𝑞▒𝐸_(𝑊𝑇𝑇,𝑆𝐶,𝑞)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F5BBD912-D20A-48D1-807D-1BC63FCEA4C3}"/>
                </a:ext>
              </a:extLst>
            </xdr:cNvPr>
            <xdr:cNvSpPr txBox="1"/>
          </xdr:nvSpPr>
          <xdr:spPr>
            <a:xfrm>
              <a:off x="3068731" y="119628957"/>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F5BBD912-D20A-48D1-807D-1BC63FCEA4C3}"/>
                </a:ext>
              </a:extLst>
            </xdr:cNvPr>
            <xdr:cNvSpPr txBox="1"/>
          </xdr:nvSpPr>
          <xdr:spPr>
            <a:xfrm>
              <a:off x="3068731" y="119628957"/>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A3474081-3FBE-4C6F-809C-8AE068C275EE}"/>
                </a:ext>
              </a:extLst>
            </xdr:cNvPr>
            <xdr:cNvSpPr txBox="1"/>
          </xdr:nvSpPr>
          <xdr:spPr>
            <a:xfrm>
              <a:off x="9843118" y="123263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7" name="TextBox 16">
              <a:extLst>
                <a:ext uri="{FF2B5EF4-FFF2-40B4-BE49-F238E27FC236}">
                  <a16:creationId xmlns:a16="http://schemas.microsoft.com/office/drawing/2014/main" id="{A3474081-3FBE-4C6F-809C-8AE068C275EE}"/>
                </a:ext>
              </a:extLst>
            </xdr:cNvPr>
            <xdr:cNvSpPr txBox="1"/>
          </xdr:nvSpPr>
          <xdr:spPr>
            <a:xfrm>
              <a:off x="9843118" y="123263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7A89B0D3-6C52-489B-979B-1DA94EF74C21}"/>
                </a:ext>
              </a:extLst>
            </xdr:cNvPr>
            <xdr:cNvSpPr txBox="1"/>
          </xdr:nvSpPr>
          <xdr:spPr>
            <a:xfrm>
              <a:off x="3043826" y="123283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7A89B0D3-6C52-489B-979B-1DA94EF74C21}"/>
                </a:ext>
              </a:extLst>
            </xdr:cNvPr>
            <xdr:cNvSpPr txBox="1"/>
          </xdr:nvSpPr>
          <xdr:spPr>
            <a:xfrm>
              <a:off x="3043826" y="123283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0F77D8F4-2B39-4971-B53A-056A6AD10D42}"/>
                </a:ext>
              </a:extLst>
            </xdr:cNvPr>
            <xdr:cNvSpPr txBox="1"/>
          </xdr:nvSpPr>
          <xdr:spPr>
            <a:xfrm>
              <a:off x="3030070" y="127568324"/>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19" name="TextBox 18">
              <a:extLst>
                <a:ext uri="{FF2B5EF4-FFF2-40B4-BE49-F238E27FC236}">
                  <a16:creationId xmlns:a16="http://schemas.microsoft.com/office/drawing/2014/main" id="{0F77D8F4-2B39-4971-B53A-056A6AD10D42}"/>
                </a:ext>
              </a:extLst>
            </xdr:cNvPr>
            <xdr:cNvSpPr txBox="1"/>
          </xdr:nvSpPr>
          <xdr:spPr>
            <a:xfrm>
              <a:off x="3030070" y="127568324"/>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5D714932-48E8-4546-9FC0-5EF498E79A8B}"/>
                </a:ext>
              </a:extLst>
            </xdr:cNvPr>
            <xdr:cNvSpPr txBox="1"/>
          </xdr:nvSpPr>
          <xdr:spPr>
            <a:xfrm>
              <a:off x="3068732" y="13453446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5D714932-48E8-4546-9FC0-5EF498E79A8B}"/>
                </a:ext>
              </a:extLst>
            </xdr:cNvPr>
            <xdr:cNvSpPr txBox="1"/>
          </xdr:nvSpPr>
          <xdr:spPr>
            <a:xfrm>
              <a:off x="3068732" y="13453446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3BAD274-A520-4BE9-A041-4820180A421A}"/>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C3BAD274-A520-4BE9-A041-4820180A421A}"/>
                </a:ext>
              </a:extLst>
            </xdr:cNvPr>
            <xdr:cNvSpPr txBox="1"/>
          </xdr:nvSpPr>
          <xdr:spPr>
            <a:xfrm>
              <a:off x="304323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5A6075B-6210-4FD8-A4A7-641A2FE7053A}"/>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5A6075B-6210-4FD8-A4A7-641A2FE7053A}"/>
                </a:ext>
              </a:extLst>
            </xdr:cNvPr>
            <xdr:cNvSpPr txBox="1"/>
          </xdr:nvSpPr>
          <xdr:spPr>
            <a:xfrm>
              <a:off x="304323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DB8ED38-C508-4662-AE25-30A4D070E717}"/>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DDB8ED38-C508-4662-AE25-30A4D070E717}"/>
                </a:ext>
              </a:extLst>
            </xdr:cNvPr>
            <xdr:cNvSpPr txBox="1"/>
          </xdr:nvSpPr>
          <xdr:spPr>
            <a:xfrm>
              <a:off x="305276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09B9A84-8D63-4D42-8E69-97D8E0971359}"/>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209B9A84-8D63-4D42-8E69-97D8E0971359}"/>
                </a:ext>
              </a:extLst>
            </xdr:cNvPr>
            <xdr:cNvSpPr txBox="1"/>
          </xdr:nvSpPr>
          <xdr:spPr>
            <a:xfrm>
              <a:off x="293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36E302B-3653-4F60-8721-4795AF1F0EA9}"/>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A36E302B-3653-4F60-8721-4795AF1F0EA9}"/>
                </a:ext>
              </a:extLst>
            </xdr:cNvPr>
            <xdr:cNvSpPr txBox="1"/>
          </xdr:nvSpPr>
          <xdr:spPr>
            <a:xfrm>
              <a:off x="305276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A9C8A56A-26D4-4DD7-BDCE-56A6CB819250}"/>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A9C8A56A-26D4-4DD7-BDCE-56A6CB819250}"/>
                </a:ext>
              </a:extLst>
            </xdr:cNvPr>
            <xdr:cNvSpPr txBox="1"/>
          </xdr:nvSpPr>
          <xdr:spPr>
            <a:xfrm>
              <a:off x="20435887"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120CCEF-A1E9-4C5D-A955-FC24C04ECF5D}"/>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120CCEF-A1E9-4C5D-A955-FC24C04ECF5D}"/>
                </a:ext>
              </a:extLst>
            </xdr:cNvPr>
            <xdr:cNvSpPr txBox="1"/>
          </xdr:nvSpPr>
          <xdr:spPr>
            <a:xfrm>
              <a:off x="20435887"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2A628DE6-5D70-4FD9-B839-347D37FAFA53}"/>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2A628DE6-5D70-4FD9-B839-347D37FAFA53}"/>
                </a:ext>
              </a:extLst>
            </xdr:cNvPr>
            <xdr:cNvSpPr txBox="1"/>
          </xdr:nvSpPr>
          <xdr:spPr>
            <a:xfrm>
              <a:off x="20445412"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6344543A-5B06-4D17-9A77-C85163B2EE02}"/>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6344543A-5B06-4D17-9A77-C85163B2EE02}"/>
                </a:ext>
              </a:extLst>
            </xdr:cNvPr>
            <xdr:cNvSpPr txBox="1"/>
          </xdr:nvSpPr>
          <xdr:spPr>
            <a:xfrm>
              <a:off x="203311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8D0B41C-A989-43B5-8959-CAD2DFA5554F}"/>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68D0B41C-A989-43B5-8959-CAD2DFA5554F}"/>
                </a:ext>
              </a:extLst>
            </xdr:cNvPr>
            <xdr:cNvSpPr txBox="1"/>
          </xdr:nvSpPr>
          <xdr:spPr>
            <a:xfrm>
              <a:off x="20445412"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77B5A7C-2CF0-4E04-8469-DB74C9127134}"/>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D77B5A7C-2CF0-4E04-8469-DB74C9127134}"/>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FA3C4AA-0622-476A-801F-67E5ED0A8B7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FA3C4AA-0622-476A-801F-67E5ED0A8B7B}"/>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C2289E1E-A6A3-4997-8514-B40D35FEA7AC}"/>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5BF93FD9-4705-4A06-8A1F-BAD45E310410}"/>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DBB6B5C7-5CAA-4BFF-A61D-07CAF22BE185}"/>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3E911D10-AAD3-4F42-B00A-D63292C98874}"/>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04FE8D7C-A6D5-4EA5-8944-E50C7D0376DF}"/>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3379D720-FC6A-46C8-A675-13D70C6493CC}"/>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EA7C1751-ABC5-4724-BD40-17B0D472B77A}"/>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808B7FD2-15FB-4364-9BE8-B289535BD8BE}"/>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449BDF05-98A3-4239-B1E0-3A8FFC94A118}"/>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C5F6320F-94CE-4BD3-9AE9-6377DC35F979}"/>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2B0F53BF-D448-4C71-B414-041EA28917C9}"/>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2A55BB39-3709-423B-AE8A-546B321E69E2}"/>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16368279-10CB-4E94-82B8-4AC6905D956D}"/>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4B0AB6DD-9565-48EF-9015-B999019A2C52}"/>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DEC723B-F9EE-4D3E-8A20-25B48E516599}"/>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0E0143E9-636F-4EF8-B72F-B3BF272063E2}"/>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F23606D1-299C-404D-B91A-D9685A68C4D2}"/>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5B437FCD-B2C0-4072-A7C2-4ED618529C10}"/>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0A6FF585-F57E-4E2F-9075-3D792F7335F3}"/>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AA549361-5858-46CB-9BCB-C30B63DA2D41}"/>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1F487569-9FC3-48AB-98A8-A9E9266A78E3}"/>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102F1F91-0104-4710-8459-8F13FF150983}"/>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5482F1A4-0433-42A4-BC5B-343042D2467D}"/>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BFB28957-B474-4801-92F4-BE675E43E5FE}"/>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34D54994-51B9-4B4A-94B9-F27B83644E69}"/>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9FB74E69-9F2D-4E6A-927A-11A2981A19E1}"/>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0D667FDA-AD51-4DB8-BBEC-470A186F4451}"/>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C5BAD5A3-A51E-4289-9EC1-38FDAD546A13}"/>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1DF36FC8-0B11-42E9-96B3-645B7A3DC0A4}"/>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4896581B-CCA7-4B7C-AC52-1A0E46E65E5E}"/>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7DB0D1C7-403A-48D3-9E23-6AD13AFE03B2}"/>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D2914793-41C2-4B11-92C8-4D7A6B437BA1}"/>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E8B1FD5C-693A-4E89-8B39-3F22416FC7A2}"/>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6614D17E-3DFE-435F-9223-7F5523D8DB16}"/>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CFA13344-846A-4F63-B35C-651D0F6AB6BF}"/>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93D1D13B-D2D7-4F62-8FCB-35FC3128867B}"/>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D5CEE242-44A3-4D2A-9A6D-7F6CCF92775E}"/>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02F6D2-2FA4-4318-9CBC-6DBCF75976EB}" name="Table_Input_InorganicFertiliser_Brands" displayName="Table_Input_InorganicFertiliser_Brands" ref="D11:X16" headerRowDxfId="431" dataDxfId="430" totalsRowDxfId="429">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5FE0E626-E491-47C9-81AB-E50F5679597B}" name="Product (select)" dataDxfId="428" totalsRowDxfId="427" dataCellStyle="Input select"/>
    <tableColumn id="23" xr3:uid="{D0A6E639-97AE-4EDC-92BA-11FEBC1E64FC}" name="Amount applied per hectare" totalsRowFunction="custom" dataDxfId="426" totalsRowDxfId="425">
      <totalsRowFormula>SUM(Table_Input_InorganicFertiliser_Brands[[#Headers],[#Data],[Amount applied per hectare]])</totalsRowFormula>
    </tableColumn>
    <tableColumn id="12" xr3:uid="{DD3FBEFD-C40D-43FC-B59B-8C756FE3B130}" name="Application unit" dataDxfId="424" totalsRowDxfId="423" dataCellStyle="Input number 2 decimal places"/>
    <tableColumn id="9" xr3:uid="{23FEF630-9654-4195-9801-8ED729395142}" name="Density" dataDxfId="422" totalsRowDxfId="421" dataCellStyle="Input number 2 decimal places"/>
    <tableColumn id="6" xr3:uid="{CB87C640-E588-4193-95C0-110F3357F044}" name="Application area (ha)" dataDxfId="420" totalsRowDxfId="419">
      <calculatedColumnFormula>X_Cell_Fertiliser_AreaUnderCropping</calculatedColumnFormula>
    </tableColumn>
    <tableColumn id="1" xr3:uid="{AFB4AC36-93B2-4EE5-BBE5-74FEF4A11A8E}" name="Total applied (kg)" dataDxfId="418" totalsRowDxfId="41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E5C9510B-D8AF-4AC1-8FD0-9FA6ECDFF974}" name="Ingredient 1" dataDxfId="416" totalsRowDxfId="415" dataCellStyle="Input number general calculated"/>
    <tableColumn id="4" xr3:uid="{653D106B-FE58-41C7-BECF-AAB8262532AC}" name="Ingredient 1 percent" dataDxfId="414" totalsRowDxfId="413" dataCellStyle="Input number general calculated"/>
    <tableColumn id="7" xr3:uid="{01D3B39C-A3E4-4C6F-8D2B-A04E383C74F5}" name="Ingredient 2" dataDxfId="412" dataCellStyle="Input number general calculated"/>
    <tableColumn id="8" xr3:uid="{769CBF06-C274-4628-9BAA-BBEC25091342}" name="Ingredient 2 percent" dataDxfId="411" totalsRowDxfId="410" dataCellStyle="Input number general calculated"/>
    <tableColumn id="10" xr3:uid="{36BD510F-F72C-4B97-9A73-B63079F0DFC6}" name="Ingredient 3" dataDxfId="409" totalsRowDxfId="408" dataCellStyle="Input number general calculated"/>
    <tableColumn id="11" xr3:uid="{B334A4B2-E842-4351-8D42-4F9178A2EA7D}" name="Ingredient 3 percent" dataDxfId="407" totalsRowDxfId="406" dataCellStyle="Input number general calculated"/>
    <tableColumn id="13" xr3:uid="{EE2D7286-D358-46D3-9525-5E18B9E73A2A}" name="Ingredient 4" dataDxfId="405" totalsRowDxfId="404" dataCellStyle="Input number general calculated"/>
    <tableColumn id="14" xr3:uid="{FA622B41-0C97-4544-A741-8879EB90C81A}" name="Ingredient 4 percent" dataDxfId="403" dataCellStyle="Input number general calculated"/>
    <tableColumn id="16" xr3:uid="{B4215002-1B54-4A72-81B6-78CADB126CD9}" name="Ingredient 5" dataDxfId="402" dataCellStyle="Input number general calculated"/>
    <tableColumn id="17" xr3:uid="{B8A835C7-08CA-439C-AB4C-0D8E4809198F}" name="Ingredient 5 percent" dataDxfId="401" dataCellStyle="Input number general calculated"/>
    <tableColumn id="19" xr3:uid="{2A55494B-DA1F-46CF-BB64-9754056BA7BA}" name="Ingredient 6" dataDxfId="400" dataCellStyle="Input number general calculated"/>
    <tableColumn id="20" xr3:uid="{E733E534-8AAD-4369-98DF-D2B9270C4A13}" name="Ingredient 6 percent" dataDxfId="399" dataCellStyle="Input number general calculated"/>
    <tableColumn id="5" xr3:uid="{4CCEDC96-AB20-43C0-89B0-C28DE1A472E6}" name="N application rate (kg/ha)" dataDxfId="398" totalsRowDxfId="397" dataCellStyle="Input number general calculated"/>
    <tableColumn id="15" xr3:uid="{DFF77F2C-6C4E-48AB-8B11-E6C4FE3D2BA2}" name="Urea source" dataDxfId="396" totalsRowDxfId="395" dataCellStyle="Input number general calculated"/>
    <tableColumn id="18" xr3:uid="{15A05943-A8FC-47B8-BFDD-88F67016F042}" name="Ammonia source" dataDxfId="394" totalsRowDxfId="39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5124373-7E15-411F-AC19-C527C5A1FAD0}" name="Table_Input_InorganicFertiliser_Custom" displayName="Table_Input_InorganicFertiliser_Custom" ref="D19:R22" totalsRowShown="0" headerRowDxfId="392" dataDxfId="391">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DCBAA0C-7B79-4500-8EC1-1E6E7536F365}" name="Custom blend name" dataCellStyle="Input text"/>
    <tableColumn id="2" xr3:uid="{B998219F-EB93-4127-9355-3E3CBFA1B963}" name="Amount applied (kg / ha)" dataDxfId="390"/>
    <tableColumn id="3" xr3:uid="{EA1A6C72-A086-48AF-88FD-9C1946F179AF}" name="Application area (ha)" dataDxfId="389" dataCellStyle="Input number 2 decimal places">
      <calculatedColumnFormula>X_Cell_Fertiliser_AreaUnderCropping</calculatedColumnFormula>
    </tableColumn>
    <tableColumn id="4" xr3:uid="{66F9104B-E1C4-4146-95CD-822ABA87F079}" name="Total applied (kg)" dataDxfId="388" dataCellStyle="Input number general calculated">
      <calculatedColumnFormula>Table_Input_InorganicFertiliser_Custom[[#This Row],[Amount applied (kg / ha)]]*Table_Input_InorganicFertiliser_Custom[[#This Row],[Application area (ha)]]</calculatedColumnFormula>
    </tableColumn>
    <tableColumn id="5" xr3:uid="{A308E936-2D0D-4139-B045-BE845F591056}" name="Ingredient 1 (select)" dataDxfId="387" dataCellStyle="Input select"/>
    <tableColumn id="6" xr3:uid="{48708509-93B4-49FE-B483-23AE5A868904}" name="Ingredient 1 percent" dataDxfId="386"/>
    <tableColumn id="8" xr3:uid="{B187625F-4153-46A8-9ADC-A9363513C1C9}" name="Ingredient 2" dataDxfId="385" dataCellStyle="Input select"/>
    <tableColumn id="9" xr3:uid="{9AA1D0FA-A387-44CE-8584-AA3C1BB93910}" name="Ingredient 2 percent" dataDxfId="384"/>
    <tableColumn id="11" xr3:uid="{0B8FF5D9-9F1D-4528-AB1D-CB441B525337}" name="Ingredient 3" dataDxfId="383" dataCellStyle="Input select"/>
    <tableColumn id="12" xr3:uid="{78C53CE4-86FF-4951-9E7D-A1EE265FCC18}" name="Ingredient 3 percent" dataDxfId="382"/>
    <tableColumn id="14" xr3:uid="{A457A920-E22E-40E7-A096-1C3CD5F19AA9}" name="Ingredient 4" dataDxfId="381" dataCellStyle="Input select"/>
    <tableColumn id="15" xr3:uid="{7C67C76C-3D87-4D6C-A70B-EB5B401A3FC7}" name="Ingredient 4 percent" dataCellStyle="Input percent"/>
    <tableColumn id="7" xr3:uid="{6E892AA0-3961-44BA-8FCD-2D5FF1E92FBE}" name="N application rate (kg/ha)" dataDxfId="380" dataCellStyle="Input number general calculated"/>
    <tableColumn id="10" xr3:uid="{C505DA1F-B64B-4076-B783-B84E916ADC8B}" name="Urea source (Select)" dataCellStyle="Input select"/>
    <tableColumn id="13" xr3:uid="{F49426D5-AEA6-4D38-9315-4943C75B89A0}"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024FDD6-4493-48EF-9A21-927751E605C6}" name="Table_Input_Lime" displayName="Table_Input_Lime" ref="D30:K33" totalsRowShown="0" headerRowDxfId="379" dataDxfId="378"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FD83931-2525-439A-AC16-A0F5CDCBC685}" name="Product" dataDxfId="377"/>
    <tableColumn id="2" xr3:uid="{16FE3320-889A-46A2-99F9-75F4AA6C7DC2}" name="Amount applied (t/hectare)" dataDxfId="376"/>
    <tableColumn id="4" xr3:uid="{E447DC69-4EAD-42C1-9A83-45576225628A}" name="Application area (ha)" dataDxfId="375" dataCellStyle="Input number 2 decimal places">
      <calculatedColumnFormula>X_Cell_Fertiliser_AreaUnderCropping</calculatedColumnFormula>
    </tableColumn>
    <tableColumn id="3" xr3:uid="{B43C7E37-A201-49FF-B118-C4C93BD0C2D8}" name="Total amount applied (t)" dataDxfId="374" dataCellStyle="Input number general calculated">
      <calculatedColumnFormula>IFERROR(Table_Input_Lime[[#This Row],[Amount applied (t/hectare)]]*Table_Input_Lime[[#This Row],[Application area (ha)]], 0)</calculatedColumnFormula>
    </tableColumn>
    <tableColumn id="6" xr3:uid="{834BFAFE-7E6B-4F28-97A4-CCC7836032C0}" name="Percent Lime CaCO3" dataDxfId="373"/>
    <tableColumn id="8" xr3:uid="{458972AA-7B3F-4DA9-8A5A-CE9D5CC37A15}" name="Percent Dolomite CaMg(CO3)2" dataDxfId="372"/>
    <tableColumn id="7" xr3:uid="{9C256D19-059F-4F90-911C-423BFC835568}" name="Percent Gypsum" dataDxfId="371"/>
    <tableColumn id="10" xr3:uid="{DB892B90-DAC1-4F7F-8E6A-3490997D5D14}" name="Total" dataDxfId="37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89CDD25-1524-4FE1-A3DB-5C5654427BB7}" name="Table_Input_OrganicFertiliser" displayName="Table_Input_OrganicFertiliser" ref="D41:J44" totalsRowShown="0" headerRowDxfId="369" dataDxfId="368"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D4B5995-855C-4A9A-86AB-68AFDB8BF23D}" name="Organic fertiliser type (select)" dataDxfId="367" dataCellStyle="Input select"/>
    <tableColumn id="5" xr3:uid="{C645D6A2-1FE3-48C7-8A96-A17BA49E5DCA}" name="Percentage of N in fertiliser" dataDxfId="366"/>
    <tableColumn id="2" xr3:uid="{DA0B8ACF-5A2B-4F07-9013-274E9A6C7471}" name="Amount applied (kg/hectare)" dataDxfId="365"/>
    <tableColumn id="11" xr3:uid="{2A2EE0F9-89D9-41FE-9B69-C840F09CE15C}" name="Amount N applied (kg/hectare)" dataDxfId="364" dataCellStyle="Input number general calculated">
      <calculatedColumnFormula>Table_Input_OrganicFertiliser[[#This Row],[Amount applied (kg/hectare)]]*Table_Input_OrganicFertiliser[[#This Row],[Percentage of N in fertiliser]]</calculatedColumnFormula>
    </tableColumn>
    <tableColumn id="4" xr3:uid="{7682D247-C405-45E4-A50F-4B62635E763F}" name="Application area (ha)" dataDxfId="363" dataCellStyle="Input number 2 decimal places">
      <calculatedColumnFormula>X_Cell_Fertiliser_AreaUnderCropping</calculatedColumnFormula>
    </tableColumn>
    <tableColumn id="7" xr3:uid="{3CA06078-F82A-4B82-8FDF-0134895010A3}" name="Total organic fertliser applied" dataDxfId="362" dataCellStyle="Input number general calculated">
      <calculatedColumnFormula>Table_Input_OrganicFertiliser[[#This Row],[Amount applied (kg/hectare)]]*Table_Input_OrganicFertiliser[[#This Row],[Application area (ha)]]</calculatedColumnFormula>
    </tableColumn>
    <tableColumn id="3" xr3:uid="{3ABD5EEE-D334-4410-BEDB-4986724F5453}" name="Total nitrogen applied (kg)" dataDxfId="36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360A87FF-B80C-497C-A5D3-AE1AA622E9CD}" name="Table_Input_Fuel" displayName="Table_Input_Fuel" ref="D16:J21" totalsRowDxfId="36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57FBFD1B-4FDC-4D52-80D1-8948EC6BB356}" name="Fuel use (select)" totalsRowFunction="average" totalsRowDxfId="359" dataCellStyle="Input select" totalsRowCellStyle="Input select"/>
    <tableColumn id="3" xr3:uid="{DB17FE7B-65B0-4999-8A62-1A7016810438}" name="Fuel type (select)" totalsRowDxfId="358" dataCellStyle="Input select" totalsRowCellStyle="Input select"/>
    <tableColumn id="4" xr3:uid="{BAB90A9B-45F7-4060-B92B-28AA042B9B0A}" name="Amount purchased" totalsRowDxfId="357" totalsRowCellStyle="Content bold"/>
    <tableColumn id="6" xr3:uid="{DC644BE9-6809-4AC9-9669-25A6C27E2A3A}" name="Amount unit" totalsRowDxfId="356" dataCellStyle="Input number general calculated" totalsRowCellStyle="Input text calculated"/>
    <tableColumn id="5" xr3:uid="{2DFEB493-D421-4FD1-AF67-220C471082D8}" name="Percent consumed" totalsRowDxfId="355" totalsRowCellStyle="Input percent">
      <calculatedColumnFormula>1</calculatedColumnFormula>
    </tableColumn>
    <tableColumn id="1" xr3:uid="{5F950D79-DEC9-4791-9E4F-E0152E6DA012}" name="Amount consumed" totalsRowFunction="custom" totalsRowDxfId="354"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54A25D89-259F-4CD3-ADAB-8F41C97A07BD}" name="Amount consumed unit" totalsRowDxfId="353"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D360BE4-7CC0-458F-81F4-2FED06F07BE6}"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4416556-D378-4612-9010-DA37B27B5F9A}" name="Description"/>
    <tableColumn id="5" xr3:uid="{E67821DA-121C-4000-A96B-51F394D6AFE7}" name="Source (select)" dataCellStyle="Input select"/>
    <tableColumn id="2" xr3:uid="{21A4669E-057F-421A-9EC9-9DFCDB31E77E}" name="Generation date" dataDxfId="352"/>
    <tableColumn id="3" xr3:uid="{96781803-9880-4BD1-8EE5-DCE4B4D73194}" name="Number of certificates"/>
    <tableColumn id="4" xr3:uid="{4E853F91-364E-4E73-95CC-A857B701580D}" name="MWh" dataCellStyle="Input number general calculated">
      <calculatedColumnFormula>Table_Input_RECSurrendered[[#This Row],[Number of certificates]]</calculatedColumnFormula>
    </tableColumn>
    <tableColumn id="7" xr3:uid="{6C06A4CA-6E1D-4388-BC3C-007C478C44A1}"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E4D323E-55FB-4BA1-811B-F5388BCA9D37}"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CB81ACDB-3D65-4584-96D1-3C6CD03E770C}" name="Description"/>
    <tableColumn id="5" xr3:uid="{FB3B58D3-6E81-4B16-8BAB-6D48A9020812}" name="Source" dataCellStyle="Input text calculated">
      <calculatedColumnFormula>"Issued for generated electricity"</calculatedColumnFormula>
    </tableColumn>
    <tableColumn id="2" xr3:uid="{D0F5F609-DAA3-4CAF-8882-287164591147}" name="Generation date" dataDxfId="351"/>
    <tableColumn id="3" xr3:uid="{45E0D218-B9F7-416B-A074-3FD588485559}" name="Number of certificates"/>
    <tableColumn id="4" xr3:uid="{C5CBECBC-067F-498D-9DDA-43832A6E2D5C}" name="MWh" dataCellStyle="Input number general calculated">
      <calculatedColumnFormula>Table_Input_RECConsumedByEntity[[#This Row],[Number of certificates]]</calculatedColumnFormula>
    </tableColumn>
    <tableColumn id="7" xr3:uid="{E4242F84-D151-449D-A97E-4088E5CF9C73}"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49C010D-9612-4308-AA2C-C2EF219FC5AA}"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9FF28583-F07D-4A27-920C-6DE4C5E84EDA}" name="Product name" dataCellStyle="Input text"/>
    <tableColumn id="1" xr3:uid="{6AB7B532-E440-481A-B9CB-F0800C5B44B8}" name="Type (select)" dataCellStyle="Input select"/>
    <tableColumn id="2" xr3:uid="{45681B85-124F-445A-8C88-1A0E61204B9F}" name="Quantity purchased (kg)" dataCellStyle="Input number general"/>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E535FB9-9A87-4540-8040-FF71E2967178}" name="Table_Input_Packaging" displayName="Table_Input_Packaging" ref="D92:H102" totalsRowShown="0" headerRowDxfId="350"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5CB716CB-49B4-44A2-8005-947A53274E83}" name="Packaging name"/>
    <tableColumn id="3" xr3:uid="{69400F4D-3502-4041-BB43-A18F263E9ACD}" name="Quantity purchased" dataDxfId="349" dataCellStyle="Input number general"/>
    <tableColumn id="2" xr3:uid="{26156D20-CD60-4484-947C-07955DBB9FCE}" name="Primary material" dataCellStyle="Input select"/>
    <tableColumn id="4" xr3:uid="{1DF23342-D31D-4F5B-988C-3A0117E44770}" name="Weight per unit (kg)" dataCellStyle="Input number general"/>
    <tableColumn id="6" xr3:uid="{BE65F45B-2D77-4114-993D-844EF772C86B}"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9AAC5C9D-6BD5-47DE-8F41-DD8FC9B6D65A}" name="Table_Input_Pesticides" displayName="Table_Input_Pesticides" ref="D10:R20" totalsRowShown="0" headerRowDxfId="348">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8DAAC8A-EE2A-42F2-9D1E-4AFE220EBDE5}" name="Product name"/>
    <tableColumn id="2" xr3:uid="{4A7A5116-34D2-41A5-8137-BC64D5166489}" name="Amount applied per ha"/>
    <tableColumn id="7" xr3:uid="{202AB61C-FEB3-42E6-A2B0-352C55456AD6}" name="Application unit (select)" dataCellStyle="Input select"/>
    <tableColumn id="6" xr3:uid="{A15C2962-A4B8-4139-A96C-DD31F237D242}" name="Application area (ha)" dataCellStyle="Input number general"/>
    <tableColumn id="3" xr3:uid="{C4A6CCF0-8580-402C-83FA-C0BB6E3D6199}" name="Total applied" dataCellStyle="Input number general calculated">
      <calculatedColumnFormula>Table_Input_Pesticides[[#This Row],[Amount applied per ha]]*Table_Input_Pesticides[[#This Row],[Application area (ha)]]</calculatedColumnFormula>
    </tableColumn>
    <tableColumn id="5" xr3:uid="{AFACF5DA-F840-4CA1-9131-B83F6751E1C4}" name="Constituent unit (select)" dataCellStyle="Input select"/>
    <tableColumn id="4" xr3:uid="{7910D3B2-3CBD-4683-93B9-92206FDDC7AF}" name="Active ingredient 1 (select)" dataCellStyle="Input select"/>
    <tableColumn id="8" xr3:uid="{B68FFBA3-583C-4BDD-A0EA-22A1D2AB4071}" name="Active ingredient 1 amount" dataCellStyle="Input number general"/>
    <tableColumn id="16" xr3:uid="{4E7193EF-6577-4DB4-878D-550371D9F7AD}"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CBA9AB45-993B-4722-8172-DCBD0FC3B170}" name="Active ingredient 2 (select)" dataCellStyle="Input select"/>
    <tableColumn id="11" xr3:uid="{464F096B-F3C2-4969-A342-772E63DD84E2}" name="Active ingredient 2 amount" dataCellStyle="Input number general"/>
    <tableColumn id="17" xr3:uid="{49E10BDB-4D87-4C15-8C17-A12984F63863}"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9BB557FD-E69C-4736-A17D-4D12C497E866}" name="Active ingredient 3 (select)" dataCellStyle="Input select"/>
    <tableColumn id="14" xr3:uid="{7E8FE608-DE43-4830-8077-3BE78D0237A2}" name="Active ingredient 3 amount" dataCellStyle="Input number general"/>
    <tableColumn id="18" xr3:uid="{E075482E-ED24-4A7A-BEA7-1A7F104EB049}"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F5EAE807-4979-417C-9019-5F08963A57C0}"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8AE53087-AC17-424C-84B8-3BE3CDE98C92}" name="Product name" dataCellStyle="Input text"/>
    <tableColumn id="1" xr3:uid="{A3FD1254-ECC5-4586-B24F-60AAD2161664}" name="Type (select)" dataDxfId="347" dataCellStyle="Input select"/>
    <tableColumn id="2" xr3:uid="{F6C3D42E-A6B0-48A3-89F9-4891D4D83C0C}" name="Number of head treated" dataDxfId="346"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BF3D08AE-E81B-4C7D-BFD4-17A3A1DF68DC}"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A4DA16C9-FBD3-4639-9F4C-35A36B003416}" name="Product / service name" dataCellStyle="Input text"/>
    <tableColumn id="2" xr3:uid="{1774EB81-06D4-42EE-8828-B5576077B8EF}" name="Amount" dataCellStyle="Input number general"/>
    <tableColumn id="3" xr3:uid="{D6D5AE62-62A1-4AA9-A431-B83CD5433CBC}"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42B89998-8F6E-40FC-8ADA-D1152F3E5762}"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3C978D2-78CA-40D0-8DCC-73AB922E7401}" name="Feed blend name"/>
    <tableColumn id="2" xr3:uid="{5FFEEA98-A5FE-4E75-8921-11DE510EF87A}" name="Amount fed (kg)"/>
    <tableColumn id="4" xr3:uid="{02505E31-184D-426C-93D4-B16607B7F8AE}" name="Ingredient 1 (select)" dataCellStyle="Input select"/>
    <tableColumn id="3" xr3:uid="{396D4F1F-A223-4DC9-AB8C-90E3E62E89FB}" name="Ingredient 1 source region" dataCellStyle="Input select"/>
    <tableColumn id="5" xr3:uid="{8BB123B6-8CE9-42E1-B1DD-B5E3DA5004CC}" name="Ingredient 1 percent"/>
    <tableColumn id="6" xr3:uid="{C156BFBF-0969-4155-8C4D-AECDA1411ACD}" name="Ingredient 2 (select)" dataCellStyle="Input select"/>
    <tableColumn id="14" xr3:uid="{4F695BDA-70DF-41E2-BD41-56F1073F99B8}" name="Ingredient 2 source region" dataCellStyle="Input select"/>
    <tableColumn id="7" xr3:uid="{1EACC2EB-49CD-4780-B01D-48D1756C0CC7}" name="Ingredient 2 percent"/>
    <tableColumn id="8" xr3:uid="{766B1513-F4F0-47EB-8FEA-C873168860F3}" name="Ingredient 3 (select)" dataCellStyle="Input select"/>
    <tableColumn id="15" xr3:uid="{0FDAC7A5-6180-4343-8D44-3A08B20DB445}" name="Ingredient 3 source region" dataCellStyle="Input select"/>
    <tableColumn id="9" xr3:uid="{CA464BAE-E156-4C86-8411-3027B8CA711A}" name="Ingredient 3 percent"/>
    <tableColumn id="10" xr3:uid="{F1DB2743-C28E-458E-B58A-DDF9779175F1}" name="Ingredient 4 (select)" dataCellStyle="Input select"/>
    <tableColumn id="16" xr3:uid="{0EB92786-1D82-49A0-94F8-A38D95E5C06F}" name="Ingredient 4 source region" dataCellStyle="Input select"/>
    <tableColumn id="11" xr3:uid="{540631BA-7D74-4257-8EA8-88A14E92DD23}" name="Ingredient 4 percen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21B9E1E1-ED6A-4CF7-B60A-0F0B9908C372}"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687684BB-5165-4EE6-9C8C-CEAFF8B5880F}" name="Service provider / contractor" dataCellStyle="Input text"/>
    <tableColumn id="4" xr3:uid="{177D18A4-F629-485B-A95B-043E20DCE193}" name="Activity" dataCellStyle="Input text"/>
    <tableColumn id="2" xr3:uid="{A71DE659-1077-409E-A8AA-A7575241DE4C}" name="Total amount" dataCellStyle="Input number general"/>
    <tableColumn id="3" xr3:uid="{2DDDE161-E565-4B35-A184-60101ED3B968}" name="Amount unit" dataCellStyle="Input select"/>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EC24727C-8AA0-44AB-8E30-0755E157F5EC}"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E4CE6DE2-2D3F-49D1-82F6-30D51C7A8523}" name="Grow media type" dataCellStyle="Input text"/>
    <tableColumn id="2" xr3:uid="{D5538019-15B8-48C4-A2E7-D4E9F73404A2}" name="Total amount" dataCellStyle="Input number general"/>
    <tableColumn id="3" xr3:uid="{88D97F7E-1F3D-4923-98E8-0E5A5001E6DF}" name="Amount uni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82C6DCD6-83A2-47C7-B442-A3D4F6FEAB1E}"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3291DC42-7746-4C5C-92C9-D0656762F582}" name="Route name"/>
    <tableColumn id="2" xr3:uid="{734BC574-9078-4785-BCA8-F757FE7B9760}" name="Freight type (select)" dataCellStyle="Input select"/>
    <tableColumn id="3" xr3:uid="{080CA15A-D51A-47C3-B58E-2D058FF6BCB9}" name="Route distance (km)"/>
    <tableColumn id="4" xr3:uid="{1245C63C-6B33-421E-A338-F72A5750D475}" name="Average weight of freight per trip (t)"/>
    <tableColumn id="5" xr3:uid="{D79FA4A6-524F-473B-8D1E-B3CD8B9175B7}" name="Number of trips taken"/>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DE085159-24F9-4F81-844A-878097CEB1D1}"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36DE100F-B43D-4A7A-8D1B-A3A0F425E535}" name="Route name"/>
    <tableColumn id="2" xr3:uid="{24E3FD2A-2224-4720-9D5E-B25A8ECF2970}" name="Freight type (select)" dataCellStyle="Input select"/>
    <tableColumn id="3" xr3:uid="{17BDF2AC-7CAF-485A-94F3-CC94EBDE46BF}" name="Route distance (km)"/>
    <tableColumn id="4" xr3:uid="{672FAFA7-7B34-4939-9F6C-61EB8FFD1C2C}" name="Average weight of freight per trip (t)"/>
    <tableColumn id="5" xr3:uid="{33598636-8CCB-4A9C-9A76-BD15551BD611}"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666FA1AB-3363-4CB1-891D-6FCA68EACC40}"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C3B1181-245D-49F5-A083-402195C0FAFA}" name="Crop type">
      <calculatedColumnFormula array="1">Common_InputFunctions.Utility_DisplayArrayInTable(Agresidue_SourceData.CropAttributes_Data(),Table_SourceData_CropAttributes[[#Headers],[Crop type]], -1)</calculatedColumnFormula>
    </tableColumn>
    <tableColumn id="2" xr3:uid="{0AAFEE6C-638C-4329-AA52-D966B2C6B393}" name="Residue: Crop ratio">
      <calculatedColumnFormula array="1">Common_InputFunctions.Utility_DisplayArrayInTable(Agresidue_SourceData.CropAttributes_Data(),Table_SourceData_CropAttributes[[#Headers],[Crop type]], -1)</calculatedColumnFormula>
    </tableColumn>
    <tableColumn id="3" xr3:uid="{07B673A2-0108-4F0B-9B5A-BD26E168C7FE}" name="Below-ground: above-ground residue ratio">
      <calculatedColumnFormula array="1">Common_InputFunctions.Utility_DisplayArrayInTable(Agresidue_SourceData.CropAttributes_Data(),Table_SourceData_CropAttributes[[#Headers],[Crop type]], -1)</calculatedColumnFormula>
    </tableColumn>
    <tableColumn id="4" xr3:uid="{A10AD7EE-0672-4B3B-AB99-5239C3BAC95C}" name="Dry matter content">
      <calculatedColumnFormula array="1">Common_InputFunctions.Utility_DisplayArrayInTable(Agresidue_SourceData.CropAttributes_Data(),Table_SourceData_CropAttributes[[#Headers],[Crop type]], -1)</calculatedColumnFormula>
    </tableColumn>
    <tableColumn id="5" xr3:uid="{24B0548E-E82F-4C3E-8DF0-D3645EB316FC}" name="Carbon fraction in dry matter">
      <calculatedColumnFormula array="1">Common_InputFunctions.Utility_DisplayArrayInTable(Agresidue_SourceData.CropAttributes_Data(),Table_SourceData_CropAttributes[[#Headers],[Crop type]], -1)</calculatedColumnFormula>
    </tableColumn>
    <tableColumn id="6" xr3:uid="{46713850-BAD9-47A7-9FB1-B691F96607E0}" name="N content above-ground">
      <calculatedColumnFormula array="1">Common_InputFunctions.Utility_DisplayArrayInTable(Agresidue_SourceData.CropAttributes_Data(),Table_SourceData_CropAttributes[[#Headers],[Crop type]], -1)</calculatedColumnFormula>
    </tableColumn>
    <tableColumn id="7" xr3:uid="{116B4B78-9DCA-4685-9385-9653AABA3FB3}" name="N content below-ground">
      <calculatedColumnFormula array="1">Common_InputFunctions.Utility_DisplayArrayInTable(Agresidue_SourceData.CropAttributes_Data(),Table_SourceData_CropAttributes[[#Headers],[Crop type]], -1)</calculatedColumnFormula>
    </tableColumn>
    <tableColumn id="8" xr3:uid="{94B20FFF-AE88-4F8C-BF06-34AA9D3AFABB}"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70380F38-7026-4687-9929-0AEF16306CDC}"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281F3ECF-207D-4402-AE34-405875455FF7}" name="Table76" displayName="Table76" ref="D73:F89" totalsRowShown="0">
  <autoFilter ref="D73:F89" xr:uid="{7CD0B032-9881-4EF1-81E3-483C7C16D9D0}">
    <filterColumn colId="0" hiddenButton="1"/>
    <filterColumn colId="1" hiddenButton="1"/>
    <filterColumn colId="2" hiddenButton="1"/>
  </autoFilter>
  <tableColumns count="3">
    <tableColumn id="1" xr3:uid="{C9F4E399-2A0C-4826-91AD-98224043DAB1}" name="Crop type c">
      <calculatedColumnFormula array="1">Common_InputFunctions.Utility_DisplayArrayInTable(Agresidue_SourceData.CropFractionRemoved_Data(), Table76[[#Headers],[Crop type c]], 0)</calculatedColumnFormula>
    </tableColumn>
    <tableColumn id="2" xr3:uid="{12962150-9A03-47D9-8277-816E3A4AF284}" name="State" dataDxfId="345">
      <calculatedColumnFormula array="1">Common_InputFunctions.Utility_DisplayArrayInTable(Agresidue_SourceData.CropFractionRemoved_Data(), Table76[[#Headers],[Crop type c]], 0)</calculatedColumnFormula>
    </tableColumn>
    <tableColumn id="3" xr3:uid="{7161E815-314B-45E5-951F-7CAEC4F33A72}" name="Fraction removed" dataDxfId="344">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F4C02FD9-09EE-4F2C-9FFC-702EB21D1838}" name="Table77" displayName="Table77" ref="D92:F235" totalsRowShown="0">
  <autoFilter ref="D92:F235" xr:uid="{1FA7CC86-1C1E-41FA-9AA1-AAD48AA2EEF0}">
    <filterColumn colId="0" hiddenButton="1"/>
    <filterColumn colId="1" hiddenButton="1"/>
    <filterColumn colId="2" hiddenButton="1"/>
  </autoFilter>
  <tableColumns count="3">
    <tableColumn id="1" xr3:uid="{5C4DAE63-24A2-48E5-824B-4A9C69A1C4E1}" name="Crop type c">
      <calculatedColumnFormula array="1">Common_InputFunctions.Utility_DisplayArrayInTable(Agresidue_SourceData.CropFractionRemoved_CustomisedData(), Table77[[#Headers],[Crop type c]], 0)</calculatedColumnFormula>
    </tableColumn>
    <tableColumn id="2" xr3:uid="{D6AC7A30-EB78-4A25-BF3D-FFFF5C93C34A}" name="State" dataDxfId="343">
      <calculatedColumnFormula array="1">Common_InputFunctions.Utility_DisplayArrayInTable(Agresidue_SourceData.CropFractionRemoved_CustomisedData(), Table77[[#Headers],[Crop type c]], 0)</calculatedColumnFormula>
    </tableColumn>
    <tableColumn id="3" xr3:uid="{2DC3520A-CEA1-45B4-B356-FF4F920C3937}" name="Fraction removed" dataDxfId="342">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D31F77E-D1A2-425B-B6F2-3B41B607BBF1}" name="Table_SourceData_N2OEFOrganicFert" displayName="Table_SourceData_N2OEFOrganicFert" ref="D43:E45" totalsRowShown="0" dataDxfId="341" dataCellStyle="Content bold">
  <autoFilter ref="D43:E45" xr:uid="{2270AB6D-D03A-4D71-95C0-00BA6BB02732}">
    <filterColumn colId="0" hiddenButton="1"/>
    <filterColumn colId="1" hiddenButton="1"/>
  </autoFilter>
  <tableColumns count="2">
    <tableColumn id="1" xr3:uid="{53CE265A-DB24-49D8-AF29-27D452F64C3E}" name="Climate zone type i" dataDxfId="340" dataCellStyle="Content bold">
      <calculatedColumnFormula array="1">Common_InputFunctions.Utility_DisplayArrayInTable(Agresidue_SourceData.N2OEFOrganicFertiliser_Data(), Table_SourceData_N2OEFOrganicFert[[#Headers],[Climate zone type i]], 0)</calculatedColumnFormula>
    </tableColumn>
    <tableColumn id="2" xr3:uid="{AEF97F65-F2EF-4EB0-8A6E-AB411A136B44}" name="EF i N2O" dataDxfId="339"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4746B514-9773-45B5-B627-A1A4847B9C17}" name="Table_SourceData_PastureAttributes" displayName="Table_SourceData_PastureAttributes" ref="D51:I56" totalsRowShown="0" dataDxfId="338"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339C4C33-7A44-4EC9-AB17-1E177CBB13AE}" name="Pasture type" dataDxfId="337" dataCellStyle="Content normal">
      <calculatedColumnFormula array="1">Common_InputFunctions.Utility_DisplayArrayInTable(Agresidue_SourceData.PastureAttributes_Data(), Table_SourceData_PastureAttributes[[#Headers],[Pasture type]], 0)</calculatedColumnFormula>
    </tableColumn>
    <tableColumn id="2" xr3:uid="{EF26CB0B-6D18-440B-8650-9EDC55C7CCDD}" name="Average Yield (t DM ha) Yp" dataDxfId="336" dataCellStyle="Content normal">
      <calculatedColumnFormula array="1">Common_InputFunctions.Utility_DisplayArrayInTable(Agresidue_SourceData.PastureAttributes_Data(), Table_SourceData_PastureAttributes[[#Headers],[Pasture type]], 0)</calculatedColumnFormula>
    </tableColumn>
    <tableColumn id="3" xr3:uid="{4415964D-3076-417E-B785-CDD246E13D8D}" name="Below-ground: above-ground residue ratio RBGp" dataDxfId="335" dataCellStyle="Content normal">
      <calculatedColumnFormula array="1">Common_InputFunctions.Utility_DisplayArrayInTable(Agresidue_SourceData.PastureAttributes_Data(), Table_SourceData_PastureAttributes[[#Headers],[Pasture type]], 0)</calculatedColumnFormula>
    </tableColumn>
    <tableColumn id="4" xr3:uid="{C4F6CE44-954B-4059-9F41-664E07F52DEA}" name="N content Above-ground NCAGp" dataDxfId="334" dataCellStyle="Content normal">
      <calculatedColumnFormula array="1">Common_InputFunctions.Utility_DisplayArrayInTable(Agresidue_SourceData.PastureAttributes_Data(), Table_SourceData_PastureAttributes[[#Headers],[Pasture type]], 0)</calculatedColumnFormula>
    </tableColumn>
    <tableColumn id="5" xr3:uid="{9E159300-1077-4B8F-8844-5F0EACCDB8B8}" name="N content Below-ground NCBGp" dataDxfId="333" dataCellStyle="Content normal">
      <calculatedColumnFormula array="1">Common_InputFunctions.Utility_DisplayArrayInTable(Agresidue_SourceData.PastureAttributes_Data(), Table_SourceData_PastureAttributes[[#Headers],[Pasture type]], 0)</calculatedColumnFormula>
    </tableColumn>
    <tableColumn id="6" xr3:uid="{E837987C-CC04-4340-A209-49A9B79A14E9}" name="Fraction of pasture yield that is removed FFODp" dataDxfId="332"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086A922-4D97-4B59-8D8A-AE286F8C37DC}"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26EC3289-C39E-46F6-ADAE-484F26A8F901}" name="Gas species">
      <calculatedColumnFormula array="1">Common_InputFunctions.Utility_DisplayArrayInTable(AgResidues_SourceData.BurningOfAgriculturalResiduesEFs_Data(), Table_SourceData_BurningResidueEFs[[#Headers],[Gas species]], 0)</calculatedColumnFormula>
    </tableColumn>
    <tableColumn id="2" xr3:uid="{C6F5971F-4316-442F-B4DD-229D4DDF9FDE}" name="Emission factor EFg (Gg element in species/ Gg element in fuel burnt)" dataDxfId="331" dataCellStyle="Content normal">
      <calculatedColumnFormula array="1">Common_InputFunctions.Utility_DisplayArrayInTable(AgResidues_SourceData.BurningOfAgriculturalResiduesEFs_Data(), Table_SourceData_BurningResidueEFs[[#Headers],[Gas species]], 0)</calculatedColumnFormula>
    </tableColumn>
    <tableColumn id="3" xr3:uid="{004BA784-E6F4-4922-9C21-6486971847ED}" name="Elemental to molecular mass conversion factor (Cg)" dataDxfId="330"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E0D4722D-3342-4218-A9AC-FA9C57E71486}" name="Table_SourceData_CropPurposeAndYields" displayName="Table_SourceData_CropPurposeAndYields" ref="D7:K10" totalsRowShown="0" headerRowDxfId="329">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02DF9B-9FA7-4A4E-8704-A4D88EDE6DE2}" name="Purpose">
      <calculatedColumnFormula array="1">Common_InputFunctions.Utility_DisplayArrayInTable(Agresidue_SourceData.CropPurposeAndYield_Data(), Table_SourceData_CropPurposeAndYields[[#Headers],[Purpose]], 0)</calculatedColumnFormula>
    </tableColumn>
    <tableColumn id="2" xr3:uid="{4069DA19-ED78-4DBD-9F94-D4F8E544A91A}" name="Per hectare unit">
      <calculatedColumnFormula array="1">Common_InputFunctions.Utility_DisplayArrayInTable(Agresidue_SourceData.CropPurposeAndYield_Data(), Table_SourceData_CropPurposeAndYields[[#Headers],[Purpose]], 0)</calculatedColumnFormula>
    </tableColumn>
    <tableColumn id="3" xr3:uid="{B4D158FD-37EB-438C-A5CC-BE7F3762CFBA}" name="harvest term">
      <calculatedColumnFormula array="1">Common_InputFunctions.Utility_DisplayArrayInTable(Agresidue_SourceData.CropPurposeAndYield_Data(), Table_SourceData_CropPurposeAndYields[[#Headers],[Purpose]], 0)</calculatedColumnFormula>
    </tableColumn>
    <tableColumn id="4" xr3:uid="{9634E20F-B198-4CEA-95E2-BAACF3FAD4BB}" name="harvest endpoint">
      <calculatedColumnFormula array="1">Common_InputFunctions.Utility_DisplayArrayInTable(Agresidue_SourceData.CropPurposeAndYield_Data(), Table_SourceData_CropPurposeAndYields[[#Headers],[Purpose]], 0)</calculatedColumnFormula>
    </tableColumn>
    <tableColumn id="5" xr3:uid="{C106766C-920F-4DDE-82D7-7AED7D3EB954}" name="Harvest uit">
      <calculatedColumnFormula array="1">Common_InputFunctions.Utility_DisplayArrayInTable(Agresidue_SourceData.CropPurposeAndYield_Data(), Table_SourceData_CropPurposeAndYields[[#Headers],[Purpose]], 0)</calculatedColumnFormula>
    </tableColumn>
    <tableColumn id="6" xr3:uid="{DF53CC83-88C5-4DFD-8083-1240929D7C46}" name="Yield note">
      <calculatedColumnFormula array="1">Common_InputFunctions.Utility_DisplayArrayInTable(Agresidue_SourceData.CropPurposeAndYield_Data(), Table_SourceData_CropPurposeAndYields[[#Headers],[Purpose]], 0)</calculatedColumnFormula>
    </tableColumn>
    <tableColumn id="8" xr3:uid="{66FF3016-3FAA-43FE-A85D-22B7B2B98E1E}" name="Residue crop ratio note">
      <calculatedColumnFormula array="1">Common_InputFunctions.Utility_DisplayArrayInTable(Agresidue_SourceData.CropPurposeAndYield_Data(), Table_SourceData_CropPurposeAndYields[[#Headers],[Purpose]], 0)</calculatedColumnFormula>
    </tableColumn>
    <tableColumn id="9" xr3:uid="{82C72943-ABC8-4672-BA02-2318D69E8235}"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402298A-8849-4DD1-900F-A243E0F78BBF}" name="Table_SourceData_Fertiliser_IrrigationMethods61" displayName="Table_SourceData_Fertiliser_IrrigationMethods61" ref="N21:N26" totalsRowShown="0">
  <autoFilter ref="N21:N26" xr:uid="{1AC5909E-E06C-4A79-81E9-C25A0B6D9E90}">
    <filterColumn colId="0" hiddenButton="1"/>
  </autoFilter>
  <tableColumns count="1">
    <tableColumn id="1" xr3:uid="{E2FBD406-C3E8-40CE-BC88-34266E18597B}" name="Irrigation method"/>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6B165F1-0A02-4ADB-B5A7-3DB62318CBF9}"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9570BC1C-BBDE-4C8B-89CB-055D2C05B80B}" name="Symbol">
      <calculatedColumnFormula array="1">Common_InputFunctions.Utility_DisplayArrayInTable(CommonLivestock_SourceData.SourceData_Livestock_Common_SymbolsMMS_Data(), Table_Data_MMSSymbols[[#Headers],[Symbol]], 0)</calculatedColumnFormula>
    </tableColumn>
    <tableColumn id="2" xr3:uid="{7CC02DC4-338D-470C-A2DE-6D139393D6F8}" name="Manure management system">
      <calculatedColumnFormula array="1">Common_InputFunctions.Utility_DisplayArrayInTable(CommonLivestock_SourceData.SourceData_Livestock_Common_SymbolsMMS_Data(), Table_Data_MMSSymbols[[#Headers],[Symbol]], 0)</calculatedColumnFormula>
    </tableColumn>
    <tableColumn id="3" xr3:uid="{CEC3C9D6-6F12-461D-9A68-93175AC2F619}"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9EE8C63F-77B8-45F0-BA81-FEC67336E3CD}" name="Table_SourceData_LivestockProduct_Beefcattle" displayName="Table_SourceData_LivestockProduct_Beefcattle" ref="D31:E39" totalsRowShown="0">
  <autoFilter ref="D31:E39" xr:uid="{953E8E36-CE90-4001-9CFA-9307A0C836A9}"/>
  <tableColumns count="2">
    <tableColumn id="1" xr3:uid="{F247B018-DE41-4E25-A31D-7FD2D9BBFEED}" name="Product">
      <calculatedColumnFormula array="1">Common_InputFunctions.Utility_DisplayArrayInTable(CommonLivestock_SourceData.SourceData_Livestock_Product_BeefCattle_Data(),Table_SourceData_LivestockProduct_Beefcattle[[#Headers],[Product]],0)</calculatedColumnFormula>
    </tableColumn>
    <tableColumn id="2" xr3:uid="{2EFB4C7F-D727-4EF0-91C3-BA371A971E36}" name="Source region" dataDxfId="328"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AB8242EE-66AA-4DB9-95CB-3480040A2E2D}" name="Table_SourceData_LivestockProduct_Sheep" displayName="Table_SourceData_LivestockProduct_Sheep" ref="D43:E50" totalsRowShown="0" dataDxfId="327" dataCellStyle="Content normal">
  <autoFilter ref="D43:E50" xr:uid="{995536B5-6CA5-4D7D-A704-9B6B595C2491}"/>
  <tableColumns count="2">
    <tableColumn id="1" xr3:uid="{B067CA00-548C-4D65-87BB-FA233B07EDF9}" name="Product" dataDxfId="326"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7B1960E5-7739-40A3-90A6-96D0A0634A1A}" name="Source region" dataDxfId="325"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36C54615-92B0-46C1-955C-40A7DFA4FA83}" name="Table_SourceData_LivestockProduct_Chickens" displayName="Table_SourceData_LivestockProduct_Chickens" ref="D54:E55" totalsRowShown="0" dataDxfId="324" dataCellStyle="Content normal">
  <autoFilter ref="D54:E55" xr:uid="{257D8456-031C-4EEF-A8C4-474F215C3208}"/>
  <tableColumns count="2">
    <tableColumn id="1" xr3:uid="{687DBE2C-1F07-43A2-BE60-7E4F6B59BB1D}" name="Product" dataDxfId="323"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9435B30D-2D5A-4FBB-9934-DC92B16EC66C}" name="Source region" dataDxfId="322"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67117996-A24F-48B7-87D3-FF88484357A4}" name="Table_SourceData_LivestockProduct_Dairycattle" displayName="Table_SourceData_LivestockProduct_Dairycattle" ref="D59:E60" totalsRowShown="0" dataDxfId="321" dataCellStyle="Content normal">
  <autoFilter ref="D59:E60" xr:uid="{71833C62-BA2B-4519-92E0-B189E393D12F}"/>
  <tableColumns count="2">
    <tableColumn id="1" xr3:uid="{E9754967-AD35-4182-8026-2528CE9DD779}" name="Product" dataDxfId="32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6AA9737E-4575-4FEE-A8C4-45CBC3C91A93}" name="Source region" dataDxfId="31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57151D87-322B-4128-997B-17C32EC90741}" name="Table_SourceData_LivestockProduct_Pigs" displayName="Table_SourceData_LivestockProduct_Pigs" ref="D64:E65" totalsRowShown="0" dataDxfId="318" dataCellStyle="Content normal">
  <autoFilter ref="D64:E65" xr:uid="{65FF5EF6-2A75-4137-9345-8328E2DA8F9C}"/>
  <tableColumns count="2">
    <tableColumn id="1" xr3:uid="{3E457DD0-420B-4F69-903B-E27B005F09ED}" name="Product" dataDxfId="317"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893E712-5125-41F5-98C8-415B4BA9C52F}" name="Source region" dataDxfId="316"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96952489-4B0C-41A4-B250-76AAB7B2F8D6}" name="Table_SourceData_ElectricityEFs" displayName="Table_SourceData_ElectricityEFs" ref="D9:F19" totalsRowShown="0" headerRowDxfId="315">
  <autoFilter ref="D9:F19" xr:uid="{3144A982-7A4D-4CF2-8790-1A30DAE3E0A4}">
    <filterColumn colId="0" hiddenButton="1"/>
    <filterColumn colId="1" hiddenButton="1"/>
    <filterColumn colId="2" hiddenButton="1"/>
  </autoFilter>
  <tableColumns count="3">
    <tableColumn id="1" xr3:uid="{AE8904DD-3A2E-4EEC-AA20-0C1826EE0978}"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41B8C91D-47F6-4D1E-81D5-C54D7732CC30}"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53C6FAAA-7A2A-4D4A-94F5-AE365E100947}"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B5EC477-1D49-433A-9C07-0710F78D580F}"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47C86D22-92AB-4370-B20B-0212FEA572F0}"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FD0F87FA-8B60-4F02-AF9C-4086CCF1BFDB}"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8A0FB045-C1DB-46CA-80C4-1A2AB8D2015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732B36C8-5561-4507-86E1-92CC3B6C2E90}"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3BD5370D-3BF3-4965-9AAA-3512E00EA4F6}"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BC6883F-F356-41ED-8F08-6B7AF97035BD}"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1E47CF41-57BA-4D9F-9129-8F42D913A637}"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3A9AFF66-96BA-4658-BD84-8B5681D01C0B}" name="FNinorganic f">
      <calculatedColumnFormula array="1">Common_InputFunctions.Utility_DisplayArrayInTable(Fertiliser_SourceData.Fertiliser_ChemicalCompoundElements_Data(),Table_Fertiliser_ChemicalCompounds[[#Headers],[Fertiliser type f]], 0)</calculatedColumnFormula>
    </tableColumn>
    <tableColumn id="3" xr3:uid="{A85CE175-A51D-48AB-BAF0-FAF39D44505B}" name="FU f">
      <calculatedColumnFormula array="1">Common_InputFunctions.Utility_DisplayArrayInTable(Fertiliser_SourceData.Fertiliser_ChemicalCompoundElements_Data(),Table_Fertiliser_ChemicalCompounds[[#Headers],[Fertiliser type f]], 0)</calculatedColumnFormula>
    </tableColumn>
    <tableColumn id="4" xr3:uid="{46FA4A47-BA14-4640-B83F-865D04D9F907}" name="Basis">
      <calculatedColumnFormula array="1">Common_InputFunctions.Utility_DisplayArrayInTable(Fertiliser_SourceData.Fertiliser_ChemicalCompoundElements_Data(),Table_Fertiliser_ChemicalCompounds[[#Headers],[Fertiliser type f]], 0)</calculatedColumnFormula>
    </tableColumn>
    <tableColumn id="5" xr3:uid="{0FCAC446-E00E-4901-99A1-FE87C14F27C2}"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2E4467FA-A468-4524-ABA0-9278B0BED3F9}"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7D3D3B-1DE9-4D0C-BDE6-B911B0D792F5}"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E963EA82-213E-497B-A097-D36925F34B45}" name="Include or Exclude" dataDxfId="314" totalsRowDxfId="313">
      <calculatedColumnFormula array="1">Common_InputFunctions.Utility_DisplayArrayInTable(Fertiliser_SourceData.Fertiliser_Products_Data1(),FertiliserProducts[[#Headers],[Include or Exclude]], -1)</calculatedColumnFormula>
    </tableColumn>
    <tableColumn id="2" xr3:uid="{7D800752-7281-4313-884D-C9AD8F096E1A}" name="Notes" dataDxfId="312" totalsRowDxfId="311">
      <calculatedColumnFormula array="1">Common_InputFunctions.Utility_DisplayArrayInTable(Fertiliser_SourceData.Fertiliser_Products_Data1(),FertiliserProducts[[#Headers],[Include or Exclude]], 0)</calculatedColumnFormula>
    </tableColumn>
    <tableColumn id="3" xr3:uid="{C7E648F5-361E-45BE-B8C3-1275B07FA040}" name="Company" dataDxfId="310" totalsRowDxfId="309">
      <calculatedColumnFormula array="1">Common_InputFunctions.Utility_DisplayArrayInTable(Fertiliser_SourceData.Fertiliser_Products_Data1(),FertiliserProducts[[#Headers],[Include or Exclude]], 0)</calculatedColumnFormula>
    </tableColumn>
    <tableColumn id="4" xr3:uid="{C995F2B4-9E03-4A1C-9757-179A67B39756}" name="Product name" dataDxfId="308" totalsRowDxfId="307">
      <calculatedColumnFormula array="1">Common_InputFunctions.Utility_DisplayArrayInTable(Fertiliser_SourceData.Fertiliser_Products_Data1(),FertiliserProducts[[#Headers],[Include or Exclude]], 0)</calculatedColumnFormula>
    </tableColumn>
    <tableColumn id="5" xr3:uid="{E7BE53D3-08AA-4310-BDB4-EC5D990D23AC}" name="Unit" dataDxfId="306" totalsRowDxfId="305">
      <calculatedColumnFormula array="1">Common_InputFunctions.Utility_DisplayArrayInTable(Fertiliser_SourceData.Fertiliser_Products_Data1(),FertiliserProducts[[#Headers],[Include or Exclude]], 0,4)</calculatedColumnFormula>
    </tableColumn>
    <tableColumn id="6" xr3:uid="{5951019A-4D31-4574-8430-1394FC9ADB8A}" name="Density / gravity" dataDxfId="304" totalsRowDxfId="303">
      <calculatedColumnFormula array="1">Common_InputFunctions.Utility_DisplayArrayInTable(Fertiliser_SourceData.Fertiliser_Products_Data1(),FertiliserProducts[[#Headers],[Include or Exclude]], 0,4)</calculatedColumnFormula>
    </tableColumn>
    <tableColumn id="7" xr3:uid="{CFE5AF21-4D64-4E78-9AC6-A213AB0A63FA}" name="Urea source" dataDxfId="302" totalsRowDxfId="301">
      <calculatedColumnFormula array="1">Common_InputFunctions.Utility_DisplayArrayInTable(Fertiliser_SourceData.Fertiliser_Products_Data1(),FertiliserProducts[[#Headers],[Include or Exclude]], 0,4)</calculatedColumnFormula>
    </tableColumn>
    <tableColumn id="8" xr3:uid="{D2ACF605-1470-46CB-BF13-5BCA79FF145A}" name="Ammonia source" dataDxfId="300" totalsRowDxfId="299">
      <calculatedColumnFormula array="1">Common_InputFunctions.Utility_DisplayArrayInTable(Fertiliser_SourceData.Fertiliser_Products_Data1(),FertiliserProducts[[#Headers],[Include or Exclude]], 0,4)</calculatedColumnFormula>
    </tableColumn>
    <tableColumn id="9" xr3:uid="{375F22A7-02DD-4D77-8CAE-A08F964D8B1F}" name="Ingredient 1" dataDxfId="298" totalsRowDxfId="297">
      <calculatedColumnFormula array="1">Common_InputFunctions.Utility_DisplayArrayInTable(Fertiliser_SourceData.Fertiliser_Products_Data1(),FertiliserProducts[[#Headers],[Include or Exclude]], 0,4)</calculatedColumnFormula>
    </tableColumn>
    <tableColumn id="10" xr3:uid="{08519E1E-9AB9-4150-9F5A-BB40DB5054DF}" name="Ingredient 1 percent" dataDxfId="296" totalsRowDxfId="295">
      <calculatedColumnFormula array="1">Common_InputFunctions.Utility_DisplayArrayInTable(Fertiliser_SourceData.Fertiliser_Products_Data1(),FertiliserProducts[[#Headers],[Include or Exclude]], 0,4)</calculatedColumnFormula>
    </tableColumn>
    <tableColumn id="11" xr3:uid="{3EF1B8FA-25B8-4CED-B5DE-F958D788B1B6}" name="Ingredient 2" dataDxfId="294" totalsRowDxfId="293">
      <calculatedColumnFormula array="1">Common_InputFunctions.Utility_DisplayArrayInTable(Fertiliser_SourceData.Fertiliser_Products_Data1(),FertiliserProducts[[#Headers],[Include or Exclude]], 0,4)</calculatedColumnFormula>
    </tableColumn>
    <tableColumn id="12" xr3:uid="{48A1AC21-40B7-4BDA-AA79-79F3F8D7AD24}" name="Ingredient 2 percent" dataDxfId="292" totalsRowDxfId="291">
      <calculatedColumnFormula array="1">Common_InputFunctions.Utility_DisplayArrayInTable(Fertiliser_SourceData.Fertiliser_Products_Data1(),FertiliserProducts[[#Headers],[Include or Exclude]], 0,4)</calculatedColumnFormula>
    </tableColumn>
    <tableColumn id="13" xr3:uid="{D74BCFD4-ACAE-47EA-B51F-B09FCB113DAA}" name="Ingredient 3" dataDxfId="290" totalsRowDxfId="289">
      <calculatedColumnFormula array="1">Common_InputFunctions.Utility_DisplayArrayInTable(Fertiliser_SourceData.Fertiliser_Products_Data1(),FertiliserProducts[[#Headers],[Include or Exclude]], 0,4)</calculatedColumnFormula>
    </tableColumn>
    <tableColumn id="14" xr3:uid="{4B534253-83F9-4DF7-A7D2-07094EF62246}" name="Ingredient 3 percent" dataDxfId="288" totalsRowDxfId="287">
      <calculatedColumnFormula array="1">Common_InputFunctions.Utility_DisplayArrayInTable(Fertiliser_SourceData.Fertiliser_Products_Data1(),FertiliserProducts[[#Headers],[Include or Exclude]], 0,4)</calculatedColumnFormula>
    </tableColumn>
    <tableColumn id="15" xr3:uid="{0858A9CA-FB9A-435D-A92B-2870339E56D1}" name="Ingredient 4" dataDxfId="286" totalsRowDxfId="285">
      <calculatedColumnFormula array="1">Common_InputFunctions.Utility_DisplayArrayInTable(Fertiliser_SourceData.Fertiliser_Products_Data1(),FertiliserProducts[[#Headers],[Include or Exclude]], 0,4)</calculatedColumnFormula>
    </tableColumn>
    <tableColumn id="16" xr3:uid="{CAADD3E0-6642-4B0B-BF90-8FDF7F984B1A}" name="Ingredient 4 percent" dataDxfId="284" totalsRowDxfId="283">
      <calculatedColumnFormula array="1">Common_InputFunctions.Utility_DisplayArrayInTable(Fertiliser_SourceData.Fertiliser_Products_Data1(),FertiliserProducts[[#Headers],[Include or Exclude]], 0,4)</calculatedColumnFormula>
    </tableColumn>
    <tableColumn id="17" xr3:uid="{DC21CD91-C09C-4299-A91B-F9D152F172BF}" name="Ingredient 5" dataDxfId="282" totalsRowDxfId="281">
      <calculatedColumnFormula array="1">Common_InputFunctions.Utility_DisplayArrayInTable(Fertiliser_SourceData.Fertiliser_Products_Data1(),FertiliserProducts[[#Headers],[Include or Exclude]], 0,4)</calculatedColumnFormula>
    </tableColumn>
    <tableColumn id="18" xr3:uid="{46D45B4C-44A7-449C-BCE7-033D59638330}" name="Ingredient 5 percent" dataDxfId="280" totalsRowDxfId="279">
      <calculatedColumnFormula array="1">Common_InputFunctions.Utility_DisplayArrayInTable(Fertiliser_SourceData.Fertiliser_Products_Data1(),FertiliserProducts[[#Headers],[Include or Exclude]], 0,4)</calculatedColumnFormula>
    </tableColumn>
    <tableColumn id="19" xr3:uid="{A3196E9D-AC92-4993-88DD-6521B836FC63}" name="Ingredient 6" dataDxfId="278" totalsRowDxfId="277">
      <calculatedColumnFormula array="1">Common_InputFunctions.Utility_DisplayArrayInTable(Fertiliser_SourceData.Fertiliser_Products_Data1(),FertiliserProducts[[#Headers],[Include or Exclude]], 0,4)</calculatedColumnFormula>
    </tableColumn>
    <tableColumn id="37" xr3:uid="{82518A18-6E99-4582-8837-2EFD6F118678}" name="Ingredient 6 percent" dataDxfId="276" totalsRowDxfId="275">
      <calculatedColumnFormula array="1">Common_InputFunctions.Utility_DisplayArrayInTable(Fertiliser_SourceData.Fertiliser_Products_Data1(),FertiliserProducts[[#Headers],[Include or Exclude]], 0,4)</calculatedColumnFormula>
    </tableColumn>
    <tableColumn id="20" xr3:uid="{B3AF9E9C-50B5-4076-932F-93841E11352A}" name="Ingredient 7" dataDxfId="274">
      <calculatedColumnFormula array="1">Common_InputFunctions.Utility_DisplayArrayInTable(Fertiliser_SourceData.Fertiliser_Products_Data1(),FertiliserProducts[[#Headers],[Include or Exclude]], 0,4)</calculatedColumnFormula>
    </tableColumn>
    <tableColumn id="24" xr3:uid="{A6521BBD-93F4-4F8F-97A6-1D471432D939}" name="Ingredient 7 percent" dataDxfId="273">
      <calculatedColumnFormula array="1">Common_InputFunctions.Utility_DisplayArrayInTable(Fertiliser_SourceData.Fertiliser_Products_Data1(),FertiliserProducts[[#Headers],[Include or Exclude]], 0,4)</calculatedColumnFormula>
    </tableColumn>
    <tableColumn id="23" xr3:uid="{8E4EE28B-0B91-4402-A320-3B8B9753A141}" name="Ingredient 8" dataDxfId="272">
      <calculatedColumnFormula array="1">Common_InputFunctions.Utility_DisplayArrayInTable(Fertiliser_SourceData.Fertiliser_Products_Data1(),FertiliserProducts[[#Headers],[Include or Exclude]], 0,4)</calculatedColumnFormula>
    </tableColumn>
    <tableColumn id="26" xr3:uid="{66AD5F98-75CD-487D-91DB-156CDBD08D2F}" name="Ingredient 8 percent" dataDxfId="271">
      <calculatedColumnFormula array="1">Common_InputFunctions.Utility_DisplayArrayInTable(Fertiliser_SourceData.Fertiliser_Products_Data1(),FertiliserProducts[[#Headers],[Include or Exclude]], 0,4)</calculatedColumnFormula>
    </tableColumn>
    <tableColumn id="25" xr3:uid="{91546EA2-1F8F-4DCC-824F-5CBF66E63845}" name="Ingredient 9" dataDxfId="270">
      <calculatedColumnFormula array="1">Common_InputFunctions.Utility_DisplayArrayInTable(Fertiliser_SourceData.Fertiliser_Products_Data1(),FertiliserProducts[[#Headers],[Include or Exclude]], 0,4)</calculatedColumnFormula>
    </tableColumn>
    <tableColumn id="30" xr3:uid="{E3111FE9-0462-46A7-97EE-06364FF065F4}" name="Ingredient 9 percent" dataDxfId="269">
      <calculatedColumnFormula array="1">Common_InputFunctions.Utility_DisplayArrayInTable(Fertiliser_SourceData.Fertiliser_Products_Data1(),FertiliserProducts[[#Headers],[Include or Exclude]], 0,4)</calculatedColumnFormula>
    </tableColumn>
    <tableColumn id="29" xr3:uid="{44E2F057-1EF0-43D5-9827-C82A414E33DC}" name="Imngredient 10" dataDxfId="268">
      <calculatedColumnFormula array="1">Common_InputFunctions.Utility_DisplayArrayInTable(Fertiliser_SourceData.Fertiliser_Products_Data1(),FertiliserProducts[[#Headers],[Include or Exclude]], 0,4)</calculatedColumnFormula>
    </tableColumn>
    <tableColumn id="28" xr3:uid="{DD370354-B7D7-4D26-A1D7-A9C880E94EFD}" name="Ingredient 10 percent" dataDxfId="267">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61C1D3F-A3D8-4BAF-8ABE-A2EBF292C35F}"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EADDE3F0-74EC-40CC-80BC-4574022319C0}" name="Fertiliser type f">
      <calculatedColumnFormula array="1">Common_InputFunctions.Utility_DisplayArrayInTable(Fertiliser_SourceData.Fertiliser_FracGASF_Data(), Table_SourceData_Fertiliser_FracGASF[[#Headers],[Fertiliser type f]], 0)</calculatedColumnFormula>
    </tableColumn>
    <tableColumn id="2" xr3:uid="{1E568421-3C02-4DE3-A32E-96ED0C45F53E}" name="FracGASF f" dataDxfId="266"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8992C63-5C88-409D-8755-88775EFBF073}" name="Table_SourceData_Fertiliser_CropProdSystems" displayName="Table_SourceData_Fertiliser_CropProdSystems" ref="D41:D43" totalsRowShown="0">
  <autoFilter ref="D41:D43" xr:uid="{24F3A11E-40F5-4BB9-BFF4-A71FA2ADA0EF}">
    <filterColumn colId="0" hiddenButton="1"/>
  </autoFilter>
  <tableColumns count="1">
    <tableColumn id="1" xr3:uid="{E9917005-190C-42B1-9341-BE475A87B009}" name="Production system">
      <calculatedColumnFormula>#REF!</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6FDAC40-868B-495C-93B3-5AD3101B1AF0}"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DAD95CC7-1870-4C94-B871-5E76F24B3029}" name="Irrigation method"/>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B8EC7034-D8CB-49DB-A2B2-A5E4950678D3}" name="Table_SourceData_Fertiliser_CropTypes" displayName="Table_SourceData_Fertiliser_CropTypes" ref="F41:F45" totalsRowShown="0">
  <autoFilter ref="F41:F45" xr:uid="{CB5044B5-FA3C-4AA2-B1AB-72F7E61D072F}">
    <filterColumn colId="0" hiddenButton="1"/>
  </autoFilter>
  <tableColumns count="1">
    <tableColumn id="1" xr3:uid="{14A2567E-D2A9-4E4B-A411-CCF86A7FAC30}" name="Production system"/>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0EF1887-183D-47A6-B192-AC6818811DA7}" name="Table_SourceData_OrganicFertiliserTypes" displayName="Table_SourceData_OrganicFertiliserTypes" ref="J41:J46" totalsRowShown="0">
  <autoFilter ref="J41:J46" xr:uid="{B44627B1-537E-4ABC-92C3-57282CEE5B40}">
    <filterColumn colId="0" hiddenButton="1"/>
  </autoFilter>
  <tableColumns count="1">
    <tableColumn id="1" xr3:uid="{DF81D6DF-57C3-4D65-A65E-F26E443BECDE}" name="Organic fertiliser type"/>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28854-7487-4A0B-B2FC-1E7833628B5B}"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6FFB96AA-3B37-4A77-9381-4A36BD871EAF}" name="Element">
      <calculatedColumnFormula array="1">Common_InputFunctions.Utility_DisplayArrayInTable(Fertiliser_SourceData.Fertiliser_LimeDolomiteGypsumConstants_Data(), Table_SourceData_Fertiliser_LimeDolomiteConstants[[#Headers],[Element]], 0)</calculatedColumnFormula>
    </tableColumn>
    <tableColumn id="2" xr3:uid="{2917E341-8FEA-47D9-ADFF-8F4199E61447}" name="P" dataDxfId="265"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866239EC-D350-44A2-A18D-612A45102F8D}" name="EF" dataDxfId="26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34CFACF-D662-4AEF-9673-08F9C564C71C}" name="Table2" displayName="Table2" ref="K19:L28" totalsRowShown="0" dataDxfId="263" dataCellStyle="Content normal">
  <autoFilter ref="K19:L28" xr:uid="{27B93029-EB1F-4C4A-A946-CD673A8A6C46}">
    <filterColumn colId="0" hiddenButton="1"/>
    <filterColumn colId="1" hiddenButton="1"/>
  </autoFilter>
  <tableColumns count="2">
    <tableColumn id="1" xr3:uid="{8678FA81-A78B-4982-899F-62034B5B148A}" name="Fertiliser type f" dataDxfId="262" dataCellStyle="Content normal">
      <calculatedColumnFormula array="1">Common_InputFunctions.Utility_DisplayArrayInTable(Fertiliser_SourceData.Fertiliser_FractionNCommonFertilisers_Data(), Table2[[#Headers],[Fertiliser type f]], 0)</calculatedColumnFormula>
    </tableColumn>
    <tableColumn id="2" xr3:uid="{610425B6-DEB5-4298-B4BD-1B001C0407D3}" name="FNinorganic f" dataDxfId="261"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A0A3A70-CA52-447F-9D40-23301CE2B67C}" name="Table28" displayName="Table28" ref="Q19:R28" totalsRowShown="0" dataDxfId="260" dataCellStyle="Content normal">
  <autoFilter ref="Q19:R28" xr:uid="{791CEA59-796C-47AB-86BC-41E8F699030C}">
    <filterColumn colId="0" hiddenButton="1"/>
    <filterColumn colId="1" hiddenButton="1"/>
  </autoFilter>
  <tableColumns count="2">
    <tableColumn id="1" xr3:uid="{4A3F83D6-74A4-4C7A-A87E-6D137696B59C}" name="Fertiliser type f" dataDxfId="259" dataCellStyle="Content normal">
      <calculatedColumnFormula array="1">Common_InputFunctions.Utility_DisplayArrayInTable(Fertiliser_SourceData.Fertiliser_FractionUreaCommonFertilisers_Data(), Table28[[#Headers],[Fertiliser type f]], 0)</calculatedColumnFormula>
    </tableColumn>
    <tableColumn id="2" xr3:uid="{60032C59-F5F8-4C5C-B7B7-3566D8D7414D}" name="FNinorganic f" dataDxfId="258"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5FB2C3-988D-4239-A64D-332C7FF19874}"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6B513DD3-B595-4BFA-9A8A-C9AF7659E9CA}"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B65F287B-6DF9-4755-BB07-87170CF9A0CB}" name="Table_Fuel_EFs_StationaryLiquid" displayName="Table_Fuel_EFs_StationaryLiquid" ref="D53:K77" totalsRowShown="0" headerRowDxfId="257" dataDxfId="256">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EDB6390-A9E7-41B0-89BF-268459A6FC61}" name="Fuel combusted" dataDxfId="255">
      <calculatedColumnFormula array="1">Common_InputFunctions.Utility_DisplayArrayInTable(Fuel_SourceData.Fuel_Scope1Scope3EmissionFactorsStationaryLiquid_Data(), Table_Fuel_EFs_StationaryLiquid[[#Headers],[Fuel combusted]],0)</calculatedColumnFormula>
    </tableColumn>
    <tableColumn id="2" xr3:uid="{F05D7694-8B4F-4DAC-92BC-93E29495ABEF}" name="Energy Content Factor (GJ per unit of fuel)" dataDxfId="254">
      <calculatedColumnFormula array="1">Common_InputFunctions.Utility_DisplayArrayInTable(Fuel_SourceData.Fuel_Scope1Scope3EmissionFactorsStationaryLiquid_Data(), Table_Fuel_EFs_StationaryLiquid[[#Headers],[Fuel combusted]],0)</calculatedColumnFormula>
    </tableColumn>
    <tableColumn id="3" xr3:uid="{FA897AA9-9E6E-4035-91A3-29C0B885C0A0}" name="Fuel unit" dataDxfId="253">
      <calculatedColumnFormula array="1">Common_InputFunctions.Utility_DisplayArrayInTable(Fuel_SourceData.Fuel_Scope1Scope3EmissionFactorsStationaryLiquid_Data(), Table_Fuel_EFs_StationaryLiquid[[#Headers],[Fuel combusted]],0)</calculatedColumnFormula>
    </tableColumn>
    <tableColumn id="4" xr3:uid="{5F1DB665-069F-4727-A8C7-073BB31A0380}" name="Scope 1 Emission Factor (kg CO2 - e / GJ) CO2" dataDxfId="252">
      <calculatedColumnFormula array="1">Common_InputFunctions.Utility_DisplayArrayInTable(Fuel_SourceData.Fuel_Scope1Scope3EmissionFactorsStationaryLiquid_Data(), Table_Fuel_EFs_StationaryLiquid[[#Headers],[Fuel combusted]],0)</calculatedColumnFormula>
    </tableColumn>
    <tableColumn id="5" xr3:uid="{A224DFFD-A907-4F51-81DD-BA24FE09250F}" name="Scope 1 Emission Factor (kg CO2 - e / GJ) CH4" dataDxfId="251">
      <calculatedColumnFormula array="1">Common_InputFunctions.Utility_DisplayArrayInTable(Fuel_SourceData.Fuel_Scope1Scope3EmissionFactorsStationaryLiquid_Data(), Table_Fuel_EFs_StationaryLiquid[[#Headers],[Fuel combusted]],0)</calculatedColumnFormula>
    </tableColumn>
    <tableColumn id="6" xr3:uid="{4BAD2457-5165-40A7-B785-35A0464B5E59}" name="Scope 1 Emission Factor (kg CO2 - e / GJ) N2O" dataDxfId="250">
      <calculatedColumnFormula array="1">Common_InputFunctions.Utility_DisplayArrayInTable(Fuel_SourceData.Fuel_Scope1Scope3EmissionFactorsStationaryLiquid_Data(), Table_Fuel_EFs_StationaryLiquid[[#Headers],[Fuel combusted]],0)</calculatedColumnFormula>
    </tableColumn>
    <tableColumn id="7" xr3:uid="{69BA6369-2425-46C7-9A5A-5010DC35DA00}" name="Scope 1 Emission Factor (kg CO2 - e / GJ) Combined gases" dataDxfId="249">
      <calculatedColumnFormula array="1">Common_InputFunctions.Utility_DisplayArrayInTable(Fuel_SourceData.Fuel_Scope1Scope3EmissionFactorsStationaryLiquid_Data(), Table_Fuel_EFs_StationaryLiquid[[#Headers],[Fuel combusted]],0)</calculatedColumnFormula>
    </tableColumn>
    <tableColumn id="8" xr3:uid="{FCD34E68-B7B7-4624-862A-3450B5850278}" name="Scope 3 Emission Factor (kg CO2 - e / GJ)" dataDxfId="248">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8A5C388-67C4-4A72-9A3D-CEB96645A26A}" name="Table_Fuel_EFs_Transport" displayName="Table_Fuel_EFs_Transport" ref="D9:L34" totalsRowShown="0" headerRowDxfId="247" dataDxfId="246">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C3055FF9-87ED-4515-99D4-7BA6AC404EB1}" name="Transport type" dataDxfId="245">
      <calculatedColumnFormula array="1">Common_InputFunctions.Utility_DisplayArrayInTable(Fuel_SourceData.Fuel_Scope1Scope3EmissionFactorsTransport_Data(), Table_Fuel_EFs_Transport[[#Headers],[Transport type]], 0)</calculatedColumnFormula>
    </tableColumn>
    <tableColumn id="2" xr3:uid="{ED1D98FD-5D14-4366-BC89-71F93E96D07D}" name="Fuel combusted" dataDxfId="244">
      <calculatedColumnFormula array="1">Common_InputFunctions.Utility_DisplayArrayInTable(Fuel_SourceData.Fuel_Scope1Scope3EmissionFactorsTransport_Data(), Table_Fuel_EFs_Transport[[#Headers],[Transport type]], 0)</calculatedColumnFormula>
    </tableColumn>
    <tableColumn id="3" xr3:uid="{159D1683-7FA8-43C4-880B-DDD7583066EC}" name="Energy Content Factor (GJ per unit of fuel)" dataDxfId="243">
      <calculatedColumnFormula array="1">Common_InputFunctions.Utility_DisplayArrayInTable(Fuel_SourceData.Fuel_Scope1Scope3EmissionFactorsTransport_Data(), Table_Fuel_EFs_Transport[[#Headers],[Transport type]], 0)</calculatedColumnFormula>
    </tableColumn>
    <tableColumn id="4" xr3:uid="{2D6DD253-BED9-4446-AB0F-88993932EFB6}" name="Fuel unit" dataDxfId="242">
      <calculatedColumnFormula array="1">Common_InputFunctions.Utility_DisplayArrayInTable(Fuel_SourceData.Fuel_Scope1Scope3EmissionFactorsTransport_Data(), Table_Fuel_EFs_Transport[[#Headers],[Transport type]], 0)</calculatedColumnFormula>
    </tableColumn>
    <tableColumn id="8" xr3:uid="{7F2BA712-F103-4851-917F-62075AA9CBB0}" name="Scope 1 Emission Factor (kg CO2 - e / GJ) CO2" dataDxfId="241">
      <calculatedColumnFormula array="1">Common_InputFunctions.Utility_DisplayArrayInTable(Fuel_SourceData.Fuel_Scope1Scope3EmissionFactorsTransport_Data(), Table_Fuel_EFs_Transport[[#Headers],[Transport type]], 0)</calculatedColumnFormula>
    </tableColumn>
    <tableColumn id="9" xr3:uid="{4DD83472-37A5-4E08-A76E-8D86F4295252}" name="Scope 1 Emission Factor (kg CO2 - e / GJ) CH4" dataDxfId="240">
      <calculatedColumnFormula array="1">Common_InputFunctions.Utility_DisplayArrayInTable(Fuel_SourceData.Fuel_Scope1Scope3EmissionFactorsTransport_Data(), Table_Fuel_EFs_Transport[[#Headers],[Transport type]], 0)</calculatedColumnFormula>
    </tableColumn>
    <tableColumn id="10" xr3:uid="{7E35B7C4-6F15-4AFC-9B42-E5480900586B}" name="Scope 1 Emission Factor (kg CO2 - e / GJ) N2O" dataDxfId="239">
      <calculatedColumnFormula array="1">Common_InputFunctions.Utility_DisplayArrayInTable(Fuel_SourceData.Fuel_Scope1Scope3EmissionFactorsTransport_Data(), Table_Fuel_EFs_Transport[[#Headers],[Transport type]], 0)</calculatedColumnFormula>
    </tableColumn>
    <tableColumn id="11" xr3:uid="{0526961A-7C5A-4A66-8439-06F3515A5941}" name="Scope 1 Emission Factor (kg CO2 - e / GJ) Combined gases" dataDxfId="238">
      <calculatedColumnFormula array="1">Common_InputFunctions.Utility_DisplayArrayInTable(Fuel_SourceData.Fuel_Scope1Scope3EmissionFactorsTransport_Data(), Table_Fuel_EFs_Transport[[#Headers],[Transport type]], 0)</calculatedColumnFormula>
    </tableColumn>
    <tableColumn id="12" xr3:uid="{E9134BBA-CDAC-44A9-BFAB-3A36892727F1}" name="Scope 3 Emission Factor (kg CO2 - e / GJ)" dataDxfId="237">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D4B79EA-E358-4C03-82FF-8F4DA0C8A4B1}" name="Table_FuelTypesPerUse" displayName="Table_FuelTypesPerUse" ref="D130:I139" totalsRowShown="0" headerRowDxfId="236" dataDxfId="235">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615028E8-3C49-443B-A4F8-9C0CCDBA7EEE}" name="Generators" dataDxfId="234"/>
    <tableColumn id="2" xr3:uid="{E0C4DEEF-031C-4E3A-B4E2-D995BB09C929}" name="Power standalone machinery or heating" dataDxfId="233"/>
    <tableColumn id="3" xr3:uid="{6F3FCE04-E338-49B6-8603-4CC87F47666F}" name="Aviation" dataDxfId="232"/>
    <tableColumn id="5" xr3:uid="{9C1B64BD-01B8-4BA1-82BB-39E7F2B89EED}" name="Cars and light commercial vehicles" dataDxfId="231"/>
    <tableColumn id="7" xr3:uid="{5A0A483C-821C-48D6-A548-FF36A501D0BC}" name="Off-road Agriculture and forestry equipment" dataDxfId="230" dataCellStyle="Content bold"/>
    <tableColumn id="8" xr3:uid="{BD393C52-EE18-4ABE-84D7-D7C182C31C31}" name="Vessels" dataDxfId="229" dataCellStyle="Content bold"/>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AA3559AC-45F2-49FF-95A9-F4A0DE901295}" name="Table_Fuel_EFs_StationaryGaseous" displayName="Table_Fuel_EFs_StationaryGaseous" ref="D86:J104" totalsRowShown="0" headerRowDxfId="228" dataDxfId="227">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0351D6D-011B-43BF-843C-DABD676B3491}" name="Fuel combusted" dataDxfId="226">
      <calculatedColumnFormula array="1">Common_InputFunctions.Utility_DisplayArrayInTable(Fuel_SourceData.Fuel_Scope1EmissionFactorsStationaryGaseous_Data(), Table_Fuel_EFs_StationaryGaseous[[#Headers],[Fuel combusted]],0)</calculatedColumnFormula>
    </tableColumn>
    <tableColumn id="2" xr3:uid="{C40AA578-CFA5-413E-9575-6705DFB196A9}" name="Energy Content Factor (GJ per unit of fuel)" dataDxfId="225">
      <calculatedColumnFormula array="1">Common_InputFunctions.Utility_DisplayArrayInTable(Fuel_SourceData.Fuel_Scope1EmissionFactorsStationaryGaseous_Data(), Table_Fuel_EFs_StationaryGaseous[[#Headers],[Fuel combusted]],0)</calculatedColumnFormula>
    </tableColumn>
    <tableColumn id="3" xr3:uid="{0C50AE07-9DE6-4450-B987-ABC6C849F5F8}" name="Fuel unit" dataDxfId="224">
      <calculatedColumnFormula array="1">Common_InputFunctions.Utility_DisplayArrayInTable(Fuel_SourceData.Fuel_Scope1EmissionFactorsStationaryGaseous_Data(), Table_Fuel_EFs_StationaryGaseous[[#Headers],[Fuel combusted]],0)</calculatedColumnFormula>
    </tableColumn>
    <tableColumn id="4" xr3:uid="{4EBBFF7C-A30F-4924-AC61-8E3E3D002968}" name="Scope 1 Emission Factor (kg CO2 - e / GJ) CO2" dataDxfId="223">
      <calculatedColumnFormula array="1">Common_InputFunctions.Utility_DisplayArrayInTable(Fuel_SourceData.Fuel_Scope1EmissionFactorsStationaryGaseous_Data(), Table_Fuel_EFs_StationaryGaseous[[#Headers],[Fuel combusted]],0)</calculatedColumnFormula>
    </tableColumn>
    <tableColumn id="5" xr3:uid="{AB1DDB5D-8C42-4597-B20C-55DF5CD07172}" name="Scope 1 Emission Factor (kg CO2 - e / GJ) CH4" dataDxfId="222">
      <calculatedColumnFormula array="1">Common_InputFunctions.Utility_DisplayArrayInTable(Fuel_SourceData.Fuel_Scope1EmissionFactorsStationaryGaseous_Data(), Table_Fuel_EFs_StationaryGaseous[[#Headers],[Fuel combusted]],0)</calculatedColumnFormula>
    </tableColumn>
    <tableColumn id="6" xr3:uid="{31FF1EF8-44EA-4C41-A2C9-4340ED066E65}" name="Scope 1 Emission Factor (kg CO2 - e / GJ) N2O" dataDxfId="221">
      <calculatedColumnFormula array="1">Common_InputFunctions.Utility_DisplayArrayInTable(Fuel_SourceData.Fuel_Scope1EmissionFactorsStationaryGaseous_Data(), Table_Fuel_EFs_StationaryGaseous[[#Headers],[Fuel combusted]],0)</calculatedColumnFormula>
    </tableColumn>
    <tableColumn id="7" xr3:uid="{33CCDE28-D30D-4DF3-AED4-7D790518772A}" name="Scope 1 Emission Factor (kg CO2 - e / GJ) Combined gases" dataDxfId="220">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3EAB837-0B21-4A4F-B1F8-75734F91AA03}" name="Table_Fuel_EFs_StationaryGaseous34" displayName="Table_Fuel_EFs_StationaryGaseous34" ref="D112:F120" headerRowDxfId="219" totalsRowDxfId="218">
  <autoFilter ref="D112:F120" xr:uid="{7D6CE29D-2354-4FAC-9965-9A66FFA42416}">
    <filterColumn colId="0" hiddenButton="1"/>
    <filterColumn colId="1" hiddenButton="1"/>
    <filterColumn colId="2" hiddenButton="1"/>
  </autoFilter>
  <tableColumns count="3">
    <tableColumn id="1" xr3:uid="{FDBED928-AF65-4996-B038-4AB44F14B2FF}" name="State or territory" totalsRowDxfId="217">
      <calculatedColumnFormula array="1">Common_InputFunctions.Utility_DisplayArrayInTable(Fuel_SourceData.Fuel_Scope3EmissionFactorsStationaryGaseous_Data(), Table_Fuel_EFs_StationaryGaseous34[[#Headers],[State or territory]],0)</calculatedColumnFormula>
    </tableColumn>
    <tableColumn id="2" xr3:uid="{096C4080-533E-40D0-9617-96D1437B15D8}" name="Metro" totalsRowDxfId="216">
      <calculatedColumnFormula array="1">Common_InputFunctions.Utility_DisplayArrayInTable(Fuel_SourceData.Fuel_Scope3EmissionFactorsStationaryGaseous_Data(), Table_Fuel_EFs_StationaryGaseous34[[#Headers],[State or territory]],0)</calculatedColumnFormula>
    </tableColumn>
    <tableColumn id="3" xr3:uid="{8FC45766-A07E-40F7-B25A-1148F846669E}" name="Non-metro" totalsRowDxfId="215">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725EFC0-3E03-4077-BCD8-FFA887626ADF}"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AE757CD0-8483-48CB-9A05-6631BFA90957}" name="Fuel type"/>
    <tableColumn id="2" xr3:uid="{D0EB872C-F8E2-491B-968F-CFC0333E3C3B}" name="Unit"/>
    <tableColumn id="3" xr3:uid="{AD45498C-FB4C-4E46-A370-8342D945419D}" name="Input Unit" dataDxfId="214"/>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1603698-5213-4682-8DB3-3BFB428D415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F37636-F935-49B7-9576-B5EDD4E9300E}"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9589C56C-4D58-4E25-BE86-9FCA6E41831D}" name="Fuel type q" dataDxfId="21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A14C2CA7-9DFA-4EBA-AD1D-5FF0BCC54B4E}" name="ECTrans,q (GJ/kL)" dataDxfId="21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7015FD54-F8FB-4DD1-AEB7-6614E8A0C076}" name="Scope 1 CO2 EFTran,1,tqg (kg CO2-e/GJ)" dataDxfId="21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4A0F79CB-2AD1-47FB-ADE2-0391AC0287FD}" name="Scope 1 CH4 EFTran,1,tgg (kg CO2-e/GJ)" dataDxfId="21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AE4DA94-EBF4-456E-B302-06FC9BDDB4A9}" name="Scope 1 N2O EFTran,1,tgg (kg CO2-e/GJ)" dataDxfId="20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2A336969-EBEA-444D-B405-28CCD4053122}" name="Scope 3 EFTrans,3,q (kg CO2-e/GJ)" dataDxfId="20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B431DFA-94E7-4AF5-B59E-EC1D5BEBB944}"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009D0434-32D8-4AC6-9C79-EA08F60F0A4E}" name="Category" dataDxfId="207" dataCellStyle="Content normal">
      <calculatedColumnFormula array="1">Common_InputFunctions.Utility_DisplayArrayInTable(Scope3_SourceData.Scope3_Livestock_Data(), Table_SourceData_Scope3_Animals[[#Headers],[Category]], 0, 2)</calculatedColumnFormula>
    </tableColumn>
    <tableColumn id="2" xr3:uid="{6AA9DBB1-203B-4577-A37B-D6DFCB9DF032}" name="Product" dataDxfId="206" dataCellStyle="Content normal">
      <calculatedColumnFormula array="1">Common_InputFunctions.Utility_DisplayArrayInTable(Scope3_SourceData.Scope3_Livestock_Data(), Table_SourceData_Scope3_Animals[[#Headers],[Category]], 0, 2)</calculatedColumnFormula>
    </tableColumn>
    <tableColumn id="3" xr3:uid="{38A2375B-AAE9-4889-901A-A9FE5DC588F7}" name="Region of origin" dataDxfId="205" dataCellStyle="Content normal">
      <calculatedColumnFormula array="1">Common_InputFunctions.Utility_DisplayArrayInTable(Scope3_SourceData.Scope3_Livestock_Data(), Table_SourceData_Scope3_Animals[[#Headers],[Category]], 0, 2)</calculatedColumnFormula>
    </tableColumn>
    <tableColumn id="8" xr3:uid="{B6CB9B07-43A3-4BAB-97A4-6F410E35BD83}" name="Quantity Unit" dataDxfId="204" dataCellStyle="Content normal">
      <calculatedColumnFormula array="1">Common_InputFunctions.Utility_DisplayArrayInTable(Scope3_SourceData.Scope3_Livestock_Data(), Table_SourceData_Scope3_Animals[[#Headers],[Category]], 0, 2)</calculatedColumnFormula>
    </tableColumn>
    <tableColumn id="9" xr3:uid="{30F5BAB4-11ED-4BC7-B0F4-13652AB7FEE9}" name="AusLCI Emissions intensity" dataDxfId="203" dataCellStyle="Content normal">
      <calculatedColumnFormula array="1">Common_InputFunctions.Utility_DisplayArrayInTable(Scope3_SourceData.Scope3_Livestock_Data(), Table_SourceData_Scope3_Animals[[#Headers],[Category]], 0, 2)</calculatedColumnFormula>
    </tableColumn>
    <tableColumn id="10" xr3:uid="{3FC056B1-C19F-4843-8FB2-C9DE0AA4053B}" name="System boundary" dataDxfId="20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B88D4184-A826-4A6E-A108-3B3CC3B7996A}"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D1FC2F64-8D07-4E31-BE53-46182CA2FD86}" name="Category" dataDxfId="201" dataCellStyle="Content normal">
      <calculatedColumnFormula array="1">Common_InputFunctions.Utility_DisplayArrayInTable(Scope3_SourceData.Scope3_Chemicals_Data(), Table_SourceData_Scope3_ChemicalsCleaning[[#Headers],[Category]], 0, 2)</calculatedColumnFormula>
    </tableColumn>
    <tableColumn id="2" xr3:uid="{02D067F2-FA1A-4201-8CD7-CA8D3F24C2AA}" name="Product" dataDxfId="200" dataCellStyle="Content normal">
      <calculatedColumnFormula array="1">Common_InputFunctions.Utility_DisplayArrayInTable(Scope3_SourceData.Scope3_Chemicals_Data(), Table_SourceData_Scope3_ChemicalsCleaning[[#Headers],[Category]], 0, 2)</calculatedColumnFormula>
    </tableColumn>
    <tableColumn id="3" xr3:uid="{46500FD3-6F6E-44CF-B389-E22C4462E97B}" name="Region of origin" dataDxfId="199" dataCellStyle="Content normal">
      <calculatedColumnFormula array="1">Common_InputFunctions.Utility_DisplayArrayInTable(Scope3_SourceData.Scope3_Chemicals_Data(), Table_SourceData_Scope3_ChemicalsCleaning[[#Headers],[Category]], 0, 2)</calculatedColumnFormula>
    </tableColumn>
    <tableColumn id="8" xr3:uid="{34D35FC4-FFCA-4A9A-81A0-07745A4F8AE3}" name="Quantity Unit" dataDxfId="198" dataCellStyle="Content normal">
      <calculatedColumnFormula array="1">Common_InputFunctions.Utility_DisplayArrayInTable(Scope3_SourceData.Scope3_Chemicals_Data(), Table_SourceData_Scope3_ChemicalsCleaning[[#Headers],[Category]], 0, 2)</calculatedColumnFormula>
    </tableColumn>
    <tableColumn id="9" xr3:uid="{86B987A2-A050-494B-9E63-8A989A9D714A}" name="AusLCI Emissions intensity" dataDxfId="197" dataCellStyle="Content normal">
      <calculatedColumnFormula array="1">Common_InputFunctions.Utility_DisplayArrayInTable(Scope3_SourceData.Scope3_Chemicals_Data(), Table_SourceData_Scope3_ChemicalsCleaning[[#Headers],[Category]], 0, 2)</calculatedColumnFormula>
    </tableColumn>
    <tableColumn id="10" xr3:uid="{5E7CC361-0691-4ED6-86C3-C64FF983251E}" name="System boundary" dataDxfId="196"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9772532-3BA2-4DF2-BFA5-D82C245C1CCA}" name="Table_SourceData_Scope3_Feed" displayName="Table_SourceData_Scope3_Feed" ref="D89:I159" totalsRowShown="0" dataDxfId="195"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B6237B89-9A90-4410-9CB8-4D287DCA29B2}" name="Category" dataDxfId="194" dataCellStyle="Content normal">
      <calculatedColumnFormula array="1">Common_InputFunctions.Utility_DisplayArrayInTable(Scope3_SourceData.Scope3_Feed_Data(), Table_SourceData_Scope3_Feed[[#Headers],[Category]], 0, 2)</calculatedColumnFormula>
    </tableColumn>
    <tableColumn id="2" xr3:uid="{99B96363-E901-45E8-86F9-02A06C81F08C}" name="Product" dataDxfId="193" dataCellStyle="Content normal">
      <calculatedColumnFormula array="1">Common_InputFunctions.Utility_DisplayArrayInTable(Scope3_SourceData.Scope3_Feed_Data(), Table_SourceData_Scope3_Feed[[#Headers],[Category]], 0, 2)</calculatedColumnFormula>
    </tableColumn>
    <tableColumn id="3" xr3:uid="{A608745C-1615-4FDB-8BB8-E94435DC7EF4}" name="Region of origin" dataDxfId="192" dataCellStyle="Content normal">
      <calculatedColumnFormula array="1">Common_InputFunctions.Utility_DisplayArrayInTable(Scope3_SourceData.Scope3_Feed_Data(), Table_SourceData_Scope3_Feed[[#Headers],[Category]], 0, 2)</calculatedColumnFormula>
    </tableColumn>
    <tableColumn id="8" xr3:uid="{B4661912-ED41-4DDB-B3AE-E36387ED1CBC}" name="Quantity Unit" dataDxfId="191" dataCellStyle="Content normal">
      <calculatedColumnFormula array="1">Common_InputFunctions.Utility_DisplayArrayInTable(Scope3_SourceData.Scope3_Feed_Data(), Table_SourceData_Scope3_Feed[[#Headers],[Category]], 0, 2)</calculatedColumnFormula>
    </tableColumn>
    <tableColumn id="9" xr3:uid="{A03F72C1-810E-4423-AE21-01D882456582}" name="AusLCI Emissions intensity" dataDxfId="190" dataCellStyle="Content normal">
      <calculatedColumnFormula array="1">Common_InputFunctions.Utility_DisplayArrayInTable(Scope3_SourceData.Scope3_Feed_Data(), Table_SourceData_Scope3_Feed[[#Headers],[Category]], 0, 2)</calculatedColumnFormula>
    </tableColumn>
    <tableColumn id="10" xr3:uid="{A706496F-3A26-4DCD-AB90-40606AA47703}" name="System boundary" dataDxfId="189"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D8045980-6538-446E-8E42-13C8CFE636AF}"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6EA9C8E-1F6F-4134-B4C1-CE5C9C0CF20B}" name="Category">
      <calculatedColumnFormula array="1">Common_InputFunctions.Utility_DisplayArrayInTable(Scope3_SourceData.Scope3_InorganicFertilisers_Data(), Table_SourceData_Scope3_InorganicFertiliser[[#Headers],[Category]], 0, 2)</calculatedColumnFormula>
    </tableColumn>
    <tableColumn id="2" xr3:uid="{11941336-FADE-451A-8977-45778019A303}" name="Product">
      <calculatedColumnFormula array="1">Common_InputFunctions.Utility_DisplayArrayInTable(Scope3_SourceData.Scope3_InorganicFertilisers_Data(), Table_SourceData_Scope3_InorganicFertiliser[[#Headers],[Category]], 0, 2)</calculatedColumnFormula>
    </tableColumn>
    <tableColumn id="3" xr3:uid="{2D22FC23-451C-41BD-9049-F5E359A93550}" name="Region of origin">
      <calculatedColumnFormula array="1">Common_InputFunctions.Utility_DisplayArrayInTable(Scope3_SourceData.Scope3_InorganicFertilisers_Data(), Table_SourceData_Scope3_InorganicFertiliser[[#Headers],[Category]], 0, 2)</calculatedColumnFormula>
    </tableColumn>
    <tableColumn id="4" xr3:uid="{069EFDE7-BE22-47E6-8B5A-6E8C2BFFB070}" name="Chemical compound"/>
    <tableColumn id="5" xr3:uid="{99DFFE80-97C4-407C-B632-A31B2385DDD6}" name="Urea source"/>
    <tableColumn id="6" xr3:uid="{9507C431-16A1-47BC-B62A-E49FC71A3D8E}" name="Ammonia source"/>
    <tableColumn id="7" xr3:uid="{D0D68824-AD95-4498-B092-C103C6F70B78}" name="Quantity"/>
    <tableColumn id="8" xr3:uid="{EB35243C-50CC-4EA3-90B8-B8510F403176}" name="Quantity Unit">
      <calculatedColumnFormula array="1">Common_InputFunctions.Utility_DisplayArrayInTable(Scope3_SourceData.Scope3_InorganicFertilisers_Data(), Table_SourceData_Scope3_InorganicFertiliser[[#Headers],[Category]], 0, -2)</calculatedColumnFormula>
    </tableColumn>
    <tableColumn id="9" xr3:uid="{FFC9448C-BD35-4A6B-8719-362FE0AAF77E}"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18105F85-B34C-4DB2-B41A-733026DD7F27}" name="System boundary" dataDxfId="188"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97638DB-166E-4163-805C-17B556FC4BD8}" name="Table_SourceData_Scope3_Other" displayName="Table_SourceData_Scope3_Other" ref="D201:I209" totalsRowShown="0" dataDxfId="187"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F6410997-F9A7-4BD8-AEB9-8884D481CBF8}" name="Category" dataDxfId="186" dataCellStyle="Content normal">
      <calculatedColumnFormula array="1">Common_InputFunctions.Utility_DisplayArrayInTable(Scope3_SourceData.Scope3_Other_Data(), Table_SourceData_Scope3_Other[[#Headers],[Category]], 0, 2)</calculatedColumnFormula>
    </tableColumn>
    <tableColumn id="2" xr3:uid="{8DB128AE-F9DF-4B84-8131-48500F20D023}" name="Product" dataDxfId="185" dataCellStyle="Content normal">
      <calculatedColumnFormula array="1">Common_InputFunctions.Utility_DisplayArrayInTable(Scope3_SourceData.Scope3_Other_Data(), Table_SourceData_Scope3_Other[[#Headers],[Category]], 0, 2)</calculatedColumnFormula>
    </tableColumn>
    <tableColumn id="3" xr3:uid="{4370BBB2-0E5C-4E5A-B1A0-F2FA82449163}" name="Region of origin" dataDxfId="184" dataCellStyle="Content normal">
      <calculatedColumnFormula array="1">Common_InputFunctions.Utility_DisplayArrayInTable(Scope3_SourceData.Scope3_Other_Data(), Table_SourceData_Scope3_Other[[#Headers],[Category]], 0, 2)</calculatedColumnFormula>
    </tableColumn>
    <tableColumn id="8" xr3:uid="{68EC65E7-5761-45E6-96F5-74736446CCF9}" name="Quantity Unit" dataDxfId="183" dataCellStyle="Content normal">
      <calculatedColumnFormula array="1">Common_InputFunctions.Utility_DisplayArrayInTable(Scope3_SourceData.Scope3_Other_Data(), Table_SourceData_Scope3_Other[[#Headers],[Category]], 0, 2)</calculatedColumnFormula>
    </tableColumn>
    <tableColumn id="9" xr3:uid="{43F50CA3-CE6D-4B57-AA48-01CD24BEE989}" name="AusLCI Emissions intensity" dataDxfId="182" dataCellStyle="Content normal">
      <calculatedColumnFormula array="1">Common_InputFunctions.Utility_DisplayArrayInTable(Scope3_SourceData.Scope3_Other_Data(), Table_SourceData_Scope3_Other[[#Headers],[Category]], 0, 2)</calculatedColumnFormula>
    </tableColumn>
    <tableColumn id="10" xr3:uid="{70B22A5C-8442-4628-B204-42CC3C41643B}" name="System boundary" dataDxfId="181"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3C9BDE94-A1B9-4073-B8FD-B84D9BCD5B34}" name="Table_SourceData_Scope3_Packaging" displayName="Table_SourceData_Scope3_Packaging" ref="D212:I216" totalsRowShown="0" dataDxfId="180"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189116C1-3CBF-4ACE-BE33-7C5E174E58D9}" name="Category" dataDxfId="179" dataCellStyle="Content normal">
      <calculatedColumnFormula array="1">Common_InputFunctions.Utility_DisplayArrayInTable(Scope3_SourceData.Scope3_Packaging_Data(), Table_SourceData_Scope3_Packaging[[#Headers],[Category]], 0, 2)</calculatedColumnFormula>
    </tableColumn>
    <tableColumn id="2" xr3:uid="{3F042704-39D6-4501-BCF6-3C77E6B12760}" name="Product" dataDxfId="178" dataCellStyle="Content normal">
      <calculatedColumnFormula array="1">Common_InputFunctions.Utility_DisplayArrayInTable(Scope3_SourceData.Scope3_Packaging_Data(), Table_SourceData_Scope3_Packaging[[#Headers],[Category]], 0, 2)</calculatedColumnFormula>
    </tableColumn>
    <tableColumn id="3" xr3:uid="{ECA77453-0F53-4444-96AF-F6C6807A36BC}" name="Region of origin" dataDxfId="177" dataCellStyle="Content normal">
      <calculatedColumnFormula array="1">Common_InputFunctions.Utility_DisplayArrayInTable(Scope3_SourceData.Scope3_Packaging_Data(), Table_SourceData_Scope3_Packaging[[#Headers],[Category]], 0, 2)</calculatedColumnFormula>
    </tableColumn>
    <tableColumn id="8" xr3:uid="{8F2CC9A6-67F7-40A7-808F-31A6510489F6}" name="Quantity Unit" dataDxfId="176" dataCellStyle="Content normal">
      <calculatedColumnFormula array="1">Common_InputFunctions.Utility_DisplayArrayInTable(Scope3_SourceData.Scope3_Packaging_Data(), Table_SourceData_Scope3_Packaging[[#Headers],[Category]], 0, 2)</calculatedColumnFormula>
    </tableColumn>
    <tableColumn id="9" xr3:uid="{CE4CBDAC-AC3A-49C3-97B5-A88C8F1C79B9}" name="AusLCI Emissions intensity" dataDxfId="175" dataCellStyle="Content normal">
      <calculatedColumnFormula array="1">Common_InputFunctions.Utility_DisplayArrayInTable(Scope3_SourceData.Scope3_Packaging_Data(), Table_SourceData_Scope3_Packaging[[#Headers],[Category]], 0, 2)</calculatedColumnFormula>
    </tableColumn>
    <tableColumn id="10" xr3:uid="{0E1DEA81-E478-4A48-951F-2287DC08E764}" name="System boundary" dataDxfId="174"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451A856E-534A-4794-BC49-E9EB81825BC3}" name="Table_SourceData_Scope3_Pesticides" displayName="Table_SourceData_Scope3_Pesticides" ref="D219:I231" totalsRowShown="0" dataDxfId="173"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D13A2052-CD4D-46D3-9EA4-8AE7FF1A0271}" name="Category" dataDxfId="172" dataCellStyle="Content normal">
      <calculatedColumnFormula array="1">Common_InputFunctions.Utility_DisplayArrayInTable(Scope3_SourceData.Scope3_Pesticides_Data(), Table_SourceData_Scope3_Pesticides[[#Headers],[Category]], 0, 2)</calculatedColumnFormula>
    </tableColumn>
    <tableColumn id="2" xr3:uid="{DCA27EAA-C2A7-469C-9E06-3F762DF7CC76}" name="Product" dataDxfId="171" dataCellStyle="Content normal">
      <calculatedColumnFormula array="1">Common_InputFunctions.Utility_DisplayArrayInTable(Scope3_SourceData.Scope3_Pesticides_Data(), Table_SourceData_Scope3_Pesticides[[#Headers],[Category]], 0, 2)</calculatedColumnFormula>
    </tableColumn>
    <tableColumn id="3" xr3:uid="{C4FDD87B-CDC7-4F51-BB52-B2AF29645EFD}" name="Region of origin" dataDxfId="170" dataCellStyle="Content normal">
      <calculatedColumnFormula array="1">Common_InputFunctions.Utility_DisplayArrayInTable(Scope3_SourceData.Scope3_Pesticides_Data(), Table_SourceData_Scope3_Pesticides[[#Headers],[Category]], 0, 2)</calculatedColumnFormula>
    </tableColumn>
    <tableColumn id="8" xr3:uid="{7DD05146-553F-45B3-A391-29A4885630EF}" name="Quantity Unit" dataDxfId="169" dataCellStyle="Content normal">
      <calculatedColumnFormula array="1">Common_InputFunctions.Utility_DisplayArrayInTable(Scope3_SourceData.Scope3_Pesticides_Data(), Table_SourceData_Scope3_Pesticides[[#Headers],[Category]], 0, 2)</calculatedColumnFormula>
    </tableColumn>
    <tableColumn id="9" xr3:uid="{A0714AA2-E830-4043-9458-5A4CACE4AEC4}" name="AusLCI Emissions intensity" dataDxfId="168" dataCellStyle="Content normal">
      <calculatedColumnFormula array="1">Common_InputFunctions.Utility_DisplayArrayInTable(Scope3_SourceData.Scope3_Pesticides_Data(), Table_SourceData_Scope3_Pesticides[[#Headers],[Category]], 0, 2)</calculatedColumnFormula>
    </tableColumn>
    <tableColumn id="10" xr3:uid="{CDB774B7-CEE1-4F66-A655-3FBF9A4ED534}" name="System boundary" dataDxfId="167"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73887ECE-BC0C-4428-814B-0E07579EB19F}" name="Table_SourceData_Scope3_SoilAmeliorants" displayName="Table_SourceData_Scope3_SoilAmeliorants" ref="D234:I237" totalsRowShown="0" dataDxfId="166"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DE12A6EA-D2A5-4308-83D9-193E5829C001}" name="Category" dataDxfId="165" dataCellStyle="Content normal">
      <calculatedColumnFormula array="1">Common_InputFunctions.Utility_DisplayArrayInTable(Scope3_SourceData.Scope3_SoilAmendments_Data(), Table_SourceData_Scope3_SoilAmeliorants[[#Headers],[Category]], 0, 2)</calculatedColumnFormula>
    </tableColumn>
    <tableColumn id="2" xr3:uid="{6A3AC359-151D-49B1-9A85-8F95C5F604CD}" name="Product" dataDxfId="164" dataCellStyle="Content normal">
      <calculatedColumnFormula array="1">Common_InputFunctions.Utility_DisplayArrayInTable(Scope3_SourceData.Scope3_SoilAmendments_Data(), Table_SourceData_Scope3_SoilAmeliorants[[#Headers],[Category]], 0, 2)</calculatedColumnFormula>
    </tableColumn>
    <tableColumn id="3" xr3:uid="{E7302F6C-1898-439D-A0BD-B9CAF7EACBEB}" name="Region of origin" dataDxfId="163" dataCellStyle="Content normal">
      <calculatedColumnFormula array="1">Common_InputFunctions.Utility_DisplayArrayInTable(Scope3_SourceData.Scope3_SoilAmendments_Data(), Table_SourceData_Scope3_SoilAmeliorants[[#Headers],[Category]], 0, 2)</calculatedColumnFormula>
    </tableColumn>
    <tableColumn id="8" xr3:uid="{22EB39B4-5AE1-4194-BD66-A2D675F09649}" name="Quantity Unit" dataDxfId="162" dataCellStyle="Content normal">
      <calculatedColumnFormula array="1">Common_InputFunctions.Utility_DisplayArrayInTable(Scope3_SourceData.Scope3_SoilAmendments_Data(), Table_SourceData_Scope3_SoilAmeliorants[[#Headers],[Category]], 0, 2)</calculatedColumnFormula>
    </tableColumn>
    <tableColumn id="9" xr3:uid="{AD809A4B-A3E0-4EAC-8BDF-90E5F79B20C9}" name="AusLCI Emissions intensity" dataDxfId="161" dataCellStyle="Content normal">
      <calculatedColumnFormula array="1">Common_InputFunctions.Utility_DisplayArrayInTable(Scope3_SourceData.Scope3_SoilAmendments_Data(), Table_SourceData_Scope3_SoilAmeliorants[[#Headers],[Category]], 0, 2)</calculatedColumnFormula>
    </tableColumn>
    <tableColumn id="10" xr3:uid="{96C077D4-5A04-4E27-9406-47A60994F9D5}" name="System boundary" dataDxfId="160"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A17D6DBD-A8FF-4218-BB7A-26B1292A4AA2}" name="Table_SourceData_Scope3_ChemicalsPharmacy" displayName="Table_SourceData_Scope3_ChemicalsPharmacy" ref="D82:I86" totalsRowShown="0" dataDxfId="159"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0D4BA3B-20BC-4370-90C7-5FF8275E1845}" name="Category" dataDxfId="158" dataCellStyle="Content normal">
      <calculatedColumnFormula array="1">Common_InputFunctions.Utility_DisplayArrayInTable(Scope3_SourceData.Scope3_Chemicals_Data(), Table_SourceData_Scope3_ChemicalsPharmacy[[#Headers],[Category]], -3, 2)</calculatedColumnFormula>
    </tableColumn>
    <tableColumn id="2" xr3:uid="{B56597EE-563F-4DAB-8360-6ED85DD4BFBA}" name="Product" dataDxfId="157" dataCellStyle="Content normal">
      <calculatedColumnFormula array="1">Common_InputFunctions.Utility_DisplayArrayInTable(Scope3_SourceData.Scope3_Chemicals_Data(), Table_SourceData_Scope3_ChemicalsPharmacy[[#Headers],[Category]], -3, 2)</calculatedColumnFormula>
    </tableColumn>
    <tableColumn id="3" xr3:uid="{AF78693B-A61A-4BEB-AD08-E01B11E34130}" name="Region of origin" dataDxfId="156" dataCellStyle="Content normal">
      <calculatedColumnFormula array="1">Common_InputFunctions.Utility_DisplayArrayInTable(Scope3_SourceData.Scope3_Chemicals_Data(), Table_SourceData_Scope3_ChemicalsPharmacy[[#Headers],[Category]], -3, 2)</calculatedColumnFormula>
    </tableColumn>
    <tableColumn id="8" xr3:uid="{3EE4382B-C544-4A91-90FA-2EB1D82B5378}" name="Quantity Unit" dataDxfId="155" dataCellStyle="Content normal">
      <calculatedColumnFormula array="1">Common_InputFunctions.Utility_DisplayArrayInTable(Scope3_SourceData.Scope3_Chemicals_Data(), Table_SourceData_Scope3_ChemicalsPharmacy[[#Headers],[Category]], -3, 2)</calculatedColumnFormula>
    </tableColumn>
    <tableColumn id="9" xr3:uid="{83172F14-2F0B-4E97-AF20-2AB872775F5F}" name="AusLCI Emissions intensity" dataDxfId="154" dataCellStyle="Content normal">
      <calculatedColumnFormula array="1">Common_InputFunctions.Utility_DisplayArrayInTable(Scope3_SourceData.Scope3_Chemicals_Data(), Table_SourceData_Scope3_ChemicalsPharmacy[[#Headers],[Category]], -3, 2)</calculatedColumnFormula>
    </tableColumn>
    <tableColumn id="10" xr3:uid="{C25589C2-055D-4183-B2FD-92FCBB8968FF}" name="System boundary" dataDxfId="153"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DD03AFD-8738-4909-B511-CE2CC7CFF3F1}" name="Table_SourceData_Scope3_LickBlocks" displayName="Table_SourceData_Scope3_LickBlocks" ref="D167:I170" totalsRowShown="0" headerRowDxfId="152"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267BC0C1-ADA8-4481-9CB8-1F7AEFD41D39}" name="Category" dataDxfId="151" dataCellStyle="Content normal">
      <calculatedColumnFormula array="1">Common_InputFunctions.Utility_DisplayArrayInTable(Scope3_SourceData.Scope3_Feed_Data(), Table_SourceData_Scope3_LickBlocks[[#Headers],[Category]], -73, 2)</calculatedColumnFormula>
    </tableColumn>
    <tableColumn id="2" xr3:uid="{F8CFD6C9-2628-4F04-9D27-E7A042C30694}" name="Product" dataDxfId="150" dataCellStyle="Content normal">
      <calculatedColumnFormula array="1">Common_InputFunctions.Utility_DisplayArrayInTable(Scope3_SourceData.Scope3_Feed_Data(), Table_SourceData_Scope3_LickBlocks[[#Headers],[Category]], -73, 2)</calculatedColumnFormula>
    </tableColumn>
    <tableColumn id="3" xr3:uid="{D0CCE5B6-5D05-4F5C-A84F-E92F78E9967D}" name="Region of origin" dataDxfId="149" dataCellStyle="Content normal">
      <calculatedColumnFormula array="1">Common_InputFunctions.Utility_DisplayArrayInTable(Scope3_SourceData.Scope3_Feed_Data(), Table_SourceData_Scope3_LickBlocks[[#Headers],[Category]], -73, 2)</calculatedColumnFormula>
    </tableColumn>
    <tableColumn id="4" xr3:uid="{20BCB567-33AA-491A-B73B-DC4C1B51067E}" name="Quantity Unit" dataDxfId="148" dataCellStyle="Content normal">
      <calculatedColumnFormula array="1">Common_InputFunctions.Utility_DisplayArrayInTable(Scope3_SourceData.Scope3_Feed_Data(), Table_SourceData_Scope3_LickBlocks[[#Headers],[Category]], -73, 2)</calculatedColumnFormula>
    </tableColumn>
    <tableColumn id="5" xr3:uid="{7E64BEA3-F42D-457B-BF82-09D6D9275B57}" name="AusLCI Emissions intensity" dataDxfId="147" dataCellStyle="Content normal">
      <calculatedColumnFormula array="1">Common_InputFunctions.Utility_DisplayArrayInTable(Scope3_SourceData.Scope3_Feed_Data(), Table_SourceData_Scope3_LickBlocks[[#Headers],[Category]], -73, 2)</calculatedColumnFormula>
    </tableColumn>
    <tableColumn id="6" xr3:uid="{99B6ECED-F7ED-41EB-B4A3-974891436D7F}" name="System boundary" dataDxfId="146"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FD28DFC6-19C8-4187-AD7E-0A6747997181}" name="Table_SourceData_Scope3_MixedRations" displayName="Table_SourceData_Scope3_MixedRations" ref="D161:I165" totalsRowShown="0" headerRowDxfId="145"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5E078CE5-9AD9-43B7-8AEC-AD4F8A365778}" name="Category" dataDxfId="144" dataCellStyle="Content normal">
      <calculatedColumnFormula array="1">Common_InputFunctions.Utility_DisplayArrayInTable(Scope3_SourceData.Scope3_Feed_Data(), Table_SourceData_Scope3_MixedRations[[#Headers],[Category]], -66, 2)</calculatedColumnFormula>
    </tableColumn>
    <tableColumn id="2" xr3:uid="{8D6E9510-053F-40CE-A673-6036B68CFD37}" name="Product" dataDxfId="143" dataCellStyle="Content normal">
      <calculatedColumnFormula array="1">Common_InputFunctions.Utility_DisplayArrayInTable(Scope3_SourceData.Scope3_Feed_Data(), Table_SourceData_Scope3_MixedRations[[#Headers],[Category]], -66, 2)</calculatedColumnFormula>
    </tableColumn>
    <tableColumn id="3" xr3:uid="{AE8A3B30-8DA1-4376-8C18-E4CA2DB70BA3}" name="Region of origin" dataDxfId="142" dataCellStyle="Content normal">
      <calculatedColumnFormula array="1">Common_InputFunctions.Utility_DisplayArrayInTable(Scope3_SourceData.Scope3_Feed_Data(), Table_SourceData_Scope3_MixedRations[[#Headers],[Category]], -66, 2)</calculatedColumnFormula>
    </tableColumn>
    <tableColumn id="4" xr3:uid="{6826E181-8AB7-4704-BF7E-473B0F68948F}" name="Quantity Unit" dataDxfId="141" dataCellStyle="Content normal">
      <calculatedColumnFormula array="1">Common_InputFunctions.Utility_DisplayArrayInTable(Scope3_SourceData.Scope3_Feed_Data(), Table_SourceData_Scope3_MixedRations[[#Headers],[Category]], -66, 2)</calculatedColumnFormula>
    </tableColumn>
    <tableColumn id="5" xr3:uid="{8A572070-6E1C-4E30-B2BF-3653FAF236AF}" name="AusLCI Emissions intensity" dataDxfId="140" dataCellStyle="Content normal">
      <calculatedColumnFormula array="1">Common_InputFunctions.Utility_DisplayArrayInTable(Scope3_SourceData.Scope3_Feed_Data(), Table_SourceData_Scope3_MixedRations[[#Headers],[Category]], -66, 2)</calculatedColumnFormula>
    </tableColumn>
    <tableColumn id="6" xr3:uid="{EEC88C44-C616-481D-B021-ADAE5681D899}" name="System boundary" dataDxfId="139"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CAD22BBD-6E6B-47D2-A30C-B22A4A59FAC3}"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01A0AFF1-C38E-46D1-9321-36354A00FD5C}" name="Product">
      <calculatedColumnFormula>Table_SourceData_Scope3_Feed[[#This Row],[Product]]</calculatedColumnFormula>
    </tableColumn>
    <tableColumn id="2" xr3:uid="{470E6002-92FB-4CA9-9B1E-A5E3718A3934}" name="Region">
      <calculatedColumnFormula>Table_SourceData_Scope3_Feed[[#This Row],[Region of origin]]</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26B95B89-6064-4810-87A2-03D45A2C457A}"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D6FAD28F-A18D-4B05-9242-F6295996F300}" name="Product">
      <calculatedColumnFormula>Table_SourceData_Scope3_Feed[[#This Row],[Product]]</calculatedColumnFormula>
    </tableColumn>
    <tableColumn id="2" xr3:uid="{4070DD9C-77A2-41D8-A6DD-8879B3C39E01}" name="Region">
      <calculatedColumnFormula>Table_SourceData_Scope3_Feed[[#This Row],[Region of origin]]</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2E17D62A-6D3C-45ED-9D88-369579C9D4FC}" name="Table_ProductRegions_Maizegrain" displayName="Table_ProductRegions_Maizegrain" ref="K98:L105" totalsRowShown="0" headerRowDxfId="138" headerRowCellStyle="Content normal">
  <autoFilter ref="K98:L105" xr:uid="{70F320A7-5DBE-4A83-91E4-C9B3BDA564BD}">
    <filterColumn colId="0" hiddenButton="1"/>
    <filterColumn colId="1" hiddenButton="1"/>
  </autoFilter>
  <tableColumns count="2">
    <tableColumn id="1" xr3:uid="{D99180EF-A0EB-4353-B175-593899821291}" name="Product">
      <calculatedColumnFormula>Table_SourceData_Scope3_Feed[[#This Row],[Product]]</calculatedColumnFormula>
    </tableColumn>
    <tableColumn id="2" xr3:uid="{B509FC28-62F6-47F1-A517-4E29A4D880BE}" name="Region">
      <calculatedColumnFormula>Table_SourceData_Scope3_Feed[[#This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4F13EED-B16E-4E0A-A4FC-F8E5D3754B1B}" name="Table_ProductRegions_Sorghumgrain" displayName="Table_ProductRegions_Sorghumgrain" ref="N105:O110" totalsRowShown="0" headerRowDxfId="137" headerRowCellStyle="Content normal">
  <autoFilter ref="N105:O110" xr:uid="{90205417-8A77-41A3-A4E2-624BD92B7269}">
    <filterColumn colId="0" hiddenButton="1"/>
    <filterColumn colId="1" hiddenButton="1"/>
  </autoFilter>
  <tableColumns count="2">
    <tableColumn id="1" xr3:uid="{B5FE0672-F657-42AC-A2D9-16EB34A46535}" name="Product">
      <calculatedColumnFormula>Table_SourceData_Scope3_Feed[[#This Row],[Product]]</calculatedColumnFormula>
    </tableColumn>
    <tableColumn id="2" xr3:uid="{38C09511-ABC6-475A-8EB2-5AA7BC4EC99F}"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23402CC4-9E00-48B0-A090-A81259224FBD}" name="Table_ProductRegions_Wheatgrain" displayName="Table_ProductRegions_Wheatgrain" ref="K110:L118" totalsRowShown="0" headerRowDxfId="136" headerRowCellStyle="Content normal">
  <autoFilter ref="K110:L118" xr:uid="{9DD7D3AD-59A1-48FC-B80D-99C25A2A79F5}">
    <filterColumn colId="0" hiddenButton="1"/>
    <filterColumn colId="1" hiddenButton="1"/>
  </autoFilter>
  <tableColumns count="2">
    <tableColumn id="1" xr3:uid="{4909F250-473F-4037-8F5A-AB66E0FF4A72}" name="Product">
      <calculatedColumnFormula>Table_SourceData_Scope3_Feed[[#This Row],[Product]]</calculatedColumnFormula>
    </tableColumn>
    <tableColumn id="2" xr3:uid="{425A4F40-013B-4B0F-8961-5EBDB8B34701}"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60A7E24-A5F9-448C-8EB2-8572483837BD}"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4023347D-8A28-4EB7-BAFE-F46CBB5CD7EE}" name="Product">
      <calculatedColumnFormula>Table_SourceData_Scope3_Feed[[#This Row],[Product]]</calculatedColumnFormula>
    </tableColumn>
    <tableColumn id="2" xr3:uid="{15980FE3-7C29-41D7-8822-3EBCF9605F5B}"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B1A4D9B0-B95D-47E5-8875-DEDB692DA561}"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04679D20-B6A7-45B4-BD60-E0F710D6C238}" name="Product">
      <calculatedColumnFormula>Table_SourceData_Scope3_Feed[[#This Row],[Product]]</calculatedColumnFormula>
    </tableColumn>
    <tableColumn id="2" xr3:uid="{DC0C4070-03C0-49B3-BEAA-9D48892244C5}"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64B0A5EF-2CBD-464D-B87E-693DE8BFDC7E}"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3BA23995-F3B9-443A-BA12-7CB57D7786B6}" name="Product">
      <calculatedColumnFormula>Table_SourceData_Scope3_Feed[[#This Row],[Product]]</calculatedColumnFormula>
    </tableColumn>
    <tableColumn id="2" xr3:uid="{1B7608A0-308A-4FFC-801F-4B13F6F147DE}"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BAB91747-0A3B-43D6-A29E-0FAC01623836}"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D5CB7D47-5DD2-47A1-A9BD-E1D7D39DD36A}" name="Product">
      <calculatedColumnFormula>Table_SourceData_Scope3_Feed[[#This Row],[Product]]</calculatedColumnFormula>
    </tableColumn>
    <tableColumn id="2" xr3:uid="{3DA4E61F-9269-4031-8F42-BC26FAF639A7}"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E90C0BBE-C534-42DE-8B03-0CD8E922955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75AB5E27-A657-4089-838E-1BADA853C5E0}" name="Product">
      <calculatedColumnFormula>Table_SourceData_Scope3_Feed[[#This Row],[Product]]</calculatedColumnFormula>
    </tableColumn>
    <tableColumn id="2" xr3:uid="{A05FB2A4-A36E-493E-9326-3C3D05A89815}"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39852E3-D916-4BC3-9AA7-D184550D8101}" name="Table_ProductRegions_Canolameal" displayName="Table_ProductRegions_Canolameal" ref="K151:L152" totalsRowShown="0" headerRowDxfId="135" headerRowCellStyle="Content normal" dataCellStyle="Content normal">
  <autoFilter ref="K151:L152" xr:uid="{58F78B6F-294E-4D4E-8E3B-BFE4FA85583E}">
    <filterColumn colId="0" hiddenButton="1"/>
    <filterColumn colId="1" hiddenButton="1"/>
  </autoFilter>
  <tableColumns count="2">
    <tableColumn id="1" xr3:uid="{6D3C9B80-D39D-4545-9AF6-6FD28A4CDD58}" name="Product" dataCellStyle="Content normal">
      <calculatedColumnFormula>Table_SourceData_Scope3_Feed[[#This Row],[Product]]</calculatedColumnFormula>
    </tableColumn>
    <tableColumn id="2" xr3:uid="{9C897DF3-E878-440F-8BA9-7E88F675658B}"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2D83C28-96E1-4181-93DC-BC3EB5A3AF96}"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972E5587-6B0A-4296-AF72-C29606177594}" name="Product">
      <calculatedColumnFormula>Table_SourceData_Scope3_Feed[[#This Row],[Product]]</calculatedColumnFormula>
    </tableColumn>
    <tableColumn id="2" xr3:uid="{6D9F0E7C-6053-488D-86B4-F43687B79E7B}" name="Region">
      <calculatedColumnFormula>Table_SourceData_Scope3_Feed[[#This Row],[Region of origin]]</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9DFDA445-119F-4EAD-8F60-23F99A231FC4}"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987A083E-867E-455E-B485-55D84E7543C5}" name="Product">
      <calculatedColumnFormula>Table_SourceData_Scope3_Feed[[#This Row],[Product]]</calculatedColumnFormula>
    </tableColumn>
    <tableColumn id="2" xr3:uid="{DC5F881E-9C31-4666-AAD5-D654A320EF69}" name="Region">
      <calculatedColumnFormula>Table_SourceData_Scope3_Feed[[#This Row],[Region of origin]]</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E790157-65BF-48D5-A0B0-FB0BE01B45CE}"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76FF756C-8E1F-4D89-83DD-0F16EA67ECF9}" name="Product">
      <calculatedColumnFormula>Table_SourceData_Scope3_Feed[[#This Row],[Product]]</calculatedColumnFormula>
    </tableColumn>
    <tableColumn id="2" xr3:uid="{A37537F1-604C-491D-ABE5-1B56B2C0D3F8}" name="Region">
      <calculatedColumnFormula>Table_SourceData_Scope3_Feed[[#This Row],[Region of origin]]</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ECF7B51D-BFED-4EAF-AC89-5D3084D35EB6}"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FC597319-310A-484D-AE0C-B57CAEA16A5B}" name="Product">
      <calculatedColumnFormula>Table_SourceData_Scope3_Feed[[#This Row],[Product]]</calculatedColumnFormula>
    </tableColumn>
    <tableColumn id="2" xr3:uid="{D7CFAA80-7E32-4596-A192-8A7A5D9455EF}" name="Region">
      <calculatedColumnFormula>Table_SourceData_Scope3_Feed[[#This Row],[Region of origin]]</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102844AE-5AFC-49E1-8E24-2635F3B7E4E2}"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AD5143B9-8D6A-4072-A510-6CA52BFE2A89}" name="Product">
      <calculatedColumnFormula>Table_SourceData_Scope3_Feed[[#This Row],[Product]]</calculatedColumnFormula>
    </tableColumn>
    <tableColumn id="2" xr3:uid="{C7C7AF70-F13F-41C7-B9F1-6A2485EF516A}" name="Region">
      <calculatedColumnFormula>Table_SourceData_Scope3_Feed[[#This Row],[Region of origin]]</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2C473DCB-D762-49CF-930D-F0B5752A059D}"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7DF744C2-3B0C-48DA-9A85-C8C088D8A6DD}" name="Product">
      <calculatedColumnFormula>Table_SourceData_Scope3_Feed[[#This Row],[Product]]</calculatedColumnFormula>
    </tableColumn>
    <tableColumn id="2" xr3:uid="{B2E2274E-9910-4E4C-A46E-199A75DB1D42}" name="Region">
      <calculatedColumnFormula>Table_SourceData_Scope3_Feed[[#This Row],[Region of origin]]</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C3A1057-9BB3-457A-9D82-BE5BBB9DFBCC}"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B5FE8904-951E-42D8-9EAB-FD02FE87041D}" name="Product">
      <calculatedColumnFormula>Table_SourceData_Scope3_Feed[[#This Row],[Product]]</calculatedColumnFormula>
    </tableColumn>
    <tableColumn id="2" xr3:uid="{84842D0E-FB7A-4478-B701-DEE15470D48A}" name="Region">
      <calculatedColumnFormula>Table_SourceData_Scope3_Feed[[#This Row],[Region of origin]]</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68F25BA-9CA0-41E8-9D52-5C4D1ACEBF7E}"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39D4A5FB-9E7E-442D-902B-A8F19A264761}" name="Region"/>
    <tableColumn id="2" xr3:uid="{71FDEE56-C592-49A1-A3DF-9D0292654A0E}" name="Scope3 regio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FA511D-1E33-4FA7-9E53-155741FDE4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7717A66-4BDA-43C0-BFCD-4A6F29AEE8A3}" name="State/Territory">
      <calculatedColumnFormula array="1">Common_InputFunctions.Utility_DisplayArrayInTable(Common_SourceData.Common_SourceData_AustralianStatesTerritories_Data(),Table_AustralianStates[[#Headers],[State/Territory]],0)</calculatedColumnFormula>
    </tableColumn>
    <tableColumn id="2" xr3:uid="{D6D2A619-26C3-4096-9C5E-261DB4783E3F}" name="Common Name">
      <calculatedColumnFormula array="1">Common_InputFunctions.Utility_DisplayArrayInTable(Common_SourceData.Common_SourceData_AustralianStatesTerritories_Data(),Table_AustralianStates[[#Headers],[State/Territory]],0)</calculatedColumnFormula>
    </tableColumn>
    <tableColumn id="3" xr3:uid="{8F8F275A-708B-458E-9ABF-5295B622DDF7}"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51EF82-BC21-4875-B405-6D0F230C2B8D}" name="Table_WASA4Areas" displayName="Table_WASA4Areas" ref="D20:D30" totalsRowShown="0">
  <autoFilter ref="D20:D30" xr:uid="{5FA81339-C6C8-4D36-BEEA-6C4AEDD9E676}">
    <filterColumn colId="0" hiddenButton="1"/>
  </autoFilter>
  <tableColumns count="1">
    <tableColumn id="1" xr3:uid="{0A16A557-CD1A-4230-A0E4-670FBDA4CD0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5B4B0-BD4E-4903-9096-ED3FE0A9167C}" name="Table_GWPData" displayName="Table_GWPData" ref="D36:E43" totalsRowShown="0">
  <autoFilter ref="D36:E43" xr:uid="{B8E87A66-3E41-4AD3-925D-01EE21B43D7A}">
    <filterColumn colId="0" hiddenButton="1"/>
    <filterColumn colId="1" hiddenButton="1"/>
  </autoFilter>
  <tableColumns count="2">
    <tableColumn id="1" xr3:uid="{9BFA3AA7-7549-47B7-8147-49CC22B23598}" name="Gas">
      <calculatedColumnFormula array="1">Common_InputFunctions.Utility_DisplayArrayInTable(Common_SourceData.Common_SourceData_GWP_Data(), Table_GWPData[[#Headers],[Gas]], 0)</calculatedColumnFormula>
    </tableColumn>
    <tableColumn id="2" xr3:uid="{56BBDB36-E3BB-4678-8824-A909AEED8E4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6C67C36-18E1-4B8A-BFF1-35CF3DC4AC8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BBB9D5-7AA2-41EA-B99D-63DD8E7116D6}" name="Gas">
      <calculatedColumnFormula array="1">Common_InputFunctions.Utility_DisplayArrayInTable(Common_SourceData.Common_SourceData_ConvertGasElementalToMolecular_Data(),Table_GasToMolecularConversionFactor[[#Headers],[Gas]], 0)</calculatedColumnFormula>
    </tableColumn>
    <tableColumn id="5" xr3:uid="{1F10E85A-E8E7-4403-B922-7CD822BDAAAC}" name="Conversion factor">
      <calculatedColumnFormula array="1">Common_InputFunctions.Utility_DisplayArrayInTable(Common_SourceData.Common_SourceData_ConvertGasElementalToMolecular_Data(),Table_GasToMolecularConversionFactor[[#Headers],[Gas]], 0)</calculatedColumnFormula>
    </tableColumn>
    <tableColumn id="2" xr3:uid="{A186BBCE-16ED-4C60-8611-6582C90E465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1D6C7D2-A210-4091-8447-15F9317092F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B5653AF-5CD0-44F6-827E-4F17D013B028}"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6C8105-982C-4B9F-A603-F884FE56E1B4}"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D61DF3B-A431-4956-B923-158AD5BF4554}"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7D098C-8B59-4F56-B373-2BF7AAA9A607}" name="MAT" totalsRowDxfId="134" totalsRowCellStyle="Content bold">
      <calculatedColumnFormula array="1">Common_InputFunctions.Utility_DisplayArrayInTable(Common_SourceData.Common_SourceData_ClimateZones_Data(), Table_SourceData_ClimateZones[[#Headers],[Climate zone]], 0)</calculatedColumnFormula>
    </tableColumn>
    <tableColumn id="3" xr3:uid="{827CC720-B781-4728-ABFA-68C972B57850}" name="MAP"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4" xr3:uid="{38653B97-E186-444A-AFBD-15CE44DEBED7}" name="Frost days per year"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5" xr3:uid="{735BA31E-1D4B-45A4-B9FF-7F8ED5243D20}" name="Elevation"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6" xr3:uid="{370BE1BB-C3DF-4E43-B8DD-B18D69884A4B}" name="MAP:PET"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7" xr3:uid="{37A53713-47F8-4F27-9505-8BED300E0222}" name="Min temp"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8" xr3:uid="{D9399681-9FC5-41A0-A367-D4D41BBB28CA}" name="Max temp"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9" xr3:uid="{65211A71-1ABE-4E6D-843C-B0028543D400}" name="Min rainfall"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10" xr3:uid="{8ED03576-B413-4D12-B37A-5F11E15AA54D}" name="Max rainfall"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1" xr3:uid="{E749576A-EB5F-4709-BD15-9BD4E87548D5}" name="Min frost days"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5" xr3:uid="{61CC0B40-56FD-487C-A589-45456757E8A1}" name="Max frost days"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2" xr3:uid="{32B52E24-5576-47A4-A024-CDC090D88746}" name="Min elevation"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6" xr3:uid="{B4341912-AB7E-4E58-9B4D-9791D45FB352}" name="Max elevation"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3" xr3:uid="{67418986-6C11-45D0-A4DC-D7861BD61C09}" name="Min MAP:PET"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7" xr3:uid="{90614980-AE79-4306-A6ED-229525821D94}" name="Max 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28FD2E-DAAA-4D4F-BEFF-0E68A1F33AA0}"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FEB61CA1-B375-461F-AD5A-5B01A03F7A1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E3C7A00-6DDA-427C-9573-7908B05111FB}" name="Wet or Dry Zone" totalsRowDxfId="119"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436A27C-11D9-4092-B110-DE3B0C7D7A9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E477FC1-0E60-467C-87C8-DC619003DA7D}" name="Temperature Zone">
      <calculatedColumnFormula array="1">Common_InputFunctions.Utility_DisplayArrayInTable(Common_SourceData.Common_SourceData_TemperatureZones_Data(),Table_SourceData_TemperatureZones[[#Headers],[Temperature Zone]],0)</calculatedColumnFormula>
    </tableColumn>
    <tableColumn id="2" xr3:uid="{CD029E58-AF67-4858-BEF6-937BB536E757}" name="MAT">
      <calculatedColumnFormula array="1">Common_InputFunctions.Utility_DisplayArrayInTable(Common_SourceData.Common_SourceData_TemperatureZones_Data(),Table_SourceData_TemperatureZones[[#Headers],[Temperature Zone]],0)</calculatedColumnFormula>
    </tableColumn>
    <tableColumn id="3" xr3:uid="{5195427E-32DD-4977-88C7-473D17A15EDE}" name="Min MAT">
      <calculatedColumnFormula array="1">Common_InputFunctions.Utility_DisplayArrayInTable(Common_SourceData.Common_SourceData_TemperatureZones_Data(),Table_SourceData_TemperatureZones[[#Headers],[Temperature Zone]],0)</calculatedColumnFormula>
    </tableColumn>
    <tableColumn id="4" xr3:uid="{4C8D6B45-65E8-4A84-9B64-B4D1E990BE7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A9D31FA-C10A-401A-A990-FD7418530E07}"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A1896C80-5B23-4971-85DF-908C9411D636}" name="Rainfall Zone">
      <calculatedColumnFormula array="1">Common_InputFunctions.Utility_DisplayArrayInTable(Common_SourceData.Common_SourceData_RainfallZones_Data(),Table_SourceData_RainfallZones[[#Headers],[Rainfall Zone]],0)</calculatedColumnFormula>
    </tableColumn>
    <tableColumn id="2" xr3:uid="{776A729E-62FB-471E-9D55-F5C0C49DAFB1}" name="Annual rainfall">
      <calculatedColumnFormula array="1">Common_InputFunctions.Utility_DisplayArrayInTable(Common_SourceData.Common_SourceData_RainfallZones_Data(),Table_SourceData_RainfallZones[[#Headers],[Rainfall Zone]],0)</calculatedColumnFormula>
    </tableColumn>
    <tableColumn id="3" xr3:uid="{5C488583-1093-4920-BAEF-A4BD862E3623}" name="Min rainfall">
      <calculatedColumnFormula array="1">Common_InputFunctions.Utility_DisplayArrayInTable(Common_SourceData.Common_SourceData_RainfallZones_Data(),Table_SourceData_RainfallZones[[#Headers],[Rainfall Zone]],0)</calculatedColumnFormula>
    </tableColumn>
    <tableColumn id="4" xr3:uid="{EDCA589F-5D6E-4F25-A934-864B94D632C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C0B98FF-3B1A-4F33-9028-A6B26A7E6CE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BC50AC7-FEC1-431E-AD41-7CB9E130FE72}" name="Leaching Zone">
      <calculatedColumnFormula array="1">Common_InputFunctions.Utility_DisplayArrayInTable(Common_SourceData.Common_SourceData_LeachingZones_Data(), Table_SourceData_LeachingZones[[#Headers],[Leaching Zone]], 0)</calculatedColumnFormula>
    </tableColumn>
    <tableColumn id="2" xr3:uid="{ED997B4B-69AA-458D-AD94-F4C79A1B94D0}"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B321B1-DD2B-4EC5-AE20-D47C87F02BB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8CA1470-758E-4475-BE8B-25D35A86BE01}" name="Data source">
      <calculatedColumnFormula array="1">Common_InputFunctions.Utility_DisplayArrayInTable(Common_SourceData.Common_SourceData_DataScores_Scope3_Data(), Table_SourceData_DataScores_Scope3[[#Headers],[Data source]], 0)</calculatedColumnFormula>
    </tableColumn>
    <tableColumn id="2" xr3:uid="{1F17B60B-4C21-4D79-B503-2BB5C2CDDB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C890C4-4A77-40EC-A6C1-19C0895BD309}" name="Table_SourceData_FracWET" displayName="Table_SourceData_FracWET" ref="D134:E136" totalsRowShown="0">
  <autoFilter ref="D134:E136" xr:uid="{308E99BE-FE1F-47A4-B2CA-97217277C4E9}">
    <filterColumn colId="0" hiddenButton="1"/>
    <filterColumn colId="1" hiddenButton="1"/>
  </autoFilter>
  <tableColumns count="2">
    <tableColumn id="1" xr3:uid="{AEB37CE8-5689-4CCA-AF1D-E45E37F37CC1}" name="Is in leaching zone">
      <calculatedColumnFormula array="1">Common_InputFunctions.Utility_DisplayArrayInTable(Common_SourceData.Common_SourceData_FracWET_Data(),Table_SourceData_FracWET[[#Headers],[Is in leaching zone]],0)</calculatedColumnFormula>
    </tableColumn>
    <tableColumn id="2" xr3:uid="{8ABB6BDF-FE17-4B3B-BDE2-B9AAF30FF3BD}" name="FracWET" dataDxfId="118">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BB36C9A-81C9-4008-9621-02E7765F421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7F8F31AC-00F6-4249-87C9-3FC6FE61BBC6}" name="Production system j">
      <calculatedColumnFormula array="1">Common_InputFunctions.Utility_DisplayArrayInTable(Common_SourceData.Common_SourceData_EFN2O_Data(), Table_SourceData_Common_EFN2O[[#Headers],[Production system j]], 0)</calculatedColumnFormula>
    </tableColumn>
    <tableColumn id="2" xr3:uid="{C297EA64-FE6E-4A07-A69E-528AF5291D69}" name="EFN2O">
      <calculatedColumnFormula array="1">Common_InputFunctions.Utility_DisplayArrayInTable(Common_SourceData.Common_SourceData_EFN2O_Data(), Table_SourceData_Common_EFN2O[[#Headers],[Production system j]], 0)</calculatedColumnFormula>
    </tableColumn>
    <tableColumn id="3" xr3:uid="{6AF2FB50-AEC5-4A97-85DD-5BA28FE67661}" name="Production system only">
      <calculatedColumnFormula array="1">Common_InputFunctions.Utility_DisplayArrayInTable(Common_SourceData.Common_SourceData_EFN2O_Data(), Table_SourceData_Common_EFN2O[[#Headers],[Production system j]], 0)</calculatedColumnFormula>
    </tableColumn>
    <tableColumn id="4" xr3:uid="{86FFBCC3-0C43-4C00-A2EE-6BE3F2E4BF06}" name="Irrigation method">
      <calculatedColumnFormula array="1">Common_InputFunctions.Utility_DisplayArrayInTable(Common_SourceData.Common_SourceData_EFN2O_Data(), Table_SourceData_Common_EFN2O[[#Headers],[Production system j]], 0)</calculatedColumnFormula>
    </tableColumn>
    <tableColumn id="5" xr3:uid="{149802D4-7D06-4288-AFC4-EA24F6C8F48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1046769-5E78-4435-8902-BE2F7ED271E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EE4C9C2-CE36-41D3-A67F-CC85678D8B80}" name="Irrigation type i">
      <calculatedColumnFormula array="1">Common_InputFunctions.Utility_DisplayArrayInTable(Common_SourceData.Common_SourceData_FracWETIrrigation_Data(), Table_SourceData_FracWETIrrigation[[#Headers],[Irrigation type i]], 0)</calculatedColumnFormula>
    </tableColumn>
    <tableColumn id="2" xr3:uid="{DD5CBEE2-8756-4D0C-9A90-6E931CF609D0}" name="FracWET" dataDxfId="117"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D2D24A9-44B5-40A8-9D93-5D127038E49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6483A9E-91D3-4695-AB70-E830E24596D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127A673-CAEF-41F9-A48A-D438D3FFF619}" name="EFPRP" dataDxfId="116"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20A54E0-06E3-423D-998B-2E4A7C9A48F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2A66992-064C-4170-856F-B81D835CEE21}" name="Month">
      <calculatedColumnFormula array="1">Common_InputFunctions.Utility_DisplayArrayInTable(Common_SourceData.Common_SourceData_MonthsToSeasons_Data(), Table_SourceData_Common_MonthToSeason[[#Headers],[Month]], 0)</calculatedColumnFormula>
    </tableColumn>
    <tableColumn id="2" xr3:uid="{48B6FC8D-6503-4BB2-B07D-00597C808CB0}" name="Season" dataDxfId="115"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A63BFC-1602-47C1-AF55-49AA6B4633CD}"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344A8E3-CBAD-4F7E-B0CA-85C4550A31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C26B9B4-F509-4ACF-A306-F52C2D83B94C}" name="MAT (ºC)" dataDxfId="1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6D3FCFB-672E-43AB-BAD6-C5F3A36DC255}" name="Anaerobic lagoon"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6B0E39-9F46-4519-A952-1FCC90F0A23E}" name="Digester / covered lagoons"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CAB3566B-B894-433E-9D4A-4CA76B82C3BD}" name="Liquid systems"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D655DEC-7C3C-4046-9046-7ABE03AF26CA}" name="Daily spread"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C01C908-9F78-404B-A8A9-081231B6DBAF}" name="Composting (passive windrow)"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16BC200-DE2E-4607-9A3A-E48F6A72FB0F}" name="Solid storage"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D073AF2-25E0-49BE-825D-D38FD86B34D8}" name="Pit storage"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2C00D039-8FF7-4CF7-B97D-987BAE97BA35}" name="Deep litter"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3FD2E13-24D5-402A-8C77-E324B6925825}" name="Poultry manure with bedding"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6CCAA4CD-85BD-481B-A987-0719DD47798C}" name="Poultry manure without bedding"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540CA2-E51E-45F0-A036-45D45913194C}" name="Direct processing"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393A0B3F-42CD-412F-B1E5-79CF90491213}" name="Direct application"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4E9918F-2DF8-4DE9-AD76-C61362285599}" name="Pasture range and paddock"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E671AF8-F8E0-4322-B78A-1B6A3A96A4E0}" name="MAT raw"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49FFD0F-1699-4700-8323-CF2162C2663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2DE88A1-FD3E-429F-81D0-81A0580D58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3505652E-76CD-41ED-BC1F-830404A5E233}" name="EFNi &amp; EFN2Oi" dataDxfId="99"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F5BE0D3-7AFF-4F7F-8B4D-BB6FDAAE00FC}"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83D4A486-6068-480F-8D25-12AF5AD60B00}" name="Description"/>
    <tableColumn id="5" xr3:uid="{4AB9BA9F-3763-41F3-9A86-117CAE18463D}" name="Treatment type (select)" dataCellStyle="Input select"/>
    <tableColumn id="2" xr3:uid="{5A2AE32C-0446-441C-933F-5CD6E53AD4ED}" name="Waste type (select)" dataCellStyle="Input select"/>
    <tableColumn id="3" xr3:uid="{035B765E-2088-4013-9A71-9EB38D45B35C}" name="Treatment location (select)" dataCellStyle="Input select"/>
    <tableColumn id="4" xr3:uid="{34FF3E71-9F39-4758-B94F-841778A2265F}" name="Amount" dataCellStyle="Input number general"/>
    <tableColumn id="7" xr3:uid="{00686412-1AF2-4E69-8C27-BEEDBE33FC49}" name="Amount unit (select)" dataCellStyle="Input select"/>
  </tableColumns>
  <tableStyleInfo name="Editable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28C8EDC-439E-4685-923B-6B86029E92DA}"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A37FF417-C340-4966-B7CF-7FDDFCD8C9E2}"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FD44DB1B-2D9F-4521-A8EA-94AC3BFB81A2}" name="Waste type w" dataDxfId="9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861FF578-12B2-4137-B643-D351E05701FB}" name="EFwt" dataDxfId="9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E2340C86-6956-4179-BDEF-51543372D29D}" name="EF source" dataDxfId="9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3E4D483-A8B8-414B-B456-423EE8508511}"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07011775-3D65-4813-9DA4-C000ECCD3740}"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2C80D930-5640-45C6-BBEA-4CC6A8E9662B}" name="VTMw" dataDxfId="95"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308FF897-5C2F-428F-A99B-3363753F708F}" name="Table_WasteTypes_Landfill" displayName="Table_WasteTypes_Landfill" ref="I16:I27" totalsRowShown="0">
  <autoFilter ref="I16:I27" xr:uid="{99B942E3-1D24-4166-921C-DCC10960718D}">
    <filterColumn colId="0" hiddenButton="1"/>
  </autoFilter>
  <tableColumns count="1">
    <tableColumn id="1" xr3:uid="{6B911182-29EF-43AC-901B-E6C3E2F4701C}"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62B8249D-B12E-4291-8B69-3080A7CBF1E5}" name="Table_WasteTypes_Incineration" displayName="Table_WasteTypes_Incineration" ref="K16:K26" totalsRowShown="0" headerRowDxfId="94" headerRowCellStyle="Content normal" dataCellStyle="Content normal">
  <autoFilter ref="K16:K26" xr:uid="{9A900595-7035-4239-9059-ACC16835BF72}">
    <filterColumn colId="0" hiddenButton="1"/>
  </autoFilter>
  <tableColumns count="1">
    <tableColumn id="1" xr3:uid="{81D19729-7061-46F1-B5AF-6E3445F7AA19}" name="Waste type w" dataCellStyle="Content normal">
      <calculatedColumnFormula>E29</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5D28193-B742-43A0-836D-43C9F9E1E33E}" name="Table_WasteTypes_Composting" displayName="Table_WasteTypes_Composting" ref="M16:M21" totalsRowShown="0" headerRowDxfId="93" headerRowCellStyle="Content normal" dataCellStyle="Content normal">
  <autoFilter ref="M16:M21" xr:uid="{5C8D39D3-1330-49EB-B431-1B2B8C8238DC}">
    <filterColumn colId="0" hiddenButton="1"/>
  </autoFilter>
  <tableColumns count="1">
    <tableColumn id="1" xr3:uid="{C20C8435-02AC-4F21-A010-74DD400BD88A}" name="Waste type w" totalsRowDxfId="92" dataCellStyle="Content normal">
      <calculatedColumnFormula>E40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278BAFCA-F71E-422A-917B-4248FC64CDC8}" name="Table_WasteTypes_Anaerobicdigestion" displayName="Table_WasteTypes_Anaerobicdigestion" ref="O16:O21" totalsRowShown="0" headerRowDxfId="91" headerRowCellStyle="Content normal" dataCellStyle="Content normal">
  <autoFilter ref="O16:O21" xr:uid="{331EC43E-DF68-429F-A2A4-58BFE6216EC3}">
    <filterColumn colId="0" hiddenButton="1"/>
  </autoFilter>
  <tableColumns count="1">
    <tableColumn id="1" xr3:uid="{F2230AAD-92B5-4688-8228-50AE3D3593D3}" name="Waste type w" totalsRowDxfId="90" dataCellStyle="Content normal">
      <calculatedColumnFormula>E46</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649AEA-C2DD-4CCE-BD78-4E4A60F15D78}"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799515-1F1B-4AE1-8F47-AC88A112B8CE}" name="Input"/>
    <tableColumn id="2" xr3:uid="{8535F768-469F-42DB-AAAD-169DD3466D32}" name="Temporal representativeness" dataCellStyle="Input select"/>
    <tableColumn id="3" xr3:uid="{70F0E24C-A562-4808-B220-08FECACD0EE0}" name="Spatial resolution" dataCellStyle="Input select"/>
    <tableColumn id="4" xr3:uid="{C065CEE9-AC62-4E8F-B2FA-5FF9E257FA69}" name="Sample size" dataCellStyle="Input select"/>
    <tableColumn id="5" xr3:uid="{B98A3180-26B3-4A83-89BA-CF24C357F14F}" name="Notes"/>
    <tableColumn id="6" xr3:uid="{7348AD86-FB45-4668-8E55-755F6163055F}" name="Evidence files"/>
    <tableColumn id="7" xr3:uid="{B1144A54-FC6A-46C0-9F58-238AA33F3565}" name="Score" dataCellStyle="Input number general calculated"/>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printerSettings" Target="../printerSettings/printerSettings6.bin"/><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 Id="rId9"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printerSettings" Target="../printerSettings/printerSettings19.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27.xml"/><Relationship Id="rId7" Type="http://schemas.openxmlformats.org/officeDocument/2006/relationships/table" Target="../tables/table31.xml"/><Relationship Id="rId2" Type="http://schemas.openxmlformats.org/officeDocument/2006/relationships/table" Target="../tables/table26.xml"/><Relationship Id="rId1" Type="http://schemas.openxmlformats.org/officeDocument/2006/relationships/printerSettings" Target="../printerSettings/printerSettings20.bin"/><Relationship Id="rId6" Type="http://schemas.openxmlformats.org/officeDocument/2006/relationships/table" Target="../tables/table30.xml"/><Relationship Id="rId5" Type="http://schemas.openxmlformats.org/officeDocument/2006/relationships/table" Target="../tables/table29.xml"/><Relationship Id="rId4"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40.xml"/><Relationship Id="rId3" Type="http://schemas.openxmlformats.org/officeDocument/2006/relationships/table" Target="../tables/table35.xml"/><Relationship Id="rId7" Type="http://schemas.openxmlformats.org/officeDocument/2006/relationships/table" Target="../tables/table39.xml"/><Relationship Id="rId12" Type="http://schemas.openxmlformats.org/officeDocument/2006/relationships/table" Target="../tables/table44.xml"/><Relationship Id="rId2" Type="http://schemas.openxmlformats.org/officeDocument/2006/relationships/table" Target="../tables/table34.xml"/><Relationship Id="rId1" Type="http://schemas.openxmlformats.org/officeDocument/2006/relationships/printerSettings" Target="../printerSettings/printerSettings21.bin"/><Relationship Id="rId6" Type="http://schemas.openxmlformats.org/officeDocument/2006/relationships/table" Target="../tables/table38.xml"/><Relationship Id="rId11" Type="http://schemas.openxmlformats.org/officeDocument/2006/relationships/table" Target="../tables/table43.xml"/><Relationship Id="rId5" Type="http://schemas.openxmlformats.org/officeDocument/2006/relationships/table" Target="../tables/table37.xml"/><Relationship Id="rId10" Type="http://schemas.openxmlformats.org/officeDocument/2006/relationships/table" Target="../tables/table42.xml"/><Relationship Id="rId4" Type="http://schemas.openxmlformats.org/officeDocument/2006/relationships/table" Target="../tables/table36.xml"/><Relationship Id="rId9" Type="http://schemas.openxmlformats.org/officeDocument/2006/relationships/table" Target="../tables/table41.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7.xml"/><Relationship Id="rId7" Type="http://schemas.openxmlformats.org/officeDocument/2006/relationships/table" Target="../tables/table51.xml"/><Relationship Id="rId2" Type="http://schemas.openxmlformats.org/officeDocument/2006/relationships/table" Target="../tables/table46.xml"/><Relationship Id="rId1" Type="http://schemas.openxmlformats.org/officeDocument/2006/relationships/table" Target="../tables/table45.xml"/><Relationship Id="rId6" Type="http://schemas.openxmlformats.org/officeDocument/2006/relationships/table" Target="../tables/table50.xml"/><Relationship Id="rId5" Type="http://schemas.openxmlformats.org/officeDocument/2006/relationships/table" Target="../tables/table49.xml"/><Relationship Id="rId4" Type="http://schemas.openxmlformats.org/officeDocument/2006/relationships/table" Target="../tables/table48.xml"/></Relationships>
</file>

<file path=xl/worksheets/_rels/sheet32.xml.rels><?xml version="1.0" encoding="UTF-8" standalone="yes"?>
<Relationships xmlns="http://schemas.openxmlformats.org/package/2006/relationships"><Relationship Id="rId8" Type="http://schemas.openxmlformats.org/officeDocument/2006/relationships/table" Target="../tables/table59.xml"/><Relationship Id="rId13" Type="http://schemas.openxmlformats.org/officeDocument/2006/relationships/table" Target="../tables/table64.xml"/><Relationship Id="rId18" Type="http://schemas.openxmlformats.org/officeDocument/2006/relationships/table" Target="../tables/table69.xml"/><Relationship Id="rId26" Type="http://schemas.openxmlformats.org/officeDocument/2006/relationships/table" Target="../tables/table77.xml"/><Relationship Id="rId3" Type="http://schemas.openxmlformats.org/officeDocument/2006/relationships/table" Target="../tables/table54.xml"/><Relationship Id="rId21" Type="http://schemas.openxmlformats.org/officeDocument/2006/relationships/table" Target="../tables/table72.xml"/><Relationship Id="rId7" Type="http://schemas.openxmlformats.org/officeDocument/2006/relationships/table" Target="../tables/table58.xml"/><Relationship Id="rId12" Type="http://schemas.openxmlformats.org/officeDocument/2006/relationships/table" Target="../tables/table63.xml"/><Relationship Id="rId17" Type="http://schemas.openxmlformats.org/officeDocument/2006/relationships/table" Target="../tables/table68.xml"/><Relationship Id="rId25" Type="http://schemas.openxmlformats.org/officeDocument/2006/relationships/table" Target="../tables/table76.xml"/><Relationship Id="rId2" Type="http://schemas.openxmlformats.org/officeDocument/2006/relationships/table" Target="../tables/table53.xml"/><Relationship Id="rId16" Type="http://schemas.openxmlformats.org/officeDocument/2006/relationships/table" Target="../tables/table67.xml"/><Relationship Id="rId20" Type="http://schemas.openxmlformats.org/officeDocument/2006/relationships/table" Target="../tables/table71.xml"/><Relationship Id="rId29" Type="http://schemas.openxmlformats.org/officeDocument/2006/relationships/table" Target="../tables/table80.xml"/><Relationship Id="rId1" Type="http://schemas.openxmlformats.org/officeDocument/2006/relationships/table" Target="../tables/table52.xml"/><Relationship Id="rId6" Type="http://schemas.openxmlformats.org/officeDocument/2006/relationships/table" Target="../tables/table57.xml"/><Relationship Id="rId11" Type="http://schemas.openxmlformats.org/officeDocument/2006/relationships/table" Target="../tables/table62.xml"/><Relationship Id="rId24" Type="http://schemas.openxmlformats.org/officeDocument/2006/relationships/table" Target="../tables/table75.xml"/><Relationship Id="rId5" Type="http://schemas.openxmlformats.org/officeDocument/2006/relationships/table" Target="../tables/table56.xml"/><Relationship Id="rId15" Type="http://schemas.openxmlformats.org/officeDocument/2006/relationships/table" Target="../tables/table66.xml"/><Relationship Id="rId23" Type="http://schemas.openxmlformats.org/officeDocument/2006/relationships/table" Target="../tables/table74.xml"/><Relationship Id="rId28" Type="http://schemas.openxmlformats.org/officeDocument/2006/relationships/table" Target="../tables/table79.xml"/><Relationship Id="rId10" Type="http://schemas.openxmlformats.org/officeDocument/2006/relationships/table" Target="../tables/table61.xml"/><Relationship Id="rId19" Type="http://schemas.openxmlformats.org/officeDocument/2006/relationships/table" Target="../tables/table70.xml"/><Relationship Id="rId4" Type="http://schemas.openxmlformats.org/officeDocument/2006/relationships/table" Target="../tables/table55.xml"/><Relationship Id="rId9" Type="http://schemas.openxmlformats.org/officeDocument/2006/relationships/table" Target="../tables/table60.xml"/><Relationship Id="rId14" Type="http://schemas.openxmlformats.org/officeDocument/2006/relationships/table" Target="../tables/table65.xml"/><Relationship Id="rId22" Type="http://schemas.openxmlformats.org/officeDocument/2006/relationships/table" Target="../tables/table73.xml"/><Relationship Id="rId27" Type="http://schemas.openxmlformats.org/officeDocument/2006/relationships/table" Target="../tables/table78.xml"/><Relationship Id="rId30" Type="http://schemas.openxmlformats.org/officeDocument/2006/relationships/table" Target="../tables/table81.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88.xml"/><Relationship Id="rId13" Type="http://schemas.openxmlformats.org/officeDocument/2006/relationships/table" Target="../tables/table93.xml"/><Relationship Id="rId18" Type="http://schemas.openxmlformats.org/officeDocument/2006/relationships/table" Target="../tables/table98.xml"/><Relationship Id="rId3" Type="http://schemas.openxmlformats.org/officeDocument/2006/relationships/table" Target="../tables/table83.xml"/><Relationship Id="rId7" Type="http://schemas.openxmlformats.org/officeDocument/2006/relationships/table" Target="../tables/table87.xml"/><Relationship Id="rId12" Type="http://schemas.openxmlformats.org/officeDocument/2006/relationships/table" Target="../tables/table92.xml"/><Relationship Id="rId17" Type="http://schemas.openxmlformats.org/officeDocument/2006/relationships/table" Target="../tables/table97.xml"/><Relationship Id="rId2" Type="http://schemas.openxmlformats.org/officeDocument/2006/relationships/table" Target="../tables/table82.xml"/><Relationship Id="rId16" Type="http://schemas.openxmlformats.org/officeDocument/2006/relationships/table" Target="../tables/table96.xml"/><Relationship Id="rId1" Type="http://schemas.openxmlformats.org/officeDocument/2006/relationships/printerSettings" Target="../printerSettings/printerSettings22.bin"/><Relationship Id="rId6" Type="http://schemas.openxmlformats.org/officeDocument/2006/relationships/table" Target="../tables/table86.xml"/><Relationship Id="rId11" Type="http://schemas.openxmlformats.org/officeDocument/2006/relationships/table" Target="../tables/table91.xml"/><Relationship Id="rId5" Type="http://schemas.openxmlformats.org/officeDocument/2006/relationships/table" Target="../tables/table85.xml"/><Relationship Id="rId15" Type="http://schemas.openxmlformats.org/officeDocument/2006/relationships/table" Target="../tables/table95.xml"/><Relationship Id="rId10" Type="http://schemas.openxmlformats.org/officeDocument/2006/relationships/table" Target="../tables/table90.xml"/><Relationship Id="rId4" Type="http://schemas.openxmlformats.org/officeDocument/2006/relationships/table" Target="../tables/table84.xml"/><Relationship Id="rId9" Type="http://schemas.openxmlformats.org/officeDocument/2006/relationships/table" Target="../tables/table89.xml"/><Relationship Id="rId14" Type="http://schemas.openxmlformats.org/officeDocument/2006/relationships/table" Target="../tables/table94.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99.xml"/><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3" Type="http://schemas.openxmlformats.org/officeDocument/2006/relationships/table" Target="../tables/table101.xml"/><Relationship Id="rId7" Type="http://schemas.openxmlformats.org/officeDocument/2006/relationships/table" Target="../tables/table105.xml"/><Relationship Id="rId2" Type="http://schemas.openxmlformats.org/officeDocument/2006/relationships/table" Target="../tables/table100.xml"/><Relationship Id="rId1" Type="http://schemas.openxmlformats.org/officeDocument/2006/relationships/printerSettings" Target="../printerSettings/printerSettings25.bin"/><Relationship Id="rId6" Type="http://schemas.openxmlformats.org/officeDocument/2006/relationships/table" Target="../tables/table104.xml"/><Relationship Id="rId5" Type="http://schemas.openxmlformats.org/officeDocument/2006/relationships/table" Target="../tables/table103.xml"/><Relationship Id="rId4" Type="http://schemas.openxmlformats.org/officeDocument/2006/relationships/table" Target="../tables/table10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10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49"/>
  <sheetViews>
    <sheetView zoomScaleNormal="100" workbookViewId="0">
      <selection activeCell="A49" sqref="A49"/>
    </sheetView>
  </sheetViews>
  <sheetFormatPr defaultRowHeight="15" x14ac:dyDescent="0.25"/>
  <sheetData>
    <row r="1" spans="1:1" ht="25.5" x14ac:dyDescent="0.35">
      <c r="A1" s="16" t="e" vm="1">
        <v>#VALUE!</v>
      </c>
    </row>
    <row r="3" spans="1:1" ht="15.75" x14ac:dyDescent="0.25">
      <c r="A3" s="263" t="str">
        <f>HYPERLINK("#'Home'!A1", "Home")</f>
        <v>Home</v>
      </c>
    </row>
    <row r="4" spans="1:1" ht="15.75" x14ac:dyDescent="0.25">
      <c r="A4" s="5" t="str">
        <f>HYPERLINK("#'Overview'!A1", "Overview")</f>
        <v>Overview</v>
      </c>
    </row>
    <row r="5" spans="1:1" ht="15.75" x14ac:dyDescent="0.25">
      <c r="A5" s="5" t="str">
        <f>HYPERLINK("#'Results'!A1", "Results")</f>
        <v>Results</v>
      </c>
    </row>
    <row r="8" spans="1:1" x14ac:dyDescent="0.25">
      <c r="A8" s="7" t="s">
        <v>0</v>
      </c>
    </row>
    <row r="9" spans="1:1" ht="15.75" x14ac:dyDescent="0.25">
      <c r="A9" s="5" t="str">
        <f>HYPERLINK("#'Input - Enterprise'!A1", "Enterprise")</f>
        <v>Enterprise</v>
      </c>
    </row>
    <row r="10" spans="1:1" ht="15.75" x14ac:dyDescent="0.25">
      <c r="A10" s="5" t="str">
        <f>HYPERLINK("#'Input - Site'!A1", "Site")</f>
        <v>Site</v>
      </c>
    </row>
    <row r="11" spans="1:1" ht="15.75" x14ac:dyDescent="0.25">
      <c r="A11" s="5" t="str">
        <f>HYPERLINK("#'Input - Crop'!A1", "Crop")</f>
        <v>Crop</v>
      </c>
    </row>
    <row r="12" spans="1:1" ht="15.75" x14ac:dyDescent="0.25">
      <c r="A12" s="5" t="str">
        <f>HYPERLINK("#'Input - Fert Prod System'!A1", "Fert Prod System")</f>
        <v>Fert Prod System</v>
      </c>
    </row>
    <row r="13" spans="1:1" ht="15.75" x14ac:dyDescent="0.25">
      <c r="A13" s="5" t="str">
        <f>HYPERLINK("#'Input - Fertiliser'!A1", "Fertiliser")</f>
        <v>Fertiliser</v>
      </c>
    </row>
    <row r="14" spans="1:1" ht="15.75" x14ac:dyDescent="0.25">
      <c r="A14" s="5" t="str">
        <f>HYPERLINK("#'Input - Fuel'!A1", "Fuel")</f>
        <v>Fuel</v>
      </c>
    </row>
    <row r="15" spans="1:1" ht="15.75" x14ac:dyDescent="0.25">
      <c r="A15" s="5" t="str">
        <f>HYPERLINK("#'Input - Electricity'!A1", "Electricity")</f>
        <v>Electricity</v>
      </c>
    </row>
    <row r="16" spans="1:1" ht="15.75" x14ac:dyDescent="0.25">
      <c r="A16" s="5" t="str">
        <f>HYPERLINK("#'Input - Farm Inputs'!A1", "Farm Inputs")</f>
        <v>Farm Inputs</v>
      </c>
    </row>
    <row r="17" spans="1:1" ht="15.75" x14ac:dyDescent="0.25">
      <c r="A17" s="5" t="str">
        <f>HYPERLINK("#'Input - Freight'!A1", "Freight")</f>
        <v>Freight</v>
      </c>
    </row>
    <row r="18" spans="1:1" ht="15.75" x14ac:dyDescent="0.25">
      <c r="A18" s="5" t="str">
        <f>HYPERLINK("#'Input - Manure sent off-site'!A1", "Manure sent off-site")</f>
        <v>Manure sent off-site</v>
      </c>
    </row>
    <row r="19" spans="1:1" ht="15.75" x14ac:dyDescent="0.25">
      <c r="A19" s="5" t="str">
        <f>HYPERLINK("#'Input - Solid waste'!A1", "Solid waste")</f>
        <v>Solid waste</v>
      </c>
    </row>
    <row r="20" spans="1:1" ht="15.75" x14ac:dyDescent="0.25">
      <c r="A20" s="5" t="str">
        <f>HYPERLINK("#'Input - Data quality'!A1", "Data quality")</f>
        <v>Data quality</v>
      </c>
    </row>
    <row r="23" spans="1:1" x14ac:dyDescent="0.25">
      <c r="A23" s="6" t="s">
        <v>2</v>
      </c>
    </row>
    <row r="24" spans="1:1" ht="15.75" x14ac:dyDescent="0.25">
      <c r="A24" s="5" t="str">
        <f>HYPERLINK("#'5.1.1.1-2 Inorganic fert N2O'!A1", "5.1.1.1-2 Inorganic fert N2O")</f>
        <v>5.1.1.1-2 Inorganic fert N2O</v>
      </c>
    </row>
    <row r="25" spans="1:1" ht="15.75" x14ac:dyDescent="0.25">
      <c r="A25" s="5" t="str">
        <f>HYPERLINK("#'5.1.1.3-4 Inorganic fert CO2'!A1", "5.1.1.3-4 Inorganic fert CO2")</f>
        <v>5.1.1.3-4 Inorganic fert CO2</v>
      </c>
    </row>
    <row r="26" spans="1:1" ht="15.75" x14ac:dyDescent="0.25">
      <c r="A26" s="5" t="str">
        <f>HYPERLINK("#'5.2.1.1-2 Organic Fert N2O'!A1", "5.2.1.1-2 Organic fert N2O")</f>
        <v>5.2.1.1-2 Organic fert N2O</v>
      </c>
    </row>
    <row r="27" spans="1:1" ht="15.75" x14ac:dyDescent="0.25">
      <c r="A27" s="5" t="str">
        <f>HYPERLINK("#'5.3.1.1-2 Lime CO2'!A1", "5.3.1.1-2 Lime CO2")</f>
        <v>5.3.1.1-2 Lime CO2</v>
      </c>
    </row>
    <row r="28" spans="1:1" ht="15.75" x14ac:dyDescent="0.25">
      <c r="A28" s="5" t="str">
        <f>HYPERLINK("#'5.4.1.1-4 Atmos deposition'!A1", "5.4.1.1-4 Atmos. deposition")</f>
        <v>5.4.1.1-4 Atmos. deposition</v>
      </c>
    </row>
    <row r="29" spans="1:1" ht="15.75" x14ac:dyDescent="0.25">
      <c r="A29" s="5" t="str">
        <f>HYPERLINK("#'5.5.1.1-2 Leaching and runoff'!A1", "5.5.1.1-2 Leaching &amp; runoff")</f>
        <v>5.5.1.1-2 Leaching &amp; runoff</v>
      </c>
    </row>
    <row r="30" spans="1:1" ht="15.75" x14ac:dyDescent="0.25">
      <c r="A30" s="5" t="str">
        <f>HYPERLINK("#'6.1.1.1-2 Crop residue N2O'!A1", "6.1.1.1-2 Crop residue N2O")</f>
        <v>6.1.1.1-2 Crop residue N2O</v>
      </c>
    </row>
    <row r="31" spans="1:1" ht="15.75" x14ac:dyDescent="0.25">
      <c r="A31" s="5" t="str">
        <f>HYPERLINK("#'6.3.1.1-2 Leach runoff crop'!A1", "6.3.1.1-2 Leach &amp; runoff (crop)")</f>
        <v>6.3.1.1-2 Leach &amp; runoff (crop)</v>
      </c>
    </row>
    <row r="32" spans="1:1" ht="15.75" x14ac:dyDescent="0.25">
      <c r="A32" s="5" t="str">
        <f>HYPERLINK("#'6.4.1.1-2 Residue burning'!A1", "6.4.1.1-2 Residue burning")</f>
        <v>6.4.1.1-2 Residue burning</v>
      </c>
    </row>
    <row r="33" spans="1:1" ht="15.75" x14ac:dyDescent="0.25">
      <c r="A33" s="5" t="str">
        <f>HYPERLINK("#'8.1.1.1-2 Transport fuel'!A1", "8.1.1.1-2 Transport fuel")</f>
        <v>8.1.1.1-2 Transport fuel</v>
      </c>
    </row>
    <row r="34" spans="1:1" ht="15.75" x14ac:dyDescent="0.25">
      <c r="A34" s="5" t="str">
        <f>HYPERLINK("#'8.2.1.1-2 Stationary fuel'!A1", "8.2.1.1-2 Stationary fuel")</f>
        <v>8.2.1.1-2 Stationary fuel</v>
      </c>
    </row>
    <row r="35" spans="1:1" ht="15.75" x14ac:dyDescent="0.25">
      <c r="A35" s="5" t="str">
        <f>HYPERLINK("#'14.1.1-2 Purchased electricity'!A1", "14.1.1-2 Purchased electricity")</f>
        <v>14.1.1-2 Purchased electricity</v>
      </c>
    </row>
    <row r="36" spans="1:1" ht="15.75" x14ac:dyDescent="0.25">
      <c r="A36" s="5" t="str">
        <f>HYPERLINK("#'15 Scope 3'!A1", "15 Scope 3")</f>
        <v>15 Scope 3</v>
      </c>
    </row>
    <row r="37" spans="1:1" ht="15.75" x14ac:dyDescent="0.25">
      <c r="A37" s="5" t="str">
        <f>HYPERLINK("#'Calcs - Manure sent off-site'!A1", "Calcs - Manure sent off-site")</f>
        <v>Calcs - Manure sent off-site</v>
      </c>
    </row>
    <row r="38" spans="1:1" ht="15.75" x14ac:dyDescent="0.25">
      <c r="A38" s="5" t="str">
        <f>HYPERLINK("#'10.1.1-2 Solid waste treatment'!A1", "10.1.1-2 Solid waste treatment")</f>
        <v>10.1.1-2 Solid waste treatment</v>
      </c>
    </row>
    <row r="41" spans="1:1" x14ac:dyDescent="0.25">
      <c r="A41" s="121" t="s">
        <v>1</v>
      </c>
    </row>
    <row r="42" spans="1:1" ht="15.75" x14ac:dyDescent="0.25">
      <c r="A42" s="5" t="str">
        <f>HYPERLINK("#'Constants - Ag Residue'!A1", "Constants - Ag residue")</f>
        <v>Constants - Ag residue</v>
      </c>
    </row>
    <row r="43" spans="1:1" ht="15.75" x14ac:dyDescent="0.25">
      <c r="A43" s="5" t="str">
        <f>HYPERLINK("#'Constants - Common Livestock'!A1", "Constants - Common Livestock")</f>
        <v>Constants - Common Livestock</v>
      </c>
    </row>
    <row r="44" spans="1:1" ht="15.75" x14ac:dyDescent="0.25">
      <c r="A44" s="5" t="str">
        <f>HYPERLINK("#'Constants - Electricity'!A1", "Constants - Electricity")</f>
        <v>Constants - Electricity</v>
      </c>
    </row>
    <row r="45" spans="1:1" ht="15.75" x14ac:dyDescent="0.25">
      <c r="A45" s="5" t="str">
        <f>HYPERLINK("#'Constants - Fertiliser'!A1", "Constants - Fertiliser")</f>
        <v>Constants - Fertiliser</v>
      </c>
    </row>
    <row r="46" spans="1:1" ht="15.75" x14ac:dyDescent="0.25">
      <c r="A46" s="5" t="str">
        <f>HYPERLINK("#'Constants - Fuel'!A1", "Constants - Fuel")</f>
        <v>Constants - Fuel</v>
      </c>
    </row>
    <row r="47" spans="1:1" ht="15.75" x14ac:dyDescent="0.25">
      <c r="A47" s="5" t="str">
        <f>HYPERLINK("#'Constants - Scope 3'!A1", "Constants - Scope 3")</f>
        <v>Constants - Scope 3</v>
      </c>
    </row>
    <row r="48" spans="1:1" ht="15.75" x14ac:dyDescent="0.25">
      <c r="A48" s="5" t="str">
        <f>HYPERLINK("#'Constants - Common'!A1", "Constants - Common")</f>
        <v>Constants - Common</v>
      </c>
    </row>
    <row r="49" spans="1:1" ht="15.75" x14ac:dyDescent="0.25">
      <c r="A49" s="5" t="str">
        <f>HYPERLINK("#'Constants - Solid Waste'!A1", "Constants - Solid Waste")</f>
        <v>Constants - Solid Waste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abSelected="1" topLeftCell="A18" zoomScaleNormal="100" workbookViewId="0">
      <selection activeCell="E50" sqref="E50"/>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16" t="e" vm="1">
        <v>#VALUE!</v>
      </c>
      <c r="C1" s="21" t="s">
        <v>181</v>
      </c>
    </row>
    <row r="2" spans="1:11" ht="20.100000000000001" customHeight="1" x14ac:dyDescent="0.25">
      <c r="C2" s="3"/>
    </row>
    <row r="3" spans="1:11" ht="20.100000000000001" customHeight="1" x14ac:dyDescent="0.25">
      <c r="A3" s="5" t="str">
        <f>HYPERLINK("#'Home'!A1", "Home")</f>
        <v>Home</v>
      </c>
      <c r="C3" s="8"/>
      <c r="D3" s="8"/>
      <c r="E3" s="8"/>
      <c r="F3" s="8"/>
      <c r="G3" s="8"/>
      <c r="H3" s="8"/>
      <c r="I3" s="8"/>
      <c r="J3" s="8"/>
      <c r="K3" s="8"/>
    </row>
    <row r="4" spans="1:11" ht="20.100000000000001" customHeight="1" x14ac:dyDescent="0.25">
      <c r="A4" s="5" t="str">
        <f>HYPERLINK("#'Overview'!A1", "Overview")</f>
        <v>Overview</v>
      </c>
      <c r="C4" s="8"/>
      <c r="D4" s="2" t="str">
        <f>"Emissions breakdown for activities running between " &amp; TEXT(X_Cell_Site_StartDate, "dd mmmm yyyy") &amp; " and " &amp; TEXT('Input - Enterprise'!E13, "dd mmmm yyyy")</f>
        <v>Emissions breakdown for activities running between 01 January 2025 and 31 December 2025</v>
      </c>
      <c r="E4" s="10"/>
      <c r="F4" s="10"/>
      <c r="G4" s="10"/>
      <c r="H4" s="2"/>
      <c r="I4" s="2"/>
      <c r="J4" s="2"/>
      <c r="K4" s="11"/>
    </row>
    <row r="5" spans="1:11" ht="20.100000000000001" customHeight="1" x14ac:dyDescent="0.3">
      <c r="A5" s="263" t="str">
        <f>HYPERLINK("#'Results'!A1", "Results")</f>
        <v>Results</v>
      </c>
      <c r="C5" s="8"/>
      <c r="D5" s="12"/>
      <c r="E5" s="13"/>
      <c r="F5" s="13"/>
      <c r="G5" s="13"/>
      <c r="H5" s="10"/>
      <c r="I5" s="8"/>
      <c r="J5" s="8"/>
      <c r="K5" s="8"/>
    </row>
    <row r="6" spans="1:11" ht="20.100000000000001" customHeight="1" x14ac:dyDescent="0.25">
      <c r="C6" s="8"/>
      <c r="D6" s="20" t="s">
        <v>3</v>
      </c>
      <c r="E6" s="20" t="s">
        <v>8</v>
      </c>
      <c r="F6" s="20" t="s">
        <v>9</v>
      </c>
      <c r="G6" s="20" t="s">
        <v>5</v>
      </c>
      <c r="H6" s="20" t="s">
        <v>10</v>
      </c>
      <c r="I6" s="20" t="s">
        <v>11</v>
      </c>
      <c r="J6" s="2"/>
      <c r="K6" s="8"/>
    </row>
    <row r="7" spans="1:11" ht="20.100000000000001" customHeight="1" x14ac:dyDescent="0.25">
      <c r="C7" s="8"/>
      <c r="D7" s="1" t="s">
        <v>138</v>
      </c>
      <c r="E7" s="18" cm="1">
        <f t="array" ref="E7">VEERG_5_1_1_1__1_InorganicFertiliserApplicationN2OEmissions_Result_Method1</f>
        <v>0.1431067</v>
      </c>
      <c r="F7" s="18" cm="1">
        <f t="array" ref="F7">VEERG_5_1_1_1__1_InorganicFertiliserApplicationN2OEmissions_Result_Method2</f>
        <v>0.1431067</v>
      </c>
      <c r="G7" s="15" t="s">
        <v>12</v>
      </c>
      <c r="H7" s="18" cm="1">
        <f t="array" ref="H7">Common_Equations.Common_ConvertN2OToCO2e(E7,_xlfn.XLOOKUP("N2O", Table_GWPData[Gas],Table_GWPData[CO2-e factor]))</f>
        <v>37.923275500000003</v>
      </c>
      <c r="I7" s="18" cm="1">
        <f t="array" ref="I7">Common_Equations.Common_ConvertN2OToCO2e(F7,_xlfn.XLOOKUP("N2O", Table_GWPData[Gas],Table_GWPData[CO2-e factor]))</f>
        <v>37.923275500000003</v>
      </c>
      <c r="J7" s="15" t="s">
        <v>7</v>
      </c>
      <c r="K7" s="8"/>
    </row>
    <row r="8" spans="1:11" ht="20.100000000000001" customHeight="1" x14ac:dyDescent="0.25">
      <c r="A8" s="7" t="s">
        <v>0</v>
      </c>
      <c r="C8" s="8"/>
      <c r="D8" s="1" t="s">
        <v>139</v>
      </c>
      <c r="E8" s="18" cm="1">
        <f t="array" ref="E8">VEERG_5_1_1_3__1_InorganicFertiliserApplicationCO2Emissions_Result_Method1</f>
        <v>7.333333333333333</v>
      </c>
      <c r="F8" s="18">
        <f>E8</f>
        <v>7.333333333333333</v>
      </c>
      <c r="G8" s="15" t="s">
        <v>131</v>
      </c>
      <c r="H8" s="18">
        <f>E8</f>
        <v>7.333333333333333</v>
      </c>
      <c r="I8" s="18">
        <f>F8</f>
        <v>7.333333333333333</v>
      </c>
      <c r="J8" s="15" t="s">
        <v>7</v>
      </c>
      <c r="K8" s="8"/>
    </row>
    <row r="9" spans="1:11" ht="20.100000000000001" customHeight="1" x14ac:dyDescent="0.25">
      <c r="A9" s="5" t="str">
        <f>HYPERLINK("#'Input - Enterprise'!A1", "Enterprise")</f>
        <v>Enterprise</v>
      </c>
      <c r="C9" s="8"/>
      <c r="D9" s="1" t="s">
        <v>140</v>
      </c>
      <c r="E9" s="18" cm="1">
        <f t="array" ref="E9">VEERG_5_2_1_1__2_MassOfNitrogenInOrganicFertiliser_Result_Method1</f>
        <v>5.5785714285714293E-3</v>
      </c>
      <c r="F9" s="18">
        <f>E9</f>
        <v>5.5785714285714293E-3</v>
      </c>
      <c r="G9" s="15" t="s">
        <v>12</v>
      </c>
      <c r="H9" s="18" cm="1">
        <f t="array" ref="H9">Common_Equations.Common_ConvertN2OToCO2e(E9,_xlfn.XLOOKUP("N2O", Table_GWPData[Gas],Table_GWPData[CO2-e factor]))</f>
        <v>1.4783214285714288</v>
      </c>
      <c r="I9" s="18" cm="1">
        <f t="array" ref="I9">Common_Equations.Common_ConvertN2OToCO2e(F9,_xlfn.XLOOKUP("N2O", Table_GWPData[Gas],Table_GWPData[CO2-e factor]))</f>
        <v>1.4783214285714288</v>
      </c>
      <c r="J9" s="15" t="s">
        <v>7</v>
      </c>
      <c r="K9" s="8"/>
    </row>
    <row r="10" spans="1:11" ht="20.100000000000001" customHeight="1" x14ac:dyDescent="0.25">
      <c r="A10" s="5" t="str">
        <f>HYPERLINK("#'Input - Site'!A1", "Site")</f>
        <v>Site</v>
      </c>
      <c r="C10" s="8"/>
      <c r="D10" s="1" t="s">
        <v>141</v>
      </c>
      <c r="E10" s="18" cm="1">
        <f t="array" ref="E10">VEERG_5_3_1_1__1_LimeApplicationCO2Emissions_Result_Method1</f>
        <v>75.808333333333337</v>
      </c>
      <c r="F10" s="18">
        <f>E10</f>
        <v>75.808333333333337</v>
      </c>
      <c r="G10" s="15" t="s">
        <v>131</v>
      </c>
      <c r="H10" s="18">
        <f>E10</f>
        <v>75.808333333333337</v>
      </c>
      <c r="I10" s="18">
        <f>F10</f>
        <v>75.808333333333337</v>
      </c>
      <c r="J10" s="15" t="s">
        <v>7</v>
      </c>
      <c r="K10" s="8"/>
    </row>
    <row r="11" spans="1:11" ht="20.100000000000001" customHeight="1" x14ac:dyDescent="0.25">
      <c r="A11" s="5" t="str">
        <f>HYPERLINK("#'Input - Crop'!A1", "Crop")</f>
        <v>Crop</v>
      </c>
      <c r="C11" s="8"/>
      <c r="D11" s="1" t="s">
        <v>142</v>
      </c>
      <c r="E11" s="18" cm="1">
        <f t="array" ref="E11">VEERG_5_4_1_3__1_OrganicFertiliserAtmosphericDepositionN2OEmissions_Result_Method1</f>
        <v>1.6401E-3</v>
      </c>
      <c r="F11" s="18">
        <f>E11</f>
        <v>1.6401E-3</v>
      </c>
      <c r="G11" s="15" t="s">
        <v>12</v>
      </c>
      <c r="H11" s="18" cm="1">
        <f t="array" ref="H11">Common_Equations.Common_ConvertN2OToCO2e(E11,_xlfn.XLOOKUP("N2O", Table_GWPData[Gas],Table_GWPData[CO2-e factor]))</f>
        <v>0.43462650000000003</v>
      </c>
      <c r="I11" s="18" cm="1">
        <f t="array" ref="I11">Common_Equations.Common_ConvertN2OToCO2e(F11,_xlfn.XLOOKUP("N2O", Table_GWPData[Gas],Table_GWPData[CO2-e factor]))</f>
        <v>0.43462650000000003</v>
      </c>
      <c r="J11" s="15" t="s">
        <v>7</v>
      </c>
      <c r="K11" s="8"/>
    </row>
    <row r="12" spans="1:11" ht="20.100000000000001" customHeight="1" x14ac:dyDescent="0.25">
      <c r="A12" s="5" t="str">
        <f>HYPERLINK("#'Input - Fert Prod System'!A1", "Fert Prod System")</f>
        <v>Fert Prod System</v>
      </c>
      <c r="C12" s="8"/>
      <c r="D12" s="1" t="s">
        <v>143</v>
      </c>
      <c r="E12" s="18" cm="1">
        <f t="array" ref="E12">VEERG_5_5_1_1__1_FertiliserLeachingAndRunoffN2OEmissions_result_Method1</f>
        <v>5.6917155428571425E-2</v>
      </c>
      <c r="F12" s="18">
        <f>E12</f>
        <v>5.6917155428571425E-2</v>
      </c>
      <c r="G12" s="15" t="s">
        <v>12</v>
      </c>
      <c r="H12" s="18" cm="1">
        <f t="array" ref="H12">Common_Equations.Common_ConvertN2OToCO2e(E12,_xlfn.XLOOKUP("N2O", Table_GWPData[Gas],Table_GWPData[CO2-e factor]))</f>
        <v>15.083046188571428</v>
      </c>
      <c r="I12" s="18" cm="1">
        <f t="array" ref="I12">Common_Equations.Common_ConvertN2OToCO2e(F12,_xlfn.XLOOKUP("N2O", Table_GWPData[Gas],Table_GWPData[CO2-e factor]))</f>
        <v>15.083046188571428</v>
      </c>
      <c r="J12" s="15" t="s">
        <v>7</v>
      </c>
      <c r="K12" s="8"/>
    </row>
    <row r="13" spans="1:11" ht="20.100000000000001" customHeight="1" x14ac:dyDescent="0.25">
      <c r="A13" s="5" t="str">
        <f>HYPERLINK("#'Input - Fertiliser'!A1", "Fertiliser")</f>
        <v>Fertiliser</v>
      </c>
      <c r="C13" s="8"/>
      <c r="D13" s="1" t="s">
        <v>178</v>
      </c>
      <c r="E13" s="18" cm="1">
        <f t="array" ref="E13">VEERG_6_1_1_1__1__NitrousOxideEmissionsFromCropResidues_Result_Method1</f>
        <v>2.3377199999999997E-2</v>
      </c>
      <c r="F13" s="18" cm="1">
        <f t="array" ref="F13">VEERG_6_1_1_1__1__NitrousOxideEmissionsFromCropResidues_Result_Method2</f>
        <v>2.3377199999999997E-2</v>
      </c>
      <c r="G13" s="15" t="s">
        <v>12</v>
      </c>
      <c r="H13" s="18" cm="1">
        <f t="array" ref="H13">Common_Equations.Common_ConvertN2OToCO2e(E13,_xlfn.XLOOKUP("N2O", Table_GWPData[Gas],Table_GWPData[CO2-e factor]))</f>
        <v>6.1949579999999989</v>
      </c>
      <c r="I13" s="18" cm="1">
        <f t="array" ref="I13">Common_Equations.Common_ConvertN2OToCO2e(F13,_xlfn.XLOOKUP("N2O", Table_GWPData[Gas],Table_GWPData[CO2-e factor]))</f>
        <v>6.1949579999999989</v>
      </c>
      <c r="J13" s="15" t="s">
        <v>7</v>
      </c>
      <c r="K13" s="8"/>
    </row>
    <row r="14" spans="1:11" ht="20.100000000000001" customHeight="1" x14ac:dyDescent="0.25">
      <c r="A14" s="5" t="str">
        <f>HYPERLINK("#'Input - Fuel'!A1", "Fuel")</f>
        <v>Fuel</v>
      </c>
      <c r="C14" s="8"/>
      <c r="D14" s="1" t="s">
        <v>177</v>
      </c>
      <c r="E14" s="18" cm="1">
        <f t="array" ref="E14">VEERG_6_3_1_1__1__LeachingAndRunoffEmissionsCropAndPastureResidue_CropOnly_Result_Method1</f>
        <v>1.2343161599999999E-2</v>
      </c>
      <c r="F14" s="18" cm="1">
        <f t="array" ref="F14">VEERG_6_3_1_1__1__LeachingAndRunoffEmissionsCropAndPastureResidue_CropOnly_Result_Method2</f>
        <v>1.2343161599999999E-2</v>
      </c>
      <c r="G14" s="15" t="s">
        <v>12</v>
      </c>
      <c r="H14" s="18" cm="1">
        <f t="array" ref="H14">Common_Equations.Common_ConvertN2OToCO2e(E14,_xlfn.XLOOKUP("N2O", Table_GWPData[Gas],Table_GWPData[CO2-e factor]))</f>
        <v>3.2709378239999998</v>
      </c>
      <c r="I14" s="18" cm="1">
        <f t="array" ref="I14">Common_Equations.Common_ConvertN2OToCO2e(F14,_xlfn.XLOOKUP("N2O", Table_GWPData[Gas],Table_GWPData[CO2-e factor]))</f>
        <v>3.2709378239999998</v>
      </c>
      <c r="J14" s="15" t="s">
        <v>7</v>
      </c>
      <c r="K14" s="8"/>
    </row>
    <row r="15" spans="1:11" ht="20.100000000000001" customHeight="1" x14ac:dyDescent="0.25">
      <c r="A15" s="5" t="str">
        <f>HYPERLINK("#'Input - Electricity'!A1", "Electricity")</f>
        <v>Electricity</v>
      </c>
      <c r="C15" s="8"/>
      <c r="D15" s="1" t="s">
        <v>180</v>
      </c>
      <c r="E15" s="18" cm="1">
        <f t="array" ref="E15">VEERG_6_4_1_1__2__NitrousOxideEmissionsFromBurningOfCropResidues_Result_Method1</f>
        <v>4.4692560000000004E-3</v>
      </c>
      <c r="F15" s="18">
        <f t="shared" ref="F15:F20" si="0">E15</f>
        <v>4.4692560000000004E-3</v>
      </c>
      <c r="G15" s="15" t="s">
        <v>12</v>
      </c>
      <c r="H15" s="18" cm="1">
        <f t="array" ref="H15">Common_Equations.Common_ConvertN2OToCO2e(E15,_xlfn.XLOOKUP("N2O", Table_GWPData[Gas],Table_GWPData[CO2-e factor]))</f>
        <v>1.1843528400000001</v>
      </c>
      <c r="I15" s="18" cm="1">
        <f t="array" ref="I15">Common_Equations.Common_ConvertN2OToCO2e(F15,_xlfn.XLOOKUP("N2O", Table_GWPData[Gas],Table_GWPData[CO2-e factor]))</f>
        <v>1.1843528400000001</v>
      </c>
      <c r="J15" s="15" t="s">
        <v>7</v>
      </c>
      <c r="K15" s="8"/>
    </row>
    <row r="16" spans="1:11" ht="20.100000000000001" customHeight="1" x14ac:dyDescent="0.25">
      <c r="A16" s="5" t="str">
        <f>HYPERLINK("#'Input - Farm Inputs'!A1", "Farm Inputs")</f>
        <v>Farm Inputs</v>
      </c>
      <c r="C16" s="8"/>
      <c r="D16" s="1" t="s">
        <v>179</v>
      </c>
      <c r="E16" s="18" cm="1">
        <f t="array" ref="E16">VEERG_6_4_1_1__1__MethaneEmissionsFromBurningOfCropResidues_Result_Method1</f>
        <v>0.116424</v>
      </c>
      <c r="F16" s="18">
        <f t="shared" si="0"/>
        <v>0.116424</v>
      </c>
      <c r="G16" s="15" t="s">
        <v>6</v>
      </c>
      <c r="H16" s="18" cm="1">
        <f t="array" ref="H16">Common_Equations.Common_ConvertCH4ToCO2e(E16,_xlfn.XLOOKUP("CH4", Table_GWPData[Gas],Table_GWPData[CO2-e factor]))</f>
        <v>3.2598720000000001</v>
      </c>
      <c r="I16" s="18" cm="1">
        <f t="array" ref="I16">Common_Equations.Common_ConvertCH4ToCO2e(F16,_xlfn.XLOOKUP("CH4", Table_GWPData[Gas],Table_GWPData[CO2-e factor]))</f>
        <v>3.2598720000000001</v>
      </c>
      <c r="J16" s="15" t="s">
        <v>7</v>
      </c>
      <c r="K16" s="8"/>
    </row>
    <row r="17" spans="1:11" ht="20.100000000000001" customHeight="1" x14ac:dyDescent="0.25">
      <c r="A17" s="5" t="str">
        <f>HYPERLINK("#'Input - Freight'!A1", "Freight")</f>
        <v>Freight</v>
      </c>
      <c r="C17" s="8"/>
      <c r="D17" s="1" t="s">
        <v>144</v>
      </c>
      <c r="E17" s="18" cm="1">
        <f t="array" ref="E17">VEERG_8_1_1_1__1_FuelCombustionTransport_Result_CO2</f>
        <v>83.182000000000002</v>
      </c>
      <c r="F17" s="18">
        <f t="shared" si="0"/>
        <v>83.182000000000002</v>
      </c>
      <c r="G17" s="15" t="s">
        <v>131</v>
      </c>
      <c r="H17" s="18">
        <f>E17</f>
        <v>83.182000000000002</v>
      </c>
      <c r="I17" s="18">
        <f>F17</f>
        <v>83.182000000000002</v>
      </c>
      <c r="J17" s="15" t="s">
        <v>7</v>
      </c>
      <c r="K17" s="8"/>
    </row>
    <row r="18" spans="1:11" ht="20.100000000000001" customHeight="1" x14ac:dyDescent="0.25">
      <c r="A18" s="5" t="str">
        <f>HYPERLINK("#'Input - Manure sent off-site'!A1", "Manure sent off-site")</f>
        <v>Manure sent off-site</v>
      </c>
      <c r="C18" s="8"/>
      <c r="D18" s="1" t="s">
        <v>146</v>
      </c>
      <c r="E18" s="18" cm="1">
        <f t="array" ref="E18">VEERG_8_1_1_1__1_FuelCombustionTransport_Result_CH4</f>
        <v>0.19906000000000001</v>
      </c>
      <c r="F18" s="18">
        <f t="shared" si="0"/>
        <v>0.19906000000000001</v>
      </c>
      <c r="G18" s="15" t="s">
        <v>6</v>
      </c>
      <c r="H18" s="18" cm="1">
        <f t="array" ref="H18">Common_Equations.Common_ConvertCH4ToCO2e(E18,_xlfn.XLOOKUP("CH4", Table_GWPData[Gas],Table_GWPData[CO2-e factor]))</f>
        <v>5.5736800000000004</v>
      </c>
      <c r="I18" s="18" cm="1">
        <f t="array" ref="I18">Common_Equations.Common_ConvertCH4ToCO2e(F18,_xlfn.XLOOKUP("CH4", Table_GWPData[Gas],Table_GWPData[CO2-e factor]))</f>
        <v>5.5736800000000004</v>
      </c>
      <c r="J18" s="15" t="s">
        <v>7</v>
      </c>
      <c r="K18" s="8"/>
    </row>
    <row r="19" spans="1:11" ht="20.100000000000001" customHeight="1" x14ac:dyDescent="0.25">
      <c r="A19" s="5" t="str">
        <f>HYPERLINK("#'Input - Solid waste'!A1", "Solid waste")</f>
        <v>Solid waste</v>
      </c>
      <c r="C19" s="8"/>
      <c r="D19" s="1" t="s">
        <v>145</v>
      </c>
      <c r="E19" s="18" cm="1">
        <f t="array" ref="E19">VEERG_8_1_1_1__1_FuelCombustionTransport_Result_N2O</f>
        <v>0.58450000000000002</v>
      </c>
      <c r="F19" s="18">
        <f t="shared" si="0"/>
        <v>0.58450000000000002</v>
      </c>
      <c r="G19" s="15" t="s">
        <v>12</v>
      </c>
      <c r="H19" s="18" cm="1">
        <f t="array" ref="H19">Common_Equations.Common_ConvertN2OToCO2e(E19,_xlfn.XLOOKUP("N2O", Table_GWPData[Gas],Table_GWPData[CO2-e factor]))</f>
        <v>154.89250000000001</v>
      </c>
      <c r="I19" s="18" cm="1">
        <f t="array" ref="I19">Common_Equations.Common_ConvertN2OToCO2e(F19,_xlfn.XLOOKUP("N2O", Table_GWPData[Gas],Table_GWPData[CO2-e factor]))</f>
        <v>154.89250000000001</v>
      </c>
      <c r="J19" s="15" t="s">
        <v>7</v>
      </c>
      <c r="K19" s="8"/>
    </row>
    <row r="20" spans="1:11" ht="20.100000000000001" customHeight="1" x14ac:dyDescent="0.25">
      <c r="A20" s="5" t="str">
        <f>HYPERLINK("#'Input - Data quality'!A1", "Data quality")</f>
        <v>Data quality</v>
      </c>
      <c r="C20" s="8"/>
      <c r="D20" s="1" t="s">
        <v>147</v>
      </c>
      <c r="E20" s="18" cm="1">
        <f t="array" ref="E20">VEERG_8_2_1_1__1_FuelCombustionStationary_Result_CO2</f>
        <v>29.070800000000002</v>
      </c>
      <c r="F20" s="18">
        <f t="shared" si="0"/>
        <v>29.070800000000002</v>
      </c>
      <c r="G20" s="15" t="s">
        <v>131</v>
      </c>
      <c r="H20" s="18">
        <f>E20</f>
        <v>29.070800000000002</v>
      </c>
      <c r="I20" s="18">
        <f>F20</f>
        <v>29.070800000000002</v>
      </c>
      <c r="J20" s="15" t="s">
        <v>7</v>
      </c>
      <c r="K20" s="8"/>
    </row>
    <row r="21" spans="1:11" ht="20.100000000000001" customHeight="1" x14ac:dyDescent="0.25">
      <c r="C21" s="8"/>
      <c r="D21" s="1" t="s">
        <v>148</v>
      </c>
      <c r="E21" s="18" cm="1">
        <f t="array" ref="E21">VEERG_8_2_1_1__1_FuelCombustionStationary_Result_CH4</f>
        <v>7.2400000000000006E-2</v>
      </c>
      <c r="F21" s="18">
        <f t="shared" ref="F21:F24" si="1">E21</f>
        <v>7.2400000000000006E-2</v>
      </c>
      <c r="G21" s="15" t="s">
        <v>6</v>
      </c>
      <c r="H21" s="18" cm="1">
        <f t="array" ref="H21">Common_Equations.Common_ConvertCH4ToCO2e(E21,_xlfn.XLOOKUP("CH4", Table_GWPData[Gas],Table_GWPData[CO2-e factor]))</f>
        <v>2.0272000000000001</v>
      </c>
      <c r="I21" s="18" cm="1">
        <f t="array" ref="I21">Common_Equations.Common_ConvertCH4ToCO2e(F21,_xlfn.XLOOKUP("CH4", Table_GWPData[Gas],Table_GWPData[CO2-e factor]))</f>
        <v>2.0272000000000001</v>
      </c>
      <c r="J21" s="15" t="s">
        <v>7</v>
      </c>
      <c r="K21" s="8"/>
    </row>
    <row r="22" spans="1:11" ht="20.100000000000001" customHeight="1" x14ac:dyDescent="0.25">
      <c r="C22" s="8"/>
      <c r="D22" s="1" t="s">
        <v>149</v>
      </c>
      <c r="E22" s="18" cm="1">
        <f t="array" ref="E22">VEERG_8_2_1_1__1_FuelCombustionStationary_Result_N2O</f>
        <v>7.1400000000000005E-2</v>
      </c>
      <c r="F22" s="18">
        <f t="shared" si="1"/>
        <v>7.1400000000000005E-2</v>
      </c>
      <c r="G22" s="15" t="s">
        <v>12</v>
      </c>
      <c r="H22" s="18" cm="1">
        <f t="array" ref="H22">Common_Equations.Common_ConvertN2OToCO2e(E22,_xlfn.XLOOKUP("N2O", Table_GWPData[Gas],Table_GWPData[CO2-e factor]))</f>
        <v>18.921000000000003</v>
      </c>
      <c r="I22" s="18" cm="1">
        <f t="array" ref="I22">Common_Equations.Common_ConvertN2OToCO2e(F22,_xlfn.XLOOKUP("N2O", Table_GWPData[Gas],Table_GWPData[CO2-e factor]))</f>
        <v>18.921000000000003</v>
      </c>
      <c r="J22" s="15" t="s">
        <v>7</v>
      </c>
      <c r="K22" s="8"/>
    </row>
    <row r="23" spans="1:11" ht="20.100000000000001" customHeight="1" x14ac:dyDescent="0.25">
      <c r="A23" s="6" t="s">
        <v>2</v>
      </c>
      <c r="C23" s="8"/>
      <c r="D23" s="1" t="s">
        <v>150</v>
      </c>
      <c r="E23" s="18" cm="1">
        <f t="array" ref="E23">VEERG_14_1_1__1_LocationBasedScopeElectricityEmissions_Result_Method1</f>
        <v>16.8</v>
      </c>
      <c r="F23" s="18">
        <f t="shared" si="1"/>
        <v>16.8</v>
      </c>
      <c r="G23" s="15" t="s">
        <v>7</v>
      </c>
      <c r="H23" s="18">
        <f>E23</f>
        <v>16.8</v>
      </c>
      <c r="I23" s="18">
        <f>F23</f>
        <v>16.8</v>
      </c>
      <c r="J23" s="15" t="s">
        <v>7</v>
      </c>
      <c r="K23" s="8"/>
    </row>
    <row r="24" spans="1:11" ht="20.100000000000001" customHeight="1" x14ac:dyDescent="0.25">
      <c r="A24" s="5" t="str">
        <f>HYPERLINK("#'5.1.1.1-2 Inorganic fert N2O'!A1", "5.1.1.1-2 Inorganic fert N2O")</f>
        <v>5.1.1.1-2 Inorganic fert N2O</v>
      </c>
      <c r="C24" s="8"/>
      <c r="D24" s="1" t="s">
        <v>151</v>
      </c>
      <c r="E24" s="18" cm="1">
        <f t="array" ref="E24">VEERG_14_1_2__1_MarketBasedScopeElectricityEmissionsVariation_Result_Method1</f>
        <v>9.7200000000000006</v>
      </c>
      <c r="F24" s="18">
        <f t="shared" si="1"/>
        <v>9.7200000000000006</v>
      </c>
      <c r="G24" s="15" t="s">
        <v>7</v>
      </c>
      <c r="H24" s="18">
        <f>E24</f>
        <v>9.7200000000000006</v>
      </c>
      <c r="I24" s="18">
        <f>F24</f>
        <v>9.7200000000000006</v>
      </c>
      <c r="J24" s="15" t="s">
        <v>7</v>
      </c>
      <c r="K24" s="8"/>
    </row>
    <row r="25" spans="1:11" ht="20.100000000000001" customHeight="1" x14ac:dyDescent="0.3">
      <c r="A25" s="5" t="str">
        <f>HYPERLINK("#'5.1.1.3-4 Inorganic fert CO2'!A1", "5.1.1.3-4 Inorganic fert CO2")</f>
        <v>5.1.1.3-4 Inorganic fert CO2</v>
      </c>
      <c r="C25" s="8"/>
      <c r="D25" s="14" t="s">
        <v>4</v>
      </c>
      <c r="E25" s="9"/>
      <c r="F25" s="9"/>
      <c r="G25" s="14"/>
      <c r="H25" s="19">
        <f>SUM(H7:H24)</f>
        <v>472.15823694780954</v>
      </c>
      <c r="I25" s="19">
        <f>SUM(I7:I24)</f>
        <v>472.15823694780954</v>
      </c>
      <c r="J25" s="15" t="s">
        <v>7</v>
      </c>
      <c r="K25" s="8"/>
    </row>
    <row r="26" spans="1:11" ht="20.100000000000001" customHeight="1" x14ac:dyDescent="0.3">
      <c r="A26" s="5" t="str">
        <f>HYPERLINK("#'5.2.1.1-2 Organic Fert N2O'!A1", "5.2.1.1-2 Organic fert N2O")</f>
        <v>5.2.1.1-2 Organic fert N2O</v>
      </c>
      <c r="C26" s="8"/>
      <c r="D26" s="1"/>
      <c r="E26" s="1"/>
      <c r="F26" s="1"/>
      <c r="G26" s="1"/>
      <c r="H26" s="13"/>
      <c r="I26" s="8"/>
      <c r="J26" s="8"/>
      <c r="K26" s="8"/>
    </row>
    <row r="27" spans="1:11" ht="20.100000000000001" customHeight="1" x14ac:dyDescent="0.3">
      <c r="A27" s="5" t="str">
        <f>HYPERLINK("#'5.3.1.1-2 Lime CO2'!A1", "5.3.1.1-2 Lime CO2")</f>
        <v>5.3.1.1-2 Lime CO2</v>
      </c>
      <c r="C27" s="8"/>
      <c r="D27" s="1"/>
      <c r="E27" s="1"/>
      <c r="F27" s="1"/>
      <c r="G27" s="1"/>
      <c r="H27" s="13"/>
      <c r="I27" s="8"/>
      <c r="J27" s="8"/>
      <c r="K27" s="8"/>
    </row>
    <row r="28" spans="1:11" ht="20.100000000000001" customHeight="1" x14ac:dyDescent="0.3">
      <c r="A28" s="5" t="str">
        <f>HYPERLINK("#'5.4.1.1-4 Atmos deposition'!A1", "5.4.1.1-4 Atmos. deposition")</f>
        <v>5.4.1.1-4 Atmos. deposition</v>
      </c>
      <c r="C28" s="8"/>
      <c r="D28" s="1"/>
      <c r="E28" s="1"/>
      <c r="F28" s="1"/>
      <c r="G28" s="1"/>
      <c r="H28" s="13"/>
      <c r="I28" s="8"/>
      <c r="J28" s="8"/>
      <c r="K28" s="8"/>
    </row>
    <row r="29" spans="1:11" ht="20.100000000000001" customHeight="1" x14ac:dyDescent="0.3">
      <c r="A29" s="5" t="str">
        <f>HYPERLINK("#'5.5.1.1-2 Leaching and runoff'!A1", "5.5.1.1-2 Leaching &amp; runoff")</f>
        <v>5.5.1.1-2 Leaching &amp; runoff</v>
      </c>
      <c r="C29" s="8"/>
      <c r="D29" s="2" t="s">
        <v>115</v>
      </c>
      <c r="E29" s="1"/>
      <c r="F29" s="1"/>
      <c r="G29" s="1"/>
      <c r="H29" s="13"/>
      <c r="I29" s="8"/>
      <c r="J29" s="8"/>
      <c r="K29" s="8"/>
    </row>
    <row r="30" spans="1:11" ht="20.100000000000001" customHeight="1" x14ac:dyDescent="0.3">
      <c r="A30" s="5" t="str">
        <f>HYPERLINK("#'6.1.1.1-2 Crop residue N2O'!A1", "6.1.1.1-2 Crop residue N2O")</f>
        <v>6.1.1.1-2 Crop residue N2O</v>
      </c>
      <c r="C30" s="8"/>
      <c r="D30" s="88" t="str" cm="1">
        <f t="array" ref="D3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c r="E30" s="1"/>
      <c r="F30" s="1"/>
      <c r="G30" s="1"/>
      <c r="H30" s="13"/>
      <c r="I30" s="8"/>
      <c r="J30" s="8"/>
      <c r="K30" s="8"/>
    </row>
    <row r="31" spans="1:11" ht="20.100000000000001" customHeight="1" x14ac:dyDescent="0.3">
      <c r="A31" s="5" t="str">
        <f>HYPERLINK("#'6.3.1.1-2 Leach runoff crop'!A1", "6.3.1.1-2 Leach &amp; runoff (crop)")</f>
        <v>6.3.1.1-2 Leach &amp; runoff (crop)</v>
      </c>
      <c r="C31" s="8"/>
      <c r="D31" s="1" t="s">
        <v>117</v>
      </c>
      <c r="E31" s="1"/>
      <c r="F31" s="1"/>
      <c r="G31" s="1"/>
      <c r="H31" s="13"/>
      <c r="I31" s="8"/>
      <c r="J31" s="8"/>
      <c r="K31" s="8"/>
    </row>
    <row r="32" spans="1:11" ht="20.100000000000001" customHeight="1" x14ac:dyDescent="0.3">
      <c r="A32" s="5" t="str">
        <f>HYPERLINK("#'6.4.1.1-2 Residue burning'!A1", "6.4.1.1-2 Residue burning")</f>
        <v>6.4.1.1-2 Residue burning</v>
      </c>
      <c r="C32" s="8"/>
      <c r="D32" s="1"/>
      <c r="E32" s="1"/>
      <c r="F32" s="1"/>
      <c r="G32" s="1"/>
      <c r="H32" s="13"/>
      <c r="I32" s="8"/>
      <c r="J32" s="8"/>
      <c r="K32" s="8"/>
    </row>
    <row r="33" spans="1:11" ht="20.100000000000001" customHeight="1" x14ac:dyDescent="0.3">
      <c r="A33" s="5" t="str">
        <f>HYPERLINK("#'8.1.1.1-2 Transport fuel'!A1", "8.1.1.1-2 Transport fuel")</f>
        <v>8.1.1.1-2 Transport fuel</v>
      </c>
      <c r="C33" s="8"/>
      <c r="D33" s="20" t="s">
        <v>116</v>
      </c>
      <c r="E33" s="20" t="s">
        <v>10</v>
      </c>
      <c r="F33" s="20" t="s">
        <v>11</v>
      </c>
      <c r="G33" s="1"/>
      <c r="H33" s="13"/>
      <c r="I33" s="8"/>
      <c r="J33" s="8"/>
      <c r="K33" s="8"/>
    </row>
    <row r="34" spans="1:11" ht="20.100000000000001" customHeight="1" x14ac:dyDescent="0.3">
      <c r="A34" s="5" t="str">
        <f>HYPERLINK("#'8.2.1.1-2 Stationary fuel'!A1", "8.2.1.1-2 Stationary fuel")</f>
        <v>8.2.1.1-2 Stationary fuel</v>
      </c>
      <c r="C34" s="8"/>
      <c r="D34" s="1" t="str" cm="1">
        <f t="array" ref="D34:D35">Common_InputFunctions.getOverlappingReportingPeriods(X_Cell_Enterprise_ProductionTimeframeStart,X_Cell_Enterprise_ProductionTimeframeEnd,X_Cell_Site_StartDate)</f>
        <v>01 Jan 2025 to 31 Dec 2025 (This reporting cycle)</v>
      </c>
      <c r="E34" s="86">
        <f>IF(ISBLANK($D34), 0, IF(ISNUMBER(SEARCH("reporting", $D34)), Result_Enterprise_Method1, "Enter value"))</f>
        <v>472.15823694780954</v>
      </c>
      <c r="F34" s="86">
        <f>IF(ISBLANK($D34), 0, IF(ISNUMBER(SEARCH("reporting", $D34)), Result_Enterprise_Method2, "Enter value"))</f>
        <v>472.15823694780954</v>
      </c>
      <c r="G34" s="15" t="s">
        <v>7</v>
      </c>
      <c r="H34" s="13"/>
      <c r="I34" s="8"/>
      <c r="J34" s="8"/>
      <c r="K34" s="8"/>
    </row>
    <row r="35" spans="1:11" ht="20.100000000000001" customHeight="1" x14ac:dyDescent="0.3">
      <c r="A35" s="5" t="str">
        <f>HYPERLINK("#'14.1.1-2 Purchased electricity'!A1", "14.1.1-2 Purchased electricity")</f>
        <v>14.1.1-2 Purchased electricity</v>
      </c>
      <c r="C35" s="8"/>
      <c r="D35" s="1" t="str">
        <v>01 Jan 2026 to 31 Dec 2026</v>
      </c>
      <c r="E35" s="86" t="str">
        <f>IF(ISBLANK($D35), 0, IF(ISNUMBER(SEARCH("reporting", $D35)), Result_Enterprise_Method1, "Enter value"))</f>
        <v>Enter value</v>
      </c>
      <c r="F35" s="86" t="str">
        <f>IF(ISBLANK($D35), 0, IF(ISNUMBER(SEARCH("reporting", $D35)), Result_Enterprise_Method2, "Enter value"))</f>
        <v>Enter value</v>
      </c>
      <c r="G35" s="15" t="s">
        <v>7</v>
      </c>
      <c r="H35" s="13"/>
      <c r="I35" s="8"/>
      <c r="J35" s="8"/>
      <c r="K35" s="8"/>
    </row>
    <row r="36" spans="1:11" ht="20.100000000000001" customHeight="1" x14ac:dyDescent="0.3">
      <c r="A36" s="5" t="str">
        <f>HYPERLINK("#'15 Scope 3'!A1", "15 Scope 3")</f>
        <v>15 Scope 3</v>
      </c>
      <c r="C36" s="8"/>
      <c r="D36" s="1"/>
      <c r="E36" s="86">
        <f>IF(ISBLANK($D36), 0, IF(ISNUMBER(SEARCH("reporting", $D36)), Result_Enterprise_Method1, "Enter value"))</f>
        <v>0</v>
      </c>
      <c r="F36" s="86">
        <f>IF(ISBLANK($D36), 0, IF(ISNUMBER(SEARCH("reporting", $D36)), Result_Enterprise_Method2, "Enter value"))</f>
        <v>0</v>
      </c>
      <c r="G36" s="15" t="s">
        <v>7</v>
      </c>
      <c r="H36" s="13"/>
      <c r="I36" s="8"/>
      <c r="J36" s="8"/>
      <c r="K36" s="8"/>
    </row>
    <row r="37" spans="1:11" ht="20.100000000000001" customHeight="1" x14ac:dyDescent="0.3">
      <c r="A37" s="5" t="str">
        <f>HYPERLINK("#'Calcs - Manure sent off-site'!A1", "Calcs - Manure sent off-site")</f>
        <v>Calcs - Manure sent off-site</v>
      </c>
      <c r="C37" s="8"/>
      <c r="D37" s="1"/>
      <c r="E37" s="86">
        <f>IF(ISBLANK($D37), 0, IF(ISNUMBER(SEARCH("reporting", $D37)), Result_Enterprise_Method1, "Enter value"))</f>
        <v>0</v>
      </c>
      <c r="F37" s="86">
        <f>IF(ISBLANK($D37), 0, IF(ISNUMBER(SEARCH("reporting", $D37)), Result_Enterprise_Method2, "Enter value"))</f>
        <v>0</v>
      </c>
      <c r="G37" s="15" t="s">
        <v>7</v>
      </c>
      <c r="H37" s="13"/>
      <c r="I37" s="8"/>
      <c r="J37" s="8"/>
      <c r="K37" s="8"/>
    </row>
    <row r="38" spans="1:11" ht="20.100000000000001" customHeight="1" x14ac:dyDescent="0.3">
      <c r="A38" s="5" t="str">
        <f>HYPERLINK("#'10.1.1-2 Solid waste treatment'!A1", "10.1.1-2 Solid waste treatment")</f>
        <v>10.1.1-2 Solid waste treatment</v>
      </c>
      <c r="C38" s="8"/>
      <c r="D38" s="88"/>
      <c r="E38" s="86">
        <f>IF(ISBLANK($D38), 0, IF(ISNUMBER(SEARCH("reporting", $D38)), Result_Enterprise_Method1, "Enter value"))</f>
        <v>0</v>
      </c>
      <c r="F38" s="86">
        <f>IF(ISBLANK($D38), 0, IF(ISNUMBER(SEARCH("reporting", $D38)), Result_Enterprise_Method2, "Enter value"))</f>
        <v>0</v>
      </c>
      <c r="G38" s="15" t="s">
        <v>7</v>
      </c>
      <c r="H38" s="13"/>
      <c r="I38" s="8"/>
      <c r="J38" s="8"/>
      <c r="K38" s="8"/>
    </row>
    <row r="39" spans="1:11" ht="20.100000000000001" customHeight="1" x14ac:dyDescent="0.3">
      <c r="C39" s="8"/>
      <c r="D39" s="14" t="s">
        <v>132</v>
      </c>
      <c r="E39" s="19">
        <f>SUM(E34:E38)</f>
        <v>472.15823694780954</v>
      </c>
      <c r="F39" s="19">
        <f>SUM(F34:F38)</f>
        <v>472.15823694780954</v>
      </c>
      <c r="G39" s="1"/>
      <c r="H39" s="1"/>
      <c r="I39" s="1"/>
      <c r="J39" s="8"/>
      <c r="K39" s="8"/>
    </row>
    <row r="40" spans="1:11" ht="20.100000000000001" customHeight="1" x14ac:dyDescent="0.25">
      <c r="C40" s="8"/>
      <c r="D40" s="1"/>
      <c r="E40" s="1"/>
      <c r="F40" s="1"/>
      <c r="G40" s="1"/>
      <c r="H40" s="1"/>
      <c r="I40" s="1"/>
      <c r="J40" s="8"/>
      <c r="K40" s="8"/>
    </row>
    <row r="41" spans="1:11" ht="20.100000000000001" customHeight="1" x14ac:dyDescent="0.25">
      <c r="A41" s="121" t="s">
        <v>1</v>
      </c>
      <c r="C41" s="8"/>
      <c r="D41" s="1"/>
      <c r="E41" s="1"/>
      <c r="F41" s="1"/>
      <c r="G41" s="1"/>
      <c r="H41" s="1"/>
      <c r="I41" s="1"/>
      <c r="J41" s="8"/>
      <c r="K41" s="8"/>
    </row>
    <row r="42" spans="1:11" ht="20.100000000000001" customHeight="1" x14ac:dyDescent="0.25">
      <c r="A42" s="5" t="str">
        <f>HYPERLINK("#'Constants - Ag Residue'!A1", "Constants - Ag residue")</f>
        <v>Constants - Ag residue</v>
      </c>
      <c r="C42" s="8"/>
      <c r="D42" s="2" t="s">
        <v>129</v>
      </c>
      <c r="E42" s="1"/>
      <c r="F42" s="1"/>
      <c r="G42" s="1"/>
      <c r="H42" s="1"/>
      <c r="I42" s="1"/>
      <c r="J42" s="8"/>
      <c r="K42" s="8"/>
    </row>
    <row r="43" spans="1:11" ht="20.100000000000001" customHeight="1" x14ac:dyDescent="0.25">
      <c r="A43" s="5" t="str">
        <f>HYPERLINK("#'Constants - Common Livestock'!A1", "Constants - Common Livestock")</f>
        <v>Constants - Common Livestock</v>
      </c>
      <c r="C43" s="8"/>
      <c r="D43" s="1"/>
      <c r="E43" s="1"/>
      <c r="F43" s="1"/>
      <c r="G43" s="1"/>
      <c r="H43" s="1"/>
      <c r="I43" s="1"/>
      <c r="J43" s="1"/>
      <c r="K43" s="8"/>
    </row>
    <row r="44" spans="1:11" ht="20.100000000000001" customHeight="1" x14ac:dyDescent="0.25">
      <c r="A44" s="5" t="str">
        <f>HYPERLINK("#'Constants - Electricity'!A1", "Constants - Electricity")</f>
        <v>Constants - Electricity</v>
      </c>
      <c r="C44" s="8"/>
      <c r="D44" s="20" t="s">
        <v>116</v>
      </c>
      <c r="E44" s="20" t="s">
        <v>130</v>
      </c>
      <c r="F44" s="1"/>
      <c r="G44" s="1"/>
      <c r="H44" s="1"/>
      <c r="I44" s="1"/>
      <c r="J44" s="1"/>
      <c r="K44" s="8"/>
    </row>
    <row r="45" spans="1:11" ht="20.100000000000001" customHeight="1" x14ac:dyDescent="0.25">
      <c r="A45" s="5" t="str">
        <f>HYPERLINK("#'Constants - Fertiliser'!A1", "Constants - Fertiliser")</f>
        <v>Constants - Fertiliser</v>
      </c>
      <c r="C45" s="8"/>
      <c r="D45" s="1" t="str" cm="1">
        <f t="array" ref="D45:D46">Common_InputFunctions.getOverlappingReportingPeriods(X_Cell_Enterprise_ProductionTimeframeStart,X_Cell_Enterprise_ProductionTimeframeEnd,X_Cell_Site_StartDate)</f>
        <v>01 Jan 2025 to 31 Dec 2025 (This reporting cycle)</v>
      </c>
      <c r="E45" s="86" t="str">
        <f>IF(ISBLANK(D45), 0, "Enter value")</f>
        <v>Enter value</v>
      </c>
      <c r="F45" s="15" t="s">
        <v>131</v>
      </c>
      <c r="G45" s="1"/>
      <c r="H45" s="1"/>
      <c r="I45" s="1"/>
      <c r="J45" s="1"/>
      <c r="K45" s="8"/>
    </row>
    <row r="46" spans="1:11" ht="20.100000000000001" customHeight="1" x14ac:dyDescent="0.25">
      <c r="A46" s="5" t="str">
        <f>HYPERLINK("#'Constants - Fuel'!A1", "Constants - Fuel")</f>
        <v>Constants - Fuel</v>
      </c>
      <c r="C46" s="8"/>
      <c r="D46" s="1" t="str">
        <v>01 Jan 2026 to 31 Dec 2026</v>
      </c>
      <c r="E46" s="86" t="str">
        <f t="shared" ref="E46:E49" si="2">IF(ISBLANK(D46), 0, "Enter value")</f>
        <v>Enter value</v>
      </c>
      <c r="F46" s="15" t="s">
        <v>131</v>
      </c>
      <c r="G46" s="1"/>
      <c r="H46" s="1"/>
      <c r="I46" s="1"/>
      <c r="J46" s="1"/>
      <c r="K46" s="8"/>
    </row>
    <row r="47" spans="1:11" ht="20.100000000000001" customHeight="1" x14ac:dyDescent="0.25">
      <c r="A47" s="5" t="str">
        <f>HYPERLINK("#'Constants - Scope 3'!A1", "Constants - Scope 3")</f>
        <v>Constants - Scope 3</v>
      </c>
      <c r="C47" s="8"/>
      <c r="D47" s="1"/>
      <c r="E47" s="86">
        <f t="shared" si="2"/>
        <v>0</v>
      </c>
      <c r="F47" s="15" t="s">
        <v>131</v>
      </c>
      <c r="G47" s="1"/>
      <c r="H47" s="1"/>
      <c r="I47" s="1"/>
      <c r="J47" s="1"/>
      <c r="K47" s="8"/>
    </row>
    <row r="48" spans="1:11" ht="20.100000000000001" customHeight="1" x14ac:dyDescent="0.25">
      <c r="A48" s="5" t="str">
        <f>HYPERLINK("#'Constants - Common'!A1", "Constants - Common")</f>
        <v>Constants - Common</v>
      </c>
      <c r="C48" s="8"/>
      <c r="D48" s="1"/>
      <c r="E48" s="86">
        <f t="shared" si="2"/>
        <v>0</v>
      </c>
      <c r="F48" s="15" t="s">
        <v>131</v>
      </c>
      <c r="G48" s="1"/>
      <c r="H48" s="1"/>
      <c r="I48" s="1"/>
      <c r="J48" s="1"/>
      <c r="K48" s="8"/>
    </row>
    <row r="49" spans="1:11" ht="20.100000000000001" customHeight="1" x14ac:dyDescent="0.25">
      <c r="A49" s="5" t="str">
        <f>HYPERLINK("#'Constants - Solid Waste'!A1", "Constants - Solid Waste")</f>
        <v>Constants - Solid Waste</v>
      </c>
      <c r="C49" s="8"/>
      <c r="D49" s="1"/>
      <c r="E49" s="86">
        <f t="shared" si="2"/>
        <v>0</v>
      </c>
      <c r="F49" s="15" t="s">
        <v>131</v>
      </c>
      <c r="G49" s="1"/>
      <c r="H49" s="1"/>
      <c r="I49" s="8"/>
      <c r="J49" s="8"/>
      <c r="K49" s="8"/>
    </row>
    <row r="50" spans="1:11" ht="20.100000000000001" customHeight="1" x14ac:dyDescent="0.3">
      <c r="C50" s="8"/>
      <c r="D50" s="14" t="s">
        <v>133</v>
      </c>
      <c r="E50" s="19">
        <f>SUM(E45:E49)</f>
        <v>0</v>
      </c>
      <c r="F50" s="1"/>
      <c r="G50" s="1"/>
      <c r="H50" s="1"/>
      <c r="I50" s="1"/>
      <c r="J50" s="1"/>
      <c r="K50" s="8"/>
    </row>
    <row r="51" spans="1:11" ht="20.100000000000001" customHeight="1" x14ac:dyDescent="0.25">
      <c r="C51" s="8"/>
      <c r="D51" s="1"/>
      <c r="E51" s="1"/>
      <c r="F51" s="1"/>
      <c r="G51" s="1"/>
      <c r="H51" s="1"/>
      <c r="I51" s="1"/>
      <c r="J51" s="1"/>
      <c r="K51" s="8"/>
    </row>
    <row r="52" spans="1:11" ht="20.100000000000001" customHeight="1" x14ac:dyDescent="0.25">
      <c r="C52" s="8"/>
      <c r="D52" s="1"/>
      <c r="E52" s="1"/>
      <c r="F52" s="1"/>
      <c r="G52" s="1"/>
      <c r="H52" s="1"/>
      <c r="I52" s="1"/>
      <c r="J52" s="1"/>
      <c r="K52" s="8"/>
    </row>
    <row r="53" spans="1:11" ht="20.100000000000001" customHeight="1" x14ac:dyDescent="0.25">
      <c r="C53" s="8"/>
      <c r="D53" s="2" t="s">
        <v>119</v>
      </c>
      <c r="E53" s="1"/>
      <c r="F53" s="1"/>
      <c r="G53" s="1"/>
      <c r="H53" s="1"/>
      <c r="I53" s="1"/>
      <c r="J53" s="8"/>
      <c r="K53" s="8"/>
    </row>
    <row r="54" spans="1:11" ht="20.100000000000001" customHeight="1" x14ac:dyDescent="0.25">
      <c r="C54" s="8"/>
      <c r="D54" s="1"/>
      <c r="E54" s="1"/>
      <c r="F54" s="1"/>
      <c r="G54" s="1"/>
      <c r="H54" s="1"/>
      <c r="I54" s="1"/>
      <c r="J54" s="1"/>
      <c r="K54" s="8"/>
    </row>
    <row r="55" spans="1:11" ht="20.100000000000001" customHeight="1" x14ac:dyDescent="0.25">
      <c r="C55" s="8"/>
      <c r="D55" s="20"/>
      <c r="E55" s="20" t="s">
        <v>135</v>
      </c>
      <c r="F55" s="20" t="s">
        <v>136</v>
      </c>
      <c r="G55" s="1"/>
      <c r="H55" s="1"/>
      <c r="I55" s="1"/>
      <c r="J55" s="1"/>
      <c r="K55" s="8"/>
    </row>
    <row r="56" spans="1:11" ht="20.100000000000001" customHeight="1" x14ac:dyDescent="0.3">
      <c r="C56" s="8"/>
      <c r="D56" s="89" t="s">
        <v>134</v>
      </c>
      <c r="E56" s="87">
        <f>Result_EmissionsForWholeProductionCycle_Method1-Result_CarbonRemovalsFromPlantings</f>
        <v>472.15823694780954</v>
      </c>
      <c r="F56" s="87">
        <f>Result_EmissionsForWholeProductionCycle_Method2-Result_CarbonRemovalsFromPlantings</f>
        <v>472.15823694780954</v>
      </c>
      <c r="G56" s="1"/>
      <c r="H56" s="1"/>
      <c r="I56" s="1"/>
      <c r="J56" s="1"/>
      <c r="K56" s="8"/>
    </row>
    <row r="57" spans="1:11" ht="20.100000000000001" customHeight="1" x14ac:dyDescent="0.25">
      <c r="C57" s="8"/>
      <c r="D57" s="1"/>
      <c r="E57" s="1"/>
      <c r="F57" s="1"/>
      <c r="G57" s="1"/>
      <c r="H57" s="1"/>
      <c r="I57" s="1"/>
      <c r="J57" s="1"/>
      <c r="K57" s="8"/>
    </row>
    <row r="58" spans="1:11" ht="20.100000000000001" customHeight="1" x14ac:dyDescent="0.25">
      <c r="C58" s="8"/>
      <c r="D58" s="1"/>
      <c r="E58" s="1"/>
      <c r="F58" s="1"/>
      <c r="G58" s="1"/>
      <c r="H58" s="1"/>
      <c r="I58" s="1"/>
      <c r="J58" s="1"/>
      <c r="K58" s="8"/>
    </row>
    <row r="59" spans="1:11" ht="20.100000000000001" customHeight="1" x14ac:dyDescent="0.25">
      <c r="C59" s="8"/>
      <c r="D59" s="91" t="s">
        <v>171</v>
      </c>
      <c r="E59" s="1"/>
      <c r="F59" s="1"/>
      <c r="G59" s="1"/>
      <c r="H59" s="1"/>
      <c r="I59" s="1"/>
      <c r="J59" s="1"/>
      <c r="K59" s="8"/>
    </row>
    <row r="60" spans="1:11" ht="20.100000000000001" customHeight="1" x14ac:dyDescent="0.25">
      <c r="C60" s="8"/>
      <c r="D60" s="20" t="s">
        <v>137</v>
      </c>
      <c r="E60" s="20" t="s">
        <v>124</v>
      </c>
      <c r="F60" s="20" t="s">
        <v>120</v>
      </c>
      <c r="G60" s="20" t="s">
        <v>168</v>
      </c>
      <c r="H60" s="20" t="s">
        <v>122</v>
      </c>
      <c r="I60" s="20" t="s">
        <v>123</v>
      </c>
      <c r="J60" s="20" t="s">
        <v>121</v>
      </c>
      <c r="K60" s="8"/>
    </row>
    <row r="61" spans="1:11" ht="20.100000000000001" customHeight="1" x14ac:dyDescent="0.25">
      <c r="C61" s="8"/>
      <c r="D61" s="1" t="s">
        <v>173</v>
      </c>
      <c r="E61" s="1" t="s">
        <v>125</v>
      </c>
      <c r="F61" s="18">
        <f>'Input - Enterprise'!E22*'Input - Enterprise'!E23</f>
        <v>35</v>
      </c>
      <c r="G61" s="18">
        <f>F61/(F61+F64)</f>
        <v>0.76923076923076927</v>
      </c>
      <c r="H61" s="18">
        <f>(Result_EmissionsForWholeProductionCycle_Method1/F61)*G61</f>
        <v>10.377104108743067</v>
      </c>
      <c r="I61" s="18">
        <f>(Result_EmissionsForWholeProductionCycle_Method2/F61)*G61</f>
        <v>10.377104108743067</v>
      </c>
      <c r="J61" s="15" t="s">
        <v>165</v>
      </c>
      <c r="K61" s="8"/>
    </row>
    <row r="62" spans="1:11" ht="20.100000000000001" customHeight="1" x14ac:dyDescent="0.25">
      <c r="C62" s="8"/>
      <c r="D62" s="1" t="s">
        <v>174</v>
      </c>
      <c r="E62" s="1" t="s">
        <v>125</v>
      </c>
      <c r="F62" s="18">
        <f>F61</f>
        <v>35</v>
      </c>
      <c r="G62" s="18">
        <f>G61</f>
        <v>0.76923076923076927</v>
      </c>
      <c r="H62" s="18">
        <f>(Result_EmissionsForWholeProductionCycle_Method1/F62)*G62</f>
        <v>10.377104108743067</v>
      </c>
      <c r="I62" s="18">
        <f>(Result_EmissionsForWholeProductionCycle_Method2/F62)*G62</f>
        <v>10.377104108743067</v>
      </c>
      <c r="J62" s="15" t="s">
        <v>165</v>
      </c>
      <c r="K62" s="8"/>
    </row>
    <row r="63" spans="1:11" ht="20.100000000000001" customHeight="1" x14ac:dyDescent="0.25">
      <c r="C63" s="8"/>
      <c r="D63" s="1" t="s">
        <v>163</v>
      </c>
      <c r="E63" s="1" t="s">
        <v>128</v>
      </c>
      <c r="F63" s="18">
        <f>'Input - Enterprise'!E22*'Input - Enterprise'!E24</f>
        <v>35</v>
      </c>
      <c r="G63" s="18" t="s">
        <v>127</v>
      </c>
      <c r="H63" s="18" t="s">
        <v>127</v>
      </c>
      <c r="I63" s="18" t="s">
        <v>127</v>
      </c>
      <c r="J63" s="15"/>
      <c r="K63" s="17"/>
    </row>
    <row r="64" spans="1:11" ht="20.100000000000001" customHeight="1" x14ac:dyDescent="0.25">
      <c r="C64" s="8"/>
      <c r="D64" s="1" t="s">
        <v>175</v>
      </c>
      <c r="E64" s="1" t="s">
        <v>126</v>
      </c>
      <c r="F64" s="18">
        <f>'Input - Enterprise'!E27*'Input - Enterprise'!E28</f>
        <v>10.5</v>
      </c>
      <c r="G64" s="18">
        <f>F64/(F61+F64)</f>
        <v>0.23076923076923078</v>
      </c>
      <c r="H64" s="18">
        <f>(Result_EmissionsForWholeProductionCycle_Method1/F64)*G64</f>
        <v>10.377104108743067</v>
      </c>
      <c r="I64" s="18">
        <f>(Result_EmissionsForWholeProductionCycle_Method2/F64)*G64</f>
        <v>10.377104108743067</v>
      </c>
      <c r="J64" s="15" t="s">
        <v>166</v>
      </c>
      <c r="K64" s="17"/>
    </row>
    <row r="65" spans="3:11" ht="20.100000000000001" customHeight="1" x14ac:dyDescent="0.25">
      <c r="C65" s="8"/>
      <c r="D65" s="1" t="s">
        <v>176</v>
      </c>
      <c r="E65" s="1" t="s">
        <v>126</v>
      </c>
      <c r="F65" s="18">
        <f>F64</f>
        <v>10.5</v>
      </c>
      <c r="G65" s="18">
        <f>G64</f>
        <v>0.23076923076923078</v>
      </c>
      <c r="H65" s="18">
        <f>(Result_NetEmissions_Method1/F65)*G65</f>
        <v>10.377104108743067</v>
      </c>
      <c r="I65" s="18">
        <f>(Result_NetEmissions_Method2/F65)*G65</f>
        <v>10.377104108743067</v>
      </c>
      <c r="J65" s="15" t="s">
        <v>166</v>
      </c>
      <c r="K65" s="17"/>
    </row>
    <row r="66" spans="3:11" ht="20.100000000000001" customHeight="1" x14ac:dyDescent="0.25">
      <c r="C66" s="8"/>
      <c r="D66" s="1" t="s">
        <v>164</v>
      </c>
      <c r="E66" s="1" t="s">
        <v>128</v>
      </c>
      <c r="F66" s="18">
        <f>'Input - Enterprise'!E27*'Input - Enterprise'!E29</f>
        <v>5.25</v>
      </c>
      <c r="G66" s="18" t="s">
        <v>127</v>
      </c>
      <c r="H66" s="18" t="s">
        <v>127</v>
      </c>
      <c r="I66" s="18" t="s">
        <v>127</v>
      </c>
      <c r="J66" s="15"/>
      <c r="K66" s="17"/>
    </row>
    <row r="67" spans="3:11" ht="20.100000000000001" customHeight="1" x14ac:dyDescent="0.25">
      <c r="C67" s="8"/>
      <c r="D67" s="1"/>
      <c r="E67" s="1"/>
      <c r="F67" s="1"/>
      <c r="G67" s="1"/>
      <c r="H67" s="17"/>
      <c r="I67" s="17"/>
      <c r="J67" s="17"/>
      <c r="K67" s="17"/>
    </row>
    <row r="68" spans="3:11" ht="20.100000000000001" customHeight="1" x14ac:dyDescent="0.25">
      <c r="C68" s="8"/>
      <c r="D68" s="91" t="s">
        <v>172</v>
      </c>
      <c r="E68" s="1"/>
      <c r="F68" s="1"/>
      <c r="G68" s="1"/>
      <c r="H68" s="1"/>
      <c r="I68" s="1"/>
      <c r="J68" s="1"/>
      <c r="K68" s="17"/>
    </row>
    <row r="69" spans="3:11" ht="20.100000000000001" customHeight="1" x14ac:dyDescent="0.25">
      <c r="C69" s="8"/>
      <c r="D69" s="20" t="s">
        <v>137</v>
      </c>
      <c r="E69" s="20" t="s">
        <v>124</v>
      </c>
      <c r="F69" s="20" t="s">
        <v>120</v>
      </c>
      <c r="G69" s="20" t="s">
        <v>167</v>
      </c>
      <c r="H69" s="20" t="s">
        <v>169</v>
      </c>
      <c r="I69" s="20" t="s">
        <v>170</v>
      </c>
      <c r="J69" s="20" t="s">
        <v>121</v>
      </c>
      <c r="K69" s="17"/>
    </row>
    <row r="70" spans="3:11" ht="20.100000000000001" customHeight="1" x14ac:dyDescent="0.25">
      <c r="C70" s="8"/>
      <c r="D70" s="1" t="s">
        <v>173</v>
      </c>
      <c r="E70" s="1" t="s">
        <v>125</v>
      </c>
      <c r="F70" s="18">
        <f>'Input - Enterprise'!E22*'Input - Enterprise'!E23</f>
        <v>35</v>
      </c>
      <c r="G70" s="18">
        <f>X_Cell_Enterprise_PercentIncomeFromGrain</f>
        <v>0.8</v>
      </c>
      <c r="H70" s="18">
        <f>Result_EmissionsForWholeProductionCycle_Method1*G70/F70</f>
        <v>10.79218827309279</v>
      </c>
      <c r="I70" s="18">
        <f>Result_EmissionsForWholeProductionCycle_Method2*G70/F70</f>
        <v>10.79218827309279</v>
      </c>
      <c r="J70" s="15" t="s">
        <v>165</v>
      </c>
      <c r="K70" s="17"/>
    </row>
    <row r="71" spans="3:11" ht="20.100000000000001" customHeight="1" x14ac:dyDescent="0.25">
      <c r="C71" s="8"/>
      <c r="D71" s="1" t="s">
        <v>174</v>
      </c>
      <c r="E71" s="1" t="s">
        <v>125</v>
      </c>
      <c r="F71" s="18">
        <f>F70</f>
        <v>35</v>
      </c>
      <c r="G71" s="18">
        <f>G70</f>
        <v>0.8</v>
      </c>
      <c r="H71" s="18">
        <f>Result_EmissionsForWholeProductionCycle_Method1*G71/F71</f>
        <v>10.79218827309279</v>
      </c>
      <c r="I71" s="18">
        <f>Result_EmissionsForWholeProductionCycle_Method2*G71/F71</f>
        <v>10.79218827309279</v>
      </c>
      <c r="J71" s="15" t="s">
        <v>165</v>
      </c>
      <c r="K71" s="17"/>
    </row>
    <row r="72" spans="3:11" ht="20.100000000000001" customHeight="1" x14ac:dyDescent="0.25">
      <c r="C72" s="8"/>
      <c r="D72" s="1" t="s">
        <v>163</v>
      </c>
      <c r="E72" s="1" t="s">
        <v>128</v>
      </c>
      <c r="F72" s="18">
        <f>'Input - Enterprise'!E22*'Input - Enterprise'!E24</f>
        <v>35</v>
      </c>
      <c r="G72" s="18" t="s">
        <v>127</v>
      </c>
      <c r="H72" s="18" t="s">
        <v>127</v>
      </c>
      <c r="I72" s="18" t="s">
        <v>127</v>
      </c>
      <c r="J72" s="15"/>
      <c r="K72" s="17"/>
    </row>
    <row r="73" spans="3:11" ht="20.100000000000001" customHeight="1" x14ac:dyDescent="0.25">
      <c r="C73" s="8"/>
      <c r="D73" s="1" t="s">
        <v>175</v>
      </c>
      <c r="E73" s="1" t="s">
        <v>126</v>
      </c>
      <c r="F73" s="18">
        <f>'Input - Enterprise'!E27*'Input - Enterprise'!E28</f>
        <v>10.5</v>
      </c>
      <c r="G73" s="18">
        <f>X_Cell_Enterprise_PercentIncomeFromGrain</f>
        <v>0.8</v>
      </c>
      <c r="H73" s="18">
        <f>Result_EmissionsForWholeProductionCycle_Method1*G73/F73</f>
        <v>35.973960910309302</v>
      </c>
      <c r="I73" s="18">
        <f>Result_EmissionsForWholeProductionCycle_Method2*G73/F73</f>
        <v>35.973960910309302</v>
      </c>
      <c r="J73" s="15" t="s">
        <v>166</v>
      </c>
      <c r="K73" s="17"/>
    </row>
    <row r="74" spans="3:11" ht="20.100000000000001" customHeight="1" x14ac:dyDescent="0.25">
      <c r="C74" s="8"/>
      <c r="D74" s="1" t="s">
        <v>176</v>
      </c>
      <c r="E74" s="1" t="s">
        <v>126</v>
      </c>
      <c r="F74" s="18">
        <f>F73</f>
        <v>10.5</v>
      </c>
      <c r="G74" s="18">
        <f>G73</f>
        <v>0.8</v>
      </c>
      <c r="H74" s="18">
        <f>Result_EmissionsForWholeProductionCycle_Method1*G74/F74</f>
        <v>35.973960910309302</v>
      </c>
      <c r="I74" s="18">
        <f>Result_EmissionsForWholeProductionCycle_Method2*G74/F74</f>
        <v>35.973960910309302</v>
      </c>
      <c r="J74" s="15" t="s">
        <v>166</v>
      </c>
      <c r="K74" s="17"/>
    </row>
    <row r="75" spans="3:11" ht="20.100000000000001" customHeight="1" x14ac:dyDescent="0.25">
      <c r="C75" s="8"/>
      <c r="D75" s="1" t="s">
        <v>164</v>
      </c>
      <c r="E75" s="1" t="s">
        <v>128</v>
      </c>
      <c r="F75" s="18">
        <f>'Input - Enterprise'!E27*'Input - Enterprise'!E29</f>
        <v>5.25</v>
      </c>
      <c r="G75" s="18" t="s">
        <v>127</v>
      </c>
      <c r="H75" s="18" t="s">
        <v>127</v>
      </c>
      <c r="I75" s="18" t="s">
        <v>127</v>
      </c>
      <c r="J75" s="15"/>
      <c r="K75" s="17"/>
    </row>
    <row r="76" spans="3:11" ht="20.100000000000001" customHeight="1" x14ac:dyDescent="0.25">
      <c r="C76" s="8"/>
      <c r="D76" s="1"/>
      <c r="E76" s="1"/>
      <c r="F76" s="1"/>
      <c r="G76" s="1"/>
      <c r="H76" s="1"/>
      <c r="I76" s="1"/>
      <c r="J76" s="1"/>
      <c r="K76" s="17"/>
    </row>
    <row r="77" spans="3:11" ht="20.100000000000001" customHeight="1" x14ac:dyDescent="0.25">
      <c r="C77" s="8"/>
      <c r="D77" s="1"/>
      <c r="E77" s="1"/>
      <c r="F77" s="1"/>
      <c r="G77" s="1"/>
      <c r="H77" s="1"/>
      <c r="I77" s="1"/>
      <c r="J77" s="1"/>
      <c r="K77" s="8"/>
    </row>
    <row r="78" spans="3:11" ht="20.100000000000001" customHeight="1" x14ac:dyDescent="0.25">
      <c r="C78" s="8"/>
      <c r="D78" s="1"/>
      <c r="E78" s="1"/>
      <c r="F78" s="1"/>
      <c r="G78" s="1"/>
      <c r="H78" s="1"/>
      <c r="I78" s="1"/>
      <c r="J78" s="1"/>
      <c r="K78" s="8"/>
    </row>
    <row r="79" spans="3:11" ht="20.100000000000001" customHeight="1" x14ac:dyDescent="0.25">
      <c r="C79" s="8"/>
      <c r="D79" s="1"/>
      <c r="E79" s="1"/>
      <c r="F79" s="1"/>
      <c r="G79" s="1"/>
      <c r="H79" s="1"/>
      <c r="I79" s="1"/>
      <c r="J79" s="1"/>
      <c r="K79" s="8"/>
    </row>
    <row r="80" spans="3:11" ht="20.100000000000001" customHeight="1" x14ac:dyDescent="0.25">
      <c r="C80" s="8"/>
      <c r="D80" s="1"/>
      <c r="E80" s="1"/>
      <c r="F80" s="1"/>
      <c r="G80" s="1"/>
      <c r="H80" s="1"/>
      <c r="I80" s="1"/>
      <c r="J80" s="1"/>
      <c r="K80" s="8"/>
    </row>
    <row r="81" spans="3:11" ht="20.100000000000001" customHeight="1" x14ac:dyDescent="0.25">
      <c r="C81" s="8"/>
      <c r="D81" s="1"/>
      <c r="E81" s="1"/>
      <c r="F81" s="1"/>
      <c r="G81" s="1"/>
      <c r="H81" s="1"/>
      <c r="I81" s="1"/>
      <c r="J81" s="1"/>
      <c r="K81" s="8"/>
    </row>
    <row r="82" spans="3:11" ht="20.100000000000001" customHeight="1" x14ac:dyDescent="0.25">
      <c r="C82" s="8"/>
      <c r="D82" s="1"/>
      <c r="E82" s="1"/>
      <c r="F82" s="1"/>
      <c r="G82" s="1"/>
      <c r="H82" s="1"/>
      <c r="I82" s="1"/>
      <c r="J82" s="1"/>
      <c r="K82" s="8"/>
    </row>
    <row r="83" spans="3:11" ht="20.100000000000001" customHeight="1" x14ac:dyDescent="0.25">
      <c r="C83" s="8"/>
      <c r="D83" s="1"/>
      <c r="E83" s="1"/>
      <c r="F83" s="1"/>
      <c r="G83" s="1"/>
      <c r="H83" s="1"/>
      <c r="I83" s="1"/>
      <c r="J83" s="1"/>
      <c r="K83" s="8"/>
    </row>
    <row r="84" spans="3:11" ht="20.100000000000001" customHeight="1" x14ac:dyDescent="0.25">
      <c r="C84" s="8"/>
      <c r="D84" s="1"/>
      <c r="E84" s="1"/>
      <c r="F84" s="1"/>
      <c r="G84" s="1"/>
      <c r="H84" s="1"/>
      <c r="I84" s="1"/>
      <c r="J84" s="1"/>
      <c r="K84" s="8"/>
    </row>
    <row r="85" spans="3:11" ht="20.100000000000001" customHeight="1" x14ac:dyDescent="0.25">
      <c r="C85" s="8"/>
      <c r="D85" s="1"/>
      <c r="E85" s="1"/>
      <c r="F85" s="1"/>
      <c r="G85" s="1"/>
      <c r="H85" s="1"/>
      <c r="I85" s="1"/>
      <c r="J85" s="1"/>
      <c r="K85" s="8"/>
    </row>
    <row r="86" spans="3:11" ht="20.100000000000001" customHeight="1" x14ac:dyDescent="0.25">
      <c r="C86" s="8"/>
      <c r="D86" s="8"/>
      <c r="E86" s="8"/>
      <c r="F86" s="8"/>
      <c r="G86" s="8"/>
      <c r="H86" s="8"/>
      <c r="I86" s="8"/>
      <c r="J86" s="8"/>
      <c r="K86" s="8"/>
    </row>
    <row r="87" spans="3:11" ht="20.100000000000001" customHeight="1" x14ac:dyDescent="0.25">
      <c r="C87" s="8"/>
      <c r="D87" s="8"/>
      <c r="E87" s="8"/>
      <c r="F87" s="8"/>
      <c r="G87" s="8"/>
      <c r="H87" s="8"/>
      <c r="I87" s="8"/>
      <c r="J87" s="8"/>
      <c r="K87" s="8"/>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49"/>
  <sheetViews>
    <sheetView showGridLines="0" zoomScaleNormal="100" workbookViewId="0">
      <selection activeCell="A49" sqref="A49"/>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25.5" x14ac:dyDescent="0.35">
      <c r="A1" s="16" t="e" vm="1">
        <v>#VALUE!</v>
      </c>
      <c r="C1" s="38" t="s">
        <v>152</v>
      </c>
      <c r="D1" s="32"/>
      <c r="E1" s="32"/>
      <c r="F1" s="32"/>
      <c r="G1" s="32"/>
      <c r="H1" s="32"/>
      <c r="I1" s="32"/>
      <c r="J1" s="32"/>
    </row>
    <row r="2" spans="1:10" x14ac:dyDescent="0.25">
      <c r="C2" s="3"/>
      <c r="D2" s="3"/>
      <c r="E2" s="3"/>
      <c r="F2" s="3"/>
      <c r="G2" s="3"/>
      <c r="H2" s="3"/>
      <c r="I2" s="3"/>
      <c r="J2" s="3"/>
    </row>
    <row r="3" spans="1:10" ht="20.25" x14ac:dyDescent="0.25">
      <c r="A3" s="5" t="str">
        <f>HYPERLINK("#'Home'!A1", "Home")</f>
        <v>Home</v>
      </c>
      <c r="C3" s="39"/>
      <c r="D3" s="39"/>
      <c r="E3" s="39"/>
      <c r="F3" s="39"/>
      <c r="G3" s="39"/>
      <c r="H3" s="39"/>
      <c r="I3" s="39"/>
      <c r="J3" s="39"/>
    </row>
    <row r="4" spans="1:10" x14ac:dyDescent="0.25">
      <c r="A4" s="5" t="str">
        <f>HYPERLINK("#'Overview'!A1", "Overview")</f>
        <v>Overview</v>
      </c>
    </row>
    <row r="5" spans="1:10" ht="23.25" x14ac:dyDescent="0.25">
      <c r="A5" s="5" t="str">
        <f>HYPERLINK("#'Results'!A1", "Results")</f>
        <v>Results</v>
      </c>
      <c r="D5" s="2" t="s">
        <v>87</v>
      </c>
      <c r="E5" s="35"/>
      <c r="F5" s="35"/>
      <c r="G5" s="35"/>
    </row>
    <row r="6" spans="1:10" x14ac:dyDescent="0.25">
      <c r="D6" s="42"/>
      <c r="E6" s="35"/>
      <c r="F6" s="35"/>
      <c r="G6" s="35"/>
    </row>
    <row r="7" spans="1:10" x14ac:dyDescent="0.25">
      <c r="D7" s="1" t="s">
        <v>88</v>
      </c>
      <c r="E7" s="44" t="s">
        <v>89</v>
      </c>
      <c r="F7" s="26"/>
      <c r="G7" s="35"/>
    </row>
    <row r="8" spans="1:10" x14ac:dyDescent="0.25">
      <c r="A8" s="7" t="s">
        <v>0</v>
      </c>
      <c r="D8" s="22" t="s">
        <v>90</v>
      </c>
      <c r="E8" s="44" t="s">
        <v>91</v>
      </c>
      <c r="F8" s="35"/>
      <c r="G8" s="35"/>
    </row>
    <row r="9" spans="1:10" x14ac:dyDescent="0.25">
      <c r="A9" s="99" t="str">
        <f>HYPERLINK("#'Input - Enterprise'!A1", "Enterprise")</f>
        <v>Enterprise</v>
      </c>
      <c r="D9" s="35"/>
      <c r="E9" s="35"/>
      <c r="F9" s="35"/>
      <c r="G9" s="35"/>
    </row>
    <row r="10" spans="1:10" x14ac:dyDescent="0.25">
      <c r="A10" s="5" t="str">
        <f>HYPERLINK("#'Input - Site'!A1", "Site")</f>
        <v>Site</v>
      </c>
      <c r="D10" s="46" t="s">
        <v>92</v>
      </c>
      <c r="E10" s="47"/>
      <c r="F10" s="48"/>
      <c r="G10" s="49"/>
    </row>
    <row r="11" spans="1:10" x14ac:dyDescent="0.25">
      <c r="A11" s="5" t="str">
        <f>HYPERLINK("#'Input - Crop'!A1", "Crop")</f>
        <v>Crop</v>
      </c>
      <c r="D11" s="35"/>
      <c r="E11" s="35"/>
      <c r="F11" s="35"/>
      <c r="G11" s="35"/>
    </row>
    <row r="12" spans="1:10" x14ac:dyDescent="0.25">
      <c r="A12" s="5" t="str">
        <f>HYPERLINK("#'Input - Fert Prod System'!A1", "Fert Prod System")</f>
        <v>Fert Prod System</v>
      </c>
      <c r="D12" s="22" t="s">
        <v>16</v>
      </c>
      <c r="E12" s="24">
        <v>45658</v>
      </c>
      <c r="F12" s="26" t="s">
        <v>93</v>
      </c>
      <c r="G12" s="35"/>
    </row>
    <row r="13" spans="1:10" x14ac:dyDescent="0.25">
      <c r="A13" s="5" t="str">
        <f>HYPERLINK("#'Input - Fertiliser'!A1", "Fertiliser")</f>
        <v>Fertiliser</v>
      </c>
      <c r="D13" s="22" t="s">
        <v>17</v>
      </c>
      <c r="E13" s="51">
        <f>DATE(YEAR(E12)+1,MONTH(E12),DAY(E12))-1</f>
        <v>46022</v>
      </c>
      <c r="F13" s="26" t="s">
        <v>94</v>
      </c>
      <c r="G13" s="35"/>
    </row>
    <row r="14" spans="1:10" x14ac:dyDescent="0.25">
      <c r="A14" s="5" t="str">
        <f>HYPERLINK("#'Input - Fuel'!A1", "Fuel")</f>
        <v>Fuel</v>
      </c>
      <c r="F14" s="35"/>
      <c r="G14" s="35"/>
    </row>
    <row r="15" spans="1:10" x14ac:dyDescent="0.25">
      <c r="A15" s="5" t="str">
        <f>HYPERLINK("#'Input - Electricity'!A1", "Electricity")</f>
        <v>Electricity</v>
      </c>
    </row>
    <row r="16" spans="1:10" ht="23.25" x14ac:dyDescent="0.25">
      <c r="A16" s="5" t="str">
        <f>HYPERLINK("#'Input - Farm Inputs'!A1", "Farm Inputs")</f>
        <v>Farm Inputs</v>
      </c>
      <c r="D16" s="2" t="s">
        <v>18</v>
      </c>
    </row>
    <row r="17" spans="1:6" x14ac:dyDescent="0.25">
      <c r="A17" s="5" t="str">
        <f>HYPERLINK("#'Input - Freight'!A1", "Freight")</f>
        <v>Freight</v>
      </c>
    </row>
    <row r="18" spans="1:6" x14ac:dyDescent="0.25">
      <c r="A18" s="5" t="str">
        <f>HYPERLINK("#'Input - Manure sent off-site'!A1", "Manure sent off-site")</f>
        <v>Manure sent off-site</v>
      </c>
      <c r="D18" s="1" t="s">
        <v>13</v>
      </c>
      <c r="E18" s="24">
        <v>45962</v>
      </c>
      <c r="F18" s="26" t="s">
        <v>93</v>
      </c>
    </row>
    <row r="19" spans="1:6" x14ac:dyDescent="0.25">
      <c r="A19" s="5" t="str">
        <f>HYPERLINK("#'Input - Solid waste'!A1", "Solid waste")</f>
        <v>Solid waste</v>
      </c>
      <c r="D19" s="1" t="s">
        <v>14</v>
      </c>
      <c r="E19" s="24">
        <v>46112</v>
      </c>
      <c r="F19" s="26" t="s">
        <v>93</v>
      </c>
    </row>
    <row r="20" spans="1:6" x14ac:dyDescent="0.25">
      <c r="A20" s="5" t="str">
        <f>HYPERLINK("#'Input - Data quality'!A1", "Data quality")</f>
        <v>Data quality</v>
      </c>
      <c r="D20" s="1" t="s">
        <v>15</v>
      </c>
      <c r="E20" s="25">
        <f>DATEDIF(E18,E19+1,"m")</f>
        <v>5</v>
      </c>
      <c r="F20" s="26" t="s">
        <v>118</v>
      </c>
    </row>
    <row r="22" spans="1:6" x14ac:dyDescent="0.25">
      <c r="D22" s="1" t="s">
        <v>154</v>
      </c>
      <c r="E22" s="90" cm="1">
        <f t="array" ref="E22">IF(X_Cell_Crop_CropPurpose = "Cash grain crop", X_Cell_Crop_TotalProductionOfCrop, 0)</f>
        <v>350</v>
      </c>
      <c r="F22" s="26" t="s">
        <v>19</v>
      </c>
    </row>
    <row r="23" spans="1:6" x14ac:dyDescent="0.25">
      <c r="A23" s="6" t="s">
        <v>2</v>
      </c>
      <c r="D23" s="1" t="s">
        <v>158</v>
      </c>
      <c r="E23" s="28">
        <v>0.1</v>
      </c>
      <c r="F23" s="26" t="s">
        <v>153</v>
      </c>
    </row>
    <row r="24" spans="1:6" x14ac:dyDescent="0.25">
      <c r="A24" s="5" t="str">
        <f>HYPERLINK("#'5.1.1.1-2 Inorganic fert N2O'!A1", "5.1.1.1-2 Inorganic fert N2O")</f>
        <v>5.1.1.1-2 Inorganic fert N2O</v>
      </c>
      <c r="D24" s="1" t="s">
        <v>159</v>
      </c>
      <c r="E24" s="28">
        <v>0.1</v>
      </c>
      <c r="F24" s="26" t="s">
        <v>153</v>
      </c>
    </row>
    <row r="25" spans="1:6" x14ac:dyDescent="0.25">
      <c r="A25" s="5" t="str">
        <f>HYPERLINK("#'5.1.1.3-4 Inorganic fert CO2'!A1", "5.1.1.3-4 Inorganic fert CO2")</f>
        <v>5.1.1.3-4 Inorganic fert CO2</v>
      </c>
      <c r="D25" s="1" t="s">
        <v>160</v>
      </c>
      <c r="E25" s="29">
        <f>100%-E23-E24</f>
        <v>0.8</v>
      </c>
      <c r="F25" s="26" t="s">
        <v>153</v>
      </c>
    </row>
    <row r="26" spans="1:6" x14ac:dyDescent="0.25">
      <c r="A26" s="5" t="str">
        <f>HYPERLINK("#'5.2.1.1-2 Organic Fert N2O'!A1", "5.2.1.1-2 Organic fert N2O")</f>
        <v>5.2.1.1-2 Organic fert N2O</v>
      </c>
    </row>
    <row r="27" spans="1:6" x14ac:dyDescent="0.25">
      <c r="A27" s="5" t="str">
        <f>HYPERLINK("#'5.3.1.1-2 Lime CO2'!A1", "5.3.1.1-2 Lime CO2")</f>
        <v>5.3.1.1-2 Lime CO2</v>
      </c>
      <c r="D27" s="1" t="s">
        <v>156</v>
      </c>
      <c r="E27" s="90" cm="1">
        <f t="array" ref="E27">X_Cell_Crop_TotalResidueBaled</f>
        <v>52.5</v>
      </c>
      <c r="F27" s="26" t="s">
        <v>19</v>
      </c>
    </row>
    <row r="28" spans="1:6" x14ac:dyDescent="0.25">
      <c r="A28" s="5" t="str">
        <f>HYPERLINK("#'5.4.1.1-4 Atmos deposition'!A1", "5.4.1.1-4 Atmos. deposition")</f>
        <v>5.4.1.1-4 Atmos. deposition</v>
      </c>
      <c r="D28" s="1" t="s">
        <v>161</v>
      </c>
      <c r="E28" s="28">
        <v>0.2</v>
      </c>
      <c r="F28" s="26" t="s">
        <v>153</v>
      </c>
    </row>
    <row r="29" spans="1:6" x14ac:dyDescent="0.25">
      <c r="A29" s="5" t="str">
        <f>HYPERLINK("#'5.5.1.1-2 Leaching and runoff'!A1", "5.5.1.1-2 Leaching &amp; runoff")</f>
        <v>5.5.1.1-2 Leaching &amp; runoff</v>
      </c>
      <c r="D29" s="1" t="s">
        <v>162</v>
      </c>
      <c r="E29" s="28">
        <v>0.1</v>
      </c>
      <c r="F29" s="26" t="s">
        <v>153</v>
      </c>
    </row>
    <row r="30" spans="1:6" x14ac:dyDescent="0.25">
      <c r="A30" s="5" t="str">
        <f>HYPERLINK("#'6.1.1.1-2 Crop residue N2O'!A1", "6.1.1.1-2 Crop residue N2O")</f>
        <v>6.1.1.1-2 Crop residue N2O</v>
      </c>
      <c r="D30" s="1" t="s">
        <v>160</v>
      </c>
      <c r="E30" s="29">
        <f>100%-E28-E29</f>
        <v>0.70000000000000007</v>
      </c>
      <c r="F30" s="26" t="s">
        <v>153</v>
      </c>
    </row>
    <row r="31" spans="1:6" x14ac:dyDescent="0.25">
      <c r="A31" s="5" t="str">
        <f>HYPERLINK("#'6.3.1.1-2 Leach runoff crop'!A1", "6.3.1.1-2 Leach &amp; runoff (crop)")</f>
        <v>6.3.1.1-2 Leach &amp; runoff (crop)</v>
      </c>
    </row>
    <row r="32" spans="1:6" x14ac:dyDescent="0.25">
      <c r="A32" s="5" t="str">
        <f>HYPERLINK("#'6.4.1.1-2 Residue burning'!A1", "6.4.1.1-2 Residue burning")</f>
        <v>6.4.1.1-2 Residue burning</v>
      </c>
      <c r="D32" s="1" t="s">
        <v>155</v>
      </c>
      <c r="E32" s="28">
        <v>0.8</v>
      </c>
      <c r="F32" s="26" t="s">
        <v>153</v>
      </c>
    </row>
    <row r="33" spans="1:6" x14ac:dyDescent="0.25">
      <c r="A33" s="5" t="str">
        <f>HYPERLINK("#'8.1.1.1-2 Transport fuel'!A1", "8.1.1.1-2 Transport fuel")</f>
        <v>8.1.1.1-2 Transport fuel</v>
      </c>
      <c r="D33" s="1" t="s">
        <v>157</v>
      </c>
      <c r="E33" s="28">
        <v>0.2</v>
      </c>
      <c r="F33" s="26" t="s">
        <v>153</v>
      </c>
    </row>
    <row r="34" spans="1:6" x14ac:dyDescent="0.25">
      <c r="A34" s="5" t="str">
        <f>HYPERLINK("#'8.2.1.1-2 Stationary fuel'!A1", "8.2.1.1-2 Stationary fuel")</f>
        <v>8.2.1.1-2 Stationary fuel</v>
      </c>
    </row>
    <row r="35" spans="1:6" x14ac:dyDescent="0.25">
      <c r="A35" s="5" t="str">
        <f>HYPERLINK("#'14.1.1-2 Purchased electricity'!A1", "14.1.1-2 Purchased electricity")</f>
        <v>14.1.1-2 Purchased electricity</v>
      </c>
    </row>
    <row r="36" spans="1:6" x14ac:dyDescent="0.25">
      <c r="A36" s="5" t="str">
        <f>HYPERLINK("#'15 Scope 3'!A1", "15 Scope 3")</f>
        <v>15 Scope 3</v>
      </c>
    </row>
    <row r="37" spans="1:6" x14ac:dyDescent="0.25">
      <c r="A37" s="5" t="str">
        <f>HYPERLINK("#'Calcs - Manure sent off-site'!A1", "Calcs - Manure sent off-site")</f>
        <v>Calcs - Manure sent off-site</v>
      </c>
    </row>
    <row r="38" spans="1:6" x14ac:dyDescent="0.25">
      <c r="A38" s="5" t="str">
        <f>HYPERLINK("#'10.1.1-2 Solid waste treatment'!A1", "10.1.1-2 Solid waste treatment")</f>
        <v>10.1.1-2 Solid waste treatment</v>
      </c>
    </row>
    <row r="41" spans="1:6" x14ac:dyDescent="0.25">
      <c r="A41" s="121" t="s">
        <v>1</v>
      </c>
    </row>
    <row r="42" spans="1:6" x14ac:dyDescent="0.25">
      <c r="A42" s="5" t="str">
        <f>HYPERLINK("#'Constants - Ag Residue'!A1", "Constants - Ag residue")</f>
        <v>Constants - Ag residue</v>
      </c>
    </row>
    <row r="43" spans="1:6" x14ac:dyDescent="0.25">
      <c r="A43" s="5" t="str">
        <f>HYPERLINK("#'Constants - Common Livestock'!A1", "Constants - Common Livestock")</f>
        <v>Constants - Common Livestock</v>
      </c>
    </row>
    <row r="44" spans="1:6" x14ac:dyDescent="0.25">
      <c r="A44" s="5" t="str">
        <f>HYPERLINK("#'Constants - Electricity'!A1", "Constants - Electricity")</f>
        <v>Constants - Electricity</v>
      </c>
    </row>
    <row r="45" spans="1:6" x14ac:dyDescent="0.25">
      <c r="A45" s="5" t="str">
        <f>HYPERLINK("#'Constants - Fertiliser'!A1", "Constants - Fertiliser")</f>
        <v>Constants - Fertiliser</v>
      </c>
    </row>
    <row r="46" spans="1:6" x14ac:dyDescent="0.25">
      <c r="A46" s="5" t="str">
        <f>HYPERLINK("#'Constants - Fuel'!A1", "Constants - Fuel")</f>
        <v>Constants - Fuel</v>
      </c>
    </row>
    <row r="47" spans="1:6" x14ac:dyDescent="0.25">
      <c r="A47" s="5" t="str">
        <f>HYPERLINK("#'Constants - Scope 3'!A1", "Constants - Scope 3")</f>
        <v>Constants - Scope 3</v>
      </c>
    </row>
    <row r="48" spans="1:6" x14ac:dyDescent="0.25">
      <c r="A48" s="5" t="str">
        <f>HYPERLINK("#'Constants - Common'!A1", "Constants - Common")</f>
        <v>Constants - Common</v>
      </c>
    </row>
    <row r="49" spans="1:1" x14ac:dyDescent="0.25">
      <c r="A49" s="5" t="str">
        <f>HYPERLINK("#'Constants - Solid Waste'!A1", "Constants - Solid Waste")</f>
        <v>Constants - Solid Waste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60"/>
  <sheetViews>
    <sheetView showGridLines="0" zoomScaleNormal="100" workbookViewId="0">
      <selection activeCell="A49" sqref="A49"/>
    </sheetView>
  </sheetViews>
  <sheetFormatPr defaultColWidth="9.140625" defaultRowHeight="15.75" x14ac:dyDescent="0.25"/>
  <cols>
    <col min="1" max="1" width="30.7109375" style="4" customWidth="1"/>
    <col min="2" max="2" width="4.7109375" style="32" customWidth="1"/>
    <col min="3" max="3" width="4.7109375" style="35" customWidth="1"/>
    <col min="4" max="4" width="60.7109375" style="35" customWidth="1"/>
    <col min="5" max="5" width="50.7109375" style="35" customWidth="1"/>
    <col min="6" max="11" width="28.7109375" style="35" customWidth="1"/>
    <col min="12" max="25" width="28.7109375" style="32" customWidth="1"/>
    <col min="26" max="27" width="9.140625" style="32"/>
    <col min="28" max="16384" width="9.140625" style="35"/>
  </cols>
  <sheetData>
    <row r="1" spans="1:24" s="32" customFormat="1" ht="30" customHeight="1" x14ac:dyDescent="0.35">
      <c r="A1" s="16" t="e" vm="1">
        <v>#VALUE!</v>
      </c>
      <c r="C1" s="38" t="s">
        <v>86</v>
      </c>
    </row>
    <row r="2" spans="1:24" s="32" customFormat="1" ht="20.100000000000001" customHeight="1" x14ac:dyDescent="0.25">
      <c r="A2"/>
      <c r="C2" s="3"/>
      <c r="D2" s="3"/>
      <c r="E2" s="3"/>
      <c r="F2" s="3"/>
      <c r="G2" s="3"/>
      <c r="H2" s="3"/>
      <c r="I2" s="3"/>
      <c r="J2" s="3"/>
    </row>
    <row r="3" spans="1:24" ht="20.100000000000001" customHeight="1" x14ac:dyDescent="0.25">
      <c r="A3" s="5" t="str">
        <f>HYPERLINK("#'Home'!A1", "Home")</f>
        <v>Home</v>
      </c>
      <c r="C3" s="39"/>
      <c r="D3" s="39"/>
      <c r="E3" s="39"/>
      <c r="F3" s="39"/>
      <c r="G3" s="39"/>
      <c r="H3" s="39"/>
      <c r="I3" s="39"/>
      <c r="J3" s="39"/>
      <c r="K3" s="39"/>
      <c r="M3" s="34"/>
      <c r="N3" s="34"/>
      <c r="O3" s="34"/>
      <c r="P3" s="34"/>
      <c r="Q3" s="34"/>
      <c r="R3" s="34"/>
      <c r="S3" s="34"/>
      <c r="T3" s="34"/>
      <c r="U3" s="34"/>
      <c r="V3" s="34"/>
      <c r="W3" s="34"/>
      <c r="X3" s="34"/>
    </row>
    <row r="4" spans="1:24" ht="20.100000000000001" customHeight="1" x14ac:dyDescent="0.25">
      <c r="A4" s="5" t="str">
        <f>HYPERLINK("#'Overview'!A1", "Overview")</f>
        <v>Overview</v>
      </c>
      <c r="C4" s="40"/>
      <c r="D4" s="40"/>
      <c r="E4" s="40"/>
      <c r="F4" s="40"/>
      <c r="G4" s="40"/>
      <c r="H4" s="40"/>
      <c r="I4" s="40"/>
      <c r="J4" s="40"/>
      <c r="K4" s="40"/>
    </row>
    <row r="5" spans="1:24" ht="20.100000000000001" customHeight="1" x14ac:dyDescent="0.25">
      <c r="A5" s="5" t="str">
        <f>HYPERLINK("#'Results'!A1", "Results")</f>
        <v>Results</v>
      </c>
      <c r="D5" s="2" t="s">
        <v>95</v>
      </c>
      <c r="N5" s="41"/>
    </row>
    <row r="6" spans="1:24" ht="20.100000000000001" customHeight="1" x14ac:dyDescent="0.25">
      <c r="A6"/>
      <c r="N6" s="43"/>
    </row>
    <row r="7" spans="1:24" ht="20.100000000000001" customHeight="1" x14ac:dyDescent="0.25">
      <c r="A7"/>
      <c r="D7" s="53" t="s">
        <v>96</v>
      </c>
      <c r="E7" s="54"/>
      <c r="F7" s="54"/>
      <c r="G7" s="55"/>
    </row>
    <row r="8" spans="1:24" ht="20.100000000000001" customHeight="1" x14ac:dyDescent="0.25">
      <c r="A8" s="7" t="s">
        <v>0</v>
      </c>
      <c r="D8" s="56" t="s">
        <v>97</v>
      </c>
      <c r="E8" s="57"/>
      <c r="F8" s="57"/>
      <c r="G8" s="58"/>
    </row>
    <row r="9" spans="1:24" ht="20.100000000000001" customHeight="1" x14ac:dyDescent="0.25">
      <c r="A9" s="5" t="str">
        <f>HYPERLINK("#'Input - Enterprise'!A1", "Enterprise")</f>
        <v>Enterprise</v>
      </c>
      <c r="D9" s="1"/>
      <c r="E9" s="59"/>
      <c r="F9" s="26"/>
      <c r="N9" s="45"/>
    </row>
    <row r="10" spans="1:24" ht="20.100000000000001" customHeight="1" x14ac:dyDescent="0.25">
      <c r="A10" s="99" t="str">
        <f>HYPERLINK("#'Input - Site'!A1", "Site")</f>
        <v>Site</v>
      </c>
      <c r="D10" s="1" t="s">
        <v>98</v>
      </c>
      <c r="E10" s="23" t="s">
        <v>99</v>
      </c>
      <c r="F10" s="26" t="s">
        <v>100</v>
      </c>
      <c r="N10" s="45"/>
    </row>
    <row r="11" spans="1:24" ht="20.100000000000001" customHeight="1" x14ac:dyDescent="0.25">
      <c r="A11" s="5" t="str">
        <f>HYPERLINK("#'Input - Crop'!A1", "Crop")</f>
        <v>Crop</v>
      </c>
      <c r="D11" s="1" t="s">
        <v>101</v>
      </c>
      <c r="E11" s="23" t="s">
        <v>102</v>
      </c>
      <c r="F11" s="26" t="s">
        <v>100</v>
      </c>
      <c r="G11" s="1"/>
      <c r="N11" s="50"/>
    </row>
    <row r="12" spans="1:24" ht="20.100000000000001" customHeight="1" x14ac:dyDescent="0.25">
      <c r="A12" s="5" t="str">
        <f>HYPERLINK("#'Input - Fert Prod System'!A1", "Fert Prod System")</f>
        <v>Fert Prod System</v>
      </c>
      <c r="D12" s="1" t="s">
        <v>103</v>
      </c>
      <c r="E12" s="23" t="s">
        <v>104</v>
      </c>
      <c r="F12" s="26" t="s">
        <v>100</v>
      </c>
    </row>
    <row r="13" spans="1:24" ht="20.100000000000001" customHeight="1" x14ac:dyDescent="0.25">
      <c r="A13" s="5" t="str">
        <f>HYPERLINK("#'Input - Fertiliser'!A1", "Fertiliser")</f>
        <v>Fertiliser</v>
      </c>
      <c r="D13" s="1" t="s">
        <v>36</v>
      </c>
      <c r="E13" s="44">
        <v>307.7</v>
      </c>
      <c r="F13" s="26" t="s">
        <v>105</v>
      </c>
      <c r="N13" s="52"/>
      <c r="O13" s="52"/>
    </row>
    <row r="14" spans="1:24" ht="20.100000000000001" customHeight="1" x14ac:dyDescent="0.25">
      <c r="A14" s="5" t="str">
        <f>HYPERLINK("#'Input - Fuel'!A1", "Fuel")</f>
        <v>Fuel</v>
      </c>
      <c r="D14" s="1" t="s">
        <v>106</v>
      </c>
      <c r="E14" s="44">
        <v>18</v>
      </c>
      <c r="F14" s="26" t="s">
        <v>107</v>
      </c>
      <c r="N14" s="52"/>
      <c r="O14" s="52"/>
    </row>
    <row r="15" spans="1:24" ht="20.100000000000001" customHeight="1" x14ac:dyDescent="0.25">
      <c r="A15" s="5" t="str">
        <f>HYPERLINK("#'Input - Electricity'!A1", "Electricity")</f>
        <v>Electricity</v>
      </c>
      <c r="D15" s="1" t="s">
        <v>108</v>
      </c>
      <c r="E15" s="44">
        <v>601</v>
      </c>
      <c r="F15" s="26" t="s">
        <v>109</v>
      </c>
      <c r="N15" s="52"/>
      <c r="O15" s="52"/>
    </row>
    <row r="16" spans="1:24" ht="20.100000000000001" customHeight="1" x14ac:dyDescent="0.25">
      <c r="A16" s="5" t="str">
        <f>HYPERLINK("#'Input - Farm Inputs'!A1", "Farm Inputs")</f>
        <v>Farm Inputs</v>
      </c>
      <c r="D16" s="22" t="s">
        <v>110</v>
      </c>
      <c r="E16" s="44">
        <v>1326</v>
      </c>
      <c r="F16" s="26" t="s">
        <v>109</v>
      </c>
      <c r="N16" s="52"/>
      <c r="O16" s="52"/>
    </row>
    <row r="17" spans="1:25" ht="20.100000000000001" customHeight="1" x14ac:dyDescent="0.25">
      <c r="A17" s="5" t="str">
        <f>HYPERLINK("#'Input - Freight'!A1", "Freight")</f>
        <v>Freight</v>
      </c>
      <c r="D17" s="1" t="s">
        <v>111</v>
      </c>
      <c r="E17" s="44">
        <v>7</v>
      </c>
      <c r="F17" s="26" t="s">
        <v>112</v>
      </c>
    </row>
    <row r="18" spans="1:25" ht="20.100000000000001" customHeight="1" x14ac:dyDescent="0.25">
      <c r="A18" s="5" t="str">
        <f>HYPERLINK("#'Input - Manure sent off-site'!A1", "Manure sent off-site")</f>
        <v>Manure sent off-site</v>
      </c>
      <c r="D18" s="22" t="s">
        <v>113</v>
      </c>
      <c r="E18" s="25">
        <f>E15/E16</f>
        <v>0.45324283559577677</v>
      </c>
      <c r="F18" s="26"/>
    </row>
    <row r="19" spans="1:25" ht="20.100000000000001" customHeight="1" x14ac:dyDescent="0.25">
      <c r="A19" s="5" t="str">
        <f>HYPERLINK("#'Input - Solid waste'!A1", "Solid waste")</f>
        <v>Solid waste</v>
      </c>
      <c r="D19" s="22" t="s">
        <v>64</v>
      </c>
      <c r="E19" s="25" t="str">
        <f>Common_InputFunctions.Utility_LookupItemFromMinMax(E15,Table_SourceData_RainfallZones[Min rainfall],Table_SourceData_RainfallZones[Max rainfall],Table_SourceData_RainfallZones[Rainfall Zone])</f>
        <v>High rainfall</v>
      </c>
      <c r="G19" s="60"/>
      <c r="N19" s="41"/>
    </row>
    <row r="20" spans="1:25" ht="20.100000000000001" customHeight="1" x14ac:dyDescent="0.25">
      <c r="A20" s="5" t="str">
        <f>HYPERLINK("#'Input - Data quality'!A1", "Data quality")</f>
        <v>Data quality</v>
      </c>
      <c r="D20" s="1" t="s">
        <v>31</v>
      </c>
      <c r="E20" s="2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59"/>
      <c r="N20" s="43"/>
    </row>
    <row r="21" spans="1:25" ht="20.100000000000001" customHeight="1" x14ac:dyDescent="0.25">
      <c r="A21"/>
      <c r="D21" s="1" t="s">
        <v>114</v>
      </c>
      <c r="E21" s="25" t="str">
        <f>Common_InputFunctions.Utility_LookupValueInTable($E$20,Table_SourceData_WetDryZones[Climate zone],Table_SourceData_WetDryZones[Wet or Dry Zone])</f>
        <v>Dry climate zone</v>
      </c>
      <c r="F21" s="1"/>
      <c r="G21" s="59"/>
    </row>
    <row r="22" spans="1:25" ht="20.100000000000001" customHeight="1" x14ac:dyDescent="0.25">
      <c r="A22"/>
      <c r="D22" s="1" t="s">
        <v>68</v>
      </c>
      <c r="E22" s="25" t="str">
        <f>Common_InputFunctions.Utility_LookupItemFromMinMax(E14,Table_SourceData_TemperatureZones[Min MAT],Table_SourceData_TemperatureZones[Max MAT],Table_SourceData_TemperatureZones[Temperature Zone])</f>
        <v>Temperate</v>
      </c>
      <c r="G22" s="63"/>
    </row>
    <row r="23" spans="1:25" ht="20.100000000000001" customHeight="1" x14ac:dyDescent="0.25">
      <c r="A23" s="6" t="s">
        <v>2</v>
      </c>
    </row>
    <row r="24" spans="1:25" ht="20.100000000000001" customHeight="1" x14ac:dyDescent="0.25">
      <c r="A24" s="5" t="str">
        <f>HYPERLINK("#'5.1.1.1-2 Inorganic fert N2O'!A1", "5.1.1.1-2 Inorganic fert N2O")</f>
        <v>5.1.1.1-2 Inorganic fert N2O</v>
      </c>
    </row>
    <row r="25" spans="1:25" ht="20.100000000000001" customHeight="1" x14ac:dyDescent="0.25">
      <c r="A25" s="5" t="str">
        <f>HYPERLINK("#'5.1.1.3-4 Inorganic fert CO2'!A1", "5.1.1.3-4 Inorganic fert CO2")</f>
        <v>5.1.1.3-4 Inorganic fert CO2</v>
      </c>
      <c r="N25" s="43"/>
    </row>
    <row r="26" spans="1:25" ht="20.100000000000001" customHeight="1" x14ac:dyDescent="0.25">
      <c r="A26" s="5" t="str">
        <f>HYPERLINK("#'5.2.1.1-2 Organic Fert N2O'!A1", "5.2.1.1-2 Organic fert N2O")</f>
        <v>5.2.1.1-2 Organic fert N2O</v>
      </c>
    </row>
    <row r="27" spans="1:25" ht="20.100000000000001" customHeight="1" x14ac:dyDescent="0.25">
      <c r="A27" s="5" t="str">
        <f>HYPERLINK("#'5.3.1.1-2 Lime CO2'!A1", "5.3.1.1-2 Lime CO2")</f>
        <v>5.3.1.1-2 Lime CO2</v>
      </c>
    </row>
    <row r="28" spans="1:25" ht="20.100000000000001" customHeight="1" x14ac:dyDescent="0.25">
      <c r="A28" s="5" t="str">
        <f>HYPERLINK("#'5.4.1.1-4 Atmos deposition'!A1", "5.4.1.1-4 Atmos. deposition")</f>
        <v>5.4.1.1-4 Atmos. deposition</v>
      </c>
    </row>
    <row r="29" spans="1:25" ht="20.100000000000001" customHeight="1" x14ac:dyDescent="0.25">
      <c r="A29" s="5" t="str">
        <f>HYPERLINK("#'5.5.1.1-2 Leaching and runoff'!A1", "5.5.1.1-2 Leaching &amp; runoff")</f>
        <v>5.5.1.1-2 Leaching &amp; runoff</v>
      </c>
    </row>
    <row r="30" spans="1:25" ht="20.100000000000001" customHeight="1" x14ac:dyDescent="0.25">
      <c r="A30" s="5" t="str">
        <f>HYPERLINK("#'6.1.1.1-2 Crop residue N2O'!A1", "6.1.1.1-2 Crop residue N2O")</f>
        <v>6.1.1.1-2 Crop residue N2O</v>
      </c>
      <c r="L30" s="61"/>
      <c r="M30" s="61"/>
      <c r="N30" s="61"/>
      <c r="O30" s="61"/>
      <c r="P30" s="61"/>
      <c r="Q30" s="61"/>
      <c r="R30" s="61"/>
      <c r="S30" s="61"/>
      <c r="T30" s="61"/>
      <c r="U30" s="61"/>
      <c r="V30" s="61"/>
      <c r="W30" s="61"/>
      <c r="X30" s="61"/>
      <c r="Y30" s="61"/>
    </row>
    <row r="31" spans="1:25" ht="20.100000000000001" customHeight="1" x14ac:dyDescent="0.25">
      <c r="A31" s="5" t="str">
        <f>HYPERLINK("#'6.3.1.1-2 Leach runoff crop'!A1", "6.3.1.1-2 Leach &amp; runoff (crop)")</f>
        <v>6.3.1.1-2 Leach &amp; runoff (crop)</v>
      </c>
      <c r="L31" s="62"/>
      <c r="M31" s="62"/>
      <c r="N31" s="62"/>
      <c r="O31" s="62"/>
      <c r="P31" s="62"/>
      <c r="Q31" s="62"/>
      <c r="R31" s="62"/>
      <c r="S31" s="62"/>
      <c r="T31" s="62"/>
      <c r="U31" s="62"/>
      <c r="V31" s="62"/>
      <c r="W31" s="62"/>
      <c r="X31" s="62"/>
      <c r="Y31" s="62"/>
    </row>
    <row r="32" spans="1:25" ht="20.100000000000001" customHeight="1" x14ac:dyDescent="0.25">
      <c r="A32" s="5" t="str">
        <f>HYPERLINK("#'6.4.1.1-2 Residue burning'!A1", "6.4.1.1-2 Residue burning")</f>
        <v>6.4.1.1-2 Residue burning</v>
      </c>
      <c r="L32" s="62"/>
      <c r="M32" s="62"/>
      <c r="N32" s="62"/>
      <c r="O32" s="62"/>
      <c r="P32" s="62"/>
      <c r="Q32" s="62"/>
      <c r="R32" s="62"/>
      <c r="S32" s="62"/>
      <c r="T32" s="62"/>
      <c r="U32" s="62"/>
      <c r="V32" s="62"/>
      <c r="W32" s="62"/>
      <c r="X32" s="62"/>
      <c r="Y32" s="62"/>
    </row>
    <row r="33" spans="1:25" ht="20.100000000000001" customHeight="1" x14ac:dyDescent="0.25">
      <c r="A33" s="5" t="str">
        <f>HYPERLINK("#'8.1.1.1-2 Transport fuel'!A1", "8.1.1.1-2 Transport fuel")</f>
        <v>8.1.1.1-2 Transport fuel</v>
      </c>
      <c r="L33" s="62"/>
      <c r="M33" s="62"/>
      <c r="N33" s="62"/>
      <c r="O33" s="62"/>
      <c r="P33" s="62"/>
      <c r="Q33" s="62"/>
      <c r="R33" s="62"/>
      <c r="S33" s="62"/>
      <c r="T33" s="62"/>
      <c r="U33" s="62"/>
      <c r="V33" s="62"/>
      <c r="W33" s="62"/>
      <c r="X33" s="62"/>
      <c r="Y33" s="62"/>
    </row>
    <row r="34" spans="1:25" ht="20.100000000000001" customHeight="1" x14ac:dyDescent="0.25">
      <c r="A34" s="5" t="str">
        <f>HYPERLINK("#'8.2.1.1-2 Stationary fuel'!A1", "8.2.1.1-2 Stationary fuel")</f>
        <v>8.2.1.1-2 Stationary fuel</v>
      </c>
      <c r="J34" s="64"/>
      <c r="K34" s="65"/>
      <c r="L34" s="62"/>
      <c r="M34" s="62"/>
      <c r="N34" s="62"/>
      <c r="O34" s="62"/>
      <c r="P34" s="62"/>
      <c r="Q34" s="62"/>
      <c r="R34" s="62"/>
      <c r="S34" s="62"/>
      <c r="T34" s="62"/>
      <c r="U34" s="62"/>
      <c r="V34" s="62"/>
      <c r="W34" s="62"/>
      <c r="X34" s="62"/>
      <c r="Y34" s="62"/>
    </row>
    <row r="35" spans="1:25" ht="20.100000000000001" customHeight="1" x14ac:dyDescent="0.25">
      <c r="A35" s="5" t="str">
        <f>HYPERLINK("#'14.1.1-2 Purchased electricity'!A1", "14.1.1-2 Purchased electricity")</f>
        <v>14.1.1-2 Purchased electricity</v>
      </c>
      <c r="J35" s="64"/>
      <c r="K35" s="65"/>
      <c r="L35" s="62"/>
      <c r="M35" s="62"/>
      <c r="N35" s="62"/>
      <c r="O35" s="62"/>
      <c r="P35" s="62"/>
      <c r="Q35" s="62"/>
      <c r="R35" s="62"/>
      <c r="S35" s="62"/>
      <c r="T35" s="62"/>
      <c r="U35" s="62"/>
      <c r="V35" s="62"/>
      <c r="W35" s="62"/>
      <c r="X35" s="62"/>
      <c r="Y35" s="62"/>
    </row>
    <row r="36" spans="1:25" ht="20.100000000000001" customHeight="1" x14ac:dyDescent="0.25">
      <c r="A36" s="5" t="str">
        <f>HYPERLINK("#'15 Scope 3'!A1", "15 Scope 3")</f>
        <v>15 Scope 3</v>
      </c>
      <c r="D36" s="66"/>
      <c r="E36" s="66"/>
      <c r="F36" s="67"/>
      <c r="G36" s="64"/>
      <c r="H36" s="64"/>
      <c r="I36" s="68"/>
      <c r="J36" s="64"/>
      <c r="K36" s="65"/>
      <c r="L36" s="62"/>
      <c r="M36" s="62"/>
      <c r="N36" s="62"/>
      <c r="O36" s="62"/>
      <c r="P36" s="62"/>
      <c r="Q36" s="62"/>
      <c r="R36" s="62"/>
      <c r="S36" s="62"/>
      <c r="T36" s="62"/>
      <c r="U36" s="62"/>
      <c r="V36" s="62"/>
      <c r="W36" s="62"/>
      <c r="X36" s="62"/>
      <c r="Y36" s="62"/>
    </row>
    <row r="37" spans="1:25" ht="20.100000000000001" customHeight="1" x14ac:dyDescent="0.25">
      <c r="A37" s="5" t="str">
        <f>HYPERLINK("#'Calcs - Manure sent off-site'!A1", "Calcs - Manure sent off-site")</f>
        <v>Calcs - Manure sent off-site</v>
      </c>
      <c r="D37" s="66"/>
      <c r="E37" s="66"/>
      <c r="F37" s="67"/>
      <c r="G37" s="64"/>
      <c r="H37" s="64"/>
      <c r="I37" s="68"/>
      <c r="J37" s="64"/>
      <c r="K37" s="65"/>
      <c r="L37" s="62"/>
      <c r="M37" s="62"/>
      <c r="N37" s="62"/>
      <c r="O37" s="62"/>
      <c r="P37" s="62"/>
      <c r="Q37" s="62"/>
      <c r="R37" s="62"/>
      <c r="S37" s="62"/>
      <c r="T37" s="62"/>
      <c r="U37" s="62"/>
      <c r="V37" s="62"/>
      <c r="W37" s="62"/>
      <c r="X37" s="62"/>
      <c r="Y37" s="62"/>
    </row>
    <row r="38" spans="1:25" ht="20.100000000000001" customHeight="1" x14ac:dyDescent="0.25">
      <c r="A38" s="5" t="str">
        <f>HYPERLINK("#'10.1.1-2 Solid waste treatment'!A1", "10.1.1-2 Solid waste treatment")</f>
        <v>10.1.1-2 Solid waste treatment</v>
      </c>
      <c r="D38" s="66"/>
      <c r="E38" s="66"/>
      <c r="F38" s="67"/>
      <c r="G38" s="64"/>
      <c r="H38" s="64"/>
      <c r="I38" s="68"/>
      <c r="J38" s="64"/>
      <c r="K38" s="65"/>
      <c r="L38" s="62"/>
      <c r="M38" s="62"/>
      <c r="N38" s="62"/>
      <c r="O38" s="62"/>
      <c r="P38" s="62"/>
      <c r="Q38" s="62"/>
      <c r="R38" s="62"/>
      <c r="S38" s="62"/>
      <c r="T38" s="62"/>
      <c r="U38" s="62"/>
      <c r="V38" s="62"/>
      <c r="W38" s="62"/>
      <c r="X38" s="62"/>
      <c r="Y38" s="62"/>
    </row>
    <row r="39" spans="1:25" ht="20.100000000000001" customHeight="1" x14ac:dyDescent="0.25">
      <c r="A39"/>
      <c r="D39" s="66"/>
      <c r="E39" s="66"/>
      <c r="F39" s="67"/>
      <c r="G39" s="64"/>
      <c r="H39" s="64"/>
      <c r="I39" s="68"/>
      <c r="J39" s="64"/>
      <c r="K39" s="65"/>
      <c r="L39" s="62"/>
      <c r="M39" s="62"/>
      <c r="N39" s="62"/>
      <c r="O39" s="62"/>
      <c r="P39" s="62"/>
      <c r="Q39" s="62"/>
      <c r="R39" s="62"/>
      <c r="S39" s="62"/>
      <c r="T39" s="62"/>
      <c r="U39" s="62"/>
      <c r="V39" s="62"/>
      <c r="W39" s="62"/>
      <c r="X39" s="62"/>
      <c r="Y39" s="62"/>
    </row>
    <row r="40" spans="1:25" ht="20.100000000000001" customHeight="1" x14ac:dyDescent="0.25">
      <c r="A40"/>
      <c r="D40" s="69"/>
      <c r="E40" s="69"/>
      <c r="F40" s="69"/>
      <c r="G40" s="70"/>
      <c r="H40" s="71"/>
      <c r="I40" s="71"/>
      <c r="J40" s="71"/>
      <c r="K40" s="71"/>
      <c r="L40" s="72"/>
      <c r="M40" s="72"/>
      <c r="N40" s="72"/>
      <c r="O40" s="72"/>
      <c r="P40" s="72"/>
      <c r="Q40" s="72"/>
      <c r="R40" s="72"/>
      <c r="S40" s="72"/>
      <c r="T40" s="72"/>
      <c r="U40" s="72"/>
      <c r="V40" s="72"/>
      <c r="W40" s="72"/>
      <c r="X40" s="72"/>
      <c r="Y40" s="72"/>
    </row>
    <row r="41" spans="1:25" ht="20.100000000000001" customHeight="1" x14ac:dyDescent="0.25">
      <c r="A41" s="121" t="s">
        <v>1</v>
      </c>
    </row>
    <row r="42" spans="1:25" ht="20.100000000000001" customHeight="1" x14ac:dyDescent="0.25">
      <c r="A42" s="5" t="str">
        <f>HYPERLINK("#'Constants - Ag Residue'!A1", "Constants - Ag residue")</f>
        <v>Constants - Ag residue</v>
      </c>
    </row>
    <row r="43" spans="1:25" ht="20.100000000000001" customHeight="1" x14ac:dyDescent="0.25">
      <c r="A43" s="5" t="str">
        <f>HYPERLINK("#'Constants - Common Livestock'!A1", "Constants - Common Livestock")</f>
        <v>Constants - Common Livestock</v>
      </c>
    </row>
    <row r="44" spans="1:25" ht="20.100000000000001" customHeight="1" x14ac:dyDescent="0.25">
      <c r="A44" s="5" t="str">
        <f>HYPERLINK("#'Constants - Electricity'!A1", "Constants - Electricity")</f>
        <v>Constants - Electricity</v>
      </c>
    </row>
    <row r="45" spans="1:25" ht="20.100000000000001" customHeight="1" x14ac:dyDescent="0.25">
      <c r="A45" s="5" t="str">
        <f>HYPERLINK("#'Constants - Fertiliser'!A1", "Constants - Fertiliser")</f>
        <v>Constants - Fertiliser</v>
      </c>
      <c r="D45" s="2"/>
    </row>
    <row r="46" spans="1:25" ht="20.100000000000001" customHeight="1" x14ac:dyDescent="0.25">
      <c r="A46" s="5" t="str">
        <f>HYPERLINK("#'Constants - Fuel'!A1", "Constants - Fuel")</f>
        <v>Constants - Fuel</v>
      </c>
      <c r="D46" s="2"/>
    </row>
    <row r="47" spans="1:25" ht="20.100000000000001" customHeight="1" x14ac:dyDescent="0.25">
      <c r="A47" s="5" t="str">
        <f>HYPERLINK("#'Constants - Scope 3'!A1", "Constants - Scope 3")</f>
        <v>Constants - Scope 3</v>
      </c>
      <c r="D47" s="73"/>
      <c r="E47" s="73"/>
      <c r="F47" s="73"/>
      <c r="G47" s="73"/>
      <c r="H47" s="73"/>
    </row>
    <row r="48" spans="1:25" ht="20.100000000000001" customHeight="1" x14ac:dyDescent="0.25">
      <c r="A48" s="5" t="str">
        <f>HYPERLINK("#'Constants - Common'!A1", "Constants - Common")</f>
        <v>Constants - Common</v>
      </c>
      <c r="D48" s="74"/>
      <c r="E48" s="74"/>
      <c r="F48" s="75"/>
      <c r="G48" s="75"/>
      <c r="H48" s="74"/>
    </row>
    <row r="49" spans="1:8" ht="20.100000000000001" customHeight="1" x14ac:dyDescent="0.25">
      <c r="A49" s="5" t="str">
        <f>HYPERLINK("#'Constants - Solid Waste'!A1", "Constants - Solid Waste")</f>
        <v>Constants - Solid Waste</v>
      </c>
      <c r="D49" s="74"/>
      <c r="E49" s="74"/>
      <c r="F49" s="75"/>
      <c r="G49" s="75"/>
      <c r="H49" s="74"/>
    </row>
    <row r="50" spans="1:8" ht="20.100000000000001" customHeight="1" x14ac:dyDescent="0.25">
      <c r="A50"/>
      <c r="D50" s="74"/>
      <c r="E50" s="74"/>
      <c r="F50" s="75"/>
      <c r="G50" s="75"/>
      <c r="H50" s="74"/>
    </row>
    <row r="51" spans="1:8" ht="20.100000000000001" customHeight="1" x14ac:dyDescent="0.25">
      <c r="A51"/>
      <c r="D51" s="76"/>
      <c r="E51" s="77"/>
      <c r="F51" s="77"/>
      <c r="G51" s="77"/>
      <c r="H51" s="78"/>
    </row>
    <row r="52" spans="1:8" ht="20.100000000000001" customHeight="1" x14ac:dyDescent="0.25">
      <c r="A52"/>
    </row>
    <row r="53" spans="1:8" ht="20.100000000000001" customHeight="1" x14ac:dyDescent="0.25">
      <c r="A53"/>
    </row>
    <row r="54" spans="1:8" ht="20.100000000000001" customHeight="1" x14ac:dyDescent="0.25">
      <c r="A54"/>
      <c r="G54" s="79"/>
    </row>
    <row r="55" spans="1:8" ht="20.100000000000001" customHeight="1" x14ac:dyDescent="0.25">
      <c r="A55"/>
      <c r="D55" s="2"/>
    </row>
    <row r="56" spans="1:8" ht="20.100000000000001" customHeight="1" x14ac:dyDescent="0.25">
      <c r="A56"/>
    </row>
    <row r="57" spans="1:8" ht="20.100000000000001" customHeight="1" x14ac:dyDescent="0.25">
      <c r="A57"/>
      <c r="D57" s="80"/>
      <c r="F57" s="81"/>
    </row>
    <row r="58" spans="1:8" ht="20.100000000000001" customHeight="1" x14ac:dyDescent="0.25">
      <c r="A58"/>
      <c r="D58" s="1"/>
      <c r="E58" s="82"/>
    </row>
    <row r="59" spans="1:8" ht="20.100000000000001" customHeight="1" x14ac:dyDescent="0.25">
      <c r="A59"/>
      <c r="D59" s="1"/>
      <c r="E59" s="82"/>
    </row>
    <row r="60" spans="1:8" ht="20.100000000000001" customHeight="1" x14ac:dyDescent="0.25">
      <c r="A60"/>
      <c r="D60" s="1"/>
      <c r="E60" s="83"/>
    </row>
    <row r="61" spans="1:8" ht="20.100000000000001" customHeight="1" x14ac:dyDescent="0.25">
      <c r="A61"/>
      <c r="D61" s="1"/>
    </row>
    <row r="62" spans="1:8" ht="20.100000000000001" customHeight="1" x14ac:dyDescent="0.25">
      <c r="A62"/>
    </row>
    <row r="63" spans="1:8" ht="20.100000000000001" customHeight="1" x14ac:dyDescent="0.25">
      <c r="A63"/>
      <c r="D63" s="80"/>
    </row>
    <row r="64" spans="1:8" ht="20.100000000000001" customHeight="1" x14ac:dyDescent="0.25">
      <c r="A64"/>
      <c r="D64" s="1"/>
      <c r="E64" s="82"/>
    </row>
    <row r="65" spans="1:9" ht="20.100000000000001" customHeight="1" x14ac:dyDescent="0.25">
      <c r="A65"/>
      <c r="D65" s="1"/>
      <c r="E65" s="82"/>
    </row>
    <row r="66" spans="1:9" ht="20.100000000000001" customHeight="1" x14ac:dyDescent="0.25">
      <c r="A66"/>
      <c r="D66" s="1"/>
      <c r="E66" s="83"/>
    </row>
    <row r="67" spans="1:9" ht="20.100000000000001" customHeight="1" x14ac:dyDescent="0.25">
      <c r="A67"/>
    </row>
    <row r="68" spans="1:9" ht="20.100000000000001" customHeight="1" x14ac:dyDescent="0.25">
      <c r="A68"/>
    </row>
    <row r="69" spans="1:9" ht="20.100000000000001" customHeight="1" x14ac:dyDescent="0.25">
      <c r="A69"/>
      <c r="D69" s="84"/>
      <c r="E69" s="84"/>
      <c r="F69" s="84"/>
      <c r="G69" s="84"/>
      <c r="H69" s="84"/>
      <c r="I69" s="84"/>
    </row>
    <row r="70" spans="1:9" ht="20.100000000000001" customHeight="1" x14ac:dyDescent="0.25">
      <c r="A70"/>
      <c r="D70" s="84"/>
      <c r="E70" s="84"/>
      <c r="F70" s="84"/>
      <c r="G70" s="84"/>
      <c r="H70" s="84"/>
      <c r="I70" s="84"/>
    </row>
    <row r="71" spans="1:9" ht="20.100000000000001" customHeight="1" x14ac:dyDescent="0.25">
      <c r="A71"/>
      <c r="D71" s="84"/>
      <c r="E71" s="84"/>
      <c r="F71" s="84"/>
      <c r="G71" s="84"/>
      <c r="H71" s="84"/>
      <c r="I71" s="84"/>
    </row>
    <row r="72" spans="1:9" ht="20.100000000000001" customHeight="1" x14ac:dyDescent="0.25">
      <c r="A72"/>
      <c r="D72" s="84"/>
      <c r="E72" s="84"/>
      <c r="F72" s="84"/>
      <c r="G72" s="84"/>
      <c r="H72" s="84"/>
      <c r="I72" s="84"/>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5"/>
    </row>
    <row r="79" spans="1:9" ht="20.100000000000001" customHeight="1" x14ac:dyDescent="0.25">
      <c r="A79"/>
      <c r="D79" s="85"/>
    </row>
    <row r="80" spans="1:9" ht="20.100000000000001" customHeight="1" x14ac:dyDescent="0.25">
      <c r="A80"/>
      <c r="D80" s="85"/>
    </row>
    <row r="81" spans="1:4" ht="20.100000000000001" customHeight="1" x14ac:dyDescent="0.25">
      <c r="A81"/>
      <c r="D81" s="85"/>
    </row>
    <row r="82" spans="1:4" ht="20.100000000000001" customHeight="1" x14ac:dyDescent="0.25">
      <c r="A82"/>
      <c r="D82" s="85"/>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18679-CE1D-451D-A657-65378B1843B0}">
  <dimension ref="A1:H361"/>
  <sheetViews>
    <sheetView showGridLines="0" topLeftCell="A1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16" customFormat="1" ht="30" customHeight="1" x14ac:dyDescent="0.35">
      <c r="A1" s="16" t="e" vm="1">
        <v>#VALUE!</v>
      </c>
      <c r="C1" s="16" t="s">
        <v>606</v>
      </c>
    </row>
    <row r="2" spans="1:8" s="3" customFormat="1" ht="20.100000000000001" customHeight="1" x14ac:dyDescent="0.25">
      <c r="A2"/>
    </row>
    <row r="3" spans="1:8" ht="20.100000000000001" customHeight="1" x14ac:dyDescent="0.25">
      <c r="A3" s="5" t="str">
        <f>HYPERLINK("#'Home'!A1", "Home")</f>
        <v>Home</v>
      </c>
      <c r="C3" s="39"/>
      <c r="D3" s="39"/>
      <c r="E3" s="39"/>
      <c r="F3" s="39"/>
      <c r="G3" s="39"/>
      <c r="H3" s="39"/>
    </row>
    <row r="4" spans="1:8" ht="20.100000000000001" customHeight="1" x14ac:dyDescent="0.25">
      <c r="A4" s="5" t="str">
        <f>HYPERLINK("#'Overview'!A1", "Overview")</f>
        <v>Overview</v>
      </c>
    </row>
    <row r="5" spans="1:8" ht="20.100000000000001" customHeight="1" x14ac:dyDescent="0.25">
      <c r="A5" s="5" t="str">
        <f>HYPERLINK("#'Results'!A1", "Results")</f>
        <v>Results</v>
      </c>
      <c r="D5" s="2" t="s">
        <v>607</v>
      </c>
    </row>
    <row r="6" spans="1:8" ht="20.100000000000001" customHeight="1" x14ac:dyDescent="0.25"/>
    <row r="7" spans="1:8" ht="20.100000000000001" customHeight="1" x14ac:dyDescent="0.25">
      <c r="D7" s="46" t="s">
        <v>608</v>
      </c>
      <c r="E7" s="48"/>
      <c r="F7" s="48"/>
      <c r="G7" s="49"/>
    </row>
    <row r="8" spans="1:8" ht="20.100000000000001" customHeight="1" x14ac:dyDescent="0.25">
      <c r="A8" s="7" t="s">
        <v>0</v>
      </c>
    </row>
    <row r="9" spans="1:8" ht="20.100000000000001" customHeight="1" x14ac:dyDescent="0.25">
      <c r="A9" s="5" t="str">
        <f>HYPERLINK("#'Input - Enterprise'!A1", "Enterprise")</f>
        <v>Enterprise</v>
      </c>
      <c r="D9" s="1" t="s">
        <v>185</v>
      </c>
      <c r="E9" s="23" t="s">
        <v>609</v>
      </c>
      <c r="F9" s="26" t="s">
        <v>610</v>
      </c>
    </row>
    <row r="10" spans="1:8" ht="20.100000000000001" customHeight="1" x14ac:dyDescent="0.25">
      <c r="A10" s="5" t="str">
        <f>HYPERLINK("#'Input - Site'!A1", "Site")</f>
        <v>Site</v>
      </c>
      <c r="D10" s="1" t="s">
        <v>611</v>
      </c>
      <c r="E10" s="23" t="s">
        <v>612</v>
      </c>
      <c r="F10" s="26" t="s">
        <v>610</v>
      </c>
    </row>
    <row r="11" spans="1:8" ht="20.100000000000001" customHeight="1" x14ac:dyDescent="0.25">
      <c r="A11" s="99" t="str">
        <f>HYPERLINK("#'Input - Crop'!A1", "Crop")</f>
        <v>Crop</v>
      </c>
      <c r="D11" s="22" t="s">
        <v>63</v>
      </c>
      <c r="E11" s="23" t="s">
        <v>371</v>
      </c>
      <c r="F11" s="26" t="s">
        <v>610</v>
      </c>
    </row>
    <row r="12" spans="1:8" ht="20.100000000000001" customHeight="1" x14ac:dyDescent="0.25">
      <c r="A12" s="5" t="str">
        <f>HYPERLINK("#'Input - Fert Prod System'!A1", "Fert Prod System")</f>
        <v>Fert Prod System</v>
      </c>
    </row>
    <row r="13" spans="1:8" ht="20.100000000000001" customHeight="1" x14ac:dyDescent="0.25">
      <c r="A13" s="5" t="str">
        <f>HYPERLINK("#'Input - Fertiliser'!A1", "Fertiliser")</f>
        <v>Fertiliser</v>
      </c>
      <c r="D13" s="1" t="s">
        <v>186</v>
      </c>
      <c r="E13" s="174">
        <v>100</v>
      </c>
      <c r="F13" s="26" t="s">
        <v>613</v>
      </c>
    </row>
    <row r="14" spans="1:8" ht="20.100000000000001" customHeight="1" x14ac:dyDescent="0.25">
      <c r="A14" s="5" t="str">
        <f>HYPERLINK("#'Input - Fuel'!A1", "Fuel")</f>
        <v>Fuel</v>
      </c>
    </row>
    <row r="15" spans="1:8" ht="20.100000000000001" customHeight="1" x14ac:dyDescent="0.25">
      <c r="A15" s="5" t="str">
        <f>HYPERLINK("#'Input - Electricity'!A1", "Electricity")</f>
        <v>Electricity</v>
      </c>
      <c r="D15" s="2" t="s">
        <v>614</v>
      </c>
    </row>
    <row r="16" spans="1:8" ht="20.100000000000001" customHeight="1" x14ac:dyDescent="0.25">
      <c r="A16" s="5" t="str">
        <f>HYPERLINK("#'Input - Farm Inputs'!A1", "Farm Inputs")</f>
        <v>Farm Inputs</v>
      </c>
    </row>
    <row r="17" spans="1:6" ht="20.100000000000001" customHeight="1" x14ac:dyDescent="0.25">
      <c r="A17" s="5" t="str">
        <f>HYPERLINK("#'Input - Freight'!A1", "Freight")</f>
        <v>Freight</v>
      </c>
      <c r="D17" s="1" t="str">
        <f>X_Cell_Crop_CropPurpose &amp; " " &amp; _xlfn.XLOOKUP(X_Cell_Crop_CropPurpose,Table_SourceData_CropPurposeAndYields[Purpose], Table_SourceData_CropPurposeAndYields[harvest term]) &amp; " per hectare¹"</f>
        <v>Cash grain crop yield per hectare¹</v>
      </c>
      <c r="E17" s="86">
        <v>3.5</v>
      </c>
      <c r="F17" s="26" t="str">
        <f>"Tonnes " &amp; _xlfn.XLOOKUP(X_Cell_Crop_CropPurpose, Table_SourceData_CropPurposeAndYields[Purpose], Table_SourceData_CropPurposeAndYields[Per hectare unit], FALSE) &amp; " per hectare"</f>
        <v>Tonnes grain per hectare</v>
      </c>
    </row>
    <row r="18" spans="1:6" ht="20.100000000000001" customHeight="1" x14ac:dyDescent="0.25">
      <c r="A18" s="5" t="str">
        <f>HYPERLINK("#'Input - Manure sent off-site'!A1", "Manure sent off-site")</f>
        <v>Manure sent off-site</v>
      </c>
      <c r="D18" s="1" t="s">
        <v>615</v>
      </c>
      <c r="E18" s="25">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5">
      <c r="A19" s="5" t="str">
        <f>HYPERLINK("#'Input - Solid waste'!A1", "Solid waste")</f>
        <v>Solid waste</v>
      </c>
      <c r="D19" s="1" t="s">
        <v>616</v>
      </c>
      <c r="E19" s="25">
        <f>X_Cell_Crop_YieldPerHectare*E18</f>
        <v>5.25</v>
      </c>
      <c r="F19" s="26" t="s">
        <v>617</v>
      </c>
    </row>
    <row r="20" spans="1:6" ht="20.100000000000001" customHeight="1" x14ac:dyDescent="0.25">
      <c r="A20" s="5" t="str">
        <f>HYPERLINK("#'Input - Data quality'!A1", "Data quality")</f>
        <v>Data quality</v>
      </c>
      <c r="D20" s="1" t="s">
        <v>618</v>
      </c>
      <c r="E20" s="25">
        <f>X_Cell_Crop_YieldPerHectare+E19</f>
        <v>8.75</v>
      </c>
      <c r="F20" s="26" t="s">
        <v>617</v>
      </c>
    </row>
    <row r="21" spans="1:6" ht="20.100000000000001" customHeight="1" x14ac:dyDescent="0.25"/>
    <row r="22" spans="1:6" ht="20.100000000000001" customHeight="1" x14ac:dyDescent="0.25">
      <c r="D22" s="88" t="s">
        <v>619</v>
      </c>
      <c r="E22" s="25">
        <f>X_Cell_Crop_YieldPerHectare*X_Cell_Crop_AreaUnderCropping</f>
        <v>350</v>
      </c>
      <c r="F22" s="26" t="str">
        <f>"Tonnes " &amp; _xlfn.XLOOKUP(X_Cell_Crop_CropPurpose, Table_SourceData_CropPurposeAndYields[Purpose], Table_SourceData_CropPurposeAndYields[Harvest uit], FALSE)</f>
        <v>Tonnes grain</v>
      </c>
    </row>
    <row r="23" spans="1:6" ht="20.100000000000001" customHeight="1" x14ac:dyDescent="0.25">
      <c r="A23" s="6" t="s">
        <v>2</v>
      </c>
    </row>
    <row r="24" spans="1:6" ht="20.100000000000001" customHeight="1" x14ac:dyDescent="0.25">
      <c r="A24" s="5" t="str">
        <f>HYPERLINK("#'5.1.1.1-2 Inorganic fert N2O'!A1", "5.1.1.1-2 Inorganic fert N2O")</f>
        <v>5.1.1.1-2 Inorganic fert N2O</v>
      </c>
      <c r="D24" s="125" t="str">
        <f>"¹ " &amp; _xlfn.XLOOKUP(X_Cell_Crop_CropPurpose, Table_SourceData_CropPurposeAndYields[Purpose],Table_SourceData_CropPurposeAndYields[Yield note])</f>
        <v>¹ Yield is the grain harvested from the plant</v>
      </c>
    </row>
    <row r="25" spans="1:6" ht="20.100000000000001" customHeight="1" x14ac:dyDescent="0.25">
      <c r="A25" s="5" t="str">
        <f>HYPERLINK("#'5.1.1.3-4 Inorganic fert CO2'!A1", "5.1.1.3-4 Inorganic fert CO2")</f>
        <v>5.1.1.3-4 Inorganic fert CO2</v>
      </c>
      <c r="D25" s="125"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5">
      <c r="A26" s="5" t="str">
        <f>HYPERLINK("#'5.2.1.1-2 Organic Fert N2O'!A1", "5.2.1.1-2 Organic fert N2O")</f>
        <v>5.2.1.1-2 Organic fert N2O</v>
      </c>
      <c r="D26" s="125" t="str">
        <f>"³ " &amp; _xlfn.XLOOKUP(X_Cell_Crop_CropPurpose,Table_SourceData_CropPurposeAndYields[Purpose],Table_SourceData_CropPurposeAndYields[Total production note])</f>
        <v>³ Total production is the total grain harvested</v>
      </c>
    </row>
    <row r="27" spans="1:6" ht="20.100000000000001" customHeight="1" x14ac:dyDescent="0.25">
      <c r="A27" s="5" t="str">
        <f>HYPERLINK("#'5.3.1.1-2 Lime CO2'!A1", "5.3.1.1-2 Lime CO2")</f>
        <v>5.3.1.1-2 Lime CO2</v>
      </c>
    </row>
    <row r="28" spans="1:6" ht="20.100000000000001" customHeight="1" x14ac:dyDescent="0.25">
      <c r="A28" s="5" t="str">
        <f>HYPERLINK("#'5.4.1.1-4 Atmos deposition'!A1", "5.4.1.1-4 Atmos. deposition")</f>
        <v>5.4.1.1-4 Atmos. deposition</v>
      </c>
      <c r="D28" s="2" t="s">
        <v>620</v>
      </c>
    </row>
    <row r="29" spans="1:6" ht="20.100000000000001" customHeight="1" x14ac:dyDescent="0.25">
      <c r="A29" s="5" t="str">
        <f>HYPERLINK("#'5.5.1.1-2 Leaching and runoff'!A1", "5.5.1.1-2 Leaching &amp; runoff")</f>
        <v>5.5.1.1-2 Leaching &amp; runoff</v>
      </c>
    </row>
    <row r="30" spans="1:6" ht="20.100000000000001" customHeight="1" x14ac:dyDescent="0.25">
      <c r="A30" s="5" t="str">
        <f>HYPERLINK("#'6.1.1.1-2 Crop residue N2O'!A1", "6.1.1.1-2 Crop residue N2O")</f>
        <v>6.1.1.1-2 Crop residue N2O</v>
      </c>
      <c r="D30" s="1" t="str">
        <f>"Residue after " &amp; VLOOKUP(X_Cell_Crop_CropPurpose,'Constants - Ag Residue'!D8:G10, 4, FALSE)</f>
        <v>Residue after harvest</v>
      </c>
      <c r="E30" s="25">
        <f>E19*X_Cell_Crop_AreaUnderCropping</f>
        <v>525</v>
      </c>
      <c r="F30" s="26" t="s">
        <v>621</v>
      </c>
    </row>
    <row r="31" spans="1:6" ht="20.100000000000001" customHeight="1" x14ac:dyDescent="0.25">
      <c r="A31" s="5" t="str">
        <f>HYPERLINK("#'6.3.1.1-2 Leach runoff crop'!A1", "6.3.1.1-2 Leach &amp; runoff (crop)")</f>
        <v>6.3.1.1-2 Leach &amp; runoff (crop)</v>
      </c>
    </row>
    <row r="32" spans="1:6" ht="20.100000000000001" customHeight="1" x14ac:dyDescent="0.25">
      <c r="A32" s="5" t="str">
        <f>HYPERLINK("#'6.4.1.1-2 Residue burning'!A1", "6.4.1.1-2 Residue burning")</f>
        <v>6.4.1.1-2 Residue burning</v>
      </c>
      <c r="D32" s="91" t="s">
        <v>622</v>
      </c>
    </row>
    <row r="33" spans="1:8" ht="20.100000000000001" customHeight="1" x14ac:dyDescent="0.25">
      <c r="A33" s="5" t="str">
        <f>HYPERLINK("#'8.1.1.1-2 Transport fuel'!A1", "8.1.1.1-2 Transport fuel")</f>
        <v>8.1.1.1-2 Transport fuel</v>
      </c>
      <c r="D33" s="1" t="s">
        <v>623</v>
      </c>
      <c r="E33" s="28">
        <v>0.1</v>
      </c>
      <c r="F33" s="26" t="s">
        <v>624</v>
      </c>
    </row>
    <row r="34" spans="1:8" ht="20.100000000000001" customHeight="1" x14ac:dyDescent="0.25">
      <c r="A34" s="5" t="str">
        <f>HYPERLINK("#'8.2.1.1-2 Stationary fuel'!A1", "8.2.1.1-2 Stationary fuel")</f>
        <v>8.2.1.1-2 Stationary fuel</v>
      </c>
      <c r="D34" s="1" t="s">
        <v>625</v>
      </c>
      <c r="E34" s="86">
        <v>60</v>
      </c>
      <c r="F34" s="26" t="s">
        <v>626</v>
      </c>
    </row>
    <row r="35" spans="1:8" ht="20.100000000000001" customHeight="1" x14ac:dyDescent="0.25">
      <c r="A35" s="5" t="str">
        <f>HYPERLINK("#'14.1.1-2 Purchased electricity'!A1", "14.1.1-2 Purchased electricity")</f>
        <v>14.1.1-2 Purchased electricity</v>
      </c>
      <c r="D35" s="88" t="s">
        <v>627</v>
      </c>
      <c r="E35" s="228">
        <f>IFERROR((X_Cell_Crop_TotalResidueBaled*10^3)/X_Cell_Crop_AverageWeightPerBale, 0)</f>
        <v>875</v>
      </c>
      <c r="F35" s="26" t="s">
        <v>628</v>
      </c>
    </row>
    <row r="36" spans="1:8" ht="20.100000000000001" customHeight="1" x14ac:dyDescent="0.25">
      <c r="A36" s="5" t="str">
        <f>HYPERLINK("#'15 Scope 3'!A1", "15 Scope 3")</f>
        <v>15 Scope 3</v>
      </c>
      <c r="D36" s="88" t="s">
        <v>629</v>
      </c>
      <c r="E36" s="25">
        <f>E30*X_Cell_Crop_PercentResidueBaled</f>
        <v>52.5</v>
      </c>
      <c r="F36" s="26" t="s">
        <v>621</v>
      </c>
    </row>
    <row r="37" spans="1:8" ht="20.100000000000001" customHeight="1" x14ac:dyDescent="0.25">
      <c r="A37" s="5" t="str">
        <f>HYPERLINK("#'Calcs - Manure sent off-site'!A1", "Calcs - Manure sent off-site")</f>
        <v>Calcs - Manure sent off-site</v>
      </c>
      <c r="C37" s="114"/>
    </row>
    <row r="38" spans="1:8" ht="20.100000000000001" customHeight="1" x14ac:dyDescent="0.25">
      <c r="A38" s="5" t="str">
        <f>HYPERLINK("#'10.1.1-2 Solid waste treatment'!A1", "10.1.1-2 Solid waste treatment")</f>
        <v>10.1.1-2 Solid waste treatment</v>
      </c>
      <c r="C38" s="114"/>
      <c r="D38" s="91" t="s">
        <v>630</v>
      </c>
    </row>
    <row r="39" spans="1:8" ht="20.100000000000001" customHeight="1" x14ac:dyDescent="0.25">
      <c r="D39" s="1" t="s">
        <v>631</v>
      </c>
      <c r="E39" s="28">
        <v>0.01</v>
      </c>
      <c r="F39" s="26" t="s">
        <v>624</v>
      </c>
    </row>
    <row r="40" spans="1:8" s="131" customFormat="1" ht="20.100000000000001" customHeight="1" x14ac:dyDescent="0.25">
      <c r="A40"/>
      <c r="C40" s="1"/>
      <c r="D40" s="1" t="s">
        <v>632</v>
      </c>
      <c r="E40" s="25">
        <f>E30*X_Cell_Crop_PercentResidueGrazed</f>
        <v>5.25</v>
      </c>
      <c r="F40" s="26" t="s">
        <v>621</v>
      </c>
      <c r="G40" s="1"/>
      <c r="H40" s="1"/>
    </row>
    <row r="41" spans="1:8" s="131" customFormat="1" ht="20.100000000000001" customHeight="1" x14ac:dyDescent="0.25">
      <c r="A41" s="121" t="s">
        <v>1</v>
      </c>
      <c r="C41" s="1"/>
      <c r="D41" s="1"/>
      <c r="E41" s="1"/>
      <c r="F41" s="1"/>
      <c r="G41" s="1"/>
      <c r="H41" s="1"/>
    </row>
    <row r="42" spans="1:8" ht="20.100000000000001" customHeight="1" x14ac:dyDescent="0.25">
      <c r="A42" s="5" t="str">
        <f>HYPERLINK("#'Constants - Ag Residue'!A1", "Constants - Ag residue")</f>
        <v>Constants - Ag residue</v>
      </c>
      <c r="D42" s="91" t="s">
        <v>633</v>
      </c>
    </row>
    <row r="43" spans="1:8" ht="20.100000000000001" customHeight="1" x14ac:dyDescent="0.25">
      <c r="A43" s="5" t="str">
        <f>HYPERLINK("#'Constants - Common Livestock'!A1", "Constants - Common Livestock")</f>
        <v>Constants - Common Livestock</v>
      </c>
      <c r="D43" s="1" t="s">
        <v>634</v>
      </c>
      <c r="E43" s="28">
        <v>0.3</v>
      </c>
      <c r="F43" s="26" t="s">
        <v>624</v>
      </c>
    </row>
    <row r="44" spans="1:8" ht="20.100000000000001" customHeight="1" x14ac:dyDescent="0.25">
      <c r="A44" s="5" t="str">
        <f>HYPERLINK("#'Constants - Electricity'!A1", "Constants - Electricity")</f>
        <v>Constants - Electricity</v>
      </c>
      <c r="D44" s="1" t="s">
        <v>635</v>
      </c>
      <c r="E44" s="25">
        <f>E30*X_Cell_Crop_PercentResidueBurned</f>
        <v>157.5</v>
      </c>
      <c r="F44" s="26" t="s">
        <v>621</v>
      </c>
    </row>
    <row r="45" spans="1:8" ht="20.100000000000001" customHeight="1" x14ac:dyDescent="0.25">
      <c r="A45" s="5" t="str">
        <f>HYPERLINK("#'Constants - Fertiliser'!A1", "Constants - Fertiliser")</f>
        <v>Constants - Fertiliser</v>
      </c>
    </row>
    <row r="46" spans="1:8" ht="20.100000000000001" customHeight="1" x14ac:dyDescent="0.25">
      <c r="A46" s="5" t="str">
        <f>HYPERLINK("#'Constants - Fuel'!A1", "Constants - Fuel")</f>
        <v>Constants - Fuel</v>
      </c>
      <c r="D46" s="1" t="s">
        <v>636</v>
      </c>
      <c r="E46" s="25">
        <f>E30-X_Cell_Crop_TotalResidueBaled-E40-E44</f>
        <v>309.75</v>
      </c>
      <c r="F46" s="26" t="s">
        <v>621</v>
      </c>
    </row>
    <row r="47" spans="1:8" ht="20.100000000000001" customHeight="1" x14ac:dyDescent="0.25">
      <c r="A47" s="5" t="str">
        <f>HYPERLINK("#'Constants - Scope 3'!A1", "Constants - Scope 3")</f>
        <v>Constants - Scope 3</v>
      </c>
    </row>
    <row r="48" spans="1:8" ht="20.100000000000001" customHeight="1" x14ac:dyDescent="0.25">
      <c r="A48" s="5" t="str">
        <f>HYPERLINK("#'Constants - Common'!A1", "Constants - Common")</f>
        <v>Constants - Common</v>
      </c>
      <c r="D48" s="2"/>
    </row>
    <row r="49" spans="1:6" ht="20.100000000000001" customHeight="1" x14ac:dyDescent="0.25">
      <c r="A49" s="5" t="str">
        <f>HYPERLINK("#'Constants - Solid Waste'!A1", "Constants - Solid Waste")</f>
        <v>Constants - Solid Waste</v>
      </c>
    </row>
    <row r="50" spans="1:6" ht="20.100000000000001" customHeight="1" x14ac:dyDescent="0.25">
      <c r="D50" s="22"/>
      <c r="F50" s="26"/>
    </row>
    <row r="51" spans="1:6" ht="20.100000000000001" customHeight="1" x14ac:dyDescent="0.25"/>
    <row r="52" spans="1:6" ht="20.100000000000001" customHeight="1" x14ac:dyDescent="0.25"/>
    <row r="53" spans="1:6" ht="20.100000000000001" customHeight="1" x14ac:dyDescent="0.25"/>
    <row r="54" spans="1:6" ht="20.100000000000001" customHeight="1" x14ac:dyDescent="0.25"/>
    <row r="55" spans="1:6" ht="20.100000000000001" customHeight="1" x14ac:dyDescent="0.25"/>
    <row r="56" spans="1:6" ht="20.100000000000001" customHeight="1" x14ac:dyDescent="0.25"/>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125"/>
    </row>
  </sheetData>
  <conditionalFormatting sqref="E210:G210">
    <cfRule type="cellIs" dxfId="89" priority="6" operator="lessThan">
      <formula>0</formula>
    </cfRule>
  </conditionalFormatting>
  <conditionalFormatting sqref="F46">
    <cfRule type="cellIs" dxfId="88" priority="5" operator="lessThan">
      <formula>0</formula>
    </cfRule>
  </conditionalFormatting>
  <conditionalFormatting sqref="F126:F127">
    <cfRule type="cellIs" dxfId="87" priority="4" operator="lessThan">
      <formula>0</formula>
    </cfRule>
  </conditionalFormatting>
  <conditionalFormatting sqref="F138:F139">
    <cfRule type="cellIs" dxfId="86" priority="3" operator="lessThan">
      <formula>0</formula>
    </cfRule>
  </conditionalFormatting>
  <conditionalFormatting sqref="F150:F151">
    <cfRule type="cellIs" dxfId="85" priority="2" operator="lessThan">
      <formula>0</formula>
    </cfRule>
  </conditionalFormatting>
  <conditionalFormatting sqref="F162:F163">
    <cfRule type="cellIs" dxfId="84" priority="1" operator="lessThan">
      <formula>0</formula>
    </cfRule>
  </conditionalFormatting>
  <conditionalFormatting sqref="F250:F251">
    <cfRule type="cellIs" dxfId="83" priority="12" operator="lessThan">
      <formula>0</formula>
    </cfRule>
  </conditionalFormatting>
  <conditionalFormatting sqref="F255:F256">
    <cfRule type="cellIs" dxfId="82" priority="11" operator="lessThan">
      <formula>0</formula>
    </cfRule>
  </conditionalFormatting>
  <conditionalFormatting sqref="F260:F261">
    <cfRule type="cellIs" dxfId="81" priority="10" operator="lessThan">
      <formula>0</formula>
    </cfRule>
  </conditionalFormatting>
  <conditionalFormatting sqref="F284:F285">
    <cfRule type="cellIs" dxfId="80" priority="9" operator="lessThan">
      <formula>0</formula>
    </cfRule>
  </conditionalFormatting>
  <conditionalFormatting sqref="F289:F290">
    <cfRule type="cellIs" dxfId="79" priority="8" operator="lessThan">
      <formula>0</formula>
    </cfRule>
  </conditionalFormatting>
  <conditionalFormatting sqref="F294:F295">
    <cfRule type="cellIs" dxfId="78" priority="7" operator="lessThan">
      <formula>0</formula>
    </cfRule>
  </conditionalFormatting>
  <dataValidations count="8">
    <dataValidation type="list" allowBlank="1" showInputMessage="1" showErrorMessage="1" sqref="E11" xr:uid="{2E353FDC-F7DB-4976-B903-B67113DC8482}">
      <formula1>INDIRECT("Table_SourceData_Fertiliser_IrrigationMethods[Irrigation method]")</formula1>
    </dataValidation>
    <dataValidation type="list" allowBlank="1" showInputMessage="1" showErrorMessage="1" sqref="E9" xr:uid="{4A9E21C2-AB05-4AB9-BCD4-E8D9736E93BA}">
      <formula1>INDIRECT("Table_SourceData_CropAttributes[Crop type]")</formula1>
    </dataValidation>
    <dataValidation type="list" allowBlank="1" showInputMessage="1" showErrorMessage="1" sqref="E10" xr:uid="{9C906643-D70F-448B-AE79-104EA37D7A58}">
      <formula1>INDIRECT("Table_SourceData_CropPurposeAndYields[Purpose]")</formula1>
    </dataValidation>
    <dataValidation type="list" allowBlank="1" showInputMessage="1" showErrorMessage="1" sqref="E64" xr:uid="{703CE0BB-6444-434D-848E-BBCF8A871E2A}">
      <formula1>INDIRECT("Table_SourceData_Swine_CropProdSystems[Production system]")</formula1>
    </dataValidation>
    <dataValidation type="list" allowBlank="1" showInputMessage="1" showErrorMessage="1" sqref="E65" xr:uid="{6AD38819-E023-4548-ACA0-55B6FB6BAEEC}">
      <formula1>INDIRECT("Table_SourceData_Swine_IrrigationMethods[Irrigation method]")</formula1>
    </dataValidation>
    <dataValidation type="list" allowBlank="1" showInputMessage="1" showErrorMessage="1" sqref="E249 E254 E259 E293 E288 E283 E161 E149 E125 E137" xr:uid="{D066FBE9-787C-4491-BD0A-052B14DD04E5}">
      <formula1>"Yes, No"</formula1>
    </dataValidation>
    <dataValidation type="list" allowBlank="1" showInputMessage="1" showErrorMessage="1" sqref="E225" xr:uid="{B52CEF68-D721-4E64-AB5C-08023F1B8934}">
      <formula1>INDIRECT("Table_SourceData_Dairy_ProductionSystemTemplates[Area]")</formula1>
    </dataValidation>
    <dataValidation type="list" allowBlank="1" showInputMessage="1" showErrorMessage="1" sqref="D277" xr:uid="{A4F57A96-C6DB-49C3-9BCE-305712BD18C6}">
      <formula1>INDIRECT("Table_SourceData_PoultryMMSStage1[MMS]")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49"/>
  <sheetViews>
    <sheetView showGridLines="0" zoomScaleNormal="100" workbookViewId="0">
      <selection activeCell="A49" sqref="A49"/>
      <extLst>
        <ext xmlns:xlsdti="http://schemas.microsoft.com/office/spreadsheetml/2023/showDataTypeIcons" uri="{77bfe23e-c014-4d31-8a63-9c772dbf06b6}">
          <xlsdti:showDataTypeIcons visible="0"/>
        </ext>
      </extLst>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16" customFormat="1" ht="25.5" x14ac:dyDescent="0.35">
      <c r="A1" s="16" t="e" vm="1">
        <v>#VALUE!</v>
      </c>
      <c r="C1" s="16" t="s">
        <v>182</v>
      </c>
    </row>
    <row r="2" spans="1:11" s="3" customFormat="1" x14ac:dyDescent="0.25">
      <c r="A2"/>
    </row>
    <row r="3" spans="1:11" ht="20.25" x14ac:dyDescent="0.25">
      <c r="A3" s="5" t="str">
        <f>HYPERLINK("#'Home'!A1", "Home")</f>
        <v>Home</v>
      </c>
      <c r="C3" s="39"/>
      <c r="D3" s="39"/>
      <c r="E3" s="39"/>
      <c r="F3" s="39"/>
      <c r="G3" s="39"/>
      <c r="H3" s="39"/>
      <c r="I3" s="39"/>
      <c r="J3" s="39"/>
      <c r="K3" s="39"/>
    </row>
    <row r="4" spans="1:11" x14ac:dyDescent="0.25">
      <c r="A4" s="5" t="str">
        <f>HYPERLINK("#'Overview'!A1", "Overview")</f>
        <v>Overview</v>
      </c>
    </row>
    <row r="5" spans="1:11" x14ac:dyDescent="0.25">
      <c r="A5" s="5" t="str">
        <f>HYPERLINK("#'Results'!A1", "Results")</f>
        <v>Results</v>
      </c>
      <c r="D5" s="80" t="s">
        <v>187</v>
      </c>
      <c r="E5" s="80"/>
      <c r="F5" s="80"/>
      <c r="G5" s="80"/>
    </row>
    <row r="6" spans="1:11" x14ac:dyDescent="0.25">
      <c r="F6" s="26"/>
    </row>
    <row r="7" spans="1:11" x14ac:dyDescent="0.25">
      <c r="D7" s="1" t="s">
        <v>183</v>
      </c>
      <c r="E7" s="25" t="s">
        <v>184</v>
      </c>
      <c r="F7" s="26"/>
    </row>
    <row r="8" spans="1:11" x14ac:dyDescent="0.25">
      <c r="A8" s="7" t="s">
        <v>0</v>
      </c>
      <c r="D8" s="1" t="s">
        <v>185</v>
      </c>
      <c r="E8" s="25" t="str" cm="1">
        <f t="array" ref="E8">_xlfn.IFS(X_Cell_Crop_CropType="Maize", "Maize", X_Cell_Crop_CropType="Cotton", "Cotton", TRUE, "Grains")</f>
        <v>Grains</v>
      </c>
      <c r="F8" s="26"/>
    </row>
    <row r="9" spans="1:11" x14ac:dyDescent="0.25">
      <c r="A9" s="5" t="str">
        <f>HYPERLINK("#'Input - Enterprise'!A1", "Enterprise")</f>
        <v>Enterprise</v>
      </c>
      <c r="D9" s="1" t="s">
        <v>63</v>
      </c>
      <c r="E9" s="25" t="str" cm="1">
        <f t="array" ref="E9">X_Cell_Crop_IrrigationMethod</f>
        <v>Sprinkler irrigation</v>
      </c>
    </row>
    <row r="10" spans="1:11" x14ac:dyDescent="0.25">
      <c r="A10" s="5" t="str">
        <f>HYPERLINK("#'Input - Site'!A1", "Site")</f>
        <v>Site</v>
      </c>
      <c r="D10" s="1" t="s">
        <v>186</v>
      </c>
      <c r="E10" s="25" cm="1">
        <f t="array" ref="E10">X_Cell_Crop_AreaUnderCropping</f>
        <v>100</v>
      </c>
    </row>
    <row r="11" spans="1:11" x14ac:dyDescent="0.25">
      <c r="A11" s="5" t="str">
        <f>HYPERLINK("#'Input - Crop'!A1", "Crop")</f>
        <v>Crop</v>
      </c>
    </row>
    <row r="12" spans="1:11" x14ac:dyDescent="0.25">
      <c r="A12" s="99" t="str">
        <f>HYPERLINK("#'Input - Fert Prod System'!A1", "Fert Prod System")</f>
        <v>Fert Prod System</v>
      </c>
    </row>
    <row r="13" spans="1:11" x14ac:dyDescent="0.25">
      <c r="A13" s="5" t="str">
        <f>HYPERLINK("#'Input - Fertiliser'!A1", "Fertiliser")</f>
        <v>Fertiliser</v>
      </c>
    </row>
    <row r="14" spans="1:11" x14ac:dyDescent="0.25">
      <c r="A14" s="5" t="str">
        <f>HYPERLINK("#'Input - Fuel'!A1", "Fuel")</f>
        <v>Fuel</v>
      </c>
    </row>
    <row r="15" spans="1:11" x14ac:dyDescent="0.25">
      <c r="A15" s="5" t="str">
        <f>HYPERLINK("#'Input - Electricity'!A1", "Electricity")</f>
        <v>Electricity</v>
      </c>
    </row>
    <row r="16" spans="1:11" x14ac:dyDescent="0.25">
      <c r="A16" s="5" t="str">
        <f>HYPERLINK("#'Input - Farm Inputs'!A1", "Farm Inputs")</f>
        <v>Farm Inputs</v>
      </c>
    </row>
    <row r="17" spans="1:1" x14ac:dyDescent="0.25">
      <c r="A17" s="5" t="str">
        <f>HYPERLINK("#'Input - Freight'!A1", "Freight")</f>
        <v>Freight</v>
      </c>
    </row>
    <row r="18" spans="1:1" x14ac:dyDescent="0.25">
      <c r="A18" s="5" t="str">
        <f>HYPERLINK("#'Input - Manure sent off-site'!A1", "Manure sent off-site")</f>
        <v>Manure sent off-site</v>
      </c>
    </row>
    <row r="19" spans="1:1" x14ac:dyDescent="0.25">
      <c r="A19" s="5" t="str">
        <f>HYPERLINK("#'Input - Solid waste'!A1", "Solid waste")</f>
        <v>Solid waste</v>
      </c>
    </row>
    <row r="20" spans="1:1" x14ac:dyDescent="0.25">
      <c r="A20" s="5" t="str">
        <f>HYPERLINK("#'Input - Data quality'!A1", "Data quality")</f>
        <v>Data quality</v>
      </c>
    </row>
    <row r="23" spans="1:1" x14ac:dyDescent="0.25">
      <c r="A23" s="6" t="s">
        <v>2</v>
      </c>
    </row>
    <row r="24" spans="1:1" x14ac:dyDescent="0.25">
      <c r="A24" s="5" t="str">
        <f>HYPERLINK("#'5.1.1.1-2 Inorganic fert N2O'!A1", "5.1.1.1-2 Inorganic fert N2O")</f>
        <v>5.1.1.1-2 Inorganic fert N2O</v>
      </c>
    </row>
    <row r="25" spans="1:1" x14ac:dyDescent="0.25">
      <c r="A25" s="5" t="str">
        <f>HYPERLINK("#'5.1.1.3-4 Inorganic fert CO2'!A1", "5.1.1.3-4 Inorganic fert CO2")</f>
        <v>5.1.1.3-4 Inorganic fert CO2</v>
      </c>
    </row>
    <row r="26" spans="1:1" x14ac:dyDescent="0.25">
      <c r="A26" s="5" t="str">
        <f>HYPERLINK("#'5.2.1.1-2 Organic Fert N2O'!A1", "5.2.1.1-2 Organic fert N2O")</f>
        <v>5.2.1.1-2 Organic fert N2O</v>
      </c>
    </row>
    <row r="27" spans="1:1" x14ac:dyDescent="0.25">
      <c r="A27" s="5" t="str">
        <f>HYPERLINK("#'5.3.1.1-2 Lime CO2'!A1", "5.3.1.1-2 Lime CO2")</f>
        <v>5.3.1.1-2 Lime CO2</v>
      </c>
    </row>
    <row r="28" spans="1:1" x14ac:dyDescent="0.25">
      <c r="A28" s="5" t="str">
        <f>HYPERLINK("#'5.4.1.1-4 Atmos deposition'!A1", "5.4.1.1-4 Atmos. deposition")</f>
        <v>5.4.1.1-4 Atmos. deposition</v>
      </c>
    </row>
    <row r="29" spans="1:1" x14ac:dyDescent="0.25">
      <c r="A29" s="5" t="str">
        <f>HYPERLINK("#'5.5.1.1-2 Leaching and runoff'!A1", "5.5.1.1-2 Leaching &amp; runoff")</f>
        <v>5.5.1.1-2 Leaching &amp; runoff</v>
      </c>
    </row>
    <row r="30" spans="1:1" x14ac:dyDescent="0.25">
      <c r="A30" s="5" t="str">
        <f>HYPERLINK("#'6.1.1.1-2 Crop residue N2O'!A1", "6.1.1.1-2 Crop residue N2O")</f>
        <v>6.1.1.1-2 Crop residue N2O</v>
      </c>
    </row>
    <row r="31" spans="1:1" x14ac:dyDescent="0.25">
      <c r="A31" s="5" t="str">
        <f>HYPERLINK("#'6.3.1.1-2 Leach runoff crop'!A1", "6.3.1.1-2 Leach &amp; runoff (crop)")</f>
        <v>6.3.1.1-2 Leach &amp; runoff (crop)</v>
      </c>
    </row>
    <row r="32" spans="1:1" x14ac:dyDescent="0.25">
      <c r="A32" s="5" t="str">
        <f>HYPERLINK("#'6.4.1.1-2 Residue burning'!A1", "6.4.1.1-2 Residue burning")</f>
        <v>6.4.1.1-2 Residue burning</v>
      </c>
    </row>
    <row r="33" spans="1:1" x14ac:dyDescent="0.25">
      <c r="A33" s="5" t="str">
        <f>HYPERLINK("#'8.1.1.1-2 Transport fuel'!A1", "8.1.1.1-2 Transport fuel")</f>
        <v>8.1.1.1-2 Transport fuel</v>
      </c>
    </row>
    <row r="34" spans="1:1" x14ac:dyDescent="0.25">
      <c r="A34" s="5" t="str">
        <f>HYPERLINK("#'8.2.1.1-2 Stationary fuel'!A1", "8.2.1.1-2 Stationary fuel")</f>
        <v>8.2.1.1-2 Stationary fuel</v>
      </c>
    </row>
    <row r="35" spans="1:1" x14ac:dyDescent="0.25">
      <c r="A35" s="5" t="str">
        <f>HYPERLINK("#'14.1.1-2 Purchased electricity'!A1", "14.1.1-2 Purchased electricity")</f>
        <v>14.1.1-2 Purchased electricity</v>
      </c>
    </row>
    <row r="36" spans="1:1" x14ac:dyDescent="0.25">
      <c r="A36" s="5" t="str">
        <f>HYPERLINK("#'15 Scope 3'!A1", "15 Scope 3")</f>
        <v>15 Scope 3</v>
      </c>
    </row>
    <row r="37" spans="1:1" x14ac:dyDescent="0.25">
      <c r="A37" s="5" t="str">
        <f>HYPERLINK("#'Calcs - Manure sent off-site'!A1", "Calcs - Manure sent off-site")</f>
        <v>Calcs - Manure sent off-site</v>
      </c>
    </row>
    <row r="38" spans="1:1" x14ac:dyDescent="0.25">
      <c r="A38" s="5" t="str">
        <f>HYPERLINK("#'10.1.1-2 Solid waste treatment'!A1", "10.1.1-2 Solid waste treatment")</f>
        <v>10.1.1-2 Solid waste treatment</v>
      </c>
    </row>
    <row r="41" spans="1:1" x14ac:dyDescent="0.25">
      <c r="A41" s="121" t="s">
        <v>1</v>
      </c>
    </row>
    <row r="42" spans="1:1" x14ac:dyDescent="0.25">
      <c r="A42" s="5" t="str">
        <f>HYPERLINK("#'Constants - Ag Residue'!A1", "Constants - Ag residue")</f>
        <v>Constants - Ag residue</v>
      </c>
    </row>
    <row r="43" spans="1:1" x14ac:dyDescent="0.25">
      <c r="A43" s="5" t="str">
        <f>HYPERLINK("#'Constants - Common Livestock'!A1", "Constants - Common Livestock")</f>
        <v>Constants - Common Livestock</v>
      </c>
    </row>
    <row r="44" spans="1:1" x14ac:dyDescent="0.25">
      <c r="A44" s="5" t="str">
        <f>HYPERLINK("#'Constants - Electricity'!A1", "Constants - Electricity")</f>
        <v>Constants - Electricity</v>
      </c>
    </row>
    <row r="45" spans="1:1" x14ac:dyDescent="0.25">
      <c r="A45" s="5" t="str">
        <f>HYPERLINK("#'Constants - Fertiliser'!A1", "Constants - Fertiliser")</f>
        <v>Constants - Fertiliser</v>
      </c>
    </row>
    <row r="46" spans="1:1" x14ac:dyDescent="0.25">
      <c r="A46" s="5" t="str">
        <f>HYPERLINK("#'Constants - Fuel'!A1", "Constants - Fuel")</f>
        <v>Constants - Fuel</v>
      </c>
    </row>
    <row r="47" spans="1:1" x14ac:dyDescent="0.25">
      <c r="A47" s="5" t="str">
        <f>HYPERLINK("#'Constants - Scope 3'!A1", "Constants - Scope 3")</f>
        <v>Constants - Scope 3</v>
      </c>
    </row>
    <row r="48" spans="1:1" x14ac:dyDescent="0.25">
      <c r="A48" s="5" t="str">
        <f>HYPERLINK("#'Constants - Common'!A1", "Constants - Common")</f>
        <v>Constants - Common</v>
      </c>
    </row>
    <row r="49" spans="1:1" x14ac:dyDescent="0.25">
      <c r="A49" s="5" t="str">
        <f>HYPERLINK("#'Constants - Solid Waste'!A1", "Constants - Solid Waste")</f>
        <v>Constants - Solid Waste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9104-C9EC-42A2-9FF5-B367E6D4D3A6}">
  <dimension ref="A1:Y366"/>
  <sheetViews>
    <sheetView showGridLines="0"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16" customFormat="1" ht="30" customHeight="1" x14ac:dyDescent="0.35">
      <c r="A1" s="16" t="e" vm="1">
        <v>#VALUE!</v>
      </c>
      <c r="C1" s="16" t="s">
        <v>200</v>
      </c>
    </row>
    <row r="2" spans="1:25" s="3" customFormat="1" ht="20.100000000000001" customHeight="1" x14ac:dyDescent="0.25">
      <c r="A2"/>
    </row>
    <row r="3" spans="1:25" ht="20.100000000000001" customHeight="1" x14ac:dyDescent="0.25">
      <c r="A3" s="5" t="str">
        <f>HYPERLINK("#'Home'!A1", "Home")</f>
        <v>Home</v>
      </c>
      <c r="C3" s="39"/>
      <c r="D3" s="39"/>
      <c r="E3" s="39"/>
      <c r="F3" s="39"/>
      <c r="G3" s="39"/>
      <c r="H3" s="39"/>
      <c r="I3" s="39"/>
      <c r="J3" s="39"/>
      <c r="K3" s="39"/>
      <c r="L3" s="39"/>
      <c r="M3" s="39"/>
      <c r="N3" s="39"/>
      <c r="O3" s="39"/>
      <c r="P3" s="39"/>
      <c r="Q3" s="39"/>
      <c r="R3" s="39"/>
      <c r="S3" s="39"/>
      <c r="T3" s="39"/>
      <c r="U3" s="39"/>
      <c r="V3" s="39"/>
      <c r="W3" s="39"/>
      <c r="X3" s="39"/>
      <c r="Y3" s="39"/>
    </row>
    <row r="4" spans="1:25" ht="20.100000000000001" customHeight="1" x14ac:dyDescent="0.25">
      <c r="A4" s="5" t="str">
        <f>HYPERLINK("#'Overview'!A1", "Overview")</f>
        <v>Overview</v>
      </c>
    </row>
    <row r="5" spans="1:25" ht="20.100000000000001" customHeight="1" x14ac:dyDescent="0.25">
      <c r="A5" s="5" t="str">
        <f>HYPERLINK("#'Results'!A1", "Results")</f>
        <v>Results</v>
      </c>
      <c r="D5" s="2" t="s">
        <v>201</v>
      </c>
      <c r="E5" s="35"/>
      <c r="F5" s="35"/>
      <c r="G5" s="35"/>
      <c r="H5" s="35"/>
      <c r="I5" s="35"/>
      <c r="J5" s="35"/>
      <c r="K5" s="35"/>
      <c r="L5" s="35"/>
      <c r="M5" s="35"/>
    </row>
    <row r="6" spans="1:25" ht="20.100000000000001" customHeight="1" x14ac:dyDescent="0.25">
      <c r="D6" s="8"/>
      <c r="E6" s="8"/>
      <c r="F6" s="8"/>
      <c r="G6" s="8"/>
      <c r="H6" s="8"/>
      <c r="I6" s="8"/>
      <c r="J6" s="8"/>
      <c r="K6" s="8"/>
      <c r="L6" s="8"/>
      <c r="M6" s="8"/>
    </row>
    <row r="7" spans="1:25" ht="20.100000000000001" customHeight="1" x14ac:dyDescent="0.25">
      <c r="D7" s="94" t="s">
        <v>202</v>
      </c>
      <c r="E7" s="54"/>
      <c r="F7" s="54"/>
      <c r="G7" s="54"/>
      <c r="H7" s="55"/>
      <c r="I7" s="95"/>
      <c r="J7" s="96"/>
      <c r="K7" s="97"/>
      <c r="L7" s="97"/>
      <c r="M7" s="97"/>
    </row>
    <row r="8" spans="1:25" ht="20.100000000000001" customHeight="1" x14ac:dyDescent="0.25">
      <c r="A8" s="7" t="s">
        <v>0</v>
      </c>
      <c r="D8" s="56" t="s">
        <v>203</v>
      </c>
      <c r="E8" s="57"/>
      <c r="F8" s="57"/>
      <c r="G8" s="58"/>
      <c r="H8" s="98"/>
      <c r="I8" s="8"/>
      <c r="J8" s="8"/>
      <c r="K8" s="8"/>
      <c r="L8" s="8"/>
      <c r="M8" s="8"/>
    </row>
    <row r="9" spans="1:25" ht="20.100000000000001" customHeight="1" x14ac:dyDescent="0.25">
      <c r="A9" s="5" t="str">
        <f>HYPERLINK("#'Input - Enterprise'!A1", "Enterprise")</f>
        <v>Enterprise</v>
      </c>
      <c r="D9" s="8"/>
      <c r="E9" s="8"/>
      <c r="F9" s="8"/>
      <c r="G9" s="8"/>
      <c r="H9" s="8"/>
      <c r="I9" s="8"/>
      <c r="J9" s="8"/>
      <c r="K9" s="8"/>
      <c r="L9" s="8"/>
      <c r="M9" s="8"/>
    </row>
    <row r="10" spans="1:25" ht="20.100000000000001" customHeight="1" x14ac:dyDescent="0.25">
      <c r="A10" s="5" t="str">
        <f>HYPERLINK("#'Input - Site'!A1", "Site")</f>
        <v>Site</v>
      </c>
      <c r="D10" s="91" t="s">
        <v>204</v>
      </c>
      <c r="E10" s="8"/>
      <c r="F10" s="8"/>
      <c r="G10" s="8"/>
      <c r="H10" s="8"/>
      <c r="I10" s="8"/>
      <c r="J10" s="8"/>
      <c r="K10" s="8"/>
      <c r="L10" s="8"/>
      <c r="M10" s="8"/>
    </row>
    <row r="11" spans="1:25" ht="20.100000000000001" customHeight="1" x14ac:dyDescent="0.25">
      <c r="A11" s="5" t="str">
        <f>HYPERLINK("#'Input - Crop'!A1", "Crop")</f>
        <v>Crop</v>
      </c>
      <c r="D11" s="100" t="s">
        <v>205</v>
      </c>
      <c r="E11" s="101" t="s">
        <v>206</v>
      </c>
      <c r="F11" s="102" t="s">
        <v>207</v>
      </c>
      <c r="G11" s="102" t="s">
        <v>208</v>
      </c>
      <c r="H11" s="101" t="s">
        <v>209</v>
      </c>
      <c r="I11" s="101" t="s">
        <v>210</v>
      </c>
      <c r="J11" s="100" t="s">
        <v>211</v>
      </c>
      <c r="K11" s="100" t="s">
        <v>212</v>
      </c>
      <c r="L11" s="100" t="s">
        <v>213</v>
      </c>
      <c r="M11" s="100" t="s">
        <v>214</v>
      </c>
      <c r="N11" s="100" t="s">
        <v>215</v>
      </c>
      <c r="O11" s="100" t="s">
        <v>216</v>
      </c>
      <c r="P11" s="100" t="s">
        <v>217</v>
      </c>
      <c r="Q11" s="100" t="s">
        <v>218</v>
      </c>
      <c r="R11" s="100" t="s">
        <v>219</v>
      </c>
      <c r="S11" s="100" t="s">
        <v>220</v>
      </c>
      <c r="T11" s="100" t="s">
        <v>221</v>
      </c>
      <c r="U11" s="100" t="s">
        <v>222</v>
      </c>
      <c r="V11" s="100" t="s">
        <v>223</v>
      </c>
      <c r="W11" s="103" t="s">
        <v>224</v>
      </c>
      <c r="X11" s="103" t="s">
        <v>225</v>
      </c>
    </row>
    <row r="12" spans="1:25" ht="20.100000000000001" customHeight="1" x14ac:dyDescent="0.25">
      <c r="A12" s="5" t="str">
        <f>HYPERLINK("#'Input - Fert Prod System'!A1", "Fert Prod System")</f>
        <v>Fert Prod System</v>
      </c>
      <c r="D12" s="104" t="s">
        <v>226</v>
      </c>
      <c r="E12" s="105">
        <v>100</v>
      </c>
      <c r="F12" s="25" t="str">
        <f>_xlfn.XLOOKUP(Table_Input_InorganicFertiliser_Brands[[#This Row],[Product (select)]],FertiliserProducts[Product name],FertiliserProducts[Unit])</f>
        <v>L</v>
      </c>
      <c r="G12" s="25">
        <f>_xlfn.XLOOKUP(Table_Input_InorganicFertiliser_Brands[[#This Row],[Product (select)]],FertiliserProducts[Product name],FertiliserProducts[Density / gravity])</f>
        <v>1.26</v>
      </c>
      <c r="H12" s="105">
        <f>X_Cell_Fertiliser_AreaUnderCropping</f>
        <v>100</v>
      </c>
      <c r="I12" s="106">
        <f>(Table_Input_InorganicFertiliser_Brands[[#This Row],[Amount applied per hectare]]*Table_Input_InorganicFertiliser_Brands[[#This Row],[Density]])*Table_Input_InorganicFertiliser_Brands[[#This Row],[Application area (ha)]]</f>
        <v>12600</v>
      </c>
      <c r="J12" s="106"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06"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06"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06"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06"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06"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06"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06"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06"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06"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06"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06"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06">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25" t="str">
        <f>_xlfn.XLOOKUP(Table_Input_InorganicFertiliser_Brands[[#This Row],[Product (select)]],FertiliserProducts[Product name],FertiliserProducts[Urea source])</f>
        <v/>
      </c>
      <c r="X12" s="25" t="str">
        <f>_xlfn.XLOOKUP(Table_Input_InorganicFertiliser_Brands[[#This Row],[Product (select)]],FertiliserProducts[Product name],FertiliserProducts[Ammonia source])</f>
        <v/>
      </c>
    </row>
    <row r="13" spans="1:25" ht="20.100000000000001" customHeight="1" x14ac:dyDescent="0.25">
      <c r="A13" s="99" t="str">
        <f>HYPERLINK("#'Input - Fertiliser'!A1", "Fertiliser")</f>
        <v>Fertiliser</v>
      </c>
      <c r="D13" s="107" t="s">
        <v>227</v>
      </c>
      <c r="E13" s="108">
        <v>100</v>
      </c>
      <c r="F13" s="25" t="str">
        <f>_xlfn.XLOOKUP(Table_Input_InorganicFertiliser_Brands[[#This Row],[Product (select)]],FertiliserProducts[Product name],FertiliserProducts[Unit])</f>
        <v>L</v>
      </c>
      <c r="G13" s="25">
        <f>_xlfn.XLOOKUP(Table_Input_InorganicFertiliser_Brands[[#This Row],[Product (select)]],FertiliserProducts[Product name],FertiliserProducts[Density / gravity])</f>
        <v>1.2849999999999999</v>
      </c>
      <c r="H13" s="108">
        <f>X_Cell_Fertiliser_AreaUnderCropping</f>
        <v>100</v>
      </c>
      <c r="I13" s="106">
        <f>(Table_Input_InorganicFertiliser_Brands[[#This Row],[Amount applied per hectare]]*Table_Input_InorganicFertiliser_Brands[[#This Row],[Density]])*Table_Input_InorganicFertiliser_Brands[[#This Row],[Application area (ha)]]</f>
        <v>12850</v>
      </c>
      <c r="J13" s="106"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06"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06"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06"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06"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06"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06"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06"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06"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06"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06"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06"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06">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06" t="str">
        <f>_xlfn.XLOOKUP(Table_Input_InorganicFertiliser_Brands[[#This Row],[Product (select)]],FertiliserProducts[Product name],FertiliserProducts[Urea source])</f>
        <v/>
      </c>
      <c r="X13" s="106" t="str">
        <f>_xlfn.XLOOKUP(Table_Input_InorganicFertiliser_Brands[[#This Row],[Product (select)]],FertiliserProducts[Product name],FertiliserProducts[Ammonia source])</f>
        <v/>
      </c>
    </row>
    <row r="14" spans="1:25" ht="20.100000000000001" customHeight="1" x14ac:dyDescent="0.25">
      <c r="A14" s="5" t="str">
        <f>HYPERLINK("#'Input - Fuel'!A1", "Fuel")</f>
        <v>Fuel</v>
      </c>
      <c r="D14" s="107" t="s">
        <v>227</v>
      </c>
      <c r="E14" s="108">
        <v>100</v>
      </c>
      <c r="F14" s="25" t="str">
        <f>_xlfn.XLOOKUP(Table_Input_InorganicFertiliser_Brands[[#This Row],[Product (select)]],FertiliserProducts[Product name],FertiliserProducts[Unit])</f>
        <v>L</v>
      </c>
      <c r="G14" s="25">
        <f>_xlfn.XLOOKUP(Table_Input_InorganicFertiliser_Brands[[#This Row],[Product (select)]],FertiliserProducts[Product name],FertiliserProducts[Density / gravity])</f>
        <v>1.2849999999999999</v>
      </c>
      <c r="H14" s="108">
        <f>X_Cell_Fertiliser_AreaUnderCropping</f>
        <v>100</v>
      </c>
      <c r="I14" s="106">
        <f>(Table_Input_InorganicFertiliser_Brands[[#This Row],[Amount applied per hectare]]*Table_Input_InorganicFertiliser_Brands[[#This Row],[Density]])*Table_Input_InorganicFertiliser_Brands[[#This Row],[Application area (ha)]]</f>
        <v>12850</v>
      </c>
      <c r="J14" s="106"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06"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06"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06"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06"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06"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06"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06"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06"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06"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06"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06"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06">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06" t="str">
        <f>_xlfn.XLOOKUP(Table_Input_InorganicFertiliser_Brands[[#This Row],[Product (select)]],FertiliserProducts[Product name],FertiliserProducts[Urea source])</f>
        <v/>
      </c>
      <c r="X14" s="106" t="str">
        <f>_xlfn.XLOOKUP(Table_Input_InorganicFertiliser_Brands[[#This Row],[Product (select)]],FertiliserProducts[Product name],FertiliserProducts[Ammonia source])</f>
        <v/>
      </c>
    </row>
    <row r="15" spans="1:25" ht="20.100000000000001" customHeight="1" x14ac:dyDescent="0.25">
      <c r="A15" s="5" t="str">
        <f>HYPERLINK("#'Input - Electricity'!A1", "Electricity")</f>
        <v>Electricity</v>
      </c>
      <c r="D15" s="107" t="s">
        <v>228</v>
      </c>
      <c r="E15" s="108">
        <v>100</v>
      </c>
      <c r="F15" s="25" t="str">
        <f>_xlfn.XLOOKUP(Table_Input_InorganicFertiliser_Brands[[#This Row],[Product (select)]],FertiliserProducts[Product name],FertiliserProducts[Unit])</f>
        <v>L</v>
      </c>
      <c r="G15" s="25">
        <f>_xlfn.XLOOKUP(Table_Input_InorganicFertiliser_Brands[[#This Row],[Product (select)]],FertiliserProducts[Product name],FertiliserProducts[Density / gravity])</f>
        <v>1.26</v>
      </c>
      <c r="H15" s="108">
        <f>X_Cell_Fertiliser_AreaUnderCropping</f>
        <v>100</v>
      </c>
      <c r="I15" s="106">
        <f>(Table_Input_InorganicFertiliser_Brands[[#This Row],[Amount applied per hectare]]*Table_Input_InorganicFertiliser_Brands[[#This Row],[Density]])*Table_Input_InorganicFertiliser_Brands[[#This Row],[Application area (ha)]]</f>
        <v>12600</v>
      </c>
      <c r="J15" s="106"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06"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06"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06"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06"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06"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06"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06"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06"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06"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06"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06"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06">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106" t="str">
        <f>_xlfn.XLOOKUP(Table_Input_InorganicFertiliser_Brands[[#This Row],[Product (select)]],FertiliserProducts[Product name],FertiliserProducts[Urea source])</f>
        <v/>
      </c>
      <c r="X15" s="106" t="str">
        <f>_xlfn.XLOOKUP(Table_Input_InorganicFertiliser_Brands[[#This Row],[Product (select)]],FertiliserProducts[Product name],FertiliserProducts[Ammonia source])</f>
        <v/>
      </c>
    </row>
    <row r="16" spans="1:25" ht="20.100000000000001" customHeight="1" x14ac:dyDescent="0.25">
      <c r="A16" s="5" t="str">
        <f>HYPERLINK("#'Input - Farm Inputs'!A1", "Farm Inputs")</f>
        <v>Farm Inputs</v>
      </c>
      <c r="D16" s="107" t="s">
        <v>229</v>
      </c>
      <c r="E16" s="108">
        <v>100</v>
      </c>
      <c r="F16" s="25" t="str">
        <f>_xlfn.XLOOKUP(Table_Input_InorganicFertiliser_Brands[[#This Row],[Product (select)]],FertiliserProducts[Product name],FertiliserProducts[Unit])</f>
        <v>L</v>
      </c>
      <c r="G16" s="25">
        <f>_xlfn.XLOOKUP(Table_Input_InorganicFertiliser_Brands[[#This Row],[Product (select)]],FertiliserProducts[Product name],FertiliserProducts[Density / gravity])</f>
        <v>1.5</v>
      </c>
      <c r="H16" s="108">
        <f>X_Cell_Fertiliser_AreaUnderCropping</f>
        <v>100</v>
      </c>
      <c r="I16" s="106">
        <f>(Table_Input_InorganicFertiliser_Brands[[#This Row],[Amount applied per hectare]]*Table_Input_InorganicFertiliser_Brands[[#This Row],[Density]])*Table_Input_InorganicFertiliser_Brands[[#This Row],[Application area (ha)]]</f>
        <v>15000</v>
      </c>
      <c r="J16" s="106"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06"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06"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06"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06"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06"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06"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06"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06"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06"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06"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06"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06">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106" t="str">
        <f>_xlfn.XLOOKUP(Table_Input_InorganicFertiliser_Brands[[#This Row],[Product (select)]],FertiliserProducts[Product name],FertiliserProducts[Urea source])</f>
        <v/>
      </c>
      <c r="X16" s="106" t="str">
        <f>_xlfn.XLOOKUP(Table_Input_InorganicFertiliser_Brands[[#This Row],[Product (select)]],FertiliserProducts[Product name],FertiliserProducts[Ammonia source])</f>
        <v/>
      </c>
    </row>
    <row r="17" spans="1:24" ht="36" customHeight="1" x14ac:dyDescent="0.25">
      <c r="A17" s="5" t="str">
        <f>HYPERLINK("#'Input - Freight'!A1", "Freight")</f>
        <v>Freight</v>
      </c>
      <c r="D17" s="109"/>
      <c r="E17" s="110"/>
      <c r="F17" s="111"/>
      <c r="G17" s="111"/>
      <c r="H17" s="111"/>
      <c r="I17" s="111"/>
      <c r="J17" s="112"/>
      <c r="K17" s="112"/>
      <c r="L17" s="113"/>
      <c r="M17" s="113"/>
      <c r="N17" s="114"/>
      <c r="O17" s="114"/>
      <c r="P17" s="114"/>
      <c r="Q17" s="114"/>
      <c r="R17" s="114"/>
      <c r="S17" s="114"/>
      <c r="T17" s="114"/>
      <c r="U17" s="114"/>
      <c r="V17" s="114"/>
      <c r="W17" s="114"/>
      <c r="X17" s="114"/>
    </row>
    <row r="18" spans="1:24" ht="36" customHeight="1" x14ac:dyDescent="0.25">
      <c r="A18" s="5" t="str">
        <f>HYPERLINK("#'Input - Manure sent off-site'!A1", "Manure sent off-site")</f>
        <v>Manure sent off-site</v>
      </c>
      <c r="D18" s="115" t="s">
        <v>230</v>
      </c>
      <c r="E18" s="116"/>
      <c r="F18" s="116"/>
      <c r="G18" s="116"/>
      <c r="H18" s="116"/>
      <c r="I18" s="116"/>
      <c r="J18" s="116"/>
      <c r="K18" s="116"/>
      <c r="L18" s="116"/>
      <c r="M18" s="116"/>
      <c r="N18" s="114"/>
      <c r="O18" s="114"/>
      <c r="P18" s="114"/>
      <c r="Q18" s="114"/>
      <c r="R18" s="114"/>
      <c r="S18" s="114"/>
      <c r="T18" s="114"/>
      <c r="V18" s="114"/>
      <c r="W18" s="114"/>
      <c r="X18" s="114"/>
    </row>
    <row r="19" spans="1:24" ht="36" customHeight="1" x14ac:dyDescent="0.25">
      <c r="A19" s="5" t="str">
        <f>HYPERLINK("#'Input - Solid waste'!A1", "Solid waste")</f>
        <v>Solid waste</v>
      </c>
      <c r="D19" s="101" t="s">
        <v>231</v>
      </c>
      <c r="E19" s="101" t="s">
        <v>232</v>
      </c>
      <c r="F19" s="101" t="s">
        <v>209</v>
      </c>
      <c r="G19" s="101" t="s">
        <v>210</v>
      </c>
      <c r="H19" s="101" t="s">
        <v>233</v>
      </c>
      <c r="I19" s="101" t="s">
        <v>212</v>
      </c>
      <c r="J19" s="101" t="s">
        <v>213</v>
      </c>
      <c r="K19" s="101" t="s">
        <v>214</v>
      </c>
      <c r="L19" s="101" t="s">
        <v>215</v>
      </c>
      <c r="M19" s="101" t="s">
        <v>216</v>
      </c>
      <c r="N19" s="101" t="s">
        <v>217</v>
      </c>
      <c r="O19" s="101" t="s">
        <v>218</v>
      </c>
      <c r="P19" s="101" t="s">
        <v>223</v>
      </c>
      <c r="Q19" s="103" t="s">
        <v>234</v>
      </c>
      <c r="R19" s="103" t="s">
        <v>235</v>
      </c>
      <c r="S19" s="114"/>
      <c r="T19" s="114"/>
      <c r="V19" s="114"/>
      <c r="W19" s="114"/>
      <c r="X19" s="114"/>
    </row>
    <row r="20" spans="1:24" ht="36" customHeight="1" x14ac:dyDescent="0.25">
      <c r="A20" s="5" t="str">
        <f>HYPERLINK("#'Input - Data quality'!A1", "Data quality")</f>
        <v>Data quality</v>
      </c>
      <c r="D20" s="44" t="s">
        <v>236</v>
      </c>
      <c r="E20" s="101">
        <v>100</v>
      </c>
      <c r="F20" s="105">
        <f>X_Cell_Fertiliser_AreaUnderCropping</f>
        <v>100</v>
      </c>
      <c r="G20" s="106">
        <f>Table_Input_InorganicFertiliser_Custom[[#This Row],[Amount applied (kg / ha)]]*Table_Input_InorganicFertiliser_Custom[[#This Row],[Application area (ha)]]</f>
        <v>10000</v>
      </c>
      <c r="H20" s="117" t="s">
        <v>237</v>
      </c>
      <c r="I20" s="118">
        <v>0.5</v>
      </c>
      <c r="J20" s="117" t="s">
        <v>238</v>
      </c>
      <c r="K20" s="118">
        <v>0.2</v>
      </c>
      <c r="L20" s="117" t="s">
        <v>239</v>
      </c>
      <c r="M20" s="118">
        <v>0.2</v>
      </c>
      <c r="N20" s="119" t="s">
        <v>240</v>
      </c>
      <c r="O20" s="28">
        <v>0.1</v>
      </c>
      <c r="P20" s="10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23"/>
      <c r="R20" s="23"/>
      <c r="T20" s="88"/>
    </row>
    <row r="21" spans="1:24" ht="36" customHeight="1" x14ac:dyDescent="0.25">
      <c r="D21" s="44" t="s">
        <v>241</v>
      </c>
      <c r="E21" s="101">
        <v>100</v>
      </c>
      <c r="F21" s="105">
        <f>X_Cell_Fertiliser_AreaUnderCropping</f>
        <v>100</v>
      </c>
      <c r="G21" s="106">
        <f>Table_Input_InorganicFertiliser_Custom[[#This Row],[Amount applied (kg / ha)]]*Table_Input_InorganicFertiliser_Custom[[#This Row],[Application area (ha)]]</f>
        <v>10000</v>
      </c>
      <c r="H21" s="117" t="s">
        <v>242</v>
      </c>
      <c r="I21" s="120">
        <v>1</v>
      </c>
      <c r="J21" s="117"/>
      <c r="K21" s="120"/>
      <c r="L21" s="117"/>
      <c r="M21" s="120"/>
      <c r="N21" s="119"/>
      <c r="O21" s="28"/>
      <c r="P21" s="10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23"/>
      <c r="R21" s="23"/>
      <c r="W21" s="88"/>
    </row>
    <row r="22" spans="1:24" ht="36" customHeight="1" x14ac:dyDescent="0.25">
      <c r="D22" s="44" t="s">
        <v>243</v>
      </c>
      <c r="E22" s="101">
        <v>100</v>
      </c>
      <c r="F22" s="105">
        <f>X_Cell_Fertiliser_AreaUnderCropping</f>
        <v>100</v>
      </c>
      <c r="G22" s="106">
        <f>Table_Input_InorganicFertiliser_Custom[[#This Row],[Amount applied (kg / ha)]]*Table_Input_InorganicFertiliser_Custom[[#This Row],[Application area (ha)]]</f>
        <v>10000</v>
      </c>
      <c r="H22" s="117" t="s">
        <v>244</v>
      </c>
      <c r="I22" s="120">
        <v>0.5</v>
      </c>
      <c r="J22" s="117"/>
      <c r="K22" s="120"/>
      <c r="L22" s="117"/>
      <c r="M22" s="120"/>
      <c r="N22" s="119"/>
      <c r="O22" s="28"/>
      <c r="P22" s="10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23"/>
      <c r="R22" s="23"/>
    </row>
    <row r="23" spans="1:24" ht="36" customHeight="1" x14ac:dyDescent="0.25">
      <c r="A23" s="6" t="s">
        <v>2</v>
      </c>
      <c r="V23" s="88"/>
    </row>
    <row r="24" spans="1:24" ht="36" customHeight="1" x14ac:dyDescent="0.25">
      <c r="A24" s="5" t="str">
        <f>HYPERLINK("#'5.1.1.1-2 Inorganic fert N2O'!A1", "5.1.1.1-2 Inorganic fert N2O")</f>
        <v>5.1.1.1-2 Inorganic fert N2O</v>
      </c>
      <c r="D24" s="2" t="s">
        <v>245</v>
      </c>
      <c r="E24" s="35"/>
      <c r="F24" s="35"/>
      <c r="G24" s="35"/>
      <c r="H24" s="35"/>
      <c r="I24" s="35"/>
      <c r="J24" s="35"/>
      <c r="K24" s="8"/>
      <c r="L24" s="8"/>
      <c r="M24" s="8"/>
    </row>
    <row r="25" spans="1:24" ht="36" customHeight="1" x14ac:dyDescent="0.25">
      <c r="A25" s="5" t="str">
        <f>HYPERLINK("#'5.1.1.3-4 Inorganic fert CO2'!A1", "5.1.1.3-4 Inorganic fert CO2")</f>
        <v>5.1.1.3-4 Inorganic fert CO2</v>
      </c>
      <c r="D25" s="8"/>
      <c r="E25" s="8"/>
      <c r="F25" s="8"/>
      <c r="G25" s="8"/>
      <c r="H25" s="8"/>
      <c r="I25" s="8"/>
      <c r="J25" s="8"/>
      <c r="K25" s="8"/>
      <c r="L25" s="8"/>
      <c r="M25" s="35"/>
    </row>
    <row r="26" spans="1:24" ht="36" customHeight="1" x14ac:dyDescent="0.25">
      <c r="A26" s="5" t="str">
        <f>HYPERLINK("#'5.2.1.1-2 Organic Fert N2O'!A1", "5.2.1.1-2 Organic fert N2O")</f>
        <v>5.2.1.1-2 Organic fert N2O</v>
      </c>
      <c r="D26" s="94" t="s">
        <v>246</v>
      </c>
      <c r="E26" s="54"/>
      <c r="F26" s="55"/>
      <c r="G26" s="94"/>
      <c r="H26" s="55"/>
      <c r="I26" s="35"/>
      <c r="J26" s="35"/>
      <c r="K26" s="8"/>
      <c r="L26" s="8"/>
      <c r="M26" s="8"/>
    </row>
    <row r="27" spans="1:24" ht="20.100000000000001" customHeight="1" x14ac:dyDescent="0.25">
      <c r="A27" s="5" t="str">
        <f>HYPERLINK("#'5.3.1.1-2 Lime CO2'!A1", "5.3.1.1-2 Lime CO2")</f>
        <v>5.3.1.1-2 Lime CO2</v>
      </c>
      <c r="D27" s="122" t="s">
        <v>247</v>
      </c>
      <c r="E27" s="123"/>
      <c r="F27" s="124"/>
      <c r="G27" s="122"/>
      <c r="H27" s="124"/>
      <c r="I27" s="8"/>
      <c r="J27" s="8"/>
      <c r="K27" s="8"/>
      <c r="L27" s="8"/>
      <c r="M27" s="35"/>
    </row>
    <row r="28" spans="1:24" ht="20.100000000000001" customHeight="1" x14ac:dyDescent="0.25">
      <c r="A28" s="5" t="str">
        <f>HYPERLINK("#'5.4.1.1-4 Atmos deposition'!A1", "5.4.1.1-4 Atmos. deposition")</f>
        <v>5.4.1.1-4 Atmos. deposition</v>
      </c>
      <c r="D28" s="56" t="s">
        <v>203</v>
      </c>
      <c r="E28" s="57"/>
      <c r="F28" s="57"/>
      <c r="G28" s="57"/>
      <c r="H28" s="58"/>
      <c r="I28" s="8"/>
      <c r="J28" s="8"/>
      <c r="K28" s="8"/>
      <c r="L28" s="8"/>
      <c r="M28" s="35"/>
    </row>
    <row r="29" spans="1:24" ht="20.100000000000001" customHeight="1" x14ac:dyDescent="0.25">
      <c r="A29" s="5" t="str">
        <f>HYPERLINK("#'5.5.1.1-2 Leaching and runoff'!A1", "5.5.1.1-2 Leaching &amp; runoff")</f>
        <v>5.5.1.1-2 Leaching &amp; runoff</v>
      </c>
      <c r="D29" s="125" t="str">
        <f>IF(MAX(Table_Input_Lime[Total]) &gt; 1, "There can not be more than 100% ingredients in a product. Check the table below.", "")</f>
        <v/>
      </c>
    </row>
    <row r="30" spans="1:24" ht="20.100000000000001" customHeight="1" x14ac:dyDescent="0.25">
      <c r="A30" s="5" t="str">
        <f>HYPERLINK("#'6.1.1.1-2 Crop residue N2O'!A1", "6.1.1.1-2 Crop residue N2O")</f>
        <v>6.1.1.1-2 Crop residue N2O</v>
      </c>
      <c r="D30" s="126" t="s">
        <v>137</v>
      </c>
      <c r="E30" s="126" t="s">
        <v>248</v>
      </c>
      <c r="F30" s="126" t="s">
        <v>209</v>
      </c>
      <c r="G30" s="126" t="s">
        <v>249</v>
      </c>
      <c r="H30" s="126" t="s">
        <v>250</v>
      </c>
      <c r="I30" s="126" t="s">
        <v>251</v>
      </c>
      <c r="J30" s="126" t="s">
        <v>252</v>
      </c>
      <c r="K30" s="126" t="s">
        <v>4</v>
      </c>
    </row>
    <row r="31" spans="1:24" ht="20.100000000000001" customHeight="1" x14ac:dyDescent="0.25">
      <c r="A31" s="5" t="str">
        <f>HYPERLINK("#'6.3.1.1-2 Leach runoff crop'!A1", "6.3.1.1-2 Leach &amp; runoff (crop)")</f>
        <v>6.3.1.1-2 Leach &amp; runoff (crop)</v>
      </c>
      <c r="D31" s="127" t="s">
        <v>253</v>
      </c>
      <c r="E31" s="105">
        <v>1</v>
      </c>
      <c r="F31" s="105">
        <f>X_Cell_Fertiliser_AreaUnderCropping</f>
        <v>100</v>
      </c>
      <c r="G31" s="106">
        <f>IFERROR(Table_Input_Lime[[#This Row],[Amount applied (t/hectare)]]*Table_Input_Lime[[#This Row],[Application area (ha)]], 0)</f>
        <v>100</v>
      </c>
      <c r="H31" s="128">
        <v>0.8</v>
      </c>
      <c r="I31" s="128">
        <v>0.1</v>
      </c>
      <c r="J31" s="128">
        <v>0.1</v>
      </c>
      <c r="K31" s="129">
        <f>SUM(Table_Input_Lime[[#This Row],[Percent Lime CaCO3]:[Percent Gypsum]])</f>
        <v>1</v>
      </c>
    </row>
    <row r="32" spans="1:24" ht="30" customHeight="1" x14ac:dyDescent="0.25">
      <c r="A32" s="5" t="str">
        <f>HYPERLINK("#'6.4.1.1-2 Residue burning'!A1", "6.4.1.1-2 Residue burning")</f>
        <v>6.4.1.1-2 Residue burning</v>
      </c>
      <c r="D32" s="127" t="s">
        <v>254</v>
      </c>
      <c r="E32" s="105">
        <v>1</v>
      </c>
      <c r="F32" s="105">
        <f>X_Cell_Fertiliser_AreaUnderCropping</f>
        <v>100</v>
      </c>
      <c r="G32" s="106">
        <f>IFERROR(Table_Input_Lime[[#This Row],[Amount applied (t/hectare)]]*Table_Input_Lime[[#This Row],[Application area (ha)]], 0)</f>
        <v>100</v>
      </c>
      <c r="H32" s="128">
        <v>1</v>
      </c>
      <c r="I32" s="128"/>
      <c r="J32" s="128"/>
      <c r="K32" s="129">
        <f>SUM(Table_Input_Lime[[#This Row],[Percent Lime CaCO3]:[Percent Gypsum]])</f>
        <v>1</v>
      </c>
      <c r="L32" s="35"/>
    </row>
    <row r="33" spans="1:25" ht="36" customHeight="1" x14ac:dyDescent="0.25">
      <c r="A33" s="5" t="str">
        <f>HYPERLINK("#'8.1.1.1-2 Transport fuel'!A1", "8.1.1.1-2 Transport fuel")</f>
        <v>8.1.1.1-2 Transport fuel</v>
      </c>
      <c r="D33" s="127" t="s">
        <v>255</v>
      </c>
      <c r="E33" s="105">
        <v>1</v>
      </c>
      <c r="F33" s="105">
        <f>X_Cell_Fertiliser_AreaUnderCropping</f>
        <v>100</v>
      </c>
      <c r="G33" s="106">
        <f>IFERROR(Table_Input_Lime[[#This Row],[Amount applied (t/hectare)]]*Table_Input_Lime[[#This Row],[Application area (ha)]], 0)</f>
        <v>100</v>
      </c>
      <c r="H33" s="128">
        <v>0</v>
      </c>
      <c r="I33" s="128"/>
      <c r="J33" s="128">
        <v>1</v>
      </c>
      <c r="K33" s="129">
        <f>SUM(Table_Input_Lime[[#This Row],[Percent Lime CaCO3]:[Percent Gypsum]])</f>
        <v>1</v>
      </c>
      <c r="L33" s="35"/>
      <c r="M33" s="35"/>
    </row>
    <row r="34" spans="1:25" ht="36" customHeight="1" x14ac:dyDescent="0.25">
      <c r="A34" s="5" t="str">
        <f>HYPERLINK("#'8.2.1.1-2 Stationary fuel'!A1", "8.2.1.1-2 Stationary fuel")</f>
        <v>8.2.1.1-2 Stationary fuel</v>
      </c>
      <c r="D34" s="8"/>
      <c r="E34" s="8"/>
      <c r="F34" s="8"/>
      <c r="G34" s="8"/>
      <c r="H34" s="8"/>
      <c r="I34" s="8"/>
      <c r="J34" s="8"/>
      <c r="L34" s="8"/>
      <c r="M34" s="35"/>
    </row>
    <row r="35" spans="1:25" ht="36" customHeight="1" x14ac:dyDescent="0.25">
      <c r="A35" s="5" t="str">
        <f>HYPERLINK("#'14.1.1-2 Purchased electricity'!A1", "14.1.1-2 Purchased electricity")</f>
        <v>14.1.1-2 Purchased electricity</v>
      </c>
      <c r="D35" s="8"/>
      <c r="E35" s="8"/>
      <c r="F35" s="8"/>
      <c r="G35" s="8"/>
      <c r="H35" s="8"/>
      <c r="I35" s="8"/>
      <c r="J35" s="130"/>
      <c r="K35" s="35"/>
      <c r="L35" s="8"/>
      <c r="M35" s="8"/>
    </row>
    <row r="36" spans="1:25" ht="36" customHeight="1" x14ac:dyDescent="0.25">
      <c r="A36" s="5" t="str">
        <f>HYPERLINK("#'15 Scope 3'!A1", "15 Scope 3")</f>
        <v>15 Scope 3</v>
      </c>
      <c r="D36" s="2" t="s">
        <v>256</v>
      </c>
      <c r="E36" s="35"/>
      <c r="F36" s="35"/>
      <c r="G36" s="35"/>
      <c r="H36" s="8"/>
      <c r="I36" s="8"/>
      <c r="J36" s="8"/>
      <c r="K36" s="8"/>
      <c r="L36" s="8"/>
      <c r="M36" s="8"/>
      <c r="S36" s="114"/>
    </row>
    <row r="37" spans="1:25" ht="20.100000000000001" customHeight="1" x14ac:dyDescent="0.25">
      <c r="A37" s="5" t="str">
        <f>HYPERLINK("#'Calcs - Manure sent off-site'!A1", "Calcs - Manure sent off-site")</f>
        <v>Calcs - Manure sent off-site</v>
      </c>
      <c r="D37" s="8"/>
      <c r="E37" s="8"/>
      <c r="F37" s="8"/>
      <c r="G37" s="8"/>
      <c r="H37" s="8"/>
      <c r="I37" s="8"/>
      <c r="J37" s="8"/>
      <c r="K37" s="8"/>
      <c r="L37" s="8"/>
      <c r="M37" s="8"/>
      <c r="Q37" s="114"/>
      <c r="R37" s="114"/>
      <c r="S37" s="114"/>
    </row>
    <row r="38" spans="1:25" ht="20.100000000000001" customHeight="1" x14ac:dyDescent="0.25">
      <c r="A38" s="5" t="str">
        <f>HYPERLINK("#'10.1.1-2 Solid waste treatment'!A1", "10.1.1-2 Solid waste treatment")</f>
        <v>10.1.1-2 Solid waste treatment</v>
      </c>
      <c r="C38" s="114"/>
      <c r="D38" s="94" t="s">
        <v>246</v>
      </c>
      <c r="E38" s="54"/>
      <c r="F38" s="54"/>
      <c r="G38" s="54"/>
      <c r="H38" s="55"/>
      <c r="I38" s="8"/>
      <c r="J38" s="8"/>
      <c r="K38" s="8"/>
      <c r="L38" s="8"/>
      <c r="M38" s="8"/>
      <c r="O38" s="114"/>
      <c r="P38" s="114"/>
      <c r="Q38" s="114"/>
      <c r="R38" s="114"/>
    </row>
    <row r="39" spans="1:25" ht="20.100000000000001" customHeight="1" x14ac:dyDescent="0.25">
      <c r="C39" s="114"/>
      <c r="D39" s="56" t="s">
        <v>203</v>
      </c>
      <c r="E39" s="57"/>
      <c r="F39" s="57"/>
      <c r="G39" s="57"/>
      <c r="H39" s="58"/>
      <c r="I39" s="8"/>
      <c r="J39" s="8"/>
      <c r="K39" s="8"/>
      <c r="L39" s="116"/>
      <c r="M39" s="114"/>
      <c r="N39" s="114"/>
      <c r="O39" s="114"/>
      <c r="P39" s="114"/>
    </row>
    <row r="40" spans="1:25" s="131" customFormat="1" ht="20.100000000000001" customHeight="1" x14ac:dyDescent="0.25">
      <c r="A40"/>
      <c r="C40" s="1"/>
      <c r="D40" s="8"/>
      <c r="E40" s="8"/>
      <c r="F40" s="8"/>
      <c r="G40" s="8"/>
      <c r="H40" s="8"/>
      <c r="I40" s="8"/>
      <c r="J40" s="8"/>
      <c r="K40" s="8"/>
      <c r="L40" s="116"/>
      <c r="M40" s="114"/>
      <c r="N40" s="114"/>
      <c r="O40" s="1"/>
      <c r="P40" s="1"/>
      <c r="Q40" s="1"/>
      <c r="R40" s="1"/>
      <c r="S40" s="1"/>
      <c r="T40" s="1"/>
      <c r="U40" s="1"/>
      <c r="V40" s="1"/>
      <c r="W40" s="1"/>
      <c r="X40" s="1"/>
      <c r="Y40" s="1"/>
    </row>
    <row r="41" spans="1:25" s="131" customFormat="1" ht="20.100000000000001" customHeight="1" x14ac:dyDescent="0.25">
      <c r="A41" s="121" t="s">
        <v>1</v>
      </c>
      <c r="C41" s="1"/>
      <c r="D41" s="126" t="s">
        <v>257</v>
      </c>
      <c r="E41" s="126" t="s">
        <v>258</v>
      </c>
      <c r="F41" s="126" t="s">
        <v>259</v>
      </c>
      <c r="G41" s="126" t="s">
        <v>260</v>
      </c>
      <c r="H41" s="126" t="s">
        <v>209</v>
      </c>
      <c r="I41" s="126" t="s">
        <v>261</v>
      </c>
      <c r="J41" s="126" t="s">
        <v>262</v>
      </c>
      <c r="K41" s="116"/>
      <c r="L41" s="1"/>
      <c r="M41" s="1"/>
      <c r="N41" s="1"/>
      <c r="O41" s="1"/>
      <c r="P41" s="1"/>
      <c r="Q41" s="1"/>
      <c r="R41" s="1"/>
      <c r="S41" s="1"/>
      <c r="T41" s="1"/>
      <c r="U41" s="1"/>
      <c r="V41" s="1"/>
      <c r="W41" s="1"/>
      <c r="X41" s="1"/>
      <c r="Y41" s="1"/>
    </row>
    <row r="42" spans="1:25" ht="30" customHeight="1" x14ac:dyDescent="0.25">
      <c r="A42" s="5" t="str">
        <f>HYPERLINK("#'Constants - Ag Residue'!A1", "Constants - Ag residue")</f>
        <v>Constants - Ag residue</v>
      </c>
      <c r="D42" s="104" t="s">
        <v>263</v>
      </c>
      <c r="E42" s="128">
        <v>0.3</v>
      </c>
      <c r="F42" s="105">
        <v>10</v>
      </c>
      <c r="G42" s="106">
        <f>Table_Input_OrganicFertiliser[[#This Row],[Amount applied (kg/hectare)]]*Table_Input_OrganicFertiliser[[#This Row],[Percentage of N in fertiliser]]</f>
        <v>3</v>
      </c>
      <c r="H42" s="105">
        <f>X_Cell_Fertiliser_AreaUnderCropping</f>
        <v>100</v>
      </c>
      <c r="I42" s="106">
        <f>Table_Input_OrganicFertiliser[[#This Row],[Amount applied (kg/hectare)]]*Table_Input_OrganicFertiliser[[#This Row],[Application area (ha)]]</f>
        <v>1000</v>
      </c>
      <c r="J42" s="106">
        <f>IFERROR(Table_Input_OrganicFertiliser[[#This Row],[Amount N applied (kg/hectare)]]*Table_Input_OrganicFertiliser[[#This Row],[Application area (ha)]], 0)</f>
        <v>300</v>
      </c>
      <c r="K42" s="116"/>
    </row>
    <row r="43" spans="1:25" ht="36" customHeight="1" x14ac:dyDescent="0.25">
      <c r="A43" s="5" t="str">
        <f>HYPERLINK("#'Constants - Common Livestock'!A1", "Constants - Common Livestock")</f>
        <v>Constants - Common Livestock</v>
      </c>
      <c r="D43" s="104" t="s">
        <v>264</v>
      </c>
      <c r="E43" s="128">
        <v>0.25</v>
      </c>
      <c r="F43" s="105">
        <v>10</v>
      </c>
      <c r="G43" s="106">
        <f>Table_Input_OrganicFertiliser[[#This Row],[Amount applied (kg/hectare)]]*Table_Input_OrganicFertiliser[[#This Row],[Percentage of N in fertiliser]]</f>
        <v>2.5</v>
      </c>
      <c r="H43" s="105">
        <f>X_Cell_Fertiliser_AreaUnderCropping</f>
        <v>100</v>
      </c>
      <c r="I43" s="106">
        <f>Table_Input_OrganicFertiliser[[#This Row],[Amount applied (kg/hectare)]]*Table_Input_OrganicFertiliser[[#This Row],[Application area (ha)]]</f>
        <v>1000</v>
      </c>
      <c r="J43" s="106">
        <f>IFERROR(Table_Input_OrganicFertiliser[[#This Row],[Amount N applied (kg/hectare)]]*Table_Input_OrganicFertiliser[[#This Row],[Application area (ha)]], 0)</f>
        <v>250</v>
      </c>
    </row>
    <row r="44" spans="1:25" ht="36" customHeight="1" x14ac:dyDescent="0.25">
      <c r="A44" s="5" t="str">
        <f>HYPERLINK("#'Constants - Electricity'!A1", "Constants - Electricity")</f>
        <v>Constants - Electricity</v>
      </c>
      <c r="D44" s="104" t="s">
        <v>265</v>
      </c>
      <c r="E44" s="128">
        <v>0.16</v>
      </c>
      <c r="F44" s="105">
        <v>10</v>
      </c>
      <c r="G44" s="106">
        <f>Table_Input_OrganicFertiliser[[#This Row],[Amount applied (kg/hectare)]]*Table_Input_OrganicFertiliser[[#This Row],[Percentage of N in fertiliser]]</f>
        <v>1.6</v>
      </c>
      <c r="H44" s="105">
        <f>X_Cell_Fertiliser_AreaUnderCropping</f>
        <v>100</v>
      </c>
      <c r="I44" s="106">
        <f>Table_Input_OrganicFertiliser[[#This Row],[Amount applied (kg/hectare)]]*Table_Input_OrganicFertiliser[[#This Row],[Application area (ha)]]</f>
        <v>1000</v>
      </c>
      <c r="J44" s="106">
        <f>IFERROR(Table_Input_OrganicFertiliser[[#This Row],[Amount N applied (kg/hectare)]]*Table_Input_OrganicFertiliser[[#This Row],[Application area (ha)]], 0)</f>
        <v>160</v>
      </c>
    </row>
    <row r="45" spans="1:25" ht="36" customHeight="1" x14ac:dyDescent="0.25">
      <c r="A45" s="5" t="str">
        <f>HYPERLINK("#'Constants - Fertiliser'!A1", "Constants - Fertiliser")</f>
        <v>Constants - Fertiliser</v>
      </c>
    </row>
    <row r="46" spans="1:25" ht="36" customHeight="1" x14ac:dyDescent="0.25">
      <c r="A46" s="5" t="str">
        <f>HYPERLINK("#'Constants - Fuel'!A1", "Constants - Fuel")</f>
        <v>Constants - Fuel</v>
      </c>
    </row>
    <row r="47" spans="1:25" ht="20.100000000000001" customHeight="1" x14ac:dyDescent="0.25">
      <c r="A47" s="5" t="str">
        <f>HYPERLINK("#'Constants - Scope 3'!A1", "Constants - Scope 3")</f>
        <v>Constants - Scope 3</v>
      </c>
    </row>
    <row r="48" spans="1:25" ht="20.100000000000001" customHeight="1" x14ac:dyDescent="0.25">
      <c r="A48" s="5" t="str">
        <f>HYPERLINK("#'Constants - Common'!A1", "Constants - Common")</f>
        <v>Constants - Common</v>
      </c>
    </row>
    <row r="49" spans="1:1" ht="20.100000000000001" customHeight="1" x14ac:dyDescent="0.25">
      <c r="A49" s="5" t="str">
        <f>HYPERLINK("#'Constants - Solid Waste'!A1", "Constants - Solid Waste")</f>
        <v>Constants - Solid Waste</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5"/>
    </row>
    <row r="115" spans="13:13" ht="20.100000000000001" customHeight="1" x14ac:dyDescent="0.25">
      <c r="M115" s="35"/>
    </row>
    <row r="116" spans="13:13" ht="20.100000000000001" customHeight="1" x14ac:dyDescent="0.25">
      <c r="M116" s="35"/>
    </row>
    <row r="117" spans="13:13" ht="20.100000000000001" customHeight="1" x14ac:dyDescent="0.25">
      <c r="M117" s="35"/>
    </row>
    <row r="118" spans="13:13" ht="20.100000000000001" customHeight="1" x14ac:dyDescent="0.25">
      <c r="M118" s="35"/>
    </row>
    <row r="119" spans="13:13" ht="20.100000000000001" customHeight="1" x14ac:dyDescent="0.25">
      <c r="M119" s="35"/>
    </row>
    <row r="120" spans="13:13" ht="20.100000000000001" customHeight="1" x14ac:dyDescent="0.25">
      <c r="M120" s="35"/>
    </row>
    <row r="121" spans="13:13" ht="20.100000000000001" customHeight="1" x14ac:dyDescent="0.25">
      <c r="M121" s="35"/>
    </row>
    <row r="122" spans="13:13" ht="20.100000000000001" customHeight="1" x14ac:dyDescent="0.25">
      <c r="M122" s="35"/>
    </row>
    <row r="123" spans="13:13" ht="20.100000000000001" customHeight="1" x14ac:dyDescent="0.25">
      <c r="M123" s="35"/>
    </row>
    <row r="124" spans="13:13" ht="20.100000000000001" customHeight="1" x14ac:dyDescent="0.25">
      <c r="M124" s="35"/>
    </row>
    <row r="125" spans="13:13" ht="20.100000000000001" customHeight="1" x14ac:dyDescent="0.25">
      <c r="M125" s="35"/>
    </row>
    <row r="126" spans="13:13" ht="20.100000000000001" customHeight="1" x14ac:dyDescent="0.25">
      <c r="M126" s="35"/>
    </row>
    <row r="127" spans="13:13" ht="20.100000000000001" customHeight="1" x14ac:dyDescent="0.25">
      <c r="M127" s="35"/>
    </row>
    <row r="128" spans="13:13" ht="20.100000000000001" customHeight="1" x14ac:dyDescent="0.25">
      <c r="M128" s="35"/>
    </row>
    <row r="129" spans="13:13" ht="20.100000000000001" customHeight="1" x14ac:dyDescent="0.25">
      <c r="M129" s="35"/>
    </row>
    <row r="130" spans="13:13" ht="20.100000000000001" customHeight="1" x14ac:dyDescent="0.25">
      <c r="M130" s="35"/>
    </row>
    <row r="131" spans="13:13" ht="20.100000000000001" customHeight="1" x14ac:dyDescent="0.25">
      <c r="M131" s="35"/>
    </row>
    <row r="132" spans="13:13" ht="20.100000000000001" customHeight="1" x14ac:dyDescent="0.25">
      <c r="M132" s="35"/>
    </row>
    <row r="133" spans="13:13" ht="20.100000000000001" customHeight="1" x14ac:dyDescent="0.25">
      <c r="M133" s="35"/>
    </row>
    <row r="134" spans="13:13" ht="20.100000000000001" customHeight="1" x14ac:dyDescent="0.25">
      <c r="M134" s="35"/>
    </row>
    <row r="135" spans="13:13" ht="20.100000000000001" customHeight="1" x14ac:dyDescent="0.25">
      <c r="M135" s="35"/>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6"/>
    </row>
    <row r="213" spans="12:12" x14ac:dyDescent="0.25">
      <c r="L213" s="26"/>
    </row>
    <row r="214" spans="12:12" x14ac:dyDescent="0.25">
      <c r="L214" s="26"/>
    </row>
    <row r="215" spans="12:12" x14ac:dyDescent="0.25">
      <c r="L215" s="26"/>
    </row>
    <row r="216" spans="12:12" x14ac:dyDescent="0.25">
      <c r="L216" s="26"/>
    </row>
    <row r="218" spans="12:12" x14ac:dyDescent="0.25">
      <c r="L218" s="26"/>
    </row>
    <row r="220" spans="12:12" x14ac:dyDescent="0.25">
      <c r="L220" s="26"/>
    </row>
    <row r="221" spans="12:12" x14ac:dyDescent="0.25">
      <c r="L221" s="26"/>
    </row>
    <row r="222" spans="12:12" x14ac:dyDescent="0.25">
      <c r="L222" s="26"/>
    </row>
    <row r="223" spans="12:12" x14ac:dyDescent="0.25">
      <c r="L223" s="26"/>
    </row>
    <row r="225" spans="12:12" x14ac:dyDescent="0.25">
      <c r="L225" s="26"/>
    </row>
    <row r="233" spans="12:12" x14ac:dyDescent="0.25">
      <c r="L233" s="26"/>
    </row>
    <row r="234" spans="12:12" x14ac:dyDescent="0.25">
      <c r="L234" s="26"/>
    </row>
    <row r="235" spans="12:12" x14ac:dyDescent="0.25">
      <c r="L235" s="26"/>
    </row>
    <row r="238" spans="12:12" x14ac:dyDescent="0.25">
      <c r="L238" s="26"/>
    </row>
    <row r="239" spans="12:12" x14ac:dyDescent="0.25">
      <c r="L239" s="26"/>
    </row>
    <row r="240" spans="12:12" x14ac:dyDescent="0.25">
      <c r="L240" s="26"/>
    </row>
    <row r="243" spans="11:12" x14ac:dyDescent="0.25">
      <c r="L243" s="26"/>
    </row>
    <row r="244" spans="11:12" x14ac:dyDescent="0.25">
      <c r="L244" s="26"/>
    </row>
    <row r="245" spans="11:12" x14ac:dyDescent="0.25">
      <c r="L245" s="26"/>
    </row>
    <row r="248" spans="11:12" x14ac:dyDescent="0.25">
      <c r="L248" s="26"/>
    </row>
    <row r="249" spans="11:12" x14ac:dyDescent="0.25">
      <c r="L249" s="26"/>
    </row>
    <row r="250" spans="11:12" x14ac:dyDescent="0.25">
      <c r="L250" s="26"/>
    </row>
    <row r="251" spans="11:12" x14ac:dyDescent="0.25">
      <c r="K251" s="26"/>
    </row>
    <row r="256" spans="11:12" x14ac:dyDescent="0.25">
      <c r="K256" s="26"/>
    </row>
    <row r="257" spans="11:12" x14ac:dyDescent="0.25">
      <c r="L257" s="26"/>
    </row>
    <row r="258" spans="11:12" x14ac:dyDescent="0.25">
      <c r="L258" s="26"/>
    </row>
    <row r="259" spans="11:12" x14ac:dyDescent="0.25">
      <c r="L259" s="26"/>
    </row>
    <row r="261" spans="11:12" x14ac:dyDescent="0.25">
      <c r="K261" s="26"/>
    </row>
    <row r="262" spans="11:12" x14ac:dyDescent="0.25">
      <c r="L262" s="26"/>
    </row>
    <row r="263" spans="11:12" x14ac:dyDescent="0.25">
      <c r="L263" s="26"/>
    </row>
    <row r="264" spans="11:12" x14ac:dyDescent="0.25">
      <c r="L264" s="26"/>
    </row>
    <row r="266" spans="11:12" x14ac:dyDescent="0.25">
      <c r="K266" s="26"/>
    </row>
    <row r="267" spans="11:12" x14ac:dyDescent="0.25">
      <c r="K267" s="26"/>
      <c r="L267" s="26"/>
    </row>
    <row r="268" spans="11:12" x14ac:dyDescent="0.25">
      <c r="K268" s="26"/>
      <c r="L268" s="26"/>
    </row>
    <row r="269" spans="11:12" x14ac:dyDescent="0.25">
      <c r="K269" s="26"/>
      <c r="L269" s="26"/>
    </row>
    <row r="270" spans="11:12" x14ac:dyDescent="0.25">
      <c r="K270" s="26"/>
    </row>
    <row r="272" spans="11:12" x14ac:dyDescent="0.25">
      <c r="K272" s="26"/>
      <c r="L272" s="26"/>
    </row>
    <row r="273" spans="11:12" x14ac:dyDescent="0.25">
      <c r="L273" s="26"/>
    </row>
    <row r="274" spans="11:12" x14ac:dyDescent="0.25">
      <c r="K274" s="26"/>
      <c r="L274" s="26"/>
    </row>
    <row r="275" spans="11:12" x14ac:dyDescent="0.25">
      <c r="K275" s="26"/>
    </row>
    <row r="276" spans="11:12" x14ac:dyDescent="0.25">
      <c r="K276" s="26"/>
    </row>
    <row r="277" spans="11:12" x14ac:dyDescent="0.25">
      <c r="K277" s="26"/>
    </row>
    <row r="279" spans="11:12" x14ac:dyDescent="0.25">
      <c r="K279" s="26"/>
    </row>
    <row r="285" spans="11:12" x14ac:dyDescent="0.25">
      <c r="K285" s="26"/>
    </row>
    <row r="290" spans="11:11" x14ac:dyDescent="0.25">
      <c r="K290" s="26"/>
    </row>
    <row r="295" spans="11:11" x14ac:dyDescent="0.25">
      <c r="K295" s="26"/>
    </row>
    <row r="300" spans="11:11" x14ac:dyDescent="0.25">
      <c r="K300" s="26"/>
    </row>
    <row r="301" spans="11:11" x14ac:dyDescent="0.25">
      <c r="K301" s="26"/>
    </row>
    <row r="302" spans="11:11" x14ac:dyDescent="0.25">
      <c r="K302" s="26"/>
    </row>
    <row r="303" spans="11:11" x14ac:dyDescent="0.25">
      <c r="K303" s="26"/>
    </row>
    <row r="304" spans="11:11" x14ac:dyDescent="0.25">
      <c r="K304" s="26"/>
    </row>
    <row r="306" spans="11:11" x14ac:dyDescent="0.25">
      <c r="K306" s="26"/>
    </row>
    <row r="308" spans="11:11" x14ac:dyDescent="0.25">
      <c r="K308" s="26"/>
    </row>
    <row r="309" spans="11:11" x14ac:dyDescent="0.25">
      <c r="K309" s="26"/>
    </row>
    <row r="310" spans="11:11" x14ac:dyDescent="0.25">
      <c r="K310" s="26"/>
    </row>
    <row r="311" spans="11:11" x14ac:dyDescent="0.25">
      <c r="K311" s="26"/>
    </row>
    <row r="313" spans="11:11" x14ac:dyDescent="0.25">
      <c r="K313" s="26"/>
    </row>
    <row r="321" spans="11:11" x14ac:dyDescent="0.25">
      <c r="K321" s="26"/>
    </row>
    <row r="322" spans="11:11" x14ac:dyDescent="0.25">
      <c r="K322" s="26"/>
    </row>
    <row r="323" spans="11:11" x14ac:dyDescent="0.25">
      <c r="K323" s="26"/>
    </row>
    <row r="326" spans="11:11" x14ac:dyDescent="0.25">
      <c r="K326" s="26"/>
    </row>
    <row r="327" spans="11:11" x14ac:dyDescent="0.25">
      <c r="K327" s="26"/>
    </row>
    <row r="328" spans="11:11" x14ac:dyDescent="0.25">
      <c r="K328" s="26"/>
    </row>
    <row r="331" spans="11:11" x14ac:dyDescent="0.25">
      <c r="K331" s="26"/>
    </row>
    <row r="332" spans="11:11" x14ac:dyDescent="0.25">
      <c r="K332" s="26"/>
    </row>
    <row r="333" spans="11:11" x14ac:dyDescent="0.25">
      <c r="K333" s="26"/>
    </row>
    <row r="336" spans="11:11" x14ac:dyDescent="0.25">
      <c r="K336" s="26"/>
    </row>
    <row r="337" spans="11:11" x14ac:dyDescent="0.25">
      <c r="K337" s="26"/>
    </row>
    <row r="338" spans="11:11" x14ac:dyDescent="0.25">
      <c r="K338" s="26"/>
    </row>
    <row r="345" spans="11:11" x14ac:dyDescent="0.25">
      <c r="K345" s="26"/>
    </row>
    <row r="346" spans="11:11" x14ac:dyDescent="0.25">
      <c r="K346" s="26"/>
    </row>
    <row r="347" spans="11:11" x14ac:dyDescent="0.25">
      <c r="K347" s="26"/>
    </row>
    <row r="350" spans="11:11" x14ac:dyDescent="0.25">
      <c r="K350" s="26"/>
    </row>
    <row r="351" spans="11:11" x14ac:dyDescent="0.25">
      <c r="K351" s="26"/>
    </row>
    <row r="352" spans="11:11" x14ac:dyDescent="0.25">
      <c r="K352" s="26"/>
    </row>
    <row r="355" spans="4:11" x14ac:dyDescent="0.25">
      <c r="K355" s="26"/>
    </row>
    <row r="356" spans="4:11" x14ac:dyDescent="0.25">
      <c r="K356" s="26"/>
    </row>
    <row r="357" spans="4:11" x14ac:dyDescent="0.25">
      <c r="K357" s="26"/>
    </row>
    <row r="360" spans="4:11" x14ac:dyDescent="0.25">
      <c r="K360" s="26"/>
    </row>
    <row r="361" spans="4:11" x14ac:dyDescent="0.25">
      <c r="K361" s="26"/>
    </row>
    <row r="362" spans="4:11" x14ac:dyDescent="0.25">
      <c r="K362" s="26"/>
    </row>
    <row r="366" spans="4:11" x14ac:dyDescent="0.25">
      <c r="D366" s="125"/>
    </row>
  </sheetData>
  <conditionalFormatting sqref="F46 I63:I66 L186 K188 L190:L191 K192:K193 L194:L195 K196:K197 L200:L201 K202:K203 L204:L205 K206:K207 L211:L216 K213">
    <cfRule type="cellIs" dxfId="77" priority="18" operator="lessThan">
      <formula>0</formula>
    </cfRule>
  </conditionalFormatting>
  <conditionalFormatting sqref="F155:F156">
    <cfRule type="cellIs" dxfId="76" priority="14" operator="lessThan">
      <formula>0</formula>
    </cfRule>
  </conditionalFormatting>
  <conditionalFormatting sqref="F167:F168">
    <cfRule type="cellIs" dxfId="75" priority="13" operator="lessThan">
      <formula>0</formula>
    </cfRule>
  </conditionalFormatting>
  <conditionalFormatting sqref="F255:F256">
    <cfRule type="cellIs" dxfId="74" priority="26" operator="lessThan">
      <formula>0</formula>
    </cfRule>
  </conditionalFormatting>
  <conditionalFormatting sqref="F260:F261">
    <cfRule type="cellIs" dxfId="73" priority="25" operator="lessThan">
      <formula>0</formula>
    </cfRule>
  </conditionalFormatting>
  <conditionalFormatting sqref="F265:F266">
    <cfRule type="cellIs" dxfId="72" priority="24" operator="lessThan">
      <formula>0</formula>
    </cfRule>
  </conditionalFormatting>
  <conditionalFormatting sqref="F289:F290">
    <cfRule type="cellIs" dxfId="71" priority="23" operator="lessThan">
      <formula>0</formula>
    </cfRule>
  </conditionalFormatting>
  <conditionalFormatting sqref="F294:F295">
    <cfRule type="cellIs" dxfId="70" priority="22" operator="lessThan">
      <formula>0</formula>
    </cfRule>
  </conditionalFormatting>
  <conditionalFormatting sqref="F299:F300">
    <cfRule type="cellIs" dxfId="69" priority="21" operator="lessThan">
      <formula>0</formula>
    </cfRule>
  </conditionalFormatting>
  <conditionalFormatting sqref="H41 F131:F132">
    <cfRule type="cellIs" dxfId="68" priority="16"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67" priority="20" operator="lessThan">
      <formula>0</formula>
    </cfRule>
  </conditionalFormatting>
  <conditionalFormatting sqref="I30:I35 F143:F144">
    <cfRule type="cellIs" dxfId="66" priority="15" operator="lessThan">
      <formula>0</formula>
    </cfRule>
  </conditionalFormatting>
  <conditionalFormatting sqref="I70 M107 I129:J129">
    <cfRule type="cellIs" dxfId="65" priority="19" operator="lessThan">
      <formula>0</formula>
    </cfRule>
  </conditionalFormatting>
  <conditionalFormatting sqref="I81:I83">
    <cfRule type="cellIs" dxfId="64" priority="3" operator="lessThan">
      <formula>0</formula>
    </cfRule>
  </conditionalFormatting>
  <conditionalFormatting sqref="I87:I90">
    <cfRule type="cellIs" dxfId="63" priority="2" operator="lessThan">
      <formula>0</formula>
    </cfRule>
  </conditionalFormatting>
  <conditionalFormatting sqref="I94:I98">
    <cfRule type="cellIs" dxfId="62" priority="1" operator="lessThan">
      <formula>0</formula>
    </cfRule>
  </conditionalFormatting>
  <conditionalFormatting sqref="J157">
    <cfRule type="cellIs" dxfId="61" priority="17" operator="lessThan">
      <formula>0</formula>
    </cfRule>
  </conditionalFormatting>
  <conditionalFormatting sqref="L119:L122">
    <cfRule type="cellIs" dxfId="60" priority="7" operator="lessThan">
      <formula>0</formula>
    </cfRule>
  </conditionalFormatting>
  <conditionalFormatting sqref="L125">
    <cfRule type="cellIs" dxfId="59" priority="12" operator="lessThan">
      <formula>0</formula>
    </cfRule>
  </conditionalFormatting>
  <conditionalFormatting sqref="L131:L134">
    <cfRule type="cellIs" dxfId="58" priority="6" operator="lessThan">
      <formula>0</formula>
    </cfRule>
  </conditionalFormatting>
  <conditionalFormatting sqref="L137">
    <cfRule type="cellIs" dxfId="57" priority="11" operator="lessThan">
      <formula>0</formula>
    </cfRule>
  </conditionalFormatting>
  <conditionalFormatting sqref="L143:L146">
    <cfRule type="cellIs" dxfId="56" priority="5" operator="lessThan">
      <formula>0</formula>
    </cfRule>
  </conditionalFormatting>
  <conditionalFormatting sqref="L149">
    <cfRule type="cellIs" dxfId="55" priority="10" operator="lessThan">
      <formula>0</formula>
    </cfRule>
  </conditionalFormatting>
  <conditionalFormatting sqref="L155:L158">
    <cfRule type="cellIs" dxfId="54" priority="4" operator="lessThan">
      <formula>0</formula>
    </cfRule>
  </conditionalFormatting>
  <conditionalFormatting sqref="L161">
    <cfRule type="cellIs" dxfId="53" priority="9" operator="lessThan">
      <formula>0</formula>
    </cfRule>
  </conditionalFormatting>
  <conditionalFormatting sqref="L165:L166">
    <cfRule type="cellIs" dxfId="52" priority="8" operator="lessThan">
      <formula>0</formula>
    </cfRule>
  </conditionalFormatting>
  <conditionalFormatting sqref="L218 L220:L223 L225 J233:J235 J238:J240">
    <cfRule type="cellIs" dxfId="51" priority="27" operator="lessThan">
      <formula>0</formula>
    </cfRule>
  </conditionalFormatting>
  <dataValidations count="9">
    <dataValidation type="list" allowBlank="1" showInputMessage="1" showErrorMessage="1" sqref="Q20:R22" xr:uid="{5B4654B5-0C00-4369-BF01-A3F668213002}">
      <formula1>INDIRECT("Table_SourceData_Fertiliser_UreaAmmoniaSources[Source]")</formula1>
    </dataValidation>
    <dataValidation type="list" allowBlank="1" showInputMessage="1" showErrorMessage="1" sqref="D12:D16" xr:uid="{EAC92A43-0EA8-442C-BA26-CAC7EC8A388B}">
      <formula1>INDIRECT("FertiliserProducts[Product Name]")</formula1>
    </dataValidation>
    <dataValidation type="list" allowBlank="1" showInputMessage="1" showErrorMessage="1" sqref="D42:D44" xr:uid="{58F356C2-76F8-4551-8B01-542D83395F6F}">
      <formula1>INDIRECT("Table_SourceData_OrganicFertiliserTypes[Organic fertiliser type]")</formula1>
    </dataValidation>
    <dataValidation type="list" allowBlank="1" showInputMessage="1" showErrorMessage="1" sqref="H20:H22 J20:J22 L20:L22 N20:N22" xr:uid="{91EA4D1E-DFCD-4046-815A-59B1950AC01E}">
      <formula1>INDIRECT("Table_Fertiliser_ChemicalCompounds[Fertiliser type f]")</formula1>
    </dataValidation>
    <dataValidation type="list" allowBlank="1" showInputMessage="1" showErrorMessage="1" sqref="E69" xr:uid="{90DE1966-BC81-4FC1-8973-180ADC342E16}">
      <formula1>INDIRECT("Table_SourceData_Swine_CropProdSystems[Production system]")</formula1>
    </dataValidation>
    <dataValidation type="list" allowBlank="1" showInputMessage="1" showErrorMessage="1" sqref="E70" xr:uid="{3BAB0C7F-F169-4C9E-9492-C92FDBF912C3}">
      <formula1>INDIRECT("Table_SourceData_Swine_IrrigationMethods[Irrigation method]")</formula1>
    </dataValidation>
    <dataValidation type="list" allowBlank="1" showInputMessage="1" showErrorMessage="1" sqref="E254 E259 E264 E298 E293 E288 E166 E154 E130 E142" xr:uid="{EF0C498A-2D77-4F9E-AF4C-D2ECF7069008}">
      <formula1>"Yes, No"</formula1>
    </dataValidation>
    <dataValidation type="list" allowBlank="1" showInputMessage="1" showErrorMessage="1" sqref="E230" xr:uid="{70EF5F4F-62F4-450E-B881-2B64D9AD651F}">
      <formula1>INDIRECT("Table_SourceData_Dairy_ProductionSystemTemplates[Area]")</formula1>
    </dataValidation>
    <dataValidation type="list" allowBlank="1" showInputMessage="1" showErrorMessage="1" sqref="D282" xr:uid="{B11ED09F-1ADB-4328-A359-B75A31CB2E8B}">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2233-29E1-4787-954F-8C2E79E4ABBE}">
  <dimension ref="A1:K346"/>
  <sheetViews>
    <sheetView showGridLines="0" topLeftCell="A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6" customFormat="1" ht="30" customHeight="1" x14ac:dyDescent="0.35">
      <c r="A1" s="16" t="e" vm="1">
        <v>#VALUE!</v>
      </c>
      <c r="C1" s="16" t="s">
        <v>440</v>
      </c>
    </row>
    <row r="2" spans="1:11" s="3" customFormat="1" ht="20.100000000000001" customHeight="1" x14ac:dyDescent="0.25">
      <c r="A2"/>
    </row>
    <row r="3" spans="1:11" ht="20.100000000000001" customHeight="1" x14ac:dyDescent="0.25">
      <c r="A3" s="5" t="str">
        <f>HYPERLINK("#'Home'!A1", "Home")</f>
        <v>Home</v>
      </c>
      <c r="C3" s="39"/>
      <c r="D3" s="39"/>
      <c r="E3" s="39"/>
      <c r="F3" s="39"/>
      <c r="G3" s="39"/>
      <c r="H3" s="39"/>
      <c r="I3" s="39"/>
      <c r="J3" s="39"/>
      <c r="K3" s="39"/>
    </row>
    <row r="4" spans="1:11" ht="20.100000000000001" customHeight="1" x14ac:dyDescent="0.25">
      <c r="A4" s="5" t="str">
        <f>HYPERLINK("#'Overview'!A1", "Overview")</f>
        <v>Overview</v>
      </c>
    </row>
    <row r="5" spans="1:11" ht="20.100000000000001" customHeight="1" x14ac:dyDescent="0.25">
      <c r="A5" s="5" t="str">
        <f>HYPERLINK("#'Results'!A1", "Results")</f>
        <v>Results</v>
      </c>
      <c r="D5" s="2" t="s">
        <v>441</v>
      </c>
      <c r="E5" s="35"/>
      <c r="F5" s="35"/>
      <c r="G5" s="35"/>
      <c r="H5" s="35"/>
    </row>
    <row r="6" spans="1:11" ht="20.100000000000001" customHeight="1" x14ac:dyDescent="0.25">
      <c r="D6" s="8"/>
      <c r="E6" s="8"/>
      <c r="F6" s="8"/>
      <c r="G6" s="8"/>
      <c r="H6" s="8"/>
      <c r="I6" s="8"/>
      <c r="J6" s="8"/>
    </row>
    <row r="7" spans="1:11" ht="20.100000000000001" customHeight="1" x14ac:dyDescent="0.25">
      <c r="D7" s="1" t="s">
        <v>442</v>
      </c>
    </row>
    <row r="8" spans="1:11" ht="20.100000000000001" customHeight="1" x14ac:dyDescent="0.25">
      <c r="A8" s="7" t="s">
        <v>0</v>
      </c>
      <c r="D8" s="1" t="s">
        <v>443</v>
      </c>
    </row>
    <row r="9" spans="1:11" ht="20.100000000000001" customHeight="1" x14ac:dyDescent="0.25">
      <c r="A9" s="5" t="str">
        <f>HYPERLINK("#'Input - Enterprise'!A1", "Enterprise")</f>
        <v>Enterprise</v>
      </c>
      <c r="D9" s="1" t="s">
        <v>444</v>
      </c>
    </row>
    <row r="10" spans="1:11" ht="20.100000000000001" customHeight="1" x14ac:dyDescent="0.25">
      <c r="A10" s="5" t="str">
        <f>HYPERLINK("#'Input - Site'!A1", "Site")</f>
        <v>Site</v>
      </c>
    </row>
    <row r="11" spans="1:11" ht="20.100000000000001" customHeight="1" x14ac:dyDescent="0.25">
      <c r="A11" s="5" t="str">
        <f>HYPERLINK("#'Input - Crop'!A1", "Crop")</f>
        <v>Crop</v>
      </c>
      <c r="D11" s="1" t="s">
        <v>445</v>
      </c>
      <c r="E11" s="23" t="s">
        <v>446</v>
      </c>
      <c r="F11" s="26" t="s">
        <v>100</v>
      </c>
    </row>
    <row r="12" spans="1:11" ht="20.100000000000001" customHeight="1" x14ac:dyDescent="0.25">
      <c r="A12" s="5" t="str">
        <f>HYPERLINK("#'Input - Fert Prod System'!A1", "Fert Prod System")</f>
        <v>Fert Prod System</v>
      </c>
    </row>
    <row r="13" spans="1:11" ht="20.100000000000001" customHeight="1" x14ac:dyDescent="0.25">
      <c r="A13" s="5" t="str">
        <f>HYPERLINK("#'Input - Fertiliser'!A1", "Fertiliser")</f>
        <v>Fertiliser</v>
      </c>
      <c r="D13" s="94" t="s">
        <v>412</v>
      </c>
      <c r="E13" s="54"/>
      <c r="F13" s="54"/>
      <c r="G13" s="54"/>
      <c r="H13" s="55"/>
    </row>
    <row r="14" spans="1:11" ht="20.100000000000001" customHeight="1" x14ac:dyDescent="0.25">
      <c r="A14" s="99" t="str">
        <f>HYPERLINK("#'Input - Fuel'!A1", "Fuel")</f>
        <v>Fuel</v>
      </c>
      <c r="D14" s="56" t="s">
        <v>447</v>
      </c>
      <c r="E14" s="57"/>
      <c r="F14" s="57"/>
      <c r="G14" s="57"/>
      <c r="H14" s="58"/>
    </row>
    <row r="15" spans="1:11" ht="20.100000000000001" customHeight="1" x14ac:dyDescent="0.25">
      <c r="A15" s="5" t="str">
        <f>HYPERLINK("#'Input - Electricity'!A1", "Electricity")</f>
        <v>Electricity</v>
      </c>
      <c r="D15" s="8"/>
      <c r="E15" s="8"/>
      <c r="F15" s="8"/>
      <c r="G15" s="8"/>
      <c r="H15" s="8"/>
      <c r="I15" s="8"/>
      <c r="J15" s="8"/>
    </row>
    <row r="16" spans="1:11" ht="20.100000000000001" customHeight="1" x14ac:dyDescent="0.25">
      <c r="A16" s="5" t="str">
        <f>HYPERLINK("#'Input - Farm Inputs'!A1", "Farm Inputs")</f>
        <v>Farm Inputs</v>
      </c>
      <c r="D16" s="92" t="s">
        <v>448</v>
      </c>
      <c r="E16" s="92" t="s">
        <v>449</v>
      </c>
      <c r="F16" s="92" t="s">
        <v>450</v>
      </c>
      <c r="G16" s="92" t="s">
        <v>451</v>
      </c>
      <c r="H16" s="92" t="s">
        <v>452</v>
      </c>
      <c r="I16" s="92" t="s">
        <v>453</v>
      </c>
      <c r="J16" s="92" t="s">
        <v>454</v>
      </c>
    </row>
    <row r="17" spans="1:10" ht="20.100000000000001" customHeight="1" x14ac:dyDescent="0.25">
      <c r="A17" s="5" t="str">
        <f>HYPERLINK("#'Input - Freight'!A1", "Freight")</f>
        <v>Freight</v>
      </c>
      <c r="D17" s="23" t="s">
        <v>455</v>
      </c>
      <c r="E17" s="23" t="s">
        <v>456</v>
      </c>
      <c r="F17" s="182">
        <v>100</v>
      </c>
      <c r="G17" s="25" t="str" cm="1">
        <f t="array" ref="G17">Common_InputFunctions.Utility_LookupValueInTable(Table_Input_Fuel[[#This Row],[Fuel type (select)]],Table_FuelTypes_Units[Fuel type], Table_FuelTypes_Units[Input Unit])</f>
        <v>GJ</v>
      </c>
      <c r="H17" s="183">
        <f>1</f>
        <v>1</v>
      </c>
      <c r="I17" s="25">
        <f>Table_Input_Fuel[[#This Row],[Amount purchased]]*Table_Input_Fuel[[#This Row],[Percent consumed]]*IF(Table_Input_Fuel[[#This Row],[Amount unit]]="L", 10^-3, 1)</f>
        <v>100</v>
      </c>
      <c r="J17" s="25" t="str" cm="1">
        <f t="array" ref="J17">Common_InputFunctions.Utility_LookupValueInTable(Table_Input_Fuel[[#This Row],[Fuel type (select)]],Table_FuelTypes_Units[Fuel type], Table_FuelTypes_Units[Unit])</f>
        <v>GJ</v>
      </c>
    </row>
    <row r="18" spans="1:10" ht="20.100000000000001" customHeight="1" x14ac:dyDescent="0.25">
      <c r="A18" s="5" t="str">
        <f>HYPERLINK("#'Input - Manure sent off-site'!A1", "Manure sent off-site")</f>
        <v>Manure sent off-site</v>
      </c>
      <c r="D18" s="23" t="s">
        <v>455</v>
      </c>
      <c r="E18" s="23" t="s">
        <v>457</v>
      </c>
      <c r="F18" s="182">
        <v>10000</v>
      </c>
      <c r="G18" s="25" t="str" cm="1">
        <f t="array" ref="G18">Common_InputFunctions.Utility_LookupValueInTable(Table_Input_Fuel[[#This Row],[Fuel type (select)]],Table_FuelTypes_Units[Fuel type], Table_FuelTypes_Units[Input Unit])</f>
        <v>L</v>
      </c>
      <c r="H18" s="184">
        <f>1</f>
        <v>1</v>
      </c>
      <c r="I18" s="25">
        <f>Table_Input_Fuel[[#This Row],[Amount purchased]]*Table_Input_Fuel[[#This Row],[Percent consumed]]*IF(Table_Input_Fuel[[#This Row],[Amount unit]]="L", 10^-3, 1)</f>
        <v>10</v>
      </c>
      <c r="J18" s="25" t="str" cm="1">
        <f t="array" ref="J18">Common_InputFunctions.Utility_LookupValueInTable(Table_Input_Fuel[[#This Row],[Fuel type (select)]],Table_FuelTypes_Units[Fuel type], Table_FuelTypes_Units[Unit])</f>
        <v>kL</v>
      </c>
    </row>
    <row r="19" spans="1:10" ht="20.100000000000001" customHeight="1" x14ac:dyDescent="0.25">
      <c r="A19" s="5" t="str">
        <f>HYPERLINK("#'Input - Solid waste'!A1", "Solid waste")</f>
        <v>Solid waste</v>
      </c>
      <c r="D19" s="23" t="s">
        <v>458</v>
      </c>
      <c r="E19" s="23" t="s">
        <v>459</v>
      </c>
      <c r="F19" s="182">
        <v>10000</v>
      </c>
      <c r="G19" s="25" t="str" cm="1">
        <f t="array" ref="G19">Common_InputFunctions.Utility_LookupValueInTable(Table_Input_Fuel[[#This Row],[Fuel type (select)]],Table_FuelTypes_Units[Fuel type], Table_FuelTypes_Units[Input Unit])</f>
        <v>L</v>
      </c>
      <c r="H19" s="184">
        <f>1</f>
        <v>1</v>
      </c>
      <c r="I19" s="25">
        <f>Table_Input_Fuel[[#This Row],[Amount purchased]]*Table_Input_Fuel[[#This Row],[Percent consumed]]*IF(Table_Input_Fuel[[#This Row],[Amount unit]]="L", 10^-3, 1)</f>
        <v>10</v>
      </c>
      <c r="J19" s="25" t="str" cm="1">
        <f t="array" ref="J19">Common_InputFunctions.Utility_LookupValueInTable(Table_Input_Fuel[[#This Row],[Fuel type (select)]],Table_FuelTypes_Units[Fuel type], Table_FuelTypes_Units[Unit])</f>
        <v>kL</v>
      </c>
    </row>
    <row r="20" spans="1:10" ht="20.100000000000001" customHeight="1" x14ac:dyDescent="0.25">
      <c r="A20" s="5" t="str">
        <f>HYPERLINK("#'Input - Data quality'!A1", "Data quality")</f>
        <v>Data quality</v>
      </c>
      <c r="D20" s="23" t="s">
        <v>460</v>
      </c>
      <c r="E20" s="23" t="s">
        <v>459</v>
      </c>
      <c r="F20" s="182">
        <v>10000</v>
      </c>
      <c r="G20" s="25" t="str" cm="1">
        <f t="array" ref="G20">Common_InputFunctions.Utility_LookupValueInTable(Table_Input_Fuel[[#This Row],[Fuel type (select)]],Table_FuelTypes_Units[Fuel type], Table_FuelTypes_Units[Input Unit])</f>
        <v>L</v>
      </c>
      <c r="H20" s="184">
        <f>1</f>
        <v>1</v>
      </c>
      <c r="I20" s="25">
        <f>Table_Input_Fuel[[#This Row],[Amount purchased]]*Table_Input_Fuel[[#This Row],[Percent consumed]]*IF(Table_Input_Fuel[[#This Row],[Amount unit]]="L", 10^-3, 1)</f>
        <v>10</v>
      </c>
      <c r="J20" s="25" t="str" cm="1">
        <f t="array" ref="J20">Common_InputFunctions.Utility_LookupValueInTable(Table_Input_Fuel[[#This Row],[Fuel type (select)]],Table_FuelTypes_Units[Fuel type], Table_FuelTypes_Units[Unit])</f>
        <v>kL</v>
      </c>
    </row>
    <row r="21" spans="1:10" ht="20.100000000000001" customHeight="1" x14ac:dyDescent="0.25">
      <c r="D21" s="185" t="s">
        <v>461</v>
      </c>
      <c r="E21" s="185" t="s">
        <v>462</v>
      </c>
      <c r="F21" s="182">
        <v>10000</v>
      </c>
      <c r="G21" s="186" t="str" cm="1">
        <f t="array" ref="G21">Common_InputFunctions.Utility_LookupValueInTable(Table_Input_Fuel[[#This Row],[Fuel type (select)]],Table_FuelTypes_Units[Fuel type], Table_FuelTypes_Units[Input Unit])</f>
        <v>L</v>
      </c>
      <c r="H21" s="187">
        <f>1</f>
        <v>1</v>
      </c>
      <c r="I21" s="186">
        <f>Table_Input_Fuel[[#This Row],[Amount purchased]]*Table_Input_Fuel[[#This Row],[Percent consumed]]*IF(Table_Input_Fuel[[#This Row],[Amount unit]]="L", 10^-3, 1)</f>
        <v>10</v>
      </c>
      <c r="J21" s="25" t="str" cm="1">
        <f t="array" ref="J21">Common_InputFunctions.Utility_LookupValueInTable(Table_Input_Fuel[[#This Row],[Fuel type (select)]],Table_FuelTypes_Units[Fuel type], Table_FuelTypes_Units[Unit])</f>
        <v>kL</v>
      </c>
    </row>
    <row r="22" spans="1:10" ht="20.100000000000001" customHeight="1" x14ac:dyDescent="0.25"/>
    <row r="23" spans="1:10" ht="20.100000000000001" customHeight="1" x14ac:dyDescent="0.25">
      <c r="A23" s="6" t="s">
        <v>2</v>
      </c>
    </row>
    <row r="24" spans="1:10" ht="20.100000000000001" customHeight="1" x14ac:dyDescent="0.25">
      <c r="A24" s="5" t="str">
        <f>HYPERLINK("#'5.1.1.1-2 Inorganic fert N2O'!A1", "5.1.1.1-2 Inorganic fert N2O")</f>
        <v>5.1.1.1-2 Inorganic fert N2O</v>
      </c>
    </row>
    <row r="25" spans="1:10" ht="20.100000000000001" customHeight="1" x14ac:dyDescent="0.25">
      <c r="A25" s="5" t="str">
        <f>HYPERLINK("#'5.1.1.3-4 Inorganic fert CO2'!A1", "5.1.1.3-4 Inorganic fert CO2")</f>
        <v>5.1.1.3-4 Inorganic fert CO2</v>
      </c>
    </row>
    <row r="26" spans="1:10" ht="20.100000000000001" customHeight="1" x14ac:dyDescent="0.25">
      <c r="A26" s="5" t="str">
        <f>HYPERLINK("#'5.2.1.1-2 Organic Fert N2O'!A1", "5.2.1.1-2 Organic fert N2O")</f>
        <v>5.2.1.1-2 Organic fert N2O</v>
      </c>
    </row>
    <row r="27" spans="1:10" ht="20.100000000000001" customHeight="1" x14ac:dyDescent="0.25">
      <c r="A27" s="5" t="str">
        <f>HYPERLINK("#'5.3.1.1-2 Lime CO2'!A1", "5.3.1.1-2 Lime CO2")</f>
        <v>5.3.1.1-2 Lime CO2</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HYPERLINK("#'6.1.1.1-2 Crop residue N2O'!A1", "6.1.1.1-2 Crop residue N2O")</f>
        <v>6.1.1.1-2 Crop residue N2O</v>
      </c>
    </row>
    <row r="31" spans="1:10" ht="20.100000000000001" customHeight="1" x14ac:dyDescent="0.25">
      <c r="A31" s="5" t="str">
        <f>HYPERLINK("#'6.3.1.1-2 Leach runoff crop'!A1", "6.3.1.1-2 Leach &amp; runoff (crop)")</f>
        <v>6.3.1.1-2 Leach &amp; runoff (crop)</v>
      </c>
    </row>
    <row r="32" spans="1:10" ht="20.100000000000001" customHeight="1" x14ac:dyDescent="0.25">
      <c r="A32" s="5" t="str">
        <f>HYPERLINK("#'6.4.1.1-2 Residue burning'!A1", "6.4.1.1-2 Residue burning")</f>
        <v>6.4.1.1-2 Residue burning</v>
      </c>
    </row>
    <row r="33" spans="1:11" ht="20.100000000000001" customHeight="1" x14ac:dyDescent="0.25">
      <c r="A33" s="5" t="str">
        <f>HYPERLINK("#'8.1.1.1-2 Transport fuel'!A1", "8.1.1.1-2 Transport fuel")</f>
        <v>8.1.1.1-2 Transport fuel</v>
      </c>
    </row>
    <row r="34" spans="1:11" ht="20.100000000000001" customHeight="1" x14ac:dyDescent="0.25">
      <c r="A34" s="5" t="str">
        <f>HYPERLINK("#'8.2.1.1-2 Stationary fuel'!A1", "8.2.1.1-2 Stationary fuel")</f>
        <v>8.2.1.1-2 Stationary fuel</v>
      </c>
    </row>
    <row r="35" spans="1:11" ht="20.100000000000001" customHeight="1" x14ac:dyDescent="0.25">
      <c r="A35" s="5" t="str">
        <f>HYPERLINK("#'14.1.1-2 Purchased electricity'!A1", "14.1.1-2 Purchased electricity")</f>
        <v>14.1.1-2 Purchased electricity</v>
      </c>
    </row>
    <row r="36" spans="1:11" ht="20.100000000000001" customHeight="1" x14ac:dyDescent="0.25">
      <c r="A36" s="5" t="str">
        <f>HYPERLINK("#'15 Scope 3'!A1", "15 Scope 3")</f>
        <v>15 Scope 3</v>
      </c>
    </row>
    <row r="37" spans="1:11" ht="20.100000000000001" customHeight="1" x14ac:dyDescent="0.25">
      <c r="A37" s="5" t="str">
        <f>HYPERLINK("#'Calcs - Manure sent off-site'!A1", "Calcs - Manure sent off-site")</f>
        <v>Calcs - Manure sent off-site</v>
      </c>
    </row>
    <row r="38" spans="1:11" ht="20.100000000000001" customHeight="1" x14ac:dyDescent="0.25">
      <c r="A38" s="5" t="str">
        <f>HYPERLINK("#'10.1.1-2 Solid waste treatment'!A1", "10.1.1-2 Solid waste treatment")</f>
        <v>10.1.1-2 Solid waste treatment</v>
      </c>
      <c r="C38" s="114"/>
      <c r="K38" s="114"/>
    </row>
    <row r="39" spans="1:11" ht="20.100000000000001" customHeight="1" x14ac:dyDescent="0.25">
      <c r="C39" s="114"/>
      <c r="K39" s="114"/>
    </row>
    <row r="40" spans="1:11" s="131" customFormat="1" ht="20.100000000000001" customHeight="1" x14ac:dyDescent="0.25">
      <c r="A40"/>
      <c r="C40" s="1"/>
      <c r="D40" s="1"/>
      <c r="E40" s="1"/>
      <c r="F40" s="1"/>
      <c r="G40" s="1"/>
      <c r="H40" s="1"/>
      <c r="I40" s="1"/>
      <c r="J40" s="1"/>
      <c r="K40" s="1"/>
    </row>
    <row r="41" spans="1:11" s="131" customFormat="1" ht="20.100000000000001" customHeight="1" x14ac:dyDescent="0.25">
      <c r="A41" s="121" t="s">
        <v>1</v>
      </c>
      <c r="C41" s="1"/>
      <c r="D41" s="1"/>
      <c r="E41" s="1"/>
      <c r="F41" s="1"/>
      <c r="G41" s="1"/>
      <c r="H41" s="1"/>
      <c r="I41" s="1"/>
      <c r="J41" s="1"/>
      <c r="K41" s="1"/>
    </row>
    <row r="42" spans="1:11" ht="20.100000000000001" customHeight="1" x14ac:dyDescent="0.25">
      <c r="A42" s="5" t="str">
        <f>HYPERLINK("#'Constants - Ag Residue'!A1", "Constants - Ag residue")</f>
        <v>Constants - Ag residue</v>
      </c>
    </row>
    <row r="43" spans="1:11" ht="20.100000000000001" customHeight="1" x14ac:dyDescent="0.25">
      <c r="A43" s="5" t="str">
        <f>HYPERLINK("#'Constants - Common Livestock'!A1", "Constants - Common Livestock")</f>
        <v>Constants - Common Livestock</v>
      </c>
    </row>
    <row r="44" spans="1:11" ht="20.100000000000001" customHeight="1" x14ac:dyDescent="0.25">
      <c r="A44" s="5" t="str">
        <f>HYPERLINK("#'Constants - Electricity'!A1", "Constants - Electricity")</f>
        <v>Constants - Electricity</v>
      </c>
    </row>
    <row r="45" spans="1:11" ht="20.100000000000001" customHeight="1" x14ac:dyDescent="0.25">
      <c r="A45" s="5" t="str">
        <f>HYPERLINK("#'Constants - Fertiliser'!A1", "Constants - Fertiliser")</f>
        <v>Constants - Fertiliser</v>
      </c>
    </row>
    <row r="46" spans="1:11" ht="20.100000000000001" customHeight="1" x14ac:dyDescent="0.25">
      <c r="A46" s="5" t="str">
        <f>HYPERLINK("#'Constants - Fuel'!A1", "Constants - Fuel")</f>
        <v>Constants - Fuel</v>
      </c>
    </row>
    <row r="47" spans="1:11" ht="20.100000000000001" customHeight="1" x14ac:dyDescent="0.25">
      <c r="A47" s="5" t="str">
        <f>HYPERLINK("#'Constants - Scope 3'!A1", "Constants - Scope 3")</f>
        <v>Constants - Scope 3</v>
      </c>
    </row>
    <row r="48" spans="1:11" ht="20.100000000000001" customHeight="1" x14ac:dyDescent="0.25">
      <c r="A48" s="5" t="str">
        <f>HYPERLINK("#'Constants - Common'!A1", "Constants - Common")</f>
        <v>Constants - Common</v>
      </c>
    </row>
    <row r="49" spans="1:1" ht="20.100000000000001" customHeight="1" x14ac:dyDescent="0.25">
      <c r="A49" s="5" t="str">
        <f>HYPERLINK("#'Constants - Solid Waste'!A1", "Constants - Solid Waste")</f>
        <v>Constants - Solid Waste</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125"/>
    </row>
  </sheetData>
  <conditionalFormatting sqref="F32">
    <cfRule type="cellIs" dxfId="50" priority="9" operator="lessThan">
      <formula>0</formula>
    </cfRule>
  </conditionalFormatting>
  <conditionalFormatting sqref="F111:F112">
    <cfRule type="cellIs" dxfId="49" priority="8" operator="lessThan">
      <formula>0</formula>
    </cfRule>
  </conditionalFormatting>
  <conditionalFormatting sqref="F123:F124">
    <cfRule type="cellIs" dxfId="48" priority="7" operator="lessThan">
      <formula>0</formula>
    </cfRule>
  </conditionalFormatting>
  <conditionalFormatting sqref="F135:F136">
    <cfRule type="cellIs" dxfId="47" priority="6" operator="lessThan">
      <formula>0</formula>
    </cfRule>
  </conditionalFormatting>
  <conditionalFormatting sqref="F147:F148">
    <cfRule type="cellIs" dxfId="46" priority="5" operator="lessThan">
      <formula>0</formula>
    </cfRule>
  </conditionalFormatting>
  <conditionalFormatting sqref="F235:F236">
    <cfRule type="cellIs" dxfId="45" priority="17" operator="lessThan">
      <formula>0</formula>
    </cfRule>
  </conditionalFormatting>
  <conditionalFormatting sqref="F240:F241">
    <cfRule type="cellIs" dxfId="44" priority="16" operator="lessThan">
      <formula>0</formula>
    </cfRule>
  </conditionalFormatting>
  <conditionalFormatting sqref="F245:F246">
    <cfRule type="cellIs" dxfId="43" priority="15" operator="lessThan">
      <formula>0</formula>
    </cfRule>
  </conditionalFormatting>
  <conditionalFormatting sqref="F269:F270">
    <cfRule type="cellIs" dxfId="42" priority="14" operator="lessThan">
      <formula>0</formula>
    </cfRule>
  </conditionalFormatting>
  <conditionalFormatting sqref="F274:F275">
    <cfRule type="cellIs" dxfId="41" priority="13" operator="lessThan">
      <formula>0</formula>
    </cfRule>
  </conditionalFormatting>
  <conditionalFormatting sqref="F279:F280">
    <cfRule type="cellIs" dxfId="40" priority="12" operator="lessThan">
      <formula>0</formula>
    </cfRule>
  </conditionalFormatting>
  <conditionalFormatting sqref="I26:J27 H28:H30 I31:J31 I33:J35 I37:J38 I189:J189 E195:G195 I195:J195">
    <cfRule type="cellIs" dxfId="39" priority="11" operator="lessThan">
      <formula>0</formula>
    </cfRule>
  </conditionalFormatting>
  <conditionalFormatting sqref="I42:J46">
    <cfRule type="cellIs" dxfId="38" priority="4" operator="lessThan">
      <formula>0</formula>
    </cfRule>
  </conditionalFormatting>
  <conditionalFormatting sqref="I50:J50 I109:J109">
    <cfRule type="cellIs" dxfId="37" priority="10" operator="lessThan">
      <formula>0</formula>
    </cfRule>
  </conditionalFormatting>
  <conditionalFormatting sqref="I61:J63">
    <cfRule type="cellIs" dxfId="36" priority="3" operator="lessThan">
      <formula>0</formula>
    </cfRule>
  </conditionalFormatting>
  <conditionalFormatting sqref="I67:J70">
    <cfRule type="cellIs" dxfId="35" priority="2" operator="lessThan">
      <formula>0</formula>
    </cfRule>
  </conditionalFormatting>
  <conditionalFormatting sqref="I74:J78">
    <cfRule type="cellIs" dxfId="34" priority="1" operator="lessThan">
      <formula>0</formula>
    </cfRule>
  </conditionalFormatting>
  <dataValidations count="9">
    <dataValidation type="list" allowBlank="1" showInputMessage="1" showErrorMessage="1" sqref="E17:E21" xr:uid="{1173854E-A605-45E4-8C47-6C8718CED2D5}">
      <formula1>_xlfn.TRIMRANGE(INDIRECT("Table_FuelTypesPerUse["&amp;D17&amp;"]"))</formula1>
    </dataValidation>
    <dataValidation type="list" allowBlank="1" showInputMessage="1" showErrorMessage="1" sqref="D17:D21" xr:uid="{0FD3E054-FB1A-4A26-A983-1A237B3AC451}">
      <formula1>INDIRECT("Table_FuelTypesPerUse[#Headers]")</formula1>
    </dataValidation>
    <dataValidation type="list" allowBlank="1" showInputMessage="1" showErrorMessage="1" sqref="E11" xr:uid="{B12B14A4-0197-46A8-86BB-8A09F562B278}">
      <formula1>"Metro, Non-metro"</formula1>
    </dataValidation>
    <dataValidation type="list" allowBlank="1" showInputMessage="1" showErrorMessage="1" sqref="D29:D30" xr:uid="{681C5D3D-3412-40D5-A3DE-BD8033E0E52C}">
      <formula1>INDIRECT("Table_SourceData_OrganicFertiliserTypes[Organic fertiliser type]")</formula1>
    </dataValidation>
    <dataValidation type="list" allowBlank="1" showInputMessage="1" showErrorMessage="1" sqref="E49" xr:uid="{359E4E70-5456-46A0-BC1B-E24B8F541BFA}">
      <formula1>INDIRECT("Table_SourceData_Swine_CropProdSystems[Production system]")</formula1>
    </dataValidation>
    <dataValidation type="list" allowBlank="1" showInputMessage="1" showErrorMessage="1" sqref="E50" xr:uid="{7084BD27-AF09-40DA-B255-083B4BE27974}">
      <formula1>INDIRECT("Table_SourceData_Swine_IrrigationMethods[Irrigation method]")</formula1>
    </dataValidation>
    <dataValidation type="list" allowBlank="1" showInputMessage="1" showErrorMessage="1" sqref="E234 E239 E244 E278 E273 E268 E146 E134 E110 E122" xr:uid="{FE0686AC-A0FC-46A5-8FF3-DF27C774D7A2}">
      <formula1>"Yes, No"</formula1>
    </dataValidation>
    <dataValidation type="list" allowBlank="1" showInputMessage="1" showErrorMessage="1" sqref="E210" xr:uid="{45F86EBD-BAFD-42F6-8801-232CE45EACAE}">
      <formula1>INDIRECT("Table_SourceData_Dairy_ProductionSystemTemplates[Area]")</formula1>
    </dataValidation>
    <dataValidation type="list" allowBlank="1" showInputMessage="1" showErrorMessage="1" sqref="D262" xr:uid="{00F59D99-1E9F-4A91-9C98-7BF6AB91C1B2}">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EF992-DBEF-4E1D-82D8-01CEB3C162AD}">
  <dimension ref="A1:L365"/>
  <sheetViews>
    <sheetView showGridLines="0" topLeftCell="A24"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393</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HYPERLINK("#'Overview'!A1", "Overview")</f>
        <v>Overview</v>
      </c>
    </row>
    <row r="5" spans="1:10" ht="20.100000000000001" customHeight="1" x14ac:dyDescent="0.25">
      <c r="A5" s="5" t="str">
        <f>HYPERLINK("#'Results'!A1", "Results")</f>
        <v>Results</v>
      </c>
      <c r="D5" s="1" t="s">
        <v>394</v>
      </c>
      <c r="E5" s="23" t="s">
        <v>395</v>
      </c>
      <c r="F5" s="26" t="s">
        <v>100</v>
      </c>
    </row>
    <row r="6" spans="1:10" ht="20.100000000000001" customHeight="1" x14ac:dyDescent="0.25">
      <c r="E6" s="125"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row r="8" spans="1:10" ht="20.100000000000001" customHeight="1" x14ac:dyDescent="0.25">
      <c r="A8" s="7" t="s">
        <v>0</v>
      </c>
      <c r="C8" s="146"/>
      <c r="D8" s="146"/>
      <c r="E8" s="146"/>
      <c r="F8" s="146"/>
      <c r="G8" s="146"/>
      <c r="H8" s="146"/>
      <c r="I8" s="146"/>
      <c r="J8" s="146"/>
    </row>
    <row r="9" spans="1:10" ht="20.100000000000001" customHeight="1" x14ac:dyDescent="0.25">
      <c r="A9" s="5" t="str">
        <f>HYPERLINK("#'Input - Enterprise'!A1", "Enterprise")</f>
        <v>Enterprise</v>
      </c>
      <c r="D9" s="2" t="s">
        <v>396</v>
      </c>
    </row>
    <row r="10" spans="1:10" ht="20.100000000000001" customHeight="1" x14ac:dyDescent="0.25">
      <c r="A10" s="5" t="str">
        <f>HYPERLINK("#'Input - Site'!A1", "Site")</f>
        <v>Site</v>
      </c>
    </row>
    <row r="11" spans="1:10" ht="20.100000000000001" customHeight="1" x14ac:dyDescent="0.25">
      <c r="A11" s="5" t="str">
        <f>HYPERLINK("#'Input - Crop'!A1", "Crop")</f>
        <v>Crop</v>
      </c>
      <c r="D11" s="91" t="s">
        <v>397</v>
      </c>
    </row>
    <row r="12" spans="1:10" ht="20.100000000000001" customHeight="1" x14ac:dyDescent="0.25">
      <c r="A12" s="5" t="str">
        <f>HYPERLINK("#'Input - Fert Prod System'!A1", "Fert Prod System")</f>
        <v>Fert Prod System</v>
      </c>
    </row>
    <row r="13" spans="1:10" ht="20.100000000000001" customHeight="1" x14ac:dyDescent="0.25">
      <c r="A13" s="5" t="str">
        <f>HYPERLINK("#'Input - Fertiliser'!A1", "Fertiliser")</f>
        <v>Fertiliser</v>
      </c>
      <c r="D13" s="46" t="s">
        <v>398</v>
      </c>
      <c r="E13" s="49"/>
      <c r="F13" s="8"/>
    </row>
    <row r="14" spans="1:10" ht="20.100000000000001" customHeight="1" x14ac:dyDescent="0.25">
      <c r="A14" s="5" t="str">
        <f>HYPERLINK("#'Input - Fuel'!A1", "Fuel")</f>
        <v>Fuel</v>
      </c>
      <c r="D14" s="8"/>
      <c r="E14" s="8"/>
      <c r="F14" s="8"/>
    </row>
    <row r="15" spans="1:10" ht="20.100000000000001" customHeight="1" x14ac:dyDescent="0.25">
      <c r="A15" s="99" t="str">
        <f>HYPERLINK("#'Input - Electricity'!A1", "Electricity")</f>
        <v>Electricity</v>
      </c>
      <c r="D15" s="1" t="s">
        <v>399</v>
      </c>
      <c r="E15" s="174">
        <v>30000</v>
      </c>
      <c r="F15" s="26" t="s">
        <v>400</v>
      </c>
    </row>
    <row r="16" spans="1:10" ht="20.100000000000001" customHeight="1" x14ac:dyDescent="0.25">
      <c r="A16" s="5" t="str">
        <f>HYPERLINK("#'Input - Farm Inputs'!A1", "Farm Inputs")</f>
        <v>Farm Inputs</v>
      </c>
      <c r="D16" s="1" t="s">
        <v>401</v>
      </c>
      <c r="E16" s="25" t="str">
        <f>IF(X_Cell_Site_State="Western Australia", X_Cell_Site_Region, X_Cell_Site_State)</f>
        <v>Western Australia - Outback (South)</v>
      </c>
      <c r="F16" s="8"/>
    </row>
    <row r="17" spans="1:11" ht="20.100000000000001" customHeight="1" x14ac:dyDescent="0.25">
      <c r="A17" s="5" t="str">
        <f>HYPERLINK("#'Input - Freight'!A1", "Freight")</f>
        <v>Freight</v>
      </c>
      <c r="D17" s="1" t="s">
        <v>402</v>
      </c>
      <c r="E17" s="23" t="s">
        <v>403</v>
      </c>
      <c r="F17" s="26" t="s">
        <v>100</v>
      </c>
    </row>
    <row r="18" spans="1:11" ht="20.100000000000001" customHeight="1" x14ac:dyDescent="0.25">
      <c r="A18" s="5" t="str">
        <f>HYPERLINK("#'Input - Manure sent off-site'!A1", "Manure sent off-site")</f>
        <v>Manure sent off-site</v>
      </c>
    </row>
    <row r="19" spans="1:11" ht="20.100000000000001" customHeight="1" x14ac:dyDescent="0.25">
      <c r="A19" s="5" t="str">
        <f>HYPERLINK("#'Input - Solid waste'!A1", "Solid waste")</f>
        <v>Solid waste</v>
      </c>
    </row>
    <row r="20" spans="1:11" ht="20.100000000000001" customHeight="1" x14ac:dyDescent="0.25">
      <c r="A20" s="5" t="str">
        <f>HYPERLINK("#'Input - Data quality'!A1", "Data quality")</f>
        <v>Data quality</v>
      </c>
      <c r="C20" s="146"/>
      <c r="D20" s="146"/>
      <c r="E20" s="146"/>
      <c r="F20" s="146"/>
      <c r="G20" s="146"/>
      <c r="H20" s="146"/>
      <c r="I20" s="146"/>
      <c r="J20" s="146"/>
    </row>
    <row r="21" spans="1:11" ht="20.100000000000001" customHeight="1" x14ac:dyDescent="0.25">
      <c r="D21" s="2" t="s">
        <v>404</v>
      </c>
    </row>
    <row r="22" spans="1:11" ht="20.100000000000001" customHeight="1" x14ac:dyDescent="0.25">
      <c r="E22" s="125" t="str">
        <f>IF(E16="ACT", "", "ALERT: Your farm is not in the ACT, so the JRPP is not applicable")</f>
        <v>ALERT: Your farm is not in the ACT, so the JRPP is not applicable</v>
      </c>
    </row>
    <row r="23" spans="1:11" ht="20.100000000000001" customHeight="1" x14ac:dyDescent="0.25">
      <c r="A23" s="6" t="s">
        <v>2</v>
      </c>
      <c r="D23" s="1" t="s">
        <v>405</v>
      </c>
      <c r="E23" s="174">
        <v>30000</v>
      </c>
      <c r="F23" s="26" t="s">
        <v>400</v>
      </c>
    </row>
    <row r="24" spans="1:11" ht="20.100000000000001" customHeight="1" x14ac:dyDescent="0.25">
      <c r="A24" s="5" t="str">
        <f>HYPERLINK("#'5.1.1.1-2 Inorganic fert N2O'!A1", "5.1.1.1-2 Inorganic fert N2O")</f>
        <v>5.1.1.1-2 Inorganic fert N2O</v>
      </c>
      <c r="D24" s="1" t="s">
        <v>406</v>
      </c>
      <c r="E24" s="28">
        <v>0.1</v>
      </c>
      <c r="F24" s="26" t="s">
        <v>153</v>
      </c>
    </row>
    <row r="25" spans="1:11" ht="20.100000000000001" customHeight="1" x14ac:dyDescent="0.25">
      <c r="A25" s="5" t="str">
        <f>HYPERLINK("#'5.1.1.3-4 Inorganic fert CO2'!A1", "5.1.1.3-4 Inorganic fert CO2")</f>
        <v>5.1.1.3-4 Inorganic fert CO2</v>
      </c>
      <c r="D25" s="1" t="s">
        <v>407</v>
      </c>
      <c r="E25" s="28">
        <v>0.1</v>
      </c>
      <c r="F25" s="26" t="s">
        <v>153</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c r="D27" s="1" t="s">
        <v>408</v>
      </c>
      <c r="E27" s="174">
        <v>10000</v>
      </c>
      <c r="F27" s="26" t="s">
        <v>400</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c r="D29" s="1" t="s">
        <v>409</v>
      </c>
      <c r="E29" s="175" t="str">
        <f>TEXT(X_Cell_Site_StartDate, "dd mmm yyyy")</f>
        <v>01 Jan 2025</v>
      </c>
      <c r="K29" s="131"/>
    </row>
    <row r="30" spans="1:11" ht="20.100000000000001" customHeight="1" x14ac:dyDescent="0.25">
      <c r="A30" s="5" t="str">
        <f>HYPERLINK("#'6.1.1.1-2 Crop residue N2O'!A1", "6.1.1.1-2 Crop residue N2O")</f>
        <v>6.1.1.1-2 Crop residue N2O</v>
      </c>
      <c r="D30" s="1" t="s">
        <v>410</v>
      </c>
      <c r="E30" s="175" t="str">
        <f>TEXT(X_Cell_Site_EndDate, "dd mmm yyyy")</f>
        <v>31 Dec 2025</v>
      </c>
      <c r="K30" s="131"/>
    </row>
    <row r="31" spans="1:11" ht="20.100000000000001" customHeight="1" x14ac:dyDescent="0.25">
      <c r="A31" s="5" t="str">
        <f>HYPERLINK("#'6.3.1.1-2 Leach runoff crop'!A1", "6.3.1.1-2 Leach &amp; runoff (crop)")</f>
        <v>6.3.1.1-2 Leach &amp; runoff (crop)</v>
      </c>
      <c r="K31" s="131"/>
    </row>
    <row r="32" spans="1:11" ht="20.100000000000001" customHeight="1" x14ac:dyDescent="0.25">
      <c r="A32" s="5" t="str">
        <f>HYPERLINK("#'6.4.1.1-2 Residue burning'!A1", "6.4.1.1-2 Residue burning")</f>
        <v>6.4.1.1-2 Residue burning</v>
      </c>
      <c r="D32" s="91" t="s">
        <v>411</v>
      </c>
      <c r="K32" s="131"/>
    </row>
    <row r="33" spans="1:12" ht="20.100000000000001" customHeight="1" x14ac:dyDescent="0.25">
      <c r="A33" s="5" t="str">
        <f>HYPERLINK("#'8.1.1.1-2 Transport fuel'!A1", "8.1.1.1-2 Transport fuel")</f>
        <v>8.1.1.1-2 Transport fuel</v>
      </c>
      <c r="K33" s="131"/>
    </row>
    <row r="34" spans="1:12" ht="20.100000000000001" customHeight="1" x14ac:dyDescent="0.25">
      <c r="A34" s="5" t="str">
        <f>HYPERLINK("#'8.2.1.1-2 Stationary fuel'!A1", "8.2.1.1-2 Stationary fuel")</f>
        <v>8.2.1.1-2 Stationary fuel</v>
      </c>
      <c r="D34" s="46" t="s">
        <v>412</v>
      </c>
      <c r="E34" s="49"/>
      <c r="K34" s="131"/>
    </row>
    <row r="35" spans="1:12" ht="20.100000000000001" customHeight="1" x14ac:dyDescent="0.25">
      <c r="A35" s="5" t="str">
        <f>HYPERLINK("#'14.1.1-2 Purchased electricity'!A1", "14.1.1-2 Purchased electricity")</f>
        <v>14.1.1-2 Purchased electricity</v>
      </c>
    </row>
    <row r="36" spans="1:12" ht="20.100000000000001" customHeight="1" x14ac:dyDescent="0.25">
      <c r="A36" s="5" t="str">
        <f>HYPERLINK("#'15 Scope 3'!A1", "15 Scope 3")</f>
        <v>15 Scope 3</v>
      </c>
      <c r="D36" s="92" t="s">
        <v>413</v>
      </c>
      <c r="E36" s="92" t="s">
        <v>414</v>
      </c>
      <c r="F36" s="92" t="s">
        <v>415</v>
      </c>
      <c r="G36" s="92" t="s">
        <v>416</v>
      </c>
      <c r="H36" s="92" t="s">
        <v>417</v>
      </c>
      <c r="I36" s="92" t="s">
        <v>418</v>
      </c>
      <c r="L36" s="131"/>
    </row>
    <row r="37" spans="1:12" ht="20.100000000000001" customHeight="1" x14ac:dyDescent="0.25">
      <c r="A37" s="5" t="str">
        <f>HYPERLINK("#'Calcs - Manure sent off-site'!A1", "Calcs - Manure sent off-site")</f>
        <v>Calcs - Manure sent off-site</v>
      </c>
      <c r="D37" s="30" t="s">
        <v>419</v>
      </c>
      <c r="E37" s="23" t="s">
        <v>420</v>
      </c>
      <c r="F37" s="176">
        <v>44185</v>
      </c>
      <c r="G37" s="30">
        <v>12</v>
      </c>
      <c r="H37" s="25">
        <f>Table_Input_RECSurrendered[[#This Row],[Number of certificates]]</f>
        <v>12</v>
      </c>
      <c r="I37" s="25" t="str">
        <f>IF(DATEDIF(Table_Input_RECSurrendered[[#This Row],[Generation date]],DATEVALUE($E$30),"M")&gt;36,"Ineligible - older than 36 months","Elegible")</f>
        <v>Ineligible - older than 36 months</v>
      </c>
      <c r="L37" s="131"/>
    </row>
    <row r="38" spans="1:12" ht="20.100000000000001" customHeight="1" x14ac:dyDescent="0.25">
      <c r="A38" s="5" t="str">
        <f>HYPERLINK("#'10.1.1-2 Solid waste treatment'!A1", "10.1.1-2 Solid waste treatment")</f>
        <v>10.1.1-2 Solid waste treatment</v>
      </c>
      <c r="D38" s="30" t="s">
        <v>421</v>
      </c>
      <c r="E38" s="23" t="s">
        <v>422</v>
      </c>
      <c r="F38" s="176">
        <v>44575</v>
      </c>
      <c r="G38" s="30">
        <v>5</v>
      </c>
      <c r="H38" s="25">
        <f>Table_Input_RECSurrendered[[#This Row],[Number of certificates]]</f>
        <v>5</v>
      </c>
      <c r="I38" s="25" t="str">
        <f>IF(DATEDIF(Table_Input_RECSurrendered[[#This Row],[Generation date]],DATEVALUE($E$30),"M")&gt;36,"Ineligible - older than 36 months","Elegible")</f>
        <v>Ineligible - older than 36 months</v>
      </c>
    </row>
    <row r="39" spans="1:12" ht="20.100000000000001" customHeight="1" x14ac:dyDescent="0.25">
      <c r="D39" s="30" t="s">
        <v>423</v>
      </c>
      <c r="E39" s="23" t="s">
        <v>420</v>
      </c>
      <c r="F39" s="176">
        <v>45438</v>
      </c>
      <c r="G39" s="30">
        <v>5</v>
      </c>
      <c r="H39" s="25">
        <f>Table_Input_RECSurrendered[[#This Row],[Number of certificates]]</f>
        <v>5</v>
      </c>
      <c r="I39" s="25" t="str">
        <f>IF(DATEDIF(Table_Input_RECSurrendered[[#This Row],[Generation date]],DATEVALUE($E$30),"M")&gt;36,"Ineligible - older than 36 months","Elegible")</f>
        <v>Elegible</v>
      </c>
    </row>
    <row r="40" spans="1:12" s="131" customFormat="1" ht="20.100000000000001" customHeight="1" x14ac:dyDescent="0.25">
      <c r="A40"/>
      <c r="C40" s="1"/>
      <c r="D40" s="1"/>
      <c r="E40" s="1"/>
      <c r="F40" s="1"/>
      <c r="G40" s="1"/>
      <c r="H40" s="1"/>
      <c r="I40" s="1"/>
      <c r="J40" s="1"/>
    </row>
    <row r="41" spans="1:12" s="131" customFormat="1" ht="20.100000000000001" customHeight="1" x14ac:dyDescent="0.25">
      <c r="A41" s="121" t="s">
        <v>1</v>
      </c>
      <c r="C41" s="1"/>
      <c r="D41" s="1" t="s">
        <v>424</v>
      </c>
      <c r="E41" s="25">
        <f>SUMIF(Table_Input_RECSurrendered[Elegibility], "Elegible", Table_Input_RECSurrendered[MWh])</f>
        <v>5</v>
      </c>
      <c r="F41" s="26" t="s">
        <v>417</v>
      </c>
      <c r="G41" s="1"/>
      <c r="H41" s="1"/>
      <c r="I41" s="1"/>
      <c r="J41" s="1"/>
      <c r="L41" s="131" t="s">
        <v>425</v>
      </c>
    </row>
    <row r="42" spans="1:12" ht="20.100000000000001" customHeight="1" x14ac:dyDescent="0.25">
      <c r="A42" s="5" t="str">
        <f>HYPERLINK("#'Constants - Ag Residue'!A1", "Constants - Ag residue")</f>
        <v>Constants - Ag residue</v>
      </c>
      <c r="C42" s="114"/>
    </row>
    <row r="43" spans="1:12" ht="20.100000000000001" customHeight="1" x14ac:dyDescent="0.25">
      <c r="A43" s="5" t="str">
        <f>HYPERLINK("#'Constants - Common Livestock'!A1", "Constants - Common Livestock")</f>
        <v>Constants - Common Livestock</v>
      </c>
      <c r="C43" s="114"/>
      <c r="D43" s="91" t="s">
        <v>426</v>
      </c>
      <c r="J43" s="114"/>
    </row>
    <row r="44" spans="1:12" ht="20.100000000000001" customHeight="1" x14ac:dyDescent="0.25">
      <c r="A44" s="5" t="str">
        <f>HYPERLINK("#'Constants - Electricity'!A1", "Constants - Electricity")</f>
        <v>Constants - Electricity</v>
      </c>
    </row>
    <row r="45" spans="1:12" ht="20.100000000000001" customHeight="1" x14ac:dyDescent="0.25">
      <c r="A45" s="5" t="str">
        <f>HYPERLINK("#'Constants - Fertiliser'!A1", "Constants - Fertiliser")</f>
        <v>Constants - Fertiliser</v>
      </c>
      <c r="D45" s="92" t="s">
        <v>413</v>
      </c>
      <c r="E45" s="92" t="s">
        <v>359</v>
      </c>
      <c r="F45" s="92" t="s">
        <v>415</v>
      </c>
      <c r="G45" s="92" t="s">
        <v>416</v>
      </c>
      <c r="H45" s="92" t="s">
        <v>417</v>
      </c>
      <c r="I45" s="92" t="s">
        <v>418</v>
      </c>
    </row>
    <row r="46" spans="1:12" ht="20.100000000000001" customHeight="1" x14ac:dyDescent="0.25">
      <c r="A46" s="5" t="str">
        <f>HYPERLINK("#'Constants - Fuel'!A1", "Constants - Fuel")</f>
        <v>Constants - Fuel</v>
      </c>
      <c r="D46" s="30" t="s">
        <v>427</v>
      </c>
      <c r="E46" s="177" t="str">
        <f>"Issued for generated electricity"</f>
        <v>Issued for generated electricity</v>
      </c>
      <c r="F46" s="176">
        <v>44697</v>
      </c>
      <c r="G46" s="30">
        <v>10</v>
      </c>
      <c r="H46" s="25">
        <f>Table_Input_RECConsumedByEntity[[#This Row],[Number of certificates]]</f>
        <v>10</v>
      </c>
      <c r="I46" s="2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s="5" t="str">
        <f>HYPERLINK("#'Constants - Scope 3'!A1", "Constants - Scope 3")</f>
        <v>Constants - Scope 3</v>
      </c>
      <c r="D47" s="30" t="s">
        <v>428</v>
      </c>
      <c r="E47" s="177" t="str">
        <f>"Issued for generated electricity"</f>
        <v>Issued for generated electricity</v>
      </c>
      <c r="F47" s="176">
        <v>45483</v>
      </c>
      <c r="G47" s="30">
        <v>4</v>
      </c>
      <c r="H47" s="25">
        <f>Table_Input_RECConsumedByEntity[[#This Row],[Number of certificates]]</f>
        <v>4</v>
      </c>
      <c r="I47" s="2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5">
      <c r="A48" s="5" t="str">
        <f>HYPERLINK("#'Constants - Common'!A1", "Constants - Common")</f>
        <v>Constants - Common</v>
      </c>
      <c r="D48" s="178">
        <v>45597</v>
      </c>
      <c r="E48" s="177" t="str">
        <f>"Issued for generated electricity"</f>
        <v>Issued for generated electricity</v>
      </c>
      <c r="F48" s="176">
        <v>45607</v>
      </c>
      <c r="G48" s="30">
        <v>7</v>
      </c>
      <c r="H48" s="25">
        <f>Table_Input_RECConsumedByEntity[[#This Row],[Number of certificates]]</f>
        <v>7</v>
      </c>
      <c r="I48" s="25" t="str">
        <f>IF(AND(Table_Input_RECConsumedByEntity[[#This Row],[Generation date]]&gt;=DATEVALUE($E$29), Table_Input_RECConsumedByEntity[[#This Row],[Generation date]]&lt;= DATEVALUE($E$30)), "Elegible", "Ineligible - outside reporting year")</f>
        <v>Ineligible - outside reporting year</v>
      </c>
    </row>
    <row r="49" spans="1:6" ht="20.100000000000001" customHeight="1" x14ac:dyDescent="0.25">
      <c r="A49" s="5" t="str">
        <f>HYPERLINK("#'Constants - Solid Waste'!A1", "Constants - Solid Waste")</f>
        <v>Constants - Solid Waste</v>
      </c>
    </row>
    <row r="50" spans="1:6" ht="20.100000000000001" customHeight="1" x14ac:dyDescent="0.25">
      <c r="D50" s="1" t="s">
        <v>429</v>
      </c>
      <c r="E50" s="25">
        <f>SUMIF(Table_Input_RECConsumedByEntity[Elegibility], "Elegible", Table_Input_RECConsumedByEntity[Number of certificates])</f>
        <v>0</v>
      </c>
      <c r="F50" s="26" t="s">
        <v>417</v>
      </c>
    </row>
    <row r="51" spans="1:6" ht="20.100000000000001" customHeight="1" x14ac:dyDescent="0.25"/>
    <row r="52" spans="1:6" ht="20.100000000000001" customHeight="1" x14ac:dyDescent="0.25"/>
    <row r="53" spans="1:6" ht="20.100000000000001" customHeight="1" x14ac:dyDescent="0.25"/>
    <row r="54" spans="1:6" ht="20.100000000000001" customHeight="1" x14ac:dyDescent="0.25"/>
    <row r="55" spans="1:6" ht="20.100000000000001" customHeight="1" x14ac:dyDescent="0.25">
      <c r="D55" s="179"/>
    </row>
    <row r="56" spans="1:6" ht="20.100000000000001" customHeight="1" x14ac:dyDescent="0.25">
      <c r="D56" s="179"/>
    </row>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125"/>
    </row>
  </sheetData>
  <conditionalFormatting sqref="F130:F131">
    <cfRule type="cellIs" dxfId="33" priority="8" operator="lessThan">
      <formula>0</formula>
    </cfRule>
  </conditionalFormatting>
  <conditionalFormatting sqref="F142:F143">
    <cfRule type="cellIs" dxfId="32" priority="7" operator="lessThan">
      <formula>0</formula>
    </cfRule>
  </conditionalFormatting>
  <conditionalFormatting sqref="F154:F155">
    <cfRule type="cellIs" dxfId="31" priority="6" operator="lessThan">
      <formula>0</formula>
    </cfRule>
  </conditionalFormatting>
  <conditionalFormatting sqref="F166:F167">
    <cfRule type="cellIs" dxfId="30" priority="5" operator="lessThan">
      <formula>0</formula>
    </cfRule>
  </conditionalFormatting>
  <conditionalFormatting sqref="F254:F255">
    <cfRule type="cellIs" dxfId="29" priority="17" operator="lessThan">
      <formula>0</formula>
    </cfRule>
  </conditionalFormatting>
  <conditionalFormatting sqref="F259:F260">
    <cfRule type="cellIs" dxfId="28" priority="16" operator="lessThan">
      <formula>0</formula>
    </cfRule>
  </conditionalFormatting>
  <conditionalFormatting sqref="F264:F265">
    <cfRule type="cellIs" dxfId="27" priority="15" operator="lessThan">
      <formula>0</formula>
    </cfRule>
  </conditionalFormatting>
  <conditionalFormatting sqref="F288:F289">
    <cfRule type="cellIs" dxfId="26" priority="14" operator="lessThan">
      <formula>0</formula>
    </cfRule>
  </conditionalFormatting>
  <conditionalFormatting sqref="F293:F294">
    <cfRule type="cellIs" dxfId="25" priority="13" operator="lessThan">
      <formula>0</formula>
    </cfRule>
  </conditionalFormatting>
  <conditionalFormatting sqref="F298:F299">
    <cfRule type="cellIs" dxfId="24" priority="12" operator="lessThan">
      <formula>0</formula>
    </cfRule>
  </conditionalFormatting>
  <conditionalFormatting sqref="I59:I63">
    <cfRule type="cellIs" dxfId="23" priority="4" operator="lessThan">
      <formula>0</formula>
    </cfRule>
  </conditionalFormatting>
  <conditionalFormatting sqref="I67 I126">
    <cfRule type="cellIs" dxfId="22" priority="10" operator="lessThan">
      <formula>0</formula>
    </cfRule>
  </conditionalFormatting>
  <conditionalFormatting sqref="I78:I80">
    <cfRule type="cellIs" dxfId="21" priority="3" operator="lessThan">
      <formula>0</formula>
    </cfRule>
  </conditionalFormatting>
  <conditionalFormatting sqref="I84:I87">
    <cfRule type="cellIs" dxfId="20" priority="2" operator="lessThan">
      <formula>0</formula>
    </cfRule>
  </conditionalFormatting>
  <conditionalFormatting sqref="I91:I95">
    <cfRule type="cellIs" dxfId="19" priority="1" operator="lessThan">
      <formula>0</formula>
    </cfRule>
  </conditionalFormatting>
  <conditionalFormatting sqref="J35 I49:I50 H51:H53 I52 I54:I55 I206 I212 E214:G214">
    <cfRule type="cellIs" dxfId="18" priority="11" operator="lessThan">
      <formula>0</formula>
    </cfRule>
  </conditionalFormatting>
  <conditionalFormatting sqref="J39 I40 J41 I43">
    <cfRule type="cellIs" dxfId="17" priority="9" operator="lessThan">
      <formula>0</formula>
    </cfRule>
  </conditionalFormatting>
  <dataValidations count="7">
    <dataValidation type="list" allowBlank="1" showInputMessage="1" showErrorMessage="1" sqref="E5" xr:uid="{BB744AEC-5210-4FBB-B6F8-C29B78525B1E}">
      <formula1>"Location-based (simpler), Market-based (more complex)"</formula1>
    </dataValidation>
    <dataValidation type="list" allowBlank="1" showInputMessage="1" showErrorMessage="1" sqref="E37:E39" xr:uid="{28C7E866-808F-46B2-841C-398252209F6F}">
      <formula1>"Purchased certificate, Issued for generated electricity"</formula1>
    </dataValidation>
    <dataValidation type="list" allowBlank="1" showInputMessage="1" showErrorMessage="1" sqref="E17" xr:uid="{4C02FB5A-50F1-4FD2-803C-85262C1C40C4}">
      <formula1>INDIRECT("Table_SourceData_ElectricityEFs[State, Territory or grid description]")</formula1>
    </dataValidation>
    <dataValidation type="list" allowBlank="1" showInputMessage="1" showErrorMessage="1" sqref="E69" xr:uid="{46BCAB6E-1CBA-472F-8309-B37F26F7D5FC}">
      <formula1>INDIRECT("Table_SourceData_Swine_IrrigationMethods[Irrigation method]")</formula1>
    </dataValidation>
    <dataValidation type="list" allowBlank="1" showInputMessage="1" showErrorMessage="1" sqref="E253 E258 E263 E297 E292 E287 E165 E153 E129 E141" xr:uid="{A71B3A63-E637-4B3F-B8D2-E1BE39A23164}">
      <formula1>"Yes, No"</formula1>
    </dataValidation>
    <dataValidation type="list" allowBlank="1" showInputMessage="1" showErrorMessage="1" sqref="E229" xr:uid="{C4EB0F0C-DCDF-40CD-9662-9D2883962FE8}">
      <formula1>INDIRECT("Table_SourceData_Dairy_ProductionSystemTemplates[Area]")</formula1>
    </dataValidation>
    <dataValidation type="list" allowBlank="1" showInputMessage="1" showErrorMessage="1" sqref="D281" xr:uid="{A9260735-D057-402C-A3DF-43C2E8A6E88B}">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82AE-BD45-4D8F-B296-E087B9D08BA3}">
  <sheetPr>
    <tabColor theme="5" tint="-0.249977111117893"/>
  </sheetPr>
  <dimension ref="A1:S227"/>
  <sheetViews>
    <sheetView showGridLines="0" topLeftCell="A72" zoomScaleNormal="100" workbookViewId="0">
      <selection activeCell="A49" sqref="A49"/>
    </sheetView>
  </sheetViews>
  <sheetFormatPr defaultRowHeight="15.75" x14ac:dyDescent="0.25"/>
  <cols>
    <col min="1" max="1" width="30.7109375" style="237" customWidth="1"/>
    <col min="2" max="2" width="4.7109375" style="237" customWidth="1"/>
    <col min="3" max="3" width="4.7109375" style="242" customWidth="1"/>
    <col min="4" max="4" width="47.140625" style="242" customWidth="1"/>
    <col min="5" max="10" width="30.7109375" style="242" customWidth="1"/>
    <col min="11" max="18" width="35" style="1" customWidth="1"/>
    <col min="19" max="19" width="5.28515625" style="1" customWidth="1"/>
    <col min="20" max="16384" width="9.140625" style="237"/>
  </cols>
  <sheetData>
    <row r="1" spans="1:19" ht="30" customHeight="1" x14ac:dyDescent="0.35">
      <c r="A1" s="16" t="e" vm="1">
        <v>#VALUE!</v>
      </c>
      <c r="C1" s="38" t="s">
        <v>686</v>
      </c>
      <c r="D1" s="32"/>
      <c r="E1" s="32"/>
      <c r="F1" s="32"/>
      <c r="G1" s="32"/>
      <c r="H1" s="32"/>
      <c r="I1" s="32"/>
      <c r="J1" s="32"/>
      <c r="K1" s="32"/>
      <c r="L1" s="32"/>
      <c r="M1" s="32"/>
      <c r="N1" s="32"/>
      <c r="O1" s="32"/>
      <c r="P1" s="32"/>
      <c r="Q1" s="32"/>
      <c r="R1" s="32"/>
      <c r="S1" s="32"/>
    </row>
    <row r="2" spans="1:19" ht="20.100000000000001" customHeight="1" x14ac:dyDescent="0.25">
      <c r="A2"/>
      <c r="C2" s="3"/>
      <c r="D2" s="3"/>
      <c r="E2" s="3"/>
      <c r="F2" s="3"/>
      <c r="G2" s="3"/>
      <c r="H2" s="3"/>
      <c r="I2" s="3"/>
      <c r="J2" s="3"/>
      <c r="K2" s="3"/>
      <c r="L2" s="3"/>
      <c r="M2" s="3"/>
      <c r="N2" s="3"/>
      <c r="O2" s="3"/>
      <c r="P2" s="3"/>
      <c r="Q2" s="3"/>
      <c r="R2" s="3"/>
      <c r="S2" s="3"/>
    </row>
    <row r="3" spans="1:19" ht="20.100000000000001" customHeight="1" x14ac:dyDescent="0.25">
      <c r="A3" s="5" t="str">
        <f>HYPERLINK("#'Home'!A1", "Home")</f>
        <v>Home</v>
      </c>
      <c r="C3" s="39"/>
      <c r="D3" s="39"/>
      <c r="E3" s="39"/>
      <c r="F3" s="39"/>
      <c r="G3" s="39"/>
      <c r="H3" s="39"/>
      <c r="I3" s="39"/>
      <c r="J3" s="39"/>
      <c r="K3" s="39"/>
      <c r="L3" s="39"/>
      <c r="M3" s="39"/>
      <c r="N3" s="39"/>
      <c r="O3" s="39"/>
      <c r="P3" s="39"/>
      <c r="Q3" s="39"/>
      <c r="R3" s="39"/>
      <c r="S3" s="39"/>
    </row>
    <row r="4" spans="1:19" ht="20.100000000000001" customHeight="1" x14ac:dyDescent="0.25">
      <c r="A4" s="5" t="str">
        <f>HYPERLINK("#'Overview'!A1", "Overview")</f>
        <v>Overview</v>
      </c>
      <c r="C4" s="35"/>
      <c r="D4" s="35"/>
      <c r="E4" s="35"/>
      <c r="F4" s="35"/>
      <c r="G4" s="35"/>
      <c r="H4" s="35"/>
      <c r="I4" s="35"/>
      <c r="J4" s="35"/>
    </row>
    <row r="5" spans="1:19" ht="20.100000000000001" customHeight="1" x14ac:dyDescent="0.25">
      <c r="A5" s="5" t="str">
        <f>HYPERLINK("#'Results'!A1", "Results")</f>
        <v>Results</v>
      </c>
      <c r="C5" s="1"/>
      <c r="D5" s="2" t="s">
        <v>687</v>
      </c>
      <c r="E5" s="35"/>
      <c r="F5" s="35"/>
      <c r="G5" s="35"/>
      <c r="H5" s="35"/>
      <c r="I5" s="35"/>
      <c r="J5" s="35"/>
    </row>
    <row r="6" spans="1:19" ht="20.100000000000001" customHeight="1" x14ac:dyDescent="0.25">
      <c r="A6"/>
      <c r="C6" s="1"/>
      <c r="D6" s="239" t="s">
        <v>688</v>
      </c>
      <c r="E6" s="240"/>
      <c r="F6" s="240"/>
      <c r="G6" s="240"/>
      <c r="H6" s="240"/>
      <c r="I6" s="240"/>
      <c r="J6" s="240"/>
    </row>
    <row r="7" spans="1:19" ht="20.100000000000001" customHeight="1" x14ac:dyDescent="0.25">
      <c r="A7"/>
      <c r="C7" s="1"/>
      <c r="D7" s="241" t="s">
        <v>689</v>
      </c>
      <c r="E7" s="241"/>
      <c r="F7" s="94"/>
      <c r="G7" s="55"/>
      <c r="H7" s="35"/>
      <c r="I7" s="35"/>
      <c r="J7" s="35"/>
    </row>
    <row r="8" spans="1:19" ht="20.100000000000001" customHeight="1" x14ac:dyDescent="0.25">
      <c r="A8" s="7" t="s">
        <v>0</v>
      </c>
      <c r="C8" s="1"/>
      <c r="D8" s="56" t="s">
        <v>690</v>
      </c>
      <c r="E8" s="57"/>
      <c r="F8" s="57"/>
      <c r="G8" s="58"/>
      <c r="H8" s="35"/>
      <c r="I8" s="35"/>
      <c r="J8" s="35"/>
    </row>
    <row r="9" spans="1:19" ht="20.100000000000001" customHeight="1" x14ac:dyDescent="0.25">
      <c r="A9" s="5" t="str">
        <f>HYPERLINK("#'Input - Enterprise'!A1", "Enterprise")</f>
        <v>Enterprise</v>
      </c>
      <c r="C9" s="1"/>
      <c r="D9" s="240"/>
      <c r="E9" s="240"/>
      <c r="F9" s="240"/>
      <c r="G9" s="240"/>
      <c r="H9" s="240"/>
      <c r="I9" s="240"/>
      <c r="J9" s="240"/>
      <c r="K9" s="125"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125"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125"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5" t="str">
        <f>HYPERLINK("#'Input - Site'!A1", "Site")</f>
        <v>Site</v>
      </c>
      <c r="D10" s="243" t="s">
        <v>383</v>
      </c>
      <c r="E10" s="243" t="s">
        <v>691</v>
      </c>
      <c r="F10" s="243" t="s">
        <v>692</v>
      </c>
      <c r="G10" s="243" t="s">
        <v>209</v>
      </c>
      <c r="H10" s="243" t="s">
        <v>693</v>
      </c>
      <c r="I10" s="243" t="s">
        <v>694</v>
      </c>
      <c r="J10" s="243" t="s">
        <v>695</v>
      </c>
      <c r="K10" s="244" t="s">
        <v>696</v>
      </c>
      <c r="L10" s="244" t="s">
        <v>697</v>
      </c>
      <c r="M10" s="244" t="s">
        <v>698</v>
      </c>
      <c r="N10" s="244" t="s">
        <v>699</v>
      </c>
      <c r="O10" s="244" t="s">
        <v>700</v>
      </c>
      <c r="P10" s="244" t="s">
        <v>701</v>
      </c>
      <c r="Q10" s="244" t="s">
        <v>702</v>
      </c>
      <c r="R10" s="244" t="s">
        <v>703</v>
      </c>
    </row>
    <row r="11" spans="1:19" ht="20.100000000000001" customHeight="1" x14ac:dyDescent="0.25">
      <c r="A11" s="5" t="str">
        <f>HYPERLINK("#'Input - Crop'!A1", "Crop")</f>
        <v>Crop</v>
      </c>
      <c r="D11" s="93" t="s">
        <v>704</v>
      </c>
      <c r="E11" s="245">
        <v>10</v>
      </c>
      <c r="F11" s="23" t="s">
        <v>280</v>
      </c>
      <c r="G11" s="86">
        <v>100</v>
      </c>
      <c r="H11" s="25">
        <f>Table_Input_Pesticides[[#This Row],[Amount applied per ha]]*Table_Input_Pesticides[[#This Row],[Application area (ha)]]</f>
        <v>1000</v>
      </c>
      <c r="I11" s="23" t="s">
        <v>705</v>
      </c>
      <c r="J11" s="23" t="s">
        <v>706</v>
      </c>
      <c r="K11" s="86">
        <v>100</v>
      </c>
      <c r="L11" s="25">
        <f>Table_Input_Pesticides[[#This Row],[Total applied]]*Table_Input_Pesticides[[#This Row],[Active ingredient 1 amount]]*IF(Table_Input_Pesticides[[#This Row],[Constituent unit (select)]]="fraction of product", 1, 10^-3)</f>
        <v>100</v>
      </c>
      <c r="M11" s="23" t="s">
        <v>706</v>
      </c>
      <c r="N11" s="86">
        <v>100</v>
      </c>
      <c r="O11" s="25">
        <f>Table_Input_Pesticides[[#This Row],[Total applied]]*Table_Input_Pesticides[[#This Row],[Active ingredient 2 amount]]*IF(Table_Input_Pesticides[[#This Row],[Constituent unit (select)]]="fraction of product", 1, 10^-3)</f>
        <v>100</v>
      </c>
      <c r="P11" s="23" t="s">
        <v>707</v>
      </c>
      <c r="Q11" s="86">
        <v>100</v>
      </c>
      <c r="R11" s="25">
        <f>Table_Input_Pesticides[[#This Row],[Total applied]]*Table_Input_Pesticides[[#This Row],[Active ingredient 3 amount]]*IF(Table_Input_Pesticides[[#This Row],[Constituent unit (select)]]="fraction of product", 1, 10^-3)</f>
        <v>100</v>
      </c>
    </row>
    <row r="12" spans="1:19" ht="20.100000000000001" customHeight="1" x14ac:dyDescent="0.25">
      <c r="A12" s="5" t="str">
        <f>HYPERLINK("#'Input - Fert Prod System'!A1", "Fert Prod System")</f>
        <v>Fert Prod System</v>
      </c>
      <c r="C12" s="1"/>
      <c r="D12" s="93" t="s">
        <v>708</v>
      </c>
      <c r="E12" s="245">
        <v>10</v>
      </c>
      <c r="F12" s="23" t="s">
        <v>709</v>
      </c>
      <c r="G12" s="86">
        <v>100</v>
      </c>
      <c r="H12" s="25">
        <f>Table_Input_Pesticides[[#This Row],[Amount applied per ha]]*Table_Input_Pesticides[[#This Row],[Application area (ha)]]</f>
        <v>1000</v>
      </c>
      <c r="I12" s="23" t="s">
        <v>705</v>
      </c>
      <c r="J12" s="23" t="s">
        <v>706</v>
      </c>
      <c r="K12" s="86">
        <v>100</v>
      </c>
      <c r="L12" s="25">
        <f>Table_Input_Pesticides[[#This Row],[Total applied]]*Table_Input_Pesticides[[#This Row],[Active ingredient 1 amount]]*IF(Table_Input_Pesticides[[#This Row],[Constituent unit (select)]]="fraction of product", 1, 10^-3)</f>
        <v>100</v>
      </c>
      <c r="M12" s="23" t="s">
        <v>710</v>
      </c>
      <c r="N12" s="86">
        <v>100</v>
      </c>
      <c r="O12" s="25">
        <f>Table_Input_Pesticides[[#This Row],[Total applied]]*Table_Input_Pesticides[[#This Row],[Active ingredient 2 amount]]*IF(Table_Input_Pesticides[[#This Row],[Constituent unit (select)]]="fraction of product", 1, 10^-3)</f>
        <v>100</v>
      </c>
      <c r="P12" s="23" t="s">
        <v>711</v>
      </c>
      <c r="Q12" s="86">
        <v>100</v>
      </c>
      <c r="R12" s="25">
        <f>Table_Input_Pesticides[[#This Row],[Total applied]]*Table_Input_Pesticides[[#This Row],[Active ingredient 3 amount]]*IF(Table_Input_Pesticides[[#This Row],[Constituent unit (select)]]="fraction of product", 1, 10^-3)</f>
        <v>100</v>
      </c>
    </row>
    <row r="13" spans="1:19" ht="20.100000000000001" customHeight="1" x14ac:dyDescent="0.25">
      <c r="A13" s="5" t="str">
        <f>HYPERLINK("#'Input - Fertiliser'!A1", "Fertiliser")</f>
        <v>Fertiliser</v>
      </c>
      <c r="C13" s="1"/>
      <c r="D13" s="93" t="s">
        <v>712</v>
      </c>
      <c r="E13" s="245">
        <v>10</v>
      </c>
      <c r="F13" s="23" t="s">
        <v>280</v>
      </c>
      <c r="G13" s="86">
        <v>100</v>
      </c>
      <c r="H13" s="25">
        <f>Table_Input_Pesticides[[#This Row],[Amount applied per ha]]*Table_Input_Pesticides[[#This Row],[Application area (ha)]]</f>
        <v>1000</v>
      </c>
      <c r="I13" s="23" t="s">
        <v>705</v>
      </c>
      <c r="J13" s="23" t="s">
        <v>706</v>
      </c>
      <c r="K13" s="86">
        <v>100</v>
      </c>
      <c r="L13" s="25">
        <f>Table_Input_Pesticides[[#This Row],[Total applied]]*Table_Input_Pesticides[[#This Row],[Active ingredient 1 amount]]*IF(Table_Input_Pesticides[[#This Row],[Constituent unit (select)]]="fraction of product", 1, 10^-3)</f>
        <v>100</v>
      </c>
      <c r="M13" s="23" t="s">
        <v>713</v>
      </c>
      <c r="N13" s="86">
        <v>100</v>
      </c>
      <c r="O13" s="25">
        <f>Table_Input_Pesticides[[#This Row],[Total applied]]*Table_Input_Pesticides[[#This Row],[Active ingredient 2 amount]]*IF(Table_Input_Pesticides[[#This Row],[Constituent unit (select)]]="fraction of product", 1, 10^-3)</f>
        <v>100</v>
      </c>
      <c r="P13" s="23" t="s">
        <v>714</v>
      </c>
      <c r="Q13" s="86">
        <v>100</v>
      </c>
      <c r="R13" s="25">
        <f>Table_Input_Pesticides[[#This Row],[Total applied]]*Table_Input_Pesticides[[#This Row],[Active ingredient 3 amount]]*IF(Table_Input_Pesticides[[#This Row],[Constituent unit (select)]]="fraction of product", 1, 10^-3)</f>
        <v>100</v>
      </c>
    </row>
    <row r="14" spans="1:19" ht="20.100000000000001" customHeight="1" x14ac:dyDescent="0.25">
      <c r="A14" s="5" t="str">
        <f>HYPERLINK("#'Input - Fuel'!A1", "Fuel")</f>
        <v>Fuel</v>
      </c>
      <c r="D14" s="93"/>
      <c r="E14" s="245"/>
      <c r="F14" s="23"/>
      <c r="G14" s="86"/>
      <c r="H14" s="25">
        <f>Table_Input_Pesticides[[#This Row],[Amount applied per ha]]*Table_Input_Pesticides[[#This Row],[Application area (ha)]]</f>
        <v>0</v>
      </c>
      <c r="I14" s="23"/>
      <c r="J14" s="23"/>
      <c r="K14" s="86"/>
      <c r="L14" s="25">
        <f>Table_Input_Pesticides[[#This Row],[Total applied]]*Table_Input_Pesticides[[#This Row],[Active ingredient 1 amount]]*IF(Table_Input_Pesticides[[#This Row],[Constituent unit (select)]]="fraction of product", 1, 10^-3)</f>
        <v>0</v>
      </c>
      <c r="M14" s="23"/>
      <c r="N14" s="86"/>
      <c r="O14" s="25">
        <f>Table_Input_Pesticides[[#This Row],[Total applied]]*Table_Input_Pesticides[[#This Row],[Active ingredient 2 amount]]*IF(Table_Input_Pesticides[[#This Row],[Constituent unit (select)]]="fraction of product", 1, 10^-3)</f>
        <v>0</v>
      </c>
      <c r="P14" s="23"/>
      <c r="Q14" s="86"/>
      <c r="R14" s="25">
        <f>Table_Input_Pesticides[[#This Row],[Total applied]]*Table_Input_Pesticides[[#This Row],[Active ingredient 3 amount]]*IF(Table_Input_Pesticides[[#This Row],[Constituent unit (select)]]="fraction of product", 1, 10^-3)</f>
        <v>0</v>
      </c>
    </row>
    <row r="15" spans="1:19" ht="20.100000000000001" customHeight="1" x14ac:dyDescent="0.25">
      <c r="A15" s="5" t="str">
        <f>HYPERLINK("#'Input - Electricity'!A1", "Electricity")</f>
        <v>Electricity</v>
      </c>
      <c r="D15" s="93"/>
      <c r="E15" s="245"/>
      <c r="F15" s="23"/>
      <c r="G15" s="86"/>
      <c r="H15" s="25">
        <f>Table_Input_Pesticides[[#This Row],[Amount applied per ha]]*Table_Input_Pesticides[[#This Row],[Application area (ha)]]</f>
        <v>0</v>
      </c>
      <c r="I15" s="23"/>
      <c r="J15" s="23"/>
      <c r="K15" s="86"/>
      <c r="L15" s="25">
        <f>Table_Input_Pesticides[[#This Row],[Total applied]]*Table_Input_Pesticides[[#This Row],[Active ingredient 1 amount]]*IF(Table_Input_Pesticides[[#This Row],[Constituent unit (select)]]="fraction of product", 1, 10^-3)</f>
        <v>0</v>
      </c>
      <c r="M15" s="23"/>
      <c r="N15" s="86"/>
      <c r="O15" s="25">
        <f>Table_Input_Pesticides[[#This Row],[Total applied]]*Table_Input_Pesticides[[#This Row],[Active ingredient 2 amount]]*IF(Table_Input_Pesticides[[#This Row],[Constituent unit (select)]]="fraction of product", 1, 10^-3)</f>
        <v>0</v>
      </c>
      <c r="P15" s="23"/>
      <c r="Q15" s="86"/>
      <c r="R15" s="25">
        <f>Table_Input_Pesticides[[#This Row],[Total applied]]*Table_Input_Pesticides[[#This Row],[Active ingredient 3 amount]]*IF(Table_Input_Pesticides[[#This Row],[Constituent unit (select)]]="fraction of product", 1, 10^-3)</f>
        <v>0</v>
      </c>
    </row>
    <row r="16" spans="1:19" ht="20.100000000000001" customHeight="1" x14ac:dyDescent="0.25">
      <c r="A16" s="99" t="str">
        <f>HYPERLINK("#'Input - Farm Inputs'!A1", "Farm Inputs")</f>
        <v>Farm Inputs</v>
      </c>
      <c r="D16" s="93"/>
      <c r="E16" s="245"/>
      <c r="F16" s="23"/>
      <c r="G16" s="86"/>
      <c r="H16" s="25">
        <f>Table_Input_Pesticides[[#This Row],[Amount applied per ha]]*Table_Input_Pesticides[[#This Row],[Application area (ha)]]</f>
        <v>0</v>
      </c>
      <c r="I16" s="23"/>
      <c r="J16" s="23"/>
      <c r="K16" s="86"/>
      <c r="L16" s="25">
        <f>Table_Input_Pesticides[[#This Row],[Total applied]]*Table_Input_Pesticides[[#This Row],[Active ingredient 1 amount]]*IF(Table_Input_Pesticides[[#This Row],[Constituent unit (select)]]="fraction of product", 1, 10^-3)</f>
        <v>0</v>
      </c>
      <c r="M16" s="23"/>
      <c r="N16" s="86"/>
      <c r="O16" s="25">
        <f>Table_Input_Pesticides[[#This Row],[Total applied]]*Table_Input_Pesticides[[#This Row],[Active ingredient 2 amount]]*IF(Table_Input_Pesticides[[#This Row],[Constituent unit (select)]]="fraction of product", 1, 10^-3)</f>
        <v>0</v>
      </c>
      <c r="P16" s="23"/>
      <c r="Q16" s="86"/>
      <c r="R16" s="25">
        <f>Table_Input_Pesticides[[#This Row],[Total applied]]*Table_Input_Pesticides[[#This Row],[Active ingredient 3 amount]]*IF(Table_Input_Pesticides[[#This Row],[Constituent unit (select)]]="fraction of product", 1, 10^-3)</f>
        <v>0</v>
      </c>
    </row>
    <row r="17" spans="1:18" ht="20.100000000000001" customHeight="1" x14ac:dyDescent="0.25">
      <c r="A17" s="5" t="str">
        <f>HYPERLINK("#'Input - Freight'!A1", "Freight")</f>
        <v>Freight</v>
      </c>
      <c r="C17" s="1"/>
      <c r="D17" s="93"/>
      <c r="E17" s="245"/>
      <c r="F17" s="23"/>
      <c r="G17" s="86"/>
      <c r="H17" s="25">
        <f>Table_Input_Pesticides[[#This Row],[Amount applied per ha]]*Table_Input_Pesticides[[#This Row],[Application area (ha)]]</f>
        <v>0</v>
      </c>
      <c r="I17" s="23"/>
      <c r="J17" s="23"/>
      <c r="K17" s="86"/>
      <c r="L17" s="25">
        <f>Table_Input_Pesticides[[#This Row],[Total applied]]*Table_Input_Pesticides[[#This Row],[Active ingredient 1 amount]]*IF(Table_Input_Pesticides[[#This Row],[Constituent unit (select)]]="fraction of product", 1, 10^-3)</f>
        <v>0</v>
      </c>
      <c r="M17" s="23"/>
      <c r="N17" s="86"/>
      <c r="O17" s="25">
        <f>Table_Input_Pesticides[[#This Row],[Total applied]]*Table_Input_Pesticides[[#This Row],[Active ingredient 2 amount]]*IF(Table_Input_Pesticides[[#This Row],[Constituent unit (select)]]="fraction of product", 1, 10^-3)</f>
        <v>0</v>
      </c>
      <c r="P17" s="23"/>
      <c r="Q17" s="86"/>
      <c r="R17" s="25">
        <f>Table_Input_Pesticides[[#This Row],[Total applied]]*Table_Input_Pesticides[[#This Row],[Active ingredient 3 amount]]*IF(Table_Input_Pesticides[[#This Row],[Constituent unit (select)]]="fraction of product", 1, 10^-3)</f>
        <v>0</v>
      </c>
    </row>
    <row r="18" spans="1:18" ht="20.100000000000001" customHeight="1" x14ac:dyDescent="0.25">
      <c r="A18" s="5" t="str">
        <f>HYPERLINK("#'Input - Manure sent off-site'!A1", "Manure sent off-site")</f>
        <v>Manure sent off-site</v>
      </c>
      <c r="C18" s="1"/>
      <c r="D18" s="93"/>
      <c r="E18" s="245"/>
      <c r="F18" s="23"/>
      <c r="G18" s="86"/>
      <c r="H18" s="25">
        <f>Table_Input_Pesticides[[#This Row],[Amount applied per ha]]*Table_Input_Pesticides[[#This Row],[Application area (ha)]]</f>
        <v>0</v>
      </c>
      <c r="I18" s="23"/>
      <c r="J18" s="23"/>
      <c r="K18" s="86"/>
      <c r="L18" s="25">
        <f>Table_Input_Pesticides[[#This Row],[Total applied]]*Table_Input_Pesticides[[#This Row],[Active ingredient 1 amount]]*IF(Table_Input_Pesticides[[#This Row],[Constituent unit (select)]]="fraction of product", 1, 10^-3)</f>
        <v>0</v>
      </c>
      <c r="M18" s="23"/>
      <c r="N18" s="86"/>
      <c r="O18" s="25">
        <f>Table_Input_Pesticides[[#This Row],[Total applied]]*Table_Input_Pesticides[[#This Row],[Active ingredient 2 amount]]*IF(Table_Input_Pesticides[[#This Row],[Constituent unit (select)]]="fraction of product", 1, 10^-3)</f>
        <v>0</v>
      </c>
      <c r="P18" s="23"/>
      <c r="Q18" s="86"/>
      <c r="R18" s="25">
        <f>Table_Input_Pesticides[[#This Row],[Total applied]]*Table_Input_Pesticides[[#This Row],[Active ingredient 3 amount]]*IF(Table_Input_Pesticides[[#This Row],[Constituent unit (select)]]="fraction of product", 1, 10^-3)</f>
        <v>0</v>
      </c>
    </row>
    <row r="19" spans="1:18" ht="20.100000000000001" customHeight="1" x14ac:dyDescent="0.25">
      <c r="A19" s="5" t="str">
        <f>HYPERLINK("#'Input - Solid waste'!A1", "Solid waste")</f>
        <v>Solid waste</v>
      </c>
      <c r="D19" s="93"/>
      <c r="E19" s="245"/>
      <c r="F19" s="23"/>
      <c r="G19" s="86"/>
      <c r="H19" s="25">
        <f>Table_Input_Pesticides[[#This Row],[Amount applied per ha]]*Table_Input_Pesticides[[#This Row],[Application area (ha)]]</f>
        <v>0</v>
      </c>
      <c r="I19" s="23"/>
      <c r="J19" s="23"/>
      <c r="K19" s="86"/>
      <c r="L19" s="25">
        <f>Table_Input_Pesticides[[#This Row],[Total applied]]*Table_Input_Pesticides[[#This Row],[Active ingredient 1 amount]]*IF(Table_Input_Pesticides[[#This Row],[Constituent unit (select)]]="fraction of product", 1, 10^-3)</f>
        <v>0</v>
      </c>
      <c r="M19" s="23"/>
      <c r="N19" s="86"/>
      <c r="O19" s="25">
        <f>Table_Input_Pesticides[[#This Row],[Total applied]]*Table_Input_Pesticides[[#This Row],[Active ingredient 2 amount]]*IF(Table_Input_Pesticides[[#This Row],[Constituent unit (select)]]="fraction of product", 1, 10^-3)</f>
        <v>0</v>
      </c>
      <c r="P19" s="23"/>
      <c r="Q19" s="86"/>
      <c r="R19" s="25">
        <f>Table_Input_Pesticides[[#This Row],[Total applied]]*Table_Input_Pesticides[[#This Row],[Active ingredient 3 amount]]*IF(Table_Input_Pesticides[[#This Row],[Constituent unit (select)]]="fraction of product", 1, 10^-3)</f>
        <v>0</v>
      </c>
    </row>
    <row r="20" spans="1:18" ht="20.100000000000001" customHeight="1" x14ac:dyDescent="0.25">
      <c r="A20" s="5" t="str">
        <f>HYPERLINK("#'Input - Data quality'!A1", "Data quality")</f>
        <v>Data quality</v>
      </c>
      <c r="D20" s="93"/>
      <c r="E20" s="245"/>
      <c r="F20" s="23"/>
      <c r="G20" s="86"/>
      <c r="H20" s="25">
        <f>Table_Input_Pesticides[[#This Row],[Amount applied per ha]]*Table_Input_Pesticides[[#This Row],[Application area (ha)]]</f>
        <v>0</v>
      </c>
      <c r="I20" s="23"/>
      <c r="J20" s="23"/>
      <c r="K20" s="86"/>
      <c r="L20" s="25">
        <f>Table_Input_Pesticides[[#This Row],[Total applied]]*Table_Input_Pesticides[[#This Row],[Active ingredient 1 amount]]*IF(Table_Input_Pesticides[[#This Row],[Constituent unit (select)]]="fraction of product", 1, 10^-3)</f>
        <v>0</v>
      </c>
      <c r="M20" s="23"/>
      <c r="N20" s="86"/>
      <c r="O20" s="25">
        <f>Table_Input_Pesticides[[#This Row],[Total applied]]*Table_Input_Pesticides[[#This Row],[Active ingredient 2 amount]]*IF(Table_Input_Pesticides[[#This Row],[Constituent unit (select)]]="fraction of product", 1, 10^-3)</f>
        <v>0</v>
      </c>
      <c r="P20" s="23"/>
      <c r="Q20" s="86"/>
      <c r="R20" s="25">
        <f>Table_Input_Pesticides[[#This Row],[Total applied]]*Table_Input_Pesticides[[#This Row],[Active ingredient 3 amount]]*IF(Table_Input_Pesticides[[#This Row],[Constituent unit (select)]]="fraction of product", 1, 10^-3)</f>
        <v>0</v>
      </c>
    </row>
    <row r="21" spans="1:18" ht="20.100000000000001" customHeight="1" x14ac:dyDescent="0.25">
      <c r="A21"/>
      <c r="D21" s="35"/>
      <c r="E21" s="35"/>
      <c r="F21" s="35"/>
      <c r="G21" s="35"/>
      <c r="H21" s="35"/>
      <c r="I21" s="35"/>
      <c r="J21" s="35"/>
    </row>
    <row r="22" spans="1:18" ht="20.100000000000001" customHeight="1" x14ac:dyDescent="0.25">
      <c r="A22"/>
      <c r="D22" s="239" t="s">
        <v>715</v>
      </c>
      <c r="E22" s="1"/>
      <c r="F22" s="1"/>
    </row>
    <row r="23" spans="1:18" ht="20.100000000000001" customHeight="1" x14ac:dyDescent="0.25">
      <c r="A23" s="6" t="s">
        <v>2</v>
      </c>
      <c r="D23" s="92" t="s">
        <v>383</v>
      </c>
      <c r="E23" s="92" t="s">
        <v>716</v>
      </c>
      <c r="F23" s="92" t="s">
        <v>717</v>
      </c>
    </row>
    <row r="24" spans="1:18" ht="20.100000000000001" customHeight="1" x14ac:dyDescent="0.25">
      <c r="A24" s="5" t="str">
        <f>HYPERLINK("#'5.1.1.1-2 Inorganic fert N2O'!A1", "5.1.1.1-2 Inorganic fert N2O")</f>
        <v>5.1.1.1-2 Inorganic fert N2O</v>
      </c>
      <c r="D24" s="44" t="s">
        <v>718</v>
      </c>
      <c r="E24" s="23" t="s">
        <v>719</v>
      </c>
      <c r="F24" s="86">
        <v>100</v>
      </c>
    </row>
    <row r="25" spans="1:18" ht="20.100000000000001" customHeight="1" x14ac:dyDescent="0.25">
      <c r="A25" s="5" t="str">
        <f>HYPERLINK("#'5.1.1.3-4 Inorganic fert CO2'!A1", "5.1.1.3-4 Inorganic fert CO2")</f>
        <v>5.1.1.3-4 Inorganic fert CO2</v>
      </c>
      <c r="C25" s="1"/>
      <c r="D25" s="44" t="s">
        <v>720</v>
      </c>
      <c r="E25" s="185" t="s">
        <v>721</v>
      </c>
      <c r="F25" s="246">
        <v>100</v>
      </c>
    </row>
    <row r="26" spans="1:18" ht="20.100000000000001" customHeight="1" x14ac:dyDescent="0.25">
      <c r="A26" s="5" t="str">
        <f>HYPERLINK("#'5.2.1.1-2 Organic Fert N2O'!A1", "5.2.1.1-2 Organic fert N2O")</f>
        <v>5.2.1.1-2 Organic fert N2O</v>
      </c>
      <c r="C26" s="1"/>
      <c r="D26" s="44" t="s">
        <v>722</v>
      </c>
      <c r="E26" s="185" t="s">
        <v>723</v>
      </c>
      <c r="F26" s="246">
        <v>100</v>
      </c>
    </row>
    <row r="27" spans="1:18" ht="20.100000000000001" customHeight="1" x14ac:dyDescent="0.25">
      <c r="A27" s="5" t="str">
        <f>HYPERLINK("#'5.3.1.1-2 Lime CO2'!A1", "5.3.1.1-2 Lime CO2")</f>
        <v>5.3.1.1-2 Lime CO2</v>
      </c>
      <c r="C27" s="1"/>
      <c r="D27" s="44" t="s">
        <v>722</v>
      </c>
      <c r="E27" s="185" t="s">
        <v>723</v>
      </c>
      <c r="F27" s="246">
        <v>100</v>
      </c>
    </row>
    <row r="28" spans="1:18" ht="20.100000000000001" customHeight="1" x14ac:dyDescent="0.25">
      <c r="A28" s="5" t="str">
        <f>HYPERLINK("#'5.4.1.1-4 Atmos deposition'!A1", "5.4.1.1-4 Atmos. deposition")</f>
        <v>5.4.1.1-4 Atmos. deposition</v>
      </c>
      <c r="D28" s="44" t="s">
        <v>718</v>
      </c>
      <c r="E28" s="185" t="s">
        <v>719</v>
      </c>
      <c r="F28" s="246">
        <v>100</v>
      </c>
    </row>
    <row r="29" spans="1:18" ht="20.100000000000001" customHeight="1" x14ac:dyDescent="0.25">
      <c r="A29" s="5" t="str">
        <f>HYPERLINK("#'5.5.1.1-2 Leaching and runoff'!A1", "5.5.1.1-2 Leaching &amp; runoff")</f>
        <v>5.5.1.1-2 Leaching &amp; runoff</v>
      </c>
      <c r="D29" s="44" t="s">
        <v>718</v>
      </c>
      <c r="E29" s="185" t="s">
        <v>719</v>
      </c>
      <c r="F29" s="246">
        <v>100</v>
      </c>
    </row>
    <row r="30" spans="1:18" ht="20.100000000000001" customHeight="1" x14ac:dyDescent="0.25">
      <c r="A30" s="5" t="str">
        <f>HYPERLINK("#'6.1.1.1-2 Crop residue N2O'!A1", "6.1.1.1-2 Crop residue N2O")</f>
        <v>6.1.1.1-2 Crop residue N2O</v>
      </c>
      <c r="D30" s="44"/>
      <c r="E30" s="23"/>
      <c r="F30" s="86"/>
    </row>
    <row r="31" spans="1:18" ht="20.100000000000001" customHeight="1" x14ac:dyDescent="0.25">
      <c r="A31" s="5" t="str">
        <f>HYPERLINK("#'6.3.1.1-2 Leach runoff crop'!A1", "6.3.1.1-2 Leach &amp; runoff (crop)")</f>
        <v>6.3.1.1-2 Leach &amp; runoff (crop)</v>
      </c>
      <c r="D31" s="44"/>
      <c r="E31" s="23"/>
      <c r="F31" s="86"/>
    </row>
    <row r="32" spans="1:18" ht="20.100000000000001" customHeight="1" x14ac:dyDescent="0.25">
      <c r="A32" s="5" t="str">
        <f>HYPERLINK("#'6.4.1.1-2 Residue burning'!A1", "6.4.1.1-2 Residue burning")</f>
        <v>6.4.1.1-2 Residue burning</v>
      </c>
      <c r="D32" s="44"/>
      <c r="E32" s="23"/>
      <c r="F32" s="86"/>
    </row>
    <row r="33" spans="1:6" ht="20.100000000000001" customHeight="1" x14ac:dyDescent="0.25">
      <c r="A33" s="5" t="str">
        <f>HYPERLINK("#'8.1.1.1-2 Transport fuel'!A1", "8.1.1.1-2 Transport fuel")</f>
        <v>8.1.1.1-2 Transport fuel</v>
      </c>
      <c r="D33" s="44"/>
      <c r="E33" s="23"/>
      <c r="F33" s="86"/>
    </row>
    <row r="34" spans="1:6" ht="20.100000000000001" customHeight="1" x14ac:dyDescent="0.25">
      <c r="A34" s="5" t="str">
        <f>HYPERLINK("#'8.2.1.1-2 Stationary fuel'!A1", "8.2.1.1-2 Stationary fuel")</f>
        <v>8.2.1.1-2 Stationary fuel</v>
      </c>
    </row>
    <row r="35" spans="1:6" ht="20.100000000000001" customHeight="1" x14ac:dyDescent="0.25">
      <c r="A35" s="5" t="str">
        <f>HYPERLINK("#'14.1.1-2 Purchased electricity'!A1", "14.1.1-2 Purchased electricity")</f>
        <v>14.1.1-2 Purchased electricity</v>
      </c>
      <c r="D35" s="239" t="s">
        <v>724</v>
      </c>
      <c r="E35" s="1"/>
      <c r="F35" s="1"/>
    </row>
    <row r="36" spans="1:6" ht="20.100000000000001" customHeight="1" x14ac:dyDescent="0.25">
      <c r="A36" s="5" t="str">
        <f>HYPERLINK("#'15 Scope 3'!A1", "15 Scope 3")</f>
        <v>15 Scope 3</v>
      </c>
      <c r="D36" s="92" t="s">
        <v>383</v>
      </c>
      <c r="E36" s="92" t="s">
        <v>716</v>
      </c>
      <c r="F36" s="92" t="s">
        <v>725</v>
      </c>
    </row>
    <row r="37" spans="1:6" ht="20.100000000000001" customHeight="1" x14ac:dyDescent="0.25">
      <c r="A37" s="5" t="str">
        <f>HYPERLINK("#'Calcs - Manure sent off-site'!A1", "Calcs - Manure sent off-site")</f>
        <v>Calcs - Manure sent off-site</v>
      </c>
      <c r="D37" s="44" t="s">
        <v>726</v>
      </c>
      <c r="E37" s="104" t="s">
        <v>727</v>
      </c>
      <c r="F37" s="86">
        <v>100</v>
      </c>
    </row>
    <row r="38" spans="1:6" ht="20.100000000000001" customHeight="1" x14ac:dyDescent="0.25">
      <c r="A38" s="5" t="str">
        <f>HYPERLINK("#'10.1.1-2 Solid waste treatment'!A1", "10.1.1-2 Solid waste treatment")</f>
        <v>10.1.1-2 Solid waste treatment</v>
      </c>
      <c r="D38" s="44" t="s">
        <v>728</v>
      </c>
      <c r="E38" s="247" t="s">
        <v>729</v>
      </c>
      <c r="F38" s="246">
        <v>100</v>
      </c>
    </row>
    <row r="39" spans="1:6" ht="20.100000000000001" customHeight="1" x14ac:dyDescent="0.25">
      <c r="A39"/>
      <c r="D39" s="44" t="s">
        <v>730</v>
      </c>
      <c r="E39" s="247" t="s">
        <v>731</v>
      </c>
      <c r="F39" s="246">
        <v>100</v>
      </c>
    </row>
    <row r="40" spans="1:6" ht="20.100000000000001" customHeight="1" x14ac:dyDescent="0.25">
      <c r="A40"/>
      <c r="D40" s="44" t="s">
        <v>732</v>
      </c>
      <c r="E40" s="247" t="s">
        <v>733</v>
      </c>
      <c r="F40" s="246">
        <v>100</v>
      </c>
    </row>
    <row r="41" spans="1:6" ht="20.100000000000001" customHeight="1" x14ac:dyDescent="0.25">
      <c r="A41" s="121" t="s">
        <v>1</v>
      </c>
      <c r="D41" s="44" t="s">
        <v>726</v>
      </c>
      <c r="E41" s="247" t="s">
        <v>727</v>
      </c>
      <c r="F41" s="246">
        <v>100</v>
      </c>
    </row>
    <row r="42" spans="1:6" ht="20.100000000000001" customHeight="1" x14ac:dyDescent="0.25">
      <c r="A42" s="5" t="str">
        <f>HYPERLINK("#'Constants - Ag Residue'!A1", "Constants - Ag residue")</f>
        <v>Constants - Ag residue</v>
      </c>
      <c r="D42" s="44" t="s">
        <v>728</v>
      </c>
      <c r="E42" s="247" t="s">
        <v>729</v>
      </c>
      <c r="F42" s="246">
        <v>100</v>
      </c>
    </row>
    <row r="43" spans="1:6" ht="20.100000000000001" customHeight="1" x14ac:dyDescent="0.25">
      <c r="A43" s="5" t="str">
        <f>HYPERLINK("#'Constants - Common Livestock'!A1", "Constants - Common Livestock")</f>
        <v>Constants - Common Livestock</v>
      </c>
      <c r="D43" s="44"/>
      <c r="E43" s="104"/>
      <c r="F43" s="86"/>
    </row>
    <row r="44" spans="1:6" ht="20.100000000000001" customHeight="1" x14ac:dyDescent="0.25">
      <c r="A44" s="5" t="str">
        <f>HYPERLINK("#'Constants - Electricity'!A1", "Constants - Electricity")</f>
        <v>Constants - Electricity</v>
      </c>
      <c r="C44" s="1"/>
      <c r="D44" s="44"/>
      <c r="E44" s="104"/>
      <c r="F44" s="86"/>
    </row>
    <row r="45" spans="1:6" ht="20.100000000000001" customHeight="1" x14ac:dyDescent="0.25">
      <c r="A45" s="5" t="str">
        <f>HYPERLINK("#'Constants - Fertiliser'!A1", "Constants - Fertiliser")</f>
        <v>Constants - Fertiliser</v>
      </c>
      <c r="C45" s="1"/>
      <c r="D45" s="44"/>
      <c r="E45" s="104"/>
      <c r="F45" s="86"/>
    </row>
    <row r="46" spans="1:6" ht="20.100000000000001" customHeight="1" x14ac:dyDescent="0.25">
      <c r="A46" s="5" t="str">
        <f>HYPERLINK("#'Constants - Fuel'!A1", "Constants - Fuel")</f>
        <v>Constants - Fuel</v>
      </c>
      <c r="C46" s="1"/>
      <c r="D46" s="44"/>
      <c r="E46" s="104"/>
      <c r="F46" s="86"/>
    </row>
    <row r="47" spans="1:6" ht="20.100000000000001" customHeight="1" x14ac:dyDescent="0.25">
      <c r="A47" s="5" t="str">
        <f>HYPERLINK("#'Constants - Scope 3'!A1", "Constants - Scope 3")</f>
        <v>Constants - Scope 3</v>
      </c>
      <c r="C47" s="1"/>
    </row>
    <row r="48" spans="1:6" ht="20.100000000000001" customHeight="1" x14ac:dyDescent="0.25">
      <c r="A48" s="5" t="str">
        <f>HYPERLINK("#'Constants - Common'!A1", "Constants - Common")</f>
        <v>Constants - Common</v>
      </c>
      <c r="C48" s="1"/>
    </row>
    <row r="49" spans="1:17" ht="20.100000000000001" customHeight="1" x14ac:dyDescent="0.25">
      <c r="A49" s="5" t="str">
        <f>HYPERLINK("#'Constants - Solid Waste'!A1", "Constants - Solid Waste")</f>
        <v>Constants - Solid Waste</v>
      </c>
      <c r="C49" s="1"/>
      <c r="D49" s="2" t="s">
        <v>734</v>
      </c>
    </row>
    <row r="50" spans="1:17" ht="20.100000000000001" customHeight="1" x14ac:dyDescent="0.25">
      <c r="A50"/>
      <c r="D50" s="239" t="s">
        <v>735</v>
      </c>
      <c r="E50" s="248"/>
      <c r="F50" s="249"/>
    </row>
    <row r="51" spans="1:17" ht="20.100000000000001" customHeight="1" x14ac:dyDescent="0.25">
      <c r="A51"/>
      <c r="D51" s="1" t="str" cm="1">
        <f t="array" ref="D51:D53">Table_SourceData_Scope3_LickBlocks[Product]</f>
        <v>Lick block, dry season mix</v>
      </c>
      <c r="E51" s="86">
        <v>100</v>
      </c>
      <c r="F51" s="26" t="s">
        <v>282</v>
      </c>
    </row>
    <row r="52" spans="1:17" ht="20.100000000000001" customHeight="1" x14ac:dyDescent="0.25">
      <c r="A52"/>
      <c r="D52" s="1" t="str">
        <v>Lick block, mineral</v>
      </c>
      <c r="E52" s="86">
        <v>100</v>
      </c>
      <c r="F52" s="26" t="s">
        <v>282</v>
      </c>
    </row>
    <row r="53" spans="1:17" ht="20.100000000000001" customHeight="1" x14ac:dyDescent="0.25">
      <c r="A53"/>
      <c r="D53" s="1" t="str">
        <v>Lick block, weaner</v>
      </c>
      <c r="E53" s="86">
        <v>100</v>
      </c>
      <c r="F53" s="26" t="s">
        <v>282</v>
      </c>
    </row>
    <row r="54" spans="1:17" ht="20.100000000000001" customHeight="1" x14ac:dyDescent="0.25">
      <c r="A54"/>
      <c r="D54" s="1"/>
      <c r="E54" s="1"/>
      <c r="F54" s="1"/>
    </row>
    <row r="55" spans="1:17" ht="20.100000000000001" customHeight="1" x14ac:dyDescent="0.25">
      <c r="A55"/>
      <c r="D55" s="239" t="s">
        <v>736</v>
      </c>
      <c r="E55" s="35"/>
      <c r="F55" s="35"/>
    </row>
    <row r="56" spans="1:17" ht="20.100000000000001" customHeight="1" x14ac:dyDescent="0.25">
      <c r="A56"/>
      <c r="D56" s="1" t="str" cm="1">
        <f t="array" ref="D56:D59">Table_SourceData_Scope3_MixedRations[Product]</f>
        <v>Feed for chickens</v>
      </c>
      <c r="E56" s="86">
        <v>100</v>
      </c>
      <c r="F56" s="26" t="s">
        <v>282</v>
      </c>
    </row>
    <row r="57" spans="1:17" ht="20.100000000000001" customHeight="1" x14ac:dyDescent="0.25">
      <c r="A57"/>
      <c r="D57" s="1" t="str">
        <v>Feed for dairy calves</v>
      </c>
      <c r="E57" s="86">
        <v>100</v>
      </c>
      <c r="F57" s="26" t="s">
        <v>282</v>
      </c>
    </row>
    <row r="58" spans="1:17" ht="20.100000000000001" customHeight="1" x14ac:dyDescent="0.25">
      <c r="A58"/>
      <c r="D58" s="1" t="str">
        <v>Feed for dairy cows</v>
      </c>
      <c r="E58" s="86">
        <v>100</v>
      </c>
      <c r="F58" s="26" t="s">
        <v>282</v>
      </c>
    </row>
    <row r="59" spans="1:17" ht="20.100000000000001" customHeight="1" x14ac:dyDescent="0.25">
      <c r="A59"/>
      <c r="D59" s="1" t="str">
        <v>Feed for pigs</v>
      </c>
      <c r="E59" s="86">
        <v>100</v>
      </c>
      <c r="F59" s="26" t="s">
        <v>282</v>
      </c>
    </row>
    <row r="60" spans="1:17" ht="20.100000000000001" customHeight="1" x14ac:dyDescent="0.25">
      <c r="A60"/>
      <c r="D60" s="35"/>
      <c r="E60" s="35"/>
      <c r="F60" s="35"/>
    </row>
    <row r="61" spans="1:17" ht="20.100000000000001" customHeight="1" x14ac:dyDescent="0.25">
      <c r="A61"/>
      <c r="D61" s="239" t="s">
        <v>737</v>
      </c>
      <c r="E61" s="35"/>
      <c r="F61" s="35"/>
    </row>
    <row r="62" spans="1:17" ht="20.100000000000001" customHeight="1" x14ac:dyDescent="0.25">
      <c r="A62"/>
      <c r="D62" s="182" t="s">
        <v>738</v>
      </c>
      <c r="E62" s="182" t="s">
        <v>739</v>
      </c>
      <c r="F62" s="182" t="s">
        <v>233</v>
      </c>
      <c r="G62" s="182" t="s">
        <v>740</v>
      </c>
      <c r="H62" s="182" t="s">
        <v>212</v>
      </c>
      <c r="I62" s="182" t="s">
        <v>741</v>
      </c>
      <c r="J62" s="182" t="s">
        <v>742</v>
      </c>
      <c r="K62" s="182" t="s">
        <v>214</v>
      </c>
      <c r="L62" s="182" t="s">
        <v>743</v>
      </c>
      <c r="M62" s="182" t="s">
        <v>744</v>
      </c>
      <c r="N62" s="182" t="s">
        <v>216</v>
      </c>
      <c r="O62" s="182" t="s">
        <v>745</v>
      </c>
      <c r="P62" s="182" t="s">
        <v>746</v>
      </c>
      <c r="Q62" s="182" t="s">
        <v>218</v>
      </c>
    </row>
    <row r="63" spans="1:17" ht="20.100000000000001" customHeight="1" x14ac:dyDescent="0.25">
      <c r="A63"/>
      <c r="D63" s="37"/>
      <c r="E63" s="250">
        <v>1200</v>
      </c>
      <c r="F63" s="23" t="s">
        <v>747</v>
      </c>
      <c r="G63" s="23" t="s">
        <v>748</v>
      </c>
      <c r="H63" s="183">
        <v>0.35</v>
      </c>
      <c r="I63" s="23" t="s">
        <v>749</v>
      </c>
      <c r="J63" s="23" t="s">
        <v>748</v>
      </c>
      <c r="K63" s="183">
        <v>0.22</v>
      </c>
      <c r="L63" s="23" t="s">
        <v>750</v>
      </c>
      <c r="M63" s="23" t="s">
        <v>751</v>
      </c>
      <c r="N63" s="183">
        <v>0.12</v>
      </c>
      <c r="O63" s="23" t="s">
        <v>752</v>
      </c>
      <c r="P63" s="23" t="s">
        <v>753</v>
      </c>
      <c r="Q63" s="183">
        <v>0.05</v>
      </c>
    </row>
    <row r="64" spans="1:17" ht="20.100000000000001" customHeight="1" x14ac:dyDescent="0.25">
      <c r="A64"/>
      <c r="D64" s="37"/>
      <c r="E64" s="250">
        <v>3456</v>
      </c>
      <c r="F64" s="23" t="s">
        <v>754</v>
      </c>
      <c r="G64" s="23" t="s">
        <v>755</v>
      </c>
      <c r="H64" s="183">
        <v>0.2</v>
      </c>
      <c r="I64" s="23" t="s">
        <v>754</v>
      </c>
      <c r="J64" s="23" t="s">
        <v>756</v>
      </c>
      <c r="K64" s="183">
        <v>0.2</v>
      </c>
      <c r="L64" s="23"/>
      <c r="M64" s="23"/>
      <c r="N64" s="183"/>
      <c r="O64" s="23"/>
      <c r="P64" s="23"/>
      <c r="Q64" s="183"/>
    </row>
    <row r="65" spans="1:17" ht="20.100000000000001" customHeight="1" x14ac:dyDescent="0.25">
      <c r="A65"/>
      <c r="D65" s="37" t="s">
        <v>757</v>
      </c>
      <c r="E65" s="250">
        <v>300</v>
      </c>
      <c r="F65" s="23" t="s">
        <v>758</v>
      </c>
      <c r="G65" s="23" t="s">
        <v>759</v>
      </c>
      <c r="H65" s="183">
        <v>0.8</v>
      </c>
      <c r="I65" s="23" t="s">
        <v>760</v>
      </c>
      <c r="J65" s="23" t="s">
        <v>761</v>
      </c>
      <c r="K65" s="183">
        <v>0.2</v>
      </c>
      <c r="L65" s="23"/>
      <c r="M65" s="23"/>
      <c r="N65" s="183"/>
      <c r="O65" s="23"/>
      <c r="P65" s="23"/>
      <c r="Q65" s="183"/>
    </row>
    <row r="66" spans="1:17" ht="20.100000000000001" customHeight="1" x14ac:dyDescent="0.25">
      <c r="A66"/>
      <c r="D66" s="37"/>
      <c r="E66" s="250">
        <v>500</v>
      </c>
      <c r="F66" s="23" t="s">
        <v>762</v>
      </c>
      <c r="G66" s="23" t="s">
        <v>759</v>
      </c>
      <c r="H66" s="183">
        <v>1</v>
      </c>
      <c r="I66" s="23"/>
      <c r="J66" s="23"/>
      <c r="K66" s="183"/>
      <c r="L66" s="23"/>
      <c r="M66" s="23"/>
      <c r="N66" s="183"/>
      <c r="O66" s="23"/>
      <c r="P66" s="23"/>
      <c r="Q66" s="183"/>
    </row>
    <row r="67" spans="1:17" ht="20.100000000000001" customHeight="1" x14ac:dyDescent="0.25">
      <c r="A67"/>
      <c r="D67" s="37"/>
      <c r="E67" s="250"/>
      <c r="F67" s="23"/>
      <c r="G67" s="23"/>
      <c r="H67" s="183"/>
      <c r="I67" s="23"/>
      <c r="J67" s="23"/>
      <c r="K67" s="183"/>
      <c r="L67" s="23"/>
      <c r="M67" s="23"/>
      <c r="N67" s="183"/>
      <c r="O67" s="23"/>
      <c r="P67" s="23"/>
      <c r="Q67" s="183"/>
    </row>
    <row r="68" spans="1:17" ht="20.100000000000001" customHeight="1" x14ac:dyDescent="0.25">
      <c r="A68"/>
      <c r="D68" s="37"/>
      <c r="E68" s="250"/>
      <c r="F68" s="23"/>
      <c r="G68" s="23"/>
      <c r="H68" s="183"/>
      <c r="I68" s="23"/>
      <c r="J68" s="23"/>
      <c r="K68" s="183"/>
      <c r="L68" s="23"/>
      <c r="M68" s="23"/>
      <c r="N68" s="183"/>
      <c r="O68" s="23"/>
      <c r="P68" s="23"/>
      <c r="Q68" s="183"/>
    </row>
    <row r="69" spans="1:17" ht="20.100000000000001" customHeight="1" x14ac:dyDescent="0.25">
      <c r="A69"/>
      <c r="D69" s="37"/>
      <c r="E69" s="250"/>
      <c r="F69" s="23"/>
      <c r="G69" s="23"/>
      <c r="H69" s="183"/>
      <c r="I69" s="23"/>
      <c r="J69" s="23"/>
      <c r="K69" s="183"/>
      <c r="L69" s="23"/>
      <c r="M69" s="23"/>
      <c r="N69" s="183"/>
      <c r="O69" s="23"/>
      <c r="P69" s="23"/>
      <c r="Q69" s="183"/>
    </row>
    <row r="70" spans="1:17" ht="20.100000000000001" customHeight="1" x14ac:dyDescent="0.25">
      <c r="A70"/>
      <c r="D70" s="37"/>
      <c r="E70" s="250"/>
      <c r="F70" s="23"/>
      <c r="G70" s="23"/>
      <c r="H70" s="183"/>
      <c r="I70" s="23"/>
      <c r="J70" s="23"/>
      <c r="K70" s="183"/>
      <c r="L70" s="23"/>
      <c r="M70" s="23"/>
      <c r="N70" s="183"/>
      <c r="O70" s="23"/>
      <c r="P70" s="23"/>
      <c r="Q70" s="183"/>
    </row>
    <row r="71" spans="1:17" ht="20.100000000000001" customHeight="1" x14ac:dyDescent="0.25">
      <c r="A71"/>
      <c r="D71" s="37"/>
      <c r="E71" s="250"/>
      <c r="F71" s="23"/>
      <c r="G71" s="23"/>
      <c r="H71" s="183"/>
      <c r="I71" s="23"/>
      <c r="J71" s="23"/>
      <c r="K71" s="183"/>
      <c r="L71" s="23"/>
      <c r="M71" s="23"/>
      <c r="N71" s="183"/>
      <c r="O71" s="23"/>
      <c r="P71" s="23"/>
      <c r="Q71" s="183"/>
    </row>
    <row r="72" spans="1:17" ht="20.100000000000001" customHeight="1" x14ac:dyDescent="0.25">
      <c r="A72"/>
      <c r="D72" s="37"/>
      <c r="E72" s="250"/>
      <c r="F72" s="23"/>
      <c r="G72" s="23"/>
      <c r="H72" s="183"/>
      <c r="I72" s="23"/>
      <c r="J72" s="23"/>
      <c r="K72" s="183"/>
      <c r="L72" s="23"/>
      <c r="M72" s="23"/>
      <c r="N72" s="183"/>
      <c r="O72" s="23"/>
      <c r="P72" s="23"/>
      <c r="Q72" s="183"/>
    </row>
    <row r="73" spans="1:17" ht="20.100000000000001" customHeight="1" x14ac:dyDescent="0.25">
      <c r="A73"/>
    </row>
    <row r="74" spans="1:17" ht="20.100000000000001" customHeight="1" x14ac:dyDescent="0.25">
      <c r="A74"/>
      <c r="K74" s="242"/>
    </row>
    <row r="75" spans="1:17" ht="20.100000000000001" customHeight="1" x14ac:dyDescent="0.25">
      <c r="A75"/>
      <c r="D75" s="2" t="s">
        <v>763</v>
      </c>
    </row>
    <row r="76" spans="1:17" ht="20.100000000000001" customHeight="1" x14ac:dyDescent="0.25">
      <c r="A76"/>
      <c r="D76" s="36"/>
    </row>
    <row r="77" spans="1:17" ht="20.100000000000001" customHeight="1" x14ac:dyDescent="0.25">
      <c r="A77"/>
      <c r="D77" s="251" t="s">
        <v>764</v>
      </c>
      <c r="E77" s="251" t="s">
        <v>765</v>
      </c>
      <c r="F77" s="251" t="s">
        <v>766</v>
      </c>
      <c r="G77" s="251" t="s">
        <v>451</v>
      </c>
    </row>
    <row r="78" spans="1:17" ht="20.100000000000001" customHeight="1" x14ac:dyDescent="0.25">
      <c r="A78"/>
      <c r="D78" s="44" t="s">
        <v>767</v>
      </c>
      <c r="E78" s="44" t="s">
        <v>768</v>
      </c>
      <c r="F78" s="86">
        <v>10000</v>
      </c>
      <c r="G78" s="23" t="s">
        <v>769</v>
      </c>
    </row>
    <row r="79" spans="1:17" ht="20.100000000000001" customHeight="1" x14ac:dyDescent="0.25">
      <c r="A79"/>
      <c r="D79" s="44" t="s">
        <v>770</v>
      </c>
      <c r="E79" s="44" t="s">
        <v>771</v>
      </c>
      <c r="F79" s="86">
        <v>1000</v>
      </c>
      <c r="G79" s="23" t="s">
        <v>772</v>
      </c>
    </row>
    <row r="80" spans="1:17" ht="20.100000000000001" customHeight="1" x14ac:dyDescent="0.25">
      <c r="A80"/>
      <c r="D80" s="44"/>
      <c r="E80" s="44"/>
      <c r="F80" s="86"/>
      <c r="G80" s="23"/>
    </row>
    <row r="81" spans="1:10" ht="20.100000000000001" customHeight="1" x14ac:dyDescent="0.25">
      <c r="A81"/>
      <c r="D81" s="44"/>
      <c r="E81" s="44"/>
      <c r="F81" s="86"/>
      <c r="G81" s="23"/>
    </row>
    <row r="82" spans="1:10" ht="20.100000000000001" customHeight="1" x14ac:dyDescent="0.25">
      <c r="A82"/>
      <c r="D82" s="44"/>
      <c r="E82" s="44"/>
      <c r="F82" s="86"/>
      <c r="G82" s="23"/>
    </row>
    <row r="83" spans="1:10" ht="20.100000000000001" customHeight="1" x14ac:dyDescent="0.25">
      <c r="A83"/>
      <c r="D83" s="44"/>
      <c r="E83" s="44"/>
      <c r="F83" s="86"/>
      <c r="G83" s="23"/>
    </row>
    <row r="84" spans="1:10" ht="20.100000000000001" customHeight="1" x14ac:dyDescent="0.25">
      <c r="A84"/>
      <c r="D84" s="44"/>
      <c r="E84" s="44"/>
      <c r="F84" s="86"/>
      <c r="G84" s="23"/>
    </row>
    <row r="85" spans="1:10" ht="20.100000000000001" customHeight="1" x14ac:dyDescent="0.25">
      <c r="A85"/>
      <c r="D85" s="44"/>
      <c r="E85" s="44"/>
      <c r="F85" s="86"/>
      <c r="G85" s="23"/>
    </row>
    <row r="86" spans="1:10" ht="20.100000000000001" customHeight="1" x14ac:dyDescent="0.25">
      <c r="A86"/>
      <c r="D86" s="44"/>
      <c r="E86" s="44"/>
      <c r="F86" s="86"/>
      <c r="G86" s="23"/>
    </row>
    <row r="87" spans="1:10" ht="20.100000000000001" customHeight="1" x14ac:dyDescent="0.25">
      <c r="A87"/>
      <c r="D87" s="44"/>
      <c r="E87" s="44"/>
      <c r="F87" s="86"/>
      <c r="G87" s="23"/>
    </row>
    <row r="88" spans="1:10" ht="20.100000000000001" customHeight="1" x14ac:dyDescent="0.25">
      <c r="A88"/>
    </row>
    <row r="89" spans="1:10" ht="20.100000000000001" customHeight="1" x14ac:dyDescent="0.25">
      <c r="A89"/>
    </row>
    <row r="90" spans="1:10" ht="20.100000000000001" customHeight="1" x14ac:dyDescent="0.25">
      <c r="A90"/>
      <c r="D90" s="2" t="s">
        <v>773</v>
      </c>
    </row>
    <row r="91" spans="1:10" ht="20.100000000000001" customHeight="1" x14ac:dyDescent="0.25">
      <c r="A91"/>
    </row>
    <row r="92" spans="1:10" ht="20.100000000000001" customHeight="1" x14ac:dyDescent="0.25">
      <c r="A92"/>
      <c r="D92" s="126" t="s">
        <v>774</v>
      </c>
      <c r="E92" s="126" t="s">
        <v>775</v>
      </c>
      <c r="F92" s="126" t="s">
        <v>776</v>
      </c>
      <c r="G92" s="126" t="s">
        <v>777</v>
      </c>
      <c r="H92" s="126" t="s">
        <v>778</v>
      </c>
      <c r="J92" s="35"/>
    </row>
    <row r="93" spans="1:10" ht="20.100000000000001" customHeight="1" x14ac:dyDescent="0.25">
      <c r="A93"/>
      <c r="D93" s="93" t="s">
        <v>779</v>
      </c>
      <c r="E93" s="86">
        <v>100000</v>
      </c>
      <c r="F93" s="23" t="s">
        <v>780</v>
      </c>
      <c r="G93" s="86">
        <v>0.02</v>
      </c>
      <c r="H93" s="25">
        <f>Table_Input_Packaging[[#This Row],[Quantity purchased]]*Table_Input_Packaging[[#This Row],[Weight per unit (kg)]]</f>
        <v>2000</v>
      </c>
      <c r="J93" s="35"/>
    </row>
    <row r="94" spans="1:10" ht="20.100000000000001" customHeight="1" x14ac:dyDescent="0.25">
      <c r="A94"/>
      <c r="D94" s="93"/>
      <c r="E94" s="252"/>
      <c r="F94" s="23"/>
      <c r="G94" s="86"/>
      <c r="H94" s="25">
        <f>Table_Input_Packaging[[#This Row],[Quantity purchased]]*Table_Input_Packaging[[#This Row],[Weight per unit (kg)]]</f>
        <v>0</v>
      </c>
      <c r="J94" s="35"/>
    </row>
    <row r="95" spans="1:10" ht="20.100000000000001" customHeight="1" x14ac:dyDescent="0.25">
      <c r="A95"/>
      <c r="D95" s="93"/>
      <c r="E95" s="252"/>
      <c r="F95" s="23"/>
      <c r="G95" s="86"/>
      <c r="H95" s="25">
        <f>Table_Input_Packaging[[#This Row],[Quantity purchased]]*Table_Input_Packaging[[#This Row],[Weight per unit (kg)]]</f>
        <v>0</v>
      </c>
      <c r="J95" s="35"/>
    </row>
    <row r="96" spans="1:10" ht="20.100000000000001" customHeight="1" x14ac:dyDescent="0.25">
      <c r="A96"/>
      <c r="D96" s="93"/>
      <c r="E96" s="252"/>
      <c r="F96" s="23"/>
      <c r="G96" s="86"/>
      <c r="H96" s="25">
        <f>Table_Input_Packaging[[#This Row],[Quantity purchased]]*Table_Input_Packaging[[#This Row],[Weight per unit (kg)]]</f>
        <v>0</v>
      </c>
      <c r="J96" s="35"/>
    </row>
    <row r="97" spans="1:10" ht="20.100000000000001" customHeight="1" x14ac:dyDescent="0.25">
      <c r="A97"/>
      <c r="D97" s="93"/>
      <c r="E97" s="252"/>
      <c r="F97" s="23"/>
      <c r="G97" s="86"/>
      <c r="H97" s="25">
        <f>Table_Input_Packaging[[#This Row],[Quantity purchased]]*Table_Input_Packaging[[#This Row],[Weight per unit (kg)]]</f>
        <v>0</v>
      </c>
      <c r="J97" s="2"/>
    </row>
    <row r="98" spans="1:10" ht="20.100000000000001" customHeight="1" x14ac:dyDescent="0.25">
      <c r="A98"/>
      <c r="D98" s="93"/>
      <c r="E98" s="252"/>
      <c r="F98" s="23"/>
      <c r="G98" s="86"/>
      <c r="H98" s="25">
        <f>Table_Input_Packaging[[#This Row],[Quantity purchased]]*Table_Input_Packaging[[#This Row],[Weight per unit (kg)]]</f>
        <v>0</v>
      </c>
      <c r="J98" s="1"/>
    </row>
    <row r="99" spans="1:10" ht="20.100000000000001" customHeight="1" x14ac:dyDescent="0.25">
      <c r="A99"/>
      <c r="D99" s="93"/>
      <c r="E99" s="252"/>
      <c r="F99" s="23"/>
      <c r="G99" s="86"/>
      <c r="H99" s="25">
        <f>Table_Input_Packaging[[#This Row],[Quantity purchased]]*Table_Input_Packaging[[#This Row],[Weight per unit (kg)]]</f>
        <v>0</v>
      </c>
      <c r="J99" s="1"/>
    </row>
    <row r="100" spans="1:10" ht="20.100000000000001" customHeight="1" x14ac:dyDescent="0.25">
      <c r="A100"/>
      <c r="D100" s="93"/>
      <c r="E100" s="252"/>
      <c r="F100" s="23"/>
      <c r="G100" s="86"/>
      <c r="H100" s="25">
        <f>Table_Input_Packaging[[#This Row],[Quantity purchased]]*Table_Input_Packaging[[#This Row],[Weight per unit (kg)]]</f>
        <v>0</v>
      </c>
      <c r="J100" s="1"/>
    </row>
    <row r="101" spans="1:10" ht="20.100000000000001" customHeight="1" x14ac:dyDescent="0.25">
      <c r="A101"/>
      <c r="D101" s="93"/>
      <c r="E101" s="252"/>
      <c r="F101" s="23"/>
      <c r="G101" s="86"/>
      <c r="H101" s="25">
        <f>Table_Input_Packaging[[#This Row],[Quantity purchased]]*Table_Input_Packaging[[#This Row],[Weight per unit (kg)]]</f>
        <v>0</v>
      </c>
      <c r="J101" s="1"/>
    </row>
    <row r="102" spans="1:10" ht="20.100000000000001" customHeight="1" x14ac:dyDescent="0.25">
      <c r="A102"/>
      <c r="D102" s="93"/>
      <c r="E102" s="252"/>
      <c r="F102" s="23"/>
      <c r="G102" s="86"/>
      <c r="H102" s="25">
        <f>Table_Input_Packaging[[#This Row],[Quantity purchased]]*Table_Input_Packaging[[#This Row],[Weight per unit (kg)]]</f>
        <v>0</v>
      </c>
      <c r="J102" s="1"/>
    </row>
    <row r="103" spans="1:10" ht="20.100000000000001" customHeight="1" x14ac:dyDescent="0.25">
      <c r="A103"/>
    </row>
    <row r="104" spans="1:10" ht="20.100000000000001" customHeight="1" x14ac:dyDescent="0.25">
      <c r="A104"/>
    </row>
    <row r="105" spans="1:10" ht="20.100000000000001" customHeight="1" x14ac:dyDescent="0.25">
      <c r="A105"/>
      <c r="D105" s="2" t="s">
        <v>781</v>
      </c>
    </row>
    <row r="106" spans="1:10" ht="20.100000000000001" customHeight="1" x14ac:dyDescent="0.25">
      <c r="A106"/>
      <c r="D106" s="36"/>
    </row>
    <row r="107" spans="1:10" ht="20.100000000000001" customHeight="1" x14ac:dyDescent="0.25">
      <c r="A107"/>
      <c r="D107" s="251" t="s">
        <v>782</v>
      </c>
      <c r="E107" s="251" t="s">
        <v>766</v>
      </c>
      <c r="F107" s="251" t="s">
        <v>451</v>
      </c>
      <c r="J107" s="1"/>
    </row>
    <row r="108" spans="1:10" ht="20.100000000000001" customHeight="1" x14ac:dyDescent="0.25">
      <c r="A108"/>
      <c r="D108" s="44" t="s">
        <v>783</v>
      </c>
      <c r="E108" s="86">
        <v>10000</v>
      </c>
      <c r="F108" s="23" t="s">
        <v>282</v>
      </c>
      <c r="J108" s="1"/>
    </row>
    <row r="109" spans="1:10" ht="20.100000000000001" customHeight="1" x14ac:dyDescent="0.25">
      <c r="A109"/>
      <c r="D109" s="44" t="s">
        <v>784</v>
      </c>
      <c r="E109" s="86">
        <v>100</v>
      </c>
      <c r="F109" s="23" t="s">
        <v>785</v>
      </c>
      <c r="J109" s="1"/>
    </row>
    <row r="110" spans="1:10" ht="20.100000000000001" customHeight="1" x14ac:dyDescent="0.25">
      <c r="A110"/>
      <c r="D110" s="44" t="s">
        <v>786</v>
      </c>
      <c r="E110" s="86">
        <v>10000</v>
      </c>
      <c r="F110" s="23" t="s">
        <v>282</v>
      </c>
      <c r="J110" s="1"/>
    </row>
    <row r="111" spans="1:10" ht="20.100000000000001" customHeight="1" x14ac:dyDescent="0.25">
      <c r="A111"/>
      <c r="D111" s="44"/>
      <c r="E111" s="86"/>
      <c r="F111" s="23"/>
      <c r="J111" s="1"/>
    </row>
    <row r="112" spans="1:10" ht="20.100000000000001" customHeight="1" x14ac:dyDescent="0.25">
      <c r="A112"/>
      <c r="D112" s="44"/>
      <c r="E112" s="86"/>
      <c r="F112" s="23"/>
      <c r="J112" s="1"/>
    </row>
    <row r="113" spans="1:16" ht="20.100000000000001" customHeight="1" x14ac:dyDescent="0.25">
      <c r="A113"/>
      <c r="D113" s="44"/>
      <c r="E113" s="86"/>
      <c r="F113" s="23"/>
      <c r="J113" s="1"/>
      <c r="L113" s="35"/>
      <c r="M113" s="35"/>
      <c r="N113" s="35"/>
      <c r="O113" s="35"/>
      <c r="P113" s="35"/>
    </row>
    <row r="114" spans="1:16" ht="20.100000000000001" customHeight="1" x14ac:dyDescent="0.25">
      <c r="A114"/>
      <c r="D114" s="44"/>
      <c r="E114" s="86"/>
      <c r="F114" s="23"/>
      <c r="J114" s="1"/>
      <c r="L114" s="35"/>
      <c r="M114" s="35"/>
      <c r="N114" s="35"/>
      <c r="O114" s="35"/>
      <c r="P114" s="35"/>
    </row>
    <row r="115" spans="1:16" ht="20.100000000000001" customHeight="1" x14ac:dyDescent="0.25">
      <c r="A115"/>
      <c r="D115" s="44"/>
      <c r="E115" s="86"/>
      <c r="F115" s="23"/>
      <c r="J115" s="1"/>
      <c r="L115" s="35"/>
      <c r="M115" s="35"/>
      <c r="N115" s="35"/>
      <c r="O115" s="35"/>
      <c r="P115" s="35"/>
    </row>
    <row r="116" spans="1:16" ht="20.100000000000001" customHeight="1" x14ac:dyDescent="0.25">
      <c r="A116"/>
      <c r="D116" s="44"/>
      <c r="E116" s="86"/>
      <c r="F116" s="23"/>
      <c r="I116" s="35"/>
      <c r="J116" s="1"/>
      <c r="N116" s="35"/>
      <c r="O116" s="35"/>
      <c r="P116" s="35"/>
    </row>
    <row r="117" spans="1:16" ht="20.100000000000001" customHeight="1" x14ac:dyDescent="0.25">
      <c r="A117"/>
      <c r="D117" s="44"/>
      <c r="E117" s="86"/>
      <c r="F117" s="23"/>
      <c r="I117" s="35"/>
      <c r="J117" s="1"/>
      <c r="N117" s="35"/>
      <c r="O117" s="35"/>
      <c r="P117" s="35"/>
    </row>
    <row r="118" spans="1:16" ht="20.100000000000001" customHeight="1" x14ac:dyDescent="0.25">
      <c r="A118"/>
      <c r="J118" s="35"/>
      <c r="N118" s="2"/>
      <c r="O118" s="2"/>
      <c r="P118" s="35"/>
    </row>
    <row r="119" spans="1:16" ht="20.100000000000001" customHeight="1" x14ac:dyDescent="0.25">
      <c r="A119"/>
      <c r="J119" s="35"/>
      <c r="P119" s="240"/>
    </row>
    <row r="120" spans="1:16" ht="20.100000000000001" customHeight="1" x14ac:dyDescent="0.25">
      <c r="A120"/>
      <c r="D120" s="2" t="s">
        <v>787</v>
      </c>
      <c r="J120" s="35"/>
      <c r="P120" s="240"/>
    </row>
    <row r="121" spans="1:16" ht="20.100000000000001" customHeight="1" x14ac:dyDescent="0.25">
      <c r="A121"/>
      <c r="D121" s="1" t="str">
        <f>'Constants - Scope 3'!E204</f>
        <v>Barley grain (for seed)</v>
      </c>
      <c r="E121" s="86">
        <v>500</v>
      </c>
      <c r="F121" s="26" t="s">
        <v>282</v>
      </c>
      <c r="J121" s="2"/>
      <c r="P121" s="240"/>
    </row>
    <row r="122" spans="1:16" ht="20.100000000000001" customHeight="1" x14ac:dyDescent="0.25">
      <c r="A122"/>
      <c r="D122" s="1" t="str">
        <f>'Constants - Scope 3'!E205</f>
        <v>Maize grain (for seed)</v>
      </c>
      <c r="E122" s="86">
        <v>600</v>
      </c>
      <c r="F122" s="26" t="s">
        <v>282</v>
      </c>
      <c r="G122" s="35"/>
      <c r="H122" s="1"/>
      <c r="J122" s="1"/>
      <c r="P122" s="240"/>
    </row>
    <row r="123" spans="1:16" ht="20.100000000000001" customHeight="1" x14ac:dyDescent="0.25">
      <c r="A123"/>
      <c r="D123" s="1" t="str">
        <f>'Constants - Scope 3'!E207</f>
        <v>Oat grain (for seed)</v>
      </c>
      <c r="E123" s="86">
        <v>700</v>
      </c>
      <c r="F123" s="26" t="s">
        <v>282</v>
      </c>
      <c r="G123" s="35"/>
      <c r="H123" s="1"/>
      <c r="J123" s="1"/>
      <c r="P123" s="240"/>
    </row>
    <row r="124" spans="1:16" ht="20.100000000000001" customHeight="1" x14ac:dyDescent="0.25">
      <c r="A124"/>
      <c r="D124" s="1" t="str">
        <f>'Constants - Scope 3'!E208</f>
        <v>Sorghum grain (for seed)</v>
      </c>
      <c r="E124" s="86">
        <v>800</v>
      </c>
      <c r="F124" s="26" t="s">
        <v>282</v>
      </c>
      <c r="G124" s="35"/>
      <c r="H124" s="35"/>
      <c r="J124" s="1"/>
      <c r="N124" s="35"/>
      <c r="O124" s="35"/>
      <c r="P124" s="35"/>
    </row>
    <row r="125" spans="1:16" ht="20.100000000000001" customHeight="1" x14ac:dyDescent="0.25">
      <c r="A125"/>
      <c r="D125" s="1" t="str">
        <f>'Constants - Scope 3'!E209</f>
        <v>Wheat grain (for seed)</v>
      </c>
      <c r="E125" s="86">
        <v>900</v>
      </c>
      <c r="F125" s="26" t="s">
        <v>282</v>
      </c>
      <c r="G125" s="35"/>
      <c r="H125" s="35"/>
      <c r="I125" s="35"/>
      <c r="J125" s="1"/>
      <c r="N125" s="35"/>
      <c r="O125" s="35"/>
      <c r="P125" s="35"/>
    </row>
    <row r="126" spans="1:16" ht="20.100000000000001" customHeight="1" x14ac:dyDescent="0.25">
      <c r="A126"/>
      <c r="G126" s="35"/>
      <c r="I126" s="35"/>
      <c r="J126" s="1"/>
    </row>
    <row r="127" spans="1:16" ht="20.100000000000001" customHeight="1" x14ac:dyDescent="0.25">
      <c r="A127"/>
      <c r="D127" s="2" t="s">
        <v>788</v>
      </c>
      <c r="G127" s="1"/>
      <c r="I127" s="35"/>
      <c r="J127" s="35"/>
    </row>
    <row r="128" spans="1:16" ht="20.100000000000001" customHeight="1" x14ac:dyDescent="0.25">
      <c r="A128"/>
      <c r="D128" s="1" t="str">
        <f>'Constants - Scope 3'!E202</f>
        <v>Animal ear tags (large)</v>
      </c>
      <c r="E128" s="86">
        <v>100</v>
      </c>
      <c r="F128" s="26" t="s">
        <v>789</v>
      </c>
      <c r="G128" s="1"/>
      <c r="I128" s="35"/>
      <c r="J128" s="35"/>
    </row>
    <row r="129" spans="1:13" ht="20.100000000000001" customHeight="1" x14ac:dyDescent="0.25">
      <c r="A129"/>
      <c r="D129" s="1" t="str">
        <f>'Constants - Scope 3'!E203</f>
        <v>Animal ear tags (small)</v>
      </c>
      <c r="E129" s="86">
        <v>200</v>
      </c>
      <c r="F129" s="26" t="s">
        <v>789</v>
      </c>
      <c r="G129" s="1"/>
      <c r="I129" s="35"/>
      <c r="L129" s="35"/>
      <c r="M129" s="35"/>
    </row>
    <row r="130" spans="1:13" ht="20.100000000000001" customHeight="1" x14ac:dyDescent="0.25">
      <c r="A130"/>
      <c r="D130" s="1" t="str">
        <f>'Constants - Scope 3'!E206</f>
        <v>Nylon netting</v>
      </c>
      <c r="E130" s="86">
        <v>300</v>
      </c>
      <c r="F130" s="26" t="s">
        <v>282</v>
      </c>
      <c r="G130" s="1"/>
      <c r="I130" s="35"/>
      <c r="L130" s="35"/>
      <c r="M130" s="35"/>
    </row>
    <row r="131" spans="1:13" ht="20.100000000000001" customHeight="1" x14ac:dyDescent="0.25">
      <c r="A131"/>
      <c r="G131" s="1"/>
      <c r="I131" s="1"/>
      <c r="L131" s="2"/>
      <c r="M131" s="2"/>
    </row>
    <row r="132" spans="1:13" ht="20.100000000000001" customHeight="1" x14ac:dyDescent="0.25">
      <c r="A132"/>
      <c r="G132" s="35"/>
      <c r="I132" s="1"/>
    </row>
    <row r="133" spans="1:13" ht="20.100000000000001" customHeight="1" x14ac:dyDescent="0.25">
      <c r="A133"/>
      <c r="D133" s="2" t="s">
        <v>790</v>
      </c>
      <c r="G133" s="35"/>
      <c r="I133" s="1"/>
    </row>
    <row r="134" spans="1:13" ht="20.100000000000001" customHeight="1" x14ac:dyDescent="0.25">
      <c r="A134"/>
      <c r="D134" s="36"/>
      <c r="I134" s="1"/>
    </row>
    <row r="135" spans="1:13" ht="20.100000000000001" customHeight="1" x14ac:dyDescent="0.25">
      <c r="A135"/>
      <c r="D135" s="92" t="s">
        <v>791</v>
      </c>
      <c r="E135" s="92" t="s">
        <v>543</v>
      </c>
      <c r="F135" s="92" t="s">
        <v>451</v>
      </c>
      <c r="I135" s="1"/>
    </row>
    <row r="136" spans="1:13" ht="20.100000000000001" customHeight="1" x14ac:dyDescent="0.25">
      <c r="A136"/>
      <c r="D136" s="44" t="s">
        <v>792</v>
      </c>
      <c r="E136" s="86">
        <v>1000</v>
      </c>
      <c r="F136" s="44" t="s">
        <v>282</v>
      </c>
      <c r="I136" s="35"/>
    </row>
    <row r="137" spans="1:13" ht="20.100000000000001" customHeight="1" x14ac:dyDescent="0.25">
      <c r="A137"/>
      <c r="D137" s="44"/>
      <c r="E137" s="86"/>
      <c r="F137" s="44"/>
      <c r="I137" s="35"/>
      <c r="L137" s="35"/>
      <c r="M137" s="35"/>
    </row>
    <row r="138" spans="1:13" ht="20.100000000000001" customHeight="1" x14ac:dyDescent="0.25">
      <c r="A138"/>
      <c r="D138" s="44"/>
      <c r="E138" s="86"/>
      <c r="F138" s="44"/>
      <c r="L138" s="35"/>
      <c r="M138" s="35"/>
    </row>
    <row r="139" spans="1:13" ht="20.100000000000001" customHeight="1" x14ac:dyDescent="0.25">
      <c r="A139"/>
      <c r="D139" s="44"/>
      <c r="E139" s="86"/>
      <c r="F139" s="44"/>
    </row>
    <row r="140" spans="1:13" ht="20.100000000000001" customHeight="1" x14ac:dyDescent="0.25">
      <c r="A140"/>
      <c r="D140" s="44"/>
      <c r="E140" s="86"/>
      <c r="F140" s="44"/>
    </row>
    <row r="141" spans="1:13" ht="20.100000000000001" customHeight="1" x14ac:dyDescent="0.25">
      <c r="A141"/>
      <c r="D141" s="44"/>
      <c r="E141" s="86"/>
      <c r="F141" s="44"/>
    </row>
    <row r="142" spans="1:13" ht="20.100000000000001" customHeight="1" x14ac:dyDescent="0.25">
      <c r="A142"/>
      <c r="D142" s="44"/>
      <c r="E142" s="86"/>
      <c r="F142" s="44"/>
    </row>
    <row r="143" spans="1:13" ht="20.100000000000001" customHeight="1" x14ac:dyDescent="0.25">
      <c r="A143"/>
      <c r="D143" s="44"/>
      <c r="E143" s="86"/>
      <c r="F143" s="44"/>
    </row>
    <row r="144" spans="1:13" ht="20.100000000000001" customHeight="1" x14ac:dyDescent="0.25">
      <c r="A144"/>
      <c r="D144" s="44"/>
      <c r="E144" s="86"/>
      <c r="F144" s="44"/>
    </row>
    <row r="145" spans="1:6" ht="20.100000000000001" customHeight="1" x14ac:dyDescent="0.25">
      <c r="A145"/>
      <c r="D145" s="44"/>
      <c r="E145" s="86"/>
      <c r="F145" s="44"/>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237"/>
    </row>
    <row r="166" spans="11:19" ht="20.100000000000001" customHeight="1" x14ac:dyDescent="0.25">
      <c r="S166" s="237"/>
    </row>
    <row r="167" spans="11:19" ht="20.100000000000001" customHeight="1" x14ac:dyDescent="0.25">
      <c r="S167" s="237"/>
    </row>
    <row r="168" spans="11:19" ht="20.100000000000001" customHeight="1" x14ac:dyDescent="0.25">
      <c r="S168" s="237"/>
    </row>
    <row r="169" spans="11:19" ht="20.100000000000001" customHeight="1" x14ac:dyDescent="0.25">
      <c r="S169" s="237"/>
    </row>
    <row r="170" spans="11:19" ht="20.100000000000001" customHeight="1" x14ac:dyDescent="0.25">
      <c r="S170" s="237"/>
    </row>
    <row r="171" spans="11:19" ht="20.100000000000001" customHeight="1" x14ac:dyDescent="0.25">
      <c r="S171" s="237"/>
    </row>
    <row r="172" spans="11:19" ht="20.100000000000001" customHeight="1" x14ac:dyDescent="0.25">
      <c r="S172" s="237"/>
    </row>
    <row r="173" spans="11:19" ht="20.100000000000001" customHeight="1" x14ac:dyDescent="0.25">
      <c r="S173" s="237"/>
    </row>
    <row r="174" spans="11:19" ht="20.100000000000001" customHeight="1" x14ac:dyDescent="0.25">
      <c r="S174" s="237"/>
    </row>
    <row r="175" spans="11:19" ht="20.100000000000001" customHeight="1" x14ac:dyDescent="0.25">
      <c r="S175" s="237"/>
    </row>
    <row r="176" spans="11:19" ht="20.100000000000001" customHeight="1" x14ac:dyDescent="0.25">
      <c r="K176" s="35"/>
    </row>
    <row r="177" spans="11:19" ht="20.100000000000001" customHeight="1" x14ac:dyDescent="0.25">
      <c r="K177" s="35"/>
    </row>
    <row r="178" spans="11:19" ht="20.100000000000001" customHeight="1" x14ac:dyDescent="0.25"/>
    <row r="179" spans="11:19" ht="20.100000000000001" customHeight="1" x14ac:dyDescent="0.25"/>
    <row r="180" spans="11:19" ht="20.100000000000001" customHeight="1" x14ac:dyDescent="0.25">
      <c r="S180" s="237"/>
    </row>
    <row r="181" spans="11:19" ht="20.100000000000001" customHeight="1" x14ac:dyDescent="0.25">
      <c r="S181" s="237"/>
    </row>
    <row r="182" spans="11:19" ht="20.100000000000001" customHeight="1" x14ac:dyDescent="0.25">
      <c r="S182" s="237"/>
    </row>
    <row r="183" spans="11:19" ht="20.100000000000001" customHeight="1" x14ac:dyDescent="0.25">
      <c r="S183" s="237"/>
    </row>
    <row r="184" spans="11:19" ht="20.100000000000001" customHeight="1" x14ac:dyDescent="0.25">
      <c r="S184" s="237"/>
    </row>
    <row r="185" spans="11:19" ht="20.100000000000001" customHeight="1" x14ac:dyDescent="0.25">
      <c r="S185" s="237"/>
    </row>
    <row r="186" spans="11:19" ht="20.100000000000001" customHeight="1" x14ac:dyDescent="0.25">
      <c r="S186" s="237"/>
    </row>
    <row r="187" spans="11:19" ht="20.100000000000001" customHeight="1" x14ac:dyDescent="0.25">
      <c r="S187" s="237"/>
    </row>
    <row r="188" spans="11:19" ht="20.100000000000001" customHeight="1" x14ac:dyDescent="0.25">
      <c r="S188" s="237"/>
    </row>
    <row r="189" spans="11:19" ht="20.100000000000001" customHeight="1" x14ac:dyDescent="0.25">
      <c r="S189" s="237"/>
    </row>
    <row r="190" spans="11:19" ht="20.100000000000001" customHeight="1" x14ac:dyDescent="0.25">
      <c r="S190" s="237"/>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dataValidations count="11">
    <dataValidation type="list" allowBlank="1" showInputMessage="1" showErrorMessage="1" sqref="F108:F117" xr:uid="{41C41E1F-CCA4-4EB3-BE4B-EF5B04157B7E}">
      <formula1>"kg, m3"</formula1>
    </dataValidation>
    <dataValidation type="list" allowBlank="1" showInputMessage="1" showErrorMessage="1" sqref="N122:N123 H122:H123 J125:J126 L135:L136" xr:uid="{766BEA18-EAAF-4342-9B7C-029470D17D45}">
      <formula1>INDIRECT("Table_Scope3_AquacultureFeedBait[Feed / Bait ingredient]")</formula1>
    </dataValidation>
    <dataValidation type="list" allowBlank="1" showInputMessage="1" showErrorMessage="1" sqref="F63:F72 I63:I72 L63:L72 O63:O72" xr:uid="{4E1BF74F-45CD-426C-AA67-64E248B6D5EB}">
      <formula1>INDIRECT(_xlfn.UNIQUE("Table_SourceData_Scope3_Feed[Product]"))</formula1>
    </dataValidation>
    <dataValidation type="list" allowBlank="1" showInputMessage="1" showErrorMessage="1" sqref="M63:M72 P63:P72 J63:J72 G63:G72" xr:uid="{DE2E829D-6A4F-439E-ACE3-AF4926C2ADBD}">
      <formula1>INDIRECT("Table_ProductRegions_" &amp; SUBSTITUTE(SUBSTITUTE(SUBSTITUTE(SUBSTITUTE(F63, " ", ""), ",", ""), "(", ""), ")", "") &amp; "[Region]")</formula1>
    </dataValidation>
    <dataValidation type="list" allowBlank="1" showInputMessage="1" showErrorMessage="1" sqref="G78:G87" xr:uid="{F6FDF7B6-E17D-4F74-8447-86FFD8149977}">
      <formula1>"Hour, Hectare"</formula1>
    </dataValidation>
    <dataValidation type="list" allowBlank="1" showInputMessage="1" showErrorMessage="1" sqref="E37:E46" xr:uid="{4A3AF553-1CF6-4D52-8ED0-D2B4857C007C}">
      <formula1>INDIRECT("Table_SourceData_Scope3_ChemicalsPharmacy[Product]")</formula1>
    </dataValidation>
    <dataValidation type="list" allowBlank="1" showInputMessage="1" showErrorMessage="1" sqref="F11:F20" xr:uid="{6615CFC7-CF81-4FFF-89C5-FB14C5ED8007}">
      <formula1>"kg / hectare, litre / hectare"</formula1>
    </dataValidation>
    <dataValidation type="list" allowBlank="1" showInputMessage="1" showErrorMessage="1" sqref="I11:I20" xr:uid="{9E965741-D8CE-4D2F-AF41-5679CAB2E0B9}">
      <formula1>"grams/litre or grams/kg, fraction of product"</formula1>
    </dataValidation>
    <dataValidation type="list" allowBlank="1" showInputMessage="1" showErrorMessage="1" sqref="J11:J20 M11:M20 P11:P20" xr:uid="{0F405E10-AAA8-4690-A202-6935269D5993}">
      <formula1>INDIRECT("Table_SourceData_Scope3_Pesticides[Product]")</formula1>
    </dataValidation>
    <dataValidation type="list" allowBlank="1" showInputMessage="1" showErrorMessage="1" sqref="F93:F102" xr:uid="{E2A4CA72-8780-43DF-B675-63A8BC97A3BD}">
      <formula1>INDIRECT("Table_SourceData_Scope3_Packaging[Product]")</formula1>
    </dataValidation>
    <dataValidation type="list" allowBlank="1" showInputMessage="1" showErrorMessage="1" sqref="E24:E33" xr:uid="{634386BB-9BC8-407E-9CDA-09AFC47841D8}">
      <formula1>INDIRECT("Table_SourceData_Scope3_ChemicalsCleaning[Product]")</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A9C9B-CEF7-4185-B6D8-C7B9469B0287}">
  <sheetPr>
    <tabColor theme="5" tint="-0.249977111117893"/>
  </sheetPr>
  <dimension ref="A1:J160"/>
  <sheetViews>
    <sheetView showGridLines="0" zoomScaleNormal="100" workbookViewId="0">
      <selection activeCell="A49" sqref="A49"/>
    </sheetView>
  </sheetViews>
  <sheetFormatPr defaultRowHeight="15.75" x14ac:dyDescent="0.25"/>
  <cols>
    <col min="1" max="1" width="35" style="238" customWidth="1"/>
    <col min="2" max="2" width="5.28515625" style="238" customWidth="1"/>
    <col min="3" max="3" width="5.28515625" style="1" customWidth="1"/>
    <col min="4" max="4" width="46.5703125" style="1" customWidth="1"/>
    <col min="5" max="9" width="35" style="1" customWidth="1"/>
    <col min="10" max="10" width="5.28515625" style="1" customWidth="1"/>
    <col min="11" max="16384" width="9.140625" style="238"/>
  </cols>
  <sheetData>
    <row r="1" spans="1:10" s="16" customFormat="1" ht="30" customHeight="1" x14ac:dyDescent="0.35">
      <c r="C1" s="16" t="s">
        <v>793</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HYPERLINK("#'Overview'!A1", "Overview")</f>
        <v>Overview</v>
      </c>
    </row>
    <row r="5" spans="1:10" ht="20.100000000000001" customHeight="1" x14ac:dyDescent="0.25">
      <c r="A5" s="5" t="str">
        <f>HYPERLINK("#'Results'!A1", "Results")</f>
        <v>Results</v>
      </c>
    </row>
    <row r="6" spans="1:10" ht="20.100000000000001" customHeight="1" x14ac:dyDescent="0.25">
      <c r="A6"/>
      <c r="D6" s="2" t="s">
        <v>794</v>
      </c>
    </row>
    <row r="7" spans="1:10" ht="20.100000000000001" customHeight="1" x14ac:dyDescent="0.25">
      <c r="A7"/>
    </row>
    <row r="8" spans="1:10" ht="20.100000000000001" customHeight="1" x14ac:dyDescent="0.25">
      <c r="A8" s="7" t="s">
        <v>0</v>
      </c>
      <c r="D8" s="30" t="s">
        <v>795</v>
      </c>
      <c r="E8" s="30" t="s">
        <v>796</v>
      </c>
      <c r="F8" s="30" t="s">
        <v>797</v>
      </c>
      <c r="G8" s="30" t="s">
        <v>798</v>
      </c>
      <c r="H8" s="30" t="s">
        <v>799</v>
      </c>
    </row>
    <row r="9" spans="1:10" ht="20.100000000000001" customHeight="1" x14ac:dyDescent="0.25">
      <c r="A9" s="5" t="str">
        <f>HYPERLINK("#'Input - Enterprise'!A1", "Enterprise")</f>
        <v>Enterprise</v>
      </c>
      <c r="D9" s="30" t="s">
        <v>800</v>
      </c>
      <c r="E9" s="23" t="s">
        <v>801</v>
      </c>
      <c r="F9" s="30">
        <v>986</v>
      </c>
      <c r="G9" s="30">
        <v>10</v>
      </c>
      <c r="H9" s="30">
        <v>52</v>
      </c>
    </row>
    <row r="10" spans="1:10" ht="20.100000000000001" customHeight="1" x14ac:dyDescent="0.25">
      <c r="A10" s="5" t="str">
        <f>HYPERLINK("#'Input - Site'!A1", "Site")</f>
        <v>Site</v>
      </c>
      <c r="D10" s="30" t="s">
        <v>802</v>
      </c>
      <c r="E10" s="23" t="s">
        <v>803</v>
      </c>
      <c r="F10" s="30">
        <v>65</v>
      </c>
      <c r="G10" s="30">
        <v>10</v>
      </c>
      <c r="H10" s="30">
        <v>6</v>
      </c>
    </row>
    <row r="11" spans="1:10" ht="20.100000000000001" customHeight="1" x14ac:dyDescent="0.25">
      <c r="A11" s="5" t="str">
        <f>HYPERLINK("#'Input - Crop'!A1", "Crop")</f>
        <v>Crop</v>
      </c>
      <c r="D11" s="30"/>
      <c r="E11" s="23"/>
      <c r="F11" s="30"/>
      <c r="G11" s="30"/>
      <c r="H11" s="30"/>
    </row>
    <row r="12" spans="1:10" ht="20.100000000000001" customHeight="1" x14ac:dyDescent="0.25">
      <c r="A12" s="5" t="str">
        <f>HYPERLINK("#'Input - Fert Prod System'!A1", "Fert Prod System")</f>
        <v>Fert Prod System</v>
      </c>
      <c r="D12" s="30"/>
      <c r="E12" s="23"/>
      <c r="F12" s="30"/>
      <c r="G12" s="30"/>
      <c r="H12" s="30"/>
    </row>
    <row r="13" spans="1:10" ht="20.100000000000001" customHeight="1" x14ac:dyDescent="0.25">
      <c r="A13" s="5" t="str">
        <f>HYPERLINK("#'Input - Fertiliser'!A1", "Fertiliser")</f>
        <v>Fertiliser</v>
      </c>
      <c r="D13" s="30"/>
      <c r="E13" s="23"/>
      <c r="F13" s="30"/>
      <c r="G13" s="30"/>
      <c r="H13" s="30"/>
    </row>
    <row r="14" spans="1:10" ht="20.100000000000001" customHeight="1" x14ac:dyDescent="0.25">
      <c r="A14" s="5" t="str">
        <f>HYPERLINK("#'Input - Fuel'!A1", "Fuel")</f>
        <v>Fuel</v>
      </c>
      <c r="D14" s="30"/>
      <c r="E14" s="23"/>
      <c r="F14" s="30"/>
      <c r="G14" s="30"/>
      <c r="H14" s="30"/>
    </row>
    <row r="15" spans="1:10" ht="20.100000000000001" customHeight="1" x14ac:dyDescent="0.25">
      <c r="A15" s="5" t="str">
        <f>HYPERLINK("#'Input - Electricity'!A1", "Electricity")</f>
        <v>Electricity</v>
      </c>
      <c r="D15" s="30"/>
      <c r="E15" s="23"/>
      <c r="F15" s="30"/>
      <c r="G15" s="30"/>
      <c r="H15" s="30"/>
    </row>
    <row r="16" spans="1:10" ht="20.100000000000001" customHeight="1" x14ac:dyDescent="0.25">
      <c r="A16" s="5" t="str">
        <f>HYPERLINK("#'Input - Farm Inputs'!A1", "Farm Inputs")</f>
        <v>Farm Inputs</v>
      </c>
      <c r="D16" s="30"/>
      <c r="E16" s="23"/>
      <c r="F16" s="30"/>
      <c r="G16" s="30"/>
      <c r="H16" s="30"/>
    </row>
    <row r="17" spans="1:8" ht="20.100000000000001" customHeight="1" x14ac:dyDescent="0.25">
      <c r="A17" s="99" t="str">
        <f>HYPERLINK("#'Input - Freight'!A1", "Freight")</f>
        <v>Freight</v>
      </c>
      <c r="D17" s="30"/>
      <c r="E17" s="23"/>
      <c r="F17" s="30"/>
      <c r="G17" s="30"/>
      <c r="H17" s="30"/>
    </row>
    <row r="18" spans="1:8" ht="20.100000000000001" customHeight="1" x14ac:dyDescent="0.25">
      <c r="A18" s="5" t="str">
        <f>HYPERLINK("#'Input - Manure sent off-site'!A1", "Manure sent off-site")</f>
        <v>Manure sent off-site</v>
      </c>
      <c r="D18" s="30"/>
      <c r="E18" s="23"/>
      <c r="F18" s="30"/>
      <c r="G18" s="30"/>
      <c r="H18" s="30"/>
    </row>
    <row r="19" spans="1:8" ht="20.100000000000001" customHeight="1" x14ac:dyDescent="0.25">
      <c r="A19" s="5" t="str">
        <f>HYPERLINK("#'Input - Solid waste'!A1", "Solid waste")</f>
        <v>Solid waste</v>
      </c>
    </row>
    <row r="20" spans="1:8" ht="20.100000000000001" customHeight="1" x14ac:dyDescent="0.25">
      <c r="A20" s="5" t="str">
        <f>HYPERLINK("#'Input - Data quality'!A1", "Data quality")</f>
        <v>Data quality</v>
      </c>
    </row>
    <row r="21" spans="1:8" ht="20.100000000000001" customHeight="1" x14ac:dyDescent="0.25">
      <c r="A21"/>
    </row>
    <row r="22" spans="1:8" ht="20.100000000000001" customHeight="1" x14ac:dyDescent="0.25">
      <c r="A22"/>
      <c r="D22" s="2" t="s">
        <v>804</v>
      </c>
    </row>
    <row r="23" spans="1:8" ht="20.100000000000001" customHeight="1" x14ac:dyDescent="0.25">
      <c r="A23" s="6" t="s">
        <v>2</v>
      </c>
    </row>
    <row r="24" spans="1:8" ht="20.100000000000001" customHeight="1" x14ac:dyDescent="0.25">
      <c r="A24" s="5" t="str">
        <f>HYPERLINK("#'5.1.1.1-2 Inorganic fert N2O'!A1", "5.1.1.1-2 Inorganic fert N2O")</f>
        <v>5.1.1.1-2 Inorganic fert N2O</v>
      </c>
      <c r="D24" s="30" t="s">
        <v>795</v>
      </c>
      <c r="E24" s="30" t="s">
        <v>796</v>
      </c>
      <c r="F24" s="30" t="s">
        <v>797</v>
      </c>
      <c r="G24" s="30" t="s">
        <v>798</v>
      </c>
      <c r="H24" s="30" t="s">
        <v>799</v>
      </c>
    </row>
    <row r="25" spans="1:8" ht="20.100000000000001" customHeight="1" x14ac:dyDescent="0.25">
      <c r="A25" s="5" t="str">
        <f>HYPERLINK("#'5.1.1.3-4 Inorganic fert CO2'!A1", "5.1.1.3-4 Inorganic fert CO2")</f>
        <v>5.1.1.3-4 Inorganic fert CO2</v>
      </c>
      <c r="D25" s="30" t="s">
        <v>805</v>
      </c>
      <c r="E25" s="23" t="s">
        <v>801</v>
      </c>
      <c r="F25" s="30">
        <v>65</v>
      </c>
      <c r="G25" s="30">
        <v>20</v>
      </c>
      <c r="H25" s="30">
        <v>52</v>
      </c>
    </row>
    <row r="26" spans="1:8" ht="20.100000000000001" customHeight="1" x14ac:dyDescent="0.25">
      <c r="A26" s="5" t="str">
        <f>HYPERLINK("#'5.2.1.1-2 Organic Fert N2O'!A1", "5.2.1.1-2 Organic fert N2O")</f>
        <v>5.2.1.1-2 Organic fert N2O</v>
      </c>
      <c r="D26" s="30"/>
      <c r="E26" s="23"/>
      <c r="F26" s="30"/>
      <c r="G26" s="30"/>
      <c r="H26" s="30"/>
    </row>
    <row r="27" spans="1:8" ht="20.100000000000001" customHeight="1" x14ac:dyDescent="0.25">
      <c r="A27" s="5" t="str">
        <f>HYPERLINK("#'5.3.1.1-2 Lime CO2'!A1", "5.3.1.1-2 Lime CO2")</f>
        <v>5.3.1.1-2 Lime CO2</v>
      </c>
      <c r="D27" s="30"/>
      <c r="E27" s="23"/>
      <c r="F27" s="30"/>
      <c r="G27" s="30"/>
      <c r="H27" s="30"/>
    </row>
    <row r="28" spans="1:8" ht="20.100000000000001" customHeight="1" x14ac:dyDescent="0.25">
      <c r="A28" s="5" t="str">
        <f>HYPERLINK("#'5.4.1.1-4 Atmos deposition'!A1", "5.4.1.1-4 Atmos. deposition")</f>
        <v>5.4.1.1-4 Atmos. deposition</v>
      </c>
      <c r="D28" s="30"/>
      <c r="E28" s="23"/>
      <c r="F28" s="30"/>
      <c r="G28" s="30"/>
      <c r="H28" s="30"/>
    </row>
    <row r="29" spans="1:8" ht="20.100000000000001" customHeight="1" x14ac:dyDescent="0.25">
      <c r="A29" s="5" t="str">
        <f>HYPERLINK("#'5.5.1.1-2 Leaching and runoff'!A1", "5.5.1.1-2 Leaching &amp; runoff")</f>
        <v>5.5.1.1-2 Leaching &amp; runoff</v>
      </c>
      <c r="D29" s="30"/>
      <c r="E29" s="23"/>
      <c r="F29" s="30"/>
      <c r="G29" s="30"/>
      <c r="H29" s="30"/>
    </row>
    <row r="30" spans="1:8" ht="20.100000000000001" customHeight="1" x14ac:dyDescent="0.25">
      <c r="A30" s="5" t="str">
        <f>HYPERLINK("#'6.1.1.1-2 Crop residue N2O'!A1", "6.1.1.1-2 Crop residue N2O")</f>
        <v>6.1.1.1-2 Crop residue N2O</v>
      </c>
      <c r="D30" s="30"/>
      <c r="E30" s="23"/>
      <c r="F30" s="30"/>
      <c r="G30" s="30"/>
      <c r="H30" s="30"/>
    </row>
    <row r="31" spans="1:8" ht="20.100000000000001" customHeight="1" x14ac:dyDescent="0.25">
      <c r="A31" s="5" t="str">
        <f>HYPERLINK("#'6.3.1.1-2 Leach runoff crop'!A1", "6.3.1.1-2 Leach &amp; runoff (crop)")</f>
        <v>6.3.1.1-2 Leach &amp; runoff (crop)</v>
      </c>
      <c r="D31" s="30"/>
      <c r="E31" s="23"/>
      <c r="F31" s="30"/>
      <c r="G31" s="30"/>
      <c r="H31" s="30"/>
    </row>
    <row r="32" spans="1:8" ht="20.100000000000001" customHeight="1" x14ac:dyDescent="0.25">
      <c r="A32" s="5" t="str">
        <f>HYPERLINK("#'6.4.1.1-2 Residue burning'!A1", "6.4.1.1-2 Residue burning")</f>
        <v>6.4.1.1-2 Residue burning</v>
      </c>
      <c r="D32" s="30"/>
      <c r="E32" s="23"/>
      <c r="F32" s="30"/>
      <c r="G32" s="30"/>
      <c r="H32" s="30"/>
    </row>
    <row r="33" spans="1:8" ht="20.100000000000001" customHeight="1" x14ac:dyDescent="0.25">
      <c r="A33" s="5" t="str">
        <f>HYPERLINK("#'8.1.1.1-2 Transport fuel'!A1", "8.1.1.1-2 Transport fuel")</f>
        <v>8.1.1.1-2 Transport fuel</v>
      </c>
      <c r="D33" s="30"/>
      <c r="E33" s="23"/>
      <c r="F33" s="30"/>
      <c r="G33" s="30"/>
      <c r="H33" s="30"/>
    </row>
    <row r="34" spans="1:8" ht="20.100000000000001" customHeight="1" x14ac:dyDescent="0.25">
      <c r="A34" s="5" t="str">
        <f>HYPERLINK("#'8.2.1.1-2 Stationary fuel'!A1", "8.2.1.1-2 Stationary fuel")</f>
        <v>8.2.1.1-2 Stationary fuel</v>
      </c>
      <c r="D34" s="30"/>
      <c r="E34" s="23"/>
      <c r="F34" s="30"/>
      <c r="G34" s="30"/>
      <c r="H34" s="30"/>
    </row>
    <row r="35" spans="1:8" ht="20.100000000000001" customHeight="1" x14ac:dyDescent="0.25">
      <c r="A35" s="5" t="str">
        <f>HYPERLINK("#'14.1.1-2 Purchased electricity'!A1", "14.1.1-2 Purchased electricity")</f>
        <v>14.1.1-2 Purchased electricity</v>
      </c>
    </row>
    <row r="36" spans="1:8" ht="20.100000000000001" customHeight="1" x14ac:dyDescent="0.25">
      <c r="A36" s="5" t="str">
        <f>HYPERLINK("#'15 Scope 3'!A1", "15 Scope 3")</f>
        <v>15 Scope 3</v>
      </c>
    </row>
    <row r="37" spans="1:8" ht="20.100000000000001" customHeight="1" x14ac:dyDescent="0.25">
      <c r="A37" s="5" t="str">
        <f>HYPERLINK("#'Calcs - Manure sent off-site'!A1", "Calcs - Manure sent off-site")</f>
        <v>Calcs - Manure sent off-site</v>
      </c>
    </row>
    <row r="38" spans="1:8" ht="20.100000000000001" customHeight="1" x14ac:dyDescent="0.25">
      <c r="A38" s="5" t="str">
        <f>HYPERLINK("#'10.1.1-2 Solid waste treatment'!A1", "10.1.1-2 Solid waste treatment")</f>
        <v>10.1.1-2 Solid waste treatment</v>
      </c>
    </row>
    <row r="39" spans="1:8" ht="20.100000000000001" customHeight="1" x14ac:dyDescent="0.25">
      <c r="A39"/>
    </row>
    <row r="40" spans="1:8" ht="20.100000000000001" customHeight="1" x14ac:dyDescent="0.25">
      <c r="A40"/>
    </row>
    <row r="41" spans="1:8" ht="20.100000000000001" customHeight="1" x14ac:dyDescent="0.25">
      <c r="A41" s="121" t="s">
        <v>1</v>
      </c>
    </row>
    <row r="42" spans="1:8" ht="20.100000000000001" customHeight="1" x14ac:dyDescent="0.25">
      <c r="A42" s="5" t="str">
        <f>HYPERLINK("#'Constants - Ag Residue'!A1", "Constants - Ag residue")</f>
        <v>Constants - Ag residue</v>
      </c>
    </row>
    <row r="43" spans="1:8" ht="20.100000000000001" customHeight="1" x14ac:dyDescent="0.25">
      <c r="A43" s="5" t="str">
        <f>HYPERLINK("#'Constants - Common Livestock'!A1", "Constants - Common Livestock")</f>
        <v>Constants - Common Livestock</v>
      </c>
    </row>
    <row r="44" spans="1:8" ht="20.100000000000001" customHeight="1" x14ac:dyDescent="0.25">
      <c r="A44" s="5" t="str">
        <f>HYPERLINK("#'Constants - Electricity'!A1", "Constants - Electricity")</f>
        <v>Constants - Electricity</v>
      </c>
    </row>
    <row r="45" spans="1:8" ht="20.100000000000001" customHeight="1" x14ac:dyDescent="0.25">
      <c r="A45" s="5" t="str">
        <f>HYPERLINK("#'Constants - Fertiliser'!A1", "Constants - Fertiliser")</f>
        <v>Constants - Fertiliser</v>
      </c>
    </row>
    <row r="46" spans="1:8" ht="20.100000000000001" customHeight="1" x14ac:dyDescent="0.25">
      <c r="A46" s="5" t="str">
        <f>HYPERLINK("#'Constants - Fuel'!A1", "Constants - Fuel")</f>
        <v>Constants - Fuel</v>
      </c>
    </row>
    <row r="47" spans="1:8" ht="20.100000000000001" customHeight="1" x14ac:dyDescent="0.25">
      <c r="A47" s="5" t="str">
        <f>HYPERLINK("#'Constants - Scope 3'!A1", "Constants - Scope 3")</f>
        <v>Constants - Scope 3</v>
      </c>
    </row>
    <row r="48" spans="1:8" ht="20.100000000000001" customHeight="1" x14ac:dyDescent="0.25">
      <c r="A48" s="5" t="str">
        <f>HYPERLINK("#'Constants - Common'!A1", "Constants - Common")</f>
        <v>Constants - Common</v>
      </c>
    </row>
    <row r="49" spans="1:1" ht="20.100000000000001" customHeight="1" x14ac:dyDescent="0.25">
      <c r="A49" s="5" t="str">
        <f>HYPERLINK("#'Constants - Solid Waste'!A1", "Constants - Solid Waste")</f>
        <v>Constants - Solid Waste</v>
      </c>
    </row>
    <row r="50" spans="1:1" ht="20.100000000000001" customHeight="1" x14ac:dyDescent="0.25">
      <c r="A50"/>
    </row>
    <row r="51" spans="1:1" ht="20.100000000000001" customHeight="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1">
    <dataValidation type="list" allowBlank="1" showInputMessage="1" showErrorMessage="1" sqref="E9:E18 E25:E34" xr:uid="{9F22F3AB-6640-4CD4-BA35-9BB2C1B2F04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7D89A-BD0D-40EA-866C-8088DE7935C2}">
  <sheetPr>
    <tabColor theme="5" tint="-0.249977111117893"/>
  </sheetPr>
  <dimension ref="A1:K160"/>
  <sheetViews>
    <sheetView showGridLines="0" zoomScaleNormal="100" workbookViewId="0">
      <selection activeCell="A49" sqref="A49"/>
    </sheetView>
  </sheetViews>
  <sheetFormatPr defaultRowHeight="15.75" x14ac:dyDescent="0.25"/>
  <cols>
    <col min="1" max="1" width="35" style="238" customWidth="1"/>
    <col min="2" max="2" width="5.28515625" style="238" customWidth="1"/>
    <col min="3" max="3" width="5.28515625" style="1" customWidth="1"/>
    <col min="4" max="10" width="35" style="1" customWidth="1"/>
    <col min="11" max="11" width="5.28515625" style="1" customWidth="1"/>
    <col min="12" max="16384" width="9.140625" style="238"/>
  </cols>
  <sheetData>
    <row r="1" spans="1:11" ht="25.5" x14ac:dyDescent="0.35">
      <c r="A1" s="16" t="e" vm="1">
        <v>#VALUE!</v>
      </c>
      <c r="C1" s="16" t="s">
        <v>806</v>
      </c>
      <c r="D1" s="16"/>
      <c r="E1" s="16"/>
      <c r="F1" s="16"/>
      <c r="G1" s="16"/>
      <c r="H1" s="16"/>
      <c r="I1" s="16"/>
      <c r="J1" s="16"/>
      <c r="K1" s="16"/>
    </row>
    <row r="2" spans="1:11" s="3" customFormat="1" x14ac:dyDescent="0.25">
      <c r="A2"/>
    </row>
    <row r="3" spans="1:11" ht="20.25" x14ac:dyDescent="0.25">
      <c r="A3" s="5" t="str">
        <f>HYPERLINK("#'Home'!A1", "Home")</f>
        <v>Home</v>
      </c>
      <c r="C3" s="39"/>
      <c r="D3" s="39"/>
      <c r="E3" s="39"/>
      <c r="F3" s="39"/>
      <c r="G3" s="39"/>
      <c r="H3" s="39"/>
      <c r="I3" s="39"/>
      <c r="J3" s="39"/>
      <c r="K3" s="39"/>
    </row>
    <row r="4" spans="1:11" x14ac:dyDescent="0.25">
      <c r="A4" s="5" t="str">
        <f>HYPERLINK("#'Overview'!A1", "Overview")</f>
        <v>Overview</v>
      </c>
    </row>
    <row r="5" spans="1:11" ht="23.25" x14ac:dyDescent="0.25">
      <c r="A5" s="5" t="str">
        <f>HYPERLINK("#'Results'!A1", "Results")</f>
        <v>Results</v>
      </c>
      <c r="D5" s="2" t="s">
        <v>807</v>
      </c>
    </row>
    <row r="6" spans="1:11" x14ac:dyDescent="0.25">
      <c r="A6"/>
    </row>
    <row r="7" spans="1:11" x14ac:dyDescent="0.25">
      <c r="A7"/>
      <c r="D7" s="1" t="s">
        <v>808</v>
      </c>
    </row>
    <row r="8" spans="1:11" ht="18.75" x14ac:dyDescent="0.25">
      <c r="A8" s="7" t="s">
        <v>0</v>
      </c>
      <c r="D8" s="1" t="s">
        <v>809</v>
      </c>
    </row>
    <row r="9" spans="1:11" x14ac:dyDescent="0.25">
      <c r="A9" s="5" t="str">
        <f>HYPERLINK("#'Input - Enterprise'!A1", "Enterprise")</f>
        <v>Enterprise</v>
      </c>
    </row>
    <row r="10" spans="1:11" x14ac:dyDescent="0.25">
      <c r="A10" s="5" t="str">
        <f>HYPERLINK("#'Input - Site'!A1", "Site")</f>
        <v>Site</v>
      </c>
      <c r="D10" s="1" t="s">
        <v>810</v>
      </c>
      <c r="F10" s="86">
        <v>1000</v>
      </c>
      <c r="G10" s="26" t="s">
        <v>811</v>
      </c>
    </row>
    <row r="11" spans="1:11" x14ac:dyDescent="0.25">
      <c r="A11" s="5" t="str">
        <f>HYPERLINK("#'Input - Crop'!A1", "Crop")</f>
        <v>Crop</v>
      </c>
      <c r="D11" s="1" t="s">
        <v>812</v>
      </c>
      <c r="F11" s="86">
        <v>2000</v>
      </c>
      <c r="G11" s="26" t="s">
        <v>811</v>
      </c>
    </row>
    <row r="12" spans="1:11" x14ac:dyDescent="0.25">
      <c r="A12" s="5" t="str">
        <f>HYPERLINK("#'Input - Fert Prod System'!A1", "Fert Prod System")</f>
        <v>Fert Prod System</v>
      </c>
    </row>
    <row r="13" spans="1:11" x14ac:dyDescent="0.25">
      <c r="A13" s="5" t="str">
        <f>HYPERLINK("#'Input - Fertiliser'!A1", "Fertiliser")</f>
        <v>Fertiliser</v>
      </c>
      <c r="D13" s="1" t="s">
        <v>813</v>
      </c>
      <c r="F13" s="23" t="s">
        <v>184</v>
      </c>
      <c r="G13" s="26" t="s">
        <v>100</v>
      </c>
    </row>
    <row r="14" spans="1:11" x14ac:dyDescent="0.25">
      <c r="A14" s="5" t="str">
        <f>HYPERLINK("#'Input - Fuel'!A1", "Fuel")</f>
        <v>Fuel</v>
      </c>
      <c r="D14" s="1" t="s">
        <v>814</v>
      </c>
      <c r="F14" s="23" t="s">
        <v>371</v>
      </c>
      <c r="G14" s="26" t="s">
        <v>100</v>
      </c>
    </row>
    <row r="15" spans="1:11" x14ac:dyDescent="0.25">
      <c r="A15" s="5" t="str">
        <f>HYPERLINK("#'Input - Electricity'!A1", "Electricity")</f>
        <v>Electricity</v>
      </c>
    </row>
    <row r="16" spans="1:11" x14ac:dyDescent="0.25">
      <c r="A16" s="5" t="str">
        <f>HYPERLINK("#'Input - Farm Inputs'!A1", "Farm Inputs")</f>
        <v>Farm Inputs</v>
      </c>
    </row>
    <row r="17" spans="1:1" x14ac:dyDescent="0.25">
      <c r="A17" s="5" t="str">
        <f>HYPERLINK("#'Input - Freight'!A1", "Freight")</f>
        <v>Freight</v>
      </c>
    </row>
    <row r="18" spans="1:1" x14ac:dyDescent="0.25">
      <c r="A18" s="99" t="str">
        <f>HYPERLINK("#'Input - Manure sent off-site'!A1", "Manure sent off-site")</f>
        <v>Manure sent off-site</v>
      </c>
    </row>
    <row r="19" spans="1:1" x14ac:dyDescent="0.25">
      <c r="A19" s="5" t="str">
        <f>HYPERLINK("#'Input - Solid waste'!A1", "Solid waste")</f>
        <v>Solid waste</v>
      </c>
    </row>
    <row r="20" spans="1:1" x14ac:dyDescent="0.25">
      <c r="A20" s="5" t="str">
        <f>HYPERLINK("#'Input - Data quality'!A1", "Data quality")</f>
        <v>Data quality</v>
      </c>
    </row>
    <row r="21" spans="1:1" x14ac:dyDescent="0.25">
      <c r="A21"/>
    </row>
    <row r="22" spans="1:1" x14ac:dyDescent="0.25">
      <c r="A22"/>
    </row>
    <row r="23" spans="1:1" x14ac:dyDescent="0.25">
      <c r="A23" s="6" t="s">
        <v>2</v>
      </c>
    </row>
    <row r="24" spans="1:1" x14ac:dyDescent="0.25">
      <c r="A24" s="5" t="str">
        <f>HYPERLINK("#'5.1.1.1-2 Inorganic fert N2O'!A1", "5.1.1.1-2 Inorganic fert N2O")</f>
        <v>5.1.1.1-2 Inorganic fert N2O</v>
      </c>
    </row>
    <row r="25" spans="1:1" x14ac:dyDescent="0.25">
      <c r="A25" s="5" t="str">
        <f>HYPERLINK("#'5.1.1.3-4 Inorganic fert CO2'!A1", "5.1.1.3-4 Inorganic fert CO2")</f>
        <v>5.1.1.3-4 Inorganic fert CO2</v>
      </c>
    </row>
    <row r="26" spans="1:1" x14ac:dyDescent="0.25">
      <c r="A26" s="5" t="str">
        <f>HYPERLINK("#'5.2.1.1-2 Organic Fert N2O'!A1", "5.2.1.1-2 Organic fert N2O")</f>
        <v>5.2.1.1-2 Organic fert N2O</v>
      </c>
    </row>
    <row r="27" spans="1:1" x14ac:dyDescent="0.25">
      <c r="A27" s="5" t="str">
        <f>HYPERLINK("#'5.3.1.1-2 Lime CO2'!A1", "5.3.1.1-2 Lime CO2")</f>
        <v>5.3.1.1-2 Lime CO2</v>
      </c>
    </row>
    <row r="28" spans="1:1" x14ac:dyDescent="0.25">
      <c r="A28" s="5" t="str">
        <f>HYPERLINK("#'5.4.1.1-4 Atmos deposition'!A1", "5.4.1.1-4 Atmos. deposition")</f>
        <v>5.4.1.1-4 Atmos. deposition</v>
      </c>
    </row>
    <row r="29" spans="1:1" x14ac:dyDescent="0.25">
      <c r="A29" s="5" t="str">
        <f>HYPERLINK("#'5.5.1.1-2 Leaching and runoff'!A1", "5.5.1.1-2 Leaching &amp; runoff")</f>
        <v>5.5.1.1-2 Leaching &amp; runoff</v>
      </c>
    </row>
    <row r="30" spans="1:1" x14ac:dyDescent="0.25">
      <c r="A30" s="5" t="str">
        <f>HYPERLINK("#'6.1.1.1-2 Crop residue N2O'!A1", "6.1.1.1-2 Crop residue N2O")</f>
        <v>6.1.1.1-2 Crop residue N2O</v>
      </c>
    </row>
    <row r="31" spans="1:1" x14ac:dyDescent="0.25">
      <c r="A31" s="5" t="str">
        <f>HYPERLINK("#'6.3.1.1-2 Leach runoff crop'!A1", "6.3.1.1-2 Leach &amp; runoff (crop)")</f>
        <v>6.3.1.1-2 Leach &amp; runoff (crop)</v>
      </c>
    </row>
    <row r="32" spans="1:1" x14ac:dyDescent="0.25">
      <c r="A32" s="5" t="str">
        <f>HYPERLINK("#'6.4.1.1-2 Residue burning'!A1", "6.4.1.1-2 Residue burning")</f>
        <v>6.4.1.1-2 Residue burning</v>
      </c>
    </row>
    <row r="33" spans="1:1" x14ac:dyDescent="0.25">
      <c r="A33" s="5" t="str">
        <f>HYPERLINK("#'8.1.1.1-2 Transport fuel'!A1", "8.1.1.1-2 Transport fuel")</f>
        <v>8.1.1.1-2 Transport fuel</v>
      </c>
    </row>
    <row r="34" spans="1:1" x14ac:dyDescent="0.25">
      <c r="A34" s="5" t="str">
        <f>HYPERLINK("#'8.2.1.1-2 Stationary fuel'!A1", "8.2.1.1-2 Stationary fuel")</f>
        <v>8.2.1.1-2 Stationary fuel</v>
      </c>
    </row>
    <row r="35" spans="1:1" x14ac:dyDescent="0.25">
      <c r="A35" s="5" t="str">
        <f>HYPERLINK("#'14.1.1-2 Purchased electricity'!A1", "14.1.1-2 Purchased electricity")</f>
        <v>14.1.1-2 Purchased electricity</v>
      </c>
    </row>
    <row r="36" spans="1:1" x14ac:dyDescent="0.25">
      <c r="A36" s="5" t="str">
        <f>HYPERLINK("#'15 Scope 3'!A1", "15 Scope 3")</f>
        <v>15 Scope 3</v>
      </c>
    </row>
    <row r="37" spans="1:1" x14ac:dyDescent="0.25">
      <c r="A37" s="5" t="str">
        <f>HYPERLINK("#'Calcs - Manure sent off-site'!A1", "Calcs - Manure sent off-site")</f>
        <v>Calcs - Manure sent off-site</v>
      </c>
    </row>
    <row r="38" spans="1:1" x14ac:dyDescent="0.25">
      <c r="A38" s="5" t="str">
        <f>HYPERLINK("#'10.1.1-2 Solid waste treatment'!A1", "10.1.1-2 Solid waste treatment")</f>
        <v>10.1.1-2 Solid waste treatment</v>
      </c>
    </row>
    <row r="39" spans="1:1" x14ac:dyDescent="0.25">
      <c r="A39"/>
    </row>
    <row r="40" spans="1:1" x14ac:dyDescent="0.25">
      <c r="A40"/>
    </row>
    <row r="41" spans="1:1" x14ac:dyDescent="0.25">
      <c r="A41" s="121" t="s">
        <v>1</v>
      </c>
    </row>
    <row r="42" spans="1:1" x14ac:dyDescent="0.25">
      <c r="A42" s="5" t="str">
        <f>HYPERLINK("#'Constants - Ag Residue'!A1", "Constants - Ag residue")</f>
        <v>Constants - Ag residue</v>
      </c>
    </row>
    <row r="43" spans="1:1" x14ac:dyDescent="0.25">
      <c r="A43" s="5" t="str">
        <f>HYPERLINK("#'Constants - Common Livestock'!A1", "Constants - Common Livestock")</f>
        <v>Constants - Common Livestock</v>
      </c>
    </row>
    <row r="44" spans="1:1" x14ac:dyDescent="0.25">
      <c r="A44" s="5" t="str">
        <f>HYPERLINK("#'Constants - Electricity'!A1", "Constants - Electricity")</f>
        <v>Constants - Electricity</v>
      </c>
    </row>
    <row r="45" spans="1:1" x14ac:dyDescent="0.25">
      <c r="A45" s="5" t="str">
        <f>HYPERLINK("#'Constants - Fertiliser'!A1", "Constants - Fertiliser")</f>
        <v>Constants - Fertiliser</v>
      </c>
    </row>
    <row r="46" spans="1:1" x14ac:dyDescent="0.25">
      <c r="A46" s="5" t="str">
        <f>HYPERLINK("#'Constants - Fuel'!A1", "Constants - Fuel")</f>
        <v>Constants - Fuel</v>
      </c>
    </row>
    <row r="47" spans="1:1" x14ac:dyDescent="0.25">
      <c r="A47" s="5" t="str">
        <f>HYPERLINK("#'Constants - Scope 3'!A1", "Constants - Scope 3")</f>
        <v>Constants - Scope 3</v>
      </c>
    </row>
    <row r="48" spans="1:1" x14ac:dyDescent="0.25">
      <c r="A48" s="5" t="str">
        <f>HYPERLINK("#'Constants - Common'!A1", "Constants - Common")</f>
        <v>Constants - Common</v>
      </c>
    </row>
    <row r="49" spans="1:1" x14ac:dyDescent="0.25">
      <c r="A49" s="5" t="str">
        <f>HYPERLINK("#'Constants - Solid Waste'!A1", "Constants - Solid Waste")</f>
        <v>Constants - Solid Waste</v>
      </c>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2">
    <dataValidation type="list" allowBlank="1" showInputMessage="1" showErrorMessage="1" sqref="F14" xr:uid="{37458C10-2480-43F3-AB8E-CE4C8BFBAE7F}">
      <formula1>INDIRECT("Table_SourceData_Fertiliser_IrrigationMethods[Irrigation method]")</formula1>
    </dataValidation>
    <dataValidation type="list" allowBlank="1" showInputMessage="1" showErrorMessage="1" sqref="F13" xr:uid="{566D2458-1F39-4DBC-9278-7CC62450737C}">
      <formula1>INDIRECT("Table_SourceData_Fertiliser_CropProdSystems[Production system]")</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5701-C51F-48C8-B9A7-98924E1553C0}">
  <dimension ref="A1:X342"/>
  <sheetViews>
    <sheetView showGridLines="0" topLeftCell="B46"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31" customFormat="1" ht="30" customHeight="1" x14ac:dyDescent="0.35">
      <c r="A1" s="16" t="e" vm="1">
        <v>#VALUE!</v>
      </c>
      <c r="C1" s="31" t="s">
        <v>266</v>
      </c>
      <c r="K1"/>
    </row>
    <row r="2" spans="1:24" s="3" customFormat="1" ht="20.100000000000001" customHeight="1" x14ac:dyDescent="0.25">
      <c r="A2"/>
      <c r="K2"/>
    </row>
    <row r="3" spans="1:24" ht="20.100000000000001" customHeight="1" x14ac:dyDescent="0.25">
      <c r="A3" s="5" t="str">
        <f>HYPERLINK("#'Home'!A1", "Home")</f>
        <v>Home</v>
      </c>
      <c r="C3" s="33"/>
      <c r="D3" s="33" t="s">
        <v>135</v>
      </c>
      <c r="E3" s="33"/>
      <c r="F3" s="33"/>
      <c r="G3" s="33"/>
      <c r="H3" s="33"/>
      <c r="I3" s="33"/>
      <c r="J3" s="33"/>
      <c r="L3" s="33"/>
      <c r="M3" s="33" t="s">
        <v>136</v>
      </c>
      <c r="N3" s="33"/>
      <c r="O3" s="33"/>
      <c r="P3" s="33"/>
      <c r="Q3" s="33"/>
      <c r="R3" s="33"/>
      <c r="S3" s="33"/>
      <c r="T3" s="33"/>
      <c r="U3" s="33"/>
      <c r="V3" s="33"/>
      <c r="W3" s="33"/>
      <c r="X3" s="33"/>
    </row>
    <row r="4" spans="1:24" ht="20.100000000000001" customHeight="1" x14ac:dyDescent="0.25">
      <c r="A4" s="5" t="str">
        <f>HYPERLINK("#'Overview'!A1", "Overview")</f>
        <v>Overview</v>
      </c>
    </row>
    <row r="5" spans="1:24" ht="20.100000000000001" customHeight="1" x14ac:dyDescent="0.25">
      <c r="A5" s="5" t="str">
        <f>HYPERLINK("#'Results'!A1", "Results")</f>
        <v>Results</v>
      </c>
      <c r="D5" s="2" t="str" cm="1">
        <f t="array" ref="D5">Fertiliser_Equations_InorganicN2O.VEERG_5_1_1_1__2_MassOfNitrogenInInorganicFertiliser_Title()</f>
        <v>Mass of nitrogen in inorganic fertiliser applied to production system</v>
      </c>
      <c r="M5" s="2" t="str" cm="1">
        <f t="array" ref="M5">Fertiliser_Equations_InorganicN2O.VEERG_5_1_1_2__1_EmissionFactorIrrigatedMaize_Title()</f>
        <v>Emission factor for nitrous oxide for irrigated maize</v>
      </c>
    </row>
    <row r="6" spans="1:24" ht="20.100000000000001" customHeight="1" x14ac:dyDescent="0.25">
      <c r="D6" s="27" t="str" cm="1">
        <f t="array" ref="D6">Fertiliser_Equations_InorganicN2O.VEERG_5_1_1_1__2_MassOfNitrogenInInorganicFertiliser_Source()</f>
        <v>VEERG 2026: 5.1.1.1, Equation (2)</v>
      </c>
      <c r="M6" s="27" t="str" cm="1">
        <f t="array" ref="M6">Fertiliser_Equations_InorganicN2O.VEERG_5_1_1_2__1_EmissionFactorIrrigatedMaize_Source()</f>
        <v>VEERG 2026: 5.1.1.2, Equation (1)</v>
      </c>
    </row>
    <row r="7" spans="1:24" ht="20.100000000000001" customHeight="1" x14ac:dyDescent="0.25">
      <c r="D7" s="132" t="s">
        <v>267</v>
      </c>
      <c r="E7" s="132" t="str" cm="1">
        <f t="array" aca="1" ref="E7" ca="1">Common_InputFunctions.Utility_DisplayFunctionName(G19)</f>
        <v>=Fertiliser_Equations_InorganicN2O.VEERG_5_1_1_1__2_MassOfNitrogenInInorganicFertiliser</v>
      </c>
    </row>
    <row r="8" spans="1:24" ht="20.100000000000001" customHeight="1" x14ac:dyDescent="0.25">
      <c r="A8" s="7" t="s">
        <v>0</v>
      </c>
    </row>
    <row r="9" spans="1:24" ht="20.100000000000001" customHeight="1" x14ac:dyDescent="0.25">
      <c r="A9" s="5" t="str">
        <f>HYPERLINK("#'Input - Enterprise'!A1", "Enterprise")</f>
        <v>Enterprise</v>
      </c>
      <c r="M9" s="88" t="s">
        <v>268</v>
      </c>
      <c r="N9" s="1" t="str" cm="1">
        <f t="array" ref="N9">Fertiliser_Equations_InorganicN2O.VEERG_5_1_1_2__1_EmissionFactorIrrigatedMaize_Variable()</f>
        <v>EF_fjIrrigatedMaizeN2O</v>
      </c>
    </row>
    <row r="10" spans="1:24" ht="20.100000000000001" customHeight="1" x14ac:dyDescent="0.25">
      <c r="A10" s="5" t="str">
        <f>HYPERLINK("#'Input - Site'!A1", "Site")</f>
        <v>Site</v>
      </c>
      <c r="D10" s="88" t="s">
        <v>268</v>
      </c>
      <c r="E10" s="1" t="str" cm="1">
        <f t="array" ref="E10">Fertiliser_Equations_InorganicN2O.VEERG_5_1_1_1__2_MassOfNitrogenInInorganicFertiliser_Variable()</f>
        <v>MN_jf</v>
      </c>
      <c r="M10" s="88" t="s">
        <v>121</v>
      </c>
      <c r="N10" s="15" t="str" cm="1">
        <f t="array" ref="N10">Fertiliser_Equations_InorganicN2O.VEERG_5_1_1_2__1_EmissionFactorIrrigatedMaize_Unit()</f>
        <v>kg N2O-N/kg N applied</v>
      </c>
    </row>
    <row r="11" spans="1:24" ht="20.100000000000001" customHeight="1" x14ac:dyDescent="0.25">
      <c r="A11" s="5" t="str">
        <f>HYPERLINK("#'Input - Crop'!A1", "Crop")</f>
        <v>Crop</v>
      </c>
      <c r="D11" s="88" t="s">
        <v>121</v>
      </c>
      <c r="E11" s="15" t="str" cm="1">
        <f t="array" ref="E11">Fertiliser_Equations_InorganicN2O.VEERG_5_1_1_1__2_MassOfNitrogenInInorganicFertiliser_Unit()</f>
        <v>kg N</v>
      </c>
    </row>
    <row r="12" spans="1:24" ht="20.100000000000001" customHeight="1" x14ac:dyDescent="0.25">
      <c r="A12" s="5" t="str">
        <f>HYPERLINK("#'Input - Fert Prod System'!A1", "Fert Prod System")</f>
        <v>Fert Prod System</v>
      </c>
      <c r="M12" s="133" t="str" cm="1">
        <f t="array" ref="M12:N13">_xlfn.CHOOSECOLS(Fertiliser_Equations_InorganicN2O.VEERG_5_1_1_2__1_EmissionFactorIrrigatedMaize_Arguments(), 1, 2)</f>
        <v>N_fjIrrigatedMaize</v>
      </c>
      <c r="N12" s="134" t="str">
        <v>application rate of inorganic fertiliser type f in the irrigated maize crop</v>
      </c>
      <c r="O12" s="135"/>
      <c r="P12" s="133" t="str" cm="1">
        <f t="array" ref="P12:Q13">_xlfn.CHOOSECOLS(Fertiliser_Equations_InorganicN2O.VEERG_5_1_1_2__1_EmissionFactorIrrigatedMaize_Arguments(), 3,4)</f>
        <v>kg N/ha</v>
      </c>
      <c r="Q12" s="136" t="str">
        <v>Input</v>
      </c>
      <c r="R12" s="138" t="str" cm="1">
        <f t="array" aca="1" ref="R12" ca="1">HYPERLINK(Common_InputFunctions.Utility_SourceHyperlink($M$41), $M$41)</f>
        <v>M2_Table_FertApplications</v>
      </c>
      <c r="S12" s="139"/>
    </row>
    <row r="13" spans="1:24" ht="20.100000000000001" customHeight="1" x14ac:dyDescent="0.25">
      <c r="A13" s="5" t="str">
        <f>HYPERLINK("#'Input - Fertiliser'!A1", "Fertiliser")</f>
        <v>Fertiliser</v>
      </c>
      <c r="D13" s="133" t="str" cm="1">
        <f t="array" ref="D13:E14">_xlfn.CHOOSECOLS(Fertiliser_Equations_InorganicN2O.VEERG_5_1_1_1__2_MassOfNitrogenInInorganicFertiliser_Arguments(), 1,2)</f>
        <v>TM_jf</v>
      </c>
      <c r="E13" s="133" t="str">
        <v>total mass of inorganic fertiliser type f applied to production system j</v>
      </c>
      <c r="F13" s="133"/>
      <c r="G13" s="133" t="str" cm="1">
        <f t="array" ref="G13:H14">_xlfn.CHOOSECOLS(Fertiliser_Equations_InorganicN2O.VEERG_5_1_1_1__2_MassOfNitrogenInInorganicFertiliser_Arguments(), 3,4)</f>
        <v>kg</v>
      </c>
      <c r="H13" s="136" t="str">
        <v>Input</v>
      </c>
      <c r="I13" s="140" t="str" cm="1">
        <f t="array" aca="1" ref="I13" ca="1">HYPERLINK(Common_InputFunctions.Utility_SourceHyperlink($D$16), $D$16)</f>
        <v>Table_MN_j_f</v>
      </c>
      <c r="M13" s="133" t="str">
        <v>f</v>
      </c>
      <c r="N13" s="134" t="str">
        <v>Inorganic fertiliser type</v>
      </c>
      <c r="O13" s="135"/>
      <c r="P13" s="133" t="str">
        <v/>
      </c>
      <c r="Q13" s="137" t="str">
        <v>Constant</v>
      </c>
      <c r="R13" s="134" t="s">
        <v>269</v>
      </c>
      <c r="S13" s="139"/>
    </row>
    <row r="14" spans="1:24" ht="20.100000000000001" customHeight="1" x14ac:dyDescent="0.25">
      <c r="A14" s="5" t="str">
        <f>HYPERLINK("#'Input - Fuel'!A1", "Fuel")</f>
        <v>Fuel</v>
      </c>
      <c r="D14" s="133" t="str">
        <v>FN_inorganicf</v>
      </c>
      <c r="E14" s="134" t="str">
        <v xml:space="preserve">fraction of nitrogen in inorganic fertiliser type f </v>
      </c>
      <c r="F14" s="142"/>
      <c r="G14" s="133" t="str">
        <v>kg N/kg</v>
      </c>
      <c r="H14" s="137" t="str">
        <v>Constant</v>
      </c>
      <c r="I14" s="140" t="str" cm="1">
        <f t="array" aca="1" ref="I14" ca="1">HYPERLINK(Common_InputFunctions.Utility_SourceHyperlink($D$16), $D$16)</f>
        <v>Table_MN_j_f</v>
      </c>
    </row>
    <row r="15" spans="1:24" ht="20.100000000000001" customHeight="1" x14ac:dyDescent="0.25">
      <c r="A15" s="5" t="str">
        <f>HYPERLINK("#'Input - Electricity'!A1", "Electricity")</f>
        <v>Electricity</v>
      </c>
    </row>
    <row r="16" spans="1:24" ht="20.100000000000001" customHeight="1" x14ac:dyDescent="0.25">
      <c r="A16" s="5" t="str">
        <f>HYPERLINK("#'Input - Farm Inputs'!A1", "Farm Inputs")</f>
        <v>Farm Inputs</v>
      </c>
      <c r="D16" s="143" t="s">
        <v>270</v>
      </c>
      <c r="M16" s="2"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5" t="str">
        <f>HYPERLINK("#'Input - Freight'!A1", "Freight")</f>
        <v>Freight</v>
      </c>
      <c r="D17" s="144" t="s">
        <v>271</v>
      </c>
      <c r="M17" s="27" t="str" cm="1">
        <f t="array" ref="M17">Fertiliser_Equations_InorganicN2O.VEERG_5_1_1_2__2_EmissionFactorNonIrrigatedGrainsHighRainfall_Source()</f>
        <v>VEERG 2026: 5.1.1.2, Equation (2)</v>
      </c>
    </row>
    <row r="18" spans="1:19" ht="20.100000000000001" customHeight="1" x14ac:dyDescent="0.25">
      <c r="A18" s="5" t="str">
        <f>HYPERLINK("#'Input - Manure sent off-site'!A1", "Manure sent off-site")</f>
        <v>Manure sent off-site</v>
      </c>
      <c r="D18" s="145" t="s">
        <v>272</v>
      </c>
      <c r="E18" s="92" t="s">
        <v>273</v>
      </c>
      <c r="F18" s="145" t="s">
        <v>274</v>
      </c>
      <c r="G18" s="145" t="s">
        <v>275</v>
      </c>
    </row>
    <row r="19" spans="1:19" ht="20.100000000000001" customHeight="1" x14ac:dyDescent="0.25">
      <c r="A19" s="5" t="str">
        <f>HYPERLINK("#'Input - Solid waste'!A1", "Solid waste")</f>
        <v>Solid waste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f],Table_Fertiliser_ChemicalCompounds[FNinorganic f])</f>
        <v>0.1</v>
      </c>
      <c r="G19" s="25" cm="1">
        <f t="array" ref="G19">Fertiliser_Equations_InorganicN2O.VEERG_5_1_1_1__2_MassOfNitrogenInInorganicFertiliser(E19,F19)</f>
        <v>0</v>
      </c>
    </row>
    <row r="20" spans="1:19" ht="20.100000000000001" customHeight="1" x14ac:dyDescent="0.25">
      <c r="A20" s="5" t="str">
        <f>HYPERLINK("#'Input - Data quality'!A1", "Data quality")</f>
        <v>Data quality</v>
      </c>
      <c r="D20" s="25" t="str">
        <v>Diammonium phosphate (DAP)</v>
      </c>
      <c r="E20" s="2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f],Table_Fertiliser_ChemicalCompounds[FNinorganic f])</f>
        <v>0.18</v>
      </c>
      <c r="G20" s="25" cm="1">
        <f t="array" ref="G20">Fertiliser_Equations_InorganicN2O.VEERG_5_1_1_1__2_MassOfNitrogenInInorganicFertiliser(E20,F20)</f>
        <v>0</v>
      </c>
      <c r="M20" s="88" t="s">
        <v>268</v>
      </c>
      <c r="N20" s="1" t="str" cm="1">
        <f t="array" ref="N20">Fertiliser_Equations_InorganicN2O.VEERG_5_1_1_2__2_EmissionFactorNonIrrigatedGrainsHighRainfall_Variable()</f>
        <v>EF_fjNonIrrigatedGrainsN2O</v>
      </c>
    </row>
    <row r="21" spans="1:19" ht="20.100000000000001" customHeight="1" x14ac:dyDescent="0.25">
      <c r="D21" s="25" t="str">
        <v>Urea</v>
      </c>
      <c r="E21" s="2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f],Table_Fertiliser_ChemicalCompounds[FNinorganic f])</f>
        <v>0.46</v>
      </c>
      <c r="G21" s="25" cm="1">
        <f t="array" ref="G21">Fertiliser_Equations_InorganicN2O.VEERG_5_1_1_1__2_MassOfNitrogenInInorganicFertiliser(E21,F21)</f>
        <v>4600</v>
      </c>
      <c r="M21" s="88" t="s">
        <v>121</v>
      </c>
      <c r="N21" s="15" t="str" cm="1">
        <f t="array" ref="N21">Fertiliser_Equations_InorganicN2O.VEERG_5_1_1_2__2_EmissionFactorNonIrrigatedGrainsHighRainfall_Unit()</f>
        <v>kg N2O-N/kg N applied</v>
      </c>
    </row>
    <row r="22" spans="1:19" ht="20.100000000000001" customHeight="1" x14ac:dyDescent="0.25">
      <c r="D22" s="25" t="str">
        <v>Sulphate of ammonia (SOA)</v>
      </c>
      <c r="E22" s="2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f],Table_Fertiliser_ChemicalCompounds[FNinorganic f])</f>
        <v>0.21</v>
      </c>
      <c r="G22" s="25" cm="1">
        <f t="array" ref="G22">Fertiliser_Equations_InorganicN2O.VEERG_5_1_1_1__2_MassOfNitrogenInInorganicFertiliser(E22,F22)</f>
        <v>0</v>
      </c>
    </row>
    <row r="23" spans="1:19" ht="20.100000000000001" customHeight="1" x14ac:dyDescent="0.25">
      <c r="A23" s="6" t="s">
        <v>2</v>
      </c>
      <c r="D23" s="25" t="str">
        <v>Urea-ammonium nitrate (UAN)</v>
      </c>
      <c r="E23" s="2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f],Table_Fertiliser_ChemicalCompounds[FNinorganic f])</f>
        <v>0.32</v>
      </c>
      <c r="G23" s="25" cm="1">
        <f t="array" ref="G23">Fertiliser_Equations_InorganicN2O.VEERG_5_1_1_1__2_MassOfNitrogenInInorganicFertiliser(E23,F23)</f>
        <v>0</v>
      </c>
      <c r="M23" s="133" t="str" cm="1">
        <f t="array" ref="M23:N24">_xlfn.CHOOSECOLS(Fertiliser_Equations_InorganicN2O.VEERG_5_1_1_2__2_EmissionFactorNonIrrigatedGrainsHighRainfall_Arguments(), 1, 2)</f>
        <v>N_fjNonIrrigatedGrains</v>
      </c>
      <c r="N23" s="134" t="str">
        <v>application rate of inorganic fertiliser type f in the grains crop</v>
      </c>
      <c r="O23" s="135"/>
      <c r="P23" s="133" t="str" cm="1">
        <f t="array" ref="P23:Q24">_xlfn.CHOOSECOLS(Fertiliser_Equations_InorganicN2O.VEERG_5_1_1_2__2_EmissionFactorNonIrrigatedGrainsHighRainfall_Arguments(), 3,4)</f>
        <v>kg N/ha</v>
      </c>
      <c r="Q23" s="136" t="str">
        <v>Input</v>
      </c>
      <c r="R23" s="138" t="str" cm="1">
        <f t="array" aca="1" ref="R23" ca="1">HYPERLINK(Common_InputFunctions.Utility_SourceHyperlink($M$41), $M$41)</f>
        <v>M2_Table_FertApplications</v>
      </c>
      <c r="S23" s="142"/>
    </row>
    <row r="24" spans="1:19" ht="20.100000000000001" customHeight="1" x14ac:dyDescent="0.25">
      <c r="A24" s="141"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f],Table_Fertiliser_ChemicalCompounds[FNinorganic f])</f>
        <v>0.33700000000000002</v>
      </c>
      <c r="G24" s="25" cm="1">
        <f t="array" ref="G24">Fertiliser_Equations_InorganicN2O.VEERG_5_1_1_1__2_MassOfNitrogenInInorganicFertiliser(E24,F24)</f>
        <v>0</v>
      </c>
      <c r="I24" s="26"/>
      <c r="M24" s="133" t="str">
        <v>f</v>
      </c>
      <c r="N24" s="134" t="str">
        <v>Inorganic fertiliser type</v>
      </c>
      <c r="O24" s="135"/>
      <c r="P24" s="133" t="str">
        <v/>
      </c>
      <c r="Q24" s="137" t="str">
        <v>Constant</v>
      </c>
      <c r="R24" s="134" t="s">
        <v>269</v>
      </c>
      <c r="S24" s="142"/>
    </row>
    <row r="25" spans="1:19" ht="20.100000000000001" customHeight="1" x14ac:dyDescent="0.25">
      <c r="A25" s="5"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f],Table_Fertiliser_ChemicalCompounds[FNinorganic f])</f>
        <v>0.27</v>
      </c>
      <c r="G25" s="25" cm="1">
        <f t="array" ref="G25">Fertiliser_Equations_InorganicN2O.VEERG_5_1_1_1__2_MassOfNitrogenInInorganicFertiliser(E25,F25)</f>
        <v>0</v>
      </c>
      <c r="I25" s="26"/>
    </row>
    <row r="26" spans="1:19"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f],Table_Fertiliser_ChemicalCompounds[FNinorganic f])</f>
        <v>1</v>
      </c>
      <c r="G26" s="25" cm="1">
        <f t="array" ref="G26">Fertiliser_Equations_InorganicN2O.VEERG_5_1_1_1__2_MassOfNitrogenInInorganicFertiliser(E26,F26)</f>
        <v>0</v>
      </c>
      <c r="I26" s="26"/>
    </row>
    <row r="27" spans="1:19"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25" cm="1">
        <f t="array" ref="F27">Common_InputFunctions.Utility_LookupValueInTableNumber(D27,Table_Fertiliser_ChemicalCompounds[Fertiliser type f],Table_Fertiliser_ChemicalCompounds[FNinorganic f])</f>
        <v>1</v>
      </c>
      <c r="G27" s="25" cm="1">
        <f t="array" ref="G27">Fertiliser_Equations_InorganicN2O.VEERG_5_1_1_1__2_MassOfNitrogenInInorganicFertiliser(E27,F27)</f>
        <v>1980</v>
      </c>
      <c r="I27" s="26"/>
      <c r="M27" s="2" t="str" cm="1">
        <f t="array" ref="M27">Fertiliser_Equations_InorganicN2O.VEERG_5_1_1_2__3_EmissionFactorCotton_Title()</f>
        <v>Emission factor for nitrous oxide for cotton</v>
      </c>
    </row>
    <row r="28" spans="1:19"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25" cm="1">
        <f t="array" ref="F28">Common_InputFunctions.Utility_LookupValueInTableNumber(D28,Table_Fertiliser_ChemicalCompounds[Fertiliser type f],Table_Fertiliser_ChemicalCompounds[FNinorganic f])</f>
        <v>1</v>
      </c>
      <c r="G28" s="25" cm="1">
        <f t="array" ref="G28">Fertiliser_Equations_InorganicN2O.VEERG_5_1_1_1__2_MassOfNitrogenInInorganicFertiliser(E28,F28)</f>
        <v>1537.2</v>
      </c>
      <c r="I28" s="26"/>
      <c r="M28" s="27" t="str" cm="1">
        <f t="array" ref="M28">Fertiliser_Equations_InorganicN2O.VEERG_5_1_1_2__3_EmissionFactorCotton_Source()</f>
        <v>VEERG 2026: 5.1.1.2, Equation (3)</v>
      </c>
    </row>
    <row r="29" spans="1:19"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25" cm="1">
        <f t="array" ref="F29">Common_InputFunctions.Utility_LookupValueInTableNumber(D29,Table_Fertiliser_ChemicalCompounds[Fertiliser type f],Table_Fertiliser_ChemicalCompounds[FNinorganic f])</f>
        <v>0</v>
      </c>
      <c r="G29" s="25" cm="1">
        <f t="array" ref="G29">Fertiliser_Equations_InorganicN2O.VEERG_5_1_1_1__2_MassOfNitrogenInInorganicFertiliser(E29,F29)</f>
        <v>0</v>
      </c>
      <c r="I29" s="26"/>
    </row>
    <row r="30" spans="1:19" ht="20.100000000000001" customHeight="1" x14ac:dyDescent="0.25">
      <c r="A30" s="5" t="str">
        <f>HYPERLINK("#'6.1.1.1-2 Crop residue N2O'!A1", "6.1.1.1-2 Crop residue N2O")</f>
        <v>6.1.1.1-2 Crop residue N2O</v>
      </c>
      <c r="D30" s="25" t="str">
        <v>Potassium - Generic</v>
      </c>
      <c r="E30" s="2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25" cm="1">
        <f t="array" ref="F30">Common_InputFunctions.Utility_LookupValueInTableNumber(D30,Table_Fertiliser_ChemicalCompounds[Fertiliser type f],Table_Fertiliser_ChemicalCompounds[FNinorganic f])</f>
        <v>0</v>
      </c>
      <c r="G30" s="25" cm="1">
        <f t="array" ref="G30">Fertiliser_Equations_InorganicN2O.VEERG_5_1_1_1__2_MassOfNitrogenInInorganicFertiliser(E30,F30)</f>
        <v>0</v>
      </c>
      <c r="I30" s="26"/>
    </row>
    <row r="31" spans="1:19" ht="20.100000000000001" customHeight="1" x14ac:dyDescent="0.25">
      <c r="A31" s="5" t="str">
        <f>HYPERLINK("#'6.3.1.1-2 Leach runoff crop'!A1", "6.3.1.1-2 Leach &amp; runoff (crop)")</f>
        <v>6.3.1.1-2 Leach &amp; runoff (crop)</v>
      </c>
      <c r="D31" s="25" t="str">
        <v>Sulfur - Generic</v>
      </c>
      <c r="E31" s="2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f],Table_Fertiliser_ChemicalCompounds[FNinorganic f])</f>
        <v>0</v>
      </c>
      <c r="G31" s="25" cm="1">
        <f t="array" ref="G31">Fertiliser_Equations_InorganicN2O.VEERG_5_1_1_1__2_MassOfNitrogenInInorganicFertiliser(E31,F31)</f>
        <v>0</v>
      </c>
      <c r="I31" s="26"/>
    </row>
    <row r="32" spans="1:19" ht="20.100000000000001" customHeight="1" x14ac:dyDescent="0.25">
      <c r="A32" s="5" t="str">
        <f>HYPERLINK("#'6.4.1.1-2 Residue burning'!A1", "6.4.1.1-2 Residue burning")</f>
        <v>6.4.1.1-2 Residue burning</v>
      </c>
      <c r="D32" s="25" t="str">
        <v>Zinc - Generic</v>
      </c>
      <c r="E32" s="2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f],Table_Fertiliser_ChemicalCompounds[FNinorganic f])</f>
        <v>0</v>
      </c>
      <c r="G32" s="25" cm="1">
        <f t="array" ref="G32">Fertiliser_Equations_InorganicN2O.VEERG_5_1_1_1__2_MassOfNitrogenInInorganicFertiliser(E32,F32)</f>
        <v>0</v>
      </c>
      <c r="I32" s="26"/>
      <c r="M32" s="88" t="s">
        <v>268</v>
      </c>
      <c r="N32" s="1" t="str" cm="1">
        <f t="array" ref="N32">Fertiliser_Equations_InorganicN2O.VEERG_5_1_1_2__3_EmissionFactorCotton_Variable()</f>
        <v>EF_fjCottonN2O</v>
      </c>
    </row>
    <row r="33" spans="1:23" ht="20.100000000000001" customHeight="1" x14ac:dyDescent="0.25">
      <c r="A33" s="5" t="str">
        <f>HYPERLINK("#'8.1.1.1-2 Transport fuel'!A1", "8.1.1.1-2 Transport fuel")</f>
        <v>8.1.1.1-2 Transport fuel</v>
      </c>
      <c r="D33" s="25" t="str">
        <v>Muriate of potash (MOP)</v>
      </c>
      <c r="E33" s="2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f],Table_Fertiliser_ChemicalCompounds[FNinorganic f])</f>
        <v>0</v>
      </c>
      <c r="G33" s="25" cm="1">
        <f t="array" ref="G33">Fertiliser_Equations_InorganicN2O.VEERG_5_1_1_1__2_MassOfNitrogenInInorganicFertiliser(E33,F33)</f>
        <v>0</v>
      </c>
      <c r="I33" s="26"/>
      <c r="M33" s="88" t="s">
        <v>121</v>
      </c>
      <c r="N33" s="15" t="str" cm="1">
        <f t="array" ref="N33">Fertiliser_Equations_InorganicN2O.VEERG_5_1_1_2__3_EmissionFactorCotton_Unit()</f>
        <v>kg N2O-N/kg N applied</v>
      </c>
    </row>
    <row r="34" spans="1:23" ht="20.100000000000001" customHeight="1" x14ac:dyDescent="0.25">
      <c r="A34" s="5" t="str">
        <f>HYPERLINK("#'8.2.1.1-2 Stationary fuel'!A1", "8.2.1.1-2 Stationary fuel")</f>
        <v>8.2.1.1-2 Stationary fuel</v>
      </c>
      <c r="D34" s="25" t="str">
        <v>Double superphosphate</v>
      </c>
      <c r="E34" s="2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f],Table_Fertiliser_ChemicalCompounds[FNinorganic f])</f>
        <v>0</v>
      </c>
      <c r="G34" s="25" cm="1">
        <f t="array" ref="G34">Fertiliser_Equations_InorganicN2O.VEERG_5_1_1_1__2_MassOfNitrogenInInorganicFertiliser(E34,F34)</f>
        <v>0</v>
      </c>
      <c r="I34" s="26"/>
    </row>
    <row r="35" spans="1:23" ht="20.100000000000001" customHeight="1" x14ac:dyDescent="0.25">
      <c r="A35" s="5" t="str">
        <f>HYPERLINK("#'14.1.1-2 Purchased electricity'!A1", "14.1.1-2 Purchased electricity")</f>
        <v>14.1.1-2 Purchased electricity</v>
      </c>
      <c r="D35" s="25" t="str">
        <v>Single superphosphate (SSP)</v>
      </c>
      <c r="E35" s="2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f],Table_Fertiliser_ChemicalCompounds[FNinorganic f])</f>
        <v>0</v>
      </c>
      <c r="G35" s="25" cm="1">
        <f t="array" ref="G35">Fertiliser_Equations_InorganicN2O.VEERG_5_1_1_1__2_MassOfNitrogenInInorganicFertiliser(E35,F35)</f>
        <v>0</v>
      </c>
      <c r="I35" s="26"/>
      <c r="M35" s="133" t="str" cm="1">
        <f t="array" ref="M35:N36">_xlfn.CHOOSECOLS(Fertiliser_Equations_InorganicN2O.VEERG_5_1_1_2__3_EmissionFactorCotton_Arguments(), 1, 2)</f>
        <v>N_fjCotton</v>
      </c>
      <c r="N35" s="134" t="str">
        <v>application rate of inorganic fertiliser type f in the cotton crop</v>
      </c>
      <c r="O35" s="135"/>
      <c r="P35" s="134" t="str" cm="1">
        <f t="array" ref="P35:Q36">_xlfn.CHOOSECOLS(Fertiliser_Equations_InorganicN2O.VEERG_5_1_1_2__3_EmissionFactorCotton_Arguments(), 3,4)</f>
        <v>kg N/ha</v>
      </c>
      <c r="Q35" s="136" t="str">
        <v>Input</v>
      </c>
      <c r="R35" s="138" t="str" cm="1">
        <f t="array" aca="1" ref="R35" ca="1">HYPERLINK(Common_InputFunctions.Utility_SourceHyperlink($M$41), $M$41)</f>
        <v>M2_Table_FertApplications</v>
      </c>
      <c r="S35" s="142"/>
    </row>
    <row r="36" spans="1:23" ht="20.100000000000001" customHeight="1" x14ac:dyDescent="0.25">
      <c r="A36" s="5" t="str">
        <f>HYPERLINK("#'15 Scope 3'!A1", "15 Scope 3")</f>
        <v>15 Scope 3</v>
      </c>
      <c r="D36" s="25" t="str">
        <v>Ammonia</v>
      </c>
      <c r="E36" s="2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f],Table_Fertiliser_ChemicalCompounds[FNinorganic f])</f>
        <v>0.82350000000000001</v>
      </c>
      <c r="G36" s="25" cm="1">
        <f t="array" ref="G36">Fertiliser_Equations_InorganicN2O.VEERG_5_1_1_1__2_MassOfNitrogenInInorganicFertiliser(E36,F36)</f>
        <v>4117.5</v>
      </c>
      <c r="I36" s="26"/>
      <c r="M36" s="133" t="str">
        <v>f</v>
      </c>
      <c r="N36" s="134" t="str">
        <v>Inorganic fertiliser type</v>
      </c>
      <c r="O36" s="135"/>
      <c r="P36" s="134" t="str">
        <v/>
      </c>
      <c r="Q36" s="137" t="str">
        <v>Constant</v>
      </c>
      <c r="R36" s="134" t="s">
        <v>269</v>
      </c>
      <c r="S36" s="142"/>
    </row>
    <row r="37" spans="1:23" ht="20.100000000000001" customHeight="1" x14ac:dyDescent="0.25">
      <c r="A37" s="5" t="str">
        <f>HYPERLINK("#'Calcs - Manure sent off-site'!A1", "Calcs - Manure sent off-site")</f>
        <v>Calcs - Manure sent off-site</v>
      </c>
      <c r="D37" s="25" t="str">
        <v>Calcium nitrate</v>
      </c>
      <c r="E37" s="2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f],Table_Fertiliser_ChemicalCompounds[FNinorganic f])</f>
        <v>0.155</v>
      </c>
      <c r="G37" s="25" cm="1">
        <f t="array" ref="G37">Fertiliser_Equations_InorganicN2O.VEERG_5_1_1_1__2_MassOfNitrogenInInorganicFertiliser(E37,F37)</f>
        <v>775</v>
      </c>
      <c r="H37" s="88"/>
      <c r="I37" s="26"/>
    </row>
    <row r="38" spans="1:23" ht="20.100000000000001" customHeight="1" x14ac:dyDescent="0.25">
      <c r="A38" s="5" t="str">
        <f>HYPERLINK("#'10.1.1-2 Solid waste treatment'!A1", "10.1.1-2 Solid waste treatment")</f>
        <v>10.1.1-2 Solid waste treatment</v>
      </c>
      <c r="N38" s="125"/>
      <c r="O38" s="125"/>
      <c r="P38" s="125"/>
    </row>
    <row r="39" spans="1:23" ht="20.100000000000001" customHeight="1" x14ac:dyDescent="0.25">
      <c r="C39" s="146"/>
      <c r="D39" s="146"/>
      <c r="E39" s="146"/>
      <c r="F39" s="146"/>
      <c r="G39" s="146"/>
      <c r="H39" s="146"/>
      <c r="I39" s="146"/>
      <c r="J39" s="146"/>
      <c r="M39" s="125" t="s">
        <v>276</v>
      </c>
    </row>
    <row r="40" spans="1:23" ht="20.100000000000001" customHeight="1" x14ac:dyDescent="0.25">
      <c r="D40" s="2"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s="121" t="s">
        <v>1</v>
      </c>
      <c r="D41" s="27" t="str" cm="1">
        <f t="array" ref="D41">Fertiliser_Equations_InorganicN2O.VEERG_5_1_1_1__1_InorganicFertiliserApplicationN2OEmissions_Source()</f>
        <v>VEERG 2026: 5.1.1.1, Equation (1)</v>
      </c>
      <c r="M41" s="143" t="s">
        <v>277</v>
      </c>
      <c r="T41" s="147" t="s">
        <v>278</v>
      </c>
    </row>
    <row r="42" spans="1:23" ht="20.100000000000001" customHeight="1" x14ac:dyDescent="0.25">
      <c r="A42" s="5" t="str">
        <f>HYPERLINK("#'Constants - Ag Residue'!A1", "Constants - Ag residue")</f>
        <v>Constants - Ag residue</v>
      </c>
      <c r="D42" s="132" t="s">
        <v>267</v>
      </c>
      <c r="E42" s="132" t="str" cm="1">
        <f t="array" aca="1" ref="E42" ca="1">Common_InputFunctions.Utility_DisplayFunctionName($E$60)</f>
        <v>=Fertiliser_Equations_InorganicN2O.VEERG_5_1_1_1__1_InorganicFertiliserApplicationN2OEmissions</v>
      </c>
      <c r="F42" s="26"/>
      <c r="M42" s="144" t="s">
        <v>279</v>
      </c>
    </row>
    <row r="43" spans="1:23" ht="20.100000000000001" customHeight="1" x14ac:dyDescent="0.25">
      <c r="A43" s="5" t="str">
        <f>HYPERLINK("#'Constants - Common Livestock'!A1", "Constants - Common Livestock")</f>
        <v>Constants - Common Livestock</v>
      </c>
      <c r="F43" s="26"/>
      <c r="O43" s="148" t="s">
        <v>280</v>
      </c>
      <c r="P43" s="148" t="s">
        <v>281</v>
      </c>
      <c r="Q43" s="148" t="s">
        <v>282</v>
      </c>
      <c r="R43" s="148" t="str">
        <f>$N$10</f>
        <v>kg N2O-N/kg N applied</v>
      </c>
      <c r="S43" s="148" t="str">
        <f>$N$21</f>
        <v>kg N2O-N/kg N applied</v>
      </c>
      <c r="T43" s="148" t="s">
        <v>280</v>
      </c>
      <c r="U43" s="148" t="s">
        <v>282</v>
      </c>
      <c r="V43" s="148" t="str">
        <f>$N$33</f>
        <v>kg N2O-N/kg N applied</v>
      </c>
      <c r="W43" s="148" t="s">
        <v>283</v>
      </c>
    </row>
    <row r="44" spans="1:23" ht="20.100000000000001" customHeight="1" x14ac:dyDescent="0.25">
      <c r="A44" s="5" t="str">
        <f>HYPERLINK("#'Constants - Electricity'!A1", "Constants - Electricity")</f>
        <v>Constants - Electricity</v>
      </c>
      <c r="F44" s="26"/>
      <c r="M44" s="145" t="s">
        <v>284</v>
      </c>
      <c r="N44" s="92" t="s">
        <v>284</v>
      </c>
      <c r="O44" s="92" t="s">
        <v>285</v>
      </c>
      <c r="P44" s="92" t="s">
        <v>286</v>
      </c>
      <c r="Q44" s="145" t="s">
        <v>287</v>
      </c>
      <c r="R44" s="145" t="str">
        <f>N9</f>
        <v>EF_fjIrrigatedMaizeN2O</v>
      </c>
      <c r="S44" s="145" t="str">
        <f>N20</f>
        <v>EF_fjNonIrrigatedGrainsN2O</v>
      </c>
      <c r="T44" s="145" t="s">
        <v>288</v>
      </c>
      <c r="U44" s="145" t="s">
        <v>289</v>
      </c>
      <c r="V44" s="145" t="str">
        <f>N32</f>
        <v>EF_fjCottonN2O</v>
      </c>
      <c r="W44" s="145" t="s">
        <v>290</v>
      </c>
    </row>
    <row r="45" spans="1:23" ht="20.100000000000001" customHeight="1" x14ac:dyDescent="0.25">
      <c r="A45" s="5" t="str">
        <f>HYPERLINK("#'Constants - Fertiliser'!A1", "Constants - Fertiliser")</f>
        <v>Constants - Fertiliser</v>
      </c>
      <c r="F45" s="26"/>
      <c r="M45" s="25" t="s">
        <v>291</v>
      </c>
      <c r="N45" s="25" t="str" cm="1">
        <f t="array" ref="N45:N49">Table_Input_InorganicFertiliser_Brands[Product (select)]</f>
        <v>Aqua Finish</v>
      </c>
      <c r="O45" s="25" cm="1">
        <f t="array" ref="O45:O49">Table_Input_InorganicFertiliser_Brands[N application rate (kg/ha)]</f>
        <v>3.2759999999999998</v>
      </c>
      <c r="P45" s="25" cm="1">
        <f t="array" ref="P45:P49">Table_Input_InorganicFertiliser_Brands[Application area (ha)]</f>
        <v>100</v>
      </c>
      <c r="Q45" s="25">
        <f>O45*P45</f>
        <v>327.59999999999997</v>
      </c>
      <c r="R45" s="25" cm="1">
        <f t="array" ref="R45">IF(O45&gt;0, Fertiliser_Equations_InorganicN2O.VEERG_5_1_1_2__1_EmissionFactorIrrigatedMaize(O45), 0)</f>
        <v>-1.2741640000000002E-3</v>
      </c>
      <c r="S45" s="25" cm="1">
        <f t="array" ref="S45">IF(O45&gt;0, Fertiliser_Equations_InorganicN2O.VEERG_5_1_1_2__2_EmissionFactorNonIrrigatedGrainsHighRainfall(O45), 0)</f>
        <v>1.0267E-3</v>
      </c>
      <c r="T45" s="25">
        <f>IF(O45&gt;0, MIN(300, O45), 0)</f>
        <v>3.2759999999999998</v>
      </c>
      <c r="U45" s="25">
        <f>P45*T45</f>
        <v>327.59999999999997</v>
      </c>
      <c r="V45" s="25" cm="1">
        <f t="array" ref="V45">IF(O45&gt;0, Fertiliser_Equations_InorganicN2O.VEERG_5_1_1_2__3_EmissionFactorCotton(T45), 0)</f>
        <v>2.902753508679765E-5</v>
      </c>
      <c r="W45" s="25">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s="5" t="str">
        <f>HYPERLINK("#'Constants - Fuel'!A1", "Constants - Fuel")</f>
        <v>Constants - Fuel</v>
      </c>
      <c r="D46" s="88" t="s">
        <v>268</v>
      </c>
      <c r="E46" s="1" t="str" cm="1">
        <f t="array" ref="E46">Fertiliser_Equations_InorganicN2O.VEERG_5_1_1_1__1_InorganicFertiliserApplicationN2OEmissions_Variable()</f>
        <v>E_N2O</v>
      </c>
      <c r="F46" s="26"/>
      <c r="M46" s="25" t="s">
        <v>291</v>
      </c>
      <c r="N46" s="25" t="str">
        <v>CalPhos</v>
      </c>
      <c r="O46" s="25">
        <v>0</v>
      </c>
      <c r="P46" s="25">
        <v>100</v>
      </c>
      <c r="Q46" s="25">
        <f>O46*P46</f>
        <v>0</v>
      </c>
      <c r="R46" s="25" cm="1">
        <f t="array" ref="R46">IF(O46&gt;0, Fertiliser_Equations_InorganicN2O.VEERG_5_1_1_2__1_EmissionFactorIrrigatedMaize(O46), 0)</f>
        <v>0</v>
      </c>
      <c r="S46" s="25" cm="1">
        <f t="array" ref="S46">IF(O46&gt;0, Fertiliser_Equations_InorganicN2O.VEERG_5_1_1_2__2_EmissionFactorNonIrrigatedGrainsHighRainfall(O46), 0)</f>
        <v>0</v>
      </c>
      <c r="T46" s="25">
        <f t="shared" ref="T46:T54" si="0">IF(O46&gt;0, MIN(300, O46), 0)</f>
        <v>0</v>
      </c>
      <c r="U46" s="25">
        <f t="shared" ref="U46:U54" si="1">P46*T46</f>
        <v>0</v>
      </c>
      <c r="V46" s="25" cm="1">
        <f t="array" ref="V46">IF(O46&gt;0, Fertiliser_Equations_InorganicN2O.VEERG_5_1_1_2__3_EmissionFactorCotton(T46), 0)</f>
        <v>0</v>
      </c>
      <c r="W46" s="25">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A47" s="5" t="str">
        <f>HYPERLINK("#'Constants - Scope 3'!A1", "Constants - Scope 3")</f>
        <v>Constants - Scope 3</v>
      </c>
      <c r="D47" s="88" t="s">
        <v>121</v>
      </c>
      <c r="E47" s="15" t="str" cm="1">
        <f t="array" ref="E47">Fertiliser_Equations_InorganicN2O.VEERG_5_1_1_1__1_InorganicFertiliserApplicationN2OEmissions_Unit()</f>
        <v>t N2O</v>
      </c>
      <c r="F47" s="26"/>
      <c r="M47" s="25" t="s">
        <v>291</v>
      </c>
      <c r="N47" s="25" t="str">
        <v>CalPhos</v>
      </c>
      <c r="O47" s="25">
        <v>0</v>
      </c>
      <c r="P47" s="25">
        <v>100</v>
      </c>
      <c r="Q47" s="25">
        <f t="shared" ref="Q47:Q54" si="2">O47*P47</f>
        <v>0</v>
      </c>
      <c r="R47" s="25" cm="1">
        <f t="array" ref="R47">IF(O47&gt;0, Fertiliser_Equations_InorganicN2O.VEERG_5_1_1_2__1_EmissionFactorIrrigatedMaize(O47), 0)</f>
        <v>0</v>
      </c>
      <c r="S47" s="25" cm="1">
        <f t="array" ref="S47">IF(O47&gt;0, Fertiliser_Equations_InorganicN2O.VEERG_5_1_1_2__2_EmissionFactorNonIrrigatedGrainsHighRainfall(O47), 0)</f>
        <v>0</v>
      </c>
      <c r="T47" s="25">
        <f t="shared" si="0"/>
        <v>0</v>
      </c>
      <c r="U47" s="25">
        <f t="shared" si="1"/>
        <v>0</v>
      </c>
      <c r="V47" s="25" cm="1">
        <f t="array" ref="V47">IF(O47&gt;0, Fertiliser_Equations_InorganicN2O.VEERG_5_1_1_2__3_EmissionFactorCotton(T47), 0)</f>
        <v>0</v>
      </c>
      <c r="W47" s="25">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A48" s="5" t="str">
        <f>HYPERLINK("#'Constants - Common'!A1", "Constants - Common")</f>
        <v>Constants - Common</v>
      </c>
      <c r="F48" s="26"/>
      <c r="M48" s="25" t="s">
        <v>291</v>
      </c>
      <c r="N48" s="25" t="str">
        <v>Aqua Grow</v>
      </c>
      <c r="O48" s="25">
        <v>12.096</v>
      </c>
      <c r="P48" s="25">
        <v>100</v>
      </c>
      <c r="Q48" s="25">
        <f t="shared" si="2"/>
        <v>1209.5999999999999</v>
      </c>
      <c r="R48" s="25" cm="1">
        <f t="array" ref="R48">IF(O48&gt;0, Fertiliser_Equations_InorganicN2O.VEERG_5_1_1_2__1_EmissionFactorIrrigatedMaize(O48), 0)</f>
        <v>-7.3614399999999999E-4</v>
      </c>
      <c r="S48" s="25" cm="1">
        <f t="array" ref="S48">IF(O48&gt;0, Fertiliser_Equations_InorganicN2O.VEERG_5_1_1_2__2_EmissionFactorNonIrrigatedGrainsHighRainfall(O48), 0)</f>
        <v>1.6881999999999999E-3</v>
      </c>
      <c r="T48" s="25">
        <f t="shared" si="0"/>
        <v>12.096</v>
      </c>
      <c r="U48" s="25">
        <f t="shared" si="1"/>
        <v>1209.5999999999999</v>
      </c>
      <c r="V48" s="25" cm="1">
        <f t="array" ref="V48">IF(O48&gt;0, Fertiliser_Equations_InorganicN2O.VEERG_5_1_1_2__3_EmissionFactorCotton(T48), 0)</f>
        <v>2.903266653082426E-5</v>
      </c>
      <c r="W48" s="25">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1:24" ht="20.100000000000001" customHeight="1" x14ac:dyDescent="0.25">
      <c r="A49" s="5" t="str">
        <f>HYPERLINK("#'Constants - Solid Waste'!A1", "Constants - Solid Waste")</f>
        <v>Constants - Solid Waste</v>
      </c>
      <c r="D49" s="133" t="str" cm="1">
        <f t="array" ref="D49:E55">_xlfn.CHOOSECOLS(Fertiliser_Equations_InorganicN2O.VEERG_5_1_1_1__1_InorganicFertiliserApplicationN2OEmissions_Arguments(), 1, 2)</f>
        <v>MN_jf</v>
      </c>
      <c r="E49" s="134" t="str">
        <v>mass of nitrogen in inorganic fertiliser type f applied to production system j</v>
      </c>
      <c r="F49" s="135"/>
      <c r="G49" s="133" t="str" cm="1">
        <f t="array" ref="G49:H55">_xlfn.CHOOSECOLS(Fertiliser_Equations_InorganicN2O.VEERG_5_1_1_1__1_InorganicFertiliserApplicationN2OEmissions_Arguments(), 3,4)</f>
        <v>kg N</v>
      </c>
      <c r="H49" s="137" t="str">
        <v>Calculated from 5.1.1.1 (2)</v>
      </c>
      <c r="I49" s="140" t="str" cm="1">
        <f t="array" aca="1" ref="I49" ca="1">HYPERLINK(Common_InputFunctions.Utility_SourceHyperlink(D16), D16)</f>
        <v>Table_MN_j_f</v>
      </c>
      <c r="M49" s="25" t="s">
        <v>291</v>
      </c>
      <c r="N49" s="25" t="str">
        <v>Aqua NitroCal</v>
      </c>
      <c r="O49" s="25">
        <v>19.8</v>
      </c>
      <c r="P49" s="25">
        <v>100</v>
      </c>
      <c r="Q49" s="25">
        <f t="shared" si="2"/>
        <v>1980</v>
      </c>
      <c r="R49" s="25" cm="1">
        <f t="array" ref="R49">IF(O49&gt;0, Fertiliser_Equations_InorganicN2O.VEERG_5_1_1_2__1_EmissionFactorIrrigatedMaize(O49), 0)</f>
        <v>-2.6619999999999991E-4</v>
      </c>
      <c r="S49" s="25" cm="1">
        <f t="array" ref="S49">IF(O49&gt;0, Fertiliser_Equations_InorganicN2O.VEERG_5_1_1_2__2_EmissionFactorNonIrrigatedGrainsHighRainfall(O49), 0)</f>
        <v>2.2660000000000002E-3</v>
      </c>
      <c r="T49" s="25">
        <f t="shared" si="0"/>
        <v>19.8</v>
      </c>
      <c r="U49" s="25">
        <f t="shared" si="1"/>
        <v>1980</v>
      </c>
      <c r="V49" s="25" cm="1">
        <f t="array" ref="V49">IF(O49&gt;0, Fertiliser_Equations_InorganicN2O.VEERG_5_1_1_2__3_EmissionFactorCotton(T49), 0)</f>
        <v>2.9038198888180622E-5</v>
      </c>
      <c r="W49" s="25">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1:24" ht="20.100000000000001" customHeight="1" x14ac:dyDescent="0.25">
      <c r="D50" s="133" t="str">
        <v>EF_jN2O</v>
      </c>
      <c r="E50" s="134" t="str">
        <v>emission factor for nitrous oxide for inorganic fertilisers</v>
      </c>
      <c r="F50" s="135"/>
      <c r="G50" s="133" t="str">
        <v>kg N2O-N/kg N applied</v>
      </c>
      <c r="H50" s="137" t="str">
        <v>Constant</v>
      </c>
      <c r="I50" s="133">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25" t="s">
        <v>292</v>
      </c>
      <c r="N50" s="25" t="str" cm="1">
        <f t="array" ref="N50:N52">Table_Input_InorganicFertiliser_Custom[Custom blend name]</f>
        <v>My first custom blend</v>
      </c>
      <c r="O50" s="25" cm="1">
        <f t="array" ref="O50:O52">Table_Input_InorganicFertiliser_Custom[N application rate (kg/ha)]</f>
        <v>7.75</v>
      </c>
      <c r="P50" s="25" cm="1">
        <f t="array" ref="P50:P52">Table_Input_InorganicFertiliser_Custom[Application area (ha)]</f>
        <v>100</v>
      </c>
      <c r="Q50" s="25">
        <f t="shared" si="2"/>
        <v>775</v>
      </c>
      <c r="R50" s="25" cm="1">
        <f t="array" ref="R50">IF(O50&gt;0, Fertiliser_Equations_InorganicN2O.VEERG_5_1_1_2__1_EmissionFactorIrrigatedMaize(O50), 0)</f>
        <v>-1.00125E-3</v>
      </c>
      <c r="S50" s="25" cm="1">
        <f t="array" ref="S50">IF(O50&gt;0, Fertiliser_Equations_InorganicN2O.VEERG_5_1_1_2__2_EmissionFactorNonIrrigatedGrainsHighRainfall(O50), 0)</f>
        <v>1.36225E-3</v>
      </c>
      <c r="T50" s="25">
        <f t="shared" si="0"/>
        <v>7.75</v>
      </c>
      <c r="U50" s="25">
        <f t="shared" si="1"/>
        <v>775</v>
      </c>
      <c r="V50" s="25" cm="1">
        <f t="array" ref="V50">IF(O50&gt;0, Fertiliser_Equations_InorganicN2O.VEERG_5_1_1_2__3_EmissionFactorCotton(T50), 0)</f>
        <v>2.9029995329592254E-5</v>
      </c>
      <c r="W50" s="25">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1:24" ht="20.100000000000001" customHeight="1" x14ac:dyDescent="0.25">
      <c r="D51" s="133" t="str">
        <v>C_N2O</v>
      </c>
      <c r="E51" s="134" t="str">
        <v>factor to convert elemental mass of nitrous oxide to molecular mass</v>
      </c>
      <c r="F51" s="135"/>
      <c r="G51" s="133" t="str">
        <v/>
      </c>
      <c r="H51" s="137" t="str">
        <v>Constant</v>
      </c>
      <c r="I51" s="133">
        <f>Common_InputFunctions.Utility_LookupValueInTableNumber("N2O",Table_GasToMolecularConversionFactor[Gas],Table_GasToMolecularConversionFactor[Conversion factor combined])</f>
        <v>1.5714285714285714</v>
      </c>
      <c r="M51" s="25" t="s">
        <v>292</v>
      </c>
      <c r="N51" s="25" t="str">
        <v>My second custom blend</v>
      </c>
      <c r="O51" s="25">
        <v>46</v>
      </c>
      <c r="P51" s="25">
        <v>100</v>
      </c>
      <c r="Q51" s="25">
        <f t="shared" si="2"/>
        <v>4600</v>
      </c>
      <c r="R51" s="25" cm="1">
        <f t="array" ref="R51">IF(O51&gt;0, Fertiliser_Equations_InorganicN2O.VEERG_5_1_1_2__1_EmissionFactorIrrigatedMaize(O51), 0)</f>
        <v>1.3320000000000001E-3</v>
      </c>
      <c r="S51" s="25" cm="1">
        <f t="array" ref="S51">IF(O51&gt;0, Fertiliser_Equations_InorganicN2O.VEERG_5_1_1_2__2_EmissionFactorNonIrrigatedGrainsHighRainfall(O51), 0)</f>
        <v>4.2309999999999995E-3</v>
      </c>
      <c r="T51" s="25">
        <f t="shared" si="0"/>
        <v>46</v>
      </c>
      <c r="U51" s="25">
        <f t="shared" si="1"/>
        <v>4600</v>
      </c>
      <c r="V51" s="25" cm="1">
        <f t="array" ref="V51">IF(O51&gt;0, Fertiliser_Equations_InorganicN2O.VEERG_5_1_1_2__3_EmissionFactorCotton(T51), 0)</f>
        <v>2.9068248573243379E-5</v>
      </c>
      <c r="W51" s="25">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1:24" ht="20.100000000000001" customHeight="1" x14ac:dyDescent="0.25">
      <c r="D52" s="133" t="str">
        <v>j</v>
      </c>
      <c r="E52" s="134" t="str">
        <v>Production system</v>
      </c>
      <c r="F52" s="135"/>
      <c r="G52" s="133" t="str">
        <v/>
      </c>
      <c r="H52" s="136" t="str">
        <v>Input</v>
      </c>
      <c r="I52" s="133" t="str">
        <f>X_Cell_Fertiliser_ProductionSystem</f>
        <v>Crop</v>
      </c>
      <c r="M52" s="25" t="s">
        <v>292</v>
      </c>
      <c r="N52" s="25" t="str">
        <v>My third custom blend</v>
      </c>
      <c r="O52" s="25">
        <v>41.174999999999997</v>
      </c>
      <c r="P52" s="25">
        <v>100</v>
      </c>
      <c r="Q52" s="25">
        <f t="shared" si="2"/>
        <v>4117.5</v>
      </c>
      <c r="R52" s="25" cm="1">
        <f t="array" ref="R52">IF(O52&gt;0, Fertiliser_Equations_InorganicN2O.VEERG_5_1_1_2__1_EmissionFactorIrrigatedMaize(O52), 0)</f>
        <v>1.0376749999999998E-3</v>
      </c>
      <c r="S52" s="25" cm="1">
        <f t="array" ref="S52">IF(O52&gt;0, Fertiliser_Equations_InorganicN2O.VEERG_5_1_1_2__2_EmissionFactorNonIrrigatedGrainsHighRainfall(O52), 0)</f>
        <v>3.8691250000000002E-3</v>
      </c>
      <c r="T52" s="25">
        <f t="shared" si="0"/>
        <v>41.174999999999997</v>
      </c>
      <c r="U52" s="25">
        <f t="shared" si="1"/>
        <v>4117.5</v>
      </c>
      <c r="V52" s="25" cm="1">
        <f t="array" ref="V52">IF(O52&gt;0, Fertiliser_Equations_InorganicN2O.VEERG_5_1_1_2__3_EmissionFactorCotton(T52), 0)</f>
        <v>2.9061000580963132E-5</v>
      </c>
      <c r="W52" s="25">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1:24" ht="20.100000000000001" customHeight="1" x14ac:dyDescent="0.25">
      <c r="D53" s="133" t="str">
        <v>f</v>
      </c>
      <c r="E53" s="134" t="str">
        <v>Inorganic fertiliser type</v>
      </c>
      <c r="F53" s="135"/>
      <c r="G53" s="133" t="str">
        <v/>
      </c>
      <c r="H53" s="137" t="str">
        <v>Constant</v>
      </c>
      <c r="I53" s="133" t="str">
        <f>"See " &amp; D57</f>
        <v>See M1_Table_E_N2O</v>
      </c>
      <c r="M53" s="25" t="s">
        <v>292</v>
      </c>
      <c r="N53" s="25"/>
      <c r="O53" s="25"/>
      <c r="P53" s="25"/>
      <c r="Q53" s="25">
        <f t="shared" si="2"/>
        <v>0</v>
      </c>
      <c r="R53" s="25" cm="1">
        <f t="array" ref="R53">IF(O53&gt;0, Fertiliser_Equations_InorganicN2O.VEERG_5_1_1_2__1_EmissionFactorIrrigatedMaize(O53), 0)</f>
        <v>0</v>
      </c>
      <c r="S53" s="25" cm="1">
        <f t="array" ref="S53">IF(O53&gt;0, Fertiliser_Equations_InorganicN2O.VEERG_5_1_1_2__2_EmissionFactorNonIrrigatedGrainsHighRainfall(O53), 0)</f>
        <v>0</v>
      </c>
      <c r="T53" s="25">
        <f t="shared" si="0"/>
        <v>0</v>
      </c>
      <c r="U53" s="25">
        <f t="shared" si="1"/>
        <v>0</v>
      </c>
      <c r="V53" s="25" cm="1">
        <f t="array" ref="V53">IF(O53&gt;0, Fertiliser_Equations_InorganicN2O.VEERG_5_1_1_2__3_EmissionFactorCotton(T53), 0)</f>
        <v>0</v>
      </c>
      <c r="W53" s="25">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1:24" ht="20.100000000000001" customHeight="1" x14ac:dyDescent="0.25">
      <c r="D54" s="133" t="str">
        <v>ir</v>
      </c>
      <c r="E54" s="134" t="str">
        <v>irrigation method</v>
      </c>
      <c r="F54" s="135"/>
      <c r="G54" s="133" t="str">
        <v/>
      </c>
      <c r="H54" s="136" t="str">
        <v>Input</v>
      </c>
      <c r="I54" s="133" t="str">
        <f>X_Cell_Fertiliser_IrrigationMethod</f>
        <v>Sprinkler irrigation</v>
      </c>
      <c r="M54" s="25" t="s">
        <v>292</v>
      </c>
      <c r="N54" s="25"/>
      <c r="O54" s="25"/>
      <c r="P54" s="25"/>
      <c r="Q54" s="25">
        <f t="shared" si="2"/>
        <v>0</v>
      </c>
      <c r="R54" s="25" cm="1">
        <f t="array" ref="R54">IF(O54&gt;0, Fertiliser_Equations_InorganicN2O.VEERG_5_1_1_2__1_EmissionFactorIrrigatedMaize(O54), 0)</f>
        <v>0</v>
      </c>
      <c r="S54" s="25" cm="1">
        <f t="array" ref="S54">IF(O54&gt;0, Fertiliser_Equations_InorganicN2O.VEERG_5_1_1_2__2_EmissionFactorNonIrrigatedGrainsHighRainfall(O54), 0)</f>
        <v>0</v>
      </c>
      <c r="T54" s="25">
        <f t="shared" si="0"/>
        <v>0</v>
      </c>
      <c r="U54" s="25">
        <f t="shared" si="1"/>
        <v>0</v>
      </c>
      <c r="V54" s="25" cm="1">
        <f t="array" ref="V54">IF(O54&gt;0, Fertiliser_Equations_InorganicN2O.VEERG_5_1_1_2__3_EmissionFactorCotton(T54), 0)</f>
        <v>0</v>
      </c>
      <c r="W54" s="25">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1:24" ht="20.100000000000001" customHeight="1" x14ac:dyDescent="0.25">
      <c r="D55" s="133" t="str">
        <v>z</v>
      </c>
      <c r="E55" s="134" t="str">
        <v>rainfall zone</v>
      </c>
      <c r="F55" s="135"/>
      <c r="G55" s="133" t="str">
        <v/>
      </c>
      <c r="H55" s="136" t="str">
        <v>Input</v>
      </c>
      <c r="I55" s="133" t="str">
        <f>X_Cell_Site_RainfallZone</f>
        <v>High rainfall</v>
      </c>
    </row>
    <row r="56" spans="1:24" ht="20.100000000000001" customHeight="1" x14ac:dyDescent="0.25">
      <c r="F56" s="26"/>
    </row>
    <row r="57" spans="1:24" ht="20.100000000000001" customHeight="1" x14ac:dyDescent="0.25">
      <c r="D57" s="143" t="s">
        <v>293</v>
      </c>
      <c r="F57" s="26"/>
      <c r="L57" s="146"/>
      <c r="M57" s="146"/>
      <c r="N57" s="146"/>
      <c r="O57" s="146"/>
      <c r="P57" s="146"/>
      <c r="Q57" s="146"/>
      <c r="R57" s="146"/>
      <c r="S57" s="146"/>
      <c r="T57" s="146"/>
      <c r="U57" s="146"/>
      <c r="V57" s="146"/>
      <c r="W57" s="146"/>
      <c r="X57" s="146"/>
    </row>
    <row r="58" spans="1:24" ht="20.100000000000001" customHeight="1" x14ac:dyDescent="0.25">
      <c r="D58" s="144" t="s">
        <v>294</v>
      </c>
      <c r="F58" s="26"/>
      <c r="M58" s="2" t="str" cm="1">
        <f t="array" ref="M58">Fertiliser_Equations_InorganicN2O.VEERG_5_1_1_1__1_InorganicFertiliserApplicationN2OEmissions_Title()</f>
        <v>Nitrous oxide emissions from the application of all inorganic fertiliser types f to all production systems j</v>
      </c>
    </row>
    <row r="59" spans="1:24" ht="20.100000000000001" customHeight="1" x14ac:dyDescent="0.25">
      <c r="D59" s="145" t="s">
        <v>272</v>
      </c>
      <c r="E59" s="145" t="s">
        <v>295</v>
      </c>
      <c r="M59" s="27" t="str" cm="1">
        <f t="array" ref="M59">Fertiliser_Equations_InorganicN2O.VEERG_5_1_1_1__1_InorganicFertiliserApplicationN2OEmissions_Source()</f>
        <v>VEERG 2026: 5.1.1.1, Equation (1)</v>
      </c>
    </row>
    <row r="60" spans="1:24" ht="20.100000000000001" customHeight="1" x14ac:dyDescent="0.25">
      <c r="D60" s="25" t="str" cm="1">
        <f t="array" ref="D60:D78">Table_Fertiliser_ChemicalCompounds[Fertiliser type f]</f>
        <v>Monoammonium phosphate (MAP)</v>
      </c>
      <c r="E60" s="25" cm="1">
        <f t="array" ref="E60">Fertiliser_Equations_InorganicN2O.VEERG_5_1_1_1__1_InorganicFertiliserApplicationN2OEmissions(G19,$I$50,$I$51)</f>
        <v>0</v>
      </c>
      <c r="F60" s="26" t="str">
        <f>E47</f>
        <v>t N2O</v>
      </c>
      <c r="M60" s="132" t="s">
        <v>267</v>
      </c>
      <c r="N60" s="132" t="str" cm="1">
        <f t="array" aca="1" ref="N60" ca="1">Common_InputFunctions.Utility_DisplayFunctionName($E$60)</f>
        <v>=Fertiliser_Equations_InorganicN2O.VEERG_5_1_1_1__1_InorganicFertiliserApplicationN2OEmissions</v>
      </c>
    </row>
    <row r="61" spans="1:24" ht="20.100000000000001" customHeight="1" x14ac:dyDescent="0.25">
      <c r="D61" s="25" t="str">
        <v>Diammonium phosphate (DAP)</v>
      </c>
      <c r="E61" s="25" cm="1">
        <f t="array" ref="E61">Fertiliser_Equations_InorganicN2O.VEERG_5_1_1_1__1_InorganicFertiliserApplicationN2OEmissions(G20,$I$50,$I$51)</f>
        <v>0</v>
      </c>
    </row>
    <row r="62" spans="1:24" ht="20.100000000000001" customHeight="1" x14ac:dyDescent="0.25">
      <c r="D62" s="25" t="str">
        <v>Urea</v>
      </c>
      <c r="E62" s="25" cm="1">
        <f t="array" ref="E62">Fertiliser_Equations_InorganicN2O.VEERG_5_1_1_1__1_InorganicFertiliserApplicationN2OEmissions(G21,$I$50,$I$51)</f>
        <v>5.0599999999999999E-2</v>
      </c>
    </row>
    <row r="63" spans="1:24" ht="20.100000000000001" customHeight="1" x14ac:dyDescent="0.25">
      <c r="D63" s="25" t="str">
        <v>Sulphate of ammonia (SOA)</v>
      </c>
      <c r="E63" s="25" cm="1">
        <f t="array" ref="E63">Fertiliser_Equations_InorganicN2O.VEERG_5_1_1_1__1_InorganicFertiliserApplicationN2OEmissions(G22,$I$50,$I$51)</f>
        <v>0</v>
      </c>
    </row>
    <row r="64" spans="1:24" ht="20.100000000000001" customHeight="1" x14ac:dyDescent="0.25">
      <c r="D64" s="25" t="str">
        <v>Urea-ammonium nitrate (UAN)</v>
      </c>
      <c r="E64" s="25" cm="1">
        <f t="array" ref="E64">Fertiliser_Equations_InorganicN2O.VEERG_5_1_1_1__1_InorganicFertiliserApplicationN2OEmissions(G23,$I$50,$I$51)</f>
        <v>0</v>
      </c>
      <c r="M64" s="88" t="s">
        <v>268</v>
      </c>
      <c r="N64" s="1" t="str" cm="1">
        <f t="array" ref="N64">Fertiliser_Equations_InorganicN2O.VEERG_5_1_1_1__1_InorganicFertiliserApplicationN2OEmissions_Variable()</f>
        <v>E_N2O</v>
      </c>
    </row>
    <row r="65" spans="4:19" ht="20.100000000000001" customHeight="1" x14ac:dyDescent="0.25">
      <c r="D65" s="25" t="str">
        <v>Ammonium nitrate (AN)</v>
      </c>
      <c r="E65" s="25" cm="1">
        <f t="array" ref="E65">Fertiliser_Equations_InorganicN2O.VEERG_5_1_1_1__1_InorganicFertiliserApplicationN2OEmissions(G24,$I$50,$I$51)</f>
        <v>0</v>
      </c>
      <c r="M65" s="88" t="s">
        <v>121</v>
      </c>
      <c r="N65" s="15" t="str" cm="1">
        <f t="array" ref="N65">Fertiliser_Equations_InorganicN2O.VEERG_5_1_1_1__1_InorganicFertiliserApplicationN2OEmissions_Unit()</f>
        <v>t N2O</v>
      </c>
    </row>
    <row r="66" spans="4:19" ht="20.100000000000001" customHeight="1" x14ac:dyDescent="0.25">
      <c r="D66" s="25" t="str">
        <v>Calcium ammonium nitrate (CAN)</v>
      </c>
      <c r="E66" s="25" cm="1">
        <f t="array" ref="E66">Fertiliser_Equations_InorganicN2O.VEERG_5_1_1_1__1_InorganicFertiliserApplicationN2OEmissions(G25,$I$50,$I$51)</f>
        <v>0</v>
      </c>
    </row>
    <row r="67" spans="4:19" ht="20.100000000000001" customHeight="1" x14ac:dyDescent="0.25">
      <c r="D67" s="25" t="str">
        <v>Nitrogen - Ammoniacal</v>
      </c>
      <c r="E67" s="25" cm="1">
        <f t="array" ref="E67">Fertiliser_Equations_InorganicN2O.VEERG_5_1_1_1__1_InorganicFertiliserApplicationN2OEmissions(G26,$I$50,$I$51)</f>
        <v>0</v>
      </c>
      <c r="M67" s="133" t="str" cm="1">
        <f t="array" ref="M67:N74">_xlfn.CHOOSECOLS(Fertiliser_Equations_InorganicN2O.VEERG_5_1_1_1__1_InorganicFertiliserApplicationN2OEmissions_Arguments_Method2(), 1, 2)</f>
        <v>MN_jf</v>
      </c>
      <c r="N67" s="134" t="str">
        <v>mass of nitrogen in inorganic fertiliser type f applied to production system j</v>
      </c>
      <c r="O67" s="135"/>
      <c r="P67" s="142"/>
      <c r="Q67" s="133" t="str" cm="1">
        <f t="array" ref="Q67:R74">_xlfn.CHOOSECOLS(Fertiliser_Equations_InorganicN2O.VEERG_5_1_1_1__1_InorganicFertiliserApplicationN2OEmissions_Arguments_Method2(), 3,4)</f>
        <v>kg N</v>
      </c>
      <c r="R67" s="137" t="str">
        <v>Calculated from 5.1.1.1 (2)</v>
      </c>
      <c r="S67" s="140" t="str" cm="1">
        <f t="array" aca="1" ref="S67" ca="1">HYPERLINK(Common_InputFunctions.Utility_SourceHyperlink(M41), M41)</f>
        <v>M2_Table_FertApplications</v>
      </c>
    </row>
    <row r="68" spans="4:19" ht="20.100000000000001" customHeight="1" x14ac:dyDescent="0.25">
      <c r="D68" s="25" t="str">
        <v>Nitrogen - Nitrate</v>
      </c>
      <c r="E68" s="25" cm="1">
        <f t="array" ref="E68">Fertiliser_Equations_InorganicN2O.VEERG_5_1_1_1__1_InorganicFertiliserApplicationN2OEmissions(G27,$I$50,$I$51)</f>
        <v>2.1779999999999997E-2</v>
      </c>
      <c r="M68" s="133" t="str">
        <v>EF_jN2O</v>
      </c>
      <c r="N68" s="134" t="str">
        <v>emission factor for nitrous oxide for inorganic fertilisers</v>
      </c>
      <c r="O68" s="135"/>
      <c r="P68" s="142"/>
      <c r="Q68" s="133" t="str">
        <v>kg N2O-N/kg N applied</v>
      </c>
      <c r="R68" s="137" t="str">
        <v>Calculated from 5.1.1.2 (1)(2)(3)</v>
      </c>
      <c r="S68" s="133" t="str" cm="1">
        <f t="array" ref="S68">_xlfn.IFS(
  AND(S70="crop", S71="grains", S73="not irrigated", S74="high rainfall"), $S$44,
  AND(S70="Crop", S71="maize", S73&lt;&gt;"not irrigated"), $R$44,
  AND(S70="Crop", S71="cotton"), $V$44,
  TRUE, $W$44
)</f>
        <v>EF_jN2O</v>
      </c>
    </row>
    <row r="69" spans="4:19" ht="20.100000000000001" customHeight="1" x14ac:dyDescent="0.25">
      <c r="D69" s="25" t="str">
        <v>Nitrogen - Generic</v>
      </c>
      <c r="E69" s="25" cm="1">
        <f t="array" ref="E69">Fertiliser_Equations_InorganicN2O.VEERG_5_1_1_1__1_InorganicFertiliserApplicationN2OEmissions(G28,$I$50,$I$51)</f>
        <v>1.6909200000000003E-2</v>
      </c>
      <c r="M69" s="133" t="str">
        <v>C_N2O</v>
      </c>
      <c r="N69" s="134" t="str">
        <v>factor to convert elemental mass of nitrous oxide to molecular mass</v>
      </c>
      <c r="O69" s="135"/>
      <c r="P69" s="142"/>
      <c r="Q69" s="133" t="str">
        <v/>
      </c>
      <c r="R69" s="137" t="str">
        <v>Constant</v>
      </c>
      <c r="S69" s="133">
        <f>Common_InputFunctions.Utility_LookupValueInTableNumber("N2O",Table_GasToMolecularConversionFactor[Gas],Table_GasToMolecularConversionFactor[Conversion factor combined])</f>
        <v>1.5714285714285714</v>
      </c>
    </row>
    <row r="70" spans="4:19" ht="20.100000000000001" customHeight="1" x14ac:dyDescent="0.25">
      <c r="D70" s="25" t="str">
        <v>Phosphorus - Generic</v>
      </c>
      <c r="E70" s="25" cm="1">
        <f t="array" ref="E70">Fertiliser_Equations_InorganicN2O.VEERG_5_1_1_1__1_InorganicFertiliserApplicationN2OEmissions(G29,$I$50,$I$51)</f>
        <v>0</v>
      </c>
      <c r="M70" s="133" t="str">
        <v>j</v>
      </c>
      <c r="N70" s="134" t="str">
        <v>Production system</v>
      </c>
      <c r="O70" s="135"/>
      <c r="P70" s="142"/>
      <c r="Q70" s="133" t="str">
        <v/>
      </c>
      <c r="R70" s="136" t="str">
        <v>Input</v>
      </c>
      <c r="S70" s="133" t="str">
        <f>X_Cell_Fertiliser_ProductionSystem</f>
        <v>Crop</v>
      </c>
    </row>
    <row r="71" spans="4:19" ht="20.100000000000001" customHeight="1" x14ac:dyDescent="0.25">
      <c r="D71" s="25" t="str">
        <v>Potassium - Generic</v>
      </c>
      <c r="E71" s="25" cm="1">
        <f t="array" ref="E71">Fertiliser_Equations_InorganicN2O.VEERG_5_1_1_1__1_InorganicFertiliserApplicationN2OEmissions(G30,$I$50,$I$51)</f>
        <v>0</v>
      </c>
      <c r="M71" s="133" t="str">
        <v>c</v>
      </c>
      <c r="N71" s="134" t="str">
        <v>Crop type</v>
      </c>
      <c r="O71" s="135"/>
      <c r="P71" s="142"/>
      <c r="Q71" s="133" t="str">
        <v/>
      </c>
      <c r="R71" s="136" t="str">
        <v>Input</v>
      </c>
      <c r="S71" s="133" t="str">
        <f>X_Cell_Fertiliser_CropType</f>
        <v>Grains</v>
      </c>
    </row>
    <row r="72" spans="4:19" ht="20.100000000000001" customHeight="1" x14ac:dyDescent="0.25">
      <c r="D72" s="25" t="str">
        <v>Sulfur - Generic</v>
      </c>
      <c r="E72" s="25" cm="1">
        <f t="array" ref="E72">Fertiliser_Equations_InorganicN2O.VEERG_5_1_1_1__1_InorganicFertiliserApplicationN2OEmissions(G31,$I$50,$I$51)</f>
        <v>0</v>
      </c>
      <c r="M72" s="133" t="str">
        <v>f</v>
      </c>
      <c r="N72" s="134" t="str">
        <v>Inorganic fertiliser type</v>
      </c>
      <c r="O72" s="135"/>
      <c r="P72" s="142"/>
      <c r="Q72" s="133" t="str">
        <v/>
      </c>
      <c r="R72" s="137" t="str">
        <v>Constant</v>
      </c>
      <c r="S72" s="133" t="s">
        <v>296</v>
      </c>
    </row>
    <row r="73" spans="4:19" ht="20.100000000000001" customHeight="1" x14ac:dyDescent="0.25">
      <c r="D73" s="25" t="str">
        <v>Zinc - Generic</v>
      </c>
      <c r="E73" s="25" cm="1">
        <f t="array" ref="E73">Fertiliser_Equations_InorganicN2O.VEERG_5_1_1_1__1_InorganicFertiliserApplicationN2OEmissions(G32,$I$50,$I$51)</f>
        <v>0</v>
      </c>
      <c r="M73" s="133" t="str">
        <v>ir</v>
      </c>
      <c r="N73" s="134" t="str">
        <v>irrigation method</v>
      </c>
      <c r="O73" s="135"/>
      <c r="P73" s="142"/>
      <c r="Q73" s="133" t="str">
        <v/>
      </c>
      <c r="R73" s="136" t="str">
        <v>Input</v>
      </c>
      <c r="S73" s="133" t="str">
        <f>X_Cell_Fertiliser_IrrigationMethod</f>
        <v>Sprinkler irrigation</v>
      </c>
    </row>
    <row r="74" spans="4:19" ht="20.100000000000001" customHeight="1" x14ac:dyDescent="0.25">
      <c r="D74" s="25" t="str">
        <v>Muriate of potash (MOP)</v>
      </c>
      <c r="E74" s="25" cm="1">
        <f t="array" ref="E74">Fertiliser_Equations_InorganicN2O.VEERG_5_1_1_1__1_InorganicFertiliserApplicationN2OEmissions(G33,$I$50,$I$51)</f>
        <v>0</v>
      </c>
      <c r="M74" s="134" t="str">
        <v>z</v>
      </c>
      <c r="N74" s="134" t="str">
        <v>rainfall zone</v>
      </c>
      <c r="O74" s="135"/>
      <c r="P74" s="135"/>
      <c r="Q74" s="133" t="str">
        <v/>
      </c>
      <c r="R74" s="136" t="str">
        <v>Input</v>
      </c>
      <c r="S74" s="133" t="str">
        <f>X_Cell_Site_RainfallZone</f>
        <v>High rainfall</v>
      </c>
    </row>
    <row r="75" spans="4:19" ht="20.100000000000001" customHeight="1" x14ac:dyDescent="0.25">
      <c r="D75" s="25" t="str">
        <v>Double superphosphate</v>
      </c>
      <c r="E75" s="25" cm="1">
        <f t="array" ref="E75">Fertiliser_Equations_InorganicN2O.VEERG_5_1_1_1__1_InorganicFertiliserApplicationN2OEmissions(G34,$I$50,$I$51)</f>
        <v>0</v>
      </c>
    </row>
    <row r="76" spans="4:19" ht="20.100000000000001" customHeight="1" x14ac:dyDescent="0.25">
      <c r="D76" s="25" t="str">
        <v>Single superphosphate (SSP)</v>
      </c>
      <c r="E76" s="25" cm="1">
        <f t="array" ref="E76">Fertiliser_Equations_InorganicN2O.VEERG_5_1_1_1__1_InorganicFertiliserApplicationN2OEmissions(G35,$I$50,$I$51)</f>
        <v>0</v>
      </c>
      <c r="M76" s="145" t="s">
        <v>284</v>
      </c>
      <c r="N76" s="145" t="s">
        <v>284</v>
      </c>
      <c r="O76" s="145" t="s">
        <v>297</v>
      </c>
      <c r="P76" s="145" t="s">
        <v>295</v>
      </c>
    </row>
    <row r="77" spans="4:19" ht="20.100000000000001" customHeight="1" x14ac:dyDescent="0.25">
      <c r="D77" s="25" t="str">
        <v>Ammonia</v>
      </c>
      <c r="E77" s="25" cm="1">
        <f t="array" ref="E77">Fertiliser_Equations_InorganicN2O.VEERG_5_1_1_1__1_InorganicFertiliserApplicationN2OEmissions(G36,$I$50,$I$51)</f>
        <v>4.5292500000000006E-2</v>
      </c>
      <c r="M77" s="25" t="s">
        <v>291</v>
      </c>
      <c r="N77" s="25" t="str" cm="1">
        <f t="array" ref="N77:N81">Table_Input_InorganicFertiliser_Brands[Product (select)]</f>
        <v>Aqua Finish</v>
      </c>
      <c r="O77" s="25" cm="1">
        <f t="array" ref="O77">_xlfn.XLOOKUP(N77,$N$45:$N$54,_xlfn.XLOOKUP($S$68,$R$44:$W$44,$R$45:$W$54), "")</f>
        <v>7.0000000000000001E-3</v>
      </c>
      <c r="P77" s="25" cm="1">
        <f t="array" ref="P77">Fertiliser_Equations_InorganicN2O.VEERG_5_1_1_1__1_InorganicFertiliserApplicationN2OEmissions(Q45,O77,$S$69)</f>
        <v>3.6035999999999993E-3</v>
      </c>
    </row>
    <row r="78" spans="4:19" ht="20.100000000000001" customHeight="1" x14ac:dyDescent="0.25">
      <c r="D78" s="25" t="str">
        <v>Calcium nitrate</v>
      </c>
      <c r="E78" s="25" cm="1">
        <f t="array" ref="E78">Fertiliser_Equations_InorganicN2O.VEERG_5_1_1_1__1_InorganicFertiliserApplicationN2OEmissions(G37,$I$50,$I$51)</f>
        <v>8.5250000000000013E-3</v>
      </c>
      <c r="M78" s="25" t="s">
        <v>291</v>
      </c>
      <c r="N78" s="25" t="str">
        <v>CalPhos</v>
      </c>
      <c r="O78" s="25" cm="1">
        <f t="array" ref="O78">_xlfn.XLOOKUP(N78,$N$45:$N$54,_xlfn.XLOOKUP($S$68,$R$44:$W$44,$R$45:$W$54), FALSE)</f>
        <v>0</v>
      </c>
      <c r="P78" s="25" cm="1">
        <f t="array" ref="P78">Fertiliser_Equations_InorganicN2O.VEERG_5_1_1_1__1_InorganicFertiliserApplicationN2OEmissions(Q46,O78,$S$69)</f>
        <v>0</v>
      </c>
    </row>
    <row r="79" spans="4:19" ht="20.100000000000001" customHeight="1" x14ac:dyDescent="0.25">
      <c r="M79" s="25" t="s">
        <v>291</v>
      </c>
      <c r="N79" s="25" t="str">
        <v>CalPhos</v>
      </c>
      <c r="O79" s="25" cm="1">
        <f t="array" ref="O79">_xlfn.XLOOKUP(N79,$N$45:$N$54,_xlfn.XLOOKUP($S$68,$R$44:$W$44,$R$45:$W$54))</f>
        <v>0</v>
      </c>
      <c r="P79" s="25" cm="1">
        <f t="array" ref="P79">Fertiliser_Equations_InorganicN2O.VEERG_5_1_1_1__1_InorganicFertiliserApplicationN2OEmissions(Q47,O79,$S$69)</f>
        <v>0</v>
      </c>
    </row>
    <row r="80" spans="4:19" ht="20.100000000000001" customHeight="1" x14ac:dyDescent="0.25">
      <c r="D80" s="149" t="s">
        <v>298</v>
      </c>
      <c r="E80" s="150">
        <f>SUM(E60:E78)</f>
        <v>0.1431067</v>
      </c>
      <c r="F80" s="151" t="str">
        <f>$E$47</f>
        <v>t N2O</v>
      </c>
      <c r="M80" s="25" t="s">
        <v>291</v>
      </c>
      <c r="N80" s="25" t="str">
        <v>Aqua Grow</v>
      </c>
      <c r="O80" s="25" cm="1">
        <f t="array" ref="O80">_xlfn.XLOOKUP(N80,$N$45:$N$54,_xlfn.XLOOKUP($S$68,$R$44:$W$44,$R$45:$W$54))</f>
        <v>7.0000000000000001E-3</v>
      </c>
      <c r="P80" s="25" cm="1">
        <f t="array" ref="P80">Fertiliser_Equations_InorganicN2O.VEERG_5_1_1_1__1_InorganicFertiliserApplicationN2OEmissions(Q48,O80,$S$69)</f>
        <v>1.3305600000000001E-2</v>
      </c>
    </row>
    <row r="81" spans="4:16" ht="20.100000000000001" customHeight="1" x14ac:dyDescent="0.25">
      <c r="M81" s="25" t="s">
        <v>291</v>
      </c>
      <c r="N81" s="25" t="str">
        <v>Aqua NitroCal</v>
      </c>
      <c r="O81" s="25" cm="1">
        <f t="array" ref="O81">_xlfn.XLOOKUP(N81,$N$45:$N$54,_xlfn.XLOOKUP($S$68,$R$44:$W$44,$R$45:$W$54))</f>
        <v>7.0000000000000001E-3</v>
      </c>
      <c r="P81" s="25" cm="1">
        <f t="array" ref="P81">Fertiliser_Equations_InorganicN2O.VEERG_5_1_1_1__1_InorganicFertiliserApplicationN2OEmissions(Q49,O81,$S$69)</f>
        <v>2.1779999999999997E-2</v>
      </c>
    </row>
    <row r="82" spans="4:16" ht="20.100000000000001" customHeight="1" x14ac:dyDescent="0.25">
      <c r="D82" s="133" t="str" cm="1">
        <f t="array" ref="D82:E83">Common_Equations.Common_ConvertN2OToCO2e_Arguments()</f>
        <v>EN2O</v>
      </c>
      <c r="E82" s="134" t="str">
        <v>Nitrous oxide emissions (t N2O)</v>
      </c>
      <c r="F82" s="152"/>
      <c r="G82" s="25">
        <f>VEERG_5_1_1_1__1_InorganicFertiliserApplicationN2OEmissions_Result_Method1</f>
        <v>0.1431067</v>
      </c>
      <c r="M82" s="25" t="s">
        <v>292</v>
      </c>
      <c r="N82" s="25" t="str" cm="1">
        <f t="array" ref="N82:N84">Table_Input_InorganicFertiliser_Custom[Custom blend name]</f>
        <v>My first custom blend</v>
      </c>
      <c r="O82" s="25" cm="1">
        <f t="array" ref="O82">_xlfn.XLOOKUP(N82,$N$45:$N$54,_xlfn.XLOOKUP($S$68,$R$44:$W$44,$R$45:$W$54))</f>
        <v>7.0000000000000001E-3</v>
      </c>
      <c r="P82" s="25" cm="1">
        <f t="array" ref="P82">Fertiliser_Equations_InorganicN2O.VEERG_5_1_1_1__1_InorganicFertiliserApplicationN2OEmissions(Q50,O82,$S$69)</f>
        <v>8.5250000000000013E-3</v>
      </c>
    </row>
    <row r="83" spans="4:16" ht="20.100000000000001" customHeight="1" x14ac:dyDescent="0.25">
      <c r="D83" s="133" t="str">
        <v>GWPN2O</v>
      </c>
      <c r="E83" s="134" t="str">
        <v>Global warming potential for nitrous oxide (t CO2-e / t N2O)</v>
      </c>
      <c r="F83" s="152"/>
      <c r="G83" s="25">
        <f>Common_InputFunctions.Utility_LookupValueInTableNumber("N2O",Table_GWPData[Gas],Table_GWPData[CO2-e factor])</f>
        <v>265</v>
      </c>
      <c r="M83" s="25" t="s">
        <v>292</v>
      </c>
      <c r="N83" s="25" t="str">
        <v>My second custom blend</v>
      </c>
      <c r="O83" s="25" cm="1">
        <f t="array" ref="O83">_xlfn.XLOOKUP(N83,$N$45:$N$54,_xlfn.XLOOKUP($S$68,$R$44:$W$44,$R$45:$W$54))</f>
        <v>7.0000000000000001E-3</v>
      </c>
      <c r="P83" s="25" cm="1">
        <f t="array" ref="P83">Fertiliser_Equations_InorganicN2O.VEERG_5_1_1_1__1_InorganicFertiliserApplicationN2OEmissions(Q51,O83,$S$69)</f>
        <v>5.0599999999999999E-2</v>
      </c>
    </row>
    <row r="84" spans="4:16" ht="20.100000000000001" customHeight="1" x14ac:dyDescent="0.25">
      <c r="M84" s="25" t="s">
        <v>292</v>
      </c>
      <c r="N84" s="25" t="str">
        <v>My third custom blend</v>
      </c>
      <c r="O84" s="25" cm="1">
        <f t="array" ref="O84">_xlfn.XLOOKUP(N84,$N$45:$N$54,_xlfn.XLOOKUP($S$68,$R$44:$W$44,$R$45:$W$54))</f>
        <v>7.0000000000000001E-3</v>
      </c>
      <c r="P84" s="25" cm="1">
        <f t="array" ref="P84">Fertiliser_Equations_InorganicN2O.VEERG_5_1_1_1__1_InorganicFertiliserApplicationN2OEmissions(Q52,O84,$S$69)</f>
        <v>4.5292500000000006E-2</v>
      </c>
    </row>
    <row r="85" spans="4:16" ht="20.100000000000001" customHeight="1" x14ac:dyDescent="0.25">
      <c r="D85" s="146" t="s">
        <v>299</v>
      </c>
      <c r="E85" s="146" cm="1">
        <f t="array" ref="E85">Common_Equations.Common_ConvertN2OToCO2e(G82,G83)</f>
        <v>37.923275500000003</v>
      </c>
      <c r="F85" s="153" t="str" cm="1">
        <f t="array" ref="F85">Common_Equations.Common_ConvertN2OToCO2e_Unit()</f>
        <v>t CO2e</v>
      </c>
      <c r="M85" s="25" t="s">
        <v>292</v>
      </c>
      <c r="N85" s="25"/>
      <c r="O85" s="25" cm="1">
        <f t="array" ref="O85">_xlfn.XLOOKUP(N85,$N$45:$N$54,_xlfn.XLOOKUP($S$68,$R$44:$W$44,$R$45:$W$54))</f>
        <v>0</v>
      </c>
      <c r="P85" s="25" cm="1">
        <f t="array" ref="P85">Fertiliser_Equations_InorganicN2O.VEERG_5_1_1_1__1_InorganicFertiliserApplicationN2OEmissions(Q53,O85,$S$69)</f>
        <v>0</v>
      </c>
    </row>
    <row r="86" spans="4:16" ht="20.100000000000001" customHeight="1" x14ac:dyDescent="0.25">
      <c r="M86" s="25" t="s">
        <v>292</v>
      </c>
      <c r="N86" s="25"/>
      <c r="O86" s="25" cm="1">
        <f t="array" ref="O86">_xlfn.XLOOKUP(N86,$N$45:$N$54,_xlfn.XLOOKUP($S$68,$R$44:$W$44,$R$45:$W$54))</f>
        <v>0</v>
      </c>
      <c r="P86" s="25" cm="1">
        <f t="array" ref="P86">Fertiliser_Equations_InorganicN2O.VEERG_5_1_1_1__1_InorganicFertiliserApplicationN2OEmissions(Q54,O86,$S$69)</f>
        <v>0</v>
      </c>
    </row>
    <row r="87" spans="4:16" ht="20.100000000000001" customHeight="1" x14ac:dyDescent="0.25"/>
    <row r="88" spans="4:16" ht="20.100000000000001" customHeight="1" x14ac:dyDescent="0.25">
      <c r="M88" s="149" t="s">
        <v>298</v>
      </c>
      <c r="N88" s="150">
        <f>SUM(P77:P86)</f>
        <v>0.1431067</v>
      </c>
      <c r="O88" s="151" t="str">
        <f>$E$47</f>
        <v>t N2O</v>
      </c>
    </row>
    <row r="89" spans="4:16" ht="20.100000000000001" customHeight="1" x14ac:dyDescent="0.25"/>
    <row r="90" spans="4:16" ht="20.100000000000001" customHeight="1" x14ac:dyDescent="0.25">
      <c r="M90" s="133" t="str" cm="1">
        <f t="array" ref="M90:N91">Common_Equations.Common_ConvertN2OToCO2e_Arguments()</f>
        <v>EN2O</v>
      </c>
      <c r="N90" s="134" t="str">
        <v>Nitrous oxide emissions (t N2O)</v>
      </c>
      <c r="O90" s="152"/>
      <c r="P90" s="25">
        <f>VEERG_5_1_1_1__1_InorganicFertiliserApplicationN2OEmissions_Result_Method2</f>
        <v>0.1431067</v>
      </c>
    </row>
    <row r="91" spans="4:16" ht="20.100000000000001" customHeight="1" x14ac:dyDescent="0.25">
      <c r="M91" s="133" t="str">
        <v>GWPN2O</v>
      </c>
      <c r="N91" s="134" t="str">
        <v>Global warming potential for nitrous oxide (t CO2-e / t N2O)</v>
      </c>
      <c r="O91" s="152"/>
      <c r="P91" s="25">
        <f>Common_InputFunctions.Utility_LookupValueInTableNumber("N2O",Table_GWPData[Gas],Table_GWPData[CO2-e factor])</f>
        <v>265</v>
      </c>
    </row>
    <row r="92" spans="4:16" ht="20.100000000000001" customHeight="1" x14ac:dyDescent="0.25"/>
    <row r="93" spans="4:16" ht="20.100000000000001" customHeight="1" x14ac:dyDescent="0.25">
      <c r="M93" s="146" t="s">
        <v>299</v>
      </c>
      <c r="N93" s="146" cm="1">
        <f t="array" ref="N93">Common_Equations.Common_ConvertN2OToCO2e(P90,P91)</f>
        <v>37.923275500000003</v>
      </c>
      <c r="O93" s="153"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W172 O150:R150 E269 N166:W166 O143:W144 E228 O167:W167 G132 I129:I133 F134:I134 F129:F132 H128:H132 G129 F148:I148 I149 F150:I150 R149:W149" xr:uid="{19F2DDAB-8D71-4249-A187-FB56D1FCC80B}"/>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32A12-7B38-440A-936B-135E16B31A60}">
  <dimension ref="A1:U165"/>
  <sheetViews>
    <sheetView showGridLines="0" topLeftCell="A51"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300</v>
      </c>
    </row>
    <row r="2" spans="1:21" s="3" customFormat="1" ht="20.100000000000001" customHeight="1" x14ac:dyDescent="0.25">
      <c r="A2"/>
    </row>
    <row r="3" spans="1:21" ht="20.100000000000001" customHeight="1" x14ac:dyDescent="0.25">
      <c r="A3" s="5" t="str">
        <f>HYPERLINK("#'Home'!A1", "Home")</f>
        <v>Home</v>
      </c>
      <c r="C3" s="33"/>
      <c r="D3" s="33" t="s">
        <v>135</v>
      </c>
      <c r="E3" s="33"/>
      <c r="F3" s="33"/>
      <c r="G3" s="33"/>
      <c r="H3" s="33"/>
      <c r="I3" s="33"/>
      <c r="J3" s="33"/>
      <c r="K3" s="33"/>
      <c r="L3" s="33"/>
      <c r="N3" s="33"/>
      <c r="O3" s="33" t="s">
        <v>136</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Fertiliser_Equations_InorganicCO2.VEERG_5_1_1_3__2_MassOfUreaInInorganicFertiliser_Title()</f>
        <v>Mass of urea applied to production system</v>
      </c>
    </row>
    <row r="6" spans="1:21" ht="20.100000000000001" customHeight="1" x14ac:dyDescent="0.25">
      <c r="D6" s="27" t="str" cm="1">
        <f t="array" ref="D6">Fertiliser_Equations_InorganicCO2.VEERG_5_1_1_3__2_MassOfUreaInInorganicFertiliser_Source()</f>
        <v>VEERG 2026: 5.1.1.3, Equation (2)</v>
      </c>
    </row>
    <row r="7" spans="1:21" ht="20.100000000000001" customHeight="1" x14ac:dyDescent="0.25">
      <c r="D7" s="132" t="s">
        <v>267</v>
      </c>
      <c r="E7" s="132" t="str" cm="1">
        <f t="array" aca="1" ref="E7" ca="1">Common_InputFunctions.Utility_DisplayFunctionName(G19)</f>
        <v>=Fertiliser_Equations_InorganicCO2.VEERG_5_1_1_3__2_MassOfUreaInInorganicFertiliser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268</v>
      </c>
      <c r="E10" s="1" t="str" cm="1">
        <f t="array" ref="E10">Fertiliser_Equations_InorganicCO2.VEERG_5_1_1_3__2_MassOfUreaInInorganicFertiliser_Variable()</f>
        <v>MU_jf</v>
      </c>
    </row>
    <row r="11" spans="1:21" ht="20.100000000000001" customHeight="1" x14ac:dyDescent="0.25">
      <c r="A11" s="5" t="str">
        <f>HYPERLINK("#'Input - Crop'!A1", "Crop")</f>
        <v>Crop</v>
      </c>
      <c r="D11" s="88" t="s">
        <v>121</v>
      </c>
      <c r="E11" s="15" t="str" cm="1">
        <f t="array" ref="E11">Fertiliser_Equations_InorganicCO2.VEERG_5_1_1_3__2_MassOfUreaInInorganicFertiliser_Unit()</f>
        <v>kg urea</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33" t="str" cm="1">
        <f t="array" ref="D13:E14">_xlfn.CHOOSECOLS(Fertiliser_Equations_InorganicCO2.VEERG_5_1_1_3__2_MassOfUreaInInorganicFertiliser_Arguments(), 1, 2)</f>
        <v>TM_jf</v>
      </c>
      <c r="E13" s="134" t="str">
        <v>total mass of inorganic fertiliser type f applied to production system j</v>
      </c>
      <c r="F13" s="142"/>
      <c r="G13" s="133" t="str" cm="1">
        <f t="array" ref="G13:H14">_xlfn.CHOOSECOLS(Fertiliser_Equations_InorganicCO2.VEERG_5_1_1_3__2_MassOfUreaInInorganicFertiliser_Arguments(), 3, 4)</f>
        <v>kg</v>
      </c>
      <c r="H13" s="136" t="str">
        <v>Input</v>
      </c>
      <c r="I13" s="140" t="str" cm="1">
        <f t="array" aca="1" ref="I13" ca="1">HYPERLINK(Common_InputFunctions.Utility_SourceHyperlink($D$16), $D$16)</f>
        <v>Table_MU_j_f</v>
      </c>
    </row>
    <row r="14" spans="1:21" ht="20.100000000000001" customHeight="1" x14ac:dyDescent="0.25">
      <c r="A14" s="5" t="str">
        <f>HYPERLINK("#'Input - Fuel'!A1", "Fuel")</f>
        <v>Fuel</v>
      </c>
      <c r="D14" s="133" t="str">
        <v>FU_f</v>
      </c>
      <c r="E14" s="134" t="str">
        <v>fraction of urea in fertiliser type f</v>
      </c>
      <c r="F14" s="142"/>
      <c r="G14" s="133" t="str">
        <v>kg urea/kg</v>
      </c>
      <c r="H14" s="137" t="str">
        <v>Lookup</v>
      </c>
      <c r="I14" s="140" t="str" cm="1">
        <f t="array" aca="1" ref="I14" ca="1">HYPERLINK(Common_InputFunctions.Utility_SourceHyperlink($D$16), $D$16)</f>
        <v>Table_MU_j_f</v>
      </c>
    </row>
    <row r="15" spans="1:21" ht="20.100000000000001" customHeight="1" x14ac:dyDescent="0.25">
      <c r="A15" s="5" t="str">
        <f>HYPERLINK("#'Input - Electricity'!A1", "Electricity")</f>
        <v>Electricity</v>
      </c>
    </row>
    <row r="16" spans="1:21" ht="20.100000000000001" customHeight="1" x14ac:dyDescent="0.25">
      <c r="A16" s="5" t="str">
        <f>HYPERLINK("#'Input - Farm Inputs'!A1", "Farm Inputs")</f>
        <v>Farm Inputs</v>
      </c>
      <c r="D16" s="143" t="s">
        <v>301</v>
      </c>
    </row>
    <row r="17" spans="1:7" ht="20.100000000000001" customHeight="1" x14ac:dyDescent="0.25">
      <c r="A17" s="5" t="str">
        <f>HYPERLINK("#'Input - Freight'!A1", "Freight")</f>
        <v>Freight</v>
      </c>
      <c r="D17" s="144" t="s">
        <v>302</v>
      </c>
    </row>
    <row r="18" spans="1:7" ht="20.100000000000001" customHeight="1" x14ac:dyDescent="0.25">
      <c r="A18" s="5" t="str">
        <f>HYPERLINK("#'Input - Manure sent off-site'!A1", "Manure sent off-site")</f>
        <v>Manure sent off-site</v>
      </c>
      <c r="D18" s="145" t="s">
        <v>272</v>
      </c>
      <c r="E18" s="92" t="s">
        <v>273</v>
      </c>
      <c r="F18" s="145" t="s">
        <v>303</v>
      </c>
      <c r="G18" s="145" t="s">
        <v>304</v>
      </c>
    </row>
    <row r="19" spans="1:7" ht="20.100000000000001" customHeight="1" x14ac:dyDescent="0.25">
      <c r="A19" s="5" t="str">
        <f>HYPERLINK("#'Input - Solid waste'!A1", "Solid waste")</f>
        <v>Solid waste</v>
      </c>
      <c r="D19" s="25" t="str" cm="1">
        <f t="array" ref="D19:D37">Table_Fertiliser_ChemicalCompounds[Fertiliser type f]</f>
        <v>Monoammonium phosphate (MAP)</v>
      </c>
      <c r="E19" s="2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5" cm="1">
        <f t="array" ref="F19">Common_InputFunctions.Utility_LookupValueInTableNumber(D19,Table_Fertiliser_ChemicalCompounds[Fertiliser type f],Table_Fertiliser_ChemicalCompounds[FU f])</f>
        <v>0</v>
      </c>
      <c r="G19" s="25" cm="1">
        <f t="array" ref="G19">Fertiliser_Equations_InorganicCO2.VEERG_5_1_1_3__2_MassOfUreaInInorganicFertiliser(E19,F19)</f>
        <v>0</v>
      </c>
    </row>
    <row r="20" spans="1:7" ht="20.100000000000001" customHeight="1" x14ac:dyDescent="0.25">
      <c r="A20" s="5" t="str">
        <f>HYPERLINK("#'Input - Data quality'!A1", "Data quality")</f>
        <v>Data quality</v>
      </c>
      <c r="D20" s="25" t="str">
        <v>Diammonium phosphate (DAP)</v>
      </c>
      <c r="E20" s="2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5" cm="1">
        <f t="array" ref="F20">Common_InputFunctions.Utility_LookupValueInTableNumber(D20,Table_Fertiliser_ChemicalCompounds[Fertiliser type f],Table_Fertiliser_ChemicalCompounds[FU f])</f>
        <v>0</v>
      </c>
      <c r="G20" s="25" cm="1">
        <f t="array" ref="G20">Fertiliser_Equations_InorganicCO2.VEERG_5_1_1_3__2_MassOfUreaInInorganicFertiliser(E20,F20)</f>
        <v>0</v>
      </c>
    </row>
    <row r="21" spans="1:7" ht="20.100000000000001" customHeight="1" x14ac:dyDescent="0.25">
      <c r="D21" s="25" t="str">
        <v>Urea</v>
      </c>
      <c r="E21" s="2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25" cm="1">
        <f t="array" ref="F21">Common_InputFunctions.Utility_LookupValueInTableNumber(D21,Table_Fertiliser_ChemicalCompounds[Fertiliser type f],Table_Fertiliser_ChemicalCompounds[FU f])</f>
        <v>1</v>
      </c>
      <c r="G21" s="25" cm="1">
        <f t="array" ref="G21">Fertiliser_Equations_InorganicCO2.VEERG_5_1_1_3__2_MassOfUreaInInorganicFertiliser(E21,F21)</f>
        <v>10000</v>
      </c>
    </row>
    <row r="22" spans="1:7" ht="20.100000000000001" customHeight="1" x14ac:dyDescent="0.25">
      <c r="D22" s="25" t="str">
        <v>Sulphate of ammonia (SOA)</v>
      </c>
      <c r="E22" s="2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5" cm="1">
        <f t="array" ref="F22">Common_InputFunctions.Utility_LookupValueInTableNumber(D22,Table_Fertiliser_ChemicalCompounds[Fertiliser type f],Table_Fertiliser_ChemicalCompounds[FU f])</f>
        <v>0</v>
      </c>
      <c r="G22" s="25" cm="1">
        <f t="array" ref="G22">Fertiliser_Equations_InorganicCO2.VEERG_5_1_1_3__2_MassOfUreaInInorganicFertiliser(E22,F22)</f>
        <v>0</v>
      </c>
    </row>
    <row r="23" spans="1:7" ht="20.100000000000001" customHeight="1" x14ac:dyDescent="0.25">
      <c r="A23" s="6" t="s">
        <v>2</v>
      </c>
      <c r="D23" s="25" t="str">
        <v>Urea-ammonium nitrate (UAN)</v>
      </c>
      <c r="E23" s="2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5" cm="1">
        <f t="array" ref="F23">Common_InputFunctions.Utility_LookupValueInTableNumber(D23,Table_Fertiliser_ChemicalCompounds[Fertiliser type f],Table_Fertiliser_ChemicalCompounds[FU f])</f>
        <v>0.35</v>
      </c>
      <c r="G23" s="25" cm="1">
        <f t="array" ref="G23">Fertiliser_Equations_InorganicCO2.VEERG_5_1_1_3__2_MassOfUreaInInorganicFertiliser(E23,F23)</f>
        <v>0</v>
      </c>
    </row>
    <row r="24" spans="1:7" ht="20.100000000000001" customHeight="1" x14ac:dyDescent="0.25">
      <c r="A24" s="5" t="str">
        <f>HYPERLINK("#'5.1.1.1-2 Inorganic fert N2O'!A1", "5.1.1.1-2 Inorganic fert N2O")</f>
        <v>5.1.1.1-2 Inorganic fert N2O</v>
      </c>
      <c r="D24" s="25" t="str">
        <v>Ammonium nitrate (AN)</v>
      </c>
      <c r="E24" s="2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5" cm="1">
        <f t="array" ref="F24">Common_InputFunctions.Utility_LookupValueInTableNumber(D24,Table_Fertiliser_ChemicalCompounds[Fertiliser type f],Table_Fertiliser_ChemicalCompounds[FU f])</f>
        <v>0</v>
      </c>
      <c r="G24" s="25" cm="1">
        <f t="array" ref="G24">Fertiliser_Equations_InorganicCO2.VEERG_5_1_1_3__2_MassOfUreaInInorganicFertiliser(E24,F24)</f>
        <v>0</v>
      </c>
    </row>
    <row r="25" spans="1:7" ht="20.100000000000001" customHeight="1" x14ac:dyDescent="0.25">
      <c r="A25" s="141" t="str">
        <f>HYPERLINK("#'5.1.1.3-4 Inorganic fert CO2'!A1", "5.1.1.3-4 Inorganic fert CO2")</f>
        <v>5.1.1.3-4 Inorganic fert CO2</v>
      </c>
      <c r="D25" s="25" t="str">
        <v>Calcium ammonium nitrate (CAN)</v>
      </c>
      <c r="E25" s="2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5" cm="1">
        <f t="array" ref="F25">Common_InputFunctions.Utility_LookupValueInTableNumber(D25,Table_Fertiliser_ChemicalCompounds[Fertiliser type f],Table_Fertiliser_ChemicalCompounds[FU f])</f>
        <v>0</v>
      </c>
      <c r="G25" s="25" cm="1">
        <f t="array" ref="G25">Fertiliser_Equations_InorganicCO2.VEERG_5_1_1_3__2_MassOfUreaInInorganicFertiliser(E25,F25)</f>
        <v>0</v>
      </c>
    </row>
    <row r="26" spans="1:7" ht="20.100000000000001" customHeight="1" x14ac:dyDescent="0.25">
      <c r="A26" s="5" t="str">
        <f>HYPERLINK("#'5.2.1.1-2 Organic Fert N2O'!A1", "5.2.1.1-2 Organic fert N2O")</f>
        <v>5.2.1.1-2 Organic fert N2O</v>
      </c>
      <c r="D26" s="25" t="str">
        <v>Nitrogen - Ammoniacal</v>
      </c>
      <c r="E26" s="2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25" cm="1">
        <f t="array" ref="F26">Common_InputFunctions.Utility_LookupValueInTableNumber(D26,Table_Fertiliser_ChemicalCompounds[Fertiliser type f],Table_Fertiliser_ChemicalCompounds[FU f])</f>
        <v>0</v>
      </c>
      <c r="G26" s="25" cm="1">
        <f t="array" ref="G26">Fertiliser_Equations_InorganicCO2.VEERG_5_1_1_3__2_MassOfUreaInInorganicFertiliser(E26,F26)</f>
        <v>0</v>
      </c>
    </row>
    <row r="27" spans="1:7" ht="20.100000000000001" customHeight="1" x14ac:dyDescent="0.25">
      <c r="A27" s="5" t="str">
        <f>HYPERLINK("#'5.3.1.1-2 Lime CO2'!A1", "5.3.1.1-2 Lime CO2")</f>
        <v>5.3.1.1-2 Lime CO2</v>
      </c>
      <c r="D27" s="25" t="str">
        <v>Nitrogen - Nitrate</v>
      </c>
      <c r="E27" s="2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25" cm="1">
        <f t="array" ref="F27">Common_InputFunctions.Utility_LookupValueInTableNumber(D27,Table_Fertiliser_ChemicalCompounds[Fertiliser type f],Table_Fertiliser_ChemicalCompounds[FU f])</f>
        <v>0</v>
      </c>
      <c r="G27" s="25" cm="1">
        <f t="array" ref="G27">Fertiliser_Equations_InorganicCO2.VEERG_5_1_1_3__2_MassOfUreaInInorganicFertiliser(E27,F27)</f>
        <v>0</v>
      </c>
    </row>
    <row r="28" spans="1:7" ht="20.100000000000001" customHeight="1" x14ac:dyDescent="0.25">
      <c r="A28" s="5" t="str">
        <f>HYPERLINK("#'5.4.1.1-4 Atmos deposition'!A1", "5.4.1.1-4 Atmos. deposition")</f>
        <v>5.4.1.1-4 Atmos. deposition</v>
      </c>
      <c r="D28" s="25" t="str">
        <v>Nitrogen - Generic</v>
      </c>
      <c r="E28" s="2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25" cm="1">
        <f t="array" ref="F28">Common_InputFunctions.Utility_LookupValueInTableNumber(D28,Table_Fertiliser_ChemicalCompounds[Fertiliser type f],Table_Fertiliser_ChemicalCompounds[FU f])</f>
        <v>0</v>
      </c>
      <c r="G28" s="25" cm="1">
        <f t="array" ref="G28">Fertiliser_Equations_InorganicCO2.VEERG_5_1_1_3__2_MassOfUreaInInorganicFertiliser(E28,F28)</f>
        <v>0</v>
      </c>
    </row>
    <row r="29" spans="1:7" ht="20.100000000000001" customHeight="1" x14ac:dyDescent="0.25">
      <c r="A29" s="5" t="str">
        <f>HYPERLINK("#'5.5.1.1-2 Leaching and runoff'!A1", "5.5.1.1-2 Leaching &amp; runoff")</f>
        <v>5.5.1.1-2 Leaching &amp; runoff</v>
      </c>
      <c r="D29" s="25" t="str">
        <v>Phosphorus - Generic</v>
      </c>
      <c r="E29" s="2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25" cm="1">
        <f t="array" ref="F29">Common_InputFunctions.Utility_LookupValueInTableNumber(D29,Table_Fertiliser_ChemicalCompounds[Fertiliser type f],Table_Fertiliser_ChemicalCompounds[FU f])</f>
        <v>0</v>
      </c>
      <c r="G29" s="25" cm="1">
        <f t="array" ref="G29">Fertiliser_Equations_InorganicCO2.VEERG_5_1_1_3__2_MassOfUreaInInorganicFertiliser(E29,F29)</f>
        <v>0</v>
      </c>
    </row>
    <row r="30" spans="1:7" ht="20.100000000000001" customHeight="1" x14ac:dyDescent="0.25">
      <c r="A30" s="5" t="str">
        <f>HYPERLINK("#'6.1.1.1-2 Crop residue N2O'!A1", "6.1.1.1-2 Crop residue N2O")</f>
        <v>6.1.1.1-2 Crop residue N2O</v>
      </c>
      <c r="D30" s="25" t="str">
        <v>Potassium - Generic</v>
      </c>
      <c r="E30" s="2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25" cm="1">
        <f t="array" ref="F30">Common_InputFunctions.Utility_LookupValueInTableNumber(D30,Table_Fertiliser_ChemicalCompounds[Fertiliser type f],Table_Fertiliser_ChemicalCompounds[FU f])</f>
        <v>0</v>
      </c>
      <c r="G30" s="25" cm="1">
        <f t="array" ref="G30">Fertiliser_Equations_InorganicCO2.VEERG_5_1_1_3__2_MassOfUreaInInorganicFertiliser(E30,F30)</f>
        <v>0</v>
      </c>
    </row>
    <row r="31" spans="1:7" ht="20.100000000000001" customHeight="1" x14ac:dyDescent="0.25">
      <c r="A31" s="5" t="str">
        <f>HYPERLINK("#'6.3.1.1-2 Leach runoff crop'!A1", "6.3.1.1-2 Leach &amp; runoff (crop)")</f>
        <v>6.3.1.1-2 Leach &amp; runoff (crop)</v>
      </c>
      <c r="D31" s="25" t="str">
        <v>Sulfur - Generic</v>
      </c>
      <c r="E31" s="2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25" cm="1">
        <f t="array" ref="F31">Common_InputFunctions.Utility_LookupValueInTableNumber(D31,Table_Fertiliser_ChemicalCompounds[Fertiliser type f],Table_Fertiliser_ChemicalCompounds[FU f])</f>
        <v>0</v>
      </c>
      <c r="G31" s="25" cm="1">
        <f t="array" ref="G31">Fertiliser_Equations_InorganicCO2.VEERG_5_1_1_3__2_MassOfUreaInInorganicFertiliser(E31,F31)</f>
        <v>0</v>
      </c>
    </row>
    <row r="32" spans="1:7" ht="20.100000000000001" customHeight="1" x14ac:dyDescent="0.25">
      <c r="A32" s="5" t="str">
        <f>HYPERLINK("#'6.4.1.1-2 Residue burning'!A1", "6.4.1.1-2 Residue burning")</f>
        <v>6.4.1.1-2 Residue burning</v>
      </c>
      <c r="D32" s="25" t="str">
        <v>Zinc - Generic</v>
      </c>
      <c r="E32" s="2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5" cm="1">
        <f t="array" ref="F32">Common_InputFunctions.Utility_LookupValueInTableNumber(D32,Table_Fertiliser_ChemicalCompounds[Fertiliser type f],Table_Fertiliser_ChemicalCompounds[FU f])</f>
        <v>0</v>
      </c>
      <c r="G32" s="25" cm="1">
        <f t="array" ref="G32">Fertiliser_Equations_InorganicCO2.VEERG_5_1_1_3__2_MassOfUreaInInorganicFertiliser(E32,F32)</f>
        <v>0</v>
      </c>
    </row>
    <row r="33" spans="1:12" ht="20.100000000000001" customHeight="1" x14ac:dyDescent="0.25">
      <c r="A33" s="5" t="str">
        <f>HYPERLINK("#'8.1.1.1-2 Transport fuel'!A1", "8.1.1.1-2 Transport fuel")</f>
        <v>8.1.1.1-2 Transport fuel</v>
      </c>
      <c r="D33" s="25" t="str">
        <v>Muriate of potash (MOP)</v>
      </c>
      <c r="E33" s="2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5" cm="1">
        <f t="array" ref="F33">Common_InputFunctions.Utility_LookupValueInTableNumber(D33,Table_Fertiliser_ChemicalCompounds[Fertiliser type f],Table_Fertiliser_ChemicalCompounds[FU f])</f>
        <v>0</v>
      </c>
      <c r="G33" s="25" cm="1">
        <f t="array" ref="G33">Fertiliser_Equations_InorganicCO2.VEERG_5_1_1_3__2_MassOfUreaInInorganicFertiliser(E33,F33)</f>
        <v>0</v>
      </c>
    </row>
    <row r="34" spans="1:12" ht="20.100000000000001" customHeight="1" x14ac:dyDescent="0.25">
      <c r="A34" s="5" t="str">
        <f>HYPERLINK("#'8.2.1.1-2 Stationary fuel'!A1", "8.2.1.1-2 Stationary fuel")</f>
        <v>8.2.1.1-2 Stationary fuel</v>
      </c>
      <c r="D34" s="25" t="str">
        <v>Double superphosphate</v>
      </c>
      <c r="E34" s="2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5" cm="1">
        <f t="array" ref="F34">Common_InputFunctions.Utility_LookupValueInTableNumber(D34,Table_Fertiliser_ChemicalCompounds[Fertiliser type f],Table_Fertiliser_ChemicalCompounds[FU f])</f>
        <v>0</v>
      </c>
      <c r="G34" s="25" cm="1">
        <f t="array" ref="G34">Fertiliser_Equations_InorganicCO2.VEERG_5_1_1_3__2_MassOfUreaInInorganicFertiliser(E34,F34)</f>
        <v>0</v>
      </c>
    </row>
    <row r="35" spans="1:12" ht="20.100000000000001" customHeight="1" x14ac:dyDescent="0.25">
      <c r="A35" s="5" t="str">
        <f>HYPERLINK("#'14.1.1-2 Purchased electricity'!A1", "14.1.1-2 Purchased electricity")</f>
        <v>14.1.1-2 Purchased electricity</v>
      </c>
      <c r="D35" s="25" t="str">
        <v>Single superphosphate (SSP)</v>
      </c>
      <c r="E35" s="2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5" cm="1">
        <f t="array" ref="F35">Common_InputFunctions.Utility_LookupValueInTableNumber(D35,Table_Fertiliser_ChemicalCompounds[Fertiliser type f],Table_Fertiliser_ChemicalCompounds[FU f])</f>
        <v>0</v>
      </c>
      <c r="G35" s="25" cm="1">
        <f t="array" ref="G35">Fertiliser_Equations_InorganicCO2.VEERG_5_1_1_3__2_MassOfUreaInInorganicFertiliser(E35,F35)</f>
        <v>0</v>
      </c>
    </row>
    <row r="36" spans="1:12" ht="20.100000000000001" customHeight="1" x14ac:dyDescent="0.25">
      <c r="A36" s="5" t="str">
        <f>HYPERLINK("#'15 Scope 3'!A1", "15 Scope 3")</f>
        <v>15 Scope 3</v>
      </c>
      <c r="D36" s="25" t="str">
        <v>Ammonia</v>
      </c>
      <c r="E36" s="2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5" cm="1">
        <f t="array" ref="F36">Common_InputFunctions.Utility_LookupValueInTableNumber(D36,Table_Fertiliser_ChemicalCompounds[Fertiliser type f],Table_Fertiliser_ChemicalCompounds[FU f])</f>
        <v>0</v>
      </c>
      <c r="G36" s="25" cm="1">
        <f t="array" ref="G36">Fertiliser_Equations_InorganicCO2.VEERG_5_1_1_3__2_MassOfUreaInInorganicFertiliser(E36,F36)</f>
        <v>0</v>
      </c>
    </row>
    <row r="37" spans="1:12" ht="20.100000000000001" customHeight="1" x14ac:dyDescent="0.25">
      <c r="A37" s="5" t="str">
        <f>HYPERLINK("#'Calcs - Manure sent off-site'!A1", "Calcs - Manure sent off-site")</f>
        <v>Calcs - Manure sent off-site</v>
      </c>
      <c r="D37" s="25" t="str">
        <v>Calcium nitrate</v>
      </c>
      <c r="E37" s="2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5" cm="1">
        <f t="array" ref="F37">Common_InputFunctions.Utility_LookupValueInTableNumber(D37,Table_Fertiliser_ChemicalCompounds[Fertiliser type f],Table_Fertiliser_ChemicalCompounds[FU f])</f>
        <v>0</v>
      </c>
      <c r="G37" s="25" cm="1">
        <f t="array" ref="G37">Fertiliser_Equations_InorganicCO2.VEERG_5_1_1_3__2_MassOfUreaInInorganicFertiliser(E37,F37)</f>
        <v>0</v>
      </c>
    </row>
    <row r="38" spans="1:12" ht="20.100000000000001" customHeight="1" x14ac:dyDescent="0.25">
      <c r="A38" s="5" t="str">
        <f>HYPERLINK("#'10.1.1-2 Solid waste treatment'!A1", "10.1.1-2 Solid waste treatment")</f>
        <v>10.1.1-2 Solid waste treatment</v>
      </c>
    </row>
    <row r="39" spans="1:12" ht="20.100000000000001" customHeight="1" x14ac:dyDescent="0.25"/>
    <row r="40" spans="1:12" ht="20.100000000000001" customHeight="1" x14ac:dyDescent="0.25">
      <c r="C40" s="146"/>
      <c r="D40" s="146"/>
      <c r="E40" s="146"/>
      <c r="F40" s="146"/>
      <c r="G40" s="146"/>
      <c r="H40" s="146"/>
      <c r="I40" s="146"/>
      <c r="J40" s="146"/>
      <c r="K40" s="146"/>
      <c r="L40" s="146"/>
    </row>
    <row r="41" spans="1:12" ht="20.100000000000001" customHeight="1" x14ac:dyDescent="0.25">
      <c r="A41" s="121" t="s">
        <v>1</v>
      </c>
      <c r="D41" s="2"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s="5" t="str">
        <f>HYPERLINK("#'Constants - Ag Residue'!A1", "Constants - Ag residue")</f>
        <v>Constants - Ag residue</v>
      </c>
      <c r="D42" s="27" t="str" cm="1">
        <f t="array" ref="D42">Fertiliser_Equations_InorganicCO2.VEERG_5_1_1_3__1_InorganicFertiliserApplicationCO2Emissions_Source()</f>
        <v>VEERG 2026: 5.1.1.3, Equation (1)</v>
      </c>
    </row>
    <row r="43" spans="1:12" ht="20.100000000000001" customHeight="1" x14ac:dyDescent="0.25">
      <c r="A43" s="5" t="str">
        <f>HYPERLINK("#'Constants - Common Livestock'!A1", "Constants - Common Livestock")</f>
        <v>Constants - Common Livestock</v>
      </c>
      <c r="D43" s="132" t="s">
        <v>267</v>
      </c>
      <c r="E43" s="132" t="str" cm="1">
        <f t="array" aca="1" ref="E43" ca="1">Common_InputFunctions.Utility_DisplayFunctionName(E58)</f>
        <v>=Fertiliser_Equations_InorganicCO2.VEERG_5_1_1_3__1_InorganicFertiliserApplicationCO2Emissions</v>
      </c>
    </row>
    <row r="44" spans="1:12" ht="20.100000000000001" customHeight="1" x14ac:dyDescent="0.25">
      <c r="A44" s="5" t="str">
        <f>HYPERLINK("#'Constants - Electricity'!A1", "Constants - Electricity")</f>
        <v>Constants - Electricity</v>
      </c>
    </row>
    <row r="45" spans="1:12" ht="20.100000000000001" customHeight="1" x14ac:dyDescent="0.25">
      <c r="A45" s="5" t="str">
        <f>HYPERLINK("#'Constants - Fertiliser'!A1", "Constants - Fertiliser")</f>
        <v>Constants - Fertiliser</v>
      </c>
    </row>
    <row r="46" spans="1:12" ht="20.100000000000001" customHeight="1" x14ac:dyDescent="0.25">
      <c r="A46" s="5" t="str">
        <f>HYPERLINK("#'Constants - Fuel'!A1", "Constants - Fuel")</f>
        <v>Constants - Fuel</v>
      </c>
      <c r="D46" s="88" t="s">
        <v>268</v>
      </c>
      <c r="E46" s="1" t="str" cm="1">
        <f t="array" ref="E46">Fertiliser_Equations_InorganicCO2.VEERG_5_1_1_3__1_InorganicFertiliserApplicationCO2Emissions_Variable()</f>
        <v>E_CO2</v>
      </c>
    </row>
    <row r="47" spans="1:12" ht="20.100000000000001" customHeight="1" x14ac:dyDescent="0.25">
      <c r="A47" s="5" t="str">
        <f>HYPERLINK("#'Constants - Scope 3'!A1", "Constants - Scope 3")</f>
        <v>Constants - Scope 3</v>
      </c>
      <c r="D47" s="88" t="s">
        <v>121</v>
      </c>
      <c r="E47" s="15" t="str" cm="1">
        <f t="array" ref="E47">Fertiliser_Equations_InorganicCO2.VEERG_5_1_1_3__1_InorganicFertiliserApplicationCO2Emissions_Unit()</f>
        <v>t CO2</v>
      </c>
    </row>
    <row r="48" spans="1:12" ht="20.100000000000001" customHeight="1" x14ac:dyDescent="0.25">
      <c r="A48" s="5" t="str">
        <f>HYPERLINK("#'Constants - Common'!A1", "Constants - Common")</f>
        <v>Constants - Common</v>
      </c>
    </row>
    <row r="49" spans="1:9" ht="20.100000000000001" customHeight="1" x14ac:dyDescent="0.25">
      <c r="A49" s="5" t="str">
        <f>HYPERLINK("#'Constants - Solid Waste'!A1", "Constants - Solid Waste")</f>
        <v>Constants - Solid Waste</v>
      </c>
      <c r="D49" s="133" t="str" cm="1">
        <f t="array" ref="D49:E53">_xlfn.CHOOSECOLS(Fertiliser_Equations_InorganicCO2.VEERG_5_1_1_3__1_InorganicFertiliserApplicationCO2Emissions_Arguments(), 1, 2)</f>
        <v>MU_jf</v>
      </c>
      <c r="E49" s="134" t="str">
        <v>mass of urea of inorganic fertiliser type f applied to production system j</v>
      </c>
      <c r="F49" s="142"/>
      <c r="G49" s="133" t="str" cm="1">
        <f t="array" ref="G49:H53">_xlfn.CHOOSECOLS(Fertiliser_Equations_InorganicCO2.VEERG_5_1_1_3__1_InorganicFertiliserApplicationCO2Emissions_Arguments(), 3,4)</f>
        <v>kg urea</v>
      </c>
      <c r="H49" s="137" t="str">
        <v>Calculated</v>
      </c>
      <c r="I49" s="140" t="str" cm="1">
        <f t="array" aca="1" ref="I49" ca="1">HYPERLINK(Common_InputFunctions.Utility_SourceHyperlink($D$16), $D$16)</f>
        <v>Table_MU_j_f</v>
      </c>
    </row>
    <row r="50" spans="1:9" ht="20.100000000000001" customHeight="1" x14ac:dyDescent="0.25">
      <c r="D50" s="133" t="str">
        <v>EF_ureaCO2</v>
      </c>
      <c r="E50" s="134" t="str">
        <v>emission factor for carbon emissions from urea-based fertilisers</v>
      </c>
      <c r="F50" s="142"/>
      <c r="G50" s="133" t="str">
        <v>kg C/kg urea</v>
      </c>
      <c r="H50" s="137" t="str">
        <v>Constant</v>
      </c>
      <c r="I50" s="133">
        <f>Fertiliser_EFUreaCO2_Data</f>
        <v>0.2</v>
      </c>
    </row>
    <row r="51" spans="1:9" ht="20.100000000000001" customHeight="1" x14ac:dyDescent="0.25">
      <c r="D51" s="133" t="str">
        <v>C_CO2</v>
      </c>
      <c r="E51" s="134" t="str">
        <v>factor to convert elemental mass of carbon to molecular mass of carbon dioxide</v>
      </c>
      <c r="F51" s="142"/>
      <c r="G51" s="133" t="str">
        <v/>
      </c>
      <c r="H51" s="137" t="str">
        <v>Constant</v>
      </c>
      <c r="I51" s="133">
        <f>Common_InputFunctions.Utility_LookupValueInTableNumber("CO2",Table_GasToMolecularConversionFactor[Gas], Table_GasToMolecularConversionFactor[Conversion factor combined])</f>
        <v>3.6666666666666665</v>
      </c>
    </row>
    <row r="52" spans="1:9" ht="20.100000000000001" customHeight="1" x14ac:dyDescent="0.25">
      <c r="D52" s="133" t="str">
        <v>j</v>
      </c>
      <c r="E52" s="134" t="str">
        <v>Production system</v>
      </c>
      <c r="F52" s="142"/>
      <c r="G52" s="133" t="str">
        <v/>
      </c>
      <c r="H52" s="136" t="str">
        <v>Input</v>
      </c>
      <c r="I52" s="133" t="str">
        <f>X_Cell_Fertiliser_ProductionSystem</f>
        <v>Crop</v>
      </c>
    </row>
    <row r="53" spans="1:9" ht="20.100000000000001" customHeight="1" x14ac:dyDescent="0.25">
      <c r="D53" s="133" t="str">
        <v>f</v>
      </c>
      <c r="E53" s="134" t="str">
        <v>Inorganic fertiliser type</v>
      </c>
      <c r="F53" s="142"/>
      <c r="G53" s="133" t="str">
        <v/>
      </c>
      <c r="H53" s="137" t="str">
        <v>Lookup</v>
      </c>
      <c r="I53" s="140" t="str" cm="1">
        <f t="array" aca="1" ref="I53" ca="1">HYPERLINK(Common_InputFunctions.Utility_SourceHyperlink($D$16), $D$16)</f>
        <v>Table_MU_j_f</v>
      </c>
    </row>
    <row r="54" spans="1:9" ht="20.100000000000001" customHeight="1" x14ac:dyDescent="0.25"/>
    <row r="55" spans="1:9" ht="20.100000000000001" customHeight="1" x14ac:dyDescent="0.25">
      <c r="D55" s="143" t="s">
        <v>305</v>
      </c>
    </row>
    <row r="56" spans="1:9" ht="20.100000000000001" customHeight="1" x14ac:dyDescent="0.25">
      <c r="D56" s="144" t="s">
        <v>306</v>
      </c>
    </row>
    <row r="57" spans="1:9" ht="20.100000000000001" customHeight="1" x14ac:dyDescent="0.25">
      <c r="D57" s="145" t="s">
        <v>272</v>
      </c>
      <c r="E57" s="145" t="s">
        <v>295</v>
      </c>
    </row>
    <row r="58" spans="1:9" ht="20.100000000000001" customHeight="1" x14ac:dyDescent="0.25">
      <c r="D58" s="25" t="str" cm="1">
        <f t="array" ref="D58:D76">Table_Fertiliser_ChemicalCompounds[Fertiliser type f]</f>
        <v>Monoammonium phosphate (MAP)</v>
      </c>
      <c r="E58" s="25" cm="1">
        <f t="array" ref="E58">Fertiliser_Equations_InorganicCO2.VEERG_5_1_1_3__1_InorganicFertiliserApplicationCO2Emissions(G19,$I$50,$I$51)</f>
        <v>0</v>
      </c>
      <c r="F58" s="26" t="str">
        <f>$E$47</f>
        <v>t CO2</v>
      </c>
    </row>
    <row r="59" spans="1:9" ht="20.100000000000001" customHeight="1" x14ac:dyDescent="0.25">
      <c r="D59" s="25" t="str">
        <v>Diammonium phosphate (DAP)</v>
      </c>
      <c r="E59" s="25" cm="1">
        <f t="array" ref="E59">Fertiliser_Equations_InorganicCO2.VEERG_5_1_1_3__1_InorganicFertiliserApplicationCO2Emissions(G20,$I$50,$I$51)</f>
        <v>0</v>
      </c>
    </row>
    <row r="60" spans="1:9" ht="20.100000000000001" customHeight="1" x14ac:dyDescent="0.25">
      <c r="D60" s="25" t="str">
        <v>Urea</v>
      </c>
      <c r="E60" s="25" cm="1">
        <f t="array" ref="E60">Fertiliser_Equations_InorganicCO2.VEERG_5_1_1_3__1_InorganicFertiliserApplicationCO2Emissions(G21,$I$50,$I$51)</f>
        <v>7.333333333333333</v>
      </c>
    </row>
    <row r="61" spans="1:9" ht="20.100000000000001" customHeight="1" x14ac:dyDescent="0.25">
      <c r="D61" s="25" t="str">
        <v>Sulphate of ammonia (SOA)</v>
      </c>
      <c r="E61" s="25" cm="1">
        <f t="array" ref="E61">Fertiliser_Equations_InorganicCO2.VEERG_5_1_1_3__1_InorganicFertiliserApplicationCO2Emissions(G22,$I$50,$I$51)</f>
        <v>0</v>
      </c>
    </row>
    <row r="62" spans="1:9" ht="20.100000000000001" customHeight="1" x14ac:dyDescent="0.25">
      <c r="D62" s="25" t="str">
        <v>Urea-ammonium nitrate (UAN)</v>
      </c>
      <c r="E62" s="25" cm="1">
        <f t="array" ref="E62">Fertiliser_Equations_InorganicCO2.VEERG_5_1_1_3__1_InorganicFertiliserApplicationCO2Emissions(G23,$I$50,$I$51)</f>
        <v>0</v>
      </c>
    </row>
    <row r="63" spans="1:9" ht="20.100000000000001" customHeight="1" x14ac:dyDescent="0.25">
      <c r="D63" s="25" t="str">
        <v>Ammonium nitrate (AN)</v>
      </c>
      <c r="E63" s="25" cm="1">
        <f t="array" ref="E63">Fertiliser_Equations_InorganicCO2.VEERG_5_1_1_3__1_InorganicFertiliserApplicationCO2Emissions(G24,$I$50,$I$51)</f>
        <v>0</v>
      </c>
    </row>
    <row r="64" spans="1:9" ht="20.100000000000001" customHeight="1" x14ac:dyDescent="0.25">
      <c r="D64" s="25" t="str">
        <v>Calcium ammonium nitrate (CAN)</v>
      </c>
      <c r="E64" s="25" cm="1">
        <f t="array" ref="E64">Fertiliser_Equations_InorganicCO2.VEERG_5_1_1_3__1_InorganicFertiliserApplicationCO2Emissions(G25,$I$50,$I$51)</f>
        <v>0</v>
      </c>
    </row>
    <row r="65" spans="4:6" ht="20.100000000000001" customHeight="1" x14ac:dyDescent="0.25">
      <c r="D65" s="25" t="str">
        <v>Nitrogen - Ammoniacal</v>
      </c>
      <c r="E65" s="25" cm="1">
        <f t="array" ref="E65">Fertiliser_Equations_InorganicCO2.VEERG_5_1_1_3__1_InorganicFertiliserApplicationCO2Emissions(G26,$I$50,$I$51)</f>
        <v>0</v>
      </c>
    </row>
    <row r="66" spans="4:6" ht="20.100000000000001" customHeight="1" x14ac:dyDescent="0.25">
      <c r="D66" s="25" t="str">
        <v>Nitrogen - Nitrate</v>
      </c>
      <c r="E66" s="25" cm="1">
        <f t="array" ref="E66">Fertiliser_Equations_InorganicCO2.VEERG_5_1_1_3__1_InorganicFertiliserApplicationCO2Emissions(G27,$I$50,$I$51)</f>
        <v>0</v>
      </c>
    </row>
    <row r="67" spans="4:6" ht="20.100000000000001" customHeight="1" x14ac:dyDescent="0.25">
      <c r="D67" s="25" t="str">
        <v>Nitrogen - Generic</v>
      </c>
      <c r="E67" s="25" cm="1">
        <f t="array" ref="E67">Fertiliser_Equations_InorganicCO2.VEERG_5_1_1_3__1_InorganicFertiliserApplicationCO2Emissions(G28,$I$50,$I$51)</f>
        <v>0</v>
      </c>
    </row>
    <row r="68" spans="4:6" ht="20.100000000000001" customHeight="1" x14ac:dyDescent="0.25">
      <c r="D68" s="25" t="str">
        <v>Phosphorus - Generic</v>
      </c>
      <c r="E68" s="25" cm="1">
        <f t="array" ref="E68">Fertiliser_Equations_InorganicCO2.VEERG_5_1_1_3__1_InorganicFertiliserApplicationCO2Emissions(G29,$I$50,$I$51)</f>
        <v>0</v>
      </c>
    </row>
    <row r="69" spans="4:6" ht="20.100000000000001" customHeight="1" x14ac:dyDescent="0.25">
      <c r="D69" s="25" t="str">
        <v>Potassium - Generic</v>
      </c>
      <c r="E69" s="25" cm="1">
        <f t="array" ref="E69">Fertiliser_Equations_InorganicCO2.VEERG_5_1_1_3__1_InorganicFertiliserApplicationCO2Emissions(G30,$I$50,$I$51)</f>
        <v>0</v>
      </c>
    </row>
    <row r="70" spans="4:6" ht="20.100000000000001" customHeight="1" x14ac:dyDescent="0.25">
      <c r="D70" s="25" t="str">
        <v>Sulfur - Generic</v>
      </c>
      <c r="E70" s="25" cm="1">
        <f t="array" ref="E70">Fertiliser_Equations_InorganicCO2.VEERG_5_1_1_3__1_InorganicFertiliserApplicationCO2Emissions(G31,$I$50,$I$51)</f>
        <v>0</v>
      </c>
    </row>
    <row r="71" spans="4:6" ht="20.100000000000001" customHeight="1" x14ac:dyDescent="0.25">
      <c r="D71" s="25" t="str">
        <v>Zinc - Generic</v>
      </c>
      <c r="E71" s="25" cm="1">
        <f t="array" ref="E71">Fertiliser_Equations_InorganicCO2.VEERG_5_1_1_3__1_InorganicFertiliserApplicationCO2Emissions(G32,$I$50,$I$51)</f>
        <v>0</v>
      </c>
    </row>
    <row r="72" spans="4:6" ht="20.100000000000001" customHeight="1" x14ac:dyDescent="0.25">
      <c r="D72" s="25" t="str">
        <v>Muriate of potash (MOP)</v>
      </c>
      <c r="E72" s="25" cm="1">
        <f t="array" ref="E72">Fertiliser_Equations_InorganicCO2.VEERG_5_1_1_3__1_InorganicFertiliserApplicationCO2Emissions(G33,$I$50,$I$51)</f>
        <v>0</v>
      </c>
    </row>
    <row r="73" spans="4:6" ht="20.100000000000001" customHeight="1" x14ac:dyDescent="0.25">
      <c r="D73" s="25" t="str">
        <v>Double superphosphate</v>
      </c>
      <c r="E73" s="25" cm="1">
        <f t="array" ref="E73">Fertiliser_Equations_InorganicCO2.VEERG_5_1_1_3__1_InorganicFertiliserApplicationCO2Emissions(G34,$I$50,$I$51)</f>
        <v>0</v>
      </c>
    </row>
    <row r="74" spans="4:6" ht="20.100000000000001" customHeight="1" x14ac:dyDescent="0.25">
      <c r="D74" s="25" t="str">
        <v>Single superphosphate (SSP)</v>
      </c>
      <c r="E74" s="25" cm="1">
        <f t="array" ref="E74">Fertiliser_Equations_InorganicCO2.VEERG_5_1_1_3__1_InorganicFertiliserApplicationCO2Emissions(G35,$I$50,$I$51)</f>
        <v>0</v>
      </c>
    </row>
    <row r="75" spans="4:6" ht="20.100000000000001" customHeight="1" x14ac:dyDescent="0.25">
      <c r="D75" s="25" t="str">
        <v>Ammonia</v>
      </c>
      <c r="E75" s="25" cm="1">
        <f t="array" ref="E75">Fertiliser_Equations_InorganicCO2.VEERG_5_1_1_3__1_InorganicFertiliserApplicationCO2Emissions(G36,$I$50,$I$51)</f>
        <v>0</v>
      </c>
    </row>
    <row r="76" spans="4:6" ht="20.100000000000001" customHeight="1" x14ac:dyDescent="0.25">
      <c r="D76" s="25" t="str">
        <v>Calcium nitrate</v>
      </c>
      <c r="E76" s="25" cm="1">
        <f t="array" ref="E76">Fertiliser_Equations_InorganicCO2.VEERG_5_1_1_3__1_InorganicFertiliserApplicationCO2Emissions(G37,$I$50,$I$51)</f>
        <v>0</v>
      </c>
    </row>
    <row r="77" spans="4:6" ht="20.100000000000001" customHeight="1" x14ac:dyDescent="0.25"/>
    <row r="78" spans="4:6" ht="20.100000000000001" customHeight="1" x14ac:dyDescent="0.25">
      <c r="D78" s="149" t="s">
        <v>307</v>
      </c>
      <c r="E78" s="150">
        <f>SUM(E58:E76)</f>
        <v>7.333333333333333</v>
      </c>
      <c r="F78" s="151"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1E33-E132-4775-807B-E99D4506DEBD}">
  <dimension ref="A1:U165"/>
  <sheetViews>
    <sheetView showGridLines="0" topLeftCell="A5"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308</v>
      </c>
    </row>
    <row r="2" spans="1:21" s="3" customFormat="1" ht="20.100000000000001" customHeight="1" x14ac:dyDescent="0.25">
      <c r="A2"/>
    </row>
    <row r="3" spans="1:21" ht="20.100000000000001" customHeight="1" x14ac:dyDescent="0.25">
      <c r="A3" s="5" t="str">
        <f>HYPERLINK("#'Home'!A1", "Home")</f>
        <v>Home</v>
      </c>
      <c r="C3" s="33"/>
      <c r="D3" s="33" t="s">
        <v>135</v>
      </c>
      <c r="E3" s="33"/>
      <c r="F3" s="33"/>
      <c r="G3" s="33"/>
      <c r="H3" s="33"/>
      <c r="I3" s="33"/>
      <c r="J3" s="33"/>
      <c r="K3" s="33"/>
      <c r="L3" s="33"/>
      <c r="N3" s="33"/>
      <c r="O3" s="33" t="s">
        <v>136</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Fertiliser_Equations_OrganicN2O.VEERG_5_2_1_1__2_MassOfNitrogenInOrganicFertiliser_Title()</f>
        <v>Mass of nitrogen in purchased organic fertilisers applied to production system</v>
      </c>
    </row>
    <row r="6" spans="1:21" ht="20.100000000000001" customHeight="1" x14ac:dyDescent="0.25">
      <c r="D6" s="27" t="str" cm="1">
        <f t="array" ref="D6">Fertiliser_Equations_OrganicN2O.VEERG_5_2_1_1__2_MassOfNitrogenInOrganicFertiliser_Source()</f>
        <v>VEERG 2026: 5.2.1.1, Equation (2)</v>
      </c>
    </row>
    <row r="7" spans="1:21" ht="20.100000000000001" customHeight="1" x14ac:dyDescent="0.25">
      <c r="D7" s="132" t="s">
        <v>267</v>
      </c>
      <c r="E7" s="132" t="str" cm="1">
        <f t="array" aca="1" ref="E7" ca="1">Common_InputFunctions.Utility_DisplayFunctionName($I$20)</f>
        <v>=Fertiliser_Equations_OrganicN2O.VEERG_5_2_1_1__2_MassOfNitrogenInOrganicFertiliser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268</v>
      </c>
      <c r="E10" s="1" t="str" cm="1">
        <f t="array" ref="E10">Fertiliser_Equations_OrganicN2O.VEERG_5_2_1_1__2_MassOfNitrogenInOrganicFertiliser_Variable()</f>
        <v>MNSoil_jf</v>
      </c>
    </row>
    <row r="11" spans="1:21" ht="20.100000000000001" customHeight="1" x14ac:dyDescent="0.25">
      <c r="A11" s="5" t="str">
        <f>HYPERLINK("#'Input - Crop'!A1", "Crop")</f>
        <v>Crop</v>
      </c>
      <c r="D11" s="88" t="s">
        <v>121</v>
      </c>
      <c r="E11" s="15" t="str" cm="1">
        <f t="array" ref="E11">Fertiliser_Equations_OrganicN2O.VEERG_5_2_1_1__2_MassOfNitrogenInOrganicFertiliser_Unit()</f>
        <v>kg N</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33" t="str" cm="1">
        <f t="array" ref="D13:E15">_xlfn.CHOOSECOLS(Fertiliser_Equations_OrganicN2O.VEERG_5_2_1_1__2_MassOfNitrogenInOrganicFertiliser_Arguments(), 1, 2)</f>
        <v>M_organicjf</v>
      </c>
      <c r="E13" s="134" t="str">
        <v>mass of organic fertiliser type f applied to production system j</v>
      </c>
      <c r="F13" s="142"/>
      <c r="G13" s="154" t="str" cm="1">
        <f t="array" ref="G13:H15">_xlfn.CHOOSECOLS(Fertiliser_Equations_OrganicN2O.VEERG_5_2_1_1__2_MassOfNitrogenInOrganicFertiliser_Arguments(), 3,4)</f>
        <v>kg</v>
      </c>
      <c r="H13" s="136" t="str">
        <v>Input</v>
      </c>
      <c r="I13" s="140" t="str" cm="1">
        <f t="array" aca="1" ref="I13" ca="1">HYPERLINK(Common_InputFunctions.Utility_SourceHyperlink($D$17), $D$17)</f>
        <v>Table_MNSoil_j_f</v>
      </c>
    </row>
    <row r="14" spans="1:21" ht="20.100000000000001" customHeight="1" x14ac:dyDescent="0.25">
      <c r="A14" s="5" t="str">
        <f>HYPERLINK("#'Input - Fuel'!A1", "Fuel")</f>
        <v>Fuel</v>
      </c>
      <c r="D14" s="133" t="str">
        <v>FN_organicf</v>
      </c>
      <c r="E14" s="134" t="str">
        <v>nitrogen fraction of organic fertiliser type f</v>
      </c>
      <c r="F14" s="142"/>
      <c r="G14" s="154" t="str">
        <v>kg N/kg</v>
      </c>
      <c r="H14" s="136" t="str">
        <v>Input</v>
      </c>
      <c r="I14" s="140" t="str" cm="1">
        <f t="array" aca="1" ref="I14" ca="1">HYPERLINK(Common_InputFunctions.Utility_SourceHyperlink($D$17), $D$17)</f>
        <v>Table_MNSoil_j_f</v>
      </c>
    </row>
    <row r="15" spans="1:21" ht="20.100000000000001" customHeight="1" x14ac:dyDescent="0.25">
      <c r="A15" s="5" t="str">
        <f>HYPERLINK("#'Input - Electricity'!A1", "Electricity")</f>
        <v>Electricity</v>
      </c>
      <c r="D15" s="133" t="str">
        <v>f</v>
      </c>
      <c r="E15" s="134" t="str">
        <v>Organic fertiliser type</v>
      </c>
      <c r="F15" s="142"/>
      <c r="G15" s="154" t="str">
        <v/>
      </c>
      <c r="H15" s="136" t="str">
        <v>Input</v>
      </c>
      <c r="I15" s="140" t="str" cm="1">
        <f t="array" aca="1" ref="I15" ca="1">HYPERLINK(Common_InputFunctions.Utility_SourceHyperlink($D$17), $D$17)</f>
        <v>Table_MNSoil_j_f</v>
      </c>
    </row>
    <row r="16" spans="1:21" ht="20.100000000000001" customHeight="1" x14ac:dyDescent="0.25">
      <c r="A16" s="5" t="str">
        <f>HYPERLINK("#'Input - Farm Inputs'!A1", "Farm Inputs")</f>
        <v>Farm Inputs</v>
      </c>
    </row>
    <row r="17" spans="1:10" ht="20.100000000000001" customHeight="1" x14ac:dyDescent="0.25">
      <c r="A17" s="5" t="str">
        <f>HYPERLINK("#'Input - Freight'!A1", "Freight")</f>
        <v>Freight</v>
      </c>
      <c r="D17" s="143" t="s">
        <v>309</v>
      </c>
    </row>
    <row r="18" spans="1:10" ht="20.100000000000001" customHeight="1" x14ac:dyDescent="0.25">
      <c r="A18" s="5" t="str">
        <f>HYPERLINK("#'Input - Manure sent off-site'!A1", "Manure sent off-site")</f>
        <v>Manure sent off-site</v>
      </c>
      <c r="D18" s="144" t="s">
        <v>310</v>
      </c>
    </row>
    <row r="19" spans="1:10" ht="20.100000000000001" customHeight="1" x14ac:dyDescent="0.25">
      <c r="A19" s="5" t="str">
        <f>HYPERLINK("#'Input - Solid waste'!A1", "Solid waste")</f>
        <v>Solid waste</v>
      </c>
      <c r="D19" s="92" t="s">
        <v>311</v>
      </c>
      <c r="E19" s="92" t="s">
        <v>312</v>
      </c>
      <c r="F19" s="92" t="s">
        <v>209</v>
      </c>
      <c r="G19" s="155" t="s">
        <v>313</v>
      </c>
      <c r="H19" s="92" t="s">
        <v>314</v>
      </c>
      <c r="I19" s="155" t="s">
        <v>315</v>
      </c>
    </row>
    <row r="20" spans="1:10" ht="20.100000000000001" customHeight="1" x14ac:dyDescent="0.25">
      <c r="A20" s="5" t="str">
        <f>HYPERLINK("#'Input - Data quality'!A1", "Data quality")</f>
        <v>Data quality</v>
      </c>
      <c r="D20" s="25" t="str" cm="1">
        <f t="array" ref="D20:D22">Table_Input_OrganicFertiliser[Organic fertiliser type (select)]</f>
        <v>Manure - Other</v>
      </c>
      <c r="E20" s="156" cm="1">
        <f t="array" ref="E20:E22">Table_Input_OrganicFertiliser[Amount applied (kg/hectare)]</f>
        <v>10</v>
      </c>
      <c r="F20" s="156" cm="1">
        <f t="array" ref="F20:F22">Table_Input_OrganicFertiliser[Application area (ha)]</f>
        <v>100</v>
      </c>
      <c r="G20" s="25" cm="1">
        <f t="array" ref="G20:G22">Table_Input_OrganicFertiliser[Amount applied (kg/hectare)]*Table_Input_OrganicFertiliser[Application area (ha)]</f>
        <v>1000</v>
      </c>
      <c r="H20" s="157" cm="1">
        <f t="array" ref="H20:H22">Table_Input_OrganicFertiliser[Percentage of N in fertiliser]</f>
        <v>0.3</v>
      </c>
      <c r="I20" s="25" cm="1">
        <f t="array" ref="I20">Fertiliser_Equations_OrganicN2O.VEERG_5_2_1_1__2_MassOfNitrogenInOrganicFertiliser(G20,H20)</f>
        <v>300</v>
      </c>
    </row>
    <row r="21" spans="1:10" ht="20.100000000000001" customHeight="1" x14ac:dyDescent="0.25">
      <c r="D21" s="25" t="str">
        <v>Manure - Poultry</v>
      </c>
      <c r="E21" s="25">
        <v>10</v>
      </c>
      <c r="F21" s="25">
        <v>100</v>
      </c>
      <c r="G21" s="25">
        <v>1000</v>
      </c>
      <c r="H21" s="25">
        <v>0.25</v>
      </c>
      <c r="I21" s="25" cm="1">
        <f t="array" ref="I21">Fertiliser_Equations_Organic.VEERG_5_2_1_1__2_MassOfNitrogenInOrganicFertiliser(G21,H21)</f>
        <v>250</v>
      </c>
    </row>
    <row r="22" spans="1:10" ht="20.100000000000001" customHeight="1" x14ac:dyDescent="0.25">
      <c r="D22" s="25" t="str">
        <v>Other organic fertiliser</v>
      </c>
      <c r="E22" s="25">
        <v>10</v>
      </c>
      <c r="F22" s="25">
        <v>100</v>
      </c>
      <c r="G22" s="25">
        <v>1000</v>
      </c>
      <c r="H22" s="25">
        <v>0.16</v>
      </c>
      <c r="I22" s="25" cm="1">
        <f t="array" ref="I22">Fertiliser_Equations_Organic.VEERG_5_2_1_1__2_MassOfNitrogenInOrganicFertiliser(G22,H22)</f>
        <v>160</v>
      </c>
    </row>
    <row r="23" spans="1:10" ht="20.100000000000001" customHeight="1" x14ac:dyDescent="0.25">
      <c r="A23" s="6" t="s">
        <v>2</v>
      </c>
      <c r="D23" s="25"/>
      <c r="E23" s="25"/>
      <c r="F23" s="25"/>
      <c r="G23" s="25"/>
      <c r="H23" s="25"/>
      <c r="I23" s="25" cm="1">
        <f t="array" ref="I23">Fertiliser_Equations_Organic.VEERG_5_2_1_1__2_MassOfNitrogenInOrganicFertiliser(G23,H23)</f>
        <v>0</v>
      </c>
    </row>
    <row r="24" spans="1:10" ht="20.100000000000001" customHeight="1" x14ac:dyDescent="0.25">
      <c r="A24" s="5" t="str">
        <f>HYPERLINK("#'5.1.1.1-2 Inorganic fert N2O'!A1", "5.1.1.1-2 Inorganic fert N2O")</f>
        <v>5.1.1.1-2 Inorganic fert N2O</v>
      </c>
      <c r="D24" s="25"/>
      <c r="E24" s="25"/>
      <c r="F24" s="25"/>
      <c r="G24" s="25"/>
      <c r="H24" s="25"/>
      <c r="I24" s="25" cm="1">
        <f t="array" ref="I24">Fertiliser_Equations_Organic.VEERG_5_2_1_1__2_MassOfNitrogenInOrganicFertiliser(G24,H24)</f>
        <v>0</v>
      </c>
    </row>
    <row r="25" spans="1:10" ht="20.100000000000001" customHeight="1" x14ac:dyDescent="0.25">
      <c r="A25" s="5" t="str">
        <f>HYPERLINK("#'5.1.1.3-4 Inorganic fert CO2'!A1", "5.1.1.3-4 Inorganic fert CO2")</f>
        <v>5.1.1.3-4 Inorganic fert CO2</v>
      </c>
      <c r="D25" s="25"/>
      <c r="E25" s="25"/>
      <c r="F25" s="25"/>
      <c r="G25" s="25"/>
      <c r="H25" s="25"/>
      <c r="I25" s="25" cm="1">
        <f t="array" ref="I25">Fertiliser_Equations_Organic.VEERG_5_2_1_1__2_MassOfNitrogenInOrganicFertiliser(G25,H25)</f>
        <v>0</v>
      </c>
    </row>
    <row r="26" spans="1:10" ht="20.100000000000001" customHeight="1" x14ac:dyDescent="0.25">
      <c r="A26" s="141" t="str">
        <f>HYPERLINK("#'5.2.1.1-2 Organic Fert N2O'!A1", "5.2.1.1-2 Organic fert N2O")</f>
        <v>5.2.1.1-2 Organic fert N2O</v>
      </c>
      <c r="D26" s="25"/>
      <c r="E26" s="25"/>
      <c r="F26" s="25"/>
      <c r="G26" s="25"/>
      <c r="H26" s="25"/>
      <c r="I26" s="25" cm="1">
        <f t="array" ref="I26">Fertiliser_Equations_Organic.VEERG_5_2_1_1__2_MassOfNitrogenInOrganicFertiliser(G26,H26)</f>
        <v>0</v>
      </c>
    </row>
    <row r="27" spans="1:10" ht="20.100000000000001" customHeight="1" x14ac:dyDescent="0.25">
      <c r="A27" s="5" t="str">
        <f>HYPERLINK("#'5.3.1.1-2 Lime CO2'!A1", "5.3.1.1-2 Lime CO2")</f>
        <v>5.3.1.1-2 Lime CO2</v>
      </c>
      <c r="D27" s="25"/>
      <c r="E27" s="25"/>
      <c r="F27" s="25"/>
      <c r="G27" s="25"/>
      <c r="H27" s="25"/>
      <c r="I27" s="25" cm="1">
        <f t="array" ref="I27">Fertiliser_Equations_Organic.VEERG_5_2_1_1__2_MassOfNitrogenInOrganicFertiliser(G27,H27)</f>
        <v>0</v>
      </c>
    </row>
    <row r="28" spans="1:10" ht="20.100000000000001" customHeight="1" x14ac:dyDescent="0.25">
      <c r="A28" s="5" t="str">
        <f>HYPERLINK("#'5.4.1.1-4 Atmos deposition'!A1", "5.4.1.1-4 Atmos. deposition")</f>
        <v>5.4.1.1-4 Atmos. deposition</v>
      </c>
      <c r="D28" s="25"/>
      <c r="E28" s="25"/>
      <c r="F28" s="25"/>
      <c r="G28" s="25"/>
      <c r="H28" s="25"/>
      <c r="I28" s="25" cm="1">
        <f t="array" ref="I28">Fertiliser_Equations_Organic.VEERG_5_2_1_1__2_MassOfNitrogenInOrganicFertiliser(G28,H28)</f>
        <v>0</v>
      </c>
    </row>
    <row r="29" spans="1:10" ht="20.100000000000001" customHeight="1" x14ac:dyDescent="0.25">
      <c r="A29" s="5" t="str">
        <f>HYPERLINK("#'5.5.1.1-2 Leaching and runoff'!A1", "5.5.1.1-2 Leaching &amp; runoff")</f>
        <v>5.5.1.1-2 Leaching &amp; runoff</v>
      </c>
      <c r="D29" s="25"/>
      <c r="E29" s="25"/>
      <c r="F29" s="25"/>
      <c r="G29" s="25"/>
      <c r="H29" s="25"/>
      <c r="I29" s="25" cm="1">
        <f t="array" ref="I29">Fertiliser_Equations_Organic.VEERG_5_2_1_1__2_MassOfNitrogenInOrganicFertiliser(G29,H29)</f>
        <v>0</v>
      </c>
    </row>
    <row r="30" spans="1:10" ht="20.100000000000001" customHeight="1" x14ac:dyDescent="0.25">
      <c r="A30" s="5" t="str">
        <f>HYPERLINK("#'6.1.1.1-2 Crop residue N2O'!A1", "6.1.1.1-2 Crop residue N2O")</f>
        <v>6.1.1.1-2 Crop residue N2O</v>
      </c>
      <c r="D30" s="25"/>
      <c r="E30" s="25"/>
      <c r="F30" s="25"/>
      <c r="G30" s="25"/>
      <c r="H30" s="25"/>
      <c r="I30" s="25" cm="1">
        <f t="array" ref="I30">Fertiliser_Equations_Organic.VEERG_5_2_1_1__2_MassOfNitrogenInOrganicFertiliser(G30,H30)</f>
        <v>0</v>
      </c>
    </row>
    <row r="31" spans="1:10" ht="20.100000000000001" customHeight="1" x14ac:dyDescent="0.25">
      <c r="A31" s="5" t="str">
        <f>HYPERLINK("#'6.3.1.1-2 Leach runoff crop'!A1", "6.3.1.1-2 Leach &amp; runoff (crop)")</f>
        <v>6.3.1.1-2 Leach &amp; runoff (crop)</v>
      </c>
      <c r="D31" s="158"/>
      <c r="E31" s="158"/>
      <c r="F31" s="158"/>
      <c r="G31" s="158"/>
      <c r="H31" s="158"/>
      <c r="I31" s="158"/>
      <c r="J31" s="158"/>
    </row>
    <row r="32" spans="1:10" ht="20.100000000000001" customHeight="1" x14ac:dyDescent="0.25">
      <c r="A32" s="5" t="str">
        <f>HYPERLINK("#'6.4.1.1-2 Residue burning'!A1", "6.4.1.1-2 Residue burning")</f>
        <v>6.4.1.1-2 Residue burning</v>
      </c>
      <c r="D32" s="159" t="s">
        <v>316</v>
      </c>
      <c r="E32" s="159">
        <f>SUM(I20:I30)</f>
        <v>710</v>
      </c>
      <c r="F32" s="160" t="str">
        <f>$E$11</f>
        <v>kg N</v>
      </c>
      <c r="G32" s="158"/>
      <c r="H32" s="158"/>
      <c r="I32" s="158"/>
      <c r="J32" s="158"/>
    </row>
    <row r="33" spans="1:12" ht="20.100000000000001" customHeight="1" x14ac:dyDescent="0.25">
      <c r="A33" s="5" t="str">
        <f>HYPERLINK("#'8.1.1.1-2 Transport fuel'!A1", "8.1.1.1-2 Transport fuel")</f>
        <v>8.1.1.1-2 Transport fuel</v>
      </c>
    </row>
    <row r="34" spans="1:12" ht="20.100000000000001" customHeight="1" x14ac:dyDescent="0.25">
      <c r="A34" s="5" t="str">
        <f>HYPERLINK("#'8.2.1.1-2 Stationary fuel'!A1", "8.2.1.1-2 Stationary fuel")</f>
        <v>8.2.1.1-2 Stationary fuel</v>
      </c>
    </row>
    <row r="35" spans="1:12" ht="20.100000000000001" customHeight="1" x14ac:dyDescent="0.25">
      <c r="A35" s="5" t="str">
        <f>HYPERLINK("#'14.1.1-2 Purchased electricity'!A1", "14.1.1-2 Purchased electricity")</f>
        <v>14.1.1-2 Purchased electricity</v>
      </c>
      <c r="C35" s="161"/>
      <c r="D35" s="161"/>
      <c r="E35" s="161"/>
      <c r="F35" s="161"/>
      <c r="G35" s="161"/>
      <c r="H35" s="161"/>
      <c r="I35" s="161"/>
      <c r="J35" s="161"/>
      <c r="K35" s="161"/>
      <c r="L35" s="161"/>
    </row>
    <row r="36" spans="1:12" ht="20.100000000000001" customHeight="1" x14ac:dyDescent="0.25">
      <c r="A36" s="5" t="str">
        <f>HYPERLINK("#'15 Scope 3'!A1", "15 Scope 3")</f>
        <v>15 Scope 3</v>
      </c>
      <c r="D36" s="2"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s="5" t="str">
        <f>HYPERLINK("#'Calcs - Manure sent off-site'!A1", "Calcs - Manure sent off-site")</f>
        <v>Calcs - Manure sent off-site</v>
      </c>
      <c r="D37" s="27" t="str" cm="1">
        <f t="array" ref="D37">Fertiliser_Equations_OrganicN2O.VEERG_5_2_1_1__1_OrganicFertiliserApplicationN2OEmissions_Source()</f>
        <v>VEERG 2026: 5.2.1.1, Equation (1)</v>
      </c>
    </row>
    <row r="38" spans="1:12" ht="20.100000000000001" customHeight="1" x14ac:dyDescent="0.25">
      <c r="A38" s="5" t="str">
        <f>HYPERLINK("#'10.1.1-2 Solid waste treatment'!A1", "10.1.1-2 Solid waste treatment")</f>
        <v>10.1.1-2 Solid waste treatment</v>
      </c>
      <c r="D38" s="132" t="s">
        <v>267</v>
      </c>
      <c r="E38" s="132"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A41" s="121" t="s">
        <v>1</v>
      </c>
      <c r="D41" s="88" t="s">
        <v>268</v>
      </c>
      <c r="E41" s="1" t="str" cm="1">
        <f t="array" ref="E41">Fertiliser_Equations_OrganicN2O.VEERG_5_2_1_1__1_OrganicFertiliserApplicationN2OEmissions_Variable()</f>
        <v>E_N2O</v>
      </c>
    </row>
    <row r="42" spans="1:12" ht="20.100000000000001" customHeight="1" x14ac:dyDescent="0.25">
      <c r="A42" s="5" t="str">
        <f>HYPERLINK("#'Constants - Ag Residue'!A1", "Constants - Ag residue")</f>
        <v>Constants - Ag residue</v>
      </c>
      <c r="D42" s="88" t="s">
        <v>121</v>
      </c>
      <c r="E42" s="15" t="str" cm="1">
        <f t="array" ref="E42">Fertiliser_Equations_OrganicN2O.VEERG_5_2_1_1__1_OrganicFertiliserApplicationN2OEmissions_Unit()</f>
        <v>t N2O</v>
      </c>
    </row>
    <row r="43" spans="1:12" ht="20.100000000000001" customHeight="1" x14ac:dyDescent="0.25">
      <c r="A43" s="5" t="str">
        <f>HYPERLINK("#'Constants - Common Livestock'!A1", "Constants - Common Livestock")</f>
        <v>Constants - Common Livestock</v>
      </c>
    </row>
    <row r="44" spans="1:12" ht="20.100000000000001" customHeight="1" x14ac:dyDescent="0.25">
      <c r="A44" s="5" t="str">
        <f>HYPERLINK("#'Constants - Electricity'!A1", "Constants - Electricity")</f>
        <v>Constants - Electricity</v>
      </c>
      <c r="D44" s="154" t="str" cm="1">
        <f t="array" ref="D44:E48">_xlfn.CHOOSECOLS(Fertiliser_Equations_OrganicN2O.VEERG_5_2_1_1__1_OrganicFertiliserApplicationN2OEmissions_Arguments(), 1, 2)</f>
        <v>MNSoil_jf</v>
      </c>
      <c r="E44" s="162" t="str">
        <v>mass of nitrogen in organic fertiliser type f applied to production system j</v>
      </c>
      <c r="F44" s="163"/>
      <c r="G44" s="163"/>
      <c r="H44" s="164"/>
      <c r="I44" s="154" t="str" cm="1">
        <f t="array" ref="I44:J48">_xlfn.CHOOSECOLS(Fertiliser_Equations_OrganicN2O.VEERG_5_2_1_1__1_OrganicFertiliserApplicationN2OEmissions_Arguments(), 3,4)</f>
        <v>kg N</v>
      </c>
      <c r="J44" s="137" t="str">
        <v>Calculated from 5.2.1.1 (2)</v>
      </c>
      <c r="K44" s="154">
        <f>$E$32</f>
        <v>710</v>
      </c>
    </row>
    <row r="45" spans="1:12" ht="20.100000000000001" customHeight="1" x14ac:dyDescent="0.25">
      <c r="A45" s="5" t="str">
        <f>HYPERLINK("#'Constants - Fertiliser'!A1", "Constants - Fertiliser")</f>
        <v>Constants - Fertiliser</v>
      </c>
      <c r="D45" s="154" t="str">
        <v>EF_N2Oi</v>
      </c>
      <c r="E45" s="162" t="str">
        <v>emission factor for direct nitrous oxide emissions from organic fertiliser applied to soils and aquatic systems in climate zone i</v>
      </c>
      <c r="F45" s="163"/>
      <c r="G45" s="163"/>
      <c r="H45" s="164"/>
      <c r="I45" s="154" t="str">
        <v>kg N2O-N/kg N</v>
      </c>
      <c r="J45" s="137" t="str">
        <v>Lookup</v>
      </c>
      <c r="K45" s="154">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s="5" t="str">
        <f>HYPERLINK("#'Constants - Fuel'!A1", "Constants - Fuel")</f>
        <v>Constants - Fuel</v>
      </c>
      <c r="D46" s="154" t="str">
        <v>C_N2O</v>
      </c>
      <c r="E46" s="162" t="str">
        <v>factor to convert elemental mass of nitrous oxide to molecular mass</v>
      </c>
      <c r="F46" s="163"/>
      <c r="G46" s="163"/>
      <c r="H46" s="164"/>
      <c r="I46" s="154" t="str">
        <v/>
      </c>
      <c r="J46" s="137" t="str">
        <v>Constant</v>
      </c>
      <c r="K46" s="133">
        <f>Common_InputFunctions.Utility_LookupValueInTableNumber("N2O",Table_GasToMolecularConversionFactor[Gas],Table_GasToMolecularConversionFactor[Conversion factor combined])</f>
        <v>1.5714285714285714</v>
      </c>
    </row>
    <row r="47" spans="1:12" ht="20.100000000000001" customHeight="1" x14ac:dyDescent="0.25">
      <c r="A47" s="5" t="str">
        <f>HYPERLINK("#'Constants - Scope 3'!A1", "Constants - Scope 3")</f>
        <v>Constants - Scope 3</v>
      </c>
      <c r="D47" s="154" t="str">
        <v>j</v>
      </c>
      <c r="E47" s="162" t="str">
        <v>Production system</v>
      </c>
      <c r="F47" s="163"/>
      <c r="G47" s="163"/>
      <c r="H47" s="164"/>
      <c r="I47" s="154" t="str">
        <v/>
      </c>
      <c r="J47" s="136" t="str">
        <v>Input</v>
      </c>
      <c r="K47" s="154" t="str">
        <f>X_Cell_Fertiliser_ProductionSystem</f>
        <v>Crop</v>
      </c>
    </row>
    <row r="48" spans="1:12" ht="20.100000000000001" customHeight="1" x14ac:dyDescent="0.25">
      <c r="A48" s="5" t="str">
        <f>HYPERLINK("#'Constants - Common'!A1", "Constants - Common")</f>
        <v>Constants - Common</v>
      </c>
      <c r="D48" s="154" t="str">
        <v>i</v>
      </c>
      <c r="E48" s="162" t="str">
        <v>Wet or dry climate zone</v>
      </c>
      <c r="F48" s="163"/>
      <c r="G48" s="163"/>
      <c r="H48" s="164"/>
      <c r="I48" s="154" t="str">
        <v/>
      </c>
      <c r="J48" s="136" t="str">
        <v>Input</v>
      </c>
      <c r="K48" s="154" t="str">
        <f>X_Cell_Site_WetOrDryClimateZone</f>
        <v>Dry climate zone</v>
      </c>
    </row>
    <row r="49" spans="1:7" ht="20.100000000000001" customHeight="1" x14ac:dyDescent="0.25">
      <c r="A49" s="5" t="str">
        <f>HYPERLINK("#'Constants - Solid Waste'!A1", "Constants - Solid Waste")</f>
        <v>Constants - Solid Waste</v>
      </c>
    </row>
    <row r="50" spans="1:7" ht="20.100000000000001" customHeight="1" x14ac:dyDescent="0.25">
      <c r="D50" s="149" t="s">
        <v>298</v>
      </c>
      <c r="E50" s="150" cm="1">
        <f t="array" ref="E50">Fertiliser_Equations_OrganicN2O.VEERG_5_2_1_1__1_OrganicFertiliserApplicationN2OEmissions(K44,K45,K46)</f>
        <v>5.5785714285714293E-3</v>
      </c>
      <c r="F50" s="151" t="str">
        <f>$E$42</f>
        <v>t N2O</v>
      </c>
    </row>
    <row r="51" spans="1:7" ht="20.100000000000001" customHeight="1" x14ac:dyDescent="0.25"/>
    <row r="52" spans="1:7" ht="20.100000000000001" customHeight="1" x14ac:dyDescent="0.25">
      <c r="D52" s="133" t="str" cm="1">
        <f t="array" ref="D52:E53">Common_Equations.Common_ConvertN2OToCO2e_Arguments()</f>
        <v>EN2O</v>
      </c>
      <c r="E52" s="134" t="str">
        <v>Nitrous oxide emissions (t N2O)</v>
      </c>
      <c r="F52" s="152"/>
      <c r="G52" s="25">
        <f>VEERG_5_2_1_1__2_MassOfNitrogenInOrganicFertiliser_Result_Method1</f>
        <v>5.5785714285714293E-3</v>
      </c>
    </row>
    <row r="53" spans="1:7" ht="20.100000000000001" customHeight="1" x14ac:dyDescent="0.25">
      <c r="D53" s="133" t="str">
        <v>GWPN2O</v>
      </c>
      <c r="E53" s="134" t="str">
        <v>Global warming potential for nitrous oxide (t CO2-e / t N2O)</v>
      </c>
      <c r="F53" s="152"/>
      <c r="G53" s="25">
        <f>Common_InputFunctions.Utility_LookupValueInTableNumber("N2O",Table_GWPData[Gas],Table_GWPData[CO2-e factor])</f>
        <v>265</v>
      </c>
    </row>
    <row r="54" spans="1:7" ht="20.100000000000001" customHeight="1" x14ac:dyDescent="0.25"/>
    <row r="55" spans="1:7" ht="20.100000000000001" customHeight="1" x14ac:dyDescent="0.25">
      <c r="D55" s="146" t="s">
        <v>299</v>
      </c>
      <c r="E55" s="146" cm="1">
        <f t="array" ref="E55">Common_Equations.Common_ConvertN2OToCO2e(G52,G53)</f>
        <v>1.4783214285714288</v>
      </c>
      <c r="F55" s="153"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2ED61-BCD7-4063-BB10-5DE1B7431C9F}">
  <dimension ref="A1:U165"/>
  <sheetViews>
    <sheetView showGridLines="0" topLeftCell="A9"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317</v>
      </c>
    </row>
    <row r="2" spans="1:21" s="3" customFormat="1" ht="20.100000000000001" customHeight="1" x14ac:dyDescent="0.25">
      <c r="A2"/>
    </row>
    <row r="3" spans="1:21" ht="20.100000000000001" customHeight="1" x14ac:dyDescent="0.25">
      <c r="A3" s="5" t="str">
        <f>HYPERLINK("#'Home'!A1", "Home")</f>
        <v>Home</v>
      </c>
      <c r="C3" s="33"/>
      <c r="D3" s="33" t="s">
        <v>135</v>
      </c>
      <c r="E3" s="33"/>
      <c r="F3" s="33"/>
      <c r="G3" s="33"/>
      <c r="H3" s="33"/>
      <c r="I3" s="33"/>
      <c r="J3" s="33"/>
      <c r="K3" s="33"/>
      <c r="L3" s="33"/>
      <c r="N3" s="33"/>
      <c r="O3" s="33" t="s">
        <v>136</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Fertiliser_Equations_Lime.VEERG_5_3_1_1__1_LimeApplicationCO2Emissions_Title()</f>
        <v>Emissions from the application of lime and dolomite to production systems</v>
      </c>
    </row>
    <row r="6" spans="1:21" ht="20.100000000000001" customHeight="1" x14ac:dyDescent="0.25">
      <c r="D6" s="27" t="str" cm="1">
        <f t="array" ref="D6">Fertiliser_Equations_Lime.VEERG_5_3_1_1__1_LimeApplicationCO2Emissions_Source()</f>
        <v>VEERG 2026: 5.3.1.1, Equation (1)</v>
      </c>
    </row>
    <row r="7" spans="1:21" ht="20.100000000000001" customHeight="1" x14ac:dyDescent="0.25">
      <c r="D7" s="132" t="s">
        <v>267</v>
      </c>
      <c r="E7" s="132" t="str" cm="1">
        <f t="array" aca="1" ref="E7" ca="1">Common_InputFunctions.Utility_DisplayFunctionName(H25)</f>
        <v>=Fertiliser_Equations_Lime.VEERG_5_3_1_1__1_LimeApplicationCO2Emissions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268</v>
      </c>
      <c r="E10" s="1" t="str" cm="1">
        <f t="array" ref="E10">Fertiliser_Equations_Lime.VEERG_5_3_1_1__1_LimeApplicationCO2Emissions_Variable()</f>
        <v>E_lime</v>
      </c>
    </row>
    <row r="11" spans="1:21" ht="20.100000000000001" customHeight="1" x14ac:dyDescent="0.25">
      <c r="A11" s="5" t="str">
        <f>HYPERLINK("#'Input - Crop'!A1", "Crop")</f>
        <v>Crop</v>
      </c>
      <c r="D11" s="88" t="s">
        <v>121</v>
      </c>
      <c r="E11" s="15" t="str" cm="1">
        <f t="array" ref="E11">Fertiliser_Equations_Lime.VEERG_5_3_1_1__1_LimeApplicationCO2Emissions_Unit()</f>
        <v>t CO2</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54" t="str" cm="1">
        <f t="array" ref="D13:E20">_xlfn.CHOOSECOLS(Fertiliser_Equations_Lime.VEERG_5_3_1_1__1_LimeApplicationCO2Emissions_Arguments(), 1, 2)</f>
        <v>M_lime</v>
      </c>
      <c r="E13" s="162" t="str">
        <v>total mass of lime applied to production system</v>
      </c>
      <c r="F13" s="164"/>
      <c r="G13" s="154" t="str" cm="1">
        <f t="array" ref="G13:H20">_xlfn.CHOOSECOLS(Fertiliser_Equations_Lime.VEERG_5_3_1_1__1_LimeApplicationCO2Emissions_Arguments(), 3,4)</f>
        <v>kg</v>
      </c>
      <c r="H13" s="136" t="str">
        <v>Input</v>
      </c>
      <c r="I13" s="140" t="str" cm="1">
        <f t="array" aca="1" ref="I13" ca="1">HYPERLINK(Common_InputFunctions.Utility_SourceHyperlink($D$22), $D$22)</f>
        <v>Table_E_lime</v>
      </c>
    </row>
    <row r="14" spans="1:21" ht="20.100000000000001" customHeight="1" x14ac:dyDescent="0.25">
      <c r="A14" s="5" t="str">
        <f>HYPERLINK("#'Input - Fuel'!A1", "Fuel")</f>
        <v>Fuel</v>
      </c>
      <c r="D14" s="154" t="str">
        <v>FracLime</v>
      </c>
      <c r="E14" s="162" t="str">
        <v>fraction of lime as limestone (CaCO3)</v>
      </c>
      <c r="F14" s="164"/>
      <c r="G14" s="154" t="str">
        <v>fraction</v>
      </c>
      <c r="H14" s="136" t="str">
        <v>Input</v>
      </c>
      <c r="I14" s="140" t="str" cm="1">
        <f t="array" aca="1" ref="I14" ca="1">HYPERLINK(Common_InputFunctions.Utility_SourceHyperlink($D$22), $D$22)</f>
        <v>Table_E_lime</v>
      </c>
    </row>
    <row r="15" spans="1:21" ht="20.100000000000001" customHeight="1" x14ac:dyDescent="0.25">
      <c r="A15" s="5" t="str">
        <f>HYPERLINK("#'Input - Electricity'!A1", "Electricity")</f>
        <v>Electricity</v>
      </c>
      <c r="D15" s="154" t="str">
        <v>P_lime</v>
      </c>
      <c r="E15" s="162" t="str">
        <v>fractional purity of limestone</v>
      </c>
      <c r="F15" s="164"/>
      <c r="G15" s="154" t="str">
        <v>fraction</v>
      </c>
      <c r="H15" s="137" t="str">
        <v>Constant</v>
      </c>
      <c r="I15" s="154">
        <f>'Constants - Fertiliser'!$E$66</f>
        <v>0.9</v>
      </c>
    </row>
    <row r="16" spans="1:21" ht="20.100000000000001" customHeight="1" x14ac:dyDescent="0.25">
      <c r="A16" s="5" t="str">
        <f>HYPERLINK("#'Input - Farm Inputs'!A1", "Farm Inputs")</f>
        <v>Farm Inputs</v>
      </c>
      <c r="D16" s="154" t="str">
        <v>EF_lime</v>
      </c>
      <c r="E16" s="162" t="str">
        <v>emission factor for limestone fraction of lime</v>
      </c>
      <c r="F16" s="164"/>
      <c r="G16" s="154" t="str">
        <v>kg C/kg</v>
      </c>
      <c r="H16" s="137" t="str">
        <v>Constant</v>
      </c>
      <c r="I16" s="154">
        <f>'Constants - Fertiliser'!$F$66</f>
        <v>0.12</v>
      </c>
    </row>
    <row r="17" spans="1:9" ht="20.100000000000001" customHeight="1" x14ac:dyDescent="0.25">
      <c r="A17" s="5" t="str">
        <f>HYPERLINK("#'Input - Freight'!A1", "Freight")</f>
        <v>Freight</v>
      </c>
      <c r="D17" s="154" t="str">
        <v>FracDol</v>
      </c>
      <c r="E17" s="162" t="str">
        <v>fraction of lime as dolomite</v>
      </c>
      <c r="F17" s="164"/>
      <c r="G17" s="154" t="str">
        <v>fraction</v>
      </c>
      <c r="H17" s="136" t="str">
        <v>Input</v>
      </c>
      <c r="I17" s="140" t="str" cm="1">
        <f t="array" aca="1" ref="I17" ca="1">HYPERLINK(Common_InputFunctions.Utility_SourceHyperlink($D$22), $D$22)</f>
        <v>Table_E_lime</v>
      </c>
    </row>
    <row r="18" spans="1:9" ht="20.100000000000001" customHeight="1" x14ac:dyDescent="0.25">
      <c r="A18" s="5" t="str">
        <f>HYPERLINK("#'Input - Manure sent off-site'!A1", "Manure sent off-site")</f>
        <v>Manure sent off-site</v>
      </c>
      <c r="D18" s="154" t="str">
        <v>P_dol</v>
      </c>
      <c r="E18" s="162" t="str">
        <v>fractional purity of dolomite</v>
      </c>
      <c r="F18" s="164"/>
      <c r="G18" s="154" t="str">
        <v>fraction</v>
      </c>
      <c r="H18" s="137" t="str">
        <v>Constant</v>
      </c>
      <c r="I18" s="154">
        <f>'Constants - Fertiliser'!$E$67</f>
        <v>0.95</v>
      </c>
    </row>
    <row r="19" spans="1:9" ht="20.100000000000001" customHeight="1" x14ac:dyDescent="0.25">
      <c r="A19" s="5" t="str">
        <f>HYPERLINK("#'Input - Solid waste'!A1", "Solid waste")</f>
        <v>Solid waste</v>
      </c>
      <c r="D19" s="154" t="str">
        <v>EF_dol</v>
      </c>
      <c r="E19" s="162" t="str">
        <v>emission factor for dolomite fraction of lime</v>
      </c>
      <c r="F19" s="164"/>
      <c r="G19" s="154" t="str">
        <v>kg C/kg</v>
      </c>
      <c r="H19" s="137" t="str">
        <v>Constant</v>
      </c>
      <c r="I19" s="154">
        <f>'Constants - Fertiliser'!$F$67</f>
        <v>0.13</v>
      </c>
    </row>
    <row r="20" spans="1:9" ht="20.100000000000001" customHeight="1" x14ac:dyDescent="0.25">
      <c r="A20" s="5" t="str">
        <f>HYPERLINK("#'Input - Data quality'!A1", "Data quality")</f>
        <v>Data quality</v>
      </c>
      <c r="D20" s="154" t="str">
        <v>C_CO2</v>
      </c>
      <c r="E20" s="162" t="str">
        <v>factor to convert elemental mass of carbon dioxide to molecular mass</v>
      </c>
      <c r="F20" s="164"/>
      <c r="G20" s="154" t="str">
        <v/>
      </c>
      <c r="H20" s="137" t="str">
        <v>Constant</v>
      </c>
      <c r="I20" s="13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D22" s="143" t="s">
        <v>318</v>
      </c>
    </row>
    <row r="23" spans="1:9" ht="20.100000000000001" customHeight="1" x14ac:dyDescent="0.25">
      <c r="A23" s="6" t="s">
        <v>2</v>
      </c>
      <c r="D23" s="144" t="s">
        <v>319</v>
      </c>
    </row>
    <row r="24" spans="1:9" ht="20.100000000000001" customHeight="1" x14ac:dyDescent="0.25">
      <c r="A24" s="5" t="str">
        <f>HYPERLINK("#'5.1.1.1-2 Inorganic fert N2O'!A1", "5.1.1.1-2 Inorganic fert N2O")</f>
        <v>5.1.1.1-2 Inorganic fert N2O</v>
      </c>
      <c r="D24" s="92" t="s">
        <v>320</v>
      </c>
      <c r="E24" s="92" t="s">
        <v>321</v>
      </c>
      <c r="F24" s="92" t="s">
        <v>322</v>
      </c>
      <c r="G24" s="92" t="s">
        <v>323</v>
      </c>
      <c r="H24" s="145" t="s">
        <v>324</v>
      </c>
    </row>
    <row r="25" spans="1:9" ht="20.100000000000001" customHeight="1" x14ac:dyDescent="0.25">
      <c r="A25" s="5" t="str">
        <f>HYPERLINK("#'5.1.1.3-4 Inorganic fert CO2'!A1", "5.1.1.3-4 Inorganic fert CO2")</f>
        <v>5.1.1.3-4 Inorganic fert CO2</v>
      </c>
      <c r="D25" s="25" t="str" cm="1">
        <f t="array" ref="D25:D27">Table_Input_Lime[Product]</f>
        <v>Lime product 1</v>
      </c>
      <c r="E25" s="165" cm="1">
        <f t="array" ref="E25:E27">Table_Input_Lime[Total amount applied (t)]*10^3</f>
        <v>100000</v>
      </c>
      <c r="F25" s="166" cm="1">
        <f t="array" ref="F25:F27">Table_Input_Lime[Percent Lime CaCO3]</f>
        <v>0.8</v>
      </c>
      <c r="G25" s="166" cm="1">
        <f t="array" ref="G25:G27">Table_Input_Lime[Percent Dolomite CaMg(CO3)2]</f>
        <v>0.1</v>
      </c>
      <c r="H25" s="25" cm="1">
        <f t="array" ref="H25">Fertiliser_Equations_Lime.VEERG_5_3_1_1__1_LimeApplicationCO2Emissions(E25,F25,$I$15,$I$16,G25,$I$18,$I$19,$I$20)</f>
        <v>36.208333333333329</v>
      </c>
    </row>
    <row r="26" spans="1:9" ht="20.100000000000001" customHeight="1" x14ac:dyDescent="0.25">
      <c r="A26" s="5" t="str">
        <f>HYPERLINK("#'5.2.1.1-2 Organic Fert N2O'!A1", "5.2.1.1-2 Organic fert N2O")</f>
        <v>5.2.1.1-2 Organic fert N2O</v>
      </c>
      <c r="D26" s="25" t="str">
        <v>Lime product 2</v>
      </c>
      <c r="E26" s="25">
        <v>100000</v>
      </c>
      <c r="F26" s="25">
        <v>1</v>
      </c>
      <c r="G26" s="25">
        <v>0</v>
      </c>
      <c r="H26" s="25" cm="1">
        <f t="array" ref="H26">Fertiliser_Equations_Lime.VEERG_5_3_1_1__1_LimeApplicationCO2Emissions(E26,F26,$I$15,$I$16,G26,$I$18,$I$19,$I$20)</f>
        <v>39.6</v>
      </c>
    </row>
    <row r="27" spans="1:9" ht="20.100000000000001" customHeight="1" x14ac:dyDescent="0.25">
      <c r="A27" s="141" t="str">
        <f>HYPERLINK("#'5.3.1.1-2 Lime CO2'!A1", "5.3.1.1-2 Lime CO2")</f>
        <v>5.3.1.1-2 Lime CO2</v>
      </c>
      <c r="D27" s="25" t="str">
        <v>Lime product 3</v>
      </c>
      <c r="E27" s="25">
        <v>100000</v>
      </c>
      <c r="F27" s="25">
        <v>0</v>
      </c>
      <c r="G27" s="25">
        <v>0</v>
      </c>
      <c r="H27" s="25" cm="1">
        <f t="array" ref="H27">Fertiliser_Equations_Lime.VEERG_5_3_1_1__1_LimeApplicationCO2Emissions(E27,F27,$I$15,$I$16,G27,$I$18,$I$19,$I$20)</f>
        <v>0</v>
      </c>
    </row>
    <row r="28" spans="1:9" ht="20.100000000000001" customHeight="1" x14ac:dyDescent="0.25">
      <c r="A28" s="5" t="str">
        <f>HYPERLINK("#'5.4.1.1-4 Atmos deposition'!A1", "5.4.1.1-4 Atmos. deposition")</f>
        <v>5.4.1.1-4 Atmos. deposition</v>
      </c>
      <c r="D28" s="25"/>
      <c r="E28" s="25"/>
      <c r="F28" s="25"/>
      <c r="G28" s="25"/>
      <c r="H28" s="25" cm="1">
        <f t="array" ref="H28">Fertiliser_Equations_Lime.VEERG_5_3_1_1__1_LimeApplicationCO2Emissions(E28,F28,$I$15,$I$16,G28,$I$18,$I$19,$I$20)</f>
        <v>0</v>
      </c>
    </row>
    <row r="29" spans="1:9" ht="20.100000000000001" customHeight="1" x14ac:dyDescent="0.25">
      <c r="A29" s="5" t="str">
        <f>HYPERLINK("#'5.5.1.1-2 Leaching and runoff'!A1", "5.5.1.1-2 Leaching &amp; runoff")</f>
        <v>5.5.1.1-2 Leaching &amp; runoff</v>
      </c>
      <c r="D29" s="25"/>
      <c r="E29" s="25"/>
      <c r="F29" s="25"/>
      <c r="G29" s="25"/>
      <c r="H29" s="25" cm="1">
        <f t="array" ref="H29">Fertiliser_Equations_Lime.VEERG_5_3_1_1__1_LimeApplicationCO2Emissions(E29,F29,$I$15,$I$16,G29,$I$18,$I$19,$I$20)</f>
        <v>0</v>
      </c>
    </row>
    <row r="30" spans="1:9" ht="20.100000000000001" customHeight="1" x14ac:dyDescent="0.25">
      <c r="A30" s="5" t="str">
        <f>HYPERLINK("#'6.1.1.1-2 Crop residue N2O'!A1", "6.1.1.1-2 Crop residue N2O")</f>
        <v>6.1.1.1-2 Crop residue N2O</v>
      </c>
    </row>
    <row r="31" spans="1:9" ht="20.100000000000001" customHeight="1" x14ac:dyDescent="0.25">
      <c r="A31" s="5" t="str">
        <f>HYPERLINK("#'6.3.1.1-2 Leach runoff crop'!A1", "6.3.1.1-2 Leach &amp; runoff (crop)")</f>
        <v>6.3.1.1-2 Leach &amp; runoff (crop)</v>
      </c>
      <c r="D31" s="149" t="s">
        <v>325</v>
      </c>
      <c r="E31" s="150">
        <f>SUM(H25:H29)</f>
        <v>75.808333333333337</v>
      </c>
      <c r="F31" s="167" t="s">
        <v>131</v>
      </c>
    </row>
    <row r="32" spans="1:9" ht="20.100000000000001" customHeight="1" x14ac:dyDescent="0.25">
      <c r="A32" s="5" t="str">
        <f>HYPERLINK("#'6.4.1.1-2 Residue burning'!A1", "6.4.1.1-2 Residue burning")</f>
        <v>6.4.1.1-2 Residue burning</v>
      </c>
    </row>
    <row r="33" spans="1:1" ht="20.100000000000001" customHeight="1" x14ac:dyDescent="0.25">
      <c r="A33" s="5" t="str">
        <f>HYPERLINK("#'8.1.1.1-2 Transport fuel'!A1", "8.1.1.1-2 Transport fuel")</f>
        <v>8.1.1.1-2 Transport fuel</v>
      </c>
    </row>
    <row r="34" spans="1:1" ht="20.100000000000001" customHeight="1" x14ac:dyDescent="0.25">
      <c r="A34" s="5" t="str">
        <f>HYPERLINK("#'8.2.1.1-2 Stationary fuel'!A1", "8.2.1.1-2 Stationary fuel")</f>
        <v>8.2.1.1-2 Stationary fuel</v>
      </c>
    </row>
    <row r="35" spans="1:1" ht="20.100000000000001" customHeight="1" x14ac:dyDescent="0.25">
      <c r="A35" s="5" t="str">
        <f>HYPERLINK("#'14.1.1-2 Purchased electricity'!A1", "14.1.1-2 Purchased electricity")</f>
        <v>14.1.1-2 Purchased electricity</v>
      </c>
    </row>
    <row r="36" spans="1:1" ht="20.100000000000001" customHeight="1" x14ac:dyDescent="0.25">
      <c r="A36" s="5" t="str">
        <f>HYPERLINK("#'15 Scope 3'!A1", "15 Scope 3")</f>
        <v>15 Scope 3</v>
      </c>
    </row>
    <row r="37" spans="1:1" ht="20.100000000000001" customHeight="1" x14ac:dyDescent="0.25">
      <c r="A37" s="5" t="str">
        <f>HYPERLINK("#'Calcs - Manure sent off-site'!A1", "Calcs - Manure sent off-site")</f>
        <v>Calcs - Manure sent off-site</v>
      </c>
    </row>
    <row r="38" spans="1:1" ht="20.100000000000001" customHeight="1" x14ac:dyDescent="0.25">
      <c r="A38" s="5" t="str">
        <f>HYPERLINK("#'10.1.1-2 Solid waste treatment'!A1", "10.1.1-2 Solid waste treatment")</f>
        <v>10.1.1-2 Solid waste treatment</v>
      </c>
    </row>
    <row r="39" spans="1:1" ht="20.100000000000001" customHeight="1" x14ac:dyDescent="0.25"/>
    <row r="40" spans="1:1" ht="20.100000000000001" customHeight="1" x14ac:dyDescent="0.25"/>
    <row r="41" spans="1:1" ht="20.100000000000001" customHeight="1" x14ac:dyDescent="0.25">
      <c r="A41" s="121" t="s">
        <v>1</v>
      </c>
    </row>
    <row r="42" spans="1:1" ht="20.100000000000001" customHeight="1" x14ac:dyDescent="0.25">
      <c r="A42" s="5" t="str">
        <f>HYPERLINK("#'Constants - Ag Residue'!A1", "Constants - Ag residue")</f>
        <v>Constants - Ag residue</v>
      </c>
    </row>
    <row r="43" spans="1:1" ht="20.100000000000001" customHeight="1" x14ac:dyDescent="0.25">
      <c r="A43" s="5" t="str">
        <f>HYPERLINK("#'Constants - Common Livestock'!A1", "Constants - Common Livestock")</f>
        <v>Constants - Common Livestock</v>
      </c>
    </row>
    <row r="44" spans="1:1" ht="20.100000000000001" customHeight="1" x14ac:dyDescent="0.25">
      <c r="A44" s="5" t="str">
        <f>HYPERLINK("#'Constants - Electricity'!A1", "Constants - Electricity")</f>
        <v>Constants - Electricity</v>
      </c>
    </row>
    <row r="45" spans="1:1" ht="20.100000000000001" customHeight="1" x14ac:dyDescent="0.25">
      <c r="A45" s="5" t="str">
        <f>HYPERLINK("#'Constants - Fertiliser'!A1", "Constants - Fertiliser")</f>
        <v>Constants - Fertiliser</v>
      </c>
    </row>
    <row r="46" spans="1:1" ht="20.100000000000001" customHeight="1" x14ac:dyDescent="0.25">
      <c r="A46" s="5" t="str">
        <f>HYPERLINK("#'Constants - Fuel'!A1", "Constants - Fuel")</f>
        <v>Constants - Fuel</v>
      </c>
    </row>
    <row r="47" spans="1:1" ht="20.100000000000001" customHeight="1" x14ac:dyDescent="0.25">
      <c r="A47" s="5" t="str">
        <f>HYPERLINK("#'Constants - Scope 3'!A1", "Constants - Scope 3")</f>
        <v>Constants - Scope 3</v>
      </c>
    </row>
    <row r="48" spans="1:1" ht="20.100000000000001" customHeight="1" x14ac:dyDescent="0.25">
      <c r="A48" s="5" t="str">
        <f>HYPERLINK("#'Constants - Common'!A1", "Constants - Common")</f>
        <v>Constants - Common</v>
      </c>
    </row>
    <row r="49" spans="1:1" ht="20.100000000000001" customHeight="1" x14ac:dyDescent="0.25">
      <c r="A49" s="5" t="str">
        <f>HYPERLINK("#'Constants - Solid Waste'!A1", "Constants - Solid Waste")</f>
        <v>Constants - Solid Waste</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FEED-5384-48FD-B875-2FC4FF2C868B}">
  <dimension ref="A1:U165"/>
  <sheetViews>
    <sheetView showGridLines="0" topLeftCell="A107"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31" customFormat="1" ht="30" customHeight="1" x14ac:dyDescent="0.35">
      <c r="A1" s="16" t="e" vm="1">
        <v>#VALUE!</v>
      </c>
      <c r="C1" s="31" t="s">
        <v>326</v>
      </c>
    </row>
    <row r="2" spans="1:21" s="3" customFormat="1" ht="20.100000000000001" customHeight="1" x14ac:dyDescent="0.25">
      <c r="A2"/>
    </row>
    <row r="3" spans="1:21" ht="20.100000000000001" customHeight="1" x14ac:dyDescent="0.25">
      <c r="A3" s="5" t="str">
        <f>HYPERLINK("#'Home'!A1", "Home")</f>
        <v>Home</v>
      </c>
      <c r="C3" s="33"/>
      <c r="D3" s="33" t="s">
        <v>135</v>
      </c>
      <c r="E3" s="33"/>
      <c r="F3" s="33"/>
      <c r="G3" s="33"/>
      <c r="H3" s="33"/>
      <c r="I3" s="33"/>
      <c r="J3" s="33"/>
      <c r="K3" s="33"/>
      <c r="L3" s="33"/>
      <c r="N3" s="33"/>
      <c r="O3" s="33" t="s">
        <v>136</v>
      </c>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27" t="str" cm="1">
        <f t="array" ref="D6">Fertiliser_Equations_AtmosphericDeposition.VEERG_5_4_1_1__2_MassOfNitrogenVolatilisedFromInorganicFertiliser_Source()</f>
        <v>VEERG 2026: 5.4.1.1, Equation (2)</v>
      </c>
    </row>
    <row r="7" spans="1:21" ht="20.100000000000001" customHeight="1" x14ac:dyDescent="0.25">
      <c r="D7" s="132" t="s">
        <v>267</v>
      </c>
      <c r="E7" s="132" t="str" cm="1">
        <f t="array" aca="1" ref="E7" ca="1">Common_InputFunctions.Utility_DisplayFunctionName(H19)</f>
        <v>=Fertiliser_Equations_AtmosphericDeposition.VEERG_5_4_1_1__2_MassOfNitrogenVolatilisedFromInorganicFertiliser</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268</v>
      </c>
      <c r="E10" s="1" t="str" cm="1">
        <f t="array" ref="E10">Fertiliser_Equations_AtmosphericDeposition.VEERG_5_4_1_1__2_MassOfNitrogenVolatilisedFromInorganicFertiliser_Variable()</f>
        <v>M_volinorganicjf</v>
      </c>
    </row>
    <row r="11" spans="1:21" ht="20.100000000000001" customHeight="1" x14ac:dyDescent="0.25">
      <c r="A11" s="5" t="str">
        <f>HYPERLINK("#'Input - Crop'!A1", "Crop")</f>
        <v>Crop</v>
      </c>
      <c r="D11" s="88" t="s">
        <v>121</v>
      </c>
      <c r="E11" s="15" t="str" cm="1">
        <f t="array" ref="E11">Fertiliser_Equations_AtmosphericDeposition.VEERG_5_4_1_1__2_MassOfNitrogenVolatilisedFromInorganicFertiliser_Unit()</f>
        <v>kg N</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54" t="str" cm="1">
        <f t="array" ref="D13:E14">_xlfn.CHOOSECOLS(Fertiliser_Equations_AtmosphericDeposition.VEERG_5_4_1_1__2_MassOfNitrogenVolatilisedFromInorganicFertiliser_Arguments(), 1, 2)</f>
        <v>MN_jf</v>
      </c>
      <c r="E13" s="162" t="str">
        <v>mass of nitrogen in inorganic fertiliser applied</v>
      </c>
      <c r="F13" s="164"/>
      <c r="G13" s="154" t="str" cm="1">
        <f t="array" ref="G13:H14">_xlfn.CHOOSECOLS(Fertiliser_Equations_AtmosphericDeposition.VEERG_5_4_1_1__2_MassOfNitrogenVolatilisedFromInorganicFertiliser_Arguments(), 3,4)</f>
        <v>kg N</v>
      </c>
      <c r="H13" s="137" t="str">
        <v>Calculated from 5.1.1.1 (2)</v>
      </c>
      <c r="I13" s="140" t="str" cm="1">
        <f t="array" aca="1" ref="I13" ca="1">HYPERLINK(Common_InputFunctions.Utility_SourceHyperlink($D$16),$D$16)</f>
        <v>Table_M_vol_inorganic_j_f</v>
      </c>
    </row>
    <row r="14" spans="1:21" ht="20.100000000000001" customHeight="1" x14ac:dyDescent="0.25">
      <c r="A14" s="5" t="str">
        <f>HYPERLINK("#'Input - Fuel'!A1", "Fuel")</f>
        <v>Fuel</v>
      </c>
      <c r="D14" s="154" t="str">
        <v>FracGASF_f</v>
      </c>
      <c r="E14" s="162" t="str">
        <v>fraction of inorganic fertiliser that volatilises</v>
      </c>
      <c r="F14" s="164"/>
      <c r="G14" s="154" t="str">
        <v>(kg NH3-N + NOx-N)/kg N</v>
      </c>
      <c r="H14" s="137" t="str">
        <v>Constant</v>
      </c>
      <c r="I14" s="140" t="str" cm="1">
        <f t="array" aca="1" ref="I14" ca="1">HYPERLINK(Common_InputFunctions.Utility_SourceHyperlink($D$16),$D$16)</f>
        <v>Table_M_vol_inorganic_j_f</v>
      </c>
    </row>
    <row r="15" spans="1:21" ht="20.100000000000001" customHeight="1" x14ac:dyDescent="0.25">
      <c r="A15" s="5" t="str">
        <f>HYPERLINK("#'Input - Electricity'!A1", "Electricity")</f>
        <v>Electricity</v>
      </c>
    </row>
    <row r="16" spans="1:21" ht="20.100000000000001" customHeight="1" x14ac:dyDescent="0.25">
      <c r="A16" s="5" t="str">
        <f>HYPERLINK("#'Input - Farm Inputs'!A1", "Farm Inputs")</f>
        <v>Farm Inputs</v>
      </c>
      <c r="D16" s="143" t="s">
        <v>327</v>
      </c>
    </row>
    <row r="17" spans="1:8" ht="20.100000000000001" customHeight="1" x14ac:dyDescent="0.25">
      <c r="A17" s="5" t="str">
        <f>HYPERLINK("#'Input - Freight'!A1", "Freight")</f>
        <v>Freight</v>
      </c>
      <c r="D17" s="144" t="s">
        <v>328</v>
      </c>
    </row>
    <row r="18" spans="1:8" ht="20.100000000000001" customHeight="1" x14ac:dyDescent="0.25">
      <c r="A18" s="5" t="str">
        <f>HYPERLINK("#'Input - Manure sent off-site'!A1", "Manure sent off-site")</f>
        <v>Manure sent off-site</v>
      </c>
      <c r="D18" s="145" t="s">
        <v>329</v>
      </c>
      <c r="E18" s="145" t="s">
        <v>330</v>
      </c>
      <c r="F18" s="145" t="s">
        <v>331</v>
      </c>
      <c r="G18" s="168" t="s">
        <v>332</v>
      </c>
      <c r="H18" s="168" t="s">
        <v>333</v>
      </c>
    </row>
    <row r="19" spans="1:8" ht="20.100000000000001" customHeight="1" x14ac:dyDescent="0.25">
      <c r="A19" s="5" t="str">
        <f>HYPERLINK("#'Input - Solid waste'!A1", "Solid waste")</f>
        <v>Solid waste</v>
      </c>
      <c r="D19" s="25" t="str" cm="1">
        <f t="array" ref="D19:D37">Table_Fertiliser_ChemicalCompounds[Fertiliser type f]</f>
        <v>Monoammonium phosphate (MAP)</v>
      </c>
      <c r="E19" s="25">
        <f>INDEX(Table_MN_j_f,2,4)</f>
        <v>0</v>
      </c>
      <c r="F19" s="25" t="str" cm="1">
        <f t="array" ref="F19">Common_InputFunctions.Utility_LookupValueInTable(D19, Table_Fertiliser_ChemicalCompounds[Fertiliser type f],Table_Fertiliser_ChemicalCompounds[Basis])</f>
        <v>Ammonium-based fertilisers</v>
      </c>
      <c r="G19" s="25" cm="1">
        <f t="array" ref="G19">Common_InputFunctions.Utility_LookupValueInTableNumber(F19, Table_SourceData_Fertiliser_FracGASF[Fertiliser type f],Table_SourceData_Fertiliser_FracGASF[FracGASF f])</f>
        <v>0.08</v>
      </c>
      <c r="H19" s="25" cm="1">
        <f t="array" ref="H19">Fertiliser_Equations_AtmosphericDeposition.VEERG_5_4_1_1__2_MassOfNitrogenVolatilisedFromInorganicFertiliser(E19,G19)</f>
        <v>0</v>
      </c>
    </row>
    <row r="20" spans="1:8" ht="20.100000000000001" customHeight="1" x14ac:dyDescent="0.25">
      <c r="A20" s="5" t="str">
        <f>HYPERLINK("#'Input - Data quality'!A1", "Data quality")</f>
        <v>Data quality</v>
      </c>
      <c r="D20" s="25" t="str">
        <v>Diammonium phosphate (DAP)</v>
      </c>
      <c r="E20" s="25">
        <f>INDEX(Table_MN_j_f,3,4)</f>
        <v>0</v>
      </c>
      <c r="F20" s="25" t="str" cm="1">
        <f t="array" ref="F20">Common_InputFunctions.Utility_LookupValueInTable(D20, Table_Fertiliser_ChemicalCompounds[Fertiliser type f],Table_Fertiliser_ChemicalCompounds[Basis])</f>
        <v>Ammonium-based fertilisers</v>
      </c>
      <c r="G20" s="25" cm="1">
        <f t="array" ref="G20">Common_InputFunctions.Utility_LookupValueInTableNumber(F20, Table_SourceData_Fertiliser_FracGASF[Fertiliser type f],Table_SourceData_Fertiliser_FracGASF[FracGASF f])</f>
        <v>0.08</v>
      </c>
      <c r="H20" s="25" cm="1">
        <f t="array" ref="H20">Fertiliser_Equations_AtmosphericDeposition.VEERG_5_4_1_1__2_MassOfNitrogenVolatilisedFromInorganicFertiliser(E20,G20)</f>
        <v>0</v>
      </c>
    </row>
    <row r="21" spans="1:8" ht="20.100000000000001" customHeight="1" x14ac:dyDescent="0.25">
      <c r="D21" s="25" t="str">
        <v>Urea</v>
      </c>
      <c r="E21" s="25">
        <f>INDEX(Table_MN_j_f,4,4)</f>
        <v>4600</v>
      </c>
      <c r="F21" s="25" t="str" cm="1">
        <f t="array" ref="F21">Common_InputFunctions.Utility_LookupValueInTable(D21, Table_Fertiliser_ChemicalCompounds[Fertiliser type f],Table_Fertiliser_ChemicalCompounds[Basis])</f>
        <v>Urea-based fertilisers</v>
      </c>
      <c r="G21" s="25" cm="1">
        <f t="array" ref="G21">Common_InputFunctions.Utility_LookupValueInTableNumber(F21, Table_SourceData_Fertiliser_FracGASF[Fertiliser type f],Table_SourceData_Fertiliser_FracGASF[FracGASF f])</f>
        <v>0.15</v>
      </c>
      <c r="H21" s="25" cm="1">
        <f t="array" ref="H21">Fertiliser_Equations_AtmosphericDeposition.VEERG_5_4_1_1__2_MassOfNitrogenVolatilisedFromInorganicFertiliser(E21,G21)</f>
        <v>690</v>
      </c>
    </row>
    <row r="22" spans="1:8" ht="20.100000000000001" customHeight="1" x14ac:dyDescent="0.25">
      <c r="D22" s="25" t="str">
        <v>Sulphate of ammonia (SOA)</v>
      </c>
      <c r="E22" s="25">
        <f>INDEX(Table_MN_j_f,5,4)</f>
        <v>0</v>
      </c>
      <c r="F22" s="25" t="str" cm="1">
        <f t="array" ref="F22">Common_InputFunctions.Utility_LookupValueInTable(D22, Table_Fertiliser_ChemicalCompounds[Fertiliser type f],Table_Fertiliser_ChemicalCompounds[Basis])</f>
        <v>Ammonium-based fertilisers</v>
      </c>
      <c r="G22" s="25" cm="1">
        <f t="array" ref="G22">Common_InputFunctions.Utility_LookupValueInTableNumber(F22, Table_SourceData_Fertiliser_FracGASF[Fertiliser type f],Table_SourceData_Fertiliser_FracGASF[FracGASF f])</f>
        <v>0.08</v>
      </c>
      <c r="H22" s="25" cm="1">
        <f t="array" ref="H22">Fertiliser_Equations_AtmosphericDeposition.VEERG_5_4_1_1__2_MassOfNitrogenVolatilisedFromInorganicFertiliser(E22,G22)</f>
        <v>0</v>
      </c>
    </row>
    <row r="23" spans="1:8" ht="20.100000000000001" customHeight="1" x14ac:dyDescent="0.25">
      <c r="A23" s="6" t="s">
        <v>2</v>
      </c>
      <c r="D23" s="25" t="str">
        <v>Urea-ammonium nitrate (UAN)</v>
      </c>
      <c r="E23" s="25">
        <f>INDEX(Table_MN_j_f,6,4)</f>
        <v>0</v>
      </c>
      <c r="F23" s="25" t="str" cm="1">
        <f t="array" ref="F23">Common_InputFunctions.Utility_LookupValueInTable(D23, Table_Fertiliser_ChemicalCompounds[Fertiliser type f],Table_Fertiliser_ChemicalCompounds[Basis])</f>
        <v>Urea-based fertilisers</v>
      </c>
      <c r="G23" s="25" cm="1">
        <f t="array" ref="G23">Common_InputFunctions.Utility_LookupValueInTableNumber(F23, Table_SourceData_Fertiliser_FracGASF[Fertiliser type f],Table_SourceData_Fertiliser_FracGASF[FracGASF f])</f>
        <v>0.15</v>
      </c>
      <c r="H23" s="25" cm="1">
        <f t="array" ref="H23">Fertiliser_Equations_AtmosphericDeposition.VEERG_5_4_1_1__2_MassOfNitrogenVolatilisedFromInorganicFertiliser(E23,G23)</f>
        <v>0</v>
      </c>
    </row>
    <row r="24" spans="1:8" ht="20.100000000000001" customHeight="1" x14ac:dyDescent="0.25">
      <c r="A24" s="5" t="str">
        <f>HYPERLINK("#'5.1.1.1-2 Inorganic fert N2O'!A1", "5.1.1.1-2 Inorganic fert N2O")</f>
        <v>5.1.1.1-2 Inorganic fert N2O</v>
      </c>
      <c r="D24" s="25" t="str">
        <v>Ammonium nitrate (AN)</v>
      </c>
      <c r="E24" s="25">
        <f>INDEX(Table_MN_j_f,7,4)</f>
        <v>0</v>
      </c>
      <c r="F24" s="25" t="str" cm="1">
        <f t="array" ref="F24">Common_InputFunctions.Utility_LookupValueInTable(D24, Table_Fertiliser_ChemicalCompounds[Fertiliser type f],Table_Fertiliser_ChemicalCompounds[Basis])</f>
        <v>Ammonium-nitrate based fertilisers</v>
      </c>
      <c r="G24" s="25" cm="1">
        <f t="array" ref="G24">Common_InputFunctions.Utility_LookupValueInTableNumber(F24, Table_SourceData_Fertiliser_FracGASF[Fertiliser type f],Table_SourceData_Fertiliser_FracGASF[FracGASF f])</f>
        <v>0.05</v>
      </c>
      <c r="H24" s="25" cm="1">
        <f t="array" ref="H24">Fertiliser_Equations_AtmosphericDeposition.VEERG_5_4_1_1__2_MassOfNitrogenVolatilisedFromInorganicFertiliser(E24,G24)</f>
        <v>0</v>
      </c>
    </row>
    <row r="25" spans="1:8" ht="20.100000000000001" customHeight="1" x14ac:dyDescent="0.25">
      <c r="A25" s="5" t="str">
        <f>HYPERLINK("#'5.1.1.3-4 Inorganic fert CO2'!A1", "5.1.1.3-4 Inorganic fert CO2")</f>
        <v>5.1.1.3-4 Inorganic fert CO2</v>
      </c>
      <c r="D25" s="25" t="str">
        <v>Calcium ammonium nitrate (CAN)</v>
      </c>
      <c r="E25" s="25">
        <f>INDEX(Table_MN_j_f,8,4)</f>
        <v>0</v>
      </c>
      <c r="F25" s="25" t="str" cm="1">
        <f t="array" ref="F25">Common_InputFunctions.Utility_LookupValueInTable(D25, Table_Fertiliser_ChemicalCompounds[Fertiliser type f],Table_Fertiliser_ChemicalCompounds[Basis])</f>
        <v>Ammonium-nitrate based fertilisers</v>
      </c>
      <c r="G25" s="25" cm="1">
        <f t="array" ref="G25">Common_InputFunctions.Utility_LookupValueInTableNumber(F25, Table_SourceData_Fertiliser_FracGASF[Fertiliser type f],Table_SourceData_Fertiliser_FracGASF[FracGASF f])</f>
        <v>0.05</v>
      </c>
      <c r="H25" s="25" cm="1">
        <f t="array" ref="H25">Fertiliser_Equations_AtmosphericDeposition.VEERG_5_4_1_1__2_MassOfNitrogenVolatilisedFromInorganicFertiliser(E25,G25)</f>
        <v>0</v>
      </c>
    </row>
    <row r="26" spans="1:8" ht="20.100000000000001" customHeight="1" x14ac:dyDescent="0.25">
      <c r="A26" s="5" t="str">
        <f>HYPERLINK("#'5.2.1.1-2 Organic Fert N2O'!A1", "5.2.1.1-2 Organic fert N2O")</f>
        <v>5.2.1.1-2 Organic fert N2O</v>
      </c>
      <c r="D26" s="25" t="str">
        <v>Nitrogen - Ammoniacal</v>
      </c>
      <c r="E26" s="25">
        <f>INDEX(Table_MN_j_f,9,4)</f>
        <v>0</v>
      </c>
      <c r="F26" s="25" t="str" cm="1">
        <f t="array" ref="F26">Common_InputFunctions.Utility_LookupValueInTable(D26, Table_Fertiliser_ChemicalCompounds[Fertiliser type f],Table_Fertiliser_ChemicalCompounds[Basis])</f>
        <v>Ammonium-based fertilisers</v>
      </c>
      <c r="G26" s="25" cm="1">
        <f t="array" ref="G26">Common_InputFunctions.Utility_LookupValueInTableNumber(F26, Table_SourceData_Fertiliser_FracGASF[Fertiliser type f],Table_SourceData_Fertiliser_FracGASF[FracGASF f])</f>
        <v>0.08</v>
      </c>
      <c r="H26" s="25" cm="1">
        <f t="array" ref="H26">Fertiliser_Equations_AtmosphericDeposition.VEERG_5_4_1_1__2_MassOfNitrogenVolatilisedFromInorganicFertiliser(E26,G26)</f>
        <v>0</v>
      </c>
    </row>
    <row r="27" spans="1:8" ht="20.100000000000001" customHeight="1" x14ac:dyDescent="0.25">
      <c r="A27" s="5" t="str">
        <f>HYPERLINK("#'5.3.1.1-2 Lime CO2'!A1", "5.3.1.1-2 Lime CO2")</f>
        <v>5.3.1.1-2 Lime CO2</v>
      </c>
      <c r="D27" s="25" t="str">
        <v>Nitrogen - Nitrate</v>
      </c>
      <c r="E27" s="25">
        <f>INDEX(Table_MN_j_f,10,4)</f>
        <v>1980</v>
      </c>
      <c r="F27" s="25" t="str" cm="1">
        <f t="array" ref="F27">Common_InputFunctions.Utility_LookupValueInTable(D27, Table_Fertiliser_ChemicalCompounds[Fertiliser type f],Table_Fertiliser_ChemicalCompounds[Basis])</f>
        <v>Nitrate-based fertilisers</v>
      </c>
      <c r="G27" s="25" cm="1">
        <f t="array" ref="G27">Common_InputFunctions.Utility_LookupValueInTableNumber(F27, Table_SourceData_Fertiliser_FracGASF[Fertiliser type f],Table_SourceData_Fertiliser_FracGASF[FracGASF f])</f>
        <v>0.01</v>
      </c>
      <c r="H27" s="25" cm="1">
        <f t="array" ref="H27">Fertiliser_Equations_AtmosphericDeposition.VEERG_5_4_1_1__2_MassOfNitrogenVolatilisedFromInorganicFertiliser(E27,G27)</f>
        <v>19.8</v>
      </c>
    </row>
    <row r="28" spans="1:8" ht="20.100000000000001" customHeight="1" x14ac:dyDescent="0.25">
      <c r="A28" s="141" t="str">
        <f>HYPERLINK("#'5.4.1.1-4 Atmos deposition'!A1", "5.4.1.1-4 Atmos. deposition")</f>
        <v>5.4.1.1-4 Atmos. deposition</v>
      </c>
      <c r="D28" s="25" t="str">
        <v>Nitrogen - Generic</v>
      </c>
      <c r="E28" s="25">
        <f>INDEX(Table_MN_j_f,11,4)</f>
        <v>1537.2</v>
      </c>
      <c r="F28" s="25" t="str" cm="1">
        <f t="array" ref="F28">Common_InputFunctions.Utility_LookupValueInTable(D28, Table_Fertiliser_ChemicalCompounds[Fertiliser type f],Table_Fertiliser_ChemicalCompounds[Basis])</f>
        <v>Urea-based fertilisers</v>
      </c>
      <c r="G28" s="25" cm="1">
        <f t="array" ref="G28">Common_InputFunctions.Utility_LookupValueInTableNumber(F28, Table_SourceData_Fertiliser_FracGASF[Fertiliser type f],Table_SourceData_Fertiliser_FracGASF[FracGASF f])</f>
        <v>0.15</v>
      </c>
      <c r="H28" s="25" cm="1">
        <f t="array" ref="H28">Fertiliser_Equations_AtmosphericDeposition.VEERG_5_4_1_1__2_MassOfNitrogenVolatilisedFromInorganicFertiliser(E28,G28)</f>
        <v>230.57999999999998</v>
      </c>
    </row>
    <row r="29" spans="1:8" ht="20.100000000000001" customHeight="1" x14ac:dyDescent="0.25">
      <c r="A29" s="5" t="str">
        <f>HYPERLINK("#'5.5.1.1-2 Leaching and runoff'!A1", "5.5.1.1-2 Leaching &amp; runoff")</f>
        <v>5.5.1.1-2 Leaching &amp; runoff</v>
      </c>
      <c r="D29" s="25" t="str">
        <v>Phosphorus - Generic</v>
      </c>
      <c r="E29" s="25">
        <f>INDEX(Table_MN_j_f,12,4)</f>
        <v>0</v>
      </c>
      <c r="F29" s="25" t="str" cm="1">
        <f t="array" ref="F29">Common_InputFunctions.Utility_LookupValueInTable(D29, Table_Fertiliser_ChemicalCompounds[Fertiliser type f],Table_Fertiliser_ChemicalCompounds[Basis])</f>
        <v>Other fertilisers</v>
      </c>
      <c r="G29" s="25" cm="1">
        <f t="array" ref="G29">Common_InputFunctions.Utility_LookupValueInTableNumber(F29, Table_SourceData_Fertiliser_FracGASF[Fertiliser type f],Table_SourceData_Fertiliser_FracGASF[FracGASF f])</f>
        <v>0.11</v>
      </c>
      <c r="H29" s="25" cm="1">
        <f t="array" ref="H29">Fertiliser_Equations_AtmosphericDeposition.VEERG_5_4_1_1__2_MassOfNitrogenVolatilisedFromInorganicFertiliser(E29,G29)</f>
        <v>0</v>
      </c>
    </row>
    <row r="30" spans="1:8" ht="20.100000000000001" customHeight="1" x14ac:dyDescent="0.25">
      <c r="A30" s="5" t="str">
        <f>HYPERLINK("#'6.1.1.1-2 Crop residue N2O'!A1", "6.1.1.1-2 Crop residue N2O")</f>
        <v>6.1.1.1-2 Crop residue N2O</v>
      </c>
      <c r="D30" s="25" t="str">
        <v>Potassium - Generic</v>
      </c>
      <c r="E30" s="25">
        <f>INDEX(Table_MN_j_f,13,4)</f>
        <v>0</v>
      </c>
      <c r="F30" s="25" t="str" cm="1">
        <f t="array" ref="F30">Common_InputFunctions.Utility_LookupValueInTable(D30, Table_Fertiliser_ChemicalCompounds[Fertiliser type f],Table_Fertiliser_ChemicalCompounds[Basis])</f>
        <v>Other fertilisers</v>
      </c>
      <c r="G30" s="25" cm="1">
        <f t="array" ref="G30">Common_InputFunctions.Utility_LookupValueInTableNumber(F30, Table_SourceData_Fertiliser_FracGASF[Fertiliser type f],Table_SourceData_Fertiliser_FracGASF[FracGASF f])</f>
        <v>0.11</v>
      </c>
      <c r="H30" s="25" cm="1">
        <f t="array" ref="H30">Fertiliser_Equations_AtmosphericDeposition.VEERG_5_4_1_1__2_MassOfNitrogenVolatilisedFromInorganicFertiliser(E30,G30)</f>
        <v>0</v>
      </c>
    </row>
    <row r="31" spans="1:8" ht="20.100000000000001" customHeight="1" x14ac:dyDescent="0.25">
      <c r="A31" s="5" t="str">
        <f>HYPERLINK("#'6.3.1.1-2 Leach runoff crop'!A1", "6.3.1.1-2 Leach &amp; runoff (crop)")</f>
        <v>6.3.1.1-2 Leach &amp; runoff (crop)</v>
      </c>
      <c r="D31" s="25" t="str">
        <v>Sulfur - Generic</v>
      </c>
      <c r="E31" s="25">
        <f>INDEX(Table_MN_j_f,14,4)</f>
        <v>0</v>
      </c>
      <c r="F31" s="25" t="str" cm="1">
        <f t="array" ref="F31">Common_InputFunctions.Utility_LookupValueInTable(D31, Table_Fertiliser_ChemicalCompounds[Fertiliser type f],Table_Fertiliser_ChemicalCompounds[Basis])</f>
        <v>Other fertilisers</v>
      </c>
      <c r="G31" s="25" cm="1">
        <f t="array" ref="G31">Common_InputFunctions.Utility_LookupValueInTableNumber(F31, Table_SourceData_Fertiliser_FracGASF[Fertiliser type f],Table_SourceData_Fertiliser_FracGASF[FracGASF f])</f>
        <v>0.11</v>
      </c>
      <c r="H31" s="25" cm="1">
        <f t="array" ref="H31">Fertiliser_Equations_AtmosphericDeposition.VEERG_5_4_1_1__2_MassOfNitrogenVolatilisedFromInorganicFertiliser(E31,G31)</f>
        <v>0</v>
      </c>
    </row>
    <row r="32" spans="1:8" ht="20.100000000000001" customHeight="1" x14ac:dyDescent="0.25">
      <c r="A32" s="5" t="str">
        <f>HYPERLINK("#'6.4.1.1-2 Residue burning'!A1", "6.4.1.1-2 Residue burning")</f>
        <v>6.4.1.1-2 Residue burning</v>
      </c>
      <c r="D32" s="25" t="str">
        <v>Zinc - Generic</v>
      </c>
      <c r="E32" s="25">
        <f>INDEX(Table_MN_j_f,15,4)</f>
        <v>0</v>
      </c>
      <c r="F32" s="25" t="str" cm="1">
        <f t="array" ref="F32">Common_InputFunctions.Utility_LookupValueInTable(D32, Table_Fertiliser_ChemicalCompounds[Fertiliser type f],Table_Fertiliser_ChemicalCompounds[Basis])</f>
        <v>Other fertilisers</v>
      </c>
      <c r="G32" s="25" cm="1">
        <f t="array" ref="G32">Common_InputFunctions.Utility_LookupValueInTableNumber(F32, Table_SourceData_Fertiliser_FracGASF[Fertiliser type f],Table_SourceData_Fertiliser_FracGASF[FracGASF f])</f>
        <v>0.11</v>
      </c>
      <c r="H32" s="25" cm="1">
        <f t="array" ref="H32">Fertiliser_Equations_AtmosphericDeposition.VEERG_5_4_1_1__2_MassOfNitrogenVolatilisedFromInorganicFertiliser(E32,G32)</f>
        <v>0</v>
      </c>
    </row>
    <row r="33" spans="1:12" ht="20.100000000000001" customHeight="1" x14ac:dyDescent="0.25">
      <c r="A33" s="5" t="str">
        <f>HYPERLINK("#'8.1.1.1-2 Transport fuel'!A1", "8.1.1.1-2 Transport fuel")</f>
        <v>8.1.1.1-2 Transport fuel</v>
      </c>
      <c r="D33" s="25" t="str">
        <v>Muriate of potash (MOP)</v>
      </c>
      <c r="E33" s="25">
        <f>INDEX(Table_MN_j_f,16,4)</f>
        <v>0</v>
      </c>
      <c r="F33" s="25" t="str" cm="1">
        <f t="array" ref="F33">Common_InputFunctions.Utility_LookupValueInTable(D33, Table_Fertiliser_ChemicalCompounds[Fertiliser type f],Table_Fertiliser_ChemicalCompounds[Basis])</f>
        <v>Other fertilisers</v>
      </c>
      <c r="G33" s="25" cm="1">
        <f t="array" ref="G33">Common_InputFunctions.Utility_LookupValueInTableNumber(F33, Table_SourceData_Fertiliser_FracGASF[Fertiliser type f],Table_SourceData_Fertiliser_FracGASF[FracGASF f])</f>
        <v>0.11</v>
      </c>
      <c r="H33" s="25" cm="1">
        <f t="array" ref="H33">Fertiliser_Equations_AtmosphericDeposition.VEERG_5_4_1_1__2_MassOfNitrogenVolatilisedFromInorganicFertiliser(E33,G33)</f>
        <v>0</v>
      </c>
    </row>
    <row r="34" spans="1:12" ht="20.100000000000001" customHeight="1" x14ac:dyDescent="0.25">
      <c r="A34" s="5" t="str">
        <f>HYPERLINK("#'8.2.1.1-2 Stationary fuel'!A1", "8.2.1.1-2 Stationary fuel")</f>
        <v>8.2.1.1-2 Stationary fuel</v>
      </c>
      <c r="D34" s="25" t="str">
        <v>Double superphosphate</v>
      </c>
      <c r="E34" s="25">
        <f>INDEX(Table_MN_j_f,17,4)</f>
        <v>0</v>
      </c>
      <c r="F34" s="25" t="str" cm="1">
        <f t="array" ref="F34">Common_InputFunctions.Utility_LookupValueInTable(D34, Table_Fertiliser_ChemicalCompounds[Fertiliser type f],Table_Fertiliser_ChemicalCompounds[Basis])</f>
        <v>Other fertilisers</v>
      </c>
      <c r="G34" s="25" cm="1">
        <f t="array" ref="G34">Common_InputFunctions.Utility_LookupValueInTableNumber(F34, Table_SourceData_Fertiliser_FracGASF[Fertiliser type f],Table_SourceData_Fertiliser_FracGASF[FracGASF f])</f>
        <v>0.11</v>
      </c>
      <c r="H34" s="25" cm="1">
        <f t="array" ref="H34">Fertiliser_Equations_AtmosphericDeposition.VEERG_5_4_1_1__2_MassOfNitrogenVolatilisedFromInorganicFertiliser(E34,G34)</f>
        <v>0</v>
      </c>
    </row>
    <row r="35" spans="1:12" ht="20.100000000000001" customHeight="1" x14ac:dyDescent="0.25">
      <c r="A35" s="5" t="str">
        <f>HYPERLINK("#'14.1.1-2 Purchased electricity'!A1", "14.1.1-2 Purchased electricity")</f>
        <v>14.1.1-2 Purchased electricity</v>
      </c>
      <c r="D35" s="25" t="str">
        <v>Single superphosphate (SSP)</v>
      </c>
      <c r="E35" s="25">
        <f>INDEX(Table_MN_j_f,18,4)</f>
        <v>0</v>
      </c>
      <c r="F35" s="25" t="str" cm="1">
        <f t="array" ref="F35">Common_InputFunctions.Utility_LookupValueInTable(D35, Table_Fertiliser_ChemicalCompounds[Fertiliser type f],Table_Fertiliser_ChemicalCompounds[Basis])</f>
        <v>Other fertilisers</v>
      </c>
      <c r="G35" s="25" cm="1">
        <f t="array" ref="G35">Common_InputFunctions.Utility_LookupValueInTableNumber(F35, Table_SourceData_Fertiliser_FracGASF[Fertiliser type f],Table_SourceData_Fertiliser_FracGASF[FracGASF f])</f>
        <v>0.11</v>
      </c>
      <c r="H35" s="25" cm="1">
        <f t="array" ref="H35">Fertiliser_Equations_AtmosphericDeposition.VEERG_5_4_1_1__2_MassOfNitrogenVolatilisedFromInorganicFertiliser(E35,G35)</f>
        <v>0</v>
      </c>
    </row>
    <row r="36" spans="1:12" ht="20.100000000000001" customHeight="1" x14ac:dyDescent="0.25">
      <c r="A36" s="5" t="str">
        <f>HYPERLINK("#'15 Scope 3'!A1", "15 Scope 3")</f>
        <v>15 Scope 3</v>
      </c>
      <c r="D36" s="25" t="str">
        <v>Ammonia</v>
      </c>
      <c r="E36" s="25">
        <f>INDEX(Table_MN_j_f,19,4)</f>
        <v>4117.5</v>
      </c>
      <c r="F36" s="25" t="str" cm="1">
        <f t="array" ref="F36">Common_InputFunctions.Utility_LookupValueInTable(D36, Table_Fertiliser_ChemicalCompounds[Fertiliser type f],Table_Fertiliser_ChemicalCompounds[Basis])</f>
        <v>Ammonium-based fertilisers</v>
      </c>
      <c r="G36" s="25" cm="1">
        <f t="array" ref="G36">Common_InputFunctions.Utility_LookupValueInTableNumber(F36, Table_SourceData_Fertiliser_FracGASF[Fertiliser type f],Table_SourceData_Fertiliser_FracGASF[FracGASF f])</f>
        <v>0.08</v>
      </c>
      <c r="H36" s="25" cm="1">
        <f t="array" ref="H36">Fertiliser_Equations_AtmosphericDeposition.VEERG_5_4_1_1__2_MassOfNitrogenVolatilisedFromInorganicFertiliser(E36,G36)</f>
        <v>329.40000000000003</v>
      </c>
    </row>
    <row r="37" spans="1:12" ht="20.100000000000001" customHeight="1" x14ac:dyDescent="0.25">
      <c r="A37" s="5" t="str">
        <f>HYPERLINK("#'Calcs - Manure sent off-site'!A1", "Calcs - Manure sent off-site")</f>
        <v>Calcs - Manure sent off-site</v>
      </c>
      <c r="D37" s="25" t="str">
        <v>Calcium nitrate</v>
      </c>
      <c r="E37" s="25">
        <f>INDEX(Table_MN_j_f,20,4)</f>
        <v>775</v>
      </c>
      <c r="F37" s="25" t="str" cm="1">
        <f t="array" ref="F37">Common_InputFunctions.Utility_LookupValueInTable(D37, Table_Fertiliser_ChemicalCompounds[Fertiliser type f],Table_Fertiliser_ChemicalCompounds[Basis])</f>
        <v>Nitrate-based fertilisers</v>
      </c>
      <c r="G37" s="25" cm="1">
        <f t="array" ref="G37">Common_InputFunctions.Utility_LookupValueInTableNumber(F37, Table_SourceData_Fertiliser_FracGASF[Fertiliser type f],Table_SourceData_Fertiliser_FracGASF[FracGASF f])</f>
        <v>0.01</v>
      </c>
      <c r="H37" s="25" cm="1">
        <f t="array" ref="H37">Fertiliser_Equations_AtmosphericDeposition.VEERG_5_4_1_1__2_MassOfNitrogenVolatilisedFromInorganicFertiliser(E37,G37)</f>
        <v>7.75</v>
      </c>
    </row>
    <row r="38" spans="1:12" ht="20.100000000000001" customHeight="1" x14ac:dyDescent="0.25">
      <c r="A38" s="5" t="str">
        <f>HYPERLINK("#'10.1.1-2 Solid waste treatment'!A1", "10.1.1-2 Solid waste treatment")</f>
        <v>10.1.1-2 Solid waste treatment</v>
      </c>
    </row>
    <row r="39" spans="1:12" ht="20.100000000000001" customHeight="1" x14ac:dyDescent="0.25"/>
    <row r="40" spans="1:12" ht="20.100000000000001" customHeight="1" x14ac:dyDescent="0.25">
      <c r="C40" s="161"/>
      <c r="D40" s="161"/>
      <c r="E40" s="161"/>
      <c r="F40" s="161"/>
      <c r="G40" s="161"/>
      <c r="H40" s="161"/>
      <c r="I40" s="161"/>
      <c r="J40" s="161"/>
      <c r="K40" s="161"/>
      <c r="L40" s="161"/>
    </row>
    <row r="41" spans="1:12" ht="20.100000000000001" customHeight="1" x14ac:dyDescent="0.25">
      <c r="A41" s="121" t="s">
        <v>1</v>
      </c>
      <c r="D41" s="2"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s="5" t="str">
        <f>HYPERLINK("#'Constants - Ag Residue'!A1", "Constants - Ag residue")</f>
        <v>Constants - Ag residue</v>
      </c>
      <c r="D42" s="27" t="str" cm="1">
        <f t="array" ref="D42">Fertiliser_Equations_AtmosphericDeposition.VEERG_5_4_1_1__1_InorganicFertiliserAtmosphericDepositionN2OEmissions_Source()</f>
        <v>VEERG 2026: 5.4.1.1, Equation (1)</v>
      </c>
    </row>
    <row r="43" spans="1:12" ht="20.100000000000001" customHeight="1" x14ac:dyDescent="0.25">
      <c r="A43" s="5" t="str">
        <f>HYPERLINK("#'Constants - Common Livestock'!A1", "Constants - Common Livestock")</f>
        <v>Constants - Common Livestock</v>
      </c>
      <c r="D43" s="132" t="s">
        <v>267</v>
      </c>
      <c r="E43" s="132"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s="5" t="str">
        <f>HYPERLINK("#'Constants - Electricity'!A1", "Constants - Electricity")</f>
        <v>Constants - Electricity</v>
      </c>
    </row>
    <row r="45" spans="1:12" ht="20.100000000000001" customHeight="1" x14ac:dyDescent="0.25">
      <c r="A45" s="5" t="str">
        <f>HYPERLINK("#'Constants - Fertiliser'!A1", "Constants - Fertiliser")</f>
        <v>Constants - Fertiliser</v>
      </c>
    </row>
    <row r="46" spans="1:12" ht="20.100000000000001" customHeight="1" x14ac:dyDescent="0.25">
      <c r="A46" s="5" t="str">
        <f>HYPERLINK("#'Constants - Fuel'!A1", "Constants - Fuel")</f>
        <v>Constants - Fuel</v>
      </c>
      <c r="D46" s="88" t="s">
        <v>268</v>
      </c>
      <c r="E46" s="1" t="str" cm="1">
        <f t="array" ref="E46">Fertiliser_Equations_AtmosphericDeposition.VEERG_5_4_1_1__1_InorganicFertiliserAtmosphericDepositionN2OEmissions_Variable()</f>
        <v>E_adinorganic</v>
      </c>
    </row>
    <row r="47" spans="1:12" ht="20.100000000000001" customHeight="1" x14ac:dyDescent="0.25">
      <c r="A47" s="5" t="str">
        <f>HYPERLINK("#'Constants - Scope 3'!A1", "Constants - Scope 3")</f>
        <v>Constants - Scope 3</v>
      </c>
      <c r="D47" s="88" t="s">
        <v>121</v>
      </c>
      <c r="E47" s="15" t="str" cm="1">
        <f t="array" ref="E47">Fertiliser_Equations_AtmosphericDeposition.VEERG_5_4_1_1__1_InorganicFertiliserAtmosphericDepositionN2OEmissions_Unit()</f>
        <v>t N2O</v>
      </c>
    </row>
    <row r="48" spans="1:12" ht="20.100000000000001" customHeight="1" x14ac:dyDescent="0.25">
      <c r="A48" s="5" t="str">
        <f>HYPERLINK("#'Constants - Common'!A1", "Constants - Common")</f>
        <v>Constants - Common</v>
      </c>
    </row>
    <row r="49" spans="1:10" ht="20.100000000000001" customHeight="1" x14ac:dyDescent="0.25">
      <c r="A49" s="5" t="str">
        <f>HYPERLINK("#'Constants - Solid Waste'!A1", "Constants - Solid Waste")</f>
        <v>Constants - Solid Waste</v>
      </c>
      <c r="D49" s="154" t="str" cm="1">
        <f t="array" ref="D49:E54">_xlfn.CHOOSECOLS(Fertiliser_Equations_AtmosphericDeposition.VEERG_5_4_1_1__1_InorganicFertiliserAtmosphericDepositionN2OEmissions_Arguments(), 1, 2)</f>
        <v>M_volinorganicjf</v>
      </c>
      <c r="E49" s="162" t="str">
        <v>mass of nitrogen volatilised from inorganic fertiliser applied to production system</v>
      </c>
      <c r="F49" s="163"/>
      <c r="G49" s="164"/>
      <c r="H49" s="154" t="str" cm="1">
        <f t="array" ref="H49:I54">_xlfn.CHOOSECOLS(Fertiliser_Equations_AtmosphericDeposition.VEERG_5_4_1_1__1_InorganicFertiliserAtmosphericDepositionN2OEmissions_Arguments(), 3,4)</f>
        <v>kg N</v>
      </c>
      <c r="I49" s="137" t="str">
        <v>Calculated from 5.4.1.1 (2)</v>
      </c>
      <c r="J49" s="140" t="str" cm="1">
        <f t="array" aca="1" ref="J49" ca="1">HYPERLINK(Common_InputFunctions.Utility_SourceHyperlink($D$16),$D$16)</f>
        <v>Table_M_vol_inorganic_j_f</v>
      </c>
    </row>
    <row r="50" spans="1:10" ht="20.100000000000001" customHeight="1" x14ac:dyDescent="0.25">
      <c r="D50" s="154" t="str">
        <v>EF_N2Oj</v>
      </c>
      <c r="E50" s="162" t="str">
        <v>emission factor for atmospheric deposition</v>
      </c>
      <c r="F50" s="163"/>
      <c r="G50" s="164"/>
      <c r="H50" s="154" t="str">
        <v>kg N2O-N/kg N</v>
      </c>
      <c r="I50" s="137" t="str">
        <v>Constant</v>
      </c>
      <c r="J50" s="154">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54" t="str">
        <v>C_N2O</v>
      </c>
      <c r="E51" s="162" t="str">
        <v>factor to convert elemental mass of nitrous oxide to molecular mass</v>
      </c>
      <c r="F51" s="163"/>
      <c r="G51" s="164"/>
      <c r="H51" s="154" t="str">
        <v/>
      </c>
      <c r="I51" s="137" t="str">
        <v>Constant</v>
      </c>
      <c r="J51" s="133">
        <f>Common_InputFunctions.Utility_LookupValueInTableNumber("N2O",Table_GasToMolecularConversionFactor[Gas],Table_GasToMolecularConversionFactor[Conversion factor combined])</f>
        <v>1.5714285714285714</v>
      </c>
    </row>
    <row r="52" spans="1:10" ht="20.100000000000001" customHeight="1" x14ac:dyDescent="0.25">
      <c r="D52" s="154" t="str">
        <v>j</v>
      </c>
      <c r="E52" s="162" t="str">
        <v>Production system</v>
      </c>
      <c r="F52" s="163"/>
      <c r="G52" s="164"/>
      <c r="H52" s="154" t="str">
        <v/>
      </c>
      <c r="I52" s="136" t="str">
        <v>Input</v>
      </c>
      <c r="J52" s="154" t="str">
        <f>X_Cell_Fertiliser_ProductionSystem</f>
        <v>Crop</v>
      </c>
    </row>
    <row r="53" spans="1:10" ht="20.100000000000001" customHeight="1" x14ac:dyDescent="0.25">
      <c r="D53" s="154" t="str">
        <v>ir</v>
      </c>
      <c r="E53" s="162" t="str">
        <v>irrigation method</v>
      </c>
      <c r="F53" s="163"/>
      <c r="G53" s="164"/>
      <c r="H53" s="154" t="str">
        <v/>
      </c>
      <c r="I53" s="136" t="str">
        <v>Input</v>
      </c>
      <c r="J53" s="154" t="str">
        <f>X_Cell_Fertiliser_IrrigationMethod</f>
        <v>Sprinkler irrigation</v>
      </c>
    </row>
    <row r="54" spans="1:10" ht="20.100000000000001" customHeight="1" x14ac:dyDescent="0.25">
      <c r="D54" s="154" t="str">
        <v>r</v>
      </c>
      <c r="E54" s="162" t="str">
        <v>rainfall region</v>
      </c>
      <c r="F54" s="163"/>
      <c r="G54" s="164"/>
      <c r="H54" s="154" t="str">
        <v/>
      </c>
      <c r="I54" s="136" t="str">
        <v>Input</v>
      </c>
      <c r="J54" s="154" t="str">
        <f>X_Cell_Site_RainfallZone</f>
        <v>High rainfall</v>
      </c>
    </row>
    <row r="55" spans="1:10" ht="20.100000000000001" customHeight="1" x14ac:dyDescent="0.25"/>
    <row r="56" spans="1:10" ht="20.100000000000001" customHeight="1" x14ac:dyDescent="0.25">
      <c r="D56" s="143" t="s">
        <v>334</v>
      </c>
    </row>
    <row r="57" spans="1:10" ht="20.100000000000001" customHeight="1" x14ac:dyDescent="0.25">
      <c r="D57" s="144" t="s">
        <v>335</v>
      </c>
    </row>
    <row r="58" spans="1:10" ht="20.100000000000001" customHeight="1" x14ac:dyDescent="0.25">
      <c r="D58" s="145" t="s">
        <v>329</v>
      </c>
      <c r="E58" s="168" t="s">
        <v>333</v>
      </c>
      <c r="F58" s="168" t="s">
        <v>336</v>
      </c>
    </row>
    <row r="59" spans="1:10" ht="20.100000000000001" customHeight="1" x14ac:dyDescent="0.25">
      <c r="D59" s="25" t="str" cm="1">
        <f t="array" ref="D59:D77">Table_Fertiliser_ChemicalCompounds[Fertiliser type f]</f>
        <v>Monoammonium phosphate (MAP)</v>
      </c>
      <c r="E59" s="25">
        <f t="shared" ref="E59:E77" si="0">H19</f>
        <v>0</v>
      </c>
      <c r="F59" s="25" cm="1">
        <f t="array" ref="F59">Fertiliser_Equations_AtmosphericDeposition.VEERG_5_4_1_1__1_InorganicFertiliserAtmosphericDepositionN2OEmissions(E59,$J$50,$J$51)</f>
        <v>0</v>
      </c>
      <c r="G59" s="26" t="str">
        <f>E47</f>
        <v>t N2O</v>
      </c>
    </row>
    <row r="60" spans="1:10" ht="20.100000000000001" customHeight="1" x14ac:dyDescent="0.25">
      <c r="D60" s="25" t="str">
        <v>Diammonium phosphate (DAP)</v>
      </c>
      <c r="E60" s="25">
        <f t="shared" si="0"/>
        <v>0</v>
      </c>
      <c r="F60" s="25" cm="1">
        <f t="array" ref="F60">Fertiliser_Equations_AtmosphericDeposition.VEERG_5_4_1_1__1_InorganicFertiliserAtmosphericDepositionN2OEmissions(E60,$J$50,$J$51)</f>
        <v>0</v>
      </c>
    </row>
    <row r="61" spans="1:10" ht="20.100000000000001" customHeight="1" x14ac:dyDescent="0.25">
      <c r="D61" s="25" t="str">
        <v>Urea</v>
      </c>
      <c r="E61" s="25">
        <f t="shared" si="0"/>
        <v>690</v>
      </c>
      <c r="F61" s="25" cm="1">
        <f t="array" ref="F61">Fertiliser_Equations_AtmosphericDeposition.VEERG_5_4_1_1__1_InorganicFertiliserAtmosphericDepositionN2OEmissions(E61,$J$50,$J$51)</f>
        <v>7.5900000000000004E-3</v>
      </c>
    </row>
    <row r="62" spans="1:10" ht="20.100000000000001" customHeight="1" x14ac:dyDescent="0.25">
      <c r="D62" s="25" t="str">
        <v>Sulphate of ammonia (SOA)</v>
      </c>
      <c r="E62" s="25">
        <f t="shared" si="0"/>
        <v>0</v>
      </c>
      <c r="F62" s="25" cm="1">
        <f t="array" ref="F62">Fertiliser_Equations_AtmosphericDeposition.VEERG_5_4_1_1__1_InorganicFertiliserAtmosphericDepositionN2OEmissions(E62,$J$50,$J$51)</f>
        <v>0</v>
      </c>
    </row>
    <row r="63" spans="1:10" ht="20.100000000000001" customHeight="1" x14ac:dyDescent="0.25">
      <c r="D63" s="25" t="str">
        <v>Urea-ammonium nitrate (UAN)</v>
      </c>
      <c r="E63" s="25">
        <f t="shared" si="0"/>
        <v>0</v>
      </c>
      <c r="F63" s="25" cm="1">
        <f t="array" ref="F63">Fertiliser_Equations_AtmosphericDeposition.VEERG_5_4_1_1__1_InorganicFertiliserAtmosphericDepositionN2OEmissions(E63,$J$50,$J$51)</f>
        <v>0</v>
      </c>
    </row>
    <row r="64" spans="1:10" ht="20.100000000000001" customHeight="1" x14ac:dyDescent="0.25">
      <c r="D64" s="25" t="str">
        <v>Ammonium nitrate (AN)</v>
      </c>
      <c r="E64" s="25">
        <f t="shared" si="0"/>
        <v>0</v>
      </c>
      <c r="F64" s="25" cm="1">
        <f t="array" ref="F64">Fertiliser_Equations_AtmosphericDeposition.VEERG_5_4_1_1__1_InorganicFertiliserAtmosphericDepositionN2OEmissions(E64,$J$50,$J$51)</f>
        <v>0</v>
      </c>
    </row>
    <row r="65" spans="4:6" ht="20.100000000000001" customHeight="1" x14ac:dyDescent="0.25">
      <c r="D65" s="25" t="str">
        <v>Calcium ammonium nitrate (CAN)</v>
      </c>
      <c r="E65" s="25">
        <f t="shared" si="0"/>
        <v>0</v>
      </c>
      <c r="F65" s="25" cm="1">
        <f t="array" ref="F65">Fertiliser_Equations_AtmosphericDeposition.VEERG_5_4_1_1__1_InorganicFertiliserAtmosphericDepositionN2OEmissions(E65,$J$50,$J$51)</f>
        <v>0</v>
      </c>
    </row>
    <row r="66" spans="4:6" ht="20.100000000000001" customHeight="1" x14ac:dyDescent="0.25">
      <c r="D66" s="25" t="str">
        <v>Nitrogen - Ammoniacal</v>
      </c>
      <c r="E66" s="25">
        <f t="shared" si="0"/>
        <v>0</v>
      </c>
      <c r="F66" s="25" cm="1">
        <f t="array" ref="F66">Fertiliser_Equations_AtmosphericDeposition.VEERG_5_4_1_1__1_InorganicFertiliserAtmosphericDepositionN2OEmissions(E66,$J$50,$J$51)</f>
        <v>0</v>
      </c>
    </row>
    <row r="67" spans="4:6" ht="20.100000000000001" customHeight="1" x14ac:dyDescent="0.25">
      <c r="D67" s="25" t="str">
        <v>Nitrogen - Nitrate</v>
      </c>
      <c r="E67" s="25">
        <f t="shared" si="0"/>
        <v>19.8</v>
      </c>
      <c r="F67" s="25" cm="1">
        <f t="array" ref="F67">Fertiliser_Equations_AtmosphericDeposition.VEERG_5_4_1_1__1_InorganicFertiliserAtmosphericDepositionN2OEmissions(E67,$J$50,$J$51)</f>
        <v>2.1780000000000001E-4</v>
      </c>
    </row>
    <row r="68" spans="4:6" ht="20.100000000000001" customHeight="1" x14ac:dyDescent="0.25">
      <c r="D68" s="25" t="str">
        <v>Nitrogen - Generic</v>
      </c>
      <c r="E68" s="25">
        <f t="shared" si="0"/>
        <v>230.57999999999998</v>
      </c>
      <c r="F68" s="25" cm="1">
        <f t="array" ref="F68">Fertiliser_Equations_AtmosphericDeposition.VEERG_5_4_1_1__1_InorganicFertiliserAtmosphericDepositionN2OEmissions(E68,$J$50,$J$51)</f>
        <v>2.53638E-3</v>
      </c>
    </row>
    <row r="69" spans="4:6" ht="20.100000000000001" customHeight="1" x14ac:dyDescent="0.25">
      <c r="D69" s="25" t="str">
        <v>Phosphorus - Generic</v>
      </c>
      <c r="E69" s="25">
        <f t="shared" si="0"/>
        <v>0</v>
      </c>
      <c r="F69" s="25" cm="1">
        <f t="array" ref="F69">Fertiliser_Equations_AtmosphericDeposition.VEERG_5_4_1_1__1_InorganicFertiliserAtmosphericDepositionN2OEmissions(E69,$J$50,$J$51)</f>
        <v>0</v>
      </c>
    </row>
    <row r="70" spans="4:6" ht="20.100000000000001" customHeight="1" x14ac:dyDescent="0.25">
      <c r="D70" s="25" t="str">
        <v>Potassium - Generic</v>
      </c>
      <c r="E70" s="25">
        <f t="shared" si="0"/>
        <v>0</v>
      </c>
      <c r="F70" s="25" cm="1">
        <f t="array" ref="F70">Fertiliser_Equations_AtmosphericDeposition.VEERG_5_4_1_1__1_InorganicFertiliserAtmosphericDepositionN2OEmissions(E70,$J$50,$J$51)</f>
        <v>0</v>
      </c>
    </row>
    <row r="71" spans="4:6" ht="20.100000000000001" customHeight="1" x14ac:dyDescent="0.25">
      <c r="D71" s="25" t="str">
        <v>Sulfur - Generic</v>
      </c>
      <c r="E71" s="25">
        <f t="shared" si="0"/>
        <v>0</v>
      </c>
      <c r="F71" s="25" cm="1">
        <f t="array" ref="F71">Fertiliser_Equations_AtmosphericDeposition.VEERG_5_4_1_1__1_InorganicFertiliserAtmosphericDepositionN2OEmissions(E71,$J$50,$J$51)</f>
        <v>0</v>
      </c>
    </row>
    <row r="72" spans="4:6" ht="20.100000000000001" customHeight="1" x14ac:dyDescent="0.25">
      <c r="D72" s="25" t="str">
        <v>Zinc - Generic</v>
      </c>
      <c r="E72" s="25">
        <f t="shared" si="0"/>
        <v>0</v>
      </c>
      <c r="F72" s="25" cm="1">
        <f t="array" ref="F72">Fertiliser_Equations_AtmosphericDeposition.VEERG_5_4_1_1__1_InorganicFertiliserAtmosphericDepositionN2OEmissions(E72,$J$50,$J$51)</f>
        <v>0</v>
      </c>
    </row>
    <row r="73" spans="4:6" ht="20.100000000000001" customHeight="1" x14ac:dyDescent="0.25">
      <c r="D73" s="25" t="str">
        <v>Muriate of potash (MOP)</v>
      </c>
      <c r="E73" s="25">
        <f t="shared" si="0"/>
        <v>0</v>
      </c>
      <c r="F73" s="25" cm="1">
        <f t="array" ref="F73">Fertiliser_Equations_AtmosphericDeposition.VEERG_5_4_1_1__1_InorganicFertiliserAtmosphericDepositionN2OEmissions(E73,$J$50,$J$51)</f>
        <v>0</v>
      </c>
    </row>
    <row r="74" spans="4:6" ht="20.100000000000001" customHeight="1" x14ac:dyDescent="0.25">
      <c r="D74" s="25" t="str">
        <v>Double superphosphate</v>
      </c>
      <c r="E74" s="25">
        <f t="shared" si="0"/>
        <v>0</v>
      </c>
      <c r="F74" s="25" cm="1">
        <f t="array" ref="F74">Fertiliser_Equations_AtmosphericDeposition.VEERG_5_4_1_1__1_InorganicFertiliserAtmosphericDepositionN2OEmissions(E74,$J$50,$J$51)</f>
        <v>0</v>
      </c>
    </row>
    <row r="75" spans="4:6" ht="20.100000000000001" customHeight="1" x14ac:dyDescent="0.25">
      <c r="D75" s="25" t="str">
        <v>Single superphosphate (SSP)</v>
      </c>
      <c r="E75" s="25">
        <f t="shared" si="0"/>
        <v>0</v>
      </c>
      <c r="F75" s="25" cm="1">
        <f t="array" ref="F75">Fertiliser_Equations_AtmosphericDeposition.VEERG_5_4_1_1__1_InorganicFertiliserAtmosphericDepositionN2OEmissions(E75,$J$50,$J$51)</f>
        <v>0</v>
      </c>
    </row>
    <row r="76" spans="4:6" ht="20.100000000000001" customHeight="1" x14ac:dyDescent="0.25">
      <c r="D76" s="25" t="str">
        <v>Ammonia</v>
      </c>
      <c r="E76" s="25">
        <f t="shared" si="0"/>
        <v>329.40000000000003</v>
      </c>
      <c r="F76" s="25" cm="1">
        <f t="array" ref="F76">Fertiliser_Equations_AtmosphericDeposition.VEERG_5_4_1_1__1_InorganicFertiliserAtmosphericDepositionN2OEmissions(E76,$J$50,$J$51)</f>
        <v>3.6234000000000001E-3</v>
      </c>
    </row>
    <row r="77" spans="4:6" ht="20.100000000000001" customHeight="1" x14ac:dyDescent="0.25">
      <c r="D77" s="25" t="str">
        <v>Calcium nitrate</v>
      </c>
      <c r="E77" s="25">
        <f t="shared" si="0"/>
        <v>7.75</v>
      </c>
      <c r="F77" s="25"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149" t="s">
        <v>337</v>
      </c>
      <c r="E79" s="150">
        <f>SUM(F59:F77)</f>
        <v>1.4052830000000001E-2</v>
      </c>
      <c r="F79" s="151" t="str">
        <f>$E$47</f>
        <v>t N2O</v>
      </c>
    </row>
    <row r="80" spans="4:6" ht="20.100000000000001" customHeight="1" x14ac:dyDescent="0.25"/>
    <row r="81" spans="3:12" ht="20.100000000000001" customHeight="1" x14ac:dyDescent="0.25">
      <c r="D81" s="133" t="str" cm="1">
        <f t="array" ref="D81:E82">Common_Equations.Common_ConvertN2OToCO2e_Arguments()</f>
        <v>EN2O</v>
      </c>
      <c r="E81" s="134" t="str">
        <v>Nitrous oxide emissions (t N2O)</v>
      </c>
      <c r="F81" s="152"/>
      <c r="G81" s="25">
        <f>VEERG_5_4_1_1__1_InorganicFertiliserAtmosphericDepositionN2OEmissions_Result_Method1</f>
        <v>1.4052830000000001E-2</v>
      </c>
    </row>
    <row r="82" spans="3:12" ht="20.100000000000001" customHeight="1" x14ac:dyDescent="0.25">
      <c r="D82" s="133" t="str">
        <v>GWPN2O</v>
      </c>
      <c r="E82" s="134" t="str">
        <v>Global warming potential for nitrous oxide (t CO2-e / t N2O)</v>
      </c>
      <c r="F82" s="152"/>
      <c r="G82" s="25">
        <f>Common_InputFunctions.Utility_LookupValueInTableNumber("N2O",Table_GWPData[Gas],Table_GWPData[CO2-e factor])</f>
        <v>265</v>
      </c>
    </row>
    <row r="83" spans="3:12" ht="20.100000000000001" customHeight="1" x14ac:dyDescent="0.25"/>
    <row r="84" spans="3:12" ht="20.100000000000001" customHeight="1" x14ac:dyDescent="0.25">
      <c r="D84" s="146" t="s">
        <v>299</v>
      </c>
      <c r="E84" s="146" cm="1">
        <f t="array" ref="E84">Common_Equations.Common_ConvertN2OToCO2e(G81,G82)</f>
        <v>3.7239999500000001</v>
      </c>
      <c r="F84" s="153"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61"/>
      <c r="D87" s="161"/>
      <c r="E87" s="161"/>
      <c r="F87" s="161"/>
      <c r="G87" s="161"/>
      <c r="H87" s="161"/>
      <c r="I87" s="161"/>
      <c r="J87" s="161"/>
      <c r="K87" s="161"/>
      <c r="L87" s="161"/>
    </row>
    <row r="88" spans="3:12" ht="20.100000000000001" customHeight="1" x14ac:dyDescent="0.25">
      <c r="D88" s="2"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27" t="str" cm="1">
        <f t="array" ref="D89">Fertiliser_Equations_AtmosphericDeposition.VEERG_5_4_1_3__2_MassOfNitrogenVolatilisedFromOrganicFertiliser_Source()</f>
        <v>VEERG 2026: 5.4.1.3, Equation (2)</v>
      </c>
    </row>
    <row r="90" spans="3:12" ht="20.100000000000001" customHeight="1" x14ac:dyDescent="0.25">
      <c r="D90" s="132" t="s">
        <v>267</v>
      </c>
      <c r="E90" s="132"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88" t="s">
        <v>268</v>
      </c>
      <c r="E93" s="1" t="str" cm="1">
        <f t="array" ref="E93">Fertiliser_Equations_AtmosphericDeposition.VEERG_5_4_1_3__2_MassOfNitrogenVolatilisedFromOrganicFertiliser_Variable()</f>
        <v>M_volorganicjf</v>
      </c>
    </row>
    <row r="94" spans="3:12" ht="20.100000000000001" customHeight="1" x14ac:dyDescent="0.25">
      <c r="D94" s="88" t="s">
        <v>121</v>
      </c>
      <c r="E94" s="15"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54" t="str" cm="1">
        <f t="array" ref="D96:E97">_xlfn.CHOOSECOLS(Fertiliser_Equations_AtmosphericDeposition.VEERG_5_4_1_3__2_MassOfNitrogenVolatilisedFromOrganicFertiliser_Arguments(), 1, 2)</f>
        <v>MNSoil_jf</v>
      </c>
      <c r="E96" s="154" t="str">
        <v>mass of nitrogen in organic fertiliser type f applied to production system j</v>
      </c>
      <c r="F96" s="154"/>
      <c r="G96" s="154" t="str" cm="1">
        <f t="array" ref="G96:H97">_xlfn.CHOOSECOLS(Fertiliser_Equations_AtmosphericDeposition.VEERG_5_4_1_3__2_MassOfNitrogenVolatilisedFromOrganicFertiliser_Arguments(), 3,4)</f>
        <v>kg N</v>
      </c>
      <c r="H96" s="137" t="str">
        <v>Calculated from 5.2.1.1 (2)</v>
      </c>
      <c r="I96" s="140" t="str" cm="1">
        <f t="array" aca="1" ref="I96" ca="1">HYPERLINK(Common_InputFunctions.Utility_SourceHyperlink($D$99), $D$99)</f>
        <v>Table_M_vol_organic_j_f</v>
      </c>
    </row>
    <row r="97" spans="4:9" ht="20.100000000000001" customHeight="1" x14ac:dyDescent="0.25">
      <c r="D97" s="154" t="str">
        <v>FracGASM_soil</v>
      </c>
      <c r="E97" s="154" t="str">
        <v>fraction of organic fertiliser N that volatilises</v>
      </c>
      <c r="F97" s="154"/>
      <c r="G97" s="154" t="str">
        <v>(kg NH3-N + NOx-N)/kg N</v>
      </c>
      <c r="H97" s="137" t="str">
        <v>Constant</v>
      </c>
      <c r="I97" s="154">
        <f>Fertiliser_FracGASMSoil_Data</f>
        <v>0.21</v>
      </c>
    </row>
    <row r="98" spans="4:9" ht="20.100000000000001" customHeight="1" x14ac:dyDescent="0.25"/>
    <row r="99" spans="4:9" ht="20.100000000000001" customHeight="1" x14ac:dyDescent="0.25">
      <c r="D99" s="143" t="s">
        <v>338</v>
      </c>
    </row>
    <row r="100" spans="4:9" ht="20.100000000000001" customHeight="1" x14ac:dyDescent="0.25">
      <c r="D100" s="144" t="s">
        <v>339</v>
      </c>
    </row>
    <row r="101" spans="4:9" ht="20.100000000000001" customHeight="1" x14ac:dyDescent="0.25">
      <c r="D101" s="92" t="s">
        <v>311</v>
      </c>
      <c r="E101" s="155" t="s">
        <v>315</v>
      </c>
      <c r="F101" s="155" t="s">
        <v>340</v>
      </c>
    </row>
    <row r="102" spans="4:9" ht="20.100000000000001" customHeight="1" x14ac:dyDescent="0.25">
      <c r="D102" s="25" t="str" cm="1">
        <f t="array" ref="D102:D104">Table_Input_OrganicFertiliser[Organic fertiliser type (select)]</f>
        <v>Manure - Other</v>
      </c>
      <c r="E102" s="25">
        <f>INDEX(Table_MNSoil_j_f,2,6)</f>
        <v>300</v>
      </c>
      <c r="F102" s="25" cm="1">
        <f t="array" ref="F102">Fertiliser_Equations_AtmosphericDeposition.VEERG_5_4_1_3__2_MassOfNitrogenVolatilisedFromOrganicFertiliser(E102,$I$97)</f>
        <v>63</v>
      </c>
      <c r="G102" s="26" t="str">
        <f>$E$94</f>
        <v>kg N</v>
      </c>
    </row>
    <row r="103" spans="4:9" ht="20.100000000000001" customHeight="1" x14ac:dyDescent="0.25">
      <c r="D103" s="25" t="str">
        <v>Manure - Poultry</v>
      </c>
      <c r="E103" s="25">
        <f>INDEX(Table_MNSoil_j_f,3,6)</f>
        <v>250</v>
      </c>
      <c r="F103" s="25" cm="1">
        <f t="array" ref="F103">Fertiliser_Equations_AtmosphericDeposition.VEERG_5_4_1_3__2_MassOfNitrogenVolatilisedFromOrganicFertiliser(E103,$I$97)</f>
        <v>52.5</v>
      </c>
    </row>
    <row r="104" spans="4:9" ht="20.100000000000001" customHeight="1" x14ac:dyDescent="0.25">
      <c r="D104" s="25" t="str">
        <v>Other organic fertiliser</v>
      </c>
      <c r="E104" s="25">
        <f>INDEX(Table_MNSoil_j_f,4,6)</f>
        <v>160</v>
      </c>
      <c r="F104" s="25" cm="1">
        <f t="array" ref="F104">Fertiliser_Equations_AtmosphericDeposition.VEERG_5_4_1_3__2_MassOfNitrogenVolatilisedFromOrganicFertiliser(E104,$I$97)</f>
        <v>33.6</v>
      </c>
    </row>
    <row r="105" spans="4:9" ht="20.100000000000001" customHeight="1" x14ac:dyDescent="0.25">
      <c r="D105" s="25"/>
      <c r="E105" s="25">
        <f>'5.2.1.1-2 Organic Fert N2O'!I23</f>
        <v>0</v>
      </c>
      <c r="F105" s="25" cm="1">
        <f t="array" ref="F105">Fertiliser_Equations_AtmosphericDeposition.VEERG_5_4_1_3__2_MassOfNitrogenVolatilisedFromOrganicFertiliser(E105,$I$97)</f>
        <v>0</v>
      </c>
    </row>
    <row r="106" spans="4:9" ht="20.100000000000001" customHeight="1" x14ac:dyDescent="0.25">
      <c r="D106" s="25"/>
      <c r="E106" s="25">
        <f>'5.2.1.1-2 Organic Fert N2O'!I24</f>
        <v>0</v>
      </c>
      <c r="F106" s="25" cm="1">
        <f t="array" ref="F106">Fertiliser_Equations_AtmosphericDeposition.VEERG_5_4_1_3__2_MassOfNitrogenVolatilisedFromOrganicFertiliser(E106,$I$97)</f>
        <v>0</v>
      </c>
    </row>
    <row r="107" spans="4:9" ht="20.100000000000001" customHeight="1" x14ac:dyDescent="0.25">
      <c r="D107" s="25"/>
      <c r="E107" s="25">
        <f>'5.2.1.1-2 Organic Fert N2O'!I25</f>
        <v>0</v>
      </c>
      <c r="F107" s="25" cm="1">
        <f t="array" ref="F107">Fertiliser_Equations_AtmosphericDeposition.VEERG_5_4_1_3__2_MassOfNitrogenVolatilisedFromOrganicFertiliser(E107,$I$97)</f>
        <v>0</v>
      </c>
    </row>
    <row r="108" spans="4:9" ht="20.100000000000001" customHeight="1" x14ac:dyDescent="0.25">
      <c r="D108" s="25"/>
      <c r="E108" s="25">
        <f>'5.2.1.1-2 Organic Fert N2O'!I26</f>
        <v>0</v>
      </c>
      <c r="F108" s="25" cm="1">
        <f t="array" ref="F108">Fertiliser_Equations_AtmosphericDeposition.VEERG_5_4_1_3__2_MassOfNitrogenVolatilisedFromOrganicFertiliser(E108,$I$97)</f>
        <v>0</v>
      </c>
    </row>
    <row r="109" spans="4:9" ht="20.100000000000001" customHeight="1" x14ac:dyDescent="0.25">
      <c r="D109" s="25"/>
      <c r="E109" s="25">
        <f>'5.2.1.1-2 Organic Fert N2O'!I27</f>
        <v>0</v>
      </c>
      <c r="F109" s="25" cm="1">
        <f t="array" ref="F109">Fertiliser_Equations_AtmosphericDeposition.VEERG_5_4_1_3__2_MassOfNitrogenVolatilisedFromOrganicFertiliser(E109,$I$97)</f>
        <v>0</v>
      </c>
    </row>
    <row r="110" spans="4:9" ht="20.100000000000001" customHeight="1" x14ac:dyDescent="0.25">
      <c r="D110" s="25"/>
      <c r="E110" s="25">
        <f>'5.2.1.1-2 Organic Fert N2O'!I28</f>
        <v>0</v>
      </c>
      <c r="F110" s="25" cm="1">
        <f t="array" ref="F110">Fertiliser_Equations_AtmosphericDeposition.VEERG_5_4_1_3__2_MassOfNitrogenVolatilisedFromOrganicFertiliser(E110,$I$97)</f>
        <v>0</v>
      </c>
    </row>
    <row r="111" spans="4:9" ht="20.100000000000001" customHeight="1" x14ac:dyDescent="0.25">
      <c r="D111" s="25"/>
      <c r="E111" s="25">
        <f>'5.2.1.1-2 Organic Fert N2O'!I29</f>
        <v>0</v>
      </c>
      <c r="F111" s="25" cm="1">
        <f t="array" ref="F111">Fertiliser_Equations_AtmosphericDeposition.VEERG_5_4_1_3__2_MassOfNitrogenVolatilisedFromOrganicFertiliser(E111,$I$97)</f>
        <v>0</v>
      </c>
    </row>
    <row r="112" spans="4:9" ht="20.100000000000001" customHeight="1" x14ac:dyDescent="0.25">
      <c r="D112" s="25"/>
      <c r="E112" s="25">
        <f>'5.2.1.1-2 Organic Fert N2O'!I30</f>
        <v>0</v>
      </c>
      <c r="F112" s="25"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61"/>
      <c r="D115" s="161"/>
      <c r="E115" s="161"/>
      <c r="F115" s="161"/>
      <c r="G115" s="161"/>
      <c r="H115" s="161"/>
      <c r="I115" s="161"/>
      <c r="J115" s="161"/>
      <c r="K115" s="161"/>
      <c r="L115" s="161"/>
    </row>
    <row r="116" spans="3:12" ht="20.100000000000001" customHeight="1" x14ac:dyDescent="0.25">
      <c r="D116" s="2"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27" t="str" cm="1">
        <f t="array" ref="D117">Fertiliser_Equations_AtmosphericDeposition.VEERG_5_4_1_3__1_OrganicFertiliserAtmosphericDepositionN2OEmissions_Source()</f>
        <v>VEERG 2026: 5.4.1.3, Equation (1)</v>
      </c>
    </row>
    <row r="118" spans="3:12" ht="20.100000000000001" customHeight="1" x14ac:dyDescent="0.25">
      <c r="D118" s="132" t="s">
        <v>267</v>
      </c>
      <c r="E118" s="132"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88" t="s">
        <v>268</v>
      </c>
      <c r="E121" s="1" t="str" cm="1">
        <f t="array" ref="E121">Fertiliser_Equations_AtmosphericDeposition.VEERG_5_4_1_3__1_OrganicFertiliserAtmosphericDepositionN2OEmissions_Variable()</f>
        <v>E_adorganic</v>
      </c>
    </row>
    <row r="122" spans="3:12" ht="20.100000000000001" customHeight="1" x14ac:dyDescent="0.25">
      <c r="D122" s="88" t="s">
        <v>121</v>
      </c>
      <c r="E122" s="15"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54" t="str" cm="1">
        <f t="array" ref="D124:E129">_xlfn.CHOOSECOLS(Fertiliser_Equations_AtmosphericDeposition.VEERG_5_4_1_3__1_OrganicFertiliserAtmosphericDepositionN2OEmissions_Arguments(), 1, 2)</f>
        <v>M_volorganicjf</v>
      </c>
      <c r="E124" s="162" t="str">
        <v>mass of nitrogen volatilised from organic fertiliser applied to production system</v>
      </c>
      <c r="F124" s="164"/>
      <c r="G124" s="154" t="str" cm="1">
        <f t="array" ref="G124:H129">_xlfn.CHOOSECOLS(Fertiliser_Equations_AtmosphericDeposition.VEERG_5_4_1_3__1_OrganicFertiliserAtmosphericDepositionN2OEmissions_Arguments(), 3,4)</f>
        <v>kg N</v>
      </c>
      <c r="H124" s="137" t="str">
        <v>Calculated from 5.4.1.3 (2)</v>
      </c>
      <c r="I124" s="140" t="str" cm="1">
        <f t="array" aca="1" ref="I124" ca="1">HYPERLINK(Common_InputFunctions.Utility_SourceHyperlink($D$99), $D$99)</f>
        <v>Table_M_vol_organic_j_f</v>
      </c>
    </row>
    <row r="125" spans="3:12" ht="20.100000000000001" customHeight="1" x14ac:dyDescent="0.25">
      <c r="D125" s="154" t="str">
        <v>EF_N2Oj</v>
      </c>
      <c r="E125" s="162" t="str">
        <v>emission factor for atmospheric deposition in production system j</v>
      </c>
      <c r="F125" s="164"/>
      <c r="G125" s="154" t="str">
        <v>kg N2O-N/kg N</v>
      </c>
      <c r="H125" s="137" t="str">
        <v>Constant</v>
      </c>
      <c r="I125" s="154">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54" t="str">
        <v>C_N2O</v>
      </c>
      <c r="E126" s="162" t="str">
        <v>factor to convert elemental mass of nitrous oxide to molecular mass</v>
      </c>
      <c r="F126" s="164"/>
      <c r="G126" s="154" t="str">
        <v/>
      </c>
      <c r="H126" s="137" t="str">
        <v>Constant</v>
      </c>
      <c r="I126" s="133">
        <f>Common_InputFunctions.Utility_LookupValueInTableNumber("N2O",Table_GasToMolecularConversionFactor[Gas],Table_GasToMolecularConversionFactor[Conversion factor combined])</f>
        <v>1.5714285714285714</v>
      </c>
    </row>
    <row r="127" spans="3:12" ht="20.100000000000001" customHeight="1" x14ac:dyDescent="0.25">
      <c r="D127" s="154" t="str">
        <v>j</v>
      </c>
      <c r="E127" s="162" t="str">
        <v>Production system</v>
      </c>
      <c r="F127" s="164"/>
      <c r="G127" s="154" t="str">
        <v/>
      </c>
      <c r="H127" s="136" t="str">
        <v>Input</v>
      </c>
      <c r="I127" s="154" t="str">
        <f>X_Cell_Fertiliser_ProductionSystem</f>
        <v>Crop</v>
      </c>
    </row>
    <row r="128" spans="3:12" ht="20.100000000000001" customHeight="1" x14ac:dyDescent="0.25">
      <c r="D128" s="154" t="str">
        <v>ir</v>
      </c>
      <c r="E128" s="162" t="str">
        <v>irrigation method</v>
      </c>
      <c r="F128" s="164"/>
      <c r="G128" s="154" t="str">
        <v/>
      </c>
      <c r="H128" s="136" t="str">
        <v>Input</v>
      </c>
      <c r="I128" s="154" t="str">
        <f>X_Cell_Fertiliser_IrrigationMethod</f>
        <v>Sprinkler irrigation</v>
      </c>
    </row>
    <row r="129" spans="4:9" ht="20.100000000000001" customHeight="1" x14ac:dyDescent="0.25">
      <c r="D129" s="154" t="str">
        <v>r</v>
      </c>
      <c r="E129" s="162" t="str">
        <v>rainfall region</v>
      </c>
      <c r="F129" s="164"/>
      <c r="G129" s="154" t="str">
        <v/>
      </c>
      <c r="H129" s="136" t="str">
        <v>Input</v>
      </c>
      <c r="I129" s="154" t="str">
        <f>X_Cell_Site_RainfallZone</f>
        <v>High rainfall</v>
      </c>
    </row>
    <row r="130" spans="4:9" ht="20.100000000000001" customHeight="1" x14ac:dyDescent="0.25"/>
    <row r="131" spans="4:9" ht="20.100000000000001" customHeight="1" x14ac:dyDescent="0.25">
      <c r="D131" s="143" t="s">
        <v>341</v>
      </c>
    </row>
    <row r="132" spans="4:9" ht="20.100000000000001" customHeight="1" x14ac:dyDescent="0.25">
      <c r="D132" s="144" t="s">
        <v>342</v>
      </c>
    </row>
    <row r="133" spans="4:9" ht="20.100000000000001" customHeight="1" x14ac:dyDescent="0.25">
      <c r="D133" s="92" t="s">
        <v>311</v>
      </c>
      <c r="E133" s="155" t="s">
        <v>340</v>
      </c>
      <c r="F133" s="155" t="s">
        <v>343</v>
      </c>
    </row>
    <row r="134" spans="4:9" ht="20.100000000000001" customHeight="1" x14ac:dyDescent="0.25">
      <c r="D134" s="25" t="str" cm="1">
        <f t="array" ref="D134:D136">Table_Input_OrganicFertiliser[Organic fertiliser type (select)]</f>
        <v>Manure - Other</v>
      </c>
      <c r="E134" s="25">
        <f>F102</f>
        <v>63</v>
      </c>
      <c r="F134" s="25" cm="1">
        <f t="array" ref="F134">Fertiliser_Equations_AtmosphericDeposition.VEERG_5_4_1_3__1_OrganicFertiliserAtmosphericDepositionN2OEmissions(E134,$I$125,$I$126)</f>
        <v>6.9299999999999993E-4</v>
      </c>
    </row>
    <row r="135" spans="4:9" ht="20.100000000000001" customHeight="1" x14ac:dyDescent="0.25">
      <c r="D135" s="25" t="str">
        <v>Manure - Poultry</v>
      </c>
      <c r="E135" s="25">
        <f t="shared" ref="E135:E144" si="1">F103</f>
        <v>52.5</v>
      </c>
      <c r="F135" s="25" cm="1">
        <f t="array" ref="F135">Fertiliser_Equations_AtmosphericDeposition.VEERG_5_4_1_3__1_OrganicFertiliserAtmosphericDepositionN2OEmissions(E135,$I$125,$I$126)</f>
        <v>5.775E-4</v>
      </c>
    </row>
    <row r="136" spans="4:9" ht="20.100000000000001" customHeight="1" x14ac:dyDescent="0.25">
      <c r="D136" s="25" t="str">
        <v>Other organic fertiliser</v>
      </c>
      <c r="E136" s="25">
        <f t="shared" si="1"/>
        <v>33.6</v>
      </c>
      <c r="F136" s="25" cm="1">
        <f t="array" ref="F136">Fertiliser_Equations_AtmosphericDeposition.VEERG_5_4_1_3__1_OrganicFertiliserAtmosphericDepositionN2OEmissions(E136,$I$125,$I$126)</f>
        <v>3.6960000000000004E-4</v>
      </c>
    </row>
    <row r="137" spans="4:9" ht="20.100000000000001" customHeight="1" x14ac:dyDescent="0.25">
      <c r="D137" s="25"/>
      <c r="E137" s="25">
        <f t="shared" si="1"/>
        <v>0</v>
      </c>
      <c r="F137" s="25" cm="1">
        <f t="array" ref="F137">Fertiliser_Equations_AtmosphericDeposition.VEERG_5_4_1_3__1_OrganicFertiliserAtmosphericDepositionN2OEmissions(E137,$I$125,$I$126)</f>
        <v>0</v>
      </c>
    </row>
    <row r="138" spans="4:9" ht="20.100000000000001" customHeight="1" x14ac:dyDescent="0.25">
      <c r="D138" s="25"/>
      <c r="E138" s="25">
        <f t="shared" si="1"/>
        <v>0</v>
      </c>
      <c r="F138" s="25" cm="1">
        <f t="array" ref="F138">Fertiliser_Equations_AtmosphericDeposition.VEERG_5_4_1_3__1_OrganicFertiliserAtmosphericDepositionN2OEmissions(E138,$I$125,$I$126)</f>
        <v>0</v>
      </c>
    </row>
    <row r="139" spans="4:9" ht="20.100000000000001" customHeight="1" x14ac:dyDescent="0.25">
      <c r="D139" s="25"/>
      <c r="E139" s="25">
        <f t="shared" si="1"/>
        <v>0</v>
      </c>
      <c r="F139" s="25" cm="1">
        <f t="array" ref="F139">Fertiliser_Equations_AtmosphericDeposition.VEERG_5_4_1_3__1_OrganicFertiliserAtmosphericDepositionN2OEmissions(E139,$I$125,$I$126)</f>
        <v>0</v>
      </c>
    </row>
    <row r="140" spans="4:9" ht="20.100000000000001" customHeight="1" x14ac:dyDescent="0.25">
      <c r="D140" s="25"/>
      <c r="E140" s="25">
        <f t="shared" si="1"/>
        <v>0</v>
      </c>
      <c r="F140" s="25" cm="1">
        <f t="array" ref="F140">Fertiliser_Equations_AtmosphericDeposition.VEERG_5_4_1_3__1_OrganicFertiliserAtmosphericDepositionN2OEmissions(E140,$I$125,$I$126)</f>
        <v>0</v>
      </c>
    </row>
    <row r="141" spans="4:9" ht="20.100000000000001" customHeight="1" x14ac:dyDescent="0.25">
      <c r="D141" s="25"/>
      <c r="E141" s="25">
        <f t="shared" si="1"/>
        <v>0</v>
      </c>
      <c r="F141" s="25" cm="1">
        <f t="array" ref="F141">Fertiliser_Equations_AtmosphericDeposition.VEERG_5_4_1_3__1_OrganicFertiliserAtmosphericDepositionN2OEmissions(E141,$I$125,$I$126)</f>
        <v>0</v>
      </c>
    </row>
    <row r="142" spans="4:9" ht="20.100000000000001" customHeight="1" x14ac:dyDescent="0.25">
      <c r="D142" s="25"/>
      <c r="E142" s="25">
        <f t="shared" si="1"/>
        <v>0</v>
      </c>
      <c r="F142" s="25" cm="1">
        <f t="array" ref="F142">Fertiliser_Equations_AtmosphericDeposition.VEERG_5_4_1_3__1_OrganicFertiliserAtmosphericDepositionN2OEmissions(E142,$I$125,$I$126)</f>
        <v>0</v>
      </c>
    </row>
    <row r="143" spans="4:9" ht="20.100000000000001" customHeight="1" x14ac:dyDescent="0.25">
      <c r="D143" s="25"/>
      <c r="E143" s="25">
        <f t="shared" si="1"/>
        <v>0</v>
      </c>
      <c r="F143" s="25" cm="1">
        <f t="array" ref="F143">Fertiliser_Equations_AtmosphericDeposition.VEERG_5_4_1_3__1_OrganicFertiliserAtmosphericDepositionN2OEmissions(E143,$I$125,$I$126)</f>
        <v>0</v>
      </c>
    </row>
    <row r="144" spans="4:9" ht="20.100000000000001" customHeight="1" x14ac:dyDescent="0.25">
      <c r="D144" s="25"/>
      <c r="E144" s="25">
        <f t="shared" si="1"/>
        <v>0</v>
      </c>
      <c r="F144" s="25"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149" t="s">
        <v>344</v>
      </c>
      <c r="E146" s="150">
        <f>SUM(F134:F144)</f>
        <v>1.6401E-3</v>
      </c>
      <c r="F146" s="151" t="str">
        <f>$E$122</f>
        <v>t N2O</v>
      </c>
    </row>
    <row r="147" spans="4:7" ht="20.100000000000001" customHeight="1" x14ac:dyDescent="0.25"/>
    <row r="148" spans="4:7" ht="20.100000000000001" customHeight="1" x14ac:dyDescent="0.25">
      <c r="D148" s="133" t="str" cm="1">
        <f t="array" ref="D148:E149">Common_Equations.Common_ConvertN2OToCO2e_Arguments()</f>
        <v>EN2O</v>
      </c>
      <c r="E148" s="134" t="str">
        <v>Nitrous oxide emissions (t N2O)</v>
      </c>
      <c r="F148" s="152"/>
      <c r="G148" s="25">
        <f>VEERG_5_4_1_3__1_OrganicFertiliserAtmosphericDepositionN2OEmissions_Result_Method1</f>
        <v>1.6401E-3</v>
      </c>
    </row>
    <row r="149" spans="4:7" ht="20.100000000000001" customHeight="1" x14ac:dyDescent="0.25">
      <c r="D149" s="133" t="str">
        <v>GWPN2O</v>
      </c>
      <c r="E149" s="134" t="str">
        <v>Global warming potential for nitrous oxide (t CO2-e / t N2O)</v>
      </c>
      <c r="F149" s="152"/>
      <c r="G149" s="25">
        <f>Common_InputFunctions.Utility_LookupValueInTableNumber("N2O",Table_GWPData[Gas],Table_GWPData[CO2-e factor])</f>
        <v>265</v>
      </c>
    </row>
    <row r="150" spans="4:7" ht="20.100000000000001" customHeight="1" x14ac:dyDescent="0.25"/>
    <row r="151" spans="4:7" ht="20.100000000000001" customHeight="1" x14ac:dyDescent="0.25">
      <c r="D151" s="146" t="s">
        <v>299</v>
      </c>
      <c r="E151" s="146" cm="1">
        <f t="array" ref="E151">Common_Equations.Common_ConvertN2OToCO2e(G148,G149)</f>
        <v>0.43462650000000003</v>
      </c>
      <c r="F151" s="153"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C5BD8-CB7F-4553-8EAC-B1CC570B05A3}">
  <dimension ref="A1:T165"/>
  <sheetViews>
    <sheetView showGridLines="0" topLeftCell="A29"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345</v>
      </c>
    </row>
    <row r="2" spans="1:20" s="3" customFormat="1" ht="20.100000000000001" customHeight="1" x14ac:dyDescent="0.25">
      <c r="A2"/>
    </row>
    <row r="3" spans="1:20" ht="20.100000000000001" customHeight="1" x14ac:dyDescent="0.25">
      <c r="A3" s="5" t="str">
        <f>HYPERLINK("#'Home'!A1", "Home")</f>
        <v>Home</v>
      </c>
      <c r="C3" s="33"/>
      <c r="D3" s="33" t="s">
        <v>135</v>
      </c>
      <c r="E3" s="33"/>
      <c r="F3" s="33"/>
      <c r="G3" s="33"/>
      <c r="H3" s="33"/>
      <c r="I3" s="33"/>
      <c r="J3" s="33"/>
      <c r="K3" s="33"/>
      <c r="M3" s="33"/>
      <c r="N3" s="33" t="s">
        <v>136</v>
      </c>
      <c r="O3" s="33"/>
      <c r="P3" s="33"/>
      <c r="Q3" s="33"/>
      <c r="R3" s="33"/>
      <c r="S3" s="33"/>
      <c r="T3" s="33"/>
    </row>
    <row r="4" spans="1:20" ht="20.100000000000001" customHeight="1" x14ac:dyDescent="0.25">
      <c r="A4" s="5" t="str">
        <f>HYPERLINK("#'Overview'!A1", "Overview")</f>
        <v>Overview</v>
      </c>
    </row>
    <row r="5" spans="1:20" ht="20.100000000000001" customHeight="1" x14ac:dyDescent="0.25">
      <c r="A5" s="5" t="str">
        <f>HYPERLINK("#'Results'!A1", "Results")</f>
        <v>Results</v>
      </c>
      <c r="D5" s="2"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27" t="str" cm="1">
        <f t="array" ref="D6">Fertiliser_Equations_LeachingAndRunoff.VEERG_5_5_1_1__2_MassOfNitrogenLeachedFromInorganicFertiliser_Source()</f>
        <v>VEERG 2026: 5.5, Equation (2)</v>
      </c>
    </row>
    <row r="7" spans="1:20" ht="20.100000000000001" customHeight="1" x14ac:dyDescent="0.25">
      <c r="D7" s="132" t="s">
        <v>267</v>
      </c>
      <c r="E7" s="132" t="str" cm="1">
        <f t="array" aca="1" ref="E7" ca="1">Common_InputFunctions.Utility_DisplayFunctionName(F23)</f>
        <v>=Fertiliser_Equations_LeachingAndRunoff.VEERG_5_5_1_1__2_MassOfNitrogenLeachedFromInorganicFertiliser</v>
      </c>
    </row>
    <row r="8" spans="1:20" ht="20.100000000000001" customHeight="1" x14ac:dyDescent="0.25">
      <c r="A8" s="7" t="s">
        <v>0</v>
      </c>
    </row>
    <row r="9" spans="1:20" ht="20.100000000000001" customHeight="1" x14ac:dyDescent="0.25">
      <c r="A9" s="5" t="str">
        <f>HYPERLINK("#'Input - Enterprise'!A1", "Enterprise")</f>
        <v>Enterprise</v>
      </c>
    </row>
    <row r="10" spans="1:20" ht="20.100000000000001" customHeight="1" x14ac:dyDescent="0.25">
      <c r="A10" s="5" t="str">
        <f>HYPERLINK("#'Input - Site'!A1", "Site")</f>
        <v>Site</v>
      </c>
      <c r="D10" s="88" t="s">
        <v>268</v>
      </c>
      <c r="E10" s="1" t="str" cm="1">
        <f t="array" ref="E10">Fertiliser_Equations_LeachingAndRunoff.VEERG_5_5_1_1__2_MassOfNitrogenLeachedFromInorganicFertiliser_Variable()</f>
        <v>M_leachinorganicj</v>
      </c>
    </row>
    <row r="11" spans="1:20" ht="20.100000000000001" customHeight="1" x14ac:dyDescent="0.25">
      <c r="A11" s="5" t="str">
        <f>HYPERLINK("#'Input - Crop'!A1", "Crop")</f>
        <v>Crop</v>
      </c>
      <c r="D11" s="88" t="s">
        <v>121</v>
      </c>
      <c r="E11" s="15" t="str" cm="1">
        <f t="array" ref="E11">Fertiliser_Equations_LeachingAndRunoff.VEERG_5_5_1_1__2_MassOfNitrogenLeachedFromInorganicFertiliser_Unit()</f>
        <v>kg N</v>
      </c>
    </row>
    <row r="12" spans="1:20" ht="20.100000000000001" customHeight="1" x14ac:dyDescent="0.25">
      <c r="A12" s="5" t="str">
        <f>HYPERLINK("#'Input - Fert Prod System'!A1", "Fert Prod System")</f>
        <v>Fert Prod System</v>
      </c>
    </row>
    <row r="13" spans="1:20" ht="20.100000000000001" customHeight="1" x14ac:dyDescent="0.25">
      <c r="A13" s="5" t="str">
        <f>HYPERLINK("#'Input - Fertiliser'!A1", "Fertiliser")</f>
        <v>Fertiliser</v>
      </c>
      <c r="D13" s="154" t="str" cm="1">
        <f t="array" ref="D13:E18">_xlfn.CHOOSECOLS(Fertiliser_Equations_LeachingAndRunoff.VEERG_5_5_1_1__2_MassOfNitrogenLeachedFromInorganicFertiliser_Arguments(), 1, 2)</f>
        <v>MN_jf</v>
      </c>
      <c r="E13" s="162" t="str">
        <v>mass of nitrogen in inorganic fertiliser</v>
      </c>
      <c r="F13" s="164"/>
      <c r="G13" s="154" t="str" cm="1">
        <f t="array" ref="G13:H18">_xlfn.CHOOSECOLS(Fertiliser_Equations_LeachingAndRunoff.VEERG_5_5_1_1__2_MassOfNitrogenLeachedFromInorganicFertiliser_Arguments(), 3,4)</f>
        <v>kg N</v>
      </c>
      <c r="H13" s="137" t="str">
        <v>Calculated from 5.1.1.1 (2)</v>
      </c>
      <c r="I13" s="140" t="str" cm="1">
        <f t="array" aca="1" ref="I13" ca="1">HYPERLINK(Common_InputFunctions.Utility_SourceHyperlink(D20), D20)</f>
        <v>Table_M_leach_inorganic_j</v>
      </c>
    </row>
    <row r="14" spans="1:20" ht="20.100000000000001" customHeight="1" x14ac:dyDescent="0.25">
      <c r="A14" s="5" t="str">
        <f>HYPERLINK("#'Input - Fuel'!A1", "Fuel")</f>
        <v>Fuel</v>
      </c>
      <c r="D14" s="154" t="str">
        <v>FracWETj</v>
      </c>
      <c r="E14" s="162" t="str">
        <v>fraction of N available for leaching and runoff</v>
      </c>
      <c r="F14" s="164"/>
      <c r="G14" s="154" t="str">
        <v>fraction</v>
      </c>
      <c r="H14" s="137" t="str">
        <v>Constant</v>
      </c>
      <c r="I14" s="154">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5">
      <c r="A15" s="5" t="str">
        <f>HYPERLINK("#'Input - Electricity'!A1", "Electricity")</f>
        <v>Electricity</v>
      </c>
      <c r="D15" s="154" t="str">
        <v>FracLEACH</v>
      </c>
      <c r="E15" s="162" t="str">
        <v>fraction of N that is lost through leaching and runoff</v>
      </c>
      <c r="F15" s="164"/>
      <c r="G15" s="154" t="str">
        <v>fraction</v>
      </c>
      <c r="H15" s="137" t="str">
        <v>Constant</v>
      </c>
      <c r="I15" s="154">
        <f>Fertiliser_FracLEACH_Data</f>
        <v>0.24</v>
      </c>
    </row>
    <row r="16" spans="1:20" ht="20.100000000000001" customHeight="1" x14ac:dyDescent="0.25">
      <c r="A16" s="5" t="str">
        <f>HYPERLINK("#'Input - Farm Inputs'!A1", "Farm Inputs")</f>
        <v>Farm Inputs</v>
      </c>
      <c r="D16" s="154" t="str">
        <v>z</v>
      </c>
      <c r="E16" s="162" t="str">
        <v>location in leaching zone</v>
      </c>
      <c r="F16" s="164"/>
      <c r="G16" s="154" t="str">
        <v/>
      </c>
      <c r="H16" s="136" t="str">
        <v>Input</v>
      </c>
      <c r="I16" s="154" t="str">
        <f>X_Cell_Site_LeachingZone</f>
        <v>NO - Not in leaching zone</v>
      </c>
    </row>
    <row r="17" spans="1:9" ht="20.100000000000001" customHeight="1" x14ac:dyDescent="0.25">
      <c r="A17" s="5" t="str">
        <f>HYPERLINK("#'Input - Freight'!A1", "Freight")</f>
        <v>Freight</v>
      </c>
      <c r="D17" s="154" t="str">
        <v>j</v>
      </c>
      <c r="E17" s="162" t="str">
        <v>production system</v>
      </c>
      <c r="F17" s="164"/>
      <c r="G17" s="154" t="str">
        <v/>
      </c>
      <c r="H17" s="136" t="str">
        <v>Input</v>
      </c>
      <c r="I17" s="154" t="str">
        <f>X_Cell_Fertiliser_ProductionSystem</f>
        <v>Crop</v>
      </c>
    </row>
    <row r="18" spans="1:9" ht="20.100000000000001" customHeight="1" x14ac:dyDescent="0.25">
      <c r="A18" s="5" t="str">
        <f>HYPERLINK("#'Input - Manure sent off-site'!A1", "Manure sent off-site")</f>
        <v>Manure sent off-site</v>
      </c>
      <c r="D18" s="154" t="str">
        <v>ir</v>
      </c>
      <c r="E18" s="162" t="str">
        <v>irrigation method</v>
      </c>
      <c r="F18" s="164"/>
      <c r="G18" s="154" t="str">
        <v/>
      </c>
      <c r="H18" s="136" t="str">
        <v>Input</v>
      </c>
      <c r="I18" s="154" t="str">
        <f>X_Cell_Fertiliser_IrrigationMethod</f>
        <v>Sprinkler irrigation</v>
      </c>
    </row>
    <row r="19" spans="1:9" ht="20.100000000000001" customHeight="1" x14ac:dyDescent="0.25">
      <c r="A19" s="5" t="str">
        <f>HYPERLINK("#'Input - Solid waste'!A1", "Solid waste")</f>
        <v>Solid waste</v>
      </c>
    </row>
    <row r="20" spans="1:9" ht="20.100000000000001" customHeight="1" x14ac:dyDescent="0.25">
      <c r="A20" s="5" t="str">
        <f>HYPERLINK("#'Input - Data quality'!A1", "Data quality")</f>
        <v>Data quality</v>
      </c>
      <c r="D20" s="143" t="s">
        <v>346</v>
      </c>
    </row>
    <row r="21" spans="1:9" ht="20.100000000000001" customHeight="1" x14ac:dyDescent="0.25">
      <c r="D21" s="144" t="s">
        <v>347</v>
      </c>
    </row>
    <row r="22" spans="1:9" ht="20.100000000000001" customHeight="1" x14ac:dyDescent="0.25">
      <c r="D22" s="145" t="s">
        <v>272</v>
      </c>
      <c r="E22" s="145" t="s">
        <v>330</v>
      </c>
      <c r="F22" s="145" t="s">
        <v>348</v>
      </c>
    </row>
    <row r="23" spans="1:9" ht="20.100000000000001" customHeight="1" x14ac:dyDescent="0.25">
      <c r="A23" s="6" t="s">
        <v>2</v>
      </c>
      <c r="D23" s="25" t="str" cm="1">
        <f t="array" ref="D23:D41">Table_Fertiliser_ChemicalCompounds[Fertiliser type f]</f>
        <v>Monoammonium phosphate (MAP)</v>
      </c>
      <c r="E23" s="25">
        <f>INDEX(Table_MN_j_f,2,4)</f>
        <v>0</v>
      </c>
      <c r="F23" s="25" cm="1">
        <f t="array" ref="F23">Fertiliser_Equations_LeachingAndRunoff.VEERG_5_5_1_1__2_MassOfNitrogenLeachedFromInorganicFertiliser(E23, $I$14, $I$15)</f>
        <v>0</v>
      </c>
    </row>
    <row r="24" spans="1:9" ht="20.100000000000001" customHeight="1" x14ac:dyDescent="0.25">
      <c r="A24" s="5" t="str">
        <f>HYPERLINK("#'5.1.1.1-2 Inorganic fert N2O'!A1", "5.1.1.1-2 Inorganic fert N2O")</f>
        <v>5.1.1.1-2 Inorganic fert N2O</v>
      </c>
      <c r="D24" s="25" t="str">
        <v>Diammonium phosphate (DAP)</v>
      </c>
      <c r="E24" s="25">
        <f>INDEX(Table_MN_j_f,3,4)</f>
        <v>0</v>
      </c>
      <c r="F24" s="25" cm="1">
        <f t="array" ref="F24">Fertiliser_Equations_LeachingAndRunoff.VEERG_5_5_1_1__2_MassOfNitrogenLeachedFromInorganicFertiliser(E24, $I$14, $I$15)</f>
        <v>0</v>
      </c>
    </row>
    <row r="25" spans="1:9" ht="20.100000000000001" customHeight="1" x14ac:dyDescent="0.25">
      <c r="A25" s="5" t="str">
        <f>HYPERLINK("#'5.1.1.3-4 Inorganic fert CO2'!A1", "5.1.1.3-4 Inorganic fert CO2")</f>
        <v>5.1.1.3-4 Inorganic fert CO2</v>
      </c>
      <c r="D25" s="25" t="str">
        <v>Urea</v>
      </c>
      <c r="E25" s="25">
        <f>INDEX(Table_MN_j_f,4,4)</f>
        <v>4600</v>
      </c>
      <c r="F25" s="25" cm="1">
        <f t="array" ref="F25">Fertiliser_Equations_LeachingAndRunoff.VEERG_5_5_1_1__2_MassOfNitrogenLeachedFromInorganicFertiliser(E25, $I$14, $I$15)</f>
        <v>1104</v>
      </c>
    </row>
    <row r="26" spans="1:9" ht="20.100000000000001" customHeight="1" x14ac:dyDescent="0.25">
      <c r="A26" s="5" t="str">
        <f>HYPERLINK("#'5.2.1.1-2 Organic Fert N2O'!A1", "5.2.1.1-2 Organic fert N2O")</f>
        <v>5.2.1.1-2 Organic fert N2O</v>
      </c>
      <c r="D26" s="25" t="str">
        <v>Sulphate of ammonia (SOA)</v>
      </c>
      <c r="E26" s="25">
        <f>INDEX(Table_MN_j_f,5,4)</f>
        <v>0</v>
      </c>
      <c r="F26" s="25" cm="1">
        <f t="array" ref="F26">Fertiliser_Equations_LeachingAndRunoff.VEERG_5_5_1_1__2_MassOfNitrogenLeachedFromInorganicFertiliser(E26, $I$14, $I$15)</f>
        <v>0</v>
      </c>
    </row>
    <row r="27" spans="1:9" ht="20.100000000000001" customHeight="1" x14ac:dyDescent="0.25">
      <c r="A27" s="5" t="str">
        <f>HYPERLINK("#'5.3.1.1-2 Lime CO2'!A1", "5.3.1.1-2 Lime CO2")</f>
        <v>5.3.1.1-2 Lime CO2</v>
      </c>
      <c r="D27" s="25" t="str">
        <v>Urea-ammonium nitrate (UAN)</v>
      </c>
      <c r="E27" s="25">
        <f>INDEX(Table_MN_j_f,6,4)</f>
        <v>0</v>
      </c>
      <c r="F27" s="25" cm="1">
        <f t="array" ref="F27">Fertiliser_Equations_LeachingAndRunoff.VEERG_5_5_1_1__2_MassOfNitrogenLeachedFromInorganicFertiliser(E27, $I$14, $I$15)</f>
        <v>0</v>
      </c>
    </row>
    <row r="28" spans="1:9" ht="20.100000000000001" customHeight="1" x14ac:dyDescent="0.25">
      <c r="A28" s="5" t="str">
        <f>HYPERLINK("#'5.4.1.1-4 Atmos deposition'!A1", "5.4.1.1-4 Atmos. deposition")</f>
        <v>5.4.1.1-4 Atmos. deposition</v>
      </c>
      <c r="D28" s="25" t="str">
        <v>Ammonium nitrate (AN)</v>
      </c>
      <c r="E28" s="25">
        <f>INDEX(Table_MN_j_f,7,4)</f>
        <v>0</v>
      </c>
      <c r="F28" s="25" cm="1">
        <f t="array" ref="F28">Fertiliser_Equations_LeachingAndRunoff.VEERG_5_5_1_1__2_MassOfNitrogenLeachedFromInorganicFertiliser(E28, $I$14, $I$15)</f>
        <v>0</v>
      </c>
    </row>
    <row r="29" spans="1:9" ht="20.100000000000001" customHeight="1" x14ac:dyDescent="0.25">
      <c r="A29" s="141" t="str">
        <f>HYPERLINK("#'5.5.1.1-2 Leaching and runoff'!A1", "5.5.1.1-2 Leaching &amp; runoff")</f>
        <v>5.5.1.1-2 Leaching &amp; runoff</v>
      </c>
      <c r="D29" s="25" t="str">
        <v>Calcium ammonium nitrate (CAN)</v>
      </c>
      <c r="E29" s="25">
        <f>INDEX(Table_MN_j_f,8,4)</f>
        <v>0</v>
      </c>
      <c r="F29" s="25" cm="1">
        <f t="array" ref="F29">Fertiliser_Equations_LeachingAndRunoff.VEERG_5_5_1_1__2_MassOfNitrogenLeachedFromInorganicFertiliser(E29, $I$14, $I$15)</f>
        <v>0</v>
      </c>
    </row>
    <row r="30" spans="1:9" ht="20.100000000000001" customHeight="1" x14ac:dyDescent="0.25">
      <c r="A30" s="5" t="str">
        <f>HYPERLINK("#'6.1.1.1-2 Crop residue N2O'!A1", "6.1.1.1-2 Crop residue N2O")</f>
        <v>6.1.1.1-2 Crop residue N2O</v>
      </c>
      <c r="D30" s="25" t="str">
        <v>Nitrogen - Ammoniacal</v>
      </c>
      <c r="E30" s="25">
        <f>INDEX(Table_MN_j_f,9,4)</f>
        <v>0</v>
      </c>
      <c r="F30" s="25" cm="1">
        <f t="array" ref="F30">Fertiliser_Equations_LeachingAndRunoff.VEERG_5_5_1_1__2_MassOfNitrogenLeachedFromInorganicFertiliser(E30, $I$14, $I$15)</f>
        <v>0</v>
      </c>
    </row>
    <row r="31" spans="1:9" ht="20.100000000000001" customHeight="1" x14ac:dyDescent="0.25">
      <c r="A31" s="5" t="str">
        <f>HYPERLINK("#'6.3.1.1-2 Leach runoff crop'!A1", "6.3.1.1-2 Leach &amp; runoff (crop)")</f>
        <v>6.3.1.1-2 Leach &amp; runoff (crop)</v>
      </c>
      <c r="D31" s="25" t="str">
        <v>Nitrogen - Nitrate</v>
      </c>
      <c r="E31" s="25">
        <f>INDEX(Table_MN_j_f,10,4)</f>
        <v>1980</v>
      </c>
      <c r="F31" s="25" cm="1">
        <f t="array" ref="F31">Fertiliser_Equations_LeachingAndRunoff.VEERG_5_5_1_1__2_MassOfNitrogenLeachedFromInorganicFertiliser(E31, $I$14, $I$15)</f>
        <v>475.2</v>
      </c>
    </row>
    <row r="32" spans="1:9" ht="20.100000000000001" customHeight="1" x14ac:dyDescent="0.25">
      <c r="A32" s="5" t="str">
        <f>HYPERLINK("#'6.4.1.1-2 Residue burning'!A1", "6.4.1.1-2 Residue burning")</f>
        <v>6.4.1.1-2 Residue burning</v>
      </c>
      <c r="D32" s="25" t="str">
        <v>Nitrogen - Generic</v>
      </c>
      <c r="E32" s="25">
        <f>INDEX(Table_MN_j_f,11,4)</f>
        <v>1537.2</v>
      </c>
      <c r="F32" s="25" cm="1">
        <f t="array" ref="F32">Fertiliser_Equations_LeachingAndRunoff.VEERG_5_5_1_1__2_MassOfNitrogenLeachedFromInorganicFertiliser(E32, $I$14, $I$15)</f>
        <v>368.928</v>
      </c>
    </row>
    <row r="33" spans="1:11" ht="20.100000000000001" customHeight="1" x14ac:dyDescent="0.25">
      <c r="A33" s="5" t="str">
        <f>HYPERLINK("#'8.1.1.1-2 Transport fuel'!A1", "8.1.1.1-2 Transport fuel")</f>
        <v>8.1.1.1-2 Transport fuel</v>
      </c>
      <c r="D33" s="25" t="str">
        <v>Phosphorus - Generic</v>
      </c>
      <c r="E33" s="25">
        <f>INDEX(Table_MN_j_f,12,4)</f>
        <v>0</v>
      </c>
      <c r="F33" s="25" cm="1">
        <f t="array" ref="F33">Fertiliser_Equations_LeachingAndRunoff.VEERG_5_5_1_1__2_MassOfNitrogenLeachedFromInorganicFertiliser(E33, $I$14, $I$15)</f>
        <v>0</v>
      </c>
    </row>
    <row r="34" spans="1:11" ht="20.100000000000001" customHeight="1" x14ac:dyDescent="0.25">
      <c r="A34" s="5" t="str">
        <f>HYPERLINK("#'8.2.1.1-2 Stationary fuel'!A1", "8.2.1.1-2 Stationary fuel")</f>
        <v>8.2.1.1-2 Stationary fuel</v>
      </c>
      <c r="D34" s="25" t="str">
        <v>Potassium - Generic</v>
      </c>
      <c r="E34" s="25">
        <f>INDEX(Table_MN_j_f,13,4)</f>
        <v>0</v>
      </c>
      <c r="F34" s="25" cm="1">
        <f t="array" ref="F34">Fertiliser_Equations_LeachingAndRunoff.VEERG_5_5_1_1__2_MassOfNitrogenLeachedFromInorganicFertiliser(E34, $I$14, $I$15)</f>
        <v>0</v>
      </c>
    </row>
    <row r="35" spans="1:11" ht="20.100000000000001" customHeight="1" x14ac:dyDescent="0.25">
      <c r="A35" s="5" t="str">
        <f>HYPERLINK("#'14.1.1-2 Purchased electricity'!A1", "14.1.1-2 Purchased electricity")</f>
        <v>14.1.1-2 Purchased electricity</v>
      </c>
      <c r="D35" s="25" t="str">
        <v>Sulfur - Generic</v>
      </c>
      <c r="E35" s="25">
        <f>INDEX(Table_MN_j_f,14,4)</f>
        <v>0</v>
      </c>
      <c r="F35" s="25" cm="1">
        <f t="array" ref="F35">Fertiliser_Equations_LeachingAndRunoff.VEERG_5_5_1_1__2_MassOfNitrogenLeachedFromInorganicFertiliser(E35, $I$14, $I$15)</f>
        <v>0</v>
      </c>
    </row>
    <row r="36" spans="1:11" ht="20.100000000000001" customHeight="1" x14ac:dyDescent="0.25">
      <c r="A36" s="5" t="str">
        <f>HYPERLINK("#'15 Scope 3'!A1", "15 Scope 3")</f>
        <v>15 Scope 3</v>
      </c>
      <c r="D36" s="25" t="str">
        <v>Zinc - Generic</v>
      </c>
      <c r="E36" s="25">
        <f>INDEX(Table_MN_j_f,15,4)</f>
        <v>0</v>
      </c>
      <c r="F36" s="25" cm="1">
        <f t="array" ref="F36">Fertiliser_Equations_LeachingAndRunoff.VEERG_5_5_1_1__2_MassOfNitrogenLeachedFromInorganicFertiliser(E36, $I$14, $I$15)</f>
        <v>0</v>
      </c>
    </row>
    <row r="37" spans="1:11" ht="20.100000000000001" customHeight="1" x14ac:dyDescent="0.25">
      <c r="A37" s="5" t="str">
        <f>HYPERLINK("#'Calcs - Manure sent off-site'!A1", "Calcs - Manure sent off-site")</f>
        <v>Calcs - Manure sent off-site</v>
      </c>
      <c r="D37" s="25" t="str">
        <v>Muriate of potash (MOP)</v>
      </c>
      <c r="E37" s="25">
        <f>INDEX(Table_MN_j_f,16,4)</f>
        <v>0</v>
      </c>
      <c r="F37" s="25" cm="1">
        <f t="array" ref="F37">Fertiliser_Equations_LeachingAndRunoff.VEERG_5_5_1_1__2_MassOfNitrogenLeachedFromInorganicFertiliser(E37, $I$14, $I$15)</f>
        <v>0</v>
      </c>
    </row>
    <row r="38" spans="1:11" ht="20.100000000000001" customHeight="1" x14ac:dyDescent="0.25">
      <c r="A38" s="5" t="str">
        <f>HYPERLINK("#'10.1.1-2 Solid waste treatment'!A1", "10.1.1-2 Solid waste treatment")</f>
        <v>10.1.1-2 Solid waste treatment</v>
      </c>
      <c r="D38" s="25" t="str">
        <v>Double superphosphate</v>
      </c>
      <c r="E38" s="25">
        <f>INDEX(Table_MN_j_f,17,4)</f>
        <v>0</v>
      </c>
      <c r="F38" s="25" cm="1">
        <f t="array" ref="F38">Fertiliser_Equations_LeachingAndRunoff.VEERG_5_5_1_1__2_MassOfNitrogenLeachedFromInorganicFertiliser(E38, $I$14, $I$15)</f>
        <v>0</v>
      </c>
    </row>
    <row r="39" spans="1:11" ht="20.100000000000001" customHeight="1" x14ac:dyDescent="0.25">
      <c r="D39" s="25" t="str">
        <v>Single superphosphate (SSP)</v>
      </c>
      <c r="E39" s="25">
        <f>INDEX(Table_MN_j_f,18,4)</f>
        <v>0</v>
      </c>
      <c r="F39" s="25" cm="1">
        <f t="array" ref="F39">Fertiliser_Equations_LeachingAndRunoff.VEERG_5_5_1_1__2_MassOfNitrogenLeachedFromInorganicFertiliser(E39, $I$14, $I$15)</f>
        <v>0</v>
      </c>
    </row>
    <row r="40" spans="1:11" ht="20.100000000000001" customHeight="1" x14ac:dyDescent="0.25">
      <c r="D40" s="25" t="str">
        <v>Ammonia</v>
      </c>
      <c r="E40" s="25">
        <f>INDEX(Table_MN_j_f,19,4)</f>
        <v>4117.5</v>
      </c>
      <c r="F40" s="25" cm="1">
        <f t="array" ref="F40">Fertiliser_Equations_LeachingAndRunoff.VEERG_5_5_1_1__2_MassOfNitrogenLeachedFromInorganicFertiliser(E40, $I$14, $I$15)</f>
        <v>988.19999999999993</v>
      </c>
    </row>
    <row r="41" spans="1:11" ht="20.100000000000001" customHeight="1" x14ac:dyDescent="0.25">
      <c r="A41" s="121" t="s">
        <v>1</v>
      </c>
      <c r="D41" s="25" t="str">
        <v>Calcium nitrate</v>
      </c>
      <c r="E41" s="25">
        <f>INDEX(Table_MN_j_f,20,4)</f>
        <v>775</v>
      </c>
      <c r="F41" s="25" cm="1">
        <f t="array" ref="F41">Fertiliser_Equations_LeachingAndRunoff.VEERG_5_5_1_1__2_MassOfNitrogenLeachedFromInorganicFertiliser(E41, $I$14, $I$15)</f>
        <v>186</v>
      </c>
    </row>
    <row r="42" spans="1:11" ht="20.100000000000001" customHeight="1" x14ac:dyDescent="0.25">
      <c r="A42" s="5" t="str">
        <f>HYPERLINK("#'Constants - Ag Residue'!A1", "Constants - Ag residue")</f>
        <v>Constants - Ag residue</v>
      </c>
    </row>
    <row r="43" spans="1:11" ht="20.100000000000001" customHeight="1" x14ac:dyDescent="0.25">
      <c r="A43" s="5" t="str">
        <f>HYPERLINK("#'Constants - Common Livestock'!A1", "Constants - Common Livestock")</f>
        <v>Constants - Common Livestock</v>
      </c>
      <c r="D43" s="159" t="s">
        <v>349</v>
      </c>
      <c r="E43" s="146">
        <f>SUM(F23:F41)</f>
        <v>3122.328</v>
      </c>
      <c r="F43" s="153" t="str">
        <f>$E$11</f>
        <v>kg N</v>
      </c>
    </row>
    <row r="44" spans="1:11" ht="20.100000000000001" customHeight="1" x14ac:dyDescent="0.25">
      <c r="A44" s="5" t="str">
        <f>HYPERLINK("#'Constants - Electricity'!A1", "Constants - Electricity")</f>
        <v>Constants - Electricity</v>
      </c>
    </row>
    <row r="45" spans="1:11" ht="20.100000000000001" customHeight="1" x14ac:dyDescent="0.25">
      <c r="A45" s="5" t="str">
        <f>HYPERLINK("#'Constants - Fertiliser'!A1", "Constants - Fertiliser")</f>
        <v>Constants - Fertiliser</v>
      </c>
      <c r="C45" s="169"/>
      <c r="D45" s="169"/>
      <c r="E45" s="169"/>
      <c r="F45" s="169"/>
      <c r="G45" s="169"/>
      <c r="H45" s="169"/>
      <c r="I45" s="169"/>
      <c r="J45" s="169"/>
      <c r="K45" s="169"/>
    </row>
    <row r="46" spans="1:11" ht="20.100000000000001" customHeight="1" x14ac:dyDescent="0.25">
      <c r="A46" s="5" t="str">
        <f>HYPERLINK("#'Constants - Fuel'!A1", "Constants - Fuel")</f>
        <v>Constants - Fuel</v>
      </c>
    </row>
    <row r="47" spans="1:11" ht="20.100000000000001" customHeight="1" x14ac:dyDescent="0.25">
      <c r="A47" s="5" t="str">
        <f>HYPERLINK("#'Constants - Scope 3'!A1", "Constants - Scope 3")</f>
        <v>Constants - Scope 3</v>
      </c>
      <c r="D47" s="2"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s="5" t="str">
        <f>HYPERLINK("#'Constants - Common'!A1", "Constants - Common")</f>
        <v>Constants - Common</v>
      </c>
      <c r="D48" s="27" t="str" cm="1">
        <f t="array" ref="D48">Fertiliser_Equations_LeachingAndRunoff.VEERG_5_5_1_1__3_MassOfNitrogenLeachedFromOrganicFertiliser_Source()</f>
        <v>VEERG 2026: 5.5, Equation (3)</v>
      </c>
    </row>
    <row r="49" spans="1:9" ht="20.100000000000001" customHeight="1" x14ac:dyDescent="0.25">
      <c r="A49" s="5" t="str">
        <f>HYPERLINK("#'Constants - Solid Waste'!A1", "Constants - Solid Waste")</f>
        <v>Constants - Solid Waste</v>
      </c>
      <c r="D49" s="132" t="s">
        <v>267</v>
      </c>
      <c r="E49" s="132" t="str" cm="1">
        <f t="array" aca="1" ref="E49" ca="1">Common_InputFunctions.Utility_DisplayFunctionName(F65)</f>
        <v>=Fertiliser_Equations_LeachingAndRunoff.VEERG_5_5_1_1__3_MassOfNitrogenLeachedFromOrganicFertiliser</v>
      </c>
    </row>
    <row r="50" spans="1:9" ht="20.100000000000001" customHeight="1" x14ac:dyDescent="0.25"/>
    <row r="51" spans="1:9" ht="20.100000000000001" customHeight="1" x14ac:dyDescent="0.25"/>
    <row r="52" spans="1:9" ht="20.100000000000001" customHeight="1" x14ac:dyDescent="0.25">
      <c r="D52" s="88" t="s">
        <v>268</v>
      </c>
      <c r="E52" s="1" t="str" cm="1">
        <f t="array" ref="E52">Fertiliser_Equations_LeachingAndRunoff.VEERG_5_5_1_1__3_MassOfNitrogenLeachedFromOrganicFertiliser_Variable()</f>
        <v>M_leachorganicj</v>
      </c>
    </row>
    <row r="53" spans="1:9" ht="20.100000000000001" customHeight="1" x14ac:dyDescent="0.25">
      <c r="D53" s="88" t="s">
        <v>121</v>
      </c>
      <c r="E53" s="15" t="str" cm="1">
        <f t="array" ref="E53">Fertiliser_Equations_LeachingAndRunoff.VEERG_5_5_1_1__3_MassOfNitrogenLeachedFromOrganicFertiliser_Unit()</f>
        <v>kg N</v>
      </c>
    </row>
    <row r="54" spans="1:9" ht="20.100000000000001" customHeight="1" x14ac:dyDescent="0.25"/>
    <row r="55" spans="1:9" ht="20.100000000000001" customHeight="1" x14ac:dyDescent="0.25">
      <c r="D55" s="154" t="str" cm="1">
        <f t="array" ref="D55:E60">_xlfn.CHOOSECOLS(Fertiliser_Equations_LeachingAndRunoff.VEERG_5_5_1_1__3_MassOfNitrogenLeachedFromOrganicFertiliser_Arguments(), 1, 2)</f>
        <v>MNSoil_jf</v>
      </c>
      <c r="E55" s="162" t="str">
        <v>mass of nitrogen in organic fertiliser</v>
      </c>
      <c r="F55" s="164"/>
      <c r="G55" s="154" t="str" cm="1">
        <f t="array" ref="G55:H60">_xlfn.CHOOSECOLS(Fertiliser_Equations_LeachingAndRunoff.VEERG_5_5_1_1__3_MassOfNitrogenLeachedFromOrganicFertiliser_Arguments(), 3,4)</f>
        <v>kg N</v>
      </c>
      <c r="H55" s="137" t="str">
        <v>Calculated from 5.2.1.1 (2)</v>
      </c>
      <c r="I55" s="140" t="str" cm="1">
        <f t="array" aca="1" ref="I55" ca="1">HYPERLINK(Common_InputFunctions.Utility_SourceHyperlink(D62), D62)</f>
        <v>Table_M_leach_organic_j</v>
      </c>
    </row>
    <row r="56" spans="1:9" ht="20.100000000000001" customHeight="1" x14ac:dyDescent="0.25">
      <c r="D56" s="154" t="str">
        <v>FracWETj</v>
      </c>
      <c r="E56" s="162" t="str">
        <v>fraction of N available for leaching and runoff</v>
      </c>
      <c r="F56" s="164"/>
      <c r="G56" s="154" t="str">
        <v>fraction</v>
      </c>
      <c r="H56" s="137" t="str">
        <v>Constant</v>
      </c>
      <c r="I56" s="154">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5">
      <c r="D57" s="154" t="str">
        <v>FracLEACH</v>
      </c>
      <c r="E57" s="162" t="str">
        <v>fraction of N that is lost through leaching and runoff</v>
      </c>
      <c r="F57" s="164"/>
      <c r="G57" s="154" t="str">
        <v>fraction</v>
      </c>
      <c r="H57" s="137" t="str">
        <v>Constant</v>
      </c>
      <c r="I57" s="154">
        <f>Fertiliser_FracLEACH_Data</f>
        <v>0.24</v>
      </c>
    </row>
    <row r="58" spans="1:9" ht="20.100000000000001" customHeight="1" x14ac:dyDescent="0.25">
      <c r="D58" s="154" t="str">
        <v>z</v>
      </c>
      <c r="E58" s="162" t="str">
        <v>location in leaching zone</v>
      </c>
      <c r="F58" s="164"/>
      <c r="G58" s="154" t="str">
        <v/>
      </c>
      <c r="H58" s="136" t="str">
        <v>Input</v>
      </c>
      <c r="I58" s="154" t="str">
        <f>X_Cell_Site_LeachingZone</f>
        <v>NO - Not in leaching zone</v>
      </c>
    </row>
    <row r="59" spans="1:9" ht="20.100000000000001" customHeight="1" x14ac:dyDescent="0.25">
      <c r="D59" s="154" t="str">
        <v>j</v>
      </c>
      <c r="E59" s="162" t="str">
        <v>production system</v>
      </c>
      <c r="F59" s="164"/>
      <c r="G59" s="154" t="str">
        <v/>
      </c>
      <c r="H59" s="136" t="str">
        <v>Input</v>
      </c>
      <c r="I59" s="154" t="str">
        <f>X_Cell_Fertiliser_ProductionSystem</f>
        <v>Crop</v>
      </c>
    </row>
    <row r="60" spans="1:9" ht="20.100000000000001" customHeight="1" x14ac:dyDescent="0.25">
      <c r="D60" s="154" t="str">
        <v>ir</v>
      </c>
      <c r="E60" s="162" t="str">
        <v>irrigation method</v>
      </c>
      <c r="F60" s="164"/>
      <c r="G60" s="154" t="str">
        <v/>
      </c>
      <c r="H60" s="136" t="str">
        <v>Input</v>
      </c>
      <c r="I60" s="154" t="str">
        <f>X_Cell_Fertiliser_IrrigationMethod</f>
        <v>Sprinkler irrigation</v>
      </c>
    </row>
    <row r="61" spans="1:9" ht="20.100000000000001" customHeight="1" x14ac:dyDescent="0.25"/>
    <row r="62" spans="1:9" ht="20.100000000000001" customHeight="1" x14ac:dyDescent="0.25">
      <c r="D62" s="143" t="s">
        <v>350</v>
      </c>
    </row>
    <row r="63" spans="1:9" ht="20.100000000000001" customHeight="1" x14ac:dyDescent="0.25">
      <c r="D63" s="144" t="s">
        <v>351</v>
      </c>
    </row>
    <row r="64" spans="1:9" ht="20.100000000000001" customHeight="1" x14ac:dyDescent="0.25">
      <c r="D64" s="92" t="s">
        <v>311</v>
      </c>
      <c r="E64" s="170" t="s">
        <v>315</v>
      </c>
      <c r="F64" s="145" t="s">
        <v>352</v>
      </c>
    </row>
    <row r="65" spans="3:11" ht="20.100000000000001" customHeight="1" x14ac:dyDescent="0.25">
      <c r="D65" s="25" t="str">
        <f>INDEX(Table_MNSoil_j_f,2,1)</f>
        <v>Manure - Other</v>
      </c>
      <c r="E65" s="25">
        <f>INDEX(Table_MNSoil_j_f,2,6)</f>
        <v>300</v>
      </c>
      <c r="F65" s="25" cm="1">
        <f t="array" ref="F65">Fertiliser_Equations_LeachingAndRunoff.VEERG_5_5_1_1__3_MassOfNitrogenLeachedFromOrganicFertiliser(E65,$I$56, $I$57)</f>
        <v>72</v>
      </c>
    </row>
    <row r="66" spans="3:11" ht="20.100000000000001" customHeight="1" x14ac:dyDescent="0.25">
      <c r="D66" s="25" t="str">
        <f>INDEX(Table_MNSoil_j_f,3,1)</f>
        <v>Manure - Poultry</v>
      </c>
      <c r="E66" s="25">
        <f>INDEX(Table_MNSoil_j_f,3,6)</f>
        <v>250</v>
      </c>
      <c r="F66" s="25" cm="1">
        <f t="array" ref="F66">Fertiliser_Equations_LeachingAndRunoff.VEERG_5_5_1_1__3_MassOfNitrogenLeachedFromOrganicFertiliser(E66,$I$56, $I$57)</f>
        <v>60</v>
      </c>
    </row>
    <row r="67" spans="3:11" ht="20.100000000000001" customHeight="1" x14ac:dyDescent="0.25">
      <c r="D67" s="25" t="str">
        <f>INDEX(Table_MNSoil_j_f,4,1)</f>
        <v>Other organic fertiliser</v>
      </c>
      <c r="E67" s="25">
        <f>INDEX(Table_MNSoil_j_f,4,6)</f>
        <v>160</v>
      </c>
      <c r="F67" s="25" cm="1">
        <f t="array" ref="F67">Fertiliser_Equations_LeachingAndRunoff.VEERG_5_5_1_1__3_MassOfNitrogenLeachedFromOrganicFertiliser(E67,$I$56, $I$57)</f>
        <v>38.4</v>
      </c>
    </row>
    <row r="68" spans="3:11" ht="20.100000000000001" customHeight="1" x14ac:dyDescent="0.25">
      <c r="D68" s="25">
        <f>'5.2.1.1-2 Organic Fert N2O'!D23</f>
        <v>0</v>
      </c>
      <c r="E68" s="25">
        <f>'5.2.1.1-2 Organic Fert N2O'!I23</f>
        <v>0</v>
      </c>
      <c r="F68" s="25" cm="1">
        <f t="array" ref="F68">Fertiliser_Equations_LeachingAndRunoff.VEERG_5_5_1_1__3_MassOfNitrogenLeachedFromOrganicFertiliser(E68,$I$56, $I$57)</f>
        <v>0</v>
      </c>
    </row>
    <row r="69" spans="3:11" ht="20.100000000000001" customHeight="1" x14ac:dyDescent="0.25">
      <c r="D69" s="25">
        <f>'5.2.1.1-2 Organic Fert N2O'!D24</f>
        <v>0</v>
      </c>
      <c r="E69" s="25">
        <f>'5.2.1.1-2 Organic Fert N2O'!I24</f>
        <v>0</v>
      </c>
      <c r="F69" s="25" cm="1">
        <f t="array" ref="F69">Fertiliser_Equations_LeachingAndRunoff.VEERG_5_5_1_1__3_MassOfNitrogenLeachedFromOrganicFertiliser(E69,$I$56, $I$57)</f>
        <v>0</v>
      </c>
    </row>
    <row r="70" spans="3:11" ht="20.100000000000001" customHeight="1" x14ac:dyDescent="0.25">
      <c r="D70" s="25">
        <f>'5.2.1.1-2 Organic Fert N2O'!D25</f>
        <v>0</v>
      </c>
      <c r="E70" s="25">
        <f>'5.2.1.1-2 Organic Fert N2O'!I25</f>
        <v>0</v>
      </c>
      <c r="F70" s="25" cm="1">
        <f t="array" ref="F70">Fertiliser_Equations_LeachingAndRunoff.VEERG_5_5_1_1__3_MassOfNitrogenLeachedFromOrganicFertiliser(E70,$I$56, $I$57)</f>
        <v>0</v>
      </c>
    </row>
    <row r="71" spans="3:11" ht="20.100000000000001" customHeight="1" x14ac:dyDescent="0.25">
      <c r="D71" s="25">
        <f>'5.2.1.1-2 Organic Fert N2O'!D26</f>
        <v>0</v>
      </c>
      <c r="E71" s="25">
        <f>'5.2.1.1-2 Organic Fert N2O'!I26</f>
        <v>0</v>
      </c>
      <c r="F71" s="25" cm="1">
        <f t="array" ref="F71">Fertiliser_Equations_LeachingAndRunoff.VEERG_5_5_1_1__3_MassOfNitrogenLeachedFromOrganicFertiliser(E71,$I$56, $I$57)</f>
        <v>0</v>
      </c>
    </row>
    <row r="72" spans="3:11" ht="20.100000000000001" customHeight="1" x14ac:dyDescent="0.25">
      <c r="D72" s="25">
        <f>'5.2.1.1-2 Organic Fert N2O'!D27</f>
        <v>0</v>
      </c>
      <c r="E72" s="25">
        <f>'5.2.1.1-2 Organic Fert N2O'!I27</f>
        <v>0</v>
      </c>
      <c r="F72" s="25" cm="1">
        <f t="array" ref="F72">Fertiliser_Equations_LeachingAndRunoff.VEERG_5_5_1_1__3_MassOfNitrogenLeachedFromOrganicFertiliser(E72,$I$56, $I$57)</f>
        <v>0</v>
      </c>
    </row>
    <row r="73" spans="3:11" ht="20.100000000000001" customHeight="1" x14ac:dyDescent="0.25">
      <c r="D73" s="25">
        <f>'5.2.1.1-2 Organic Fert N2O'!D28</f>
        <v>0</v>
      </c>
      <c r="E73" s="25">
        <f>'5.2.1.1-2 Organic Fert N2O'!I28</f>
        <v>0</v>
      </c>
      <c r="F73" s="25" cm="1">
        <f t="array" ref="F73">Fertiliser_Equations_LeachingAndRunoff.VEERG_5_5_1_1__3_MassOfNitrogenLeachedFromOrganicFertiliser(E73,$I$56, $I$57)</f>
        <v>0</v>
      </c>
    </row>
    <row r="74" spans="3:11" ht="20.100000000000001" customHeight="1" x14ac:dyDescent="0.25">
      <c r="D74" s="25">
        <f>'5.2.1.1-2 Organic Fert N2O'!D29</f>
        <v>0</v>
      </c>
      <c r="E74" s="25">
        <f>'5.2.1.1-2 Organic Fert N2O'!I29</f>
        <v>0</v>
      </c>
      <c r="F74" s="25" cm="1">
        <f t="array" ref="F74">Fertiliser_Equations_LeachingAndRunoff.VEERG_5_5_1_1__3_MassOfNitrogenLeachedFromOrganicFertiliser(E74,$I$56, $I$57)</f>
        <v>0</v>
      </c>
    </row>
    <row r="75" spans="3:11" ht="20.100000000000001" customHeight="1" x14ac:dyDescent="0.25">
      <c r="D75" s="25">
        <f>'5.2.1.1-2 Organic Fert N2O'!D30</f>
        <v>0</v>
      </c>
      <c r="E75" s="25">
        <f>'5.2.1.1-2 Organic Fert N2O'!I30</f>
        <v>0</v>
      </c>
      <c r="F75" s="25"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59" t="s">
        <v>353</v>
      </c>
      <c r="E77" s="146">
        <f>SUM(F65:F75)</f>
        <v>170.4</v>
      </c>
      <c r="F77" s="153" t="str">
        <f>$E$53</f>
        <v>kg N</v>
      </c>
    </row>
    <row r="78" spans="3:11" ht="20.100000000000001" customHeight="1" x14ac:dyDescent="0.25"/>
    <row r="79" spans="3:11" ht="20.100000000000001" customHeight="1" x14ac:dyDescent="0.25">
      <c r="C79" s="169"/>
      <c r="D79" s="169"/>
      <c r="E79" s="169"/>
      <c r="F79" s="169"/>
      <c r="G79" s="169"/>
      <c r="H79" s="169"/>
      <c r="I79" s="169"/>
      <c r="J79" s="169"/>
      <c r="K79" s="169"/>
    </row>
    <row r="80" spans="3:11" ht="20.100000000000001" customHeight="1" x14ac:dyDescent="0.25"/>
    <row r="81" spans="4:10" ht="20.100000000000001" customHeight="1" x14ac:dyDescent="0.25">
      <c r="D81" s="2"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27" t="str" cm="1">
        <f t="array" ref="D82">Fertiliser_Equations_LeachingAndRunoff.VEERG_5_5_1_1__1_FertiliserLeachingAndRunoffN2OEmissions_Source()</f>
        <v>VEERG 2026: 5.5, Equation (1)</v>
      </c>
    </row>
    <row r="83" spans="4:10" ht="20.100000000000001" customHeight="1" x14ac:dyDescent="0.25">
      <c r="D83" s="132" t="s">
        <v>267</v>
      </c>
      <c r="E83" s="132" t="str">
        <f ca="1">Common_InputFunctions.Utility_DisplayFunctionName(VEERG_5_5_1_1__1_FertiliserLeachingAndRunoffN2OEmissions_result_Method1)</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88" t="s">
        <v>268</v>
      </c>
      <c r="E86" s="1" t="str" cm="1">
        <f t="array" ref="E86">Fertiliser_Equations_LeachingAndRunoff.VEERG_5_5_1_1__1_FertiliserLeachingAndRunoffN2OEmissions_Variable()</f>
        <v>E_fertleach</v>
      </c>
    </row>
    <row r="87" spans="4:10" ht="20.100000000000001" customHeight="1" x14ac:dyDescent="0.25">
      <c r="D87" s="88" t="s">
        <v>121</v>
      </c>
      <c r="E87" s="15"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54" t="str" cm="1">
        <f t="array" ref="D89:E92">_xlfn.CHOOSECOLS(Fertiliser_Equations_LeachingAndRunoff.VEERG_5_5_1_1__1_FertiliserLeachingAndRunoffN2OEmissions_Arguments(), 1, 2)</f>
        <v>M_leachinorganicj</v>
      </c>
      <c r="E89" s="162" t="str">
        <v>mass of nitrogen lost through leaching and runoff from inorganic fertiliser application in production system j</v>
      </c>
      <c r="F89" s="163"/>
      <c r="G89" s="164"/>
      <c r="H89" s="154" t="str" cm="1">
        <f t="array" ref="H89:I92">_xlfn.CHOOSECOLS(Fertiliser_Equations_LeachingAndRunoff.VEERG_5_5_1_1__1_FertiliserLeachingAndRunoffN2OEmissions_Arguments(), 3,4)</f>
        <v>kg N</v>
      </c>
      <c r="I89" s="137" t="str">
        <v>Calculated from 5.5.1.1 (2)</v>
      </c>
      <c r="J89" s="154">
        <f>$E$43</f>
        <v>3122.328</v>
      </c>
    </row>
    <row r="90" spans="4:10" ht="20.100000000000001" customHeight="1" x14ac:dyDescent="0.25">
      <c r="D90" s="154" t="str">
        <v>M_leachorganicj</v>
      </c>
      <c r="E90" s="162" t="str">
        <v>mass of nitrogen lost through leaching and runoff from organic fertiliser application</v>
      </c>
      <c r="F90" s="163"/>
      <c r="G90" s="164"/>
      <c r="H90" s="154" t="str">
        <v>kg N</v>
      </c>
      <c r="I90" s="137" t="str">
        <v>Calculated from 5.5.1.1 (3)</v>
      </c>
      <c r="J90" s="154">
        <f>$E$77</f>
        <v>170.4</v>
      </c>
    </row>
    <row r="91" spans="4:10" ht="20.100000000000001" customHeight="1" x14ac:dyDescent="0.25">
      <c r="D91" s="154" t="str">
        <v>EF_leach</v>
      </c>
      <c r="E91" s="162" t="str">
        <v>emission factor for nitrogen leaching and runoff</v>
      </c>
      <c r="F91" s="163"/>
      <c r="G91" s="164"/>
      <c r="H91" s="154" t="str">
        <v>kg N2O-N/kg N</v>
      </c>
      <c r="I91" s="137" t="str">
        <v>Constant</v>
      </c>
      <c r="J91" s="154">
        <f>Fertiliser_EFLeach_Data</f>
        <v>1.0999999999999999E-2</v>
      </c>
    </row>
    <row r="92" spans="4:10" ht="20.100000000000001" customHeight="1" x14ac:dyDescent="0.25">
      <c r="D92" s="154" t="str">
        <v>C_N2O</v>
      </c>
      <c r="E92" s="162" t="str">
        <v>factor to convert elemental mass of nitrous oxide to molecular mass</v>
      </c>
      <c r="F92" s="163"/>
      <c r="G92" s="164"/>
      <c r="H92" s="154" t="str">
        <v/>
      </c>
      <c r="I92" s="137" t="str">
        <v>Constant</v>
      </c>
      <c r="J92" s="13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149" t="s">
        <v>354</v>
      </c>
      <c r="E94" s="150" cm="1">
        <f t="array" ref="E94">Fertiliser_Equations_LeachingAndRunoff.VEERG_5_5_1_1__1_FertiliserLeachingAndRunoffN2OEmissions(J89,J90,J91,J92)</f>
        <v>5.6917155428571425E-2</v>
      </c>
      <c r="F94" s="151" t="str">
        <f>$E$87</f>
        <v>t N2O</v>
      </c>
    </row>
    <row r="95" spans="4:10" ht="20.100000000000001" customHeight="1" x14ac:dyDescent="0.25"/>
    <row r="96" spans="4:10" ht="20.100000000000001" customHeight="1" x14ac:dyDescent="0.25">
      <c r="D96" s="133" t="str" cm="1">
        <f t="array" ref="D96:E97">Common_Equations.Common_ConvertN2OToCO2e_Arguments()</f>
        <v>EN2O</v>
      </c>
      <c r="E96" s="134" t="str">
        <v>Nitrous oxide emissions (t N2O)</v>
      </c>
      <c r="F96" s="152"/>
      <c r="G96" s="25">
        <f>VEERG_5_5_1_1__1_FertiliserLeachingAndRunoffN2OEmissions_result_Method1</f>
        <v>5.6917155428571425E-2</v>
      </c>
    </row>
    <row r="97" spans="4:7" ht="20.100000000000001" customHeight="1" x14ac:dyDescent="0.25">
      <c r="D97" s="133" t="str">
        <v>GWPN2O</v>
      </c>
      <c r="E97" s="134" t="str">
        <v>Global warming potential for nitrous oxide (t CO2-e / t N2O)</v>
      </c>
      <c r="F97" s="152"/>
      <c r="G97" s="25">
        <f>Common_InputFunctions.Utility_LookupValueInTableNumber("N2O",Table_GWPData[Gas],Table_GWPData[CO2-e factor])</f>
        <v>265</v>
      </c>
    </row>
    <row r="98" spans="4:7" ht="20.100000000000001" customHeight="1" x14ac:dyDescent="0.25"/>
    <row r="99" spans="4:7" ht="20.100000000000001" customHeight="1" x14ac:dyDescent="0.25">
      <c r="D99" s="146" t="s">
        <v>299</v>
      </c>
      <c r="E99" s="146" cm="1">
        <f t="array" ref="E99">Common_Equations.Common_ConvertN2OToCO2e(G96,G97)</f>
        <v>15.083046188571428</v>
      </c>
      <c r="F99" s="153"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9333-A6D7-4D25-90AF-4D40EECD5D41}">
  <dimension ref="A1:T342"/>
  <sheetViews>
    <sheetView showGridLines="0" topLeftCell="H7"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31" customFormat="1" ht="30" customHeight="1" x14ac:dyDescent="0.35">
      <c r="A1" s="16" t="e" vm="1">
        <v>#VALUE!</v>
      </c>
      <c r="C1" s="31" t="s">
        <v>637</v>
      </c>
      <c r="K1"/>
    </row>
    <row r="2" spans="1:20" s="3" customFormat="1" ht="20.100000000000001" customHeight="1" x14ac:dyDescent="0.25">
      <c r="A2"/>
      <c r="K2"/>
    </row>
    <row r="3" spans="1:20" ht="20.100000000000001" customHeight="1" x14ac:dyDescent="0.25">
      <c r="A3" s="5" t="str">
        <f>HYPERLINK("#'Home'!A1", "Home")</f>
        <v>Home</v>
      </c>
      <c r="C3" s="33"/>
      <c r="D3" s="33" t="s">
        <v>135</v>
      </c>
      <c r="E3" s="33"/>
      <c r="F3" s="33"/>
      <c r="G3" s="33"/>
      <c r="H3" s="33"/>
      <c r="I3" s="33"/>
      <c r="J3" s="33"/>
      <c r="L3" s="33"/>
      <c r="M3" s="33" t="s">
        <v>136</v>
      </c>
      <c r="N3" s="33"/>
      <c r="O3" s="33"/>
      <c r="P3" s="33"/>
      <c r="Q3" s="33"/>
      <c r="R3" s="33"/>
      <c r="S3" s="33"/>
      <c r="T3" s="33"/>
    </row>
    <row r="4" spans="1:20" ht="20.100000000000001" customHeight="1" x14ac:dyDescent="0.25">
      <c r="A4" s="5" t="str">
        <f>HYPERLINK("#'Overview'!A1", "Overview")</f>
        <v>Overview</v>
      </c>
    </row>
    <row r="5" spans="1:20" ht="20.100000000000001" customHeight="1" x14ac:dyDescent="0.25">
      <c r="A5" s="5" t="str">
        <f>HYPERLINK("#'Results'!A1", "Results")</f>
        <v>Results</v>
      </c>
      <c r="D5" s="2" t="str" cm="1">
        <f t="array" ref="D5">AgResidue_Equations_CropResidue.VEERG_6_1_1_1__2__MassOfNitrogenInCropResidues_Title()</f>
        <v>Mass of nitrogen in crop residues returned to the soil</v>
      </c>
      <c r="E5" s="8"/>
      <c r="F5" s="8"/>
      <c r="G5" s="8"/>
      <c r="H5" s="8"/>
      <c r="L5" s="8"/>
      <c r="M5" s="2" t="str" cm="1">
        <f t="array" ref="M5">AgResidue_Equations_CropResidue.VEERG_6_1_1_2__1__FractionOfCropResidueRemovedBaled_Title()</f>
        <v>Fraction of crop residue that is removed for crop c, calculated where residues are baled</v>
      </c>
      <c r="N5" s="8"/>
      <c r="O5" s="8"/>
      <c r="P5" s="8"/>
      <c r="Q5" s="8"/>
    </row>
    <row r="6" spans="1:20" ht="20.100000000000001" customHeight="1" x14ac:dyDescent="0.25">
      <c r="D6" s="27" t="str" cm="1">
        <f t="array" ref="D6">AgResidue_Equations_CropResidue.VEERG_6_1_1_1__2__MassOfNitrogenInCropResidues_Source()</f>
        <v>VEERG 2026: 6.1.1.1, Equation (2)</v>
      </c>
      <c r="E6" s="8"/>
      <c r="F6" s="8"/>
      <c r="G6" s="8"/>
      <c r="H6" s="8"/>
      <c r="J6" s="8"/>
      <c r="L6" s="8"/>
      <c r="M6" s="27" t="str" cm="1">
        <f t="array" ref="M6">AgResidue_Equations_CropResidue.VEERG_6_1_1_2__1__FractionOfCropResidueRemovedBaled_Source()</f>
        <v>VEERG 2026: 6.1.1.2, Equation (1)</v>
      </c>
      <c r="N6" s="8"/>
      <c r="O6" s="8"/>
      <c r="P6" s="8"/>
      <c r="Q6" s="8"/>
    </row>
    <row r="7" spans="1:20" ht="20.100000000000001" customHeight="1" x14ac:dyDescent="0.25">
      <c r="D7" s="132" t="s">
        <v>267</v>
      </c>
      <c r="E7" s="132" t="str" cm="1">
        <f t="array" aca="1" ref="E7" ca="1">Common_InputFunctions.Utility_DisplayFunctionName(E24)</f>
        <v>=AgResidue_Equations_CropResidue.VEERG_6_1_1_1__2__MassOfNitrogenInCropResidues</v>
      </c>
      <c r="F7" s="8"/>
      <c r="G7" s="8"/>
      <c r="H7" s="8"/>
      <c r="J7" s="8"/>
      <c r="L7" s="8"/>
      <c r="M7" s="36" t="str" cm="1">
        <f t="array" ref="M7">"⚠️" &amp; AgResidue_Equations_CropResidue.VEERG_6_1_1_2__1__FractionOfCropResidueRemovedBaled_Variation()</f>
        <v>⚠️VARIATION FROM SOURCE: Added 'baled' to variable subscript</v>
      </c>
      <c r="N7" s="8"/>
      <c r="O7" s="8"/>
      <c r="P7" s="8"/>
      <c r="Q7" s="8"/>
    </row>
    <row r="8" spans="1:20" ht="20.100000000000001" customHeight="1" x14ac:dyDescent="0.25">
      <c r="A8" s="7" t="s">
        <v>0</v>
      </c>
      <c r="F8" s="8"/>
      <c r="G8" s="8"/>
      <c r="H8" s="8"/>
      <c r="J8" s="8"/>
      <c r="L8" s="8"/>
      <c r="M8" s="132" t="s">
        <v>267</v>
      </c>
      <c r="N8" s="132" t="str" cm="1">
        <f t="array" aca="1" ref="N8" ca="1">Common_InputFunctions.Utility_DisplayFunctionName(N21)</f>
        <v>=AgResidue_Equations_CropResidue.VEERG_6_1_1_2__1__FractionOfCropResidueRemovedBaled</v>
      </c>
      <c r="O8" s="8"/>
      <c r="P8" s="8"/>
      <c r="Q8" s="8"/>
    </row>
    <row r="9" spans="1:20" ht="20.100000000000001" customHeight="1" x14ac:dyDescent="0.25">
      <c r="A9" s="5" t="str">
        <f>HYPERLINK("#'Input - Enterprise'!A1", "Enterprise")</f>
        <v>Enterprise</v>
      </c>
      <c r="D9" s="8"/>
      <c r="E9" s="8"/>
      <c r="F9" s="8"/>
      <c r="G9" s="8"/>
      <c r="H9" s="8"/>
      <c r="J9" s="8"/>
      <c r="L9" s="8"/>
      <c r="M9" s="8"/>
      <c r="N9" s="8"/>
      <c r="O9" s="8"/>
      <c r="P9" s="8"/>
      <c r="Q9" s="8"/>
    </row>
    <row r="10" spans="1:20" ht="20.100000000000001" customHeight="1" x14ac:dyDescent="0.25">
      <c r="A10" s="5" t="str">
        <f>HYPERLINK("#'Input - Site'!A1", "Site")</f>
        <v>Site</v>
      </c>
      <c r="D10" s="88" t="s">
        <v>268</v>
      </c>
      <c r="E10" s="1" t="str" cm="1">
        <f t="array" ref="E10">AgResidue_Equations_CropResidue.VEERG_6_1_1_1__2__MassOfNitrogenInCropResidues_Variable()</f>
        <v>M_c</v>
      </c>
      <c r="F10" s="8"/>
      <c r="G10" s="8"/>
      <c r="H10" s="8"/>
      <c r="J10" s="8"/>
      <c r="L10" s="8"/>
      <c r="M10" s="8"/>
      <c r="N10" s="8"/>
      <c r="O10" s="8"/>
      <c r="P10" s="8"/>
      <c r="Q10" s="8"/>
    </row>
    <row r="11" spans="1:20" ht="20.100000000000001" customHeight="1" x14ac:dyDescent="0.25">
      <c r="A11" s="5" t="str">
        <f>HYPERLINK("#'Input - Crop'!A1", "Crop")</f>
        <v>Crop</v>
      </c>
      <c r="D11" s="88" t="s">
        <v>121</v>
      </c>
      <c r="E11" s="15" t="str" cm="1">
        <f t="array" ref="E11">AgResidue_Equations_CropResidue.VEERG_6_1_1_1__2__MassOfNitrogenInCropResidues_Unit()</f>
        <v>kg N</v>
      </c>
      <c r="F11" s="8"/>
      <c r="G11" s="8"/>
      <c r="H11" s="8"/>
      <c r="J11" s="8"/>
      <c r="L11" s="8"/>
      <c r="M11" s="8"/>
      <c r="N11" s="8"/>
      <c r="O11" s="8"/>
      <c r="P11" s="8"/>
      <c r="Q11" s="8"/>
    </row>
    <row r="12" spans="1:20" ht="20.100000000000001" customHeight="1" x14ac:dyDescent="0.25">
      <c r="A12" s="5" t="str">
        <f>HYPERLINK("#'Input - Fert Prod System'!A1", "Fert Prod System")</f>
        <v>Fert Prod System</v>
      </c>
      <c r="D12" s="8"/>
      <c r="E12" s="8"/>
      <c r="F12" s="8"/>
      <c r="G12" s="8"/>
      <c r="J12" s="8"/>
      <c r="L12" s="8"/>
      <c r="M12" s="88" t="s">
        <v>268</v>
      </c>
      <c r="N12" s="1" t="str" cm="1">
        <f t="array" ref="N12">AgResidue_Equations_CropResidue.VEERG_6_1_1_2__1__FractionOfCropResidueRemovedBaled_Variable()</f>
        <v>FFOD_cbaled</v>
      </c>
      <c r="O12" s="8"/>
      <c r="P12" s="8"/>
      <c r="Q12" s="8"/>
    </row>
    <row r="13" spans="1:20" ht="20.100000000000001" customHeight="1" x14ac:dyDescent="0.25">
      <c r="A13" s="5" t="str">
        <f>HYPERLINK("#'Input - Fertiliser'!A1", "Fertiliser")</f>
        <v>Fertiliser</v>
      </c>
      <c r="D13" s="154" t="str" cm="1">
        <f t="array" ref="D13:E22">_xlfn.CHOOSECOLS(AgResidue_Equations_CropResidue.VEERG_6_1_1_1__2__MassOfNitrogenInCropResidues_Arguments(), 1, 2)</f>
        <v>P_c</v>
      </c>
      <c r="E13" s="162" t="str">
        <v>annual production of crop c</v>
      </c>
      <c r="F13" s="164"/>
      <c r="G13" s="154" t="str" cm="1">
        <f t="array" ref="G13:H22">_xlfn.CHOOSECOLS(AgResidue_Equations_CropResidue.VEERG_6_1_1_1__2__MassOfNitrogenInCropResidues_Arguments(), 3,4)</f>
        <v>kg</v>
      </c>
      <c r="H13" s="136" t="str">
        <v>Input</v>
      </c>
      <c r="I13" s="154">
        <f>X_Cell_Crop_TotalProductionOfCrop*10^3</f>
        <v>350000</v>
      </c>
      <c r="J13" s="8"/>
      <c r="L13" s="8"/>
      <c r="M13" s="88" t="s">
        <v>121</v>
      </c>
      <c r="N13" s="15" t="str" cm="1">
        <f t="array" ref="N13">AgResidue_Equations_CropResidue.VEERG_6_1_1_2__1__FractionOfCropResidueRemovedBaled_Unit()</f>
        <v>dimensionless</v>
      </c>
      <c r="O13" s="8"/>
      <c r="P13" s="8"/>
      <c r="Q13" s="8"/>
    </row>
    <row r="14" spans="1:20" ht="20.100000000000001" customHeight="1" x14ac:dyDescent="0.25">
      <c r="A14" s="5" t="str">
        <f>HYPERLINK("#'Input - Fuel'!A1", "Fuel")</f>
        <v>Fuel</v>
      </c>
      <c r="D14" s="154" t="str">
        <v>R_AGc</v>
      </c>
      <c r="E14" s="162" t="str">
        <v>residue to crop ratio for crop c</v>
      </c>
      <c r="F14" s="164"/>
      <c r="G14" s="154" t="str">
        <v/>
      </c>
      <c r="H14" s="137" t="str">
        <v>Constant</v>
      </c>
      <c r="I14" s="154">
        <f>'Input - Crop'!$E$18</f>
        <v>1.5</v>
      </c>
      <c r="J14" s="8"/>
      <c r="L14" s="8"/>
      <c r="M14" s="8"/>
      <c r="N14" s="8"/>
      <c r="O14" s="8"/>
      <c r="P14" s="8"/>
    </row>
    <row r="15" spans="1:20" ht="20.100000000000001" customHeight="1" x14ac:dyDescent="0.25">
      <c r="A15" s="5" t="str">
        <f>HYPERLINK("#'Input - Electricity'!A1", "Electricity")</f>
        <v>Electricity</v>
      </c>
      <c r="D15" s="154" t="str">
        <v>R_BGc</v>
      </c>
      <c r="E15" s="162" t="str">
        <v>below ground-residue to above ground residue ratio for crop c</v>
      </c>
      <c r="F15" s="164"/>
      <c r="G15" s="154" t="str">
        <v/>
      </c>
      <c r="H15" s="137" t="str">
        <v>Constant</v>
      </c>
      <c r="I15" s="154" cm="1">
        <f t="array" ref="I15">Common_InputFunctions.Utility_LookupValueInTableNumber($I$21,Table_SourceData_CropAttributes[Crop type],Table_SourceData_CropAttributes[Below-ground: above-ground residue ratio])</f>
        <v>0.28999999999999998</v>
      </c>
      <c r="L15" s="8"/>
      <c r="M15" s="154" t="str" cm="1">
        <f t="array" ref="M15:N19">_xlfn.CHOOSECOLS(AgResidue_Equations_CropResidue.VEERG_6_1_1_2__1__FractionOfCropResidueRemovedBaled_Arguments(), 1, 2)</f>
        <v>B</v>
      </c>
      <c r="N15" s="154" t="str">
        <v>number of bales generated</v>
      </c>
      <c r="O15" s="154" t="str" cm="1">
        <f t="array" ref="O15:P19">_xlfn.CHOOSECOLS(AgResidue_Equations_CropResidue.VEERG_6_1_1_2__1__FractionOfCropResidueRemovedBaled_Arguments(), 3,4)</f>
        <v/>
      </c>
      <c r="P15" s="136" t="str">
        <v>Input</v>
      </c>
      <c r="Q15" s="229">
        <f>X_Cell_Crop_NumberOfBales</f>
        <v>875</v>
      </c>
    </row>
    <row r="16" spans="1:20" ht="20.100000000000001" customHeight="1" x14ac:dyDescent="0.25">
      <c r="A16" s="5" t="str">
        <f>HYPERLINK("#'Input - Farm Inputs'!A1", "Farm Inputs")</f>
        <v>Farm Inputs</v>
      </c>
      <c r="D16" s="154" t="str">
        <v>F_c</v>
      </c>
      <c r="E16" s="162" t="str">
        <v>fraction of crop residue that is burnt for crop c</v>
      </c>
      <c r="F16" s="164"/>
      <c r="G16" s="154" t="str">
        <v>fraction</v>
      </c>
      <c r="H16" s="136" t="str">
        <v>Input</v>
      </c>
      <c r="I16" s="154">
        <f>X_Cell_Crop_PercentResidueBurned</f>
        <v>0.3</v>
      </c>
      <c r="L16" s="8"/>
      <c r="M16" s="154" t="str">
        <v>M_B</v>
      </c>
      <c r="N16" s="154" t="str">
        <v>mass of each bale</v>
      </c>
      <c r="O16" s="154" t="str">
        <v>kg</v>
      </c>
      <c r="P16" s="136" t="str">
        <v>Input</v>
      </c>
      <c r="Q16" s="154">
        <f>X_Cell_Crop_AverageWeightPerBale</f>
        <v>60</v>
      </c>
    </row>
    <row r="17" spans="1:17" ht="20.100000000000001" customHeight="1" x14ac:dyDescent="0.25">
      <c r="A17" s="5" t="str">
        <f>HYPERLINK("#'Input - Freight'!A1", "Freight")</f>
        <v>Freight</v>
      </c>
      <c r="D17" s="154" t="str">
        <v>FFOD_c</v>
      </c>
      <c r="E17" s="162" t="str">
        <v>fraction of the crop residue that is removed for crop c</v>
      </c>
      <c r="F17" s="164"/>
      <c r="G17" s="154" t="str">
        <v>fraction</v>
      </c>
      <c r="H17" s="137" t="str">
        <v>Constant</v>
      </c>
      <c r="I17" s="154" cm="1">
        <f t="array" ref="I17">IF(ISNUMBER(_xlfn.XLOOKUP(1, (Table77[Crop type c]=$I$21)*(Table77[State]=$I$22),Table77[Fraction removed])), _xlfn.XLOOKUP(1, (Table77[Crop type c]=$I$21)*(Table77[State]=$I$22),Table77[Fraction removed]), 0)</f>
        <v>0.11</v>
      </c>
      <c r="L17" s="8"/>
      <c r="M17" s="154" t="str">
        <v>P_c</v>
      </c>
      <c r="N17" s="154" t="str">
        <v>annual production of crop c</v>
      </c>
      <c r="O17" s="154" t="str">
        <v>kg</v>
      </c>
      <c r="P17" s="136" t="str">
        <v>Input</v>
      </c>
      <c r="Q17" s="154">
        <f>X_Cell_Crop_TotalProductionOfCrop*10^3</f>
        <v>350000</v>
      </c>
    </row>
    <row r="18" spans="1:17" ht="20.100000000000001" customHeight="1" x14ac:dyDescent="0.25">
      <c r="A18" s="5" t="str">
        <f>HYPERLINK("#'Input - Manure sent off-site'!A1", "Manure sent off-site")</f>
        <v>Manure sent off-site</v>
      </c>
      <c r="D18" s="154" t="str">
        <v>DM_c</v>
      </c>
      <c r="E18" s="162" t="str">
        <v>dry matter content of crop c</v>
      </c>
      <c r="F18" s="164"/>
      <c r="G18" s="154" t="str">
        <v>kg dry weight/kg crop residue</v>
      </c>
      <c r="H18" s="137" t="str">
        <v>Constant</v>
      </c>
      <c r="I18" s="154" cm="1">
        <f t="array" ref="I18">Common_InputFunctions.Utility_LookupValueInTableNumber($I$21,Table_SourceData_CropAttributes[Crop type],Table_SourceData_CropAttributes[Dry matter content])</f>
        <v>0.88</v>
      </c>
      <c r="L18" s="8"/>
      <c r="M18" s="154" t="str">
        <v>R_AGc</v>
      </c>
      <c r="N18" s="154" t="str">
        <v>residue to crop ratio for crop c</v>
      </c>
      <c r="O18" s="154" t="str">
        <v/>
      </c>
      <c r="P18" s="137" t="str">
        <v>Constant</v>
      </c>
      <c r="Q18" s="154">
        <f>'Input - Crop'!$E$18</f>
        <v>1.5</v>
      </c>
    </row>
    <row r="19" spans="1:17" ht="20.100000000000001" customHeight="1" x14ac:dyDescent="0.25">
      <c r="A19" s="5" t="str">
        <f>HYPERLINK("#'Input - Solid waste'!A1", "Solid waste")</f>
        <v>Solid waste</v>
      </c>
      <c r="D19" s="154" t="str">
        <v>NC_AGc</v>
      </c>
      <c r="E19" s="162" t="str">
        <v>nitrogen content of above-ground crop residue of crop c</v>
      </c>
      <c r="F19" s="164"/>
      <c r="G19" s="154" t="str">
        <v>kg N/kg DM</v>
      </c>
      <c r="H19" s="137" t="str">
        <v>Constant</v>
      </c>
      <c r="I19" s="154" cm="1">
        <f t="array" ref="I19">Common_InputFunctions.Utility_LookupValueInTableNumber($I$21,Table_SourceData_CropAttributes[Crop type],Table_SourceData_CropAttributes[N content above-ground])</f>
        <v>6.0000000000000001E-3</v>
      </c>
      <c r="L19" s="8"/>
      <c r="M19" s="154" t="str">
        <v>c</v>
      </c>
      <c r="N19" s="154" t="str">
        <v>Crop type</v>
      </c>
      <c r="O19" s="154" t="str">
        <v/>
      </c>
      <c r="P19" s="136" t="str">
        <v>Input</v>
      </c>
      <c r="Q19" s="154" t="str">
        <f>X_Cell_Crop_CropType</f>
        <v>Wheat</v>
      </c>
    </row>
    <row r="20" spans="1:17" ht="20.100000000000001" customHeight="1" x14ac:dyDescent="0.25">
      <c r="A20" s="5" t="str">
        <f>HYPERLINK("#'Input - Data quality'!A1", "Data quality")</f>
        <v>Data quality</v>
      </c>
      <c r="D20" s="154" t="str">
        <v>NC_BGc</v>
      </c>
      <c r="E20" s="162" t="str">
        <v>nitrogen content of below-ground crop residue of crop c</v>
      </c>
      <c r="F20" s="164"/>
      <c r="G20" s="154" t="str">
        <v>kg N/kg DM</v>
      </c>
      <c r="H20" s="137" t="str">
        <v>Constant</v>
      </c>
      <c r="I20" s="154" cm="1">
        <f t="array" ref="I20">Common_InputFunctions.Utility_LookupValueInTableNumber($I$21,Table_SourceData_CropAttributes[Crop type],Table_SourceData_CropAttributes[N content below-ground])</f>
        <v>0.01</v>
      </c>
      <c r="L20" s="8"/>
      <c r="M20" s="8"/>
      <c r="N20" s="8"/>
      <c r="O20" s="8"/>
      <c r="P20" s="8"/>
      <c r="Q20" s="8"/>
    </row>
    <row r="21" spans="1:17" ht="20.100000000000001" customHeight="1" x14ac:dyDescent="0.25">
      <c r="D21" s="154" t="str">
        <v>c</v>
      </c>
      <c r="E21" s="162" t="str">
        <v>Crop type</v>
      </c>
      <c r="F21" s="164"/>
      <c r="G21" s="154" t="str">
        <v/>
      </c>
      <c r="H21" s="136" t="str">
        <v>Input</v>
      </c>
      <c r="I21" s="154" t="str">
        <f>X_Cell_Crop_CropType</f>
        <v>Wheat</v>
      </c>
      <c r="L21" s="8"/>
      <c r="M21" s="159" t="s">
        <v>638</v>
      </c>
      <c r="N21" s="146" cm="1">
        <f t="array" ref="N21">AgResidue_Equations_CropResidue.VEERG_6_1_1_2__1__FractionOfCropResidueRemovedBaled(Q15,Q16,Q17,Q18)</f>
        <v>0.1</v>
      </c>
    </row>
    <row r="22" spans="1:17" ht="20.100000000000001" customHeight="1" x14ac:dyDescent="0.25">
      <c r="D22" s="154" t="str">
        <v>State</v>
      </c>
      <c r="E22" s="162" t="str">
        <v>State or territory</v>
      </c>
      <c r="F22" s="164"/>
      <c r="G22" s="154" t="str">
        <v/>
      </c>
      <c r="H22" s="136" t="str">
        <v>Input</v>
      </c>
      <c r="I22" s="154" t="str">
        <f>Common_InputFunctions.Utility_ConvertStateCommonNameToAbbreviation(X_Cell_Site_State,Table_AustralianStates[Common Name],Table_AustralianStates[Abbreviation])</f>
        <v>WA</v>
      </c>
      <c r="L22" s="8"/>
      <c r="M22" s="8"/>
      <c r="N22" s="8"/>
      <c r="O22" s="8"/>
      <c r="P22" s="8"/>
      <c r="Q22" s="8"/>
    </row>
    <row r="23" spans="1:17" ht="20.100000000000001" customHeight="1" x14ac:dyDescent="0.25">
      <c r="A23" s="6" t="s">
        <v>2</v>
      </c>
      <c r="D23" s="8"/>
      <c r="E23" s="8"/>
      <c r="F23" s="8"/>
      <c r="G23" s="8"/>
      <c r="H23" s="8"/>
      <c r="L23" s="8"/>
      <c r="M23" s="8"/>
      <c r="N23" s="8"/>
      <c r="O23" s="8"/>
      <c r="P23" s="8"/>
      <c r="Q23" s="8"/>
    </row>
    <row r="24" spans="1:17" ht="20.100000000000001" customHeight="1" x14ac:dyDescent="0.25">
      <c r="A24" s="5" t="str">
        <f>HYPERLINK("#'5.1.1.1-2 Inorganic fert N2O'!A1", "5.1.1.1-2 Inorganic fert N2O")</f>
        <v>5.1.1.1-2 Inorganic fert N2O</v>
      </c>
      <c r="D24" s="159" t="s">
        <v>639</v>
      </c>
      <c r="E24" s="230" cm="1">
        <f t="array" ref="E24">AgResidue_Equations_CropResidue.VEERG_6_1_1_1__2__MassOfNitrogenInCropResidues(I13,I14,I16,I17,I18,I19,I15,I20)</f>
        <v>2975.2799999999997</v>
      </c>
      <c r="F24" s="160" t="str">
        <f>$E$11</f>
        <v>kg N</v>
      </c>
      <c r="L24" s="8"/>
      <c r="M24" s="2" t="str" cm="1">
        <f t="array" ref="M24">AgResidue_Equations_CropResidue.VEERG_6_1_1_2__1a__FractionOfCropResidueRemoved_Title()</f>
        <v>Fraction of crop residue that is removed for crop c</v>
      </c>
      <c r="N24" s="8"/>
      <c r="O24" s="8"/>
      <c r="P24" s="8"/>
      <c r="Q24" s="8"/>
    </row>
    <row r="25" spans="1:17" ht="20.100000000000001" customHeight="1" x14ac:dyDescent="0.25">
      <c r="A25" s="5" t="str">
        <f>HYPERLINK("#'5.1.1.3-4 Inorganic fert CO2'!A1", "5.1.1.3-4 Inorganic fert CO2")</f>
        <v>5.1.1.3-4 Inorganic fert CO2</v>
      </c>
      <c r="D25" s="88"/>
      <c r="E25" s="8"/>
      <c r="F25" s="8"/>
      <c r="G25" s="8"/>
      <c r="H25" s="8"/>
      <c r="L25" s="8"/>
      <c r="M25" s="2" t="str" cm="1">
        <f t="array" ref="M25">AgResidue_Equations_CropResidue.VEERG_6_1_1_2__1a__FractionOfCropResidueRemoved_Source()</f>
        <v/>
      </c>
      <c r="N25" s="8"/>
      <c r="O25" s="8"/>
      <c r="P25" s="8"/>
      <c r="Q25" s="8"/>
    </row>
    <row r="26" spans="1:17" ht="20.100000000000001" customHeight="1" x14ac:dyDescent="0.25">
      <c r="A26" s="5" t="str">
        <f>HYPERLINK("#'5.2.1.1-2 Organic Fert N2O'!A1", "5.2.1.1-2 Organic fert N2O")</f>
        <v>5.2.1.1-2 Organic fert N2O</v>
      </c>
      <c r="D26" s="8"/>
      <c r="E26" s="8"/>
      <c r="F26" s="8"/>
      <c r="G26" s="8"/>
      <c r="H26" s="8"/>
      <c r="L26" s="8"/>
      <c r="M26" s="36" t="str" cm="1">
        <f t="array" ref="M26">"⚠️" &amp; AgResidue_Equations_CropResidue.VEERG_6_1_1_2__1a__FractionOfCropResidueRemoved_Variation()</f>
        <v>⚠️VARIATION FROM SOURCE: Added this equation to accommodate user-defined residue removal other than baling.</v>
      </c>
      <c r="N26" s="8"/>
      <c r="O26" s="8"/>
      <c r="P26" s="8"/>
      <c r="Q26" s="8"/>
    </row>
    <row r="27" spans="1:17" ht="20.100000000000001" customHeight="1" x14ac:dyDescent="0.25">
      <c r="A27" s="5" t="str">
        <f>HYPERLINK("#'5.3.1.1-2 Lime CO2'!A1", "5.3.1.1-2 Lime CO2")</f>
        <v>5.3.1.1-2 Lime CO2</v>
      </c>
      <c r="D27" s="231"/>
      <c r="E27" s="231"/>
      <c r="F27" s="231"/>
      <c r="G27" s="231"/>
      <c r="H27" s="231"/>
      <c r="I27" s="231"/>
      <c r="L27" s="8"/>
      <c r="M27" s="8"/>
      <c r="N27" s="8"/>
      <c r="O27" s="8"/>
      <c r="P27" s="8"/>
      <c r="Q27" s="8"/>
    </row>
    <row r="28" spans="1:17" ht="20.100000000000001" customHeight="1" x14ac:dyDescent="0.25">
      <c r="A28" s="5" t="str">
        <f>HYPERLINK("#'5.4.1.1-4 Atmos deposition'!A1", "5.4.1.1-4 Atmos. deposition")</f>
        <v>5.4.1.1-4 Atmos. deposition</v>
      </c>
      <c r="D28" s="2" t="str" cm="1">
        <f t="array" ref="D28">AgResidue_Equations_CropResidue.VEERG_6_1_1_1__1__NitrousOxideEmissionsFromCropResidues_Title()</f>
        <v>Nitrous oxide emissions from the return of crop residues across all crops c to the soil</v>
      </c>
      <c r="E28" s="8"/>
      <c r="F28" s="8"/>
      <c r="G28" s="8"/>
      <c r="H28" s="8"/>
      <c r="J28" s="8"/>
      <c r="L28" s="8"/>
      <c r="M28" s="8"/>
      <c r="N28" s="8"/>
      <c r="O28" s="8"/>
      <c r="P28" s="8"/>
      <c r="Q28" s="8"/>
    </row>
    <row r="29" spans="1:17" ht="20.100000000000001" customHeight="1" x14ac:dyDescent="0.25">
      <c r="A29" s="5" t="str">
        <f>HYPERLINK("#'5.5.1.1-2 Leaching and runoff'!A1", "5.5.1.1-2 Leaching &amp; runoff")</f>
        <v>5.5.1.1-2 Leaching &amp; runoff</v>
      </c>
      <c r="D29" s="27" t="str" cm="1">
        <f t="array" ref="D29">AgResidue_Equations_CropResidue.VEERG_6_1_1_1__1__NitrousOxideEmissionsFromCropResidues_Source()</f>
        <v>VEERG 2026: 6.1.1.1, Equation (1)</v>
      </c>
      <c r="E29" s="8"/>
      <c r="F29" s="8"/>
      <c r="G29" s="8"/>
      <c r="H29" s="8"/>
      <c r="J29" s="8"/>
      <c r="L29" s="8"/>
      <c r="M29" s="8"/>
      <c r="N29" s="8"/>
      <c r="O29" s="8"/>
      <c r="P29" s="36"/>
      <c r="Q29" s="8"/>
    </row>
    <row r="30" spans="1:17" ht="20.100000000000001" customHeight="1" x14ac:dyDescent="0.25">
      <c r="A30" s="141" t="str">
        <f>HYPERLINK("#'6.1.1.1-2 Crop residue N2O'!A1", "6.1.1.1-2 Crop residue N2O")</f>
        <v>6.1.1.1-2 Crop residue N2O</v>
      </c>
      <c r="D30" s="132" t="s">
        <v>267</v>
      </c>
      <c r="E30" s="132" t="str">
        <f ca="1">Common_InputFunctions.Utility_DisplayFunctionName(VEERG_6_1_1_1__1__NitrousOxideEmissionsFromCropResidues_Result_Method1)</f>
        <v>=AgResidue_Equations_CropResidue.VEERG_6_1_1_1__1__NitrousOxideEmissionsFromCropResidues</v>
      </c>
      <c r="F30" s="8"/>
      <c r="G30" s="8"/>
      <c r="H30" s="8"/>
      <c r="L30" s="8"/>
      <c r="M30" s="88" t="s">
        <v>268</v>
      </c>
      <c r="N30" s="1" t="str" cm="1">
        <f t="array" ref="N30">AgResidue_Equations_CropResidue.VEERG_6_1_1_2__1a__FractionOfCropResidueRemoved_Variable()</f>
        <v>FFOD_c</v>
      </c>
      <c r="O30" s="8"/>
      <c r="P30" s="8"/>
      <c r="Q30" s="8"/>
    </row>
    <row r="31" spans="1:17" ht="20.100000000000001" customHeight="1" x14ac:dyDescent="0.25">
      <c r="A31" s="5" t="str">
        <f>HYPERLINK("#'6.3.1.1-2 Leach runoff crop'!A1", "6.3.1.1-2 Leach &amp; runoff (crop)")</f>
        <v>6.3.1.1-2 Leach &amp; runoff (crop)</v>
      </c>
      <c r="F31" s="8"/>
      <c r="G31" s="8"/>
      <c r="H31" s="8"/>
      <c r="J31" s="8"/>
      <c r="L31" s="8"/>
      <c r="M31" s="88" t="s">
        <v>121</v>
      </c>
      <c r="N31" s="15" t="str" cm="1">
        <f t="array" ref="N31">AgResidue_Equations_CropResidue.VEERG_6_1_1_2__1a__FractionOfCropResidueRemoved_Unit()</f>
        <v>dimensionless</v>
      </c>
      <c r="O31" s="8"/>
      <c r="P31" s="8"/>
      <c r="Q31" s="8"/>
    </row>
    <row r="32" spans="1:17" ht="20.100000000000001" customHeight="1" x14ac:dyDescent="0.25">
      <c r="A32" s="5" t="str">
        <f>HYPERLINK("#'6.4.1.1-2 Residue burning'!A1", "6.4.1.1-2 Residue burning")</f>
        <v>6.4.1.1-2 Residue burning</v>
      </c>
      <c r="D32" s="8"/>
      <c r="E32" s="8"/>
      <c r="F32" s="8"/>
      <c r="G32" s="8"/>
      <c r="H32" s="8"/>
      <c r="J32" s="8"/>
      <c r="M32" s="8"/>
      <c r="N32" s="8"/>
      <c r="O32" s="8"/>
      <c r="P32" s="8"/>
      <c r="Q32" s="8"/>
    </row>
    <row r="33" spans="1:20" ht="20.100000000000001" customHeight="1" x14ac:dyDescent="0.25">
      <c r="A33" s="5" t="str">
        <f>HYPERLINK("#'8.1.1.1-2 Transport fuel'!A1", "8.1.1.1-2 Transport fuel")</f>
        <v>8.1.1.1-2 Transport fuel</v>
      </c>
      <c r="D33" s="88" t="s">
        <v>268</v>
      </c>
      <c r="E33" s="1" t="str" cm="1">
        <f t="array" ref="E33">AgResidue_Equations_CropResidue.VEERG_6_1_1_1__1__NitrousOxideEmissionsFromCropResidues_Variable()</f>
        <v>E</v>
      </c>
      <c r="F33" s="8"/>
      <c r="G33" s="8"/>
      <c r="H33" s="8"/>
      <c r="J33" s="8"/>
      <c r="M33" s="154" t="str" cm="1">
        <f t="array" ref="M33:N34">_xlfn.CHOOSECOLS(AgResidue_Equations_CropResidue.VEERG_6_1_1_2__1a__FractionOfCropResidueRemoved_Arguments(), 1, 2)</f>
        <v>FFOD_cbaled</v>
      </c>
      <c r="N33" s="154" t="str">
        <v>Fraction of crop residue that is removed for crop c, calculated where residues are baled</v>
      </c>
      <c r="O33" s="154"/>
      <c r="P33" s="154"/>
      <c r="Q33" s="154" t="str" cm="1">
        <f t="array" ref="Q33:R34">_xlfn.CHOOSECOLS(AgResidue_Equations_CropResidue.VEERG_6_1_1_2__1a__FractionOfCropResidueRemoved_Arguments(), 3,4)</f>
        <v>fraction</v>
      </c>
      <c r="R33" s="137" t="str">
        <v>Calculated from 6.1.1.2, (1)</v>
      </c>
      <c r="S33" s="154">
        <f>$N$21</f>
        <v>0.1</v>
      </c>
    </row>
    <row r="34" spans="1:20" ht="20.100000000000001" customHeight="1" x14ac:dyDescent="0.25">
      <c r="A34" s="5" t="str">
        <f>HYPERLINK("#'8.2.1.1-2 Stationary fuel'!A1", "8.2.1.1-2 Stationary fuel")</f>
        <v>8.2.1.1-2 Stationary fuel</v>
      </c>
      <c r="D34" s="88" t="s">
        <v>121</v>
      </c>
      <c r="E34" s="15" t="str" cm="1">
        <f t="array" ref="E34">AgResidue_Equations_CropResidue.VEERG_6_1_1_1__1__NitrousOxideEmissionsFromCropResidues_Unit()</f>
        <v>t N2O</v>
      </c>
      <c r="F34" s="8"/>
      <c r="G34" s="8"/>
      <c r="H34" s="8"/>
      <c r="J34" s="8"/>
      <c r="M34" s="154" t="str">
        <v>FFOD_cother</v>
      </c>
      <c r="N34" s="154" t="str">
        <v>Fraction of crop residue that is removed for crop c, calculated where residues are removed by other means</v>
      </c>
      <c r="O34" s="154"/>
      <c r="P34" s="154"/>
      <c r="Q34" s="154" t="str">
        <v>fraction</v>
      </c>
      <c r="R34" s="136" t="str">
        <v>Input</v>
      </c>
      <c r="S34" s="154">
        <f>X_Cell_Crop_PercentResidueGrazed</f>
        <v>0.01</v>
      </c>
    </row>
    <row r="35" spans="1:20" ht="20.100000000000001" customHeight="1" x14ac:dyDescent="0.25">
      <c r="A35" s="5" t="str">
        <f>HYPERLINK("#'14.1.1-2 Purchased electricity'!A1", "14.1.1-2 Purchased electricity")</f>
        <v>14.1.1-2 Purchased electricity</v>
      </c>
      <c r="D35" s="8"/>
      <c r="E35" s="8"/>
      <c r="F35" s="8"/>
      <c r="G35" s="8"/>
      <c r="H35" s="8"/>
      <c r="J35" s="8"/>
      <c r="M35" s="8"/>
      <c r="N35" s="8"/>
      <c r="O35" s="8"/>
      <c r="P35" s="8"/>
      <c r="Q35" s="8"/>
    </row>
    <row r="36" spans="1:20" ht="20.100000000000001" customHeight="1" x14ac:dyDescent="0.25">
      <c r="A36" s="5" t="str">
        <f>HYPERLINK("#'15 Scope 3'!A1", "15 Scope 3")</f>
        <v>15 Scope 3</v>
      </c>
      <c r="D36" s="154" t="str" cm="1">
        <f t="array" ref="D36:E40">_xlfn.CHOOSECOLS(AgResidue_Equations_CropResidue.VEERG_6_1_1_1__1__NitrousOxideEmissionsFromCropResidues_Arguments(), 1, 2)</f>
        <v>M_c</v>
      </c>
      <c r="E36" s="162" t="str">
        <v>mass of nitrogen in crop c residues returned to the soil</v>
      </c>
      <c r="F36" s="164"/>
      <c r="G36" s="154" t="str" cm="1">
        <f t="array" ref="G36:H40">_xlfn.CHOOSECOLS(AgResidue_Equations_CropResidue.VEERG_6_1_1_1__1__NitrousOxideEmissionsFromCropResidues_Arguments(), 3,4)</f>
        <v>kg N</v>
      </c>
      <c r="H36" s="137" t="str">
        <v>Calculated from 6.1.1.1 (2)</v>
      </c>
      <c r="I36" s="154">
        <f>E24</f>
        <v>2975.2799999999997</v>
      </c>
      <c r="J36" s="8"/>
      <c r="M36" s="159" t="s">
        <v>640</v>
      </c>
      <c r="N36" s="146" cm="1">
        <f t="array" ref="N36">AgResidue_Equations_CropResidue.VEERG_6_1_1_2__1a__FractionOfCropResidueRemoved($S$33,$S$34)</f>
        <v>0.11</v>
      </c>
    </row>
    <row r="37" spans="1:20" ht="20.100000000000001" customHeight="1" x14ac:dyDescent="0.25">
      <c r="A37" s="5" t="str">
        <f>HYPERLINK("#'Calcs - Manure sent off-site'!A1", "Calcs - Manure sent off-site")</f>
        <v>Calcs - Manure sent off-site</v>
      </c>
      <c r="D37" s="154" t="str">
        <v>EF_Ni</v>
      </c>
      <c r="E37" s="162" t="str">
        <v>emission factor for crop residues returned to the soil</v>
      </c>
      <c r="F37" s="164"/>
      <c r="G37" s="154" t="str">
        <v>kg N2O-N/kg N</v>
      </c>
      <c r="H37" s="137" t="str">
        <v>Constant</v>
      </c>
      <c r="I37" s="154" cm="1">
        <f t="array" ref="I37">Common_InputFunctions.Utility_LookupValueInTableNumber(I40,Table_SourceData_N2OEFOrganicFert[Climate zone type i],Table_SourceData_N2OEFOrganicFert[EF i N2O])</f>
        <v>5.0000000000000001E-3</v>
      </c>
      <c r="J37" s="8"/>
      <c r="L37" s="8"/>
      <c r="M37" s="8"/>
    </row>
    <row r="38" spans="1:20" ht="20.100000000000001" customHeight="1" x14ac:dyDescent="0.25">
      <c r="A38" s="5" t="str">
        <f>HYPERLINK("#'10.1.1-2 Solid waste treatment'!A1", "10.1.1-2 Solid waste treatment")</f>
        <v>10.1.1-2 Solid waste treatment</v>
      </c>
      <c r="D38" s="154" t="str">
        <v>C_N2O</v>
      </c>
      <c r="E38" s="162" t="str">
        <v>factor to convert elemental mass of nitrous oxide to molecular mass</v>
      </c>
      <c r="F38" s="164"/>
      <c r="G38" s="154" t="str">
        <v>dimensionless</v>
      </c>
      <c r="H38" s="137" t="str">
        <v>Constant</v>
      </c>
      <c r="I38" s="154">
        <f>Common_InputFunctions.Utility_LookupValueInTableNumber("N2O",Table_GasToMolecularConversionFactor[Gas],Table_GasToMolecularConversionFactor[Conversion factor combined])</f>
        <v>1.5714285714285714</v>
      </c>
      <c r="J38" s="8"/>
      <c r="L38" s="8"/>
      <c r="M38" s="8"/>
    </row>
    <row r="39" spans="1:20" ht="20.100000000000001" customHeight="1" x14ac:dyDescent="0.25">
      <c r="D39" s="154" t="str">
        <v>c</v>
      </c>
      <c r="E39" s="162" t="str">
        <v>Crop type</v>
      </c>
      <c r="F39" s="164"/>
      <c r="G39" s="154" t="str">
        <v/>
      </c>
      <c r="H39" s="136" t="str">
        <v>Input</v>
      </c>
      <c r="I39" s="154" t="str">
        <f>X_Cell_Crop_CropType</f>
        <v>Wheat</v>
      </c>
      <c r="J39" s="8"/>
      <c r="L39" s="146"/>
      <c r="M39" s="146"/>
      <c r="N39" s="146"/>
      <c r="O39" s="146"/>
      <c r="P39" s="146"/>
      <c r="Q39" s="146"/>
      <c r="R39" s="146"/>
      <c r="S39" s="146"/>
      <c r="T39" s="146"/>
    </row>
    <row r="40" spans="1:20" ht="20.100000000000001" customHeight="1" x14ac:dyDescent="0.25">
      <c r="D40" s="154" t="str">
        <v>i</v>
      </c>
      <c r="E40" s="162" t="str">
        <v>Wet or dry climate zone</v>
      </c>
      <c r="F40" s="164"/>
      <c r="G40" s="154" t="str">
        <v/>
      </c>
      <c r="H40" s="136" t="str">
        <v>Input</v>
      </c>
      <c r="I40" s="154" t="str">
        <f>X_Cell_Site_WetOrDryClimateZone</f>
        <v>Dry climate zone</v>
      </c>
      <c r="M40" s="2" t="str" cm="1">
        <f t="array" ref="M40">AgResidue_Equations_CropResidue.VEERG_6_1_1_1__2__MassOfNitrogenInCropResidues_Title()</f>
        <v>Mass of nitrogen in crop residues returned to the soil</v>
      </c>
      <c r="N40" s="8"/>
      <c r="O40" s="8"/>
      <c r="P40" s="8"/>
      <c r="Q40" s="8"/>
    </row>
    <row r="41" spans="1:20" ht="20.100000000000001" customHeight="1" x14ac:dyDescent="0.25">
      <c r="A41" s="121" t="s">
        <v>1</v>
      </c>
      <c r="D41" s="8"/>
      <c r="E41" s="8"/>
      <c r="F41" s="8"/>
      <c r="G41" s="8"/>
      <c r="H41" s="8"/>
      <c r="L41" s="8"/>
      <c r="M41" s="27" t="str" cm="1">
        <f t="array" ref="M41">AgResidue_Equations_CropResidue.VEERG_6_1_1_1__2__MassOfNitrogenInCropResidues_Source()</f>
        <v>VEERG 2026: 6.1.1.1, Equation (2)</v>
      </c>
      <c r="N41" s="8"/>
      <c r="O41" s="8"/>
      <c r="P41" s="8"/>
      <c r="Q41" s="8"/>
    </row>
    <row r="42" spans="1:20" ht="20.100000000000001" customHeight="1" x14ac:dyDescent="0.25">
      <c r="A42" s="5" t="str">
        <f>HYPERLINK("#'Constants - Ag Residue'!A1", "Constants - Ag residue")</f>
        <v>Constants - Ag residue</v>
      </c>
      <c r="D42" s="149" t="s">
        <v>298</v>
      </c>
      <c r="E42" s="150" cm="1">
        <f t="array" ref="E42">AgResidue_Equations_CropResidue.VEERG_6_1_1_1__1__NitrousOxideEmissionsFromCropResidues(I36,I37,I38)</f>
        <v>2.3377199999999997E-2</v>
      </c>
      <c r="F42" s="151" t="str">
        <f>$E$34</f>
        <v>t N2O</v>
      </c>
      <c r="H42" s="8"/>
      <c r="L42" s="8"/>
      <c r="M42" s="132" t="s">
        <v>267</v>
      </c>
      <c r="N42" s="132" t="str" cm="1">
        <f t="array" aca="1" ref="N42" ca="1">Common_InputFunctions.Utility_DisplayFunctionName(N59)</f>
        <v>=AgResidue_Equations_CropResidue.VEERG_6_1_1_1__2__MassOfNitrogenInCropResidues</v>
      </c>
      <c r="O42" s="8"/>
      <c r="P42" s="8"/>
      <c r="Q42" s="8"/>
    </row>
    <row r="43" spans="1:20" ht="20.100000000000001" customHeight="1" x14ac:dyDescent="0.25">
      <c r="A43" s="5" t="str">
        <f>HYPERLINK("#'Constants - Common Livestock'!A1", "Constants - Common Livestock")</f>
        <v>Constants - Common Livestock</v>
      </c>
      <c r="H43" s="8"/>
      <c r="L43" s="8"/>
      <c r="O43" s="8"/>
      <c r="P43" s="8"/>
      <c r="Q43" s="8"/>
    </row>
    <row r="44" spans="1:20" ht="20.100000000000001" customHeight="1" x14ac:dyDescent="0.25">
      <c r="A44" s="5" t="str">
        <f>HYPERLINK("#'Constants - Electricity'!A1", "Constants - Electricity")</f>
        <v>Constants - Electricity</v>
      </c>
      <c r="D44" s="133" t="str" cm="1">
        <f t="array" ref="D44:E45">Common_Equations.Common_ConvertN2OToCO2e_Arguments()</f>
        <v>EN2O</v>
      </c>
      <c r="E44" s="134" t="str">
        <v>Nitrous oxide emissions (t N2O)</v>
      </c>
      <c r="F44" s="152"/>
      <c r="G44" s="25">
        <f>VEERG_6_1_1_1__1__NitrousOxideEmissionsFromCropResidues_Result_Method1</f>
        <v>2.3377199999999997E-2</v>
      </c>
      <c r="L44" s="8"/>
      <c r="M44" s="8"/>
      <c r="N44" s="8"/>
      <c r="O44" s="8"/>
      <c r="P44" s="8"/>
      <c r="Q44" s="8"/>
    </row>
    <row r="45" spans="1:20" ht="20.100000000000001" customHeight="1" x14ac:dyDescent="0.25">
      <c r="A45" s="5" t="str">
        <f>HYPERLINK("#'Constants - Fertiliser'!A1", "Constants - Fertiliser")</f>
        <v>Constants - Fertiliser</v>
      </c>
      <c r="D45" s="133" t="str">
        <v>GWPN2O</v>
      </c>
      <c r="E45" s="134" t="str">
        <v>Global warming potential for nitrous oxide (t CO2-e / t N2O)</v>
      </c>
      <c r="F45" s="152"/>
      <c r="G45" s="25">
        <f>Common_InputFunctions.Utility_LookupValueInTableNumber("N2O",Table_GWPData[Gas],Table_GWPData[CO2-e factor])</f>
        <v>265</v>
      </c>
      <c r="J45" s="8"/>
      <c r="L45" s="8"/>
      <c r="M45" s="88" t="s">
        <v>268</v>
      </c>
      <c r="N45" s="1" t="str" cm="1">
        <f t="array" ref="N45">AgResidue_Equations_CropResidue.VEERG_6_1_1_1__2__MassOfNitrogenInCropResidues_Variable()</f>
        <v>M_c</v>
      </c>
      <c r="O45" s="8"/>
      <c r="P45" s="8"/>
      <c r="Q45" s="8"/>
    </row>
    <row r="46" spans="1:20" ht="20.100000000000001" customHeight="1" x14ac:dyDescent="0.25">
      <c r="A46" s="5" t="str">
        <f>HYPERLINK("#'Constants - Fuel'!A1", "Constants - Fuel")</f>
        <v>Constants - Fuel</v>
      </c>
      <c r="H46" s="8"/>
      <c r="J46" s="8"/>
      <c r="L46" s="8"/>
      <c r="M46" s="88" t="s">
        <v>121</v>
      </c>
      <c r="N46" s="15" t="str" cm="1">
        <f t="array" ref="N46">AgResidue_Equations_CropResidue.VEERG_6_1_1_1__2__MassOfNitrogenInCropResidues_Unit()</f>
        <v>kg N</v>
      </c>
      <c r="O46" s="8"/>
      <c r="P46" s="8"/>
      <c r="Q46" s="8"/>
    </row>
    <row r="47" spans="1:20" ht="20.100000000000001" customHeight="1" x14ac:dyDescent="0.25">
      <c r="A47" s="5" t="str">
        <f>HYPERLINK("#'Constants - Scope 3'!A1", "Constants - Scope 3")</f>
        <v>Constants - Scope 3</v>
      </c>
      <c r="D47" s="146" t="s">
        <v>299</v>
      </c>
      <c r="E47" s="146" cm="1">
        <f t="array" ref="E47">Common_Equations.Common_ConvertN2OToCO2e(G44,G45)</f>
        <v>6.1949579999999989</v>
      </c>
      <c r="F47" s="153" t="str" cm="1">
        <f t="array" ref="F47">Common_Equations.Common_ConvertN2OToCO2e_Unit()</f>
        <v>t CO2e</v>
      </c>
      <c r="H47" s="8"/>
      <c r="J47" s="8"/>
      <c r="L47" s="8"/>
      <c r="M47" s="8"/>
      <c r="N47" s="8"/>
      <c r="O47" s="8"/>
      <c r="P47" s="8"/>
    </row>
    <row r="48" spans="1:20" ht="20.100000000000001" customHeight="1" x14ac:dyDescent="0.25">
      <c r="A48" s="5" t="str">
        <f>HYPERLINK("#'Constants - Common'!A1", "Constants - Common")</f>
        <v>Constants - Common</v>
      </c>
      <c r="D48" s="8"/>
      <c r="E48" s="8"/>
      <c r="F48" s="232"/>
      <c r="G48" s="8"/>
      <c r="H48" s="8"/>
      <c r="I48" s="8"/>
      <c r="J48" s="8"/>
      <c r="L48" s="8"/>
      <c r="M48" s="154" t="str" cm="1">
        <f t="array" ref="M48:N57">_xlfn.CHOOSECOLS(AgResidue_Equations_CropResidue.VEERG_6_1_1_1__2__MassOfNitrogenInCropResidues_Arguments_Method2(), 1, 2)</f>
        <v>P_c</v>
      </c>
      <c r="N48" s="162" t="str">
        <v>annual production of crop c</v>
      </c>
      <c r="O48" s="164"/>
      <c r="P48" s="154" t="str" cm="1">
        <f t="array" ref="P48:Q57">_xlfn.CHOOSECOLS(AgResidue_Equations_CropResidue.VEERG_6_1_1_1__2__MassOfNitrogenInCropResidues_Arguments_Method2(), 3,4)</f>
        <v>kg</v>
      </c>
      <c r="Q48" s="136" t="str">
        <v>Input</v>
      </c>
      <c r="R48" s="154"/>
    </row>
    <row r="49" spans="1:20" ht="20.100000000000001" customHeight="1" x14ac:dyDescent="0.25">
      <c r="A49" s="5" t="str">
        <f>HYPERLINK("#'Constants - Solid Waste'!A1", "Constants - Solid Waste")</f>
        <v>Constants - Solid Waste</v>
      </c>
      <c r="J49" s="8"/>
      <c r="M49" s="154" t="str">
        <v>R_AGc</v>
      </c>
      <c r="N49" s="162" t="str">
        <v>residue to crop ratio for crop c</v>
      </c>
      <c r="O49" s="164"/>
      <c r="P49" s="154" t="str">
        <v/>
      </c>
      <c r="Q49" s="137" t="str">
        <v>Constant</v>
      </c>
      <c r="R49" s="154"/>
    </row>
    <row r="50" spans="1:20" ht="20.100000000000001" customHeight="1" x14ac:dyDescent="0.25">
      <c r="J50" s="8"/>
      <c r="M50" s="154" t="str">
        <v>R_BGc</v>
      </c>
      <c r="N50" s="162" t="str">
        <v>below ground-residue to above ground residue ratio for crop c</v>
      </c>
      <c r="O50" s="164"/>
      <c r="P50" s="154" t="str">
        <v/>
      </c>
      <c r="Q50" s="137" t="str">
        <v>Constant</v>
      </c>
      <c r="R50" s="154"/>
    </row>
    <row r="51" spans="1:20" ht="20.100000000000001" customHeight="1" x14ac:dyDescent="0.25">
      <c r="J51" s="8"/>
      <c r="M51" s="154" t="str">
        <v>F_c</v>
      </c>
      <c r="N51" s="162" t="str">
        <v>fraction of crop residue that is burnt for crop c</v>
      </c>
      <c r="O51" s="164"/>
      <c r="P51" s="154" t="str">
        <v>fraction</v>
      </c>
      <c r="Q51" s="136" t="str">
        <v>Input</v>
      </c>
      <c r="R51" s="154"/>
    </row>
    <row r="52" spans="1:20" ht="20.100000000000001" customHeight="1" x14ac:dyDescent="0.25">
      <c r="J52" s="8"/>
      <c r="M52" s="154" t="str">
        <v>FFOD_c</v>
      </c>
      <c r="N52" s="162" t="str">
        <v>fraction of the crop residue that is removed for crop c</v>
      </c>
      <c r="O52" s="164"/>
      <c r="P52" s="154" t="str">
        <v>fraction</v>
      </c>
      <c r="Q52" s="137" t="str">
        <v>Calculated from 6.1.1.2 (1)</v>
      </c>
      <c r="R52" s="154">
        <f>N36</f>
        <v>0.11</v>
      </c>
    </row>
    <row r="53" spans="1:20" ht="20.100000000000001" customHeight="1" x14ac:dyDescent="0.25">
      <c r="M53" s="154" t="str">
        <v>DM_c</v>
      </c>
      <c r="N53" s="162" t="str">
        <v>dry matter content of crop c</v>
      </c>
      <c r="O53" s="164"/>
      <c r="P53" s="154" t="str">
        <v>kg dry weight/kg crop residue</v>
      </c>
      <c r="Q53" s="137" t="str">
        <v>Constant</v>
      </c>
      <c r="R53" s="154"/>
    </row>
    <row r="54" spans="1:20" ht="20.100000000000001" customHeight="1" x14ac:dyDescent="0.25">
      <c r="M54" s="154" t="str">
        <v>NC_AGc</v>
      </c>
      <c r="N54" s="162" t="str">
        <v>nitrogen content of above-ground crop residue of crop c</v>
      </c>
      <c r="O54" s="164"/>
      <c r="P54" s="154" t="str">
        <v>kg N/kg DM</v>
      </c>
      <c r="Q54" s="137" t="str">
        <v>Constant</v>
      </c>
      <c r="R54" s="154"/>
    </row>
    <row r="55" spans="1:20" ht="20.100000000000001" customHeight="1" x14ac:dyDescent="0.25">
      <c r="M55" s="154" t="str">
        <v>NC_BGc</v>
      </c>
      <c r="N55" s="162" t="str">
        <v>nitrogen content of below-ground crop residue of crop c</v>
      </c>
      <c r="O55" s="164"/>
      <c r="P55" s="154" t="str">
        <v>kg N/kg DM</v>
      </c>
      <c r="Q55" s="137" t="str">
        <v>Constant</v>
      </c>
      <c r="R55" s="154"/>
    </row>
    <row r="56" spans="1:20" ht="20.100000000000001" customHeight="1" x14ac:dyDescent="0.25">
      <c r="M56" s="154" t="str">
        <v>c</v>
      </c>
      <c r="N56" s="162" t="str">
        <v>Crop type</v>
      </c>
      <c r="O56" s="164"/>
      <c r="P56" s="154" t="str">
        <v/>
      </c>
      <c r="Q56" s="136" t="str">
        <v>Input</v>
      </c>
      <c r="R56" s="154"/>
    </row>
    <row r="57" spans="1:20" ht="20.100000000000001" customHeight="1" x14ac:dyDescent="0.25">
      <c r="M57" s="154" t="str">
        <v>State</v>
      </c>
      <c r="N57" s="162" t="str">
        <v>State or territory</v>
      </c>
      <c r="O57" s="164"/>
      <c r="P57" s="154" t="str">
        <v/>
      </c>
      <c r="Q57" s="136" t="str">
        <v>Input</v>
      </c>
      <c r="R57" s="154"/>
    </row>
    <row r="58" spans="1:20" ht="20.100000000000001" customHeight="1" x14ac:dyDescent="0.25">
      <c r="M58" s="8"/>
      <c r="N58" s="8"/>
      <c r="O58" s="8"/>
      <c r="P58" s="8"/>
      <c r="Q58" s="8"/>
    </row>
    <row r="59" spans="1:20" ht="20.100000000000001" customHeight="1" x14ac:dyDescent="0.25">
      <c r="M59" s="159" t="s">
        <v>639</v>
      </c>
      <c r="N59" s="230" cm="1">
        <f t="array" ref="N59">AgResidue_Equations_CropResidue.VEERG_6_1_1_1__2__MassOfNitrogenInCropResidues(I13,I14,I16,R52,I18,I19,I15,I20)</f>
        <v>2975.2799999999997</v>
      </c>
      <c r="O59" s="160" t="str">
        <f>$E$11</f>
        <v>kg N</v>
      </c>
    </row>
    <row r="60" spans="1:20" ht="20.100000000000001" customHeight="1" x14ac:dyDescent="0.25">
      <c r="M60" s="88"/>
      <c r="N60" s="8"/>
      <c r="O60" s="8"/>
      <c r="P60" s="8"/>
      <c r="Q60" s="8"/>
    </row>
    <row r="61" spans="1:20" ht="20.100000000000001" customHeight="1" x14ac:dyDescent="0.25">
      <c r="M61" s="8"/>
      <c r="N61" s="8"/>
      <c r="O61" s="8"/>
      <c r="P61" s="8"/>
      <c r="Q61" s="8"/>
    </row>
    <row r="62" spans="1:20" ht="20.100000000000001" customHeight="1" x14ac:dyDescent="0.25">
      <c r="L62" s="231"/>
      <c r="M62" s="231"/>
      <c r="N62" s="231"/>
      <c r="O62" s="231"/>
      <c r="P62" s="231"/>
      <c r="Q62" s="231"/>
      <c r="R62" s="231"/>
      <c r="S62" s="231"/>
      <c r="T62" s="231"/>
    </row>
    <row r="63" spans="1:20" ht="20.100000000000001" customHeight="1" x14ac:dyDescent="0.25">
      <c r="L63" s="8"/>
      <c r="M63" s="2" t="str" cm="1">
        <f t="array" ref="M63">AgResidue_Equations_CropResidue.VEERG_6_1_1_1__1__NitrousOxideEmissionsFromCropResidues_Title()</f>
        <v>Nitrous oxide emissions from the return of crop residues across all crops c to the soil</v>
      </c>
      <c r="N63" s="8"/>
      <c r="O63" s="8"/>
      <c r="P63" s="8"/>
      <c r="Q63" s="8"/>
    </row>
    <row r="64" spans="1:20" ht="20.100000000000001" customHeight="1" x14ac:dyDescent="0.25">
      <c r="M64" s="27" t="str" cm="1">
        <f t="array" ref="M64">AgResidue_Equations_CropResidue.VEERG_6_1_1_1__1__NitrousOxideEmissionsFromCropResidues_Source()</f>
        <v>VEERG 2026: 6.1.1.1, Equation (1)</v>
      </c>
      <c r="N64" s="8"/>
      <c r="O64" s="8"/>
      <c r="P64" s="8"/>
      <c r="Q64" s="8"/>
    </row>
    <row r="65" spans="12:18" ht="20.100000000000001" customHeight="1" x14ac:dyDescent="0.25">
      <c r="L65" s="8"/>
      <c r="M65" s="132" t="s">
        <v>267</v>
      </c>
      <c r="N65" s="132" t="str">
        <f ca="1">Common_InputFunctions.Utility_DisplayFunctionName(VEERG_6_1_1_1__1__NitrousOxideEmissionsFromCropResidues_Result_Method2)</f>
        <v>=AgResidue_Equations_CropResidue.VEERG_6_1_1_1__1__NitrousOxideEmissionsFromCropResidues</v>
      </c>
      <c r="O65" s="8"/>
      <c r="P65" s="8"/>
      <c r="Q65" s="8"/>
    </row>
    <row r="66" spans="12:18" ht="20.100000000000001" customHeight="1" x14ac:dyDescent="0.25">
      <c r="L66" s="8"/>
      <c r="O66" s="8"/>
      <c r="P66" s="8"/>
      <c r="Q66" s="8"/>
    </row>
    <row r="67" spans="12:18" ht="20.100000000000001" customHeight="1" x14ac:dyDescent="0.25">
      <c r="L67" s="8"/>
      <c r="M67" s="8"/>
      <c r="N67" s="8"/>
      <c r="O67" s="8"/>
      <c r="P67" s="8"/>
      <c r="Q67" s="8"/>
    </row>
    <row r="68" spans="12:18" ht="20.100000000000001" customHeight="1" x14ac:dyDescent="0.25">
      <c r="L68" s="8"/>
      <c r="M68" s="88" t="s">
        <v>268</v>
      </c>
      <c r="N68" s="1" t="str" cm="1">
        <f t="array" ref="N68">AgResidue_Equations_CropResidue.VEERG_6_1_1_1__1__NitrousOxideEmissionsFromCropResidues_Variable()</f>
        <v>E</v>
      </c>
      <c r="O68" s="8"/>
      <c r="P68" s="8"/>
      <c r="Q68" s="8"/>
    </row>
    <row r="69" spans="12:18" ht="20.100000000000001" customHeight="1" x14ac:dyDescent="0.25">
      <c r="L69" s="8"/>
      <c r="M69" s="88" t="s">
        <v>121</v>
      </c>
      <c r="N69" s="15" t="str" cm="1">
        <f t="array" ref="N69">AgResidue_Equations_CropResidue.VEERG_6_1_1_1__1__NitrousOxideEmissionsFromCropResidues_Unit()</f>
        <v>t N2O</v>
      </c>
      <c r="O69" s="8"/>
      <c r="P69" s="8"/>
      <c r="Q69" s="8"/>
    </row>
    <row r="70" spans="12:18" ht="20.100000000000001" customHeight="1" x14ac:dyDescent="0.25">
      <c r="L70" s="8"/>
      <c r="M70" s="8"/>
      <c r="N70" s="8"/>
      <c r="O70" s="8"/>
      <c r="P70" s="8"/>
      <c r="Q70" s="8"/>
    </row>
    <row r="71" spans="12:18" ht="20.100000000000001" customHeight="1" x14ac:dyDescent="0.25">
      <c r="L71" s="8"/>
      <c r="M71" s="154" t="str" cm="1">
        <f t="array" ref="M71:N75">_xlfn.CHOOSECOLS(AgResidue_Equations_CropResidue.VEERG_6_1_1_1__1__NitrousOxideEmissionsFromCropResidues_Arguments(), 1, 2)</f>
        <v>M_c</v>
      </c>
      <c r="N71" s="162" t="str">
        <v>mass of nitrogen in crop c residues returned to the soil</v>
      </c>
      <c r="O71" s="164"/>
      <c r="P71" s="154" t="str" cm="1">
        <f t="array" ref="P71:Q75">_xlfn.CHOOSECOLS(AgResidue_Equations_CropResidue.VEERG_6_1_1_1__1__NitrousOxideEmissionsFromCropResidues_Arguments(), 3,4)</f>
        <v>kg N</v>
      </c>
      <c r="Q71" s="137" t="str">
        <v>Calculated from 6.1.1.1 (2)</v>
      </c>
      <c r="R71" s="154">
        <f>N59</f>
        <v>2975.2799999999997</v>
      </c>
    </row>
    <row r="72" spans="12:18" ht="20.100000000000001" customHeight="1" x14ac:dyDescent="0.25">
      <c r="L72" s="8"/>
      <c r="M72" s="154" t="str">
        <v>EF_Ni</v>
      </c>
      <c r="N72" s="162" t="str">
        <v>emission factor for crop residues returned to the soil</v>
      </c>
      <c r="O72" s="164"/>
      <c r="P72" s="154" t="str">
        <v>kg N2O-N/kg N</v>
      </c>
      <c r="Q72" s="137" t="str">
        <v>Constant</v>
      </c>
      <c r="R72" s="154" cm="1">
        <f t="array" ref="R72">Common_InputFunctions.Utility_LookupValueInTableNumber(R75,Table_SourceData_N2OEFOrganicFert[Climate zone type i],Table_SourceData_N2OEFOrganicFert[EF i N2O])</f>
        <v>5.0000000000000001E-3</v>
      </c>
    </row>
    <row r="73" spans="12:18" ht="20.100000000000001" customHeight="1" x14ac:dyDescent="0.25">
      <c r="L73" s="8"/>
      <c r="M73" s="154" t="str">
        <v>C_N2O</v>
      </c>
      <c r="N73" s="162" t="str">
        <v>factor to convert elemental mass of nitrous oxide to molecular mass</v>
      </c>
      <c r="O73" s="164"/>
      <c r="P73" s="154" t="str">
        <v>dimensionless</v>
      </c>
      <c r="Q73" s="137" t="str">
        <v>Constant</v>
      </c>
      <c r="R73" s="154">
        <f>Common_InputFunctions.Utility_LookupValueInTableNumber("N2O",Table_GasToMolecularConversionFactor[Gas],Table_GasToMolecularConversionFactor[Conversion factor combined])</f>
        <v>1.5714285714285714</v>
      </c>
    </row>
    <row r="74" spans="12:18" ht="20.100000000000001" customHeight="1" x14ac:dyDescent="0.25">
      <c r="L74" s="8"/>
      <c r="M74" s="154" t="str">
        <v>c</v>
      </c>
      <c r="N74" s="162" t="str">
        <v>Crop type</v>
      </c>
      <c r="O74" s="164"/>
      <c r="P74" s="154" t="str">
        <v/>
      </c>
      <c r="Q74" s="136" t="str">
        <v>Input</v>
      </c>
      <c r="R74" s="154" t="str">
        <f>X_Cell_Crop_CropType</f>
        <v>Wheat</v>
      </c>
    </row>
    <row r="75" spans="12:18" ht="20.100000000000001" customHeight="1" x14ac:dyDescent="0.25">
      <c r="L75" s="8"/>
      <c r="M75" s="154" t="str">
        <v>i</v>
      </c>
      <c r="N75" s="162" t="str">
        <v>Wet or dry climate zone</v>
      </c>
      <c r="O75" s="164"/>
      <c r="P75" s="154" t="str">
        <v/>
      </c>
      <c r="Q75" s="136" t="str">
        <v>Input</v>
      </c>
      <c r="R75" s="154" t="str">
        <f>X_Cell_Site_WetOrDryClimateZone</f>
        <v>Dry climate zone</v>
      </c>
    </row>
    <row r="76" spans="12:18" ht="20.100000000000001" customHeight="1" x14ac:dyDescent="0.25">
      <c r="L76" s="8"/>
      <c r="M76" s="8"/>
      <c r="N76" s="8"/>
      <c r="O76" s="8"/>
      <c r="P76" s="8"/>
      <c r="Q76" s="8"/>
    </row>
    <row r="77" spans="12:18" ht="20.100000000000001" customHeight="1" x14ac:dyDescent="0.25">
      <c r="L77" s="8"/>
      <c r="M77" s="149" t="s">
        <v>298</v>
      </c>
      <c r="N77" s="150" cm="1">
        <f t="array" ref="N77">AgResidue_Equations_CropResidue.VEERG_6_1_1_1__1__NitrousOxideEmissionsFromCropResidues(R71,R72,R73)</f>
        <v>2.3377199999999997E-2</v>
      </c>
      <c r="O77" s="151" t="str">
        <f>$E$34</f>
        <v>t N2O</v>
      </c>
      <c r="Q77" s="8"/>
    </row>
    <row r="78" spans="12:18" ht="20.100000000000001" customHeight="1" x14ac:dyDescent="0.25">
      <c r="L78" s="8"/>
      <c r="Q78" s="8"/>
    </row>
    <row r="79" spans="12:18" ht="20.100000000000001" customHeight="1" x14ac:dyDescent="0.25">
      <c r="L79" s="8"/>
      <c r="M79" s="133" t="str" cm="1">
        <f t="array" ref="M79:N80">Common_Equations.Common_ConvertN2OToCO2e_Arguments()</f>
        <v>EN2O</v>
      </c>
      <c r="N79" s="134" t="str">
        <v>Nitrous oxide emissions (t N2O)</v>
      </c>
      <c r="O79" s="152"/>
      <c r="P79" s="25">
        <f>VEERG_6_1_1_1__1__NitrousOxideEmissionsFromCropResidues_Result_Method2</f>
        <v>2.3377199999999997E-2</v>
      </c>
    </row>
    <row r="80" spans="12:18" ht="20.100000000000001" customHeight="1" x14ac:dyDescent="0.25">
      <c r="L80" s="8"/>
      <c r="M80" s="133" t="str">
        <v>GWPN2O</v>
      </c>
      <c r="N80" s="134" t="str">
        <v>Global warming potential for nitrous oxide (t CO2-e / t N2O)</v>
      </c>
      <c r="O80" s="152"/>
      <c r="P80" s="25">
        <f>Common_InputFunctions.Utility_LookupValueInTableNumber("N2O",Table_GWPData[Gas],Table_GWPData[CO2-e factor])</f>
        <v>265</v>
      </c>
    </row>
    <row r="81" spans="12:18" ht="20.100000000000001" customHeight="1" x14ac:dyDescent="0.25">
      <c r="L81" s="8"/>
      <c r="Q81" s="8"/>
    </row>
    <row r="82" spans="12:18" ht="20.100000000000001" customHeight="1" x14ac:dyDescent="0.25">
      <c r="L82" s="8"/>
      <c r="M82" s="146" t="s">
        <v>299</v>
      </c>
      <c r="N82" s="146" cm="1">
        <f t="array" ref="N82">Common_Equations.Common_ConvertN2OToCO2e(P79,P80)</f>
        <v>6.1949579999999989</v>
      </c>
      <c r="O82" s="153" t="str" cm="1">
        <f t="array" ref="O82">Common_Equations.Common_ConvertN2OToCO2e_Unit()</f>
        <v>t CO2e</v>
      </c>
      <c r="Q82" s="8"/>
    </row>
    <row r="83" spans="12:18" ht="20.100000000000001" customHeight="1" x14ac:dyDescent="0.25">
      <c r="L83" s="8"/>
      <c r="M83" s="8"/>
      <c r="N83" s="8"/>
      <c r="O83" s="232"/>
      <c r="P83" s="8"/>
      <c r="Q83" s="8"/>
      <c r="R83" s="8"/>
    </row>
    <row r="84" spans="12:18" ht="20.100000000000001" customHeight="1" x14ac:dyDescent="0.25">
      <c r="L84" s="8"/>
    </row>
    <row r="85" spans="12:18" ht="20.100000000000001" customHeight="1" x14ac:dyDescent="0.25">
      <c r="L85" s="8"/>
    </row>
    <row r="86" spans="12:18" ht="20.100000000000001" customHeight="1" x14ac:dyDescent="0.25">
      <c r="L86" s="8"/>
    </row>
    <row r="87" spans="12:18" ht="20.100000000000001" customHeight="1" x14ac:dyDescent="0.25"/>
    <row r="88" spans="12:18" ht="20.100000000000001" customHeight="1" x14ac:dyDescent="0.25"/>
    <row r="89" spans="12:18" ht="20.100000000000001" customHeight="1" x14ac:dyDescent="0.25"/>
    <row r="90" spans="12:18" ht="20.100000000000001" customHeight="1" x14ac:dyDescent="0.25"/>
    <row r="91" spans="12:18" ht="20.100000000000001" customHeight="1" x14ac:dyDescent="0.25"/>
    <row r="92" spans="12:18" ht="20.100000000000001" customHeight="1" x14ac:dyDescent="0.25"/>
    <row r="93" spans="12:18" ht="20.100000000000001" customHeight="1" x14ac:dyDescent="0.25"/>
    <row r="94" spans="12:18" ht="20.100000000000001" customHeight="1" x14ac:dyDescent="0.25"/>
    <row r="95" spans="12:18" ht="20.100000000000001" customHeight="1" x14ac:dyDescent="0.25"/>
    <row r="96" spans="12: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S172 O150:R150 E269 N166:S166 O143:S144 E228 O167:S167 G132 I129:I133 F134:I134 F129:F132 H128:H132 G129 F148:I148 I149 F150:I150 R149:S149" xr:uid="{67F7896E-0383-4907-B2A9-3E5C44C71023}"/>
  </dataValidation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542B-33F8-496B-AFC7-1E6B0804DBA3}">
  <dimension ref="A1:T165"/>
  <sheetViews>
    <sheetView showGridLines="0"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31" customFormat="1" ht="30" customHeight="1" x14ac:dyDescent="0.35">
      <c r="A1" s="16" t="e" vm="1">
        <v>#VALUE!</v>
      </c>
      <c r="C1" s="31" t="s">
        <v>641</v>
      </c>
    </row>
    <row r="2" spans="1:20" s="3" customFormat="1" ht="20.100000000000001" customHeight="1" x14ac:dyDescent="0.25">
      <c r="A2"/>
    </row>
    <row r="3" spans="1:20" ht="20.100000000000001" customHeight="1" x14ac:dyDescent="0.25">
      <c r="A3" s="5" t="str">
        <f>HYPERLINK("#'Home'!A1", "Home")</f>
        <v>Home</v>
      </c>
      <c r="C3" s="33"/>
      <c r="D3" s="33" t="s">
        <v>135</v>
      </c>
      <c r="E3" s="33"/>
      <c r="F3" s="33"/>
      <c r="G3" s="33"/>
      <c r="H3" s="33"/>
      <c r="I3" s="33"/>
      <c r="J3" s="33"/>
      <c r="K3" s="33"/>
      <c r="M3" s="33"/>
      <c r="N3" s="33" t="s">
        <v>136</v>
      </c>
      <c r="O3" s="33"/>
      <c r="P3" s="33"/>
      <c r="Q3" s="33"/>
      <c r="R3" s="33"/>
      <c r="S3" s="33"/>
      <c r="T3" s="33"/>
    </row>
    <row r="4" spans="1:20" ht="20.100000000000001" customHeight="1" x14ac:dyDescent="0.25">
      <c r="A4" s="5" t="str">
        <f>HYPERLINK("#'Overview'!A1", "Overview")</f>
        <v>Overview</v>
      </c>
    </row>
    <row r="5" spans="1:20" ht="20.100000000000001" customHeight="1" x14ac:dyDescent="0.25">
      <c r="A5" s="5" t="str">
        <f>HYPERLINK("#'Results'!A1", "Results")</f>
        <v>Results</v>
      </c>
      <c r="C5" s="8"/>
      <c r="D5" s="2" t="str" cm="1">
        <f t="array" ref="D5">AgResidue_Equations_Leaching.VEERG_6_3_1_1__2__MassOfNitrogenLostThroughLeachingAndRunoff_Title()</f>
        <v>Mass of nitrogen lost through leaching and runoff</v>
      </c>
      <c r="E5" s="8"/>
      <c r="F5" s="8"/>
      <c r="G5" s="8"/>
      <c r="H5" s="8"/>
      <c r="I5" s="8"/>
      <c r="J5" s="8"/>
      <c r="K5" s="8"/>
    </row>
    <row r="6" spans="1:20" ht="20.100000000000001" customHeight="1" x14ac:dyDescent="0.25">
      <c r="C6" s="8"/>
      <c r="D6" s="27" t="str" cm="1">
        <f t="array" ref="D6">AgResidue_Equations_Leaching.VEERG_6_3_1_1__2__MassOfNitrogenLostThroughLeachingAndRunoff_Source()</f>
        <v>VEERG 2026: 6.3.1.1, Equation (2)</v>
      </c>
      <c r="E6" s="8"/>
      <c r="F6" s="8"/>
      <c r="G6" s="8"/>
      <c r="H6" s="8"/>
      <c r="I6" s="8"/>
      <c r="J6" s="8"/>
      <c r="K6" s="8"/>
    </row>
    <row r="7" spans="1:20" ht="20.100000000000001" customHeight="1" x14ac:dyDescent="0.25">
      <c r="C7" s="8"/>
      <c r="D7" s="132" t="s">
        <v>267</v>
      </c>
      <c r="E7" s="132" t="str" cm="1">
        <f t="array" aca="1" ref="E7" ca="1">Common_InputFunctions.Utility_DisplayFunctionName(I24)</f>
        <v>=AgResidue_Equations_Leaching.VEERG_6_3_1_1__2__MassOfNitrogenLostThroughLeachingAndRunoff</v>
      </c>
      <c r="F7" s="132"/>
      <c r="G7" s="8"/>
      <c r="H7" s="8"/>
      <c r="I7" s="8"/>
      <c r="J7" s="8"/>
      <c r="K7" s="8"/>
    </row>
    <row r="8" spans="1:20" ht="20.100000000000001" customHeight="1" x14ac:dyDescent="0.25">
      <c r="A8" s="7" t="s">
        <v>0</v>
      </c>
      <c r="C8" s="8"/>
      <c r="F8" s="8"/>
      <c r="G8" s="8"/>
      <c r="H8" s="8"/>
      <c r="I8" s="8"/>
      <c r="J8" s="8"/>
      <c r="K8" s="8"/>
    </row>
    <row r="9" spans="1:20" ht="20.100000000000001" customHeight="1" x14ac:dyDescent="0.25">
      <c r="A9" s="5" t="str">
        <f>HYPERLINK("#'Input - Enterprise'!A1", "Enterprise")</f>
        <v>Enterprise</v>
      </c>
      <c r="C9" s="8"/>
      <c r="D9" s="8"/>
      <c r="E9" s="8"/>
      <c r="F9" s="8"/>
      <c r="G9" s="8"/>
      <c r="H9" s="8"/>
      <c r="I9" s="8"/>
      <c r="J9" s="8"/>
      <c r="K9" s="8"/>
    </row>
    <row r="10" spans="1:20" ht="20.100000000000001" customHeight="1" x14ac:dyDescent="0.25">
      <c r="A10" s="5" t="str">
        <f>HYPERLINK("#'Input - Site'!A1", "Site")</f>
        <v>Site</v>
      </c>
      <c r="C10" s="8"/>
      <c r="D10" s="12" t="s">
        <v>268</v>
      </c>
      <c r="E10" s="8" t="str" cm="1">
        <f t="array" ref="E10">AgResidue_Equations_Leaching.VEERG_6_3_1_1__2__MassOfNitrogenLostThroughLeachingAndRunoff_Variable()</f>
        <v>M_leachcp</v>
      </c>
      <c r="F10" s="8"/>
      <c r="G10" s="27"/>
      <c r="H10" s="8"/>
      <c r="I10" s="8"/>
      <c r="J10" s="8"/>
      <c r="K10" s="8"/>
    </row>
    <row r="11" spans="1:20" ht="20.100000000000001" customHeight="1" x14ac:dyDescent="0.25">
      <c r="A11" s="5" t="str">
        <f>HYPERLINK("#'Input - Crop'!A1", "Crop")</f>
        <v>Crop</v>
      </c>
      <c r="C11" s="8"/>
      <c r="D11" s="12" t="s">
        <v>121</v>
      </c>
      <c r="E11" s="15" t="str" cm="1">
        <f t="array" ref="E11">AgResidue_Equations_Leaching.VEERG_6_3_1_1__2__MassOfNitrogenLostThroughLeachingAndRunoff_Unit()</f>
        <v>kg N</v>
      </c>
      <c r="F11" s="8"/>
      <c r="G11" s="8"/>
      <c r="H11" s="8"/>
      <c r="I11" s="8"/>
      <c r="J11" s="8"/>
      <c r="K11" s="8"/>
    </row>
    <row r="12" spans="1:20" ht="20.100000000000001" customHeight="1" x14ac:dyDescent="0.25">
      <c r="A12" s="5" t="str">
        <f>HYPERLINK("#'Input - Fert Prod System'!A1", "Fert Prod System")</f>
        <v>Fert Prod System</v>
      </c>
      <c r="C12" s="8"/>
      <c r="D12" s="8"/>
      <c r="E12" s="8"/>
      <c r="F12" s="8"/>
      <c r="G12" s="8"/>
      <c r="H12" s="8"/>
      <c r="I12" s="8"/>
      <c r="J12" s="8"/>
      <c r="K12" s="8"/>
    </row>
    <row r="13" spans="1:20" ht="20.100000000000001" customHeight="1" x14ac:dyDescent="0.25">
      <c r="A13" s="5" t="str">
        <f>HYPERLINK("#'Input - Fertiliser'!A1", "Fertiliser")</f>
        <v>Fertiliser</v>
      </c>
      <c r="C13" s="8"/>
      <c r="D13" s="154" t="str" cm="1">
        <f t="array" ref="D13:E19">_xlfn.CHOOSECOLS(AgResidue_Equations_Leaching.VEERG_6_3_1_1__2__MassOfNitrogenLostThroughLeachingAndRunoff_Arguments(), 1,2)</f>
        <v>M_cp</v>
      </c>
      <c r="E13" s="162" t="str">
        <v>mass of nitrogen in crop residues c or pasture residues p applied to soils</v>
      </c>
      <c r="F13" s="163"/>
      <c r="G13" s="164"/>
      <c r="H13" s="154" t="str" cm="1">
        <f t="array" ref="H13:I19">_xlfn.CHOOSECOLS(AgResidue_Equations_Leaching.VEERG_6_3_1_1__2__MassOfNitrogenLostThroughLeachingAndRunoff_Arguments(), 3,4)</f>
        <v>kg N</v>
      </c>
      <c r="I13" s="137" t="str">
        <v>Calc from 6.1.1.1 (2) and 6.2.1.1 (2)</v>
      </c>
      <c r="J13" s="140" t="str" cm="1">
        <f t="array" aca="1" ref="J13" ca="1">HYPERLINK(Common_InputFunctions.Utility_SourceHyperlink($D$21), $D$21)</f>
        <v>M1_Table_M_leach_cp</v>
      </c>
      <c r="K13" s="8"/>
    </row>
    <row r="14" spans="1:20" ht="20.100000000000001" customHeight="1" x14ac:dyDescent="0.25">
      <c r="A14" s="5" t="str">
        <f>HYPERLINK("#'Input - Fuel'!A1", "Fuel")</f>
        <v>Fuel</v>
      </c>
      <c r="C14" s="8"/>
      <c r="D14" s="154" t="str">
        <v>FracWET_j</v>
      </c>
      <c r="E14" s="162" t="str">
        <v>fraction of N that is available for leaching and runoff from the leaching zone z and irrigation type ir</v>
      </c>
      <c r="F14" s="163"/>
      <c r="G14" s="164"/>
      <c r="H14" s="154" t="str">
        <v>fraction</v>
      </c>
      <c r="I14" s="137" t="str">
        <v>Constant</v>
      </c>
      <c r="J14" s="140" t="str" cm="1">
        <f t="array" aca="1" ref="J14" ca="1">HYPERLINK(Common_InputFunctions.Utility_SourceHyperlink($D$21), $D$21)</f>
        <v>M1_Table_M_leach_cp</v>
      </c>
      <c r="K14" s="8"/>
    </row>
    <row r="15" spans="1:20" ht="20.100000000000001" customHeight="1" x14ac:dyDescent="0.25">
      <c r="A15" s="5" t="str">
        <f>HYPERLINK("#'Input - Electricity'!A1", "Electricity")</f>
        <v>Electricity</v>
      </c>
      <c r="C15" s="8"/>
      <c r="D15" s="154" t="str">
        <v>FracLEACH</v>
      </c>
      <c r="E15" s="162" t="str">
        <v>fraction of N that is lost through leaching and runoff</v>
      </c>
      <c r="F15" s="163"/>
      <c r="G15" s="164"/>
      <c r="H15" s="154" t="str">
        <v>fraction</v>
      </c>
      <c r="I15" s="137" t="str">
        <v>Constant</v>
      </c>
      <c r="J15" s="154">
        <f>'Constants - Common'!$E$164</f>
        <v>0.24</v>
      </c>
      <c r="K15" s="8"/>
    </row>
    <row r="16" spans="1:20" ht="20.100000000000001" customHeight="1" x14ac:dyDescent="0.25">
      <c r="A16" s="5" t="str">
        <f>HYPERLINK("#'Input - Farm Inputs'!A1", "Farm Inputs")</f>
        <v>Farm Inputs</v>
      </c>
      <c r="C16" s="8"/>
      <c r="D16" s="154" t="str">
        <v>z</v>
      </c>
      <c r="E16" s="162" t="str">
        <v>Location in leaching zone</v>
      </c>
      <c r="F16" s="163"/>
      <c r="G16" s="164"/>
      <c r="H16" s="154" t="str">
        <v/>
      </c>
      <c r="I16" s="136" t="str">
        <v>Input</v>
      </c>
      <c r="J16" s="140" t="str" cm="1">
        <f t="array" aca="1" ref="J16" ca="1">HYPERLINK(Common_InputFunctions.Utility_SourceHyperlink($D$21), $D$21)</f>
        <v>M1_Table_M_leach_cp</v>
      </c>
      <c r="K16" s="8"/>
    </row>
    <row r="17" spans="1:20" ht="20.100000000000001" customHeight="1" x14ac:dyDescent="0.25">
      <c r="A17" s="5" t="str">
        <f>HYPERLINK("#'Input - Freight'!A1", "Freight")</f>
        <v>Freight</v>
      </c>
      <c r="C17" s="8"/>
      <c r="D17" s="154" t="str">
        <v>c</v>
      </c>
      <c r="E17" s="162" t="str">
        <v>Crop residue type</v>
      </c>
      <c r="F17" s="163"/>
      <c r="G17" s="164"/>
      <c r="H17" s="154" t="str">
        <v/>
      </c>
      <c r="I17" s="136" t="str">
        <v>Input</v>
      </c>
      <c r="J17" s="154" t="str">
        <f>X_Cell_Crop_CropType</f>
        <v>Wheat</v>
      </c>
      <c r="K17" s="8"/>
    </row>
    <row r="18" spans="1:20" ht="20.100000000000001" customHeight="1" x14ac:dyDescent="0.25">
      <c r="A18" s="5" t="str">
        <f>HYPERLINK("#'Input - Manure sent off-site'!A1", "Manure sent off-site")</f>
        <v>Manure sent off-site</v>
      </c>
      <c r="C18" s="8"/>
      <c r="D18" s="154" t="str">
        <v>p</v>
      </c>
      <c r="E18" s="162" t="str">
        <v>Pasture residue type</v>
      </c>
      <c r="F18" s="163"/>
      <c r="G18" s="164"/>
      <c r="H18" s="154" t="str">
        <v/>
      </c>
      <c r="I18" s="136" t="str">
        <v>Input</v>
      </c>
      <c r="J18" s="154" t="s">
        <v>127</v>
      </c>
      <c r="K18" s="8"/>
    </row>
    <row r="19" spans="1:20" ht="20.100000000000001" customHeight="1" x14ac:dyDescent="0.25">
      <c r="A19" s="5" t="str">
        <f>HYPERLINK("#'Input - Solid waste'!A1", "Solid waste")</f>
        <v>Solid waste</v>
      </c>
      <c r="C19" s="8"/>
      <c r="D19" s="154" t="str">
        <v>ir</v>
      </c>
      <c r="E19" s="162" t="str">
        <v>Irrigation type</v>
      </c>
      <c r="F19" s="163"/>
      <c r="G19" s="164"/>
      <c r="H19" s="154" t="str">
        <v/>
      </c>
      <c r="I19" s="136" t="str">
        <v>Input</v>
      </c>
      <c r="J19" s="140" t="str" cm="1">
        <f t="array" aca="1" ref="J19" ca="1">HYPERLINK(Common_InputFunctions.Utility_SourceHyperlink($D$21), $D$21)</f>
        <v>M1_Table_M_leach_cp</v>
      </c>
      <c r="K19" s="8"/>
    </row>
    <row r="20" spans="1:20" ht="20.100000000000001" customHeight="1" x14ac:dyDescent="0.25">
      <c r="A20" s="5" t="str">
        <f>HYPERLINK("#'Input - Data quality'!A1", "Data quality")</f>
        <v>Data quality</v>
      </c>
      <c r="C20" s="8"/>
      <c r="D20" s="8"/>
      <c r="E20" s="8"/>
      <c r="F20" s="8"/>
      <c r="G20" s="8"/>
      <c r="H20" s="8"/>
      <c r="I20" s="8"/>
      <c r="J20" s="8"/>
      <c r="K20" s="8"/>
    </row>
    <row r="21" spans="1:20" ht="20.100000000000001" customHeight="1" x14ac:dyDescent="0.25">
      <c r="C21" s="8"/>
      <c r="D21" s="143" t="s">
        <v>642</v>
      </c>
      <c r="E21" s="8"/>
      <c r="F21" s="8"/>
      <c r="G21" s="8"/>
      <c r="H21" s="8"/>
      <c r="I21" s="8"/>
      <c r="J21" s="8"/>
      <c r="K21" s="8"/>
      <c r="N21" s="143" t="s">
        <v>643</v>
      </c>
      <c r="O21" s="8"/>
      <c r="P21" s="8"/>
      <c r="Q21" s="8"/>
      <c r="R21" s="8"/>
      <c r="S21" s="8"/>
    </row>
    <row r="22" spans="1:20" ht="20.100000000000001" customHeight="1" x14ac:dyDescent="0.25">
      <c r="C22" s="8"/>
      <c r="D22" s="144" t="s">
        <v>644</v>
      </c>
      <c r="E22" s="8"/>
      <c r="F22" s="8"/>
      <c r="G22" s="8"/>
      <c r="H22" s="8"/>
      <c r="I22" s="8"/>
      <c r="J22" s="8"/>
      <c r="K22" s="8"/>
      <c r="N22" s="144" t="s">
        <v>645</v>
      </c>
      <c r="O22" s="8"/>
      <c r="P22" s="8"/>
      <c r="Q22" s="8"/>
      <c r="R22" s="8"/>
      <c r="S22" s="8"/>
    </row>
    <row r="23" spans="1:20" ht="20.100000000000001" customHeight="1" x14ac:dyDescent="0.25">
      <c r="A23" s="6" t="s">
        <v>2</v>
      </c>
      <c r="C23" s="8"/>
      <c r="D23" s="92" t="s">
        <v>646</v>
      </c>
      <c r="E23" s="145" t="s">
        <v>647</v>
      </c>
      <c r="F23" s="92" t="s">
        <v>648</v>
      </c>
      <c r="G23" s="92" t="s">
        <v>103</v>
      </c>
      <c r="H23" s="145" t="s">
        <v>649</v>
      </c>
      <c r="I23" s="145" t="s">
        <v>650</v>
      </c>
      <c r="J23" s="8"/>
      <c r="K23" s="8"/>
      <c r="N23" s="92" t="s">
        <v>646</v>
      </c>
      <c r="O23" s="145" t="s">
        <v>647</v>
      </c>
      <c r="P23" s="92" t="s">
        <v>648</v>
      </c>
      <c r="Q23" s="92" t="s">
        <v>103</v>
      </c>
      <c r="R23" s="145" t="s">
        <v>649</v>
      </c>
      <c r="S23" s="145" t="s">
        <v>650</v>
      </c>
    </row>
    <row r="24" spans="1:20" ht="20.100000000000001" customHeight="1" x14ac:dyDescent="0.25">
      <c r="A24" s="5" t="str">
        <f>HYPERLINK("#'5.1.1.1-2 Inorganic fert N2O'!A1", "5.1.1.1-2 Inorganic fert N2O")</f>
        <v>5.1.1.1-2 Inorganic fert N2O</v>
      </c>
      <c r="D24" s="25" t="s">
        <v>184</v>
      </c>
      <c r="E24" s="25">
        <f>'6.1.1.1-2 Crop residue N2O'!$E$24</f>
        <v>2975.2799999999997</v>
      </c>
      <c r="F24" s="25" t="str">
        <f>X_Cell_Crop_IrrigationMethod</f>
        <v>Sprinkler irrigation</v>
      </c>
      <c r="G24" s="25" t="str">
        <f>X_Cell_Site_LeachingZone</f>
        <v>NO - Not in leaching zone</v>
      </c>
      <c r="H24" s="25">
        <f>CommonCropping_InputFunctions.CommonCropping_GetFracWET(G24,F24,Table_SourceData_FracWET[Is in leaching zone],Table_SourceData_FracWET[FracWET], Table_SourceData_FracWETIrrigation[Irrigation type i],Table_SourceData_FracWETIrrigation[FracWET])</f>
        <v>1</v>
      </c>
      <c r="I24" s="25" cm="1">
        <f t="array" ref="I24">AgResidue_Equations_Leaching.VEERG_6_3_1_1__2__MassOfNitrogenLostThroughLeachingAndRunoff(E24,H24,$J$15)</f>
        <v>714.06719999999996</v>
      </c>
      <c r="N24" s="25"/>
      <c r="O24" s="25">
        <f>'6.1.1.1-2 Crop residue N2O'!$N$59</f>
        <v>2975.2799999999997</v>
      </c>
      <c r="P24" s="25"/>
      <c r="Q24" s="25"/>
      <c r="R24" s="25"/>
      <c r="S24" s="25" cm="1">
        <f t="array" ref="S24">AgResidue_Equations_Leaching.VEERG_6_3_1_1__2__MassOfNitrogenLostThroughLeachingAndRunoff(O24,H24,$J$15)</f>
        <v>714.06719999999996</v>
      </c>
    </row>
    <row r="25" spans="1:20" ht="20.100000000000001" customHeight="1" x14ac:dyDescent="0.25">
      <c r="A25" s="5" t="str">
        <f>HYPERLINK("#'5.1.1.3-4 Inorganic fert CO2'!A1", "5.1.1.3-4 Inorganic fert CO2")</f>
        <v>5.1.1.3-4 Inorganic fert CO2</v>
      </c>
      <c r="D25" s="25" t="s">
        <v>365</v>
      </c>
      <c r="E25" s="25" t="s">
        <v>127</v>
      </c>
      <c r="F25" s="25" t="s">
        <v>127</v>
      </c>
      <c r="G25" s="25" t="s">
        <v>127</v>
      </c>
      <c r="H25" s="25" t="s">
        <v>127</v>
      </c>
      <c r="I25" s="25" t="s">
        <v>127</v>
      </c>
      <c r="N25" s="25"/>
      <c r="O25" s="25" t="s">
        <v>127</v>
      </c>
      <c r="P25" s="25"/>
      <c r="Q25" s="25"/>
      <c r="R25" s="25"/>
      <c r="S25" s="25" t="s">
        <v>127</v>
      </c>
    </row>
    <row r="26" spans="1:20" ht="20.100000000000001" customHeight="1" x14ac:dyDescent="0.25">
      <c r="A26" s="5" t="str">
        <f>HYPERLINK("#'5.2.1.1-2 Organic Fert N2O'!A1", "5.2.1.1-2 Organic fert N2O")</f>
        <v>5.2.1.1-2 Organic fert N2O</v>
      </c>
    </row>
    <row r="27" spans="1:20" ht="20.100000000000001" customHeight="1" x14ac:dyDescent="0.25">
      <c r="A27" s="5" t="str">
        <f>HYPERLINK("#'5.3.1.1-2 Lime CO2'!A1", "5.3.1.1-2 Lime CO2")</f>
        <v>5.3.1.1-2 Lime CO2</v>
      </c>
      <c r="C27" s="231"/>
      <c r="D27" s="231"/>
      <c r="E27" s="231"/>
      <c r="F27" s="231"/>
      <c r="G27" s="231"/>
      <c r="H27" s="231"/>
      <c r="I27" s="231"/>
      <c r="J27" s="231"/>
      <c r="K27" s="231"/>
      <c r="M27" s="231"/>
      <c r="N27" s="231"/>
      <c r="O27" s="231"/>
      <c r="P27" s="231"/>
      <c r="Q27" s="231"/>
      <c r="R27" s="231"/>
      <c r="S27" s="231"/>
      <c r="T27" s="231"/>
    </row>
    <row r="28" spans="1:20" ht="20.100000000000001" customHeight="1" x14ac:dyDescent="0.25">
      <c r="A28" s="5" t="str">
        <f>HYPERLINK("#'5.4.1.1-4 Atmos deposition'!A1", "5.4.1.1-4 Atmos. deposition")</f>
        <v>5.4.1.1-4 Atmos. deposition</v>
      </c>
      <c r="C28" s="8"/>
      <c r="D28" s="2" t="str" cm="1">
        <f t="array" ref="D28">AgResidue_Equations_Leaching.VEERG_6_3_1_1__1__LeachingAndRunoffEmissionsCropAndPastureResidue_Title()</f>
        <v>Nitrous oxide leaching and runoff emissions from crop and pasture residues returned to the soil</v>
      </c>
      <c r="E28" s="8"/>
      <c r="F28" s="233"/>
      <c r="G28" s="8"/>
      <c r="H28" s="8"/>
      <c r="I28" s="8"/>
      <c r="J28" s="8"/>
      <c r="K28" s="8"/>
    </row>
    <row r="29" spans="1:20" ht="20.100000000000001" customHeight="1" x14ac:dyDescent="0.25">
      <c r="A29" s="5" t="str">
        <f>HYPERLINK("#'5.5.1.1-2 Leaching and runoff'!A1", "5.5.1.1-2 Leaching &amp; runoff")</f>
        <v>5.5.1.1-2 Leaching &amp; runoff</v>
      </c>
      <c r="C29" s="8"/>
      <c r="D29" s="27" t="str" cm="1">
        <f t="array" ref="D29">AgResidue_Equations_Leaching.VEERG_6_3_1_1__1__LeachingAndRunoffEmissionsCropAndPastureResidue_Source()</f>
        <v>VEERG 2026: 6.3.1.1, Equation (1)</v>
      </c>
      <c r="E29" s="8"/>
      <c r="F29" s="8"/>
      <c r="G29" s="8"/>
      <c r="H29" s="8"/>
      <c r="I29" s="8"/>
      <c r="J29" s="8"/>
      <c r="K29" s="8"/>
    </row>
    <row r="30" spans="1:20" ht="20.100000000000001" customHeight="1" x14ac:dyDescent="0.25">
      <c r="A30" s="5" t="str">
        <f>HYPERLINK("#'6.1.1.1-2 Crop residue N2O'!A1", "6.1.1.1-2 Crop residue N2O")</f>
        <v>6.1.1.1-2 Crop residue N2O</v>
      </c>
      <c r="C30" s="8"/>
      <c r="D30" s="132" t="s">
        <v>267</v>
      </c>
      <c r="E30" s="132" t="str" cm="1">
        <f t="array" aca="1" ref="E30" ca="1">Common_InputFunctions.Utility_DisplayFunctionName(E45)</f>
        <v>=AgResidue_Equations_Leaching.VEERG_6_3_1_1__1__LeachingAndRunoffEmissionsCropAndPastureResidue</v>
      </c>
      <c r="F30" s="8"/>
      <c r="G30" s="8"/>
      <c r="H30" s="8"/>
      <c r="I30" s="8"/>
      <c r="J30" s="8"/>
      <c r="K30" s="8"/>
    </row>
    <row r="31" spans="1:20" ht="20.100000000000001" customHeight="1" x14ac:dyDescent="0.25">
      <c r="A31" s="141" t="str">
        <f>HYPERLINK("#'6.3.1.1-2 Leach runoff crop'!A1", "6.3.1.1-2 Leach &amp; runoff (crop)")</f>
        <v>6.3.1.1-2 Leach &amp; runoff (crop)</v>
      </c>
      <c r="C31" s="8"/>
      <c r="D31" s="8"/>
      <c r="E31" s="8"/>
      <c r="F31" s="8"/>
      <c r="G31" s="8"/>
      <c r="H31" s="8"/>
      <c r="I31" s="8"/>
      <c r="J31" s="8"/>
      <c r="K31" s="8"/>
    </row>
    <row r="32" spans="1:20" ht="20.100000000000001" customHeight="1" x14ac:dyDescent="0.25">
      <c r="A32" s="5" t="str">
        <f>HYPERLINK("#'6.4.1.1-2 Residue burning'!A1", "6.4.1.1-2 Residue burning")</f>
        <v>6.4.1.1-2 Residue burning</v>
      </c>
      <c r="C32" s="8"/>
      <c r="D32" s="8"/>
      <c r="E32" s="8"/>
      <c r="F32" s="27"/>
      <c r="G32" s="8"/>
      <c r="H32" s="8"/>
      <c r="I32" s="8"/>
      <c r="J32" s="8"/>
      <c r="K32" s="8"/>
    </row>
    <row r="33" spans="1:17" ht="20.100000000000001" customHeight="1" x14ac:dyDescent="0.25">
      <c r="A33" s="5" t="str">
        <f>HYPERLINK("#'8.1.1.1-2 Transport fuel'!A1", "8.1.1.1-2 Transport fuel")</f>
        <v>8.1.1.1-2 Transport fuel</v>
      </c>
      <c r="C33" s="8"/>
      <c r="D33" s="12" t="s">
        <v>268</v>
      </c>
      <c r="E33" s="8" t="str" cm="1">
        <f t="array" ref="E33">AgResidue_Equations_Leaching.VEERG_6_3_1_1__1__LeachingAndRunoffEmissionsCropAndPastureResidue_Variable()</f>
        <v>EN2O</v>
      </c>
      <c r="F33" s="8"/>
      <c r="G33" s="8"/>
      <c r="H33" s="8"/>
      <c r="I33" s="8"/>
      <c r="J33" s="8"/>
      <c r="K33" s="8"/>
    </row>
    <row r="34" spans="1:17" ht="20.100000000000001" customHeight="1" x14ac:dyDescent="0.25">
      <c r="A34" s="5" t="str">
        <f>HYPERLINK("#'8.2.1.1-2 Stationary fuel'!A1", "8.2.1.1-2 Stationary fuel")</f>
        <v>8.2.1.1-2 Stationary fuel</v>
      </c>
      <c r="C34" s="8"/>
      <c r="D34" s="12" t="s">
        <v>121</v>
      </c>
      <c r="E34" s="15" t="str" cm="1">
        <f t="array" ref="E34">AgResidue_Equations_Leaching.VEERG_6_3_1_1__1__LeachingAndRunoffEmissionsCropAndPastureResidue_Unit()</f>
        <v>t N2O</v>
      </c>
      <c r="F34" s="8"/>
      <c r="G34" s="8"/>
      <c r="H34" s="8"/>
      <c r="I34" s="8"/>
      <c r="J34" s="8"/>
      <c r="K34" s="8"/>
    </row>
    <row r="35" spans="1:17" ht="20.100000000000001" customHeight="1" x14ac:dyDescent="0.25">
      <c r="A35" s="5" t="str">
        <f>HYPERLINK("#'14.1.1-2 Purchased electricity'!A1", "14.1.1-2 Purchased electricity")</f>
        <v>14.1.1-2 Purchased electricity</v>
      </c>
      <c r="C35" s="8"/>
      <c r="D35" s="8"/>
      <c r="E35" s="8"/>
      <c r="F35" s="8"/>
      <c r="G35" s="8"/>
      <c r="H35" s="8"/>
      <c r="I35" s="8"/>
      <c r="J35" s="8"/>
      <c r="K35" s="8"/>
    </row>
    <row r="36" spans="1:17" ht="20.100000000000001" customHeight="1" x14ac:dyDescent="0.25">
      <c r="A36" s="5" t="str">
        <f>HYPERLINK("#'15 Scope 3'!A1", "15 Scope 3")</f>
        <v>15 Scope 3</v>
      </c>
      <c r="C36" s="8"/>
      <c r="D36" s="154" t="str" cm="1">
        <f t="array" ref="D36:E40">_xlfn.CHOOSECOLS(AgResidue_Equations_Leaching.VEERG_6_3_1_1__1__LeachingAndRunoffEmissionsCropAndPastureResidue_Arguments(),1,2)</f>
        <v>M_leachcp</v>
      </c>
      <c r="E36" s="162" t="str">
        <v>mass of nitrogen lost through leaching and runoff from the crop residue c or pasture residue p</v>
      </c>
      <c r="F36" s="163"/>
      <c r="G36" s="164"/>
      <c r="H36" s="154" t="str" cm="1">
        <f t="array" ref="H36:I40">_xlfn.CHOOSECOLS(AgResidue_Equations_Leaching.VEERG_6_3_1_1__1__LeachingAndRunoffEmissionsCropAndPastureResidue_Arguments(),3,4)</f>
        <v>kg N</v>
      </c>
      <c r="I36" s="137" t="str">
        <v>Calculated from 6.3.1.1 (2)</v>
      </c>
      <c r="J36" s="154" t="str" cm="1">
        <f t="array" aca="1" ref="J36" ca="1">HYPERLINK(Common_InputFunctions.Utility_SourceHyperlink($D$21), $D$21)</f>
        <v>M1_Table_M_leach_cp</v>
      </c>
      <c r="K36" s="8"/>
    </row>
    <row r="37" spans="1:17" ht="20.100000000000001" customHeight="1" x14ac:dyDescent="0.25">
      <c r="A37" s="5" t="str">
        <f>HYPERLINK("#'Calcs - Manure sent off-site'!A1", "Calcs - Manure sent off-site")</f>
        <v>Calcs - Manure sent off-site</v>
      </c>
      <c r="C37" s="8"/>
      <c r="D37" s="154" t="str">
        <v>EF_leach</v>
      </c>
      <c r="E37" s="162" t="str">
        <v>emission factor for leaching and runoff</v>
      </c>
      <c r="F37" s="163"/>
      <c r="G37" s="164"/>
      <c r="H37" s="154" t="str">
        <v>kg N2O-N/kg N</v>
      </c>
      <c r="I37" s="137" t="str">
        <v>Constant</v>
      </c>
      <c r="J37" s="154">
        <f>'Constants - Common'!$E$170</f>
        <v>1.0999999999999999E-2</v>
      </c>
      <c r="K37" s="8"/>
    </row>
    <row r="38" spans="1:17" ht="20.100000000000001" customHeight="1" x14ac:dyDescent="0.25">
      <c r="A38" s="5" t="str">
        <f>HYPERLINK("#'10.1.1-2 Solid waste treatment'!A1", "10.1.1-2 Solid waste treatment")</f>
        <v>10.1.1-2 Solid waste treatment</v>
      </c>
      <c r="C38" s="8"/>
      <c r="D38" s="154" t="str">
        <v>C_N2O</v>
      </c>
      <c r="E38" s="162" t="str">
        <v>factor to convert elemental mass of nitrous oxide to molecular mass</v>
      </c>
      <c r="F38" s="163"/>
      <c r="G38" s="164"/>
      <c r="H38" s="154" t="str">
        <v>dimensionless</v>
      </c>
      <c r="I38" s="137" t="str">
        <v>Constant</v>
      </c>
      <c r="J38" s="154">
        <f>Common_InputFunctions.Utility_LookupValueInTableNumber("N2O",Table_GasToMolecularConversionFactor[Gas],Table_GasToMolecularConversionFactor[Conversion factor combined])</f>
        <v>1.5714285714285714</v>
      </c>
      <c r="K38" s="8"/>
    </row>
    <row r="39" spans="1:17" ht="20.100000000000001" customHeight="1" x14ac:dyDescent="0.25">
      <c r="C39" s="8"/>
      <c r="D39" s="154" t="str">
        <v>c</v>
      </c>
      <c r="E39" s="162" t="str">
        <v>Crop residue type</v>
      </c>
      <c r="F39" s="163"/>
      <c r="G39" s="164"/>
      <c r="H39" s="154" t="str">
        <v/>
      </c>
      <c r="I39" s="136" t="str">
        <v>Input</v>
      </c>
      <c r="J39" s="154" t="str">
        <f>X_Cell_Crop_CropType</f>
        <v>Wheat</v>
      </c>
      <c r="K39" s="8"/>
    </row>
    <row r="40" spans="1:17" ht="20.100000000000001" customHeight="1" x14ac:dyDescent="0.25">
      <c r="C40" s="8"/>
      <c r="D40" s="154" t="str">
        <v>p</v>
      </c>
      <c r="E40" s="162" t="str">
        <v>Pasture residue type</v>
      </c>
      <c r="F40" s="163"/>
      <c r="G40" s="164"/>
      <c r="H40" s="154" t="str">
        <v/>
      </c>
      <c r="I40" s="136" t="str">
        <v>Input</v>
      </c>
      <c r="J40" s="154" t="s">
        <v>127</v>
      </c>
      <c r="K40" s="8"/>
    </row>
    <row r="41" spans="1:17" ht="20.100000000000001" customHeight="1" x14ac:dyDescent="0.25">
      <c r="A41" s="121" t="s">
        <v>1</v>
      </c>
      <c r="C41" s="8"/>
      <c r="D41" s="8"/>
      <c r="E41" s="8"/>
      <c r="F41" s="8"/>
      <c r="G41" s="8"/>
      <c r="H41" s="8"/>
      <c r="I41" s="8"/>
      <c r="J41" s="8"/>
      <c r="K41" s="8"/>
    </row>
    <row r="42" spans="1:17" ht="20.100000000000001" customHeight="1" x14ac:dyDescent="0.25">
      <c r="A42" s="5" t="str">
        <f>HYPERLINK("#'Constants - Ag Residue'!A1", "Constants - Ag residue")</f>
        <v>Constants - Ag residue</v>
      </c>
      <c r="C42" s="8"/>
      <c r="D42" s="143" t="s">
        <v>293</v>
      </c>
      <c r="E42" s="8"/>
      <c r="F42" s="8"/>
      <c r="G42" s="8"/>
      <c r="H42" s="8"/>
      <c r="I42" s="8"/>
      <c r="J42" s="8"/>
      <c r="K42" s="8"/>
      <c r="N42" s="143" t="s">
        <v>293</v>
      </c>
      <c r="O42" s="8"/>
      <c r="P42" s="8"/>
      <c r="Q42" s="8"/>
    </row>
    <row r="43" spans="1:17" ht="20.100000000000001" customHeight="1" x14ac:dyDescent="0.25">
      <c r="A43" s="5" t="str">
        <f>HYPERLINK("#'Constants - Common Livestock'!A1", "Constants - Common Livestock")</f>
        <v>Constants - Common Livestock</v>
      </c>
      <c r="C43" s="8"/>
      <c r="D43" s="144" t="s">
        <v>651</v>
      </c>
      <c r="E43" s="8"/>
      <c r="F43" s="8"/>
      <c r="G43" s="8"/>
      <c r="H43" s="8"/>
      <c r="I43" s="8"/>
      <c r="J43" s="8"/>
      <c r="K43" s="8"/>
      <c r="N43" s="144" t="s">
        <v>651</v>
      </c>
      <c r="O43" s="8"/>
      <c r="P43" s="8"/>
      <c r="Q43" s="8"/>
    </row>
    <row r="44" spans="1:17" ht="20.100000000000001" customHeight="1" x14ac:dyDescent="0.25">
      <c r="A44" s="5" t="str">
        <f>HYPERLINK("#'Constants - Electricity'!A1", "Constants - Electricity")</f>
        <v>Constants - Electricity</v>
      </c>
      <c r="C44" s="8"/>
      <c r="D44" s="145" t="s">
        <v>650</v>
      </c>
      <c r="E44" s="145" t="s">
        <v>652</v>
      </c>
      <c r="F44" s="8"/>
      <c r="G44" s="8"/>
      <c r="H44" s="8"/>
      <c r="I44" s="8"/>
      <c r="J44" s="8"/>
      <c r="K44" s="8"/>
      <c r="N44" s="145" t="s">
        <v>650</v>
      </c>
      <c r="O44" s="145" t="s">
        <v>652</v>
      </c>
      <c r="P44" s="8"/>
      <c r="Q44" s="8"/>
    </row>
    <row r="45" spans="1:17" ht="20.100000000000001" customHeight="1" x14ac:dyDescent="0.25">
      <c r="A45" s="5" t="str">
        <f>HYPERLINK("#'Constants - Fertiliser'!A1", "Constants - Fertiliser")</f>
        <v>Constants - Fertiliser</v>
      </c>
      <c r="C45" s="8"/>
      <c r="D45" s="25">
        <f>I24</f>
        <v>714.06719999999996</v>
      </c>
      <c r="E45" s="25" cm="1">
        <f t="array" ref="E45">AgResidue_Equations_Leaching.VEERG_6_3_1_1__1__LeachingAndRunoffEmissionsCropAndPastureResidue(D45,$J$37,$J$38)</f>
        <v>1.2343161599999999E-2</v>
      </c>
      <c r="F45" s="8"/>
      <c r="G45" s="8"/>
      <c r="H45" s="8"/>
      <c r="I45" s="8"/>
      <c r="J45" s="8"/>
      <c r="K45" s="8"/>
      <c r="N45" s="25">
        <f>S24</f>
        <v>714.06719999999996</v>
      </c>
      <c r="O45" s="25" cm="1">
        <f t="array" ref="O45">AgResidue_Equations_Leaching.VEERG_6_3_1_1__1__LeachingAndRunoffEmissionsCropAndPastureResidue(N45,$J$37,$J$38)</f>
        <v>1.2343161599999999E-2</v>
      </c>
      <c r="P45" s="8"/>
      <c r="Q45" s="8"/>
    </row>
    <row r="46" spans="1:17" ht="20.100000000000001" customHeight="1" x14ac:dyDescent="0.25">
      <c r="A46" s="5" t="str">
        <f>HYPERLINK("#'Constants - Fuel'!A1", "Constants - Fuel")</f>
        <v>Constants - Fuel</v>
      </c>
      <c r="C46" s="8"/>
      <c r="D46" s="25" t="str">
        <f>I25</f>
        <v>N/A</v>
      </c>
      <c r="E46" s="25" t="s">
        <v>127</v>
      </c>
      <c r="F46" s="8"/>
      <c r="G46" s="8"/>
      <c r="H46" s="8"/>
      <c r="I46" s="8"/>
      <c r="J46" s="8"/>
      <c r="K46" s="8"/>
      <c r="N46" s="25" t="str">
        <f>S25</f>
        <v>N/A</v>
      </c>
      <c r="O46" s="25" t="s">
        <v>127</v>
      </c>
      <c r="P46" s="8"/>
      <c r="Q46" s="8"/>
    </row>
    <row r="47" spans="1:17" ht="20.100000000000001" customHeight="1" x14ac:dyDescent="0.25">
      <c r="A47" s="5" t="str">
        <f>HYPERLINK("#'Constants - Scope 3'!A1", "Constants - Scope 3")</f>
        <v>Constants - Scope 3</v>
      </c>
      <c r="C47" s="8"/>
      <c r="F47" s="8"/>
      <c r="G47" s="8"/>
      <c r="H47" s="8"/>
      <c r="I47" s="8"/>
      <c r="J47" s="8"/>
      <c r="K47" s="8"/>
      <c r="P47" s="8"/>
      <c r="Q47" s="8"/>
    </row>
    <row r="48" spans="1:17" ht="20.100000000000001" customHeight="1" x14ac:dyDescent="0.4">
      <c r="A48" s="5" t="str">
        <f>HYPERLINK("#'Constants - Common'!A1", "Constants - Common")</f>
        <v>Constants - Common</v>
      </c>
      <c r="C48" s="8"/>
      <c r="D48" s="234" t="s">
        <v>653</v>
      </c>
      <c r="E48" s="235">
        <f>SUM(E45:E46)</f>
        <v>1.2343161599999999E-2</v>
      </c>
      <c r="F48" s="151" t="str">
        <f>$E$34</f>
        <v>t N2O</v>
      </c>
      <c r="G48" s="8"/>
      <c r="H48" s="8"/>
      <c r="I48" s="8"/>
      <c r="J48" s="8"/>
      <c r="K48" s="8"/>
      <c r="N48" s="234" t="s">
        <v>653</v>
      </c>
      <c r="O48" s="235">
        <f>SUM(O45:O46)</f>
        <v>1.2343161599999999E-2</v>
      </c>
      <c r="P48" s="151" t="str">
        <f>$E$34</f>
        <v>t N2O</v>
      </c>
      <c r="Q48" s="8"/>
    </row>
    <row r="49" spans="1:17" ht="20.100000000000001" customHeight="1" x14ac:dyDescent="0.25">
      <c r="A49" s="5" t="str">
        <f>HYPERLINK("#'Constants - Solid Waste'!A1", "Constants - Solid Waste")</f>
        <v>Constants - Solid Waste</v>
      </c>
      <c r="D49" s="8"/>
      <c r="E49" s="8"/>
      <c r="F49" s="8"/>
      <c r="G49" s="8"/>
      <c r="N49" s="8"/>
      <c r="O49" s="8"/>
      <c r="P49" s="8"/>
      <c r="Q49" s="8"/>
    </row>
    <row r="50" spans="1:17" ht="20.100000000000001" customHeight="1" x14ac:dyDescent="0.25">
      <c r="D50" s="133" t="str" cm="1">
        <f t="array" ref="D50:E51">Common_Equations.Common_ConvertN2OToCO2e_Arguments()</f>
        <v>EN2O</v>
      </c>
      <c r="E50" s="134" t="str">
        <v>Nitrous oxide emissions (t N2O)</v>
      </c>
      <c r="F50" s="152"/>
      <c r="G50" s="25">
        <f>VEERG_6_3_1_1__1__LeachingAndRunoffEmissionsCropAndPastureResidue_CropOnly_Result_Method1</f>
        <v>1.2343161599999999E-2</v>
      </c>
      <c r="N50" s="133" t="str" cm="1">
        <f t="array" ref="N50:O51">Common_Equations.Common_ConvertN2OToCO2e_Arguments()</f>
        <v>EN2O</v>
      </c>
      <c r="O50" s="134" t="str">
        <v>Nitrous oxide emissions (t N2O)</v>
      </c>
      <c r="P50" s="152"/>
      <c r="Q50" s="25">
        <f>VEERG_6_3_1_1__1__LeachingAndRunoffEmissionsCropAndPastureResidue_CropOnly_Result_Method2</f>
        <v>1.2343161599999999E-2</v>
      </c>
    </row>
    <row r="51" spans="1:17" ht="20.100000000000001" customHeight="1" x14ac:dyDescent="0.25">
      <c r="D51" s="133" t="str">
        <v>GWPN2O</v>
      </c>
      <c r="E51" s="134" t="str">
        <v>Global warming potential for nitrous oxide (t CO2-e / t N2O)</v>
      </c>
      <c r="F51" s="152"/>
      <c r="G51" s="25">
        <f>Common_InputFunctions.Utility_LookupValueInTableNumber("N2O",Table_GWPData[Gas],Table_GWPData[CO2-e factor])</f>
        <v>265</v>
      </c>
      <c r="H51" s="8"/>
      <c r="I51" s="8"/>
      <c r="N51" s="133" t="str">
        <v>GWPN2O</v>
      </c>
      <c r="O51" s="134" t="str">
        <v>Global warming potential for nitrous oxide (t CO2-e / t N2O)</v>
      </c>
      <c r="P51" s="152"/>
      <c r="Q51" s="25">
        <f>Common_InputFunctions.Utility_LookupValueInTableNumber("N2O",Table_GWPData[Gas],Table_GWPData[CO2-e factor])</f>
        <v>265</v>
      </c>
    </row>
    <row r="52" spans="1:17" ht="20.100000000000001" customHeight="1" x14ac:dyDescent="0.25">
      <c r="H52" s="8"/>
      <c r="I52" s="8"/>
    </row>
    <row r="53" spans="1:17" ht="20.100000000000001" customHeight="1" x14ac:dyDescent="0.25">
      <c r="D53" s="146" t="s">
        <v>299</v>
      </c>
      <c r="E53" s="146" cm="1">
        <f t="array" ref="E53">Common_Equations.Common_ConvertN2OToCO2e(G50,G51)</f>
        <v>3.2709378239999998</v>
      </c>
      <c r="F53" s="153" t="str" cm="1">
        <f t="array" ref="F53">Common_Equations.Common_ConvertN2OToCO2e_Unit()</f>
        <v>t CO2e</v>
      </c>
      <c r="I53" s="8"/>
      <c r="N53" s="146" t="s">
        <v>299</v>
      </c>
      <c r="O53" s="146" cm="1">
        <f t="array" ref="O53">Common_Equations.Common_ConvertN2OToCO2e(Q50,Q51)</f>
        <v>3.2709378239999998</v>
      </c>
      <c r="P53" s="153" t="str" cm="1">
        <f t="array" ref="P53">Common_Equations.Common_ConvertN2OToCO2e_Unit()</f>
        <v>t CO2e</v>
      </c>
    </row>
    <row r="54" spans="1:17" ht="20.100000000000001" customHeight="1" x14ac:dyDescent="0.25">
      <c r="I54" s="8"/>
    </row>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8"/>
      <c r="I60" s="8"/>
    </row>
    <row r="61" spans="1:17" ht="20.100000000000001" customHeight="1" x14ac:dyDescent="0.25">
      <c r="H61" s="8"/>
      <c r="I61" s="8"/>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9F94E-8AB8-413B-AAB8-DC12DF0980A6}">
  <dimension ref="A1:S165"/>
  <sheetViews>
    <sheetView showGridLines="0"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31" customFormat="1" ht="30" customHeight="1" x14ac:dyDescent="0.35">
      <c r="A1" s="16" t="e" vm="1">
        <v>#VALUE!</v>
      </c>
      <c r="C1" s="31" t="s">
        <v>654</v>
      </c>
    </row>
    <row r="2" spans="1:19" s="3" customFormat="1" ht="20.100000000000001" customHeight="1" x14ac:dyDescent="0.25">
      <c r="A2"/>
    </row>
    <row r="3" spans="1:19" ht="20.100000000000001" customHeight="1" x14ac:dyDescent="0.25">
      <c r="A3" s="5" t="str">
        <f>HYPERLINK("#'Home'!A1", "Home")</f>
        <v>Home</v>
      </c>
      <c r="C3" s="33"/>
      <c r="D3" s="33" t="s">
        <v>135</v>
      </c>
      <c r="E3" s="33"/>
      <c r="F3" s="33"/>
      <c r="G3" s="33"/>
      <c r="H3" s="33"/>
      <c r="I3" s="33"/>
      <c r="J3" s="33"/>
      <c r="L3" s="33"/>
      <c r="M3" s="33" t="s">
        <v>136</v>
      </c>
      <c r="N3" s="33"/>
      <c r="O3" s="33"/>
      <c r="P3" s="33"/>
      <c r="Q3" s="33"/>
      <c r="R3" s="33"/>
      <c r="S3" s="33"/>
    </row>
    <row r="4" spans="1:19" ht="20.100000000000001" customHeight="1" x14ac:dyDescent="0.25">
      <c r="A4" s="5" t="str">
        <f>HYPERLINK("#'Overview'!A1", "Overview")</f>
        <v>Overview</v>
      </c>
    </row>
    <row r="5" spans="1:19" ht="20.100000000000001" customHeight="1" x14ac:dyDescent="0.25">
      <c r="A5" s="5" t="str">
        <f>HYPERLINK("#'Results'!A1", "Results")</f>
        <v>Results</v>
      </c>
      <c r="D5" s="2" t="str" cm="1">
        <f t="array" ref="D5">AgResidue_Equations_FieldBurning.VEERG_6_4_1_1__3__MassOfCropResidueBurnt_Title()</f>
        <v>Mass of residue of crop c burnt</v>
      </c>
    </row>
    <row r="6" spans="1:19" ht="20.100000000000001" customHeight="1" x14ac:dyDescent="0.25">
      <c r="D6" s="27" t="str" cm="1">
        <f t="array" ref="D6">AgResidue_Equations_FieldBurning.VEERG_6_4_1_1__3__MassOfCropResidueBurnt_Source()</f>
        <v>VEERG 2026: 6.4.1.1, Equation (3)</v>
      </c>
    </row>
    <row r="7" spans="1:19" ht="20.100000000000001" customHeight="1" x14ac:dyDescent="0.25">
      <c r="D7" s="132" t="s">
        <v>267</v>
      </c>
      <c r="E7" s="132" t="str" cm="1">
        <f t="array" aca="1" ref="E7" ca="1">Common_InputFunctions.Utility_DisplayFunctionName(E21)</f>
        <v>=AgResidue_Equations_FieldBurning.VEERG_6_4_1_1__3__MassOfCropResidueBurnt</v>
      </c>
    </row>
    <row r="8" spans="1:19" ht="20.100000000000001" customHeight="1" x14ac:dyDescent="0.25">
      <c r="A8" s="7" t="s">
        <v>0</v>
      </c>
    </row>
    <row r="9" spans="1:19" ht="20.100000000000001" customHeight="1" x14ac:dyDescent="0.25">
      <c r="A9" s="5" t="str">
        <f>HYPERLINK("#'Input - Enterprise'!A1", "Enterprise")</f>
        <v>Enterprise</v>
      </c>
    </row>
    <row r="10" spans="1:19" ht="20.100000000000001" customHeight="1" x14ac:dyDescent="0.25">
      <c r="A10" s="5" t="str">
        <f>HYPERLINK("#'Input - Site'!A1", "Site")</f>
        <v>Site</v>
      </c>
      <c r="D10" s="88" t="s">
        <v>268</v>
      </c>
      <c r="E10" s="1" t="str" cm="1">
        <f t="array" ref="E10">AgResidue_Equations_FieldBurning.VEERG_6_4_1_1__3__MassOfCropResidueBurnt_Variable()</f>
        <v>M_burnc</v>
      </c>
    </row>
    <row r="11" spans="1:19" ht="20.100000000000001" customHeight="1" x14ac:dyDescent="0.25">
      <c r="A11" s="5" t="str">
        <f>HYPERLINK("#'Input - Crop'!A1", "Crop")</f>
        <v>Crop</v>
      </c>
      <c r="D11" s="88" t="s">
        <v>121</v>
      </c>
      <c r="E11" s="15" t="str" cm="1">
        <f t="array" ref="E11">AgResidue_Equations_FieldBurning.VEERG_6_4_1_1__3__MassOfCropResidueBurnt_Unit()</f>
        <v>kg</v>
      </c>
    </row>
    <row r="12" spans="1:19" ht="20.100000000000001" customHeight="1" x14ac:dyDescent="0.25">
      <c r="A12" s="5" t="str">
        <f>HYPERLINK("#'Input - Fert Prod System'!A1", "Fert Prod System")</f>
        <v>Fert Prod System</v>
      </c>
    </row>
    <row r="13" spans="1:19" ht="20.100000000000001" customHeight="1" x14ac:dyDescent="0.25">
      <c r="A13" s="5" t="str">
        <f>HYPERLINK("#'Input - Fertiliser'!A1", "Fertiliser")</f>
        <v>Fertiliser</v>
      </c>
      <c r="D13" s="154" t="str" cm="1">
        <f t="array" ref="D13:E19">_xlfn.CHOOSECOLS(AgResidue_Equations_FieldBurning.VEERG_6_4_1_1__3__MassOfCropResidueBurnt_Arguments(), 1, 2)</f>
        <v>P_c</v>
      </c>
      <c r="E13" s="162" t="str">
        <v>annual production of crop type c</v>
      </c>
      <c r="F13" s="164"/>
      <c r="G13" s="154" t="str" cm="1">
        <f t="array" ref="G13:H19">_xlfn.CHOOSECOLS(AgResidue_Equations_FieldBurning.VEERG_6_4_1_1__3__MassOfCropResidueBurnt_Arguments(), 3,4)</f>
        <v>kg</v>
      </c>
      <c r="H13" s="136" t="str">
        <v>Input</v>
      </c>
      <c r="I13" s="154">
        <f>X_Cell_Crop_TotalProductionOfCrop*10^3</f>
        <v>350000</v>
      </c>
    </row>
    <row r="14" spans="1:19" ht="20.100000000000001" customHeight="1" x14ac:dyDescent="0.25">
      <c r="A14" s="5" t="str">
        <f>HYPERLINK("#'Input - Fuel'!A1", "Fuel")</f>
        <v>Fuel</v>
      </c>
      <c r="D14" s="154" t="str">
        <v>R_AGc</v>
      </c>
      <c r="E14" s="162" t="str">
        <v>residue to crop ratio of crop type c</v>
      </c>
      <c r="F14" s="164"/>
      <c r="G14" s="154" t="str">
        <v>kg crop residue/kg crop</v>
      </c>
      <c r="H14" s="137" t="str">
        <v>Constant</v>
      </c>
      <c r="I14" s="154">
        <f>'Input - Crop'!$E$18</f>
        <v>1.5</v>
      </c>
    </row>
    <row r="15" spans="1:19" ht="20.100000000000001" customHeight="1" x14ac:dyDescent="0.25">
      <c r="A15" s="5" t="str">
        <f>HYPERLINK("#'Input - Electricity'!A1", "Electricity")</f>
        <v>Electricity</v>
      </c>
      <c r="D15" s="154" t="str">
        <v>S_c</v>
      </c>
      <c r="E15" s="162" t="str">
        <v>fraction of residues of crop type c remaining at burning</v>
      </c>
      <c r="F15" s="164"/>
      <c r="G15" s="154" t="str">
        <v>fraction</v>
      </c>
      <c r="H15" s="137" t="str">
        <v>Constant</v>
      </c>
      <c r="I15" s="154"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5" t="str">
        <f>HYPERLINK("#'Input - Farm Inputs'!A1", "Farm Inputs")</f>
        <v>Farm Inputs</v>
      </c>
      <c r="D16" s="154" t="str">
        <v>DM_c</v>
      </c>
      <c r="E16" s="162" t="str">
        <v>dry matter content of crop type c</v>
      </c>
      <c r="F16" s="164"/>
      <c r="G16" s="154" t="str">
        <v>kg dry weight/kg crop residue</v>
      </c>
      <c r="H16" s="137" t="str">
        <v>Constant</v>
      </c>
      <c r="I16" s="154" cm="1">
        <f t="array" ref="I16">Common_InputFunctions.Utility_LookupValueInTableNumber($I$19,Table_SourceData_CropAttributes[Crop type],Table_SourceData_CropAttributes[Dry matter content])</f>
        <v>0.88</v>
      </c>
    </row>
    <row r="17" spans="1:10" ht="20.100000000000001" customHeight="1" x14ac:dyDescent="0.25">
      <c r="A17" s="5" t="str">
        <f>HYPERLINK("#'Input - Freight'!A1", "Freight")</f>
        <v>Freight</v>
      </c>
      <c r="D17" s="154" t="str">
        <v>Z_c</v>
      </c>
      <c r="E17" s="162" t="str">
        <v>burning efficiency (ratio of fuel burnt to fuel load) of crop type c</v>
      </c>
      <c r="F17" s="164"/>
      <c r="G17" s="154" t="str">
        <v/>
      </c>
      <c r="H17" s="137" t="str">
        <v>Constant</v>
      </c>
      <c r="I17" s="154" cm="1">
        <f t="array" ref="I17">Common_InputFunctions.Utility_LookupValueInTableNumber($I$19,Table_SourceData_CropAttributes[Crop type],Table_SourceData_CropAttributes[Fraction burnt])</f>
        <v>0.9</v>
      </c>
    </row>
    <row r="18" spans="1:10" ht="20.100000000000001" customHeight="1" x14ac:dyDescent="0.25">
      <c r="A18" s="5" t="str">
        <f>HYPERLINK("#'Input - Manure sent off-site'!A1", "Manure sent off-site")</f>
        <v>Manure sent off-site</v>
      </c>
      <c r="D18" s="154" t="str">
        <v>F_c</v>
      </c>
      <c r="E18" s="162" t="str">
        <v>fraction of the annual production of crop type c that is burnt</v>
      </c>
      <c r="F18" s="164"/>
      <c r="G18" s="154" t="str">
        <v>fraction</v>
      </c>
      <c r="H18" s="137" t="str">
        <v>Constant</v>
      </c>
      <c r="I18" s="154">
        <f>X_Cell_Crop_PercentResidueBurned</f>
        <v>0.3</v>
      </c>
    </row>
    <row r="19" spans="1:10" ht="20.100000000000001" customHeight="1" x14ac:dyDescent="0.25">
      <c r="A19" s="5" t="str">
        <f>HYPERLINK("#'Input - Solid waste'!A1", "Solid waste")</f>
        <v>Solid waste</v>
      </c>
      <c r="D19" s="154" t="str">
        <v>c</v>
      </c>
      <c r="E19" s="162" t="str">
        <v>Crop type</v>
      </c>
      <c r="F19" s="164"/>
      <c r="G19" s="154" t="str">
        <v/>
      </c>
      <c r="H19" s="136" t="str">
        <v>Input</v>
      </c>
      <c r="I19" s="154" t="str">
        <f>X_Cell_Crop_CropType</f>
        <v>Wheat</v>
      </c>
    </row>
    <row r="20" spans="1:10" ht="20.100000000000001" customHeight="1" x14ac:dyDescent="0.25">
      <c r="A20" s="5" t="str">
        <f>HYPERLINK("#'Input - Data quality'!A1", "Data quality")</f>
        <v>Data quality</v>
      </c>
    </row>
    <row r="21" spans="1:10" ht="20.100000000000001" customHeight="1" x14ac:dyDescent="0.25">
      <c r="D21" s="159" t="s">
        <v>655</v>
      </c>
      <c r="E21" s="146" cm="1">
        <f t="array" ref="E21">AgResidue_Equations_FieldBurning.VEERG_6_4_1_1__3__MassOfCropResidueBurnt(I13,I14,I15,I16,I17,I18)</f>
        <v>62370</v>
      </c>
      <c r="F21" s="153" t="str" cm="1">
        <f t="array" ref="F21">AgResidue_Equations_FieldBurning.VEERG_6_4_1_1__3__MassOfCropResidueBurnt_Unit()</f>
        <v>kg</v>
      </c>
    </row>
    <row r="22" spans="1:10" ht="20.100000000000001" customHeight="1" x14ac:dyDescent="0.25"/>
    <row r="23" spans="1:10" ht="20.100000000000001" customHeight="1" x14ac:dyDescent="0.25">
      <c r="A23" s="6" t="s">
        <v>2</v>
      </c>
    </row>
    <row r="24" spans="1:10" ht="20.100000000000001" customHeight="1" x14ac:dyDescent="0.25">
      <c r="A24" s="5" t="str">
        <f>HYPERLINK("#'5.1.1.1-2 Inorganic fert N2O'!A1", "5.1.1.1-2 Inorganic fert N2O")</f>
        <v>5.1.1.1-2 Inorganic fert N2O</v>
      </c>
      <c r="C24" s="146"/>
      <c r="D24" s="146"/>
      <c r="E24" s="146"/>
      <c r="F24" s="146"/>
      <c r="G24" s="146"/>
      <c r="H24" s="146"/>
      <c r="I24" s="146"/>
      <c r="J24" s="146"/>
    </row>
    <row r="25" spans="1:10" ht="20.100000000000001" customHeight="1" x14ac:dyDescent="0.25">
      <c r="A25" s="5" t="str">
        <f>HYPERLINK("#'5.1.1.3-4 Inorganic fert CO2'!A1", "5.1.1.3-4 Inorganic fert CO2")</f>
        <v>5.1.1.3-4 Inorganic fert CO2</v>
      </c>
      <c r="D25" s="2" t="str" cm="1">
        <f t="array" ref="D25">AgResidue_Equations_FieldBurning.VEERG_6_4_1_1__2__NitrousOxideEmissionsFromBurningOfCropResidues_Title()</f>
        <v>Nitrous oxide emissions from the burning of crop residues</v>
      </c>
    </row>
    <row r="26" spans="1:10" ht="20.100000000000001" customHeight="1" x14ac:dyDescent="0.25">
      <c r="A26" s="5" t="str">
        <f>HYPERLINK("#'5.2.1.1-2 Organic Fert N2O'!A1", "5.2.1.1-2 Organic fert N2O")</f>
        <v>5.2.1.1-2 Organic fert N2O</v>
      </c>
      <c r="D26" s="27" t="str" cm="1">
        <f t="array" ref="D26">AgResidue_Equations_FieldBurning.VEERG_6_4_1_1__2__NitrousOxideEmissionsFromBurningOfCropResidues_Source()</f>
        <v>VEERG 2026: 6.4.1.1, Equation (2)</v>
      </c>
    </row>
    <row r="27" spans="1:10" ht="20.100000000000001" customHeight="1" x14ac:dyDescent="0.25">
      <c r="A27" s="5" t="str">
        <f>HYPERLINK("#'5.3.1.1-2 Lime CO2'!A1", "5.3.1.1-2 Lime CO2")</f>
        <v>5.3.1.1-2 Lime CO2</v>
      </c>
      <c r="D27" s="132" t="s">
        <v>267</v>
      </c>
      <c r="E27" s="132" t="str">
        <f ca="1">Common_InputFunctions.Utility_DisplayFunctionName(VEERG_6_4_1_1__2__NitrousOxideEmissionsFromBurningOfCropResidues_Result_Method1)</f>
        <v>=AgResidue_Equations_FieldBurning.VEERG_6_4_1_1__2__NitrousOxideEmissionsFromBurningOfCropResidues</v>
      </c>
    </row>
    <row r="28" spans="1:10" ht="20.100000000000001" customHeight="1" x14ac:dyDescent="0.25">
      <c r="A28" s="5" t="str">
        <f>HYPERLINK("#'5.4.1.1-4 Atmos deposition'!A1", "5.4.1.1-4 Atmos. deposition")</f>
        <v>5.4.1.1-4 Atmos. deposition</v>
      </c>
    </row>
    <row r="29" spans="1:10" ht="20.100000000000001" customHeight="1" x14ac:dyDescent="0.25">
      <c r="A29" s="5" t="str">
        <f>HYPERLINK("#'5.5.1.1-2 Leaching and runoff'!A1", "5.5.1.1-2 Leaching &amp; runoff")</f>
        <v>5.5.1.1-2 Leaching &amp; runoff</v>
      </c>
    </row>
    <row r="30" spans="1:10" ht="20.100000000000001" customHeight="1" x14ac:dyDescent="0.25">
      <c r="A30" s="5" t="str">
        <f>HYPERLINK("#'6.1.1.1-2 Crop residue N2O'!A1", "6.1.1.1-2 Crop residue N2O")</f>
        <v>6.1.1.1-2 Crop residue N2O</v>
      </c>
      <c r="D30" s="88" t="s">
        <v>268</v>
      </c>
      <c r="E30" s="1" t="str" cm="1">
        <f t="array" ref="E30">AgResidue_Equations_FieldBurning.VEERG_6_4_1_1__2__NitrousOxideEmissionsFromBurningOfCropResidues_Variable()</f>
        <v>EN2O</v>
      </c>
    </row>
    <row r="31" spans="1:10" ht="20.100000000000001" customHeight="1" x14ac:dyDescent="0.25">
      <c r="A31" s="5" t="str">
        <f>HYPERLINK("#'6.3.1.1-2 Leach runoff crop'!A1", "6.3.1.1-2 Leach &amp; runoff (crop)")</f>
        <v>6.3.1.1-2 Leach &amp; runoff (crop)</v>
      </c>
      <c r="D31" s="88" t="s">
        <v>121</v>
      </c>
      <c r="E31" s="15" t="str" cm="1">
        <f t="array" ref="E31">AgResidue_Equations_FieldBurning.VEERG_6_4_1_1__2__NitrousOxideEmissionsFromBurningOfCropResidues_Unit()</f>
        <v>t N2O</v>
      </c>
    </row>
    <row r="32" spans="1:10" ht="20.100000000000001" customHeight="1" x14ac:dyDescent="0.25">
      <c r="A32" s="141" t="str">
        <f>HYPERLINK("#'6.4.1.1-2 Residue burning'!A1", "6.4.1.1-2 Residue burning")</f>
        <v>6.4.1.1-2 Residue burning</v>
      </c>
    </row>
    <row r="33" spans="1:10" ht="20.100000000000001" customHeight="1" x14ac:dyDescent="0.25">
      <c r="A33" s="5" t="str">
        <f>HYPERLINK("#'8.1.1.1-2 Transport fuel'!A1", "8.1.1.1-2 Transport fuel")</f>
        <v>8.1.1.1-2 Transport fuel</v>
      </c>
      <c r="D33" s="154" t="str" cm="1">
        <f t="array" ref="D33:E37">_xlfn.CHOOSECOLS(AgResidue_Equations_FieldBurning.VEERG_6_4_1_1__2__NitrousOxideEmissionsFromBurningOfCropResidues_Arguments(), 1, 2)</f>
        <v>M_burnc</v>
      </c>
      <c r="E33" s="162" t="str">
        <v>mass of residue burnt for crop type c</v>
      </c>
      <c r="F33" s="164"/>
      <c r="G33" s="154" t="str" cm="1">
        <f t="array" ref="G33:H37">_xlfn.CHOOSECOLS(AgResidue_Equations_FieldBurning.VEERG_6_4_1_1__2__NitrousOxideEmissionsFromBurningOfCropResidues_Arguments(), 3,4)</f>
        <v>kg</v>
      </c>
      <c r="H33" s="137" t="str">
        <v>Calculated from 6.4.1.1 (3)</v>
      </c>
      <c r="I33" s="154">
        <f>$E$21</f>
        <v>62370</v>
      </c>
    </row>
    <row r="34" spans="1:10" ht="20.100000000000001" customHeight="1" x14ac:dyDescent="0.25">
      <c r="A34" s="5" t="str">
        <f>HYPERLINK("#'8.2.1.1-2 Stationary fuel'!A1", "8.2.1.1-2 Stationary fuel")</f>
        <v>8.2.1.1-2 Stationary fuel</v>
      </c>
      <c r="D34" s="154" t="str">
        <v>NC_AGc</v>
      </c>
      <c r="E34" s="162" t="str">
        <v>nitrogen content in the above-ground residue of crop type c</v>
      </c>
      <c r="F34" s="164"/>
      <c r="G34" s="154" t="str">
        <v>kg N/kg DM</v>
      </c>
      <c r="H34" s="137" t="str">
        <v>Constant</v>
      </c>
      <c r="I34" s="154" cm="1">
        <f t="array" ref="I34">Common_InputFunctions.Utility_LookupValueInTableNumber($I$37,Table_SourceData_CropAttributes[Crop type],Table_SourceData_CropAttributes[N content above-ground])</f>
        <v>6.0000000000000001E-3</v>
      </c>
    </row>
    <row r="35" spans="1:10" ht="20.100000000000001" customHeight="1" x14ac:dyDescent="0.25">
      <c r="A35" s="5" t="str">
        <f>HYPERLINK("#'14.1.1-2 Purchased electricity'!A1", "14.1.1-2 Purchased electricity")</f>
        <v>14.1.1-2 Purchased electricity</v>
      </c>
      <c r="D35" s="154" t="str">
        <v>EF_N2O</v>
      </c>
      <c r="E35" s="162" t="str">
        <v>emission factor for nitrous oxide from burning of crop residues</v>
      </c>
      <c r="F35" s="164"/>
      <c r="G35" s="154" t="str">
        <v>kg N2O/kg N2O burnt</v>
      </c>
      <c r="H35" s="137" t="str">
        <v>Constant</v>
      </c>
      <c r="I35" s="154"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A36" s="5" t="str">
        <f>HYPERLINK("#'15 Scope 3'!A1", "15 Scope 3")</f>
        <v>15 Scope 3</v>
      </c>
      <c r="D36" s="154" t="str">
        <v>C_N2O</v>
      </c>
      <c r="E36" s="162" t="str">
        <v>factor to convert elemental mass of nitrous oxide to molecular mass</v>
      </c>
      <c r="F36" s="164"/>
      <c r="G36" s="154" t="str">
        <v>dimensionless</v>
      </c>
      <c r="H36" s="137" t="str">
        <v>Constant</v>
      </c>
      <c r="I36" s="154">
        <f>Common_InputFunctions.Utility_LookupValueInTableNumber("N2O",Table_GasToMolecularConversionFactor[Gas],Table_GasToMolecularConversionFactor[Conversion factor combined])</f>
        <v>1.5714285714285714</v>
      </c>
    </row>
    <row r="37" spans="1:10" ht="20.100000000000001" customHeight="1" x14ac:dyDescent="0.25">
      <c r="A37" s="5" t="str">
        <f>HYPERLINK("#'Calcs - Manure sent off-site'!A1", "Calcs - Manure sent off-site")</f>
        <v>Calcs - Manure sent off-site</v>
      </c>
      <c r="D37" s="154" t="str">
        <v>c</v>
      </c>
      <c r="E37" s="162" t="str">
        <v>Crop type</v>
      </c>
      <c r="F37" s="164"/>
      <c r="G37" s="154" t="str">
        <v/>
      </c>
      <c r="H37" s="136" t="str">
        <v>Input</v>
      </c>
      <c r="I37" s="154" t="str">
        <f>X_Cell_Crop_CropType</f>
        <v>Wheat</v>
      </c>
    </row>
    <row r="38" spans="1:10" ht="20.100000000000001" customHeight="1" x14ac:dyDescent="0.25">
      <c r="A38" s="5" t="str">
        <f>HYPERLINK("#'10.1.1-2 Solid waste treatment'!A1", "10.1.1-2 Solid waste treatment")</f>
        <v>10.1.1-2 Solid waste treatment</v>
      </c>
    </row>
    <row r="39" spans="1:10" ht="20.100000000000001" customHeight="1" x14ac:dyDescent="0.25">
      <c r="D39" s="149" t="s">
        <v>298</v>
      </c>
      <c r="E39" s="150" cm="1">
        <f t="array" ref="E39">AgResidue_Equations_FieldBurning.VEERG_6_4_1_1__2__NitrousOxideEmissionsFromBurningOfCropResidues(I33,I34,I35,I36)</f>
        <v>4.4692560000000004E-3</v>
      </c>
      <c r="F39" s="151"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A41" s="121" t="s">
        <v>1</v>
      </c>
      <c r="D41" s="133" t="str" cm="1">
        <f t="array" ref="D41:E42">Common_Equations.Common_ConvertN2OToCO2e_Arguments()</f>
        <v>EN2O</v>
      </c>
      <c r="E41" s="134" t="str">
        <v>Nitrous oxide emissions (t N2O)</v>
      </c>
      <c r="F41" s="152"/>
      <c r="G41" s="139"/>
      <c r="H41" s="25">
        <f>VEERG_6_4_1_1__2__NitrousOxideEmissionsFromBurningOfCropResidues_Result_Method1</f>
        <v>4.4692560000000004E-3</v>
      </c>
    </row>
    <row r="42" spans="1:10" ht="20.100000000000001" customHeight="1" x14ac:dyDescent="0.25">
      <c r="A42" s="5" t="str">
        <f>HYPERLINK("#'Constants - Ag Residue'!A1", "Constants - Ag residue")</f>
        <v>Constants - Ag residue</v>
      </c>
      <c r="D42" s="133" t="str">
        <v>GWPN2O</v>
      </c>
      <c r="E42" s="134" t="str">
        <v>Global warming potential for nitrous oxide (t CO2-e / t N2O)</v>
      </c>
      <c r="F42" s="152"/>
      <c r="G42" s="139"/>
      <c r="H42" s="25">
        <f>Common_InputFunctions.Utility_LookupValueInTableNumber("N2O",Table_GWPData[Gas],Table_GWPData[CO2-e factor])</f>
        <v>265</v>
      </c>
    </row>
    <row r="43" spans="1:10" ht="20.100000000000001" customHeight="1" x14ac:dyDescent="0.25">
      <c r="A43" s="5" t="str">
        <f>HYPERLINK("#'Constants - Common Livestock'!A1", "Constants - Common Livestock")</f>
        <v>Constants - Common Livestock</v>
      </c>
      <c r="H43" s="8"/>
    </row>
    <row r="44" spans="1:10" ht="20.100000000000001" customHeight="1" x14ac:dyDescent="0.25">
      <c r="A44" s="5" t="str">
        <f>HYPERLINK("#'Constants - Electricity'!A1", "Constants - Electricity")</f>
        <v>Constants - Electricity</v>
      </c>
      <c r="D44" s="146" t="s">
        <v>299</v>
      </c>
      <c r="E44" s="146" cm="1">
        <f t="array" ref="E44">Common_Equations.Common_ConvertN2OToCO2e(H41,H42)</f>
        <v>1.1843528400000001</v>
      </c>
      <c r="F44" s="153" t="str" cm="1">
        <f t="array" ref="F44">Common_Equations.Common_ConvertN2OToCO2e_Unit()</f>
        <v>t CO2e</v>
      </c>
      <c r="H44" s="8"/>
    </row>
    <row r="45" spans="1:10" ht="20.100000000000001" customHeight="1" x14ac:dyDescent="0.25">
      <c r="A45" s="5" t="str">
        <f>HYPERLINK("#'Constants - Fertiliser'!A1", "Constants - Fertiliser")</f>
        <v>Constants - Fertiliser</v>
      </c>
    </row>
    <row r="46" spans="1:10" ht="20.100000000000001" customHeight="1" x14ac:dyDescent="0.25">
      <c r="A46" s="5" t="str">
        <f>HYPERLINK("#'Constants - Fuel'!A1", "Constants - Fuel")</f>
        <v>Constants - Fuel</v>
      </c>
    </row>
    <row r="47" spans="1:10" ht="20.100000000000001" customHeight="1" x14ac:dyDescent="0.25">
      <c r="A47" s="5" t="str">
        <f>HYPERLINK("#'Constants - Scope 3'!A1", "Constants - Scope 3")</f>
        <v>Constants - Scope 3</v>
      </c>
      <c r="C47" s="146"/>
      <c r="D47" s="146"/>
      <c r="E47" s="146"/>
      <c r="F47" s="146"/>
      <c r="G47" s="146"/>
      <c r="H47" s="146"/>
      <c r="I47" s="146"/>
      <c r="J47" s="146"/>
    </row>
    <row r="48" spans="1:10" ht="20.100000000000001" customHeight="1" x14ac:dyDescent="0.25">
      <c r="A48" s="5" t="str">
        <f>HYPERLINK("#'Constants - Common'!A1", "Constants - Common")</f>
        <v>Constants - Common</v>
      </c>
      <c r="D48" s="2" t="str" cm="1">
        <f t="array" ref="D48">AgResidue_Equations_FieldBurning.VEERG_6_4_1_1__1__MethaneEmissionsFromBurningOfCropResidues_Title()</f>
        <v>Methane emissions from the burning of crop residues</v>
      </c>
    </row>
    <row r="49" spans="1:9" ht="20.100000000000001" customHeight="1" x14ac:dyDescent="0.25">
      <c r="A49" s="5" t="str">
        <f>HYPERLINK("#'Constants - Solid Waste'!A1", "Constants - Solid Waste")</f>
        <v>Constants - Solid Waste</v>
      </c>
      <c r="D49" s="27" t="str" cm="1">
        <f t="array" ref="D49">AgResidue_Equations_FieldBurning.VEERG_6_4_1_1__1__MethaneEmissionsFromBurningOfCropResidues_Source()</f>
        <v>VEERG 2026: 6.4.1.1, Equation (1)</v>
      </c>
    </row>
    <row r="50" spans="1:9" ht="20.100000000000001" customHeight="1" x14ac:dyDescent="0.25">
      <c r="D50" s="132" t="s">
        <v>267</v>
      </c>
      <c r="E50" s="132" t="str">
        <f ca="1">Common_InputFunctions.Utility_DisplayFunctionName(VEERG_6_4_1_1__1__MethaneEmissionsFromBurningOfCropResidues_Result_Method1)</f>
        <v>=AgResidue_Equations_FieldBurning.VEERG_6_4_1_1__1__MethaneEmissionsFromBurningOfCropResidues</v>
      </c>
    </row>
    <row r="51" spans="1:9" ht="20.100000000000001" customHeight="1" x14ac:dyDescent="0.25"/>
    <row r="52" spans="1:9" ht="20.100000000000001" customHeight="1" x14ac:dyDescent="0.25"/>
    <row r="53" spans="1:9" ht="20.100000000000001" customHeight="1" x14ac:dyDescent="0.25">
      <c r="D53" s="88" t="s">
        <v>268</v>
      </c>
      <c r="E53" s="1" t="str" cm="1">
        <f t="array" ref="E53">AgResidue_Equations_FieldBurning.VEERG_6_4_1_1__1__MethaneEmissionsFromBurningOfCropResidues_Variable()</f>
        <v>ECH4</v>
      </c>
      <c r="F53" s="27"/>
    </row>
    <row r="54" spans="1:9" ht="20.100000000000001" customHeight="1" x14ac:dyDescent="0.25">
      <c r="D54" s="88" t="s">
        <v>121</v>
      </c>
      <c r="E54" s="15" t="str" cm="1">
        <f t="array" ref="E54">AgResidue_Equations_FieldBurning.VEERG_6_4_1_1__1__MethaneEmissionsFromBurningOfCropResidues_Unit()</f>
        <v>t CH4</v>
      </c>
    </row>
    <row r="55" spans="1:9" ht="20.100000000000001" customHeight="1" x14ac:dyDescent="0.25"/>
    <row r="56" spans="1:9" ht="20.100000000000001" customHeight="1" x14ac:dyDescent="0.25">
      <c r="D56" s="154" t="str" cm="1">
        <f t="array" ref="D56:E60">_xlfn.CHOOSECOLS(AgResidue_Equations_FieldBurning.VEERG_6_4_1_1__1__MethaneEmissionsFromBurningOfCropResidues_Arguments(), 1,2)</f>
        <v>M_burnc</v>
      </c>
      <c r="E56" s="162" t="str">
        <v>mass of residue burnt for crop type c</v>
      </c>
      <c r="F56" s="164"/>
      <c r="G56" s="154" t="str" cm="1">
        <f t="array" ref="G56:H60">_xlfn.CHOOSECOLS(AgResidue_Equations_FieldBurning.VEERG_6_4_1_1__1__MethaneEmissionsFromBurningOfCropResidues_Arguments(), 3,4)</f>
        <v>kg</v>
      </c>
      <c r="H56" s="137" t="str">
        <v>Calculated from 6.4.1.1 (3)</v>
      </c>
      <c r="I56" s="154">
        <f>$E$21</f>
        <v>62370</v>
      </c>
    </row>
    <row r="57" spans="1:9" ht="20.100000000000001" customHeight="1" x14ac:dyDescent="0.25">
      <c r="D57" s="154" t="str">
        <v>CC_c</v>
      </c>
      <c r="E57" s="162" t="str">
        <v>carbon mass fraction in the residues of crop type c</v>
      </c>
      <c r="F57" s="164"/>
      <c r="G57" s="154" t="str">
        <v>fraction</v>
      </c>
      <c r="H57" s="137" t="str">
        <v>Constant</v>
      </c>
      <c r="I57" s="154" cm="1">
        <f t="array" ref="I57">Common_InputFunctions.Utility_LookupValueInTableNumber($I$60,Table_SourceData_CropAttributes[Crop type],Table_SourceData_CropAttributes[Carbon fraction in dry matter])</f>
        <v>0.4</v>
      </c>
    </row>
    <row r="58" spans="1:9" ht="20.100000000000001" customHeight="1" x14ac:dyDescent="0.25">
      <c r="D58" s="154" t="str">
        <v>EF_CH4</v>
      </c>
      <c r="E58" s="162" t="str">
        <v>emission factor for methane from burning of crop residues</v>
      </c>
      <c r="F58" s="164"/>
      <c r="G58" s="154" t="str">
        <v>kg CH4 / kg CH4 burnt</v>
      </c>
      <c r="H58" s="137" t="str">
        <v>Constant</v>
      </c>
      <c r="I58" s="154" cm="1">
        <f t="array" ref="I58">Common_InputFunctions.Utility_LookupValueInTableNumber("CH4", Table_SourceData_BurningResidueEFs[Gas species],Table_SourceData_BurningResidueEFs[Emission factor EFg (Gg element in species/ Gg element in fuel burnt)])</f>
        <v>3.5000000000000001E-3</v>
      </c>
    </row>
    <row r="59" spans="1:9" ht="20.100000000000001" customHeight="1" x14ac:dyDescent="0.25">
      <c r="D59" s="154" t="str">
        <v>C_CH4</v>
      </c>
      <c r="E59" s="162" t="str">
        <v>factor to convert elemental mass of methane to molecular mass</v>
      </c>
      <c r="F59" s="164"/>
      <c r="G59" s="154" t="str">
        <v>dimensionless</v>
      </c>
      <c r="H59" s="137" t="str">
        <v>Constant</v>
      </c>
      <c r="I59" s="154">
        <f>Common_InputFunctions.Utility_LookupValueInTableNumber("CH4",Table_GasToMolecularConversionFactor[Gas],Table_GasToMolecularConversionFactor[Conversion factor combined])</f>
        <v>1.3333333333333333</v>
      </c>
    </row>
    <row r="60" spans="1:9" ht="20.100000000000001" customHeight="1" x14ac:dyDescent="0.25">
      <c r="D60" s="154" t="str">
        <v>c</v>
      </c>
      <c r="E60" s="162" t="str">
        <v>Crop type</v>
      </c>
      <c r="F60" s="164"/>
      <c r="G60" s="154" t="str">
        <v/>
      </c>
      <c r="H60" s="136" t="str">
        <v>Input</v>
      </c>
      <c r="I60" s="154" t="str">
        <f>X_Cell_Crop_CropType</f>
        <v>Wheat</v>
      </c>
    </row>
    <row r="61" spans="1:9" ht="20.100000000000001" customHeight="1" x14ac:dyDescent="0.25"/>
    <row r="62" spans="1:9" ht="20.100000000000001" customHeight="1" x14ac:dyDescent="0.25">
      <c r="D62" s="149" t="s">
        <v>298</v>
      </c>
      <c r="E62" s="150" cm="1">
        <f t="array" ref="E62">AgResidue_Equations_FieldBurning.VEERG_6_4_1_1__1__MethaneEmissionsFromBurningOfCropResidues(I56,I57,I58,I59)</f>
        <v>0.116424</v>
      </c>
      <c r="F62" s="151" t="str" cm="1">
        <f t="array" ref="F62">AgResidue_Equations_FieldBurning.VEERG_6_4_1_1__2__NitrousOxideEmissionsFromBurningOfCropResidues_Unit()</f>
        <v>t N2O</v>
      </c>
    </row>
    <row r="63" spans="1:9" ht="20.100000000000001" customHeight="1" x14ac:dyDescent="0.25"/>
    <row r="64" spans="1:9" ht="20.100000000000001" customHeight="1" x14ac:dyDescent="0.25">
      <c r="D64" s="133" t="str" cm="1">
        <f t="array" ref="D64:E65">Common_Equations.Common_ConvertCH4ToCO2e_Arguments()</f>
        <v>ECH4</v>
      </c>
      <c r="E64" s="134" t="str">
        <v>Methane emissions (t CH4)</v>
      </c>
      <c r="F64" s="152"/>
      <c r="G64" s="139"/>
      <c r="H64" s="25">
        <f>VEERG_6_4_1_1__1__MethaneEmissionsFromBurningOfCropResidues_Result_Method1</f>
        <v>0.116424</v>
      </c>
    </row>
    <row r="65" spans="4:8" ht="20.100000000000001" customHeight="1" x14ac:dyDescent="0.25">
      <c r="D65" s="133" t="str">
        <v>GWPCH4</v>
      </c>
      <c r="E65" s="134" t="str">
        <v>Global warming potential for methane (t CO2-e / t CH4)</v>
      </c>
      <c r="F65" s="152"/>
      <c r="G65" s="139"/>
      <c r="H65" s="25">
        <f>Common_InputFunctions.Utility_LookupValueInTableNumber("CH4",Table_GWPData[Gas],Table_GWPData[CO2-e factor])</f>
        <v>28</v>
      </c>
    </row>
    <row r="66" spans="4:8" ht="20.100000000000001" customHeight="1" x14ac:dyDescent="0.25">
      <c r="H66" s="8"/>
    </row>
    <row r="67" spans="4:8" ht="20.100000000000001" customHeight="1" x14ac:dyDescent="0.25">
      <c r="D67" s="146" t="s">
        <v>299</v>
      </c>
      <c r="E67" s="146" cm="1">
        <f t="array" ref="E67">Common_Equations.Common_ConvertCH4ToCO2e(H64,H65)</f>
        <v>3.2598720000000001</v>
      </c>
      <c r="F67" s="153" t="str" cm="1">
        <f t="array" ref="F67">Common_Equations.Common_ConvertCH4ToCO2e_Unit()</f>
        <v>t CO2e</v>
      </c>
      <c r="H67" s="8"/>
    </row>
    <row r="68" spans="4:8" ht="20.100000000000001" customHeight="1" x14ac:dyDescent="0.25"/>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5B1E-55E4-4008-BCA9-CBA242B46D90}">
  <dimension ref="A1:R342"/>
  <sheetViews>
    <sheetView showGridLines="0" topLeftCell="A4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31" customFormat="1" ht="30" customHeight="1" x14ac:dyDescent="0.35">
      <c r="A1" s="16" t="e" vm="1">
        <v>#VALUE!</v>
      </c>
      <c r="C1" s="31" t="s">
        <v>463</v>
      </c>
    </row>
    <row r="2" spans="1:18" s="3" customFormat="1" ht="20.100000000000001" customHeight="1" x14ac:dyDescent="0.25">
      <c r="A2"/>
    </row>
    <row r="3" spans="1:18" ht="20.100000000000001" customHeight="1" x14ac:dyDescent="0.25">
      <c r="A3" s="5" t="str">
        <f>HYPERLINK("#'Home'!A1", "Home")</f>
        <v>Home</v>
      </c>
      <c r="C3" s="33"/>
      <c r="D3" s="33" t="s">
        <v>135</v>
      </c>
      <c r="E3" s="33"/>
      <c r="F3" s="33"/>
      <c r="G3" s="33"/>
      <c r="H3" s="33"/>
      <c r="I3" s="33"/>
      <c r="J3" s="33"/>
      <c r="K3" s="33"/>
      <c r="L3" s="33"/>
      <c r="M3" s="33"/>
      <c r="N3" s="33"/>
      <c r="O3" s="33"/>
      <c r="P3" s="33"/>
      <c r="Q3" s="33"/>
      <c r="R3" s="33"/>
    </row>
    <row r="4" spans="1:18" ht="20.100000000000001" customHeight="1" x14ac:dyDescent="0.25">
      <c r="A4" s="5" t="str">
        <f>HYPERLINK("#'Overview'!A1", "Overview")</f>
        <v>Overview</v>
      </c>
    </row>
    <row r="5" spans="1:18" ht="20.100000000000001" customHeight="1" x14ac:dyDescent="0.25">
      <c r="A5" s="5" t="str">
        <f>HYPERLINK("#'Results'!A1", "Results")</f>
        <v>Results</v>
      </c>
      <c r="D5" s="2" t="str" cm="1">
        <f t="array" ref="D5">Fuel_Equations.VEERG_8_1_1_1__1_FuelCombustionTransport_Title()</f>
        <v>Emissions for each GHG from the combustion of fuels for transport energy purposes</v>
      </c>
      <c r="K5" s="2" t="str" cm="1">
        <f t="array" ref="K5">Scope3_Equations.VEERG_15_11_1_1__2_UpstreamTransportFuelEmissions_Title()</f>
        <v>Upstream emissions from scope 1 fuel use for transport purposes</v>
      </c>
      <c r="O5" s="158"/>
      <c r="P5" s="158"/>
      <c r="Q5" s="158"/>
    </row>
    <row r="6" spans="1:18" ht="20.100000000000001" customHeight="1" x14ac:dyDescent="0.25">
      <c r="D6" s="27" t="str" cm="1">
        <f t="array" ref="D6">Fuel_Equations.VEERG_8_1_1_1__1_FuelCombustionTransport_Source()</f>
        <v>VEERG 2026: 8.1.1.1, Equation (1)</v>
      </c>
      <c r="K6" s="27" t="str" cm="1">
        <f t="array" ref="K6">Scope3_Equations.VEERG_15_11_1_1__2_UpstreamTransportFuelEmissions_Source()</f>
        <v>VEERG 2026: 15.11.1.1, Equation (2)</v>
      </c>
      <c r="O6" s="158"/>
      <c r="P6" s="158"/>
      <c r="Q6" s="158"/>
    </row>
    <row r="7" spans="1:18" ht="20.100000000000001" customHeight="1" x14ac:dyDescent="0.25">
      <c r="D7" s="132" t="s">
        <v>267</v>
      </c>
      <c r="E7" s="132" t="str" cm="1">
        <f t="array" aca="1" ref="E7" ca="1">Common_InputFunctions.Utility_DisplayFunctionName(N25)</f>
        <v>=Fuel_Equations.VEERG_8_1_1_1__1_FuelCombustionTransport</v>
      </c>
      <c r="K7" s="132" t="s">
        <v>267</v>
      </c>
      <c r="L7" s="132" t="str" cm="1">
        <f t="array" aca="1" ref="L7" ca="1">Common_InputFunctions.Utility_DisplayFunctionName(Q25)</f>
        <v>=Scope3_Equations.VEERG_15_11_1_1__2_UpstreamTransportFuelEmissions</v>
      </c>
      <c r="O7" s="158"/>
      <c r="P7" s="158"/>
      <c r="Q7" s="158"/>
    </row>
    <row r="8" spans="1:18" ht="20.100000000000001" customHeight="1" x14ac:dyDescent="0.25">
      <c r="A8" s="7" t="s">
        <v>0</v>
      </c>
      <c r="E8" s="132"/>
      <c r="L8" s="132"/>
      <c r="O8" s="158"/>
      <c r="P8" s="158"/>
      <c r="Q8" s="158"/>
    </row>
    <row r="9" spans="1:18" ht="20.100000000000001" customHeight="1" x14ac:dyDescent="0.25">
      <c r="A9" s="5" t="str">
        <f>HYPERLINK("#'Input - Enterprise'!A1", "Enterprise")</f>
        <v>Enterprise</v>
      </c>
      <c r="G9" s="27"/>
      <c r="O9" s="158"/>
      <c r="P9" s="158"/>
      <c r="Q9" s="158"/>
    </row>
    <row r="10" spans="1:18" ht="20.100000000000001" customHeight="1" x14ac:dyDescent="0.25">
      <c r="A10" s="5" t="str">
        <f>HYPERLINK("#'Input - Site'!A1", "Site")</f>
        <v>Site</v>
      </c>
      <c r="O10" s="158"/>
      <c r="P10" s="158"/>
      <c r="Q10" s="158"/>
    </row>
    <row r="11" spans="1:18" ht="20.100000000000001" customHeight="1" x14ac:dyDescent="0.25">
      <c r="A11" s="5" t="str">
        <f>HYPERLINK("#'Input - Crop'!A1", "Crop")</f>
        <v>Crop</v>
      </c>
      <c r="D11" s="88" t="s">
        <v>268</v>
      </c>
      <c r="E11" s="1" t="str" cm="1">
        <f t="array" ref="E11">Fuel_Equations.VEERG_8_1_1_1__1_FuelCombustionTransport_Variable()</f>
        <v>E_g</v>
      </c>
      <c r="K11" s="88" t="s">
        <v>268</v>
      </c>
      <c r="L11" s="1" t="str" cm="1">
        <f t="array" ref="L11">Scope3_Equations.VEERG_15_11_1_1__2_UpstreamTransportFuelEmissions_Variable()</f>
        <v>E_WTTtransq</v>
      </c>
      <c r="O11" s="158"/>
      <c r="P11" s="158"/>
      <c r="Q11" s="158"/>
    </row>
    <row r="12" spans="1:18" ht="20.100000000000001" customHeight="1" x14ac:dyDescent="0.25">
      <c r="A12" s="5" t="str">
        <f>HYPERLINK("#'Input - Fert Prod System'!A1", "Fert Prod System")</f>
        <v>Fert Prod System</v>
      </c>
      <c r="D12" s="88" t="s">
        <v>121</v>
      </c>
      <c r="E12" s="15" t="str" cm="1">
        <f t="array" ref="E12">Fuel_Equations.VEERG_8_1_1_1__1_FuelCombustionTransport_Unit()</f>
        <v>t CO2-e</v>
      </c>
      <c r="K12" s="88" t="s">
        <v>121</v>
      </c>
      <c r="L12" s="15" t="str" cm="1">
        <f t="array" ref="L12">Scope3_Equations.VEERG_15_11_1_1__2_UpstreamTransportFuelEmissions_Unit()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54" t="str" cm="1">
        <f t="array" ref="D14:E20">_xlfn.CHOOSECOLS(Fuel_Equations.VEERG_8_1_1_1__1_FuelCombustionTransport_Arguments(), 1,2)</f>
        <v>Q_Transtq</v>
      </c>
      <c r="E14" s="162" t="str">
        <v>Amount of fuel type q combusted for transport energy purposes</v>
      </c>
      <c r="F14" s="164"/>
      <c r="G14" s="154" t="str" cm="1">
        <f t="array" ref="G14:H20">_xlfn.CHOOSECOLS(Fuel_Equations.VEERG_8_1_1_1__1_FuelCombustionTransport_Arguments(), 3,4)</f>
        <v>Varies based on fuel type: kL, m3, GJ</v>
      </c>
      <c r="H14" s="136" t="str">
        <v>Input</v>
      </c>
      <c r="I14" s="140" t="str" cm="1">
        <f t="array" aca="1" ref="I14" ca="1">HYPERLINK(Common_InputFunctions.Utility_SourceHyperlink($D$22), $D$22)</f>
        <v>Table_E_g</v>
      </c>
      <c r="K14" s="154" t="str" cm="1">
        <f t="array" ref="K14:L16">_xlfn.CHOOSECOLS(Scope3_Equations.VEERG_15_11_1_1__2_UpstreamTransportFuelEmissions_Arguments(),1,2)</f>
        <v>Q_Transq</v>
      </c>
      <c r="L14" s="154" t="str">
        <v>amount of fuel q combusted for transport energy purposes</v>
      </c>
      <c r="M14" s="154"/>
      <c r="N14" s="154" t="str" cm="1">
        <f t="array" ref="N14:O16">_xlfn.CHOOSECOLS(Scope3_Equations.VEERG_15_11_1_1__2_UpstreamTransportFuelEmissions_Arguments(),3,4)</f>
        <v>kL</v>
      </c>
      <c r="O14" s="136" t="str">
        <v>Input</v>
      </c>
      <c r="P14" s="140" t="str" cm="1">
        <f t="array" aca="1" ref="P14" ca="1">HYPERLINK(Common_InputFunctions.Utility_SourceHyperlink($D$22), $D$22)</f>
        <v>Table_E_g</v>
      </c>
      <c r="Q14" s="158"/>
    </row>
    <row r="15" spans="1:18" ht="20.100000000000001" customHeight="1" x14ac:dyDescent="0.25">
      <c r="A15" s="5" t="str">
        <f>HYPERLINK("#'Input - Electricity'!A1", "Electricity")</f>
        <v>Electricity</v>
      </c>
      <c r="D15" s="154" t="str">
        <v>EC_Transq</v>
      </c>
      <c r="E15" s="162" t="str">
        <v>Energy content factor for transport energy purposes</v>
      </c>
      <c r="F15" s="164"/>
      <c r="G15" s="154" t="str">
        <v>GJ / unit of fuel</v>
      </c>
      <c r="H15" s="137" t="str">
        <v>Constant</v>
      </c>
      <c r="I15" s="140" t="str" cm="1">
        <f t="array" aca="1" ref="I15" ca="1">HYPERLINK(Common_InputFunctions.Utility_SourceHyperlink($D$22), $D$22)</f>
        <v>Table_E_g</v>
      </c>
      <c r="K15" s="154" t="str">
        <v>EC_Transq</v>
      </c>
      <c r="L15" s="154" t="str">
        <v>energy content factor for transport energy purposes</v>
      </c>
      <c r="M15" s="154"/>
      <c r="N15" s="154" t="str">
        <v>GJ/kL or GJ/m3</v>
      </c>
      <c r="O15" s="137" t="str">
        <v>Constant</v>
      </c>
      <c r="P15" s="140" t="str" cm="1">
        <f t="array" aca="1" ref="P15" ca="1">HYPERLINK(Common_InputFunctions.Utility_SourceHyperlink($D$22), $D$22)</f>
        <v>Table_E_g</v>
      </c>
      <c r="Q15" s="158"/>
    </row>
    <row r="16" spans="1:18" ht="20.100000000000001" customHeight="1" x14ac:dyDescent="0.25">
      <c r="A16" s="5" t="str">
        <f>HYPERLINK("#'Input - Farm Inputs'!A1", "Farm Inputs")</f>
        <v>Farm Inputs</v>
      </c>
      <c r="D16" s="154" t="str">
        <v>EF_Trans1tqg</v>
      </c>
      <c r="E16" s="162" t="str">
        <v>Scope 1 emission factor for transport energy purposes for each greenhouse gas</v>
      </c>
      <c r="F16" s="164"/>
      <c r="G16" s="154" t="str">
        <v>kg CO2e / GJ</v>
      </c>
      <c r="H16" s="137" t="str">
        <v>Constant</v>
      </c>
      <c r="I16" s="140" t="str" cm="1">
        <f t="array" aca="1" ref="I16" ca="1">HYPERLINK(Common_InputFunctions.Utility_SourceHyperlink($D$22), $D$22)</f>
        <v>Table_E_g</v>
      </c>
      <c r="K16" s="154" t="str">
        <v>EF_Trans3q</v>
      </c>
      <c r="L16" s="154" t="str">
        <v>scope 3 emission factor for transport energy purposes</v>
      </c>
      <c r="M16" s="154"/>
      <c r="N16" s="154" t="str">
        <v>kg CO2e/GJ</v>
      </c>
      <c r="O16" s="137" t="str">
        <v>Constant</v>
      </c>
      <c r="P16" s="140" t="str" cm="1">
        <f t="array" aca="1" ref="P16" ca="1">HYPERLINK(Common_InputFunctions.Utility_SourceHyperlink($D$22), $D$22)</f>
        <v>Table_E_g</v>
      </c>
      <c r="Q16" s="158"/>
    </row>
    <row r="17" spans="1:17" ht="20.100000000000001" customHeight="1" x14ac:dyDescent="0.25">
      <c r="A17" s="5" t="str">
        <f>HYPERLINK("#'Input - Freight'!A1", "Freight")</f>
        <v>Freight</v>
      </c>
      <c r="D17" s="154" t="str">
        <v>q</v>
      </c>
      <c r="E17" s="162" t="str">
        <v>Fuel type</v>
      </c>
      <c r="F17" s="164"/>
      <c r="G17" s="154" t="str">
        <v/>
      </c>
      <c r="H17" s="137" t="str">
        <v>Constant</v>
      </c>
      <c r="I17" s="140"/>
      <c r="J17" s="158"/>
      <c r="P17" s="158"/>
      <c r="Q17" s="158"/>
    </row>
    <row r="18" spans="1:17" ht="20.100000000000001" customHeight="1" x14ac:dyDescent="0.25">
      <c r="A18" s="5" t="str">
        <f>HYPERLINK("#'Input - Manure sent off-site'!A1", "Manure sent off-site")</f>
        <v>Manure sent off-site</v>
      </c>
      <c r="D18" s="154" t="str">
        <v>Trans</v>
      </c>
      <c r="E18" s="162" t="str">
        <v>Transport combustion</v>
      </c>
      <c r="F18" s="164"/>
      <c r="G18" s="154" t="str">
        <v/>
      </c>
      <c r="H18" s="137" t="str">
        <v>Constant</v>
      </c>
      <c r="I18" s="140"/>
      <c r="J18" s="158"/>
      <c r="L18" s="158"/>
      <c r="M18" s="158"/>
      <c r="N18" s="158"/>
      <c r="O18" s="158"/>
      <c r="P18" s="158"/>
      <c r="Q18" s="158"/>
    </row>
    <row r="19" spans="1:17" ht="20.100000000000001" customHeight="1" x14ac:dyDescent="0.25">
      <c r="A19" s="5" t="str">
        <f>HYPERLINK("#'Input - Solid waste'!A1", "Solid waste")</f>
        <v>Solid waste</v>
      </c>
      <c r="D19" s="154" t="str">
        <v>g</v>
      </c>
      <c r="E19" s="162" t="str">
        <v>Greenhouse gas</v>
      </c>
      <c r="F19" s="164"/>
      <c r="G19" s="154" t="str">
        <v/>
      </c>
      <c r="H19" s="137" t="str">
        <v>Constant</v>
      </c>
      <c r="I19" s="140"/>
      <c r="J19" s="158"/>
      <c r="L19" s="158"/>
      <c r="M19" s="158"/>
      <c r="N19" s="158"/>
      <c r="O19" s="158"/>
      <c r="P19" s="158"/>
      <c r="Q19" s="158"/>
    </row>
    <row r="20" spans="1:17" ht="20.100000000000001" customHeight="1" x14ac:dyDescent="0.25">
      <c r="A20" s="5" t="str">
        <f>HYPERLINK("#'Input - Data quality'!A1", "Data quality")</f>
        <v>Data quality</v>
      </c>
      <c r="D20" s="154" t="str">
        <v>1</v>
      </c>
      <c r="E20" s="162" t="str">
        <v>Scope 1</v>
      </c>
      <c r="F20" s="164"/>
      <c r="G20" s="154" t="str">
        <v/>
      </c>
      <c r="H20" s="137" t="str">
        <v>Constant</v>
      </c>
      <c r="I20" s="140"/>
      <c r="J20" s="158"/>
      <c r="L20" s="158"/>
      <c r="M20" s="158"/>
      <c r="N20" s="158"/>
      <c r="O20" s="158"/>
      <c r="P20" s="158"/>
      <c r="Q20" s="158"/>
    </row>
    <row r="21" spans="1:17" ht="20.100000000000001" customHeight="1" x14ac:dyDescent="0.25">
      <c r="O21" s="158"/>
      <c r="P21" s="158"/>
      <c r="Q21" s="158"/>
    </row>
    <row r="22" spans="1:17" ht="20.100000000000001" customHeight="1" x14ac:dyDescent="0.25">
      <c r="D22" s="143" t="s">
        <v>464</v>
      </c>
    </row>
    <row r="23" spans="1:17" ht="20.100000000000001" customHeight="1" x14ac:dyDescent="0.25">
      <c r="A23" s="6" t="s">
        <v>2</v>
      </c>
      <c r="D23" s="144" t="s">
        <v>465</v>
      </c>
    </row>
    <row r="24" spans="1:17" ht="20.100000000000001" customHeight="1" x14ac:dyDescent="0.25">
      <c r="A24" s="5" t="str">
        <f>HYPERLINK("#'5.1.1.1-2 Inorganic fert N2O'!A1", "5.1.1.1-2 Inorganic fert N2O")</f>
        <v>5.1.1.1-2 Inorganic fert N2O</v>
      </c>
      <c r="D24" s="145" t="s">
        <v>466</v>
      </c>
      <c r="E24" s="145" t="s">
        <v>467</v>
      </c>
      <c r="F24" s="145" t="s">
        <v>468</v>
      </c>
      <c r="G24" s="145" t="s">
        <v>469</v>
      </c>
      <c r="H24" s="145" t="s">
        <v>470</v>
      </c>
      <c r="I24" s="145" t="s">
        <v>471</v>
      </c>
      <c r="J24" s="145" t="s">
        <v>472</v>
      </c>
      <c r="K24" s="145" t="s">
        <v>473</v>
      </c>
      <c r="L24" s="92" t="s">
        <v>474</v>
      </c>
      <c r="M24" s="145" t="s">
        <v>475</v>
      </c>
      <c r="N24" s="145" t="s">
        <v>476</v>
      </c>
      <c r="O24" s="145" t="s">
        <v>477</v>
      </c>
      <c r="P24" s="145" t="s">
        <v>478</v>
      </c>
      <c r="Q24" s="145" t="s">
        <v>479</v>
      </c>
    </row>
    <row r="25" spans="1:17" ht="20.100000000000001" customHeight="1" x14ac:dyDescent="0.25">
      <c r="A25" s="5" t="str">
        <f>HYPERLINK("#'5.1.1.3-4 Inorganic fert CO2'!A1", "5.1.1.3-4 Inorganic fert CO2")</f>
        <v>5.1.1.3-4 Inorganic fert CO2</v>
      </c>
      <c r="D25" s="35" t="str">
        <f>Table_FuelTypesPerUse[[#Headers],[Cars and light commercial vehicles]]</f>
        <v>Cars and light commercial vehicles</v>
      </c>
      <c r="E25" s="188" t="str">
        <f>'Constants - Fuel'!$E$10</f>
        <v>Gasoline</v>
      </c>
      <c r="F25" s="188" t="str">
        <f>'Constants - Fuel'!G131</f>
        <v>Petrol</v>
      </c>
      <c r="G25" s="25" cm="1">
        <f t="array" ref="G25">IFERROR(_xlfn.XLOOKUP(1, (Table_Fuel_EFs_Transport[Fuel combusted]=$E25)*(Table_Fuel_EFs_Transport[Transport type]=$D$25), Table_Fuel_EFs_Transport[Energy Content Factor (GJ per unit of fuel)]), 0)</f>
        <v>34.200000000000003</v>
      </c>
      <c r="H25" s="25" cm="1">
        <f t="array" ref="H25">IFERROR(_xlfn.XLOOKUP(1, (Table_Fuel_EFs_Transport[Fuel combusted]=$E25)*(Table_Fuel_EFs_Transport[Transport type]=$D$25), Table_Fuel_EFs_Transport[Scope 1 Emission Factor (kg CO2 - e / GJ) CO2]), 0)</f>
        <v>67.400000000000006</v>
      </c>
      <c r="I25" s="25" cm="1">
        <f t="array" ref="I25">IFERROR(_xlfn.XLOOKUP(1, (Table_Fuel_EFs_Transport[Fuel combusted]=$E25)*(Table_Fuel_EFs_Transport[Transport type]=$D$25), Table_Fuel_EFs_Transport[Scope 1 Emission Factor (kg CO2 - e / GJ) CH4]), 0)</f>
        <v>0.02</v>
      </c>
      <c r="J25" s="25" cm="1">
        <f t="array" ref="J25">IFERROR(_xlfn.XLOOKUP(1, (Table_Fuel_EFs_Transport[Fuel combusted]=$E25)*(Table_Fuel_EFs_Transport[Transport type]=$D$25), Table_Fuel_EFs_Transport[Scope 1 Emission Factor (kg CO2 - e / GJ) N2O]), 0)</f>
        <v>0.2</v>
      </c>
      <c r="K25" s="25" cm="1">
        <f t="array" ref="K25">IFERROR(_xlfn.XLOOKUP(1, (Table_Fuel_EFs_Transport[Fuel combusted]=$E25)*(Table_Fuel_EFs_Transport[Transport type]=$D$25), Table_Fuel_EFs_Transport[Scope 3 Emission Factor (kg CO2 - e / GJ)]), 0)</f>
        <v>17.2</v>
      </c>
      <c r="L25" s="166" cm="1">
        <f t="array" ref="L25">Fuel_InputFunctions.Fuel_TotalConsumption(Table_Input_Fuel[Amount consumed], Table_Input_Fuel[Fuel use (select)], D25, Table_Input_Fuel[Fuel type (select)],F25)</f>
        <v>0</v>
      </c>
      <c r="M25" s="166" t="str" cm="1">
        <f t="array" ref="M25">Common_InputFunctions.Utility_LookupValueInTable(F25,Table_FuelTypes_Units[Fuel type],Table_FuelTypes_Units[Unit])</f>
        <v>kL</v>
      </c>
      <c r="N25" s="189" cm="1">
        <f t="array" ref="N25">Fuel_Equations.VEERG_8_1_1_1__1_FuelCombustionTransport($L25,$G25,$H25)</f>
        <v>0</v>
      </c>
      <c r="O25" s="189" cm="1">
        <f t="array" ref="O25">Fuel_Equations.VEERG_8_1_1_1__1_FuelCombustionTransport($L25,$G25,$I25)</f>
        <v>0</v>
      </c>
      <c r="P25" s="189" cm="1">
        <f t="array" ref="P25">Fuel_Equations.VEERG_8_1_1_1__1_FuelCombustionTransport($L25,$G25,$J25)</f>
        <v>0</v>
      </c>
      <c r="Q25" s="189" cm="1">
        <f t="array" ref="Q25">Scope3_Equations.VEERG_15_11_1_1__2_UpstreamTransportFuelEmissions(L25,G25,K25)</f>
        <v>0</v>
      </c>
    </row>
    <row r="26" spans="1:17" ht="20.100000000000001" customHeight="1" x14ac:dyDescent="0.25">
      <c r="A26" s="5" t="str">
        <f>HYPERLINK("#'5.2.1.1-2 Organic Fert N2O'!A1", "5.2.1.1-2 Organic fert N2O")</f>
        <v>5.2.1.1-2 Organic fert N2O</v>
      </c>
      <c r="D26" s="190" t="str">
        <f t="shared" ref="D26:D32" si="0">$D$25</f>
        <v>Cars and light commercial vehicles</v>
      </c>
      <c r="E26" s="188" t="str">
        <f>'Constants - Fuel'!$E$11</f>
        <v>Diesel oil</v>
      </c>
      <c r="F26" s="188" t="str">
        <f>'Constants - Fuel'!G132</f>
        <v>Diesel</v>
      </c>
      <c r="G26" s="25" cm="1">
        <f t="array" ref="G26">IFERROR(_xlfn.XLOOKUP(1, (Table_Fuel_EFs_Transport[Fuel combusted]=$E26)*(Table_Fuel_EFs_Transport[Transport type]=$D$25), Table_Fuel_EFs_Transport[Energy Content Factor (GJ per unit of fuel)]), 0)</f>
        <v>38.6</v>
      </c>
      <c r="H26" s="25" cm="1">
        <f t="array" ref="H26">IFERROR(_xlfn.XLOOKUP(1, (Table_Fuel_EFs_Transport[Fuel combusted]=$E26)*(Table_Fuel_EFs_Transport[Transport type]=$D$25), Table_Fuel_EFs_Transport[Scope 1 Emission Factor (kg CO2 - e / GJ) CO2]), 0)</f>
        <v>69.900000000000006</v>
      </c>
      <c r="I26" s="25" cm="1">
        <f t="array" ref="I26">IFERROR(_xlfn.XLOOKUP(1, (Table_Fuel_EFs_Transport[Fuel combusted]=$E26)*(Table_Fuel_EFs_Transport[Transport type]=$D$25), Table_Fuel_EFs_Transport[Scope 1 Emission Factor (kg CO2 - e / GJ) CH4]), 0)</f>
        <v>0.01</v>
      </c>
      <c r="J26" s="25" cm="1">
        <f t="array" ref="J26">IFERROR(_xlfn.XLOOKUP(1, (Table_Fuel_EFs_Transport[Fuel combusted]=$E26)*(Table_Fuel_EFs_Transport[Transport type]=$D$25), Table_Fuel_EFs_Transport[Scope 1 Emission Factor (kg CO2 - e / GJ) N2O]), 0)</f>
        <v>0.5</v>
      </c>
      <c r="K26" s="25" cm="1">
        <f t="array" ref="K26">IFERROR(_xlfn.XLOOKUP(1, (Table_Fuel_EFs_Transport[Fuel combusted]=$E26)*(Table_Fuel_EFs_Transport[Transport type]=$D$25), Table_Fuel_EFs_Transport[Scope 3 Emission Factor (kg CO2 - e / GJ)]), 0)</f>
        <v>17.3</v>
      </c>
      <c r="L26" s="166" cm="1">
        <f t="array" ref="L26">Fuel_InputFunctions.Fuel_TotalConsumption(Table_Input_Fuel[Amount consumed], Table_Input_Fuel[Fuel use (select)], D26, Table_Input_Fuel[Fuel type (select)],F26)</f>
        <v>10</v>
      </c>
      <c r="M26" s="166" t="str" cm="1">
        <f t="array" ref="M26">Common_InputFunctions.Utility_LookupValueInTable(F26,Table_FuelTypes_Units[Fuel type],Table_FuelTypes_Units[Unit])</f>
        <v>kL</v>
      </c>
      <c r="N26" s="189" cm="1">
        <f t="array" ref="N26">Fuel_Equations.VEERG_8_1_1_1__1_FuelCombustionTransport($L26,$G26,$H26)</f>
        <v>26.981400000000001</v>
      </c>
      <c r="O26" s="189" cm="1">
        <f t="array" ref="O26">Fuel_Equations.VEERG_8_1_1_1__1_FuelCombustionTransport($L26,$G26,$I26)</f>
        <v>3.8600000000000001E-3</v>
      </c>
      <c r="P26" s="189" cm="1">
        <f t="array" ref="P26">Fuel_Equations.VEERG_8_1_1_1__1_FuelCombustionTransport($L26,$G26,$J26)</f>
        <v>0.193</v>
      </c>
      <c r="Q26" s="189" cm="1">
        <f t="array" ref="Q26">Scope3_Equations.VEERG_15_11_1_1__2_UpstreamTransportFuelEmissions(L26,G26,K26)</f>
        <v>6.6778000000000004</v>
      </c>
    </row>
    <row r="27" spans="1:17" ht="20.100000000000001" customHeight="1" x14ac:dyDescent="0.25">
      <c r="A27" s="5" t="str">
        <f>HYPERLINK("#'5.3.1.1-2 Lime CO2'!A1", "5.3.1.1-2 Lime CO2")</f>
        <v>5.3.1.1-2 Lime CO2</v>
      </c>
      <c r="D27" s="190" t="str">
        <f t="shared" si="0"/>
        <v>Cars and light commercial vehicles</v>
      </c>
      <c r="E27" s="188" t="str">
        <f>'Constants - Fuel'!$E$12</f>
        <v>Liquefied petroleum gas (LPG)</v>
      </c>
      <c r="F27" s="188" t="str">
        <f>'Constants - Fuel'!G133</f>
        <v>Liquefied petroleum gas (LPG)</v>
      </c>
      <c r="G27" s="25" cm="1">
        <f t="array" ref="G27">IFERROR(_xlfn.XLOOKUP(1, (Table_Fuel_EFs_Transport[Fuel combusted]=$E27)*(Table_Fuel_EFs_Transport[Transport type]=$D$25), Table_Fuel_EFs_Transport[Energy Content Factor (GJ per unit of fuel)]), 0)</f>
        <v>26.2</v>
      </c>
      <c r="H27" s="25" cm="1">
        <f t="array" ref="H27">IFERROR(_xlfn.XLOOKUP(1, (Table_Fuel_EFs_Transport[Fuel combusted]=$E27)*(Table_Fuel_EFs_Transport[Transport type]=$D$25), Table_Fuel_EFs_Transport[Scope 1 Emission Factor (kg CO2 - e / GJ) CO2]), 0)</f>
        <v>60.2</v>
      </c>
      <c r="I27" s="25" cm="1">
        <f t="array" ref="I27">IFERROR(_xlfn.XLOOKUP(1, (Table_Fuel_EFs_Transport[Fuel combusted]=$E27)*(Table_Fuel_EFs_Transport[Transport type]=$D$25), Table_Fuel_EFs_Transport[Scope 1 Emission Factor (kg CO2 - e / GJ) CH4]), 0)</f>
        <v>0.5</v>
      </c>
      <c r="J27" s="25" cm="1">
        <f t="array" ref="J27">IFERROR(_xlfn.XLOOKUP(1, (Table_Fuel_EFs_Transport[Fuel combusted]=$E27)*(Table_Fuel_EFs_Transport[Transport type]=$D$25), Table_Fuel_EFs_Transport[Scope 1 Emission Factor (kg CO2 - e / GJ) N2O]), 0)</f>
        <v>0.3</v>
      </c>
      <c r="K27" s="25" cm="1">
        <f t="array" ref="K27">IFERROR(_xlfn.XLOOKUP(1, (Table_Fuel_EFs_Transport[Fuel combusted]=$E27)*(Table_Fuel_EFs_Transport[Transport type]=$D$25), Table_Fuel_EFs_Transport[Scope 3 Emission Factor (kg CO2 - e / GJ)]), 0)</f>
        <v>20.2</v>
      </c>
      <c r="L27" s="166" cm="1">
        <f t="array" ref="L27">Fuel_InputFunctions.Fuel_TotalConsumption(Table_Input_Fuel[Amount consumed], Table_Input_Fuel[Fuel use (select)], D27, Table_Input_Fuel[Fuel type (select)],F27)</f>
        <v>0</v>
      </c>
      <c r="M27" s="166" t="str" cm="1">
        <f t="array" ref="M27">Common_InputFunctions.Utility_LookupValueInTable(F27,Table_FuelTypes_Units[Fuel type],Table_FuelTypes_Units[Unit])</f>
        <v>kL</v>
      </c>
      <c r="N27" s="189" cm="1">
        <f t="array" ref="N27">Fuel_Equations.VEERG_8_1_1_1__1_FuelCombustionTransport($L27,$G27,$H27)</f>
        <v>0</v>
      </c>
      <c r="O27" s="189" cm="1">
        <f t="array" ref="O27">Fuel_Equations.VEERG_8_1_1_1__1_FuelCombustionTransport($L27,$G27,$I27)</f>
        <v>0</v>
      </c>
      <c r="P27" s="189" cm="1">
        <f t="array" ref="P27">Fuel_Equations.VEERG_8_1_1_1__1_FuelCombustionTransport($L27,$G27,$J27)</f>
        <v>0</v>
      </c>
      <c r="Q27" s="189" cm="1">
        <f t="array" ref="Q27">Scope3_Equations.VEERG_15_11_1_1__2_UpstreamTransportFuelEmissions(L27,G27,K27)</f>
        <v>0</v>
      </c>
    </row>
    <row r="28" spans="1:17" ht="20.100000000000001" customHeight="1" x14ac:dyDescent="0.25">
      <c r="A28" s="5" t="str">
        <f>HYPERLINK("#'5.4.1.1-4 Atmos deposition'!A1", "5.4.1.1-4 Atmos. deposition")</f>
        <v>5.4.1.1-4 Atmos. deposition</v>
      </c>
      <c r="D28" s="190" t="str">
        <f t="shared" si="0"/>
        <v>Cars and light commercial vehicles</v>
      </c>
      <c r="E28" s="188" t="str">
        <f>'Constants - Fuel'!$E$13</f>
        <v>Fuel oil</v>
      </c>
      <c r="F28" s="188" t="str">
        <f>'Constants - Fuel'!G134</f>
        <v>Fuel oil</v>
      </c>
      <c r="G28" s="25" cm="1">
        <f t="array" ref="G28">IFERROR(_xlfn.XLOOKUP(1, (Table_Fuel_EFs_Transport[Fuel combusted]=$E28)*(Table_Fuel_EFs_Transport[Transport type]=$D$25), Table_Fuel_EFs_Transport[Energy Content Factor (GJ per unit of fuel)]), 0)</f>
        <v>39.700000000000003</v>
      </c>
      <c r="H28" s="25" cm="1">
        <f t="array" ref="H28">IFERROR(_xlfn.XLOOKUP(1, (Table_Fuel_EFs_Transport[Fuel combusted]=$E28)*(Table_Fuel_EFs_Transport[Transport type]=$D$25), Table_Fuel_EFs_Transport[Scope 1 Emission Factor (kg CO2 - e / GJ) CO2]), 0)</f>
        <v>73.599999999999994</v>
      </c>
      <c r="I28" s="25" cm="1">
        <f t="array" ref="I28">IFERROR(_xlfn.XLOOKUP(1, (Table_Fuel_EFs_Transport[Fuel combusted]=$E28)*(Table_Fuel_EFs_Transport[Transport type]=$D$25), Table_Fuel_EFs_Transport[Scope 1 Emission Factor (kg CO2 - e / GJ) CH4]), 0)</f>
        <v>0.08</v>
      </c>
      <c r="J28" s="25" cm="1">
        <f t="array" ref="J28">IFERROR(_xlfn.XLOOKUP(1, (Table_Fuel_EFs_Transport[Fuel combusted]=$E28)*(Table_Fuel_EFs_Transport[Transport type]=$D$25), Table_Fuel_EFs_Transport[Scope 1 Emission Factor (kg CO2 - e / GJ) N2O]), 0)</f>
        <v>0.5</v>
      </c>
      <c r="K28" s="25" cm="1">
        <f t="array" ref="K28">IFERROR(_xlfn.XLOOKUP(1, (Table_Fuel_EFs_Transport[Fuel combusted]=$E28)*(Table_Fuel_EFs_Transport[Transport type]=$D$25), Table_Fuel_EFs_Transport[Scope 3 Emission Factor (kg CO2 - e / GJ)]), 0)</f>
        <v>18</v>
      </c>
      <c r="L28" s="166" cm="1">
        <f t="array" ref="L28">Fuel_InputFunctions.Fuel_TotalConsumption(Table_Input_Fuel[Amount consumed], Table_Input_Fuel[Fuel use (select)], D28, Table_Input_Fuel[Fuel type (select)],F28)</f>
        <v>0</v>
      </c>
      <c r="M28" s="166" t="str" cm="1">
        <f t="array" ref="M28">Common_InputFunctions.Utility_LookupValueInTable(F28,Table_FuelTypes_Units[Fuel type],Table_FuelTypes_Units[Unit])</f>
        <v>kL</v>
      </c>
      <c r="N28" s="189" cm="1">
        <f t="array" ref="N28">Fuel_Equations.VEERG_8_1_1_1__1_FuelCombustionTransport($L28,$G28,$H28)</f>
        <v>0</v>
      </c>
      <c r="O28" s="189" cm="1">
        <f t="array" ref="O28">Fuel_Equations.VEERG_8_1_1_1__1_FuelCombustionTransport($L28,$G28,$I28)</f>
        <v>0</v>
      </c>
      <c r="P28" s="189" cm="1">
        <f t="array" ref="P28">Fuel_Equations.VEERG_8_1_1_1__1_FuelCombustionTransport($L28,$G28,$J28)</f>
        <v>0</v>
      </c>
      <c r="Q28" s="189" cm="1">
        <f t="array" ref="Q28">Scope3_Equations.VEERG_15_11_1_1__2_UpstreamTransportFuelEmissions(L28,G28,K28)</f>
        <v>0</v>
      </c>
    </row>
    <row r="29" spans="1:17" ht="20.100000000000001" customHeight="1" x14ac:dyDescent="0.25">
      <c r="A29" s="5" t="str">
        <f>HYPERLINK("#'5.5.1.1-2 Leaching and runoff'!A1", "5.5.1.1-2 Leaching &amp; runoff")</f>
        <v>5.5.1.1-2 Leaching &amp; runoff</v>
      </c>
      <c r="D29" s="190" t="str">
        <f t="shared" si="0"/>
        <v>Cars and light commercial vehicles</v>
      </c>
      <c r="E29" s="188" t="str">
        <f>'Constants - Fuel'!$E$14</f>
        <v>Ethanol</v>
      </c>
      <c r="F29" s="188" t="str">
        <f>'Constants - Fuel'!G135</f>
        <v>Ethanol</v>
      </c>
      <c r="G29" s="25" cm="1">
        <f t="array" ref="G29">IFERROR(_xlfn.XLOOKUP(1, (Table_Fuel_EFs_Transport[Fuel combusted]=$E29)*(Table_Fuel_EFs_Transport[Transport type]=$D$25), Table_Fuel_EFs_Transport[Energy Content Factor (GJ per unit of fuel)]), 0)</f>
        <v>23.4</v>
      </c>
      <c r="H29" s="25" cm="1">
        <f t="array" ref="H29">IFERROR(_xlfn.XLOOKUP(1, (Table_Fuel_EFs_Transport[Fuel combusted]=$E29)*(Table_Fuel_EFs_Transport[Transport type]=$D$25), Table_Fuel_EFs_Transport[Scope 1 Emission Factor (kg CO2 - e / GJ) CO2]), 0)</f>
        <v>0</v>
      </c>
      <c r="I29" s="25" cm="1">
        <f t="array" ref="I29">IFERROR(_xlfn.XLOOKUP(1, (Table_Fuel_EFs_Transport[Fuel combusted]=$E29)*(Table_Fuel_EFs_Transport[Transport type]=$D$25), Table_Fuel_EFs_Transport[Scope 1 Emission Factor (kg CO2 - e / GJ) CH4]), 0)</f>
        <v>0.2</v>
      </c>
      <c r="J29" s="25" cm="1">
        <f t="array" ref="J29">IFERROR(_xlfn.XLOOKUP(1, (Table_Fuel_EFs_Transport[Fuel combusted]=$E29)*(Table_Fuel_EFs_Transport[Transport type]=$D$25), Table_Fuel_EFs_Transport[Scope 1 Emission Factor (kg CO2 - e / GJ) N2O]), 0)</f>
        <v>0.2</v>
      </c>
      <c r="K29" s="25" t="str" cm="1">
        <f t="array" ref="K29">IFERROR(_xlfn.XLOOKUP(1, (Table_Fuel_EFs_Transport[Fuel combusted]=$E29)*(Table_Fuel_EFs_Transport[Transport type]=$D$25), Table_Fuel_EFs_Transport[Scope 3 Emission Factor (kg CO2 - e / GJ)]), 0)</f>
        <v>NE</v>
      </c>
      <c r="L29" s="166" cm="1">
        <f t="array" ref="L29">Fuel_InputFunctions.Fuel_TotalConsumption(Table_Input_Fuel[Amount consumed], Table_Input_Fuel[Fuel use (select)], D29, Table_Input_Fuel[Fuel type (select)],F29)</f>
        <v>0</v>
      </c>
      <c r="M29" s="166" t="str" cm="1">
        <f t="array" ref="M29">Common_InputFunctions.Utility_LookupValueInTable(F29,Table_FuelTypes_Units[Fuel type],Table_FuelTypes_Units[Unit])</f>
        <v>kL</v>
      </c>
      <c r="N29" s="189" cm="1">
        <f t="array" ref="N29">Fuel_Equations.VEERG_8_1_1_1__1_FuelCombustionTransport($L29,$G29,$H29)</f>
        <v>0</v>
      </c>
      <c r="O29" s="189" cm="1">
        <f t="array" ref="O29">Fuel_Equations.VEERG_8_1_1_1__1_FuelCombustionTransport($L29,$G29,$I29)</f>
        <v>0</v>
      </c>
      <c r="P29" s="189" cm="1">
        <f t="array" ref="P29">Fuel_Equations.VEERG_8_1_1_1__1_FuelCombustionTransport($L29,$G29,$J29)</f>
        <v>0</v>
      </c>
      <c r="Q29" s="189" cm="1">
        <f t="array" ref="Q29">Scope3_Equations.VEERG_15_11_1_1__2_UpstreamTransportFuelEmissions(L29,G29,IF(ISNUMBER(K29),K29,0))</f>
        <v>0</v>
      </c>
    </row>
    <row r="30" spans="1:17" ht="20.100000000000001" customHeight="1" x14ac:dyDescent="0.25">
      <c r="A30" s="5" t="str">
        <f>HYPERLINK("#'6.1.1.1-2 Crop residue N2O'!A1", "6.1.1.1-2 Crop residue N2O")</f>
        <v>6.1.1.1-2 Crop residue N2O</v>
      </c>
      <c r="D30" s="190" t="str">
        <f t="shared" si="0"/>
        <v>Cars and light commercial vehicles</v>
      </c>
      <c r="E30" s="188" t="str">
        <f>'Constants - Fuel'!$E$15</f>
        <v>Biodiesel</v>
      </c>
      <c r="F30" s="188" t="str">
        <f>'Constants - Fuel'!G136</f>
        <v>Biodiesel</v>
      </c>
      <c r="G30" s="25" cm="1">
        <f t="array" ref="G30">IFERROR(_xlfn.XLOOKUP(1, (Table_Fuel_EFs_Transport[Fuel combusted]=$E30)*(Table_Fuel_EFs_Transport[Transport type]=$D$25), Table_Fuel_EFs_Transport[Energy Content Factor (GJ per unit of fuel)]), 0)</f>
        <v>34.6</v>
      </c>
      <c r="H30" s="25" cm="1">
        <f t="array" ref="H30">IFERROR(_xlfn.XLOOKUP(1, (Table_Fuel_EFs_Transport[Fuel combusted]=$E30)*(Table_Fuel_EFs_Transport[Transport type]=$D$25), Table_Fuel_EFs_Transport[Scope 1 Emission Factor (kg CO2 - e / GJ) CO2]), 0)</f>
        <v>0</v>
      </c>
      <c r="I30" s="25" cm="1">
        <f t="array" ref="I30">IFERROR(_xlfn.XLOOKUP(1, (Table_Fuel_EFs_Transport[Fuel combusted]=$E30)*(Table_Fuel_EFs_Transport[Transport type]=$D$25), Table_Fuel_EFs_Transport[Scope 1 Emission Factor (kg CO2 - e / GJ) CH4]), 0)</f>
        <v>0.8</v>
      </c>
      <c r="J30" s="25" cm="1">
        <f t="array" ref="J30">IFERROR(_xlfn.XLOOKUP(1, (Table_Fuel_EFs_Transport[Fuel combusted]=$E30)*(Table_Fuel_EFs_Transport[Transport type]=$D$25), Table_Fuel_EFs_Transport[Scope 1 Emission Factor (kg CO2 - e / GJ) N2O]), 0)</f>
        <v>1.7</v>
      </c>
      <c r="K30" s="25" t="str" cm="1">
        <f t="array" ref="K30">IFERROR(_xlfn.XLOOKUP(1, (Table_Fuel_EFs_Transport[Fuel combusted]=$E30)*(Table_Fuel_EFs_Transport[Transport type]=$D$25), Table_Fuel_EFs_Transport[Scope 3 Emission Factor (kg CO2 - e / GJ)]), 0)</f>
        <v>NE</v>
      </c>
      <c r="L30" s="166" cm="1">
        <f t="array" ref="L30">Fuel_InputFunctions.Fuel_TotalConsumption(Table_Input_Fuel[Amount consumed], Table_Input_Fuel[Fuel use (select)], D30, Table_Input_Fuel[Fuel type (select)],F30)</f>
        <v>0</v>
      </c>
      <c r="M30" s="166" t="str" cm="1">
        <f t="array" ref="M30">Common_InputFunctions.Utility_LookupValueInTable(F30,Table_FuelTypes_Units[Fuel type],Table_FuelTypes_Units[Unit])</f>
        <v>kL</v>
      </c>
      <c r="N30" s="189" cm="1">
        <f t="array" ref="N30">Fuel_Equations.VEERG_8_1_1_1__1_FuelCombustionTransport($L30,$G30,$H30)</f>
        <v>0</v>
      </c>
      <c r="O30" s="189" cm="1">
        <f t="array" ref="O30">Fuel_Equations.VEERG_8_1_1_1__1_FuelCombustionTransport($L30,$G30,$I30)</f>
        <v>0</v>
      </c>
      <c r="P30" s="189" cm="1">
        <f t="array" ref="P30">Fuel_Equations.VEERG_8_1_1_1__1_FuelCombustionTransport($L30,$G30,$J30)</f>
        <v>0</v>
      </c>
      <c r="Q30" s="189" cm="1">
        <f t="array" ref="Q30">Scope3_Equations.VEERG_15_11_1_1__2_UpstreamTransportFuelEmissions(L30,G30,IF(ISNUMBER(K30),K30,0))</f>
        <v>0</v>
      </c>
    </row>
    <row r="31" spans="1:17" ht="20.100000000000001" customHeight="1" x14ac:dyDescent="0.25">
      <c r="A31" s="5" t="str">
        <f>HYPERLINK("#'6.3.1.1-2 Leach runoff crop'!A1", "6.3.1.1-2 Leach &amp; runoff (crop)")</f>
        <v>6.3.1.1-2 Leach &amp; runoff (crop)</v>
      </c>
      <c r="D31" s="190" t="str">
        <f t="shared" si="0"/>
        <v>Cars and light commercial vehicles</v>
      </c>
      <c r="E31" s="188" t="str">
        <f>'Constants - Fuel'!$E$16</f>
        <v>Renewable diesel</v>
      </c>
      <c r="F31" s="188" t="str">
        <f>'Constants - Fuel'!G137</f>
        <v>Renewable diesel</v>
      </c>
      <c r="G31" s="25" cm="1">
        <f t="array" ref="G31">IFERROR(_xlfn.XLOOKUP(1, (Table_Fuel_EFs_Transport[Fuel combusted]=$E31)*(Table_Fuel_EFs_Transport[Transport type]=$D$25), Table_Fuel_EFs_Transport[Energy Content Factor (GJ per unit of fuel)]), 0)</f>
        <v>38.6</v>
      </c>
      <c r="H31" s="25" cm="1">
        <f t="array" ref="H31">IFERROR(_xlfn.XLOOKUP(1, (Table_Fuel_EFs_Transport[Fuel combusted]=$E31)*(Table_Fuel_EFs_Transport[Transport type]=$D$25), Table_Fuel_EFs_Transport[Scope 1 Emission Factor (kg CO2 - e / GJ) CO2]), 0)</f>
        <v>0</v>
      </c>
      <c r="I31" s="25" cm="1">
        <f t="array" ref="I31">IFERROR(_xlfn.XLOOKUP(1, (Table_Fuel_EFs_Transport[Fuel combusted]=$E31)*(Table_Fuel_EFs_Transport[Transport type]=$D$25), Table_Fuel_EFs_Transport[Scope 1 Emission Factor (kg CO2 - e / GJ) CH4]), 0)</f>
        <v>0.01</v>
      </c>
      <c r="J31" s="25" cm="1">
        <f t="array" ref="J31">IFERROR(_xlfn.XLOOKUP(1, (Table_Fuel_EFs_Transport[Fuel combusted]=$E31)*(Table_Fuel_EFs_Transport[Transport type]=$D$25), Table_Fuel_EFs_Transport[Scope 1 Emission Factor (kg CO2 - e / GJ) N2O]), 0)</f>
        <v>0.5</v>
      </c>
      <c r="K31" s="25" t="str" cm="1">
        <f t="array" ref="K31">IFERROR(_xlfn.XLOOKUP(1, (Table_Fuel_EFs_Transport[Fuel combusted]=$E31)*(Table_Fuel_EFs_Transport[Transport type]=$D$25), Table_Fuel_EFs_Transport[Scope 3 Emission Factor (kg CO2 - e / GJ)]), 0)</f>
        <v>NE</v>
      </c>
      <c r="L31" s="166" cm="1">
        <f t="array" ref="L31">Fuel_InputFunctions.Fuel_TotalConsumption(Table_Input_Fuel[Amount consumed], Table_Input_Fuel[Fuel use (select)], D31, Table_Input_Fuel[Fuel type (select)],F31)</f>
        <v>0</v>
      </c>
      <c r="M31" s="166" t="str" cm="1">
        <f t="array" ref="M31">Common_InputFunctions.Utility_LookupValueInTable(F31,Table_FuelTypes_Units[Fuel type],Table_FuelTypes_Units[Unit])</f>
        <v>kL</v>
      </c>
      <c r="N31" s="189" cm="1">
        <f t="array" ref="N31">Fuel_Equations.VEERG_8_1_1_1__1_FuelCombustionTransport($L31,$G31,$H31)</f>
        <v>0</v>
      </c>
      <c r="O31" s="189" cm="1">
        <f t="array" ref="O31">Fuel_Equations.VEERG_8_1_1_1__1_FuelCombustionTransport($L31,$G31,$I31)</f>
        <v>0</v>
      </c>
      <c r="P31" s="189" cm="1">
        <f t="array" ref="P31">Fuel_Equations.VEERG_8_1_1_1__1_FuelCombustionTransport($L31,$G31,$J31)</f>
        <v>0</v>
      </c>
      <c r="Q31" s="189" cm="1">
        <f t="array" ref="Q31">Scope3_Equations.VEERG_15_11_1_1__2_UpstreamTransportFuelEmissions(L31,G31,IF(ISNUMBER(K31),K31,0))</f>
        <v>0</v>
      </c>
    </row>
    <row r="32" spans="1:17" ht="20.100000000000001" customHeight="1" x14ac:dyDescent="0.25">
      <c r="A32" s="5" t="str">
        <f>HYPERLINK("#'6.4.1.1-2 Residue burning'!A1", "6.4.1.1-2 Residue burning")</f>
        <v>6.4.1.1-2 Residue burning</v>
      </c>
      <c r="D32" s="190" t="str">
        <f t="shared" si="0"/>
        <v>Cars and light commercial vehicles</v>
      </c>
      <c r="E32" s="188" t="str">
        <f>'Constants - Fuel'!$E$17</f>
        <v>Other biofuels</v>
      </c>
      <c r="F32" s="188" t="str">
        <f>'Constants - Fuel'!G138</f>
        <v>Other biofuels</v>
      </c>
      <c r="G32" s="25" cm="1">
        <f t="array" ref="G32">IFERROR(_xlfn.XLOOKUP(1, (Table_Fuel_EFs_Transport[Fuel combusted]=$E32)*(Table_Fuel_EFs_Transport[Transport type]=$D$25), Table_Fuel_EFs_Transport[Energy Content Factor (GJ per unit of fuel)]), 0)</f>
        <v>23.4</v>
      </c>
      <c r="H32" s="25" cm="1">
        <f t="array" ref="H32">IFERROR(_xlfn.XLOOKUP(1, (Table_Fuel_EFs_Transport[Fuel combusted]=$E32)*(Table_Fuel_EFs_Transport[Transport type]=$D$25), Table_Fuel_EFs_Transport[Scope 1 Emission Factor (kg CO2 - e / GJ) CO2]), 0)</f>
        <v>0</v>
      </c>
      <c r="I32" s="25" cm="1">
        <f t="array" ref="I32">IFERROR(_xlfn.XLOOKUP(1, (Table_Fuel_EFs_Transport[Fuel combusted]=$E32)*(Table_Fuel_EFs_Transport[Transport type]=$D$25), Table_Fuel_EFs_Transport[Scope 1 Emission Factor (kg CO2 - e / GJ) CH4]), 0)</f>
        <v>0.8</v>
      </c>
      <c r="J32" s="25" cm="1">
        <f t="array" ref="J32">IFERROR(_xlfn.XLOOKUP(1, (Table_Fuel_EFs_Transport[Fuel combusted]=$E32)*(Table_Fuel_EFs_Transport[Transport type]=$D$25), Table_Fuel_EFs_Transport[Scope 1 Emission Factor (kg CO2 - e / GJ) N2O]), 0)</f>
        <v>1.7</v>
      </c>
      <c r="K32" s="186" t="str" cm="1">
        <f t="array" ref="K32">IFERROR(_xlfn.XLOOKUP(1, (Table_Fuel_EFs_Transport[Fuel combusted]=$E32)*(Table_Fuel_EFs_Transport[Transport type]=$D$25), Table_Fuel_EFs_Transport[Scope 3 Emission Factor (kg CO2 - e / GJ)]), 0)</f>
        <v>NE</v>
      </c>
      <c r="L32" s="191" cm="1">
        <f t="array" ref="L32">Fuel_InputFunctions.Fuel_TotalConsumption(Table_Input_Fuel[Amount consumed], Table_Input_Fuel[Fuel use (select)], D32, Table_Input_Fuel[Fuel type (select)],F32)</f>
        <v>0</v>
      </c>
      <c r="M32" s="166" t="str" cm="1">
        <f t="array" ref="M32">Common_InputFunctions.Utility_LookupValueInTable(F32,Table_FuelTypes_Units[Fuel type],Table_FuelTypes_Units[Unit])</f>
        <v>kL</v>
      </c>
      <c r="N32" s="192" cm="1">
        <f t="array" ref="N32">Fuel_Equations.VEERG_8_1_1_1__1_FuelCombustionTransport($L32,$G32,$H32)</f>
        <v>0</v>
      </c>
      <c r="O32" s="192" cm="1">
        <f t="array" ref="O32">Fuel_Equations.VEERG_8_1_1_1__1_FuelCombustionTransport($L32,$G32,$I32)</f>
        <v>0</v>
      </c>
      <c r="P32" s="192" cm="1">
        <f t="array" ref="P32">Fuel_Equations.VEERG_8_1_1_1__1_FuelCombustionTransport($L32,$G32,$J32)</f>
        <v>0</v>
      </c>
      <c r="Q32" s="189" cm="1">
        <f t="array" ref="Q32">Scope3_Equations.VEERG_15_11_1_1__2_UpstreamTransportFuelEmissions(L32,G32,IF(ISNUMBER(K32),K32,0))</f>
        <v>0</v>
      </c>
    </row>
    <row r="33" spans="1:17" ht="20.100000000000001" customHeight="1" x14ac:dyDescent="0.25">
      <c r="A33" s="141" t="str">
        <f>HYPERLINK("#'8.1.1.1-2 Transport fuel'!A1", "8.1.1.1-2 Transport fuel")</f>
        <v>8.1.1.1-2 Transport fuel</v>
      </c>
      <c r="D33" s="193" t="str">
        <f>Table_FuelTypesPerUse[[#Headers],[Off-road Agriculture and forestry equipment]]</f>
        <v>Off-road Agriculture and forestry equipment</v>
      </c>
      <c r="E33" s="194" t="str">
        <f>'Constants - Fuel'!$E$11</f>
        <v>Diesel oil</v>
      </c>
      <c r="F33" s="194" t="str">
        <f>'Constants - Fuel'!H131</f>
        <v>Diesel</v>
      </c>
      <c r="G33" s="195" cm="1">
        <f t="array" ref="G33">IFERROR(_xlfn.XLOOKUP(1, (Table_Fuel_EFs_Transport[Fuel combusted]=$E33)*(Table_Fuel_EFs_Transport[Transport type]=$D$33), Table_Fuel_EFs_Transport[Energy Content Factor (GJ per unit of fuel)]), 0)</f>
        <v>38.6</v>
      </c>
      <c r="H33" s="195" cm="1">
        <f t="array" ref="H33">IFERROR(_xlfn.XLOOKUP(1, (Table_Fuel_EFs_Transport[Fuel combusted]=$E33)*(Table_Fuel_EFs_Transport[Transport type]=$D$33), Table_Fuel_EFs_Transport[Scope 1 Emission Factor (kg CO2 - e / GJ) CO2]), 0)</f>
        <v>69.900000000000006</v>
      </c>
      <c r="I33" s="195" cm="1">
        <f t="array" ref="I33">IFERROR(_xlfn.XLOOKUP(1, (Table_Fuel_EFs_Transport[Fuel combusted]=$E33)*(Table_Fuel_EFs_Transport[Transport type]=$D$33), Table_Fuel_EFs_Transport[Scope 1 Emission Factor (kg CO2 - e / GJ) CH4]), 0)</f>
        <v>0.3</v>
      </c>
      <c r="J33" s="195" cm="1">
        <f t="array" ref="J33">IFERROR(_xlfn.XLOOKUP(1, (Table_Fuel_EFs_Transport[Fuel combusted]=$E33)*(Table_Fuel_EFs_Transport[Transport type]=$D$33), Table_Fuel_EFs_Transport[Scope 1 Emission Factor (kg CO2 - e / GJ) N2O]), 0)</f>
        <v>0.5</v>
      </c>
      <c r="K33" s="196" cm="1">
        <f t="array" ref="K33">IFERROR(_xlfn.XLOOKUP(1, (Table_Fuel_EFs_Transport[Fuel combusted]=$E33)*(Table_Fuel_EFs_Transport[Transport type]=$D$25), Table_Fuel_EFs_Transport[Scope 3 Emission Factor (kg CO2 - e / GJ)]), 0)</f>
        <v>17.3</v>
      </c>
      <c r="L33" s="197" cm="1">
        <f t="array" ref="L33">Fuel_InputFunctions.Fuel_TotalConsumption(Table_Input_Fuel[Amount consumed], Table_Input_Fuel[Fuel use (select)], D33, Table_Input_Fuel[Fuel type (select)],F33)</f>
        <v>10</v>
      </c>
      <c r="M33" s="198" t="str" cm="1">
        <f t="array" ref="M33">Common_InputFunctions.Utility_LookupValueInTable(F33,Table_FuelTypes_Units[Fuel type],Table_FuelTypes_Units[Unit])</f>
        <v>kL</v>
      </c>
      <c r="N33" s="199" cm="1">
        <f t="array" ref="N33">Fuel_Equations.VEERG_8_1_1_1__1_FuelCombustionTransport($L33,$G33,$H33)</f>
        <v>26.981400000000001</v>
      </c>
      <c r="O33" s="199" cm="1">
        <f t="array" ref="O33">Fuel_Equations.VEERG_8_1_1_1__1_FuelCombustionTransport($L33,$G33,$I33)</f>
        <v>0.1158</v>
      </c>
      <c r="P33" s="199" cm="1">
        <f t="array" ref="P33">Fuel_Equations.VEERG_8_1_1_1__1_FuelCombustionTransport($L33,$G33,$J33)</f>
        <v>0.193</v>
      </c>
      <c r="Q33" s="200" cm="1">
        <f t="array" ref="Q33">Scope3_Equations.VEERG_15_11_1_1__2_UpstreamTransportFuelEmissions(L33,G33,K33)</f>
        <v>6.6778000000000004</v>
      </c>
    </row>
    <row r="34" spans="1:17" ht="20.100000000000001" customHeight="1" x14ac:dyDescent="0.25">
      <c r="A34" s="5" t="str">
        <f>HYPERLINK("#'8.2.1.1-2 Stationary fuel'!A1", "8.2.1.1-2 Stationary fuel")</f>
        <v>8.2.1.1-2 Stationary fuel</v>
      </c>
      <c r="D34" s="193" t="str">
        <f>Table_FuelTypesPerUse[[#Headers],[Aviation]]</f>
        <v>Aviation</v>
      </c>
      <c r="E34" s="194" t="str">
        <f>'Constants - Fuel'!$E$28</f>
        <v>Gasoline for use as fuel in an aircraft</v>
      </c>
      <c r="F34" s="194" t="str">
        <f>'Constants - Fuel'!$F$131</f>
        <v>Avgas</v>
      </c>
      <c r="G34" s="201" cm="1">
        <f t="array" ref="G34">IFERROR(_xlfn.XLOOKUP(1, (Table_Fuel_EFs_Transport[Fuel combusted]=$E34)*(Table_Fuel_EFs_Transport[Transport type]=$D$34), Table_Fuel_EFs_Transport[Energy Content Factor (GJ per unit of fuel)]), 0)</f>
        <v>33.1</v>
      </c>
      <c r="H34" s="201" cm="1">
        <f t="array" ref="H34">IFERROR(_xlfn.XLOOKUP(1, (Table_Fuel_EFs_Transport[Fuel combusted]=$E34)*(Table_Fuel_EFs_Transport[Transport type]=$D$34), Table_Fuel_EFs_Transport[Scope 1 Emission Factor (kg CO2 - e / GJ) CO2]), 0)</f>
        <v>67</v>
      </c>
      <c r="I34" s="201" cm="1">
        <f t="array" ref="I34">IFERROR(_xlfn.XLOOKUP(1, (Table_Fuel_EFs_Transport[Fuel combusted]=$E34)*(Table_Fuel_EFs_Transport[Transport type]=$D$34), Table_Fuel_EFs_Transport[Scope 1 Emission Factor (kg CO2 - e / GJ) CH4]), 0)</f>
        <v>0.06</v>
      </c>
      <c r="J34" s="201" cm="1">
        <f t="array" ref="J34">IFERROR(_xlfn.XLOOKUP(1, (Table_Fuel_EFs_Transport[Fuel combusted]=$E34)*(Table_Fuel_EFs_Transport[Transport type]=$D$34), Table_Fuel_EFs_Transport[Scope 1 Emission Factor (kg CO2 - e / GJ) N2O]), 0)</f>
        <v>0.6</v>
      </c>
      <c r="K34" s="201" cm="1">
        <f t="array" ref="K34">IFERROR(_xlfn.XLOOKUP(1, (Table_Fuel_EFs_Transport[Fuel combusted]=$E34)*(Table_Fuel_EFs_Transport[Transport type]=$D$25), Table_Fuel_EFs_Transport[Scope 3 Emission Factor (kg CO2 - e / GJ)]), 0)</f>
        <v>0</v>
      </c>
      <c r="L34" s="198" cm="1">
        <f t="array" ref="L34">Fuel_InputFunctions.Fuel_TotalConsumption(Table_Input_Fuel[Amount consumed], Table_Input_Fuel[Fuel use (select)], D34, Table_Input_Fuel[Fuel type (select)],F34)</f>
        <v>0</v>
      </c>
      <c r="M34" s="198" t="str" cm="1">
        <f t="array" ref="M34">Common_InputFunctions.Utility_LookupValueInTable(F34,Table_FuelTypes_Units[Fuel type],Table_FuelTypes_Units[Unit])</f>
        <v>kL</v>
      </c>
      <c r="N34" s="199" cm="1">
        <f t="array" ref="N34">Fuel_Equations.VEERG_8_1_1_1__1_FuelCombustionTransport($L34,$G34,$H34)</f>
        <v>0</v>
      </c>
      <c r="O34" s="199" cm="1">
        <f t="array" ref="O34">Fuel_Equations.VEERG_8_1_1_1__1_FuelCombustionTransport($L34,$G34,$I34)</f>
        <v>0</v>
      </c>
      <c r="P34" s="199" cm="1">
        <f t="array" ref="P34">Fuel_Equations.VEERG_8_1_1_1__1_FuelCombustionTransport($L34,$G34,$J34)</f>
        <v>0</v>
      </c>
      <c r="Q34" s="199" cm="1">
        <f t="array" ref="Q34">Scope3_Equations.VEERG_15_11_1_1__2_UpstreamTransportFuelEmissions(L34,G34,K34)</f>
        <v>0</v>
      </c>
    </row>
    <row r="35" spans="1:17" ht="20.100000000000001" customHeight="1" x14ac:dyDescent="0.25">
      <c r="A35" s="5" t="str">
        <f>HYPERLINK("#'14.1.1-2 Purchased electricity'!A1", "14.1.1-2 Purchased electricity")</f>
        <v>14.1.1-2 Purchased electricity</v>
      </c>
      <c r="D35" s="190" t="str">
        <f>$D$34</f>
        <v>Aviation</v>
      </c>
      <c r="E35" s="188" t="str">
        <f>'Constants - Fuel'!$E$29</f>
        <v>Kerosene for use as fuel in an aircraft</v>
      </c>
      <c r="F35" s="188" t="str">
        <f>'Constants - Fuel'!$F$132</f>
        <v>Jet A1, Jet B</v>
      </c>
      <c r="G35" s="25" cm="1">
        <f t="array" ref="G35">IFERROR(_xlfn.XLOOKUP(1, (Table_Fuel_EFs_Transport[Fuel combusted]=$E35)*(Table_Fuel_EFs_Transport[Transport type]=$D$34), Table_Fuel_EFs_Transport[Energy Content Factor (GJ per unit of fuel)]), 0)</f>
        <v>36.799999999999997</v>
      </c>
      <c r="H35" s="25" cm="1">
        <f t="array" ref="H35">IFERROR(_xlfn.XLOOKUP(1, (Table_Fuel_EFs_Transport[Fuel combusted]=$E35)*(Table_Fuel_EFs_Transport[Transport type]=$D$34), Table_Fuel_EFs_Transport[Scope 1 Emission Factor (kg CO2 - e / GJ) CO2]), 0)</f>
        <v>69.599999999999994</v>
      </c>
      <c r="I35" s="25" cm="1">
        <f t="array" ref="I35">IFERROR(_xlfn.XLOOKUP(1, (Table_Fuel_EFs_Transport[Fuel combusted]=$E35)*(Table_Fuel_EFs_Transport[Transport type]=$D$34), Table_Fuel_EFs_Transport[Scope 1 Emission Factor (kg CO2 - e / GJ) CH4]), 0)</f>
        <v>0.01</v>
      </c>
      <c r="J35" s="25" cm="1">
        <f t="array" ref="J35">IFERROR(_xlfn.XLOOKUP(1, (Table_Fuel_EFs_Transport[Fuel combusted]=$E35)*(Table_Fuel_EFs_Transport[Transport type]=$D$34), Table_Fuel_EFs_Transport[Scope 1 Emission Factor (kg CO2 - e / GJ) N2O]), 0)</f>
        <v>0.6</v>
      </c>
      <c r="K35" s="25" cm="1">
        <f t="array" ref="K35">IFERROR(_xlfn.XLOOKUP(1, (Table_Fuel_EFs_Transport[Fuel combusted]=$E35)*(Table_Fuel_EFs_Transport[Transport type]=$D$25), Table_Fuel_EFs_Transport[Scope 3 Emission Factor (kg CO2 - e / GJ)]), 0)</f>
        <v>0</v>
      </c>
      <c r="L35" s="166" cm="1">
        <f t="array" ref="L35">Fuel_InputFunctions.Fuel_TotalConsumption(Table_Input_Fuel[Amount consumed], Table_Input_Fuel[Fuel use (select)], D35, Table_Input_Fuel[Fuel type (select)],F35)</f>
        <v>0</v>
      </c>
      <c r="M35" s="166" t="str" cm="1">
        <f t="array" ref="M35">Common_InputFunctions.Utility_LookupValueInTable(F35,Table_FuelTypes_Units[Fuel type],Table_FuelTypes_Units[Unit])</f>
        <v>kL</v>
      </c>
      <c r="N35" s="189" cm="1">
        <f t="array" ref="N35">Fuel_Equations.VEERG_8_1_1_1__1_FuelCombustionTransport($L35,$G35,$H35)</f>
        <v>0</v>
      </c>
      <c r="O35" s="189" cm="1">
        <f t="array" ref="O35">Fuel_Equations.VEERG_8_1_1_1__1_FuelCombustionTransport($L35,$G35,$I35)</f>
        <v>0</v>
      </c>
      <c r="P35" s="189" cm="1">
        <f t="array" ref="P35">Fuel_Equations.VEERG_8_1_1_1__1_FuelCombustionTransport($L35,$G35,$J35)</f>
        <v>0</v>
      </c>
      <c r="Q35" s="189" cm="1">
        <f t="array" ref="Q35">Scope3_Equations.VEERG_15_11_1_1__2_UpstreamTransportFuelEmissions(L35,G35,K35)</f>
        <v>0</v>
      </c>
    </row>
    <row r="36" spans="1:17" ht="20.100000000000001" customHeight="1" x14ac:dyDescent="0.25">
      <c r="A36" s="5" t="str">
        <f>HYPERLINK("#'15 Scope 3'!A1", "15 Scope 3")</f>
        <v>15 Scope 3</v>
      </c>
      <c r="D36" s="190" t="str">
        <f>$D$34</f>
        <v>Aviation</v>
      </c>
      <c r="E36" s="188" t="str">
        <f>'Constants - Fuel'!$E$30</f>
        <v>Renewable aviation kerosene</v>
      </c>
      <c r="F36" s="188" t="str">
        <f>'Constants - Fuel'!$F$133</f>
        <v>Renewable aviation kerosene</v>
      </c>
      <c r="G36" s="186" cm="1">
        <f t="array" ref="G36">IFERROR(_xlfn.XLOOKUP(1, (Table_Fuel_EFs_Transport[Fuel combusted]=$E36)*(Table_Fuel_EFs_Transport[Transport type]=$D$34), Table_Fuel_EFs_Transport[Energy Content Factor (GJ per unit of fuel)]), 0)</f>
        <v>36.799999999999997</v>
      </c>
      <c r="H36" s="186" cm="1">
        <f t="array" ref="H36">IFERROR(_xlfn.XLOOKUP(1, (Table_Fuel_EFs_Transport[Fuel combusted]=$E36)*(Table_Fuel_EFs_Transport[Transport type]=$D$34), Table_Fuel_EFs_Transport[Scope 1 Emission Factor (kg CO2 - e / GJ) CO2]), 0)</f>
        <v>0</v>
      </c>
      <c r="I36" s="186" cm="1">
        <f t="array" ref="I36">IFERROR(_xlfn.XLOOKUP(1, (Table_Fuel_EFs_Transport[Fuel combusted]=$E36)*(Table_Fuel_EFs_Transport[Transport type]=$D$34), Table_Fuel_EFs_Transport[Scope 1 Emission Factor (kg CO2 - e / GJ) CH4]), 0)</f>
        <v>0.01</v>
      </c>
      <c r="J36" s="186" cm="1">
        <f t="array" ref="J36">IFERROR(_xlfn.XLOOKUP(1, (Table_Fuel_EFs_Transport[Fuel combusted]=$E36)*(Table_Fuel_EFs_Transport[Transport type]=$D$34), Table_Fuel_EFs_Transport[Scope 1 Emission Factor (kg CO2 - e / GJ) N2O]), 0)</f>
        <v>0.6</v>
      </c>
      <c r="K36" s="186" cm="1">
        <f t="array" ref="K36">IFERROR(_xlfn.XLOOKUP(1, (Table_Fuel_EFs_Transport[Fuel combusted]=$E36)*(Table_Fuel_EFs_Transport[Transport type]=$D$25), Table_Fuel_EFs_Transport[Scope 3 Emission Factor (kg CO2 - e / GJ)]), 0)</f>
        <v>0</v>
      </c>
      <c r="L36" s="191" cm="1">
        <f t="array" ref="L36">Fuel_InputFunctions.Fuel_TotalConsumption(Table_Input_Fuel[Amount consumed], Table_Input_Fuel[Fuel use (select)], D36, Table_Input_Fuel[Fuel type (select)],F36)</f>
        <v>0</v>
      </c>
      <c r="M36" s="166" t="str" cm="1">
        <f t="array" ref="M36">Common_InputFunctions.Utility_LookupValueInTable(F36,Table_FuelTypes_Units[Fuel type],Table_FuelTypes_Units[Unit])</f>
        <v>kL</v>
      </c>
      <c r="N36" s="189" cm="1">
        <f t="array" ref="N36">Fuel_Equations.VEERG_8_1_1_1__1_FuelCombustionTransport($L36,$G36,$H36)</f>
        <v>0</v>
      </c>
      <c r="O36" s="189" cm="1">
        <f t="array" ref="O36">Fuel_Equations.VEERG_8_1_1_1__1_FuelCombustionTransport($L36,$G36,$I36)</f>
        <v>0</v>
      </c>
      <c r="P36" s="189" cm="1">
        <f t="array" ref="P36">Fuel_Equations.VEERG_8_1_1_1__1_FuelCombustionTransport($L36,$G36,$J36)</f>
        <v>0</v>
      </c>
      <c r="Q36" s="192" cm="1">
        <f t="array" ref="Q36">Scope3_Equations.VEERG_15_11_1_1__2_UpstreamTransportFuelEmissions(L36,G36,K36)</f>
        <v>0</v>
      </c>
    </row>
    <row r="37" spans="1:17" ht="20.100000000000001" customHeight="1" x14ac:dyDescent="0.25">
      <c r="A37" s="5" t="str">
        <f>HYPERLINK("#'Calcs - Manure sent off-site'!A1", "Calcs - Manure sent off-site")</f>
        <v>Calcs - Manure sent off-site</v>
      </c>
      <c r="D37" s="193" t="str">
        <f>Table_FuelTypesPerUse[[#Headers],[Vessels]]</f>
        <v>Vessels</v>
      </c>
      <c r="E37" s="194" t="str">
        <f>'Constants - Fuel'!$E$10</f>
        <v>Gasoline</v>
      </c>
      <c r="F37" s="194" t="str">
        <f>'Constants - Fuel'!$I$131</f>
        <v>Petrol</v>
      </c>
      <c r="G37" s="201" cm="1">
        <f t="array" ref="G37">IFERROR(_xlfn.XLOOKUP(1, (Table_Fuel_EFs_Transport[Fuel combusted]=$E37)*(Table_Fuel_EFs_Transport[Transport type]=$D$37), Table_Fuel_EFs_Transport[Energy Content Factor (GJ per unit of fuel)]), 0)</f>
        <v>34.200000000000003</v>
      </c>
      <c r="H37" s="201" cm="1">
        <f t="array" ref="H37">IFERROR(_xlfn.XLOOKUP(1, (Table_Fuel_EFs_Transport[Fuel combusted]=$E37)*(Table_Fuel_EFs_Transport[Transport type]=$D$37), Table_Fuel_EFs_Transport[Scope 1 Emission Factor (kg CO2 - e / GJ) CO2]), 0)</f>
        <v>67.400000000000006</v>
      </c>
      <c r="I37" s="201" cm="1">
        <f t="array" ref="I37">IFERROR(_xlfn.XLOOKUP(1, (Table_Fuel_EFs_Transport[Fuel combusted]=$E37)*(Table_Fuel_EFs_Transport[Transport type]=$D$37), Table_Fuel_EFs_Transport[Scope 1 Emission Factor (kg CO2 - e / GJ) CH4]), 0)</f>
        <v>10.1</v>
      </c>
      <c r="J37" s="201" cm="1">
        <f t="array" ref="J37">IFERROR(_xlfn.XLOOKUP(1, (Table_Fuel_EFs_Transport[Fuel combusted]=$E37)*(Table_Fuel_EFs_Transport[Transport type]=$D$37), Table_Fuel_EFs_Transport[Scope 1 Emission Factor (kg CO2 - e / GJ) N2O]), 0)</f>
        <v>0.3</v>
      </c>
      <c r="K37" s="201" cm="1">
        <f t="array" ref="K37">IFERROR(_xlfn.XLOOKUP(1, (Table_Fuel_EFs_Transport[Fuel combusted]=$E37)*(Table_Fuel_EFs_Transport[Transport type]=$D$25), Table_Fuel_EFs_Transport[Scope 3 Emission Factor (kg CO2 - e / GJ)]), 0)</f>
        <v>17.2</v>
      </c>
      <c r="L37" s="198" cm="1">
        <f t="array" ref="L37">Fuel_InputFunctions.Fuel_TotalConsumption(Table_Input_Fuel[Amount consumed], Table_Input_Fuel[Fuel use (select)], D37, Table_Input_Fuel[Fuel type (select)],F37)</f>
        <v>0</v>
      </c>
      <c r="M37" s="202" t="str" cm="1">
        <f t="array" ref="M37">Common_InputFunctions.Utility_LookupValueInTable(F37,Table_FuelTypes_Units[Fuel type],Table_FuelTypes_Units[Unit])</f>
        <v>kL</v>
      </c>
      <c r="N37" s="199" cm="1">
        <f t="array" ref="N37">Fuel_Equations.VEERG_8_1_1_1__1_FuelCombustionTransport($L37,$G37,$H37)</f>
        <v>0</v>
      </c>
      <c r="O37" s="199" cm="1">
        <f t="array" ref="O37">Fuel_Equations.VEERG_8_1_1_1__1_FuelCombustionTransport($L37,$G37,$I37)</f>
        <v>0</v>
      </c>
      <c r="P37" s="199" cm="1">
        <f t="array" ref="P37">Fuel_Equations.VEERG_8_1_1_1__1_FuelCombustionTransport($L37,$G37,$J37)</f>
        <v>0</v>
      </c>
      <c r="Q37" s="199" cm="1">
        <f t="array" ref="Q37">Scope3_Equations.VEERG_15_11_1_1__2_UpstreamTransportFuelEmissions(L37,G37,K37)</f>
        <v>0</v>
      </c>
    </row>
    <row r="38" spans="1:17" ht="20.100000000000001" customHeight="1" x14ac:dyDescent="0.25">
      <c r="A38" s="5" t="str">
        <f>HYPERLINK("#'10.1.1-2 Solid waste treatment'!A1", "10.1.1-2 Solid waste treatment")</f>
        <v>10.1.1-2 Solid waste treatment</v>
      </c>
      <c r="D38" s="190" t="str">
        <f>$D$37</f>
        <v>Vessels</v>
      </c>
      <c r="E38" s="188" t="str">
        <f>'Constants - Fuel'!$E$11</f>
        <v>Diesel oil</v>
      </c>
      <c r="F38" s="188" t="str">
        <f>'Constants - Fuel'!$I$132</f>
        <v>Diesel</v>
      </c>
      <c r="G38" s="25" cm="1">
        <f t="array" ref="G38">IFERROR(_xlfn.XLOOKUP(1, (Table_Fuel_EFs_Transport[Fuel combusted]=$E38)*(Table_Fuel_EFs_Transport[Transport type]=$D$37), Table_Fuel_EFs_Transport[Energy Content Factor (GJ per unit of fuel)]), 0)</f>
        <v>38.6</v>
      </c>
      <c r="H38" s="25" cm="1">
        <f t="array" ref="H38">IFERROR(_xlfn.XLOOKUP(1, (Table_Fuel_EFs_Transport[Fuel combusted]=$E38)*(Table_Fuel_EFs_Transport[Transport type]=$D$37), Table_Fuel_EFs_Transport[Scope 1 Emission Factor (kg CO2 - e / GJ) CO2]), 0)</f>
        <v>69.900000000000006</v>
      </c>
      <c r="I38" s="25" cm="1">
        <f t="array" ref="I38">IFERROR(_xlfn.XLOOKUP(1, (Table_Fuel_EFs_Transport[Fuel combusted]=$E38)*(Table_Fuel_EFs_Transport[Transport type]=$D$37), Table_Fuel_EFs_Transport[Scope 1 Emission Factor (kg CO2 - e / GJ) CH4]), 0)</f>
        <v>0.2</v>
      </c>
      <c r="J38" s="25" cm="1">
        <f t="array" ref="J38">IFERROR(_xlfn.XLOOKUP(1, (Table_Fuel_EFs_Transport[Fuel combusted]=$E38)*(Table_Fuel_EFs_Transport[Transport type]=$D$37), Table_Fuel_EFs_Transport[Scope 1 Emission Factor (kg CO2 - e / GJ) N2O]), 0)</f>
        <v>0.5</v>
      </c>
      <c r="K38" s="25" cm="1">
        <f t="array" ref="K38">IFERROR(_xlfn.XLOOKUP(1, (Table_Fuel_EFs_Transport[Fuel combusted]=$E38)*(Table_Fuel_EFs_Transport[Transport type]=$D$25), Table_Fuel_EFs_Transport[Scope 3 Emission Factor (kg CO2 - e / GJ)]), 0)</f>
        <v>17.3</v>
      </c>
      <c r="L38" s="166" cm="1">
        <f t="array" ref="L38">Fuel_InputFunctions.Fuel_TotalConsumption(Table_Input_Fuel[Amount consumed], Table_Input_Fuel[Fuel use (select)], D38, Table_Input_Fuel[Fuel type (select)],F38)</f>
        <v>0</v>
      </c>
      <c r="M38" s="166" t="str" cm="1">
        <f t="array" ref="M38">Common_InputFunctions.Utility_LookupValueInTable(F38,Table_FuelTypes_Units[Fuel type],Table_FuelTypes_Units[Unit])</f>
        <v>kL</v>
      </c>
      <c r="N38" s="189" cm="1">
        <f t="array" ref="N38">Fuel_Equations.VEERG_8_1_1_1__1_FuelCombustionTransport($L38,$G38,$H38)</f>
        <v>0</v>
      </c>
      <c r="O38" s="189" cm="1">
        <f t="array" ref="O38">Fuel_Equations.VEERG_8_1_1_1__1_FuelCombustionTransport($L38,$G38,$I38)</f>
        <v>0</v>
      </c>
      <c r="P38" s="189" cm="1">
        <f t="array" ref="P38">Fuel_Equations.VEERG_8_1_1_1__1_FuelCombustionTransport($L38,$G38,$J38)</f>
        <v>0</v>
      </c>
      <c r="Q38" s="189" cm="1">
        <f t="array" ref="Q38">Scope3_Equations.VEERG_15_11_1_1__2_UpstreamTransportFuelEmissions(L38,G38,K38)</f>
        <v>0</v>
      </c>
    </row>
    <row r="39" spans="1:17" ht="20.100000000000001" customHeight="1" x14ac:dyDescent="0.25">
      <c r="D39" s="190" t="str">
        <f>$D$37</f>
        <v>Vessels</v>
      </c>
      <c r="E39" s="188" t="str">
        <f>'Constants - Fuel'!E33</f>
        <v>Fuel Oil</v>
      </c>
      <c r="F39" s="188" t="str">
        <f>'Constants - Fuel'!$I$133</f>
        <v>Fuel oil</v>
      </c>
      <c r="G39" s="25" cm="1">
        <f t="array" ref="G39">IFERROR(_xlfn.XLOOKUP(1, (Table_Fuel_EFs_Transport[Fuel combusted]=$E39)*(Table_Fuel_EFs_Transport[Transport type]=$D$37), Table_Fuel_EFs_Transport[Energy Content Factor (GJ per unit of fuel)]), 0)</f>
        <v>39.700000000000003</v>
      </c>
      <c r="H39" s="25" cm="1">
        <f t="array" ref="H39">IFERROR(_xlfn.XLOOKUP(1, (Table_Fuel_EFs_Transport[Fuel combusted]=$E39)*(Table_Fuel_EFs_Transport[Transport type]=$D$37), Table_Fuel_EFs_Transport[Scope 1 Emission Factor (kg CO2 - e / GJ) CO2]), 0)</f>
        <v>73.599999999999994</v>
      </c>
      <c r="I39" s="25" cm="1">
        <f t="array" ref="I39">IFERROR(_xlfn.XLOOKUP(1, (Table_Fuel_EFs_Transport[Fuel combusted]=$E39)*(Table_Fuel_EFs_Transport[Transport type]=$D$37), Table_Fuel_EFs_Transport[Scope 1 Emission Factor (kg CO2 - e / GJ) CH4]), 0)</f>
        <v>0.2</v>
      </c>
      <c r="J39" s="25" cm="1">
        <f t="array" ref="J39">IFERROR(_xlfn.XLOOKUP(1, (Table_Fuel_EFs_Transport[Fuel combusted]=$E39)*(Table_Fuel_EFs_Transport[Transport type]=$D$37), Table_Fuel_EFs_Transport[Scope 1 Emission Factor (kg CO2 - e / GJ) N2O]), 0)</f>
        <v>0.5</v>
      </c>
      <c r="K39" s="25" cm="1">
        <f t="array" ref="K39">IFERROR(_xlfn.XLOOKUP(1, (Table_Fuel_EFs_Transport[Fuel combusted]=$E39)*(Table_Fuel_EFs_Transport[Transport type]=$D$25), Table_Fuel_EFs_Transport[Scope 3 Emission Factor (kg CO2 - e / GJ)]), 0)</f>
        <v>18</v>
      </c>
      <c r="L39" s="166" cm="1">
        <f t="array" ref="L39">Fuel_InputFunctions.Fuel_TotalConsumption(Table_Input_Fuel[Amount consumed], Table_Input_Fuel[Fuel use (select)], D39, Table_Input_Fuel[Fuel type (select)],F39)</f>
        <v>10</v>
      </c>
      <c r="M39" s="166" t="str" cm="1">
        <f t="array" ref="M39">Common_InputFunctions.Utility_LookupValueInTable(F39,Table_FuelTypes_Units[Fuel type],Table_FuelTypes_Units[Unit])</f>
        <v>kL</v>
      </c>
      <c r="N39" s="189" cm="1">
        <f t="array" ref="N39">Fuel_Equations.VEERG_8_1_1_1__1_FuelCombustionTransport($L39,$G39,$H39)</f>
        <v>29.219199999999997</v>
      </c>
      <c r="O39" s="189" cm="1">
        <f t="array" ref="O39">Fuel_Equations.VEERG_8_1_1_1__1_FuelCombustionTransport($L39,$G39,$I39)</f>
        <v>7.9400000000000012E-2</v>
      </c>
      <c r="P39" s="189" cm="1">
        <f t="array" ref="P39">Fuel_Equations.VEERG_8_1_1_1__1_FuelCombustionTransport($L39,$G39,$J39)</f>
        <v>0.19850000000000001</v>
      </c>
      <c r="Q39" s="189" cm="1">
        <f t="array" ref="Q39">Scope3_Equations.VEERG_15_11_1_1__2_UpstreamTransportFuelEmissions(L39,G39,K39)</f>
        <v>7.1459999999999999</v>
      </c>
    </row>
    <row r="40" spans="1:17" ht="20.100000000000001" customHeight="1" x14ac:dyDescent="0.25">
      <c r="H40" s="158"/>
      <c r="I40" s="158"/>
      <c r="J40" s="158"/>
      <c r="L40" s="158"/>
      <c r="M40" s="158"/>
      <c r="N40" s="158"/>
      <c r="O40" s="158"/>
      <c r="P40" s="158"/>
      <c r="Q40" s="158"/>
    </row>
    <row r="41" spans="1:17" ht="20.100000000000001" customHeight="1" x14ac:dyDescent="0.25">
      <c r="A41" s="121" t="s">
        <v>1</v>
      </c>
      <c r="H41" s="158"/>
      <c r="I41" s="158"/>
      <c r="J41" s="158"/>
      <c r="L41" s="158"/>
      <c r="M41" s="158"/>
      <c r="N41" s="158"/>
      <c r="O41" s="158"/>
      <c r="P41" s="158"/>
      <c r="Q41" s="158"/>
    </row>
    <row r="42" spans="1:17" ht="20.100000000000001" customHeight="1" x14ac:dyDescent="0.25">
      <c r="A42" s="5" t="str">
        <f>HYPERLINK("#'Constants - Ag Residue'!A1", "Constants - Ag residue")</f>
        <v>Constants - Ag residue</v>
      </c>
      <c r="D42" s="203" t="str">
        <f>"Total scope 1 - " &amp; D25</f>
        <v>Total scope 1 - Cars and light commercial vehicles</v>
      </c>
      <c r="E42" s="204"/>
      <c r="F42" s="205"/>
    </row>
    <row r="43" spans="1:17" ht="20.100000000000001" customHeight="1" x14ac:dyDescent="0.25">
      <c r="A43" s="5" t="str">
        <f>HYPERLINK("#'Constants - Common Livestock'!A1", "Constants - Common Livestock")</f>
        <v>Constants - Common Livestock</v>
      </c>
      <c r="D43" s="35" t="s">
        <v>480</v>
      </c>
      <c r="E43" s="206">
        <f>SUM(N25:N32)</f>
        <v>26.981400000000001</v>
      </c>
      <c r="F43" s="26" t="str">
        <f>$E$12</f>
        <v>t CO2-e</v>
      </c>
    </row>
    <row r="44" spans="1:17" ht="20.100000000000001" customHeight="1" x14ac:dyDescent="0.25">
      <c r="A44" s="5" t="str">
        <f>HYPERLINK("#'Constants - Electricity'!A1", "Constants - Electricity")</f>
        <v>Constants - Electricity</v>
      </c>
      <c r="D44" s="35" t="s">
        <v>481</v>
      </c>
      <c r="E44" s="206">
        <f>SUM(O25:O32)</f>
        <v>3.8600000000000001E-3</v>
      </c>
      <c r="F44" s="26" t="str">
        <f t="shared" ref="F44:F46" si="1">$E$12</f>
        <v>t CO2-e</v>
      </c>
    </row>
    <row r="45" spans="1:17" ht="20.100000000000001" customHeight="1" x14ac:dyDescent="0.25">
      <c r="A45" s="5" t="str">
        <f>HYPERLINK("#'Constants - Fertiliser'!A1", "Constants - Fertiliser")</f>
        <v>Constants - Fertiliser</v>
      </c>
      <c r="D45" s="35" t="s">
        <v>482</v>
      </c>
      <c r="E45" s="206">
        <f>SUM(P25:P32)</f>
        <v>0.193</v>
      </c>
      <c r="F45" s="26" t="str">
        <f t="shared" si="1"/>
        <v>t CO2-e</v>
      </c>
    </row>
    <row r="46" spans="1:17" ht="20.100000000000001" customHeight="1" x14ac:dyDescent="0.25">
      <c r="A46" s="5" t="str">
        <f>HYPERLINK("#'Constants - Fuel'!A1", "Constants - Fuel")</f>
        <v>Constants - Fuel</v>
      </c>
      <c r="D46" s="35" t="s">
        <v>483</v>
      </c>
      <c r="E46" s="206">
        <f>SUM(Q25:Q32)</f>
        <v>6.6778000000000004</v>
      </c>
      <c r="F46" s="26" t="str">
        <f t="shared" si="1"/>
        <v>t CO2-e</v>
      </c>
    </row>
    <row r="47" spans="1:17" ht="20.100000000000001" customHeight="1" x14ac:dyDescent="0.25">
      <c r="A47" s="5" t="str">
        <f>HYPERLINK("#'Constants - Scope 3'!A1", "Constants - Scope 3")</f>
        <v>Constants - Scope 3</v>
      </c>
      <c r="D47" s="158"/>
      <c r="E47" s="158"/>
      <c r="F47" s="158"/>
    </row>
    <row r="48" spans="1:17" ht="20.100000000000001" customHeight="1" x14ac:dyDescent="0.25">
      <c r="A48" s="5" t="str">
        <f>HYPERLINK("#'Constants - Common'!A1", "Constants - Common")</f>
        <v>Constants - Common</v>
      </c>
      <c r="D48" s="203" t="str">
        <f>"Total scope 1 - " &amp; D33</f>
        <v>Total scope 1 - Off-road Agriculture and forestry equipment</v>
      </c>
      <c r="E48" s="207"/>
      <c r="F48" s="205"/>
      <c r="H48" s="158"/>
      <c r="I48" s="158"/>
      <c r="J48" s="158"/>
      <c r="L48" s="158"/>
      <c r="M48" s="158"/>
      <c r="N48" s="158"/>
      <c r="O48" s="158"/>
      <c r="P48" s="158"/>
      <c r="Q48" s="158"/>
    </row>
    <row r="49" spans="1:17" ht="20.100000000000001" customHeight="1" x14ac:dyDescent="0.25">
      <c r="A49" s="5" t="str">
        <f>HYPERLINK("#'Constants - Solid Waste'!A1", "Constants - Solid Waste")</f>
        <v>Constants - Solid Waste</v>
      </c>
      <c r="D49" s="35" t="s">
        <v>480</v>
      </c>
      <c r="E49" s="206">
        <f>SUM(N33:N33)</f>
        <v>26.981400000000001</v>
      </c>
      <c r="F49" s="26" t="str">
        <f t="shared" ref="F49:F52" si="2">$E$12</f>
        <v>t CO2-e</v>
      </c>
      <c r="H49" s="158"/>
      <c r="I49" s="158"/>
      <c r="J49" s="158"/>
      <c r="L49" s="158"/>
      <c r="M49" s="158"/>
      <c r="N49" s="158"/>
      <c r="O49" s="158"/>
      <c r="P49" s="158"/>
      <c r="Q49" s="158"/>
    </row>
    <row r="50" spans="1:17" ht="20.100000000000001" customHeight="1" x14ac:dyDescent="0.25">
      <c r="D50" s="35" t="s">
        <v>481</v>
      </c>
      <c r="E50" s="206">
        <f>SUM(O33:O33)</f>
        <v>0.1158</v>
      </c>
      <c r="F50" s="26" t="str">
        <f t="shared" si="2"/>
        <v>t CO2-e</v>
      </c>
      <c r="H50" s="158"/>
      <c r="I50" s="158"/>
      <c r="J50" s="158"/>
      <c r="L50" s="158"/>
      <c r="M50" s="158"/>
      <c r="N50" s="158"/>
      <c r="O50" s="158"/>
      <c r="P50" s="158"/>
      <c r="Q50" s="158"/>
    </row>
    <row r="51" spans="1:17" ht="20.100000000000001" customHeight="1" x14ac:dyDescent="0.25">
      <c r="D51" s="35" t="s">
        <v>482</v>
      </c>
      <c r="E51" s="206">
        <f>SUM(P33:P33)</f>
        <v>0.193</v>
      </c>
      <c r="F51" s="26" t="str">
        <f t="shared" si="2"/>
        <v>t CO2-e</v>
      </c>
      <c r="H51" s="158"/>
      <c r="I51" s="158"/>
      <c r="J51" s="158"/>
      <c r="L51" s="158"/>
      <c r="M51" s="158"/>
      <c r="N51" s="158"/>
      <c r="O51" s="158"/>
      <c r="P51" s="158"/>
      <c r="Q51" s="158"/>
    </row>
    <row r="52" spans="1:17" ht="20.100000000000001" customHeight="1" x14ac:dyDescent="0.25">
      <c r="D52" s="35" t="s">
        <v>483</v>
      </c>
      <c r="E52" s="206">
        <f>SUM(Q33)</f>
        <v>6.6778000000000004</v>
      </c>
      <c r="F52" s="26" t="str">
        <f t="shared" si="2"/>
        <v>t CO2-e</v>
      </c>
      <c r="H52" s="158"/>
      <c r="I52" s="158"/>
      <c r="J52" s="158"/>
      <c r="L52" s="158"/>
      <c r="M52" s="158"/>
      <c r="N52" s="158"/>
      <c r="O52" s="158"/>
      <c r="P52" s="158"/>
      <c r="Q52" s="158"/>
    </row>
    <row r="53" spans="1:17" ht="20.100000000000001" customHeight="1" x14ac:dyDescent="0.25">
      <c r="D53" s="158"/>
      <c r="E53" s="208"/>
      <c r="F53" s="158"/>
      <c r="G53" s="158"/>
      <c r="H53" s="158"/>
      <c r="I53" s="158"/>
      <c r="J53" s="158"/>
      <c r="L53" s="158"/>
      <c r="M53" s="158"/>
      <c r="N53" s="158"/>
      <c r="O53" s="158"/>
      <c r="P53" s="158"/>
      <c r="Q53" s="158"/>
    </row>
    <row r="54" spans="1:17" ht="20.100000000000001" customHeight="1" x14ac:dyDescent="0.25">
      <c r="D54" s="203" t="str">
        <f>"Total scope 1 - " &amp; D34</f>
        <v>Total scope 1 - Aviation</v>
      </c>
      <c r="E54" s="207"/>
      <c r="F54" s="205"/>
      <c r="G54" s="158"/>
      <c r="H54" s="158"/>
      <c r="I54" s="158"/>
      <c r="J54" s="158"/>
      <c r="L54" s="158"/>
      <c r="M54" s="158"/>
      <c r="N54" s="158"/>
      <c r="O54" s="158"/>
      <c r="P54" s="158"/>
      <c r="Q54" s="158"/>
    </row>
    <row r="55" spans="1:17" ht="20.100000000000001" customHeight="1" x14ac:dyDescent="0.25">
      <c r="D55" s="35" t="s">
        <v>480</v>
      </c>
      <c r="E55" s="206">
        <f>SUM(N34:N36)</f>
        <v>0</v>
      </c>
      <c r="F55" s="26" t="str">
        <f t="shared" ref="F55:F58" si="3">$E$12</f>
        <v>t CO2-e</v>
      </c>
      <c r="G55" s="158"/>
      <c r="H55" s="158"/>
      <c r="I55" s="158"/>
      <c r="J55" s="158"/>
      <c r="L55" s="158"/>
      <c r="M55" s="158"/>
      <c r="N55" s="158"/>
      <c r="O55" s="158"/>
      <c r="P55" s="158"/>
      <c r="Q55" s="158"/>
    </row>
    <row r="56" spans="1:17" ht="20.100000000000001" customHeight="1" x14ac:dyDescent="0.25">
      <c r="D56" s="35" t="s">
        <v>481</v>
      </c>
      <c r="E56" s="206">
        <f>SUM(O34:O36)</f>
        <v>0</v>
      </c>
      <c r="F56" s="26" t="str">
        <f t="shared" si="3"/>
        <v>t CO2-e</v>
      </c>
      <c r="G56" s="158"/>
      <c r="H56" s="158"/>
      <c r="I56" s="158"/>
      <c r="J56" s="158"/>
      <c r="L56" s="158"/>
      <c r="M56" s="158"/>
      <c r="N56" s="158"/>
      <c r="O56" s="158"/>
      <c r="P56" s="158"/>
      <c r="Q56" s="158"/>
    </row>
    <row r="57" spans="1:17" ht="20.100000000000001" customHeight="1" x14ac:dyDescent="0.25">
      <c r="D57" s="35" t="s">
        <v>482</v>
      </c>
      <c r="E57" s="206">
        <f>SUM(P34:P36)</f>
        <v>0</v>
      </c>
      <c r="F57" s="26" t="str">
        <f t="shared" si="3"/>
        <v>t CO2-e</v>
      </c>
      <c r="G57" s="158"/>
      <c r="H57" s="158"/>
      <c r="I57" s="158"/>
      <c r="J57" s="158"/>
      <c r="L57" s="158"/>
      <c r="M57" s="158"/>
      <c r="N57" s="158"/>
      <c r="O57" s="158"/>
      <c r="P57" s="158"/>
      <c r="Q57" s="158"/>
    </row>
    <row r="58" spans="1:17" ht="20.100000000000001" customHeight="1" x14ac:dyDescent="0.25">
      <c r="D58" s="35" t="s">
        <v>483</v>
      </c>
      <c r="E58" s="206">
        <f>SUM(Q34:Q36)</f>
        <v>0</v>
      </c>
      <c r="F58" s="26" t="str">
        <f t="shared" si="3"/>
        <v>t CO2-e</v>
      </c>
      <c r="G58" s="158"/>
      <c r="H58" s="158"/>
      <c r="I58" s="158"/>
      <c r="J58" s="158"/>
      <c r="L58" s="158"/>
      <c r="M58" s="158"/>
      <c r="N58" s="158"/>
      <c r="O58" s="158"/>
      <c r="P58" s="158"/>
      <c r="Q58" s="158"/>
    </row>
    <row r="59" spans="1:17" ht="20.100000000000001" customHeight="1" x14ac:dyDescent="0.25">
      <c r="D59" s="158"/>
      <c r="E59" s="208"/>
      <c r="F59" s="158"/>
      <c r="G59" s="158"/>
      <c r="H59" s="158"/>
      <c r="I59" s="158"/>
      <c r="J59" s="158"/>
      <c r="L59" s="158"/>
      <c r="M59" s="158"/>
      <c r="N59" s="158"/>
      <c r="O59" s="158"/>
      <c r="P59" s="158"/>
      <c r="Q59" s="158"/>
    </row>
    <row r="60" spans="1:17" ht="20.100000000000001" customHeight="1" x14ac:dyDescent="0.25">
      <c r="D60" s="203" t="str">
        <f>"Total scope 1 - " &amp; D37</f>
        <v>Total scope 1 - Vessels</v>
      </c>
      <c r="E60" s="207"/>
      <c r="F60" s="205"/>
      <c r="G60" s="158"/>
      <c r="H60" s="158"/>
      <c r="I60" s="158"/>
      <c r="J60" s="158"/>
      <c r="L60" s="158"/>
      <c r="M60" s="158"/>
      <c r="N60" s="158"/>
      <c r="O60" s="158"/>
      <c r="P60" s="158"/>
      <c r="Q60" s="158"/>
    </row>
    <row r="61" spans="1:17" ht="20.100000000000001" customHeight="1" x14ac:dyDescent="0.25">
      <c r="D61" s="35" t="s">
        <v>480</v>
      </c>
      <c r="E61" s="206">
        <f>SUM(N37:N39)</f>
        <v>29.219199999999997</v>
      </c>
      <c r="F61" s="26" t="str">
        <f t="shared" ref="F61:F64" si="4">$E$12</f>
        <v>t CO2-e</v>
      </c>
      <c r="G61" s="158"/>
      <c r="H61" s="158"/>
      <c r="I61" s="158"/>
      <c r="J61" s="158"/>
      <c r="L61" s="158"/>
      <c r="M61" s="158"/>
      <c r="N61" s="158"/>
      <c r="O61" s="158"/>
      <c r="P61" s="158"/>
      <c r="Q61" s="158"/>
    </row>
    <row r="62" spans="1:17" ht="20.100000000000001" customHeight="1" x14ac:dyDescent="0.25">
      <c r="D62" s="35" t="s">
        <v>481</v>
      </c>
      <c r="E62" s="206">
        <f>SUM(O37:O39)</f>
        <v>7.9400000000000012E-2</v>
      </c>
      <c r="F62" s="26" t="str">
        <f t="shared" si="4"/>
        <v>t CO2-e</v>
      </c>
      <c r="G62" s="158"/>
      <c r="H62" s="158"/>
      <c r="I62" s="158"/>
      <c r="J62" s="158"/>
      <c r="L62" s="158"/>
      <c r="M62" s="158"/>
      <c r="N62" s="158"/>
      <c r="O62" s="158"/>
      <c r="P62" s="158"/>
      <c r="Q62" s="158"/>
    </row>
    <row r="63" spans="1:17" ht="20.100000000000001" customHeight="1" x14ac:dyDescent="0.25">
      <c r="D63" s="35" t="s">
        <v>482</v>
      </c>
      <c r="E63" s="206">
        <f>SUM(P37:P39)</f>
        <v>0.19850000000000001</v>
      </c>
      <c r="F63" s="26" t="str">
        <f t="shared" si="4"/>
        <v>t CO2-e</v>
      </c>
      <c r="G63" s="158"/>
      <c r="H63" s="158"/>
      <c r="I63" s="158"/>
      <c r="J63" s="158"/>
      <c r="L63" s="158"/>
      <c r="M63" s="158"/>
      <c r="N63" s="158"/>
      <c r="O63" s="158"/>
      <c r="P63" s="158"/>
      <c r="Q63" s="158"/>
    </row>
    <row r="64" spans="1:17" ht="20.100000000000001" customHeight="1" x14ac:dyDescent="0.25">
      <c r="D64" s="35" t="s">
        <v>483</v>
      </c>
      <c r="E64" s="206">
        <f>SUM(Q37:Q39)</f>
        <v>7.1459999999999999</v>
      </c>
      <c r="F64" s="26" t="str">
        <f t="shared" si="4"/>
        <v>t CO2-e</v>
      </c>
      <c r="G64" s="158"/>
      <c r="H64" s="158"/>
      <c r="I64" s="158"/>
      <c r="J64" s="158"/>
      <c r="L64" s="158"/>
      <c r="M64" s="158"/>
      <c r="N64" s="158"/>
      <c r="O64" s="158"/>
      <c r="P64" s="158"/>
      <c r="Q64" s="158"/>
    </row>
    <row r="65" spans="4:17" ht="20.100000000000001" customHeight="1" x14ac:dyDescent="0.25">
      <c r="G65" s="158"/>
      <c r="H65" s="158"/>
      <c r="I65" s="158"/>
      <c r="J65" s="158"/>
      <c r="L65" s="158"/>
      <c r="M65" s="158"/>
      <c r="N65" s="158"/>
      <c r="O65" s="158"/>
      <c r="P65" s="158"/>
      <c r="Q65" s="158"/>
    </row>
    <row r="66" spans="4:17" ht="20.100000000000001" customHeight="1" x14ac:dyDescent="0.25">
      <c r="D66" s="203" t="s">
        <v>484</v>
      </c>
      <c r="E66" s="209"/>
      <c r="F66" s="205"/>
      <c r="G66" s="158"/>
      <c r="H66" s="158"/>
      <c r="I66" s="158"/>
      <c r="J66" s="158"/>
      <c r="L66" s="158"/>
      <c r="M66" s="158"/>
      <c r="N66" s="158"/>
      <c r="O66" s="158"/>
      <c r="P66" s="158"/>
      <c r="Q66" s="158"/>
    </row>
    <row r="67" spans="4:17" ht="20.100000000000001" customHeight="1" x14ac:dyDescent="0.25">
      <c r="D67" s="35" t="s">
        <v>480</v>
      </c>
      <c r="E67" s="206">
        <f>E43+E49+E55+E61</f>
        <v>83.182000000000002</v>
      </c>
      <c r="F67" s="26" t="str">
        <f t="shared" ref="F67:F70" si="5">$E$12</f>
        <v>t CO2-e</v>
      </c>
      <c r="G67" s="158"/>
    </row>
    <row r="68" spans="4:17" ht="20.100000000000001" customHeight="1" x14ac:dyDescent="0.25">
      <c r="D68" s="35" t="s">
        <v>481</v>
      </c>
      <c r="E68" s="206">
        <f t="shared" ref="E68:E70" si="6">E44+E50+E56+E62</f>
        <v>0.19906000000000001</v>
      </c>
      <c r="F68" s="26" t="str">
        <f t="shared" si="5"/>
        <v>t CO2-e</v>
      </c>
      <c r="G68" s="158"/>
    </row>
    <row r="69" spans="4:17" ht="20.100000000000001" customHeight="1" x14ac:dyDescent="0.25">
      <c r="D69" s="35" t="s">
        <v>482</v>
      </c>
      <c r="E69" s="206">
        <f t="shared" si="6"/>
        <v>0.58450000000000002</v>
      </c>
      <c r="F69" s="26" t="str">
        <f t="shared" si="5"/>
        <v>t CO2-e</v>
      </c>
      <c r="G69" s="158"/>
    </row>
    <row r="70" spans="4:17" ht="20.100000000000001" customHeight="1" x14ac:dyDescent="0.25">
      <c r="D70" s="35" t="s">
        <v>483</v>
      </c>
      <c r="E70" s="206">
        <f t="shared" si="6"/>
        <v>20.5016</v>
      </c>
      <c r="F70" s="26" t="str">
        <f t="shared" si="5"/>
        <v>t CO2-e</v>
      </c>
      <c r="G70" s="158"/>
    </row>
    <row r="71" spans="4:17" ht="20.100000000000001" customHeight="1" x14ac:dyDescent="0.25">
      <c r="G71" s="158"/>
    </row>
    <row r="72" spans="4:17" ht="20.100000000000001" customHeight="1" x14ac:dyDescent="0.25"/>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N172:Q172 O150:Q150 E269 N166:Q166 O143:Q144 E228 O167:Q167 G132 I129:I133 F134:I134 F129:F132 H128:H132 G129 F148:I148 I149 F150:I150" xr:uid="{1AC672DD-8AF8-4FE7-AA6D-B7D1AFCC7198}"/>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AA53-0C2D-46F7-8445-6500E8D2B21B}">
  <dimension ref="A1:R165"/>
  <sheetViews>
    <sheetView showGridLines="0" topLeftCell="A33"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31" customFormat="1" ht="30" customHeight="1" x14ac:dyDescent="0.35">
      <c r="A1" s="16" t="e" vm="1">
        <v>#VALUE!</v>
      </c>
      <c r="C1" s="31" t="s">
        <v>485</v>
      </c>
    </row>
    <row r="2" spans="1:18" s="3" customFormat="1" ht="20.100000000000001" customHeight="1" x14ac:dyDescent="0.25">
      <c r="A2"/>
    </row>
    <row r="3" spans="1:18" ht="20.100000000000001" customHeight="1" x14ac:dyDescent="0.25">
      <c r="A3" s="5" t="str">
        <f>HYPERLINK("#'Home'!A1", "Home")</f>
        <v>Home</v>
      </c>
      <c r="C3" s="33"/>
      <c r="D3" s="33" t="s">
        <v>135</v>
      </c>
      <c r="E3" s="33"/>
      <c r="F3" s="33"/>
      <c r="G3" s="33"/>
      <c r="H3" s="33"/>
      <c r="I3" s="33"/>
      <c r="J3" s="33"/>
      <c r="K3" s="33"/>
      <c r="L3" s="33"/>
      <c r="M3" s="33"/>
      <c r="N3" s="33"/>
      <c r="O3" s="33"/>
      <c r="P3" s="33"/>
      <c r="Q3" s="33"/>
      <c r="R3" s="33"/>
    </row>
    <row r="4" spans="1:18" ht="20.100000000000001" customHeight="1" x14ac:dyDescent="0.25">
      <c r="A4" s="5" t="str">
        <f>HYPERLINK("#'Overview'!A1", "Overview")</f>
        <v>Overview</v>
      </c>
    </row>
    <row r="5" spans="1:18" ht="20.100000000000001" customHeight="1" x14ac:dyDescent="0.25">
      <c r="A5" s="5" t="str">
        <f>HYPERLINK("#'Results'!A1", "Results")</f>
        <v>Results</v>
      </c>
      <c r="D5" s="2" t="str" cm="1">
        <f t="array" ref="D5">Fuel_Equations.VEERG_8_2_1_1__1_FuelCombustionStationary_Title()</f>
        <v>Emissions for each GHG from the stationary combustion of fuels</v>
      </c>
      <c r="K5" s="2" t="str" cm="1">
        <f t="array" ref="K5">Scope3_Equations.VEERG_15_11_1_1__3_UpstreamStationaryFuelEmissions_Title()</f>
        <v>Upstream emissions from scope 1 stationary combustion fuel use</v>
      </c>
      <c r="O5" s="158"/>
      <c r="P5" s="158"/>
      <c r="Q5" s="158"/>
      <c r="R5" s="158"/>
    </row>
    <row r="6" spans="1:18" ht="20.100000000000001" customHeight="1" x14ac:dyDescent="0.25">
      <c r="D6" s="27" t="str" cm="1">
        <f t="array" ref="D6">Fuel_Equations.VEERG_8_2_1_1__1_FuelCombustionStationary_Source()</f>
        <v>VEERG 2026: 8.2.1.1, Equation (1)</v>
      </c>
      <c r="K6" s="27" t="str" cm="1">
        <f t="array" ref="K6">Scope3_Equations.VEERG_15_11_1_1__3_UpstreamStationaryFuelEmissions_Source()</f>
        <v>VEERG 2026: 15.11.1.1, Equation (3)</v>
      </c>
      <c r="O6" s="158"/>
      <c r="P6" s="158"/>
      <c r="Q6" s="158"/>
      <c r="R6" s="158"/>
    </row>
    <row r="7" spans="1:18" ht="20.100000000000001" customHeight="1" x14ac:dyDescent="0.25">
      <c r="D7" s="132" t="s">
        <v>267</v>
      </c>
      <c r="E7" s="132" t="str" cm="1">
        <f t="array" aca="1" ref="E7" ca="1">Common_InputFunctions.Utility_DisplayFunctionName(N25)</f>
        <v>=Fuel_Equations.VEERG_8_2_1_1__1_FuelCombustionStationary</v>
      </c>
      <c r="K7" s="36" t="str" cm="1">
        <f t="array" ref="K7">Scope3_Equations.VEERG_15_11_1_1__3_UpstreamStationaryFuelEmissions_Variation()</f>
        <v>VARIATION ON SOURCE: Added 'state' and 'metro/non-metro' arguments as gaseous scope 3 EFs are state and metro/non-metro location-based.</v>
      </c>
      <c r="O7" s="158"/>
      <c r="P7" s="158"/>
      <c r="Q7" s="158"/>
      <c r="R7" s="158"/>
    </row>
    <row r="8" spans="1:18" ht="20.100000000000001" customHeight="1" x14ac:dyDescent="0.25">
      <c r="A8" s="7" t="s">
        <v>0</v>
      </c>
      <c r="K8" s="132" t="s">
        <v>267</v>
      </c>
      <c r="L8" s="132" t="str" cm="1">
        <f t="array" aca="1" ref="L8" ca="1">Common_InputFunctions.Utility_DisplayFunctionName(Q25)</f>
        <v>=Fuel_Equations.VEERG_8_2_1_1__1_FuelCombustionStationary</v>
      </c>
      <c r="O8" s="158"/>
      <c r="P8" s="158"/>
      <c r="Q8" s="158"/>
      <c r="R8" s="158"/>
    </row>
    <row r="9" spans="1:18" ht="20.100000000000001" customHeight="1" x14ac:dyDescent="0.25">
      <c r="A9" s="5" t="str">
        <f>HYPERLINK("#'Input - Enterprise'!A1", "Enterprise")</f>
        <v>Enterprise</v>
      </c>
      <c r="G9" s="27"/>
      <c r="O9" s="158"/>
      <c r="P9" s="158"/>
      <c r="Q9" s="158"/>
      <c r="R9" s="158"/>
    </row>
    <row r="10" spans="1:18" ht="20.100000000000001" customHeight="1" x14ac:dyDescent="0.25">
      <c r="A10" s="5" t="str">
        <f>HYPERLINK("#'Input - Site'!A1", "Site")</f>
        <v>Site</v>
      </c>
      <c r="O10" s="158"/>
      <c r="P10" s="158"/>
      <c r="Q10" s="158"/>
      <c r="R10" s="158"/>
    </row>
    <row r="11" spans="1:18" ht="20.100000000000001" customHeight="1" x14ac:dyDescent="0.25">
      <c r="A11" s="5" t="str">
        <f>HYPERLINK("#'Input - Crop'!A1", "Crop")</f>
        <v>Crop</v>
      </c>
      <c r="D11" s="88" t="s">
        <v>268</v>
      </c>
      <c r="E11" s="1" t="str" cm="1">
        <f t="array" ref="E11">Fuel_Equations.VEERG_8_2_1_1__1_FuelCombustionStationary_Variable()</f>
        <v>E_g</v>
      </c>
      <c r="K11" s="88" t="s">
        <v>268</v>
      </c>
      <c r="L11" s="1" t="str" cm="1">
        <f t="array" ref="L11">Scope3_Equations.VEERG_15_11_1_1__3_UpstreamStationaryFuelEmissions_Variable()</f>
        <v>E_WTTSCq</v>
      </c>
      <c r="O11" s="158"/>
      <c r="P11" s="158"/>
      <c r="Q11" s="158"/>
      <c r="R11" s="158"/>
    </row>
    <row r="12" spans="1:18" ht="20.100000000000001" customHeight="1" x14ac:dyDescent="0.25">
      <c r="A12" s="5" t="str">
        <f>HYPERLINK("#'Input - Fert Prod System'!A1", "Fert Prod System")</f>
        <v>Fert Prod System</v>
      </c>
      <c r="D12" s="88" t="s">
        <v>121</v>
      </c>
      <c r="E12" s="15" t="str" cm="1">
        <f t="array" ref="E12">Fuel_Equations.VEERG_8_2_1_1__1_FuelCombustionStationary_Unit()</f>
        <v>t CO2-e</v>
      </c>
      <c r="K12" s="88" t="s">
        <v>121</v>
      </c>
      <c r="L12" s="15" t="str" cm="1">
        <f t="array" ref="L12">Scope3_Equations.VEERG_15_11_1_1__3_UpstreamStationaryFuelEmissions_Unit()</f>
        <v>t CO2e</v>
      </c>
    </row>
    <row r="13" spans="1:18" ht="20.100000000000001" customHeight="1" x14ac:dyDescent="0.25">
      <c r="A13" s="5" t="str">
        <f>HYPERLINK("#'Input - Fertiliser'!A1", "Fertiliser")</f>
        <v>Fertiliser</v>
      </c>
    </row>
    <row r="14" spans="1:18" ht="20.100000000000001" customHeight="1" x14ac:dyDescent="0.25">
      <c r="A14" s="5" t="str">
        <f>HYPERLINK("#'Input - Fuel'!A1", "Fuel")</f>
        <v>Fuel</v>
      </c>
      <c r="D14" s="154" t="str" cm="1">
        <f t="array" ref="D14:E20">_xlfn.CHOOSECOLS(Fuel_Equations.VEERG_8_2_1_1__1_FuelCombustionStationary_Arguments(), 1,2)</f>
        <v>Q_SCq</v>
      </c>
      <c r="E14" s="162" t="str">
        <v>Amount of fuel type q used for stationary combustion operations</v>
      </c>
      <c r="F14" s="164"/>
      <c r="G14" s="154" t="str" cm="1">
        <f t="array" ref="G14:H20">_xlfn.CHOOSECOLS(Fuel_Equations.VEERG_8_2_1_1__1_FuelCombustionStationary_Arguments(), 3,4)</f>
        <v>Varies based on fuel type: kL, m3, GJ</v>
      </c>
      <c r="H14" s="136" t="str">
        <v>Input</v>
      </c>
      <c r="I14" s="140" t="str" cm="1">
        <f t="array" aca="1" ref="I14" ca="1">HYPERLINK(Common_InputFunctions.Utility_SourceHyperlink($D$22), $D$22)</f>
        <v>Table_E_g</v>
      </c>
      <c r="K14" s="154" t="str" cm="1">
        <f t="array" ref="K14:L18">_xlfn.CHOOSECOLS(Scope3_Equations.VEERG_15_11_1_1__3_UpstreamStationaryFuelEmissions_Arguments(),1,2)</f>
        <v>Q_SCq</v>
      </c>
      <c r="L14" s="154" t="str">
        <v>amount of fuel q used for stationary combustion operations</v>
      </c>
      <c r="M14" s="154"/>
      <c r="N14" s="154" t="str" cm="1">
        <f t="array" ref="N14:O18">_xlfn.CHOOSECOLS(Scope3_Equations.VEERG_15_11_1_1__3_UpstreamStationaryFuelEmissions_Arguments(),3,4)</f>
        <v>kL</v>
      </c>
      <c r="O14" s="136" t="str">
        <v>Input</v>
      </c>
      <c r="P14" s="140" t="str" cm="1">
        <f t="array" aca="1" ref="P14" ca="1">HYPERLINK(Common_InputFunctions.Utility_SourceHyperlink($D$22), $D$22)</f>
        <v>Table_E_g</v>
      </c>
      <c r="Q14" s="158"/>
    </row>
    <row r="15" spans="1:18" ht="20.100000000000001" customHeight="1" x14ac:dyDescent="0.25">
      <c r="A15" s="5" t="str">
        <f>HYPERLINK("#'Input - Electricity'!A1", "Electricity")</f>
        <v>Electricity</v>
      </c>
      <c r="D15" s="154" t="str">
        <v>EC_SCq</v>
      </c>
      <c r="E15" s="162" t="str">
        <v>Energy content factor for stationary combustion operations</v>
      </c>
      <c r="F15" s="164"/>
      <c r="G15" s="154" t="str">
        <v>GJ / unit of fuel</v>
      </c>
      <c r="H15" s="137" t="str">
        <v>Constant</v>
      </c>
      <c r="I15" s="140" t="str" cm="1">
        <f t="array" aca="1" ref="I15" ca="1">HYPERLINK(Common_InputFunctions.Utility_SourceHyperlink($D$22), $D$22)</f>
        <v>Table_E_g</v>
      </c>
      <c r="K15" s="154" t="str">
        <v>EC_SCq</v>
      </c>
      <c r="L15" s="154" t="str">
        <v>energy content factor for stationary combustion operations</v>
      </c>
      <c r="M15" s="154"/>
      <c r="N15" s="154" t="str">
        <v>GJ/kL</v>
      </c>
      <c r="O15" s="137" t="str">
        <v>Constant</v>
      </c>
      <c r="P15" s="140" t="str" cm="1">
        <f t="array" aca="1" ref="P15" ca="1">HYPERLINK(Common_InputFunctions.Utility_SourceHyperlink($D$22), $D$22)</f>
        <v>Table_E_g</v>
      </c>
      <c r="Q15" s="158"/>
    </row>
    <row r="16" spans="1:18" ht="20.100000000000001" customHeight="1" x14ac:dyDescent="0.25">
      <c r="A16" s="5" t="str">
        <f>HYPERLINK("#'Input - Farm Inputs'!A1", "Farm Inputs")</f>
        <v>Farm Inputs</v>
      </c>
      <c r="D16" s="154" t="str">
        <v>EF_SC1qg</v>
      </c>
      <c r="E16" s="162" t="str">
        <v>Scope 1 emission factor for stationary combustion for each greenhouse gas</v>
      </c>
      <c r="F16" s="164"/>
      <c r="G16" s="154" t="str">
        <v>kg CO2e / GJ</v>
      </c>
      <c r="H16" s="137" t="str">
        <v>Constant</v>
      </c>
      <c r="I16" s="140" t="str" cm="1">
        <f t="array" aca="1" ref="I16" ca="1">HYPERLINK(Common_InputFunctions.Utility_SourceHyperlink($D$22), $D$22)</f>
        <v>Table_E_g</v>
      </c>
      <c r="K16" s="154" t="str">
        <v>EF_SC3q</v>
      </c>
      <c r="L16" s="154" t="str">
        <v>scope 3 emission factor for stationary combustion operations</v>
      </c>
      <c r="M16" s="154"/>
      <c r="N16" s="154" t="str">
        <v>kg CO2e/GJ</v>
      </c>
      <c r="O16" s="137" t="str">
        <v>Constant</v>
      </c>
      <c r="P16" s="140" t="str" cm="1">
        <f t="array" aca="1" ref="P16" ca="1">HYPERLINK(Common_InputFunctions.Utility_SourceHyperlink($D$22), $D$22)</f>
        <v>Table_E_g</v>
      </c>
      <c r="Q16" s="158"/>
    </row>
    <row r="17" spans="1:17" ht="20.100000000000001" customHeight="1" x14ac:dyDescent="0.25">
      <c r="A17" s="5" t="str">
        <f>HYPERLINK("#'Input - Freight'!A1", "Freight")</f>
        <v>Freight</v>
      </c>
      <c r="D17" s="154" t="str">
        <v>q</v>
      </c>
      <c r="E17" s="162" t="str">
        <v>Fuel type</v>
      </c>
      <c r="F17" s="164"/>
      <c r="G17" s="154" t="str">
        <v/>
      </c>
      <c r="H17" s="137" t="str">
        <v>Constant</v>
      </c>
      <c r="I17" s="140"/>
      <c r="J17" s="158"/>
      <c r="K17" s="154" t="str">
        <v>i</v>
      </c>
      <c r="L17" s="162" t="str">
        <v>state</v>
      </c>
      <c r="M17" s="164"/>
      <c r="N17" s="154" t="str">
        <v/>
      </c>
      <c r="O17" s="136" t="str">
        <v>Input</v>
      </c>
      <c r="P17" s="154" t="str">
        <f>X_Cell_Site_State</f>
        <v>Western Australia</v>
      </c>
      <c r="Q17" s="158"/>
    </row>
    <row r="18" spans="1:17" ht="20.100000000000001" customHeight="1" x14ac:dyDescent="0.25">
      <c r="A18" s="5" t="str">
        <f>HYPERLINK("#'Input - Manure sent off-site'!A1", "Manure sent off-site")</f>
        <v>Manure sent off-site</v>
      </c>
      <c r="D18" s="154" t="str">
        <v>SC</v>
      </c>
      <c r="E18" s="162" t="str">
        <v>Stationary combustion</v>
      </c>
      <c r="F18" s="164"/>
      <c r="G18" s="154" t="str">
        <v/>
      </c>
      <c r="H18" s="137" t="str">
        <v>Constant</v>
      </c>
      <c r="I18" s="140"/>
      <c r="J18" s="158"/>
      <c r="K18" s="154" t="str">
        <v>m</v>
      </c>
      <c r="L18" s="162" t="str">
        <v>metropolitan/non-metropolitan location</v>
      </c>
      <c r="M18" s="164"/>
      <c r="N18" s="154" t="str">
        <v/>
      </c>
      <c r="O18" s="136" t="str">
        <v>Input</v>
      </c>
      <c r="P18" s="154" t="str">
        <f>X_Cell_Fuel_IsMetroLocation</f>
        <v>Metro</v>
      </c>
      <c r="Q18" s="158"/>
    </row>
    <row r="19" spans="1:17" ht="20.100000000000001" customHeight="1" x14ac:dyDescent="0.25">
      <c r="A19" s="5" t="str">
        <f>HYPERLINK("#'Input - Solid waste'!A1", "Solid waste")</f>
        <v>Solid waste</v>
      </c>
      <c r="D19" s="154" t="str">
        <v>g</v>
      </c>
      <c r="E19" s="162" t="str">
        <v>Greenhouse gas</v>
      </c>
      <c r="F19" s="164"/>
      <c r="G19" s="154" t="str">
        <v/>
      </c>
      <c r="H19" s="137" t="str">
        <v>Constant</v>
      </c>
      <c r="I19" s="140"/>
      <c r="J19" s="158"/>
      <c r="L19" s="158"/>
      <c r="N19" s="158"/>
      <c r="O19" s="158"/>
      <c r="P19" s="158"/>
      <c r="Q19" s="158"/>
    </row>
    <row r="20" spans="1:17" ht="20.100000000000001" customHeight="1" x14ac:dyDescent="0.25">
      <c r="A20" s="5" t="str">
        <f>HYPERLINK("#'Input - Data quality'!A1", "Data quality")</f>
        <v>Data quality</v>
      </c>
      <c r="D20" s="154" t="str">
        <v>1</v>
      </c>
      <c r="E20" s="162" t="str">
        <v>Scope 1</v>
      </c>
      <c r="F20" s="164"/>
      <c r="G20" s="154" t="str">
        <v/>
      </c>
      <c r="H20" s="137" t="str">
        <v>Constant</v>
      </c>
      <c r="I20" s="140"/>
      <c r="J20" s="158"/>
      <c r="L20" s="158"/>
      <c r="N20" s="158"/>
      <c r="O20" s="158"/>
      <c r="P20" s="158"/>
      <c r="Q20" s="158"/>
    </row>
    <row r="21" spans="1:17" ht="20.100000000000001" customHeight="1" x14ac:dyDescent="0.25">
      <c r="O21" s="158"/>
      <c r="P21" s="158"/>
      <c r="Q21" s="158"/>
    </row>
    <row r="22" spans="1:17" ht="20.100000000000001" customHeight="1" x14ac:dyDescent="0.25">
      <c r="D22" s="143" t="s">
        <v>464</v>
      </c>
    </row>
    <row r="23" spans="1:17" ht="20.100000000000001" customHeight="1" x14ac:dyDescent="0.25">
      <c r="A23" s="6" t="s">
        <v>2</v>
      </c>
      <c r="D23" s="144" t="s">
        <v>486</v>
      </c>
    </row>
    <row r="24" spans="1:17" ht="20.100000000000001" customHeight="1" x14ac:dyDescent="0.25">
      <c r="A24" s="5" t="str">
        <f>HYPERLINK("#'5.1.1.1-2 Inorganic fert N2O'!A1", "5.1.1.1-2 Inorganic fert N2O")</f>
        <v>5.1.1.1-2 Inorganic fert N2O</v>
      </c>
      <c r="D24" s="145" t="s">
        <v>466</v>
      </c>
      <c r="E24" s="145" t="s">
        <v>467</v>
      </c>
      <c r="F24" s="145" t="s">
        <v>468</v>
      </c>
      <c r="G24" s="145" t="s">
        <v>487</v>
      </c>
      <c r="H24" s="145" t="s">
        <v>488</v>
      </c>
      <c r="I24" s="145" t="s">
        <v>489</v>
      </c>
      <c r="J24" s="145" t="s">
        <v>490</v>
      </c>
      <c r="K24" s="145" t="s">
        <v>491</v>
      </c>
      <c r="L24" s="92" t="s">
        <v>492</v>
      </c>
      <c r="M24" s="145" t="s">
        <v>475</v>
      </c>
      <c r="N24" s="145" t="s">
        <v>476</v>
      </c>
      <c r="O24" s="145" t="s">
        <v>477</v>
      </c>
      <c r="P24" s="145" t="s">
        <v>478</v>
      </c>
      <c r="Q24" s="145" t="s">
        <v>493</v>
      </c>
    </row>
    <row r="25" spans="1:17" ht="20.100000000000001" customHeight="1" x14ac:dyDescent="0.25">
      <c r="A25" s="5" t="str">
        <f>HYPERLINK("#'5.1.1.3-4 Inorganic fert CO2'!A1", "5.1.1.3-4 Inorganic fert CO2")</f>
        <v>5.1.1.3-4 Inorganic fert CO2</v>
      </c>
      <c r="D25" s="35" t="str">
        <f>Table_FuelTypesPerUse[[#Headers],[Generators]]</f>
        <v>Generators</v>
      </c>
      <c r="E25" s="188" t="str">
        <f>'Constants - Fuel'!$D$58</f>
        <v>Automotive gasoline / petrol (other than for use as fuel in an aircraft)</v>
      </c>
      <c r="F25" s="188" t="str">
        <f>'Constants - Fuel'!D131</f>
        <v>Petrol</v>
      </c>
      <c r="G25" s="25">
        <f>IFERROR(_xlfn.XLOOKUP($E25, Table_Fuel_EFs_StationaryLiquid[Fuel combusted], Table_Fuel_EFs_StationaryLiquid[Energy Content Factor (GJ per unit of fuel)]),0)</f>
        <v>34.200000000000003</v>
      </c>
      <c r="H25" s="25">
        <f>IFERROR(_xlfn.XLOOKUP($E25, Table_Fuel_EFs_StationaryLiquid[Fuel combusted], Table_Fuel_EFs_StationaryLiquid[Scope 1 Emission Factor (kg CO2 - e / GJ) CO2]),0)</f>
        <v>67.400000000000006</v>
      </c>
      <c r="I25" s="25">
        <f>IFERROR(_xlfn.XLOOKUP($E25, Table_Fuel_EFs_StationaryLiquid[Fuel combusted], Table_Fuel_EFs_StationaryLiquid[Scope 1 Emission Factor (kg CO2 - e / GJ) CH4]),0)</f>
        <v>0.2</v>
      </c>
      <c r="J25" s="25">
        <f>IFERROR(_xlfn.XLOOKUP($E25, Table_Fuel_EFs_StationaryLiquid[Fuel combusted], Table_Fuel_EFs_StationaryLiquid[Scope 1 Emission Factor (kg CO2 - e / GJ) N2O]),0)</f>
        <v>0.2</v>
      </c>
      <c r="K25" s="25">
        <f>IFERROR(_xlfn.XLOOKUP($E25, Table_Fuel_EFs_StationaryLiquid[Fuel combusted], Table_Fuel_EFs_StationaryLiquid[Scope 3 Emission Factor (kg CO2 - e / GJ)]),0)</f>
        <v>17.2</v>
      </c>
      <c r="L25" s="166" cm="1">
        <f t="array" ref="L25">Fuel_InputFunctions.Fuel_TotalConsumption(Table_Input_Fuel[Amount consumed], Table_Input_Fuel[Fuel use (select)], D25, Table_Input_Fuel[Fuel type (select)],F25)</f>
        <v>0</v>
      </c>
      <c r="M25" s="166" t="str" cm="1">
        <f t="array" ref="M25">Common_InputFunctions.Utility_LookupValueInTable(F25,Table_FuelTypes_Units[Fuel type],Table_FuelTypes_Units[Unit])</f>
        <v>kL</v>
      </c>
      <c r="N25" s="210" cm="1">
        <f t="array" ref="N25">Fuel_Equations.VEERG_8_2_1_1__1_FuelCombustionStationary($L25,$G25,H25)</f>
        <v>0</v>
      </c>
      <c r="O25" s="210" cm="1">
        <f t="array" ref="O25">Fuel_Equations.VEERG_8_2_1_1__1_FuelCombustionStationary($L25,$G25,I25)</f>
        <v>0</v>
      </c>
      <c r="P25" s="210" cm="1">
        <f t="array" ref="P25">Fuel_Equations.VEERG_8_2_1_1__1_FuelCombustionStationary($L25,$G25,J25)</f>
        <v>0</v>
      </c>
      <c r="Q25" s="210" cm="1">
        <f t="array" ref="Q25">Fuel_Equations.VEERG_8_2_1_1__1_FuelCombustionStationary($L25,$G25,IF(ISNUMBER(K25), K25, 0))</f>
        <v>0</v>
      </c>
    </row>
    <row r="26" spans="1:17" ht="20.100000000000001" customHeight="1" x14ac:dyDescent="0.25">
      <c r="A26" s="5" t="str">
        <f>HYPERLINK("#'5.2.1.1-2 Organic Fert N2O'!A1", "5.2.1.1-2 Organic fert N2O")</f>
        <v>5.2.1.1-2 Organic fert N2O</v>
      </c>
      <c r="D26" s="190" t="str">
        <f t="shared" ref="D26:D31" si="0">$D$25</f>
        <v>Generators</v>
      </c>
      <c r="E26" s="188" t="str">
        <f>'Constants - Fuel'!$D$63</f>
        <v>Diesel oil</v>
      </c>
      <c r="F26" s="188" t="str">
        <f>'Constants - Fuel'!D132</f>
        <v>Diesel</v>
      </c>
      <c r="G26" s="25">
        <f>IFERROR(_xlfn.XLOOKUP($E26, Table_Fuel_EFs_StationaryLiquid[Fuel combusted], Table_Fuel_EFs_StationaryLiquid[Energy Content Factor (GJ per unit of fuel)]),0)</f>
        <v>38.6</v>
      </c>
      <c r="H26" s="25">
        <f>IFERROR(_xlfn.XLOOKUP($E26, Table_Fuel_EFs_StationaryLiquid[Fuel combusted], Table_Fuel_EFs_StationaryLiquid[Scope 1 Emission Factor (kg CO2 - e / GJ) CO2]),0)</f>
        <v>69.900000000000006</v>
      </c>
      <c r="I26" s="25">
        <f>IFERROR(_xlfn.XLOOKUP($E26, Table_Fuel_EFs_StationaryLiquid[Fuel combusted], Table_Fuel_EFs_StationaryLiquid[Scope 1 Emission Factor (kg CO2 - e / GJ) CH4]),0)</f>
        <v>0.1</v>
      </c>
      <c r="J26" s="25">
        <f>IFERROR(_xlfn.XLOOKUP($E26, Table_Fuel_EFs_StationaryLiquid[Fuel combusted], Table_Fuel_EFs_StationaryLiquid[Scope 1 Emission Factor (kg CO2 - e / GJ) N2O]),0)</f>
        <v>0.2</v>
      </c>
      <c r="K26" s="25">
        <f>IFERROR(_xlfn.XLOOKUP($E26, Table_Fuel_EFs_StationaryLiquid[Fuel combusted], Table_Fuel_EFs_StationaryLiquid[Scope 3 Emission Factor (kg CO2 - e / GJ)]),0)</f>
        <v>17.3</v>
      </c>
      <c r="L26" s="166" cm="1">
        <f t="array" ref="L26">Fuel_InputFunctions.Fuel_TotalConsumption(Table_Input_Fuel[Amount consumed], Table_Input_Fuel[Fuel use (select)], D26, Table_Input_Fuel[Fuel type (select)],F26)</f>
        <v>0</v>
      </c>
      <c r="M26" s="166" t="str" cm="1">
        <f t="array" ref="M26">Common_InputFunctions.Utility_LookupValueInTable(F26,Table_FuelTypes_Units[Fuel type],Table_FuelTypes_Units[Unit])</f>
        <v>kL</v>
      </c>
      <c r="N26" s="210" cm="1">
        <f t="array" ref="N26">Fuel_Equations.VEERG_8_2_1_1__1_FuelCombustionStationary($L26,$G26,H26)</f>
        <v>0</v>
      </c>
      <c r="O26" s="210" cm="1">
        <f t="array" ref="O26">Fuel_Equations.VEERG_8_2_1_1__1_FuelCombustionStationary($L26,$G26,I26)</f>
        <v>0</v>
      </c>
      <c r="P26" s="210" cm="1">
        <f t="array" ref="P26">Fuel_Equations.VEERG_8_2_1_1__1_FuelCombustionStationary($L26,$G26,J26)</f>
        <v>0</v>
      </c>
      <c r="Q26" s="210" cm="1">
        <f t="array" ref="Q26">Fuel_Equations.VEERG_8_2_1_1__1_FuelCombustionStationary($L26,$G26,IF(ISNUMBER(K26), K26, 0))</f>
        <v>0</v>
      </c>
    </row>
    <row r="27" spans="1:17" ht="20.100000000000001" customHeight="1" x14ac:dyDescent="0.25">
      <c r="A27" s="5" t="str">
        <f>HYPERLINK("#'5.3.1.1-2 Lime CO2'!A1", "5.3.1.1-2 Lime CO2")</f>
        <v>5.3.1.1-2 Lime CO2</v>
      </c>
      <c r="D27" s="190" t="str">
        <f t="shared" si="0"/>
        <v>Generators</v>
      </c>
      <c r="E27" s="188" t="str">
        <f>'Constants - Fuel'!$D$67</f>
        <v>Liquefied petroleum gas (LPG)</v>
      </c>
      <c r="F27" s="188" t="str">
        <f>'Constants - Fuel'!D133</f>
        <v>Liquefied petroleum gas (LPG)</v>
      </c>
      <c r="G27" s="25">
        <f>IFERROR(_xlfn.XLOOKUP($E27, Table_Fuel_EFs_StationaryLiquid[Fuel combusted], Table_Fuel_EFs_StationaryLiquid[Energy Content Factor (GJ per unit of fuel)]),0)</f>
        <v>25.7</v>
      </c>
      <c r="H27" s="25">
        <f>IFERROR(_xlfn.XLOOKUP($E27, Table_Fuel_EFs_StationaryLiquid[Fuel combusted], Table_Fuel_EFs_StationaryLiquid[Scope 1 Emission Factor (kg CO2 - e / GJ) CO2]),0)</f>
        <v>60.2</v>
      </c>
      <c r="I27" s="25">
        <f>IFERROR(_xlfn.XLOOKUP($E27, Table_Fuel_EFs_StationaryLiquid[Fuel combusted], Table_Fuel_EFs_StationaryLiquid[Scope 1 Emission Factor (kg CO2 - e / GJ) CH4]),0)</f>
        <v>0.2</v>
      </c>
      <c r="J27" s="25">
        <f>IFERROR(_xlfn.XLOOKUP($E27, Table_Fuel_EFs_StationaryLiquid[Fuel combusted], Table_Fuel_EFs_StationaryLiquid[Scope 1 Emission Factor (kg CO2 - e / GJ) N2O]),0)</f>
        <v>0.2</v>
      </c>
      <c r="K27" s="25">
        <f>IFERROR(_xlfn.XLOOKUP($E27, Table_Fuel_EFs_StationaryLiquid[Fuel combusted], Table_Fuel_EFs_StationaryLiquid[Scope 3 Emission Factor (kg CO2 - e / GJ)]),0)</f>
        <v>20.2</v>
      </c>
      <c r="L27" s="166" cm="1">
        <f t="array" ref="L27">Fuel_InputFunctions.Fuel_TotalConsumption(Table_Input_Fuel[Amount consumed], Table_Input_Fuel[Fuel use (select)], D27, Table_Input_Fuel[Fuel type (select)],F27)</f>
        <v>0</v>
      </c>
      <c r="M27" s="166" t="str" cm="1">
        <f t="array" ref="M27">Common_InputFunctions.Utility_LookupValueInTable(F27,Table_FuelTypes_Units[Fuel type],Table_FuelTypes_Units[Unit])</f>
        <v>kL</v>
      </c>
      <c r="N27" s="210" cm="1">
        <f t="array" ref="N27">Fuel_Equations.VEERG_8_2_1_1__1_FuelCombustionStationary($L27,$G27,H27)</f>
        <v>0</v>
      </c>
      <c r="O27" s="210" cm="1">
        <f t="array" ref="O27">Fuel_Equations.VEERG_8_2_1_1__1_FuelCombustionStationary($L27,$G27,I27)</f>
        <v>0</v>
      </c>
      <c r="P27" s="210" cm="1">
        <f t="array" ref="P27">Fuel_Equations.VEERG_8_2_1_1__1_FuelCombustionStationary($L27,$G27,J27)</f>
        <v>0</v>
      </c>
      <c r="Q27" s="210" cm="1">
        <f t="array" ref="Q27">Fuel_Equations.VEERG_8_2_1_1__1_FuelCombustionStationary($L27,$G27,IF(ISNUMBER(K27), K27, 0))</f>
        <v>0</v>
      </c>
    </row>
    <row r="28" spans="1:17" ht="20.100000000000001" customHeight="1" x14ac:dyDescent="0.25">
      <c r="A28" s="5" t="str">
        <f>HYPERLINK("#'5.4.1.1-4 Atmos deposition'!A1", "5.4.1.1-4 Atmos. deposition")</f>
        <v>5.4.1.1-4 Atmos. deposition</v>
      </c>
      <c r="D28" s="190" t="str">
        <f t="shared" si="0"/>
        <v>Generators</v>
      </c>
      <c r="E28" s="188" t="str">
        <f>'Constants - Fuel'!$D$73</f>
        <v>Biodiesel</v>
      </c>
      <c r="F28" s="188" t="str">
        <f>'Constants - Fuel'!D134</f>
        <v>Biodiesel</v>
      </c>
      <c r="G28" s="25">
        <f>IFERROR(_xlfn.XLOOKUP($E28, Table_Fuel_EFs_StationaryLiquid[Fuel combusted], Table_Fuel_EFs_StationaryLiquid[Energy Content Factor (GJ per unit of fuel)]),0)</f>
        <v>34.6</v>
      </c>
      <c r="H28" s="25">
        <f>IFERROR(_xlfn.XLOOKUP($E28, Table_Fuel_EFs_StationaryLiquid[Fuel combusted], Table_Fuel_EFs_StationaryLiquid[Scope 1 Emission Factor (kg CO2 - e / GJ) CO2]),0)</f>
        <v>0</v>
      </c>
      <c r="I28" s="25">
        <f>IFERROR(_xlfn.XLOOKUP($E28, Table_Fuel_EFs_StationaryLiquid[Fuel combusted], Table_Fuel_EFs_StationaryLiquid[Scope 1 Emission Factor (kg CO2 - e / GJ) CH4]),0)</f>
        <v>0.08</v>
      </c>
      <c r="J28" s="25">
        <f>IFERROR(_xlfn.XLOOKUP($E28, Table_Fuel_EFs_StationaryLiquid[Fuel combusted], Table_Fuel_EFs_StationaryLiquid[Scope 1 Emission Factor (kg CO2 - e / GJ) N2O]),0)</f>
        <v>0.2</v>
      </c>
      <c r="K28" s="25" t="str">
        <f>IFERROR(_xlfn.XLOOKUP($E28, Table_Fuel_EFs_StationaryLiquid[Fuel combusted], Table_Fuel_EFs_StationaryLiquid[Scope 3 Emission Factor (kg CO2 - e / GJ)]),0)</f>
        <v>NE</v>
      </c>
      <c r="L28" s="166" cm="1">
        <f t="array" ref="L28">Fuel_InputFunctions.Fuel_TotalConsumption(Table_Input_Fuel[Amount consumed], Table_Input_Fuel[Fuel use (select)], D28, Table_Input_Fuel[Fuel type (select)],F28)</f>
        <v>0</v>
      </c>
      <c r="M28" s="166" t="str" cm="1">
        <f t="array" ref="M28">Common_InputFunctions.Utility_LookupValueInTable(F28,Table_FuelTypes_Units[Fuel type],Table_FuelTypes_Units[Unit])</f>
        <v>kL</v>
      </c>
      <c r="N28" s="210" cm="1">
        <f t="array" ref="N28">Fuel_Equations.VEERG_8_2_1_1__1_FuelCombustionStationary($L28,$G28,H28)</f>
        <v>0</v>
      </c>
      <c r="O28" s="210" cm="1">
        <f t="array" ref="O28">Fuel_Equations.VEERG_8_2_1_1__1_FuelCombustionStationary($L28,$G28,I28)</f>
        <v>0</v>
      </c>
      <c r="P28" s="210" cm="1">
        <f t="array" ref="P28">Fuel_Equations.VEERG_8_2_1_1__1_FuelCombustionStationary($L28,$G28,J28)</f>
        <v>0</v>
      </c>
      <c r="Q28" s="210" cm="1">
        <f t="array" ref="Q28">Fuel_Equations.VEERG_8_2_1_1__1_FuelCombustionStationary($L28,$G28,IF(ISNUMBER(K28), K28, 0))</f>
        <v>0</v>
      </c>
    </row>
    <row r="29" spans="1:17" ht="20.100000000000001" customHeight="1" x14ac:dyDescent="0.25">
      <c r="A29" s="5" t="str">
        <f>HYPERLINK("#'5.5.1.1-2 Leaching and runoff'!A1", "5.5.1.1-2 Leaching &amp; runoff")</f>
        <v>5.5.1.1-2 Leaching &amp; runoff</v>
      </c>
      <c r="D29" s="190" t="str">
        <f t="shared" si="0"/>
        <v>Generators</v>
      </c>
      <c r="E29" s="188" t="str">
        <f>'Constants - Fuel'!$D$74</f>
        <v>Ethanol for use as a fuel in an internal combustion engine</v>
      </c>
      <c r="F29" s="188" t="str">
        <f>'Constants - Fuel'!D135</f>
        <v>Ethanol</v>
      </c>
      <c r="G29" s="25">
        <f>IFERROR(_xlfn.XLOOKUP($E29, Table_Fuel_EFs_StationaryLiquid[Fuel combusted], Table_Fuel_EFs_StationaryLiquid[Energy Content Factor (GJ per unit of fuel)]),0)</f>
        <v>23.4</v>
      </c>
      <c r="H29" s="25">
        <f>IFERROR(_xlfn.XLOOKUP($E29, Table_Fuel_EFs_StationaryLiquid[Fuel combusted], Table_Fuel_EFs_StationaryLiquid[Scope 1 Emission Factor (kg CO2 - e / GJ) CO2]),0)</f>
        <v>0</v>
      </c>
      <c r="I29" s="25">
        <f>IFERROR(_xlfn.XLOOKUP($E29, Table_Fuel_EFs_StationaryLiquid[Fuel combusted], Table_Fuel_EFs_StationaryLiquid[Scope 1 Emission Factor (kg CO2 - e / GJ) CH4]),0)</f>
        <v>0.08</v>
      </c>
      <c r="J29" s="25">
        <f>IFERROR(_xlfn.XLOOKUP($E29, Table_Fuel_EFs_StationaryLiquid[Fuel combusted], Table_Fuel_EFs_StationaryLiquid[Scope 1 Emission Factor (kg CO2 - e / GJ) N2O]),0)</f>
        <v>0.2</v>
      </c>
      <c r="K29" s="25" t="str">
        <f>IFERROR(_xlfn.XLOOKUP($E29, Table_Fuel_EFs_StationaryLiquid[Fuel combusted], Table_Fuel_EFs_StationaryLiquid[Scope 3 Emission Factor (kg CO2 - e / GJ)]),0)</f>
        <v>NE</v>
      </c>
      <c r="L29" s="166" cm="1">
        <f t="array" ref="L29">Fuel_InputFunctions.Fuel_TotalConsumption(Table_Input_Fuel[Amount consumed], Table_Input_Fuel[Fuel use (select)], D29, Table_Input_Fuel[Fuel type (select)],F29)</f>
        <v>0</v>
      </c>
      <c r="M29" s="166" t="str" cm="1">
        <f t="array" ref="M29">Common_InputFunctions.Utility_LookupValueInTable(F29,Table_FuelTypes_Units[Fuel type],Table_FuelTypes_Units[Unit])</f>
        <v>kL</v>
      </c>
      <c r="N29" s="210" cm="1">
        <f t="array" ref="N29">Fuel_Equations.VEERG_8_2_1_1__1_FuelCombustionStationary($L29,$G29,H29)</f>
        <v>0</v>
      </c>
      <c r="O29" s="210" cm="1">
        <f t="array" ref="O29">Fuel_Equations.VEERG_8_2_1_1__1_FuelCombustionStationary($L29,$G29,I29)</f>
        <v>0</v>
      </c>
      <c r="P29" s="210" cm="1">
        <f t="array" ref="P29">Fuel_Equations.VEERG_8_2_1_1__1_FuelCombustionStationary($L29,$G29,J29)</f>
        <v>0</v>
      </c>
      <c r="Q29" s="210" cm="1">
        <f t="array" ref="Q29">Fuel_Equations.VEERG_8_2_1_1__1_FuelCombustionStationary($L29,$G29,IF(ISNUMBER(K29), K29, 0))</f>
        <v>0</v>
      </c>
    </row>
    <row r="30" spans="1:17" ht="20.100000000000001" customHeight="1" x14ac:dyDescent="0.25">
      <c r="A30" s="5" t="str">
        <f>HYPERLINK("#'6.1.1.1-2 Crop residue N2O'!A1", "6.1.1.1-2 Crop residue N2O")</f>
        <v>6.1.1.1-2 Crop residue N2O</v>
      </c>
      <c r="D30" s="190" t="str">
        <f t="shared" si="0"/>
        <v>Generators</v>
      </c>
      <c r="E30" s="188" t="str">
        <f>'Constants - Fuel'!$D$75</f>
        <v>Biofuels other than those mentioned in the items above and below</v>
      </c>
      <c r="F30" s="188" t="str">
        <f>'Constants - Fuel'!D136</f>
        <v>Other biofuels</v>
      </c>
      <c r="G30" s="25">
        <f>IFERROR(_xlfn.XLOOKUP($E30, Table_Fuel_EFs_StationaryLiquid[Fuel combusted], Table_Fuel_EFs_StationaryLiquid[Energy Content Factor (GJ per unit of fuel)]),0)</f>
        <v>23.4</v>
      </c>
      <c r="H30" s="25">
        <f>IFERROR(_xlfn.XLOOKUP($E30, Table_Fuel_EFs_StationaryLiquid[Fuel combusted], Table_Fuel_EFs_StationaryLiquid[Scope 1 Emission Factor (kg CO2 - e / GJ) CO2]),0)</f>
        <v>0</v>
      </c>
      <c r="I30" s="25">
        <f>IFERROR(_xlfn.XLOOKUP($E30, Table_Fuel_EFs_StationaryLiquid[Fuel combusted], Table_Fuel_EFs_StationaryLiquid[Scope 1 Emission Factor (kg CO2 - e / GJ) CH4]),0)</f>
        <v>0.08</v>
      </c>
      <c r="J30" s="25">
        <f>IFERROR(_xlfn.XLOOKUP($E30, Table_Fuel_EFs_StationaryLiquid[Fuel combusted], Table_Fuel_EFs_StationaryLiquid[Scope 1 Emission Factor (kg CO2 - e / GJ) N2O]),0)</f>
        <v>0.2</v>
      </c>
      <c r="K30" s="25" t="str">
        <f>IFERROR(_xlfn.XLOOKUP($E30, Table_Fuel_EFs_StationaryLiquid[Fuel combusted], Table_Fuel_EFs_StationaryLiquid[Scope 3 Emission Factor (kg CO2 - e / GJ)]),0)</f>
        <v>NE</v>
      </c>
      <c r="L30" s="166" cm="1">
        <f t="array" ref="L30">Fuel_InputFunctions.Fuel_TotalConsumption(Table_Input_Fuel[Amount consumed], Table_Input_Fuel[Fuel use (select)], D30, Table_Input_Fuel[Fuel type (select)],F30)</f>
        <v>0</v>
      </c>
      <c r="M30" s="166" t="str" cm="1">
        <f t="array" ref="M30">Common_InputFunctions.Utility_LookupValueInTable(F30,Table_FuelTypes_Units[Fuel type],Table_FuelTypes_Units[Unit])</f>
        <v>kL</v>
      </c>
      <c r="N30" s="210" cm="1">
        <f t="array" ref="N30">Fuel_Equations.VEERG_8_2_1_1__1_FuelCombustionStationary($L30,$G30,H30)</f>
        <v>0</v>
      </c>
      <c r="O30" s="210" cm="1">
        <f t="array" ref="O30">Fuel_Equations.VEERG_8_2_1_1__1_FuelCombustionStationary($L30,$G30,I30)</f>
        <v>0</v>
      </c>
      <c r="P30" s="210" cm="1">
        <f t="array" ref="P30">Fuel_Equations.VEERG_8_2_1_1__1_FuelCombustionStationary($L30,$G30,J30)</f>
        <v>0</v>
      </c>
      <c r="Q30" s="210" cm="1">
        <f t="array" ref="Q30">Fuel_Equations.VEERG_8_2_1_1__1_FuelCombustionStationary($L30,$G30,IF(ISNUMBER(K30), K30, 0))</f>
        <v>0</v>
      </c>
    </row>
    <row r="31" spans="1:17" ht="20.100000000000001" customHeight="1" x14ac:dyDescent="0.25">
      <c r="A31" s="5" t="str">
        <f>HYPERLINK("#'6.3.1.1-2 Leach runoff crop'!A1", "6.3.1.1-2 Leach &amp; runoff (crop)")</f>
        <v>6.3.1.1-2 Leach &amp; runoff (crop)</v>
      </c>
      <c r="D31" s="190" t="str">
        <f t="shared" si="0"/>
        <v>Generators</v>
      </c>
      <c r="E31" s="188" t="str">
        <f>'Constants - Fuel'!$D$77</f>
        <v>Renewable diesel</v>
      </c>
      <c r="F31" s="188" t="str">
        <f>'Constants - Fuel'!D137</f>
        <v>Renewable diesel</v>
      </c>
      <c r="G31" s="186">
        <f>IFERROR(_xlfn.XLOOKUP($E31, Table_Fuel_EFs_StationaryLiquid[Fuel combusted], Table_Fuel_EFs_StationaryLiquid[Energy Content Factor (GJ per unit of fuel)]),0)</f>
        <v>38.6</v>
      </c>
      <c r="H31" s="186">
        <f>IFERROR(_xlfn.XLOOKUP($E31, Table_Fuel_EFs_StationaryLiquid[Fuel combusted], Table_Fuel_EFs_StationaryLiquid[Scope 1 Emission Factor (kg CO2 - e / GJ) CO2]),0)</f>
        <v>0</v>
      </c>
      <c r="I31" s="186">
        <f>IFERROR(_xlfn.XLOOKUP($E31, Table_Fuel_EFs_StationaryLiquid[Fuel combusted], Table_Fuel_EFs_StationaryLiquid[Scope 1 Emission Factor (kg CO2 - e / GJ) CH4]),0)</f>
        <v>0.1</v>
      </c>
      <c r="J31" s="186">
        <f>IFERROR(_xlfn.XLOOKUP($E31, Table_Fuel_EFs_StationaryLiquid[Fuel combusted], Table_Fuel_EFs_StationaryLiquid[Scope 1 Emission Factor (kg CO2 - e / GJ) N2O]),0)</f>
        <v>0.2</v>
      </c>
      <c r="K31" s="186" t="str">
        <f>IFERROR(_xlfn.XLOOKUP($E31, Table_Fuel_EFs_StationaryLiquid[Fuel combusted], Table_Fuel_EFs_StationaryLiquid[Scope 3 Emission Factor (kg CO2 - e / GJ)]),0)</f>
        <v>NE</v>
      </c>
      <c r="L31" s="191" cm="1">
        <f t="array" ref="L31">Fuel_InputFunctions.Fuel_TotalConsumption(Table_Input_Fuel[Amount consumed], Table_Input_Fuel[Fuel use (select)], D31, Table_Input_Fuel[Fuel type (select)],F31)</f>
        <v>0</v>
      </c>
      <c r="M31" s="191" t="str" cm="1">
        <f t="array" ref="M31">Common_InputFunctions.Utility_LookupValueInTable(F31,Table_FuelTypes_Units[Fuel type],Table_FuelTypes_Units[Unit])</f>
        <v>kL</v>
      </c>
      <c r="N31" s="211" cm="1">
        <f t="array" ref="N31">Fuel_Equations.VEERG_8_2_1_1__1_FuelCombustionStationary($L31,$G31,H31)</f>
        <v>0</v>
      </c>
      <c r="O31" s="211" cm="1">
        <f t="array" ref="O31">Fuel_Equations.VEERG_8_2_1_1__1_FuelCombustionStationary($L31,$G31,I31)</f>
        <v>0</v>
      </c>
      <c r="P31" s="211" cm="1">
        <f t="array" ref="P31">Fuel_Equations.VEERG_8_2_1_1__1_FuelCombustionStationary($L31,$G31,J31)</f>
        <v>0</v>
      </c>
      <c r="Q31" s="211" cm="1">
        <f t="array" ref="Q31">Fuel_Equations.VEERG_8_2_1_1__1_FuelCombustionStationary($L31,$G31,IF(ISNUMBER(K31), K31, 0))</f>
        <v>0</v>
      </c>
    </row>
    <row r="32" spans="1:17" ht="20.100000000000001" customHeight="1" x14ac:dyDescent="0.25">
      <c r="A32" s="5" t="str">
        <f>HYPERLINK("#'6.4.1.1-2 Residue burning'!A1", "6.4.1.1-2 Residue burning")</f>
        <v>6.4.1.1-2 Residue burning</v>
      </c>
      <c r="D32" s="193" t="str">
        <f>Table_FuelTypesPerUse[[#Headers],[Power standalone machinery or heating]]</f>
        <v>Power standalone machinery or heating</v>
      </c>
      <c r="E32" s="194" t="str">
        <f>'Constants - Fuel'!$D$58</f>
        <v>Automotive gasoline / petrol (other than for use as fuel in an aircraft)</v>
      </c>
      <c r="F32" s="194" t="str">
        <f>'Constants - Fuel'!E131</f>
        <v>Petrol</v>
      </c>
      <c r="G32" s="201">
        <f>IFERROR(_xlfn.XLOOKUP($E32, Table_Fuel_EFs_StationaryLiquid[Fuel combusted], Table_Fuel_EFs_StationaryLiquid[Energy Content Factor (GJ per unit of fuel)]),0)</f>
        <v>34.200000000000003</v>
      </c>
      <c r="H32" s="201">
        <f>IFERROR(_xlfn.XLOOKUP($E32, Table_Fuel_EFs_StationaryLiquid[Fuel combusted], Table_Fuel_EFs_StationaryLiquid[Scope 1 Emission Factor (kg CO2 - e / GJ) CO2]),0)</f>
        <v>67.400000000000006</v>
      </c>
      <c r="I32" s="201">
        <f>IFERROR(_xlfn.XLOOKUP($E32, Table_Fuel_EFs_StationaryLiquid[Fuel combusted], Table_Fuel_EFs_StationaryLiquid[Scope 1 Emission Factor (kg CO2 - e / GJ) CH4]),0)</f>
        <v>0.2</v>
      </c>
      <c r="J32" s="201">
        <f>IFERROR(_xlfn.XLOOKUP($E32, Table_Fuel_EFs_StationaryLiquid[Fuel combusted], Table_Fuel_EFs_StationaryLiquid[Scope 1 Emission Factor (kg CO2 - e / GJ) N2O]),0)</f>
        <v>0.2</v>
      </c>
      <c r="K32" s="201">
        <f>IFERROR(_xlfn.XLOOKUP($E32, Table_Fuel_EFs_StationaryLiquid[Fuel combusted], Table_Fuel_EFs_StationaryLiquid[Scope 3 Emission Factor (kg CO2 - e / GJ)]),0)</f>
        <v>17.2</v>
      </c>
      <c r="L32" s="197" cm="1">
        <f t="array" ref="L32">Fuel_InputFunctions.Fuel_TotalConsumption(Table_Input_Fuel[Amount consumed], Table_Input_Fuel[Fuel use (select)], D32, Table_Input_Fuel[Fuel type (select)],F32)</f>
        <v>10</v>
      </c>
      <c r="M32" s="198" t="str" cm="1">
        <f t="array" ref="M32">Common_InputFunctions.Utility_LookupValueInTable(F32,Table_FuelTypes_Units[Fuel type],Table_FuelTypes_Units[Unit])</f>
        <v>kL</v>
      </c>
      <c r="N32" s="212" cm="1">
        <f t="array" ref="N32">Fuel_Equations.VEERG_8_2_1_1__1_FuelCombustionStationary($L32,$G32,H32)</f>
        <v>23.050800000000002</v>
      </c>
      <c r="O32" s="212" cm="1">
        <f t="array" ref="O32">Fuel_Equations.VEERG_8_2_1_1__1_FuelCombustionStationary($L32,$G32,I32)</f>
        <v>6.8400000000000002E-2</v>
      </c>
      <c r="P32" s="212" cm="1">
        <f t="array" ref="P32">Fuel_Equations.VEERG_8_2_1_1__1_FuelCombustionStationary($L32,$G32,J32)</f>
        <v>6.8400000000000002E-2</v>
      </c>
      <c r="Q32" s="212" cm="1">
        <f t="array" ref="Q32">Fuel_Equations.VEERG_8_2_1_1__1_FuelCombustionStationary($L32,$G32,IF(ISNUMBER(K32), K32, 0))</f>
        <v>5.8823999999999996</v>
      </c>
    </row>
    <row r="33" spans="1:17" ht="20.100000000000001" customHeight="1" x14ac:dyDescent="0.25">
      <c r="A33" s="5" t="str">
        <f>HYPERLINK("#'8.1.1.1-2 Transport fuel'!A1", "8.1.1.1-2 Transport fuel")</f>
        <v>8.1.1.1-2 Transport fuel</v>
      </c>
      <c r="D33" s="190" t="str">
        <f t="shared" ref="D33:D40" si="1">$D$32</f>
        <v>Power standalone machinery or heating</v>
      </c>
      <c r="E33" s="188" t="str">
        <f>'Constants - Fuel'!$D$63</f>
        <v>Diesel oil</v>
      </c>
      <c r="F33" s="188" t="str">
        <f>'Constants - Fuel'!E132</f>
        <v>Diesel</v>
      </c>
      <c r="G33" s="25">
        <f>IFERROR(_xlfn.XLOOKUP($E33, Table_Fuel_EFs_StationaryLiquid[Fuel combusted], Table_Fuel_EFs_StationaryLiquid[Energy Content Factor (GJ per unit of fuel)]),0)</f>
        <v>38.6</v>
      </c>
      <c r="H33" s="25">
        <f>IFERROR(_xlfn.XLOOKUP($E33, Table_Fuel_EFs_StationaryLiquid[Fuel combusted], Table_Fuel_EFs_StationaryLiquid[Scope 1 Emission Factor (kg CO2 - e / GJ) CO2]),0)</f>
        <v>69.900000000000006</v>
      </c>
      <c r="I33" s="25">
        <f>IFERROR(_xlfn.XLOOKUP($E33, Table_Fuel_EFs_StationaryLiquid[Fuel combusted], Table_Fuel_EFs_StationaryLiquid[Scope 1 Emission Factor (kg CO2 - e / GJ) CH4]),0)</f>
        <v>0.1</v>
      </c>
      <c r="J33" s="25">
        <f>IFERROR(_xlfn.XLOOKUP($E33, Table_Fuel_EFs_StationaryLiquid[Fuel combusted], Table_Fuel_EFs_StationaryLiquid[Scope 1 Emission Factor (kg CO2 - e / GJ) N2O]),0)</f>
        <v>0.2</v>
      </c>
      <c r="K33" s="25">
        <f>IFERROR(_xlfn.XLOOKUP($E33, Table_Fuel_EFs_StationaryLiquid[Fuel combusted], Table_Fuel_EFs_StationaryLiquid[Scope 3 Emission Factor (kg CO2 - e / GJ)]),0)</f>
        <v>17.3</v>
      </c>
      <c r="L33" s="25" cm="1">
        <f t="array" ref="L33">Fuel_InputFunctions.Fuel_TotalConsumption(Table_Input_Fuel[Amount consumed], Table_Input_Fuel[Fuel use (select)], D33, Table_Input_Fuel[Fuel type (select)],F33)</f>
        <v>0</v>
      </c>
      <c r="M33" s="25" t="str" cm="1">
        <f t="array" ref="M33">Common_InputFunctions.Utility_LookupValueInTable(F33,Table_FuelTypes_Units[Fuel type],Table_FuelTypes_Units[Unit])</f>
        <v>kL</v>
      </c>
      <c r="N33" s="210" cm="1">
        <f t="array" ref="N33">Fuel_Equations.VEERG_8_2_1_1__1_FuelCombustionStationary($L33,$G33,H33)</f>
        <v>0</v>
      </c>
      <c r="O33" s="210" cm="1">
        <f t="array" ref="O33">Fuel_Equations.VEERG_8_2_1_1__1_FuelCombustionStationary($L33,$G33,I33)</f>
        <v>0</v>
      </c>
      <c r="P33" s="210" cm="1">
        <f t="array" ref="P33">Fuel_Equations.VEERG_8_2_1_1__1_FuelCombustionStationary($L33,$G33,J33)</f>
        <v>0</v>
      </c>
      <c r="Q33" s="210" cm="1">
        <f t="array" ref="Q33">Fuel_Equations.VEERG_8_2_1_1__1_FuelCombustionStationary($L33,$G33,IF(ISNUMBER(K33), K33, 0))</f>
        <v>0</v>
      </c>
    </row>
    <row r="34" spans="1:17" ht="20.100000000000001" customHeight="1" x14ac:dyDescent="0.25">
      <c r="A34" s="141" t="str">
        <f>HYPERLINK("#'8.2.1.1-2 Stationary fuel'!A1", "8.2.1.1-2 Stationary fuel")</f>
        <v>8.2.1.1-2 Stationary fuel</v>
      </c>
      <c r="D34" s="190" t="str">
        <f t="shared" si="1"/>
        <v>Power standalone machinery or heating</v>
      </c>
      <c r="E34" s="188" t="str">
        <f>'Constants - Fuel'!$D$67</f>
        <v>Liquefied petroleum gas (LPG)</v>
      </c>
      <c r="F34" s="188" t="str">
        <f>'Constants - Fuel'!E133</f>
        <v>Liquefied petroleum gas (LPG)</v>
      </c>
      <c r="G34" s="25">
        <f>IFERROR(_xlfn.XLOOKUP($E34, Table_Fuel_EFs_StationaryLiquid[Fuel combusted], Table_Fuel_EFs_StationaryLiquid[Energy Content Factor (GJ per unit of fuel)]),0)</f>
        <v>25.7</v>
      </c>
      <c r="H34" s="25">
        <f>IFERROR(_xlfn.XLOOKUP($E34, Table_Fuel_EFs_StationaryLiquid[Fuel combusted], Table_Fuel_EFs_StationaryLiquid[Scope 1 Emission Factor (kg CO2 - e / GJ) CO2]),0)</f>
        <v>60.2</v>
      </c>
      <c r="I34" s="25">
        <f>IFERROR(_xlfn.XLOOKUP($E34, Table_Fuel_EFs_StationaryLiquid[Fuel combusted], Table_Fuel_EFs_StationaryLiquid[Scope 1 Emission Factor (kg CO2 - e / GJ) CH4]),0)</f>
        <v>0.2</v>
      </c>
      <c r="J34" s="25">
        <f>IFERROR(_xlfn.XLOOKUP($E34, Table_Fuel_EFs_StationaryLiquid[Fuel combusted], Table_Fuel_EFs_StationaryLiquid[Scope 1 Emission Factor (kg CO2 - e / GJ) N2O]),0)</f>
        <v>0.2</v>
      </c>
      <c r="K34" s="25">
        <f>IFERROR(_xlfn.XLOOKUP($E34, Table_Fuel_EFs_StationaryLiquid[Fuel combusted], Table_Fuel_EFs_StationaryLiquid[Scope 3 Emission Factor (kg CO2 - e / GJ)]),0)</f>
        <v>20.2</v>
      </c>
      <c r="L34" s="25" cm="1">
        <f t="array" ref="L34">Fuel_InputFunctions.Fuel_TotalConsumption(Table_Input_Fuel[Amount consumed], Table_Input_Fuel[Fuel use (select)], D34, Table_Input_Fuel[Fuel type (select)],F34)</f>
        <v>0</v>
      </c>
      <c r="M34" s="25" t="str" cm="1">
        <f t="array" ref="M34">Common_InputFunctions.Utility_LookupValueInTable(F34,Table_FuelTypes_Units[Fuel type],Table_FuelTypes_Units[Unit])</f>
        <v>kL</v>
      </c>
      <c r="N34" s="210" cm="1">
        <f t="array" ref="N34">Fuel_Equations.VEERG_8_2_1_1__1_FuelCombustionStationary($L34,$G34,H34)</f>
        <v>0</v>
      </c>
      <c r="O34" s="210" cm="1">
        <f t="array" ref="O34">Fuel_Equations.VEERG_8_2_1_1__1_FuelCombustionStationary($L34,$G34,I34)</f>
        <v>0</v>
      </c>
      <c r="P34" s="210" cm="1">
        <f t="array" ref="P34">Fuel_Equations.VEERG_8_2_1_1__1_FuelCombustionStationary($L34,$G34,J34)</f>
        <v>0</v>
      </c>
      <c r="Q34" s="210" cm="1">
        <f t="array" ref="Q34">Fuel_Equations.VEERG_8_2_1_1__1_FuelCombustionStationary($L34,$G34,IF(ISNUMBER(K34), K34, 0))</f>
        <v>0</v>
      </c>
    </row>
    <row r="35" spans="1:17" ht="20.100000000000001" customHeight="1" x14ac:dyDescent="0.25">
      <c r="A35" s="5" t="str">
        <f>HYPERLINK("#'14.1.1-2 Purchased electricity'!A1", "14.1.1-2 Purchased electricity")</f>
        <v>14.1.1-2 Purchased electricity</v>
      </c>
      <c r="D35" s="190" t="str">
        <f t="shared" si="1"/>
        <v>Power standalone machinery or heating</v>
      </c>
      <c r="E35" s="188" t="str">
        <f>'Constants - Fuel'!$D$73</f>
        <v>Biodiesel</v>
      </c>
      <c r="F35" s="188" t="str">
        <f>'Constants - Fuel'!E134</f>
        <v>Biodiesel</v>
      </c>
      <c r="G35" s="25">
        <f>IFERROR(_xlfn.XLOOKUP($E35, Table_Fuel_EFs_StationaryLiquid[Fuel combusted], Table_Fuel_EFs_StationaryLiquid[Energy Content Factor (GJ per unit of fuel)]),0)</f>
        <v>34.6</v>
      </c>
      <c r="H35" s="25">
        <f>IFERROR(_xlfn.XLOOKUP($E35, Table_Fuel_EFs_StationaryLiquid[Fuel combusted], Table_Fuel_EFs_StationaryLiquid[Scope 1 Emission Factor (kg CO2 - e / GJ) CO2]),0)</f>
        <v>0</v>
      </c>
      <c r="I35" s="25">
        <f>IFERROR(_xlfn.XLOOKUP($E35, Table_Fuel_EFs_StationaryLiquid[Fuel combusted], Table_Fuel_EFs_StationaryLiquid[Scope 1 Emission Factor (kg CO2 - e / GJ) CH4]),0)</f>
        <v>0.08</v>
      </c>
      <c r="J35" s="25">
        <f>IFERROR(_xlfn.XLOOKUP($E35, Table_Fuel_EFs_StationaryLiquid[Fuel combusted], Table_Fuel_EFs_StationaryLiquid[Scope 1 Emission Factor (kg CO2 - e / GJ) N2O]),0)</f>
        <v>0.2</v>
      </c>
      <c r="K35" s="25" t="str">
        <f>IFERROR(_xlfn.XLOOKUP($E35, Table_Fuel_EFs_StationaryLiquid[Fuel combusted], Table_Fuel_EFs_StationaryLiquid[Scope 3 Emission Factor (kg CO2 - e / GJ)]),0)</f>
        <v>NE</v>
      </c>
      <c r="L35" s="25" cm="1">
        <f t="array" ref="L35">Fuel_InputFunctions.Fuel_TotalConsumption(Table_Input_Fuel[Amount consumed], Table_Input_Fuel[Fuel use (select)], D35, Table_Input_Fuel[Fuel type (select)],F35)</f>
        <v>0</v>
      </c>
      <c r="M35" s="25" t="str" cm="1">
        <f t="array" ref="M35">Common_InputFunctions.Utility_LookupValueInTable(F35,Table_FuelTypes_Units[Fuel type],Table_FuelTypes_Units[Unit])</f>
        <v>kL</v>
      </c>
      <c r="N35" s="210" cm="1">
        <f t="array" ref="N35">Fuel_Equations.VEERG_8_2_1_1__1_FuelCombustionStationary($L35,$G35,H35)</f>
        <v>0</v>
      </c>
      <c r="O35" s="210" cm="1">
        <f t="array" ref="O35">Fuel_Equations.VEERG_8_2_1_1__1_FuelCombustionStationary($L35,$G35,I35)</f>
        <v>0</v>
      </c>
      <c r="P35" s="210" cm="1">
        <f t="array" ref="P35">Fuel_Equations.VEERG_8_2_1_1__1_FuelCombustionStationary($L35,$G35,J35)</f>
        <v>0</v>
      </c>
      <c r="Q35" s="210" cm="1">
        <f t="array" ref="Q35">Fuel_Equations.VEERG_8_2_1_1__1_FuelCombustionStationary($L35,$G35,IF(ISNUMBER(K35), K35, 0))</f>
        <v>0</v>
      </c>
    </row>
    <row r="36" spans="1:17" ht="20.100000000000001" customHeight="1" x14ac:dyDescent="0.25">
      <c r="A36" s="5" t="str">
        <f>HYPERLINK("#'15 Scope 3'!A1", "15 Scope 3")</f>
        <v>15 Scope 3</v>
      </c>
      <c r="D36" s="190" t="str">
        <f t="shared" si="1"/>
        <v>Power standalone machinery or heating</v>
      </c>
      <c r="E36" s="188" t="str">
        <f>'Constants - Fuel'!$D$74</f>
        <v>Ethanol for use as a fuel in an internal combustion engine</v>
      </c>
      <c r="F36" s="188" t="str">
        <f>'Constants - Fuel'!E135</f>
        <v>Ethanol</v>
      </c>
      <c r="G36" s="25">
        <f>IFERROR(_xlfn.XLOOKUP($E36, Table_Fuel_EFs_StationaryLiquid[Fuel combusted], Table_Fuel_EFs_StationaryLiquid[Energy Content Factor (GJ per unit of fuel)]),0)</f>
        <v>23.4</v>
      </c>
      <c r="H36" s="25">
        <f>IFERROR(_xlfn.XLOOKUP($E36, Table_Fuel_EFs_StationaryLiquid[Fuel combusted], Table_Fuel_EFs_StationaryLiquid[Scope 1 Emission Factor (kg CO2 - e / GJ) CO2]),0)</f>
        <v>0</v>
      </c>
      <c r="I36" s="25">
        <f>IFERROR(_xlfn.XLOOKUP($E36, Table_Fuel_EFs_StationaryLiquid[Fuel combusted], Table_Fuel_EFs_StationaryLiquid[Scope 1 Emission Factor (kg CO2 - e / GJ) CH4]),0)</f>
        <v>0.08</v>
      </c>
      <c r="J36" s="25">
        <f>IFERROR(_xlfn.XLOOKUP($E36, Table_Fuel_EFs_StationaryLiquid[Fuel combusted], Table_Fuel_EFs_StationaryLiquid[Scope 1 Emission Factor (kg CO2 - e / GJ) N2O]),0)</f>
        <v>0.2</v>
      </c>
      <c r="K36" s="25" t="str">
        <f>IFERROR(_xlfn.XLOOKUP($E36, Table_Fuel_EFs_StationaryLiquid[Fuel combusted], Table_Fuel_EFs_StationaryLiquid[Scope 3 Emission Factor (kg CO2 - e / GJ)]),0)</f>
        <v>NE</v>
      </c>
      <c r="L36" s="25" cm="1">
        <f t="array" ref="L36">Fuel_InputFunctions.Fuel_TotalConsumption(Table_Input_Fuel[Amount consumed], Table_Input_Fuel[Fuel use (select)], D36, Table_Input_Fuel[Fuel type (select)],F36)</f>
        <v>0</v>
      </c>
      <c r="M36" s="25" t="str" cm="1">
        <f t="array" ref="M36">Common_InputFunctions.Utility_LookupValueInTable(F36,Table_FuelTypes_Units[Fuel type],Table_FuelTypes_Units[Unit])</f>
        <v>kL</v>
      </c>
      <c r="N36" s="210" cm="1">
        <f t="array" ref="N36">Fuel_Equations.VEERG_8_2_1_1__1_FuelCombustionStationary($L36,$G36,H36)</f>
        <v>0</v>
      </c>
      <c r="O36" s="210" cm="1">
        <f t="array" ref="O36">Fuel_Equations.VEERG_8_2_1_1__1_FuelCombustionStationary($L36,$G36,I36)</f>
        <v>0</v>
      </c>
      <c r="P36" s="210" cm="1">
        <f t="array" ref="P36">Fuel_Equations.VEERG_8_2_1_1__1_FuelCombustionStationary($L36,$G36,J36)</f>
        <v>0</v>
      </c>
      <c r="Q36" s="210" cm="1">
        <f t="array" ref="Q36">Fuel_Equations.VEERG_8_2_1_1__1_FuelCombustionStationary($L36,$G36,IF(ISNUMBER(K36), K36, 0))</f>
        <v>0</v>
      </c>
    </row>
    <row r="37" spans="1:17" ht="20.100000000000001" customHeight="1" x14ac:dyDescent="0.25">
      <c r="A37" s="5" t="str">
        <f>HYPERLINK("#'Calcs - Manure sent off-site'!A1", "Calcs - Manure sent off-site")</f>
        <v>Calcs - Manure sent off-site</v>
      </c>
      <c r="D37" s="190" t="str">
        <f t="shared" si="1"/>
        <v>Power standalone machinery or heating</v>
      </c>
      <c r="E37" s="188" t="str">
        <f>'Constants - Fuel'!$D$75</f>
        <v>Biofuels other than those mentioned in the items above and below</v>
      </c>
      <c r="F37" s="188" t="str">
        <f>'Constants - Fuel'!E136</f>
        <v>Other biofuels</v>
      </c>
      <c r="G37" s="25">
        <f>IFERROR(_xlfn.XLOOKUP($E37, Table_Fuel_EFs_StationaryLiquid[Fuel combusted], Table_Fuel_EFs_StationaryLiquid[Energy Content Factor (GJ per unit of fuel)]),0)</f>
        <v>23.4</v>
      </c>
      <c r="H37" s="25">
        <f>IFERROR(_xlfn.XLOOKUP($E37, Table_Fuel_EFs_StationaryLiquid[Fuel combusted], Table_Fuel_EFs_StationaryLiquid[Scope 1 Emission Factor (kg CO2 - e / GJ) CO2]),0)</f>
        <v>0</v>
      </c>
      <c r="I37" s="25">
        <f>IFERROR(_xlfn.XLOOKUP($E37, Table_Fuel_EFs_StationaryLiquid[Fuel combusted], Table_Fuel_EFs_StationaryLiquid[Scope 1 Emission Factor (kg CO2 - e / GJ) CH4]),0)</f>
        <v>0.08</v>
      </c>
      <c r="J37" s="25">
        <f>IFERROR(_xlfn.XLOOKUP($E37, Table_Fuel_EFs_StationaryLiquid[Fuel combusted], Table_Fuel_EFs_StationaryLiquid[Scope 1 Emission Factor (kg CO2 - e / GJ) N2O]),0)</f>
        <v>0.2</v>
      </c>
      <c r="K37" s="25" t="str">
        <f>IFERROR(_xlfn.XLOOKUP($E37, Table_Fuel_EFs_StationaryLiquid[Fuel combusted], Table_Fuel_EFs_StationaryLiquid[Scope 3 Emission Factor (kg CO2 - e / GJ)]),0)</f>
        <v>NE</v>
      </c>
      <c r="L37" s="25" cm="1">
        <f t="array" ref="L37">Fuel_InputFunctions.Fuel_TotalConsumption(Table_Input_Fuel[Amount consumed], Table_Input_Fuel[Fuel use (select)], D37, Table_Input_Fuel[Fuel type (select)],F37)</f>
        <v>0</v>
      </c>
      <c r="M37" s="25" t="str" cm="1">
        <f t="array" ref="M37">Common_InputFunctions.Utility_LookupValueInTable(F37,Table_FuelTypes_Units[Fuel type],Table_FuelTypes_Units[Unit])</f>
        <v>kL</v>
      </c>
      <c r="N37" s="210" cm="1">
        <f t="array" ref="N37">Fuel_Equations.VEERG_8_2_1_1__1_FuelCombustionStationary($L37,$G37,H37)</f>
        <v>0</v>
      </c>
      <c r="O37" s="210" cm="1">
        <f t="array" ref="O37">Fuel_Equations.VEERG_8_2_1_1__1_FuelCombustionStationary($L37,$G37,I37)</f>
        <v>0</v>
      </c>
      <c r="P37" s="210" cm="1">
        <f t="array" ref="P37">Fuel_Equations.VEERG_8_2_1_1__1_FuelCombustionStationary($L37,$G37,J37)</f>
        <v>0</v>
      </c>
      <c r="Q37" s="210" cm="1">
        <f t="array" ref="Q37">Fuel_Equations.VEERG_8_2_1_1__1_FuelCombustionStationary($L37,$G37,IF(ISNUMBER(K37), K37, 0))</f>
        <v>0</v>
      </c>
    </row>
    <row r="38" spans="1:17" ht="20.100000000000001" customHeight="1" x14ac:dyDescent="0.25">
      <c r="A38" s="5" t="str">
        <f>HYPERLINK("#'10.1.1-2 Solid waste treatment'!A1", "10.1.1-2 Solid waste treatment")</f>
        <v>10.1.1-2 Solid waste treatment</v>
      </c>
      <c r="D38" s="190" t="str">
        <f t="shared" si="1"/>
        <v>Power standalone machinery or heating</v>
      </c>
      <c r="E38" s="188" t="str">
        <f>'Constants - Fuel'!$D$77</f>
        <v>Renewable diesel</v>
      </c>
      <c r="F38" s="188" t="str">
        <f>'Constants - Fuel'!E137</f>
        <v>Renewable diesel</v>
      </c>
      <c r="G38" s="25">
        <f>IFERROR(_xlfn.XLOOKUP($E38, Table_Fuel_EFs_StationaryLiquid[Fuel combusted], Table_Fuel_EFs_StationaryLiquid[Energy Content Factor (GJ per unit of fuel)]),0)</f>
        <v>38.6</v>
      </c>
      <c r="H38" s="25">
        <f>IFERROR(_xlfn.XLOOKUP($E38, Table_Fuel_EFs_StationaryLiquid[Fuel combusted], Table_Fuel_EFs_StationaryLiquid[Scope 1 Emission Factor (kg CO2 - e / GJ) CO2]),0)</f>
        <v>0</v>
      </c>
      <c r="I38" s="25">
        <f>IFERROR(_xlfn.XLOOKUP($E38, Table_Fuel_EFs_StationaryLiquid[Fuel combusted], Table_Fuel_EFs_StationaryLiquid[Scope 1 Emission Factor (kg CO2 - e / GJ) CH4]),0)</f>
        <v>0.1</v>
      </c>
      <c r="J38" s="25">
        <f>IFERROR(_xlfn.XLOOKUP($E38, Table_Fuel_EFs_StationaryLiquid[Fuel combusted], Table_Fuel_EFs_StationaryLiquid[Scope 1 Emission Factor (kg CO2 - e / GJ) N2O]),0)</f>
        <v>0.2</v>
      </c>
      <c r="K38" s="25" t="str">
        <f>IFERROR(_xlfn.XLOOKUP($E38, Table_Fuel_EFs_StationaryLiquid[Fuel combusted], Table_Fuel_EFs_StationaryLiquid[Scope 3 Emission Factor (kg CO2 - e / GJ)]),0)</f>
        <v>NE</v>
      </c>
      <c r="L38" s="25" cm="1">
        <f t="array" ref="L38">Fuel_InputFunctions.Fuel_TotalConsumption(Table_Input_Fuel[Amount consumed], Table_Input_Fuel[Fuel use (select)], D38, Table_Input_Fuel[Fuel type (select)],F38)</f>
        <v>0</v>
      </c>
      <c r="M38" s="25" t="str" cm="1">
        <f t="array" ref="M38">Common_InputFunctions.Utility_LookupValueInTable(F38,Table_FuelTypes_Units[Fuel type],Table_FuelTypes_Units[Unit])</f>
        <v>kL</v>
      </c>
      <c r="N38" s="210" cm="1">
        <f t="array" ref="N38">Fuel_Equations.VEERG_8_2_1_1__1_FuelCombustionStationary($L38,$G38,H38)</f>
        <v>0</v>
      </c>
      <c r="O38" s="210" cm="1">
        <f t="array" ref="O38">Fuel_Equations.VEERG_8_2_1_1__1_FuelCombustionStationary($L38,$G38,I38)</f>
        <v>0</v>
      </c>
      <c r="P38" s="210" cm="1">
        <f t="array" ref="P38">Fuel_Equations.VEERG_8_2_1_1__1_FuelCombustionStationary($L38,$G38,J38)</f>
        <v>0</v>
      </c>
      <c r="Q38" s="210" cm="1">
        <f t="array" ref="Q38">Fuel_Equations.VEERG_8_2_1_1__1_FuelCombustionStationary($L38,$G38,IF(ISNUMBER(K38), K38, 0))</f>
        <v>0</v>
      </c>
    </row>
    <row r="39" spans="1:17" ht="20.100000000000001" customHeight="1" x14ac:dyDescent="0.25">
      <c r="D39" s="190" t="str">
        <f t="shared" si="1"/>
        <v>Power standalone machinery or heating</v>
      </c>
      <c r="E39" s="188" t="str">
        <f>'Constants - Fuel'!$D$103</f>
        <v>Natural gas distributed in a pipeline - Gigajoules</v>
      </c>
      <c r="F39" s="188" t="str">
        <f>'Constants - Fuel'!E138</f>
        <v>Natural gas (via pipeline) in GJ</v>
      </c>
      <c r="G39" s="25">
        <f>IFERROR(_xlfn.XLOOKUP($E39, Table_Fuel_EFs_StationaryGaseous[Fuel combusted], Table_Fuel_EFs_StationaryGaseous[Energy Content Factor (GJ per unit of fuel)]),0)</f>
        <v>1</v>
      </c>
      <c r="H39" s="25">
        <f>IFERROR(_xlfn.XLOOKUP($E39, Table_Fuel_EFs_StationaryGaseous[Fuel combusted], Table_Fuel_EFs_StationaryGaseous[Scope 1 Emission Factor (kg CO2 - e / GJ) CO2]),0)</f>
        <v>51.4</v>
      </c>
      <c r="I39" s="25">
        <f>IFERROR(_xlfn.XLOOKUP($E39, Table_Fuel_EFs_StationaryGaseous[Fuel combusted], Table_Fuel_EFs_StationaryGaseous[Scope 1 Emission Factor (kg CO2 - e / GJ) CH4]),0)</f>
        <v>0.1</v>
      </c>
      <c r="J39" s="25">
        <f>IFERROR(_xlfn.XLOOKUP($E39, Table_Fuel_EFs_StationaryGaseous[Fuel combusted], Table_Fuel_EFs_StationaryGaseous[Scope 1 Emission Factor (kg CO2 - e / GJ) N2O]),0)</f>
        <v>0.03</v>
      </c>
      <c r="K39" s="25" cm="1">
        <f t="array" ref="K39">IFERROR(Common_InputFunctions.Utility_LookupValueInTableOneColumnAndHeader($P$17,$P$18,Table_Fuel_EFs_StationaryGaseous34[State or territory],Table_Fuel_EFs_StationaryGaseous34[#Headers],Table_Fuel_EFs_StationaryGaseous34[#Data]),0)</f>
        <v>4.0999999999999996</v>
      </c>
      <c r="L39" s="166" cm="1">
        <f t="array" ref="L39">Fuel_InputFunctions.Fuel_TotalConsumption(Table_Input_Fuel[Amount consumed], Table_Input_Fuel[Fuel use (select)], D39, Table_Input_Fuel[Fuel type (select)],F39)</f>
        <v>0</v>
      </c>
      <c r="M39" s="166" t="str" cm="1">
        <f t="array" ref="M39">Common_InputFunctions.Utility_LookupValueInTable(F39,Table_FuelTypes_Units[Fuel type],Table_FuelTypes_Units[Unit])</f>
        <v>GJ</v>
      </c>
      <c r="N39" s="210" cm="1">
        <f t="array" ref="N39">Fuel_Equations.VEERG_8_2_1_1__1_FuelCombustionStationary($L39,$G39,H39)</f>
        <v>0</v>
      </c>
      <c r="O39" s="210" cm="1">
        <f t="array" ref="O39">Fuel_Equations.VEERG_8_2_1_1__1_FuelCombustionStationary($L39,$G39,I39)</f>
        <v>0</v>
      </c>
      <c r="P39" s="210" cm="1">
        <f t="array" ref="P39">Fuel_Equations.VEERG_8_2_1_1__1_FuelCombustionStationary($L39,$G39,J39)</f>
        <v>0</v>
      </c>
      <c r="Q39" s="210" cm="1">
        <f t="array" ref="Q39">Fuel_Equations.VEERG_8_2_1_1__1_FuelCombustionStationary($L39,$G39,IF(ISNUMBER(K39), K39, 0))</f>
        <v>0</v>
      </c>
    </row>
    <row r="40" spans="1:17" ht="20.100000000000001" customHeight="1" x14ac:dyDescent="0.25">
      <c r="D40" s="190" t="str">
        <f t="shared" si="1"/>
        <v>Power standalone machinery or heating</v>
      </c>
      <c r="E40" s="188" t="str">
        <f>'Constants - Fuel'!$D$104</f>
        <v>Town gas - Gigajoules</v>
      </c>
      <c r="F40" s="188" t="str">
        <f>'Constants - Fuel'!E139</f>
        <v>Town gas in GJ</v>
      </c>
      <c r="G40" s="25">
        <f>IFERROR(_xlfn.XLOOKUP($E40, Table_Fuel_EFs_StationaryGaseous[Fuel combusted], Table_Fuel_EFs_StationaryGaseous[Energy Content Factor (GJ per unit of fuel)]),0)</f>
        <v>1</v>
      </c>
      <c r="H40" s="25">
        <f>IFERROR(_xlfn.XLOOKUP($E40, Table_Fuel_EFs_StationaryGaseous[Fuel combusted], Table_Fuel_EFs_StationaryGaseous[Scope 1 Emission Factor (kg CO2 - e / GJ) CO2]),0)</f>
        <v>60.2</v>
      </c>
      <c r="I40" s="25">
        <f>IFERROR(_xlfn.XLOOKUP($E40, Table_Fuel_EFs_StationaryGaseous[Fuel combusted], Table_Fuel_EFs_StationaryGaseous[Scope 1 Emission Factor (kg CO2 - e / GJ) CH4]),0)</f>
        <v>0.04</v>
      </c>
      <c r="J40" s="25">
        <f>IFERROR(_xlfn.XLOOKUP($E40, Table_Fuel_EFs_StationaryGaseous[Fuel combusted], Table_Fuel_EFs_StationaryGaseous[Scope 1 Emission Factor (kg CO2 - e / GJ) N2O]),0)</f>
        <v>0.03</v>
      </c>
      <c r="K40" s="25" cm="1">
        <f t="array" ref="K40">IFERROR(Common_InputFunctions.Utility_LookupValueInTableOneColumnAndHeader($P$17,$P$18,Table_Fuel_EFs_StationaryGaseous34[State or territory],Table_Fuel_EFs_StationaryGaseous34[#Headers],Table_Fuel_EFs_StationaryGaseous34[#Data]),0)</f>
        <v>4.0999999999999996</v>
      </c>
      <c r="L40" s="166" cm="1">
        <f t="array" ref="L40">Fuel_InputFunctions.Fuel_TotalConsumption(Table_Input_Fuel[Amount consumed], Table_Input_Fuel[Fuel use (select)], D40, Table_Input_Fuel[Fuel type (select)],F40)</f>
        <v>100</v>
      </c>
      <c r="M40" s="166" t="str" cm="1">
        <f t="array" ref="M40">Common_InputFunctions.Utility_LookupValueInTable(F40,Table_FuelTypes_Units[Fuel type],Table_FuelTypes_Units[Unit])</f>
        <v>GJ</v>
      </c>
      <c r="N40" s="210" cm="1">
        <f t="array" ref="N40">Fuel_Equations.VEERG_8_2_1_1__1_FuelCombustionStationary($L40,$G40,H40)</f>
        <v>6.0200000000000005</v>
      </c>
      <c r="O40" s="210" cm="1">
        <f t="array" ref="O40">Fuel_Equations.VEERG_8_2_1_1__1_FuelCombustionStationary($L40,$G40,I40)</f>
        <v>4.0000000000000001E-3</v>
      </c>
      <c r="P40" s="210" cm="1">
        <f t="array" ref="P40">Fuel_Equations.VEERG_8_2_1_1__1_FuelCombustionStationary($L40,$G40,J40)</f>
        <v>3.0000000000000001E-3</v>
      </c>
      <c r="Q40" s="210" cm="1">
        <f t="array" ref="Q40">Fuel_Equations.VEERG_8_2_1_1__1_FuelCombustionStationary($L40,$G40,IF(ISNUMBER(K40), K40, 0))</f>
        <v>0.41</v>
      </c>
    </row>
    <row r="41" spans="1:17" ht="20.100000000000001" customHeight="1" x14ac:dyDescent="0.25">
      <c r="A41" s="121" t="s">
        <v>1</v>
      </c>
    </row>
    <row r="42" spans="1:17" ht="20.100000000000001" customHeight="1" x14ac:dyDescent="0.25">
      <c r="A42" s="5" t="str">
        <f>HYPERLINK("#'Constants - Ag Residue'!A1", "Constants - Ag residue")</f>
        <v>Constants - Ag residue</v>
      </c>
      <c r="D42" s="203" t="str">
        <f>"Total scope 1 - " &amp; D25</f>
        <v>Total scope 1 - Generators</v>
      </c>
      <c r="E42" s="204"/>
      <c r="F42" s="205"/>
    </row>
    <row r="43" spans="1:17" ht="20.100000000000001" customHeight="1" x14ac:dyDescent="0.25">
      <c r="A43" s="5" t="str">
        <f>HYPERLINK("#'Constants - Common Livestock'!A1", "Constants - Common Livestock")</f>
        <v>Constants - Common Livestock</v>
      </c>
      <c r="D43" s="35" t="s">
        <v>480</v>
      </c>
      <c r="E43" s="206">
        <f>SUM(N25:N31)</f>
        <v>0</v>
      </c>
      <c r="F43" s="26" t="str">
        <f>$E$12</f>
        <v>t CO2-e</v>
      </c>
    </row>
    <row r="44" spans="1:17" ht="20.100000000000001" customHeight="1" x14ac:dyDescent="0.25">
      <c r="A44" s="5" t="str">
        <f>HYPERLINK("#'Constants - Electricity'!A1", "Constants - Electricity")</f>
        <v>Constants - Electricity</v>
      </c>
      <c r="D44" s="35" t="s">
        <v>481</v>
      </c>
      <c r="E44" s="206">
        <f>SUM(O25:O31)</f>
        <v>0</v>
      </c>
      <c r="F44" s="26" t="str">
        <f t="shared" ref="F44:F46" si="2">$E$12</f>
        <v>t CO2-e</v>
      </c>
    </row>
    <row r="45" spans="1:17" ht="20.100000000000001" customHeight="1" x14ac:dyDescent="0.25">
      <c r="A45" s="5" t="str">
        <f>HYPERLINK("#'Constants - Fertiliser'!A1", "Constants - Fertiliser")</f>
        <v>Constants - Fertiliser</v>
      </c>
      <c r="D45" s="35" t="s">
        <v>482</v>
      </c>
      <c r="E45" s="206">
        <f>SUM(P25:P31)</f>
        <v>0</v>
      </c>
      <c r="F45" s="26" t="str">
        <f t="shared" si="2"/>
        <v>t CO2-e</v>
      </c>
    </row>
    <row r="46" spans="1:17" ht="20.100000000000001" customHeight="1" x14ac:dyDescent="0.25">
      <c r="A46" s="5" t="str">
        <f>HYPERLINK("#'Constants - Fuel'!A1", "Constants - Fuel")</f>
        <v>Constants - Fuel</v>
      </c>
      <c r="D46" s="35" t="s">
        <v>483</v>
      </c>
      <c r="E46" s="206">
        <f>SUM(Q25:Q31)</f>
        <v>0</v>
      </c>
      <c r="F46" s="26" t="str">
        <f t="shared" si="2"/>
        <v>t CO2-e</v>
      </c>
    </row>
    <row r="47" spans="1:17" ht="20.100000000000001" customHeight="1" x14ac:dyDescent="0.25">
      <c r="A47" s="5" t="str">
        <f>HYPERLINK("#'Constants - Scope 3'!A1", "Constants - Scope 3")</f>
        <v>Constants - Scope 3</v>
      </c>
      <c r="H47" s="158"/>
      <c r="I47" s="158"/>
      <c r="J47" s="158"/>
      <c r="L47" s="158"/>
      <c r="N47" s="158"/>
      <c r="O47" s="158"/>
      <c r="P47" s="158"/>
      <c r="Q47" s="158"/>
    </row>
    <row r="48" spans="1:17" ht="20.100000000000001" customHeight="1" x14ac:dyDescent="0.25">
      <c r="A48" s="5" t="str">
        <f>HYPERLINK("#'Constants - Common'!A1", "Constants - Common")</f>
        <v>Constants - Common</v>
      </c>
      <c r="D48" s="203" t="str">
        <f>"Total scope 1 - " &amp; D32</f>
        <v>Total scope 1 - Power standalone machinery or heating</v>
      </c>
      <c r="E48" s="207"/>
      <c r="F48" s="205"/>
      <c r="H48" s="158"/>
      <c r="I48" s="158"/>
      <c r="J48" s="158"/>
      <c r="L48" s="158"/>
      <c r="N48" s="158"/>
      <c r="O48" s="158"/>
      <c r="P48" s="158"/>
      <c r="Q48" s="158"/>
    </row>
    <row r="49" spans="1:17" ht="20.100000000000001" customHeight="1" x14ac:dyDescent="0.25">
      <c r="A49" s="5" t="str">
        <f>HYPERLINK("#'Constants - Solid Waste'!A1", "Constants - Solid Waste")</f>
        <v>Constants - Solid Waste</v>
      </c>
      <c r="D49" s="35" t="s">
        <v>480</v>
      </c>
      <c r="E49" s="206">
        <f>SUM(N32:N40)</f>
        <v>29.070800000000002</v>
      </c>
      <c r="F49" s="26" t="str">
        <f t="shared" ref="F49:F52" si="3">$E$12</f>
        <v>t CO2-e</v>
      </c>
      <c r="H49" s="158"/>
      <c r="I49" s="158"/>
      <c r="J49" s="158"/>
      <c r="L49" s="158"/>
      <c r="N49" s="158"/>
      <c r="O49" s="158"/>
      <c r="P49" s="158"/>
      <c r="Q49" s="158"/>
    </row>
    <row r="50" spans="1:17" ht="20.100000000000001" customHeight="1" x14ac:dyDescent="0.25">
      <c r="D50" s="35" t="s">
        <v>481</v>
      </c>
      <c r="E50" s="206">
        <f>SUM(O32:O40)</f>
        <v>7.2400000000000006E-2</v>
      </c>
      <c r="F50" s="26" t="str">
        <f t="shared" si="3"/>
        <v>t CO2-e</v>
      </c>
      <c r="H50" s="158"/>
      <c r="I50" s="158"/>
      <c r="J50" s="158"/>
      <c r="L50" s="158"/>
      <c r="N50" s="158"/>
      <c r="O50" s="158"/>
      <c r="P50" s="158"/>
      <c r="Q50" s="158"/>
    </row>
    <row r="51" spans="1:17" ht="20.100000000000001" customHeight="1" x14ac:dyDescent="0.25">
      <c r="D51" s="35" t="s">
        <v>482</v>
      </c>
      <c r="E51" s="206">
        <f>SUM(P32:P40)</f>
        <v>7.1400000000000005E-2</v>
      </c>
      <c r="F51" s="26" t="str">
        <f t="shared" si="3"/>
        <v>t CO2-e</v>
      </c>
      <c r="H51" s="158"/>
      <c r="I51" s="158"/>
      <c r="J51" s="158"/>
      <c r="L51" s="158"/>
      <c r="N51" s="158"/>
      <c r="O51" s="158"/>
      <c r="P51" s="158"/>
      <c r="Q51" s="158"/>
    </row>
    <row r="52" spans="1:17" ht="20.100000000000001" customHeight="1" x14ac:dyDescent="0.25">
      <c r="D52" s="35" t="s">
        <v>483</v>
      </c>
      <c r="E52" s="206">
        <f>SUM(Q32:Q40)</f>
        <v>6.2923999999999998</v>
      </c>
      <c r="F52" s="26" t="str">
        <f t="shared" si="3"/>
        <v>t CO2-e</v>
      </c>
      <c r="G52" s="158"/>
      <c r="H52" s="158"/>
      <c r="I52" s="158"/>
      <c r="J52" s="158"/>
      <c r="L52" s="158"/>
      <c r="N52" s="158"/>
      <c r="O52" s="158"/>
      <c r="P52" s="158"/>
      <c r="Q52" s="158"/>
    </row>
    <row r="53" spans="1:17" ht="20.100000000000001" customHeight="1" x14ac:dyDescent="0.25">
      <c r="G53" s="158"/>
      <c r="H53" s="158"/>
      <c r="I53" s="158"/>
      <c r="J53" s="158"/>
      <c r="L53" s="158"/>
      <c r="N53" s="158"/>
      <c r="O53" s="158"/>
      <c r="P53" s="158"/>
      <c r="Q53" s="158"/>
    </row>
    <row r="54" spans="1:17" ht="20.100000000000001" customHeight="1" x14ac:dyDescent="0.25">
      <c r="D54" s="203" t="s">
        <v>494</v>
      </c>
      <c r="E54" s="207"/>
      <c r="F54" s="205"/>
      <c r="G54" s="158"/>
      <c r="H54" s="158"/>
      <c r="I54" s="158"/>
      <c r="J54" s="158"/>
      <c r="L54" s="158"/>
      <c r="N54" s="158"/>
      <c r="O54" s="158"/>
      <c r="P54" s="158"/>
      <c r="Q54" s="158"/>
    </row>
    <row r="55" spans="1:17" ht="20.100000000000001" customHeight="1" x14ac:dyDescent="0.25">
      <c r="D55" s="35" t="s">
        <v>480</v>
      </c>
      <c r="E55" s="206">
        <f>E43+E49</f>
        <v>29.070800000000002</v>
      </c>
      <c r="F55" s="26" t="str">
        <f t="shared" ref="F55:F58" si="4">$E$12</f>
        <v>t CO2-e</v>
      </c>
      <c r="G55" s="158"/>
      <c r="H55" s="158"/>
      <c r="I55" s="158"/>
      <c r="J55" s="158"/>
      <c r="L55" s="158"/>
      <c r="N55" s="158"/>
      <c r="O55" s="158"/>
      <c r="P55" s="158"/>
      <c r="Q55" s="158"/>
    </row>
    <row r="56" spans="1:17" ht="20.100000000000001" customHeight="1" x14ac:dyDescent="0.25">
      <c r="D56" s="35" t="s">
        <v>481</v>
      </c>
      <c r="E56" s="206">
        <f>E44+E50</f>
        <v>7.2400000000000006E-2</v>
      </c>
      <c r="F56" s="26" t="str">
        <f t="shared" si="4"/>
        <v>t CO2-e</v>
      </c>
      <c r="H56" s="158"/>
    </row>
    <row r="57" spans="1:17" ht="20.100000000000001" customHeight="1" x14ac:dyDescent="0.25">
      <c r="D57" s="35" t="s">
        <v>482</v>
      </c>
      <c r="E57" s="206">
        <f>E45+E51</f>
        <v>7.1400000000000005E-2</v>
      </c>
      <c r="F57" s="26" t="str">
        <f t="shared" si="4"/>
        <v>t CO2-e</v>
      </c>
      <c r="G57" s="158"/>
      <c r="H57" s="158"/>
      <c r="I57" s="158"/>
      <c r="J57" s="158"/>
      <c r="L57" s="158"/>
      <c r="N57" s="158"/>
      <c r="O57" s="158"/>
      <c r="P57" s="158"/>
      <c r="Q57" s="158"/>
    </row>
    <row r="58" spans="1:17" ht="20.100000000000001" customHeight="1" x14ac:dyDescent="0.25">
      <c r="D58" s="35" t="s">
        <v>483</v>
      </c>
      <c r="E58" s="206">
        <f>E46+E52</f>
        <v>6.2923999999999998</v>
      </c>
      <c r="F58" s="26" t="str">
        <f t="shared" si="4"/>
        <v>t CO2-e</v>
      </c>
      <c r="G58" s="158"/>
      <c r="H58" s="158"/>
      <c r="I58" s="158"/>
      <c r="J58" s="158"/>
      <c r="L58" s="158"/>
      <c r="N58" s="158"/>
      <c r="O58" s="158"/>
      <c r="P58" s="158"/>
      <c r="Q58" s="158"/>
    </row>
    <row r="59" spans="1:17" ht="20.100000000000001" customHeight="1" x14ac:dyDescent="0.25">
      <c r="G59" s="158"/>
      <c r="H59" s="158"/>
      <c r="I59" s="158"/>
      <c r="J59" s="158"/>
      <c r="L59" s="158"/>
      <c r="N59" s="158"/>
      <c r="O59" s="158"/>
      <c r="P59" s="158"/>
      <c r="Q59" s="158"/>
    </row>
    <row r="60" spans="1:17" ht="20.100000000000001" customHeight="1" x14ac:dyDescent="0.25">
      <c r="G60" s="158"/>
      <c r="H60" s="158"/>
      <c r="I60" s="158"/>
      <c r="J60" s="158"/>
      <c r="L60" s="158"/>
      <c r="N60" s="158"/>
      <c r="O60" s="158"/>
      <c r="P60" s="158"/>
      <c r="Q60" s="158"/>
    </row>
    <row r="61" spans="1:17" ht="20.100000000000001" customHeight="1" x14ac:dyDescent="0.25">
      <c r="G61" s="158"/>
      <c r="H61" s="158"/>
      <c r="I61" s="158"/>
      <c r="J61" s="158"/>
      <c r="L61" s="158"/>
      <c r="N61" s="158"/>
      <c r="O61" s="158"/>
      <c r="P61" s="158"/>
      <c r="Q61" s="158"/>
    </row>
    <row r="62" spans="1:17" ht="20.100000000000001" customHeight="1" x14ac:dyDescent="0.25">
      <c r="G62" s="158"/>
      <c r="H62" s="158"/>
      <c r="I62" s="158"/>
      <c r="J62" s="158"/>
      <c r="L62" s="158"/>
      <c r="N62" s="158"/>
      <c r="O62" s="158"/>
      <c r="P62" s="158"/>
      <c r="Q62" s="158"/>
    </row>
    <row r="63" spans="1:17" ht="20.100000000000001" customHeight="1" x14ac:dyDescent="0.25">
      <c r="G63" s="158"/>
      <c r="H63" s="158"/>
      <c r="I63" s="158"/>
      <c r="J63" s="158"/>
      <c r="L63" s="158"/>
      <c r="N63" s="158"/>
      <c r="O63" s="158"/>
      <c r="P63" s="158"/>
      <c r="Q63" s="158"/>
    </row>
    <row r="64" spans="1:17" ht="20.100000000000001" customHeight="1" x14ac:dyDescent="0.25">
      <c r="G64" s="158"/>
      <c r="H64" s="158"/>
      <c r="I64" s="158"/>
      <c r="J64" s="158"/>
      <c r="L64" s="158"/>
      <c r="N64" s="158"/>
      <c r="O64" s="158"/>
      <c r="P64" s="158"/>
      <c r="Q64" s="158"/>
    </row>
    <row r="65" spans="7:17" ht="20.100000000000001" customHeight="1" x14ac:dyDescent="0.25">
      <c r="G65" s="158"/>
      <c r="H65" s="158"/>
      <c r="I65" s="158"/>
      <c r="J65" s="158"/>
      <c r="L65" s="158"/>
      <c r="N65" s="158"/>
      <c r="O65" s="158"/>
      <c r="P65" s="158"/>
      <c r="Q65" s="158"/>
    </row>
    <row r="66" spans="7:17" ht="20.100000000000001" customHeight="1" x14ac:dyDescent="0.25">
      <c r="G66" s="158"/>
      <c r="H66" s="158"/>
      <c r="I66" s="158"/>
      <c r="J66" s="158"/>
      <c r="L66" s="158"/>
      <c r="N66" s="158"/>
      <c r="O66" s="158"/>
      <c r="P66" s="158"/>
      <c r="Q66" s="158"/>
    </row>
    <row r="67" spans="7:17" ht="20.100000000000001" customHeight="1" x14ac:dyDescent="0.25">
      <c r="G67" s="158"/>
    </row>
    <row r="68" spans="7:17" ht="20.100000000000001" customHeight="1" x14ac:dyDescent="0.25">
      <c r="G68" s="158"/>
    </row>
    <row r="69" spans="7:17" ht="20.100000000000001" customHeight="1" x14ac:dyDescent="0.25">
      <c r="G69" s="158"/>
    </row>
    <row r="70" spans="7:17" ht="20.100000000000001" customHeight="1" x14ac:dyDescent="0.25">
      <c r="G70" s="158"/>
    </row>
    <row r="71" spans="7:17" ht="20.100000000000001" customHeight="1" x14ac:dyDescent="0.25">
      <c r="G71" s="158"/>
    </row>
    <row r="72" spans="7:17" ht="20.100000000000001" customHeight="1" x14ac:dyDescent="0.25"/>
    <row r="73" spans="7:17" ht="20.100000000000001" customHeight="1" x14ac:dyDescent="0.25"/>
    <row r="74" spans="7:17" ht="20.100000000000001" customHeight="1" x14ac:dyDescent="0.25"/>
    <row r="75" spans="7:17" ht="20.100000000000001" customHeight="1" x14ac:dyDescent="0.25"/>
    <row r="76" spans="7:17" ht="20.100000000000001" customHeight="1" x14ac:dyDescent="0.25"/>
    <row r="77" spans="7:17" ht="20.100000000000001" customHeight="1" x14ac:dyDescent="0.25"/>
    <row r="78" spans="7:17" ht="20.100000000000001" customHeight="1" x14ac:dyDescent="0.25"/>
    <row r="79" spans="7:17" ht="20.100000000000001" customHeight="1" x14ac:dyDescent="0.25"/>
    <row r="80" spans="7: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7B385-580A-4FDB-AF8E-BF85B9D13542}">
  <dimension ref="A1:K342"/>
  <sheetViews>
    <sheetView showGridLines="0" topLeftCell="C16"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31" customFormat="1" ht="30" customHeight="1" x14ac:dyDescent="0.35">
      <c r="A1" s="16" t="e" vm="1">
        <v>#VALUE!</v>
      </c>
      <c r="C1" s="31" t="s">
        <v>430</v>
      </c>
    </row>
    <row r="2" spans="1:11" s="3" customFormat="1" ht="20.100000000000001" customHeight="1" x14ac:dyDescent="0.25">
      <c r="A2"/>
    </row>
    <row r="3" spans="1:11" ht="20.100000000000001" customHeight="1" x14ac:dyDescent="0.25">
      <c r="A3" s="5" t="str">
        <f>HYPERLINK("#'Home'!A1", "Home")</f>
        <v>Home</v>
      </c>
      <c r="C3" s="33"/>
      <c r="D3" s="33" t="s">
        <v>135</v>
      </c>
      <c r="E3" s="33"/>
      <c r="F3" s="33"/>
      <c r="G3" s="33"/>
      <c r="H3" s="33"/>
      <c r="I3" s="33"/>
      <c r="J3" s="33"/>
      <c r="K3" s="33"/>
    </row>
    <row r="4" spans="1:11" ht="20.100000000000001" customHeight="1" x14ac:dyDescent="0.25">
      <c r="A4" s="5" t="str">
        <f>HYPERLINK("#'Overview'!A1", "Overview")</f>
        <v>Overview</v>
      </c>
    </row>
    <row r="5" spans="1:11" ht="20.100000000000001" customHeight="1" x14ac:dyDescent="0.25">
      <c r="A5" s="5" t="str">
        <f>HYPERLINK("#'Results'!A1", "Results")</f>
        <v>Results</v>
      </c>
      <c r="D5" s="2" t="str" cm="1">
        <f t="array" ref="D5">Electricity_Equations.VEERG_14_1_1__1_LocationBasedScopeElectricityEmissions_Title()</f>
        <v>Location-based Scope 2 emissions from purchased electricity</v>
      </c>
    </row>
    <row r="6" spans="1:11" ht="20.100000000000001" customHeight="1" x14ac:dyDescent="0.25">
      <c r="D6" s="27" t="str" cm="1">
        <f t="array" ref="D6">Electricity_Equations.VEERG_14_1_1__1_LocationBasedScopeElectricityEmissions_Source()</f>
        <v>VEERG 2026: 14.1.1, Equation (1)</v>
      </c>
    </row>
    <row r="7" spans="1:11" ht="20.100000000000001" customHeight="1" x14ac:dyDescent="0.25">
      <c r="D7" s="36" t="str" cm="1">
        <f t="array" ref="D7">Electricity_Equations.VEERG_14_1_1__1_LocationBasedScopeElectricityEmissions_Variation()</f>
        <v>Added g variable to capture which grid electricity was purchased from</v>
      </c>
    </row>
    <row r="8" spans="1:11" ht="20.100000000000001" customHeight="1" x14ac:dyDescent="0.25">
      <c r="A8" s="7" t="s">
        <v>0</v>
      </c>
      <c r="D8" s="132" t="s">
        <v>267</v>
      </c>
      <c r="E8" s="132" t="str">
        <f ca="1">Common_InputFunctions.Utility_DisplayFunctionName(VEERG_14_1_1__1_LocationBasedScopeElectricityEmissions_Result_Method1)</f>
        <v>=Electricity_Equations.VEERG_14_1_1__1_LocationBasedScopeElectricityEmissions</v>
      </c>
    </row>
    <row r="9" spans="1:11" ht="20.100000000000001" customHeight="1" x14ac:dyDescent="0.25">
      <c r="A9" s="5" t="str">
        <f>HYPERLINK("#'Input - Enterprise'!A1", "Enterprise")</f>
        <v>Enterprise</v>
      </c>
    </row>
    <row r="10" spans="1:11" ht="20.100000000000001" customHeight="1" x14ac:dyDescent="0.25">
      <c r="A10" s="5" t="str">
        <f>HYPERLINK("#'Input - Site'!A1", "Site")</f>
        <v>Site</v>
      </c>
    </row>
    <row r="11" spans="1:11" ht="20.100000000000001" customHeight="1" x14ac:dyDescent="0.25">
      <c r="A11" s="5" t="str">
        <f>HYPERLINK("#'Input - Crop'!A1", "Crop")</f>
        <v>Crop</v>
      </c>
      <c r="D11" s="88" t="s">
        <v>268</v>
      </c>
      <c r="E11" s="1" t="str" cm="1">
        <f t="array" ref="E11">Electricity_Equations.VEERG_14_1_1__1_LocationBasedScopeElectricityEmissions_Variable()</f>
        <v>E_2elec</v>
      </c>
    </row>
    <row r="12" spans="1:11" ht="20.100000000000001" customHeight="1" x14ac:dyDescent="0.25">
      <c r="A12" s="5" t="str">
        <f>HYPERLINK("#'Input - Fert Prod System'!A1", "Fert Prod System")</f>
        <v>Fert Prod System</v>
      </c>
      <c r="D12" s="88" t="s">
        <v>121</v>
      </c>
      <c r="E12" s="15" t="str" cm="1">
        <f t="array" ref="E12">Electricity_Equations.VEERG_14_1_1__1_LocationBasedScopeElectricityEmissions_Unit()</f>
        <v>t CO2e</v>
      </c>
    </row>
    <row r="13" spans="1:11" ht="20.100000000000001" customHeight="1" x14ac:dyDescent="0.25">
      <c r="A13" s="5" t="str">
        <f>HYPERLINK("#'Input - Fertiliser'!A1", "Fertiliser")</f>
        <v>Fertiliser</v>
      </c>
    </row>
    <row r="14" spans="1:11" ht="20.100000000000001" customHeight="1" x14ac:dyDescent="0.25">
      <c r="A14" s="5" t="str">
        <f>HYPERLINK("#'Input - Fuel'!A1", "Fuel")</f>
        <v>Fuel</v>
      </c>
      <c r="D14" s="154" t="str" cm="1">
        <f t="array" ref="D14:E16">_xlfn.CHOOSECOLS(Electricity_Equations.VEERG_14_1_1__1_LocationBasedScopeElectricityEmissions_Arguments(),1,2)</f>
        <v>Q_elec</v>
      </c>
      <c r="E14" s="162" t="str">
        <v>amount of electricity purchased from the grid</v>
      </c>
      <c r="F14" s="164"/>
      <c r="G14" s="154" t="str" cm="1">
        <f t="array" ref="G14:H16">_xlfn.CHOOSECOLS(Electricity_Equations.VEERG_14_1_1__1_LocationBasedScopeElectricityEmissions_Arguments(),3,4)</f>
        <v>kWh</v>
      </c>
      <c r="H14" s="136" t="str">
        <v>Input</v>
      </c>
      <c r="I14" s="162">
        <f>X_Cell_Electricity_Location_AmountPurchasedInkWh</f>
        <v>30000</v>
      </c>
      <c r="J14" s="164"/>
    </row>
    <row r="15" spans="1:11" ht="20.100000000000001" customHeight="1" x14ac:dyDescent="0.25">
      <c r="A15" s="5" t="str">
        <f>HYPERLINK("#'Input - Electricity'!A1", "Electricity")</f>
        <v>Electricity</v>
      </c>
      <c r="D15" s="154" t="str">
        <v>EF_2elec</v>
      </c>
      <c r="E15" s="162" t="str">
        <v>location-based Scope 2 emission factor for electricity</v>
      </c>
      <c r="F15" s="164"/>
      <c r="G15" s="154" t="str">
        <v>kg CO2e/kWh</v>
      </c>
      <c r="H15" s="137" t="str">
        <v>Constant</v>
      </c>
      <c r="I15" s="162" cm="1">
        <f t="array" ref="I15">Common_InputFunctions.Utility_LookupValueInTableNumber(I16,Table_SourceData_ElectricityEFs[State, Territory or grid description],Table_SourceData_ElectricityEFs[Scope 2 Emission Factors (kg CO2-e/kWh)])</f>
        <v>0.56000000000000005</v>
      </c>
      <c r="J15" s="164"/>
    </row>
    <row r="16" spans="1:11" ht="20.100000000000001" customHeight="1" x14ac:dyDescent="0.25">
      <c r="A16" s="5" t="str">
        <f>HYPERLINK("#'Input - Farm Inputs'!A1", "Farm Inputs")</f>
        <v>Farm Inputs</v>
      </c>
      <c r="D16" s="154" t="str">
        <v>g</v>
      </c>
      <c r="E16" s="162" t="str">
        <v>Grid electricity was purchased from</v>
      </c>
      <c r="F16" s="164"/>
      <c r="G16" s="154" t="str">
        <v/>
      </c>
      <c r="H16" s="136" t="str">
        <v>Input</v>
      </c>
      <c r="I16" s="162" t="str">
        <f>X_Cell_Electricity_Location_GridElectricityPurchasedFrom</f>
        <v>Western Australia - North Western Interconnected System (NWIS)</v>
      </c>
      <c r="J16" s="164"/>
    </row>
    <row r="17" spans="1:11" ht="20.100000000000001" customHeight="1" x14ac:dyDescent="0.25">
      <c r="A17" s="5" t="str">
        <f>HYPERLINK("#'Input - Freight'!A1", "Freight")</f>
        <v>Freight</v>
      </c>
    </row>
    <row r="18" spans="1:11" ht="20.100000000000001" customHeight="1" x14ac:dyDescent="0.25">
      <c r="A18" s="5" t="str">
        <f>HYPERLINK("#'Input - Manure sent off-site'!A1", "Manure sent off-site")</f>
        <v>Manure sent off-site</v>
      </c>
      <c r="D18" s="149" t="s">
        <v>431</v>
      </c>
      <c r="E18" s="150" cm="1">
        <f t="array" ref="E18">Electricity_Equations.VEERG_14_1_1__1_LocationBasedScopeElectricityEmissions(I14,I15)</f>
        <v>16.8</v>
      </c>
      <c r="F18" s="151" t="str">
        <f>$E$12</f>
        <v>t CO2e</v>
      </c>
    </row>
    <row r="19" spans="1:11" ht="20.100000000000001" customHeight="1" x14ac:dyDescent="0.25">
      <c r="A19" s="5" t="str">
        <f>HYPERLINK("#'Input - Solid waste'!A1", "Solid waste")</f>
        <v>Solid waste</v>
      </c>
    </row>
    <row r="20" spans="1:11" ht="20.100000000000001" customHeight="1" x14ac:dyDescent="0.25">
      <c r="A20" s="5" t="str">
        <f>HYPERLINK("#'Input - Data quality'!A1", "Data quality")</f>
        <v>Data quality</v>
      </c>
    </row>
    <row r="21" spans="1:11" ht="20.100000000000001" customHeight="1" x14ac:dyDescent="0.25">
      <c r="C21" s="146"/>
      <c r="D21" s="146"/>
      <c r="E21" s="146"/>
      <c r="F21" s="146"/>
      <c r="G21" s="146"/>
      <c r="H21" s="146"/>
      <c r="I21" s="146"/>
      <c r="J21" s="146"/>
      <c r="K21" s="146"/>
    </row>
    <row r="22" spans="1:11" ht="20.100000000000001" customHeight="1" x14ac:dyDescent="0.25">
      <c r="D22" s="2" t="str" cm="1">
        <f t="array" ref="D22">Electricity_Equations.VEERG_14_1_2__1_MarketBasedScopeElectricityEmissions_Title()</f>
        <v>Market-based Scope 2 emissions from purchased electricity</v>
      </c>
    </row>
    <row r="23" spans="1:11" ht="20.100000000000001" customHeight="1" x14ac:dyDescent="0.25">
      <c r="A23" s="6" t="s">
        <v>2</v>
      </c>
      <c r="D23" s="27" t="str" cm="1">
        <f t="array" ref="D23">Electricity_Equations.VEERG_14_1_2__1_MarketBasedScopeElectricityEmissions_Source()</f>
        <v>VEERG 2026: 14.1.2, Equation (1)</v>
      </c>
    </row>
    <row r="24" spans="1:11" ht="20.100000000000001" customHeight="1" x14ac:dyDescent="0.25">
      <c r="A24" s="5" t="str">
        <f>HYPERLINK("#'5.1.1.1-2 Inorganic fert N2O'!A1", "5.1.1.1-2 Inorganic fert N2O")</f>
        <v>5.1.1.1-2 Inorganic fert N2O</v>
      </c>
      <c r="D24" s="36"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100000000000001" customHeight="1" x14ac:dyDescent="0.25">
      <c r="A25" s="5" t="str">
        <f>HYPERLINK("#'5.1.1.3-4 Inorganic fert CO2'!A1", "5.1.1.3-4 Inorganic fert CO2")</f>
        <v>5.1.1.3-4 Inorganic fert CO2</v>
      </c>
      <c r="D25" s="132" t="s">
        <v>267</v>
      </c>
      <c r="E25" s="132" t="str">
        <f ca="1">Common_InputFunctions.Utility_DisplayFunctionName(VEERG_14_1_2__1_MarketBasedScopeElectricityEmissionsVariation_Result_Method1)</f>
        <v>=Electricity_Equations.VEERG_14_1_2__1_MarketBasedScopeElectricityEmissionsVariation</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c r="D28" s="88" t="s">
        <v>268</v>
      </c>
      <c r="E28" s="1" t="str" cm="1">
        <f t="array" ref="E28">Electricity_Equations.VEERG_14_1_2__1_MarketBasedScopeElectricityEmissions_Variable()</f>
        <v>E_2elec</v>
      </c>
    </row>
    <row r="29" spans="1:11" ht="20.100000000000001" customHeight="1" x14ac:dyDescent="0.25">
      <c r="A29" s="5" t="str">
        <f>HYPERLINK("#'5.5.1.1-2 Leaching and runoff'!A1", "5.5.1.1-2 Leaching &amp; runoff")</f>
        <v>5.5.1.1-2 Leaching &amp; runoff</v>
      </c>
      <c r="D29" s="88" t="s">
        <v>121</v>
      </c>
      <c r="E29" s="15" t="str" cm="1">
        <f t="array" ref="E29">Electricity_Equations.VEERG_14_1_2__1_MarketBasedScopeElectricityEmissions_Unit()</f>
        <v>t CO2e</v>
      </c>
    </row>
    <row r="30" spans="1:11" ht="20.100000000000001" customHeight="1" x14ac:dyDescent="0.25">
      <c r="A30" s="5" t="str">
        <f>HYPERLINK("#'6.1.1.1-2 Crop residue N2O'!A1", "6.1.1.1-2 Crop residue N2O")</f>
        <v>6.1.1.1-2 Crop residue N2O</v>
      </c>
    </row>
    <row r="31" spans="1:11" ht="20.100000000000001" customHeight="1" x14ac:dyDescent="0.25">
      <c r="A31" s="5" t="str">
        <f>HYPERLINK("#'6.3.1.1-2 Leach runoff crop'!A1", "6.3.1.1-2 Leach &amp; runoff (crop)")</f>
        <v>6.3.1.1-2 Leach &amp; runoff (crop)</v>
      </c>
      <c r="D31" s="154" t="str" cm="1">
        <f t="array" ref="D31:E37">_xlfn.CHOOSECOLS(Electricity_Equations.VEERG_14_1_2__1_MarketBasedScopeElectricityEmissions_Arguments(),1,2)</f>
        <v>Q_elec</v>
      </c>
      <c r="E31" s="162" t="str">
        <v>amount of electricity purchased from the grid</v>
      </c>
      <c r="F31" s="163"/>
      <c r="G31" s="163"/>
      <c r="H31" s="154" t="str" cm="1">
        <f t="array" ref="H31:I37">_xlfn.CHOOSECOLS(Electricity_Equations.VEERG_14_1_2__1_MarketBasedScopeElectricityEmissions_Arguments(),3,4)</f>
        <v>kWh</v>
      </c>
      <c r="I31" s="136" t="str">
        <v>Input</v>
      </c>
      <c r="J31" s="154">
        <f>X_Cell_Electricity_Market_AmountPurchasedExcludingGreenPower</f>
        <v>30000</v>
      </c>
    </row>
    <row r="32" spans="1:11" ht="20.100000000000001" customHeight="1" x14ac:dyDescent="0.25">
      <c r="A32" s="5" t="str">
        <f>HYPERLINK("#'6.4.1.1-2 Residue burning'!A1", "6.4.1.1-2 Residue burning")</f>
        <v>6.4.1.1-2 Residue burning</v>
      </c>
      <c r="D32" s="154" t="str">
        <v>RPP</v>
      </c>
      <c r="E32" s="162" t="str">
        <v>Renewable Power Percentage under the Large-scale Renewable Energy Target (LRET)</v>
      </c>
      <c r="F32" s="163"/>
      <c r="G32" s="163"/>
      <c r="H32" s="154" t="str">
        <v>per cent</v>
      </c>
      <c r="I32" s="136" t="str">
        <v>Input</v>
      </c>
      <c r="J32" s="180">
        <f>X_Cell_Electricity_Market_RenewablePowerPercentage</f>
        <v>0.1</v>
      </c>
    </row>
    <row r="33" spans="1:10" ht="20.100000000000001" customHeight="1" x14ac:dyDescent="0.25">
      <c r="A33" s="5" t="str">
        <f>HYPERLINK("#'8.1.1.1-2 Transport fuel'!A1", "8.1.1.1-2 Transport fuel")</f>
        <v>8.1.1.1-2 Transport fuel</v>
      </c>
      <c r="D33" s="154" t="str">
        <v>JRPP</v>
      </c>
      <c r="E33" s="162" t="str">
        <v>jurisdictional renewable power percentage for the applicable period (ACT only)</v>
      </c>
      <c r="F33" s="163"/>
      <c r="G33" s="163"/>
      <c r="H33" s="154" t="str">
        <v>per cent</v>
      </c>
      <c r="I33" s="136" t="str">
        <v>Input</v>
      </c>
      <c r="J33" s="180" t="str">
        <f>IF(J37="ACT", X_Cell_Electricity_Market_JurisdictionalRenewablePowerPercentage, "N/A")</f>
        <v>N/A</v>
      </c>
    </row>
    <row r="34" spans="1:10" ht="20.100000000000001" customHeight="1" x14ac:dyDescent="0.25">
      <c r="A34" s="5" t="str">
        <f>HYPERLINK("#'8.2.1.1-2 Stationary fuel'!A1", "8.2.1.1-2 Stationary fuel")</f>
        <v>8.2.1.1-2 Stationary fuel</v>
      </c>
      <c r="D34" s="154" t="str">
        <v>REC_surrendered</v>
      </c>
      <c r="E34" s="162" t="str">
        <v>Renewable Energy Certificates voluntarily surrendered in the reporting year</v>
      </c>
      <c r="F34" s="163"/>
      <c r="G34" s="163"/>
      <c r="H34" s="154" t="str">
        <v>MWh</v>
      </c>
      <c r="I34" s="136" t="str">
        <v>Input</v>
      </c>
      <c r="J34" s="154">
        <f>(X_Cell_Electricity_Market_AmountPurchasedGreenPower*10^-3)+X_Cell_TotalElegibleVoluntarilySurrenderedRECs</f>
        <v>15</v>
      </c>
    </row>
    <row r="35" spans="1:10" ht="20.100000000000001" customHeight="1" x14ac:dyDescent="0.25">
      <c r="A35" s="141" t="str">
        <f>HYPERLINK("#'14.1.1-2 Purchased electricity'!A1", "14.1.1-2 Purchased electricity")</f>
        <v>14.1.1-2 Purchased electricity</v>
      </c>
      <c r="D35" s="154" t="str">
        <v>REC_onsite</v>
      </c>
      <c r="E35" s="162" t="str">
        <v>Renewable Energy Certificates issued for electricity produced on-site during the year and consumed by the entity</v>
      </c>
      <c r="F35" s="163"/>
      <c r="G35" s="163"/>
      <c r="H35" s="154" t="str">
        <v>MWh</v>
      </c>
      <c r="I35" s="136" t="str">
        <v>Input</v>
      </c>
      <c r="J35" s="154">
        <f>X_Cell_TotalElegibleRECsForElectricityProducedOnSite</f>
        <v>0</v>
      </c>
    </row>
    <row r="36" spans="1:10" ht="20.100000000000001" customHeight="1" x14ac:dyDescent="0.25">
      <c r="A36" s="5" t="str">
        <f>HYPERLINK("#'15 Scope 3'!A1", "15 Scope 3")</f>
        <v>15 Scope 3</v>
      </c>
      <c r="D36" s="154" t="str">
        <v>EF_RMF2elec</v>
      </c>
      <c r="E36" s="162" t="str">
        <v>Scope 2 residual mix emission factor for electricity</v>
      </c>
      <c r="F36" s="163"/>
      <c r="G36" s="163"/>
      <c r="H36" s="154" t="str">
        <v>kg CO2e/kWh</v>
      </c>
      <c r="I36" s="137" t="str">
        <v>Constant</v>
      </c>
      <c r="J36" s="154" cm="1">
        <f t="array" ref="J36">Table_SourceData_ElectricityEFsMarketBased[Scope 2 EF (kg CO2-e/kWh)]</f>
        <v>0.81</v>
      </c>
    </row>
    <row r="37" spans="1:10" ht="20.100000000000001" customHeight="1" x14ac:dyDescent="0.25">
      <c r="A37" s="5" t="str">
        <f>HYPERLINK("#'Calcs - Manure sent off-site'!A1", "Calcs - Manure sent off-site")</f>
        <v>Calcs - Manure sent off-site</v>
      </c>
      <c r="D37" s="154" t="str">
        <v>i</v>
      </c>
      <c r="E37" s="162" t="str">
        <v>state</v>
      </c>
      <c r="F37" s="163"/>
      <c r="G37" s="164"/>
      <c r="H37" s="154" t="str">
        <v/>
      </c>
      <c r="I37" s="136" t="str">
        <v>Input</v>
      </c>
      <c r="J37" s="154" t="str">
        <f>X_Cell_Site_State</f>
        <v>Western Australia</v>
      </c>
    </row>
    <row r="38" spans="1:10" ht="20.100000000000001" customHeight="1" x14ac:dyDescent="0.25">
      <c r="A38" s="5" t="str">
        <f>HYPERLINK("#'10.1.1-2 Solid waste treatment'!A1", "10.1.1-2 Solid waste treatment")</f>
        <v>10.1.1-2 Solid waste treatment</v>
      </c>
    </row>
    <row r="39" spans="1:10" ht="20.100000000000001" customHeight="1" x14ac:dyDescent="0.25">
      <c r="D39" s="149" t="s">
        <v>431</v>
      </c>
      <c r="E39" s="150" cm="1">
        <f t="array" ref="E39">Electricity_Equations.VEERG_14_1_2__1_MarketBasedScopeElectricityEmissionsVariation(J31,J32,IF(ISNUMBER(J33), J33, 0),J34,J35,J36)</f>
        <v>9.7200000000000006</v>
      </c>
      <c r="F39" s="151" t="str">
        <f>E29</f>
        <v>t CO2e</v>
      </c>
    </row>
    <row r="40" spans="1:10" ht="20.100000000000001" customHeight="1" x14ac:dyDescent="0.25">
      <c r="H40" s="1" t="s">
        <v>425</v>
      </c>
    </row>
    <row r="41" spans="1:10" ht="20.100000000000001" customHeight="1" x14ac:dyDescent="0.25">
      <c r="A41" s="121" t="s">
        <v>1</v>
      </c>
    </row>
    <row r="42" spans="1:10" ht="20.100000000000001" customHeight="1" x14ac:dyDescent="0.25">
      <c r="A42" s="5" t="str">
        <f>HYPERLINK("#'Constants - Ag Residue'!A1", "Constants - Ag residue")</f>
        <v>Constants - Ag residue</v>
      </c>
    </row>
    <row r="43" spans="1:10" ht="20.100000000000001" customHeight="1" x14ac:dyDescent="0.25">
      <c r="A43" s="5" t="str">
        <f>HYPERLINK("#'Constants - Common Livestock'!A1", "Constants - Common Livestock")</f>
        <v>Constants - Common Livestock</v>
      </c>
    </row>
    <row r="44" spans="1:10" ht="20.100000000000001" customHeight="1" x14ac:dyDescent="0.25">
      <c r="A44" s="5" t="str">
        <f>HYPERLINK("#'Constants - Electricity'!A1", "Constants - Electricity")</f>
        <v>Constants - Electricity</v>
      </c>
      <c r="E44" s="114"/>
    </row>
    <row r="45" spans="1:10" ht="20.100000000000001" customHeight="1" x14ac:dyDescent="0.25">
      <c r="A45" s="5" t="str">
        <f>HYPERLINK("#'Constants - Fertiliser'!A1", "Constants - Fertiliser")</f>
        <v>Constants - Fertiliser</v>
      </c>
    </row>
    <row r="46" spans="1:10" ht="20.100000000000001" customHeight="1" x14ac:dyDescent="0.25">
      <c r="A46" s="5" t="str">
        <f>HYPERLINK("#'Constants - Fuel'!A1", "Constants - Fuel")</f>
        <v>Constants - Fuel</v>
      </c>
    </row>
    <row r="47" spans="1:10" ht="20.100000000000001" customHeight="1" x14ac:dyDescent="0.25">
      <c r="A47" s="5" t="str">
        <f>HYPERLINK("#'Constants - Scope 3'!A1", "Constants - Scope 3")</f>
        <v>Constants - Scope 3</v>
      </c>
    </row>
    <row r="48" spans="1:10" ht="20.100000000000001" customHeight="1" x14ac:dyDescent="0.25">
      <c r="A48" s="5" t="str">
        <f>HYPERLINK("#'Constants - Common'!A1", "Constants - Common")</f>
        <v>Constants - Common</v>
      </c>
    </row>
    <row r="49" spans="1:1" ht="20.100000000000001" customHeight="1" x14ac:dyDescent="0.25">
      <c r="A49" s="5" t="str">
        <f>HYPERLINK("#'Constants - Solid Waste'!A1", "Constants - Solid Waste")</f>
        <v>Constants - Solid Waste</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G132 I129:I133 F134:I134 F129:F132 H128:H132 G129 F148:I148 I149 F150:I150" xr:uid="{17966083-9DBF-4BC9-BECB-AFAE4B984F8D}"/>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9C0AA-5C76-4930-A79C-24DE246D3912}">
  <sheetPr>
    <tabColor theme="9" tint="-0.249977111117893"/>
  </sheetPr>
  <dimension ref="A1:AO642"/>
  <sheetViews>
    <sheetView showGridLines="0" topLeftCell="J215" zoomScaleNormal="100" workbookViewId="0">
      <selection activeCell="A49" sqref="A49"/>
    </sheetView>
  </sheetViews>
  <sheetFormatPr defaultRowHeight="15.75" x14ac:dyDescent="0.25"/>
  <cols>
    <col min="1" max="1" width="35" style="238" customWidth="1"/>
    <col min="2" max="2" width="5.28515625" style="238" customWidth="1"/>
    <col min="3" max="3" width="5.28515625" style="1" customWidth="1"/>
    <col min="4" max="40" width="35" style="1" customWidth="1"/>
    <col min="41" max="41" width="5.28515625" style="1" customWidth="1"/>
    <col min="42" max="16384" width="9.140625" style="238"/>
  </cols>
  <sheetData>
    <row r="1" spans="1:41" s="31" customFormat="1" ht="30" customHeight="1" x14ac:dyDescent="0.35">
      <c r="A1" s="16" t="e" vm="1">
        <v>#VALUE!</v>
      </c>
      <c r="C1" s="31" t="s">
        <v>815</v>
      </c>
    </row>
    <row r="2" spans="1:41" s="3" customFormat="1" ht="20.100000000000001" customHeight="1" x14ac:dyDescent="0.25">
      <c r="A2"/>
    </row>
    <row r="3" spans="1:41"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row>
    <row r="4" spans="1:41" ht="20.100000000000001" customHeight="1" x14ac:dyDescent="0.25">
      <c r="A4" s="5" t="str">
        <f>HYPERLINK("#'Overview'!A1", "Overview")</f>
        <v>Overview</v>
      </c>
    </row>
    <row r="5" spans="1:41" ht="20.100000000000001" customHeight="1" x14ac:dyDescent="0.25">
      <c r="A5" s="5" t="str">
        <f>HYPERLINK("#'Results'!A1", "Results")</f>
        <v>Results</v>
      </c>
      <c r="D5" s="2" t="str" cm="1">
        <f t="array" ref="D5">Scope3_Equations.VEERG_15_1_1_1__1_EmissionsFromPurchasedLivestock_Title()</f>
        <v>Total emissions from purchased livestock</v>
      </c>
    </row>
    <row r="6" spans="1:41" ht="20.100000000000001" customHeight="1" x14ac:dyDescent="0.25">
      <c r="A6"/>
      <c r="D6" s="27" t="str" cm="1">
        <f t="array" ref="D6">Scope3_Equations.VEERG_15_1_1_1__1_EmissionsFromPurchasedLivestock_Source()</f>
        <v>VEERG 2026: 15.1.1.1, Equation (1)</v>
      </c>
    </row>
    <row r="7" spans="1:41" ht="20.100000000000001" customHeight="1" x14ac:dyDescent="0.25">
      <c r="A7"/>
      <c r="D7" s="132" t="s">
        <v>267</v>
      </c>
      <c r="E7" s="132" t="str" cm="1">
        <f t="array" aca="1" ref="E7" ca="1">Common_InputFunctions.Utility_DisplayFunctionName(J23)</f>
        <v>=Scope3_Equations.VEERG_15_1_1_1__1_EmissionsFromPurchasedLivestock</v>
      </c>
    </row>
    <row r="8" spans="1:41" ht="20.100000000000001" customHeight="1" x14ac:dyDescent="0.25">
      <c r="A8" s="7" t="s">
        <v>0</v>
      </c>
    </row>
    <row r="9" spans="1:41" ht="20.100000000000001" customHeight="1" x14ac:dyDescent="0.25">
      <c r="A9" s="5" t="str">
        <f>HYPERLINK("#'Input - Enterprise'!A1", "Enterprise")</f>
        <v>Enterprise</v>
      </c>
      <c r="H9" s="132"/>
    </row>
    <row r="10" spans="1:41" ht="20.100000000000001" customHeight="1" x14ac:dyDescent="0.25">
      <c r="A10" s="5" t="str">
        <f>HYPERLINK("#'Input - Site'!A1", "Site")</f>
        <v>Site</v>
      </c>
      <c r="D10" s="88" t="s">
        <v>268</v>
      </c>
      <c r="E10" s="1" t="str" cm="1">
        <f t="array" ref="E10">Scope3_Equations.VEERG_15_1_1_1__1_EmissionsFromPurchasedLivestock_Variable()</f>
        <v>E</v>
      </c>
    </row>
    <row r="11" spans="1:41" ht="20.100000000000001" customHeight="1" x14ac:dyDescent="0.25">
      <c r="A11" s="5" t="str">
        <f>HYPERLINK("#'Input - Crop'!A1", "Crop")</f>
        <v>Crop</v>
      </c>
      <c r="D11" s="88" t="s">
        <v>121</v>
      </c>
      <c r="E11" s="15" t="str" cm="1">
        <f t="array" ref="E11">Scope3_Equations.VEERG_15_1_1_1__1_EmissionsFromPurchasedLivestock_Unit()</f>
        <v>t CO2e</v>
      </c>
    </row>
    <row r="12" spans="1:41" ht="20.100000000000001" customHeight="1" x14ac:dyDescent="0.25">
      <c r="A12" s="5" t="str">
        <f>HYPERLINK("#'Input - Fert Prod System'!A1", "Fert Prod System")</f>
        <v>Fert Prod System</v>
      </c>
    </row>
    <row r="13" spans="1:41" ht="20.100000000000001" customHeight="1" x14ac:dyDescent="0.25">
      <c r="A13" s="5" t="str">
        <f>HYPERLINK("#'Input - Fertiliser'!A1", "Fertiliser")</f>
        <v>Fertiliser</v>
      </c>
      <c r="D13" s="154" t="str" cm="1">
        <f t="array" ref="D13:E17">_xlfn.CHOOSECOLS(Scope3_Equations.VEERG_15_1_1_1__1_EmissionsFromPurchasedLivestock_Arguments(),1,2)</f>
        <v>N_co</v>
      </c>
      <c r="E13" s="162" t="str">
        <v>number of animals purchased in livestock type c from origin o</v>
      </c>
      <c r="F13" s="164"/>
      <c r="G13" s="154" t="str" cm="1">
        <f t="array" ref="G13:H17">_xlfn.CHOOSECOLS(Scope3_Equations.VEERG_15_1_1_1__1_EmissionsFromPurchasedLivestock_Arguments(),3,4)</f>
        <v>head</v>
      </c>
      <c r="H13" s="253" t="str">
        <v>Input</v>
      </c>
    </row>
    <row r="14" spans="1:41" ht="20.100000000000001" customHeight="1" x14ac:dyDescent="0.25">
      <c r="A14" s="5" t="str">
        <f>HYPERLINK("#'Input - Fuel'!A1", "Fuel")</f>
        <v>Fuel</v>
      </c>
      <c r="D14" s="154" t="str">
        <v>W_co</v>
      </c>
      <c r="E14" s="162" t="str">
        <v>average liveweight of purchased livestock at point of purchase</v>
      </c>
      <c r="F14" s="164"/>
      <c r="G14" s="154" t="str">
        <v>kg/head</v>
      </c>
      <c r="H14" s="253" t="str">
        <v>Input</v>
      </c>
    </row>
    <row r="15" spans="1:41" ht="20.100000000000001" customHeight="1" x14ac:dyDescent="0.25">
      <c r="A15" s="5" t="str">
        <f>HYPERLINK("#'Input - Electricity'!A1", "Electricity")</f>
        <v>Electricity</v>
      </c>
      <c r="D15" s="154" t="str">
        <v>EF_co</v>
      </c>
      <c r="E15" s="162" t="str">
        <v>emission factor per livestock type and origin</v>
      </c>
      <c r="F15" s="164"/>
      <c r="G15" s="154" t="str">
        <v>kg CO2e/kg</v>
      </c>
      <c r="H15" s="137" t="str">
        <v>Constant</v>
      </c>
    </row>
    <row r="16" spans="1:41" ht="20.100000000000001" customHeight="1" x14ac:dyDescent="0.25">
      <c r="A16" s="5" t="str">
        <f>HYPERLINK("#'Input - Farm Inputs'!A1", "Farm Inputs")</f>
        <v>Farm Inputs</v>
      </c>
      <c r="D16" s="154" t="str">
        <v>c</v>
      </c>
      <c r="E16" s="162" t="str">
        <v>livestock type</v>
      </c>
      <c r="F16" s="164"/>
      <c r="G16" s="154" t="str">
        <v/>
      </c>
      <c r="H16" s="253" t="str">
        <v>Input</v>
      </c>
    </row>
    <row r="17" spans="1:16" ht="20.100000000000001" customHeight="1" x14ac:dyDescent="0.25">
      <c r="A17" s="5" t="str">
        <f>HYPERLINK("#'Input - Freight'!A1", "Freight")</f>
        <v>Freight</v>
      </c>
      <c r="D17" s="154" t="str">
        <v>o</v>
      </c>
      <c r="E17" s="162" t="str">
        <v>origin</v>
      </c>
      <c r="F17" s="164"/>
      <c r="G17" s="154" t="str">
        <v/>
      </c>
      <c r="H17" s="253" t="str">
        <v>Input</v>
      </c>
    </row>
    <row r="18" spans="1:16" ht="20.100000000000001" customHeight="1" x14ac:dyDescent="0.25">
      <c r="A18" s="5" t="str">
        <f>HYPERLINK("#'Input - Manure sent off-site'!A1", "Manure sent off-site")</f>
        <v>Manure sent off-site</v>
      </c>
    </row>
    <row r="19" spans="1:16" ht="20.100000000000001" customHeight="1" x14ac:dyDescent="0.25">
      <c r="A19" s="5" t="str">
        <f>HYPERLINK("#'Input - Solid waste'!A1", "Solid waste")</f>
        <v>Solid waste</v>
      </c>
      <c r="D19" s="46" t="s">
        <v>816</v>
      </c>
      <c r="E19" s="48"/>
      <c r="F19" s="49"/>
    </row>
    <row r="20" spans="1:16" ht="20.100000000000001" customHeight="1" x14ac:dyDescent="0.25">
      <c r="A20" s="5" t="str">
        <f>HYPERLINK("#'Input - Data quality'!A1", "Data quality")</f>
        <v>Data quality</v>
      </c>
    </row>
    <row r="21" spans="1:16" ht="20.100000000000001" customHeight="1" x14ac:dyDescent="0.25">
      <c r="A21"/>
      <c r="D21" s="239" t="s">
        <v>817</v>
      </c>
    </row>
    <row r="22" spans="1:16" ht="20.100000000000001" customHeight="1" x14ac:dyDescent="0.25">
      <c r="A22"/>
      <c r="D22" s="92" t="s">
        <v>818</v>
      </c>
      <c r="E22" s="254" t="s">
        <v>819</v>
      </c>
      <c r="F22" s="254" t="s">
        <v>820</v>
      </c>
      <c r="G22" s="254" t="s">
        <v>821</v>
      </c>
      <c r="H22" s="254" t="s">
        <v>822</v>
      </c>
      <c r="I22" s="145" t="s">
        <v>823</v>
      </c>
      <c r="J22" s="145" t="s">
        <v>824</v>
      </c>
      <c r="K22" s="254" t="s">
        <v>825</v>
      </c>
      <c r="L22" s="92" t="s">
        <v>826</v>
      </c>
      <c r="M22" s="145" t="s">
        <v>827</v>
      </c>
      <c r="N22" s="92" t="s">
        <v>828</v>
      </c>
      <c r="O22" s="92" t="s">
        <v>829</v>
      </c>
      <c r="P22" s="92" t="s">
        <v>830</v>
      </c>
    </row>
    <row r="23" spans="1:16" ht="20.100000000000001" customHeight="1" x14ac:dyDescent="0.25">
      <c r="A23" s="6" t="s">
        <v>2</v>
      </c>
      <c r="D23" s="25"/>
      <c r="E23" s="25"/>
      <c r="F23" s="25"/>
      <c r="G23" s="25"/>
      <c r="H23" s="25"/>
      <c r="I23" s="25" cm="1">
        <f t="array" ref="I23">Common_InputFunctions.Utility_LookupValueInTableTwoColumns(E23,F23,Table_SourceData_Scope3_Animals[Product],Table_SourceData_Scope3_Animals[Region of origin],Table_SourceData_Scope3_Animals[AusLCI Emissions intensity], 0)</f>
        <v>0</v>
      </c>
      <c r="J23" s="255" cm="1">
        <f t="array" ref="J23">Scope3_Equations.VEERG_15_1_1_1__1_EmissionsFromPurchasedLivestock(G23,H23,I23)</f>
        <v>0</v>
      </c>
      <c r="K23" s="25"/>
      <c r="L23" s="86">
        <v>20</v>
      </c>
      <c r="M23" s="255" cm="1">
        <f t="array" ref="M23">Scope3_Equations.VEERG_15_1_1_1__1_EmissionsFromPurchasedLivestock(G23,K23,IF(L23, L23, I23))</f>
        <v>0</v>
      </c>
      <c r="N23" s="44" t="s">
        <v>831</v>
      </c>
      <c r="O23" s="23" t="s">
        <v>832</v>
      </c>
      <c r="P23" s="238" t="s">
        <v>833</v>
      </c>
    </row>
    <row r="24" spans="1:16" ht="20.100000000000001" customHeight="1" x14ac:dyDescent="0.25">
      <c r="A24" s="5" t="str">
        <f>HYPERLINK("#'5.1.1.1-2 Inorganic fert N2O'!A1", "5.1.1.1-2 Inorganic fert N2O")</f>
        <v>5.1.1.1-2 Inorganic fert N2O</v>
      </c>
      <c r="D24" s="25"/>
      <c r="E24" s="25"/>
      <c r="F24" s="25"/>
      <c r="G24" s="25"/>
      <c r="H24" s="25"/>
      <c r="I24" s="25" cm="1">
        <f t="array" ref="I24">Common_InputFunctions.Utility_LookupValueInTableTwoColumns(E24,F24,Table_SourceData_Scope3_Animals[Product],Table_SourceData_Scope3_Animals[Region of origin],Table_SourceData_Scope3_Animals[AusLCI Emissions intensity], 0)</f>
        <v>0</v>
      </c>
      <c r="J24" s="255" cm="1">
        <f t="array" ref="J24">Scope3_Equations.VEERG_15_1_1_1__1_EmissionsFromPurchasedLivestock(G24,H24,I24)</f>
        <v>0</v>
      </c>
      <c r="K24" s="25"/>
      <c r="L24" s="86">
        <v>13</v>
      </c>
      <c r="M24" s="255" cm="1">
        <f t="array" ref="M24">Scope3_Equations.VEERG_15_1_1_1__1_EmissionsFromPurchasedLivestock(G24,K24,IF(L24, L24, I24))</f>
        <v>0</v>
      </c>
      <c r="N24" s="44"/>
      <c r="O24" s="23"/>
      <c r="P24" s="44"/>
    </row>
    <row r="25" spans="1:16" ht="20.100000000000001" customHeight="1" x14ac:dyDescent="0.25">
      <c r="A25" s="5" t="str">
        <f>HYPERLINK("#'5.1.1.3-4 Inorganic fert CO2'!A1", "5.1.1.3-4 Inorganic fert CO2")</f>
        <v>5.1.1.3-4 Inorganic fert CO2</v>
      </c>
      <c r="D25" s="25"/>
      <c r="E25" s="25"/>
      <c r="F25" s="25"/>
      <c r="G25" s="25"/>
      <c r="H25" s="25"/>
      <c r="I25" s="25" cm="1">
        <f t="array" ref="I25">Common_InputFunctions.Utility_LookupValueInTableTwoColumns(E25,F25,Table_SourceData_Scope3_Animals[Product],Table_SourceData_Scope3_Animals[Region of origin],Table_SourceData_Scope3_Animals[AusLCI Emissions intensity], 0)</f>
        <v>0</v>
      </c>
      <c r="J25" s="255" cm="1">
        <f t="array" ref="J25">Scope3_Equations.VEERG_15_1_1_1__1_EmissionsFromPurchasedLivestock(G25,H25,I25)</f>
        <v>0</v>
      </c>
      <c r="K25" s="25"/>
      <c r="L25" s="86"/>
      <c r="M25" s="255" cm="1">
        <f t="array" ref="M25">Scope3_Equations.VEERG_15_1_1_1__1_EmissionsFromPurchasedLivestock(G25,K25,IF(L25, L25, I25))</f>
        <v>0</v>
      </c>
      <c r="N25" s="44"/>
      <c r="O25" s="23"/>
      <c r="P25" s="44"/>
    </row>
    <row r="26" spans="1:16" ht="20.100000000000001" customHeight="1" x14ac:dyDescent="0.25">
      <c r="A26" s="5" t="str">
        <f>HYPERLINK("#'5.2.1.1-2 Organic Fert N2O'!A1", "5.2.1.1-2 Organic fert N2O")</f>
        <v>5.2.1.1-2 Organic fert N2O</v>
      </c>
      <c r="D26" s="25"/>
      <c r="E26" s="25"/>
      <c r="F26" s="25"/>
      <c r="G26" s="25"/>
      <c r="H26" s="25"/>
      <c r="I26" s="25" cm="1">
        <f t="array" ref="I26">Common_InputFunctions.Utility_LookupValueInTableTwoColumns(E26,F26,Table_SourceData_Scope3_Animals[Product],Table_SourceData_Scope3_Animals[Region of origin],Table_SourceData_Scope3_Animals[AusLCI Emissions intensity], 0)</f>
        <v>0</v>
      </c>
      <c r="J26" s="255" cm="1">
        <f t="array" ref="J26">Scope3_Equations.VEERG_15_1_1_1__1_EmissionsFromPurchasedLivestock(G26,H26,I26)</f>
        <v>0</v>
      </c>
      <c r="K26" s="25"/>
      <c r="L26" s="86"/>
      <c r="M26" s="255" cm="1">
        <f t="array" ref="M26">Scope3_Equations.VEERG_15_1_1_1__1_EmissionsFromPurchasedLivestock(G26,K26,IF(L26, L26, I26))</f>
        <v>0</v>
      </c>
      <c r="N26" s="44"/>
      <c r="O26" s="23"/>
      <c r="P26" s="44"/>
    </row>
    <row r="27" spans="1:16" ht="20.100000000000001" customHeight="1" x14ac:dyDescent="0.25">
      <c r="A27" s="5" t="str">
        <f>HYPERLINK("#'5.3.1.1-2 Lime CO2'!A1", "5.3.1.1-2 Lime CO2")</f>
        <v>5.3.1.1-2 Lime CO2</v>
      </c>
      <c r="D27" s="25"/>
      <c r="E27" s="25"/>
      <c r="F27" s="25"/>
      <c r="G27" s="25"/>
      <c r="H27" s="25"/>
      <c r="I27" s="25" cm="1">
        <f t="array" ref="I27">Common_InputFunctions.Utility_LookupValueInTableTwoColumns(E27,F27,Table_SourceData_Scope3_Animals[Product],Table_SourceData_Scope3_Animals[Region of origin],Table_SourceData_Scope3_Animals[AusLCI Emissions intensity], 0)</f>
        <v>0</v>
      </c>
      <c r="J27" s="255" cm="1">
        <f t="array" ref="J27">Scope3_Equations.VEERG_15_1_1_1__1_EmissionsFromPurchasedLivestock(G27,H27,I27)</f>
        <v>0</v>
      </c>
      <c r="K27" s="25"/>
      <c r="L27" s="86"/>
      <c r="M27" s="255" cm="1">
        <f t="array" ref="M27">Scope3_Equations.VEERG_15_1_1_1__1_EmissionsFromPurchasedLivestock(G27,K27,IF(L27, L27, I27))</f>
        <v>0</v>
      </c>
      <c r="N27" s="44"/>
      <c r="O27" s="23"/>
      <c r="P27" s="44"/>
    </row>
    <row r="28" spans="1:16" ht="20.100000000000001" customHeight="1" x14ac:dyDescent="0.25">
      <c r="A28" s="5" t="str">
        <f>HYPERLINK("#'5.4.1.1-4 Atmos deposition'!A1", "5.4.1.1-4 Atmos. deposition")</f>
        <v>5.4.1.1-4 Atmos. deposition</v>
      </c>
      <c r="D28" s="25"/>
      <c r="E28" s="25"/>
      <c r="F28" s="25"/>
      <c r="G28" s="25"/>
      <c r="H28" s="25"/>
      <c r="I28" s="25" cm="1">
        <f t="array" ref="I28">Common_InputFunctions.Utility_LookupValueInTableTwoColumns(E28,F28,Table_SourceData_Scope3_Animals[Product],Table_SourceData_Scope3_Animals[Region of origin],Table_SourceData_Scope3_Animals[AusLCI Emissions intensity], 0)</f>
        <v>0</v>
      </c>
      <c r="J28" s="255" cm="1">
        <f t="array" ref="J28">Scope3_Equations.VEERG_15_1_1_1__1_EmissionsFromPurchasedLivestock(G28,H28,I28)</f>
        <v>0</v>
      </c>
      <c r="K28" s="25"/>
      <c r="L28" s="86"/>
      <c r="M28" s="255" cm="1">
        <f t="array" ref="M28">Scope3_Equations.VEERG_15_1_1_1__1_EmissionsFromPurchasedLivestock(G28,K28,IF(L28, L28, I28))</f>
        <v>0</v>
      </c>
      <c r="N28" s="44"/>
      <c r="O28" s="23"/>
      <c r="P28" s="44"/>
    </row>
    <row r="29" spans="1:16" ht="20.100000000000001" customHeight="1" x14ac:dyDescent="0.25">
      <c r="A29" s="5" t="str">
        <f>HYPERLINK("#'5.5.1.1-2 Leaching and runoff'!A1", "5.5.1.1-2 Leaching &amp; runoff")</f>
        <v>5.5.1.1-2 Leaching &amp; runoff</v>
      </c>
      <c r="D29" s="25"/>
      <c r="E29" s="25"/>
      <c r="F29" s="25"/>
      <c r="G29" s="25"/>
      <c r="H29" s="25"/>
      <c r="I29" s="25" cm="1">
        <f t="array" ref="I29">Common_InputFunctions.Utility_LookupValueInTableTwoColumns(E29,F29,Table_SourceData_Scope3_Animals[Product],Table_SourceData_Scope3_Animals[Region of origin],Table_SourceData_Scope3_Animals[AusLCI Emissions intensity], 0)</f>
        <v>0</v>
      </c>
      <c r="J29" s="255" cm="1">
        <f t="array" ref="J29">Scope3_Equations.VEERG_15_1_1_1__1_EmissionsFromPurchasedLivestock(G29,H29,I29)</f>
        <v>0</v>
      </c>
      <c r="K29" s="25"/>
      <c r="L29" s="86"/>
      <c r="M29" s="255" cm="1">
        <f t="array" ref="M29">Scope3_Equations.VEERG_15_1_1_1__1_EmissionsFromPurchasedLivestock(G29,K29,IF(L29, L29, I29))</f>
        <v>0</v>
      </c>
      <c r="N29" s="44"/>
      <c r="O29" s="23"/>
      <c r="P29" s="44"/>
    </row>
    <row r="30" spans="1:16" ht="20.100000000000001" customHeight="1" x14ac:dyDescent="0.25">
      <c r="A30" s="5" t="str">
        <f>HYPERLINK("#'6.1.1.1-2 Crop residue N2O'!A1", "6.1.1.1-2 Crop residue N2O")</f>
        <v>6.1.1.1-2 Crop residue N2O</v>
      </c>
      <c r="D30" s="25"/>
      <c r="E30" s="25"/>
      <c r="F30" s="25"/>
      <c r="G30" s="25"/>
      <c r="H30" s="25"/>
      <c r="I30" s="25" cm="1">
        <f t="array" ref="I30">Common_InputFunctions.Utility_LookupValueInTableTwoColumns(E30,F30,Table_SourceData_Scope3_Animals[Product],Table_SourceData_Scope3_Animals[Region of origin],Table_SourceData_Scope3_Animals[AusLCI Emissions intensity], 0)</f>
        <v>0</v>
      </c>
      <c r="J30" s="255" cm="1">
        <f t="array" ref="J30">Scope3_Equations.VEERG_15_1_1_1__1_EmissionsFromPurchasedLivestock(G30,H30,I30)</f>
        <v>0</v>
      </c>
      <c r="K30" s="25"/>
      <c r="L30" s="86"/>
      <c r="M30" s="255" cm="1">
        <f t="array" ref="M30">Scope3_Equations.VEERG_15_1_1_1__1_EmissionsFromPurchasedLivestock(G30,K30,IF(L30, L30, I30))</f>
        <v>0</v>
      </c>
      <c r="N30" s="44"/>
      <c r="O30" s="23"/>
      <c r="P30" s="44"/>
    </row>
    <row r="31" spans="1:16" ht="20.100000000000001" customHeight="1" x14ac:dyDescent="0.25">
      <c r="A31" s="5" t="str">
        <f>HYPERLINK("#'6.3.1.1-2 Leach runoff crop'!A1", "6.3.1.1-2 Leach &amp; runoff (crop)")</f>
        <v>6.3.1.1-2 Leach &amp; runoff (crop)</v>
      </c>
      <c r="D31" s="25"/>
      <c r="E31" s="25"/>
      <c r="F31" s="25"/>
      <c r="G31" s="25"/>
      <c r="H31" s="25"/>
      <c r="I31" s="25" cm="1">
        <f t="array" ref="I31">Common_InputFunctions.Utility_LookupValueInTableTwoColumns(E31,F31,Table_SourceData_Scope3_Animals[Product],Table_SourceData_Scope3_Animals[Region of origin],Table_SourceData_Scope3_Animals[AusLCI Emissions intensity], 0)</f>
        <v>0</v>
      </c>
      <c r="J31" s="255" cm="1">
        <f t="array" ref="J31">Scope3_Equations.VEERG_15_1_1_1__1_EmissionsFromPurchasedLivestock(G31,H31,I31)</f>
        <v>0</v>
      </c>
      <c r="K31" s="25"/>
      <c r="L31" s="86"/>
      <c r="M31" s="255" cm="1">
        <f t="array" ref="M31">Scope3_Equations.VEERG_15_1_1_1__1_EmissionsFromPurchasedLivestock(G31,K31,IF(L31, L31, I31))</f>
        <v>0</v>
      </c>
      <c r="N31" s="44"/>
      <c r="O31" s="23"/>
      <c r="P31" s="44"/>
    </row>
    <row r="32" spans="1:16" ht="20.100000000000001" customHeight="1" x14ac:dyDescent="0.25">
      <c r="A32" s="5" t="str">
        <f>HYPERLINK("#'6.4.1.1-2 Residue burning'!A1", "6.4.1.1-2 Residue burning")</f>
        <v>6.4.1.1-2 Residue burning</v>
      </c>
      <c r="D32" s="25"/>
      <c r="E32" s="25"/>
      <c r="F32" s="25"/>
      <c r="G32" s="25"/>
      <c r="H32" s="25"/>
      <c r="I32" s="25" cm="1">
        <f t="array" ref="I32">Common_InputFunctions.Utility_LookupValueInTableTwoColumns(E32,F32,Table_SourceData_Scope3_Animals[Product],Table_SourceData_Scope3_Animals[Region of origin],Table_SourceData_Scope3_Animals[AusLCI Emissions intensity], 0)</f>
        <v>0</v>
      </c>
      <c r="J32" s="255" cm="1">
        <f t="array" ref="J32">Scope3_Equations.VEERG_15_1_1_1__1_EmissionsFromPurchasedLivestock(G32,H32,I32)</f>
        <v>0</v>
      </c>
      <c r="K32" s="25"/>
      <c r="L32" s="86"/>
      <c r="M32" s="255" cm="1">
        <f t="array" ref="M32">Scope3_Equations.VEERG_15_1_1_1__1_EmissionsFromPurchasedLivestock(G32,K32,IF(L32, L32, I32))</f>
        <v>0</v>
      </c>
      <c r="N32" s="44"/>
      <c r="O32" s="23"/>
      <c r="P32" s="44"/>
    </row>
    <row r="33" spans="1:13" ht="20.100000000000001" customHeight="1" x14ac:dyDescent="0.25">
      <c r="A33" s="5" t="str">
        <f>HYPERLINK("#'8.1.1.1-2 Transport fuel'!A1", "8.1.1.1-2 Transport fuel")</f>
        <v>8.1.1.1-2 Transport fuel</v>
      </c>
    </row>
    <row r="34" spans="1:13" ht="20.100000000000001" customHeight="1" x14ac:dyDescent="0.25">
      <c r="A34" s="5" t="str">
        <f>HYPERLINK("#'8.2.1.1-2 Stationary fuel'!A1", "8.2.1.1-2 Stationary fuel")</f>
        <v>8.2.1.1-2 Stationary fuel</v>
      </c>
      <c r="D34" s="159" t="s">
        <v>834</v>
      </c>
      <c r="E34" s="146">
        <f>SUM(J23:J32)</f>
        <v>0</v>
      </c>
      <c r="F34" s="153" t="str">
        <f>$E$11</f>
        <v>t CO2e</v>
      </c>
    </row>
    <row r="35" spans="1:13" ht="20.100000000000001" customHeight="1" x14ac:dyDescent="0.25">
      <c r="A35" s="5" t="str">
        <f>HYPERLINK("#'14.1.1-2 Purchased electricity'!A1", "14.1.1-2 Purchased electricity")</f>
        <v>14.1.1-2 Purchased electricity</v>
      </c>
      <c r="D35" s="159" t="s">
        <v>835</v>
      </c>
      <c r="E35" s="146">
        <f>SUM(M23:M32)</f>
        <v>0</v>
      </c>
      <c r="F35" s="153" t="str">
        <f>$E$11</f>
        <v>t CO2e</v>
      </c>
    </row>
    <row r="36" spans="1:13" ht="20.100000000000001" customHeight="1" x14ac:dyDescent="0.25">
      <c r="A36" s="141" t="str">
        <f>HYPERLINK("#'15 Scope 3'!A1", "15 Scope 3")</f>
        <v>15 Scope 3</v>
      </c>
    </row>
    <row r="37" spans="1:13" ht="20.100000000000001" customHeight="1" x14ac:dyDescent="0.25">
      <c r="A37" s="5" t="str">
        <f>HYPERLINK("#'Calcs - Manure sent off-site'!A1", "Calcs - Manure sent off-site")</f>
        <v>Calcs - Manure sent off-site</v>
      </c>
    </row>
    <row r="38" spans="1:13" ht="20.100000000000001" customHeight="1" x14ac:dyDescent="0.25">
      <c r="A38" s="5" t="str">
        <f>HYPERLINK("#'10.1.1-2 Solid waste treatment'!A1", "10.1.1-2 Solid waste treatment")</f>
        <v>10.1.1-2 Solid waste treatment</v>
      </c>
      <c r="D38" s="239" t="s">
        <v>836</v>
      </c>
    </row>
    <row r="39" spans="1:13" ht="20.100000000000001" customHeight="1" x14ac:dyDescent="0.25">
      <c r="A39"/>
      <c r="D39" s="154" t="s">
        <v>837</v>
      </c>
      <c r="E39" s="25" cm="1">
        <f t="array" ref="E39">Common_InputFunctions.Utility_LookupValueInTableNumber("Dairy cows", Table_SourceData_Scope3_Animals[Product],Table_SourceData_Scope3_Animals[AusLCI Emissions intensity])</f>
        <v>4.41</v>
      </c>
    </row>
    <row r="40" spans="1:13" ht="20.100000000000001" customHeight="1" x14ac:dyDescent="0.25">
      <c r="A40"/>
    </row>
    <row r="41" spans="1:13" ht="20.100000000000001" customHeight="1" x14ac:dyDescent="0.25">
      <c r="A41" s="121" t="s">
        <v>1</v>
      </c>
      <c r="D41" s="92" t="s">
        <v>818</v>
      </c>
      <c r="E41" s="254" t="s">
        <v>821</v>
      </c>
      <c r="F41" s="254" t="s">
        <v>822</v>
      </c>
      <c r="G41" s="145" t="s">
        <v>824</v>
      </c>
      <c r="H41" s="254" t="s">
        <v>825</v>
      </c>
      <c r="I41" s="92" t="s">
        <v>826</v>
      </c>
      <c r="J41" s="145" t="s">
        <v>827</v>
      </c>
      <c r="K41" s="92" t="s">
        <v>828</v>
      </c>
      <c r="L41" s="92" t="s">
        <v>829</v>
      </c>
      <c r="M41" s="92" t="s">
        <v>830</v>
      </c>
    </row>
    <row r="42" spans="1:13" ht="20.100000000000001" customHeight="1" x14ac:dyDescent="0.25">
      <c r="A42" s="5" t="str">
        <f>HYPERLINK("#'Constants - Ag Residue'!A1", "Constants - Ag residue")</f>
        <v>Constants - Ag residue</v>
      </c>
      <c r="D42" s="25"/>
      <c r="E42" s="25"/>
      <c r="F42" s="25"/>
      <c r="G42" s="255" cm="1">
        <f t="array" ref="G42">Scope3_Equations.VEERG_15_1_1_1__1_EmissionsFromPurchasedLivestock(E42,F42,$E$39)</f>
        <v>0</v>
      </c>
      <c r="H42" s="25"/>
      <c r="I42" s="86">
        <v>4</v>
      </c>
      <c r="J42" s="255" cm="1">
        <f t="array" ref="J42">Scope3_Equations.VEERG_15_1_1_1__1_EmissionsFromPurchasedLivestock(E42,H42,IF(I42,I42,$E$39))</f>
        <v>0</v>
      </c>
      <c r="K42" s="44" t="s">
        <v>831</v>
      </c>
      <c r="L42" s="23" t="s">
        <v>832</v>
      </c>
      <c r="M42" s="238" t="s">
        <v>833</v>
      </c>
    </row>
    <row r="43" spans="1:13" ht="20.100000000000001" customHeight="1" x14ac:dyDescent="0.25">
      <c r="A43" s="5" t="str">
        <f>HYPERLINK("#'Constants - Common Livestock'!A1", "Constants - Common Livestock")</f>
        <v>Constants - Common Livestock</v>
      </c>
      <c r="D43" s="25"/>
      <c r="E43" s="25"/>
      <c r="F43" s="25"/>
      <c r="G43" s="255" cm="1">
        <f t="array" ref="G43">Scope3_Equations.VEERG_15_1_1_1__1_EmissionsFromPurchasedLivestock(E43,F43,$E$39)</f>
        <v>0</v>
      </c>
      <c r="H43" s="25"/>
      <c r="I43" s="86"/>
      <c r="J43" s="255" cm="1">
        <f t="array" ref="J43">Scope3_Equations.VEERG_15_1_1_1__1_EmissionsFromPurchasedLivestock(E43,H43,IF(I43,I43,$E$39))</f>
        <v>0</v>
      </c>
      <c r="K43" s="44"/>
      <c r="L43" s="23"/>
      <c r="M43" s="44"/>
    </row>
    <row r="44" spans="1:13" ht="20.100000000000001" customHeight="1" x14ac:dyDescent="0.25">
      <c r="A44" s="5" t="str">
        <f>HYPERLINK("#'Constants - Electricity'!A1", "Constants - Electricity")</f>
        <v>Constants - Electricity</v>
      </c>
      <c r="D44" s="25"/>
      <c r="E44" s="25"/>
      <c r="F44" s="25"/>
      <c r="G44" s="255" cm="1">
        <f t="array" ref="G44">Scope3_Equations.VEERG_15_1_1_1__1_EmissionsFromPurchasedLivestock(E44,F44,$E$39)</f>
        <v>0</v>
      </c>
      <c r="H44" s="25"/>
      <c r="I44" s="86"/>
      <c r="J44" s="255" cm="1">
        <f t="array" ref="J44">Scope3_Equations.VEERG_15_1_1_1__1_EmissionsFromPurchasedLivestock(E44,H44,IF(I44,I44,$E$39))</f>
        <v>0</v>
      </c>
      <c r="K44" s="44"/>
      <c r="L44" s="23"/>
      <c r="M44" s="44"/>
    </row>
    <row r="45" spans="1:13" ht="20.100000000000001" customHeight="1" x14ac:dyDescent="0.25">
      <c r="A45" s="5" t="str">
        <f>HYPERLINK("#'Constants - Fertiliser'!A1", "Constants - Fertiliser")</f>
        <v>Constants - Fertiliser</v>
      </c>
      <c r="D45" s="25"/>
      <c r="E45" s="25"/>
      <c r="F45" s="25"/>
      <c r="G45" s="255" cm="1">
        <f t="array" ref="G45">Scope3_Equations.VEERG_15_1_1_1__1_EmissionsFromPurchasedLivestock(E45,F45,$E$39)</f>
        <v>0</v>
      </c>
      <c r="H45" s="25"/>
      <c r="I45" s="86"/>
      <c r="J45" s="255" cm="1">
        <f t="array" ref="J45">Scope3_Equations.VEERG_15_1_1_1__1_EmissionsFromPurchasedLivestock(E45,H45,IF(I45,I45,$E$39))</f>
        <v>0</v>
      </c>
      <c r="K45" s="44"/>
      <c r="L45" s="23"/>
      <c r="M45" s="44"/>
    </row>
    <row r="46" spans="1:13" ht="20.100000000000001" customHeight="1" x14ac:dyDescent="0.25">
      <c r="A46" s="5" t="str">
        <f>HYPERLINK("#'Constants - Fuel'!A1", "Constants - Fuel")</f>
        <v>Constants - Fuel</v>
      </c>
      <c r="D46" s="25"/>
      <c r="E46" s="25"/>
      <c r="F46" s="25"/>
      <c r="G46" s="255" cm="1">
        <f t="array" ref="G46">Scope3_Equations.VEERG_15_1_1_1__1_EmissionsFromPurchasedLivestock(E46,F46,$E$39)</f>
        <v>0</v>
      </c>
      <c r="H46" s="25"/>
      <c r="I46" s="86"/>
      <c r="J46" s="255" cm="1">
        <f t="array" ref="J46">Scope3_Equations.VEERG_15_1_1_1__1_EmissionsFromPurchasedLivestock(E46,H46,IF(I46,I46,$E$39))</f>
        <v>0</v>
      </c>
      <c r="K46" s="44"/>
      <c r="L46" s="23"/>
      <c r="M46" s="44"/>
    </row>
    <row r="47" spans="1:13" ht="20.100000000000001" customHeight="1" x14ac:dyDescent="0.25">
      <c r="A47" s="5" t="str">
        <f>HYPERLINK("#'Constants - Scope 3'!A1", "Constants - Scope 3")</f>
        <v>Constants - Scope 3</v>
      </c>
      <c r="D47" s="25"/>
      <c r="E47" s="25"/>
      <c r="F47" s="25"/>
      <c r="G47" s="255" cm="1">
        <f t="array" ref="G47">Scope3_Equations.VEERG_15_1_1_1__1_EmissionsFromPurchasedLivestock(E47,F47,$E$39)</f>
        <v>0</v>
      </c>
      <c r="H47" s="25"/>
      <c r="I47" s="86"/>
      <c r="J47" s="255" cm="1">
        <f t="array" ref="J47">Scope3_Equations.VEERG_15_1_1_1__1_EmissionsFromPurchasedLivestock(E47,H47,IF(I47,I47,$E$39))</f>
        <v>0</v>
      </c>
      <c r="K47" s="44"/>
      <c r="L47" s="23"/>
      <c r="M47" s="44"/>
    </row>
    <row r="48" spans="1:13" ht="20.100000000000001" customHeight="1" x14ac:dyDescent="0.25">
      <c r="A48" s="5" t="str">
        <f>HYPERLINK("#'Constants - Common'!A1", "Constants - Common")</f>
        <v>Constants - Common</v>
      </c>
      <c r="D48" s="25"/>
      <c r="E48" s="25"/>
      <c r="F48" s="25"/>
      <c r="G48" s="255" cm="1">
        <f t="array" ref="G48">Scope3_Equations.VEERG_15_1_1_1__1_EmissionsFromPurchasedLivestock(E48,F48,$E$39)</f>
        <v>0</v>
      </c>
      <c r="H48" s="25"/>
      <c r="I48" s="86"/>
      <c r="J48" s="255" cm="1">
        <f t="array" ref="J48">Scope3_Equations.VEERG_15_1_1_1__1_EmissionsFromPurchasedLivestock(E48,H48,IF(I48,I48,$E$39))</f>
        <v>0</v>
      </c>
      <c r="K48" s="44"/>
      <c r="L48" s="23"/>
      <c r="M48" s="44"/>
    </row>
    <row r="49" spans="1:13" ht="20.100000000000001" customHeight="1" x14ac:dyDescent="0.25">
      <c r="A49" s="5" t="str">
        <f>HYPERLINK("#'Constants - Solid Waste'!A1", "Constants - Solid Waste")</f>
        <v>Constants - Solid Waste</v>
      </c>
      <c r="D49" s="25"/>
      <c r="E49" s="25"/>
      <c r="F49" s="25"/>
      <c r="G49" s="255" cm="1">
        <f t="array" ref="G49">Scope3_Equations.VEERG_15_1_1_1__1_EmissionsFromPurchasedLivestock(E49,F49,$E$39)</f>
        <v>0</v>
      </c>
      <c r="H49" s="25"/>
      <c r="I49" s="86"/>
      <c r="J49" s="255" cm="1">
        <f t="array" ref="J49">Scope3_Equations.VEERG_15_1_1_1__1_EmissionsFromPurchasedLivestock(E49,H49,IF(I49,I49,$E$39))</f>
        <v>0</v>
      </c>
      <c r="K49" s="44"/>
      <c r="L49" s="23"/>
      <c r="M49" s="44"/>
    </row>
    <row r="50" spans="1:13" ht="20.100000000000001" customHeight="1" x14ac:dyDescent="0.25">
      <c r="A50"/>
      <c r="D50" s="25"/>
      <c r="E50" s="25"/>
      <c r="F50" s="25"/>
      <c r="G50" s="255" cm="1">
        <f t="array" ref="G50">Scope3_Equations.VEERG_15_1_1_1__1_EmissionsFromPurchasedLivestock(E50,F50,$E$39)</f>
        <v>0</v>
      </c>
      <c r="H50" s="25"/>
      <c r="I50" s="86"/>
      <c r="J50" s="255" cm="1">
        <f t="array" ref="J50">Scope3_Equations.VEERG_15_1_1_1__1_EmissionsFromPurchasedLivestock(E50,H50,IF(I50,I50,$E$39))</f>
        <v>0</v>
      </c>
      <c r="K50" s="44"/>
      <c r="L50" s="23"/>
      <c r="M50" s="44"/>
    </row>
    <row r="51" spans="1:13" ht="20.100000000000001" customHeight="1" x14ac:dyDescent="0.25">
      <c r="A51"/>
      <c r="D51" s="25"/>
      <c r="E51" s="25"/>
      <c r="F51" s="25"/>
      <c r="G51" s="255" cm="1">
        <f t="array" ref="G51">Scope3_Equations.VEERG_15_1_1_1__1_EmissionsFromPurchasedLivestock(E51,F51,$E$39)</f>
        <v>0</v>
      </c>
      <c r="H51" s="25"/>
      <c r="I51" s="86"/>
      <c r="J51" s="255" cm="1">
        <f t="array" ref="J51">Scope3_Equations.VEERG_15_1_1_1__1_EmissionsFromPurchasedLivestock(E51,H51,IF(I51,I51,$E$39))</f>
        <v>0</v>
      </c>
      <c r="K51" s="44"/>
      <c r="L51" s="23"/>
      <c r="M51" s="44"/>
    </row>
    <row r="52" spans="1:13" ht="20.100000000000001" customHeight="1" x14ac:dyDescent="0.25">
      <c r="A52"/>
    </row>
    <row r="53" spans="1:13" ht="20.100000000000001" customHeight="1" x14ac:dyDescent="0.25">
      <c r="A53"/>
      <c r="D53" s="159" t="s">
        <v>838</v>
      </c>
      <c r="E53" s="146">
        <f>SUM(G42:G51)</f>
        <v>0</v>
      </c>
      <c r="F53" s="153" t="str">
        <f>$E$11</f>
        <v>t CO2e</v>
      </c>
    </row>
    <row r="54" spans="1:13" ht="20.100000000000001" customHeight="1" x14ac:dyDescent="0.25">
      <c r="A54"/>
      <c r="D54" s="159" t="s">
        <v>839</v>
      </c>
      <c r="E54" s="146">
        <f>SUM(J42:J51)</f>
        <v>0</v>
      </c>
      <c r="F54" s="153" t="str">
        <f>$E$11</f>
        <v>t CO2e</v>
      </c>
    </row>
    <row r="55" spans="1:13" ht="20.100000000000001" customHeight="1" x14ac:dyDescent="0.25">
      <c r="A55"/>
    </row>
    <row r="56" spans="1:13" ht="20.100000000000001" customHeight="1" x14ac:dyDescent="0.25">
      <c r="A56"/>
    </row>
    <row r="57" spans="1:13" ht="20.100000000000001" customHeight="1" x14ac:dyDescent="0.25">
      <c r="A57"/>
      <c r="D57" s="239" t="s">
        <v>840</v>
      </c>
    </row>
    <row r="58" spans="1:13" ht="20.100000000000001" customHeight="1" x14ac:dyDescent="0.25">
      <c r="A58"/>
      <c r="D58" s="154" t="s">
        <v>837</v>
      </c>
      <c r="E58" s="25" cm="1">
        <f t="array" ref="E58">Common_InputFunctions.Utility_LookupValueInTableNumber("Pigs", Table_SourceData_Scope3_Animals[Product],Table_SourceData_Scope3_Animals[AusLCI Emissions intensity])</f>
        <v>3.38</v>
      </c>
    </row>
    <row r="59" spans="1:13" ht="20.100000000000001" customHeight="1" x14ac:dyDescent="0.25">
      <c r="A59"/>
    </row>
    <row r="60" spans="1:13" ht="20.100000000000001" customHeight="1" x14ac:dyDescent="0.25">
      <c r="A60"/>
      <c r="D60" s="92" t="s">
        <v>818</v>
      </c>
      <c r="E60" s="254" t="s">
        <v>821</v>
      </c>
      <c r="F60" s="254" t="s">
        <v>822</v>
      </c>
      <c r="G60" s="145" t="s">
        <v>824</v>
      </c>
      <c r="H60" s="254" t="s">
        <v>825</v>
      </c>
      <c r="I60" s="92" t="s">
        <v>826</v>
      </c>
      <c r="J60" s="145" t="s">
        <v>827</v>
      </c>
      <c r="K60" s="92" t="s">
        <v>828</v>
      </c>
      <c r="L60" s="92" t="s">
        <v>829</v>
      </c>
      <c r="M60" s="92" t="s">
        <v>830</v>
      </c>
    </row>
    <row r="61" spans="1:13" ht="20.100000000000001" customHeight="1" x14ac:dyDescent="0.25">
      <c r="A61"/>
      <c r="D61" s="25"/>
      <c r="E61" s="25"/>
      <c r="F61" s="25"/>
      <c r="G61" s="255" cm="1">
        <f t="array" ref="G61">Scope3_Equations.VEERG_15_1_1_1__1_EmissionsFromPurchasedLivestock(E61,F61,$E$58)</f>
        <v>0</v>
      </c>
      <c r="H61" s="25"/>
      <c r="I61" s="86">
        <v>3.38</v>
      </c>
      <c r="J61" s="255" cm="1">
        <f t="array" ref="J61">Scope3_Equations.VEERG_15_1_1_1__1_EmissionsFromPurchasedLivestock(E61,H61,IF(I61, I61,$E$58))</f>
        <v>0</v>
      </c>
      <c r="K61" s="44"/>
      <c r="L61" s="23"/>
      <c r="M61" s="238"/>
    </row>
    <row r="62" spans="1:13" ht="20.100000000000001" customHeight="1" x14ac:dyDescent="0.25">
      <c r="A62"/>
      <c r="D62" s="25"/>
      <c r="E62" s="25"/>
      <c r="F62" s="25"/>
      <c r="G62" s="255" cm="1">
        <f t="array" ref="G62">Scope3_Equations.VEERG_15_1_1_1__1_EmissionsFromPurchasedLivestock(E62,F62,$E$58)</f>
        <v>0</v>
      </c>
      <c r="H62" s="25"/>
      <c r="I62" s="86">
        <v>3.3</v>
      </c>
      <c r="J62" s="255" cm="1">
        <f t="array" ref="J62">Scope3_Equations.VEERG_15_1_1_1__1_EmissionsFromPurchasedLivestock(E62,H62,IF(I62, I62,$E$58))</f>
        <v>0</v>
      </c>
      <c r="K62" s="44"/>
      <c r="L62" s="23"/>
      <c r="M62" s="44"/>
    </row>
    <row r="63" spans="1:13" ht="20.100000000000001" customHeight="1" x14ac:dyDescent="0.25">
      <c r="A63"/>
      <c r="D63" s="25"/>
      <c r="E63" s="25"/>
      <c r="F63" s="25"/>
      <c r="G63" s="255" cm="1">
        <f t="array" ref="G63">Scope3_Equations.VEERG_15_1_1_1__1_EmissionsFromPurchasedLivestock(E63,F63,$E$58)</f>
        <v>0</v>
      </c>
      <c r="H63" s="25"/>
      <c r="I63" s="86"/>
      <c r="J63" s="255" cm="1">
        <f t="array" ref="J63">Scope3_Equations.VEERG_15_1_1_1__1_EmissionsFromPurchasedLivestock(E63,H63,IF(I63, I63,$E$58))</f>
        <v>0</v>
      </c>
      <c r="K63" s="44"/>
      <c r="L63" s="23"/>
      <c r="M63" s="44"/>
    </row>
    <row r="64" spans="1:13" ht="20.100000000000001" customHeight="1" x14ac:dyDescent="0.25">
      <c r="A64"/>
      <c r="D64" s="25"/>
      <c r="E64" s="25"/>
      <c r="F64" s="25"/>
      <c r="G64" s="255" cm="1">
        <f t="array" ref="G64">Scope3_Equations.VEERG_15_1_1_1__1_EmissionsFromPurchasedLivestock(E64,F64,$E$58)</f>
        <v>0</v>
      </c>
      <c r="H64" s="25"/>
      <c r="I64" s="86"/>
      <c r="J64" s="255" cm="1">
        <f t="array" ref="J64">Scope3_Equations.VEERG_15_1_1_1__1_EmissionsFromPurchasedLivestock(E64,H64,IF(I64, I64,$E$58))</f>
        <v>0</v>
      </c>
      <c r="K64" s="44"/>
      <c r="L64" s="23"/>
      <c r="M64" s="44"/>
    </row>
    <row r="65" spans="1:13" ht="20.100000000000001" customHeight="1" x14ac:dyDescent="0.25">
      <c r="A65"/>
      <c r="D65" s="25"/>
      <c r="E65" s="25"/>
      <c r="F65" s="25"/>
      <c r="G65" s="255" cm="1">
        <f t="array" ref="G65">Scope3_Equations.VEERG_15_1_1_1__1_EmissionsFromPurchasedLivestock(E65,F65,$E$58)</f>
        <v>0</v>
      </c>
      <c r="H65" s="25"/>
      <c r="I65" s="86"/>
      <c r="J65" s="255" cm="1">
        <f t="array" ref="J65">Scope3_Equations.VEERG_15_1_1_1__1_EmissionsFromPurchasedLivestock(E65,H65,IF(I65, I65,$E$58))</f>
        <v>0</v>
      </c>
      <c r="K65" s="44"/>
      <c r="L65" s="23"/>
      <c r="M65" s="44"/>
    </row>
    <row r="66" spans="1:13" ht="20.100000000000001" customHeight="1" x14ac:dyDescent="0.25">
      <c r="A66"/>
      <c r="D66" s="25"/>
      <c r="E66" s="25"/>
      <c r="F66" s="25"/>
      <c r="G66" s="255" cm="1">
        <f t="array" ref="G66">Scope3_Equations.VEERG_15_1_1_1__1_EmissionsFromPurchasedLivestock(E66,F66,$E$58)</f>
        <v>0</v>
      </c>
      <c r="H66" s="25"/>
      <c r="I66" s="86"/>
      <c r="J66" s="255" cm="1">
        <f t="array" ref="J66">Scope3_Equations.VEERG_15_1_1_1__1_EmissionsFromPurchasedLivestock(E66,H66,IF(I66, I66,$E$58))</f>
        <v>0</v>
      </c>
      <c r="K66" s="44"/>
      <c r="L66" s="23"/>
      <c r="M66" s="44"/>
    </row>
    <row r="67" spans="1:13" ht="20.100000000000001" customHeight="1" x14ac:dyDescent="0.25">
      <c r="A67"/>
      <c r="D67" s="25"/>
      <c r="E67" s="25"/>
      <c r="F67" s="25"/>
      <c r="G67" s="255" cm="1">
        <f t="array" ref="G67">Scope3_Equations.VEERG_15_1_1_1__1_EmissionsFromPurchasedLivestock(E67,F67,$E$58)</f>
        <v>0</v>
      </c>
      <c r="H67" s="25"/>
      <c r="I67" s="86"/>
      <c r="J67" s="255" cm="1">
        <f t="array" ref="J67">Scope3_Equations.VEERG_15_1_1_1__1_EmissionsFromPurchasedLivestock(E67,H67,IF(I67, I67,$E$58))</f>
        <v>0</v>
      </c>
      <c r="K67" s="44"/>
      <c r="L67" s="23"/>
      <c r="M67" s="44"/>
    </row>
    <row r="68" spans="1:13" ht="20.100000000000001" customHeight="1" x14ac:dyDescent="0.25">
      <c r="A68"/>
      <c r="D68" s="25"/>
      <c r="E68" s="25"/>
      <c r="F68" s="25"/>
      <c r="G68" s="255" cm="1">
        <f t="array" ref="G68">Scope3_Equations.VEERG_15_1_1_1__1_EmissionsFromPurchasedLivestock(E68,F68,$E$58)</f>
        <v>0</v>
      </c>
      <c r="H68" s="25"/>
      <c r="I68" s="86"/>
      <c r="J68" s="255" cm="1">
        <f t="array" ref="J68">Scope3_Equations.VEERG_15_1_1_1__1_EmissionsFromPurchasedLivestock(E68,H68,IF(I68, I68,$E$58))</f>
        <v>0</v>
      </c>
      <c r="K68" s="44"/>
      <c r="L68" s="23"/>
      <c r="M68" s="44"/>
    </row>
    <row r="69" spans="1:13" ht="20.100000000000001" customHeight="1" x14ac:dyDescent="0.25">
      <c r="A69"/>
      <c r="D69" s="25"/>
      <c r="E69" s="25"/>
      <c r="F69" s="25"/>
      <c r="G69" s="255" cm="1">
        <f t="array" ref="G69">Scope3_Equations.VEERG_15_1_1_1__1_EmissionsFromPurchasedLivestock(E69,F69,$E$58)</f>
        <v>0</v>
      </c>
      <c r="H69" s="25"/>
      <c r="I69" s="86"/>
      <c r="J69" s="255" cm="1">
        <f t="array" ref="J69">Scope3_Equations.VEERG_15_1_1_1__1_EmissionsFromPurchasedLivestock(E69,H69,IF(I69, I69,$E$58))</f>
        <v>0</v>
      </c>
      <c r="K69" s="44"/>
      <c r="L69" s="23"/>
      <c r="M69" s="44"/>
    </row>
    <row r="70" spans="1:13" ht="20.100000000000001" customHeight="1" x14ac:dyDescent="0.25">
      <c r="A70"/>
      <c r="D70" s="25"/>
      <c r="E70" s="25"/>
      <c r="F70" s="25"/>
      <c r="G70" s="255" cm="1">
        <f t="array" ref="G70">Scope3_Equations.VEERG_15_1_1_1__1_EmissionsFromPurchasedLivestock(E70,F70,$E$58)</f>
        <v>0</v>
      </c>
      <c r="H70" s="25"/>
      <c r="I70" s="86"/>
      <c r="J70" s="255" cm="1">
        <f t="array" ref="J70">Scope3_Equations.VEERG_15_1_1_1__1_EmissionsFromPurchasedLivestock(E70,H70,IF(I70, I70,$E$58))</f>
        <v>0</v>
      </c>
      <c r="K70" s="44"/>
      <c r="L70" s="23"/>
      <c r="M70" s="44"/>
    </row>
    <row r="71" spans="1:13" ht="20.100000000000001" customHeight="1" x14ac:dyDescent="0.25">
      <c r="A71"/>
    </row>
    <row r="72" spans="1:13" ht="20.100000000000001" customHeight="1" x14ac:dyDescent="0.25">
      <c r="A72"/>
      <c r="D72" s="159" t="s">
        <v>841</v>
      </c>
      <c r="E72" s="146">
        <f>SUM(G61:G70)</f>
        <v>0</v>
      </c>
      <c r="F72" s="153" t="str">
        <f>$E$11</f>
        <v>t CO2e</v>
      </c>
    </row>
    <row r="73" spans="1:13" ht="20.100000000000001" customHeight="1" x14ac:dyDescent="0.25">
      <c r="A73"/>
      <c r="D73" s="159" t="s">
        <v>842</v>
      </c>
      <c r="E73" s="146">
        <f>SUM(J61:J70)</f>
        <v>0</v>
      </c>
      <c r="F73" s="153" t="str">
        <f>$E$11</f>
        <v>t CO2e</v>
      </c>
    </row>
    <row r="74" spans="1:13" ht="20.100000000000001" customHeight="1" x14ac:dyDescent="0.25">
      <c r="A74"/>
    </row>
    <row r="75" spans="1:13" ht="20.100000000000001" customHeight="1" x14ac:dyDescent="0.25">
      <c r="A75"/>
      <c r="D75" s="239" t="s">
        <v>843</v>
      </c>
    </row>
    <row r="76" spans="1:13" ht="20.100000000000001" customHeight="1" x14ac:dyDescent="0.25">
      <c r="A76"/>
      <c r="D76" s="154" t="s">
        <v>837</v>
      </c>
      <c r="E76" s="25" cm="1">
        <f t="array" ref="E76">Common_InputFunctions.Utility_LookupValueInTableNumber("Chickens", Table_SourceData_Scope3_Animals[Product],Table_SourceData_Scope3_Animals[AusLCI Emissions intensity])</f>
        <v>1.36</v>
      </c>
    </row>
    <row r="77" spans="1:13" ht="20.100000000000001" customHeight="1" x14ac:dyDescent="0.25">
      <c r="A77"/>
    </row>
    <row r="78" spans="1:13" ht="20.100000000000001" customHeight="1" x14ac:dyDescent="0.25">
      <c r="A78"/>
      <c r="D78" s="92" t="s">
        <v>818</v>
      </c>
      <c r="E78" s="254" t="s">
        <v>821</v>
      </c>
      <c r="F78" s="254" t="s">
        <v>822</v>
      </c>
      <c r="G78" s="145" t="s">
        <v>824</v>
      </c>
      <c r="H78" s="254" t="s">
        <v>825</v>
      </c>
      <c r="I78" s="92" t="s">
        <v>826</v>
      </c>
      <c r="J78" s="145" t="s">
        <v>827</v>
      </c>
      <c r="K78" s="92" t="s">
        <v>828</v>
      </c>
      <c r="L78" s="92" t="s">
        <v>829</v>
      </c>
      <c r="M78" s="92" t="s">
        <v>830</v>
      </c>
    </row>
    <row r="79" spans="1:13" ht="20.100000000000001" customHeight="1" x14ac:dyDescent="0.25">
      <c r="A79"/>
      <c r="D79" s="25"/>
      <c r="E79" s="25"/>
      <c r="F79" s="25"/>
      <c r="G79" s="255" cm="1">
        <f t="array" ref="G79">Scope3_Equations.VEERG_15_1_1_1__1_EmissionsFromPurchasedLivestock(E79,F79,$E$76)</f>
        <v>0</v>
      </c>
      <c r="H79" s="25"/>
      <c r="I79" s="86">
        <v>1.3</v>
      </c>
      <c r="J79" s="255" cm="1">
        <f t="array" ref="J79">Scope3_Equations.VEERG_15_1_1_1__1_EmissionsFromPurchasedLivestock(E79,H79,IF(I79, I79,$E$76))</f>
        <v>0</v>
      </c>
      <c r="K79" s="44"/>
      <c r="L79" s="23"/>
      <c r="M79" s="238"/>
    </row>
    <row r="80" spans="1:13" ht="20.100000000000001" customHeight="1" x14ac:dyDescent="0.25">
      <c r="A80"/>
      <c r="D80" s="25"/>
      <c r="E80" s="25"/>
      <c r="F80" s="25"/>
      <c r="G80" s="255" cm="1">
        <f t="array" ref="G80">Scope3_Equations.VEERG_15_1_1_1__1_EmissionsFromPurchasedLivestock(E80,F80,$E$76)</f>
        <v>0</v>
      </c>
      <c r="H80" s="25"/>
      <c r="I80" s="86"/>
      <c r="J80" s="255" cm="1">
        <f t="array" ref="J80">Scope3_Equations.VEERG_15_1_1_1__1_EmissionsFromPurchasedLivestock(E80,H80,IF(I80, I80,$E$76))</f>
        <v>0</v>
      </c>
      <c r="K80" s="44"/>
      <c r="L80" s="23"/>
      <c r="M80" s="44"/>
    </row>
    <row r="81" spans="1:13" ht="20.100000000000001" customHeight="1" x14ac:dyDescent="0.25">
      <c r="A81"/>
      <c r="D81" s="25"/>
      <c r="E81" s="25"/>
      <c r="F81" s="25"/>
      <c r="G81" s="255" cm="1">
        <f t="array" ref="G81">Scope3_Equations.VEERG_15_1_1_1__1_EmissionsFromPurchasedLivestock(E81,F81,$E$76)</f>
        <v>0</v>
      </c>
      <c r="H81" s="25"/>
      <c r="I81" s="86"/>
      <c r="J81" s="255" cm="1">
        <f t="array" ref="J81">Scope3_Equations.VEERG_15_1_1_1__1_EmissionsFromPurchasedLivestock(E81,H81,IF(I81, I81,$E$76))</f>
        <v>0</v>
      </c>
      <c r="K81" s="44"/>
      <c r="L81" s="23"/>
      <c r="M81" s="44"/>
    </row>
    <row r="82" spans="1:13" ht="20.100000000000001" customHeight="1" x14ac:dyDescent="0.25">
      <c r="A82"/>
      <c r="D82" s="25"/>
      <c r="E82" s="25"/>
      <c r="F82" s="25"/>
      <c r="G82" s="255" cm="1">
        <f t="array" ref="G82">Scope3_Equations.VEERG_15_1_1_1__1_EmissionsFromPurchasedLivestock(E82,F82,$E$76)</f>
        <v>0</v>
      </c>
      <c r="H82" s="25"/>
      <c r="I82" s="86"/>
      <c r="J82" s="255" cm="1">
        <f t="array" ref="J82">Scope3_Equations.VEERG_15_1_1_1__1_EmissionsFromPurchasedLivestock(E82,H82,IF(I82, I82,$E$76))</f>
        <v>0</v>
      </c>
      <c r="K82" s="44"/>
      <c r="L82" s="23"/>
      <c r="M82" s="44"/>
    </row>
    <row r="83" spans="1:13" ht="20.100000000000001" customHeight="1" x14ac:dyDescent="0.25">
      <c r="A83"/>
      <c r="D83" s="25"/>
      <c r="E83" s="25"/>
      <c r="F83" s="25"/>
      <c r="G83" s="255" cm="1">
        <f t="array" ref="G83">Scope3_Equations.VEERG_15_1_1_1__1_EmissionsFromPurchasedLivestock(E83,F83,$E$76)</f>
        <v>0</v>
      </c>
      <c r="H83" s="25"/>
      <c r="I83" s="86"/>
      <c r="J83" s="255" cm="1">
        <f t="array" ref="J83">Scope3_Equations.VEERG_15_1_1_1__1_EmissionsFromPurchasedLivestock(E83,H83,IF(I83, I83,$E$76))</f>
        <v>0</v>
      </c>
      <c r="K83" s="44"/>
      <c r="L83" s="23"/>
      <c r="M83" s="44"/>
    </row>
    <row r="84" spans="1:13" ht="20.100000000000001" customHeight="1" x14ac:dyDescent="0.25">
      <c r="A84"/>
      <c r="D84" s="25"/>
      <c r="E84" s="25"/>
      <c r="F84" s="25"/>
      <c r="G84" s="255" cm="1">
        <f t="array" ref="G84">Scope3_Equations.VEERG_15_1_1_1__1_EmissionsFromPurchasedLivestock(E84,F84,$E$76)</f>
        <v>0</v>
      </c>
      <c r="H84" s="25"/>
      <c r="I84" s="86"/>
      <c r="J84" s="255" cm="1">
        <f t="array" ref="J84">Scope3_Equations.VEERG_15_1_1_1__1_EmissionsFromPurchasedLivestock(E84,H84,IF(I84, I84,$E$76))</f>
        <v>0</v>
      </c>
      <c r="K84" s="44"/>
      <c r="L84" s="23"/>
      <c r="M84" s="44"/>
    </row>
    <row r="85" spans="1:13" ht="20.100000000000001" customHeight="1" x14ac:dyDescent="0.25">
      <c r="A85"/>
      <c r="D85" s="25"/>
      <c r="E85" s="25"/>
      <c r="F85" s="25"/>
      <c r="G85" s="255" cm="1">
        <f t="array" ref="G85">Scope3_Equations.VEERG_15_1_1_1__1_EmissionsFromPurchasedLivestock(E85,F85,$E$76)</f>
        <v>0</v>
      </c>
      <c r="H85" s="25"/>
      <c r="I85" s="86"/>
      <c r="J85" s="255" cm="1">
        <f t="array" ref="J85">Scope3_Equations.VEERG_15_1_1_1__1_EmissionsFromPurchasedLivestock(E85,H85,IF(I85, I85,$E$76))</f>
        <v>0</v>
      </c>
      <c r="K85" s="44"/>
      <c r="L85" s="23"/>
      <c r="M85" s="44"/>
    </row>
    <row r="86" spans="1:13" ht="20.100000000000001" customHeight="1" x14ac:dyDescent="0.25">
      <c r="A86"/>
      <c r="D86" s="25"/>
      <c r="E86" s="25"/>
      <c r="F86" s="25"/>
      <c r="G86" s="255" cm="1">
        <f t="array" ref="G86">Scope3_Equations.VEERG_15_1_1_1__1_EmissionsFromPurchasedLivestock(E86,F86,$E$76)</f>
        <v>0</v>
      </c>
      <c r="H86" s="25"/>
      <c r="I86" s="86"/>
      <c r="J86" s="255" cm="1">
        <f t="array" ref="J86">Scope3_Equations.VEERG_15_1_1_1__1_EmissionsFromPurchasedLivestock(E86,H86,IF(I86, I86,$E$76))</f>
        <v>0</v>
      </c>
      <c r="K86" s="44"/>
      <c r="L86" s="23"/>
      <c r="M86" s="44"/>
    </row>
    <row r="87" spans="1:13" ht="20.100000000000001" customHeight="1" x14ac:dyDescent="0.25">
      <c r="A87"/>
      <c r="D87" s="25"/>
      <c r="E87" s="25"/>
      <c r="F87" s="25"/>
      <c r="G87" s="255" cm="1">
        <f t="array" ref="G87">Scope3_Equations.VEERG_15_1_1_1__1_EmissionsFromPurchasedLivestock(E87,F87,$E$76)</f>
        <v>0</v>
      </c>
      <c r="H87" s="25"/>
      <c r="I87" s="86"/>
      <c r="J87" s="255" cm="1">
        <f t="array" ref="J87">Scope3_Equations.VEERG_15_1_1_1__1_EmissionsFromPurchasedLivestock(E87,H87,IF(I87, I87,$E$76))</f>
        <v>0</v>
      </c>
      <c r="K87" s="44"/>
      <c r="L87" s="23"/>
      <c r="M87" s="44"/>
    </row>
    <row r="88" spans="1:13" ht="20.100000000000001" customHeight="1" x14ac:dyDescent="0.25">
      <c r="A88"/>
      <c r="D88" s="25"/>
      <c r="E88" s="25"/>
      <c r="F88" s="25"/>
      <c r="G88" s="255" cm="1">
        <f t="array" ref="G88">Scope3_Equations.VEERG_15_1_1_1__1_EmissionsFromPurchasedLivestock(E88,F88,$E$76)</f>
        <v>0</v>
      </c>
      <c r="H88" s="25"/>
      <c r="I88" s="86"/>
      <c r="J88" s="255" cm="1">
        <f t="array" ref="J88">Scope3_Equations.VEERG_15_1_1_1__1_EmissionsFromPurchasedLivestock(E88,H88,IF(I88, I88,$E$76))</f>
        <v>0</v>
      </c>
      <c r="K88" s="44"/>
      <c r="L88" s="23"/>
      <c r="M88" s="44"/>
    </row>
    <row r="89" spans="1:13" ht="20.100000000000001" customHeight="1" x14ac:dyDescent="0.25">
      <c r="A89"/>
    </row>
    <row r="90" spans="1:13" ht="20.100000000000001" customHeight="1" x14ac:dyDescent="0.25">
      <c r="A90"/>
      <c r="D90" s="159" t="s">
        <v>844</v>
      </c>
      <c r="E90" s="146">
        <f>SUM(G79:G88)</f>
        <v>0</v>
      </c>
      <c r="F90" s="153" t="str">
        <f>$E$11</f>
        <v>t CO2e</v>
      </c>
    </row>
    <row r="91" spans="1:13" ht="20.100000000000001" customHeight="1" x14ac:dyDescent="0.25">
      <c r="A91"/>
      <c r="D91" s="159" t="s">
        <v>845</v>
      </c>
      <c r="E91" s="146">
        <f>SUM(J79:J88)</f>
        <v>0</v>
      </c>
      <c r="F91" s="153" t="str">
        <f>$E$11</f>
        <v>t CO2e</v>
      </c>
    </row>
    <row r="92" spans="1:13" ht="20.100000000000001" customHeight="1" x14ac:dyDescent="0.25">
      <c r="A92"/>
    </row>
    <row r="93" spans="1:13" ht="20.100000000000001" customHeight="1" x14ac:dyDescent="0.25">
      <c r="A93"/>
      <c r="D93" s="149" t="s">
        <v>824</v>
      </c>
      <c r="E93" s="150">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151" t="str">
        <f>$E$11</f>
        <v>t CO2e</v>
      </c>
    </row>
    <row r="94" spans="1:13" ht="20.100000000000001" customHeight="1" x14ac:dyDescent="0.25">
      <c r="A94"/>
      <c r="D94" s="149" t="s">
        <v>827</v>
      </c>
      <c r="E94" s="150">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151" t="str">
        <f>$E$11</f>
        <v>t CO2e</v>
      </c>
    </row>
    <row r="95" spans="1:13" ht="20.100000000000001" customHeight="1" x14ac:dyDescent="0.25">
      <c r="A95"/>
    </row>
    <row r="96" spans="1:13" ht="20.100000000000001" customHeight="1" x14ac:dyDescent="0.25">
      <c r="A96"/>
    </row>
    <row r="97" spans="1:41" ht="20.100000000000001" customHeight="1" x14ac:dyDescent="0.25">
      <c r="A97"/>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c r="AA97" s="146"/>
      <c r="AB97" s="146"/>
      <c r="AC97" s="146"/>
      <c r="AD97" s="146"/>
      <c r="AE97" s="146"/>
      <c r="AF97" s="146"/>
      <c r="AG97" s="146"/>
      <c r="AH97" s="146"/>
      <c r="AI97" s="146"/>
      <c r="AJ97" s="146"/>
      <c r="AK97" s="146"/>
      <c r="AL97" s="146"/>
      <c r="AM97" s="146"/>
      <c r="AN97" s="146"/>
      <c r="AO97" s="146"/>
    </row>
    <row r="98" spans="1:41" ht="20.100000000000001" customHeight="1" x14ac:dyDescent="0.25">
      <c r="A98"/>
      <c r="D98" s="2" t="str" cm="1">
        <f t="array" ref="D98">Scope3_Equations.VEERG_15_2_1_1__1_EmissionsFromPurchasedFeed_Title()</f>
        <v>Emissions from purchased feed</v>
      </c>
    </row>
    <row r="99" spans="1:41" ht="20.100000000000001" customHeight="1" x14ac:dyDescent="0.25">
      <c r="A99"/>
      <c r="D99" s="27" t="str" cm="1">
        <f t="array" ref="D99">Scope3_Equations.VEERG_15_2_1_1__1_EmissionsFromPurchasedFeed_Source()</f>
        <v>VEERG 2026: 15.2.1.1, Equation (1)</v>
      </c>
    </row>
    <row r="100" spans="1:41" ht="20.100000000000001" customHeight="1" x14ac:dyDescent="0.25">
      <c r="A100"/>
      <c r="D100" s="132" t="s">
        <v>267</v>
      </c>
      <c r="E100" s="132" t="str" cm="1">
        <f t="array" aca="1" ref="E100" ca="1">Common_InputFunctions.Utility_DisplayFunctionName(G119)</f>
        <v>=Scope3_Equations.VEERG_15_2_1_1__1_EmissionsFromPurchasedFeed</v>
      </c>
    </row>
    <row r="101" spans="1:41" ht="20.100000000000001" customHeight="1" x14ac:dyDescent="0.25">
      <c r="A101"/>
    </row>
    <row r="102" spans="1:41" ht="20.100000000000001" customHeight="1" x14ac:dyDescent="0.25">
      <c r="A102"/>
      <c r="H102" s="132"/>
    </row>
    <row r="103" spans="1:41" ht="20.100000000000001" customHeight="1" x14ac:dyDescent="0.25">
      <c r="A103"/>
      <c r="D103" s="88" t="s">
        <v>268</v>
      </c>
      <c r="E103" s="1" t="str" cm="1">
        <f t="array" ref="E103">Scope3_Equations.VEERG_15_2_1_1__1_EmissionsFromPurchasedFeed_Variable()</f>
        <v>E</v>
      </c>
    </row>
    <row r="104" spans="1:41" ht="20.100000000000001" customHeight="1" x14ac:dyDescent="0.25">
      <c r="A104"/>
      <c r="D104" s="88" t="s">
        <v>121</v>
      </c>
      <c r="E104" s="15" t="str" cm="1">
        <f t="array" ref="E104">Scope3_Equations.VEERG_15_2_1_1__1_EmissionsFromPurchasedFeed_Unit()</f>
        <v>t CO2e</v>
      </c>
    </row>
    <row r="105" spans="1:41" ht="20.100000000000001" customHeight="1" x14ac:dyDescent="0.25">
      <c r="A105"/>
    </row>
    <row r="106" spans="1:41" ht="20.100000000000001" customHeight="1" x14ac:dyDescent="0.25">
      <c r="A106"/>
      <c r="D106" s="154" t="str" cm="1">
        <f t="array" ref="D106:E108">_xlfn.CHOOSECOLS(Scope3_Equations.VEERG_15_2_1_1__1_EmissionsFromPurchasedFeed_Arguments(),1,2)</f>
        <v>Q_j</v>
      </c>
      <c r="E106" s="162" t="str">
        <v>quantity of feed type j purchased</v>
      </c>
      <c r="F106" s="164"/>
      <c r="G106" s="154" t="str" cm="1">
        <f t="array" ref="G106:H108">_xlfn.CHOOSECOLS(Scope3_Equations.VEERG_15_2_1_1__1_EmissionsFromPurchasedFeed_Arguments(),3,4)</f>
        <v>t</v>
      </c>
      <c r="H106" s="253" t="str">
        <v>Input</v>
      </c>
    </row>
    <row r="107" spans="1:41" ht="20.100000000000001" customHeight="1" x14ac:dyDescent="0.25">
      <c r="A107"/>
      <c r="D107" s="154" t="str">
        <v>EF_j</v>
      </c>
      <c r="E107" s="162" t="str">
        <v>emission factor of purchased feed</v>
      </c>
      <c r="F107" s="164"/>
      <c r="G107" s="154" t="str">
        <v>kg CO2e/kg</v>
      </c>
      <c r="H107" s="253" t="str">
        <v>Constant</v>
      </c>
    </row>
    <row r="108" spans="1:41" ht="20.100000000000001" customHeight="1" x14ac:dyDescent="0.25">
      <c r="A108"/>
      <c r="D108" s="154" t="str">
        <v>j</v>
      </c>
      <c r="E108" s="162" t="str">
        <v>feed type</v>
      </c>
      <c r="F108" s="164"/>
      <c r="G108" s="154" t="str">
        <v/>
      </c>
      <c r="H108" s="137" t="str">
        <v>Input</v>
      </c>
    </row>
    <row r="109" spans="1:41" ht="20.100000000000001" customHeight="1" x14ac:dyDescent="0.25">
      <c r="A109"/>
    </row>
    <row r="110" spans="1:41" ht="20.100000000000001" customHeight="1" x14ac:dyDescent="0.25">
      <c r="A110"/>
      <c r="D110" s="239" t="s">
        <v>846</v>
      </c>
    </row>
    <row r="111" spans="1:41" ht="20.100000000000001" customHeight="1" x14ac:dyDescent="0.25">
      <c r="A111"/>
    </row>
    <row r="112" spans="1:41" ht="20.100000000000001" customHeight="1" x14ac:dyDescent="0.25">
      <c r="A112"/>
      <c r="D112" s="94" t="s">
        <v>847</v>
      </c>
      <c r="E112" s="55"/>
      <c r="F112" s="94"/>
      <c r="G112" s="54"/>
      <c r="H112" s="55"/>
    </row>
    <row r="113" spans="1:28" ht="20.100000000000001" customHeight="1" x14ac:dyDescent="0.25">
      <c r="A113"/>
      <c r="D113" s="122" t="s">
        <v>848</v>
      </c>
      <c r="E113" s="124"/>
      <c r="F113" s="122"/>
      <c r="G113" s="123"/>
      <c r="H113" s="124"/>
    </row>
    <row r="114" spans="1:28" ht="20.100000000000001" customHeight="1" x14ac:dyDescent="0.25">
      <c r="A114"/>
      <c r="D114" s="56" t="s">
        <v>849</v>
      </c>
      <c r="E114" s="58"/>
      <c r="F114" s="56"/>
      <c r="G114" s="57"/>
      <c r="H114" s="58"/>
    </row>
    <row r="115" spans="1:28" ht="20.100000000000001" customHeight="1" x14ac:dyDescent="0.25">
      <c r="A115"/>
    </row>
    <row r="116" spans="1:28" ht="20.100000000000001" customHeight="1" x14ac:dyDescent="0.25">
      <c r="A116"/>
      <c r="D116" s="46" t="s">
        <v>850</v>
      </c>
      <c r="E116" s="48"/>
      <c r="F116" s="49"/>
    </row>
    <row r="117" spans="1:28" ht="20.100000000000001" customHeight="1" x14ac:dyDescent="0.25">
      <c r="A117"/>
    </row>
    <row r="118" spans="1:28" ht="20.100000000000001" customHeight="1" x14ac:dyDescent="0.25">
      <c r="A118"/>
      <c r="D118" s="92" t="s">
        <v>851</v>
      </c>
      <c r="E118" s="92" t="s">
        <v>852</v>
      </c>
      <c r="F118" s="145" t="s">
        <v>853</v>
      </c>
      <c r="G118" s="145" t="s">
        <v>824</v>
      </c>
      <c r="H118" s="92" t="s">
        <v>854</v>
      </c>
      <c r="I118" s="145" t="s">
        <v>827</v>
      </c>
      <c r="J118" s="92" t="s">
        <v>828</v>
      </c>
      <c r="K118" s="92" t="s">
        <v>829</v>
      </c>
      <c r="L118" s="92" t="s">
        <v>830</v>
      </c>
      <c r="M118" s="145" t="s">
        <v>211</v>
      </c>
      <c r="N118" s="145" t="s">
        <v>855</v>
      </c>
      <c r="O118" s="145" t="s">
        <v>212</v>
      </c>
      <c r="P118" s="145" t="s">
        <v>856</v>
      </c>
      <c r="Q118" s="145" t="s">
        <v>213</v>
      </c>
      <c r="R118" s="145" t="s">
        <v>857</v>
      </c>
      <c r="S118" s="145" t="s">
        <v>214</v>
      </c>
      <c r="T118" s="145" t="s">
        <v>858</v>
      </c>
      <c r="U118" s="145" t="s">
        <v>215</v>
      </c>
      <c r="V118" s="145" t="s">
        <v>859</v>
      </c>
      <c r="W118" s="145" t="s">
        <v>216</v>
      </c>
      <c r="X118" s="145" t="s">
        <v>860</v>
      </c>
      <c r="Y118" s="145" t="s">
        <v>217</v>
      </c>
      <c r="Z118" s="145" t="s">
        <v>861</v>
      </c>
      <c r="AA118" s="145" t="s">
        <v>218</v>
      </c>
      <c r="AB118" s="145" t="s">
        <v>862</v>
      </c>
    </row>
    <row r="119" spans="1:28" ht="20.100000000000001" customHeight="1" x14ac:dyDescent="0.25">
      <c r="A119"/>
      <c r="D119" s="25" cm="1">
        <f t="array" ref="D119:D128">IFERROR(INDEX(Table_Input_FeedBlends[Feed blend name], _xlfn.SEQUENCE(10)), "")</f>
        <v>0</v>
      </c>
      <c r="E119" s="25" cm="1">
        <f t="array" ref="E119:E128">IFERROR(INDEX(Table_Input_FeedBlends[Amount fed (kg)], _xlfn.SEQUENCE(10)), "")</f>
        <v>1200</v>
      </c>
      <c r="F119" s="25">
        <f t="shared" ref="F119:F128" si="0">IFERROR((O119*P119)+(S119*T119)+(W119*X119)+(AA119*AB119), 0)</f>
        <v>0.16272999999999999</v>
      </c>
      <c r="G119" s="255" cm="1">
        <f t="array" ref="G119">Scope3_Equations.VEERG_15_2_1_1__1_EmissionsFromPurchasedFeed(E119,F119)</f>
        <v>195.27599999999998</v>
      </c>
      <c r="H119" s="86">
        <v>0.04</v>
      </c>
      <c r="I119" s="255" cm="1">
        <f t="array" ref="I119">Scope3_Equations.VEERG_15_2_1_1__1_EmissionsFromPurchasedFeed(E119,IF(H119,H119, F119))</f>
        <v>48</v>
      </c>
      <c r="J119" s="44"/>
      <c r="K119" s="23"/>
      <c r="L119" s="238"/>
      <c r="M119" s="25" t="str" cm="1">
        <f t="array" ref="M119:M128">IFERROR(INDEX(Table_Input_FeedBlends[Ingredient 1 (select)], _xlfn.SEQUENCE(10)), "")</f>
        <v>Cereal silage</v>
      </c>
      <c r="N119" s="25" t="str" cm="1">
        <f t="array" ref="N119:N128">IFERROR(INDEX(Table_Input_FeedBlends[Ingredient 1 source region], _xlfn.SEQUENCE(10)), "")</f>
        <v>SA</v>
      </c>
      <c r="O119" s="25" cm="1">
        <f t="array" ref="O119:O128">IFERROR(INDEX(Table_Input_FeedBlends[Ingredient 1 percent], _xlfn.SEQUENCE(10)), "")</f>
        <v>0.35</v>
      </c>
      <c r="P119" s="25"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25" t="str" cm="1">
        <f t="array" ref="Q119:Q128">IFERROR(INDEX(Table_Input_FeedBlends[Ingredient 2 (select)], _xlfn.SEQUENCE(10)), "")</f>
        <v>Cereal hay</v>
      </c>
      <c r="R119" s="25" t="str" cm="1">
        <f t="array" ref="R119:R128">IFERROR(INDEX(Table_Input_FeedBlends[Ingredient 2 source region], _xlfn.SEQUENCE(10)), "")</f>
        <v>SA</v>
      </c>
      <c r="S119" s="25" cm="1">
        <f t="array" ref="S119:S128">IFERROR(INDEX(Table_Input_FeedBlends[Ingredient 2 percent], _xlfn.SEQUENCE(10)), "")</f>
        <v>0.22</v>
      </c>
      <c r="T119" s="25" cm="1">
        <f t="array" ref="T119">_xlfn.LET(_xlpm.result, Common_InputFunctions.Utility_LookupValueInTableTwoColumns(Q119, R119, Table_SourceData_Scope3_Feed[Product], Table_SourceData_Scope3_Feed[Region of origin], Table_SourceData_Scope3_Feed[AusLCI Emissions intensity]), IF(_xlpm.result="", 0, _xlpm.result))</f>
        <v>0.111</v>
      </c>
      <c r="U119" s="25" t="str" cm="1">
        <f t="array" ref="U119:U128">IFERROR(INDEX(Table_Input_FeedBlends[Ingredient 3 (select)], _xlfn.SEQUENCE(10)), "")</f>
        <v>Canola oil</v>
      </c>
      <c r="V119" s="25" t="str" cm="1">
        <f t="array" ref="V119:V128">IFERROR(INDEX(Table_Input_FeedBlends[Ingredient 3 source region], _xlfn.SEQUENCE(10)), "")</f>
        <v>Australia</v>
      </c>
      <c r="W119" s="25" cm="1">
        <f t="array" ref="W119:W128">IFERROR(INDEX(Table_Input_FeedBlends[Ingredient 3 percent], _xlfn.SEQUENCE(10)), "")</f>
        <v>0.12</v>
      </c>
      <c r="X119" s="25" cm="1">
        <f t="array" ref="X119">_xlfn.LET(_xlpm.result, Common_InputFunctions.Utility_LookupValueInTableTwoColumns(U119, V119, Table_SourceData_Scope3_Feed[Product], Table_SourceData_Scope3_Feed[Region of origin], Table_SourceData_Scope3_Feed[AusLCI Emissions intensity]), IF(_xlpm.result="", 0, _xlpm.result))</f>
        <v>0.87</v>
      </c>
      <c r="Y119" s="25" t="str" cm="1">
        <f t="array" ref="Y119:Y128">IFERROR(INDEX(Table_Input_FeedBlends[Ingredient 4 (select)], _xlfn.SEQUENCE(10)), "")</f>
        <v>Molasses</v>
      </c>
      <c r="Z119" s="25" t="str" cm="1">
        <f t="array" ref="Z119:Z128">IFERROR(INDEX(Table_Input_FeedBlends[Ingredient 4 source region], _xlfn.SEQUENCE(10)), "")</f>
        <v>QLD</v>
      </c>
      <c r="AA119" s="25" cm="1">
        <f t="array" ref="AA119:AA128">IFERROR(INDEX(Table_Input_FeedBlends[Ingredient 4 percent], _xlfn.SEQUENCE(10)), "")</f>
        <v>0.05</v>
      </c>
      <c r="AB119" s="25" cm="1">
        <f t="array" ref="AB119">_xlfn.LET(_xlpm.result, Common_InputFunctions.Utility_LookupValueInTableTwoColumns(Y119, Z119, Table_SourceData_Scope3_Feed[Product], Table_SourceData_Scope3_Feed[Region of origin], Table_SourceData_Scope3_Feed[AusLCI Emissions intensity]), IF(_xlpm.result="", 0, _xlpm.result))</f>
        <v>0.184</v>
      </c>
    </row>
    <row r="120" spans="1:28" ht="20.100000000000001" customHeight="1" x14ac:dyDescent="0.25">
      <c r="A120"/>
      <c r="D120" s="25">
        <v>0</v>
      </c>
      <c r="E120" s="25">
        <v>3456</v>
      </c>
      <c r="F120" s="25">
        <f t="shared" si="0"/>
        <v>2.2600000000000002E-2</v>
      </c>
      <c r="G120" s="255" cm="1">
        <f t="array" ref="G120">Scope3_Equations.VEERG_15_2_1_1__1_EmissionsFromPurchasedFeed(E120,F120)</f>
        <v>78.10560000000001</v>
      </c>
      <c r="H120" s="86">
        <v>0.03</v>
      </c>
      <c r="I120" s="255" cm="1">
        <f t="array" ref="I120">Scope3_Equations.VEERG_15_2_1_1__1_EmissionsFromPurchasedFeed(E120,IF(H120,H120, F120))</f>
        <v>103.67999999999999</v>
      </c>
      <c r="J120" s="44"/>
      <c r="K120" s="23"/>
      <c r="L120" s="44"/>
      <c r="M120" s="25" t="str">
        <v>Lucerne hay</v>
      </c>
      <c r="N120" s="25" t="str">
        <v>WA</v>
      </c>
      <c r="O120" s="25">
        <v>0.2</v>
      </c>
      <c r="P120" s="25"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25" t="str">
        <v>Lucerne hay</v>
      </c>
      <c r="R120" s="25" t="str">
        <v>NSW</v>
      </c>
      <c r="S120" s="25">
        <v>0.2</v>
      </c>
      <c r="T120" s="25" cm="1">
        <f t="array" ref="T120">_xlfn.LET(_xlpm.result, Common_InputFunctions.Utility_LookupValueInTableTwoColumns(Q120, R120, Table_SourceData_Scope3_Feed[Product], Table_SourceData_Scope3_Feed[Region of origin], Table_SourceData_Scope3_Feed[AusLCI Emissions intensity]), IF(_xlpm.result="", 0, _xlpm.result))</f>
        <v>0.113</v>
      </c>
      <c r="U120" s="25">
        <v>0</v>
      </c>
      <c r="V120" s="25">
        <v>0</v>
      </c>
      <c r="W120" s="25">
        <v>0</v>
      </c>
      <c r="X120" s="25" cm="1">
        <f t="array" ref="X120">_xlfn.LET(_xlpm.result, Common_InputFunctions.Utility_LookupValueInTableTwoColumns(U120, V120, Table_SourceData_Scope3_Feed[Product], Table_SourceData_Scope3_Feed[Region of origin], Table_SourceData_Scope3_Feed[AusLCI Emissions intensity]), IF(_xlpm.result="", 0, _xlpm.result))</f>
        <v>0</v>
      </c>
      <c r="Y120" s="25">
        <v>0</v>
      </c>
      <c r="Z120" s="25">
        <v>0</v>
      </c>
      <c r="AA120" s="25">
        <v>0</v>
      </c>
      <c r="AB120" s="25" cm="1">
        <f t="array" ref="AB120">_xlfn.LET(_xlpm.result, Common_InputFunctions.Utility_LookupValueInTableTwoColumns(Y120, Z120, Table_SourceData_Scope3_Feed[Product], Table_SourceData_Scope3_Feed[Region of origin], Table_SourceData_Scope3_Feed[AusLCI Emissions intensity]), IF(_xlpm.result="", 0, _xlpm.result))</f>
        <v>0</v>
      </c>
    </row>
    <row r="121" spans="1:28" ht="20.100000000000001" customHeight="1" x14ac:dyDescent="0.25">
      <c r="A121"/>
      <c r="D121" s="25" t="str">
        <v>Hay bales in paddock</v>
      </c>
      <c r="E121" s="25">
        <v>300</v>
      </c>
      <c r="F121" s="25">
        <f t="shared" si="0"/>
        <v>8.5199999999999998E-2</v>
      </c>
      <c r="G121" s="255" cm="1">
        <f t="array" ref="G121">Scope3_Equations.VEERG_15_2_1_1__1_EmissionsFromPurchasedFeed(E121,F121)</f>
        <v>25.56</v>
      </c>
      <c r="H121" s="86">
        <v>0.14000000000000001</v>
      </c>
      <c r="I121" s="255" cm="1">
        <f t="array" ref="I121">Scope3_Equations.VEERG_15_2_1_1__1_EmissionsFromPurchasedFeed(E121,IF(H121,H121, F121))</f>
        <v>42.000000000000007</v>
      </c>
      <c r="J121" s="44"/>
      <c r="K121" s="23"/>
      <c r="L121" s="44"/>
      <c r="M121" s="25" t="str">
        <v>Sardines (whole)</v>
      </c>
      <c r="N121" s="25" t="str">
        <v>VIC</v>
      </c>
      <c r="O121" s="25">
        <v>0.8</v>
      </c>
      <c r="P121" s="25"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25" t="str">
        <v>Soybean meal</v>
      </c>
      <c r="R121" s="25" t="str">
        <v>Brazil</v>
      </c>
      <c r="S121" s="25">
        <v>0.2</v>
      </c>
      <c r="T121" s="25" cm="1">
        <f t="array" ref="T121">_xlfn.LET(_xlpm.result, Common_InputFunctions.Utility_LookupValueInTableTwoColumns(Q121, R121, Table_SourceData_Scope3_Feed[Product], Table_SourceData_Scope3_Feed[Region of origin], Table_SourceData_Scope3_Feed[AusLCI Emissions intensity]), IF(_xlpm.result="", 0, _xlpm.result))</f>
        <v>0.42599999999999999</v>
      </c>
      <c r="U121" s="25">
        <v>0</v>
      </c>
      <c r="V121" s="25">
        <v>0</v>
      </c>
      <c r="W121" s="25">
        <v>0</v>
      </c>
      <c r="X121" s="25" cm="1">
        <f t="array" ref="X121">_xlfn.LET(_xlpm.result, Common_InputFunctions.Utility_LookupValueInTableTwoColumns(U121, V121, Table_SourceData_Scope3_Feed[Product], Table_SourceData_Scope3_Feed[Region of origin], Table_SourceData_Scope3_Feed[AusLCI Emissions intensity]), IF(_xlpm.result="", 0, _xlpm.result))</f>
        <v>0</v>
      </c>
      <c r="Y121" s="25">
        <v>0</v>
      </c>
      <c r="Z121" s="25">
        <v>0</v>
      </c>
      <c r="AA121" s="25">
        <v>0</v>
      </c>
      <c r="AB121" s="25" cm="1">
        <f t="array" ref="AB121">_xlfn.LET(_xlpm.result, Common_InputFunctions.Utility_LookupValueInTableTwoColumns(Y121, Z121, Table_SourceData_Scope3_Feed[Product], Table_SourceData_Scope3_Feed[Region of origin], Table_SourceData_Scope3_Feed[AusLCI Emissions intensity]), IF(_xlpm.result="", 0, _xlpm.result))</f>
        <v>0</v>
      </c>
    </row>
    <row r="122" spans="1:28" ht="20.100000000000001" customHeight="1" x14ac:dyDescent="0.25">
      <c r="A122"/>
      <c r="D122" s="25">
        <v>0</v>
      </c>
      <c r="E122" s="25">
        <v>500</v>
      </c>
      <c r="F122" s="25">
        <f t="shared" si="0"/>
        <v>0.34499999999999997</v>
      </c>
      <c r="G122" s="255" cm="1">
        <f t="array" ref="G122">Scope3_Equations.VEERG_15_2_1_1__1_EmissionsFromPurchasedFeed(E122,F122)</f>
        <v>172.5</v>
      </c>
      <c r="H122" s="86"/>
      <c r="I122" s="255" cm="1">
        <f t="array" ref="I122">Scope3_Equations.VEERG_15_2_1_1__1_EmissionsFromPurchasedFeed(E122,IF(H122,H122, F122))</f>
        <v>172.5</v>
      </c>
      <c r="J122" s="44"/>
      <c r="K122" s="23"/>
      <c r="L122" s="44"/>
      <c r="M122" s="25" t="str">
        <v>Pasture hay</v>
      </c>
      <c r="N122" s="25" t="str">
        <v>VIC</v>
      </c>
      <c r="O122" s="25">
        <v>1</v>
      </c>
      <c r="P122" s="25"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25">
        <v>0</v>
      </c>
      <c r="R122" s="25">
        <v>0</v>
      </c>
      <c r="S122" s="25">
        <v>0</v>
      </c>
      <c r="T122" s="25" cm="1">
        <f t="array" ref="T122">_xlfn.LET(_xlpm.result, Common_InputFunctions.Utility_LookupValueInTableTwoColumns(Q122, R122, Table_SourceData_Scope3_Feed[Product], Table_SourceData_Scope3_Feed[Region of origin], Table_SourceData_Scope3_Feed[AusLCI Emissions intensity]), IF(_xlpm.result="", 0, _xlpm.result))</f>
        <v>0</v>
      </c>
      <c r="U122" s="25">
        <v>0</v>
      </c>
      <c r="V122" s="25">
        <v>0</v>
      </c>
      <c r="W122" s="25">
        <v>0</v>
      </c>
      <c r="X122" s="25" cm="1">
        <f t="array" ref="X122">_xlfn.LET(_xlpm.result, Common_InputFunctions.Utility_LookupValueInTableTwoColumns(U122, V122, Table_SourceData_Scope3_Feed[Product], Table_SourceData_Scope3_Feed[Region of origin], Table_SourceData_Scope3_Feed[AusLCI Emissions intensity]), IF(_xlpm.result="", 0, _xlpm.result))</f>
        <v>0</v>
      </c>
      <c r="Y122" s="25">
        <v>0</v>
      </c>
      <c r="Z122" s="25">
        <v>0</v>
      </c>
      <c r="AA122" s="25">
        <v>0</v>
      </c>
      <c r="AB122" s="25" cm="1">
        <f t="array" ref="AB122">_xlfn.LET(_xlpm.result, Common_InputFunctions.Utility_LookupValueInTableTwoColumns(Y122, Z122, Table_SourceData_Scope3_Feed[Product], Table_SourceData_Scope3_Feed[Region of origin], Table_SourceData_Scope3_Feed[AusLCI Emissions intensity]), IF(_xlpm.result="", 0, _xlpm.result))</f>
        <v>0</v>
      </c>
    </row>
    <row r="123" spans="1:28" ht="20.100000000000001" customHeight="1" x14ac:dyDescent="0.25">
      <c r="A123"/>
      <c r="D123" s="25">
        <v>0</v>
      </c>
      <c r="E123" s="25">
        <v>0</v>
      </c>
      <c r="F123" s="25">
        <f t="shared" si="0"/>
        <v>0</v>
      </c>
      <c r="G123" s="255" cm="1">
        <f t="array" ref="G123">Scope3_Equations.VEERG_15_2_1_1__1_EmissionsFromPurchasedFeed(E123,F123)</f>
        <v>0</v>
      </c>
      <c r="H123" s="86"/>
      <c r="I123" s="255" cm="1">
        <f t="array" ref="I123">Scope3_Equations.VEERG_15_2_1_1__1_EmissionsFromPurchasedFeed(E123,IF(H123,H123, F123))</f>
        <v>0</v>
      </c>
      <c r="J123" s="44"/>
      <c r="K123" s="23"/>
      <c r="L123" s="44"/>
      <c r="M123" s="25">
        <v>0</v>
      </c>
      <c r="N123" s="25">
        <v>0</v>
      </c>
      <c r="O123" s="25">
        <v>0</v>
      </c>
      <c r="P123" s="25"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25">
        <v>0</v>
      </c>
      <c r="R123" s="25">
        <v>0</v>
      </c>
      <c r="S123" s="25">
        <v>0</v>
      </c>
      <c r="T123" s="25" cm="1">
        <f t="array" ref="T123">_xlfn.LET(_xlpm.result, Common_InputFunctions.Utility_LookupValueInTableTwoColumns(Q123, R123, Table_SourceData_Scope3_Feed[Product], Table_SourceData_Scope3_Feed[Region of origin], Table_SourceData_Scope3_Feed[AusLCI Emissions intensity]), IF(_xlpm.result="", 0, _xlpm.result))</f>
        <v>0</v>
      </c>
      <c r="U123" s="25">
        <v>0</v>
      </c>
      <c r="V123" s="25">
        <v>0</v>
      </c>
      <c r="W123" s="25">
        <v>0</v>
      </c>
      <c r="X123" s="25" cm="1">
        <f t="array" ref="X123">_xlfn.LET(_xlpm.result, Common_InputFunctions.Utility_LookupValueInTableTwoColumns(U123, V123, Table_SourceData_Scope3_Feed[Product], Table_SourceData_Scope3_Feed[Region of origin], Table_SourceData_Scope3_Feed[AusLCI Emissions intensity]), IF(_xlpm.result="", 0, _xlpm.result))</f>
        <v>0</v>
      </c>
      <c r="Y123" s="25">
        <v>0</v>
      </c>
      <c r="Z123" s="25">
        <v>0</v>
      </c>
      <c r="AA123" s="25">
        <v>0</v>
      </c>
      <c r="AB123" s="25" cm="1">
        <f t="array" ref="AB123">_xlfn.LET(_xlpm.result, Common_InputFunctions.Utility_LookupValueInTableTwoColumns(Y123, Z123, Table_SourceData_Scope3_Feed[Product], Table_SourceData_Scope3_Feed[Region of origin], Table_SourceData_Scope3_Feed[AusLCI Emissions intensity]), IF(_xlpm.result="", 0, _xlpm.result))</f>
        <v>0</v>
      </c>
    </row>
    <row r="124" spans="1:28" ht="20.100000000000001" customHeight="1" x14ac:dyDescent="0.25">
      <c r="A124"/>
      <c r="D124" s="25">
        <v>0</v>
      </c>
      <c r="E124" s="25">
        <v>0</v>
      </c>
      <c r="F124" s="25">
        <f t="shared" si="0"/>
        <v>0</v>
      </c>
      <c r="G124" s="255" cm="1">
        <f t="array" ref="G124">Scope3_Equations.VEERG_15_2_1_1__1_EmissionsFromPurchasedFeed(E124,F124)</f>
        <v>0</v>
      </c>
      <c r="H124" s="86"/>
      <c r="I124" s="255" cm="1">
        <f t="array" ref="I124">Scope3_Equations.VEERG_15_2_1_1__1_EmissionsFromPurchasedFeed(E124,IF(H124,H124, F124))</f>
        <v>0</v>
      </c>
      <c r="J124" s="44"/>
      <c r="K124" s="23"/>
      <c r="L124" s="44"/>
      <c r="M124" s="25">
        <v>0</v>
      </c>
      <c r="N124" s="25">
        <v>0</v>
      </c>
      <c r="O124" s="25">
        <v>0</v>
      </c>
      <c r="P124" s="25"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25">
        <v>0</v>
      </c>
      <c r="R124" s="25">
        <v>0</v>
      </c>
      <c r="S124" s="25">
        <v>0</v>
      </c>
      <c r="T124" s="25" cm="1">
        <f t="array" ref="T124">_xlfn.LET(_xlpm.result, Common_InputFunctions.Utility_LookupValueInTableTwoColumns(Q124, R124, Table_SourceData_Scope3_Feed[Product], Table_SourceData_Scope3_Feed[Region of origin], Table_SourceData_Scope3_Feed[AusLCI Emissions intensity]), IF(_xlpm.result="", 0, _xlpm.result))</f>
        <v>0</v>
      </c>
      <c r="U124" s="25">
        <v>0</v>
      </c>
      <c r="V124" s="25">
        <v>0</v>
      </c>
      <c r="W124" s="25">
        <v>0</v>
      </c>
      <c r="X124" s="25" cm="1">
        <f t="array" ref="X124">_xlfn.LET(_xlpm.result, Common_InputFunctions.Utility_LookupValueInTableTwoColumns(U124, V124, Table_SourceData_Scope3_Feed[Product], Table_SourceData_Scope3_Feed[Region of origin], Table_SourceData_Scope3_Feed[AusLCI Emissions intensity]), IF(_xlpm.result="", 0, _xlpm.result))</f>
        <v>0</v>
      </c>
      <c r="Y124" s="25">
        <v>0</v>
      </c>
      <c r="Z124" s="25">
        <v>0</v>
      </c>
      <c r="AA124" s="25">
        <v>0</v>
      </c>
      <c r="AB124" s="25" cm="1">
        <f t="array" ref="AB124">_xlfn.LET(_xlpm.result, Common_InputFunctions.Utility_LookupValueInTableTwoColumns(Y124, Z124, Table_SourceData_Scope3_Feed[Product], Table_SourceData_Scope3_Feed[Region of origin], Table_SourceData_Scope3_Feed[AusLCI Emissions intensity]), IF(_xlpm.result="", 0, _xlpm.result))</f>
        <v>0</v>
      </c>
    </row>
    <row r="125" spans="1:28" ht="20.100000000000001" customHeight="1" x14ac:dyDescent="0.25">
      <c r="A125"/>
      <c r="D125" s="25">
        <v>0</v>
      </c>
      <c r="E125" s="25">
        <v>0</v>
      </c>
      <c r="F125" s="25">
        <f t="shared" si="0"/>
        <v>0</v>
      </c>
      <c r="G125" s="255" cm="1">
        <f t="array" ref="G125">Scope3_Equations.VEERG_15_2_1_1__1_EmissionsFromPurchasedFeed(E125,F125)</f>
        <v>0</v>
      </c>
      <c r="H125" s="86"/>
      <c r="I125" s="255" cm="1">
        <f t="array" ref="I125">Scope3_Equations.VEERG_15_2_1_1__1_EmissionsFromPurchasedFeed(E125,IF(H125,H125, F125))</f>
        <v>0</v>
      </c>
      <c r="J125" s="44"/>
      <c r="K125" s="23"/>
      <c r="L125" s="44"/>
      <c r="M125" s="25">
        <v>0</v>
      </c>
      <c r="N125" s="25">
        <v>0</v>
      </c>
      <c r="O125" s="25">
        <v>0</v>
      </c>
      <c r="P125" s="25"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25">
        <v>0</v>
      </c>
      <c r="R125" s="25">
        <v>0</v>
      </c>
      <c r="S125" s="25">
        <v>0</v>
      </c>
      <c r="T125" s="25" cm="1">
        <f t="array" ref="T125">_xlfn.LET(_xlpm.result, Common_InputFunctions.Utility_LookupValueInTableTwoColumns(Q125, R125, Table_SourceData_Scope3_Feed[Product], Table_SourceData_Scope3_Feed[Region of origin], Table_SourceData_Scope3_Feed[AusLCI Emissions intensity]), IF(_xlpm.result="", 0, _xlpm.result))</f>
        <v>0</v>
      </c>
      <c r="U125" s="25">
        <v>0</v>
      </c>
      <c r="V125" s="25">
        <v>0</v>
      </c>
      <c r="W125" s="25">
        <v>0</v>
      </c>
      <c r="X125" s="25" cm="1">
        <f t="array" ref="X125">_xlfn.LET(_xlpm.result, Common_InputFunctions.Utility_LookupValueInTableTwoColumns(U125, V125, Table_SourceData_Scope3_Feed[Product], Table_SourceData_Scope3_Feed[Region of origin], Table_SourceData_Scope3_Feed[AusLCI Emissions intensity]), IF(_xlpm.result="", 0, _xlpm.result))</f>
        <v>0</v>
      </c>
      <c r="Y125" s="25">
        <v>0</v>
      </c>
      <c r="Z125" s="25">
        <v>0</v>
      </c>
      <c r="AA125" s="25">
        <v>0</v>
      </c>
      <c r="AB125" s="25" cm="1">
        <f t="array" ref="AB125">_xlfn.LET(_xlpm.result, Common_InputFunctions.Utility_LookupValueInTableTwoColumns(Y125, Z125, Table_SourceData_Scope3_Feed[Product], Table_SourceData_Scope3_Feed[Region of origin], Table_SourceData_Scope3_Feed[AusLCI Emissions intensity]), IF(_xlpm.result="", 0, _xlpm.result))</f>
        <v>0</v>
      </c>
    </row>
    <row r="126" spans="1:28" ht="20.100000000000001" customHeight="1" x14ac:dyDescent="0.25">
      <c r="A126"/>
      <c r="D126" s="25">
        <v>0</v>
      </c>
      <c r="E126" s="25">
        <v>0</v>
      </c>
      <c r="F126" s="25">
        <f t="shared" si="0"/>
        <v>0</v>
      </c>
      <c r="G126" s="255" cm="1">
        <f t="array" ref="G126">Scope3_Equations.VEERG_15_2_1_1__1_EmissionsFromPurchasedFeed(E126,F126)</f>
        <v>0</v>
      </c>
      <c r="H126" s="86"/>
      <c r="I126" s="255" cm="1">
        <f t="array" ref="I126">Scope3_Equations.VEERG_15_2_1_1__1_EmissionsFromPurchasedFeed(E126,IF(H126,H126, F126))</f>
        <v>0</v>
      </c>
      <c r="J126" s="44"/>
      <c r="K126" s="23"/>
      <c r="L126" s="44"/>
      <c r="M126" s="25">
        <v>0</v>
      </c>
      <c r="N126" s="25">
        <v>0</v>
      </c>
      <c r="O126" s="25">
        <v>0</v>
      </c>
      <c r="P126" s="25"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25">
        <v>0</v>
      </c>
      <c r="R126" s="25">
        <v>0</v>
      </c>
      <c r="S126" s="25">
        <v>0</v>
      </c>
      <c r="T126" s="25" cm="1">
        <f t="array" ref="T126">_xlfn.LET(_xlpm.result, Common_InputFunctions.Utility_LookupValueInTableTwoColumns(Q126, R126, Table_SourceData_Scope3_Feed[Product], Table_SourceData_Scope3_Feed[Region of origin], Table_SourceData_Scope3_Feed[AusLCI Emissions intensity]), IF(_xlpm.result="", 0, _xlpm.result))</f>
        <v>0</v>
      </c>
      <c r="U126" s="25">
        <v>0</v>
      </c>
      <c r="V126" s="25">
        <v>0</v>
      </c>
      <c r="W126" s="25">
        <v>0</v>
      </c>
      <c r="X126" s="25" cm="1">
        <f t="array" ref="X126">_xlfn.LET(_xlpm.result, Common_InputFunctions.Utility_LookupValueInTableTwoColumns(U126, V126, Table_SourceData_Scope3_Feed[Product], Table_SourceData_Scope3_Feed[Region of origin], Table_SourceData_Scope3_Feed[AusLCI Emissions intensity]), IF(_xlpm.result="", 0, _xlpm.result))</f>
        <v>0</v>
      </c>
      <c r="Y126" s="25">
        <v>0</v>
      </c>
      <c r="Z126" s="25">
        <v>0</v>
      </c>
      <c r="AA126" s="25">
        <v>0</v>
      </c>
      <c r="AB126" s="25" cm="1">
        <f t="array" ref="AB126">_xlfn.LET(_xlpm.result, Common_InputFunctions.Utility_LookupValueInTableTwoColumns(Y126, Z126, Table_SourceData_Scope3_Feed[Product], Table_SourceData_Scope3_Feed[Region of origin], Table_SourceData_Scope3_Feed[AusLCI Emissions intensity]), IF(_xlpm.result="", 0, _xlpm.result))</f>
        <v>0</v>
      </c>
    </row>
    <row r="127" spans="1:28" ht="20.100000000000001" customHeight="1" x14ac:dyDescent="0.25">
      <c r="A127"/>
      <c r="D127" s="25">
        <v>0</v>
      </c>
      <c r="E127" s="25">
        <v>0</v>
      </c>
      <c r="F127" s="25">
        <f t="shared" si="0"/>
        <v>0</v>
      </c>
      <c r="G127" s="255" cm="1">
        <f t="array" ref="G127">Scope3_Equations.VEERG_15_2_1_1__1_EmissionsFromPurchasedFeed(E127,F127)</f>
        <v>0</v>
      </c>
      <c r="H127" s="86"/>
      <c r="I127" s="255" cm="1">
        <f t="array" ref="I127">Scope3_Equations.VEERG_15_2_1_1__1_EmissionsFromPurchasedFeed(E127,IF(H127,H127, F127))</f>
        <v>0</v>
      </c>
      <c r="J127" s="44"/>
      <c r="K127" s="23"/>
      <c r="L127" s="44"/>
      <c r="M127" s="25">
        <v>0</v>
      </c>
      <c r="N127" s="25">
        <v>0</v>
      </c>
      <c r="O127" s="25">
        <v>0</v>
      </c>
      <c r="P127" s="25"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25">
        <v>0</v>
      </c>
      <c r="R127" s="25">
        <v>0</v>
      </c>
      <c r="S127" s="25">
        <v>0</v>
      </c>
      <c r="T127" s="25" cm="1">
        <f t="array" ref="T127">_xlfn.LET(_xlpm.result, Common_InputFunctions.Utility_LookupValueInTableTwoColumns(Q127, R127, Table_SourceData_Scope3_Feed[Product], Table_SourceData_Scope3_Feed[Region of origin], Table_SourceData_Scope3_Feed[AusLCI Emissions intensity]), IF(_xlpm.result="", 0, _xlpm.result))</f>
        <v>0</v>
      </c>
      <c r="U127" s="25">
        <v>0</v>
      </c>
      <c r="V127" s="25">
        <v>0</v>
      </c>
      <c r="W127" s="25">
        <v>0</v>
      </c>
      <c r="X127" s="25" cm="1">
        <f t="array" ref="X127">_xlfn.LET(_xlpm.result, Common_InputFunctions.Utility_LookupValueInTableTwoColumns(U127, V127, Table_SourceData_Scope3_Feed[Product], Table_SourceData_Scope3_Feed[Region of origin], Table_SourceData_Scope3_Feed[AusLCI Emissions intensity]), IF(_xlpm.result="", 0, _xlpm.result))</f>
        <v>0</v>
      </c>
      <c r="Y127" s="25">
        <v>0</v>
      </c>
      <c r="Z127" s="25">
        <v>0</v>
      </c>
      <c r="AA127" s="25">
        <v>0</v>
      </c>
      <c r="AB127" s="25" cm="1">
        <f t="array" ref="AB127">_xlfn.LET(_xlpm.result, Common_InputFunctions.Utility_LookupValueInTableTwoColumns(Y127, Z127, Table_SourceData_Scope3_Feed[Product], Table_SourceData_Scope3_Feed[Region of origin], Table_SourceData_Scope3_Feed[AusLCI Emissions intensity]), IF(_xlpm.result="", 0, _xlpm.result))</f>
        <v>0</v>
      </c>
    </row>
    <row r="128" spans="1:28" ht="20.100000000000001" customHeight="1" x14ac:dyDescent="0.25">
      <c r="A128"/>
      <c r="D128" s="25">
        <v>0</v>
      </c>
      <c r="E128" s="25">
        <v>0</v>
      </c>
      <c r="F128" s="25">
        <f t="shared" si="0"/>
        <v>0</v>
      </c>
      <c r="G128" s="255" cm="1">
        <f t="array" ref="G128">Scope3_Equations.VEERG_15_2_1_1__1_EmissionsFromPurchasedFeed(E128,F128)</f>
        <v>0</v>
      </c>
      <c r="H128" s="86"/>
      <c r="I128" s="255" cm="1">
        <f t="array" ref="I128">Scope3_Equations.VEERG_15_2_1_1__1_EmissionsFromPurchasedFeed(E128,IF(H128,H128, F128))</f>
        <v>0</v>
      </c>
      <c r="J128" s="44"/>
      <c r="K128" s="23"/>
      <c r="L128" s="44"/>
      <c r="M128" s="25">
        <v>0</v>
      </c>
      <c r="N128" s="25">
        <v>0</v>
      </c>
      <c r="O128" s="25">
        <v>0</v>
      </c>
      <c r="P128" s="25"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25">
        <v>0</v>
      </c>
      <c r="R128" s="25">
        <v>0</v>
      </c>
      <c r="S128" s="25">
        <v>0</v>
      </c>
      <c r="T128" s="25" cm="1">
        <f t="array" ref="T128">_xlfn.LET(_xlpm.result, Common_InputFunctions.Utility_LookupValueInTableTwoColumns(Q128, R128, Table_SourceData_Scope3_Feed[Product], Table_SourceData_Scope3_Feed[Region of origin], Table_SourceData_Scope3_Feed[AusLCI Emissions intensity]), IF(_xlpm.result="", 0, _xlpm.result))</f>
        <v>0</v>
      </c>
      <c r="U128" s="25">
        <v>0</v>
      </c>
      <c r="V128" s="25">
        <v>0</v>
      </c>
      <c r="W128" s="25">
        <v>0</v>
      </c>
      <c r="X128" s="25" cm="1">
        <f t="array" ref="X128">_xlfn.LET(_xlpm.result, Common_InputFunctions.Utility_LookupValueInTableTwoColumns(U128, V128, Table_SourceData_Scope3_Feed[Product], Table_SourceData_Scope3_Feed[Region of origin], Table_SourceData_Scope3_Feed[AusLCI Emissions intensity]), IF(_xlpm.result="", 0, _xlpm.result))</f>
        <v>0</v>
      </c>
      <c r="Y128" s="25">
        <v>0</v>
      </c>
      <c r="Z128" s="25">
        <v>0</v>
      </c>
      <c r="AA128" s="25">
        <v>0</v>
      </c>
      <c r="AB128" s="25" cm="1">
        <f t="array" ref="AB128">_xlfn.LET(_xlpm.result, Common_InputFunctions.Utility_LookupValueInTableTwoColumns(Y128, Z128, Table_SourceData_Scope3_Feed[Product], Table_SourceData_Scope3_Feed[Region of origin], Table_SourceData_Scope3_Feed[AusLCI Emissions intensity]), IF(_xlpm.result="", 0, _xlpm.result))</f>
        <v>0</v>
      </c>
    </row>
    <row r="129" spans="1:12" ht="20.100000000000001" customHeight="1" x14ac:dyDescent="0.25">
      <c r="A129"/>
    </row>
    <row r="130" spans="1:12" ht="20.100000000000001" customHeight="1" x14ac:dyDescent="0.25">
      <c r="A130"/>
      <c r="D130" s="159" t="s">
        <v>824</v>
      </c>
      <c r="E130" s="146">
        <f>SUM(G119:G128)</f>
        <v>471.44159999999999</v>
      </c>
      <c r="F130" s="153" t="str">
        <f>$E$104</f>
        <v>t CO2e</v>
      </c>
    </row>
    <row r="131" spans="1:12" ht="20.100000000000001" customHeight="1" x14ac:dyDescent="0.25">
      <c r="A131"/>
      <c r="D131" s="159" t="s">
        <v>827</v>
      </c>
      <c r="E131" s="146">
        <f>SUM(I119:I128)</f>
        <v>366.18</v>
      </c>
      <c r="F131" s="153" t="str">
        <f>$E$104</f>
        <v>t CO2e</v>
      </c>
    </row>
    <row r="132" spans="1:12" ht="20.100000000000001" customHeight="1" x14ac:dyDescent="0.25">
      <c r="A132"/>
    </row>
    <row r="133" spans="1:12" ht="20.100000000000001" customHeight="1" x14ac:dyDescent="0.25">
      <c r="A133"/>
    </row>
    <row r="134" spans="1:12" ht="20.100000000000001" customHeight="1" x14ac:dyDescent="0.25">
      <c r="A134"/>
      <c r="D134" s="239" t="s">
        <v>736</v>
      </c>
    </row>
    <row r="135" spans="1:12" ht="20.100000000000001" customHeight="1" x14ac:dyDescent="0.25">
      <c r="A135"/>
      <c r="D135" s="92" t="s">
        <v>137</v>
      </c>
      <c r="E135" s="92" t="s">
        <v>852</v>
      </c>
      <c r="F135" s="145" t="s">
        <v>853</v>
      </c>
      <c r="G135" s="145" t="s">
        <v>824</v>
      </c>
      <c r="H135" s="92" t="s">
        <v>854</v>
      </c>
      <c r="I135" s="145" t="s">
        <v>827</v>
      </c>
      <c r="J135" s="92" t="s">
        <v>828</v>
      </c>
      <c r="K135" s="92" t="s">
        <v>829</v>
      </c>
      <c r="L135" s="92" t="s">
        <v>830</v>
      </c>
    </row>
    <row r="136" spans="1:12" ht="20.100000000000001" customHeight="1" x14ac:dyDescent="0.25">
      <c r="A136"/>
      <c r="D136" s="25" t="str">
        <f>'Input - Farm Inputs'!D56</f>
        <v>Feed for chickens</v>
      </c>
      <c r="E136" s="25">
        <f>X_Cell_FarmInputs_FeedRations_Chickens</f>
        <v>100</v>
      </c>
      <c r="F136" s="25" cm="1">
        <f t="array" ref="F136">Common_InputFunctions.Utility_LookupValueInTableNumber(D136,Table_SourceData_Scope3_MixedRations[Product],Table_SourceData_Scope3_MixedRations[AusLCI Emissions intensity])</f>
        <v>0.59399999999999997</v>
      </c>
      <c r="G136" s="255" cm="1">
        <f t="array" ref="G136">Scope3_Equations.VEERG_15_2_1_1__1_EmissionsFromPurchasedFeed(E136,F136)</f>
        <v>59.4</v>
      </c>
      <c r="H136" s="86">
        <v>0.5</v>
      </c>
      <c r="I136" s="255" cm="1">
        <f t="array" ref="I136">Scope3_Equations.VEERG_15_2_1_1__1_EmissionsFromPurchasedFeed(E136,IF(H136,H136, F136))</f>
        <v>50</v>
      </c>
      <c r="J136" s="44"/>
      <c r="K136" s="23"/>
      <c r="L136" s="238"/>
    </row>
    <row r="137" spans="1:12" ht="20.100000000000001" customHeight="1" x14ac:dyDescent="0.25">
      <c r="A137"/>
      <c r="D137" s="25" t="str">
        <f>'Input - Farm Inputs'!D57</f>
        <v>Feed for dairy calves</v>
      </c>
      <c r="E137" s="25">
        <f>X_Cell_FarmInputs_FeedRations_DairyCalves</f>
        <v>100</v>
      </c>
      <c r="F137" s="25" cm="1">
        <f t="array" ref="F137">Common_InputFunctions.Utility_LookupValueInTableNumber(D137,Table_SourceData_Scope3_MixedRations[Product],Table_SourceData_Scope3_MixedRations[AusLCI Emissions intensity])</f>
        <v>0.41899999999999998</v>
      </c>
      <c r="G137" s="255" cm="1">
        <f t="array" ref="G137">Scope3_Equations.VEERG_15_2_1_1__1_EmissionsFromPurchasedFeed(E137,F137)</f>
        <v>41.9</v>
      </c>
      <c r="H137" s="86">
        <v>0.4</v>
      </c>
      <c r="I137" s="255" cm="1">
        <f t="array" ref="I137">Scope3_Equations.VEERG_15_2_1_1__1_EmissionsFromPurchasedFeed(E137,IF(H137,H137, F137))</f>
        <v>40</v>
      </c>
      <c r="J137" s="44"/>
      <c r="K137" s="23"/>
      <c r="L137" s="44"/>
    </row>
    <row r="138" spans="1:12" ht="20.100000000000001" customHeight="1" x14ac:dyDescent="0.25">
      <c r="A138"/>
      <c r="D138" s="25" t="str">
        <f>'Input - Farm Inputs'!D58</f>
        <v>Feed for dairy cows</v>
      </c>
      <c r="E138" s="25">
        <f>X_Cell_FarmInputs_FeedRations_DairyCows</f>
        <v>100</v>
      </c>
      <c r="F138" s="25" cm="1">
        <f t="array" ref="F138">Common_InputFunctions.Utility_LookupValueInTableNumber(D138,Table_SourceData_Scope3_MixedRations[Product],Table_SourceData_Scope3_MixedRations[AusLCI Emissions intensity])</f>
        <v>0.33300000000000002</v>
      </c>
      <c r="G138" s="255" cm="1">
        <f t="array" ref="G138">Scope3_Equations.VEERG_15_2_1_1__1_EmissionsFromPurchasedFeed(E138,F138)</f>
        <v>33.300000000000004</v>
      </c>
      <c r="H138" s="86">
        <v>0</v>
      </c>
      <c r="I138" s="255" cm="1">
        <f t="array" ref="I138">Scope3_Equations.VEERG_15_2_1_1__1_EmissionsFromPurchasedFeed(E138,IF(H138,H138, F138))</f>
        <v>33.300000000000004</v>
      </c>
      <c r="J138" s="44"/>
      <c r="K138" s="23"/>
      <c r="L138" s="44"/>
    </row>
    <row r="139" spans="1:12" ht="20.100000000000001" customHeight="1" x14ac:dyDescent="0.25">
      <c r="A139"/>
      <c r="D139" s="25" t="str">
        <f>'Input - Farm Inputs'!D59</f>
        <v>Feed for pigs</v>
      </c>
      <c r="E139" s="25">
        <f>X_Cell_FarmInputs_FeedRations_Pigs</f>
        <v>100</v>
      </c>
      <c r="F139" s="25" cm="1">
        <f t="array" ref="F139">Common_InputFunctions.Utility_LookupValueInTableNumber(D139,Table_SourceData_Scope3_MixedRations[Product],Table_SourceData_Scope3_MixedRations[AusLCI Emissions intensity])</f>
        <v>0.40300000000000002</v>
      </c>
      <c r="G139" s="255" cm="1">
        <f t="array" ref="G139">Scope3_Equations.VEERG_15_2_1_1__1_EmissionsFromPurchasedFeed(E139,F139)</f>
        <v>40.300000000000004</v>
      </c>
      <c r="H139" s="86">
        <v>0</v>
      </c>
      <c r="I139" s="255" cm="1">
        <f t="array" ref="I139">Scope3_Equations.VEERG_15_2_1_1__1_EmissionsFromPurchasedFeed(E139,IF(H139,H139, F139))</f>
        <v>40.300000000000004</v>
      </c>
      <c r="J139" s="44"/>
      <c r="K139" s="23"/>
      <c r="L139" s="44"/>
    </row>
    <row r="140" spans="1:12" ht="20.100000000000001" customHeight="1" x14ac:dyDescent="0.25">
      <c r="A140"/>
    </row>
    <row r="141" spans="1:12" ht="20.100000000000001" customHeight="1" x14ac:dyDescent="0.25">
      <c r="A141"/>
      <c r="D141" s="159" t="s">
        <v>824</v>
      </c>
      <c r="E141" s="146">
        <f>SUM(G136:G139)</f>
        <v>174.9</v>
      </c>
      <c r="F141" s="153" t="str">
        <f>$E$104</f>
        <v>t CO2e</v>
      </c>
    </row>
    <row r="142" spans="1:12" ht="20.100000000000001" customHeight="1" x14ac:dyDescent="0.25">
      <c r="A142"/>
      <c r="D142" s="159" t="s">
        <v>827</v>
      </c>
      <c r="E142" s="146">
        <f>SUM(I136:I139)</f>
        <v>163.60000000000002</v>
      </c>
      <c r="F142" s="153" t="str">
        <f>$E$104</f>
        <v>t CO2e</v>
      </c>
    </row>
    <row r="143" spans="1:12" ht="20.100000000000001" customHeight="1" x14ac:dyDescent="0.25">
      <c r="A143"/>
    </row>
    <row r="144" spans="1:12" ht="20.100000000000001" customHeight="1" x14ac:dyDescent="0.25">
      <c r="A144"/>
      <c r="D144" s="149" t="s">
        <v>824</v>
      </c>
      <c r="E144" s="150">
        <f>E130+E141</f>
        <v>646.34159999999997</v>
      </c>
      <c r="F144" s="151" t="str">
        <f>$E$104</f>
        <v>t CO2e</v>
      </c>
    </row>
    <row r="145" spans="1:41" ht="20.100000000000001" customHeight="1" x14ac:dyDescent="0.25">
      <c r="A145"/>
      <c r="D145" s="149" t="s">
        <v>827</v>
      </c>
      <c r="E145" s="150">
        <f>E131+E142</f>
        <v>529.78</v>
      </c>
      <c r="F145" s="151" t="str">
        <f>$E$104</f>
        <v>t CO2e</v>
      </c>
    </row>
    <row r="146" spans="1:41" ht="20.100000000000001" customHeight="1" x14ac:dyDescent="0.25">
      <c r="A146"/>
    </row>
    <row r="147" spans="1:41" ht="20.100000000000001" customHeight="1" x14ac:dyDescent="0.25">
      <c r="A147"/>
    </row>
    <row r="148" spans="1:41" ht="20.100000000000001" customHeight="1" x14ac:dyDescent="0.25">
      <c r="A148"/>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row>
    <row r="149" spans="1:41" ht="20.100000000000001" customHeight="1" x14ac:dyDescent="0.25">
      <c r="A149"/>
      <c r="D149" s="2" t="str" cm="1">
        <f t="array" ref="D149">Scope3_Equations.VEERG_15_3_1_1__1_EmissionsFromPurchasedMineralSupplements_Title()</f>
        <v>Total emissions from purchased mineral supplements</v>
      </c>
    </row>
    <row r="150" spans="1:41" ht="20.100000000000001" customHeight="1" x14ac:dyDescent="0.25">
      <c r="A150"/>
      <c r="D150" s="27" t="str" cm="1">
        <f t="array" ref="D150">Scope3_Equations.VEERG_15_3_1_1__1_EmissionsFromPurchasedMineralSupplements_Source()</f>
        <v>VEERG 2026: 15.3.1.1, Equation (1)</v>
      </c>
    </row>
    <row r="151" spans="1:41" ht="20.100000000000001" customHeight="1" x14ac:dyDescent="0.25">
      <c r="A151"/>
      <c r="D151" s="132" t="s">
        <v>267</v>
      </c>
      <c r="E151" s="132" t="str" cm="1">
        <f t="array" aca="1" ref="E151" ca="1">Common_InputFunctions.Utility_DisplayFunctionName(G162)</f>
        <v>=Scope3_Equations.VEERG_15_3_1_1__1_EmissionsFromPurchasedMineralSupplements</v>
      </c>
    </row>
    <row r="152" spans="1:41" ht="20.100000000000001" customHeight="1" x14ac:dyDescent="0.25">
      <c r="A152"/>
    </row>
    <row r="153" spans="1:41" ht="20.100000000000001" customHeight="1" x14ac:dyDescent="0.25">
      <c r="A153"/>
      <c r="H153" s="132"/>
    </row>
    <row r="154" spans="1:41" ht="20.100000000000001" customHeight="1" x14ac:dyDescent="0.25">
      <c r="A154"/>
      <c r="D154" s="88" t="s">
        <v>268</v>
      </c>
      <c r="E154" s="1" t="str" cm="1">
        <f t="array" ref="E154">Scope3_Equations.VEERG_15_3_1_1__1_EmissionsFromPurchasedMineralSupplements_Variable()</f>
        <v>E</v>
      </c>
    </row>
    <row r="155" spans="1:41" ht="20.100000000000001" customHeight="1" x14ac:dyDescent="0.25">
      <c r="A155"/>
      <c r="D155" s="88" t="s">
        <v>121</v>
      </c>
      <c r="E155" s="15" t="str" cm="1">
        <f t="array" ref="E155">Scope3_Equations.VEERG_15_3_1_1__1_EmissionsFromPurchasedMineralSupplements_Unit()</f>
        <v>t CO2e</v>
      </c>
    </row>
    <row r="156" spans="1:41" ht="20.100000000000001" customHeight="1" x14ac:dyDescent="0.25">
      <c r="A156"/>
    </row>
    <row r="157" spans="1:41" ht="20.100000000000001" customHeight="1" x14ac:dyDescent="0.25">
      <c r="A157"/>
      <c r="D157" s="154" t="str" cm="1">
        <f t="array" ref="D157:E159">_xlfn.CHOOSECOLS(Scope3_Equations.VEERG_15_3_1_1__1_EmissionsFromPurchasedMineralSupplements_Arguments(),1,2)</f>
        <v>Q_m</v>
      </c>
      <c r="E157" s="162" t="str">
        <v>total quantity of mineral supplement type m used</v>
      </c>
      <c r="F157" s="164"/>
      <c r="G157" s="154" t="str" cm="1">
        <f t="array" ref="G157:H159">_xlfn.CHOOSECOLS(Scope3_Equations.VEERG_15_3_1_1__1_EmissionsFromPurchasedMineralSupplements_Arguments(),3,4)</f>
        <v>t</v>
      </c>
      <c r="H157" s="253" t="str">
        <v>Input</v>
      </c>
    </row>
    <row r="158" spans="1:41" ht="20.100000000000001" customHeight="1" x14ac:dyDescent="0.25">
      <c r="A158"/>
      <c r="D158" s="154" t="str">
        <v>EF_m</v>
      </c>
      <c r="E158" s="162" t="str">
        <v>emission factor of purchased mineral supplement</v>
      </c>
      <c r="F158" s="164"/>
      <c r="G158" s="154" t="str">
        <v>kg CO2e/kg</v>
      </c>
      <c r="H158" s="253" t="str">
        <v>Constant</v>
      </c>
    </row>
    <row r="159" spans="1:41" ht="20.100000000000001" customHeight="1" x14ac:dyDescent="0.25">
      <c r="A159"/>
      <c r="D159" s="154" t="str">
        <v>m</v>
      </c>
      <c r="E159" s="162" t="str">
        <v>mineral supplement type</v>
      </c>
      <c r="F159" s="164"/>
      <c r="G159" s="154" t="str">
        <v/>
      </c>
      <c r="H159" s="137" t="str">
        <v>Input</v>
      </c>
    </row>
    <row r="160" spans="1:41" ht="20.100000000000001" customHeight="1" x14ac:dyDescent="0.25">
      <c r="A160"/>
    </row>
    <row r="161" spans="3:41" ht="20.100000000000001" customHeight="1" x14ac:dyDescent="0.25">
      <c r="D161" s="92" t="s">
        <v>137</v>
      </c>
      <c r="E161" s="92" t="s">
        <v>863</v>
      </c>
      <c r="F161" s="145" t="s">
        <v>864</v>
      </c>
      <c r="G161" s="145" t="s">
        <v>824</v>
      </c>
      <c r="H161" s="92" t="s">
        <v>865</v>
      </c>
      <c r="I161" s="145" t="s">
        <v>827</v>
      </c>
      <c r="J161" s="92" t="s">
        <v>828</v>
      </c>
      <c r="K161" s="92" t="s">
        <v>829</v>
      </c>
      <c r="L161" s="92" t="s">
        <v>830</v>
      </c>
    </row>
    <row r="162" spans="3:41" ht="20.100000000000001" customHeight="1" x14ac:dyDescent="0.25">
      <c r="D162" s="25" t="str">
        <f>'Input - Farm Inputs'!D51</f>
        <v>Lick block, dry season mix</v>
      </c>
      <c r="E162" s="25">
        <f>X_Cell_FarmInputs_LickBlocks_DrySeasonMix</f>
        <v>100</v>
      </c>
      <c r="F162" s="25" cm="1">
        <f t="array" ref="F162">Common_InputFunctions.Utility_LookupValueInTableNumber(D162,Table_SourceData_Scope3_LickBlocks[Product],Table_SourceData_Scope3_LickBlocks[AusLCI Emissions intensity])</f>
        <v>0.88100000000000001</v>
      </c>
      <c r="G162" s="255" cm="1">
        <f t="array" ref="G162">Scope3_Equations.VEERG_15_3_1_1__1_EmissionsFromPurchasedMineralSupplements(E162,F162)</f>
        <v>88.1</v>
      </c>
      <c r="H162" s="86">
        <v>0.8</v>
      </c>
      <c r="I162" s="255" cm="1">
        <f t="array" ref="I162">Scope3_Equations.VEERG_15_3_1_1__1_EmissionsFromPurchasedMineralSupplements(E162,IF(H162, H162, F162))</f>
        <v>80</v>
      </c>
      <c r="J162" s="44"/>
      <c r="K162" s="23"/>
      <c r="L162" s="238"/>
    </row>
    <row r="163" spans="3:41" ht="20.100000000000001" customHeight="1" x14ac:dyDescent="0.25">
      <c r="D163" s="25" t="str">
        <f>'Input - Farm Inputs'!D52</f>
        <v>Lick block, mineral</v>
      </c>
      <c r="E163" s="25">
        <f>X_Cell_FarmInputs_LickBlocks_Mineral</f>
        <v>100</v>
      </c>
      <c r="F163" s="25" cm="1">
        <f t="array" ref="F163">Common_InputFunctions.Utility_LookupValueInTableNumber(D163,Table_SourceData_Scope3_LickBlocks[Product],Table_SourceData_Scope3_LickBlocks[AusLCI Emissions intensity])</f>
        <v>0.67700000000000005</v>
      </c>
      <c r="G163" s="255" cm="1">
        <f t="array" ref="G163">Scope3_Equations.VEERG_15_3_1_1__1_EmissionsFromPurchasedMineralSupplements(E163,F163)</f>
        <v>67.7</v>
      </c>
      <c r="H163" s="86">
        <v>0.6</v>
      </c>
      <c r="I163" s="255" cm="1">
        <f t="array" ref="I163">Scope3_Equations.VEERG_15_3_1_1__1_EmissionsFromPurchasedMineralSupplements(E163,IF(H163, H163, F163))</f>
        <v>60</v>
      </c>
      <c r="J163" s="44"/>
      <c r="K163" s="23"/>
      <c r="L163" s="44"/>
    </row>
    <row r="164" spans="3:41" ht="20.100000000000001" customHeight="1" x14ac:dyDescent="0.25">
      <c r="D164" s="25" t="str">
        <f>'Input - Farm Inputs'!D53</f>
        <v>Lick block, weaner</v>
      </c>
      <c r="E164" s="25">
        <f>X_Cell_FarmInputs_LickBlocks_Weaner</f>
        <v>100</v>
      </c>
      <c r="F164" s="25" cm="1">
        <f t="array" ref="F164">Common_InputFunctions.Utility_LookupValueInTableNumber(D164,Table_SourceData_Scope3_LickBlocks[Product],Table_SourceData_Scope3_LickBlocks[AusLCI Emissions intensity])</f>
        <v>0.23100000000000001</v>
      </c>
      <c r="G164" s="255" cm="1">
        <f t="array" ref="G164">Scope3_Equations.VEERG_15_3_1_1__1_EmissionsFromPurchasedMineralSupplements(E164,F164)</f>
        <v>23.1</v>
      </c>
      <c r="H164" s="86">
        <v>0.2</v>
      </c>
      <c r="I164" s="255" cm="1">
        <f t="array" ref="I164">Scope3_Equations.VEERG_15_3_1_1__1_EmissionsFromPurchasedMineralSupplements(E164,IF(H164, H164, F164))</f>
        <v>20</v>
      </c>
      <c r="J164" s="44"/>
      <c r="K164" s="23"/>
      <c r="L164" s="44"/>
    </row>
    <row r="165" spans="3:41" ht="20.100000000000001" customHeight="1" x14ac:dyDescent="0.25"/>
    <row r="166" spans="3:41" ht="20.100000000000001" customHeight="1" x14ac:dyDescent="0.25">
      <c r="D166" s="149" t="s">
        <v>824</v>
      </c>
      <c r="E166" s="150">
        <f>SUM(G162:G164)</f>
        <v>178.9</v>
      </c>
      <c r="F166" s="151" t="str">
        <f>$E$155</f>
        <v>t CO2e</v>
      </c>
    </row>
    <row r="167" spans="3:41" ht="20.100000000000001" customHeight="1" x14ac:dyDescent="0.25">
      <c r="D167" s="149" t="s">
        <v>827</v>
      </c>
      <c r="E167" s="150">
        <f>SUM(I162:I164)</f>
        <v>160</v>
      </c>
      <c r="F167" s="151" t="str">
        <f>$E$155</f>
        <v>t CO2e</v>
      </c>
    </row>
    <row r="168" spans="3:41" ht="20.100000000000001" customHeight="1" x14ac:dyDescent="0.25"/>
    <row r="169" spans="3:41" ht="20.100000000000001" customHeight="1" x14ac:dyDescent="0.25"/>
    <row r="170" spans="3:41" ht="20.100000000000001" customHeight="1" x14ac:dyDescent="0.25">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c r="AA170" s="146"/>
      <c r="AB170" s="146"/>
      <c r="AC170" s="146"/>
      <c r="AD170" s="146"/>
      <c r="AE170" s="146"/>
      <c r="AF170" s="146"/>
      <c r="AG170" s="146"/>
      <c r="AH170" s="146"/>
      <c r="AI170" s="146"/>
      <c r="AJ170" s="146"/>
      <c r="AK170" s="146"/>
      <c r="AL170" s="146"/>
      <c r="AM170" s="146"/>
      <c r="AN170" s="146"/>
      <c r="AO170" s="146"/>
    </row>
    <row r="171" spans="3:41" ht="20.100000000000001" customHeight="1" x14ac:dyDescent="0.25">
      <c r="D171" s="2" t="str" cm="1">
        <f t="array" ref="D171">Scope3_Equations.VEERG_15_4_1_1__X_EmissionFactorFromPurchasedFertiliserComponents_Title()</f>
        <v>Emission factor for fertiliser product derived from components</v>
      </c>
    </row>
    <row r="172" spans="3:41" ht="20.100000000000001" customHeight="1" x14ac:dyDescent="0.25">
      <c r="D172" s="27" t="str" cm="1">
        <f t="array" ref="D172">Scope3_Equations.VEERG_15_4_1_1__X_EmissionFactorFromPurchasedFertiliserComponents_Source()</f>
        <v>GAF</v>
      </c>
    </row>
    <row r="173" spans="3:41" ht="20.100000000000001" customHeight="1" x14ac:dyDescent="0.25">
      <c r="D173" s="36"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32" t="s">
        <v>267</v>
      </c>
      <c r="E174" s="132"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88" t="s">
        <v>268</v>
      </c>
      <c r="E177" s="1" t="str" cm="1">
        <f t="array" ref="E177">Scope3_Equations.VEERG_15_4_1_1__X_EmissionFactorFromPurchasedFertiliserComponents_Variable()</f>
        <v>EF_f</v>
      </c>
    </row>
    <row r="178" spans="4:8" ht="20.100000000000001" customHeight="1" x14ac:dyDescent="0.25">
      <c r="D178" s="88" t="s">
        <v>121</v>
      </c>
      <c r="E178" s="15"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54" t="str" cm="1">
        <f t="array" ref="D180:E183">_xlfn.CHOOSECOLS(Scope3_Equations.VEERG_15_4_1_1__X_EmissionFactorFromPurchasedFertiliserComponents_Arguments(),1,2)</f>
        <v>F_cf</v>
      </c>
      <c r="E180" s="162" t="str">
        <v>fraction of component c contained within the inorganic fertiliser f</v>
      </c>
      <c r="F180" s="164"/>
      <c r="G180" s="154" t="str" cm="1">
        <f t="array" ref="G180:H183">_xlfn.CHOOSECOLS(Scope3_Equations.VEERG_15_4_1_1__X_EmissionFactorFromPurchasedFertiliserComponents_Arguments(),3,4)</f>
        <v>wt%</v>
      </c>
      <c r="H180" s="253" t="str">
        <v>Input</v>
      </c>
    </row>
    <row r="181" spans="4:8" ht="20.100000000000001" customHeight="1" x14ac:dyDescent="0.25">
      <c r="D181" s="154" t="str">
        <v>EF_c</v>
      </c>
      <c r="E181" s="162" t="str">
        <v>emission factor for the production of component c</v>
      </c>
      <c r="F181" s="164"/>
      <c r="G181" s="154" t="str">
        <v>kg CO2e/kg component</v>
      </c>
      <c r="H181" s="137" t="str">
        <v>Constant</v>
      </c>
    </row>
    <row r="182" spans="4:8" ht="20.100000000000001" customHeight="1" x14ac:dyDescent="0.25">
      <c r="D182" s="154" t="str">
        <v>c</v>
      </c>
      <c r="E182" s="162" t="str">
        <v>fertiliser component</v>
      </c>
      <c r="F182" s="164"/>
      <c r="G182" s="154" t="str">
        <v/>
      </c>
      <c r="H182" s="253" t="str">
        <v>Input</v>
      </c>
    </row>
    <row r="183" spans="4:8" ht="20.100000000000001" customHeight="1" x14ac:dyDescent="0.25">
      <c r="D183" s="154" t="str">
        <v>f</v>
      </c>
      <c r="E183" s="162" t="str">
        <v>inorganic fertiliser type</v>
      </c>
      <c r="F183" s="164"/>
      <c r="G183" s="154" t="str">
        <v/>
      </c>
      <c r="H183" s="253" t="str">
        <v>Input</v>
      </c>
    </row>
    <row r="184" spans="4:8" ht="20.100000000000001" customHeight="1" x14ac:dyDescent="0.25"/>
    <row r="185" spans="4:8" ht="20.100000000000001" customHeight="1" x14ac:dyDescent="0.25"/>
    <row r="186" spans="4:8" ht="20.100000000000001" customHeight="1" x14ac:dyDescent="0.25">
      <c r="D186" s="2" t="str" cm="1">
        <f t="array" ref="D186">Scope3_Equations.VEERG_15_4_1_1__1_EmissionsFromPurchasedFertiliser_Title()</f>
        <v>Emissions from purchased fertiliser</v>
      </c>
    </row>
    <row r="187" spans="4:8" ht="20.100000000000001" customHeight="1" x14ac:dyDescent="0.25">
      <c r="D187" s="27" t="str" cm="1">
        <f t="array" ref="D187">Scope3_Equations.VEERG_15_4_1_1__1_EmissionsFromPurchasedFertiliser_Source()</f>
        <v>VEERG 2026: 15.4.1.1, Equation (1)</v>
      </c>
    </row>
    <row r="188" spans="4:8" ht="20.100000000000001" customHeight="1" x14ac:dyDescent="0.25">
      <c r="D188" s="132" t="s">
        <v>267</v>
      </c>
      <c r="E188" s="132"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88" t="s">
        <v>268</v>
      </c>
      <c r="E191" s="1" t="str" cm="1">
        <f t="array" ref="E191">Scope3_Equations.VEERG_15_4_1_1__1_EmissionsFromPurchasedFertiliser_Variable()</f>
        <v>E</v>
      </c>
    </row>
    <row r="192" spans="4:8" ht="20.100000000000001" customHeight="1" x14ac:dyDescent="0.25">
      <c r="D192" s="88" t="s">
        <v>121</v>
      </c>
      <c r="E192" s="15" t="str" cm="1">
        <f t="array" ref="E192">Scope3_Equations.VEERG_15_4_1_1__1_EmissionsFromPurchasedFertiliser_Unit()</f>
        <v>t CO2e</v>
      </c>
    </row>
    <row r="193" spans="4:8" ht="20.100000000000001" customHeight="1" x14ac:dyDescent="0.25"/>
    <row r="194" spans="4:8" ht="20.100000000000001" customHeight="1" x14ac:dyDescent="0.25">
      <c r="D194" s="154" t="str" cm="1">
        <f t="array" ref="D194:E197">_xlfn.CHOOSECOLS(Scope3_Equations.VEERG_15_4_1_1__1_EmissionsFromPurchasedFertiliser_Arguments(),1,2)</f>
        <v>TM_jf</v>
      </c>
      <c r="E194" s="154" t="str">
        <v>quantity of inorganic fertiliser type f purchased and applied to production system j</v>
      </c>
      <c r="F194" s="154"/>
      <c r="G194" s="154" t="str" cm="1">
        <f t="array" ref="G194:H197">_xlfn.CHOOSECOLS(Scope3_Equations.VEERG_15_4_1_1__1_EmissionsFromPurchasedFertiliser_Arguments(),3,4)</f>
        <v>kg</v>
      </c>
      <c r="H194" s="253" t="str">
        <v>Input</v>
      </c>
    </row>
    <row r="195" spans="4:8" ht="20.100000000000001" customHeight="1" x14ac:dyDescent="0.25">
      <c r="D195" s="154" t="str">
        <v>EF_f</v>
      </c>
      <c r="E195" s="154" t="str">
        <v>emission factor of purchased inorganic fertiliser</v>
      </c>
      <c r="F195" s="154"/>
      <c r="G195" s="154" t="str">
        <v>kg CO2e/kg</v>
      </c>
      <c r="H195" s="137" t="str">
        <v>Constant</v>
      </c>
    </row>
    <row r="196" spans="4:8" ht="20.100000000000001" customHeight="1" x14ac:dyDescent="0.25">
      <c r="D196" s="154" t="str">
        <v>j</v>
      </c>
      <c r="E196" s="154" t="str">
        <v>production system</v>
      </c>
      <c r="F196" s="154"/>
      <c r="G196" s="154" t="str">
        <v/>
      </c>
      <c r="H196" s="253" t="str">
        <v>Input</v>
      </c>
    </row>
    <row r="197" spans="4:8" ht="20.100000000000001" customHeight="1" x14ac:dyDescent="0.25">
      <c r="D197" s="154" t="str">
        <v>f</v>
      </c>
      <c r="E197" s="154" t="str">
        <v>inorganic fertiliser type</v>
      </c>
      <c r="F197" s="154"/>
      <c r="G197" s="154" t="str">
        <v/>
      </c>
      <c r="H197" s="253" t="str">
        <v>Input</v>
      </c>
    </row>
    <row r="198" spans="4:8" ht="20.100000000000001" customHeight="1" x14ac:dyDescent="0.25"/>
    <row r="199" spans="4:8" ht="20.100000000000001" customHeight="1" x14ac:dyDescent="0.25"/>
    <row r="200" spans="4:8" ht="20.100000000000001" customHeight="1" x14ac:dyDescent="0.25">
      <c r="D200" s="2" t="str" cm="1">
        <f t="array" ref="D200">Scope3_Equations.VEERG_15_4_1_1__2_EmissionsFromPurchasedFertiliserComponents_Title()</f>
        <v>Emissions from purchased fertiliser components</v>
      </c>
    </row>
    <row r="201" spans="4:8" ht="20.100000000000001" customHeight="1" x14ac:dyDescent="0.25">
      <c r="D201" s="27" t="str" cm="1">
        <f t="array" ref="D201">Scope3_Equations.VEERG_15_4_1_1__2_EmissionsFromPurchasedFertiliserComponents_Source()</f>
        <v>VEERG 2026: 15.4.1.1, Equation (2)</v>
      </c>
    </row>
    <row r="202" spans="4:8" ht="20.100000000000001" customHeight="1" x14ac:dyDescent="0.25">
      <c r="D202" s="36"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32" t="s">
        <v>267</v>
      </c>
      <c r="E203" s="132"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88" t="s">
        <v>268</v>
      </c>
      <c r="E206" s="1" t="str" cm="1">
        <f t="array" ref="E206">Scope3_Equations.VEERG_15_4_1_1__2_EmissionsFromPurchasedFertiliserComponents_Variable()</f>
        <v>E</v>
      </c>
    </row>
    <row r="207" spans="4:8" ht="20.100000000000001" customHeight="1" x14ac:dyDescent="0.25">
      <c r="D207" s="88" t="s">
        <v>121</v>
      </c>
      <c r="E207" s="15" t="str" cm="1">
        <f t="array" ref="E207">Scope3_Equations.VEERG_15_4_1_1__2_EmissionsFromPurchasedFertiliserComponents_Unit()</f>
        <v>t CO2e</v>
      </c>
    </row>
    <row r="208" spans="4:8" ht="20.100000000000001" customHeight="1" x14ac:dyDescent="0.25"/>
    <row r="209" spans="4:40" ht="20.100000000000001" customHeight="1" x14ac:dyDescent="0.25">
      <c r="D209" s="154" t="str" cm="1">
        <f t="array" ref="D209:E214">_xlfn.CHOOSECOLS(Scope3_Equations.VEERG_15_4_1_1__2_EmissionsFromPurchasedFertiliserComponents_Arguments(),1,2)</f>
        <v>F_cf</v>
      </c>
      <c r="E209" s="162" t="str">
        <v>fraction of component c contained within the inorganic fertiliser f</v>
      </c>
      <c r="F209" s="164"/>
      <c r="G209" s="154" t="str" cm="1">
        <f t="array" ref="G209:H214">_xlfn.CHOOSECOLS(Scope3_Equations.VEERG_15_4_1_1__2_EmissionsFromPurchasedFertiliserComponents_Arguments(),3,4)</f>
        <v>wt%</v>
      </c>
      <c r="H209" s="253" t="str">
        <v>Input</v>
      </c>
    </row>
    <row r="210" spans="4:40" ht="20.100000000000001" customHeight="1" x14ac:dyDescent="0.25">
      <c r="D210" s="154" t="str">
        <v>TM_jf</v>
      </c>
      <c r="E210" s="162" t="str">
        <v>quantity of inorganic fertiliser type f purchased and applied to production system j</v>
      </c>
      <c r="F210" s="164"/>
      <c r="G210" s="154" t="str">
        <v>kg</v>
      </c>
      <c r="H210" s="137" t="str">
        <v>Input</v>
      </c>
    </row>
    <row r="211" spans="4:40" ht="20.100000000000001" customHeight="1" x14ac:dyDescent="0.25">
      <c r="D211" s="154" t="str">
        <v>EF_c</v>
      </c>
      <c r="E211" s="162" t="str">
        <v>emission factor for the production of component c</v>
      </c>
      <c r="F211" s="164"/>
      <c r="G211" s="154" t="str">
        <v>kg CO2e/kg component</v>
      </c>
      <c r="H211" s="137" t="str">
        <v>Constant</v>
      </c>
    </row>
    <row r="212" spans="4:40" ht="20.100000000000001" customHeight="1" x14ac:dyDescent="0.25">
      <c r="D212" s="154" t="str">
        <v>c</v>
      </c>
      <c r="E212" s="162" t="str">
        <v>fertiliser component</v>
      </c>
      <c r="F212" s="164"/>
      <c r="G212" s="154" t="str">
        <v/>
      </c>
      <c r="H212" s="253" t="str">
        <v>Input</v>
      </c>
    </row>
    <row r="213" spans="4:40" ht="20.100000000000001" customHeight="1" x14ac:dyDescent="0.25">
      <c r="D213" s="154" t="str">
        <v>f</v>
      </c>
      <c r="E213" s="162" t="str">
        <v>inorganic fertiliser type</v>
      </c>
      <c r="F213" s="164"/>
      <c r="G213" s="154" t="str">
        <v/>
      </c>
      <c r="H213" s="253" t="str">
        <v>Input</v>
      </c>
    </row>
    <row r="214" spans="4:40" ht="20.100000000000001" customHeight="1" x14ac:dyDescent="0.25">
      <c r="D214" s="154" t="str">
        <v>j</v>
      </c>
      <c r="E214" s="162" t="str">
        <v>production system</v>
      </c>
      <c r="F214" s="164"/>
      <c r="G214" s="154" t="str">
        <v/>
      </c>
      <c r="H214" s="253" t="str">
        <v>Input</v>
      </c>
    </row>
    <row r="215" spans="4:40" ht="20.100000000000001" customHeight="1" x14ac:dyDescent="0.25"/>
    <row r="216" spans="4:40" ht="20.100000000000001" customHeight="1" x14ac:dyDescent="0.25">
      <c r="D216" s="239" t="s">
        <v>866</v>
      </c>
    </row>
    <row r="217" spans="4:40" ht="20.100000000000001" customHeight="1" x14ac:dyDescent="0.25"/>
    <row r="218" spans="4:40" ht="20.100000000000001" customHeight="1" x14ac:dyDescent="0.25">
      <c r="D218" s="46" t="s">
        <v>867</v>
      </c>
      <c r="E218" s="48"/>
      <c r="F218" s="49"/>
    </row>
    <row r="219" spans="4:40" ht="20.100000000000001" customHeight="1" x14ac:dyDescent="0.25"/>
    <row r="220" spans="4:40" ht="20.100000000000001" customHeight="1" x14ac:dyDescent="0.25">
      <c r="D220" s="92" t="s">
        <v>137</v>
      </c>
      <c r="E220" s="92" t="s">
        <v>868</v>
      </c>
      <c r="F220" s="145" t="s">
        <v>869</v>
      </c>
      <c r="G220" s="145" t="s">
        <v>870</v>
      </c>
      <c r="H220" s="145" t="s">
        <v>871</v>
      </c>
      <c r="I220" s="92" t="s">
        <v>872</v>
      </c>
      <c r="J220" s="145" t="s">
        <v>873</v>
      </c>
      <c r="K220" s="145" t="s">
        <v>874</v>
      </c>
      <c r="L220" s="92" t="s">
        <v>828</v>
      </c>
      <c r="M220" s="92" t="s">
        <v>829</v>
      </c>
      <c r="N220" s="92" t="s">
        <v>830</v>
      </c>
      <c r="O220" s="145" t="s">
        <v>224</v>
      </c>
      <c r="P220" s="145" t="s">
        <v>225</v>
      </c>
      <c r="Q220" s="145" t="s">
        <v>211</v>
      </c>
      <c r="R220" s="145" t="s">
        <v>212</v>
      </c>
      <c r="S220" s="145" t="s">
        <v>875</v>
      </c>
      <c r="T220" s="92" t="s">
        <v>876</v>
      </c>
      <c r="U220" s="145" t="s">
        <v>213</v>
      </c>
      <c r="V220" s="145" t="s">
        <v>214</v>
      </c>
      <c r="W220" s="145" t="s">
        <v>877</v>
      </c>
      <c r="X220" s="92" t="s">
        <v>878</v>
      </c>
      <c r="Y220" s="145" t="s">
        <v>215</v>
      </c>
      <c r="Z220" s="145" t="s">
        <v>216</v>
      </c>
      <c r="AA220" s="145" t="s">
        <v>879</v>
      </c>
      <c r="AB220" s="92" t="s">
        <v>880</v>
      </c>
      <c r="AC220" s="145" t="s">
        <v>217</v>
      </c>
      <c r="AD220" s="145" t="s">
        <v>218</v>
      </c>
      <c r="AE220" s="145" t="s">
        <v>881</v>
      </c>
      <c r="AF220" s="92" t="s">
        <v>882</v>
      </c>
      <c r="AG220" s="145" t="s">
        <v>219</v>
      </c>
      <c r="AH220" s="145" t="s">
        <v>220</v>
      </c>
      <c r="AI220" s="145" t="s">
        <v>883</v>
      </c>
      <c r="AJ220" s="92" t="s">
        <v>884</v>
      </c>
      <c r="AK220" s="145" t="s">
        <v>221</v>
      </c>
      <c r="AL220" s="145" t="s">
        <v>222</v>
      </c>
      <c r="AM220" s="145" t="s">
        <v>885</v>
      </c>
      <c r="AN220" s="92" t="s">
        <v>886</v>
      </c>
    </row>
    <row r="221" spans="4:40" ht="20.100000000000001" customHeight="1" x14ac:dyDescent="0.25">
      <c r="D221" s="25" t="str" cm="1">
        <f t="array" ref="D221:D230">IFERROR(INDEX(Table_Input_InorganicFertiliser_Brands[Product (select)], _xlfn.SEQUENCE(10)), "")</f>
        <v>Aqua Finish</v>
      </c>
      <c r="E221" s="25" cm="1">
        <f t="array" ref="E221:E230">IFERROR(INDEX(Table_Input_InorganicFertiliser_Brands[Total applied (kg)], _xlfn.SEQUENCE(10)), 0)</f>
        <v>12600</v>
      </c>
      <c r="F221" s="25"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255" cm="1">
        <f t="array" ref="G221">Scope3_Equations.VEERG_15_4_1_1__1_EmissionsFromPurchasedFertiliser(E221,F221)</f>
        <v>5.9487750000000004</v>
      </c>
      <c r="H221" s="25"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86">
        <v>0.4</v>
      </c>
      <c r="J221" s="255" cm="1">
        <f t="array" ref="J221">Scope3_Equations.VEERG_15_4_1_1__1_EmissionsFromPurchasedFertiliser(E221,I221)</f>
        <v>5.04</v>
      </c>
      <c r="K221" s="255"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44"/>
      <c r="M221" s="23"/>
      <c r="N221" s="238"/>
      <c r="O221" s="25" t="str" cm="1">
        <f t="array" ref="O221:O230">IFERROR(INDEX(Table_Input_InorganicFertiliser_Brands[Urea source], _xlfn.SEQUENCE(10)), "")</f>
        <v/>
      </c>
      <c r="P221" s="25" t="str" cm="1">
        <f t="array" ref="P221:P230">IFERROR(INDEX(Table_Input_InorganicFertiliser_Brands[Ammonia source], _xlfn.SEQUENCE(10)), "")</f>
        <v/>
      </c>
      <c r="Q221" s="25" t="str" cm="1">
        <f t="array" ref="Q221:Q230">IFERROR(INDEX(Table_Input_InorganicFertiliser_Brands[Ingredient 1], _xlfn.SEQUENCE(10)), "")</f>
        <v>Potassium - Generic</v>
      </c>
      <c r="R221" s="25" cm="1">
        <f t="array" ref="R221:R230">IFERROR(INDEX(_xlfn.LET(_xlpm.result, Table_Input_InorganicFertiliser_Brands[Ingredient 1 percent], IF(_xlpm.result="", 0, _xlpm.result)), _xlfn.SEQUENCE(10)), 0)</f>
        <v>0.22500000000000001</v>
      </c>
      <c r="S221" s="25"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86">
        <v>0.9</v>
      </c>
      <c r="U221" s="25" t="str" cm="1">
        <f t="array" ref="U221:U230">IFERROR(INDEX(Table_Input_InorganicFertiliser_Brands[Ingredient 2], _xlfn.SEQUENCE(10)), "")</f>
        <v>Phosphorus - Generic</v>
      </c>
      <c r="V221" s="25" cm="1">
        <f t="array" ref="V221:V230">IFERROR(INDEX(_xlfn.LET(_xlpm.result, Table_Input_InorganicFertiliser_Brands[Ingredient 2 percent], IF(_xlpm.result="", 0, _xlpm.result)), _xlfn.SEQUENCE(10)), 0)</f>
        <v>0.04</v>
      </c>
      <c r="W221" s="25"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86">
        <v>0.9</v>
      </c>
      <c r="Y221" s="25" t="str" cm="1">
        <f t="array" ref="Y221:Y230">IFERROR(INDEX(Table_Input_InorganicFertiliser_Brands[Ingredient 3], _xlfn.SEQUENCE(10)), "")</f>
        <v>Nitrogen - Generic</v>
      </c>
      <c r="Z221" s="25" cm="1">
        <f t="array" ref="Z221:Z230">IFERROR(INDEX(_xlfn.LET(_xlpm.result, Table_Input_InorganicFertiliser_Brands[Ingredient 3 percent], IF(_xlpm.result="", 0, _xlpm.result)), _xlfn.SEQUENCE(10)), 0)</f>
        <v>2.5999999999999999E-2</v>
      </c>
      <c r="AA221" s="25"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86">
        <v>4</v>
      </c>
      <c r="AC221" s="25" t="str" cm="1">
        <f t="array" ref="AC221:AC230">IFERROR(INDEX(Table_Input_InorganicFertiliser_Brands[Ingredient 4], _xlfn.SEQUENCE(10)), "")</f>
        <v/>
      </c>
      <c r="AD221" s="25" cm="1">
        <f t="array" ref="AD221:AD230">IFERROR(INDEX(_xlfn.LET(_xlpm.result, Table_Input_InorganicFertiliser_Brands[Ingredient 4 percent], IF(_xlpm.result="", 0, _xlpm.result)), _xlfn.SEQUENCE(10)), 0)</f>
        <v>0</v>
      </c>
      <c r="AE221" s="25"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86">
        <v>0</v>
      </c>
      <c r="AG221" s="25" t="str" cm="1">
        <f t="array" ref="AG221:AG230">IFERROR(INDEX(Table_Input_InorganicFertiliser_Brands[Ingredient 5], _xlfn.SEQUENCE(10)), "")</f>
        <v/>
      </c>
      <c r="AH221" s="25" cm="1">
        <f t="array" ref="AH221:AH230">IFERROR(INDEX(_xlfn.LET(_xlpm.result, Table_Input_InorganicFertiliser_Brands[Ingredient 5 percent], IF(_xlpm.result="", 0, _xlpm.result)), _xlfn.SEQUENCE(10)), 0)</f>
        <v>0</v>
      </c>
      <c r="AI221" s="25"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86">
        <v>0</v>
      </c>
      <c r="AK221" s="25" t="str" cm="1">
        <f t="array" ref="AK221:AK230">IFERROR(INDEX(Table_Input_InorganicFertiliser_Brands[Ingredient 6], _xlfn.SEQUENCE(10)), "")</f>
        <v/>
      </c>
      <c r="AL221" s="25" cm="1">
        <f t="array" ref="AL221:AL230">IFERROR(INDEX(_xlfn.LET(_xlpm.result, Table_Input_InorganicFertiliser_Brands[Ingredient 6 percent], IF(_xlpm.result="", 0, _xlpm.result)), _xlfn.SEQUENCE(10)), 0)</f>
        <v>0</v>
      </c>
      <c r="AM221" s="25"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86"/>
    </row>
    <row r="222" spans="4:40" ht="20.100000000000001" customHeight="1" x14ac:dyDescent="0.25">
      <c r="D222" s="25" t="str">
        <v>CalPhos</v>
      </c>
      <c r="E222" s="25">
        <v>12850</v>
      </c>
      <c r="F222" s="25"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255" cm="1">
        <f t="array" ref="G222">Scope3_Equations.VEERG_15_4_1_1__1_EmissionsFromPurchasedFertiliser(E222,F222)</f>
        <v>6.8696100000000007</v>
      </c>
      <c r="H222" s="25"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86">
        <v>0.9</v>
      </c>
      <c r="J222" s="255" cm="1">
        <f t="array" ref="J222">Scope3_Equations.VEERG_15_4_1_1__1_EmissionsFromPurchasedFertiliser(E222,I222)</f>
        <v>11.565</v>
      </c>
      <c r="K222" s="255"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44"/>
      <c r="M222" s="23"/>
      <c r="N222" s="44"/>
      <c r="O222" s="25" t="str">
        <v/>
      </c>
      <c r="P222" s="25" t="str">
        <v/>
      </c>
      <c r="Q222" s="25" t="str">
        <v>Phosphorus - Generic</v>
      </c>
      <c r="R222" s="25">
        <v>0.13500000000000001</v>
      </c>
      <c r="S222" s="25"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86"/>
      <c r="U222" s="25" t="str">
        <v>Calcium - Generic</v>
      </c>
      <c r="V222" s="25">
        <v>0.04</v>
      </c>
      <c r="W222" s="25"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86"/>
      <c r="Y222" s="25" t="str">
        <v/>
      </c>
      <c r="Z222" s="25">
        <v>0</v>
      </c>
      <c r="AA222" s="25"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86"/>
      <c r="AC222" s="25" t="str">
        <v/>
      </c>
      <c r="AD222" s="25">
        <v>0</v>
      </c>
      <c r="AE222" s="25"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86"/>
      <c r="AG222" s="25" t="str">
        <v/>
      </c>
      <c r="AH222" s="25">
        <v>0</v>
      </c>
      <c r="AI222" s="25"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86"/>
      <c r="AK222" s="25" t="str">
        <v/>
      </c>
      <c r="AL222" s="25">
        <v>0</v>
      </c>
      <c r="AM222" s="25"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86"/>
    </row>
    <row r="223" spans="4:40" ht="20.100000000000001" customHeight="1" x14ac:dyDescent="0.25">
      <c r="D223" s="25" t="str">
        <v>CalPhos</v>
      </c>
      <c r="E223" s="25">
        <v>12850</v>
      </c>
      <c r="F223" s="25"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255" cm="1">
        <f t="array" ref="G223">Scope3_Equations.VEERG_15_4_1_1__1_EmissionsFromPurchasedFertiliser(E223,F223)</f>
        <v>6.8696100000000007</v>
      </c>
      <c r="H223" s="25"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86">
        <v>0.4</v>
      </c>
      <c r="J223" s="255" cm="1">
        <f t="array" ref="J223">Scope3_Equations.VEERG_15_4_1_1__1_EmissionsFromPurchasedFertiliser(E223,I223)</f>
        <v>5.14</v>
      </c>
      <c r="K223" s="255"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44"/>
      <c r="M223" s="23"/>
      <c r="N223" s="44"/>
      <c r="O223" s="25" t="str">
        <v/>
      </c>
      <c r="P223" s="25" t="str">
        <v/>
      </c>
      <c r="Q223" s="25" t="str">
        <v>Phosphorus - Generic</v>
      </c>
      <c r="R223" s="25">
        <v>0.13500000000000001</v>
      </c>
      <c r="S223" s="25"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86"/>
      <c r="U223" s="25" t="str">
        <v>Calcium - Generic</v>
      </c>
      <c r="V223" s="25">
        <v>0.04</v>
      </c>
      <c r="W223" s="25"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86"/>
      <c r="Y223" s="25" t="str">
        <v/>
      </c>
      <c r="Z223" s="25">
        <v>0</v>
      </c>
      <c r="AA223" s="25"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86"/>
      <c r="AC223" s="25" t="str">
        <v/>
      </c>
      <c r="AD223" s="25">
        <v>0</v>
      </c>
      <c r="AE223" s="25"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86"/>
      <c r="AG223" s="25" t="str">
        <v/>
      </c>
      <c r="AH223" s="25">
        <v>0</v>
      </c>
      <c r="AI223" s="25"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86"/>
      <c r="AK223" s="25" t="str">
        <v/>
      </c>
      <c r="AL223" s="25">
        <v>0</v>
      </c>
      <c r="AM223" s="25"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86"/>
    </row>
    <row r="224" spans="4:40" ht="20.100000000000001" customHeight="1" x14ac:dyDescent="0.25">
      <c r="D224" s="25" t="str">
        <v>Aqua Grow</v>
      </c>
      <c r="E224" s="25">
        <v>12600</v>
      </c>
      <c r="F224" s="25"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255" cm="1">
        <f t="array" ref="G224">Scope3_Equations.VEERG_15_4_1_1__1_EmissionsFromPurchasedFertiliser(E224,F224)</f>
        <v>8.7777269999999987</v>
      </c>
      <c r="H224" s="25"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86"/>
      <c r="J224" s="255" cm="1">
        <f t="array" ref="J224">Scope3_Equations.VEERG_15_4_1_1__1_EmissionsFromPurchasedFertiliser(E224,I224)</f>
        <v>0</v>
      </c>
      <c r="K224" s="255"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44"/>
      <c r="M224" s="23"/>
      <c r="N224" s="44"/>
      <c r="O224" s="25" t="str">
        <v/>
      </c>
      <c r="P224" s="25" t="str">
        <v/>
      </c>
      <c r="Q224" s="25" t="str">
        <v>Potassium - Generic</v>
      </c>
      <c r="R224" s="25">
        <v>0.105</v>
      </c>
      <c r="S224" s="25"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86"/>
      <c r="U224" s="25" t="str">
        <v>Nitrogen - Generic</v>
      </c>
      <c r="V224" s="25">
        <v>9.6000000000000002E-2</v>
      </c>
      <c r="W224" s="25"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86"/>
      <c r="Y224" s="25" t="str">
        <v>Phosphorus - Generic</v>
      </c>
      <c r="Z224" s="25">
        <v>0.05</v>
      </c>
      <c r="AA224" s="25"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86"/>
      <c r="AC224" s="25" t="str">
        <v/>
      </c>
      <c r="AD224" s="25">
        <v>0</v>
      </c>
      <c r="AE224" s="25"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86"/>
      <c r="AG224" s="25" t="str">
        <v/>
      </c>
      <c r="AH224" s="25">
        <v>0</v>
      </c>
      <c r="AI224" s="25"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86"/>
      <c r="AK224" s="25" t="str">
        <v/>
      </c>
      <c r="AL224" s="25">
        <v>0</v>
      </c>
      <c r="AM224" s="25"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86"/>
    </row>
    <row r="225" spans="4:40" ht="20.100000000000001" customHeight="1" x14ac:dyDescent="0.25">
      <c r="D225" s="25" t="str">
        <v>Aqua NitroCal</v>
      </c>
      <c r="E225" s="25">
        <v>15000</v>
      </c>
      <c r="F225" s="25"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255" cm="1">
        <f t="array" ref="G225">Scope3_Equations.VEERG_15_4_1_1__1_EmissionsFromPurchasedFertiliser(E225,F225)</f>
        <v>10.8306</v>
      </c>
      <c r="H225" s="25"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86"/>
      <c r="J225" s="255" cm="1">
        <f t="array" ref="J225">Scope3_Equations.VEERG_15_4_1_1__1_EmissionsFromPurchasedFertiliser(E225,I225)</f>
        <v>0</v>
      </c>
      <c r="K225" s="255"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44"/>
      <c r="M225" s="23"/>
      <c r="N225" s="44"/>
      <c r="O225" s="25" t="str">
        <v/>
      </c>
      <c r="P225" s="25" t="str">
        <v/>
      </c>
      <c r="Q225" s="25" t="str">
        <v>Calcium - Generic</v>
      </c>
      <c r="R225" s="25">
        <v>0.16200000000000001</v>
      </c>
      <c r="S225" s="25"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86"/>
      <c r="U225" s="25" t="str">
        <v>Nitrogen - Nitrate</v>
      </c>
      <c r="V225" s="25">
        <v>0.13200000000000001</v>
      </c>
      <c r="W225" s="25"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86"/>
      <c r="Y225" s="25" t="str">
        <v/>
      </c>
      <c r="Z225" s="25">
        <v>0</v>
      </c>
      <c r="AA225" s="25"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86"/>
      <c r="AC225" s="25" t="str">
        <v/>
      </c>
      <c r="AD225" s="25">
        <v>0</v>
      </c>
      <c r="AE225" s="25"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86"/>
      <c r="AG225" s="25" t="str">
        <v/>
      </c>
      <c r="AH225" s="25">
        <v>0</v>
      </c>
      <c r="AI225" s="25"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86"/>
      <c r="AK225" s="25" t="str">
        <v/>
      </c>
      <c r="AL225" s="25">
        <v>0</v>
      </c>
      <c r="AM225" s="25"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86"/>
    </row>
    <row r="226" spans="4:40" ht="20.100000000000001" customHeight="1" x14ac:dyDescent="0.25">
      <c r="D226" s="25" t="str">
        <v/>
      </c>
      <c r="E226" s="25">
        <v>0</v>
      </c>
      <c r="F226" s="25"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255" cm="1">
        <f t="array" ref="G226">Scope3_Equations.VEERG_15_4_1_1__1_EmissionsFromPurchasedFertiliser(E226,F226)</f>
        <v>0</v>
      </c>
      <c r="H226" s="25"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86"/>
      <c r="J226" s="255" cm="1">
        <f t="array" ref="J226">Scope3_Equations.VEERG_15_4_1_1__1_EmissionsFromPurchasedFertiliser(E226,I226)</f>
        <v>0</v>
      </c>
      <c r="K226" s="255"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44"/>
      <c r="M226" s="23"/>
      <c r="N226" s="44"/>
      <c r="O226" s="25" t="str">
        <v/>
      </c>
      <c r="P226" s="25" t="str">
        <v/>
      </c>
      <c r="Q226" s="25" t="str">
        <v/>
      </c>
      <c r="R226" s="25">
        <v>0</v>
      </c>
      <c r="S226" s="25"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86"/>
      <c r="U226" s="25" t="str">
        <v/>
      </c>
      <c r="V226" s="25">
        <v>0</v>
      </c>
      <c r="W226" s="25"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86"/>
      <c r="Y226" s="25" t="str">
        <v/>
      </c>
      <c r="Z226" s="25">
        <v>0</v>
      </c>
      <c r="AA226" s="25"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86"/>
      <c r="AC226" s="25" t="str">
        <v/>
      </c>
      <c r="AD226" s="25">
        <v>0</v>
      </c>
      <c r="AE226" s="25"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86"/>
      <c r="AG226" s="25" t="str">
        <v/>
      </c>
      <c r="AH226" s="25">
        <v>0</v>
      </c>
      <c r="AI226" s="25"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86"/>
      <c r="AK226" s="25" t="str">
        <v/>
      </c>
      <c r="AL226" s="25">
        <v>0</v>
      </c>
      <c r="AM226" s="25"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86"/>
    </row>
    <row r="227" spans="4:40" ht="20.100000000000001" customHeight="1" x14ac:dyDescent="0.25">
      <c r="D227" s="25" t="str">
        <v/>
      </c>
      <c r="E227" s="25">
        <v>0</v>
      </c>
      <c r="F227" s="25"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255" cm="1">
        <f t="array" ref="G227">Scope3_Equations.VEERG_15_4_1_1__1_EmissionsFromPurchasedFertiliser(E227,F227)</f>
        <v>0</v>
      </c>
      <c r="H227" s="25"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86"/>
      <c r="J227" s="255" cm="1">
        <f t="array" ref="J227">Scope3_Equations.VEERG_15_4_1_1__1_EmissionsFromPurchasedFertiliser(E227,I227)</f>
        <v>0</v>
      </c>
      <c r="K227" s="255"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44"/>
      <c r="M227" s="23"/>
      <c r="N227" s="44"/>
      <c r="O227" s="25" t="str">
        <v/>
      </c>
      <c r="P227" s="25" t="str">
        <v/>
      </c>
      <c r="Q227" s="25" t="str">
        <v/>
      </c>
      <c r="R227" s="25">
        <v>0</v>
      </c>
      <c r="S227" s="25"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86"/>
      <c r="U227" s="25" t="str">
        <v/>
      </c>
      <c r="V227" s="25">
        <v>0</v>
      </c>
      <c r="W227" s="25"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86"/>
      <c r="Y227" s="25" t="str">
        <v/>
      </c>
      <c r="Z227" s="25">
        <v>0</v>
      </c>
      <c r="AA227" s="25"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86"/>
      <c r="AC227" s="25" t="str">
        <v/>
      </c>
      <c r="AD227" s="25">
        <v>0</v>
      </c>
      <c r="AE227" s="25"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86"/>
      <c r="AG227" s="25" t="str">
        <v/>
      </c>
      <c r="AH227" s="25">
        <v>0</v>
      </c>
      <c r="AI227" s="25"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86"/>
      <c r="AK227" s="25" t="str">
        <v/>
      </c>
      <c r="AL227" s="25">
        <v>0</v>
      </c>
      <c r="AM227" s="25"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86"/>
    </row>
    <row r="228" spans="4:40" ht="20.100000000000001" customHeight="1" x14ac:dyDescent="0.25">
      <c r="D228" s="25" t="str">
        <v/>
      </c>
      <c r="E228" s="25">
        <v>0</v>
      </c>
      <c r="F228" s="25"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255" cm="1">
        <f t="array" ref="G228">Scope3_Equations.VEERG_15_4_1_1__1_EmissionsFromPurchasedFertiliser(E228,F228)</f>
        <v>0</v>
      </c>
      <c r="H228" s="25"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86"/>
      <c r="J228" s="255" cm="1">
        <f t="array" ref="J228">Scope3_Equations.VEERG_15_4_1_1__1_EmissionsFromPurchasedFertiliser(E228,I228)</f>
        <v>0</v>
      </c>
      <c r="K228" s="255"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44"/>
      <c r="M228" s="23"/>
      <c r="N228" s="44"/>
      <c r="O228" s="25" t="str">
        <v/>
      </c>
      <c r="P228" s="25" t="str">
        <v/>
      </c>
      <c r="Q228" s="25" t="str">
        <v/>
      </c>
      <c r="R228" s="25">
        <v>0</v>
      </c>
      <c r="S228" s="25"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86"/>
      <c r="U228" s="25" t="str">
        <v/>
      </c>
      <c r="V228" s="25">
        <v>0</v>
      </c>
      <c r="W228" s="25"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86"/>
      <c r="Y228" s="25" t="str">
        <v/>
      </c>
      <c r="Z228" s="25">
        <v>0</v>
      </c>
      <c r="AA228" s="25"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86"/>
      <c r="AC228" s="25" t="str">
        <v/>
      </c>
      <c r="AD228" s="25">
        <v>0</v>
      </c>
      <c r="AE228" s="25"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86"/>
      <c r="AG228" s="25" t="str">
        <v/>
      </c>
      <c r="AH228" s="25">
        <v>0</v>
      </c>
      <c r="AI228" s="25"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86"/>
      <c r="AK228" s="25" t="str">
        <v/>
      </c>
      <c r="AL228" s="25">
        <v>0</v>
      </c>
      <c r="AM228" s="25"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86"/>
    </row>
    <row r="229" spans="4:40" ht="20.100000000000001" customHeight="1" x14ac:dyDescent="0.25">
      <c r="D229" s="25" t="str">
        <v/>
      </c>
      <c r="E229" s="25">
        <v>0</v>
      </c>
      <c r="F229" s="25"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255" cm="1">
        <f t="array" ref="G229">Scope3_Equations.VEERG_15_4_1_1__1_EmissionsFromPurchasedFertiliser(E229,F229)</f>
        <v>0</v>
      </c>
      <c r="H229" s="25"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86"/>
      <c r="J229" s="255" cm="1">
        <f t="array" ref="J229">Scope3_Equations.VEERG_15_4_1_1__1_EmissionsFromPurchasedFertiliser(E229,I229)</f>
        <v>0</v>
      </c>
      <c r="K229" s="255"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44"/>
      <c r="M229" s="23"/>
      <c r="N229" s="44"/>
      <c r="O229" s="25" t="str">
        <v/>
      </c>
      <c r="P229" s="25" t="str">
        <v/>
      </c>
      <c r="Q229" s="25" t="str">
        <v/>
      </c>
      <c r="R229" s="25">
        <v>0</v>
      </c>
      <c r="S229" s="25"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86"/>
      <c r="U229" s="25" t="str">
        <v/>
      </c>
      <c r="V229" s="25">
        <v>0</v>
      </c>
      <c r="W229" s="25"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86"/>
      <c r="Y229" s="25" t="str">
        <v/>
      </c>
      <c r="Z229" s="25">
        <v>0</v>
      </c>
      <c r="AA229" s="25"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86"/>
      <c r="AC229" s="25" t="str">
        <v/>
      </c>
      <c r="AD229" s="25">
        <v>0</v>
      </c>
      <c r="AE229" s="25"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86"/>
      <c r="AG229" s="25" t="str">
        <v/>
      </c>
      <c r="AH229" s="25">
        <v>0</v>
      </c>
      <c r="AI229" s="25"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86"/>
      <c r="AK229" s="25" t="str">
        <v/>
      </c>
      <c r="AL229" s="25">
        <v>0</v>
      </c>
      <c r="AM229" s="25"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86"/>
    </row>
    <row r="230" spans="4:40" ht="20.100000000000001" customHeight="1" x14ac:dyDescent="0.25">
      <c r="D230" s="25" t="str">
        <v/>
      </c>
      <c r="E230" s="25">
        <v>0</v>
      </c>
      <c r="F230" s="25"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255" cm="1">
        <f t="array" ref="G230">Scope3_Equations.VEERG_15_4_1_1__1_EmissionsFromPurchasedFertiliser(E230,F230)</f>
        <v>0</v>
      </c>
      <c r="H230" s="25"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86"/>
      <c r="J230" s="255" cm="1">
        <f t="array" ref="J230">Scope3_Equations.VEERG_15_4_1_1__1_EmissionsFromPurchasedFertiliser(E230,I230)</f>
        <v>0</v>
      </c>
      <c r="K230" s="255"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44"/>
      <c r="M230" s="23"/>
      <c r="N230" s="44"/>
      <c r="O230" s="25" t="str">
        <v/>
      </c>
      <c r="P230" s="25" t="str">
        <v/>
      </c>
      <c r="Q230" s="25" t="str">
        <v/>
      </c>
      <c r="R230" s="25">
        <v>0</v>
      </c>
      <c r="S230" s="25"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86"/>
      <c r="U230" s="25" t="str">
        <v/>
      </c>
      <c r="V230" s="25">
        <v>0</v>
      </c>
      <c r="W230" s="25"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86"/>
      <c r="Y230" s="25" t="str">
        <v/>
      </c>
      <c r="Z230" s="25">
        <v>0</v>
      </c>
      <c r="AA230" s="25"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86"/>
      <c r="AC230" s="25" t="str">
        <v/>
      </c>
      <c r="AD230" s="25">
        <v>0</v>
      </c>
      <c r="AE230" s="25"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86"/>
      <c r="AG230" s="25" t="str">
        <v/>
      </c>
      <c r="AH230" s="25">
        <v>0</v>
      </c>
      <c r="AI230" s="25"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86"/>
      <c r="AK230" s="25" t="str">
        <v/>
      </c>
      <c r="AL230" s="25">
        <v>0</v>
      </c>
      <c r="AM230" s="25"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86"/>
    </row>
    <row r="231" spans="4:40" ht="20.100000000000001" customHeight="1" x14ac:dyDescent="0.25"/>
    <row r="232" spans="4:40" ht="20.100000000000001" customHeight="1" x14ac:dyDescent="0.25">
      <c r="D232" s="239" t="s">
        <v>887</v>
      </c>
    </row>
    <row r="233" spans="4:40" ht="20.100000000000001" customHeight="1" x14ac:dyDescent="0.25"/>
    <row r="234" spans="4:40" ht="20.100000000000001" customHeight="1" x14ac:dyDescent="0.25">
      <c r="D234" s="46" t="s">
        <v>888</v>
      </c>
      <c r="E234" s="48"/>
      <c r="F234" s="49"/>
    </row>
    <row r="235" spans="4:40" ht="20.100000000000001" customHeight="1" x14ac:dyDescent="0.25"/>
    <row r="236" spans="4:40" ht="20.100000000000001" customHeight="1" x14ac:dyDescent="0.25">
      <c r="D236" s="92" t="s">
        <v>851</v>
      </c>
      <c r="E236" s="92" t="s">
        <v>868</v>
      </c>
      <c r="F236" s="145" t="s">
        <v>869</v>
      </c>
      <c r="G236" s="145" t="s">
        <v>870</v>
      </c>
      <c r="H236" s="145" t="s">
        <v>871</v>
      </c>
      <c r="I236" s="92" t="s">
        <v>872</v>
      </c>
      <c r="J236" s="145" t="s">
        <v>873</v>
      </c>
      <c r="K236" s="145" t="s">
        <v>874</v>
      </c>
      <c r="L236" s="92" t="s">
        <v>828</v>
      </c>
      <c r="M236" s="92" t="s">
        <v>829</v>
      </c>
      <c r="N236" s="92" t="s">
        <v>830</v>
      </c>
      <c r="O236" s="145" t="s">
        <v>224</v>
      </c>
      <c r="P236" s="145" t="s">
        <v>225</v>
      </c>
      <c r="Q236" s="145" t="s">
        <v>211</v>
      </c>
      <c r="R236" s="145" t="s">
        <v>212</v>
      </c>
      <c r="S236" s="145" t="s">
        <v>875</v>
      </c>
      <c r="T236" s="92" t="s">
        <v>876</v>
      </c>
      <c r="U236" s="145" t="s">
        <v>213</v>
      </c>
      <c r="V236" s="145" t="s">
        <v>214</v>
      </c>
      <c r="W236" s="145" t="s">
        <v>877</v>
      </c>
      <c r="X236" s="92" t="s">
        <v>878</v>
      </c>
      <c r="Y236" s="145" t="s">
        <v>215</v>
      </c>
      <c r="Z236" s="145" t="s">
        <v>216</v>
      </c>
      <c r="AA236" s="145" t="s">
        <v>879</v>
      </c>
      <c r="AB236" s="92" t="s">
        <v>880</v>
      </c>
      <c r="AC236" s="145" t="s">
        <v>217</v>
      </c>
      <c r="AD236" s="145" t="s">
        <v>218</v>
      </c>
      <c r="AE236" s="145" t="s">
        <v>881</v>
      </c>
      <c r="AF236" s="92" t="s">
        <v>882</v>
      </c>
    </row>
    <row r="237" spans="4:40" ht="20.100000000000001" customHeight="1" x14ac:dyDescent="0.25">
      <c r="D237" s="25" t="str" cm="1">
        <f t="array" ref="D237:D246">IFERROR(INDEX(Table_Input_InorganicFertiliser_Custom[Custom blend name], _xlfn.SEQUENCE(10)), "")</f>
        <v>My first custom blend</v>
      </c>
      <c r="E237" s="25" cm="1">
        <f t="array" ref="E237:E246">IFERROR(INDEX(Table_Input_InorganicFertiliser_Custom[Total applied (kg)], _xlfn.SEQUENCE(10)), 0)</f>
        <v>10000</v>
      </c>
      <c r="F237" s="25"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255" cm="1">
        <f t="array" ref="G237">Scope3_Equations.VEERG_15_4_1_1__1_EmissionsFromPurchasedFertiliser(E237,F237)</f>
        <v>17.708000000000002</v>
      </c>
      <c r="H237" s="25"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86">
        <v>0.4</v>
      </c>
      <c r="J237" s="255" cm="1">
        <f t="array" ref="J237">Scope3_Equations.VEERG_15_4_1_1__1_EmissionsFromPurchasedFertiliser(E237,I237)</f>
        <v>4</v>
      </c>
      <c r="K237" s="255"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44"/>
      <c r="M237" s="23"/>
      <c r="N237" s="238"/>
      <c r="O237" s="25" cm="1">
        <f t="array" ref="O237:O246">IFERROR(INDEX(Table_Input_InorganicFertiliser_Custom[Urea source (Select)], _xlfn.SEQUENCE(10)), "")</f>
        <v>0</v>
      </c>
      <c r="P237" s="25" cm="1">
        <f t="array" ref="P237:P246">IFERROR(INDEX(Table_Input_InorganicFertiliser_Custom[Ammonia source (select)], _xlfn.SEQUENCE(10)), "")</f>
        <v>0</v>
      </c>
      <c r="Q237" s="25" t="str" cm="1">
        <f t="array" ref="Q237:Q246">IFERROR(INDEX(Table_Input_InorganicFertiliser_Custom[Ingredient 1 (select)], _xlfn.SEQUENCE(10)), "")</f>
        <v>Calcium nitrate</v>
      </c>
      <c r="R237" s="25" cm="1">
        <f t="array" ref="R237:R246">IFERROR(INDEX(_xlfn.LET(_xlpm.result, Table_Input_InorganicFertiliser_Custom[Ingredient 1 percent], IF(_xlpm.result="", 0, _xlpm.result)), _xlfn.SEQUENCE(10)), 0)</f>
        <v>0.5</v>
      </c>
      <c r="S237" s="2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86">
        <v>0.9</v>
      </c>
      <c r="U237" s="25" t="str" cm="1">
        <f t="array" ref="U237:U246">IFERROR(INDEX(Table_Input_InorganicFertiliser_Custom[Ingredient 2], _xlfn.SEQUENCE(10)), "")</f>
        <v>Zinc - Generic</v>
      </c>
      <c r="V237" s="25" cm="1">
        <f t="array" ref="V237:V246">IFERROR(INDEX(_xlfn.LET(_xlpm.result, Table_Input_InorganicFertiliser_Custom[Ingredient 2 percent], IF(_xlpm.result="", 0, _xlpm.result)), _xlfn.SEQUENCE(10)), 0)</f>
        <v>0.2</v>
      </c>
      <c r="W237" s="2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86">
        <v>0.9</v>
      </c>
      <c r="Y237" s="25" t="str" cm="1">
        <f t="array" ref="Y237:Y246">IFERROR(INDEX(Table_Input_InorganicFertiliser_Custom[Ingredient 3], _xlfn.SEQUENCE(10)), "")</f>
        <v>Potassium - Generic</v>
      </c>
      <c r="Z237" s="25" cm="1">
        <f t="array" ref="Z237:Z246">IFERROR(INDEX(_xlfn.LET(_xlpm.result, Table_Input_InorganicFertiliser_Custom[Ingredient 3 percent], IF(_xlpm.result="", 0, _xlpm.result)), _xlfn.SEQUENCE(10)), 0)</f>
        <v>0.2</v>
      </c>
      <c r="AA237" s="2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86">
        <v>4</v>
      </c>
      <c r="AC237" s="25" t="str" cm="1">
        <f t="array" ref="AC237:AC246">IFERROR(INDEX(Table_Input_InorganicFertiliser_Custom[Ingredient 4], _xlfn.SEQUENCE(10)), "")</f>
        <v>Sulfur - Generic</v>
      </c>
      <c r="AD237" s="25" cm="1">
        <f t="array" ref="AD237:AD246">IFERROR(INDEX(_xlfn.LET(_xlpm.result, Table_Input_InorganicFertiliser_Custom[Ingredient 4 percent], IF(_xlpm.result="", 0, _xlpm.result)), _xlfn.SEQUENCE(10)), 0)</f>
        <v>0.1</v>
      </c>
      <c r="AE237" s="2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86">
        <v>0</v>
      </c>
    </row>
    <row r="238" spans="4:40" ht="20.100000000000001" customHeight="1" x14ac:dyDescent="0.25">
      <c r="D238" s="25" t="str">
        <v>My second custom blend</v>
      </c>
      <c r="E238" s="25">
        <v>10000</v>
      </c>
      <c r="F238" s="25"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v>
      </c>
      <c r="G238" s="255" cm="1">
        <f t="array" ref="G238">Scope3_Equations.VEERG_15_4_1_1__1_EmissionsFromPurchasedFertiliser(E238,F238)</f>
        <v>0</v>
      </c>
      <c r="H238" s="25"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0</v>
      </c>
      <c r="I238" s="86">
        <v>0.9</v>
      </c>
      <c r="J238" s="255" cm="1">
        <f t="array" ref="J238">Scope3_Equations.VEERG_15_4_1_1__1_EmissionsFromPurchasedFertiliser(E238,I238)</f>
        <v>9</v>
      </c>
      <c r="K238" s="255"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0</v>
      </c>
      <c r="L238" s="44"/>
      <c r="M238" s="23"/>
      <c r="N238" s="44"/>
      <c r="O238" s="25">
        <v>0</v>
      </c>
      <c r="P238" s="25">
        <v>0</v>
      </c>
      <c r="Q238" s="25" t="str">
        <v>Urea</v>
      </c>
      <c r="R238" s="25">
        <v>1</v>
      </c>
      <c r="S238" s="2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v>
      </c>
      <c r="T238" s="86"/>
      <c r="U238" s="25">
        <v>0</v>
      </c>
      <c r="V238" s="25">
        <v>0</v>
      </c>
      <c r="W238" s="2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86"/>
      <c r="Y238" s="25">
        <v>0</v>
      </c>
      <c r="Z238" s="25">
        <v>0</v>
      </c>
      <c r="AA238" s="2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86"/>
      <c r="AC238" s="25">
        <v>0</v>
      </c>
      <c r="AD238" s="25">
        <v>0</v>
      </c>
      <c r="AE238" s="2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86"/>
    </row>
    <row r="239" spans="4:40" ht="20.100000000000001" customHeight="1" x14ac:dyDescent="0.25">
      <c r="D239" s="25" t="str">
        <v>My third custom blend</v>
      </c>
      <c r="E239" s="25">
        <v>10000</v>
      </c>
      <c r="F239" s="25"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0</v>
      </c>
      <c r="G239" s="255" cm="1">
        <f t="array" ref="G239">Scope3_Equations.VEERG_15_4_1_1__1_EmissionsFromPurchasedFertiliser(E239,F239)</f>
        <v>0</v>
      </c>
      <c r="H239" s="25"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0</v>
      </c>
      <c r="I239" s="86">
        <v>0.4</v>
      </c>
      <c r="J239" s="255" cm="1">
        <f t="array" ref="J239">Scope3_Equations.VEERG_15_4_1_1__1_EmissionsFromPurchasedFertiliser(E239,I239)</f>
        <v>4</v>
      </c>
      <c r="K239" s="255"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0</v>
      </c>
      <c r="L239" s="44"/>
      <c r="M239" s="23"/>
      <c r="N239" s="44"/>
      <c r="O239" s="25">
        <v>0</v>
      </c>
      <c r="P239" s="25">
        <v>0</v>
      </c>
      <c r="Q239" s="25" t="str">
        <v>Ammonia</v>
      </c>
      <c r="R239" s="25">
        <v>0.5</v>
      </c>
      <c r="S239" s="2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0</v>
      </c>
      <c r="T239" s="86"/>
      <c r="U239" s="25">
        <v>0</v>
      </c>
      <c r="V239" s="25">
        <v>0</v>
      </c>
      <c r="W239" s="2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86"/>
      <c r="Y239" s="25">
        <v>0</v>
      </c>
      <c r="Z239" s="25">
        <v>0</v>
      </c>
      <c r="AA239" s="2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86"/>
      <c r="AC239" s="25">
        <v>0</v>
      </c>
      <c r="AD239" s="25">
        <v>0</v>
      </c>
      <c r="AE239" s="2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86"/>
    </row>
    <row r="240" spans="4:40" ht="20.100000000000001" customHeight="1" x14ac:dyDescent="0.25">
      <c r="D240" s="25" t="str">
        <v/>
      </c>
      <c r="E240" s="25">
        <v>0</v>
      </c>
      <c r="F240" s="25"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255" cm="1">
        <f t="array" ref="G240">Scope3_Equations.VEERG_15_4_1_1__1_EmissionsFromPurchasedFertiliser(E240,F240)</f>
        <v>0</v>
      </c>
      <c r="H240" s="25"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86"/>
      <c r="J240" s="255" cm="1">
        <f t="array" ref="J240">Scope3_Equations.VEERG_15_4_1_1__1_EmissionsFromPurchasedFertiliser(E240,I240)</f>
        <v>0</v>
      </c>
      <c r="K240" s="255"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44"/>
      <c r="M240" s="23"/>
      <c r="N240" s="44"/>
      <c r="O240" s="25" t="str">
        <v/>
      </c>
      <c r="P240" s="25" t="str">
        <v/>
      </c>
      <c r="Q240" s="25" t="str">
        <v/>
      </c>
      <c r="R240" s="25">
        <v>0</v>
      </c>
      <c r="S240" s="2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86"/>
      <c r="U240" s="25" t="str">
        <v/>
      </c>
      <c r="V240" s="25">
        <v>0</v>
      </c>
      <c r="W240" s="2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86"/>
      <c r="Y240" s="25" t="str">
        <v/>
      </c>
      <c r="Z240" s="25">
        <v>0</v>
      </c>
      <c r="AA240" s="2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86"/>
      <c r="AC240" s="25" t="str">
        <v/>
      </c>
      <c r="AD240" s="25">
        <v>0</v>
      </c>
      <c r="AE240" s="2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86"/>
    </row>
    <row r="241" spans="3:41" ht="20.100000000000001" customHeight="1" x14ac:dyDescent="0.25">
      <c r="D241" s="25" t="str">
        <v/>
      </c>
      <c r="E241" s="25">
        <v>0</v>
      </c>
      <c r="F241" s="25"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255" cm="1">
        <f t="array" ref="G241">Scope3_Equations.VEERG_15_4_1_1__1_EmissionsFromPurchasedFertiliser(E241,F241)</f>
        <v>0</v>
      </c>
      <c r="H241" s="25"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86"/>
      <c r="J241" s="255" cm="1">
        <f t="array" ref="J241">Scope3_Equations.VEERG_15_4_1_1__1_EmissionsFromPurchasedFertiliser(E241,I241)</f>
        <v>0</v>
      </c>
      <c r="K241" s="255"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44"/>
      <c r="M241" s="23"/>
      <c r="N241" s="44"/>
      <c r="O241" s="25" t="str">
        <v/>
      </c>
      <c r="P241" s="25" t="str">
        <v/>
      </c>
      <c r="Q241" s="25" t="str">
        <v/>
      </c>
      <c r="R241" s="25">
        <v>0</v>
      </c>
      <c r="S241" s="2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86"/>
      <c r="U241" s="25" t="str">
        <v/>
      </c>
      <c r="V241" s="25">
        <v>0</v>
      </c>
      <c r="W241" s="2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86"/>
      <c r="Y241" s="25" t="str">
        <v/>
      </c>
      <c r="Z241" s="25">
        <v>0</v>
      </c>
      <c r="AA241" s="2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86"/>
      <c r="AC241" s="25" t="str">
        <v/>
      </c>
      <c r="AD241" s="25">
        <v>0</v>
      </c>
      <c r="AE241" s="2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86"/>
    </row>
    <row r="242" spans="3:41" ht="20.100000000000001" customHeight="1" x14ac:dyDescent="0.25">
      <c r="D242" s="25" t="str">
        <v/>
      </c>
      <c r="E242" s="25">
        <v>0</v>
      </c>
      <c r="F242" s="25"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255" cm="1">
        <f t="array" ref="G242">Scope3_Equations.VEERG_15_4_1_1__1_EmissionsFromPurchasedFertiliser(E242,F242)</f>
        <v>0</v>
      </c>
      <c r="H242" s="25"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86"/>
      <c r="J242" s="255" cm="1">
        <f t="array" ref="J242">Scope3_Equations.VEERG_15_4_1_1__1_EmissionsFromPurchasedFertiliser(E242,I242)</f>
        <v>0</v>
      </c>
      <c r="K242" s="255"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44"/>
      <c r="M242" s="23"/>
      <c r="N242" s="44"/>
      <c r="O242" s="25" t="str">
        <v/>
      </c>
      <c r="P242" s="25" t="str">
        <v/>
      </c>
      <c r="Q242" s="25" t="str">
        <v/>
      </c>
      <c r="R242" s="25">
        <v>0</v>
      </c>
      <c r="S242" s="2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86"/>
      <c r="U242" s="25" t="str">
        <v/>
      </c>
      <c r="V242" s="25">
        <v>0</v>
      </c>
      <c r="W242" s="2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86"/>
      <c r="Y242" s="25" t="str">
        <v/>
      </c>
      <c r="Z242" s="25">
        <v>0</v>
      </c>
      <c r="AA242" s="2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86"/>
      <c r="AC242" s="25" t="str">
        <v/>
      </c>
      <c r="AD242" s="25">
        <v>0</v>
      </c>
      <c r="AE242" s="2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86"/>
    </row>
    <row r="243" spans="3:41" ht="20.100000000000001" customHeight="1" x14ac:dyDescent="0.25">
      <c r="D243" s="25" t="str">
        <v/>
      </c>
      <c r="E243" s="25">
        <v>0</v>
      </c>
      <c r="F243" s="25"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255" cm="1">
        <f t="array" ref="G243">Scope3_Equations.VEERG_15_4_1_1__1_EmissionsFromPurchasedFertiliser(E243,F243)</f>
        <v>0</v>
      </c>
      <c r="H243" s="25"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86"/>
      <c r="J243" s="255" cm="1">
        <f t="array" ref="J243">Scope3_Equations.VEERG_15_4_1_1__1_EmissionsFromPurchasedFertiliser(E243,I243)</f>
        <v>0</v>
      </c>
      <c r="K243" s="255"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44"/>
      <c r="M243" s="23"/>
      <c r="N243" s="44"/>
      <c r="O243" s="25" t="str">
        <v/>
      </c>
      <c r="P243" s="25" t="str">
        <v/>
      </c>
      <c r="Q243" s="25" t="str">
        <v/>
      </c>
      <c r="R243" s="25">
        <v>0</v>
      </c>
      <c r="S243" s="2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86"/>
      <c r="U243" s="25" t="str">
        <v/>
      </c>
      <c r="V243" s="25">
        <v>0</v>
      </c>
      <c r="W243" s="2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86"/>
      <c r="Y243" s="25" t="str">
        <v/>
      </c>
      <c r="Z243" s="25">
        <v>0</v>
      </c>
      <c r="AA243" s="2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86"/>
      <c r="AC243" s="25" t="str">
        <v/>
      </c>
      <c r="AD243" s="25">
        <v>0</v>
      </c>
      <c r="AE243" s="2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86"/>
    </row>
    <row r="244" spans="3:41" ht="20.100000000000001" customHeight="1" x14ac:dyDescent="0.25">
      <c r="D244" s="25" t="str">
        <v/>
      </c>
      <c r="E244" s="25">
        <v>0</v>
      </c>
      <c r="F244" s="25"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255" cm="1">
        <f t="array" ref="G244">Scope3_Equations.VEERG_15_4_1_1__1_EmissionsFromPurchasedFertiliser(E244,F244)</f>
        <v>0</v>
      </c>
      <c r="H244" s="25"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86"/>
      <c r="J244" s="255" cm="1">
        <f t="array" ref="J244">Scope3_Equations.VEERG_15_4_1_1__1_EmissionsFromPurchasedFertiliser(E244,I244)</f>
        <v>0</v>
      </c>
      <c r="K244" s="255"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44"/>
      <c r="M244" s="23"/>
      <c r="N244" s="44"/>
      <c r="O244" s="25" t="str">
        <v/>
      </c>
      <c r="P244" s="25" t="str">
        <v/>
      </c>
      <c r="Q244" s="25" t="str">
        <v/>
      </c>
      <c r="R244" s="25">
        <v>0</v>
      </c>
      <c r="S244" s="2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86"/>
      <c r="U244" s="25" t="str">
        <v/>
      </c>
      <c r="V244" s="25">
        <v>0</v>
      </c>
      <c r="W244" s="2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86"/>
      <c r="Y244" s="25" t="str">
        <v/>
      </c>
      <c r="Z244" s="25">
        <v>0</v>
      </c>
      <c r="AA244" s="2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86"/>
      <c r="AC244" s="25" t="str">
        <v/>
      </c>
      <c r="AD244" s="25">
        <v>0</v>
      </c>
      <c r="AE244" s="2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86"/>
    </row>
    <row r="245" spans="3:41" ht="20.100000000000001" customHeight="1" x14ac:dyDescent="0.25">
      <c r="D245" s="25" t="str">
        <v/>
      </c>
      <c r="E245" s="25">
        <v>0</v>
      </c>
      <c r="F245" s="25"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255" cm="1">
        <f t="array" ref="G245">Scope3_Equations.VEERG_15_4_1_1__1_EmissionsFromPurchasedFertiliser(E245,F245)</f>
        <v>0</v>
      </c>
      <c r="H245" s="25"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86"/>
      <c r="J245" s="255" cm="1">
        <f t="array" ref="J245">Scope3_Equations.VEERG_15_4_1_1__1_EmissionsFromPurchasedFertiliser(E245,I245)</f>
        <v>0</v>
      </c>
      <c r="K245" s="255"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44"/>
      <c r="M245" s="23"/>
      <c r="N245" s="44"/>
      <c r="O245" s="25" t="str">
        <v/>
      </c>
      <c r="P245" s="25" t="str">
        <v/>
      </c>
      <c r="Q245" s="25" t="str">
        <v/>
      </c>
      <c r="R245" s="25">
        <v>0</v>
      </c>
      <c r="S245" s="2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86"/>
      <c r="U245" s="25" t="str">
        <v/>
      </c>
      <c r="V245" s="25">
        <v>0</v>
      </c>
      <c r="W245" s="2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86"/>
      <c r="Y245" s="25" t="str">
        <v/>
      </c>
      <c r="Z245" s="25">
        <v>0</v>
      </c>
      <c r="AA245" s="2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86"/>
      <c r="AC245" s="25" t="str">
        <v/>
      </c>
      <c r="AD245" s="25">
        <v>0</v>
      </c>
      <c r="AE245" s="2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86"/>
    </row>
    <row r="246" spans="3:41" ht="20.100000000000001" customHeight="1" x14ac:dyDescent="0.25">
      <c r="D246" s="25" t="str">
        <v/>
      </c>
      <c r="E246" s="25">
        <v>0</v>
      </c>
      <c r="F246" s="25"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255" cm="1">
        <f t="array" ref="G246">Scope3_Equations.VEERG_15_4_1_1__1_EmissionsFromPurchasedFertiliser(E246,F246)</f>
        <v>0</v>
      </c>
      <c r="H246" s="25"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86"/>
      <c r="J246" s="255" cm="1">
        <f t="array" ref="J246">Scope3_Equations.VEERG_15_4_1_1__1_EmissionsFromPurchasedFertiliser(E246,I246)</f>
        <v>0</v>
      </c>
      <c r="K246" s="255"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44"/>
      <c r="M246" s="23"/>
      <c r="N246" s="44"/>
      <c r="O246" s="25" t="str">
        <v/>
      </c>
      <c r="P246" s="25" t="str">
        <v/>
      </c>
      <c r="Q246" s="25" t="str">
        <v/>
      </c>
      <c r="R246" s="25">
        <v>0</v>
      </c>
      <c r="S246" s="25"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86"/>
      <c r="U246" s="25" t="str">
        <v/>
      </c>
      <c r="V246" s="25">
        <v>0</v>
      </c>
      <c r="W246" s="25"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86"/>
      <c r="Y246" s="25" t="str">
        <v/>
      </c>
      <c r="Z246" s="25">
        <v>0</v>
      </c>
      <c r="AA246" s="25"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86"/>
      <c r="AC246" s="25" t="str">
        <v/>
      </c>
      <c r="AD246" s="25">
        <v>0</v>
      </c>
      <c r="AE246" s="25"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86"/>
    </row>
    <row r="247" spans="3:41" ht="20.100000000000001" customHeight="1" x14ac:dyDescent="0.25"/>
    <row r="248" spans="3:41" ht="20.100000000000001" customHeight="1" x14ac:dyDescent="0.25">
      <c r="D248" s="256" t="s">
        <v>889</v>
      </c>
      <c r="E248" s="150">
        <f>SUM(G221:G230)+SUM(G237:G246)</f>
        <v>57.004322000000002</v>
      </c>
      <c r="F248" s="151" t="str">
        <f>$E$155</f>
        <v>t CO2e</v>
      </c>
    </row>
    <row r="249" spans="3:41" ht="20.100000000000001" customHeight="1" x14ac:dyDescent="0.25">
      <c r="D249" s="256" t="s">
        <v>890</v>
      </c>
      <c r="E249" s="150">
        <f>SUM(J221:J230)+SUM(J237:J246)</f>
        <v>38.745000000000005</v>
      </c>
      <c r="F249" s="151" t="str">
        <f>$E$155</f>
        <v>t CO2e</v>
      </c>
    </row>
    <row r="250" spans="3:41" ht="20.100000000000001" customHeight="1" x14ac:dyDescent="0.25"/>
    <row r="251" spans="3:41" ht="20.100000000000001" customHeight="1" x14ac:dyDescent="0.25">
      <c r="D251" s="256" t="s">
        <v>891</v>
      </c>
      <c r="E251" s="150">
        <f>SUM(H221:H230)+SUM(H237:H246)</f>
        <v>57.004322000000002</v>
      </c>
      <c r="F251" s="151" t="str">
        <f>$E$155</f>
        <v>t CO2e</v>
      </c>
    </row>
    <row r="252" spans="3:41" ht="20.100000000000001" customHeight="1" x14ac:dyDescent="0.25">
      <c r="D252" s="256" t="s">
        <v>892</v>
      </c>
      <c r="E252" s="150">
        <f>SUM(K221:K230)+SUM(K237:K246)</f>
        <v>54.463047000000003</v>
      </c>
      <c r="F252" s="151" t="str">
        <f>$E$155</f>
        <v>t CO2e</v>
      </c>
    </row>
    <row r="253" spans="3:41" ht="20.100000000000001" customHeight="1" x14ac:dyDescent="0.25"/>
    <row r="254" spans="3:41" ht="20.100000000000001" customHeight="1" x14ac:dyDescent="0.25"/>
    <row r="255" spans="3:41" ht="20.100000000000001" customHeight="1" x14ac:dyDescent="0.25">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c r="AA255" s="146"/>
      <c r="AB255" s="146"/>
      <c r="AC255" s="146"/>
      <c r="AD255" s="146"/>
      <c r="AE255" s="146"/>
      <c r="AF255" s="146"/>
      <c r="AG255" s="146"/>
      <c r="AH255" s="146"/>
      <c r="AI255" s="146"/>
      <c r="AJ255" s="146"/>
      <c r="AK255" s="146"/>
      <c r="AL255" s="146"/>
      <c r="AM255" s="146"/>
      <c r="AN255" s="146"/>
      <c r="AO255" s="146"/>
    </row>
    <row r="256" spans="3:41" ht="20.100000000000001" customHeight="1" x14ac:dyDescent="0.25">
      <c r="D256" s="2" t="str" cm="1">
        <f t="array" ref="D256">Scope3_Equations.VEERG_15_5_1_1__1_EmissionsFromPurchasedAgrichemicals_Title()</f>
        <v>Total emissions from purchased agrichemicals</v>
      </c>
    </row>
    <row r="257" spans="4:9" ht="20.100000000000001" customHeight="1" x14ac:dyDescent="0.25">
      <c r="D257" s="27" t="str" cm="1">
        <f t="array" ref="D257">Scope3_Equations.VEERG_15_5_1_1__1_EmissionsFromPurchasedAgrichemicals_Source()</f>
        <v>VEERG 2026: 15.5.1.1, Equation (1)</v>
      </c>
    </row>
    <row r="258" spans="4:9" ht="20.100000000000001" customHeight="1" x14ac:dyDescent="0.25">
      <c r="D258" s="132" t="s">
        <v>267</v>
      </c>
      <c r="E258" s="132"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88" t="s">
        <v>268</v>
      </c>
      <c r="E262" s="1" t="str" cm="1">
        <f t="array" ref="E262">Scope3_Equations.VEERG_15_5_1_1__1_EmissionsFromPurchasedAgrichemicals_Variable()</f>
        <v>E</v>
      </c>
    </row>
    <row r="263" spans="4:9" ht="20.100000000000001" customHeight="1" x14ac:dyDescent="0.25">
      <c r="D263" s="88" t="s">
        <v>121</v>
      </c>
      <c r="E263" s="15" t="str" cm="1">
        <f t="array" ref="E263">Scope3_Equations.VEERG_15_5_1_1__1_EmissionsFromPurchasedAgrichemicals_Unit()</f>
        <v>t CO2e</v>
      </c>
    </row>
    <row r="264" spans="4:9" ht="20.100000000000001" customHeight="1" x14ac:dyDescent="0.25"/>
    <row r="265" spans="4:9" x14ac:dyDescent="0.25">
      <c r="D265" s="154" t="str" cm="1">
        <f t="array" ref="D265:E267">_xlfn.CHOOSECOLS(Scope3_Equations.VEERG_15_5_1_1__1_EmissionsFromPurchasedAgrichemicals_Arguments(),1,2)</f>
        <v>Q_h</v>
      </c>
      <c r="E265" s="162" t="str">
        <v>quantity of active ingredients in agrichemical type h purchased and applied to soils</v>
      </c>
      <c r="F265" s="164"/>
      <c r="G265" s="154" t="str" cm="1">
        <f t="array" ref="G265:H267">_xlfn.CHOOSECOLS(Scope3_Equations.VEERG_15_5_1_1__1_EmissionsFromPurchasedAgrichemicals_Arguments(),3,4)</f>
        <v>kg ai</v>
      </c>
      <c r="H265" s="253" t="str">
        <v>Input</v>
      </c>
    </row>
    <row r="266" spans="4:9" x14ac:dyDescent="0.25">
      <c r="D266" s="154" t="str">
        <v>EF_h</v>
      </c>
      <c r="E266" s="162" t="str">
        <v>emission factor for purchased agrichemical active ingredient</v>
      </c>
      <c r="F266" s="164"/>
      <c r="G266" s="154" t="str">
        <v>kg CO2e/kg ai</v>
      </c>
      <c r="H266" s="137" t="str">
        <v>Constant</v>
      </c>
    </row>
    <row r="267" spans="4:9" x14ac:dyDescent="0.25">
      <c r="D267" s="154" t="str">
        <v>h</v>
      </c>
      <c r="E267" s="162" t="str">
        <v>agrichemical type</v>
      </c>
      <c r="F267" s="164"/>
      <c r="G267" s="154" t="str">
        <v/>
      </c>
      <c r="H267" s="253" t="str">
        <v>Input</v>
      </c>
    </row>
    <row r="269" spans="4:9" ht="17.25" x14ac:dyDescent="0.25">
      <c r="D269" s="92" t="s">
        <v>893</v>
      </c>
      <c r="E269" s="92" t="s">
        <v>210</v>
      </c>
      <c r="F269" s="145" t="s">
        <v>894</v>
      </c>
      <c r="G269" s="145" t="s">
        <v>824</v>
      </c>
      <c r="H269" s="92" t="s">
        <v>895</v>
      </c>
      <c r="I269" s="145" t="s">
        <v>827</v>
      </c>
    </row>
    <row r="270" spans="4:9" x14ac:dyDescent="0.25">
      <c r="D270" s="25" t="str" cm="1">
        <f t="array" ref="D270:D281">Table_SourceData_Scope3_Pesticides[Product]</f>
        <v>2,4-D</v>
      </c>
      <c r="E270" s="25">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25" cm="1">
        <f t="array" ref="F270">Common_InputFunctions.Utility_LookupValueInTableNumber(D270,Table_SourceData_Scope3_Pesticides[Product],Table_SourceData_Scope3_Pesticides[AusLCI Emissions intensity])</f>
        <v>5.2</v>
      </c>
      <c r="G270" s="25" cm="1">
        <f t="array" ref="G270">Scope3_Equations.VEERG_15_5_1_1__1_EmissionsFromPurchasedAgrichemicals($E270,F270)</f>
        <v>0.52</v>
      </c>
      <c r="H270" s="86">
        <v>5</v>
      </c>
      <c r="I270" s="25" cm="1">
        <f t="array" ref="I270">Scope3_Equations.VEERG_15_5_1_1__1_EmissionsFromPurchasedAgrichemicals($E270,IF(H270,H270,F270))</f>
        <v>0.5</v>
      </c>
    </row>
    <row r="271" spans="4:9" x14ac:dyDescent="0.25">
      <c r="D271" s="25" t="str">
        <v>Atrazine</v>
      </c>
      <c r="E271" s="25">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25" cm="1">
        <f t="array" ref="F271">Common_InputFunctions.Utility_LookupValueInTableNumber(D271,Table_SourceData_Scope3_Pesticides[Product],Table_SourceData_Scope3_Pesticides[AusLCI Emissions intensity])</f>
        <v>8.3800000000000008</v>
      </c>
      <c r="G271" s="25" cm="1">
        <f t="array" ref="G271">Scope3_Equations.VEERG_15_5_1_1__1_EmissionsFromPurchasedAgrichemicals($E271,F271)</f>
        <v>0</v>
      </c>
      <c r="H271" s="86">
        <v>8</v>
      </c>
      <c r="I271" s="25" cm="1">
        <f t="array" ref="I271">Scope3_Equations.VEERG_15_5_1_1__1_EmissionsFromPurchasedAgrichemicals($E271,IF(H271,H271,F271))</f>
        <v>0</v>
      </c>
    </row>
    <row r="272" spans="4:9" x14ac:dyDescent="0.25">
      <c r="D272" s="25" t="str">
        <v>Diuron</v>
      </c>
      <c r="E272" s="25">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25" cm="1">
        <f t="array" ref="F272">Common_InputFunctions.Utility_LookupValueInTableNumber(D272,Table_SourceData_Scope3_Pesticides[Product],Table_SourceData_Scope3_Pesticides[AusLCI Emissions intensity])</f>
        <v>8.8000000000000007</v>
      </c>
      <c r="G272" s="25" cm="1">
        <f t="array" ref="G272">Scope3_Equations.VEERG_15_5_1_1__1_EmissionsFromPurchasedAgrichemicals($E272,F272)</f>
        <v>0</v>
      </c>
      <c r="H272" s="86"/>
      <c r="I272" s="25" cm="1">
        <f t="array" ref="I272">Scope3_Equations.VEERG_15_5_1_1__1_EmissionsFromPurchasedAgrichemicals($E272,IF(H272,H272,F272))</f>
        <v>0</v>
      </c>
    </row>
    <row r="273" spans="3:41" x14ac:dyDescent="0.25">
      <c r="D273" s="25" t="str">
        <v>Glyphosate</v>
      </c>
      <c r="E273" s="25">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25" cm="1">
        <f t="array" ref="F273">Common_InputFunctions.Utility_LookupValueInTableNumber(D273,Table_SourceData_Scope3_Pesticides[Product],Table_SourceData_Scope3_Pesticides[AusLCI Emissions intensity])</f>
        <v>10.3</v>
      </c>
      <c r="G273" s="25" cm="1">
        <f t="array" ref="G273">Scope3_Equations.VEERG_15_5_1_1__1_EmissionsFromPurchasedAgrichemicals($E273,F273)</f>
        <v>1.03</v>
      </c>
      <c r="H273" s="86"/>
      <c r="I273" s="25" cm="1">
        <f t="array" ref="I273">Scope3_Equations.VEERG_15_5_1_1__1_EmissionsFromPurchasedAgrichemicals($E273,IF(H273,H273,F273))</f>
        <v>1.03</v>
      </c>
    </row>
    <row r="274" spans="3:41" x14ac:dyDescent="0.25">
      <c r="D274" s="25" t="str">
        <v>Mancozeb</v>
      </c>
      <c r="E274" s="25">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25" cm="1">
        <f t="array" ref="F274">Common_InputFunctions.Utility_LookupValueInTableNumber(D274,Table_SourceData_Scope3_Pesticides[Product],Table_SourceData_Scope3_Pesticides[AusLCI Emissions intensity])</f>
        <v>4.55</v>
      </c>
      <c r="G274" s="25" cm="1">
        <f t="array" ref="G274">Scope3_Equations.VEERG_15_5_1_1__1_EmissionsFromPurchasedAgrichemicals($E274,F274)</f>
        <v>0</v>
      </c>
      <c r="H274" s="86"/>
      <c r="I274" s="25" cm="1">
        <f t="array" ref="I274">Scope3_Equations.VEERG_15_5_1_1__1_EmissionsFromPurchasedAgrichemicals($E274,IF(H274,H274,F274))</f>
        <v>0</v>
      </c>
    </row>
    <row r="275" spans="3:41" x14ac:dyDescent="0.25">
      <c r="D275" s="25" t="str">
        <v>MCPA</v>
      </c>
      <c r="E275" s="25">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25" cm="1">
        <f t="array" ref="F275">Common_InputFunctions.Utility_LookupValueInTableNumber(D275,Table_SourceData_Scope3_Pesticides[Product],Table_SourceData_Scope3_Pesticides[AusLCI Emissions intensity])</f>
        <v>5.6</v>
      </c>
      <c r="G275" s="25" cm="1">
        <f t="array" ref="G275">Scope3_Equations.VEERG_15_5_1_1__1_EmissionsFromPurchasedAgrichemicals($E275,F275)</f>
        <v>0</v>
      </c>
      <c r="H275" s="86"/>
      <c r="I275" s="25" cm="1">
        <f t="array" ref="I275">Scope3_Equations.VEERG_15_5_1_1__1_EmissionsFromPurchasedAgrichemicals($E275,IF(H275,H275,F275))</f>
        <v>0</v>
      </c>
    </row>
    <row r="276" spans="3:41" x14ac:dyDescent="0.25">
      <c r="D276" s="25" t="str">
        <v>Metolachlor</v>
      </c>
      <c r="E276" s="25">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25" cm="1">
        <f t="array" ref="F276">Common_InputFunctions.Utility_LookupValueInTableNumber(D276,Table_SourceData_Scope3_Pesticides[Product],Table_SourceData_Scope3_Pesticides[AusLCI Emissions intensity])</f>
        <v>8.06</v>
      </c>
      <c r="G276" s="25" cm="1">
        <f t="array" ref="G276">Scope3_Equations.VEERG_15_5_1_1__1_EmissionsFromPurchasedAgrichemicals($E276,F276)</f>
        <v>0.80600000000000005</v>
      </c>
      <c r="H276" s="86"/>
      <c r="I276" s="25" cm="1">
        <f t="array" ref="I276">Scope3_Equations.VEERG_15_5_1_1__1_EmissionsFromPurchasedAgrichemicals($E276,IF(H276,H276,F276))</f>
        <v>0.80600000000000005</v>
      </c>
    </row>
    <row r="277" spans="3:41" x14ac:dyDescent="0.25">
      <c r="D277" s="25" t="str">
        <v>Metsulfuron-methyl</v>
      </c>
      <c r="E277" s="25">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25" cm="1">
        <f t="array" ref="F277">Common_InputFunctions.Utility_LookupValueInTableNumber(D277,Table_SourceData_Scope3_Pesticides[Product],Table_SourceData_Scope3_Pesticides[AusLCI Emissions intensity])</f>
        <v>8.8000000000000007</v>
      </c>
      <c r="G277" s="25" cm="1">
        <f t="array" ref="G277">Scope3_Equations.VEERG_15_5_1_1__1_EmissionsFromPurchasedAgrichemicals($E277,F277)</f>
        <v>0</v>
      </c>
      <c r="H277" s="86"/>
      <c r="I277" s="25" cm="1">
        <f t="array" ref="I277">Scope3_Equations.VEERG_15_5_1_1__1_EmissionsFromPurchasedAgrichemicals($E277,IF(H277,H277,F277))</f>
        <v>0</v>
      </c>
    </row>
    <row r="278" spans="3:41" x14ac:dyDescent="0.25">
      <c r="D278" s="25" t="str">
        <v>Pesticides (generic)</v>
      </c>
      <c r="E278" s="25">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25" cm="1">
        <f t="array" ref="F278">Common_InputFunctions.Utility_LookupValueInTableNumber(D278,Table_SourceData_Scope3_Pesticides[Product],Table_SourceData_Scope3_Pesticides[AusLCI Emissions intensity])</f>
        <v>9.16</v>
      </c>
      <c r="G278" s="25" cm="1">
        <f t="array" ref="G278">Scope3_Equations.VEERG_15_5_1_1__1_EmissionsFromPurchasedAgrichemicals($E278,F278)</f>
        <v>3.6640000000000001</v>
      </c>
      <c r="H278" s="86"/>
      <c r="I278" s="25" cm="1">
        <f t="array" ref="I278">Scope3_Equations.VEERG_15_5_1_1__1_EmissionsFromPurchasedAgrichemicals($E278,IF(H278,H278,F278))</f>
        <v>3.6640000000000001</v>
      </c>
    </row>
    <row r="279" spans="3:41" x14ac:dyDescent="0.25">
      <c r="D279" s="25" t="str">
        <v>Tri-allate</v>
      </c>
      <c r="E279" s="25">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25" cm="1">
        <f t="array" ref="F279">Common_InputFunctions.Utility_LookupValueInTableNumber(D279,Table_SourceData_Scope3_Pesticides[Product],Table_SourceData_Scope3_Pesticides[AusLCI Emissions intensity])</f>
        <v>8.57</v>
      </c>
      <c r="G279" s="25" cm="1">
        <f t="array" ref="G279">Scope3_Equations.VEERG_15_5_1_1__1_EmissionsFromPurchasedAgrichemicals($E279,F279)</f>
        <v>0</v>
      </c>
      <c r="H279" s="86"/>
      <c r="I279" s="25" cm="1">
        <f t="array" ref="I279">Scope3_Equations.VEERG_15_5_1_1__1_EmissionsFromPurchasedAgrichemicals($E279,IF(H279,H279,F279))</f>
        <v>0</v>
      </c>
    </row>
    <row r="280" spans="3:41" x14ac:dyDescent="0.25">
      <c r="D280" s="25" t="str">
        <v>Tribenuron methyl</v>
      </c>
      <c r="E280" s="25">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25" cm="1">
        <f t="array" ref="F280">Common_InputFunctions.Utility_LookupValueInTableNumber(D280,Table_SourceData_Scope3_Pesticides[Product],Table_SourceData_Scope3_Pesticides[AusLCI Emissions intensity])</f>
        <v>8.8000000000000007</v>
      </c>
      <c r="G280" s="25" cm="1">
        <f t="array" ref="G280">Scope3_Equations.VEERG_15_5_1_1__1_EmissionsFromPurchasedAgrichemicals($E280,F280)</f>
        <v>0.88000000000000012</v>
      </c>
      <c r="H280" s="86"/>
      <c r="I280" s="25" cm="1">
        <f t="array" ref="I280">Scope3_Equations.VEERG_15_5_1_1__1_EmissionsFromPurchasedAgrichemicals($E280,IF(H280,H280,F280))</f>
        <v>0.88000000000000012</v>
      </c>
    </row>
    <row r="281" spans="3:41" x14ac:dyDescent="0.25">
      <c r="D281" s="25" t="str">
        <v>Trifluralin</v>
      </c>
      <c r="E281" s="25">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25" cm="1">
        <f t="array" ref="F281">Common_InputFunctions.Utility_LookupValueInTableNumber(D281,Table_SourceData_Scope3_Pesticides[Product],Table_SourceData_Scope3_Pesticides[AusLCI Emissions intensity])</f>
        <v>6.16</v>
      </c>
      <c r="G281" s="25" cm="1">
        <f t="array" ref="G281">Scope3_Equations.VEERG_15_5_1_1__1_EmissionsFromPurchasedAgrichemicals($E281,F281)</f>
        <v>0.61599999999999999</v>
      </c>
      <c r="H281" s="86"/>
      <c r="I281" s="25" cm="1">
        <f t="array" ref="I281">Scope3_Equations.VEERG_15_5_1_1__1_EmissionsFromPurchasedAgrichemicals($E281,IF(H281,H281,F281))</f>
        <v>0.61599999999999999</v>
      </c>
    </row>
    <row r="283" spans="3:41" ht="20.25" x14ac:dyDescent="0.25">
      <c r="D283" s="256" t="s">
        <v>824</v>
      </c>
      <c r="E283" s="150">
        <f>SUM(G270:G281)</f>
        <v>7.5159999999999991</v>
      </c>
      <c r="F283" s="151" t="str">
        <f>$E$155</f>
        <v>t CO2e</v>
      </c>
    </row>
    <row r="284" spans="3:41" ht="20.25" x14ac:dyDescent="0.25">
      <c r="D284" s="256" t="s">
        <v>827</v>
      </c>
      <c r="E284" s="150">
        <f>SUM(I270:I281)</f>
        <v>7.4959999999999996</v>
      </c>
      <c r="F284" s="151" t="str">
        <f>$E$155</f>
        <v>t CO2e</v>
      </c>
    </row>
    <row r="287" spans="3:41" x14ac:dyDescent="0.25">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c r="AA287" s="146"/>
      <c r="AB287" s="146"/>
      <c r="AC287" s="146"/>
      <c r="AD287" s="146"/>
      <c r="AE287" s="146"/>
      <c r="AF287" s="146"/>
      <c r="AG287" s="146"/>
      <c r="AH287" s="146"/>
      <c r="AI287" s="146"/>
      <c r="AJ287" s="146"/>
      <c r="AK287" s="146"/>
      <c r="AL287" s="146"/>
      <c r="AM287" s="146"/>
      <c r="AN287" s="146"/>
      <c r="AO287" s="146"/>
    </row>
    <row r="288" spans="3:41" ht="23.25" x14ac:dyDescent="0.25">
      <c r="D288" s="2" t="str" cm="1">
        <f t="array" ref="D288">Scope3_Equations.VEERG_15_6_1_1__1_EmissionsFromPurchasedLime_Title()</f>
        <v>Embedded emissions for purchased lime</v>
      </c>
    </row>
    <row r="289" spans="4:13" x14ac:dyDescent="0.25">
      <c r="D289" s="27" t="str" cm="1">
        <f t="array" ref="D289">Scope3_Equations.VEERG_15_6_1_1__1_EmissionsFromPurchasedLime_Source()</f>
        <v>VEERG 2026: 15.6.1.1, Equation (1)</v>
      </c>
    </row>
    <row r="290" spans="4:13" x14ac:dyDescent="0.25">
      <c r="D290" s="132" t="s">
        <v>267</v>
      </c>
      <c r="E290" s="132" t="str" cm="1">
        <f t="array" aca="1" ref="E290" ca="1">Common_InputFunctions.Utility_DisplayFunctionName(I305)</f>
        <v>=Scope3_Equations.VEERG_15_6_1_1__1_EmissionsFromPurchasedLime</v>
      </c>
    </row>
    <row r="293" spans="4:13" x14ac:dyDescent="0.25">
      <c r="D293" s="88" t="s">
        <v>268</v>
      </c>
      <c r="E293" s="1" t="str" cm="1">
        <f t="array" ref="E293">Scope3_Equations.VEERG_15_6_1_1__1_EmissionsFromPurchasedLime_Variable()</f>
        <v>E</v>
      </c>
    </row>
    <row r="294" spans="4:13" x14ac:dyDescent="0.25">
      <c r="D294" s="88" t="s">
        <v>121</v>
      </c>
      <c r="E294" s="1" t="str" cm="1">
        <f t="array" ref="E294">Scope3_Equations.VEERG_15_6_1_1__1_EmissionsFromPurchasedLime_Unit()</f>
        <v>t CO2e</v>
      </c>
    </row>
    <row r="296" spans="4:13" x14ac:dyDescent="0.25">
      <c r="D296" s="154" t="str" cm="1">
        <f t="array" ref="D296:E297">_xlfn.CHOOSECOLS(Scope3_Equations.VEERG_15_6_1_1__1_EmissionsFromPurchasedLime_Arguments(),1,2)</f>
        <v>M_lime</v>
      </c>
      <c r="E296" s="154" t="str">
        <v>total quantity of lime applied to soils</v>
      </c>
      <c r="F296" s="154" t="str" cm="1">
        <f t="array" ref="F296:G297">_xlfn.CHOOSECOLS(Scope3_Equations.VEERG_15_6_1_1__1_EmissionsFromPurchasedLime_Arguments(),3,4)</f>
        <v>t</v>
      </c>
      <c r="G296" s="253" t="str">
        <v>Input</v>
      </c>
    </row>
    <row r="297" spans="4:13" x14ac:dyDescent="0.25">
      <c r="D297" s="154" t="str">
        <v>EF_l</v>
      </c>
      <c r="E297" s="154" t="str">
        <v>emission factor for purchased lime</v>
      </c>
      <c r="F297" s="154" t="str">
        <v>t CO2e/t</v>
      </c>
      <c r="G297" s="137" t="str">
        <v>Constant</v>
      </c>
    </row>
    <row r="299" spans="4:13" x14ac:dyDescent="0.25">
      <c r="E299" s="145" t="s">
        <v>135</v>
      </c>
      <c r="F299" s="92" t="s">
        <v>136</v>
      </c>
    </row>
    <row r="300" spans="4:13" ht="18.75" x14ac:dyDescent="0.25">
      <c r="D300" s="1" t="s">
        <v>896</v>
      </c>
      <c r="E300" s="25" cm="1">
        <f t="array" ref="E300">Common_InputFunctions.Utility_LookupValueInTableNumber("Limestone (crushed)", Table_SourceData_Scope3_SoilAmeliorants[Product],Table_SourceData_Scope3_SoilAmeliorants[AusLCI Emissions intensity])*10^-3</f>
        <v>4.85E-5</v>
      </c>
      <c r="F300" s="86">
        <v>4.0000000000000003E-5</v>
      </c>
      <c r="G300" s="26" t="str">
        <f>$F$297</f>
        <v>t CO2e/t</v>
      </c>
    </row>
    <row r="301" spans="4:13" ht="18.75" x14ac:dyDescent="0.25">
      <c r="D301" s="1" t="s">
        <v>897</v>
      </c>
      <c r="E301" s="25" cm="1">
        <f t="array" ref="E301">Common_InputFunctions.Utility_LookupValueInTableNumber("Dolomite", Table_SourceData_Scope3_SoilAmeliorants[Product],Table_SourceData_Scope3_SoilAmeliorants[AusLCI Emissions intensity])*10^-3</f>
        <v>6.5199999999999999E-5</v>
      </c>
      <c r="F301" s="86">
        <v>6.0000000000000002E-5</v>
      </c>
      <c r="G301" s="26"/>
    </row>
    <row r="302" spans="4:13" ht="18.75" x14ac:dyDescent="0.25">
      <c r="D302" s="1" t="s">
        <v>898</v>
      </c>
      <c r="E302" s="25" cm="1">
        <f t="array" ref="E302">Common_InputFunctions.Utility_LookupValueInTableNumber("Gypsum", Table_SourceData_Scope3_SoilAmeliorants[Product],Table_SourceData_Scope3_SoilAmeliorants[AusLCI Emissions intensity])*10^-3</f>
        <v>6.5199999999999999E-5</v>
      </c>
      <c r="F302" s="86">
        <v>6.0000000000000002E-5</v>
      </c>
      <c r="G302" s="26"/>
    </row>
    <row r="304" spans="4:13" ht="17.25" x14ac:dyDescent="0.25">
      <c r="D304" s="92" t="s">
        <v>383</v>
      </c>
      <c r="E304" s="254" t="s">
        <v>899</v>
      </c>
      <c r="F304" s="92" t="s">
        <v>900</v>
      </c>
      <c r="G304" s="92" t="s">
        <v>901</v>
      </c>
      <c r="H304" s="92" t="s">
        <v>902</v>
      </c>
      <c r="I304" s="145" t="s">
        <v>824</v>
      </c>
      <c r="J304" s="145" t="s">
        <v>903</v>
      </c>
      <c r="K304" s="92" t="s">
        <v>828</v>
      </c>
      <c r="L304" s="92" t="s">
        <v>829</v>
      </c>
      <c r="M304" s="92" t="s">
        <v>830</v>
      </c>
    </row>
    <row r="305" spans="3:41" x14ac:dyDescent="0.25">
      <c r="D305" s="25" t="str" cm="1">
        <f t="array" ref="D305:D314">IFERROR(INDEX(Table_Input_Lime[Product], _xlfn.SEQUENCE(10)), "")</f>
        <v>Lime product 1</v>
      </c>
      <c r="E305" s="25" cm="1">
        <f t="array" ref="E305:E314">IFERROR(INDEX(Table_Input_Lime[Total amount applied (t)], _xlfn.SEQUENCE(10)), 0)</f>
        <v>100</v>
      </c>
      <c r="F305" s="25" cm="1">
        <f t="array" ref="F305:F314">IFERROR(INDEX(Table_Input_Lime[Percent Lime CaCO3], _xlfn.SEQUENCE(10)), 0)*E305</f>
        <v>80</v>
      </c>
      <c r="G305" s="25" cm="1">
        <f t="array" ref="G305:G314">IFERROR(INDEX(Table_Input_Lime[Percent Dolomite CaMg(CO3)2], _xlfn.SEQUENCE(10)), 0)*E305</f>
        <v>10</v>
      </c>
      <c r="H305" s="25" cm="1">
        <f t="array" ref="H305:H314">IFERROR(INDEX(Table_Input_Lime[Percent Gypsum], _xlfn.SEQUENCE(10)), 0)*E305</f>
        <v>10</v>
      </c>
      <c r="I305" s="255" cm="1">
        <f t="array" ref="I305">Scope3_Equations.VEERG_15_6_1_1__1_EmissionsFromPurchasedLime(F305,$E$300)+
Scope3_Equations.VEERG_15_6_1_1__1_EmissionsFromPurchasedLime(G305,$E$301)+
Scope3_Equations.VEERG_15_6_1_1__1_EmissionsFromPurchasedLime(H305,$E$302)</f>
        <v>5.1839999999999994E-3</v>
      </c>
      <c r="J305" s="255" cm="1">
        <f t="array" ref="J305">Scope3_Equations.VEERG_15_6_1_1__1_EmissionsFromPurchasedLime(F305,IF($F$300,$F$300,$E$300))+
Scope3_Equations.VEERG_15_6_1_1__1_EmissionsFromPurchasedLime(G305,IF($F$301,$F$301,$E$301))+
Scope3_Equations.VEERG_15_6_1_1__1_EmissionsFromPurchasedLime(H305,IF($F$302,$F$302,$E$302))</f>
        <v>4.4000000000000003E-3</v>
      </c>
      <c r="K305" s="44"/>
      <c r="L305" s="23"/>
      <c r="M305" s="44"/>
    </row>
    <row r="306" spans="3:41" x14ac:dyDescent="0.25">
      <c r="D306" s="25" t="str">
        <v>Lime product 2</v>
      </c>
      <c r="E306" s="25">
        <v>100</v>
      </c>
      <c r="F306" s="25">
        <v>100</v>
      </c>
      <c r="G306" s="25">
        <v>0</v>
      </c>
      <c r="H306" s="25">
        <v>0</v>
      </c>
      <c r="I306" s="255" cm="1">
        <f t="array" ref="I306">Scope3_Equations.VEERG_15_6_1_1__1_EmissionsFromPurchasedLime(F306,$E$300)+
Scope3_Equations.VEERG_15_6_1_1__1_EmissionsFromPurchasedLime(G306,$E$301)+
Scope3_Equations.VEERG_15_6_1_1__1_EmissionsFromPurchasedLime(H306,$E$302)</f>
        <v>4.8500000000000001E-3</v>
      </c>
      <c r="J306" s="255" cm="1">
        <f t="array" ref="J306">Scope3_Equations.VEERG_15_6_1_1__1_EmissionsFromPurchasedLime(F306,IF($F$300,$F$300,$E$300))+
Scope3_Equations.VEERG_15_6_1_1__1_EmissionsFromPurchasedLime(G306,IF($F$301,$F$301,$E$301))+
Scope3_Equations.VEERG_15_6_1_1__1_EmissionsFromPurchasedLime(H306,IF($F$302,$F$302,$E$302))</f>
        <v>4.0000000000000001E-3</v>
      </c>
      <c r="K306" s="44"/>
      <c r="L306" s="23"/>
      <c r="M306" s="44"/>
    </row>
    <row r="307" spans="3:41" x14ac:dyDescent="0.25">
      <c r="D307" s="25" t="str">
        <v>Lime product 3</v>
      </c>
      <c r="E307" s="25">
        <v>100</v>
      </c>
      <c r="F307" s="25">
        <v>0</v>
      </c>
      <c r="G307" s="25">
        <v>0</v>
      </c>
      <c r="H307" s="25">
        <v>100</v>
      </c>
      <c r="I307" s="255" cm="1">
        <f t="array" ref="I307">Scope3_Equations.VEERG_15_6_1_1__1_EmissionsFromPurchasedLime(F307,$E$300)+
Scope3_Equations.VEERG_15_6_1_1__1_EmissionsFromPurchasedLime(G307,$E$301)+
Scope3_Equations.VEERG_15_6_1_1__1_EmissionsFromPurchasedLime(H307,$E$302)</f>
        <v>6.5199999999999998E-3</v>
      </c>
      <c r="J307" s="255" cm="1">
        <f t="array" ref="J307">Scope3_Equations.VEERG_15_6_1_1__1_EmissionsFromPurchasedLime(F307,IF($F$300,$F$300,$E$300))+
Scope3_Equations.VEERG_15_6_1_1__1_EmissionsFromPurchasedLime(G307,IF($F$301,$F$301,$E$301))+
Scope3_Equations.VEERG_15_6_1_1__1_EmissionsFromPurchasedLime(H307,IF($F$302,$F$302,$E$302))</f>
        <v>6.0000000000000001E-3</v>
      </c>
      <c r="K307" s="44"/>
      <c r="L307" s="23"/>
      <c r="M307" s="44"/>
    </row>
    <row r="308" spans="3:41" x14ac:dyDescent="0.25">
      <c r="D308" s="25" t="str">
        <v/>
      </c>
      <c r="E308" s="25">
        <v>0</v>
      </c>
      <c r="F308" s="25">
        <v>0</v>
      </c>
      <c r="G308" s="25">
        <v>0</v>
      </c>
      <c r="H308" s="25">
        <v>0</v>
      </c>
      <c r="I308" s="255" cm="1">
        <f t="array" ref="I308">Scope3_Equations.VEERG_15_6_1_1__1_EmissionsFromPurchasedLime(F308,$E$300)+
Scope3_Equations.VEERG_15_6_1_1__1_EmissionsFromPurchasedLime(G308,$E$301)+
Scope3_Equations.VEERG_15_6_1_1__1_EmissionsFromPurchasedLime(H308,$E$302)</f>
        <v>0</v>
      </c>
      <c r="J308" s="255" cm="1">
        <f t="array" ref="J308">Scope3_Equations.VEERG_15_6_1_1__1_EmissionsFromPurchasedLime(F308,IF($F$300,$F$300,$E$300))+
Scope3_Equations.VEERG_15_6_1_1__1_EmissionsFromPurchasedLime(G308,IF($F$301,$F$301,$E$301))+
Scope3_Equations.VEERG_15_6_1_1__1_EmissionsFromPurchasedLime(H308,IF($F$302,$F$302,$E$302))</f>
        <v>0</v>
      </c>
      <c r="K308" s="44"/>
      <c r="L308" s="23"/>
      <c r="M308" s="44"/>
    </row>
    <row r="309" spans="3:41" x14ac:dyDescent="0.25">
      <c r="D309" s="25" t="str">
        <v/>
      </c>
      <c r="E309" s="25">
        <v>0</v>
      </c>
      <c r="F309" s="25">
        <v>0</v>
      </c>
      <c r="G309" s="25">
        <v>0</v>
      </c>
      <c r="H309" s="25">
        <v>0</v>
      </c>
      <c r="I309" s="255" cm="1">
        <f t="array" ref="I309">Scope3_Equations.VEERG_15_6_1_1__1_EmissionsFromPurchasedLime(F309,$E$300)+
Scope3_Equations.VEERG_15_6_1_1__1_EmissionsFromPurchasedLime(G309,$E$301)+
Scope3_Equations.VEERG_15_6_1_1__1_EmissionsFromPurchasedLime(H309,$E$302)</f>
        <v>0</v>
      </c>
      <c r="J309" s="255" cm="1">
        <f t="array" ref="J309">Scope3_Equations.VEERG_15_6_1_1__1_EmissionsFromPurchasedLime(F309,IF($F$300,$F$300,$E$300))+
Scope3_Equations.VEERG_15_6_1_1__1_EmissionsFromPurchasedLime(G309,IF($F$301,$F$301,$E$301))+
Scope3_Equations.VEERG_15_6_1_1__1_EmissionsFromPurchasedLime(H309,IF($F$302,$F$302,$E$302))</f>
        <v>0</v>
      </c>
      <c r="K309" s="44"/>
      <c r="L309" s="23"/>
      <c r="M309" s="44"/>
    </row>
    <row r="310" spans="3:41" x14ac:dyDescent="0.25">
      <c r="D310" s="25" t="str">
        <v/>
      </c>
      <c r="E310" s="25">
        <v>0</v>
      </c>
      <c r="F310" s="25">
        <v>0</v>
      </c>
      <c r="G310" s="25">
        <v>0</v>
      </c>
      <c r="H310" s="25">
        <v>0</v>
      </c>
      <c r="I310" s="255" cm="1">
        <f t="array" ref="I310">Scope3_Equations.VEERG_15_6_1_1__1_EmissionsFromPurchasedLime(F310,$E$300)+
Scope3_Equations.VEERG_15_6_1_1__1_EmissionsFromPurchasedLime(G310,$E$301)+
Scope3_Equations.VEERG_15_6_1_1__1_EmissionsFromPurchasedLime(H310,$E$302)</f>
        <v>0</v>
      </c>
      <c r="J310" s="255" cm="1">
        <f t="array" ref="J310">Scope3_Equations.VEERG_15_6_1_1__1_EmissionsFromPurchasedLime(F310,IF($F$300,$F$300,$E$300))+
Scope3_Equations.VEERG_15_6_1_1__1_EmissionsFromPurchasedLime(G310,IF($F$301,$F$301,$E$301))+
Scope3_Equations.VEERG_15_6_1_1__1_EmissionsFromPurchasedLime(H310,IF($F$302,$F$302,$E$302))</f>
        <v>0</v>
      </c>
      <c r="K310" s="44"/>
      <c r="L310" s="23"/>
      <c r="M310" s="44"/>
    </row>
    <row r="311" spans="3:41" x14ac:dyDescent="0.25">
      <c r="D311" s="25" t="str">
        <v/>
      </c>
      <c r="E311" s="25">
        <v>0</v>
      </c>
      <c r="F311" s="25">
        <v>0</v>
      </c>
      <c r="G311" s="25">
        <v>0</v>
      </c>
      <c r="H311" s="25">
        <v>0</v>
      </c>
      <c r="I311" s="255" cm="1">
        <f t="array" ref="I311">Scope3_Equations.VEERG_15_6_1_1__1_EmissionsFromPurchasedLime(F311,$E$300)+
Scope3_Equations.VEERG_15_6_1_1__1_EmissionsFromPurchasedLime(G311,$E$301)+
Scope3_Equations.VEERG_15_6_1_1__1_EmissionsFromPurchasedLime(H311,$E$302)</f>
        <v>0</v>
      </c>
      <c r="J311" s="255" cm="1">
        <f t="array" ref="J311">Scope3_Equations.VEERG_15_6_1_1__1_EmissionsFromPurchasedLime(F311,IF($F$300,$F$300,$E$300))+
Scope3_Equations.VEERG_15_6_1_1__1_EmissionsFromPurchasedLime(G311,IF($F$301,$F$301,$E$301))+
Scope3_Equations.VEERG_15_6_1_1__1_EmissionsFromPurchasedLime(H311,IF($F$302,$F$302,$E$302))</f>
        <v>0</v>
      </c>
      <c r="K311" s="44"/>
      <c r="L311" s="23"/>
      <c r="M311" s="44"/>
    </row>
    <row r="312" spans="3:41" x14ac:dyDescent="0.25">
      <c r="D312" s="25" t="str">
        <v/>
      </c>
      <c r="E312" s="25">
        <v>0</v>
      </c>
      <c r="F312" s="25">
        <v>0</v>
      </c>
      <c r="G312" s="25">
        <v>0</v>
      </c>
      <c r="H312" s="25">
        <v>0</v>
      </c>
      <c r="I312" s="255" cm="1">
        <f t="array" ref="I312">Scope3_Equations.VEERG_15_6_1_1__1_EmissionsFromPurchasedLime(F312,$E$300)+
Scope3_Equations.VEERG_15_6_1_1__1_EmissionsFromPurchasedLime(G312,$E$301)+
Scope3_Equations.VEERG_15_6_1_1__1_EmissionsFromPurchasedLime(H312,$E$302)</f>
        <v>0</v>
      </c>
      <c r="J312" s="255" cm="1">
        <f t="array" ref="J312">Scope3_Equations.VEERG_15_6_1_1__1_EmissionsFromPurchasedLime(F312,IF($F$300,$F$300,$E$300))+
Scope3_Equations.VEERG_15_6_1_1__1_EmissionsFromPurchasedLime(G312,IF($F$301,$F$301,$E$301))+
Scope3_Equations.VEERG_15_6_1_1__1_EmissionsFromPurchasedLime(H312,IF($F$302,$F$302,$E$302))</f>
        <v>0</v>
      </c>
      <c r="K312" s="44"/>
      <c r="L312" s="23"/>
      <c r="M312" s="44"/>
    </row>
    <row r="313" spans="3:41" x14ac:dyDescent="0.25">
      <c r="D313" s="25" t="str">
        <v/>
      </c>
      <c r="E313" s="25">
        <v>0</v>
      </c>
      <c r="F313" s="25">
        <v>0</v>
      </c>
      <c r="G313" s="25">
        <v>0</v>
      </c>
      <c r="H313" s="25">
        <v>0</v>
      </c>
      <c r="I313" s="255" cm="1">
        <f t="array" ref="I313">Scope3_Equations.VEERG_15_6_1_1__1_EmissionsFromPurchasedLime(F313,$E$300)+
Scope3_Equations.VEERG_15_6_1_1__1_EmissionsFromPurchasedLime(G313,$E$301)+
Scope3_Equations.VEERG_15_6_1_1__1_EmissionsFromPurchasedLime(H313,$E$302)</f>
        <v>0</v>
      </c>
      <c r="J313" s="255" cm="1">
        <f t="array" ref="J313">Scope3_Equations.VEERG_15_6_1_1__1_EmissionsFromPurchasedLime(F313,IF($F$300,$F$300,$E$300))+
Scope3_Equations.VEERG_15_6_1_1__1_EmissionsFromPurchasedLime(G313,IF($F$301,$F$301,$E$301))+
Scope3_Equations.VEERG_15_6_1_1__1_EmissionsFromPurchasedLime(H313,IF($F$302,$F$302,$E$302))</f>
        <v>0</v>
      </c>
      <c r="K313" s="44"/>
      <c r="L313" s="23"/>
      <c r="M313" s="44"/>
    </row>
    <row r="314" spans="3:41" x14ac:dyDescent="0.25">
      <c r="D314" s="25" t="str">
        <v/>
      </c>
      <c r="E314" s="25">
        <v>0</v>
      </c>
      <c r="F314" s="25">
        <v>0</v>
      </c>
      <c r="G314" s="25">
        <v>0</v>
      </c>
      <c r="H314" s="25">
        <v>0</v>
      </c>
      <c r="I314" s="255" cm="1">
        <f t="array" ref="I314">Scope3_Equations.VEERG_15_6_1_1__1_EmissionsFromPurchasedLime(F314,$E$300)+
Scope3_Equations.VEERG_15_6_1_1__1_EmissionsFromPurchasedLime(G314,$E$301)+
Scope3_Equations.VEERG_15_6_1_1__1_EmissionsFromPurchasedLime(H314,$E$302)</f>
        <v>0</v>
      </c>
      <c r="J314" s="255" cm="1">
        <f t="array" ref="J314">Scope3_Equations.VEERG_15_6_1_1__1_EmissionsFromPurchasedLime(F314,IF($F$300,$F$300,$E$300))+
Scope3_Equations.VEERG_15_6_1_1__1_EmissionsFromPurchasedLime(G314,IF($F$301,$F$301,$E$301))+
Scope3_Equations.VEERG_15_6_1_1__1_EmissionsFromPurchasedLime(H314,IF($F$302,$F$302,$E$302))</f>
        <v>0</v>
      </c>
      <c r="K314" s="44"/>
      <c r="L314" s="23"/>
      <c r="M314" s="44"/>
    </row>
    <row r="316" spans="3:41" ht="20.25" x14ac:dyDescent="0.25">
      <c r="D316" s="256" t="s">
        <v>824</v>
      </c>
      <c r="E316" s="150">
        <f>SUM(I305:I314)</f>
        <v>1.6553999999999999E-2</v>
      </c>
      <c r="F316" s="151" t="str">
        <f>$E$155</f>
        <v>t CO2e</v>
      </c>
    </row>
    <row r="317" spans="3:41" ht="20.25" x14ac:dyDescent="0.25">
      <c r="D317" s="256" t="s">
        <v>827</v>
      </c>
      <c r="E317" s="150">
        <f>SUM(J305:J314)</f>
        <v>1.4400000000000001E-2</v>
      </c>
      <c r="F317" s="151" t="str">
        <f>$E$155</f>
        <v>t CO2e</v>
      </c>
    </row>
    <row r="320" spans="3:41" x14ac:dyDescent="0.25">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c r="AA320" s="146"/>
      <c r="AB320" s="146"/>
      <c r="AC320" s="146"/>
      <c r="AD320" s="146"/>
      <c r="AE320" s="146"/>
      <c r="AF320" s="146"/>
      <c r="AG320" s="146"/>
      <c r="AH320" s="146"/>
      <c r="AI320" s="146"/>
      <c r="AJ320" s="146"/>
      <c r="AK320" s="146"/>
      <c r="AL320" s="146"/>
      <c r="AM320" s="146"/>
      <c r="AN320" s="146"/>
      <c r="AO320" s="146"/>
    </row>
    <row r="321" spans="4:15" ht="23.25" x14ac:dyDescent="0.25">
      <c r="D321" s="2" t="str" cm="1">
        <f t="array" ref="D321">Scope3_Equations.VEERG_15_7_1_1__1_EmissionsFromPurchasedServices_Title()</f>
        <v>Emissions of purchased services and contractor operations</v>
      </c>
    </row>
    <row r="322" spans="4:15" x14ac:dyDescent="0.25">
      <c r="D322" s="27" t="str" cm="1">
        <f t="array" ref="D322">Scope3_Equations.VEERG_15_7_1_1__1_EmissionsFromPurchasedServices_Source()</f>
        <v>VEERG 2026: 15.7.1.1, Equation (1)</v>
      </c>
    </row>
    <row r="323" spans="4:15" x14ac:dyDescent="0.25">
      <c r="D323" s="132" t="s">
        <v>267</v>
      </c>
      <c r="E323" s="132" t="str" cm="1">
        <f t="array" aca="1" ref="E323" ca="1">Common_InputFunctions.Utility_DisplayFunctionName(K336)</f>
        <v>=Scope3_Equations.VEERG_15_7_1_1__1_EmissionsFromPurchasedServices</v>
      </c>
    </row>
    <row r="325" spans="4:15" x14ac:dyDescent="0.25">
      <c r="H325" s="1" t="s">
        <v>904</v>
      </c>
    </row>
    <row r="326" spans="4:15" x14ac:dyDescent="0.25">
      <c r="D326" s="88" t="s">
        <v>268</v>
      </c>
      <c r="E326" s="1" t="str" cm="1">
        <f t="array" ref="E326">Scope3_Equations.VEERG_15_7_1_1__1_EmissionsFromPurchasedServices_Variable()</f>
        <v>E</v>
      </c>
    </row>
    <row r="327" spans="4:15" x14ac:dyDescent="0.25">
      <c r="D327" s="88" t="s">
        <v>121</v>
      </c>
      <c r="E327" s="1" t="str" cm="1">
        <f t="array" ref="E327">Scope3_Equations.VEERG_15_7_1_1__1_EmissionsFromPurchasedServices_Unit()</f>
        <v>t CO2e</v>
      </c>
    </row>
    <row r="329" spans="4:15" x14ac:dyDescent="0.25">
      <c r="D329" s="154" t="str" cm="1">
        <f t="array" ref="D329:E331">_xlfn.CHOOSECOLS(Scope3_Equations.VEERG_15_7_1_1__1_EmissionsFromPurchasedServices_Arguments(),1,2)</f>
        <v>A_p</v>
      </c>
      <c r="E329" s="162" t="str">
        <v>activity data of the service that was purchased</v>
      </c>
      <c r="F329" s="164"/>
      <c r="G329" s="154" t="str" cm="1">
        <f t="array" ref="G329:H331">_xlfn.CHOOSECOLS(Scope3_Equations.VEERG_15_7_1_1__1_EmissionsFromPurchasedServices_Arguments(),3,4)</f>
        <v>ha or h</v>
      </c>
      <c r="H329" s="253" t="str">
        <v>Input</v>
      </c>
    </row>
    <row r="330" spans="4:15" x14ac:dyDescent="0.25">
      <c r="D330" s="154" t="str">
        <v>EF_p</v>
      </c>
      <c r="E330" s="162" t="str">
        <v>life cycle emission factor for the purchased service</v>
      </c>
      <c r="F330" s="164"/>
      <c r="G330" s="154" t="str">
        <v>kg CO2e/ha or kg CO2e/h</v>
      </c>
      <c r="H330" s="137" t="str">
        <v>Constant</v>
      </c>
    </row>
    <row r="331" spans="4:15" x14ac:dyDescent="0.25">
      <c r="D331" s="154" t="str">
        <v>p</v>
      </c>
      <c r="E331" s="162" t="str">
        <v>service type</v>
      </c>
      <c r="F331" s="164"/>
      <c r="G331" s="154" t="str">
        <v/>
      </c>
      <c r="H331" s="253" t="str">
        <v>Input</v>
      </c>
    </row>
    <row r="333" spans="4:15" x14ac:dyDescent="0.25">
      <c r="D333" s="36" t="s">
        <v>905</v>
      </c>
    </row>
    <row r="335" spans="4:15" x14ac:dyDescent="0.25">
      <c r="D335" s="92" t="s">
        <v>764</v>
      </c>
      <c r="E335" s="92" t="s">
        <v>765</v>
      </c>
      <c r="F335" s="92" t="s">
        <v>766</v>
      </c>
      <c r="G335" s="92" t="s">
        <v>451</v>
      </c>
      <c r="H335" s="145" t="s">
        <v>906</v>
      </c>
      <c r="I335" s="145" t="s">
        <v>907</v>
      </c>
      <c r="J335" s="92" t="s">
        <v>908</v>
      </c>
      <c r="K335" s="145" t="s">
        <v>909</v>
      </c>
      <c r="L335" s="145" t="s">
        <v>910</v>
      </c>
      <c r="M335" s="92" t="s">
        <v>828</v>
      </c>
      <c r="N335" s="92" t="s">
        <v>829</v>
      </c>
      <c r="O335" s="92" t="s">
        <v>830</v>
      </c>
    </row>
    <row r="336" spans="4:15" x14ac:dyDescent="0.25">
      <c r="D336" s="25" t="str" cm="1">
        <f t="array" ref="D336:D345">IFERROR(INDEX(Table_Input_ServicesAndContractors[Service provider / contractor], _xlfn.SEQUENCE(10)), "")</f>
        <v>Pete's Pickers</v>
      </c>
      <c r="E336" s="25" t="str" cm="1">
        <f t="array" ref="E336:E345">IFERROR(INDEX(Table_Input_ServicesAndContractors[Activity], _xlfn.SEQUENCE(10)), "")</f>
        <v>Fruit picking</v>
      </c>
      <c r="F336" s="25" cm="1">
        <f t="array" ref="F336:F345">IFERROR(INDEX(Table_Input_ServicesAndContractors[Total amount], _xlfn.SEQUENCE(10)), "")</f>
        <v>10000</v>
      </c>
      <c r="G336" s="25" t="str" cm="1">
        <f t="array" ref="G336:G345">IFERROR(INDEX(Table_Input_ServicesAndContractors[Amount unit], _xlfn.SEQUENCE(10)), "")</f>
        <v>Hour</v>
      </c>
      <c r="H336" s="25" t="s">
        <v>911</v>
      </c>
      <c r="I336" s="25" t="s">
        <v>911</v>
      </c>
      <c r="J336" s="86">
        <v>4</v>
      </c>
      <c r="K336" s="255" cm="1">
        <f t="array" ref="K336">Scope3_Equations.VEERG_15_7_1_1__1_EmissionsFromPurchasedServices(F336,J336)</f>
        <v>40</v>
      </c>
      <c r="L336" s="25" t="str">
        <f>"t CO2e / " &amp; G336</f>
        <v>t CO2e / Hour</v>
      </c>
      <c r="M336" s="44"/>
      <c r="N336" s="23"/>
      <c r="O336" s="44"/>
    </row>
    <row r="337" spans="3:41" x14ac:dyDescent="0.25">
      <c r="D337" s="25" t="str">
        <v>Harini's Harvesting Services Pty Ltd</v>
      </c>
      <c r="E337" s="25" t="str">
        <v>Wheat harvesting</v>
      </c>
      <c r="F337" s="25">
        <v>1000</v>
      </c>
      <c r="G337" s="25" t="str">
        <v>Hectare</v>
      </c>
      <c r="H337" s="25" t="s">
        <v>911</v>
      </c>
      <c r="I337" s="25" t="s">
        <v>911</v>
      </c>
      <c r="J337" s="86">
        <v>2</v>
      </c>
      <c r="K337" s="255" cm="1">
        <f t="array" ref="K337">Scope3_Equations.VEERG_15_7_1_1__1_EmissionsFromPurchasedServices(F337,J337)</f>
        <v>2</v>
      </c>
      <c r="L337" s="25" t="str">
        <f t="shared" ref="L337:L345" si="1">"t CO2e / " &amp; G337</f>
        <v>t CO2e / Hectare</v>
      </c>
      <c r="M337" s="44"/>
      <c r="N337" s="23"/>
      <c r="O337" s="44"/>
    </row>
    <row r="338" spans="3:41" x14ac:dyDescent="0.25">
      <c r="D338" s="25">
        <v>0</v>
      </c>
      <c r="E338" s="25">
        <v>0</v>
      </c>
      <c r="F338" s="25">
        <v>0</v>
      </c>
      <c r="G338" s="25">
        <v>0</v>
      </c>
      <c r="H338" s="25" t="s">
        <v>911</v>
      </c>
      <c r="I338" s="25" t="s">
        <v>911</v>
      </c>
      <c r="J338" s="86"/>
      <c r="K338" s="255" cm="1">
        <f t="array" ref="K338">Scope3_Equations.VEERG_15_7_1_1__1_EmissionsFromPurchasedServices(F338,J338)</f>
        <v>0</v>
      </c>
      <c r="L338" s="25" t="str">
        <f t="shared" si="1"/>
        <v>t CO2e / 0</v>
      </c>
      <c r="M338" s="44"/>
      <c r="N338" s="23"/>
      <c r="O338" s="44"/>
    </row>
    <row r="339" spans="3:41" x14ac:dyDescent="0.25">
      <c r="D339" s="25">
        <v>0</v>
      </c>
      <c r="E339" s="25">
        <v>0</v>
      </c>
      <c r="F339" s="25">
        <v>0</v>
      </c>
      <c r="G339" s="25">
        <v>0</v>
      </c>
      <c r="H339" s="25" t="s">
        <v>911</v>
      </c>
      <c r="I339" s="25" t="s">
        <v>911</v>
      </c>
      <c r="J339" s="86"/>
      <c r="K339" s="255" cm="1">
        <f t="array" ref="K339">Scope3_Equations.VEERG_15_7_1_1__1_EmissionsFromPurchasedServices(F339,J339)</f>
        <v>0</v>
      </c>
      <c r="L339" s="25" t="str">
        <f t="shared" si="1"/>
        <v>t CO2e / 0</v>
      </c>
      <c r="M339" s="44"/>
      <c r="N339" s="23"/>
      <c r="O339" s="44"/>
    </row>
    <row r="340" spans="3:41" x14ac:dyDescent="0.25">
      <c r="D340" s="25">
        <v>0</v>
      </c>
      <c r="E340" s="25">
        <v>0</v>
      </c>
      <c r="F340" s="25">
        <v>0</v>
      </c>
      <c r="G340" s="25">
        <v>0</v>
      </c>
      <c r="H340" s="25" t="s">
        <v>911</v>
      </c>
      <c r="I340" s="25" t="s">
        <v>911</v>
      </c>
      <c r="J340" s="86"/>
      <c r="K340" s="255" cm="1">
        <f t="array" ref="K340">Scope3_Equations.VEERG_15_7_1_1__1_EmissionsFromPurchasedServices(F340,J340)</f>
        <v>0</v>
      </c>
      <c r="L340" s="25" t="str">
        <f t="shared" si="1"/>
        <v>t CO2e / 0</v>
      </c>
      <c r="M340" s="44"/>
      <c r="N340" s="23"/>
      <c r="O340" s="44"/>
    </row>
    <row r="341" spans="3:41" x14ac:dyDescent="0.25">
      <c r="D341" s="25">
        <v>0</v>
      </c>
      <c r="E341" s="25">
        <v>0</v>
      </c>
      <c r="F341" s="25">
        <v>0</v>
      </c>
      <c r="G341" s="25">
        <v>0</v>
      </c>
      <c r="H341" s="25" t="s">
        <v>911</v>
      </c>
      <c r="I341" s="25" t="s">
        <v>911</v>
      </c>
      <c r="J341" s="86"/>
      <c r="K341" s="255" cm="1">
        <f t="array" ref="K341">Scope3_Equations.VEERG_15_7_1_1__1_EmissionsFromPurchasedServices(F341,J341)</f>
        <v>0</v>
      </c>
      <c r="L341" s="25" t="str">
        <f t="shared" si="1"/>
        <v>t CO2e / 0</v>
      </c>
      <c r="M341" s="44"/>
      <c r="N341" s="23"/>
      <c r="O341" s="44"/>
    </row>
    <row r="342" spans="3:41" x14ac:dyDescent="0.25">
      <c r="D342" s="25">
        <v>0</v>
      </c>
      <c r="E342" s="25">
        <v>0</v>
      </c>
      <c r="F342" s="25">
        <v>0</v>
      </c>
      <c r="G342" s="25">
        <v>0</v>
      </c>
      <c r="H342" s="25" t="s">
        <v>911</v>
      </c>
      <c r="I342" s="25" t="s">
        <v>911</v>
      </c>
      <c r="J342" s="86"/>
      <c r="K342" s="255" cm="1">
        <f t="array" ref="K342">Scope3_Equations.VEERG_15_7_1_1__1_EmissionsFromPurchasedServices(F342,J342)</f>
        <v>0</v>
      </c>
      <c r="L342" s="25" t="str">
        <f t="shared" si="1"/>
        <v>t CO2e / 0</v>
      </c>
      <c r="M342" s="44"/>
      <c r="N342" s="23"/>
      <c r="O342" s="44"/>
    </row>
    <row r="343" spans="3:41" x14ac:dyDescent="0.25">
      <c r="D343" s="25">
        <v>0</v>
      </c>
      <c r="E343" s="25">
        <v>0</v>
      </c>
      <c r="F343" s="25">
        <v>0</v>
      </c>
      <c r="G343" s="25">
        <v>0</v>
      </c>
      <c r="H343" s="25" t="s">
        <v>911</v>
      </c>
      <c r="I343" s="25" t="s">
        <v>911</v>
      </c>
      <c r="J343" s="86"/>
      <c r="K343" s="255" cm="1">
        <f t="array" ref="K343">Scope3_Equations.VEERG_15_7_1_1__1_EmissionsFromPurchasedServices(F343,J343)</f>
        <v>0</v>
      </c>
      <c r="L343" s="25" t="str">
        <f t="shared" si="1"/>
        <v>t CO2e / 0</v>
      </c>
      <c r="M343" s="44"/>
      <c r="N343" s="23"/>
      <c r="O343" s="44"/>
    </row>
    <row r="344" spans="3:41" x14ac:dyDescent="0.25">
      <c r="D344" s="25">
        <v>0</v>
      </c>
      <c r="E344" s="25">
        <v>0</v>
      </c>
      <c r="F344" s="25">
        <v>0</v>
      </c>
      <c r="G344" s="25">
        <v>0</v>
      </c>
      <c r="H344" s="25" t="s">
        <v>911</v>
      </c>
      <c r="I344" s="25" t="s">
        <v>911</v>
      </c>
      <c r="J344" s="86"/>
      <c r="K344" s="255" cm="1">
        <f t="array" ref="K344">Scope3_Equations.VEERG_15_7_1_1__1_EmissionsFromPurchasedServices(F344,J344)</f>
        <v>0</v>
      </c>
      <c r="L344" s="25" t="str">
        <f t="shared" si="1"/>
        <v>t CO2e / 0</v>
      </c>
      <c r="M344" s="44"/>
      <c r="N344" s="23"/>
      <c r="O344" s="44"/>
    </row>
    <row r="345" spans="3:41" x14ac:dyDescent="0.25">
      <c r="D345" s="25">
        <v>0</v>
      </c>
      <c r="E345" s="25">
        <v>0</v>
      </c>
      <c r="F345" s="25">
        <v>0</v>
      </c>
      <c r="G345" s="25">
        <v>0</v>
      </c>
      <c r="H345" s="25" t="s">
        <v>911</v>
      </c>
      <c r="I345" s="25" t="s">
        <v>911</v>
      </c>
      <c r="J345" s="86"/>
      <c r="K345" s="255" cm="1">
        <f t="array" ref="K345">Scope3_Equations.VEERG_15_7_1_1__1_EmissionsFromPurchasedServices(F345,J345)</f>
        <v>0</v>
      </c>
      <c r="L345" s="25" t="str">
        <f t="shared" si="1"/>
        <v>t CO2e / 0</v>
      </c>
      <c r="M345" s="44"/>
      <c r="N345" s="23"/>
      <c r="O345" s="44"/>
    </row>
    <row r="347" spans="3:41" ht="20.25" x14ac:dyDescent="0.25">
      <c r="D347" s="256" t="s">
        <v>824</v>
      </c>
      <c r="E347" s="150" t="s">
        <v>911</v>
      </c>
      <c r="F347" s="151" t="str">
        <f>$E$155</f>
        <v>t CO2e</v>
      </c>
    </row>
    <row r="348" spans="3:41" ht="20.25" x14ac:dyDescent="0.25">
      <c r="D348" s="256" t="s">
        <v>827</v>
      </c>
      <c r="E348" s="150">
        <f>SUM(K336:K345)</f>
        <v>42</v>
      </c>
      <c r="F348" s="151" t="str">
        <f>$E$155</f>
        <v>t CO2e</v>
      </c>
    </row>
    <row r="351" spans="3:41" x14ac:dyDescent="0.25">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c r="AA351" s="146"/>
      <c r="AB351" s="146"/>
      <c r="AC351" s="146"/>
      <c r="AD351" s="146"/>
      <c r="AE351" s="146"/>
      <c r="AF351" s="146"/>
      <c r="AG351" s="146"/>
      <c r="AH351" s="146"/>
      <c r="AI351" s="146"/>
      <c r="AJ351" s="146"/>
      <c r="AK351" s="146"/>
      <c r="AL351" s="146"/>
      <c r="AM351" s="146"/>
      <c r="AN351" s="146"/>
      <c r="AO351" s="146"/>
    </row>
    <row r="352" spans="3:41" ht="23.25" x14ac:dyDescent="0.25">
      <c r="D352" s="2" t="str" cm="1">
        <f t="array" ref="D352">Scope3_Equations.VEERG_15_8_1_1__1_EmissionsFromPurchasedPackaging_Title()</f>
        <v>Embedded emissions from use of packaging materials</v>
      </c>
    </row>
    <row r="353" spans="4:13" x14ac:dyDescent="0.25">
      <c r="D353" s="27" t="str" cm="1">
        <f t="array" ref="D353">Scope3_Equations.VEERG_15_8_1_1__1_EmissionsFromPurchasedPackaging_Source()</f>
        <v>VEERG 2026: 15.8.1.1, Equation (1)</v>
      </c>
    </row>
    <row r="354" spans="4:13" x14ac:dyDescent="0.25">
      <c r="D354" s="36" t="str" cm="1">
        <f t="array" ref="D354">Scope3_Equations.VEERG_15_8_1_1__1_EmissionsFromPurchasedPackaging_Variation()</f>
        <v>VARIATION ON SOURCE: Changed unit of Q from 'units' to 'kg' as EF data is in kg.</v>
      </c>
    </row>
    <row r="355" spans="4:13" x14ac:dyDescent="0.25">
      <c r="D355" s="132" t="s">
        <v>267</v>
      </c>
      <c r="E355" s="132" t="str" cm="1">
        <f t="array" aca="1" ref="E355" ca="1">Common_InputFunctions.Utility_DisplayFunctionName(H367)</f>
        <v>=Scope3_Equations.VEERG_15_8_1_1__1_EmissionsFromPurchasedPackaging</v>
      </c>
    </row>
    <row r="359" spans="4:13" x14ac:dyDescent="0.25">
      <c r="D359" s="88" t="s">
        <v>268</v>
      </c>
      <c r="E359" s="1" t="str" cm="1">
        <f t="array" ref="E359">Scope3_Equations.VEERG_15_8_1_1__1_EmissionsFromPurchasedPackaging_Variable()</f>
        <v>E</v>
      </c>
    </row>
    <row r="360" spans="4:13" x14ac:dyDescent="0.25">
      <c r="D360" s="88" t="s">
        <v>121</v>
      </c>
      <c r="E360" s="15" t="str" cm="1">
        <f t="array" ref="E360">Scope3_Equations.VEERG_15_8_1_1__1_EmissionsFromPurchasedPackaging_Unit()</f>
        <v>t CO2e</v>
      </c>
    </row>
    <row r="362" spans="4:13" x14ac:dyDescent="0.25">
      <c r="D362" s="154" t="str" cm="1">
        <f t="array" ref="D362:E364">_xlfn.CHOOSECOLS(Scope3_Equations.VEERG_15_8_1_1__1_EmissionsFromPurchasedPackaging_Arguments(),1,2)</f>
        <v>Q_p</v>
      </c>
      <c r="E362" s="154" t="str">
        <v>units of packaging type p</v>
      </c>
      <c r="F362" s="154" t="str" cm="1">
        <f t="array" ref="F362:G364">_xlfn.CHOOSECOLS(Scope3_Equations.VEERG_15_8_1_1__1_EmissionsFromPurchasedPackaging_Arguments(),3,4)</f>
        <v>units</v>
      </c>
      <c r="G362" s="253" t="str">
        <v>Input</v>
      </c>
    </row>
    <row r="363" spans="4:13" x14ac:dyDescent="0.25">
      <c r="D363" s="154" t="str">
        <v>EF_p</v>
      </c>
      <c r="E363" s="154" t="str">
        <v>emission factor for packaging type p</v>
      </c>
      <c r="F363" s="154" t="str">
        <v>kg CO2e/unit</v>
      </c>
      <c r="G363" s="137" t="str">
        <v>Constant</v>
      </c>
    </row>
    <row r="364" spans="4:13" x14ac:dyDescent="0.25">
      <c r="D364" s="154" t="str">
        <v>p</v>
      </c>
      <c r="E364" s="154" t="str">
        <v>packaging type</v>
      </c>
      <c r="F364" s="154" t="str">
        <v/>
      </c>
      <c r="G364" s="253" t="str">
        <v>Input</v>
      </c>
    </row>
    <row r="366" spans="4:13" ht="17.25" x14ac:dyDescent="0.25">
      <c r="D366" s="92" t="s">
        <v>818</v>
      </c>
      <c r="E366" s="254" t="s">
        <v>776</v>
      </c>
      <c r="F366" s="254" t="s">
        <v>912</v>
      </c>
      <c r="G366" s="145" t="s">
        <v>913</v>
      </c>
      <c r="H366" s="145" t="s">
        <v>824</v>
      </c>
      <c r="I366" s="92" t="s">
        <v>914</v>
      </c>
      <c r="J366" s="145" t="s">
        <v>827</v>
      </c>
      <c r="K366" s="92" t="s">
        <v>828</v>
      </c>
      <c r="L366" s="92" t="s">
        <v>829</v>
      </c>
      <c r="M366" s="92" t="s">
        <v>830</v>
      </c>
    </row>
    <row r="367" spans="4:13" x14ac:dyDescent="0.25">
      <c r="D367" s="25" t="str" cm="1">
        <f t="array" ref="D367:D376">IFERROR(INDEX(Table_Input_Packaging[Packaging name], _xlfn.SEQUENCE(10)), "")</f>
        <v>250g punnet</v>
      </c>
      <c r="E367" s="25" t="str" cm="1">
        <f t="array" ref="E367:E376">IFERROR(INDEX(Table_Input_Packaging[Primary material], _xlfn.SEQUENCE(10)), "")</f>
        <v>Plastic sheet HDPE</v>
      </c>
      <c r="F367" s="25" cm="1">
        <f t="array" ref="F367:F376">IFERROR(INDEX(Table_Input_Packaging[Total weight purchased (kg)], _xlfn.SEQUENCE(10)), "")</f>
        <v>2000</v>
      </c>
      <c r="G367" s="25" cm="1">
        <f t="array" ref="G367">Common_InputFunctions.Utility_LookupValueInTableNumber(E367,Table_SourceData_Scope3_Packaging[Product],Table_SourceData_Scope3_Packaging[AusLCI Emissions intensity])</f>
        <v>3.72</v>
      </c>
      <c r="H367" s="255" cm="1">
        <f t="array" ref="H367">Scope3_Equations.VEERG_15_8_1_1__1_EmissionsFromPurchasedPackaging(F367,G367)</f>
        <v>7.44</v>
      </c>
      <c r="I367" s="86">
        <v>3</v>
      </c>
      <c r="J367" s="255" cm="1">
        <f t="array" ref="J367">Scope3_Equations.VEERG_15_8_1_1__1_EmissionsFromPurchasedPackaging(F367,IF(I367,I367,G367))</f>
        <v>6</v>
      </c>
      <c r="K367" s="44"/>
      <c r="L367" s="23"/>
      <c r="M367" s="44"/>
    </row>
    <row r="368" spans="4:13" x14ac:dyDescent="0.25">
      <c r="D368" s="25">
        <v>0</v>
      </c>
      <c r="E368" s="25">
        <v>0</v>
      </c>
      <c r="F368" s="25">
        <v>0</v>
      </c>
      <c r="G368" s="25" cm="1">
        <f t="array" ref="G368">Common_InputFunctions.Utility_LookupValueInTableNumber(E368,Table_SourceData_Scope3_Packaging[Product],Table_SourceData_Scope3_Packaging[AusLCI Emissions intensity])</f>
        <v>0</v>
      </c>
      <c r="H368" s="255" cm="1">
        <f t="array" ref="H368">Scope3_Equations.VEERG_15_8_1_1__1_EmissionsFromPurchasedPackaging(F368,G368)</f>
        <v>0</v>
      </c>
      <c r="I368" s="86"/>
      <c r="J368" s="255" cm="1">
        <f t="array" ref="J368">Scope3_Equations.VEERG_15_8_1_1__1_EmissionsFromPurchasedPackaging(F368,IF(I368,I368,G368))</f>
        <v>0</v>
      </c>
      <c r="K368" s="44"/>
      <c r="L368" s="23"/>
      <c r="M368" s="44"/>
    </row>
    <row r="369" spans="3:41" x14ac:dyDescent="0.25">
      <c r="D369" s="25">
        <v>0</v>
      </c>
      <c r="E369" s="25">
        <v>0</v>
      </c>
      <c r="F369" s="25">
        <v>0</v>
      </c>
      <c r="G369" s="25" cm="1">
        <f t="array" ref="G369">Common_InputFunctions.Utility_LookupValueInTableNumber(E369,Table_SourceData_Scope3_Packaging[Product],Table_SourceData_Scope3_Packaging[AusLCI Emissions intensity])</f>
        <v>0</v>
      </c>
      <c r="H369" s="255" cm="1">
        <f t="array" ref="H369">Scope3_Equations.VEERG_15_8_1_1__1_EmissionsFromPurchasedPackaging(F369,G369)</f>
        <v>0</v>
      </c>
      <c r="I369" s="86"/>
      <c r="J369" s="255" cm="1">
        <f t="array" ref="J369">Scope3_Equations.VEERG_15_8_1_1__1_EmissionsFromPurchasedPackaging(F369,IF(I369,I369,G369))</f>
        <v>0</v>
      </c>
      <c r="K369" s="44"/>
      <c r="L369" s="23"/>
      <c r="M369" s="44"/>
    </row>
    <row r="370" spans="3:41" x14ac:dyDescent="0.25">
      <c r="D370" s="25">
        <v>0</v>
      </c>
      <c r="E370" s="25">
        <v>0</v>
      </c>
      <c r="F370" s="25">
        <v>0</v>
      </c>
      <c r="G370" s="25" cm="1">
        <f t="array" ref="G370">Common_InputFunctions.Utility_LookupValueInTableNumber(E370,Table_SourceData_Scope3_Packaging[Product],Table_SourceData_Scope3_Packaging[AusLCI Emissions intensity])</f>
        <v>0</v>
      </c>
      <c r="H370" s="255" cm="1">
        <f t="array" ref="H370">Scope3_Equations.VEERG_15_8_1_1__1_EmissionsFromPurchasedPackaging(F370,G370)</f>
        <v>0</v>
      </c>
      <c r="I370" s="86"/>
      <c r="J370" s="255" cm="1">
        <f t="array" ref="J370">Scope3_Equations.VEERG_15_8_1_1__1_EmissionsFromPurchasedPackaging(F370,IF(I370,I370,G370))</f>
        <v>0</v>
      </c>
      <c r="K370" s="44"/>
      <c r="L370" s="23"/>
      <c r="M370" s="44"/>
    </row>
    <row r="371" spans="3:41" x14ac:dyDescent="0.25">
      <c r="D371" s="25">
        <v>0</v>
      </c>
      <c r="E371" s="25">
        <v>0</v>
      </c>
      <c r="F371" s="25">
        <v>0</v>
      </c>
      <c r="G371" s="25" cm="1">
        <f t="array" ref="G371">Common_InputFunctions.Utility_LookupValueInTableNumber(E371,Table_SourceData_Scope3_Packaging[Product],Table_SourceData_Scope3_Packaging[AusLCI Emissions intensity])</f>
        <v>0</v>
      </c>
      <c r="H371" s="255" cm="1">
        <f t="array" ref="H371">Scope3_Equations.VEERG_15_8_1_1__1_EmissionsFromPurchasedPackaging(F371,G371)</f>
        <v>0</v>
      </c>
      <c r="I371" s="86"/>
      <c r="J371" s="255" cm="1">
        <f t="array" ref="J371">Scope3_Equations.VEERG_15_8_1_1__1_EmissionsFromPurchasedPackaging(F371,IF(I371,I371,G371))</f>
        <v>0</v>
      </c>
      <c r="K371" s="44"/>
      <c r="L371" s="23"/>
      <c r="M371" s="44"/>
    </row>
    <row r="372" spans="3:41" x14ac:dyDescent="0.25">
      <c r="D372" s="25">
        <v>0</v>
      </c>
      <c r="E372" s="25">
        <v>0</v>
      </c>
      <c r="F372" s="25">
        <v>0</v>
      </c>
      <c r="G372" s="25" cm="1">
        <f t="array" ref="G372">Common_InputFunctions.Utility_LookupValueInTableNumber(E372,Table_SourceData_Scope3_Packaging[Product],Table_SourceData_Scope3_Packaging[AusLCI Emissions intensity])</f>
        <v>0</v>
      </c>
      <c r="H372" s="255" cm="1">
        <f t="array" ref="H372">Scope3_Equations.VEERG_15_8_1_1__1_EmissionsFromPurchasedPackaging(F372,G372)</f>
        <v>0</v>
      </c>
      <c r="I372" s="86"/>
      <c r="J372" s="255" cm="1">
        <f t="array" ref="J372">Scope3_Equations.VEERG_15_8_1_1__1_EmissionsFromPurchasedPackaging(F372,IF(I372,I372,G372))</f>
        <v>0</v>
      </c>
      <c r="K372" s="44"/>
      <c r="L372" s="23"/>
      <c r="M372" s="44"/>
    </row>
    <row r="373" spans="3:41" x14ac:dyDescent="0.25">
      <c r="D373" s="25">
        <v>0</v>
      </c>
      <c r="E373" s="25">
        <v>0</v>
      </c>
      <c r="F373" s="25">
        <v>0</v>
      </c>
      <c r="G373" s="25" cm="1">
        <f t="array" ref="G373">Common_InputFunctions.Utility_LookupValueInTableNumber(E373,Table_SourceData_Scope3_Packaging[Product],Table_SourceData_Scope3_Packaging[AusLCI Emissions intensity])</f>
        <v>0</v>
      </c>
      <c r="H373" s="255" cm="1">
        <f t="array" ref="H373">Scope3_Equations.VEERG_15_8_1_1__1_EmissionsFromPurchasedPackaging(F373,G373)</f>
        <v>0</v>
      </c>
      <c r="I373" s="86"/>
      <c r="J373" s="255" cm="1">
        <f t="array" ref="J373">Scope3_Equations.VEERG_15_8_1_1__1_EmissionsFromPurchasedPackaging(F373,IF(I373,I373,G373))</f>
        <v>0</v>
      </c>
      <c r="K373" s="44"/>
      <c r="L373" s="23"/>
      <c r="M373" s="44"/>
    </row>
    <row r="374" spans="3:41" x14ac:dyDescent="0.25">
      <c r="D374" s="25">
        <v>0</v>
      </c>
      <c r="E374" s="25">
        <v>0</v>
      </c>
      <c r="F374" s="25">
        <v>0</v>
      </c>
      <c r="G374" s="25" cm="1">
        <f t="array" ref="G374">Common_InputFunctions.Utility_LookupValueInTableNumber(E374,Table_SourceData_Scope3_Packaging[Product],Table_SourceData_Scope3_Packaging[AusLCI Emissions intensity])</f>
        <v>0</v>
      </c>
      <c r="H374" s="255" cm="1">
        <f t="array" ref="H374">Scope3_Equations.VEERG_15_8_1_1__1_EmissionsFromPurchasedPackaging(F374,G374)</f>
        <v>0</v>
      </c>
      <c r="I374" s="86"/>
      <c r="J374" s="255" cm="1">
        <f t="array" ref="J374">Scope3_Equations.VEERG_15_8_1_1__1_EmissionsFromPurchasedPackaging(F374,IF(I374,I374,G374))</f>
        <v>0</v>
      </c>
      <c r="K374" s="44"/>
      <c r="L374" s="23"/>
      <c r="M374" s="44"/>
    </row>
    <row r="375" spans="3:41" x14ac:dyDescent="0.25">
      <c r="D375" s="25">
        <v>0</v>
      </c>
      <c r="E375" s="25">
        <v>0</v>
      </c>
      <c r="F375" s="25">
        <v>0</v>
      </c>
      <c r="G375" s="25" cm="1">
        <f t="array" ref="G375">Common_InputFunctions.Utility_LookupValueInTableNumber(E375,Table_SourceData_Scope3_Packaging[Product],Table_SourceData_Scope3_Packaging[AusLCI Emissions intensity])</f>
        <v>0</v>
      </c>
      <c r="H375" s="255" cm="1">
        <f t="array" ref="H375">Scope3_Equations.VEERG_15_8_1_1__1_EmissionsFromPurchasedPackaging(F375,G375)</f>
        <v>0</v>
      </c>
      <c r="I375" s="86"/>
      <c r="J375" s="255" cm="1">
        <f t="array" ref="J375">Scope3_Equations.VEERG_15_8_1_1__1_EmissionsFromPurchasedPackaging(F375,IF(I375,I375,G375))</f>
        <v>0</v>
      </c>
      <c r="K375" s="44"/>
      <c r="L375" s="23"/>
      <c r="M375" s="44"/>
    </row>
    <row r="376" spans="3:41" x14ac:dyDescent="0.25">
      <c r="D376" s="25">
        <v>0</v>
      </c>
      <c r="E376" s="25">
        <v>0</v>
      </c>
      <c r="F376" s="25">
        <v>0</v>
      </c>
      <c r="G376" s="25" cm="1">
        <f t="array" ref="G376">Common_InputFunctions.Utility_LookupValueInTableNumber(E376,Table_SourceData_Scope3_Packaging[Product],Table_SourceData_Scope3_Packaging[AusLCI Emissions intensity])</f>
        <v>0</v>
      </c>
      <c r="H376" s="255" cm="1">
        <f t="array" ref="H376">Scope3_Equations.VEERG_15_8_1_1__1_EmissionsFromPurchasedPackaging(F376,G376)</f>
        <v>0</v>
      </c>
      <c r="I376" s="86"/>
      <c r="J376" s="255" cm="1">
        <f t="array" ref="J376">Scope3_Equations.VEERG_15_8_1_1__1_EmissionsFromPurchasedPackaging(F376,IF(I376,I376,G376))</f>
        <v>0</v>
      </c>
      <c r="K376" s="44"/>
      <c r="L376" s="23"/>
      <c r="M376" s="44"/>
    </row>
    <row r="378" spans="3:41" ht="20.25" x14ac:dyDescent="0.25">
      <c r="D378" s="256" t="s">
        <v>824</v>
      </c>
      <c r="E378" s="150">
        <f>SUM(H367:H376)</f>
        <v>7.44</v>
      </c>
      <c r="F378" s="151" t="str">
        <f>$E$155</f>
        <v>t CO2e</v>
      </c>
    </row>
    <row r="379" spans="3:41" ht="20.25" x14ac:dyDescent="0.25">
      <c r="D379" s="256" t="s">
        <v>827</v>
      </c>
      <c r="E379" s="150">
        <f>SUM(J367:J376)</f>
        <v>6</v>
      </c>
      <c r="F379" s="151" t="str">
        <f>$E$155</f>
        <v>t CO2e</v>
      </c>
    </row>
    <row r="382" spans="3:41" x14ac:dyDescent="0.25">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c r="AA382" s="146"/>
      <c r="AB382" s="146"/>
      <c r="AC382" s="146"/>
      <c r="AD382" s="146"/>
      <c r="AE382" s="146"/>
      <c r="AF382" s="146"/>
      <c r="AG382" s="146"/>
      <c r="AH382" s="146"/>
      <c r="AI382" s="146"/>
      <c r="AJ382" s="146"/>
      <c r="AK382" s="146"/>
      <c r="AL382" s="146"/>
      <c r="AM382" s="146"/>
      <c r="AN382" s="146"/>
      <c r="AO382" s="146"/>
    </row>
    <row r="383" spans="3:41" ht="23.25" x14ac:dyDescent="0.25">
      <c r="D383" s="2" t="str" cm="1">
        <f t="array" ref="D383">Scope3_Equations.VEERG_15_9_1_1__1_EmissionsFromPurchasedGrowMedia_Title()</f>
        <v>Embedded emissions from use of grow media products</v>
      </c>
    </row>
    <row r="384" spans="3:41" x14ac:dyDescent="0.25">
      <c r="D384" s="27" t="str" cm="1">
        <f t="array" ref="D384">Scope3_Equations.VEERG_15_9_1_1__1_EmissionsFromPurchasedGrowMedia_Source()</f>
        <v>VEERG 2026: 15.9.1.1, Equation (1)</v>
      </c>
    </row>
    <row r="385" spans="4:14" x14ac:dyDescent="0.25">
      <c r="D385" s="132" t="s">
        <v>267</v>
      </c>
      <c r="E385" s="132" t="str" cm="1">
        <f t="array" aca="1" ref="E385" ca="1">Common_InputFunctions.Utility_DisplayFunctionName(J399)</f>
        <v>=Scope3_Equations.VEERG_15_9_1_1__1_EmissionsFromPurchasedGrowMedia</v>
      </c>
    </row>
    <row r="388" spans="4:14" x14ac:dyDescent="0.25">
      <c r="G388" s="132"/>
    </row>
    <row r="389" spans="4:14" x14ac:dyDescent="0.25">
      <c r="D389" s="88" t="s">
        <v>268</v>
      </c>
      <c r="E389" s="1" t="str" cm="1">
        <f t="array" ref="E389">Scope3_Equations.VEERG_15_9_1_1__1_EmissionsFromPurchasedGrowMedia_Variable()</f>
        <v>E</v>
      </c>
    </row>
    <row r="390" spans="4:14" x14ac:dyDescent="0.25">
      <c r="D390" s="88" t="s">
        <v>121</v>
      </c>
      <c r="E390" s="1" t="str" cm="1">
        <f t="array" ref="E390">Scope3_Equations.VEERG_15_9_1_1__1_EmissionsFromPurchasedGrowMedia_Unit()</f>
        <v>t CO2e</v>
      </c>
    </row>
    <row r="392" spans="4:14" x14ac:dyDescent="0.25">
      <c r="D392" s="154" t="str" cm="1">
        <f t="array" ref="D392:E394">_xlfn.CHOOSECOLS(Scope3_Equations.VEERG_15_9_1_1__1_EmissionsFromPurchasedGrowMedia_Arguments(),1,2)</f>
        <v>Q_g</v>
      </c>
      <c r="E392" s="154" t="str">
        <v>total quantity of grow media type g</v>
      </c>
      <c r="F392" s="154" t="str" cm="1">
        <f t="array" ref="F392:G394">_xlfn.CHOOSECOLS(Scope3_Equations.VEERG_15_9_1_1__1_EmissionsFromPurchasedGrowMedia_Arguments(),3,4)</f>
        <v>kg or m3</v>
      </c>
      <c r="G392" s="253" t="str">
        <v>Input</v>
      </c>
    </row>
    <row r="393" spans="4:14" x14ac:dyDescent="0.25">
      <c r="D393" s="154" t="str">
        <v>EF_g</v>
      </c>
      <c r="E393" s="154" t="str">
        <v>emission factor for grow media type g</v>
      </c>
      <c r="F393" s="154" t="str">
        <v>kg CO2e/kg or kg CO2e/m3</v>
      </c>
      <c r="G393" s="137" t="str">
        <v>Constant</v>
      </c>
    </row>
    <row r="394" spans="4:14" x14ac:dyDescent="0.25">
      <c r="D394" s="154" t="str">
        <v>g</v>
      </c>
      <c r="E394" s="154" t="str">
        <v>grow media type</v>
      </c>
      <c r="F394" s="154" t="str">
        <v/>
      </c>
      <c r="G394" s="253" t="str">
        <v>Input</v>
      </c>
    </row>
    <row r="396" spans="4:14" x14ac:dyDescent="0.25">
      <c r="D396" s="36" t="s">
        <v>905</v>
      </c>
    </row>
    <row r="398" spans="4:14" x14ac:dyDescent="0.25">
      <c r="D398" s="92" t="s">
        <v>782</v>
      </c>
      <c r="E398" s="92" t="s">
        <v>766</v>
      </c>
      <c r="F398" s="92" t="s">
        <v>451</v>
      </c>
      <c r="G398" s="145" t="s">
        <v>906</v>
      </c>
      <c r="H398" s="145" t="s">
        <v>907</v>
      </c>
      <c r="I398" s="92" t="s">
        <v>908</v>
      </c>
      <c r="J398" s="145" t="s">
        <v>909</v>
      </c>
      <c r="K398" s="145" t="s">
        <v>910</v>
      </c>
      <c r="L398" s="92" t="s">
        <v>828</v>
      </c>
      <c r="M398" s="92" t="s">
        <v>829</v>
      </c>
      <c r="N398" s="92" t="s">
        <v>830</v>
      </c>
    </row>
    <row r="399" spans="4:14" x14ac:dyDescent="0.25">
      <c r="D399" s="25" t="str" cm="1">
        <f t="array" ref="D399:D408">IFERROR(INDEX(Table_Input_GrowMedia[Grow media type], _xlfn.SEQUENCE(10)), "")</f>
        <v>Coir</v>
      </c>
      <c r="E399" s="25" cm="1">
        <f t="array" ref="E399:E408">IFERROR(INDEX(Table_Input_GrowMedia[Total amount], _xlfn.SEQUENCE(10)), "")</f>
        <v>10000</v>
      </c>
      <c r="F399" s="25" t="str" cm="1">
        <f t="array" ref="F399:F408">IFERROR(INDEX(Table_Input_GrowMedia[Amount unit], _xlfn.SEQUENCE(10)), "")</f>
        <v>kg</v>
      </c>
      <c r="G399" s="25" t="s">
        <v>911</v>
      </c>
      <c r="H399" s="25" t="s">
        <v>911</v>
      </c>
      <c r="I399" s="86">
        <v>4</v>
      </c>
      <c r="J399" s="255" cm="1">
        <f t="array" ref="J399">Scope3_Equations.VEERG_15_9_1_1__1_EmissionsFromPurchasedGrowMedia(E399,I399)</f>
        <v>40</v>
      </c>
      <c r="K399" s="25" t="str">
        <f>"t CO2e / " &amp; F399</f>
        <v>t CO2e / kg</v>
      </c>
      <c r="L399" s="44"/>
      <c r="M399" s="23"/>
      <c r="N399" s="44"/>
    </row>
    <row r="400" spans="4:14" x14ac:dyDescent="0.25">
      <c r="D400" s="25" t="str">
        <v>Peat moss</v>
      </c>
      <c r="E400" s="25">
        <v>100</v>
      </c>
      <c r="F400" s="25" t="str">
        <v>m3</v>
      </c>
      <c r="G400" s="25" t="s">
        <v>911</v>
      </c>
      <c r="H400" s="25" t="s">
        <v>911</v>
      </c>
      <c r="I400" s="86">
        <v>2</v>
      </c>
      <c r="J400" s="255" cm="1">
        <f t="array" ref="J400">Scope3_Equations.VEERG_15_9_1_1__1_EmissionsFromPurchasedGrowMedia(E400,I400)</f>
        <v>0.2</v>
      </c>
      <c r="K400" s="25" t="str">
        <f t="shared" ref="K400:K408" si="2">"t CO2e / " &amp; F400</f>
        <v>t CO2e / m3</v>
      </c>
      <c r="L400" s="44"/>
      <c r="M400" s="23"/>
      <c r="N400" s="44"/>
    </row>
    <row r="401" spans="3:41" x14ac:dyDescent="0.25">
      <c r="D401" s="25" t="str">
        <v>tiny gravel</v>
      </c>
      <c r="E401" s="25">
        <v>10000</v>
      </c>
      <c r="F401" s="25" t="str">
        <v>kg</v>
      </c>
      <c r="G401" s="25" t="s">
        <v>911</v>
      </c>
      <c r="H401" s="25" t="s">
        <v>911</v>
      </c>
      <c r="I401" s="86"/>
      <c r="J401" s="255" cm="1">
        <f t="array" ref="J401">Scope3_Equations.VEERG_15_9_1_1__1_EmissionsFromPurchasedGrowMedia(E401,I401)</f>
        <v>0</v>
      </c>
      <c r="K401" s="25" t="str">
        <f t="shared" si="2"/>
        <v>t CO2e / kg</v>
      </c>
      <c r="L401" s="44"/>
      <c r="M401" s="23"/>
      <c r="N401" s="44"/>
    </row>
    <row r="402" spans="3:41" x14ac:dyDescent="0.25">
      <c r="D402" s="25">
        <v>0</v>
      </c>
      <c r="E402" s="25">
        <v>0</v>
      </c>
      <c r="F402" s="25">
        <v>0</v>
      </c>
      <c r="G402" s="25" t="s">
        <v>911</v>
      </c>
      <c r="H402" s="25" t="s">
        <v>911</v>
      </c>
      <c r="I402" s="86"/>
      <c r="J402" s="255" cm="1">
        <f t="array" ref="J402">Scope3_Equations.VEERG_15_9_1_1__1_EmissionsFromPurchasedGrowMedia(E402,I402)</f>
        <v>0</v>
      </c>
      <c r="K402" s="25" t="str">
        <f t="shared" si="2"/>
        <v>t CO2e / 0</v>
      </c>
      <c r="L402" s="44"/>
      <c r="M402" s="23"/>
      <c r="N402" s="44"/>
    </row>
    <row r="403" spans="3:41" x14ac:dyDescent="0.25">
      <c r="D403" s="25">
        <v>0</v>
      </c>
      <c r="E403" s="25">
        <v>0</v>
      </c>
      <c r="F403" s="25">
        <v>0</v>
      </c>
      <c r="G403" s="25" t="s">
        <v>911</v>
      </c>
      <c r="H403" s="25" t="s">
        <v>911</v>
      </c>
      <c r="I403" s="86"/>
      <c r="J403" s="255" cm="1">
        <f t="array" ref="J403">Scope3_Equations.VEERG_15_9_1_1__1_EmissionsFromPurchasedGrowMedia(E403,I403)</f>
        <v>0</v>
      </c>
      <c r="K403" s="25" t="str">
        <f t="shared" si="2"/>
        <v>t CO2e / 0</v>
      </c>
      <c r="L403" s="44"/>
      <c r="M403" s="23"/>
      <c r="N403" s="44"/>
    </row>
    <row r="404" spans="3:41" x14ac:dyDescent="0.25">
      <c r="D404" s="25">
        <v>0</v>
      </c>
      <c r="E404" s="25">
        <v>0</v>
      </c>
      <c r="F404" s="25">
        <v>0</v>
      </c>
      <c r="G404" s="25" t="s">
        <v>911</v>
      </c>
      <c r="H404" s="25" t="s">
        <v>911</v>
      </c>
      <c r="I404" s="86"/>
      <c r="J404" s="255" cm="1">
        <f t="array" ref="J404">Scope3_Equations.VEERG_15_9_1_1__1_EmissionsFromPurchasedGrowMedia(E404,I404)</f>
        <v>0</v>
      </c>
      <c r="K404" s="25" t="str">
        <f t="shared" si="2"/>
        <v>t CO2e / 0</v>
      </c>
      <c r="L404" s="44"/>
      <c r="M404" s="23"/>
      <c r="N404" s="44"/>
    </row>
    <row r="405" spans="3:41" x14ac:dyDescent="0.25">
      <c r="D405" s="25">
        <v>0</v>
      </c>
      <c r="E405" s="25">
        <v>0</v>
      </c>
      <c r="F405" s="25">
        <v>0</v>
      </c>
      <c r="G405" s="25" t="s">
        <v>911</v>
      </c>
      <c r="H405" s="25" t="s">
        <v>911</v>
      </c>
      <c r="I405" s="86"/>
      <c r="J405" s="255" cm="1">
        <f t="array" ref="J405">Scope3_Equations.VEERG_15_9_1_1__1_EmissionsFromPurchasedGrowMedia(E405,I405)</f>
        <v>0</v>
      </c>
      <c r="K405" s="25" t="str">
        <f t="shared" si="2"/>
        <v>t CO2e / 0</v>
      </c>
      <c r="L405" s="44"/>
      <c r="M405" s="23"/>
      <c r="N405" s="44"/>
    </row>
    <row r="406" spans="3:41" x14ac:dyDescent="0.25">
      <c r="D406" s="25">
        <v>0</v>
      </c>
      <c r="E406" s="25">
        <v>0</v>
      </c>
      <c r="F406" s="25">
        <v>0</v>
      </c>
      <c r="G406" s="25" t="s">
        <v>911</v>
      </c>
      <c r="H406" s="25" t="s">
        <v>911</v>
      </c>
      <c r="I406" s="86"/>
      <c r="J406" s="255" cm="1">
        <f t="array" ref="J406">Scope3_Equations.VEERG_15_9_1_1__1_EmissionsFromPurchasedGrowMedia(E406,I406)</f>
        <v>0</v>
      </c>
      <c r="K406" s="25" t="str">
        <f t="shared" si="2"/>
        <v>t CO2e / 0</v>
      </c>
      <c r="L406" s="44"/>
      <c r="M406" s="23"/>
      <c r="N406" s="44"/>
    </row>
    <row r="407" spans="3:41" x14ac:dyDescent="0.25">
      <c r="D407" s="25">
        <v>0</v>
      </c>
      <c r="E407" s="25">
        <v>0</v>
      </c>
      <c r="F407" s="25">
        <v>0</v>
      </c>
      <c r="G407" s="25" t="s">
        <v>911</v>
      </c>
      <c r="H407" s="25" t="s">
        <v>911</v>
      </c>
      <c r="I407" s="86"/>
      <c r="J407" s="255" cm="1">
        <f t="array" ref="J407">Scope3_Equations.VEERG_15_9_1_1__1_EmissionsFromPurchasedGrowMedia(E407,I407)</f>
        <v>0</v>
      </c>
      <c r="K407" s="25" t="str">
        <f t="shared" si="2"/>
        <v>t CO2e / 0</v>
      </c>
      <c r="L407" s="44"/>
      <c r="M407" s="23"/>
      <c r="N407" s="44"/>
    </row>
    <row r="408" spans="3:41" x14ac:dyDescent="0.25">
      <c r="D408" s="25">
        <v>0</v>
      </c>
      <c r="E408" s="25">
        <v>0</v>
      </c>
      <c r="F408" s="25">
        <v>0</v>
      </c>
      <c r="G408" s="25" t="s">
        <v>911</v>
      </c>
      <c r="H408" s="25" t="s">
        <v>911</v>
      </c>
      <c r="I408" s="86"/>
      <c r="J408" s="255" cm="1">
        <f t="array" ref="J408">Scope3_Equations.VEERG_15_9_1_1__1_EmissionsFromPurchasedGrowMedia(E408,I408)</f>
        <v>0</v>
      </c>
      <c r="K408" s="25" t="str">
        <f t="shared" si="2"/>
        <v>t CO2e / 0</v>
      </c>
      <c r="L408" s="44"/>
      <c r="M408" s="23"/>
      <c r="N408" s="44"/>
    </row>
    <row r="410" spans="3:41" ht="20.25" x14ac:dyDescent="0.25">
      <c r="D410" s="256" t="s">
        <v>824</v>
      </c>
      <c r="E410" s="150" t="s">
        <v>911</v>
      </c>
      <c r="F410" s="151" t="str">
        <f>$E$155</f>
        <v>t CO2e</v>
      </c>
    </row>
    <row r="411" spans="3:41" ht="20.25" x14ac:dyDescent="0.25">
      <c r="D411" s="256" t="s">
        <v>827</v>
      </c>
      <c r="E411" s="150">
        <f>SUM(J399:J408)</f>
        <v>40.200000000000003</v>
      </c>
      <c r="F411" s="151" t="str">
        <f>$E$155</f>
        <v>t CO2e</v>
      </c>
    </row>
    <row r="414" spans="3:41" x14ac:dyDescent="0.25">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c r="AA414" s="146"/>
      <c r="AB414" s="146"/>
      <c r="AC414" s="146"/>
      <c r="AD414" s="146"/>
      <c r="AE414" s="146"/>
      <c r="AF414" s="146"/>
      <c r="AG414" s="146"/>
      <c r="AH414" s="146"/>
      <c r="AI414" s="146"/>
      <c r="AJ414" s="146"/>
      <c r="AK414" s="146"/>
      <c r="AL414" s="146"/>
      <c r="AM414" s="146"/>
      <c r="AN414" s="146"/>
      <c r="AO414" s="146"/>
    </row>
    <row r="415" spans="3:41" ht="23.25" x14ac:dyDescent="0.25">
      <c r="D415" s="2" t="str" cm="1">
        <f t="array" ref="D415">Scope3_Equations.VEERG_15_10_1_1__1_OtherPurchasedGoodsAndServices_Title()</f>
        <v>Other purchased goods and services generic estimate</v>
      </c>
    </row>
    <row r="416" spans="3:41" x14ac:dyDescent="0.25">
      <c r="D416" s="27" t="str" cm="1">
        <f t="array" ref="D416">Scope3_Equations.VEERG_15_10_1_1__1_OtherPurchasedGoodsAndServices_Source()</f>
        <v>VEERG 2026: 15.10, generic placeholder equation</v>
      </c>
    </row>
    <row r="417" spans="4:13" x14ac:dyDescent="0.25">
      <c r="D417" s="36" t="s">
        <v>915</v>
      </c>
    </row>
    <row r="418" spans="4:13" x14ac:dyDescent="0.25">
      <c r="D418" s="132" t="s">
        <v>267</v>
      </c>
      <c r="E418" s="132" t="str" cm="1">
        <f t="array" aca="1" ref="E418" ca="1">Common_InputFunctions.Utility_DisplayFunctionName(H430)</f>
        <v>=Scope3_Equations.VEERG_15_10_1_1__1_OtherPurchasedGoodsAndServices</v>
      </c>
    </row>
    <row r="421" spans="4:13" x14ac:dyDescent="0.25">
      <c r="D421" s="88" t="s">
        <v>268</v>
      </c>
      <c r="E421" s="1" t="str" cm="1">
        <f t="array" ref="E421">Scope3_Equations.VEERG_15_10_1_1__1_OtherPurchasedGoodsAndServices_Variable()</f>
        <v>emissions</v>
      </c>
    </row>
    <row r="422" spans="4:13" x14ac:dyDescent="0.25">
      <c r="D422" s="88" t="s">
        <v>121</v>
      </c>
      <c r="E422" s="15" t="str" cm="1">
        <f t="array" ref="E422">Scope3_Equations.VEERG_15_10_1_1__1_OtherPurchasedGoodsAndServices_Unit()</f>
        <v>t CO2e</v>
      </c>
    </row>
    <row r="424" spans="4:13" x14ac:dyDescent="0.25">
      <c r="D424" s="154" t="str" cm="1">
        <f t="array" ref="D424:E425">_xlfn.CHOOSECOLS(Scope3_Equations.VEERG_15_10_1_1__1_OtherPurchasedGoodsAndServices_Arguments(),1,2)</f>
        <v>activity_data</v>
      </c>
      <c r="E424" s="162" t="str">
        <v>measured activity for the purchased good or service</v>
      </c>
      <c r="F424" s="164"/>
      <c r="G424" s="154" t="str" cm="1">
        <f t="array" ref="G424:H425">_xlfn.CHOOSECOLS(Scope3_Equations.VEERG_15_10_1_1__1_OtherPurchasedGoodsAndServices_Arguments(),3,4)</f>
        <v>varies</v>
      </c>
      <c r="H424" s="253" t="str">
        <v>Input</v>
      </c>
    </row>
    <row r="425" spans="4:13" x14ac:dyDescent="0.25">
      <c r="D425" s="154" t="str">
        <v>emission_factor</v>
      </c>
      <c r="E425" s="162" t="str">
        <v>lifecycle emissions per unit of activity</v>
      </c>
      <c r="F425" s="164"/>
      <c r="G425" s="154" t="str">
        <v>varies</v>
      </c>
      <c r="H425" s="137" t="str">
        <v>Constant</v>
      </c>
    </row>
    <row r="427" spans="4:13" ht="18.75" x14ac:dyDescent="0.25">
      <c r="D427" s="239" t="s">
        <v>916</v>
      </c>
    </row>
    <row r="429" spans="4:13" x14ac:dyDescent="0.25">
      <c r="D429" s="92" t="s">
        <v>818</v>
      </c>
      <c r="E429" s="254" t="s">
        <v>917</v>
      </c>
      <c r="F429" s="254" t="s">
        <v>918</v>
      </c>
      <c r="G429" s="145" t="s">
        <v>122</v>
      </c>
      <c r="H429" s="145" t="s">
        <v>824</v>
      </c>
      <c r="I429" s="92" t="s">
        <v>123</v>
      </c>
      <c r="J429" s="145" t="s">
        <v>827</v>
      </c>
      <c r="K429" s="92" t="s">
        <v>828</v>
      </c>
      <c r="L429" s="92" t="s">
        <v>829</v>
      </c>
      <c r="M429" s="92" t="s">
        <v>830</v>
      </c>
    </row>
    <row r="430" spans="4:13" x14ac:dyDescent="0.25">
      <c r="D430" s="25" t="str" cm="1">
        <f t="array" ref="D430:D439">IFERROR(INDEX(Table_Input_ChemicalsCleaning[Product name], _xlfn.SEQUENCE(10)), "")</f>
        <v>Acid kleen</v>
      </c>
      <c r="E430" s="25" t="str" cm="1">
        <f t="array" ref="E430:E439">IFERROR(INDEX(Table_Input_ChemicalsCleaning[Type (select)], _xlfn.SEQUENCE(10)), "")</f>
        <v>Phosphoric acid</v>
      </c>
      <c r="F430" s="25" cm="1">
        <f t="array" ref="F430:F439">IFERROR(INDEX(Table_Input_ChemicalsCleaning[Quantity purchased (kg)], _xlfn.SEQUENCE(10)), "")</f>
        <v>100</v>
      </c>
      <c r="G430" s="25" cm="1">
        <f t="array" ref="G430">Common_InputFunctions.Utility_LookupValueInTableNumber(E430,Table_SourceData_Scope3_ChemicalsCleaning[Product],Table_SourceData_Scope3_ChemicalsCleaning[AusLCI Emissions intensity])</f>
        <v>0.90700000000000003</v>
      </c>
      <c r="H430" s="255" cm="1">
        <f t="array" ref="H430">Scope3_Equations.VEERG_15_10_1_1__1_OtherPurchasedGoodsAndServices(F430,G430*10^-3)</f>
        <v>9.0700000000000003E-2</v>
      </c>
      <c r="I430" s="86">
        <v>1.3</v>
      </c>
      <c r="J430" s="255" cm="1">
        <f t="array" ref="J430">Scope3_Equations.VEERG_15_10_1_1__1_OtherPurchasedGoodsAndServices(F430,IF(I430,I430,G430)*10^-3)</f>
        <v>0.13</v>
      </c>
      <c r="K430" s="44"/>
      <c r="L430" s="23"/>
      <c r="M430" s="44"/>
    </row>
    <row r="431" spans="4:13" x14ac:dyDescent="0.25">
      <c r="D431" s="25" t="str">
        <v>Kleen alk</v>
      </c>
      <c r="E431" s="25" t="str">
        <v>Alkaline cleaner</v>
      </c>
      <c r="F431" s="25">
        <v>100</v>
      </c>
      <c r="G431" s="25" cm="1">
        <f t="array" ref="G431">Common_InputFunctions.Utility_LookupValueInTableNumber(E431,Table_SourceData_Scope3_ChemicalsCleaning[Product],Table_SourceData_Scope3_ChemicalsCleaning[AusLCI Emissions intensity])</f>
        <v>0.72199999999999998</v>
      </c>
      <c r="H431" s="255" cm="1">
        <f t="array" ref="H431">Scope3_Equations.VEERG_15_10_1_1__1_OtherPurchasedGoodsAndServices(F431,G431*10^-3)</f>
        <v>7.22E-2</v>
      </c>
      <c r="I431" s="86">
        <v>8</v>
      </c>
      <c r="J431" s="255" cm="1">
        <f t="array" ref="J431">Scope3_Equations.VEERG_15_10_1_1__1_OtherPurchasedGoodsAndServices(F431,IF(I431,I431,G431)*10^-3)</f>
        <v>0.8</v>
      </c>
      <c r="K431" s="44"/>
      <c r="L431" s="23"/>
      <c r="M431" s="44"/>
    </row>
    <row r="432" spans="4:13" x14ac:dyDescent="0.25">
      <c r="D432" s="25" t="str">
        <v>White king</v>
      </c>
      <c r="E432" s="25" t="str">
        <v>Bleach</v>
      </c>
      <c r="F432" s="25">
        <v>100</v>
      </c>
      <c r="G432" s="25" cm="1">
        <f t="array" ref="G432">Common_InputFunctions.Utility_LookupValueInTableNumber(E432,Table_SourceData_Scope3_ChemicalsCleaning[Product],Table_SourceData_Scope3_ChemicalsCleaning[AusLCI Emissions intensity])</f>
        <v>0.80400000000000005</v>
      </c>
      <c r="H432" s="255" cm="1">
        <f t="array" ref="H432">Scope3_Equations.VEERG_15_10_1_1__1_OtherPurchasedGoodsAndServices(F432,G432*10^-3)</f>
        <v>8.0399999999999999E-2</v>
      </c>
      <c r="I432" s="86">
        <v>4</v>
      </c>
      <c r="J432" s="255" cm="1">
        <f t="array" ref="J432">Scope3_Equations.VEERG_15_10_1_1__1_OtherPurchasedGoodsAndServices(F432,IF(I432,I432,G432)*10^-3)</f>
        <v>0.4</v>
      </c>
      <c r="K432" s="44"/>
      <c r="L432" s="23"/>
      <c r="M432" s="44"/>
    </row>
    <row r="433" spans="4:13" x14ac:dyDescent="0.25">
      <c r="D433" s="25" t="str">
        <v>White king</v>
      </c>
      <c r="E433" s="25" t="str">
        <v>Bleach</v>
      </c>
      <c r="F433" s="25">
        <v>100</v>
      </c>
      <c r="G433" s="25" cm="1">
        <f t="array" ref="G433">Common_InputFunctions.Utility_LookupValueInTableNumber(E433,Table_SourceData_Scope3_ChemicalsCleaning[Product],Table_SourceData_Scope3_ChemicalsCleaning[AusLCI Emissions intensity])</f>
        <v>0.80400000000000005</v>
      </c>
      <c r="H433" s="255" cm="1">
        <f t="array" ref="H433">Scope3_Equations.VEERG_15_10_1_1__1_OtherPurchasedGoodsAndServices(F433,G433*10^-3)</f>
        <v>8.0399999999999999E-2</v>
      </c>
      <c r="I433" s="86">
        <v>3</v>
      </c>
      <c r="J433" s="255" cm="1">
        <f t="array" ref="J433">Scope3_Equations.VEERG_15_10_1_1__1_OtherPurchasedGoodsAndServices(F433,IF(I433,I433,G433)*10^-3)</f>
        <v>0.3</v>
      </c>
      <c r="K433" s="44"/>
      <c r="L433" s="23"/>
      <c r="M433" s="44"/>
    </row>
    <row r="434" spans="4:13" x14ac:dyDescent="0.25">
      <c r="D434" s="25" t="str">
        <v>Acid kleen</v>
      </c>
      <c r="E434" s="25" t="str">
        <v>Phosphoric acid</v>
      </c>
      <c r="F434" s="25">
        <v>100</v>
      </c>
      <c r="G434" s="25" cm="1">
        <f t="array" ref="G434">Common_InputFunctions.Utility_LookupValueInTableNumber(E434,Table_SourceData_Scope3_ChemicalsCleaning[Product],Table_SourceData_Scope3_ChemicalsCleaning[AusLCI Emissions intensity])</f>
        <v>0.90700000000000003</v>
      </c>
      <c r="H434" s="255" cm="1">
        <f t="array" ref="H434">Scope3_Equations.VEERG_15_10_1_1__1_OtherPurchasedGoodsAndServices(F434,G434*10^-3)</f>
        <v>9.0700000000000003E-2</v>
      </c>
      <c r="I434" s="86">
        <v>6</v>
      </c>
      <c r="J434" s="255" cm="1">
        <f t="array" ref="J434">Scope3_Equations.VEERG_15_10_1_1__1_OtherPurchasedGoodsAndServices(F434,IF(I434,I434,G434)*10^-3)</f>
        <v>0.6</v>
      </c>
      <c r="K434" s="44"/>
      <c r="L434" s="23"/>
      <c r="M434" s="44"/>
    </row>
    <row r="435" spans="4:13" x14ac:dyDescent="0.25">
      <c r="D435" s="25" t="str">
        <v>Acid kleen</v>
      </c>
      <c r="E435" s="25" t="str">
        <v>Phosphoric acid</v>
      </c>
      <c r="F435" s="25">
        <v>100</v>
      </c>
      <c r="G435" s="25" cm="1">
        <f t="array" ref="G435">Common_InputFunctions.Utility_LookupValueInTableNumber(E435,Table_SourceData_Scope3_ChemicalsCleaning[Product],Table_SourceData_Scope3_ChemicalsCleaning[AusLCI Emissions intensity])</f>
        <v>0.90700000000000003</v>
      </c>
      <c r="H435" s="255" cm="1">
        <f t="array" ref="H435">Scope3_Equations.VEERG_15_10_1_1__1_OtherPurchasedGoodsAndServices(F435,G435*10^-3)</f>
        <v>9.0700000000000003E-2</v>
      </c>
      <c r="I435" s="86">
        <v>5</v>
      </c>
      <c r="J435" s="255" cm="1">
        <f t="array" ref="J435">Scope3_Equations.VEERG_15_10_1_1__1_OtherPurchasedGoodsAndServices(F435,IF(I435,I435,G435)*10^-3)</f>
        <v>0.5</v>
      </c>
      <c r="K435" s="44"/>
      <c r="L435" s="23"/>
      <c r="M435" s="44"/>
    </row>
    <row r="436" spans="4:13" x14ac:dyDescent="0.25">
      <c r="D436" s="25">
        <v>0</v>
      </c>
      <c r="E436" s="25">
        <v>0</v>
      </c>
      <c r="F436" s="25">
        <v>0</v>
      </c>
      <c r="G436" s="25" cm="1">
        <f t="array" ref="G436">Common_InputFunctions.Utility_LookupValueInTableNumber(E436,Table_SourceData_Scope3_ChemicalsCleaning[Product],Table_SourceData_Scope3_ChemicalsCleaning[AusLCI Emissions intensity])</f>
        <v>0</v>
      </c>
      <c r="H436" s="255" cm="1">
        <f t="array" ref="H436">Scope3_Equations.VEERG_15_10_1_1__1_OtherPurchasedGoodsAndServices(F436,G436*10^-3)</f>
        <v>0</v>
      </c>
      <c r="I436" s="86"/>
      <c r="J436" s="255" cm="1">
        <f t="array" ref="J436">Scope3_Equations.VEERG_15_10_1_1__1_OtherPurchasedGoodsAndServices(F436,IF(I436,I436,G436)*10^-3)</f>
        <v>0</v>
      </c>
      <c r="K436" s="44"/>
      <c r="L436" s="23"/>
      <c r="M436" s="44"/>
    </row>
    <row r="437" spans="4:13" x14ac:dyDescent="0.25">
      <c r="D437" s="25">
        <v>0</v>
      </c>
      <c r="E437" s="25">
        <v>0</v>
      </c>
      <c r="F437" s="25">
        <v>0</v>
      </c>
      <c r="G437" s="25" cm="1">
        <f t="array" ref="G437">Common_InputFunctions.Utility_LookupValueInTableNumber(E437,Table_SourceData_Scope3_ChemicalsCleaning[Product],Table_SourceData_Scope3_ChemicalsCleaning[AusLCI Emissions intensity])</f>
        <v>0</v>
      </c>
      <c r="H437" s="255" cm="1">
        <f t="array" ref="H437">Scope3_Equations.VEERG_15_10_1_1__1_OtherPurchasedGoodsAndServices(F437,G437*10^-3)</f>
        <v>0</v>
      </c>
      <c r="I437" s="86"/>
      <c r="J437" s="255" cm="1">
        <f t="array" ref="J437">Scope3_Equations.VEERG_15_10_1_1__1_OtherPurchasedGoodsAndServices(F437,IF(I437,I437,G437)*10^-3)</f>
        <v>0</v>
      </c>
      <c r="K437" s="44"/>
      <c r="L437" s="23"/>
      <c r="M437" s="44"/>
    </row>
    <row r="438" spans="4:13" x14ac:dyDescent="0.25">
      <c r="D438" s="25">
        <v>0</v>
      </c>
      <c r="E438" s="25">
        <v>0</v>
      </c>
      <c r="F438" s="25">
        <v>0</v>
      </c>
      <c r="G438" s="25" cm="1">
        <f t="array" ref="G438">Common_InputFunctions.Utility_LookupValueInTableNumber(E438,Table_SourceData_Scope3_ChemicalsCleaning[Product],Table_SourceData_Scope3_ChemicalsCleaning[AusLCI Emissions intensity])</f>
        <v>0</v>
      </c>
      <c r="H438" s="255" cm="1">
        <f t="array" ref="H438">Scope3_Equations.VEERG_15_10_1_1__1_OtherPurchasedGoodsAndServices(F438,G438*10^-3)</f>
        <v>0</v>
      </c>
      <c r="I438" s="86"/>
      <c r="J438" s="255" cm="1">
        <f t="array" ref="J438">Scope3_Equations.VEERG_15_10_1_1__1_OtherPurchasedGoodsAndServices(F438,IF(I438,I438,G438)*10^-3)</f>
        <v>0</v>
      </c>
      <c r="K438" s="44"/>
      <c r="L438" s="23"/>
      <c r="M438" s="44"/>
    </row>
    <row r="439" spans="4:13" x14ac:dyDescent="0.25">
      <c r="D439" s="25">
        <v>0</v>
      </c>
      <c r="E439" s="25">
        <v>0</v>
      </c>
      <c r="F439" s="25">
        <v>0</v>
      </c>
      <c r="G439" s="25" cm="1">
        <f t="array" ref="G439">Common_InputFunctions.Utility_LookupValueInTableNumber(E439,Table_SourceData_Scope3_ChemicalsCleaning[Product],Table_SourceData_Scope3_ChemicalsCleaning[AusLCI Emissions intensity])</f>
        <v>0</v>
      </c>
      <c r="H439" s="255" cm="1">
        <f t="array" ref="H439">Scope3_Equations.VEERG_15_10_1_1__1_OtherPurchasedGoodsAndServices(F439,G439*10^-3)</f>
        <v>0</v>
      </c>
      <c r="I439" s="86"/>
      <c r="J439" s="255" cm="1">
        <f t="array" ref="J439">Scope3_Equations.VEERG_15_10_1_1__1_OtherPurchasedGoodsAndServices(F439,IF(I439,I439,G439)*10^-3)</f>
        <v>0</v>
      </c>
      <c r="K439" s="44"/>
      <c r="L439" s="23"/>
      <c r="M439" s="44"/>
    </row>
    <row r="441" spans="4:13" ht="20.25" x14ac:dyDescent="0.25">
      <c r="D441" s="256" t="s">
        <v>824</v>
      </c>
      <c r="E441" s="150">
        <f>SUM(H430:H439)</f>
        <v>0.50509999999999999</v>
      </c>
      <c r="F441" s="151" t="str">
        <f>$E$155</f>
        <v>t CO2e</v>
      </c>
    </row>
    <row r="442" spans="4:13" ht="20.25" x14ac:dyDescent="0.25">
      <c r="D442" s="256" t="s">
        <v>827</v>
      </c>
      <c r="E442" s="150">
        <f>SUM(J430:J439)</f>
        <v>2.73</v>
      </c>
      <c r="F442" s="151" t="str">
        <f>$E$155</f>
        <v>t CO2e</v>
      </c>
    </row>
    <row r="445" spans="4:13" ht="18.75" x14ac:dyDescent="0.25">
      <c r="D445" s="239" t="s">
        <v>919</v>
      </c>
    </row>
    <row r="447" spans="4:13" x14ac:dyDescent="0.25">
      <c r="D447" s="92" t="s">
        <v>818</v>
      </c>
      <c r="E447" s="254" t="s">
        <v>917</v>
      </c>
      <c r="F447" s="254" t="s">
        <v>725</v>
      </c>
      <c r="G447" s="145" t="s">
        <v>920</v>
      </c>
      <c r="H447" s="145" t="s">
        <v>824</v>
      </c>
      <c r="I447" s="92" t="s">
        <v>921</v>
      </c>
      <c r="J447" s="145" t="s">
        <v>827</v>
      </c>
      <c r="K447" s="92" t="s">
        <v>828</v>
      </c>
      <c r="L447" s="92" t="s">
        <v>829</v>
      </c>
      <c r="M447" s="92" t="s">
        <v>830</v>
      </c>
    </row>
    <row r="448" spans="4:13" x14ac:dyDescent="0.25">
      <c r="D448" s="25" t="str" cm="1">
        <f t="array" ref="D448:D457">IFERROR(INDEX(Table_Input_ChemicalsPharmacy[Product name], _xlfn.SEQUENCE(10)), "")</f>
        <v>Cow bug off</v>
      </c>
      <c r="E448" s="25" t="str" cm="1">
        <f t="array" ref="E448:E457">IFERROR(INDEX(Table_Input_ChemicalsPharmacy[Type (select)], _xlfn.SEQUENCE(10)), "")</f>
        <v>Parasite control for cattle (external), dipping</v>
      </c>
      <c r="F448" s="25" cm="1">
        <f t="array" ref="F448:F457">IFERROR(INDEX(Table_Input_ChemicalsCleaning[Quantity purchased (kg)], _xlfn.SEQUENCE(10)), "")</f>
        <v>100</v>
      </c>
      <c r="G448" s="25" cm="1">
        <f t="array" ref="G448">Common_InputFunctions.Utility_LookupValueInTableNumber(E448,Table_SourceData_Scope3_ChemicalsPharmacy[Product],Table_SourceData_Scope3_ChemicalsPharmacy[AusLCI Emissions intensity])</f>
        <v>5.4699999999999999E-2</v>
      </c>
      <c r="H448" s="255" cm="1">
        <f t="array" ref="H448">Scope3_Equations.VEERG_15_10_1_1__1_OtherPurchasedGoodsAndServices(F448,G448*10^-3)</f>
        <v>5.47E-3</v>
      </c>
      <c r="I448" s="86">
        <v>0.05</v>
      </c>
      <c r="J448" s="255" cm="1">
        <f t="array" ref="J448">Scope3_Equations.VEERG_15_10_1_1__1_OtherPurchasedGoodsAndServices(F448,IF(I448,I448,G448)*10^-3)</f>
        <v>5.0000000000000001E-3</v>
      </c>
      <c r="K448" s="44"/>
      <c r="L448" s="23"/>
      <c r="M448" s="44"/>
    </row>
    <row r="449" spans="4:13" x14ac:dyDescent="0.25">
      <c r="D449" s="25" t="str">
        <v>Cow worm-away</v>
      </c>
      <c r="E449" s="25" t="str">
        <v>Parasite control for cattle (internal)</v>
      </c>
      <c r="F449" s="25">
        <v>100</v>
      </c>
      <c r="G449" s="25" cm="1">
        <f t="array" ref="G449">Common_InputFunctions.Utility_LookupValueInTableNumber(E449,Table_SourceData_Scope3_ChemicalsPharmacy[Product],Table_SourceData_Scope3_ChemicalsPharmacy[AusLCI Emissions intensity])</f>
        <v>1.4200000000000001E-2</v>
      </c>
      <c r="H449" s="255" cm="1">
        <f t="array" ref="H449">Scope3_Equations.VEERG_15_10_1_1__1_OtherPurchasedGoodsAndServices(F449,G449*10^-3)</f>
        <v>1.42E-3</v>
      </c>
      <c r="I449" s="86">
        <v>0.01</v>
      </c>
      <c r="J449" s="255" cm="1">
        <f t="array" ref="J449">Scope3_Equations.VEERG_15_10_1_1__1_OtherPurchasedGoodsAndServices(F449,IF(I449,I449,G449)*10^-3)</f>
        <v>1E-3</v>
      </c>
      <c r="K449" s="44"/>
      <c r="L449" s="23"/>
      <c r="M449" s="44"/>
    </row>
    <row r="450" spans="4:13" x14ac:dyDescent="0.25">
      <c r="D450" s="25" t="str">
        <v>Sheep bug off</v>
      </c>
      <c r="E450" s="25" t="str">
        <v>Parasite control for sheep (external)</v>
      </c>
      <c r="F450" s="25">
        <v>100</v>
      </c>
      <c r="G450" s="25" cm="1">
        <f t="array" ref="G450">Common_InputFunctions.Utility_LookupValueInTableNumber(E450,Table_SourceData_Scope3_ChemicalsPharmacy[Product],Table_SourceData_Scope3_ChemicalsPharmacy[AusLCI Emissions intensity])</f>
        <v>1.43E-2</v>
      </c>
      <c r="H450" s="255" cm="1">
        <f t="array" ref="H450">Scope3_Equations.VEERG_15_10_1_1__1_OtherPurchasedGoodsAndServices(F450,G450*10^-3)</f>
        <v>1.4300000000000001E-3</v>
      </c>
      <c r="I450" s="86">
        <v>0.01</v>
      </c>
      <c r="J450" s="255" cm="1">
        <f t="array" ref="J450">Scope3_Equations.VEERG_15_10_1_1__1_OtherPurchasedGoodsAndServices(F450,IF(I450,I450,G450)*10^-3)</f>
        <v>1E-3</v>
      </c>
      <c r="K450" s="44"/>
      <c r="L450" s="23"/>
      <c r="M450" s="44"/>
    </row>
    <row r="451" spans="4:13" x14ac:dyDescent="0.25">
      <c r="D451" s="25" t="str">
        <v>Sheep worm-away</v>
      </c>
      <c r="E451" s="25" t="str">
        <v>Parasite control for sheep (internal)</v>
      </c>
      <c r="F451" s="25">
        <v>100</v>
      </c>
      <c r="G451" s="25" cm="1">
        <f t="array" ref="G451">Common_InputFunctions.Utility_LookupValueInTableNumber(E451,Table_SourceData_Scope3_ChemicalsPharmacy[Product],Table_SourceData_Scope3_ChemicalsPharmacy[AusLCI Emissions intensity])</f>
        <v>4.2599999999999999E-3</v>
      </c>
      <c r="H451" s="255" cm="1">
        <f t="array" ref="H451">Scope3_Equations.VEERG_15_10_1_1__1_OtherPurchasedGoodsAndServices(F451,G451*10^-3)</f>
        <v>4.26E-4</v>
      </c>
      <c r="I451" s="86">
        <v>4.0000000000000001E-3</v>
      </c>
      <c r="J451" s="255" cm="1">
        <f t="array" ref="J451">Scope3_Equations.VEERG_15_10_1_1__1_OtherPurchasedGoodsAndServices(F451,IF(I451,I451,G451)*10^-3)</f>
        <v>3.9999999999999996E-4</v>
      </c>
      <c r="K451" s="44"/>
      <c r="L451" s="23"/>
      <c r="M451" s="44"/>
    </row>
    <row r="452" spans="4:13" x14ac:dyDescent="0.25">
      <c r="D452" s="25" t="str">
        <v>Cow bug off</v>
      </c>
      <c r="E452" s="25" t="str">
        <v>Parasite control for cattle (external), dipping</v>
      </c>
      <c r="F452" s="25">
        <v>100</v>
      </c>
      <c r="G452" s="25" cm="1">
        <f t="array" ref="G452">Common_InputFunctions.Utility_LookupValueInTableNumber(E452,Table_SourceData_Scope3_ChemicalsPharmacy[Product],Table_SourceData_Scope3_ChemicalsPharmacy[AusLCI Emissions intensity])</f>
        <v>5.4699999999999999E-2</v>
      </c>
      <c r="H452" s="255" cm="1">
        <f t="array" ref="H452">Scope3_Equations.VEERG_15_10_1_1__1_OtherPurchasedGoodsAndServices(F452,G452*10^-3)</f>
        <v>5.47E-3</v>
      </c>
      <c r="I452" s="86">
        <v>0.05</v>
      </c>
      <c r="J452" s="255" cm="1">
        <f t="array" ref="J452">Scope3_Equations.VEERG_15_10_1_1__1_OtherPurchasedGoodsAndServices(F452,IF(I452,I452,G452)*10^-3)</f>
        <v>5.0000000000000001E-3</v>
      </c>
      <c r="K452" s="44"/>
      <c r="L452" s="23"/>
      <c r="M452" s="44"/>
    </row>
    <row r="453" spans="4:13" x14ac:dyDescent="0.25">
      <c r="D453" s="25" t="str">
        <v>Cow worm-away</v>
      </c>
      <c r="E453" s="25" t="str">
        <v>Parasite control for cattle (internal)</v>
      </c>
      <c r="F453" s="25">
        <v>100</v>
      </c>
      <c r="G453" s="25" cm="1">
        <f t="array" ref="G453">Common_InputFunctions.Utility_LookupValueInTableNumber(E453,Table_SourceData_Scope3_ChemicalsPharmacy[Product],Table_SourceData_Scope3_ChemicalsPharmacy[AusLCI Emissions intensity])</f>
        <v>1.4200000000000001E-2</v>
      </c>
      <c r="H453" s="255" cm="1">
        <f t="array" ref="H453">Scope3_Equations.VEERG_15_10_1_1__1_OtherPurchasedGoodsAndServices(F453,G453*10^-3)</f>
        <v>1.42E-3</v>
      </c>
      <c r="I453" s="86">
        <v>0.01</v>
      </c>
      <c r="J453" s="255" cm="1">
        <f t="array" ref="J453">Scope3_Equations.VEERG_15_10_1_1__1_OtherPurchasedGoodsAndServices(F453,IF(I453,I453,G453)*10^-3)</f>
        <v>1E-3</v>
      </c>
      <c r="K453" s="44"/>
      <c r="L453" s="23"/>
      <c r="M453" s="44"/>
    </row>
    <row r="454" spans="4:13" x14ac:dyDescent="0.25">
      <c r="D454" s="25">
        <v>0</v>
      </c>
      <c r="E454" s="25">
        <v>0</v>
      </c>
      <c r="F454" s="25">
        <v>0</v>
      </c>
      <c r="G454" s="25" cm="1">
        <f t="array" ref="G454">Common_InputFunctions.Utility_LookupValueInTableNumber(E454,Table_SourceData_Scope3_ChemicalsPharmacy[Product],Table_SourceData_Scope3_ChemicalsPharmacy[AusLCI Emissions intensity])</f>
        <v>0</v>
      </c>
      <c r="H454" s="255" cm="1">
        <f t="array" ref="H454">Scope3_Equations.VEERG_15_10_1_1__1_OtherPurchasedGoodsAndServices(F454,G454*10^-3)</f>
        <v>0</v>
      </c>
      <c r="I454" s="86"/>
      <c r="J454" s="255" cm="1">
        <f t="array" ref="J454">Scope3_Equations.VEERG_15_10_1_1__1_OtherPurchasedGoodsAndServices(F454,IF(I454,I454,G454)*10^-3)</f>
        <v>0</v>
      </c>
      <c r="K454" s="44"/>
      <c r="L454" s="23"/>
      <c r="M454" s="44"/>
    </row>
    <row r="455" spans="4:13" x14ac:dyDescent="0.25">
      <c r="D455" s="25">
        <v>0</v>
      </c>
      <c r="E455" s="25">
        <v>0</v>
      </c>
      <c r="F455" s="25">
        <v>0</v>
      </c>
      <c r="G455" s="25" cm="1">
        <f t="array" ref="G455">Common_InputFunctions.Utility_LookupValueInTableNumber(E455,Table_SourceData_Scope3_ChemicalsPharmacy[Product],Table_SourceData_Scope3_ChemicalsPharmacy[AusLCI Emissions intensity])</f>
        <v>0</v>
      </c>
      <c r="H455" s="255" cm="1">
        <f t="array" ref="H455">Scope3_Equations.VEERG_15_10_1_1__1_OtherPurchasedGoodsAndServices(F455,G455*10^-3)</f>
        <v>0</v>
      </c>
      <c r="I455" s="86"/>
      <c r="J455" s="255" cm="1">
        <f t="array" ref="J455">Scope3_Equations.VEERG_15_10_1_1__1_OtherPurchasedGoodsAndServices(F455,IF(I455,I455,G455)*10^-3)</f>
        <v>0</v>
      </c>
      <c r="K455" s="44"/>
      <c r="L455" s="23"/>
      <c r="M455" s="44"/>
    </row>
    <row r="456" spans="4:13" x14ac:dyDescent="0.25">
      <c r="D456" s="25">
        <v>0</v>
      </c>
      <c r="E456" s="25">
        <v>0</v>
      </c>
      <c r="F456" s="25">
        <v>0</v>
      </c>
      <c r="G456" s="25" cm="1">
        <f t="array" ref="G456">Common_InputFunctions.Utility_LookupValueInTableNumber(E456,Table_SourceData_Scope3_ChemicalsPharmacy[Product],Table_SourceData_Scope3_ChemicalsPharmacy[AusLCI Emissions intensity])</f>
        <v>0</v>
      </c>
      <c r="H456" s="255" cm="1">
        <f t="array" ref="H456">Scope3_Equations.VEERG_15_10_1_1__1_OtherPurchasedGoodsAndServices(F456,G456*10^-3)</f>
        <v>0</v>
      </c>
      <c r="I456" s="86"/>
      <c r="J456" s="255" cm="1">
        <f t="array" ref="J456">Scope3_Equations.VEERG_15_10_1_1__1_OtherPurchasedGoodsAndServices(F456,IF(I456,I456,G456)*10^-3)</f>
        <v>0</v>
      </c>
      <c r="K456" s="44"/>
      <c r="L456" s="23"/>
      <c r="M456" s="44"/>
    </row>
    <row r="457" spans="4:13" x14ac:dyDescent="0.25">
      <c r="D457" s="25">
        <v>0</v>
      </c>
      <c r="E457" s="25">
        <v>0</v>
      </c>
      <c r="F457" s="25">
        <v>0</v>
      </c>
      <c r="G457" s="25" cm="1">
        <f t="array" ref="G457">Common_InputFunctions.Utility_LookupValueInTableNumber(E457,Table_SourceData_Scope3_ChemicalsPharmacy[Product],Table_SourceData_Scope3_ChemicalsPharmacy[AusLCI Emissions intensity])</f>
        <v>0</v>
      </c>
      <c r="H457" s="255" cm="1">
        <f t="array" ref="H457">Scope3_Equations.VEERG_15_10_1_1__1_OtherPurchasedGoodsAndServices(F457,G457*10^-3)</f>
        <v>0</v>
      </c>
      <c r="I457" s="86"/>
      <c r="J457" s="255" cm="1">
        <f t="array" ref="J457">Scope3_Equations.VEERG_15_10_1_1__1_OtherPurchasedGoodsAndServices(F457,IF(I457,I457,G457)*10^-3)</f>
        <v>0</v>
      </c>
      <c r="K457" s="44"/>
      <c r="L457" s="23"/>
      <c r="M457" s="44"/>
    </row>
    <row r="459" spans="4:13" ht="20.25" x14ac:dyDescent="0.25">
      <c r="D459" s="256" t="s">
        <v>824</v>
      </c>
      <c r="E459" s="150">
        <f>SUM(H448:H457)</f>
        <v>1.5636000000000001E-2</v>
      </c>
      <c r="F459" s="151" t="str">
        <f>$E$155</f>
        <v>t CO2e</v>
      </c>
    </row>
    <row r="460" spans="4:13" ht="20.25" x14ac:dyDescent="0.25">
      <c r="D460" s="256" t="s">
        <v>827</v>
      </c>
      <c r="E460" s="150">
        <f>SUM(J448:J457)</f>
        <v>1.3400000000000002E-2</v>
      </c>
      <c r="F460" s="151" t="str">
        <f>$E$155</f>
        <v>t CO2e</v>
      </c>
    </row>
    <row r="463" spans="4:13" ht="18.75" x14ac:dyDescent="0.25">
      <c r="D463" s="239" t="s">
        <v>787</v>
      </c>
    </row>
    <row r="465" spans="4:12" x14ac:dyDescent="0.25">
      <c r="D465" s="92" t="s">
        <v>383</v>
      </c>
      <c r="E465" s="92" t="s">
        <v>922</v>
      </c>
      <c r="F465" s="145" t="s">
        <v>920</v>
      </c>
      <c r="G465" s="145" t="s">
        <v>824</v>
      </c>
      <c r="H465" s="92" t="s">
        <v>921</v>
      </c>
      <c r="I465" s="145" t="s">
        <v>827</v>
      </c>
      <c r="J465" s="92" t="s">
        <v>828</v>
      </c>
      <c r="K465" s="92" t="s">
        <v>829</v>
      </c>
      <c r="L465" s="92" t="s">
        <v>830</v>
      </c>
    </row>
    <row r="466" spans="4:12" x14ac:dyDescent="0.25">
      <c r="D466" s="25" t="str">
        <f>'Input - Farm Inputs'!D121</f>
        <v>Barley grain (for seed)</v>
      </c>
      <c r="E466" s="25">
        <f>X_Cell_FarmInputs_Seed_BarleyGrain</f>
        <v>500</v>
      </c>
      <c r="F466" s="25" cm="1">
        <f t="array" ref="F466">Common_InputFunctions.Utility_LookupValueInTableNumber(D466,Table_SourceData_Scope3_Other[Product],Table_SourceData_Scope3_Other[AusLCI Emissions intensity])</f>
        <v>0.23899999999999999</v>
      </c>
      <c r="G466" s="255" cm="1">
        <f t="array" ref="G466">Scope3_Equations.VEERG_15_10_1_1__1_OtherPurchasedGoodsAndServices(E466,F466*10^-3)</f>
        <v>0.1195</v>
      </c>
      <c r="H466" s="86">
        <v>0.2</v>
      </c>
      <c r="I466" s="255" cm="1">
        <f t="array" ref="I466">Scope3_Equations.VEERG_15_10_1_1__1_OtherPurchasedGoodsAndServices(E466,IF(H466,H466,F466)*10^-3)</f>
        <v>0.1</v>
      </c>
      <c r="J466" s="44"/>
      <c r="K466" s="23"/>
      <c r="L466" s="44"/>
    </row>
    <row r="467" spans="4:12" x14ac:dyDescent="0.25">
      <c r="D467" s="25" t="str">
        <f>'Input - Farm Inputs'!D122</f>
        <v>Maize grain (for seed)</v>
      </c>
      <c r="E467" s="25">
        <f>X_Cell_FarmInputs_Seed_MaizeGrain</f>
        <v>600</v>
      </c>
      <c r="F467" s="25" cm="1">
        <f t="array" ref="F467">Common_InputFunctions.Utility_LookupValueInTableNumber(D467,Table_SourceData_Scope3_Other[Product],Table_SourceData_Scope3_Other[AusLCI Emissions intensity])</f>
        <v>0.18099999999999999</v>
      </c>
      <c r="G467" s="255" cm="1">
        <f t="array" ref="G467">Scope3_Equations.VEERG_15_10_1_1__1_OtherPurchasedGoodsAndServices(E467,F467*10^-3)</f>
        <v>0.1086</v>
      </c>
      <c r="H467" s="86"/>
      <c r="I467" s="255" cm="1">
        <f t="array" ref="I467">Scope3_Equations.VEERG_15_10_1_1__1_OtherPurchasedGoodsAndServices(E467,IF(H467,H467,F467)*10^-3)</f>
        <v>0.1086</v>
      </c>
      <c r="J467" s="44"/>
      <c r="K467" s="23"/>
      <c r="L467" s="44"/>
    </row>
    <row r="468" spans="4:12" x14ac:dyDescent="0.25">
      <c r="D468" s="25" t="str">
        <f>'Input - Farm Inputs'!D123</f>
        <v>Oat grain (for seed)</v>
      </c>
      <c r="E468" s="25">
        <f>X_Cell_FarmInputs_Seed_OatGrain</f>
        <v>700</v>
      </c>
      <c r="F468" s="25" cm="1">
        <f t="array" ref="F468">Common_InputFunctions.Utility_LookupValueInTableNumber(D468,Table_SourceData_Scope3_Other[Product],Table_SourceData_Scope3_Other[AusLCI Emissions intensity])</f>
        <v>0.27</v>
      </c>
      <c r="G468" s="255" cm="1">
        <f t="array" ref="G468">Scope3_Equations.VEERG_15_10_1_1__1_OtherPurchasedGoodsAndServices(E468,F468*10^-3)</f>
        <v>0.189</v>
      </c>
      <c r="H468" s="86">
        <v>0.2</v>
      </c>
      <c r="I468" s="255" cm="1">
        <f t="array" ref="I468">Scope3_Equations.VEERG_15_10_1_1__1_OtherPurchasedGoodsAndServices(E468,IF(H468,H468,F468)*10^-3)</f>
        <v>0.14000000000000001</v>
      </c>
      <c r="J468" s="44"/>
      <c r="K468" s="23"/>
      <c r="L468" s="44"/>
    </row>
    <row r="469" spans="4:12" x14ac:dyDescent="0.25">
      <c r="D469" s="25" t="str">
        <f>'Input - Farm Inputs'!D124</f>
        <v>Sorghum grain (for seed)</v>
      </c>
      <c r="E469" s="25">
        <f>X_Cell_FarmInputs_Seed_SorghumGrain</f>
        <v>800</v>
      </c>
      <c r="F469" s="25" cm="1">
        <f t="array" ref="F469">Common_InputFunctions.Utility_LookupValueInTableNumber(D469,Table_SourceData_Scope3_Other[Product],Table_SourceData_Scope3_Other[AusLCI Emissions intensity])</f>
        <v>0.23200000000000001</v>
      </c>
      <c r="G469" s="255" cm="1">
        <f t="array" ref="G469">Scope3_Equations.VEERG_15_10_1_1__1_OtherPurchasedGoodsAndServices(E469,F469*10^-3)</f>
        <v>0.18560000000000001</v>
      </c>
      <c r="H469" s="86"/>
      <c r="I469" s="255" cm="1">
        <f t="array" ref="I469">Scope3_Equations.VEERG_15_10_1_1__1_OtherPurchasedGoodsAndServices(E469,IF(H469,H469,F469)*10^-3)</f>
        <v>0.18560000000000001</v>
      </c>
      <c r="J469" s="44"/>
      <c r="K469" s="23"/>
      <c r="L469" s="44"/>
    </row>
    <row r="470" spans="4:12" x14ac:dyDescent="0.25">
      <c r="D470" s="25" t="str">
        <f>'Input - Farm Inputs'!D125</f>
        <v>Wheat grain (for seed)</v>
      </c>
      <c r="E470" s="25">
        <f>X_Cell_FarmInputs_Seed_WheatGrain</f>
        <v>900</v>
      </c>
      <c r="F470" s="25" cm="1">
        <f t="array" ref="F470">Common_InputFunctions.Utility_LookupValueInTableNumber(D470,Table_SourceData_Scope3_Other[Product],Table_SourceData_Scope3_Other[AusLCI Emissions intensity])</f>
        <v>0.26800000000000002</v>
      </c>
      <c r="G470" s="255" cm="1">
        <f t="array" ref="G470">Scope3_Equations.VEERG_15_10_1_1__1_OtherPurchasedGoodsAndServices(E470,F470*10^-3)</f>
        <v>0.2412</v>
      </c>
      <c r="H470" s="86">
        <v>0.2</v>
      </c>
      <c r="I470" s="255" cm="1">
        <f t="array" ref="I470">Scope3_Equations.VEERG_15_10_1_1__1_OtherPurchasedGoodsAndServices(E470,IF(H470,H470,F470)*10^-3)</f>
        <v>0.18000000000000002</v>
      </c>
      <c r="J470" s="44"/>
      <c r="K470" s="23"/>
      <c r="L470" s="44"/>
    </row>
    <row r="472" spans="4:12" ht="20.25" x14ac:dyDescent="0.25">
      <c r="D472" s="256" t="s">
        <v>824</v>
      </c>
      <c r="E472" s="150">
        <f>SUM(G466:G470)</f>
        <v>0.84389999999999998</v>
      </c>
      <c r="F472" s="151" t="str">
        <f>$E$155</f>
        <v>t CO2e</v>
      </c>
    </row>
    <row r="473" spans="4:12" ht="20.25" x14ac:dyDescent="0.25">
      <c r="D473" s="256" t="s">
        <v>827</v>
      </c>
      <c r="E473" s="150">
        <f>SUM(I466:I470)</f>
        <v>0.71420000000000006</v>
      </c>
      <c r="F473" s="151" t="str">
        <f>$E$155</f>
        <v>t CO2e</v>
      </c>
    </row>
    <row r="476" spans="4:12" ht="18.75" x14ac:dyDescent="0.25">
      <c r="D476" s="239" t="s">
        <v>923</v>
      </c>
    </row>
    <row r="478" spans="4:12" x14ac:dyDescent="0.25">
      <c r="D478" s="92" t="s">
        <v>383</v>
      </c>
      <c r="E478" s="92" t="s">
        <v>922</v>
      </c>
      <c r="F478" s="145" t="s">
        <v>920</v>
      </c>
      <c r="G478" s="145" t="s">
        <v>824</v>
      </c>
      <c r="H478" s="92" t="s">
        <v>921</v>
      </c>
      <c r="I478" s="145" t="s">
        <v>827</v>
      </c>
      <c r="J478" s="92" t="s">
        <v>828</v>
      </c>
      <c r="K478" s="92" t="s">
        <v>829</v>
      </c>
      <c r="L478" s="92" t="s">
        <v>830</v>
      </c>
    </row>
    <row r="479" spans="4:12" x14ac:dyDescent="0.25">
      <c r="D479" s="25" t="str">
        <f>'Input - Farm Inputs'!D128</f>
        <v>Animal ear tags (large)</v>
      </c>
      <c r="E479" s="25">
        <f>X_Cell_FarmInputs_Misc_AnimalEarTagsLarge</f>
        <v>100</v>
      </c>
      <c r="F479" s="25" cm="1">
        <f t="array" ref="F479">Common_InputFunctions.Utility_LookupValueInTableNumber(D479,Table_SourceData_Scope3_Other[Product],Table_SourceData_Scope3_Other[AusLCI Emissions intensity])</f>
        <v>4.24E-2</v>
      </c>
      <c r="G479" s="255" cm="1">
        <f t="array" ref="G479">Scope3_Equations.VEERG_15_10_1_1__1_OtherPurchasedGoodsAndServices(E479,F479*10^-3)</f>
        <v>4.2399999999999998E-3</v>
      </c>
      <c r="H479" s="86">
        <v>0.2</v>
      </c>
      <c r="I479" s="255" cm="1">
        <f t="array" ref="I479">Scope3_Equations.VEERG_15_10_1_1__1_OtherPurchasedGoodsAndServices(E479,IF(H479,H479,F479)*10^-3)</f>
        <v>0.02</v>
      </c>
      <c r="J479" s="44"/>
      <c r="K479" s="23"/>
      <c r="L479" s="44"/>
    </row>
    <row r="480" spans="4:12" x14ac:dyDescent="0.25">
      <c r="D480" s="25" t="str">
        <f>'Input - Farm Inputs'!D129</f>
        <v>Animal ear tags (small)</v>
      </c>
      <c r="E480" s="25">
        <f>X_Cell_FarmInputs_Misc_AnimalEarTagsSmall</f>
        <v>200</v>
      </c>
      <c r="F480" s="25" cm="1">
        <f t="array" ref="F480">Common_InputFunctions.Utility_LookupValueInTableNumber(D480,Table_SourceData_Scope3_Other[Product],Table_SourceData_Scope3_Other[AusLCI Emissions intensity])</f>
        <v>2.93E-2</v>
      </c>
      <c r="G480" s="255" cm="1">
        <f t="array" ref="G480">Scope3_Equations.VEERG_15_10_1_1__1_OtherPurchasedGoodsAndServices(E480,F480*10^-3)</f>
        <v>5.8599999999999998E-3</v>
      </c>
      <c r="H480" s="86"/>
      <c r="I480" s="255" cm="1">
        <f t="array" ref="I480">Scope3_Equations.VEERG_15_10_1_1__1_OtherPurchasedGoodsAndServices(E480,IF(H480,H480,F480)*10^-3)</f>
        <v>5.8599999999999998E-3</v>
      </c>
      <c r="J480" s="44"/>
      <c r="K480" s="23"/>
      <c r="L480" s="44"/>
    </row>
    <row r="481" spans="4:14" x14ac:dyDescent="0.25">
      <c r="D481" s="25" t="str">
        <f>'Input - Farm Inputs'!D130</f>
        <v>Nylon netting</v>
      </c>
      <c r="E481" s="25">
        <f>X_Cell_FarmInputs_Misc_NylonNetting</f>
        <v>300</v>
      </c>
      <c r="F481" s="25" cm="1">
        <f t="array" ref="F481">Common_InputFunctions.Utility_LookupValueInTableNumber(D481,Table_SourceData_Scope3_Other[Product],Table_SourceData_Scope3_Other[AusLCI Emissions intensity])</f>
        <v>9.81</v>
      </c>
      <c r="G481" s="255" cm="1">
        <f t="array" ref="G481">Scope3_Equations.VEERG_15_10_1_1__1_OtherPurchasedGoodsAndServices(E481,F481*10^-3)</f>
        <v>2.9430000000000005</v>
      </c>
      <c r="H481" s="86">
        <v>0.2</v>
      </c>
      <c r="I481" s="255" cm="1">
        <f t="array" ref="I481">Scope3_Equations.VEERG_15_10_1_1__1_OtherPurchasedGoodsAndServices(E481,IF(H481,H481,F481)*10^-3)</f>
        <v>6.0000000000000005E-2</v>
      </c>
      <c r="J481" s="44"/>
      <c r="K481" s="23"/>
      <c r="L481" s="44"/>
    </row>
    <row r="483" spans="4:14" ht="20.25" x14ac:dyDescent="0.25">
      <c r="D483" s="256" t="s">
        <v>824</v>
      </c>
      <c r="E483" s="150">
        <f>SUM(G479:G481)</f>
        <v>2.9531000000000005</v>
      </c>
      <c r="F483" s="151" t="str">
        <f>$E$155</f>
        <v>t CO2e</v>
      </c>
    </row>
    <row r="484" spans="4:14" ht="20.25" x14ac:dyDescent="0.25">
      <c r="D484" s="256" t="s">
        <v>827</v>
      </c>
      <c r="E484" s="150">
        <f>SUM(I479:I481)</f>
        <v>8.5860000000000006E-2</v>
      </c>
      <c r="F484" s="151" t="str">
        <f>$E$155</f>
        <v>t CO2e</v>
      </c>
    </row>
    <row r="487" spans="4:14" ht="18.75" x14ac:dyDescent="0.25">
      <c r="D487" s="239" t="s">
        <v>924</v>
      </c>
    </row>
    <row r="489" spans="4:14" x14ac:dyDescent="0.25">
      <c r="D489" s="92" t="s">
        <v>383</v>
      </c>
      <c r="E489" s="92" t="s">
        <v>543</v>
      </c>
      <c r="F489" s="92" t="s">
        <v>451</v>
      </c>
      <c r="G489" s="145" t="s">
        <v>906</v>
      </c>
      <c r="H489" s="145" t="s">
        <v>907</v>
      </c>
      <c r="I489" s="92" t="s">
        <v>908</v>
      </c>
      <c r="J489" s="92" t="s">
        <v>925</v>
      </c>
      <c r="K489" s="145" t="s">
        <v>909</v>
      </c>
      <c r="L489" s="92" t="s">
        <v>828</v>
      </c>
      <c r="M489" s="92" t="s">
        <v>829</v>
      </c>
      <c r="N489" s="92" t="s">
        <v>830</v>
      </c>
    </row>
    <row r="490" spans="4:14" x14ac:dyDescent="0.25">
      <c r="D490" s="25" t="str" cm="1">
        <f t="array" ref="D490:D499">IFERROR(INDEX(Table_Input_UncategorisedProductsServices[Product / service name], _xlfn.SEQUENCE(10)), "")</f>
        <v>Something</v>
      </c>
      <c r="E490" s="25" cm="1">
        <f t="array" ref="E490:E499">IFERROR(INDEX(Table_Input_UncategorisedProductsServices[Amount], _xlfn.SEQUENCE(10)), "")</f>
        <v>1000</v>
      </c>
      <c r="F490" s="25" t="str" cm="1">
        <f t="array" ref="F490:F499">IFERROR(INDEX(Table_Input_UncategorisedProductsServices[Amount unit], _xlfn.SEQUENCE(10)), "")</f>
        <v>kg</v>
      </c>
      <c r="G490" s="25" t="s">
        <v>911</v>
      </c>
      <c r="H490" s="25" t="s">
        <v>911</v>
      </c>
      <c r="I490" s="86">
        <v>4</v>
      </c>
      <c r="J490" s="23" t="s">
        <v>926</v>
      </c>
      <c r="K490" s="255" cm="1">
        <f t="array" ref="K490">Scope3_Equations.VEERG_15_10_1_1__1_OtherPurchasedGoodsAndServices(E490,IF(J490="kg / amount unit", I490*10^-3, I490))</f>
        <v>4000</v>
      </c>
      <c r="L490" s="44"/>
      <c r="M490" s="23"/>
      <c r="N490" s="44"/>
    </row>
    <row r="491" spans="4:14" x14ac:dyDescent="0.25">
      <c r="D491" s="25">
        <v>0</v>
      </c>
      <c r="E491" s="25">
        <v>0</v>
      </c>
      <c r="F491" s="25">
        <v>0</v>
      </c>
      <c r="G491" s="25" t="s">
        <v>911</v>
      </c>
      <c r="H491" s="25" t="s">
        <v>911</v>
      </c>
      <c r="I491" s="86">
        <v>2</v>
      </c>
      <c r="J491" s="23" t="s">
        <v>926</v>
      </c>
      <c r="K491" s="255" cm="1">
        <f t="array" ref="K491">Scope3_Equations.VEERG_15_10_1_1__1_OtherPurchasedGoodsAndServices(E491,IF(J491="kg / amount unit", I491*10^-3, I491))</f>
        <v>0</v>
      </c>
      <c r="L491" s="44"/>
      <c r="M491" s="23"/>
      <c r="N491" s="44"/>
    </row>
    <row r="492" spans="4:14" x14ac:dyDescent="0.25">
      <c r="D492" s="25">
        <v>0</v>
      </c>
      <c r="E492" s="25">
        <v>0</v>
      </c>
      <c r="F492" s="25">
        <v>0</v>
      </c>
      <c r="G492" s="25" t="s">
        <v>911</v>
      </c>
      <c r="H492" s="25" t="s">
        <v>911</v>
      </c>
      <c r="I492" s="86"/>
      <c r="J492" s="23"/>
      <c r="K492" s="255" cm="1">
        <f t="array" ref="K492">Scope3_Equations.VEERG_15_10_1_1__1_OtherPurchasedGoodsAndServices(E492,IF(J492="kg / amount unit", I492*10^-3, I492))</f>
        <v>0</v>
      </c>
      <c r="L492" s="44"/>
      <c r="M492" s="23"/>
      <c r="N492" s="44"/>
    </row>
    <row r="493" spans="4:14" x14ac:dyDescent="0.25">
      <c r="D493" s="25">
        <v>0</v>
      </c>
      <c r="E493" s="25">
        <v>0</v>
      </c>
      <c r="F493" s="25">
        <v>0</v>
      </c>
      <c r="G493" s="25" t="s">
        <v>911</v>
      </c>
      <c r="H493" s="25" t="s">
        <v>911</v>
      </c>
      <c r="I493" s="86"/>
      <c r="J493" s="23"/>
      <c r="K493" s="255" cm="1">
        <f t="array" ref="K493">Scope3_Equations.VEERG_15_10_1_1__1_OtherPurchasedGoodsAndServices(E493,IF(J493="kg / amount unit", I493*10^-3, I493))</f>
        <v>0</v>
      </c>
      <c r="L493" s="44"/>
      <c r="M493" s="23"/>
      <c r="N493" s="44"/>
    </row>
    <row r="494" spans="4:14" x14ac:dyDescent="0.25">
      <c r="D494" s="25">
        <v>0</v>
      </c>
      <c r="E494" s="25">
        <v>0</v>
      </c>
      <c r="F494" s="25">
        <v>0</v>
      </c>
      <c r="G494" s="25" t="s">
        <v>911</v>
      </c>
      <c r="H494" s="25" t="s">
        <v>911</v>
      </c>
      <c r="I494" s="86"/>
      <c r="J494" s="23"/>
      <c r="K494" s="255" cm="1">
        <f t="array" ref="K494">Scope3_Equations.VEERG_15_10_1_1__1_OtherPurchasedGoodsAndServices(E494,IF(J494="kg / amount unit", I494*10^-3, I494))</f>
        <v>0</v>
      </c>
      <c r="L494" s="44"/>
      <c r="M494" s="23"/>
      <c r="N494" s="44"/>
    </row>
    <row r="495" spans="4:14" x14ac:dyDescent="0.25">
      <c r="D495" s="25">
        <v>0</v>
      </c>
      <c r="E495" s="25">
        <v>0</v>
      </c>
      <c r="F495" s="25">
        <v>0</v>
      </c>
      <c r="G495" s="25" t="s">
        <v>911</v>
      </c>
      <c r="H495" s="25" t="s">
        <v>911</v>
      </c>
      <c r="I495" s="86"/>
      <c r="J495" s="23"/>
      <c r="K495" s="255" cm="1">
        <f t="array" ref="K495">Scope3_Equations.VEERG_15_10_1_1__1_OtherPurchasedGoodsAndServices(E495,IF(J495="kg / amount unit", I495*10^-3, I495))</f>
        <v>0</v>
      </c>
      <c r="L495" s="44"/>
      <c r="M495" s="23"/>
      <c r="N495" s="44"/>
    </row>
    <row r="496" spans="4:14" x14ac:dyDescent="0.25">
      <c r="D496" s="25">
        <v>0</v>
      </c>
      <c r="E496" s="25">
        <v>0</v>
      </c>
      <c r="F496" s="25">
        <v>0</v>
      </c>
      <c r="G496" s="25" t="s">
        <v>911</v>
      </c>
      <c r="H496" s="25" t="s">
        <v>911</v>
      </c>
      <c r="I496" s="86"/>
      <c r="J496" s="23"/>
      <c r="K496" s="255" cm="1">
        <f t="array" ref="K496">Scope3_Equations.VEERG_15_10_1_1__1_OtherPurchasedGoodsAndServices(E496,IF(J496="kg / amount unit", I496*10^-3, I496))</f>
        <v>0</v>
      </c>
      <c r="L496" s="44"/>
      <c r="M496" s="23"/>
      <c r="N496" s="44"/>
    </row>
    <row r="497" spans="3:41" x14ac:dyDescent="0.25">
      <c r="D497" s="25">
        <v>0</v>
      </c>
      <c r="E497" s="25">
        <v>0</v>
      </c>
      <c r="F497" s="25">
        <v>0</v>
      </c>
      <c r="G497" s="25" t="s">
        <v>911</v>
      </c>
      <c r="H497" s="25" t="s">
        <v>911</v>
      </c>
      <c r="I497" s="86"/>
      <c r="J497" s="23"/>
      <c r="K497" s="255" cm="1">
        <f t="array" ref="K497">Scope3_Equations.VEERG_15_10_1_1__1_OtherPurchasedGoodsAndServices(E497,IF(J497="kg / amount unit", I497*10^-3, I497))</f>
        <v>0</v>
      </c>
      <c r="L497" s="44"/>
      <c r="M497" s="23"/>
      <c r="N497" s="44"/>
    </row>
    <row r="498" spans="3:41" x14ac:dyDescent="0.25">
      <c r="D498" s="25">
        <v>0</v>
      </c>
      <c r="E498" s="25">
        <v>0</v>
      </c>
      <c r="F498" s="25">
        <v>0</v>
      </c>
      <c r="G498" s="25" t="s">
        <v>911</v>
      </c>
      <c r="H498" s="25" t="s">
        <v>911</v>
      </c>
      <c r="I498" s="86"/>
      <c r="J498" s="23"/>
      <c r="K498" s="255" cm="1">
        <f t="array" ref="K498">Scope3_Equations.VEERG_15_10_1_1__1_OtherPurchasedGoodsAndServices(E498,IF(J498="kg / amount unit", I498*10^-3, I498))</f>
        <v>0</v>
      </c>
      <c r="L498" s="44"/>
      <c r="M498" s="23"/>
      <c r="N498" s="44"/>
    </row>
    <row r="499" spans="3:41" x14ac:dyDescent="0.25">
      <c r="D499" s="25">
        <v>0</v>
      </c>
      <c r="E499" s="25">
        <v>0</v>
      </c>
      <c r="F499" s="25">
        <v>0</v>
      </c>
      <c r="G499" s="25" t="s">
        <v>911</v>
      </c>
      <c r="H499" s="25" t="s">
        <v>911</v>
      </c>
      <c r="I499" s="86"/>
      <c r="J499" s="23"/>
      <c r="K499" s="255" cm="1">
        <f t="array" ref="K499">Scope3_Equations.VEERG_15_10_1_1__1_OtherPurchasedGoodsAndServices(E499,IF(J499="kg / amount unit", I499*10^-3, I499))</f>
        <v>0</v>
      </c>
      <c r="L499" s="44"/>
      <c r="M499" s="23"/>
      <c r="N499" s="44"/>
    </row>
    <row r="501" spans="3:41" ht="20.25" x14ac:dyDescent="0.25">
      <c r="D501" s="256" t="s">
        <v>824</v>
      </c>
      <c r="E501" s="150" t="s">
        <v>911</v>
      </c>
      <c r="F501" s="151" t="str">
        <f>$E$155</f>
        <v>t CO2e</v>
      </c>
    </row>
    <row r="502" spans="3:41" ht="20.25" x14ac:dyDescent="0.25">
      <c r="D502" s="256" t="s">
        <v>827</v>
      </c>
      <c r="E502" s="150">
        <f>SUM(K490:K499)</f>
        <v>4000</v>
      </c>
      <c r="F502" s="151" t="str">
        <f>$E$155</f>
        <v>t CO2e</v>
      </c>
    </row>
    <row r="505" spans="3:41" x14ac:dyDescent="0.25">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c r="AA505" s="146"/>
      <c r="AB505" s="146"/>
      <c r="AC505" s="146"/>
      <c r="AD505" s="146"/>
      <c r="AE505" s="146"/>
      <c r="AF505" s="146"/>
      <c r="AG505" s="146"/>
      <c r="AH505" s="146"/>
      <c r="AI505" s="146"/>
      <c r="AJ505" s="146"/>
      <c r="AK505" s="146"/>
      <c r="AL505" s="146"/>
      <c r="AM505" s="146"/>
      <c r="AN505" s="146"/>
      <c r="AO505" s="146"/>
    </row>
    <row r="506" spans="3:41" ht="23.25" x14ac:dyDescent="0.25">
      <c r="D506" s="2" t="str" cm="1">
        <f t="array" ref="D506">Scope3_Equations.VEERG_15_11_1_1__1_TotalUpstreamEmissionsFromFuel_Title()</f>
        <v>Total upstream emissions from scope 1 fuel consumption</v>
      </c>
    </row>
    <row r="507" spans="3:41" x14ac:dyDescent="0.25">
      <c r="D507" s="27" t="str" cm="1">
        <f t="array" ref="D507">Scope3_Equations.VEERG_15_11_1_1__1_TotalUpstreamEmissionsFromFuel_Source()</f>
        <v>VEERG 2026: 15.11.1.1, Equation (1)</v>
      </c>
    </row>
    <row r="508" spans="3:41" x14ac:dyDescent="0.25">
      <c r="D508" s="132" t="s">
        <v>267</v>
      </c>
      <c r="E508" s="132" t="str">
        <f ca="1">Common_InputFunctions.Utility_DisplayFunctionName(VEERG_15_11_1_1__1_TotalUpstreamEmissionsFromFuel_Result)</f>
        <v>=Scope3_Equations.VEERG_15_11_1_1__1_TotalUpstreamEmissionsFromFuel</v>
      </c>
    </row>
    <row r="512" spans="3:41" x14ac:dyDescent="0.25">
      <c r="D512" s="88" t="s">
        <v>268</v>
      </c>
      <c r="E512" s="1" t="str" cm="1">
        <f t="array" ref="E512">Scope3_Equations.VEERG_15_11_1_1__1_TotalUpstreamEmissionsFromFuel_Variable()</f>
        <v>E</v>
      </c>
    </row>
    <row r="513" spans="3:41" x14ac:dyDescent="0.25">
      <c r="D513" s="88" t="s">
        <v>121</v>
      </c>
      <c r="E513" s="15" t="str" cm="1">
        <f t="array" ref="E513">Scope3_Equations.VEERG_15_11_1_1__1_TotalUpstreamEmissionsFromFuel_Unit()</f>
        <v>t CO2e</v>
      </c>
    </row>
    <row r="515" spans="3:41" x14ac:dyDescent="0.25">
      <c r="D515" s="154" t="str" cm="1">
        <f t="array" ref="D515:E516">_xlfn.CHOOSECOLS(Scope3_Equations.VEERG_15_11_1_1__1_TotalUpstreamEmissionsFromFuel_Arguments(),1,2)</f>
        <v>E_WTTtransq</v>
      </c>
      <c r="E515" s="162" t="str">
        <v>upstream emissions from scope 1 transport fuel use</v>
      </c>
      <c r="F515" s="164"/>
      <c r="G515" s="154" t="str" cm="1">
        <f t="array" ref="G515:H516">_xlfn.CHOOSECOLS(Scope3_Equations.VEERG_15_11_1_1__1_TotalUpstreamEmissionsFromFuel_Arguments(),3,4)</f>
        <v>t CO2e</v>
      </c>
      <c r="H515" s="137" t="str">
        <v>Calculated by 15.11.1.1 (2)</v>
      </c>
      <c r="I515" s="154">
        <f>VEERG_8_1_1_1__1_FuelCombustionTransport_Result</f>
        <v>20.5016</v>
      </c>
    </row>
    <row r="516" spans="3:41" x14ac:dyDescent="0.25">
      <c r="D516" s="154" t="str">
        <v>E_WTTSCq</v>
      </c>
      <c r="E516" s="162" t="str">
        <v>upstream emissions from scope 1 stationary combustion fuel use</v>
      </c>
      <c r="F516" s="164"/>
      <c r="G516" s="154" t="str">
        <v>t CO2e</v>
      </c>
      <c r="H516" s="137" t="str">
        <v>Calculated by 15.11.1.1 (3)</v>
      </c>
      <c r="I516" s="154">
        <f>VEERG_8_2_1_1__1_FuelCombustionStationary_Result</f>
        <v>6.2923999999999998</v>
      </c>
    </row>
    <row r="518" spans="3:41" ht="20.25" x14ac:dyDescent="0.25">
      <c r="D518" s="256" t="s">
        <v>927</v>
      </c>
      <c r="E518" s="150" cm="1">
        <f t="array" ref="E518">Scope3_Equations.VEERG_15_11_1_1__1_TotalUpstreamEmissionsFromFuel(I515,I516)</f>
        <v>26.794</v>
      </c>
      <c r="F518" s="151" t="str">
        <f>$E$155</f>
        <v>t CO2e</v>
      </c>
    </row>
    <row r="520" spans="3:41" x14ac:dyDescent="0.25">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c r="AA520" s="146"/>
      <c r="AB520" s="146"/>
      <c r="AC520" s="146"/>
      <c r="AD520" s="146"/>
      <c r="AE520" s="146"/>
      <c r="AF520" s="146"/>
      <c r="AG520" s="146"/>
      <c r="AH520" s="146"/>
      <c r="AI520" s="146"/>
      <c r="AJ520" s="146"/>
      <c r="AK520" s="146"/>
      <c r="AL520" s="146"/>
      <c r="AM520" s="146"/>
      <c r="AN520" s="146"/>
      <c r="AO520" s="146"/>
    </row>
    <row r="521" spans="3:41" ht="23.25" x14ac:dyDescent="0.25">
      <c r="D521" s="2" t="str" cm="1">
        <f t="array" ref="D521">Scope3_Equations.VEERG_15_12_1_1__1_UpstreamPurchasedElectricityLocationBased_Title()</f>
        <v>Scope 3 emissions from purchased electricity location based</v>
      </c>
    </row>
    <row r="522" spans="3:41" x14ac:dyDescent="0.25">
      <c r="D522" s="27" t="str" cm="1">
        <f t="array" ref="D522">Scope3_Equations.VEERG_15_12_1_1__1_UpstreamPurchasedElectricityLocationBased_Source()</f>
        <v>VEERG 2026: 15.12.1.1, Equation (1)</v>
      </c>
    </row>
    <row r="523" spans="3:41" x14ac:dyDescent="0.25">
      <c r="D523" s="132" t="s">
        <v>267</v>
      </c>
      <c r="E523" s="132" t="str">
        <f ca="1">Common_InputFunctions.Utility_DisplayFunctionName(VEERG_15_12_1_1__1_UpstreamPurchasedElectricityLocationBased_Result)</f>
        <v>=Scope3_Equations.VEERG_15_12_1_1__1_UpstreamPurchasedElectricityLocationBased</v>
      </c>
    </row>
    <row r="526" spans="3:41" x14ac:dyDescent="0.25">
      <c r="D526" s="88" t="s">
        <v>268</v>
      </c>
      <c r="E526" s="1" t="str" cm="1">
        <f t="array" ref="E526">Scope3_Equations.VEERG_15_12_1_1__1_UpstreamPurchasedElectricityLocationBased_Variable()</f>
        <v>E_3elec</v>
      </c>
    </row>
    <row r="527" spans="3:41" x14ac:dyDescent="0.25">
      <c r="D527" s="88" t="s">
        <v>121</v>
      </c>
      <c r="E527" s="1" t="str" cm="1">
        <f t="array" ref="E527">Scope3_Equations.VEERG_15_12_1_1__1_UpstreamPurchasedElectricityLocationBased_Unit()</f>
        <v>t CO2e</v>
      </c>
    </row>
    <row r="529" spans="3:41" x14ac:dyDescent="0.25">
      <c r="D529" s="154" t="str" cm="1">
        <f t="array" ref="D529:E531">_xlfn.CHOOSECOLS(Scope3_Equations.VEERG_15_12_1_1__1_UpstreamPurchasedElectricityLocationBased_Arguments(),1,2)</f>
        <v>Q_elec</v>
      </c>
      <c r="E529" s="154" t="str">
        <v>amount of electricity purchased from the grid</v>
      </c>
      <c r="F529" s="154"/>
      <c r="G529" s="154" t="str" cm="1">
        <f t="array" ref="G529:H531">_xlfn.CHOOSECOLS(Scope3_Equations.VEERG_15_12_1_1__1_UpstreamPurchasedElectricityLocationBased_Arguments(),3,4)</f>
        <v>kWh</v>
      </c>
      <c r="H529" s="253" t="str">
        <v>Input</v>
      </c>
      <c r="I529" s="162">
        <f>X_Cell_Electricity_Location_AmountPurchasedInkWh</f>
        <v>30000</v>
      </c>
      <c r="J529" s="164"/>
    </row>
    <row r="530" spans="3:41" x14ac:dyDescent="0.25">
      <c r="D530" s="154" t="str">
        <v>EF_3elec</v>
      </c>
      <c r="E530" s="154" t="str">
        <v>scope 3 emission factor for purchased electricity</v>
      </c>
      <c r="F530" s="154"/>
      <c r="G530" s="154" t="str">
        <v>kg CO2e/kWh</v>
      </c>
      <c r="H530" s="137" t="str">
        <v>Constant</v>
      </c>
      <c r="I530" s="162" cm="1">
        <f t="array" ref="I530">Common_InputFunctions.Utility_LookupValueInTableNumber(I531,Table_SourceData_ElectricityEFs[State, Territory or grid description],Table_SourceData_ElectricityEFs[Scope 3 Emission Factors (kg CO2-e/kWh)])</f>
        <v>0.09</v>
      </c>
      <c r="J530" s="164"/>
    </row>
    <row r="531" spans="3:41" x14ac:dyDescent="0.25">
      <c r="D531" s="154" t="str">
        <v>g</v>
      </c>
      <c r="E531" s="162" t="str">
        <v>grid electricity was purchased from</v>
      </c>
      <c r="F531" s="164"/>
      <c r="G531" s="154" t="str">
        <v/>
      </c>
      <c r="H531" s="253" t="str">
        <v>Input</v>
      </c>
      <c r="I531" s="162" t="str">
        <f>X_Cell_Electricity_Location_GridElectricityPurchasedFrom</f>
        <v>Western Australia - North Western Interconnected System (NWIS)</v>
      </c>
      <c r="J531" s="164"/>
    </row>
    <row r="533" spans="3:41" ht="20.25" x14ac:dyDescent="0.25">
      <c r="D533" s="256" t="s">
        <v>928</v>
      </c>
      <c r="E533" s="150" cm="1">
        <f t="array" ref="E533">Scope3_Equations.VEERG_15_12_1_1__1_UpstreamPurchasedElectricityLocationBased(I529,I530)</f>
        <v>2.7</v>
      </c>
      <c r="F533" s="151" t="str">
        <f>$E$155</f>
        <v>t CO2e</v>
      </c>
    </row>
    <row r="536" spans="3:41" x14ac:dyDescent="0.25">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c r="AA536" s="146"/>
      <c r="AB536" s="146"/>
      <c r="AC536" s="146"/>
      <c r="AD536" s="146"/>
      <c r="AE536" s="146"/>
      <c r="AF536" s="146"/>
      <c r="AG536" s="146"/>
      <c r="AH536" s="146"/>
      <c r="AI536" s="146"/>
      <c r="AJ536" s="146"/>
      <c r="AK536" s="146"/>
      <c r="AL536" s="146"/>
      <c r="AM536" s="146"/>
      <c r="AN536" s="146"/>
      <c r="AO536" s="146"/>
    </row>
    <row r="537" spans="3:41" ht="23.25" x14ac:dyDescent="0.25">
      <c r="D537" s="2" t="str" cm="1">
        <f t="array" ref="D537">Scope3_Equations.VEERG_15_12_1_2__1_UpstreamPurchasedElectricityMarketBased_Title()</f>
        <v>Scope 3 emissions from purchased electricity market based</v>
      </c>
    </row>
    <row r="538" spans="3:41" x14ac:dyDescent="0.25">
      <c r="D538" s="27" t="str" cm="1">
        <f t="array" ref="D538">Scope3_Equations.VEERG_15_12_1_2__1_UpstreamPurchasedElectricityMarketBased_Source()</f>
        <v>VEERG 2026: 15.12.1.2, Equation (1)</v>
      </c>
    </row>
    <row r="539" spans="3:41" x14ac:dyDescent="0.25">
      <c r="D539" s="36"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32" t="s">
        <v>267</v>
      </c>
      <c r="E540" s="132" t="str">
        <f ca="1">Common_InputFunctions.Utility_DisplayFunctionName(VEERG_15_12_1_2__1_UpstreamPurchasedElectricityMarketBasedVariation_Result)</f>
        <v>=Scope3_Equations.VEERG_15_12_1_2__1_UpstreamPurchasedElectricityMarketBasedVariation</v>
      </c>
    </row>
    <row r="544" spans="3:41" x14ac:dyDescent="0.25">
      <c r="D544" s="88" t="s">
        <v>268</v>
      </c>
      <c r="E544" s="1" t="str" cm="1">
        <f t="array" ref="E544">Scope3_Equations.VEERG_15_12_1_2__1_UpstreamPurchasedElectricityMarketBased_Variable()</f>
        <v>E_3elec</v>
      </c>
    </row>
    <row r="545" spans="3:41" x14ac:dyDescent="0.25">
      <c r="D545" s="88" t="s">
        <v>121</v>
      </c>
      <c r="E545" s="1" t="str" cm="1">
        <f t="array" ref="E545">Scope3_Equations.VEERG_15_12_1_2__1_UpstreamPurchasedElectricityMarketBased_Unit()</f>
        <v>t CO2e</v>
      </c>
    </row>
    <row r="547" spans="3:41" x14ac:dyDescent="0.25">
      <c r="D547" s="154" t="str" cm="1">
        <f t="array" ref="D547:E553">_xlfn.CHOOSECOLS(Scope3_Equations.VEERG_15_12_1_2__1_UpstreamPurchasedElectricityMarketBased_Arguments(),1,2)</f>
        <v>Q_elec</v>
      </c>
      <c r="E547" s="162" t="str">
        <v>amount of electricity purchased from the grid</v>
      </c>
      <c r="F547" s="164"/>
      <c r="G547" s="154" t="str" cm="1">
        <f t="array" ref="G547:H553">_xlfn.CHOOSECOLS(Scope3_Equations.VEERG_15_12_1_2__1_UpstreamPurchasedElectricityMarketBased_Arguments(),3,4)</f>
        <v>kWh</v>
      </c>
      <c r="H547" s="253" t="str">
        <v>Input</v>
      </c>
      <c r="I547" s="257">
        <f>X_Cell_Electricity_Market_AmountPurchasedExcludingGreenPower</f>
        <v>30000</v>
      </c>
    </row>
    <row r="548" spans="3:41" x14ac:dyDescent="0.25">
      <c r="D548" s="154" t="str">
        <v>RPP</v>
      </c>
      <c r="E548" s="162" t="str">
        <v>renewable power percentage under LRET for the applicable period</v>
      </c>
      <c r="F548" s="164"/>
      <c r="G548" s="154" t="str">
        <v>fraction</v>
      </c>
      <c r="H548" s="253" t="str">
        <v>Input</v>
      </c>
      <c r="I548" s="180">
        <f>X_Cell_Electricity_Market_RenewablePowerPercentage</f>
        <v>0.1</v>
      </c>
    </row>
    <row r="549" spans="3:41" x14ac:dyDescent="0.25">
      <c r="D549" s="154" t="str">
        <v>JRPP</v>
      </c>
      <c r="E549" s="162" t="str">
        <v>jurisdictional renewable power percentage for the applicable period</v>
      </c>
      <c r="F549" s="164"/>
      <c r="G549" s="154" t="str">
        <v>fraction</v>
      </c>
      <c r="H549" s="253" t="str">
        <v>Input</v>
      </c>
      <c r="I549" s="180">
        <f>X_Cell_Electricity_Market_JurisdictionalRenewablePowerPercentage</f>
        <v>0.1</v>
      </c>
    </row>
    <row r="550" spans="3:41" x14ac:dyDescent="0.25">
      <c r="D550" s="154" t="str">
        <v>REC_surrendered</v>
      </c>
      <c r="E550" s="162" t="str">
        <v>eligible renewable energy certificates voluntarily surrendered</v>
      </c>
      <c r="F550" s="164"/>
      <c r="G550" s="154" t="str">
        <v>MWh</v>
      </c>
      <c r="H550" s="253" t="str">
        <v>Input</v>
      </c>
      <c r="I550" s="154">
        <f>(X_Cell_Electricity_Market_AmountPurchasedGreenPower*10^-3)+X_Cell_TotalElegibleVoluntarilySurrenderedRECs</f>
        <v>15</v>
      </c>
    </row>
    <row r="551" spans="3:41" x14ac:dyDescent="0.25">
      <c r="D551" s="154" t="str">
        <v>REC_onsite</v>
      </c>
      <c r="E551" s="162" t="str">
        <v>eligible renewable energy certificates issued for onsite generated electricity</v>
      </c>
      <c r="F551" s="164"/>
      <c r="G551" s="154" t="str">
        <v>MWh</v>
      </c>
      <c r="H551" s="253" t="str">
        <v>Input</v>
      </c>
      <c r="I551" s="154">
        <f>X_Cell_TotalElegibleRECsForElectricityProducedOnSite</f>
        <v>0</v>
      </c>
    </row>
    <row r="552" spans="3:41" x14ac:dyDescent="0.25">
      <c r="D552" s="154" t="str">
        <v>EF_RMF3elec</v>
      </c>
      <c r="E552" s="162" t="str">
        <v>scope 3 residual mix emission factor for electricity</v>
      </c>
      <c r="F552" s="164"/>
      <c r="G552" s="154" t="str">
        <v>kg CO2e/kWh</v>
      </c>
      <c r="H552" s="137" t="str">
        <v>Constant</v>
      </c>
      <c r="I552" s="154" cm="1">
        <f t="array" ref="I552">Table_SourceData_ElectricityEFsMarketBased[Scope 3 EF (kg CO2-e/kWh)]</f>
        <v>0.1</v>
      </c>
    </row>
    <row r="553" spans="3:41" x14ac:dyDescent="0.25">
      <c r="D553" s="154" t="str">
        <v>i</v>
      </c>
      <c r="E553" s="162" t="str">
        <v>state</v>
      </c>
      <c r="F553" s="164"/>
      <c r="G553" s="154" t="str">
        <v/>
      </c>
      <c r="H553" s="253" t="str">
        <v>Input</v>
      </c>
      <c r="I553" s="154" t="str">
        <f>X_Cell_Site_State</f>
        <v>Western Australia</v>
      </c>
    </row>
    <row r="555" spans="3:41" ht="20.25" x14ac:dyDescent="0.25">
      <c r="D555" s="256" t="s">
        <v>928</v>
      </c>
      <c r="E555" s="150" cm="1">
        <f t="array" ref="E555">Scope3_Equations.VEERG_15_12_1_2__1_UpstreamPurchasedElectricityMarketBasedVariation(I547,I548,I549,I550,I551,I552)</f>
        <v>0.9</v>
      </c>
      <c r="F555" s="151" t="str">
        <f>$E$155</f>
        <v>t CO2e</v>
      </c>
    </row>
    <row r="558" spans="3:41" x14ac:dyDescent="0.25">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c r="AA558" s="146"/>
      <c r="AB558" s="146"/>
      <c r="AC558" s="146"/>
      <c r="AD558" s="146"/>
      <c r="AE558" s="146"/>
      <c r="AF558" s="146"/>
      <c r="AG558" s="146"/>
      <c r="AH558" s="146"/>
      <c r="AI558" s="146"/>
      <c r="AJ558" s="146"/>
      <c r="AK558" s="146"/>
      <c r="AL558" s="146"/>
      <c r="AM558" s="146"/>
      <c r="AN558" s="146"/>
      <c r="AO558" s="146"/>
    </row>
    <row r="559" spans="3:41" ht="23.25" x14ac:dyDescent="0.25">
      <c r="D559" s="2" t="str" cm="1">
        <f t="array" ref="D559">Scope3_Equations.VEERG_15_13_1_1__1_EmissionsFromManureSentOffSite_Title()</f>
        <v>Emissions from manure sent off site applied to soils in another farming system or enterprise</v>
      </c>
    </row>
    <row r="560" spans="3:41" x14ac:dyDescent="0.25">
      <c r="D560" s="27" t="str" cm="1">
        <f t="array" ref="D560">Scope3_Equations.VEERG_15_13_1_1__1_EmissionsFromManureSentOffSite_Source()</f>
        <v>VEERG 2026: 15.13.1.1, Equation (1)</v>
      </c>
    </row>
    <row r="561" spans="4:18" x14ac:dyDescent="0.25">
      <c r="D561" s="132" t="s">
        <v>267</v>
      </c>
      <c r="E561" s="132" t="str" cm="1">
        <f t="array" aca="1" ref="E561" ca="1">Common_InputFunctions.Utility_DisplayFunctionName(E573)</f>
        <v>=Scope3_Equations.VEERG_15_13_1_1__1_EmissionsFromManureSentOffSite</v>
      </c>
    </row>
    <row r="564" spans="4:18" x14ac:dyDescent="0.25">
      <c r="D564" s="88" t="s">
        <v>268</v>
      </c>
      <c r="E564" s="1" t="str" cm="1">
        <f t="array" ref="E564">Scope3_Equations.VEERG_15_13_1_1__1_EmissionsFromManureSentOffSite_Variable()</f>
        <v>E</v>
      </c>
    </row>
    <row r="565" spans="4:18" x14ac:dyDescent="0.25">
      <c r="D565" s="88" t="s">
        <v>121</v>
      </c>
      <c r="E565" s="15" t="str" cm="1">
        <f t="array" ref="E565">Scope3_Equations.VEERG_15_13_1_1__1_EmissionsFromManureSentOffSite_Unit()</f>
        <v>t N2O</v>
      </c>
    </row>
    <row r="567" spans="4:18" x14ac:dyDescent="0.25">
      <c r="D567" s="35" t="s">
        <v>135</v>
      </c>
      <c r="L567" s="35" t="s">
        <v>136</v>
      </c>
    </row>
    <row r="569" spans="4:18" x14ac:dyDescent="0.25">
      <c r="D569" s="154" t="str" cm="1">
        <f t="array" ref="D569:E571">_xlfn.CHOOSECOLS(Scope3_Equations.VEERG_15_13_1_1__1_EmissionsFromManureSentOffSite_Arguments(),1,2)</f>
        <v>E_N2O</v>
      </c>
      <c r="E569" s="162" t="str">
        <v>direct nitrous oxide emissions from application of manure to soils outside of scope 1 boundary</v>
      </c>
      <c r="F569" s="163"/>
      <c r="G569" s="164"/>
      <c r="H569" s="154" t="str" cm="1">
        <f t="array" ref="H569:I571">_xlfn.CHOOSECOLS(Scope3_Equations.VEERG_15_13_1_1__1_EmissionsFromManureSentOffSite_Arguments(),3,4)</f>
        <v>t N2O</v>
      </c>
      <c r="I569" s="137" t="str">
        <v>Calculated</v>
      </c>
      <c r="J569" s="154">
        <f>VEERG_5_2_1_1__1_OrganicFertiliserApplicationN2OEmissions_Result_Method1</f>
        <v>7.8571428571428577E-3</v>
      </c>
      <c r="L569" s="154" t="str" cm="1">
        <f t="array" ref="L569:M571">_xlfn.CHOOSECOLS(Scope3_Equations.VEERG_15_13_1_1__1_EmissionsFromManureSentOffSite_Arguments(),1,2)</f>
        <v>E_N2O</v>
      </c>
      <c r="M569" s="162" t="str">
        <v>direct nitrous oxide emissions from application of manure to soils outside of scope 1 boundary</v>
      </c>
      <c r="N569" s="163"/>
      <c r="O569" s="164"/>
      <c r="P569" s="154" t="str" cm="1">
        <f t="array" ref="P569:Q571">_xlfn.CHOOSECOLS(Scope3_Equations.VEERG_15_13_1_1__1_EmissionsFromManureSentOffSite_Arguments(),3,4)</f>
        <v>t N2O</v>
      </c>
      <c r="Q569" s="137" t="str">
        <v>Calculated</v>
      </c>
      <c r="R569" s="154">
        <f>VEERG_5_2_1_1__1_OrganicFertiliserApplicationN2OEmissions_Result_Method2</f>
        <v>1.5714285714285715E-2</v>
      </c>
    </row>
    <row r="570" spans="4:18" x14ac:dyDescent="0.25">
      <c r="D570" s="154" t="str">
        <v>E_ad</v>
      </c>
      <c r="E570" s="162" t="str">
        <v>nitrous oxide emissions from atmospheric deposition of manure to soils</v>
      </c>
      <c r="F570" s="163"/>
      <c r="G570" s="164"/>
      <c r="H570" s="154" t="str">
        <v>t N2O</v>
      </c>
      <c r="I570" s="137" t="str">
        <v>Calculated</v>
      </c>
      <c r="J570" s="154">
        <f>VEERG_5_4_1_3__1_OrganicFertiliserAtmosphericDepositionN2OEmissions_Result_Method1</f>
        <v>2.31E-3</v>
      </c>
      <c r="L570" s="154" t="str">
        <v>E_ad</v>
      </c>
      <c r="M570" s="162" t="str">
        <v>nitrous oxide emissions from atmospheric deposition of manure to soils</v>
      </c>
      <c r="N570" s="163"/>
      <c r="O570" s="164"/>
      <c r="P570" s="154" t="str">
        <v>t N2O</v>
      </c>
      <c r="Q570" s="137" t="str">
        <v>Calculated</v>
      </c>
      <c r="R570" s="154">
        <f>VEERG_5_4_1_3__1_OrganicFertiliserAtmosphericDepositionN2OEmissions_Result_Method2</f>
        <v>4.62E-3</v>
      </c>
    </row>
    <row r="571" spans="4:18" x14ac:dyDescent="0.25">
      <c r="D571" s="154" t="str">
        <v>E_leach</v>
      </c>
      <c r="E571" s="162" t="str">
        <v>nitrous oxide emissions from nitrogen leaching and runoff of manure to soils</v>
      </c>
      <c r="F571" s="163"/>
      <c r="G571" s="164"/>
      <c r="H571" s="154" t="str">
        <v>t N2O</v>
      </c>
      <c r="I571" s="137" t="str">
        <v>Calculated</v>
      </c>
      <c r="J571" s="154">
        <f>VEERG_5_5_1_1__1_FertiliserLeachingAndRunoffN2OEmissions_Result_Method1</f>
        <v>4.1485714285714277E-3</v>
      </c>
      <c r="L571" s="154" t="str">
        <v>E_leach</v>
      </c>
      <c r="M571" s="162" t="str">
        <v>nitrous oxide emissions from nitrogen leaching and runoff of manure to soils</v>
      </c>
      <c r="N571" s="163"/>
      <c r="O571" s="164"/>
      <c r="P571" s="154" t="str">
        <v>t N2O</v>
      </c>
      <c r="Q571" s="137" t="str">
        <v>Calculated</v>
      </c>
      <c r="R571" s="154">
        <f>VEERG_5_5_1_1__1_FertiliserLeachingAndRunoffN2OEmissions_Result_Method2</f>
        <v>8.2971428571428554E-3</v>
      </c>
    </row>
    <row r="573" spans="4:18" ht="20.25" x14ac:dyDescent="0.25">
      <c r="D573" s="256" t="s">
        <v>928</v>
      </c>
      <c r="E573" s="150" cm="1">
        <f t="array" ref="E573">Scope3_Equations.VEERG_15_13_1_1__1_EmissionsFromManureSentOffSite(J569,J570,J571)</f>
        <v>1.4315714285714286E-2</v>
      </c>
      <c r="F573" s="151" t="str">
        <f>$E$565</f>
        <v>t N2O</v>
      </c>
      <c r="L573" s="256" t="s">
        <v>928</v>
      </c>
      <c r="M573" s="150" cm="1">
        <f t="array" ref="M573">Scope3_Equations.VEERG_15_13_1_1__1_EmissionsFromManureSentOffSite(R569,R570,R571)</f>
        <v>2.8631428571428572E-2</v>
      </c>
      <c r="N573" s="151" t="str">
        <f>$E$565</f>
        <v>t N2O</v>
      </c>
    </row>
    <row r="575" spans="4:18" x14ac:dyDescent="0.25">
      <c r="D575" s="133" t="str" cm="1">
        <f t="array" ref="D575:E576">Common_Equations.Common_ConvertN2OToCO2e_Arguments()</f>
        <v>EN2O</v>
      </c>
      <c r="E575" s="134" t="str">
        <v>Nitrous oxide emissions (t N2O)</v>
      </c>
      <c r="F575" s="152"/>
      <c r="G575" s="25">
        <f>E573</f>
        <v>1.4315714285714286E-2</v>
      </c>
      <c r="L575" s="133" t="str" cm="1">
        <f t="array" ref="L575:M576">Common_Equations.Common_ConvertN2OToCO2e_Arguments()</f>
        <v>EN2O</v>
      </c>
      <c r="M575" s="134" t="str">
        <v>Nitrous oxide emissions (t N2O)</v>
      </c>
      <c r="N575" s="152"/>
      <c r="O575" s="25">
        <f>M573</f>
        <v>2.8631428571428572E-2</v>
      </c>
    </row>
    <row r="576" spans="4:18" x14ac:dyDescent="0.25">
      <c r="D576" s="133" t="str">
        <v>GWPN2O</v>
      </c>
      <c r="E576" s="134" t="str">
        <v>Global warming potential for nitrous oxide (t CO2-e / t N2O)</v>
      </c>
      <c r="F576" s="152"/>
      <c r="G576" s="25">
        <f>Common_InputFunctions.Utility_LookupValueInTableNumber("N2O",Table_GWPData[Gas],Table_GWPData[CO2-e factor])</f>
        <v>265</v>
      </c>
      <c r="L576" s="133" t="str">
        <v>GWPN2O</v>
      </c>
      <c r="M576" s="134" t="str">
        <v>Global warming potential for nitrous oxide (t CO2-e / t N2O)</v>
      </c>
      <c r="N576" s="152"/>
      <c r="O576" s="25">
        <f>Common_InputFunctions.Utility_LookupValueInTableNumber("N2O",Table_GWPData[Gas],Table_GWPData[CO2-e factor])</f>
        <v>265</v>
      </c>
    </row>
    <row r="578" spans="3:41" ht="18.75" x14ac:dyDescent="0.25">
      <c r="D578" s="146" t="s">
        <v>299</v>
      </c>
      <c r="E578" s="146" cm="1">
        <f t="array" ref="E578">Common_Equations.Common_ConvertN2OToCO2e(G575,G576)</f>
        <v>3.7936642857142857</v>
      </c>
      <c r="F578" s="153" t="str" cm="1">
        <f t="array" ref="F578">Common_Equations.Common_ConvertN2OToCO2e_Unit()</f>
        <v>t CO2e</v>
      </c>
      <c r="L578" s="146" t="s">
        <v>299</v>
      </c>
      <c r="M578" s="146" cm="1">
        <f t="array" ref="M578">Common_Equations.Common_ConvertN2OToCO2e(O575,O576)</f>
        <v>7.5873285714285714</v>
      </c>
      <c r="N578" s="153" t="str" cm="1">
        <f t="array" ref="N578">Common_Equations.Common_ConvertN2OToCO2e_Unit()</f>
        <v>t CO2e</v>
      </c>
    </row>
    <row r="581" spans="3:41" x14ac:dyDescent="0.25">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c r="AA581" s="146"/>
      <c r="AB581" s="146"/>
      <c r="AC581" s="146"/>
      <c r="AD581" s="146"/>
      <c r="AE581" s="146"/>
      <c r="AF581" s="146"/>
      <c r="AG581" s="146"/>
      <c r="AH581" s="146"/>
      <c r="AI581" s="146"/>
      <c r="AJ581" s="146"/>
      <c r="AK581" s="146"/>
      <c r="AL581" s="146"/>
      <c r="AM581" s="146"/>
      <c r="AN581" s="146"/>
      <c r="AO581" s="146"/>
    </row>
    <row r="582" spans="3:41" ht="23.25" x14ac:dyDescent="0.25">
      <c r="D582" s="2" t="str" cm="1">
        <f t="array" ref="D582">Scope3_Equations.VEERG_15_13_1_3__1_EmissionsFromSolidWasteTreatmentFacility_Title()</f>
        <v>Emissions from solid waste sent to a treatment facility</v>
      </c>
    </row>
    <row r="583" spans="3:41" x14ac:dyDescent="0.25">
      <c r="D583" s="27" t="str" cm="1">
        <f t="array" ref="D583">Scope3_Equations.VEERG_15_13_1_3__1_EmissionsFromSolidWasteTreatmentFacility_Source()</f>
        <v>VEERG 2026: 15.13.1.3</v>
      </c>
    </row>
    <row r="585" spans="3:41" x14ac:dyDescent="0.25">
      <c r="D585" s="88" t="s">
        <v>268</v>
      </c>
      <c r="E585" s="1" t="str" cm="1">
        <f t="array" ref="E585">Scope3_Equations.VEERG_15_13_1_3__1_EmissionsFromSolidWasteTreatmentFacility_Variable()</f>
        <v>E</v>
      </c>
    </row>
    <row r="586" spans="3:41" x14ac:dyDescent="0.25">
      <c r="D586" s="88" t="s">
        <v>121</v>
      </c>
      <c r="E586" s="15" t="str" cm="1">
        <f t="array" ref="E586">Scope3_Equations.VEERG_15_13_1_3__1_EmissionsFromSolidWasteTreatmentFacility_Unit()</f>
        <v>t CO2e</v>
      </c>
    </row>
    <row r="588" spans="3:41" ht="20.25" x14ac:dyDescent="0.25">
      <c r="D588" s="256" t="s">
        <v>928</v>
      </c>
      <c r="E588" s="150">
        <f>VEERG_10_1_1_1__1_EmissionsFromWasteManagement_Scope3_Result_Method1</f>
        <v>441.15000000000003</v>
      </c>
      <c r="F588" s="151" t="str">
        <f>E586</f>
        <v>t CO2e</v>
      </c>
    </row>
    <row r="591" spans="3:41" x14ac:dyDescent="0.25">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c r="AA591" s="146"/>
      <c r="AB591" s="146"/>
      <c r="AC591" s="146"/>
      <c r="AD591" s="146"/>
      <c r="AE591" s="146"/>
      <c r="AF591" s="146"/>
      <c r="AG591" s="146"/>
      <c r="AH591" s="146"/>
      <c r="AI591" s="146"/>
      <c r="AJ591" s="146"/>
      <c r="AK591" s="146"/>
      <c r="AL591" s="146"/>
      <c r="AM591" s="146"/>
      <c r="AN591" s="146"/>
      <c r="AO591" s="146"/>
    </row>
    <row r="592" spans="3:41" ht="23.25" x14ac:dyDescent="0.25">
      <c r="D592" s="2" t="str" cm="1">
        <f t="array" ref="D592">Scope3_Equations.VEERG_15_14_1_1__1_EmbeddedEmissionsFromUpstreamFreight_Title()</f>
        <v>Embedded emissions from upstream freight</v>
      </c>
    </row>
    <row r="593" spans="4:13" x14ac:dyDescent="0.25">
      <c r="D593" s="27" t="str" cm="1">
        <f t="array" ref="D593">Scope3_Equations.VEERG_15_14_1_1__1_EmbeddedEmissionsFromUpstreamFreight_Source()</f>
        <v>VEERG 2026: 15.14.1.1, Equation (1)</v>
      </c>
    </row>
    <row r="594" spans="4:13" x14ac:dyDescent="0.25">
      <c r="D594" s="132" t="s">
        <v>267</v>
      </c>
      <c r="E594" s="132" t="str" cm="1">
        <f t="array" aca="1" ref="E594" ca="1">Common_InputFunctions.Utility_DisplayFunctionName(J609)</f>
        <v>=Scope3_Equations.VEERG_15_14_1_1__1_EmbeddedEmissionsFromUpstreamFreight</v>
      </c>
    </row>
    <row r="598" spans="4:13" x14ac:dyDescent="0.25">
      <c r="D598" s="88" t="s">
        <v>268</v>
      </c>
      <c r="E598" s="1" t="str" cm="1">
        <f t="array" ref="E598">Scope3_Equations.VEERG_15_14_1_1__1_EmbeddedEmissionsFromUpstreamFreight_Variable()</f>
        <v>E</v>
      </c>
    </row>
    <row r="599" spans="4:13" x14ac:dyDescent="0.25">
      <c r="D599" s="88" t="s">
        <v>121</v>
      </c>
      <c r="E599" s="15" t="str" cm="1">
        <f t="array" ref="E599">Scope3_Equations.VEERG_15_14_1_1__1_EmbeddedEmissionsFromUpstreamFreight_Unit()</f>
        <v>t CO2e</v>
      </c>
    </row>
    <row r="601" spans="4:13" x14ac:dyDescent="0.25">
      <c r="D601" s="154" t="str" cm="1">
        <f t="array" ref="D601:E604">_xlfn.CHOOSECOLS(Scope3_Equations.VEERG_15_14_1_1__1_EmbeddedEmissionsFromUpstreamFreight_Arguments(),1,2)</f>
        <v>W_f</v>
      </c>
      <c r="E601" s="162" t="str">
        <v>total mass of goods transported per freight type f</v>
      </c>
      <c r="F601" s="164"/>
      <c r="G601" s="154" t="str" cm="1">
        <f t="array" ref="G601:H604">_xlfn.CHOOSECOLS(Scope3_Equations.VEERG_15_14_1_1__1_EmbeddedEmissionsFromUpstreamFreight_Arguments(),3,4)</f>
        <v>t</v>
      </c>
      <c r="H601" s="253" t="str">
        <v>Input</v>
      </c>
    </row>
    <row r="602" spans="4:13" x14ac:dyDescent="0.25">
      <c r="D602" s="154" t="str">
        <v>D_f</v>
      </c>
      <c r="E602" s="162" t="str">
        <v>total distance transported per freight type f</v>
      </c>
      <c r="F602" s="164"/>
      <c r="G602" s="154" t="str">
        <v>km</v>
      </c>
      <c r="H602" s="253" t="str">
        <v>Input</v>
      </c>
    </row>
    <row r="603" spans="4:13" x14ac:dyDescent="0.25">
      <c r="D603" s="154" t="str">
        <v>EF_f</v>
      </c>
      <c r="E603" s="162" t="str">
        <v>emission factor for freight type f</v>
      </c>
      <c r="F603" s="164"/>
      <c r="G603" s="154" t="str">
        <v>t CO2e/(t km)</v>
      </c>
      <c r="H603" s="137" t="str">
        <v>Constant</v>
      </c>
    </row>
    <row r="604" spans="4:13" x14ac:dyDescent="0.25">
      <c r="D604" s="154" t="str">
        <v>f</v>
      </c>
      <c r="E604" s="162" t="str">
        <v>freight type</v>
      </c>
      <c r="F604" s="164"/>
      <c r="G604" s="154" t="str">
        <v/>
      </c>
      <c r="H604" s="253" t="str">
        <v>Input</v>
      </c>
    </row>
    <row r="606" spans="4:13" ht="18.75" x14ac:dyDescent="0.25">
      <c r="D606" s="239" t="s">
        <v>794</v>
      </c>
    </row>
    <row r="608" spans="4:13" ht="17.25" x14ac:dyDescent="0.25">
      <c r="D608" s="92" t="s">
        <v>929</v>
      </c>
      <c r="E608" s="92" t="s">
        <v>930</v>
      </c>
      <c r="F608" s="92" t="s">
        <v>931</v>
      </c>
      <c r="G608" s="145" t="s">
        <v>932</v>
      </c>
      <c r="H608" s="145" t="s">
        <v>824</v>
      </c>
      <c r="I608" s="92" t="s">
        <v>872</v>
      </c>
      <c r="J608" s="145" t="s">
        <v>827</v>
      </c>
      <c r="K608" s="92" t="s">
        <v>828</v>
      </c>
      <c r="L608" s="92" t="s">
        <v>829</v>
      </c>
      <c r="M608" s="92" t="s">
        <v>830</v>
      </c>
    </row>
    <row r="609" spans="4:13" x14ac:dyDescent="0.25">
      <c r="D609" s="25" t="str" cm="1">
        <f t="array" ref="D609:D618">IFERROR(INDEX(Table_Input_FreightIncoming[Route name], _xlfn.SEQUENCE(10)), "")</f>
        <v>Melbourne depot to farm depot weekly</v>
      </c>
      <c r="E609" s="25" cm="1">
        <f t="array" ref="E609:E618">IFERROR(INDEX(Table_Input_FreightIncoming[Average weight of freight per trip (t)], _xlfn.SEQUENCE(10)), "")</f>
        <v>10</v>
      </c>
      <c r="F609" s="25" cm="1">
        <f t="array" ref="F609:F618">IFERROR(INDEX(Table_Input_FreightIncoming[Route distance (km)], _xlfn.SEQUENCE(10))*INDEX(Table_Input_FreightIncoming[Number of trips taken], _xlfn.SEQUENCE(10)), "")</f>
        <v>51272</v>
      </c>
      <c r="G609" s="25" t="s">
        <v>911</v>
      </c>
      <c r="H609" s="25" t="s">
        <v>911</v>
      </c>
      <c r="I609" s="86">
        <v>10</v>
      </c>
      <c r="J609" s="25" cm="1">
        <f t="array" ref="J609">Scope3_Equations.VEERG_15_14_1_1__1_EmbeddedEmissionsFromUpstreamFreight(E609,F609,I609)</f>
        <v>5127200</v>
      </c>
      <c r="K609" s="44"/>
      <c r="L609" s="23"/>
      <c r="M609" s="44"/>
    </row>
    <row r="610" spans="4:13" x14ac:dyDescent="0.25">
      <c r="D610" s="25" t="str">
        <v>Fertiliser supplier to farm</v>
      </c>
      <c r="E610" s="25">
        <v>10</v>
      </c>
      <c r="F610" s="25">
        <v>390</v>
      </c>
      <c r="G610" s="25" t="s">
        <v>911</v>
      </c>
      <c r="H610" s="25" t="s">
        <v>911</v>
      </c>
      <c r="I610" s="86">
        <v>5</v>
      </c>
      <c r="J610" s="25" cm="1">
        <f t="array" ref="J610">Scope3_Equations.VEERG_15_14_1_1__1_EmbeddedEmissionsFromUpstreamFreight(E610,F610,I610)</f>
        <v>19500</v>
      </c>
      <c r="K610" s="44"/>
      <c r="L610" s="23"/>
      <c r="M610" s="44"/>
    </row>
    <row r="611" spans="4:13" x14ac:dyDescent="0.25">
      <c r="D611" s="25">
        <v>0</v>
      </c>
      <c r="E611" s="25">
        <v>0</v>
      </c>
      <c r="F611" s="25">
        <v>0</v>
      </c>
      <c r="G611" s="25" t="s">
        <v>911</v>
      </c>
      <c r="H611" s="25" t="s">
        <v>911</v>
      </c>
      <c r="I611" s="86"/>
      <c r="J611" s="25" cm="1">
        <f t="array" ref="J611">Scope3_Equations.VEERG_15_14_1_1__1_EmbeddedEmissionsFromUpstreamFreight(E611,F611,I611)</f>
        <v>0</v>
      </c>
      <c r="K611" s="44"/>
      <c r="L611" s="23"/>
      <c r="M611" s="44"/>
    </row>
    <row r="612" spans="4:13" x14ac:dyDescent="0.25">
      <c r="D612" s="25">
        <v>0</v>
      </c>
      <c r="E612" s="25">
        <v>0</v>
      </c>
      <c r="F612" s="25">
        <v>0</v>
      </c>
      <c r="G612" s="25" t="s">
        <v>911</v>
      </c>
      <c r="H612" s="25" t="s">
        <v>911</v>
      </c>
      <c r="I612" s="86"/>
      <c r="J612" s="25" cm="1">
        <f t="array" ref="J612">Scope3_Equations.VEERG_15_14_1_1__1_EmbeddedEmissionsFromUpstreamFreight(E612,F612,I612)</f>
        <v>0</v>
      </c>
      <c r="K612" s="44"/>
      <c r="L612" s="23"/>
      <c r="M612" s="44"/>
    </row>
    <row r="613" spans="4:13" x14ac:dyDescent="0.25">
      <c r="D613" s="25">
        <v>0</v>
      </c>
      <c r="E613" s="25">
        <v>0</v>
      </c>
      <c r="F613" s="25">
        <v>0</v>
      </c>
      <c r="G613" s="25" t="s">
        <v>911</v>
      </c>
      <c r="H613" s="25" t="s">
        <v>911</v>
      </c>
      <c r="I613" s="86"/>
      <c r="J613" s="25" cm="1">
        <f t="array" ref="J613">Scope3_Equations.VEERG_15_14_1_1__1_EmbeddedEmissionsFromUpstreamFreight(E613,F613,I613)</f>
        <v>0</v>
      </c>
      <c r="K613" s="44"/>
      <c r="L613" s="23"/>
      <c r="M613" s="44"/>
    </row>
    <row r="614" spans="4:13" x14ac:dyDescent="0.25">
      <c r="D614" s="25">
        <v>0</v>
      </c>
      <c r="E614" s="25">
        <v>0</v>
      </c>
      <c r="F614" s="25">
        <v>0</v>
      </c>
      <c r="G614" s="25" t="s">
        <v>911</v>
      </c>
      <c r="H614" s="25" t="s">
        <v>911</v>
      </c>
      <c r="I614" s="86"/>
      <c r="J614" s="25" cm="1">
        <f t="array" ref="J614">Scope3_Equations.VEERG_15_14_1_1__1_EmbeddedEmissionsFromUpstreamFreight(E614,F614,I614)</f>
        <v>0</v>
      </c>
      <c r="K614" s="44"/>
      <c r="L614" s="23"/>
      <c r="M614" s="44"/>
    </row>
    <row r="615" spans="4:13" x14ac:dyDescent="0.25">
      <c r="D615" s="25">
        <v>0</v>
      </c>
      <c r="E615" s="25">
        <v>0</v>
      </c>
      <c r="F615" s="25">
        <v>0</v>
      </c>
      <c r="G615" s="25" t="s">
        <v>911</v>
      </c>
      <c r="H615" s="25" t="s">
        <v>911</v>
      </c>
      <c r="I615" s="86"/>
      <c r="J615" s="25" cm="1">
        <f t="array" ref="J615">Scope3_Equations.VEERG_15_14_1_1__1_EmbeddedEmissionsFromUpstreamFreight(E615,F615,I615)</f>
        <v>0</v>
      </c>
      <c r="K615" s="44"/>
      <c r="L615" s="23"/>
      <c r="M615" s="44"/>
    </row>
    <row r="616" spans="4:13" x14ac:dyDescent="0.25">
      <c r="D616" s="25">
        <v>0</v>
      </c>
      <c r="E616" s="25">
        <v>0</v>
      </c>
      <c r="F616" s="25">
        <v>0</v>
      </c>
      <c r="G616" s="25" t="s">
        <v>911</v>
      </c>
      <c r="H616" s="25" t="s">
        <v>911</v>
      </c>
      <c r="I616" s="86"/>
      <c r="J616" s="25" cm="1">
        <f t="array" ref="J616">Scope3_Equations.VEERG_15_14_1_1__1_EmbeddedEmissionsFromUpstreamFreight(E616,F616,I616)</f>
        <v>0</v>
      </c>
      <c r="K616" s="44"/>
      <c r="L616" s="23"/>
      <c r="M616" s="44"/>
    </row>
    <row r="617" spans="4:13" x14ac:dyDescent="0.25">
      <c r="D617" s="25">
        <v>0</v>
      </c>
      <c r="E617" s="25">
        <v>0</v>
      </c>
      <c r="F617" s="25">
        <v>0</v>
      </c>
      <c r="G617" s="25" t="s">
        <v>911</v>
      </c>
      <c r="H617" s="25" t="s">
        <v>911</v>
      </c>
      <c r="I617" s="86"/>
      <c r="J617" s="25" cm="1">
        <f t="array" ref="J617">Scope3_Equations.VEERG_15_14_1_1__1_EmbeddedEmissionsFromUpstreamFreight(E617,F617,I617)</f>
        <v>0</v>
      </c>
      <c r="K617" s="44"/>
      <c r="L617" s="23"/>
      <c r="M617" s="44"/>
    </row>
    <row r="618" spans="4:13" x14ac:dyDescent="0.25">
      <c r="D618" s="25">
        <v>0</v>
      </c>
      <c r="E618" s="25">
        <v>0</v>
      </c>
      <c r="F618" s="25">
        <v>0</v>
      </c>
      <c r="G618" s="25" t="s">
        <v>911</v>
      </c>
      <c r="H618" s="25" t="s">
        <v>911</v>
      </c>
      <c r="I618" s="86"/>
      <c r="J618" s="25" cm="1">
        <f t="array" ref="J618">Scope3_Equations.VEERG_15_14_1_1__1_EmbeddedEmissionsFromUpstreamFreight(E618,F618,I618)</f>
        <v>0</v>
      </c>
      <c r="K618" s="44"/>
      <c r="L618" s="23"/>
      <c r="M618" s="44"/>
    </row>
    <row r="620" spans="4:13" x14ac:dyDescent="0.25">
      <c r="D620" s="159" t="s">
        <v>933</v>
      </c>
      <c r="E620" s="146" t="s">
        <v>911</v>
      </c>
      <c r="F620" s="153" t="str">
        <f>$E$104</f>
        <v>t CO2e</v>
      </c>
    </row>
    <row r="621" spans="4:13" x14ac:dyDescent="0.25">
      <c r="D621" s="159" t="s">
        <v>934</v>
      </c>
      <c r="E621" s="146">
        <f>SUM(J609:J618)</f>
        <v>5146700</v>
      </c>
      <c r="F621" s="153" t="str">
        <f>$E$104</f>
        <v>t CO2e</v>
      </c>
    </row>
    <row r="624" spans="4:13" ht="18.75" x14ac:dyDescent="0.25">
      <c r="D624" s="239" t="s">
        <v>804</v>
      </c>
    </row>
    <row r="626" spans="4:13" ht="17.25" x14ac:dyDescent="0.25">
      <c r="D626" s="92" t="s">
        <v>929</v>
      </c>
      <c r="E626" s="92" t="s">
        <v>930</v>
      </c>
      <c r="F626" s="92" t="s">
        <v>931</v>
      </c>
      <c r="G626" s="145" t="s">
        <v>932</v>
      </c>
      <c r="H626" s="145" t="s">
        <v>824</v>
      </c>
      <c r="I626" s="92" t="s">
        <v>872</v>
      </c>
      <c r="J626" s="145" t="s">
        <v>827</v>
      </c>
      <c r="K626" s="92" t="s">
        <v>828</v>
      </c>
      <c r="L626" s="92" t="s">
        <v>829</v>
      </c>
      <c r="M626" s="92" t="s">
        <v>830</v>
      </c>
    </row>
    <row r="627" spans="4:13" x14ac:dyDescent="0.25">
      <c r="D627" s="25" t="str" cm="1">
        <f t="array" ref="D627:D636">IFERROR(INDEX(Table_Input_FreightOutgoing[Route name], _xlfn.SEQUENCE(10)), "")</f>
        <v>Farm to bulk handler</v>
      </c>
      <c r="E627" s="25" cm="1">
        <f t="array" ref="E627:E636">IFERROR(INDEX(Table_Input_FreightOutgoing[Average weight of freight per trip (t)], _xlfn.SEQUENCE(10)), "")</f>
        <v>20</v>
      </c>
      <c r="F627" s="25" cm="1">
        <f t="array" ref="F627:F636">IFERROR(INDEX(Table_Input_FreightOutgoing[Route distance (km)], _xlfn.SEQUENCE(10))*INDEX(Table_Input_FreightOutgoing[Number of trips taken], _xlfn.SEQUENCE(10)), "")</f>
        <v>3380</v>
      </c>
      <c r="G627" s="25" t="s">
        <v>911</v>
      </c>
      <c r="H627" s="25" t="s">
        <v>911</v>
      </c>
      <c r="I627" s="86">
        <v>6.4</v>
      </c>
      <c r="J627" s="25" cm="1">
        <f t="array" ref="J627">Scope3_Equations.VEERG_15_14_1_1__1_EmbeddedEmissionsFromUpstreamFreight(E627,F627,I627)</f>
        <v>432640</v>
      </c>
      <c r="K627" s="44"/>
      <c r="L627" s="23"/>
      <c r="M627" s="44"/>
    </row>
    <row r="628" spans="4:13" x14ac:dyDescent="0.25">
      <c r="D628" s="25">
        <v>0</v>
      </c>
      <c r="E628" s="25">
        <v>0</v>
      </c>
      <c r="F628" s="25">
        <v>0</v>
      </c>
      <c r="G628" s="25" t="s">
        <v>911</v>
      </c>
      <c r="H628" s="25" t="s">
        <v>911</v>
      </c>
      <c r="I628" s="86"/>
      <c r="J628" s="25" cm="1">
        <f t="array" ref="J628">Scope3_Equations.VEERG_15_14_1_1__1_EmbeddedEmissionsFromUpstreamFreight(E628,F628,I628)</f>
        <v>0</v>
      </c>
      <c r="K628" s="44"/>
      <c r="L628" s="23"/>
      <c r="M628" s="44"/>
    </row>
    <row r="629" spans="4:13" x14ac:dyDescent="0.25">
      <c r="D629" s="25">
        <v>0</v>
      </c>
      <c r="E629" s="25">
        <v>0</v>
      </c>
      <c r="F629" s="25">
        <v>0</v>
      </c>
      <c r="G629" s="25" t="s">
        <v>911</v>
      </c>
      <c r="H629" s="25" t="s">
        <v>911</v>
      </c>
      <c r="I629" s="86"/>
      <c r="J629" s="25" cm="1">
        <f t="array" ref="J629">Scope3_Equations.VEERG_15_14_1_1__1_EmbeddedEmissionsFromUpstreamFreight(E629,F629,I629)</f>
        <v>0</v>
      </c>
      <c r="K629" s="44"/>
      <c r="L629" s="23"/>
      <c r="M629" s="44"/>
    </row>
    <row r="630" spans="4:13" x14ac:dyDescent="0.25">
      <c r="D630" s="25">
        <v>0</v>
      </c>
      <c r="E630" s="25">
        <v>0</v>
      </c>
      <c r="F630" s="25">
        <v>0</v>
      </c>
      <c r="G630" s="25" t="s">
        <v>911</v>
      </c>
      <c r="H630" s="25" t="s">
        <v>911</v>
      </c>
      <c r="I630" s="86"/>
      <c r="J630" s="25" cm="1">
        <f t="array" ref="J630">Scope3_Equations.VEERG_15_14_1_1__1_EmbeddedEmissionsFromUpstreamFreight(E630,F630,I630)</f>
        <v>0</v>
      </c>
      <c r="K630" s="44"/>
      <c r="L630" s="23"/>
      <c r="M630" s="44"/>
    </row>
    <row r="631" spans="4:13" x14ac:dyDescent="0.25">
      <c r="D631" s="25">
        <v>0</v>
      </c>
      <c r="E631" s="25">
        <v>0</v>
      </c>
      <c r="F631" s="25">
        <v>0</v>
      </c>
      <c r="G631" s="25" t="s">
        <v>911</v>
      </c>
      <c r="H631" s="25" t="s">
        <v>911</v>
      </c>
      <c r="I631" s="86"/>
      <c r="J631" s="25" cm="1">
        <f t="array" ref="J631">Scope3_Equations.VEERG_15_14_1_1__1_EmbeddedEmissionsFromUpstreamFreight(E631,F631,I631)</f>
        <v>0</v>
      </c>
      <c r="K631" s="44"/>
      <c r="L631" s="23"/>
      <c r="M631" s="44"/>
    </row>
    <row r="632" spans="4:13" x14ac:dyDescent="0.25">
      <c r="D632" s="25">
        <v>0</v>
      </c>
      <c r="E632" s="25">
        <v>0</v>
      </c>
      <c r="F632" s="25">
        <v>0</v>
      </c>
      <c r="G632" s="25" t="s">
        <v>911</v>
      </c>
      <c r="H632" s="25" t="s">
        <v>911</v>
      </c>
      <c r="I632" s="86"/>
      <c r="J632" s="25" cm="1">
        <f t="array" ref="J632">Scope3_Equations.VEERG_15_14_1_1__1_EmbeddedEmissionsFromUpstreamFreight(E632,F632,I632)</f>
        <v>0</v>
      </c>
      <c r="K632" s="44"/>
      <c r="L632" s="23"/>
      <c r="M632" s="44"/>
    </row>
    <row r="633" spans="4:13" x14ac:dyDescent="0.25">
      <c r="D633" s="25">
        <v>0</v>
      </c>
      <c r="E633" s="25">
        <v>0</v>
      </c>
      <c r="F633" s="25">
        <v>0</v>
      </c>
      <c r="G633" s="25" t="s">
        <v>911</v>
      </c>
      <c r="H633" s="25" t="s">
        <v>911</v>
      </c>
      <c r="I633" s="86"/>
      <c r="J633" s="25" cm="1">
        <f t="array" ref="J633">Scope3_Equations.VEERG_15_14_1_1__1_EmbeddedEmissionsFromUpstreamFreight(E633,F633,I633)</f>
        <v>0</v>
      </c>
      <c r="K633" s="44"/>
      <c r="L633" s="23"/>
      <c r="M633" s="44"/>
    </row>
    <row r="634" spans="4:13" x14ac:dyDescent="0.25">
      <c r="D634" s="25">
        <v>0</v>
      </c>
      <c r="E634" s="25">
        <v>0</v>
      </c>
      <c r="F634" s="25">
        <v>0</v>
      </c>
      <c r="G634" s="25" t="s">
        <v>911</v>
      </c>
      <c r="H634" s="25" t="s">
        <v>911</v>
      </c>
      <c r="I634" s="86"/>
      <c r="J634" s="25" cm="1">
        <f t="array" ref="J634">Scope3_Equations.VEERG_15_14_1_1__1_EmbeddedEmissionsFromUpstreamFreight(E634,F634,I634)</f>
        <v>0</v>
      </c>
      <c r="K634" s="44"/>
      <c r="L634" s="23"/>
      <c r="M634" s="44"/>
    </row>
    <row r="635" spans="4:13" x14ac:dyDescent="0.25">
      <c r="D635" s="25">
        <v>0</v>
      </c>
      <c r="E635" s="25">
        <v>0</v>
      </c>
      <c r="F635" s="25">
        <v>0</v>
      </c>
      <c r="G635" s="25" t="s">
        <v>911</v>
      </c>
      <c r="H635" s="25" t="s">
        <v>911</v>
      </c>
      <c r="I635" s="86"/>
      <c r="J635" s="25" cm="1">
        <f t="array" ref="J635">Scope3_Equations.VEERG_15_14_1_1__1_EmbeddedEmissionsFromUpstreamFreight(E635,F635,I635)</f>
        <v>0</v>
      </c>
      <c r="K635" s="44"/>
      <c r="L635" s="23"/>
      <c r="M635" s="44"/>
    </row>
    <row r="636" spans="4:13" x14ac:dyDescent="0.25">
      <c r="D636" s="25">
        <v>0</v>
      </c>
      <c r="E636" s="25">
        <v>0</v>
      </c>
      <c r="F636" s="25">
        <v>0</v>
      </c>
      <c r="G636" s="25" t="s">
        <v>911</v>
      </c>
      <c r="H636" s="25" t="s">
        <v>911</v>
      </c>
      <c r="I636" s="86"/>
      <c r="J636" s="25" cm="1">
        <f t="array" ref="J636">Scope3_Equations.VEERG_15_14_1_1__1_EmbeddedEmissionsFromUpstreamFreight(E636,F636,I636)</f>
        <v>0</v>
      </c>
      <c r="K636" s="44"/>
      <c r="L636" s="23"/>
      <c r="M636" s="44"/>
    </row>
    <row r="638" spans="4:13" x14ac:dyDescent="0.25">
      <c r="D638" s="159" t="s">
        <v>935</v>
      </c>
      <c r="E638" s="146" t="s">
        <v>911</v>
      </c>
      <c r="F638" s="153" t="str">
        <f>$E$104</f>
        <v>t CO2e</v>
      </c>
    </row>
    <row r="639" spans="4:13" x14ac:dyDescent="0.25">
      <c r="D639" s="159" t="s">
        <v>936</v>
      </c>
      <c r="E639" s="146">
        <f>SUM(J627:J636)</f>
        <v>432640</v>
      </c>
      <c r="F639" s="153" t="str">
        <f>$E$104</f>
        <v>t CO2e</v>
      </c>
    </row>
    <row r="641" spans="4:6" ht="20.25" x14ac:dyDescent="0.25">
      <c r="D641" s="149" t="s">
        <v>824</v>
      </c>
      <c r="E641" s="150" t="s">
        <v>911</v>
      </c>
      <c r="F641" s="151" t="str">
        <f>$E$104</f>
        <v>t CO2e</v>
      </c>
    </row>
    <row r="642" spans="4:6" ht="20.25" x14ac:dyDescent="0.25">
      <c r="D642" s="149" t="s">
        <v>827</v>
      </c>
      <c r="E642" s="150">
        <f>VEERG_15_14_1_1__1_EmbeddedEmissionsFromUpstreamFreight_Incoming_Result_Method2+VEERG_15_14_1_1__1_EmbeddedEmissionsFromUpstreamFreight_Outgoing_Result_Method2</f>
        <v>5579340</v>
      </c>
      <c r="F642" s="151" t="str">
        <f>$E$104</f>
        <v>t CO2e</v>
      </c>
    </row>
  </sheetData>
  <dataValidations count="2">
    <dataValidation type="list" allowBlank="1" showInputMessage="1" showErrorMessage="1" sqref="J490:J499" xr:uid="{A103AEE6-13C8-4C47-888C-4BE9D49C7723}">
      <formula1>"kg / amount unit, t / amount unit"</formula1>
    </dataValidation>
    <dataValidation type="list" allowBlank="1" showInputMessage="1" showErrorMessage="1" sqref="L42:L51 L61:L70 L79:L88 L430:L439 L448:L457 K119:K128 L367:L376 K136:K139 K162:K164 O23:O32 M221:M231 L305:L314 K273:K282 N336:N345 M490:M499 M237:M251 M399:M408 K466:K470 K479:K483 L609:L618 L627:L636" xr:uid="{14D1243F-E9F7-4280-AFEE-102C2FD840CD}">
      <formula1>INDIRECT("Table_SourceData_DataScores_Scope3[Data source]")</formula1>
    </dataValidation>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3E0C8-D2B3-4724-9F6D-0DB51B56B564}">
  <sheetPr>
    <tabColor theme="9" tint="-0.249977111117893"/>
  </sheetPr>
  <dimension ref="A1:U160"/>
  <sheetViews>
    <sheetView showGridLines="0" topLeftCell="C61" zoomScaleNormal="100" workbookViewId="0">
      <selection activeCell="A49" sqref="A49"/>
    </sheetView>
  </sheetViews>
  <sheetFormatPr defaultRowHeight="15.75" x14ac:dyDescent="0.25"/>
  <cols>
    <col min="1" max="1" width="35" style="238" customWidth="1"/>
    <col min="2" max="2" width="5.28515625" style="238" customWidth="1"/>
    <col min="3" max="3" width="5.28515625" style="1" customWidth="1"/>
    <col min="4" max="10" width="35" style="1" customWidth="1"/>
    <col min="11" max="11" width="5.28515625" style="1" customWidth="1"/>
    <col min="12" max="12" width="5.28515625" style="238" customWidth="1"/>
    <col min="13" max="13" width="5.28515625" style="1" customWidth="1"/>
    <col min="14" max="20" width="35" style="1" customWidth="1"/>
    <col min="21" max="21" width="5.28515625" style="1" customWidth="1"/>
    <col min="22" max="16384" width="9.140625" style="238"/>
  </cols>
  <sheetData>
    <row r="1" spans="1:21" ht="30" customHeight="1" x14ac:dyDescent="0.35">
      <c r="A1" s="16" t="e" vm="1">
        <v>#VALUE!</v>
      </c>
      <c r="C1" s="31" t="s">
        <v>937</v>
      </c>
      <c r="D1" s="31"/>
      <c r="E1" s="31"/>
      <c r="F1" s="31"/>
      <c r="G1" s="31"/>
      <c r="H1" s="31"/>
      <c r="I1" s="31"/>
      <c r="J1" s="31"/>
      <c r="K1" s="31"/>
      <c r="M1" s="31"/>
      <c r="N1" s="31"/>
      <c r="O1" s="31"/>
      <c r="P1" s="31"/>
      <c r="Q1" s="31"/>
      <c r="R1" s="31"/>
      <c r="S1" s="31"/>
      <c r="T1" s="31"/>
      <c r="U1" s="31"/>
    </row>
    <row r="2" spans="1:21" ht="20.100000000000001" customHeight="1" x14ac:dyDescent="0.25">
      <c r="A2"/>
      <c r="C2" s="3"/>
      <c r="D2" s="3"/>
      <c r="E2" s="3"/>
      <c r="F2" s="3"/>
      <c r="G2" s="3"/>
      <c r="H2" s="3"/>
      <c r="I2" s="3"/>
      <c r="J2" s="3"/>
      <c r="K2" s="3"/>
      <c r="M2" s="3"/>
      <c r="N2" s="3"/>
      <c r="O2" s="3"/>
      <c r="P2" s="3"/>
      <c r="Q2" s="3"/>
      <c r="R2" s="3"/>
      <c r="S2" s="3"/>
      <c r="T2" s="3"/>
      <c r="U2" s="3"/>
    </row>
    <row r="3" spans="1:21" ht="20.100000000000001" customHeight="1" x14ac:dyDescent="0.25">
      <c r="A3" s="5" t="str">
        <f>HYPERLINK("#'Home'!A1", "Home")</f>
        <v>Home</v>
      </c>
      <c r="C3" s="33"/>
      <c r="D3" s="33" t="s">
        <v>135</v>
      </c>
      <c r="E3" s="33"/>
      <c r="F3" s="33"/>
      <c r="G3" s="33"/>
      <c r="H3" s="33"/>
      <c r="I3" s="33"/>
      <c r="J3" s="33"/>
      <c r="K3" s="33"/>
      <c r="M3" s="33"/>
      <c r="N3" s="33" t="s">
        <v>136</v>
      </c>
      <c r="O3" s="33"/>
      <c r="P3" s="33"/>
      <c r="Q3" s="33"/>
      <c r="R3" s="33"/>
      <c r="S3" s="33"/>
      <c r="T3" s="33"/>
      <c r="U3" s="33"/>
    </row>
    <row r="4" spans="1:21" ht="20.100000000000001" customHeight="1" x14ac:dyDescent="0.25">
      <c r="A4" s="5" t="str">
        <f>HYPERLINK("#'Overview'!A1", "Overview")</f>
        <v>Overview</v>
      </c>
    </row>
    <row r="5" spans="1:21" ht="20.100000000000001" customHeight="1" x14ac:dyDescent="0.25">
      <c r="A5" s="5" t="str">
        <f>HYPERLINK("#'Results'!A1", "Results")</f>
        <v>Results</v>
      </c>
      <c r="D5" s="2" t="str" cm="1">
        <f t="array" ref="D5">Fertiliser_Equations_OrganicN2O.VEERG_5_2_1_1__1_OrganicFertiliserApplicationN2OEmissions_Title()</f>
        <v>Nitrous oxide emissions from the application of all organic fertiliser types f to all production systems j</v>
      </c>
      <c r="N5" s="2"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A6"/>
      <c r="D6" s="27" t="str" cm="1">
        <f t="array" ref="D6">Fertiliser_Equations_OrganicN2O.VEERG_5_2_1_1__1_OrganicFertiliserApplicationN2OEmissions_Source()</f>
        <v>VEERG 2026: 5.2.1.1, Equation (1)</v>
      </c>
      <c r="N6" s="27" t="str" cm="1">
        <f t="array" ref="N6">Fertiliser_Equations_OrganicN2O.VEERG_5_2_1_1__1_OrganicFertiliserApplicationN2OEmissions_Source()</f>
        <v>VEERG 2026: 5.2.1.1, Equation (1)</v>
      </c>
    </row>
    <row r="7" spans="1:21" ht="20.100000000000001" customHeight="1" x14ac:dyDescent="0.25">
      <c r="A7"/>
      <c r="D7" s="132" t="s">
        <v>267</v>
      </c>
      <c r="E7" s="132" t="str">
        <f ca="1">Common_InputFunctions.Utility_DisplayFunctionName(VEERG_5_2_1_1__1_OrganicFertiliserApplicationN2OEmissions_Result_Method1)</f>
        <v>=Fertiliser_Equations_OrganicN2O.VEERG_5_2_1_1__1_OrganicFertiliserApplicationN2OEmissions</v>
      </c>
      <c r="N7" s="132" t="s">
        <v>267</v>
      </c>
      <c r="O7" s="132"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7" t="s">
        <v>0</v>
      </c>
    </row>
    <row r="9" spans="1:21" ht="20.100000000000001" customHeight="1" x14ac:dyDescent="0.25">
      <c r="A9" s="5" t="str">
        <f>HYPERLINK("#'Input - Enterprise'!A1", "Enterprise")</f>
        <v>Enterprise</v>
      </c>
    </row>
    <row r="10" spans="1:21" ht="20.100000000000001" customHeight="1" x14ac:dyDescent="0.25">
      <c r="A10" s="5" t="str">
        <f>HYPERLINK("#'Input - Site'!A1", "Site")</f>
        <v>Site</v>
      </c>
      <c r="D10" s="88" t="s">
        <v>268</v>
      </c>
      <c r="E10" s="1" t="str" cm="1">
        <f t="array" ref="E10">Fertiliser_Equations_OrganicN2O.VEERG_5_2_1_1__1_OrganicFertiliserApplicationN2OEmissions_Variable()</f>
        <v>E_N2O</v>
      </c>
      <c r="N10" s="88" t="s">
        <v>268</v>
      </c>
      <c r="O10" s="1" t="str" cm="1">
        <f t="array" ref="O10">Fertiliser_Equations_OrganicN2O.VEERG_5_2_1_1__1_OrganicFertiliserApplicationN2OEmissions_Variable()</f>
        <v>E_N2O</v>
      </c>
    </row>
    <row r="11" spans="1:21" ht="20.100000000000001" customHeight="1" x14ac:dyDescent="0.25">
      <c r="A11" s="5" t="str">
        <f>HYPERLINK("#'Input - Crop'!A1", "Crop")</f>
        <v>Crop</v>
      </c>
      <c r="D11" s="88" t="s">
        <v>121</v>
      </c>
      <c r="E11" s="15" t="str" cm="1">
        <f t="array" ref="E11">Fertiliser_Equations_OrganicN2O.VEERG_5_2_1_1__1_OrganicFertiliserApplicationN2OEmissions_Unit()</f>
        <v>t N2O</v>
      </c>
      <c r="N11" s="88" t="s">
        <v>121</v>
      </c>
      <c r="O11" s="15" t="str" cm="1">
        <f t="array" ref="O11">Fertiliser_Equations_OrganicN2O.VEERG_5_2_1_1__1_OrganicFertiliserApplicationN2OEmissions_Unit()</f>
        <v>t N2O</v>
      </c>
    </row>
    <row r="12" spans="1:21" ht="20.100000000000001" customHeight="1" x14ac:dyDescent="0.25">
      <c r="A12" s="5" t="str">
        <f>HYPERLINK("#'Input - Fert Prod System'!A1", "Fert Prod System")</f>
        <v>Fert Prod System</v>
      </c>
    </row>
    <row r="13" spans="1:21" ht="20.100000000000001" customHeight="1" x14ac:dyDescent="0.25">
      <c r="A13" s="5" t="str">
        <f>HYPERLINK("#'Input - Fertiliser'!A1", "Fertiliser")</f>
        <v>Fertiliser</v>
      </c>
      <c r="D13" s="154" t="str" cm="1">
        <f t="array" ref="D13:E17">_xlfn.CHOOSECOLS(Fertiliser_Equations_OrganicN2O.VEERG_5_2_1_1__1_OrganicFertiliserApplicationN2OEmissions_Arguments(), 1, 2)</f>
        <v>MNSoil_jf</v>
      </c>
      <c r="E13" s="162" t="str">
        <v>mass of nitrogen in organic fertiliser type f applied to production system j</v>
      </c>
      <c r="F13" s="163"/>
      <c r="G13" s="164"/>
      <c r="H13" s="154" t="str" cm="1">
        <f t="array" ref="H13:I17">_xlfn.CHOOSECOLS(Fertiliser_Equations_OrganicN2O.VEERG_5_2_1_1__1_OrganicFertiliserApplicationN2OEmissions_Arguments(), 3,4)</f>
        <v>kg N</v>
      </c>
      <c r="I13" s="137" t="str">
        <v>Calculated from 5.2.1.1 (2)</v>
      </c>
      <c r="J13" s="154">
        <f>X_Cell_ManureSentOffsite_MassNitrogenManure_Method1</f>
        <v>1000</v>
      </c>
      <c r="N13" s="154" t="str" cm="1">
        <f t="array" ref="N13:O17">_xlfn.CHOOSECOLS(Fertiliser_Equations_OrganicN2O.VEERG_5_2_1_1__1_OrganicFertiliserApplicationN2OEmissions_Arguments(), 1, 2)</f>
        <v>MNSoil_jf</v>
      </c>
      <c r="O13" s="162" t="str">
        <v>mass of nitrogen in organic fertiliser type f applied to production system j</v>
      </c>
      <c r="P13" s="163"/>
      <c r="Q13" s="164"/>
      <c r="R13" s="154" t="str" cm="1">
        <f t="array" ref="R13:S17">_xlfn.CHOOSECOLS(Fertiliser_Equations_OrganicN2O.VEERG_5_2_1_1__1_OrganicFertiliserApplicationN2OEmissions_Arguments(), 3,4)</f>
        <v>kg N</v>
      </c>
      <c r="S13" s="137" t="str">
        <v>Calculated from 5.2.1.1 (2)</v>
      </c>
      <c r="T13" s="154">
        <f>X_Cell_ManureSentOffsite_MassNitrogenManure_Method2</f>
        <v>2000</v>
      </c>
    </row>
    <row r="14" spans="1:21" ht="20.100000000000001" customHeight="1" x14ac:dyDescent="0.25">
      <c r="A14" s="5" t="str">
        <f>HYPERLINK("#'Input - Fuel'!A1", "Fuel")</f>
        <v>Fuel</v>
      </c>
      <c r="D14" s="154" t="str">
        <v>EF_N2Oi</v>
      </c>
      <c r="E14" s="162" t="str">
        <v>emission factor for direct nitrous oxide emissions from organic fertiliser applied to soils and aquatic systems in climate zone i</v>
      </c>
      <c r="F14" s="163"/>
      <c r="G14" s="164"/>
      <c r="H14" s="154" t="str">
        <v>kg N2O-N/kg N</v>
      </c>
      <c r="I14" s="137" t="str">
        <v>Lookup</v>
      </c>
      <c r="J14" s="154">
        <f>Common_InputFunctions.Utility_LookupValueInTableNumber(J17, Table_SourceData_Common_EFOrganicFertCropResidues[Climate Zone],Table_SourceData_Common_EFOrganicFertCropResidues[EFNi &amp; EFN2Oi])</f>
        <v>5.0000000000000001E-3</v>
      </c>
      <c r="N14" s="154" t="str">
        <v>EF_N2Oi</v>
      </c>
      <c r="O14" s="162" t="str">
        <v>emission factor for direct nitrous oxide emissions from organic fertiliser applied to soils and aquatic systems in climate zone i</v>
      </c>
      <c r="P14" s="163"/>
      <c r="Q14" s="164"/>
      <c r="R14" s="154" t="str">
        <v>kg N2O-N/kg N</v>
      </c>
      <c r="S14" s="137" t="str">
        <v>Lookup</v>
      </c>
      <c r="T14" s="154"/>
    </row>
    <row r="15" spans="1:21" ht="20.100000000000001" customHeight="1" x14ac:dyDescent="0.25">
      <c r="A15" s="5" t="str">
        <f>HYPERLINK("#'Input - Electricity'!A1", "Electricity")</f>
        <v>Electricity</v>
      </c>
      <c r="D15" s="154" t="str">
        <v>C_N2O</v>
      </c>
      <c r="E15" s="162" t="str">
        <v>factor to convert elemental mass of nitrous oxide to molecular mass</v>
      </c>
      <c r="F15" s="163"/>
      <c r="G15" s="164"/>
      <c r="H15" s="154" t="str">
        <v/>
      </c>
      <c r="I15" s="137" t="str">
        <v>Constant</v>
      </c>
      <c r="J15" s="154">
        <f>Common_InputFunctions.Utility_LookupValueInTableNumber("N2O",Table_GasToMolecularConversionFactor[Gas],Table_GasToMolecularConversionFactor[Conversion factor combined])</f>
        <v>1.5714285714285714</v>
      </c>
      <c r="N15" s="154" t="str">
        <v>C_N2O</v>
      </c>
      <c r="O15" s="162" t="str">
        <v>factor to convert elemental mass of nitrous oxide to molecular mass</v>
      </c>
      <c r="P15" s="163"/>
      <c r="Q15" s="164"/>
      <c r="R15" s="154" t="str">
        <v/>
      </c>
      <c r="S15" s="137" t="str">
        <v>Constant</v>
      </c>
      <c r="T15" s="154"/>
    </row>
    <row r="16" spans="1:21" ht="20.100000000000001" customHeight="1" x14ac:dyDescent="0.25">
      <c r="A16" s="5" t="str">
        <f>HYPERLINK("#'Input - Farm Inputs'!A1", "Farm Inputs")</f>
        <v>Farm Inputs</v>
      </c>
      <c r="D16" s="154" t="str">
        <v>j</v>
      </c>
      <c r="E16" s="162" t="str">
        <v>Production system</v>
      </c>
      <c r="F16" s="163"/>
      <c r="G16" s="164"/>
      <c r="H16" s="154" t="str">
        <v/>
      </c>
      <c r="I16" s="253" t="str">
        <v>Input</v>
      </c>
      <c r="J16" s="154" t="str">
        <f>X_Cell_ManureSentOffsite_ManureProductionSystem</f>
        <v>Crop</v>
      </c>
      <c r="N16" s="154" t="str">
        <v>j</v>
      </c>
      <c r="O16" s="162" t="str">
        <v>Production system</v>
      </c>
      <c r="P16" s="163"/>
      <c r="Q16" s="164"/>
      <c r="R16" s="154" t="str">
        <v/>
      </c>
      <c r="S16" s="253" t="str">
        <v>Input</v>
      </c>
      <c r="T16" s="154"/>
    </row>
    <row r="17" spans="1:20" ht="20.100000000000001" customHeight="1" x14ac:dyDescent="0.25">
      <c r="A17" s="5" t="str">
        <f>HYPERLINK("#'Input - Freight'!A1", "Freight")</f>
        <v>Freight</v>
      </c>
      <c r="D17" s="154" t="str">
        <v>i</v>
      </c>
      <c r="E17" s="162" t="str">
        <v>Wet or dry climate zone</v>
      </c>
      <c r="F17" s="163"/>
      <c r="G17" s="164"/>
      <c r="H17" s="154" t="str">
        <v/>
      </c>
      <c r="I17" s="253" t="str">
        <v>Input</v>
      </c>
      <c r="J17" s="154" t="str">
        <f>X_Cell_Site_WetOrDryClimateZone</f>
        <v>Dry climate zone</v>
      </c>
      <c r="N17" s="154" t="str">
        <v>i</v>
      </c>
      <c r="O17" s="162" t="str">
        <v>Wet or dry climate zone</v>
      </c>
      <c r="P17" s="163"/>
      <c r="Q17" s="164"/>
      <c r="R17" s="154" t="str">
        <v/>
      </c>
      <c r="S17" s="253" t="str">
        <v>Input</v>
      </c>
      <c r="T17" s="154"/>
    </row>
    <row r="18" spans="1:20" ht="20.100000000000001" customHeight="1" x14ac:dyDescent="0.25">
      <c r="A18" s="5" t="str">
        <f>HYPERLINK("#'Input - Manure sent off-site'!A1", "Manure sent off-site")</f>
        <v>Manure sent off-site</v>
      </c>
    </row>
    <row r="19" spans="1:20" ht="20.100000000000001" customHeight="1" x14ac:dyDescent="0.25">
      <c r="A19" s="5" t="str">
        <f>HYPERLINK("#'Input - Solid waste'!A1", "Solid waste")</f>
        <v>Solid waste</v>
      </c>
      <c r="D19" s="149" t="s">
        <v>298</v>
      </c>
      <c r="E19" s="150" cm="1">
        <f t="array" ref="E19">Fertiliser_Equations_OrganicN2O.VEERG_5_2_1_1__1_OrganicFertiliserApplicationN2OEmissions(J13,J14,J15)</f>
        <v>7.8571428571428577E-3</v>
      </c>
      <c r="F19" s="151" t="str">
        <f>$E$11</f>
        <v>t N2O</v>
      </c>
      <c r="N19" s="149" t="s">
        <v>298</v>
      </c>
      <c r="O19" s="150" cm="1">
        <f t="array" ref="O19">Fertiliser_Equations_OrganicN2O.VEERG_5_2_1_1__1_OrganicFertiliserApplicationN2OEmissions(T13,J14,J15)</f>
        <v>1.5714285714285715E-2</v>
      </c>
      <c r="P19" s="151" t="str">
        <f>$E$11</f>
        <v>t N2O</v>
      </c>
    </row>
    <row r="20" spans="1:20" ht="20.100000000000001" customHeight="1" x14ac:dyDescent="0.25">
      <c r="A20" s="5" t="str">
        <f>HYPERLINK("#'Input - Data quality'!A1", "Data quality")</f>
        <v>Data quality</v>
      </c>
    </row>
    <row r="21" spans="1:20" ht="20.100000000000001" customHeight="1" x14ac:dyDescent="0.25">
      <c r="A21"/>
    </row>
    <row r="22" spans="1:20" ht="20.100000000000001" customHeight="1" x14ac:dyDescent="0.25">
      <c r="A22"/>
    </row>
    <row r="23" spans="1:20" ht="20.100000000000001" customHeight="1" x14ac:dyDescent="0.25">
      <c r="A23" s="6" t="s">
        <v>2</v>
      </c>
    </row>
    <row r="24" spans="1:20" ht="20.100000000000001" customHeight="1" x14ac:dyDescent="0.25">
      <c r="A24" s="5" t="str">
        <f>HYPERLINK("#'5.1.1.1-2 Inorganic fert N2O'!A1", "5.1.1.1-2 Inorganic fert N2O")</f>
        <v>5.1.1.1-2 Inorganic fert N2O</v>
      </c>
      <c r="D24" s="2" t="str" cm="1">
        <f t="array" ref="D24">Fertiliser_Equations_AtmosphericDeposition.VEERG_5_4_1_3__2_MassOfNitrogenVolatilisedFromOrganicFertiliser_Title()</f>
        <v>Mass of nitrogen volatilised from organic fertiliser applied to production system</v>
      </c>
      <c r="N24" s="2"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5" t="str">
        <f>HYPERLINK("#'5.1.1.3-4 Inorganic fert CO2'!A1", "5.1.1.3-4 Inorganic fert CO2")</f>
        <v>5.1.1.3-4 Inorganic fert CO2</v>
      </c>
      <c r="D25" s="27" t="str" cm="1">
        <f t="array" ref="D25">Fertiliser_Equations_AtmosphericDeposition.VEERG_5_4_1_3__2_MassOfNitrogenVolatilisedFromOrganicFertiliser_Source()</f>
        <v>VEERG 2026: 5.4.1.3, Equation (2)</v>
      </c>
      <c r="N25" s="27" t="str" cm="1">
        <f t="array" ref="N25">Fertiliser_Equations_AtmosphericDeposition.VEERG_5_4_1_3__2_MassOfNitrogenVolatilisedFromOrganicFertiliser_Source()</f>
        <v>VEERG 2026: 5.4.1.3, Equation (2)</v>
      </c>
    </row>
    <row r="26" spans="1:20" ht="20.100000000000001" customHeight="1" x14ac:dyDescent="0.25">
      <c r="A26" s="5" t="str">
        <f>HYPERLINK("#'5.2.1.1-2 Organic Fert N2O'!A1", "5.2.1.1-2 Organic fert N2O")</f>
        <v>5.2.1.1-2 Organic fert N2O</v>
      </c>
      <c r="D26" s="132" t="s">
        <v>267</v>
      </c>
      <c r="E26" s="132" t="str" cm="1">
        <f t="array" aca="1" ref="E26" ca="1">Common_InputFunctions.Utility_DisplayFunctionName(E35)</f>
        <v>=Fertiliser_Equations_AtmosphericDeposition.VEERG_5_4_1_3__2_MassOfNitrogenVolatilisedFromOrganicFertiliser</v>
      </c>
      <c r="N26" s="132" t="s">
        <v>267</v>
      </c>
      <c r="O26" s="132" t="str" cm="1">
        <f t="array" aca="1" ref="O26" ca="1">Common_InputFunctions.Utility_DisplayFunctionName(O35)</f>
        <v>=Fertiliser_Equations_AtmosphericDeposition.VEERG_5_4_1_3__2_MassOfNitrogenVolatilisedFromOrganicFertiliser</v>
      </c>
    </row>
    <row r="27" spans="1:20" ht="20.100000000000001" customHeight="1" x14ac:dyDescent="0.25">
      <c r="A27" s="5" t="str">
        <f>HYPERLINK("#'5.3.1.1-2 Lime CO2'!A1", "5.3.1.1-2 Lime CO2")</f>
        <v>5.3.1.1-2 Lime CO2</v>
      </c>
    </row>
    <row r="28" spans="1:20" ht="20.100000000000001" customHeight="1" x14ac:dyDescent="0.25">
      <c r="A28" s="5" t="str">
        <f>HYPERLINK("#'5.4.1.1-4 Atmos deposition'!A1", "5.4.1.1-4 Atmos. deposition")</f>
        <v>5.4.1.1-4 Atmos. deposition</v>
      </c>
    </row>
    <row r="29" spans="1:20" ht="20.100000000000001" customHeight="1" x14ac:dyDescent="0.25">
      <c r="A29" s="5" t="str">
        <f>HYPERLINK("#'5.5.1.1-2 Leaching and runoff'!A1", "5.5.1.1-2 Leaching &amp; runoff")</f>
        <v>5.5.1.1-2 Leaching &amp; runoff</v>
      </c>
      <c r="D29" s="88" t="s">
        <v>268</v>
      </c>
      <c r="E29" s="1" t="str" cm="1">
        <f t="array" ref="E29">Fertiliser_Equations_AtmosphericDeposition.VEERG_5_4_1_3__2_MassOfNitrogenVolatilisedFromOrganicFertiliser_Variable()</f>
        <v>M_volorganicjf</v>
      </c>
      <c r="N29" s="88" t="s">
        <v>268</v>
      </c>
      <c r="O29" s="1" t="str" cm="1">
        <f t="array" ref="O29">Fertiliser_Equations_AtmosphericDeposition.VEERG_5_4_1_3__2_MassOfNitrogenVolatilisedFromOrganicFertiliser_Variable()</f>
        <v>M_volorganicjf</v>
      </c>
    </row>
    <row r="30" spans="1:20" ht="20.100000000000001" customHeight="1" x14ac:dyDescent="0.25">
      <c r="A30" s="5" t="str">
        <f>HYPERLINK("#'6.1.1.1-2 Crop residue N2O'!A1", "6.1.1.1-2 Crop residue N2O")</f>
        <v>6.1.1.1-2 Crop residue N2O</v>
      </c>
      <c r="D30" s="88" t="s">
        <v>121</v>
      </c>
      <c r="E30" s="15" t="str" cm="1">
        <f t="array" ref="E30">Fertiliser_Equations_AtmosphericDeposition.VEERG_5_4_1_3__2_MassOfNitrogenVolatilisedFromOrganicFertiliser_Unit()</f>
        <v>kg N</v>
      </c>
      <c r="N30" s="88" t="s">
        <v>121</v>
      </c>
      <c r="O30" s="15" t="str" cm="1">
        <f t="array" ref="O30">Fertiliser_Equations_AtmosphericDeposition.VEERG_5_4_1_3__2_MassOfNitrogenVolatilisedFromOrganicFertiliser_Unit()</f>
        <v>kg N</v>
      </c>
    </row>
    <row r="31" spans="1:20" ht="20.100000000000001" customHeight="1" x14ac:dyDescent="0.25">
      <c r="A31" s="5" t="str">
        <f>HYPERLINK("#'6.3.1.1-2 Leach runoff crop'!A1", "6.3.1.1-2 Leach &amp; runoff (crop)")</f>
        <v>6.3.1.1-2 Leach &amp; runoff (crop)</v>
      </c>
    </row>
    <row r="32" spans="1:20" ht="20.100000000000001" customHeight="1" x14ac:dyDescent="0.25">
      <c r="A32" s="5" t="str">
        <f>HYPERLINK("#'6.4.1.1-2 Residue burning'!A1", "6.4.1.1-2 Residue burning")</f>
        <v>6.4.1.1-2 Residue burning</v>
      </c>
      <c r="D32" s="154" t="str" cm="1">
        <f t="array" ref="D32:E33">_xlfn.CHOOSECOLS(Fertiliser_Equations_AtmosphericDeposition.VEERG_5_4_1_3__2_MassOfNitrogenVolatilisedFromOrganicFertiliser_Arguments(), 1, 2)</f>
        <v>MNSoil_jf</v>
      </c>
      <c r="E32" s="154" t="str">
        <v>mass of nitrogen in organic fertiliser type f applied to production system j</v>
      </c>
      <c r="F32" s="154"/>
      <c r="G32" s="154" t="str" cm="1">
        <f t="array" ref="G32:H33">_xlfn.CHOOSECOLS(Fertiliser_Equations_AtmosphericDeposition.VEERG_5_4_1_3__2_MassOfNitrogenVolatilisedFromOrganicFertiliser_Arguments(), 3,4)</f>
        <v>kg N</v>
      </c>
      <c r="H32" s="137" t="str">
        <v>Calculated from 5.2.1.1 (2)</v>
      </c>
      <c r="I32" s="154">
        <f>X_Cell_ManureSentOffsite_MassNitrogenManure_Method1</f>
        <v>1000</v>
      </c>
      <c r="N32" s="154" t="str" cm="1">
        <f t="array" ref="N32:O33">_xlfn.CHOOSECOLS(Fertiliser_Equations_AtmosphericDeposition.VEERG_5_4_1_3__2_MassOfNitrogenVolatilisedFromOrganicFertiliser_Arguments(), 1, 2)</f>
        <v>MNSoil_jf</v>
      </c>
      <c r="O32" s="154" t="str">
        <v>mass of nitrogen in organic fertiliser type f applied to production system j</v>
      </c>
      <c r="P32" s="154"/>
      <c r="Q32" s="154" t="str" cm="1">
        <f t="array" ref="Q32:R33">_xlfn.CHOOSECOLS(Fertiliser_Equations_AtmosphericDeposition.VEERG_5_4_1_3__2_MassOfNitrogenVolatilisedFromOrganicFertiliser_Arguments(), 3,4)</f>
        <v>kg N</v>
      </c>
      <c r="R32" s="137" t="str">
        <v>Calculated from 5.2.1.1 (2)</v>
      </c>
      <c r="S32" s="154">
        <f>X_Cell_ManureSentOffsite_MassNitrogenManure_Method2</f>
        <v>2000</v>
      </c>
    </row>
    <row r="33" spans="1:19" ht="20.100000000000001" customHeight="1" x14ac:dyDescent="0.25">
      <c r="A33" s="5" t="str">
        <f>HYPERLINK("#'8.1.1.1-2 Transport fuel'!A1", "8.1.1.1-2 Transport fuel")</f>
        <v>8.1.1.1-2 Transport fuel</v>
      </c>
      <c r="D33" s="154" t="str">
        <v>FracGASM_soil</v>
      </c>
      <c r="E33" s="154" t="str">
        <v>fraction of organic fertiliser N that volatilises</v>
      </c>
      <c r="F33" s="154"/>
      <c r="G33" s="154" t="str">
        <v>(kg NH3-N + NOx-N)/kg N</v>
      </c>
      <c r="H33" s="137" t="str">
        <v>Constant</v>
      </c>
      <c r="I33" s="154">
        <f>Fertiliser_FracGASMSoil_Data</f>
        <v>0.21</v>
      </c>
      <c r="N33" s="154" t="str">
        <v>FracGASM_soil</v>
      </c>
      <c r="O33" s="154" t="str">
        <v>fraction of organic fertiliser N that volatilises</v>
      </c>
      <c r="P33" s="154"/>
      <c r="Q33" s="154" t="str">
        <v>(kg NH3-N + NOx-N)/kg N</v>
      </c>
      <c r="R33" s="137" t="str">
        <v>Constant</v>
      </c>
      <c r="S33" s="154"/>
    </row>
    <row r="34" spans="1:19" ht="20.100000000000001" customHeight="1" x14ac:dyDescent="0.25">
      <c r="A34" s="5" t="str">
        <f>HYPERLINK("#'8.2.1.1-2 Stationary fuel'!A1", "8.2.1.1-2 Stationary fuel")</f>
        <v>8.2.1.1-2 Stationary fuel</v>
      </c>
    </row>
    <row r="35" spans="1:19" ht="20.100000000000001" customHeight="1" x14ac:dyDescent="0.25">
      <c r="A35" s="5" t="str">
        <f>HYPERLINK("#'14.1.1-2 Purchased electricity'!A1", "14.1.1-2 Purchased electricity")</f>
        <v>14.1.1-2 Purchased electricity</v>
      </c>
      <c r="D35" s="159" t="s">
        <v>938</v>
      </c>
      <c r="E35" s="146" cm="1">
        <f t="array" ref="E35">Fertiliser_Equations_AtmosphericDeposition.VEERG_5_4_1_3__2_MassOfNitrogenVolatilisedFromOrganicFertiliser(I32,I33)</f>
        <v>210</v>
      </c>
      <c r="F35" s="153" t="str">
        <f>E30</f>
        <v>kg N</v>
      </c>
      <c r="N35" s="159" t="s">
        <v>938</v>
      </c>
      <c r="O35" s="146" cm="1">
        <f t="array" ref="O35">Fertiliser_Equations_AtmosphericDeposition.VEERG_5_4_1_3__2_MassOfNitrogenVolatilisedFromOrganicFertiliser(S32,I33)</f>
        <v>420</v>
      </c>
      <c r="P35" s="153" t="str">
        <f>O30</f>
        <v>kg N</v>
      </c>
    </row>
    <row r="36" spans="1:19" ht="20.100000000000001" customHeight="1" x14ac:dyDescent="0.25">
      <c r="A36" s="5" t="str">
        <f>HYPERLINK("#'15 Scope 3'!A1", "15 Scope 3")</f>
        <v>15 Scope 3</v>
      </c>
    </row>
    <row r="37" spans="1:19" ht="20.100000000000001" customHeight="1" x14ac:dyDescent="0.25">
      <c r="A37" s="141" t="str">
        <f>HYPERLINK("#'Calcs - Manure sent off-site'!A1", "Calcs - Manure sent off-site")</f>
        <v>Calcs - Manure sent off-site</v>
      </c>
    </row>
    <row r="38" spans="1:19" ht="20.100000000000001" customHeight="1" x14ac:dyDescent="0.25">
      <c r="A38" s="5" t="str">
        <f>HYPERLINK("#'10.1.1-2 Solid waste treatment'!A1", "10.1.1-2 Solid waste treatment")</f>
        <v>10.1.1-2 Solid waste treatment</v>
      </c>
    </row>
    <row r="39" spans="1:19" ht="20.100000000000001" customHeight="1" x14ac:dyDescent="0.25">
      <c r="A39"/>
    </row>
    <row r="40" spans="1:19" ht="20.100000000000001" customHeight="1" x14ac:dyDescent="0.25">
      <c r="A40"/>
      <c r="D40" s="2" t="str" cm="1">
        <f t="array" ref="D40">Fertiliser_Equations_AtmosphericDeposition.VEERG_5_4_1_3__1_OrganicFertiliserAtmosphericDepositionN2OEmissions_Title()</f>
        <v>Nitrous oxide emissions from atmospheric deposition of all organic fertiliser types f and all production systems j</v>
      </c>
      <c r="N40" s="2"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121" t="s">
        <v>1</v>
      </c>
      <c r="D41" s="27" t="str" cm="1">
        <f t="array" ref="D41">Fertiliser_Equations_AtmosphericDeposition.VEERG_5_4_1_3__1_OrganicFertiliserAtmosphericDepositionN2OEmissions_Source()</f>
        <v>VEERG 2026: 5.4.1.3, Equation (1)</v>
      </c>
      <c r="N41" s="27" t="str" cm="1">
        <f t="array" ref="N41">Fertiliser_Equations_AtmosphericDeposition.VEERG_5_4_1_3__1_OrganicFertiliserAtmosphericDepositionN2OEmissions_Source()</f>
        <v>VEERG 2026: 5.4.1.3, Equation (1)</v>
      </c>
    </row>
    <row r="42" spans="1:19" ht="20.100000000000001" customHeight="1" x14ac:dyDescent="0.25">
      <c r="A42" s="5" t="str">
        <f>HYPERLINK("#'Constants - Ag Residue'!A1", "Constants - Ag residue")</f>
        <v>Constants - Ag residue</v>
      </c>
      <c r="D42" s="132" t="s">
        <v>267</v>
      </c>
      <c r="E42" s="132" t="str">
        <f ca="1">Common_InputFunctions.Utility_DisplayFunctionName(VEERG_5_4_1_3__1_OrganicFertiliserAtmosphericDepositionN2OEmissions_Result_Method1)</f>
        <v>=Fertiliser_Equations_AtmosphericDeposition.VEERG_5_4_1_3__1_OrganicFertiliserAtmosphericDepositionN2OEmissions</v>
      </c>
      <c r="N42" s="132" t="s">
        <v>267</v>
      </c>
      <c r="O42" s="132"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c r="A43" s="5" t="str">
        <f>HYPERLINK("#'Constants - Common Livestock'!A1", "Constants - Common Livestock")</f>
        <v>Constants - Common Livestock</v>
      </c>
    </row>
    <row r="44" spans="1:19" ht="20.100000000000001" customHeight="1" x14ac:dyDescent="0.25">
      <c r="A44" s="5" t="str">
        <f>HYPERLINK("#'Constants - Electricity'!A1", "Constants - Electricity")</f>
        <v>Constants - Electricity</v>
      </c>
    </row>
    <row r="45" spans="1:19" ht="20.100000000000001" customHeight="1" x14ac:dyDescent="0.25">
      <c r="A45" s="5" t="str">
        <f>HYPERLINK("#'Constants - Fertiliser'!A1", "Constants - Fertiliser")</f>
        <v>Constants - Fertiliser</v>
      </c>
      <c r="D45" s="88" t="s">
        <v>268</v>
      </c>
      <c r="E45" s="1" t="str" cm="1">
        <f t="array" ref="E45">Fertiliser_Equations_AtmosphericDeposition.VEERG_5_4_1_3__1_OrganicFertiliserAtmosphericDepositionN2OEmissions_Variable()</f>
        <v>E_adorganic</v>
      </c>
      <c r="N45" s="88" t="s">
        <v>268</v>
      </c>
      <c r="O45" s="1" t="str" cm="1">
        <f t="array" ref="O45">Fertiliser_Equations_AtmosphericDeposition.VEERG_5_4_1_3__1_OrganicFertiliserAtmosphericDepositionN2OEmissions_Variable()</f>
        <v>E_adorganic</v>
      </c>
    </row>
    <row r="46" spans="1:19" ht="20.100000000000001" customHeight="1" x14ac:dyDescent="0.25">
      <c r="A46" s="5" t="str">
        <f>HYPERLINK("#'Constants - Fuel'!A1", "Constants - Fuel")</f>
        <v>Constants - Fuel</v>
      </c>
      <c r="D46" s="88" t="s">
        <v>121</v>
      </c>
      <c r="E46" s="15" t="str" cm="1">
        <f t="array" ref="E46">Fertiliser_Equations_AtmosphericDeposition.VEERG_5_4_1_3__1_OrganicFertiliserAtmosphericDepositionN2OEmissions_Unit()</f>
        <v>t N2O</v>
      </c>
      <c r="N46" s="88" t="s">
        <v>121</v>
      </c>
      <c r="O46" s="15" t="str" cm="1">
        <f t="array" ref="O46">Fertiliser_Equations_AtmosphericDeposition.VEERG_5_4_1_3__1_OrganicFertiliserAtmosphericDepositionN2OEmissions_Unit()</f>
        <v>t N2O</v>
      </c>
    </row>
    <row r="47" spans="1:19" ht="20.100000000000001" customHeight="1" x14ac:dyDescent="0.25">
      <c r="A47" s="5" t="str">
        <f>HYPERLINK("#'Constants - Scope 3'!A1", "Constants - Scope 3")</f>
        <v>Constants - Scope 3</v>
      </c>
    </row>
    <row r="48" spans="1:19" ht="20.100000000000001" customHeight="1" x14ac:dyDescent="0.25">
      <c r="A48" s="5" t="str">
        <f>HYPERLINK("#'Constants - Common'!A1", "Constants - Common")</f>
        <v>Constants - Common</v>
      </c>
      <c r="D48" s="154" t="str" cm="1">
        <f t="array" ref="D48:E53">_xlfn.CHOOSECOLS(Fertiliser_Equations_AtmosphericDeposition.VEERG_5_4_1_3__1_OrganicFertiliserAtmosphericDepositionN2OEmissions_Arguments(), 1, 2)</f>
        <v>M_volorganicjf</v>
      </c>
      <c r="E48" s="162" t="str">
        <v>mass of nitrogen volatilised from organic fertiliser applied to production system</v>
      </c>
      <c r="F48" s="164"/>
      <c r="G48" s="154" t="str" cm="1">
        <f t="array" ref="G48:H53">_xlfn.CHOOSECOLS(Fertiliser_Equations_AtmosphericDeposition.VEERG_5_4_1_3__1_OrganicFertiliserAtmosphericDepositionN2OEmissions_Arguments(), 3,4)</f>
        <v>kg N</v>
      </c>
      <c r="H48" s="137" t="str">
        <v>Calculated from 5.4.1.3 (2)</v>
      </c>
      <c r="I48" s="154">
        <f>E35</f>
        <v>210</v>
      </c>
      <c r="N48" s="154" t="str" cm="1">
        <f t="array" ref="N48:O53">_xlfn.CHOOSECOLS(Fertiliser_Equations_AtmosphericDeposition.VEERG_5_4_1_3__1_OrganicFertiliserAtmosphericDepositionN2OEmissions_Arguments(), 1, 2)</f>
        <v>M_volorganicjf</v>
      </c>
      <c r="O48" s="162" t="str">
        <v>mass of nitrogen volatilised from organic fertiliser applied to production system</v>
      </c>
      <c r="P48" s="164"/>
      <c r="Q48" s="154" t="str" cm="1">
        <f t="array" ref="Q48:R53">_xlfn.CHOOSECOLS(Fertiliser_Equations_AtmosphericDeposition.VEERG_5_4_1_3__1_OrganicFertiliserAtmosphericDepositionN2OEmissions_Arguments(), 3,4)</f>
        <v>kg N</v>
      </c>
      <c r="R48" s="137" t="str">
        <v>Calculated from 5.4.1.3 (2)</v>
      </c>
      <c r="S48" s="154">
        <f>O35</f>
        <v>420</v>
      </c>
    </row>
    <row r="49" spans="1:19" ht="20.100000000000001" customHeight="1" x14ac:dyDescent="0.25">
      <c r="A49" s="5" t="str">
        <f>HYPERLINK("#'Constants - Solid Waste'!A1", "Constants - Solid Waste")</f>
        <v>Constants - Solid Waste</v>
      </c>
      <c r="D49" s="154" t="str">
        <v>EF_N2Oj</v>
      </c>
      <c r="E49" s="162" t="str">
        <v>emission factor for atmospheric deposition in production system j</v>
      </c>
      <c r="F49" s="164"/>
      <c r="G49" s="154" t="str">
        <v>kg N2O-N/kg N</v>
      </c>
      <c r="H49" s="137" t="str">
        <v>Constant</v>
      </c>
      <c r="I49" s="154">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54" t="str">
        <v>EF_N2Oj</v>
      </c>
      <c r="O49" s="162" t="str">
        <v>emission factor for atmospheric deposition in production system j</v>
      </c>
      <c r="P49" s="164"/>
      <c r="Q49" s="154" t="str">
        <v>kg N2O-N/kg N</v>
      </c>
      <c r="R49" s="137" t="str">
        <v>Constant</v>
      </c>
      <c r="S49" s="154"/>
    </row>
    <row r="50" spans="1:19" ht="20.100000000000001" customHeight="1" x14ac:dyDescent="0.25">
      <c r="A50"/>
      <c r="D50" s="154" t="str">
        <v>C_N2O</v>
      </c>
      <c r="E50" s="162" t="str">
        <v>factor to convert elemental mass of nitrous oxide to molecular mass</v>
      </c>
      <c r="F50" s="164"/>
      <c r="G50" s="154" t="str">
        <v/>
      </c>
      <c r="H50" s="137" t="str">
        <v>Constant</v>
      </c>
      <c r="I50" s="133">
        <f>Common_InputFunctions.Utility_LookupValueInTableNumber("N2O",Table_GasToMolecularConversionFactor[Gas],Table_GasToMolecularConversionFactor[Conversion factor combined])</f>
        <v>1.5714285714285714</v>
      </c>
      <c r="N50" s="154" t="str">
        <v>C_N2O</v>
      </c>
      <c r="O50" s="162" t="str">
        <v>factor to convert elemental mass of nitrous oxide to molecular mass</v>
      </c>
      <c r="P50" s="164"/>
      <c r="Q50" s="154" t="str">
        <v/>
      </c>
      <c r="R50" s="137" t="str">
        <v>Constant</v>
      </c>
      <c r="S50" s="133"/>
    </row>
    <row r="51" spans="1:19" ht="20.100000000000001" customHeight="1" x14ac:dyDescent="0.25">
      <c r="A51"/>
      <c r="D51" s="154" t="str">
        <v>j</v>
      </c>
      <c r="E51" s="162" t="str">
        <v>Production system</v>
      </c>
      <c r="F51" s="164"/>
      <c r="G51" s="154" t="str">
        <v/>
      </c>
      <c r="H51" s="253" t="str">
        <v>Input</v>
      </c>
      <c r="I51" s="154" t="str">
        <f>X_Cell_ManureSentOffsite_ManureProductionSystem</f>
        <v>Crop</v>
      </c>
      <c r="N51" s="154" t="str">
        <v>j</v>
      </c>
      <c r="O51" s="162" t="str">
        <v>Production system</v>
      </c>
      <c r="P51" s="164"/>
      <c r="Q51" s="154" t="str">
        <v/>
      </c>
      <c r="R51" s="253" t="str">
        <v>Input</v>
      </c>
      <c r="S51" s="154"/>
    </row>
    <row r="52" spans="1:19" ht="20.100000000000001" customHeight="1" x14ac:dyDescent="0.25">
      <c r="A52"/>
      <c r="D52" s="154" t="str">
        <v>ir</v>
      </c>
      <c r="E52" s="162" t="str">
        <v>irrigation method</v>
      </c>
      <c r="F52" s="164"/>
      <c r="G52" s="154" t="str">
        <v/>
      </c>
      <c r="H52" s="253" t="str">
        <v>Input</v>
      </c>
      <c r="I52" s="154" t="str">
        <f>X_Cell_ManureSentOffsite_ManureIrrigationMethod</f>
        <v>Sprinkler irrigation</v>
      </c>
      <c r="N52" s="154" t="str">
        <v>ir</v>
      </c>
      <c r="O52" s="162" t="str">
        <v>irrigation method</v>
      </c>
      <c r="P52" s="164"/>
      <c r="Q52" s="154" t="str">
        <v/>
      </c>
      <c r="R52" s="253" t="str">
        <v>Input</v>
      </c>
      <c r="S52" s="154"/>
    </row>
    <row r="53" spans="1:19" ht="20.100000000000001" customHeight="1" x14ac:dyDescent="0.25">
      <c r="A53"/>
      <c r="D53" s="154" t="str">
        <v>r</v>
      </c>
      <c r="E53" s="162" t="str">
        <v>rainfall region</v>
      </c>
      <c r="F53" s="164"/>
      <c r="G53" s="154" t="str">
        <v/>
      </c>
      <c r="H53" s="253" t="str">
        <v>Input</v>
      </c>
      <c r="I53" s="154" t="str">
        <f>X_Cell_Site_RainfallZone</f>
        <v>High rainfall</v>
      </c>
      <c r="N53" s="154" t="str">
        <v>r</v>
      </c>
      <c r="O53" s="162" t="str">
        <v>rainfall region</v>
      </c>
      <c r="P53" s="164"/>
      <c r="Q53" s="154" t="str">
        <v/>
      </c>
      <c r="R53" s="253" t="str">
        <v>Input</v>
      </c>
      <c r="S53" s="154"/>
    </row>
    <row r="54" spans="1:19" ht="20.100000000000001" customHeight="1" x14ac:dyDescent="0.25">
      <c r="A54"/>
    </row>
    <row r="55" spans="1:19" ht="20.100000000000001" customHeight="1" x14ac:dyDescent="0.25">
      <c r="A55"/>
      <c r="D55" s="149" t="s">
        <v>337</v>
      </c>
      <c r="E55" s="150" cm="1">
        <f t="array" ref="E55">Fertiliser_Equations_AtmosphericDeposition.VEERG_5_4_1_3__1_OrganicFertiliserAtmosphericDepositionN2OEmissions(I48,I49,I50)</f>
        <v>2.31E-3</v>
      </c>
      <c r="F55" s="151" t="str">
        <f>$E$46</f>
        <v>t N2O</v>
      </c>
      <c r="N55" s="149" t="s">
        <v>337</v>
      </c>
      <c r="O55" s="150" cm="1">
        <f t="array" ref="O55">Fertiliser_Equations_AtmosphericDeposition.VEERG_5_4_1_3__1_OrganicFertiliserAtmosphericDepositionN2OEmissions(S48,I49,I50)</f>
        <v>4.62E-3</v>
      </c>
      <c r="P55" s="151" t="str">
        <f>$E$46</f>
        <v>t N2O</v>
      </c>
    </row>
    <row r="56" spans="1:19" ht="20.100000000000001" customHeight="1" x14ac:dyDescent="0.25">
      <c r="A56"/>
    </row>
    <row r="57" spans="1:19" ht="20.100000000000001" customHeight="1" x14ac:dyDescent="0.25">
      <c r="A57"/>
    </row>
    <row r="58" spans="1:19" ht="20.100000000000001" customHeight="1" x14ac:dyDescent="0.25">
      <c r="A58"/>
    </row>
    <row r="59" spans="1:19" ht="20.100000000000001" customHeight="1" x14ac:dyDescent="0.25">
      <c r="A59"/>
      <c r="D59" s="2" t="str" cm="1">
        <f t="array" ref="D59">Fertiliser_Equations_LeachingAndRunoff.VEERG_5_5_1_1__3_MassOfNitrogenLeachedFromOrganicFertiliser_Title()</f>
        <v>Mass of nitrogen lost through leaching and runoff from organic fertiliser application in production system j</v>
      </c>
      <c r="N59" s="2" t="str" cm="1">
        <f t="array" ref="N59">Fertiliser_Equations_LeachingAndRunoff.VEERG_5_5_1_1__3_MassOfNitrogenLeachedFromOrganicFertiliser_Title()</f>
        <v>Mass of nitrogen lost through leaching and runoff from organic fertiliser application in production system j</v>
      </c>
    </row>
    <row r="60" spans="1:19" ht="20.100000000000001" customHeight="1" x14ac:dyDescent="0.25">
      <c r="A60"/>
      <c r="D60" s="27" t="str" cm="1">
        <f t="array" ref="D60">Fertiliser_Equations_LeachingAndRunoff.VEERG_5_5_1_1__3_MassOfNitrogenLeachedFromOrganicFertiliser_Source()</f>
        <v>VEERG 2026: 5.5, Equation (3)</v>
      </c>
      <c r="N60" s="27" t="str" cm="1">
        <f t="array" ref="N60">Fertiliser_Equations_LeachingAndRunoff.VEERG_5_5_1_1__3_MassOfNitrogenLeachedFromOrganicFertiliser_Source()</f>
        <v>VEERG 2026: 5.5, Equation (3)</v>
      </c>
    </row>
    <row r="61" spans="1:19" ht="20.100000000000001" customHeight="1" x14ac:dyDescent="0.25">
      <c r="A61"/>
      <c r="D61" s="132" t="s">
        <v>267</v>
      </c>
      <c r="E61" s="132" t="str" cm="1">
        <f t="array" aca="1" ref="E61" ca="1">Common_InputFunctions.Utility_DisplayFunctionName(E74)</f>
        <v>=Fertiliser_Equations_LeachingAndRunoff.VEERG_5_5_1_1__3_MassOfNitrogenLeachedFromOrganicFertiliser</v>
      </c>
      <c r="N61" s="132" t="s">
        <v>267</v>
      </c>
      <c r="O61" s="132" t="str" cm="1">
        <f t="array" aca="1" ref="O61" ca="1">Common_InputFunctions.Utility_DisplayFunctionName(O74)</f>
        <v>=Fertiliser_Equations_LeachingAndRunoff.VEERG_5_5_1_1__3_MassOfNitrogenLeachedFromOrganicFertiliser</v>
      </c>
    </row>
    <row r="62" spans="1:19" ht="20.100000000000001" customHeight="1" x14ac:dyDescent="0.25">
      <c r="A62"/>
    </row>
    <row r="63" spans="1:19" ht="20.100000000000001" customHeight="1" x14ac:dyDescent="0.25">
      <c r="A63"/>
    </row>
    <row r="64" spans="1:19" ht="20.100000000000001" customHeight="1" x14ac:dyDescent="0.25">
      <c r="A64"/>
      <c r="D64" s="88" t="s">
        <v>268</v>
      </c>
      <c r="E64" s="1" t="str" cm="1">
        <f t="array" ref="E64">Fertiliser_Equations_LeachingAndRunoff.VEERG_5_5_1_1__3_MassOfNitrogenLeachedFromOrganicFertiliser_Variable()</f>
        <v>M_leachorganicj</v>
      </c>
      <c r="N64" s="88" t="s">
        <v>268</v>
      </c>
      <c r="O64" s="1" t="str" cm="1">
        <f t="array" ref="O64">Fertiliser_Equations_LeachingAndRunoff.VEERG_5_5_1_1__3_MassOfNitrogenLeachedFromOrganicFertiliser_Variable()</f>
        <v>M_leachorganicj</v>
      </c>
    </row>
    <row r="65" spans="1:19" ht="20.100000000000001" customHeight="1" x14ac:dyDescent="0.25">
      <c r="A65"/>
      <c r="D65" s="88" t="s">
        <v>121</v>
      </c>
      <c r="E65" s="15" t="str" cm="1">
        <f t="array" ref="E65">Fertiliser_Equations_LeachingAndRunoff.VEERG_5_5_1_1__3_MassOfNitrogenLeachedFromOrganicFertiliser_Unit()</f>
        <v>kg N</v>
      </c>
      <c r="N65" s="88" t="s">
        <v>121</v>
      </c>
      <c r="O65" s="15" t="str" cm="1">
        <f t="array" ref="O65">Fertiliser_Equations_LeachingAndRunoff.VEERG_5_5_1_1__3_MassOfNitrogenLeachedFromOrganicFertiliser_Unit()</f>
        <v>kg N</v>
      </c>
    </row>
    <row r="66" spans="1:19" ht="20.100000000000001" customHeight="1" x14ac:dyDescent="0.25">
      <c r="A66"/>
    </row>
    <row r="67" spans="1:19" ht="20.100000000000001" customHeight="1" x14ac:dyDescent="0.25">
      <c r="A67"/>
      <c r="D67" s="154" t="str" cm="1">
        <f t="array" ref="D67:E72">_xlfn.CHOOSECOLS(Fertiliser_Equations_LeachingAndRunoff.VEERG_5_5_1_1__3_MassOfNitrogenLeachedFromOrganicFertiliser_Arguments(), 1, 2)</f>
        <v>MNSoil_jf</v>
      </c>
      <c r="E67" s="162" t="str">
        <v>mass of nitrogen in organic fertiliser</v>
      </c>
      <c r="F67" s="164"/>
      <c r="G67" s="154" t="str" cm="1">
        <f t="array" ref="G67:H72">_xlfn.CHOOSECOLS(Fertiliser_Equations_LeachingAndRunoff.VEERG_5_5_1_1__3_MassOfNitrogenLeachedFromOrganicFertiliser_Arguments(), 3,4)</f>
        <v>kg N</v>
      </c>
      <c r="H67" s="137" t="str">
        <v>Calculated from 5.2.1.1 (2)</v>
      </c>
      <c r="I67" s="154">
        <f>X_Cell_ManureSentOffsite_MassNitrogenManure_Method1</f>
        <v>1000</v>
      </c>
      <c r="N67" s="154" t="str" cm="1">
        <f t="array" ref="N67:O72">_xlfn.CHOOSECOLS(Fertiliser_Equations_LeachingAndRunoff.VEERG_5_5_1_1__3_MassOfNitrogenLeachedFromOrganicFertiliser_Arguments(), 1, 2)</f>
        <v>MNSoil_jf</v>
      </c>
      <c r="O67" s="162" t="str">
        <v>mass of nitrogen in organic fertiliser</v>
      </c>
      <c r="P67" s="164"/>
      <c r="Q67" s="154" t="str" cm="1">
        <f t="array" ref="Q67:R72">_xlfn.CHOOSECOLS(Fertiliser_Equations_LeachingAndRunoff.VEERG_5_5_1_1__3_MassOfNitrogenLeachedFromOrganicFertiliser_Arguments(), 3,4)</f>
        <v>kg N</v>
      </c>
      <c r="R67" s="137" t="str">
        <v>Calculated from 5.2.1.1 (2)</v>
      </c>
      <c r="S67" s="154">
        <f>X_Cell_ManureSentOffsite_MassNitrogenManure_Method2</f>
        <v>2000</v>
      </c>
    </row>
    <row r="68" spans="1:19" ht="20.100000000000001" customHeight="1" x14ac:dyDescent="0.25">
      <c r="A68"/>
      <c r="D68" s="154" t="str">
        <v>FracWETj</v>
      </c>
      <c r="E68" s="162" t="str">
        <v>fraction of N available for leaching and runoff</v>
      </c>
      <c r="F68" s="164"/>
      <c r="G68" s="154" t="str">
        <v>fraction</v>
      </c>
      <c r="H68" s="137" t="str">
        <v>Constant</v>
      </c>
      <c r="I68" s="154">
        <f>Common_InputFunctions.CommonCropping_GetFracWET(I70,I72,Table_SourceData_FracWET[Is in leaching zone],Table_SourceData_FracWET[FracWET],Table_SourceData_FracWETIrrigation[Irrigation type i],Table_SourceData_FracWETIrrigation[FracWET])</f>
        <v>1</v>
      </c>
      <c r="N68" s="154" t="str">
        <v>FracWETj</v>
      </c>
      <c r="O68" s="162" t="str">
        <v>fraction of N available for leaching and runoff</v>
      </c>
      <c r="P68" s="164"/>
      <c r="Q68" s="154" t="str">
        <v>fraction</v>
      </c>
      <c r="R68" s="137" t="str">
        <v>Constant</v>
      </c>
      <c r="S68" s="154"/>
    </row>
    <row r="69" spans="1:19" ht="20.100000000000001" customHeight="1" x14ac:dyDescent="0.25">
      <c r="A69"/>
      <c r="D69" s="154" t="str">
        <v>FracLEACH</v>
      </c>
      <c r="E69" s="162" t="str">
        <v>fraction of N that is lost through leaching and runoff</v>
      </c>
      <c r="F69" s="164"/>
      <c r="G69" s="154" t="str">
        <v>fraction</v>
      </c>
      <c r="H69" s="137" t="str">
        <v>Constant</v>
      </c>
      <c r="I69" s="154">
        <f>Fertiliser_FracLEACH_Data</f>
        <v>0.24</v>
      </c>
      <c r="N69" s="154" t="str">
        <v>FracLEACH</v>
      </c>
      <c r="O69" s="162" t="str">
        <v>fraction of N that is lost through leaching and runoff</v>
      </c>
      <c r="P69" s="164"/>
      <c r="Q69" s="154" t="str">
        <v>fraction</v>
      </c>
      <c r="R69" s="137" t="str">
        <v>Constant</v>
      </c>
      <c r="S69" s="154"/>
    </row>
    <row r="70" spans="1:19" ht="20.100000000000001" customHeight="1" x14ac:dyDescent="0.25">
      <c r="A70"/>
      <c r="D70" s="154" t="str">
        <v>z</v>
      </c>
      <c r="E70" s="162" t="str">
        <v>location in leaching zone</v>
      </c>
      <c r="F70" s="164"/>
      <c r="G70" s="154" t="str">
        <v/>
      </c>
      <c r="H70" s="253" t="str">
        <v>Input</v>
      </c>
      <c r="I70" s="154" t="str">
        <f>X_Cell_Site_LeachingZone</f>
        <v>NO - Not in leaching zone</v>
      </c>
      <c r="N70" s="154" t="str">
        <v>z</v>
      </c>
      <c r="O70" s="162" t="str">
        <v>location in leaching zone</v>
      </c>
      <c r="P70" s="164"/>
      <c r="Q70" s="154" t="str">
        <v/>
      </c>
      <c r="R70" s="253" t="str">
        <v>Input</v>
      </c>
      <c r="S70" s="154"/>
    </row>
    <row r="71" spans="1:19" ht="20.100000000000001" customHeight="1" x14ac:dyDescent="0.25">
      <c r="A71"/>
      <c r="D71" s="154" t="str">
        <v>j</v>
      </c>
      <c r="E71" s="162" t="str">
        <v>production system</v>
      </c>
      <c r="F71" s="164"/>
      <c r="G71" s="154" t="str">
        <v/>
      </c>
      <c r="H71" s="253" t="str">
        <v>Input</v>
      </c>
      <c r="I71" s="154" t="str">
        <f>X_Cell_ManureSentOffsite_ManureProductionSystem</f>
        <v>Crop</v>
      </c>
      <c r="N71" s="154" t="str">
        <v>j</v>
      </c>
      <c r="O71" s="162" t="str">
        <v>production system</v>
      </c>
      <c r="P71" s="164"/>
      <c r="Q71" s="154" t="str">
        <v/>
      </c>
      <c r="R71" s="253" t="str">
        <v>Input</v>
      </c>
      <c r="S71" s="154"/>
    </row>
    <row r="72" spans="1:19" ht="20.100000000000001" customHeight="1" x14ac:dyDescent="0.25">
      <c r="A72"/>
      <c r="D72" s="154" t="str">
        <v>ir</v>
      </c>
      <c r="E72" s="162" t="str">
        <v>irrigation method</v>
      </c>
      <c r="F72" s="164"/>
      <c r="G72" s="154" t="str">
        <v/>
      </c>
      <c r="H72" s="253" t="str">
        <v>Input</v>
      </c>
      <c r="I72" s="154" t="str">
        <f>X_Cell_ManureSentOffsite_ManureIrrigationMethod</f>
        <v>Sprinkler irrigation</v>
      </c>
      <c r="N72" s="154" t="str">
        <v>ir</v>
      </c>
      <c r="O72" s="162" t="str">
        <v>irrigation method</v>
      </c>
      <c r="P72" s="164"/>
      <c r="Q72" s="154" t="str">
        <v/>
      </c>
      <c r="R72" s="253" t="str">
        <v>Input</v>
      </c>
      <c r="S72" s="154"/>
    </row>
    <row r="73" spans="1:19" ht="20.100000000000001" customHeight="1" x14ac:dyDescent="0.25">
      <c r="A73"/>
    </row>
    <row r="74" spans="1:19" ht="20.100000000000001" customHeight="1" x14ac:dyDescent="0.25">
      <c r="A74"/>
      <c r="D74" s="159" t="s">
        <v>939</v>
      </c>
      <c r="E74" s="146" cm="1">
        <f t="array" ref="E74">Fertiliser_Equations_LeachingAndRunoff.VEERG_5_5_1_1__3_MassOfNitrogenLeachedFromOrganicFertiliser(I67,I68,I69)</f>
        <v>240</v>
      </c>
      <c r="F74" s="153" t="str">
        <f>$E$65</f>
        <v>kg N</v>
      </c>
      <c r="N74" s="159" t="s">
        <v>939</v>
      </c>
      <c r="O74" s="146" cm="1">
        <f t="array" ref="O74">Fertiliser_Equations_LeachingAndRunoff.VEERG_5_5_1_1__3_MassOfNitrogenLeachedFromOrganicFertiliser(S67,I68,I69)</f>
        <v>480</v>
      </c>
      <c r="P74" s="153" t="str">
        <f>$E$65</f>
        <v>kg N</v>
      </c>
    </row>
    <row r="75" spans="1:19" ht="20.100000000000001" customHeight="1" x14ac:dyDescent="0.25">
      <c r="A75"/>
    </row>
    <row r="76" spans="1:19" ht="20.100000000000001" customHeight="1" x14ac:dyDescent="0.25">
      <c r="A76"/>
    </row>
    <row r="77" spans="1:19" ht="20.100000000000001" customHeight="1" x14ac:dyDescent="0.25">
      <c r="A77"/>
      <c r="D77" s="2" t="str" cm="1">
        <f t="array" ref="D77">Fertiliser_Equations_LeachingAndRunoff.VEERG_5_5_1_1__1_FertiliserLeachingAndRunoffN2OEmissions_Title()</f>
        <v>Nitrous oxide emissions from nitrogen leaching and runoff from the application of all fertilisers across all production systems j</v>
      </c>
      <c r="N77" s="2" t="str" cm="1">
        <f t="array" ref="N77">Fertiliser_Equations_LeachingAndRunoff.VEERG_5_5_1_1__1_FertiliserLeachingAndRunoffN2OEmissions_Title()</f>
        <v>Nitrous oxide emissions from nitrogen leaching and runoff from the application of all fertilisers across all production systems j</v>
      </c>
    </row>
    <row r="78" spans="1:19" ht="20.100000000000001" customHeight="1" x14ac:dyDescent="0.25">
      <c r="A78"/>
      <c r="D78" s="27" t="str" cm="1">
        <f t="array" ref="D78">Fertiliser_Equations_LeachingAndRunoff.VEERG_5_5_1_1__1_FertiliserLeachingAndRunoffN2OEmissions_Source()</f>
        <v>VEERG 2026: 5.5, Equation (1)</v>
      </c>
      <c r="N78" s="27" t="str" cm="1">
        <f t="array" ref="N78">Fertiliser_Equations_LeachingAndRunoff.VEERG_5_5_1_1__1_FertiliserLeachingAndRunoffN2OEmissions_Source()</f>
        <v>VEERG 2026: 5.5, Equation (1)</v>
      </c>
    </row>
    <row r="79" spans="1:19" ht="20.100000000000001" customHeight="1" x14ac:dyDescent="0.25">
      <c r="A79"/>
      <c r="D79" s="132" t="s">
        <v>267</v>
      </c>
      <c r="E79" s="132" t="str">
        <f ca="1">Common_InputFunctions.Utility_DisplayFunctionName(VEERG_5_5_1_1__1_FertiliserLeachingAndRunoffN2OEmissions_Result_Method1)</f>
        <v>=Fertiliser_Equations_LeachingAndRunoff.VEERG_5_5_1_1__1_FertiliserLeachingAndRunoffN2OEmissions</v>
      </c>
      <c r="N79" s="132" t="s">
        <v>267</v>
      </c>
      <c r="O79" s="132" t="str">
        <f ca="1">Common_InputFunctions.Utility_DisplayFunctionName(VEERG_5_5_1_1__1_FertiliserLeachingAndRunoffN2OEmissions_Result_Method2)</f>
        <v>=Fertiliser_Equations_LeachingAndRunoff.VEERG_5_5_1_1__1_FertiliserLeachingAndRunoffN2OEmissions</v>
      </c>
    </row>
    <row r="80" spans="1:19" ht="20.100000000000001" customHeight="1" x14ac:dyDescent="0.25">
      <c r="A80"/>
    </row>
    <row r="81" spans="1:20" ht="20.100000000000001" customHeight="1" x14ac:dyDescent="0.25">
      <c r="A81"/>
    </row>
    <row r="82" spans="1:20" ht="20.100000000000001" customHeight="1" x14ac:dyDescent="0.25">
      <c r="A82"/>
      <c r="D82" s="88" t="s">
        <v>268</v>
      </c>
      <c r="E82" s="1" t="str" cm="1">
        <f t="array" ref="E82">Fertiliser_Equations_LeachingAndRunoff.VEERG_5_5_1_1__1_FertiliserLeachingAndRunoffN2OEmissions_Variable()</f>
        <v>E_fertleach</v>
      </c>
      <c r="N82" s="88" t="s">
        <v>268</v>
      </c>
      <c r="O82" s="1" t="str" cm="1">
        <f t="array" ref="O82">Fertiliser_Equations_LeachingAndRunoff.VEERG_5_5_1_1__1_FertiliserLeachingAndRunoffN2OEmissions_Variable()</f>
        <v>E_fertleach</v>
      </c>
    </row>
    <row r="83" spans="1:20" x14ac:dyDescent="0.25">
      <c r="A83"/>
      <c r="D83" s="88" t="s">
        <v>121</v>
      </c>
      <c r="E83" s="15" t="str" cm="1">
        <f t="array" ref="E83">Fertiliser_Equations_LeachingAndRunoff.VEERG_5_5_1_1__1_FertiliserLeachingAndRunoffN2OEmissions_Unit()</f>
        <v>t N2O</v>
      </c>
      <c r="N83" s="88" t="s">
        <v>121</v>
      </c>
      <c r="O83" s="15" t="str" cm="1">
        <f t="array" ref="O83">Fertiliser_Equations_LeachingAndRunoff.VEERG_5_5_1_1__1_FertiliserLeachingAndRunoffN2OEmissions_Unit()</f>
        <v>t N2O</v>
      </c>
    </row>
    <row r="84" spans="1:20" x14ac:dyDescent="0.25">
      <c r="A84"/>
    </row>
    <row r="85" spans="1:20" x14ac:dyDescent="0.25">
      <c r="A85"/>
      <c r="D85" s="154" t="str" cm="1">
        <f t="array" ref="D85:E88">_xlfn.CHOOSECOLS(Fertiliser_Equations_LeachingAndRunoff.VEERG_5_5_1_1__1_FertiliserLeachingAndRunoffN2OEmissions_Arguments(), 1, 2)</f>
        <v>M_leachinorganicj</v>
      </c>
      <c r="E85" s="162" t="str">
        <v>mass of nitrogen lost through leaching and runoff from inorganic fertiliser application in production system j</v>
      </c>
      <c r="F85" s="163"/>
      <c r="G85" s="164"/>
      <c r="H85" s="154" t="str" cm="1">
        <f t="array" ref="H85:I88">_xlfn.CHOOSECOLS(Fertiliser_Equations_LeachingAndRunoff.VEERG_5_5_1_1__1_FertiliserLeachingAndRunoffN2OEmissions_Arguments(), 3,4)</f>
        <v>kg N</v>
      </c>
      <c r="I85" s="137" t="str">
        <v>Calculated from 5.5.1.1 (2)</v>
      </c>
      <c r="J85" s="154">
        <v>0</v>
      </c>
      <c r="N85" s="154" t="str" cm="1">
        <f t="array" ref="N85:O88">_xlfn.CHOOSECOLS(Fertiliser_Equations_LeachingAndRunoff.VEERG_5_5_1_1__1_FertiliserLeachingAndRunoffN2OEmissions_Arguments(), 1, 2)</f>
        <v>M_leachinorganicj</v>
      </c>
      <c r="O85" s="162" t="str">
        <v>mass of nitrogen lost through leaching and runoff from inorganic fertiliser application in production system j</v>
      </c>
      <c r="P85" s="163"/>
      <c r="Q85" s="164"/>
      <c r="R85" s="154" t="str" cm="1">
        <f t="array" ref="R85:S88">_xlfn.CHOOSECOLS(Fertiliser_Equations_LeachingAndRunoff.VEERG_5_5_1_1__1_FertiliserLeachingAndRunoffN2OEmissions_Arguments(), 3,4)</f>
        <v>kg N</v>
      </c>
      <c r="S85" s="137" t="str">
        <v>Calculated from 5.5.1.1 (2)</v>
      </c>
      <c r="T85" s="154"/>
    </row>
    <row r="86" spans="1:20" x14ac:dyDescent="0.25">
      <c r="A86"/>
      <c r="D86" s="154" t="str">
        <v>M_leachorganicj</v>
      </c>
      <c r="E86" s="162" t="str">
        <v>mass of nitrogen lost through leaching and runoff from organic fertiliser application</v>
      </c>
      <c r="F86" s="163"/>
      <c r="G86" s="164"/>
      <c r="H86" s="154" t="str">
        <v>kg N</v>
      </c>
      <c r="I86" s="137" t="str">
        <v>Calculated from 5.5.1.1 (3)</v>
      </c>
      <c r="J86" s="154">
        <f>E74</f>
        <v>240</v>
      </c>
      <c r="N86" s="154" t="str">
        <v>M_leachorganicj</v>
      </c>
      <c r="O86" s="162" t="str">
        <v>mass of nitrogen lost through leaching and runoff from organic fertiliser application</v>
      </c>
      <c r="P86" s="163"/>
      <c r="Q86" s="164"/>
      <c r="R86" s="154" t="str">
        <v>kg N</v>
      </c>
      <c r="S86" s="137" t="str">
        <v>Calculated from 5.5.1.1 (3)</v>
      </c>
      <c r="T86" s="154">
        <f>O74</f>
        <v>480</v>
      </c>
    </row>
    <row r="87" spans="1:20" x14ac:dyDescent="0.25">
      <c r="A87"/>
      <c r="D87" s="154" t="str">
        <v>EF_leach</v>
      </c>
      <c r="E87" s="162" t="str">
        <v>emission factor for nitrogen leaching and runoff</v>
      </c>
      <c r="F87" s="163"/>
      <c r="G87" s="164"/>
      <c r="H87" s="154" t="str">
        <v>kg N2O-N/kg N</v>
      </c>
      <c r="I87" s="137" t="str">
        <v>Constant</v>
      </c>
      <c r="J87" s="154">
        <f>Fertiliser_EFLeach_Data</f>
        <v>1.0999999999999999E-2</v>
      </c>
      <c r="N87" s="154" t="str">
        <v>EF_leach</v>
      </c>
      <c r="O87" s="162" t="str">
        <v>emission factor for nitrogen leaching and runoff</v>
      </c>
      <c r="P87" s="163"/>
      <c r="Q87" s="164"/>
      <c r="R87" s="154" t="str">
        <v>kg N2O-N/kg N</v>
      </c>
      <c r="S87" s="137" t="str">
        <v>Constant</v>
      </c>
      <c r="T87" s="154"/>
    </row>
    <row r="88" spans="1:20" x14ac:dyDescent="0.25">
      <c r="A88"/>
      <c r="D88" s="154" t="str">
        <v>C_N2O</v>
      </c>
      <c r="E88" s="162" t="str">
        <v>factor to convert elemental mass of nitrous oxide to molecular mass</v>
      </c>
      <c r="F88" s="163"/>
      <c r="G88" s="164"/>
      <c r="H88" s="154" t="str">
        <v/>
      </c>
      <c r="I88" s="137" t="str">
        <v>Constant</v>
      </c>
      <c r="J88" s="133">
        <f>Common_InputFunctions.Utility_LookupValueInTableNumber("N2O",Table_GasToMolecularConversionFactor[Gas],Table_GasToMolecularConversionFactor[Conversion factor combined])</f>
        <v>1.5714285714285714</v>
      </c>
      <c r="N88" s="154" t="str">
        <v>C_N2O</v>
      </c>
      <c r="O88" s="162" t="str">
        <v>factor to convert elemental mass of nitrous oxide to molecular mass</v>
      </c>
      <c r="P88" s="163"/>
      <c r="Q88" s="164"/>
      <c r="R88" s="154" t="str">
        <v/>
      </c>
      <c r="S88" s="137" t="str">
        <v>Constant</v>
      </c>
      <c r="T88" s="133"/>
    </row>
    <row r="89" spans="1:20" x14ac:dyDescent="0.25">
      <c r="A89"/>
    </row>
    <row r="90" spans="1:20" ht="23.25" x14ac:dyDescent="0.25">
      <c r="A90"/>
      <c r="D90" s="149" t="s">
        <v>354</v>
      </c>
      <c r="E90" s="150" cm="1">
        <f t="array" ref="E90">Fertiliser_Equations_LeachingAndRunoff.VEERG_5_5_1_1__1_FertiliserLeachingAndRunoffN2OEmissions(J85,J86,J87,J88)</f>
        <v>4.1485714285714277E-3</v>
      </c>
      <c r="F90" s="151" t="str">
        <f>$E$83</f>
        <v>t N2O</v>
      </c>
      <c r="N90" s="149" t="s">
        <v>354</v>
      </c>
      <c r="O90" s="150" cm="1">
        <f t="array" ref="O90">Fertiliser_Equations_LeachingAndRunoff.VEERG_5_5_1_1__1_FertiliserLeachingAndRunoffN2OEmissions(J85,T86,J87,J88)</f>
        <v>8.2971428571428554E-3</v>
      </c>
      <c r="P90" s="151" t="str">
        <f>$E$83</f>
        <v>t N2O</v>
      </c>
    </row>
    <row r="91" spans="1:20" x14ac:dyDescent="0.25">
      <c r="A91"/>
    </row>
    <row r="92" spans="1:20" x14ac:dyDescent="0.25">
      <c r="A92"/>
    </row>
    <row r="93" spans="1:20" x14ac:dyDescent="0.25">
      <c r="A93"/>
    </row>
    <row r="94" spans="1:20" x14ac:dyDescent="0.25">
      <c r="A94"/>
    </row>
    <row r="95" spans="1:20" x14ac:dyDescent="0.25">
      <c r="A95"/>
    </row>
    <row r="96" spans="1:20"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02064-EB42-48F2-B300-8805AE5A0CBC}">
  <dimension ref="A1:AI235"/>
  <sheetViews>
    <sheetView showGridLines="0" topLeftCell="B16"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656</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Agresidue_SourceData.CropPurposeAndYield_Title()</f>
        <v>Crop purpose and yield</v>
      </c>
    </row>
    <row r="6" spans="1:35" ht="20.100000000000001" customHeight="1" x14ac:dyDescent="0.25"/>
    <row r="7" spans="1:35" ht="20.100000000000001" customHeight="1" x14ac:dyDescent="0.25">
      <c r="D7" s="236" t="s">
        <v>657</v>
      </c>
      <c r="E7" s="236" t="s">
        <v>658</v>
      </c>
      <c r="F7" s="236" t="s">
        <v>659</v>
      </c>
      <c r="G7" s="236" t="s">
        <v>660</v>
      </c>
      <c r="H7" s="236" t="s">
        <v>661</v>
      </c>
      <c r="I7" s="236" t="s">
        <v>662</v>
      </c>
      <c r="J7" s="236" t="s">
        <v>663</v>
      </c>
      <c r="K7" s="236" t="s">
        <v>664</v>
      </c>
      <c r="AG7" s="1"/>
      <c r="AH7" s="1"/>
      <c r="AI7" s="1"/>
    </row>
    <row r="8" spans="1:35" ht="20.100000000000001" customHeight="1" x14ac:dyDescent="0.25">
      <c r="A8" s="7" t="s">
        <v>0</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5" t="str">
        <f>HYPERLINK("#'Input - Enterprise'!A1", "Enterprise")</f>
        <v>Enterprise</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5" t="str">
        <f>HYPERLINK("#'Input - Site'!A1", "Site")</f>
        <v>Site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c r="A11" s="5" t="str">
        <f>HYPERLINK("#'Input - Crop'!A1", "Crop")</f>
        <v>Crop</v>
      </c>
    </row>
    <row r="12" spans="1:35" ht="20.100000000000001" customHeight="1" x14ac:dyDescent="0.25">
      <c r="A12" s="5" t="str">
        <f>HYPERLINK("#'Input - Fert Prod System'!A1", "Fert Prod System")</f>
        <v>Fert Prod System</v>
      </c>
    </row>
    <row r="13" spans="1:35" ht="20.100000000000001" customHeight="1" x14ac:dyDescent="0.25">
      <c r="A13" s="5" t="str">
        <f>HYPERLINK("#'Input - Fertiliser'!A1", "Fertiliser")</f>
        <v>Fertiliser</v>
      </c>
    </row>
    <row r="14" spans="1:35" ht="20.100000000000001" customHeight="1" x14ac:dyDescent="0.25">
      <c r="A14" s="5" t="str">
        <f>HYPERLINK("#'Input - Fuel'!A1", "Fuel")</f>
        <v>Fuel</v>
      </c>
    </row>
    <row r="15" spans="1:35" ht="20.100000000000001" customHeight="1" x14ac:dyDescent="0.25">
      <c r="A15" s="5" t="str">
        <f>HYPERLINK("#'Input - Electricity'!A1", "Electricity")</f>
        <v>Electricity</v>
      </c>
      <c r="D15" s="2" t="str" cm="1">
        <f t="array" ref="D15">Agresidue_SourceData.CropAttributes_Title()</f>
        <v>Table A.2.1.1: Crop attributes</v>
      </c>
      <c r="E15" s="8"/>
      <c r="F15" s="8"/>
      <c r="G15" s="8"/>
      <c r="H15" s="8"/>
      <c r="I15" s="8"/>
      <c r="J15" s="8"/>
      <c r="K15" s="8"/>
      <c r="L15" s="8"/>
    </row>
    <row r="16" spans="1:35" ht="20.100000000000001" customHeight="1" x14ac:dyDescent="0.25">
      <c r="A16" s="5" t="str">
        <f>HYPERLINK("#'Input - Farm Inputs'!A1", "Farm Inputs")</f>
        <v>Farm Inputs</v>
      </c>
      <c r="D16" s="27" t="str" cm="1">
        <f t="array" ref="D16">Agresidue_SourceData.CropAttributes_Source()</f>
        <v>VEERG 2026: Table A.2.1.1: Crop attributes</v>
      </c>
      <c r="E16" s="8"/>
      <c r="F16" s="8"/>
      <c r="G16" s="8"/>
      <c r="H16" s="8"/>
      <c r="I16" s="8"/>
      <c r="J16" s="8"/>
      <c r="K16" s="8"/>
      <c r="L16" s="8"/>
    </row>
    <row r="17" spans="1:14" ht="20.100000000000001" customHeight="1" x14ac:dyDescent="0.25">
      <c r="A17" s="5" t="str">
        <f>HYPERLINK("#'Input - Freight'!A1", "Freight")</f>
        <v>Freight</v>
      </c>
      <c r="D17" s="3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5">
      <c r="A18" s="5" t="str">
        <f>HYPERLINK("#'Input - Manure sent off-site'!A1", "Manure sent off-site")</f>
        <v>Manure sent off-site</v>
      </c>
      <c r="D18" s="8"/>
      <c r="E18" s="8"/>
      <c r="F18" s="8"/>
      <c r="G18" s="8"/>
      <c r="H18" s="8"/>
      <c r="I18" s="8"/>
      <c r="J18" s="8"/>
      <c r="K18" s="8"/>
      <c r="L18" s="8"/>
    </row>
    <row r="19" spans="1:14" ht="20.100000000000001" customHeight="1" x14ac:dyDescent="0.25">
      <c r="A19" s="5" t="str">
        <f>HYPERLINK("#'Input - Solid waste'!A1", "Solid waste")</f>
        <v>Solid waste</v>
      </c>
      <c r="D19" t="s">
        <v>185</v>
      </c>
      <c r="E19" t="s">
        <v>665</v>
      </c>
      <c r="F19" t="s">
        <v>666</v>
      </c>
      <c r="G19" t="s">
        <v>667</v>
      </c>
      <c r="H19" t="s">
        <v>668</v>
      </c>
      <c r="I19" t="s">
        <v>669</v>
      </c>
      <c r="J19" t="s">
        <v>670</v>
      </c>
      <c r="K19" t="s">
        <v>671</v>
      </c>
      <c r="L19" t="s">
        <v>672</v>
      </c>
      <c r="N19" s="2" t="s">
        <v>362</v>
      </c>
    </row>
    <row r="20" spans="1:14" ht="20.100000000000001" customHeight="1" x14ac:dyDescent="0.25">
      <c r="A20" s="5" t="str">
        <f>HYPERLINK("#'Input - Data quality'!A1", "Data quality")</f>
        <v>Data quality</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0" t="s">
        <v>63</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0" t="s">
        <v>366</v>
      </c>
    </row>
    <row r="23" spans="1:14" ht="20.100000000000001" customHeight="1" x14ac:dyDescent="0.25">
      <c r="A23" s="6" t="s">
        <v>2</v>
      </c>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0" t="s">
        <v>369</v>
      </c>
    </row>
    <row r="24" spans="1:14" ht="20.100000000000001" customHeight="1" x14ac:dyDescent="0.25">
      <c r="A24" s="5" t="str">
        <f>HYPERLINK("#'5.1.1.1-2 Inorganic fert N2O'!A1", "5.1.1.1-2 Inorganic fert N2O")</f>
        <v>5.1.1.1-2 Inorganic fert N2O</v>
      </c>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371</v>
      </c>
    </row>
    <row r="25" spans="1:14" ht="20.100000000000001" customHeight="1" x14ac:dyDescent="0.25">
      <c r="A25" s="5" t="str">
        <f>HYPERLINK("#'5.1.1.3-4 Inorganic fert CO2'!A1", "5.1.1.3-4 Inorganic fert CO2")</f>
        <v>5.1.1.3-4 Inorganic fert CO2</v>
      </c>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374</v>
      </c>
    </row>
    <row r="26" spans="1:14" ht="20.100000000000001" customHeight="1" x14ac:dyDescent="0.25">
      <c r="A26" s="5" t="str">
        <f>HYPERLINK("#'5.2.1.1-2 Organic Fert N2O'!A1", "5.2.1.1-2 Organic fert N2O")</f>
        <v>5.2.1.1-2 Organic fert N2O</v>
      </c>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375</v>
      </c>
    </row>
    <row r="27" spans="1:14" ht="20.100000000000001" customHeight="1" x14ac:dyDescent="0.25">
      <c r="A27" s="5" t="str">
        <f>HYPERLINK("#'5.3.1.1-2 Lime CO2'!A1", "5.3.1.1-2 Lime CO2")</f>
        <v>5.3.1.1-2 Lime CO2</v>
      </c>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A28" s="5" t="str">
        <f>HYPERLINK("#'5.4.1.1-4 Atmos deposition'!A1", "5.4.1.1-4 Atmos. deposition")</f>
        <v>5.4.1.1-4 Atmos. deposition</v>
      </c>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A29" s="5" t="str">
        <f>HYPERLINK("#'5.5.1.1-2 Leaching and runoff'!A1", "5.5.1.1-2 Leaching &amp; runoff")</f>
        <v>5.5.1.1-2 Leaching &amp; runoff</v>
      </c>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A30" s="5" t="str">
        <f>HYPERLINK("#'6.1.1.1-2 Crop residue N2O'!A1", "6.1.1.1-2 Crop residue N2O")</f>
        <v>6.1.1.1-2 Crop residue N2O</v>
      </c>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A31" s="5" t="str">
        <f>HYPERLINK("#'6.3.1.1-2 Leach runoff crop'!A1", "6.3.1.1-2 Leach &amp; runoff (crop)")</f>
        <v>6.3.1.1-2 Leach &amp; runoff (crop)</v>
      </c>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A32" s="5" t="str">
        <f>HYPERLINK("#'6.4.1.1-2 Residue burning'!A1", "6.4.1.1-2 Residue burning")</f>
        <v>6.4.1.1-2 Residue burning</v>
      </c>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1:13" ht="20.100000000000001" customHeight="1" x14ac:dyDescent="0.25">
      <c r="A33" s="5" t="str">
        <f>HYPERLINK("#'8.1.1.1-2 Transport fuel'!A1", "8.1.1.1-2 Transport fuel")</f>
        <v>8.1.1.1-2 Transport fuel</v>
      </c>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1:13" ht="20.100000000000001" customHeight="1" x14ac:dyDescent="0.25">
      <c r="A34" s="5" t="str">
        <f>HYPERLINK("#'8.2.1.1-2 Stationary fuel'!A1", "8.2.1.1-2 Stationary fuel")</f>
        <v>8.2.1.1-2 Stationary fuel</v>
      </c>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1:13" ht="20.100000000000001" customHeight="1" x14ac:dyDescent="0.25">
      <c r="A35" s="5" t="str">
        <f>HYPERLINK("#'14.1.1-2 Purchased electricity'!A1", "14.1.1-2 Purchased electricity")</f>
        <v>14.1.1-2 Purchased electricity</v>
      </c>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1:13" ht="20.100000000000001" customHeight="1" x14ac:dyDescent="0.25">
      <c r="A36" s="5" t="str">
        <f>HYPERLINK("#'15 Scope 3'!A1", "15 Scope 3")</f>
        <v>15 Scope 3</v>
      </c>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1:13" ht="20.100000000000001" customHeight="1" x14ac:dyDescent="0.25">
      <c r="A37" s="5" t="str">
        <f>HYPERLINK("#'Calcs - Manure sent off-site'!A1", "Calcs - Manure sent off-site")</f>
        <v>Calcs - Manure sent off-site</v>
      </c>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1:13" ht="20.100000000000001" customHeight="1" x14ac:dyDescent="0.25">
      <c r="A38" s="5" t="str">
        <f>HYPERLINK("#'10.1.1-2 Solid waste treatment'!A1", "10.1.1-2 Solid waste treatment")</f>
        <v>10.1.1-2 Solid waste treatment</v>
      </c>
      <c r="D38" s="8"/>
      <c r="E38" s="8"/>
      <c r="F38" s="8"/>
      <c r="G38" s="8"/>
      <c r="H38" s="8"/>
      <c r="I38" s="8"/>
      <c r="J38" s="8"/>
      <c r="K38" s="8"/>
      <c r="L38" s="8"/>
    </row>
    <row r="39" spans="1:13" ht="20.100000000000001" customHeight="1" x14ac:dyDescent="0.25">
      <c r="D39" s="8"/>
      <c r="E39" s="8"/>
      <c r="F39" s="8"/>
      <c r="G39" s="8"/>
      <c r="H39" s="8"/>
      <c r="I39" s="8"/>
      <c r="J39" s="8"/>
      <c r="K39" s="8"/>
      <c r="L39" s="8"/>
    </row>
    <row r="40" spans="1:13" ht="20.100000000000001" customHeight="1" x14ac:dyDescent="0.25">
      <c r="D40" s="2" t="str" cm="1">
        <f t="array" ref="D40">Agresidue_SourceData.N2OEFOrganicFertiliser_Title()</f>
        <v>Emission factor for organic fertiliser and crop residues returned to the soil</v>
      </c>
      <c r="E40" s="35"/>
      <c r="F40" s="35"/>
      <c r="G40" s="8"/>
      <c r="H40" s="8"/>
      <c r="I40" s="8"/>
      <c r="J40" s="8"/>
      <c r="K40" s="8"/>
      <c r="L40" s="8"/>
    </row>
    <row r="41" spans="1:13" ht="20.100000000000001" customHeight="1" x14ac:dyDescent="0.25">
      <c r="A41" s="121" t="s">
        <v>1</v>
      </c>
      <c r="D41" s="27" t="str" cm="1">
        <f t="array" ref="D41">Agresidue_SourceData.N2OEFOrganicFertiliser_Source()</f>
        <v>VEERG 2026: Table A.2.1.4</v>
      </c>
      <c r="E41" s="35"/>
      <c r="F41" s="35"/>
      <c r="G41" s="8"/>
      <c r="H41" s="8"/>
      <c r="I41" s="8"/>
      <c r="J41" s="8"/>
      <c r="K41" s="8"/>
      <c r="L41" s="8"/>
    </row>
    <row r="42" spans="1:13" ht="20.100000000000001" customHeight="1" x14ac:dyDescent="0.25">
      <c r="A42" s="172" t="str">
        <f>HYPERLINK("#'Constants - Ag Residue'!A1", "Constants - Ag residue")</f>
        <v>Constants - Ag residue</v>
      </c>
      <c r="D42" s="27"/>
      <c r="E42" s="35"/>
      <c r="F42" s="35"/>
      <c r="H42" s="8"/>
      <c r="I42" s="8"/>
      <c r="M42" s="35"/>
    </row>
    <row r="43" spans="1:13" ht="20.100000000000001" customHeight="1" x14ac:dyDescent="0.25">
      <c r="A43" s="5" t="str">
        <f>HYPERLINK("#'Constants - Common Livestock'!A1", "Constants - Common Livestock")</f>
        <v>Constants - Common Livestock</v>
      </c>
      <c r="D43" s="171" t="s">
        <v>673</v>
      </c>
      <c r="E43" s="171" t="s">
        <v>674</v>
      </c>
      <c r="F43" s="35"/>
      <c r="H43" s="8"/>
      <c r="I43" s="8"/>
      <c r="M43" s="35"/>
    </row>
    <row r="44" spans="1:13" ht="20.100000000000001" customHeight="1" x14ac:dyDescent="0.25">
      <c r="A44" s="5" t="str">
        <f>HYPERLINK("#'Constants - Electricity'!A1", "Constants - Electricity")</f>
        <v>Constants - Electricity</v>
      </c>
      <c r="D44" s="37" t="str" cm="1">
        <f t="array" ref="D44">Common_InputFunctions.Utility_DisplayArrayInTable(Agresidue_SourceData.N2OEFOrganicFertiliser_Data(), Table_SourceData_N2OEFOrganicFert[[#Headers],[Climate zone type i]], 0)</f>
        <v>Wet climate zone</v>
      </c>
      <c r="E44" s="37" cm="1">
        <f t="array" ref="E44">Common_InputFunctions.Utility_DisplayArrayInTable(Agresidue_SourceData.N2OEFOrganicFertiliser_Data(), Table_SourceData_N2OEFOrganicFert[[#Headers],[Climate zone type i]], 0)</f>
        <v>6.0000000000000001E-3</v>
      </c>
      <c r="F44" s="35"/>
      <c r="H44" s="8"/>
      <c r="I44" s="8"/>
      <c r="M44" s="35"/>
    </row>
    <row r="45" spans="1:13" ht="20.100000000000001" customHeight="1" x14ac:dyDescent="0.25">
      <c r="A45" s="5" t="str">
        <f>HYPERLINK("#'Constants - Fertiliser'!A1", "Constants - Fertiliser")</f>
        <v>Constants - Fertiliser</v>
      </c>
      <c r="D45" s="37" t="str" cm="1">
        <f t="array" ref="D45">Common_InputFunctions.Utility_DisplayArrayInTable(Agresidue_SourceData.N2OEFOrganicFertiliser_Data(), Table_SourceData_N2OEFOrganicFert[[#Headers],[Climate zone type i]], 0)</f>
        <v>Dry climate zone</v>
      </c>
      <c r="E45" s="37" cm="1">
        <f t="array" ref="E45">Common_InputFunctions.Utility_DisplayArrayInTable(Agresidue_SourceData.N2OEFOrganicFertiliser_Data(), Table_SourceData_N2OEFOrganicFert[[#Headers],[Climate zone type i]], 0)</f>
        <v>5.0000000000000001E-3</v>
      </c>
      <c r="F45" s="35"/>
      <c r="H45" s="8"/>
      <c r="I45" s="8"/>
      <c r="M45" s="35"/>
    </row>
    <row r="46" spans="1:13" ht="20.100000000000001" customHeight="1" x14ac:dyDescent="0.25">
      <c r="A46" s="5" t="str">
        <f>HYPERLINK("#'Constants - Fuel'!A1", "Constants - Fuel")</f>
        <v>Constants - Fuel</v>
      </c>
      <c r="H46" s="8"/>
      <c r="I46" s="8"/>
      <c r="M46" s="35"/>
    </row>
    <row r="47" spans="1:13" ht="20.100000000000001" customHeight="1" x14ac:dyDescent="0.25">
      <c r="A47" s="5" t="str">
        <f>HYPERLINK("#'Constants - Scope 3'!A1", "Constants - Scope 3")</f>
        <v>Constants - Scope 3</v>
      </c>
      <c r="M47" s="35"/>
    </row>
    <row r="48" spans="1:13" ht="20.100000000000001" customHeight="1" x14ac:dyDescent="0.25">
      <c r="A48" s="5" t="str">
        <f>HYPERLINK("#'Constants - Common'!A1", "Constants - Common")</f>
        <v>Constants - Common</v>
      </c>
      <c r="D48" s="2" t="str" cm="1">
        <f t="array" ref="D48">Agresidue_SourceData.PastureAttributes_Title()</f>
        <v>Table A.2.1.3 Pasture attributes</v>
      </c>
      <c r="K48" s="8"/>
      <c r="L48" s="8"/>
    </row>
    <row r="49" spans="1:12" ht="20.100000000000001" customHeight="1" x14ac:dyDescent="0.25">
      <c r="A49" s="5" t="str">
        <f>HYPERLINK("#'Constants - Solid Waste'!A1", "Constants - Solid Waste")</f>
        <v>Constants - Solid Waste</v>
      </c>
      <c r="D49" s="27" t="str" cm="1">
        <f t="array" ref="D49">Agresidue_SourceData.PastureAttributes_Source()</f>
        <v>VEERG 2026: Table A.2.1.3: Pasture attributes</v>
      </c>
      <c r="K49" s="8"/>
      <c r="L49" s="8"/>
    </row>
    <row r="50" spans="1:12" ht="20.100000000000001" customHeight="1" x14ac:dyDescent="0.25">
      <c r="K50" s="8"/>
      <c r="L50" s="8"/>
    </row>
    <row r="51" spans="1:12" ht="20.100000000000001" customHeight="1" x14ac:dyDescent="0.25">
      <c r="D51" s="30" t="s">
        <v>675</v>
      </c>
      <c r="E51" s="30" t="s">
        <v>676</v>
      </c>
      <c r="F51" s="30" t="s">
        <v>677</v>
      </c>
      <c r="G51" s="30" t="s">
        <v>678</v>
      </c>
      <c r="H51" s="30" t="s">
        <v>679</v>
      </c>
      <c r="I51" s="30" t="s">
        <v>680</v>
      </c>
      <c r="K51" s="8"/>
      <c r="L51" s="8"/>
    </row>
    <row r="52" spans="1:12" ht="20.100000000000001" customHeight="1" x14ac:dyDescent="0.25">
      <c r="D52" s="30" t="str" cm="1">
        <f t="array" ref="D52">Common_InputFunctions.Utility_DisplayArrayInTable(Agresidue_SourceData.PastureAttributes_Data(), Table_SourceData_PastureAttributes[[#Headers],[Pasture type]], 0)</f>
        <v>Annual grass</v>
      </c>
      <c r="E52" s="30" cm="1">
        <f t="array" ref="E52">Common_InputFunctions.Utility_DisplayArrayInTable(Agresidue_SourceData.PastureAttributes_Data(), Table_SourceData_PastureAttributes[[#Headers],[Pasture type]], 0)</f>
        <v>4.41</v>
      </c>
      <c r="F52" s="30" cm="1">
        <f t="array" ref="F52">Common_InputFunctions.Utility_DisplayArrayInTable(Agresidue_SourceData.PastureAttributes_Data(), Table_SourceData_PastureAttributes[[#Headers],[Pasture type]], 0)</f>
        <v>0.4</v>
      </c>
      <c r="G52" s="30" cm="1">
        <f t="array" ref="G52">Common_InputFunctions.Utility_DisplayArrayInTable(Agresidue_SourceData.PastureAttributes_Data(), Table_SourceData_PastureAttributes[[#Headers],[Pasture type]], 0)</f>
        <v>1.4999999999999999E-2</v>
      </c>
      <c r="H52" s="30" cm="1">
        <f t="array" ref="H52">Common_InputFunctions.Utility_DisplayArrayInTable(Agresidue_SourceData.PastureAttributes_Data(), Table_SourceData_PastureAttributes[[#Headers],[Pasture type]], 0)</f>
        <v>1.2E-2</v>
      </c>
      <c r="I52" s="30" cm="1">
        <f t="array" ref="I52">Common_InputFunctions.Utility_DisplayArrayInTable(Agresidue_SourceData.PastureAttributes_Data(), Table_SourceData_PastureAttributes[[#Headers],[Pasture type]], 0)</f>
        <v>0.8</v>
      </c>
      <c r="L52" s="8"/>
    </row>
    <row r="53" spans="1:12" ht="20.100000000000001" customHeight="1" x14ac:dyDescent="0.25">
      <c r="D53" s="30" t="str" cm="1">
        <f t="array" ref="D53">Common_InputFunctions.Utility_DisplayArrayInTable(Agresidue_SourceData.PastureAttributes_Data(), Table_SourceData_PastureAttributes[[#Headers],[Pasture type]], 0)</f>
        <v>Grass clover mixture</v>
      </c>
      <c r="E53" s="30" cm="1">
        <f t="array" ref="E53">Common_InputFunctions.Utility_DisplayArrayInTable(Agresidue_SourceData.PastureAttributes_Data(), Table_SourceData_PastureAttributes[[#Headers],[Pasture type]], 0)</f>
        <v>8.34</v>
      </c>
      <c r="F53" s="30" cm="1">
        <f t="array" ref="F53">Common_InputFunctions.Utility_DisplayArrayInTable(Agresidue_SourceData.PastureAttributes_Data(), Table_SourceData_PastureAttributes[[#Headers],[Pasture type]], 0)</f>
        <v>0.8</v>
      </c>
      <c r="G53" s="30" cm="1">
        <f t="array" ref="G53">Common_InputFunctions.Utility_DisplayArrayInTable(Agresidue_SourceData.PastureAttributes_Data(), Table_SourceData_PastureAttributes[[#Headers],[Pasture type]], 0)</f>
        <v>2.5000000000000001E-2</v>
      </c>
      <c r="H53" s="30" cm="1">
        <f t="array" ref="H53">Common_InputFunctions.Utility_DisplayArrayInTable(Agresidue_SourceData.PastureAttributes_Data(), Table_SourceData_PastureAttributes[[#Headers],[Pasture type]], 0)</f>
        <v>1.6E-2</v>
      </c>
      <c r="I53" s="30" cm="1">
        <f t="array" ref="I53">Common_InputFunctions.Utility_DisplayArrayInTable(Agresidue_SourceData.PastureAttributes_Data(), Table_SourceData_PastureAttributes[[#Headers],[Pasture type]], 0)</f>
        <v>0.8</v>
      </c>
      <c r="L53" s="8"/>
    </row>
    <row r="54" spans="1:12" ht="20.100000000000001" customHeight="1" x14ac:dyDescent="0.25">
      <c r="D54" s="30" t="str" cm="1">
        <f t="array" ref="D54">Common_InputFunctions.Utility_DisplayArrayInTable(Agresidue_SourceData.PastureAttributes_Data(), Table_SourceData_PastureAttributes[[#Headers],[Pasture type]], 0)</f>
        <v>Lucerne</v>
      </c>
      <c r="E54" s="30" cm="1">
        <f t="array" ref="E54">Common_InputFunctions.Utility_DisplayArrayInTable(Agresidue_SourceData.PastureAttributes_Data(), Table_SourceData_PastureAttributes[[#Headers],[Pasture type]], 0)</f>
        <v>8.6199999999999992</v>
      </c>
      <c r="F54" s="30" cm="1">
        <f t="array" ref="F54">Common_InputFunctions.Utility_DisplayArrayInTable(Agresidue_SourceData.PastureAttributes_Data(), Table_SourceData_PastureAttributes[[#Headers],[Pasture type]], 0)</f>
        <v>0.4</v>
      </c>
      <c r="G54" s="30" cm="1">
        <f t="array" ref="G54">Common_InputFunctions.Utility_DisplayArrayInTable(Agresidue_SourceData.PastureAttributes_Data(), Table_SourceData_PastureAttributes[[#Headers],[Pasture type]], 0)</f>
        <v>2.7E-2</v>
      </c>
      <c r="H54" s="30" cm="1">
        <f t="array" ref="H54">Common_InputFunctions.Utility_DisplayArrayInTable(Agresidue_SourceData.PastureAttributes_Data(), Table_SourceData_PastureAttributes[[#Headers],[Pasture type]], 0)</f>
        <v>1.9E-2</v>
      </c>
      <c r="I54" s="30" cm="1">
        <f t="array" ref="I54">Common_InputFunctions.Utility_DisplayArrayInTable(Agresidue_SourceData.PastureAttributes_Data(), Table_SourceData_PastureAttributes[[#Headers],[Pasture type]], 0)</f>
        <v>0.8</v>
      </c>
    </row>
    <row r="55" spans="1:12" ht="20.100000000000001" customHeight="1" x14ac:dyDescent="0.25">
      <c r="D55" s="30" t="str" cm="1">
        <f t="array" ref="D55">Common_InputFunctions.Utility_DisplayArrayInTable(Agresidue_SourceData.PastureAttributes_Data(), Table_SourceData_PastureAttributes[[#Headers],[Pasture type]], 0)</f>
        <v>Other legume</v>
      </c>
      <c r="E55" s="30" cm="1">
        <f t="array" ref="E55">Common_InputFunctions.Utility_DisplayArrayInTable(Agresidue_SourceData.PastureAttributes_Data(), Table_SourceData_PastureAttributes[[#Headers],[Pasture type]], 0)</f>
        <v>5.62</v>
      </c>
      <c r="F55" s="30" cm="1">
        <f t="array" ref="F55">Common_InputFunctions.Utility_DisplayArrayInTable(Agresidue_SourceData.PastureAttributes_Data(), Table_SourceData_PastureAttributes[[#Headers],[Pasture type]], 0)</f>
        <v>0.4</v>
      </c>
      <c r="G55" s="30" cm="1">
        <f t="array" ref="G55">Common_InputFunctions.Utility_DisplayArrayInTable(Agresidue_SourceData.PastureAttributes_Data(), Table_SourceData_PastureAttributes[[#Headers],[Pasture type]], 0)</f>
        <v>2.7E-2</v>
      </c>
      <c r="H55" s="30" cm="1">
        <f t="array" ref="H55">Common_InputFunctions.Utility_DisplayArrayInTable(Agresidue_SourceData.PastureAttributes_Data(), Table_SourceData_PastureAttributes[[#Headers],[Pasture type]], 0)</f>
        <v>2.1999999999999999E-2</v>
      </c>
      <c r="I55" s="30" cm="1">
        <f t="array" ref="I55">Common_InputFunctions.Utility_DisplayArrayInTable(Agresidue_SourceData.PastureAttributes_Data(), Table_SourceData_PastureAttributes[[#Headers],[Pasture type]], 0)</f>
        <v>0.8</v>
      </c>
    </row>
    <row r="56" spans="1:12" ht="20.100000000000001" customHeight="1" x14ac:dyDescent="0.25">
      <c r="D56" s="30" t="str" cm="1">
        <f t="array" ref="D56">Common_InputFunctions.Utility_DisplayArrayInTable(Agresidue_SourceData.PastureAttributes_Data(), Table_SourceData_PastureAttributes[[#Headers],[Pasture type]], 0)</f>
        <v>Perennial pasture</v>
      </c>
      <c r="E56" s="30" cm="1">
        <f t="array" ref="E56">Common_InputFunctions.Utility_DisplayArrayInTable(Agresidue_SourceData.PastureAttributes_Data(), Table_SourceData_PastureAttributes[[#Headers],[Pasture type]], 0)</f>
        <v>8.35</v>
      </c>
      <c r="F56" s="30" cm="1">
        <f t="array" ref="F56">Common_InputFunctions.Utility_DisplayArrayInTable(Agresidue_SourceData.PastureAttributes_Data(), Table_SourceData_PastureAttributes[[#Headers],[Pasture type]], 0)</f>
        <v>0.8</v>
      </c>
      <c r="G56" s="30" cm="1">
        <f t="array" ref="G56">Common_InputFunctions.Utility_DisplayArrayInTable(Agresidue_SourceData.PastureAttributes_Data(), Table_SourceData_PastureAttributes[[#Headers],[Pasture type]], 0)</f>
        <v>1.4999999999999999E-2</v>
      </c>
      <c r="H56" s="30" cm="1">
        <f t="array" ref="H56">Common_InputFunctions.Utility_DisplayArrayInTable(Agresidue_SourceData.PastureAttributes_Data(), Table_SourceData_PastureAttributes[[#Headers],[Pasture type]], 0)</f>
        <v>1.2E-2</v>
      </c>
      <c r="I56" s="30" cm="1">
        <f t="array" ref="I56">Common_InputFunctions.Utility_DisplayArrayInTable(Agresidue_SourceData.PastureAttributes_Data(), Table_SourceData_PastureAttributes[[#Headers],[Pasture type]], 0)</f>
        <v>0.8</v>
      </c>
    </row>
    <row r="57" spans="1:12" ht="20.100000000000001" customHeight="1" x14ac:dyDescent="0.25">
      <c r="H57" s="8"/>
    </row>
    <row r="58" spans="1:12" ht="20.100000000000001" customHeight="1" x14ac:dyDescent="0.25"/>
    <row r="59" spans="1:12" ht="20.100000000000001" customHeight="1" x14ac:dyDescent="0.25">
      <c r="D59" s="2" t="str" cm="1">
        <f t="array" ref="D59">AgResidues_SourceData.BurningOfAgriculturalResiduesEFs_Title()</f>
        <v>Table 5.31 Burning of agricultural residues - EFs</v>
      </c>
    </row>
    <row r="60" spans="1:12" ht="20.100000000000001" customHeight="1" x14ac:dyDescent="0.25">
      <c r="D60" s="27" t="str" cm="1">
        <f t="array" ref="D60">AgResidues_SourceData.BurningOfAgriculturalResiduesEFs_Source()</f>
        <v>National Inventory Report 2023 volume 2: Table 5.31: Burning of agricultural residues - EFs</v>
      </c>
    </row>
    <row r="61" spans="1:12" ht="20.100000000000001" customHeight="1" x14ac:dyDescent="0.25"/>
    <row r="62" spans="1:12" ht="20.100000000000001" customHeight="1" x14ac:dyDescent="0.25">
      <c r="D62" s="30" t="s">
        <v>681</v>
      </c>
      <c r="E62" s="30" t="s">
        <v>682</v>
      </c>
      <c r="F62" s="30" t="s">
        <v>683</v>
      </c>
    </row>
    <row r="63" spans="1:12" ht="20.100000000000001" customHeight="1" x14ac:dyDescent="0.25">
      <c r="D63" s="30" t="str" cm="1">
        <f t="array" ref="D63">Common_InputFunctions.Utility_DisplayArrayInTable(AgResidues_SourceData.BurningOfAgriculturalResiduesEFs_Data(), Table_SourceData_BurningResidueEFs[[#Headers],[Gas species]], 0)</f>
        <v>CH4</v>
      </c>
      <c r="E63" s="30" cm="1">
        <f t="array" ref="E63">Common_InputFunctions.Utility_DisplayArrayInTable(AgResidues_SourceData.BurningOfAgriculturalResiduesEFs_Data(), Table_SourceData_BurningResidueEFs[[#Headers],[Gas species]], 0)</f>
        <v>3.5000000000000001E-3</v>
      </c>
      <c r="F63" s="30" t="str" cm="1">
        <f t="array" ref="F63">Common_InputFunctions.Utility_DisplayArrayInTable(AgResidues_SourceData.BurningOfAgriculturalResiduesEFs_Data(), Table_SourceData_BurningResidueEFs[[#Headers],[Gas species]], 0)</f>
        <v>16/12</v>
      </c>
      <c r="K63" s="8"/>
      <c r="L63" s="8"/>
    </row>
    <row r="64" spans="1:12" ht="20.100000000000001" customHeight="1" x14ac:dyDescent="0.25">
      <c r="D64" s="1" t="str" cm="1">
        <f t="array" ref="D64">Common_InputFunctions.Utility_DisplayArrayInTable(AgResidues_SourceData.BurningOfAgriculturalResiduesEFs_Data(), Table_SourceData_BurningResidueEFs[[#Headers],[Gas species]], 0)</f>
        <v>N2O</v>
      </c>
      <c r="E64" s="30" cm="1">
        <f t="array" ref="E64">Common_InputFunctions.Utility_DisplayArrayInTable(AgResidues_SourceData.BurningOfAgriculturalResiduesEFs_Data(), Table_SourceData_BurningResidueEFs[[#Headers],[Gas species]], 0)</f>
        <v>7.6E-3</v>
      </c>
      <c r="F64" s="30" t="str" cm="1">
        <f t="array" ref="F64">Common_InputFunctions.Utility_DisplayArrayInTable(AgResidues_SourceData.BurningOfAgriculturalResiduesEFs_Data(), Table_SourceData_BurningResidueEFs[[#Headers],[Gas species]], 0)</f>
        <v>44/28</v>
      </c>
      <c r="K64" s="8"/>
      <c r="L64" s="8"/>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0" cm="1">
        <f t="array" ref="E65">Common_InputFunctions.Utility_DisplayArrayInTable(AgResidues_SourceData.BurningOfAgriculturalResiduesEFs_Data(), Table_SourceData_BurningResidueEFs[[#Headers],[Gas species]], 0)</f>
        <v>0.21</v>
      </c>
      <c r="F65" s="30" t="str" cm="1">
        <f t="array" ref="F65">Common_InputFunctions.Utility_DisplayArrayInTable(AgResidues_SourceData.BurningOfAgriculturalResiduesEFs_Data(), Table_SourceData_BurningResidueEFs[[#Headers],[Gas species]], 0)</f>
        <v>46/14</v>
      </c>
      <c r="K65" s="8"/>
      <c r="L65" s="8"/>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0" cm="1">
        <f t="array" ref="E66">Common_InputFunctions.Utility_DisplayArrayInTable(AgResidues_SourceData.BurningOfAgriculturalResiduesEFs_Data(), Table_SourceData_BurningResidueEFs[[#Headers],[Gas species]], 0)</f>
        <v>7.8E-2</v>
      </c>
      <c r="F66" s="30" t="str" cm="1">
        <f t="array" ref="F66">Common_InputFunctions.Utility_DisplayArrayInTable(AgResidues_SourceData.BurningOfAgriculturalResiduesEFs_Data(), Table_SourceData_BurningResidueEFs[[#Headers],[Gas species]], 0)</f>
        <v>28/12</v>
      </c>
      <c r="K66" s="8"/>
      <c r="L66" s="8"/>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0" cm="1">
        <f t="array" ref="E67">Common_InputFunctions.Utility_DisplayArrayInTable(AgResidues_SourceData.BurningOfAgriculturalResiduesEFs_Data(), Table_SourceData_BurningResidueEFs[[#Headers],[Gas species]], 0)</f>
        <v>9.1000000000000004E-3</v>
      </c>
      <c r="F67" s="30" t="str" cm="1">
        <f t="array" ref="F67">Common_InputFunctions.Utility_DisplayArrayInTable(AgResidues_SourceData.BurningOfAgriculturalResiduesEFs_Data(), Table_SourceData_BurningResidueEFs[[#Headers],[Gas species]], 0)</f>
        <v>14/12</v>
      </c>
      <c r="K67" s="8"/>
      <c r="L67" s="8"/>
    </row>
    <row r="68" spans="4:12" ht="20.100000000000001" customHeight="1" x14ac:dyDescent="0.25">
      <c r="K68" s="8"/>
      <c r="L68" s="8"/>
    </row>
    <row r="69" spans="4:12" ht="20.100000000000001" customHeight="1" x14ac:dyDescent="0.25">
      <c r="K69" s="8"/>
      <c r="L69" s="8"/>
    </row>
    <row r="70" spans="4:12" ht="20.100000000000001" customHeight="1" x14ac:dyDescent="0.25">
      <c r="D70" s="2" t="str" cm="1">
        <f t="array" ref="D70">Agresidue_SourceData.CropFractionRemoved_Title()</f>
        <v>Table A.2.1.2: Crop attributes - Fraction removed (FFODc)</v>
      </c>
      <c r="E70" s="8"/>
      <c r="F70" s="8"/>
      <c r="G70" s="8"/>
      <c r="K70" s="8"/>
      <c r="L70" s="8"/>
    </row>
    <row r="71" spans="4:12" ht="20.100000000000001" customHeight="1" x14ac:dyDescent="0.25">
      <c r="D71" s="27" t="str" cm="1">
        <f t="array" ref="D71">Agresidue_SourceData.CropFractionRemoved_Source()</f>
        <v>VEERG 2026: Table A.2.1.2: Crop attributes - Fraction removed (FFODc)</v>
      </c>
      <c r="E71" s="8"/>
      <c r="F71" s="8"/>
      <c r="G71" s="8"/>
      <c r="K71" s="8"/>
      <c r="L71" s="8"/>
    </row>
    <row r="72" spans="4:12" ht="20.100000000000001" customHeight="1" x14ac:dyDescent="0.25">
      <c r="D72" s="8"/>
      <c r="E72" s="8"/>
      <c r="F72" s="8"/>
      <c r="G72" s="8"/>
      <c r="K72" s="8"/>
      <c r="L72" s="8"/>
    </row>
    <row r="73" spans="4:12" ht="20.100000000000001" customHeight="1" x14ac:dyDescent="0.25">
      <c r="D73" t="s">
        <v>684</v>
      </c>
      <c r="E73" t="s">
        <v>98</v>
      </c>
      <c r="F73" t="s">
        <v>685</v>
      </c>
      <c r="G73" s="8"/>
      <c r="K73" s="8"/>
      <c r="L73" s="8"/>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8"/>
      <c r="K74" s="8"/>
      <c r="L74" s="8"/>
    </row>
    <row r="75" spans="4:12" ht="20.100000000000001" customHeight="1" x14ac:dyDescent="0.25">
      <c r="D75" s="8"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8"/>
      <c r="H75" s="8"/>
      <c r="K75" s="8"/>
      <c r="L75" s="8"/>
    </row>
    <row r="76" spans="4:12" ht="20.100000000000001" customHeight="1" x14ac:dyDescent="0.25">
      <c r="D76" s="8"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8"/>
      <c r="H76" s="8"/>
      <c r="K76" s="8"/>
      <c r="L76" s="8"/>
    </row>
    <row r="77" spans="4:12" ht="20.100000000000001" customHeight="1" x14ac:dyDescent="0.25">
      <c r="D77" s="8"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8"/>
      <c r="H77" s="8"/>
      <c r="I77" s="8"/>
      <c r="J77" s="8"/>
      <c r="K77" s="8"/>
      <c r="L77" s="8"/>
    </row>
    <row r="78" spans="4:12" ht="20.100000000000001" customHeight="1" x14ac:dyDescent="0.25">
      <c r="D78" s="8"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8"/>
      <c r="H78" s="8"/>
      <c r="I78" s="8"/>
      <c r="J78" s="8"/>
      <c r="K78" s="8"/>
      <c r="L78" s="8"/>
    </row>
    <row r="79" spans="4:12" ht="20.100000000000001" customHeight="1" x14ac:dyDescent="0.25">
      <c r="D79" s="8"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8"/>
      <c r="H79" s="8"/>
      <c r="I79" s="8"/>
      <c r="J79" s="8"/>
      <c r="K79" s="8"/>
      <c r="L79" s="8"/>
    </row>
    <row r="80" spans="4:12" ht="20.100000000000001" customHeight="1" x14ac:dyDescent="0.25">
      <c r="D80" s="8"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8"/>
      <c r="H80" s="8"/>
      <c r="I80" s="8"/>
      <c r="J80" s="8"/>
      <c r="K80" s="8"/>
      <c r="L80" s="8"/>
    </row>
    <row r="81" spans="4:12" ht="20.100000000000001" customHeight="1" x14ac:dyDescent="0.25">
      <c r="D81" s="8"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8"/>
      <c r="H81" s="8"/>
      <c r="I81" s="8"/>
      <c r="J81" s="8"/>
      <c r="K81" s="8"/>
      <c r="L81" s="8"/>
    </row>
    <row r="82" spans="4:12" ht="20.100000000000001" customHeight="1" x14ac:dyDescent="0.25">
      <c r="D82" s="8"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8"/>
      <c r="H82" s="8"/>
      <c r="I82" s="8"/>
      <c r="J82" s="8"/>
      <c r="K82" s="8"/>
      <c r="L82" s="8"/>
    </row>
    <row r="83" spans="4:12" ht="20.100000000000001" customHeight="1" x14ac:dyDescent="0.25">
      <c r="D83" s="8"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8"/>
      <c r="H83" s="8"/>
      <c r="I83" s="8"/>
      <c r="J83" s="8"/>
      <c r="K83" s="8"/>
      <c r="L83" s="8"/>
    </row>
    <row r="84" spans="4:12" ht="20.100000000000001" customHeight="1" x14ac:dyDescent="0.25">
      <c r="D84" s="8"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8"/>
      <c r="H84" s="8"/>
      <c r="I84" s="8"/>
      <c r="J84" s="8"/>
      <c r="K84" s="8"/>
      <c r="L84" s="8"/>
    </row>
    <row r="85" spans="4:12" ht="20.100000000000001" customHeight="1" x14ac:dyDescent="0.25">
      <c r="D85" s="8"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8"/>
      <c r="H85" s="8"/>
      <c r="I85" s="8"/>
      <c r="J85" s="8"/>
      <c r="K85" s="8"/>
      <c r="L85" s="8"/>
    </row>
    <row r="86" spans="4:12" ht="20.100000000000001" customHeight="1" x14ac:dyDescent="0.25">
      <c r="D86" s="8"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8"/>
      <c r="H86" s="8"/>
      <c r="I86" s="8"/>
      <c r="J86" s="8"/>
      <c r="K86" s="8"/>
      <c r="L86" s="8"/>
    </row>
    <row r="87" spans="4:12" ht="20.100000000000001" customHeight="1" x14ac:dyDescent="0.25">
      <c r="D87" s="8"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8"/>
      <c r="H87" s="8"/>
      <c r="I87" s="8"/>
      <c r="J87" s="8"/>
      <c r="K87" s="8"/>
      <c r="L87" s="8"/>
    </row>
    <row r="88" spans="4:12" ht="20.100000000000001" customHeight="1" x14ac:dyDescent="0.25">
      <c r="D88" s="8"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8"/>
      <c r="H88" s="8"/>
      <c r="I88" s="8"/>
      <c r="J88" s="8"/>
      <c r="K88" s="8"/>
      <c r="L88" s="8"/>
    </row>
    <row r="89" spans="4:12" ht="20.100000000000001" customHeight="1" x14ac:dyDescent="0.25">
      <c r="D89" s="8"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8"/>
      <c r="H89" s="8"/>
      <c r="I89" s="8"/>
      <c r="J89" s="8"/>
      <c r="K89" s="8"/>
      <c r="L89" s="8"/>
    </row>
    <row r="90" spans="4:12" ht="20.100000000000001" customHeight="1" x14ac:dyDescent="0.25">
      <c r="D90" s="8"/>
      <c r="E90" s="8"/>
      <c r="F90" s="8"/>
      <c r="G90" s="8"/>
      <c r="H90" s="8"/>
      <c r="I90" s="8"/>
      <c r="J90" s="8"/>
      <c r="K90" s="8"/>
      <c r="L90" s="8"/>
    </row>
    <row r="91" spans="4:12" ht="20.100000000000001" customHeight="1" x14ac:dyDescent="0.25">
      <c r="D91" s="3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5">
      <c r="D92" t="s">
        <v>684</v>
      </c>
      <c r="E92" t="s">
        <v>98</v>
      </c>
      <c r="F92" t="s">
        <v>685</v>
      </c>
      <c r="G92" s="8"/>
      <c r="H92" s="8"/>
      <c r="I92" s="8"/>
      <c r="J92" s="8"/>
      <c r="K92" s="8"/>
      <c r="L92" s="8"/>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8"/>
      <c r="H93" s="8"/>
      <c r="I93" s="8"/>
      <c r="J93" s="8"/>
      <c r="K93" s="8"/>
      <c r="L93" s="8"/>
    </row>
    <row r="94" spans="4:12" ht="20.100000000000001" customHeight="1" x14ac:dyDescent="0.25">
      <c r="D94" s="8"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8"/>
      <c r="H94" s="8"/>
      <c r="I94" s="8"/>
      <c r="J94" s="8"/>
      <c r="K94" s="8"/>
      <c r="L94" s="8"/>
    </row>
    <row r="95" spans="4:12" ht="20.100000000000001" customHeight="1" x14ac:dyDescent="0.25">
      <c r="D95" s="8"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8"/>
      <c r="H95" s="8"/>
      <c r="I95" s="8"/>
      <c r="J95" s="8"/>
      <c r="K95" s="8"/>
      <c r="L95" s="8"/>
    </row>
    <row r="96" spans="4:12" ht="20.100000000000001" customHeight="1" x14ac:dyDescent="0.25">
      <c r="D96" s="8"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8"/>
      <c r="H96" s="8"/>
      <c r="I96" s="8"/>
      <c r="J96" s="8"/>
      <c r="K96" s="8"/>
      <c r="L96" s="8"/>
    </row>
    <row r="97" spans="4:12" ht="20.100000000000001" customHeight="1" x14ac:dyDescent="0.25">
      <c r="D97" s="8"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8"/>
      <c r="H97" s="8"/>
      <c r="I97" s="8"/>
      <c r="J97" s="8"/>
      <c r="K97" s="8"/>
      <c r="L97" s="8"/>
    </row>
    <row r="98" spans="4:12" ht="20.100000000000001" customHeight="1" x14ac:dyDescent="0.25">
      <c r="D98" s="8"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8"/>
      <c r="H98" s="8"/>
      <c r="I98" s="8"/>
      <c r="J98" s="8"/>
      <c r="K98" s="8"/>
      <c r="L98" s="8"/>
    </row>
    <row r="99" spans="4:12" ht="20.100000000000001" customHeight="1" x14ac:dyDescent="0.25">
      <c r="D99" s="8"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8"/>
      <c r="H99" s="8"/>
      <c r="I99" s="8"/>
      <c r="J99" s="8"/>
      <c r="K99" s="8"/>
      <c r="L99" s="8"/>
    </row>
    <row r="100" spans="4:12" ht="20.100000000000001" customHeight="1" x14ac:dyDescent="0.25">
      <c r="D100" s="8"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8"/>
      <c r="H100" s="8"/>
      <c r="I100" s="8"/>
      <c r="J100" s="8"/>
      <c r="K100" s="8"/>
      <c r="L100" s="8"/>
    </row>
    <row r="101" spans="4:12" ht="20.100000000000001" customHeight="1" x14ac:dyDescent="0.25">
      <c r="D101" s="8"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8"/>
      <c r="H101" s="8"/>
      <c r="I101" s="8"/>
      <c r="J101" s="8"/>
      <c r="K101" s="8"/>
      <c r="L101" s="8"/>
    </row>
    <row r="102" spans="4:12" ht="20.100000000000001" customHeight="1" x14ac:dyDescent="0.25">
      <c r="D102" s="8"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8"/>
      <c r="H102" s="8"/>
      <c r="I102" s="8"/>
      <c r="J102" s="8"/>
      <c r="K102" s="8"/>
      <c r="L102" s="8"/>
    </row>
    <row r="103" spans="4:12" ht="20.100000000000001" customHeight="1" x14ac:dyDescent="0.25">
      <c r="D103" s="8"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8"/>
      <c r="H103" s="8"/>
      <c r="I103" s="8"/>
      <c r="J103" s="8"/>
      <c r="K103" s="8"/>
      <c r="L103" s="8"/>
    </row>
    <row r="104" spans="4:12" ht="20.100000000000001" customHeight="1" x14ac:dyDescent="0.25">
      <c r="D104" s="8"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8"/>
      <c r="H104" s="8"/>
      <c r="I104" s="8"/>
      <c r="J104" s="8"/>
      <c r="K104" s="8"/>
      <c r="L104" s="8"/>
    </row>
    <row r="105" spans="4:12" ht="20.100000000000001" customHeight="1" x14ac:dyDescent="0.25">
      <c r="D105" s="8"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8"/>
      <c r="H105" s="8"/>
      <c r="I105" s="8"/>
      <c r="J105" s="8"/>
      <c r="K105" s="8"/>
      <c r="L105" s="8"/>
    </row>
    <row r="106" spans="4:12" ht="20.100000000000001" customHeight="1" x14ac:dyDescent="0.25">
      <c r="D106" s="8"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8"/>
      <c r="H106" s="8"/>
      <c r="I106" s="8"/>
      <c r="J106" s="8"/>
      <c r="K106" s="8"/>
      <c r="L106" s="8"/>
    </row>
    <row r="107" spans="4:12" ht="20.100000000000001" customHeight="1" x14ac:dyDescent="0.25">
      <c r="D107" s="8"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8"/>
      <c r="H107" s="8"/>
      <c r="I107" s="8"/>
      <c r="J107" s="8"/>
      <c r="K107" s="8"/>
      <c r="L107" s="8"/>
    </row>
    <row r="108" spans="4:12" ht="20.100000000000001" customHeight="1" x14ac:dyDescent="0.25">
      <c r="D108" s="8"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8"/>
      <c r="H108" s="8"/>
      <c r="I108" s="8"/>
      <c r="J108" s="8"/>
      <c r="K108" s="8"/>
      <c r="L108" s="8"/>
    </row>
    <row r="109" spans="4:12" ht="20.100000000000001" customHeight="1" x14ac:dyDescent="0.25">
      <c r="D109" s="8"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8"/>
      <c r="H109" s="8"/>
      <c r="I109" s="8"/>
      <c r="J109" s="8"/>
      <c r="K109" s="8"/>
      <c r="L109" s="8"/>
    </row>
    <row r="110" spans="4:12" ht="20.100000000000001" customHeight="1" x14ac:dyDescent="0.25">
      <c r="D110" s="8"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8"/>
      <c r="H110" s="8"/>
      <c r="I110" s="8"/>
      <c r="J110" s="8"/>
      <c r="K110" s="8"/>
      <c r="L110" s="8"/>
    </row>
    <row r="111" spans="4:12" ht="20.100000000000001" customHeight="1" x14ac:dyDescent="0.25">
      <c r="D111" s="8"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8"/>
      <c r="H111" s="8"/>
      <c r="I111" s="8"/>
      <c r="J111" s="8"/>
      <c r="K111" s="8"/>
      <c r="L111" s="8"/>
    </row>
    <row r="112" spans="4:12" ht="20.100000000000001" customHeight="1" x14ac:dyDescent="0.25">
      <c r="D112" s="8"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8"/>
      <c r="H112" s="8"/>
      <c r="I112" s="8"/>
      <c r="J112" s="8"/>
      <c r="K112" s="8"/>
      <c r="L112" s="8"/>
    </row>
    <row r="113" spans="4:12" ht="20.100000000000001" customHeight="1" x14ac:dyDescent="0.25">
      <c r="D113" s="8"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8"/>
      <c r="H113" s="8"/>
      <c r="I113" s="8"/>
      <c r="J113" s="8"/>
      <c r="K113" s="8"/>
      <c r="L113" s="8"/>
    </row>
    <row r="114" spans="4:12" ht="20.100000000000001" customHeight="1" x14ac:dyDescent="0.25">
      <c r="D114" s="8"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8"/>
      <c r="H114" s="8"/>
      <c r="I114" s="8"/>
      <c r="J114" s="8"/>
      <c r="K114" s="8"/>
      <c r="L114" s="8"/>
    </row>
    <row r="115" spans="4:12" ht="20.100000000000001" customHeight="1" x14ac:dyDescent="0.25">
      <c r="D115" s="8"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8"/>
      <c r="H115" s="8"/>
      <c r="I115" s="8"/>
      <c r="J115" s="8"/>
      <c r="K115" s="8"/>
      <c r="L115" s="8"/>
    </row>
    <row r="116" spans="4:12" ht="20.100000000000001" customHeight="1" x14ac:dyDescent="0.25">
      <c r="D116" s="8"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8"/>
      <c r="H116" s="8"/>
      <c r="I116" s="8"/>
      <c r="J116" s="8"/>
      <c r="K116" s="8"/>
      <c r="L116" s="8"/>
    </row>
    <row r="117" spans="4:12" ht="20.100000000000001" customHeight="1" x14ac:dyDescent="0.25">
      <c r="D117" s="8"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8"/>
      <c r="H117" s="8"/>
      <c r="I117" s="8"/>
      <c r="J117" s="8"/>
      <c r="K117" s="8"/>
      <c r="L117" s="8"/>
    </row>
    <row r="118" spans="4:12" ht="20.100000000000001" customHeight="1" x14ac:dyDescent="0.25">
      <c r="D118" s="8"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8"/>
      <c r="H118" s="8"/>
      <c r="I118" s="8"/>
      <c r="J118" s="8"/>
      <c r="K118" s="8"/>
      <c r="L118" s="8"/>
    </row>
    <row r="119" spans="4:12" ht="20.100000000000001" customHeight="1" x14ac:dyDescent="0.25">
      <c r="D119" s="8"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8"/>
      <c r="H119" s="8"/>
      <c r="I119" s="8"/>
      <c r="J119" s="8"/>
      <c r="K119" s="8"/>
      <c r="L119" s="8"/>
    </row>
    <row r="120" spans="4:12" ht="20.100000000000001" customHeight="1" x14ac:dyDescent="0.25">
      <c r="D120" s="8"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8"/>
      <c r="H120" s="8"/>
      <c r="I120" s="8"/>
      <c r="J120" s="8"/>
      <c r="K120" s="8"/>
      <c r="L120" s="8"/>
    </row>
    <row r="121" spans="4:12" ht="20.100000000000001" customHeight="1" x14ac:dyDescent="0.25">
      <c r="D121" s="8"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8"/>
      <c r="H121" s="8"/>
      <c r="I121" s="8"/>
      <c r="J121" s="8"/>
      <c r="K121" s="8"/>
      <c r="L121" s="8"/>
    </row>
    <row r="122" spans="4:12" ht="20.100000000000001" customHeight="1" x14ac:dyDescent="0.25">
      <c r="D122" s="8"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8"/>
      <c r="H122" s="8"/>
      <c r="I122" s="8"/>
      <c r="J122" s="8"/>
      <c r="K122" s="8"/>
      <c r="L122" s="8"/>
    </row>
    <row r="123" spans="4:12" ht="20.100000000000001" customHeight="1" x14ac:dyDescent="0.25">
      <c r="D123" s="8"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8"/>
      <c r="H123" s="8"/>
      <c r="I123" s="8"/>
      <c r="J123" s="8"/>
      <c r="K123" s="8"/>
      <c r="L123" s="8"/>
    </row>
    <row r="124" spans="4:12" ht="20.100000000000001" customHeight="1" x14ac:dyDescent="0.25">
      <c r="D124" s="8"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8"/>
      <c r="H124" s="8"/>
      <c r="I124" s="8"/>
      <c r="J124" s="8"/>
      <c r="K124" s="8"/>
      <c r="L124" s="8"/>
    </row>
    <row r="125" spans="4:12" ht="20.100000000000001" customHeight="1" x14ac:dyDescent="0.25">
      <c r="D125" s="8"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8"/>
      <c r="H125" s="8"/>
      <c r="I125" s="8"/>
      <c r="J125" s="8"/>
      <c r="K125" s="8"/>
      <c r="L125" s="8"/>
    </row>
    <row r="126" spans="4:12" ht="20.100000000000001" customHeight="1" x14ac:dyDescent="0.25">
      <c r="D126" s="8"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8"/>
      <c r="H126" s="8"/>
      <c r="I126" s="8"/>
      <c r="J126" s="8"/>
      <c r="K126" s="8"/>
      <c r="L126" s="8"/>
    </row>
    <row r="127" spans="4:12" ht="20.100000000000001" customHeight="1" x14ac:dyDescent="0.25">
      <c r="D127" s="8"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8"/>
      <c r="H127" s="8"/>
      <c r="I127" s="8"/>
      <c r="J127" s="8"/>
      <c r="K127" s="8"/>
      <c r="L127" s="8"/>
    </row>
    <row r="128" spans="4:12" ht="20.100000000000001" customHeight="1" x14ac:dyDescent="0.25">
      <c r="D128" s="8"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8"/>
      <c r="H128" s="8"/>
      <c r="I128" s="8"/>
      <c r="J128" s="8"/>
      <c r="K128" s="8"/>
      <c r="L128" s="8"/>
    </row>
    <row r="129" spans="4:12" ht="20.100000000000001" customHeight="1" x14ac:dyDescent="0.25">
      <c r="D129" s="8"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8"/>
      <c r="H129" s="8"/>
      <c r="I129" s="8"/>
      <c r="J129" s="8"/>
      <c r="K129" s="8"/>
      <c r="L129" s="8"/>
    </row>
    <row r="130" spans="4:12" ht="20.100000000000001" customHeight="1" x14ac:dyDescent="0.25">
      <c r="D130" s="8"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8"/>
      <c r="H130" s="8"/>
      <c r="I130" s="8"/>
      <c r="J130" s="8"/>
      <c r="K130" s="8"/>
      <c r="L130" s="8"/>
    </row>
    <row r="131" spans="4:12" ht="20.100000000000001" customHeight="1" x14ac:dyDescent="0.25">
      <c r="D131" s="8"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8"/>
      <c r="H131" s="8"/>
      <c r="I131" s="8"/>
      <c r="J131" s="8"/>
      <c r="K131" s="8"/>
      <c r="L131" s="8"/>
    </row>
    <row r="132" spans="4:12" ht="20.100000000000001" customHeight="1" x14ac:dyDescent="0.25">
      <c r="D132" s="8"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8"/>
      <c r="H132" s="8"/>
      <c r="I132" s="8"/>
      <c r="J132" s="8"/>
      <c r="K132" s="8"/>
      <c r="L132" s="8"/>
    </row>
    <row r="133" spans="4:12" ht="20.100000000000001" customHeight="1" x14ac:dyDescent="0.25">
      <c r="D133" s="8"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8"/>
      <c r="H133" s="8"/>
      <c r="I133" s="8"/>
      <c r="J133" s="8"/>
      <c r="K133" s="8"/>
      <c r="L133" s="8"/>
    </row>
    <row r="134" spans="4:12" ht="20.100000000000001" customHeight="1" x14ac:dyDescent="0.25">
      <c r="D134" s="8"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8"/>
      <c r="H134" s="8"/>
      <c r="I134" s="8"/>
      <c r="J134" s="8"/>
      <c r="K134" s="8"/>
      <c r="L134" s="8"/>
    </row>
    <row r="135" spans="4:12" ht="20.100000000000001" customHeight="1" x14ac:dyDescent="0.25">
      <c r="D135" s="8"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8"/>
      <c r="H135" s="8"/>
      <c r="I135" s="8"/>
      <c r="J135" s="8"/>
      <c r="K135" s="8"/>
      <c r="L135" s="8"/>
    </row>
    <row r="136" spans="4:12" ht="20.100000000000001" customHeight="1" x14ac:dyDescent="0.25">
      <c r="D136" s="8"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8"/>
      <c r="H136" s="8"/>
      <c r="I136" s="8"/>
      <c r="J136" s="8"/>
      <c r="K136" s="8"/>
      <c r="L136" s="8"/>
    </row>
    <row r="137" spans="4:12" ht="20.100000000000001" customHeight="1" x14ac:dyDescent="0.25">
      <c r="D137" s="8"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8"/>
      <c r="H137" s="8"/>
      <c r="I137" s="8"/>
      <c r="J137" s="8"/>
      <c r="K137" s="8"/>
      <c r="L137" s="8"/>
    </row>
    <row r="138" spans="4:12" ht="20.100000000000001" customHeight="1" x14ac:dyDescent="0.25">
      <c r="D138" s="8"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8"/>
      <c r="H138" s="8"/>
      <c r="I138" s="8"/>
      <c r="J138" s="8"/>
      <c r="K138" s="8"/>
      <c r="L138" s="8"/>
    </row>
    <row r="139" spans="4:12" ht="20.100000000000001" customHeight="1" x14ac:dyDescent="0.25">
      <c r="D139" s="8"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8"/>
      <c r="H139" s="8"/>
      <c r="I139" s="8"/>
      <c r="J139" s="8"/>
      <c r="K139" s="8"/>
      <c r="L139" s="8"/>
    </row>
    <row r="140" spans="4:12" ht="20.100000000000001" customHeight="1" x14ac:dyDescent="0.25">
      <c r="D140" s="8"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8"/>
      <c r="H140" s="8"/>
      <c r="I140" s="8"/>
      <c r="J140" s="8"/>
      <c r="K140" s="8"/>
      <c r="L140" s="8"/>
    </row>
    <row r="141" spans="4:12" ht="20.100000000000001" customHeight="1" x14ac:dyDescent="0.25">
      <c r="D141" s="8"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8"/>
      <c r="H141" s="8"/>
      <c r="I141" s="8"/>
      <c r="J141" s="8"/>
      <c r="K141" s="8"/>
      <c r="L141" s="8"/>
    </row>
    <row r="142" spans="4:12" ht="20.100000000000001" customHeight="1" x14ac:dyDescent="0.25">
      <c r="D142" s="8"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8"/>
      <c r="H142" s="8"/>
      <c r="I142" s="8"/>
      <c r="J142" s="8"/>
      <c r="K142" s="8"/>
      <c r="L142" s="8"/>
    </row>
    <row r="143" spans="4:12" ht="20.100000000000001" customHeight="1" x14ac:dyDescent="0.25">
      <c r="D143" s="8"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8"/>
      <c r="H143" s="8"/>
      <c r="I143" s="8"/>
      <c r="J143" s="8"/>
      <c r="K143" s="8"/>
      <c r="L143" s="8"/>
    </row>
    <row r="144" spans="4:12" ht="20.100000000000001" customHeight="1" x14ac:dyDescent="0.25">
      <c r="D144" s="8"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8"/>
      <c r="H144" s="8"/>
      <c r="I144" s="8"/>
      <c r="J144" s="8"/>
      <c r="K144" s="8"/>
      <c r="L144" s="8"/>
    </row>
    <row r="145" spans="4:12" ht="20.100000000000001" customHeight="1" x14ac:dyDescent="0.25">
      <c r="D145" s="8"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8"/>
      <c r="H145" s="8"/>
      <c r="I145" s="8"/>
      <c r="J145" s="8"/>
      <c r="K145" s="8"/>
      <c r="L145" s="8"/>
    </row>
    <row r="146" spans="4:12" ht="20.100000000000001" customHeight="1" x14ac:dyDescent="0.25">
      <c r="D146" s="8"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8"/>
      <c r="H146" s="8"/>
      <c r="I146" s="8"/>
      <c r="J146" s="8"/>
      <c r="K146" s="8"/>
      <c r="L146" s="8"/>
    </row>
    <row r="147" spans="4:12" ht="20.100000000000001" customHeight="1" x14ac:dyDescent="0.25">
      <c r="D147" s="8"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8"/>
      <c r="H147" s="8"/>
      <c r="I147" s="8"/>
      <c r="J147" s="8"/>
      <c r="K147" s="8"/>
      <c r="L147" s="8"/>
    </row>
    <row r="148" spans="4:12" ht="20.100000000000001" customHeight="1" x14ac:dyDescent="0.25">
      <c r="D148" s="8"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8"/>
      <c r="H148" s="8"/>
      <c r="I148" s="8"/>
      <c r="J148" s="8"/>
      <c r="K148" s="8"/>
      <c r="L148" s="8"/>
    </row>
    <row r="149" spans="4:12" ht="20.100000000000001" customHeight="1" x14ac:dyDescent="0.25">
      <c r="D149" s="8"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8"/>
      <c r="H149" s="8"/>
      <c r="I149" s="8"/>
      <c r="J149" s="8"/>
      <c r="K149" s="8"/>
      <c r="L149" s="8"/>
    </row>
    <row r="150" spans="4:12" ht="20.100000000000001" customHeight="1" x14ac:dyDescent="0.25">
      <c r="D150" s="8"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8"/>
      <c r="H150" s="8"/>
      <c r="I150" s="8"/>
      <c r="J150" s="8"/>
      <c r="K150" s="8"/>
      <c r="L150" s="8"/>
    </row>
    <row r="151" spans="4:12" ht="20.100000000000001" customHeight="1" x14ac:dyDescent="0.25">
      <c r="D151" s="8"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8"/>
      <c r="H151" s="8"/>
      <c r="I151" s="8"/>
      <c r="J151" s="8"/>
      <c r="K151" s="8"/>
      <c r="L151" s="8"/>
    </row>
    <row r="152" spans="4:12" ht="20.100000000000001" customHeight="1" x14ac:dyDescent="0.25">
      <c r="D152" s="8"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8"/>
      <c r="H152" s="8"/>
      <c r="I152" s="8"/>
      <c r="J152" s="8"/>
      <c r="K152" s="8"/>
      <c r="L152" s="8"/>
    </row>
    <row r="153" spans="4:12" ht="20.100000000000001" customHeight="1" x14ac:dyDescent="0.25">
      <c r="D153" s="8"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8"/>
      <c r="H153" s="8"/>
      <c r="I153" s="8"/>
      <c r="J153" s="8"/>
      <c r="K153" s="8"/>
      <c r="L153" s="8"/>
    </row>
    <row r="154" spans="4:12" ht="20.100000000000001" customHeight="1" x14ac:dyDescent="0.25">
      <c r="D154" s="8"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8"/>
      <c r="H154" s="8"/>
      <c r="I154" s="8"/>
      <c r="J154" s="8"/>
      <c r="K154" s="8"/>
      <c r="L154" s="8"/>
    </row>
    <row r="155" spans="4:12" ht="20.100000000000001" customHeight="1" x14ac:dyDescent="0.25">
      <c r="D155" s="8"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8"/>
      <c r="H155" s="8"/>
      <c r="I155" s="8"/>
      <c r="J155" s="8"/>
      <c r="K155" s="8"/>
      <c r="L155" s="8"/>
    </row>
    <row r="156" spans="4:12" ht="20.100000000000001" customHeight="1" x14ac:dyDescent="0.25">
      <c r="D156" s="8"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8"/>
      <c r="H156" s="8"/>
      <c r="I156" s="8"/>
      <c r="J156" s="8"/>
      <c r="K156" s="8"/>
      <c r="L156" s="8"/>
    </row>
    <row r="157" spans="4:12" ht="20.100000000000001" customHeight="1" x14ac:dyDescent="0.25">
      <c r="D157" s="8"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8"/>
      <c r="H157" s="8"/>
      <c r="I157" s="8"/>
      <c r="J157" s="8"/>
      <c r="K157" s="8"/>
      <c r="L157" s="8"/>
    </row>
    <row r="158" spans="4:12" ht="20.100000000000001" customHeight="1" x14ac:dyDescent="0.25">
      <c r="D158" s="8"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8"/>
      <c r="H158" s="8"/>
      <c r="I158" s="8"/>
      <c r="J158" s="8"/>
      <c r="K158" s="8"/>
      <c r="L158" s="8"/>
    </row>
    <row r="159" spans="4:12" ht="20.100000000000001" customHeight="1" x14ac:dyDescent="0.25">
      <c r="D159" s="8"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8"/>
      <c r="H159" s="8"/>
      <c r="I159" s="8"/>
      <c r="J159" s="8"/>
      <c r="K159" s="8"/>
      <c r="L159" s="8"/>
    </row>
    <row r="160" spans="4:12" ht="20.100000000000001" customHeight="1" x14ac:dyDescent="0.25">
      <c r="D160" s="8"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8"/>
      <c r="H160" s="8"/>
      <c r="I160" s="8"/>
      <c r="J160" s="8"/>
      <c r="K160" s="8"/>
      <c r="L160" s="8"/>
    </row>
    <row r="161" spans="4:12" ht="20.100000000000001" customHeight="1" x14ac:dyDescent="0.25">
      <c r="D161" s="8"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8"/>
      <c r="H161" s="8"/>
      <c r="I161" s="8"/>
      <c r="J161" s="8"/>
      <c r="K161" s="8"/>
      <c r="L161" s="8"/>
    </row>
    <row r="162" spans="4:12" ht="20.100000000000001" customHeight="1" x14ac:dyDescent="0.25">
      <c r="D162" s="8"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8"/>
      <c r="H162" s="8"/>
      <c r="I162" s="8"/>
      <c r="J162" s="8"/>
      <c r="K162" s="8"/>
      <c r="L162" s="8"/>
    </row>
    <row r="163" spans="4:12" ht="20.100000000000001" customHeight="1" x14ac:dyDescent="0.25">
      <c r="D163" s="8"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8"/>
      <c r="H163" s="8"/>
      <c r="I163" s="8"/>
      <c r="J163" s="8"/>
      <c r="K163" s="8"/>
      <c r="L163" s="8"/>
    </row>
    <row r="164" spans="4:12" ht="20.100000000000001" customHeight="1" x14ac:dyDescent="0.25">
      <c r="D164" s="8"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8"/>
      <c r="H164" s="8"/>
      <c r="I164" s="8"/>
      <c r="J164" s="8"/>
      <c r="K164" s="8"/>
      <c r="L164" s="8"/>
    </row>
    <row r="165" spans="4:12" ht="20.100000000000001" customHeight="1" x14ac:dyDescent="0.25">
      <c r="D165" s="8"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8"/>
      <c r="H165" s="8"/>
      <c r="I165" s="8"/>
      <c r="J165" s="8"/>
      <c r="K165" s="8"/>
      <c r="L165" s="8"/>
    </row>
    <row r="166" spans="4:12" x14ac:dyDescent="0.25">
      <c r="D166" s="8"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8"/>
      <c r="H166" s="8"/>
      <c r="I166" s="8"/>
      <c r="J166" s="8"/>
      <c r="K166" s="8"/>
      <c r="L166" s="8"/>
    </row>
    <row r="167" spans="4:12" x14ac:dyDescent="0.25">
      <c r="D167" s="8"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8"/>
      <c r="H167" s="8"/>
      <c r="I167" s="8"/>
      <c r="J167" s="8"/>
      <c r="K167" s="8"/>
      <c r="L167" s="8"/>
    </row>
    <row r="168" spans="4:12" x14ac:dyDescent="0.25">
      <c r="D168" s="8"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8"/>
      <c r="H168" s="8"/>
      <c r="I168" s="8"/>
      <c r="J168" s="8"/>
      <c r="K168" s="8"/>
      <c r="L168" s="8"/>
    </row>
    <row r="169" spans="4:12" x14ac:dyDescent="0.25">
      <c r="D169" s="8"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8"/>
      <c r="H169" s="8"/>
      <c r="I169" s="8"/>
      <c r="J169" s="8"/>
      <c r="K169" s="8"/>
      <c r="L169" s="8"/>
    </row>
    <row r="170" spans="4:12" x14ac:dyDescent="0.25">
      <c r="D170" s="8"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8"/>
      <c r="H170" s="8"/>
      <c r="I170" s="8"/>
      <c r="J170" s="8"/>
      <c r="K170" s="8"/>
      <c r="L170" s="8"/>
    </row>
    <row r="171" spans="4:12" x14ac:dyDescent="0.25">
      <c r="D171" s="8"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8"/>
      <c r="H171" s="8"/>
      <c r="I171" s="8"/>
      <c r="J171" s="8"/>
      <c r="K171" s="8"/>
      <c r="L171" s="8"/>
    </row>
    <row r="172" spans="4:12" x14ac:dyDescent="0.25">
      <c r="D172" s="8"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8"/>
      <c r="H172" s="8"/>
      <c r="I172" s="8"/>
      <c r="J172" s="8"/>
      <c r="K172" s="8"/>
      <c r="L172" s="8"/>
    </row>
    <row r="173" spans="4:12" x14ac:dyDescent="0.25">
      <c r="D173" s="8"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8"/>
      <c r="H173" s="8"/>
      <c r="I173" s="8"/>
      <c r="J173" s="8"/>
      <c r="K173" s="8"/>
      <c r="L173" s="8"/>
    </row>
    <row r="174" spans="4:12" x14ac:dyDescent="0.25">
      <c r="D174" s="8"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8"/>
      <c r="H174" s="8"/>
      <c r="I174" s="8"/>
      <c r="J174" s="8"/>
      <c r="K174" s="8"/>
      <c r="L174" s="8"/>
    </row>
    <row r="175" spans="4:12" x14ac:dyDescent="0.25">
      <c r="D175" s="8"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8"/>
      <c r="H175" s="8"/>
      <c r="I175" s="8"/>
      <c r="J175" s="8"/>
      <c r="K175" s="8"/>
      <c r="L175" s="8"/>
    </row>
    <row r="176" spans="4:12" x14ac:dyDescent="0.25">
      <c r="D176" s="8"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8"/>
      <c r="H176" s="8"/>
      <c r="I176" s="8"/>
      <c r="J176" s="8"/>
      <c r="K176" s="8"/>
      <c r="L176" s="8"/>
    </row>
    <row r="177" spans="4:12" x14ac:dyDescent="0.25">
      <c r="D177" s="8"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8"/>
      <c r="H177" s="8"/>
      <c r="I177" s="8"/>
      <c r="J177" s="8"/>
      <c r="K177" s="8"/>
      <c r="L177" s="8"/>
    </row>
    <row r="178" spans="4:12" x14ac:dyDescent="0.25">
      <c r="D178" s="8"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8"/>
      <c r="H178" s="8"/>
      <c r="I178" s="8"/>
      <c r="J178" s="8"/>
      <c r="K178" s="8"/>
      <c r="L178" s="8"/>
    </row>
    <row r="179" spans="4:12" x14ac:dyDescent="0.25">
      <c r="D179" s="8"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8"/>
      <c r="H179" s="8"/>
      <c r="I179" s="8"/>
      <c r="J179" s="8"/>
      <c r="K179" s="8"/>
      <c r="L179" s="8"/>
    </row>
    <row r="180" spans="4:12" x14ac:dyDescent="0.25">
      <c r="D180" s="8"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8"/>
      <c r="H180" s="8"/>
      <c r="I180" s="8"/>
      <c r="J180" s="8"/>
      <c r="K180" s="8"/>
      <c r="L180" s="8"/>
    </row>
    <row r="181" spans="4:12" x14ac:dyDescent="0.25">
      <c r="D181" s="8"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8"/>
      <c r="H181" s="8"/>
      <c r="I181" s="8"/>
      <c r="J181" s="8"/>
      <c r="K181" s="8"/>
      <c r="L181" s="8"/>
    </row>
    <row r="182" spans="4:12" x14ac:dyDescent="0.25">
      <c r="D182" s="8"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8"/>
      <c r="H182" s="8"/>
      <c r="I182" s="8"/>
      <c r="J182" s="8"/>
      <c r="K182" s="8"/>
      <c r="L182" s="8"/>
    </row>
    <row r="183" spans="4:12" x14ac:dyDescent="0.25">
      <c r="D183" s="8"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8"/>
      <c r="H183" s="8"/>
      <c r="I183" s="8"/>
      <c r="J183" s="8"/>
      <c r="K183" s="8"/>
      <c r="L183" s="8"/>
    </row>
    <row r="184" spans="4:12" x14ac:dyDescent="0.25">
      <c r="D184" s="8"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8"/>
      <c r="H184" s="8"/>
      <c r="I184" s="8"/>
      <c r="J184" s="8"/>
      <c r="K184" s="8"/>
      <c r="L184" s="8"/>
    </row>
    <row r="185" spans="4:12" x14ac:dyDescent="0.25">
      <c r="D185" s="8"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8"/>
      <c r="H185" s="8"/>
      <c r="I185" s="8"/>
      <c r="J185" s="8"/>
      <c r="K185" s="8"/>
      <c r="L185" s="8"/>
    </row>
    <row r="186" spans="4:12" x14ac:dyDescent="0.25">
      <c r="D186" s="8"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8"/>
      <c r="H186" s="8"/>
      <c r="I186" s="8"/>
      <c r="J186" s="8"/>
      <c r="K186" s="8"/>
      <c r="L186" s="8"/>
    </row>
    <row r="187" spans="4:12" x14ac:dyDescent="0.25">
      <c r="D187" s="8"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8"/>
      <c r="H187" s="8"/>
      <c r="I187" s="8"/>
      <c r="J187" s="8"/>
      <c r="K187" s="8"/>
      <c r="L187" s="8"/>
    </row>
    <row r="188" spans="4:12" x14ac:dyDescent="0.25">
      <c r="D188" s="8"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8"/>
      <c r="H188" s="8"/>
      <c r="I188" s="8"/>
      <c r="J188" s="8"/>
      <c r="K188" s="8"/>
      <c r="L188" s="8"/>
    </row>
    <row r="189" spans="4:12" x14ac:dyDescent="0.25">
      <c r="D189" s="8"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8"/>
      <c r="H189" s="8"/>
      <c r="I189" s="8"/>
      <c r="J189" s="8"/>
      <c r="K189" s="8"/>
      <c r="L189" s="8"/>
    </row>
    <row r="190" spans="4:12" x14ac:dyDescent="0.25">
      <c r="D190" s="8"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8"/>
      <c r="H190" s="8"/>
      <c r="I190" s="8"/>
      <c r="J190" s="8"/>
      <c r="K190" s="8"/>
      <c r="L190" s="8"/>
    </row>
    <row r="191" spans="4:12" x14ac:dyDescent="0.25">
      <c r="D191" s="8"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8"/>
      <c r="H191" s="8"/>
      <c r="I191" s="8"/>
      <c r="J191" s="8"/>
      <c r="K191" s="8"/>
      <c r="L191" s="8"/>
    </row>
    <row r="192" spans="4:12" x14ac:dyDescent="0.25">
      <c r="D192" s="8"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8"/>
      <c r="H192" s="8"/>
      <c r="I192" s="8"/>
      <c r="J192" s="8"/>
      <c r="K192" s="8"/>
      <c r="L192" s="8"/>
    </row>
    <row r="193" spans="4:12" x14ac:dyDescent="0.25">
      <c r="D193" s="8"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8"/>
      <c r="H193" s="8"/>
      <c r="I193" s="8"/>
      <c r="J193" s="8"/>
      <c r="K193" s="8"/>
      <c r="L193" s="8"/>
    </row>
    <row r="194" spans="4:12" x14ac:dyDescent="0.25">
      <c r="D194" s="8"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8"/>
      <c r="H194" s="8"/>
      <c r="I194" s="8"/>
      <c r="J194" s="8"/>
      <c r="K194" s="8"/>
      <c r="L194" s="8"/>
    </row>
    <row r="195" spans="4:12" x14ac:dyDescent="0.25">
      <c r="D195" s="8"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8"/>
      <c r="H195" s="8"/>
      <c r="I195" s="8"/>
      <c r="J195" s="8"/>
      <c r="K195" s="8"/>
      <c r="L195" s="8"/>
    </row>
    <row r="196" spans="4:12" x14ac:dyDescent="0.25">
      <c r="D196" s="8"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8"/>
      <c r="H196" s="8"/>
      <c r="I196" s="8"/>
      <c r="J196" s="8"/>
      <c r="K196" s="8"/>
      <c r="L196" s="8"/>
    </row>
    <row r="197" spans="4:12" x14ac:dyDescent="0.25">
      <c r="D197" s="8"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8"/>
      <c r="H197" s="8"/>
      <c r="I197" s="8"/>
      <c r="J197" s="8"/>
      <c r="K197" s="8"/>
      <c r="L197" s="8"/>
    </row>
    <row r="198" spans="4:12" x14ac:dyDescent="0.25">
      <c r="D198" s="8"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8"/>
      <c r="H198" s="8"/>
      <c r="I198" s="8"/>
      <c r="J198" s="8"/>
      <c r="K198" s="8"/>
      <c r="L198" s="8"/>
    </row>
    <row r="199" spans="4:12" x14ac:dyDescent="0.25">
      <c r="D199" s="8"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8"/>
      <c r="H199" s="8"/>
      <c r="I199" s="8"/>
      <c r="J199" s="8"/>
      <c r="K199" s="8"/>
      <c r="L199" s="8"/>
    </row>
    <row r="200" spans="4:12" x14ac:dyDescent="0.25">
      <c r="D200" s="8"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8"/>
      <c r="H200" s="8"/>
      <c r="I200" s="8"/>
      <c r="J200" s="8"/>
      <c r="K200" s="8"/>
      <c r="L200" s="8"/>
    </row>
    <row r="201" spans="4:12" x14ac:dyDescent="0.25">
      <c r="D201" s="8"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8"/>
      <c r="H201" s="8"/>
      <c r="I201" s="8"/>
      <c r="J201" s="8"/>
      <c r="K201" s="8"/>
      <c r="L201" s="8"/>
    </row>
    <row r="202" spans="4:12" x14ac:dyDescent="0.25">
      <c r="D202" s="8"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8"/>
      <c r="H202" s="8"/>
      <c r="I202" s="8"/>
      <c r="J202" s="8"/>
      <c r="K202" s="8"/>
      <c r="L202" s="8"/>
    </row>
    <row r="203" spans="4:12" x14ac:dyDescent="0.25">
      <c r="D203" s="8"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8"/>
      <c r="H203" s="8"/>
      <c r="I203" s="8"/>
      <c r="J203" s="8"/>
      <c r="K203" s="8"/>
      <c r="L203" s="8"/>
    </row>
    <row r="204" spans="4:12" x14ac:dyDescent="0.25">
      <c r="D204" s="8"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8"/>
      <c r="H204" s="8"/>
      <c r="I204" s="8"/>
      <c r="J204" s="8"/>
      <c r="K204" s="8"/>
      <c r="L204" s="8"/>
    </row>
    <row r="205" spans="4:12" x14ac:dyDescent="0.25">
      <c r="D205" s="8"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8"/>
      <c r="H205" s="8"/>
      <c r="I205" s="8"/>
      <c r="J205" s="8"/>
      <c r="K205" s="8"/>
      <c r="L205" s="8"/>
    </row>
    <row r="206" spans="4:12" x14ac:dyDescent="0.25">
      <c r="D206" s="8"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8"/>
      <c r="H206" s="8"/>
      <c r="I206" s="8"/>
      <c r="J206" s="8"/>
      <c r="K206" s="8"/>
      <c r="L206" s="8"/>
    </row>
    <row r="207" spans="4:12" x14ac:dyDescent="0.25">
      <c r="D207" s="8"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8"/>
      <c r="H207" s="8"/>
      <c r="I207" s="8"/>
      <c r="J207" s="8"/>
      <c r="K207" s="8"/>
      <c r="L207" s="8"/>
    </row>
    <row r="208" spans="4:12" x14ac:dyDescent="0.25">
      <c r="D208" s="8"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8"/>
      <c r="H208" s="8"/>
      <c r="I208" s="8"/>
      <c r="J208" s="8"/>
      <c r="K208" s="8"/>
      <c r="L208" s="8"/>
    </row>
    <row r="209" spans="4:12" x14ac:dyDescent="0.25">
      <c r="D209" s="8"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8"/>
      <c r="H209" s="8"/>
      <c r="I209" s="8"/>
      <c r="J209" s="8"/>
      <c r="K209" s="8"/>
      <c r="L209" s="8"/>
    </row>
    <row r="210" spans="4:12" x14ac:dyDescent="0.25">
      <c r="D210" s="8"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8"/>
      <c r="H210" s="8"/>
      <c r="I210" s="8"/>
      <c r="J210" s="8"/>
      <c r="K210" s="8"/>
      <c r="L210" s="8"/>
    </row>
    <row r="211" spans="4:12" x14ac:dyDescent="0.25">
      <c r="D211" s="8"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8"/>
      <c r="H211" s="8"/>
      <c r="I211" s="8"/>
      <c r="J211" s="8"/>
      <c r="K211" s="8"/>
      <c r="L211" s="8"/>
    </row>
    <row r="212" spans="4:12" x14ac:dyDescent="0.25">
      <c r="D212" s="8"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8"/>
      <c r="H212" s="8"/>
      <c r="I212" s="8"/>
      <c r="J212" s="8"/>
      <c r="K212" s="8"/>
      <c r="L212" s="8"/>
    </row>
    <row r="213" spans="4:12" x14ac:dyDescent="0.25">
      <c r="D213" s="8"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8"/>
      <c r="H213" s="8"/>
      <c r="I213" s="8"/>
      <c r="J213" s="8"/>
      <c r="K213" s="8"/>
      <c r="L213" s="8"/>
    </row>
    <row r="214" spans="4:12" x14ac:dyDescent="0.25">
      <c r="D214" s="8"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8"/>
      <c r="H214" s="8"/>
      <c r="I214" s="8"/>
      <c r="J214" s="8"/>
    </row>
    <row r="215" spans="4:12" x14ac:dyDescent="0.25">
      <c r="D215" s="8"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8"/>
      <c r="H215" s="8"/>
      <c r="I215" s="8"/>
      <c r="J215" s="8"/>
    </row>
    <row r="216" spans="4:12" x14ac:dyDescent="0.25">
      <c r="D216" s="8"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8"/>
      <c r="H216" s="8"/>
      <c r="I216" s="8"/>
      <c r="J216" s="8"/>
    </row>
    <row r="217" spans="4:12" x14ac:dyDescent="0.25">
      <c r="D217" s="8"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8"/>
      <c r="H217" s="8"/>
      <c r="I217" s="8"/>
      <c r="J217" s="8"/>
    </row>
    <row r="218" spans="4:12" x14ac:dyDescent="0.25">
      <c r="D218" s="8"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8"/>
      <c r="H218" s="8"/>
      <c r="I218" s="8"/>
      <c r="J218" s="8"/>
    </row>
    <row r="219" spans="4:12" x14ac:dyDescent="0.25">
      <c r="D219" s="8"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8"/>
      <c r="H219" s="8"/>
      <c r="I219" s="8"/>
      <c r="J219" s="8"/>
    </row>
    <row r="220" spans="4:12" x14ac:dyDescent="0.25">
      <c r="D220" s="8"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8"/>
      <c r="H220" s="8"/>
      <c r="I220" s="8"/>
      <c r="J220" s="8"/>
    </row>
    <row r="221" spans="4:12" x14ac:dyDescent="0.25">
      <c r="D221" s="8"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8"/>
      <c r="H221" s="8"/>
      <c r="I221" s="8"/>
      <c r="J221" s="8"/>
    </row>
    <row r="222" spans="4:12" x14ac:dyDescent="0.25">
      <c r="D222" s="8"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8"/>
      <c r="H222" s="8"/>
      <c r="I222" s="8"/>
      <c r="J222" s="8"/>
    </row>
    <row r="223" spans="4:12" x14ac:dyDescent="0.25">
      <c r="D223" s="8"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8"/>
      <c r="H223" s="8"/>
      <c r="I223" s="8"/>
      <c r="J223" s="8"/>
    </row>
    <row r="224" spans="4:12" x14ac:dyDescent="0.25">
      <c r="D224" s="8"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8"/>
      <c r="H224" s="8"/>
      <c r="I224" s="8"/>
      <c r="J224" s="8"/>
    </row>
    <row r="225" spans="4:10" x14ac:dyDescent="0.25">
      <c r="D225" s="8"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8"/>
      <c r="H225" s="8"/>
      <c r="I225" s="8"/>
      <c r="J225" s="8"/>
    </row>
    <row r="226" spans="4:10" x14ac:dyDescent="0.25">
      <c r="D226" s="8"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8"/>
      <c r="H226" s="8"/>
      <c r="I226" s="8"/>
      <c r="J226" s="8"/>
    </row>
    <row r="227" spans="4:10" x14ac:dyDescent="0.25">
      <c r="D227" s="8"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8"/>
      <c r="H227" s="8"/>
      <c r="I227" s="8"/>
      <c r="J227" s="8"/>
    </row>
    <row r="228" spans="4:10" x14ac:dyDescent="0.25">
      <c r="D228" s="8"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8"/>
      <c r="H228" s="8"/>
    </row>
    <row r="229" spans="4:10" x14ac:dyDescent="0.25">
      <c r="D229" s="8"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8"/>
    </row>
    <row r="230" spans="4:10" x14ac:dyDescent="0.25">
      <c r="D230" s="8"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8"/>
    </row>
    <row r="231" spans="4:10" x14ac:dyDescent="0.25">
      <c r="D231" s="8"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8"/>
    </row>
    <row r="232" spans="4:10" x14ac:dyDescent="0.25">
      <c r="D232" s="8"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8"/>
    </row>
    <row r="233" spans="4:10" x14ac:dyDescent="0.25">
      <c r="D233" s="8"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8"/>
    </row>
    <row r="234" spans="4:10" x14ac:dyDescent="0.25">
      <c r="D234" s="8"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8"/>
    </row>
    <row r="235" spans="4:10" x14ac:dyDescent="0.25">
      <c r="D235" s="8"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A2386-4F03-4463-B563-78A029CD6B0A}">
  <dimension ref="A1:M160"/>
  <sheetViews>
    <sheetView showGridLines="0" topLeftCell="A12" zoomScaleNormal="100" workbookViewId="0">
      <selection activeCell="A49" sqref="A49"/>
    </sheetView>
  </sheetViews>
  <sheetFormatPr defaultRowHeight="15.75" x14ac:dyDescent="0.25"/>
  <cols>
    <col min="1" max="1" width="30.7109375" style="237" customWidth="1"/>
    <col min="2" max="2" width="4.7109375" style="237" customWidth="1"/>
    <col min="3" max="3" width="4.7109375" style="1" customWidth="1"/>
    <col min="4" max="8" width="30.7109375" style="1" customWidth="1"/>
    <col min="9" max="9" width="30.85546875" style="1" customWidth="1"/>
    <col min="10" max="13" width="30.7109375" style="1" customWidth="1"/>
    <col min="14" max="16" width="30.7109375" style="237" customWidth="1"/>
    <col min="17" max="16384" width="9.140625" style="237"/>
  </cols>
  <sheetData>
    <row r="1" spans="1:13" ht="30" customHeight="1" x14ac:dyDescent="0.35">
      <c r="A1" s="16" t="e" vm="1">
        <v>#VALUE!</v>
      </c>
      <c r="C1" s="31" t="s">
        <v>966</v>
      </c>
      <c r="D1" s="31"/>
      <c r="E1" s="31"/>
      <c r="F1" s="31"/>
      <c r="G1" s="31"/>
      <c r="H1" s="31"/>
      <c r="I1" s="31"/>
      <c r="J1" s="31"/>
      <c r="K1" s="31"/>
      <c r="L1" s="31"/>
      <c r="M1" s="31"/>
    </row>
    <row r="2" spans="1:13" ht="20.100000000000001" customHeight="1" x14ac:dyDescent="0.25">
      <c r="A2"/>
      <c r="C2" s="3"/>
      <c r="D2" s="3"/>
      <c r="E2" s="3"/>
      <c r="F2" s="3"/>
      <c r="G2" s="3"/>
      <c r="H2" s="3"/>
      <c r="I2" s="3"/>
      <c r="J2" s="3"/>
      <c r="K2" s="3"/>
      <c r="L2" s="3"/>
      <c r="M2" s="3"/>
    </row>
    <row r="3" spans="1:13" ht="20.100000000000001" customHeight="1" x14ac:dyDescent="0.25">
      <c r="A3" s="5" t="str">
        <f>HYPERLINK("#'Home'!A1", "Home")</f>
        <v>Home</v>
      </c>
      <c r="C3" s="33"/>
      <c r="D3" s="33"/>
      <c r="E3" s="33"/>
      <c r="F3" s="33"/>
      <c r="G3" s="33"/>
      <c r="H3" s="33"/>
      <c r="I3" s="33"/>
      <c r="J3" s="33"/>
      <c r="K3" s="33"/>
      <c r="L3" s="33"/>
      <c r="M3" s="33"/>
    </row>
    <row r="4" spans="1:13" ht="20.100000000000001" customHeight="1" x14ac:dyDescent="0.25">
      <c r="A4" s="5" t="str">
        <f>HYPERLINK("#'Overview'!A1", "Overview")</f>
        <v>Overview</v>
      </c>
    </row>
    <row r="5" spans="1:13" ht="20.100000000000001" customHeight="1" x14ac:dyDescent="0.25">
      <c r="A5" s="5" t="str">
        <f>HYPERLINK("#'Results'!A1", "Results")</f>
        <v>Results</v>
      </c>
    </row>
    <row r="6" spans="1:13" ht="20.100000000000001" customHeight="1" x14ac:dyDescent="0.25">
      <c r="A6"/>
      <c r="D6" s="2" t="str" cm="1">
        <f t="array" ref="D6">CommonLivestock_SourceData.SourceData_Livestock_Common_SymbolsMMS_Title()</f>
        <v>Table 5.12 Additional symbols used in algorithms for manure related emissions</v>
      </c>
      <c r="E6" s="35"/>
      <c r="F6" s="35"/>
      <c r="G6" s="35"/>
      <c r="H6" s="35"/>
    </row>
    <row r="7" spans="1:13" ht="20.100000000000001" customHeight="1" x14ac:dyDescent="0.25">
      <c r="A7"/>
      <c r="D7" s="35" t="str" cm="1">
        <f t="array" ref="D7">CommonLivestock_SourceData.SourceData_Livestock_Common_SymbolsMMS_Vairable()</f>
        <v>MMS</v>
      </c>
      <c r="E7" s="35"/>
      <c r="F7" s="35"/>
      <c r="G7" s="35"/>
      <c r="H7" s="35"/>
    </row>
    <row r="8" spans="1:13" ht="20.100000000000001" customHeight="1" x14ac:dyDescent="0.25">
      <c r="A8" s="7" t="s">
        <v>0</v>
      </c>
      <c r="D8" s="27" t="str" cm="1">
        <f t="array" ref="D8">CommonLivestock_SourceData.SourceData_Livestock_Common_SymbolsMMS_Source()</f>
        <v>National Inventory Report 2023 Volume 1: Table 5.12</v>
      </c>
      <c r="E8" s="35"/>
      <c r="F8" s="35"/>
      <c r="G8" s="35"/>
      <c r="H8" s="35"/>
    </row>
    <row r="9" spans="1:13" ht="20.100000000000001" customHeight="1" x14ac:dyDescent="0.25">
      <c r="A9" s="5" t="str">
        <f>HYPERLINK("#'Input - Enterprise'!A1", "Enterprise")</f>
        <v>Enterprise</v>
      </c>
      <c r="D9" s="37" t="s">
        <v>967</v>
      </c>
      <c r="E9" s="30" t="s">
        <v>968</v>
      </c>
      <c r="F9" s="30" t="s">
        <v>969</v>
      </c>
      <c r="G9" s="35"/>
    </row>
    <row r="10" spans="1:13" ht="20.100000000000001" customHeight="1" x14ac:dyDescent="0.25">
      <c r="A10" s="5" t="str">
        <f>HYPERLINK("#'Input - Site'!A1", "Site")</f>
        <v>Site</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5"/>
    </row>
    <row r="11" spans="1:13" ht="20.100000000000001" customHeight="1" x14ac:dyDescent="0.25">
      <c r="A11" s="5" t="str">
        <f>HYPERLINK("#'Input - Crop'!A1", "Crop")</f>
        <v>Crop</v>
      </c>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5"/>
    </row>
    <row r="12" spans="1:13" ht="20.100000000000001" customHeight="1" x14ac:dyDescent="0.25">
      <c r="A12" s="5" t="str">
        <f>HYPERLINK("#'Input - Fert Prod System'!A1", "Fert Prod System")</f>
        <v>Fert Prod System</v>
      </c>
      <c r="D12" s="30" t="str" cm="1">
        <f t="array" ref="D12">Common_InputFunctions.Utility_DisplayArrayInTable(CommonLivestock_SourceData.SourceData_Livestock_Common_SymbolsMMS_Data(), Table_Data_MMSSymbols[[#Headers],[Symbol]], 0)</f>
        <v>3</v>
      </c>
      <c r="E12" s="30" t="str" cm="1">
        <f t="array" ref="E12">Common_InputFunctions.Utility_DisplayArrayInTable(CommonLivestock_SourceData.SourceData_Livestock_Common_SymbolsMMS_Data(), Table_Data_MMSSymbols[[#Headers],[Symbol]], 0)</f>
        <v>Daily spread</v>
      </c>
      <c r="F12" s="30" t="str" cm="1">
        <f t="array" ref="F12">Common_InputFunctions.Utility_DisplayArrayInTable(CommonLivestock_SourceData.SourceData_Livestock_Common_SymbolsMMS_Data(), Table_Data_MMSSymbols[[#Headers],[Symbol]], 0)</f>
        <v>Daily spread (m=3)</v>
      </c>
      <c r="G12" s="35"/>
    </row>
    <row r="13" spans="1:13" ht="20.100000000000001" customHeight="1" x14ac:dyDescent="0.25">
      <c r="A13" s="5" t="str">
        <f>HYPERLINK("#'Input - Fertiliser'!A1", "Fertiliser")</f>
        <v>Fertiliser</v>
      </c>
      <c r="D13" s="30" t="str" cm="1">
        <f t="array" ref="D13">Common_InputFunctions.Utility_DisplayArrayInTable(CommonLivestock_SourceData.SourceData_Livestock_Common_SymbolsMMS_Data(), Table_Data_MMSSymbols[[#Headers],[Symbol]], 0)</f>
        <v>3a</v>
      </c>
      <c r="E13" s="30" t="str" cm="1">
        <f t="array" ref="E13">Common_InputFunctions.Utility_DisplayArrayInTable(CommonLivestock_SourceData.SourceData_Livestock_Common_SymbolsMMS_Data(), Table_Data_MMSSymbols[[#Headers],[Symbol]], 0)</f>
        <v>Sump and dispersal system</v>
      </c>
      <c r="F13" s="30" t="str" cm="1">
        <f t="array" ref="F13">Common_InputFunctions.Utility_DisplayArrayInTable(CommonLivestock_SourceData.SourceData_Livestock_Common_SymbolsMMS_Data(), Table_Data_MMSSymbols[[#Headers],[Symbol]], 0)</f>
        <v>Sump and dispersal system (m=3a)</v>
      </c>
      <c r="G13" s="35"/>
    </row>
    <row r="14" spans="1:13" ht="20.100000000000001" customHeight="1" x14ac:dyDescent="0.25">
      <c r="A14" s="5" t="str">
        <f>HYPERLINK("#'Input - Fuel'!A1", "Fuel")</f>
        <v>Fuel</v>
      </c>
      <c r="D14" s="30" t="str" cm="1">
        <f t="array" ref="D14">Common_InputFunctions.Utility_DisplayArrayInTable(CommonLivestock_SourceData.SourceData_Livestock_Common_SymbolsMMS_Data(), Table_Data_MMSSymbols[[#Headers],[Symbol]], 0)</f>
        <v>3b</v>
      </c>
      <c r="E14" s="30" t="str" cm="1">
        <f t="array" ref="E14">Common_InputFunctions.Utility_DisplayArrayInTable(CommonLivestock_SourceData.SourceData_Livestock_Common_SymbolsMMS_Data(), Table_Data_MMSSymbols[[#Headers],[Symbol]], 0)</f>
        <v>Drains to paddock</v>
      </c>
      <c r="F14" s="30" t="str" cm="1">
        <f t="array" ref="F14">Common_InputFunctions.Utility_DisplayArrayInTable(CommonLivestock_SourceData.SourceData_Livestock_Common_SymbolsMMS_Data(), Table_Data_MMSSymbols[[#Headers],[Symbol]], 0)</f>
        <v>Drains to paddock (m=3b)</v>
      </c>
      <c r="G14" s="35"/>
    </row>
    <row r="15" spans="1:13" ht="20.100000000000001" customHeight="1" x14ac:dyDescent="0.25">
      <c r="A15" s="5" t="str">
        <f>HYPERLINK("#'Input - Electricity'!A1", "Electricity")</f>
        <v>Electricity</v>
      </c>
      <c r="D15" s="30" t="str" cm="1">
        <f t="array" ref="D15">Common_InputFunctions.Utility_DisplayArrayInTable(CommonLivestock_SourceData.SourceData_Livestock_Common_SymbolsMMS_Data(), Table_Data_MMSSymbols[[#Headers],[Symbol]], 0)</f>
        <v>4</v>
      </c>
      <c r="E15" s="30" t="str" cm="1">
        <f t="array" ref="E15">Common_InputFunctions.Utility_DisplayArrayInTable(CommonLivestock_SourceData.SourceData_Livestock_Common_SymbolsMMS_Data(), Table_Data_MMSSymbols[[#Headers],[Symbol]], 0)</f>
        <v>Solid storage</v>
      </c>
      <c r="F15" s="30" t="str" cm="1">
        <f t="array" ref="F15">Common_InputFunctions.Utility_DisplayArrayInTable(CommonLivestock_SourceData.SourceData_Livestock_Common_SymbolsMMS_Data(), Table_Data_MMSSymbols[[#Headers],[Symbol]], 0)</f>
        <v>Solid storage (m=4)</v>
      </c>
      <c r="G15" s="35"/>
    </row>
    <row r="16" spans="1:13" ht="20.100000000000001" customHeight="1" x14ac:dyDescent="0.25">
      <c r="A16" s="5" t="str">
        <f>HYPERLINK("#'Input - Farm Inputs'!A1", "Farm Inputs")</f>
        <v>Farm Inputs</v>
      </c>
      <c r="D16" s="30" t="str" cm="1">
        <f t="array" ref="D16">Common_InputFunctions.Utility_DisplayArrayInTable(CommonLivestock_SourceData.SourceData_Livestock_Common_SymbolsMMS_Data(), Table_Data_MMSSymbols[[#Headers],[Symbol]], 0)</f>
        <v>5</v>
      </c>
      <c r="E16" s="30" t="str" cm="1">
        <f t="array" ref="E16">Common_InputFunctions.Utility_DisplayArrayInTable(CommonLivestock_SourceData.SourceData_Livestock_Common_SymbolsMMS_Data(), Table_Data_MMSSymbols[[#Headers],[Symbol]], 0)</f>
        <v>Drylot (feed pad)</v>
      </c>
      <c r="F16" s="30" t="str" cm="1">
        <f t="array" ref="F16">Common_InputFunctions.Utility_DisplayArrayInTable(CommonLivestock_SourceData.SourceData_Livestock_Common_SymbolsMMS_Data(), Table_Data_MMSSymbols[[#Headers],[Symbol]], 0)</f>
        <v>Drylot (feed pad) (m=5)</v>
      </c>
      <c r="G16" s="35"/>
    </row>
    <row r="17" spans="1:8" ht="20.100000000000001" customHeight="1" x14ac:dyDescent="0.25">
      <c r="A17" s="5" t="str">
        <f>HYPERLINK("#'Input - Freight'!A1", "Freight")</f>
        <v>Freight</v>
      </c>
      <c r="D17" s="30" t="str" cm="1">
        <f t="array" ref="D17">Common_InputFunctions.Utility_DisplayArrayInTable(CommonLivestock_SourceData.SourceData_Livestock_Common_SymbolsMMS_Data(), Table_Data_MMSSymbols[[#Headers],[Symbol]], 0)</f>
        <v>6</v>
      </c>
      <c r="E17" s="30" t="str" cm="1">
        <f t="array" ref="E17">Common_InputFunctions.Utility_DisplayArrayInTable(CommonLivestock_SourceData.SourceData_Livestock_Common_SymbolsMMS_Data(), Table_Data_MMSSymbols[[#Headers],[Symbol]], 0)</f>
        <v>Composting (passive windrow)</v>
      </c>
      <c r="F17" s="30" t="str" cm="1">
        <f t="array" ref="F17">Common_InputFunctions.Utility_DisplayArrayInTable(CommonLivestock_SourceData.SourceData_Livestock_Common_SymbolsMMS_Data(), Table_Data_MMSSymbols[[#Headers],[Symbol]], 0)</f>
        <v>Composting (passive windrow) (m=6)</v>
      </c>
      <c r="G17" s="35"/>
    </row>
    <row r="18" spans="1:8" ht="20.100000000000001" customHeight="1" x14ac:dyDescent="0.25">
      <c r="A18" s="5" t="str">
        <f>HYPERLINK("#'Input - Manure sent off-site'!A1", "Manure sent off-site")</f>
        <v>Manure sent off-site</v>
      </c>
      <c r="D18" s="30" t="str" cm="1">
        <f t="array" ref="D18">Common_InputFunctions.Utility_DisplayArrayInTable(CommonLivestock_SourceData.SourceData_Livestock_Common_SymbolsMMS_Data(), Table_Data_MMSSymbols[[#Headers],[Symbol]], 0)</f>
        <v>7</v>
      </c>
      <c r="E18" s="30" t="str" cm="1">
        <f t="array" ref="E18">Common_InputFunctions.Utility_DisplayArrayInTable(CommonLivestock_SourceData.SourceData_Livestock_Common_SymbolsMMS_Data(), Table_Data_MMSSymbols[[#Headers],[Symbol]], 0)</f>
        <v>Digester / covered lagoons</v>
      </c>
      <c r="F18" s="30" t="str" cm="1">
        <f t="array" ref="F18">Common_InputFunctions.Utility_DisplayArrayInTable(CommonLivestock_SourceData.SourceData_Livestock_Common_SymbolsMMS_Data(), Table_Data_MMSSymbols[[#Headers],[Symbol]], 0)</f>
        <v>Digester / covered lagoons (m=7)</v>
      </c>
      <c r="G18" s="35"/>
    </row>
    <row r="19" spans="1:8" ht="20.100000000000001" customHeight="1" x14ac:dyDescent="0.25">
      <c r="A19" s="5" t="str">
        <f>HYPERLINK("#'Input - Solid waste'!A1", "Solid waste")</f>
        <v>Solid waste</v>
      </c>
      <c r="D19" s="30" t="str" cm="1">
        <f t="array" ref="D19">Common_InputFunctions.Utility_DisplayArrayInTable(CommonLivestock_SourceData.SourceData_Livestock_Common_SymbolsMMS_Data(), Table_Data_MMSSymbols[[#Headers],[Symbol]], 0)</f>
        <v>8</v>
      </c>
      <c r="E19" s="30" t="str" cm="1">
        <f t="array" ref="E19">Common_InputFunctions.Utility_DisplayArrayInTable(CommonLivestock_SourceData.SourceData_Livestock_Common_SymbolsMMS_Data(), Table_Data_MMSSymbols[[#Headers],[Symbol]], 0)</f>
        <v>Deep litter</v>
      </c>
      <c r="F19" s="30" t="str" cm="1">
        <f t="array" ref="F19">Common_InputFunctions.Utility_DisplayArrayInTable(CommonLivestock_SourceData.SourceData_Livestock_Common_SymbolsMMS_Data(), Table_Data_MMSSymbols[[#Headers],[Symbol]], 0)</f>
        <v>Deep litter (m=8)</v>
      </c>
      <c r="G19" s="35"/>
    </row>
    <row r="20" spans="1:8" ht="20.100000000000001" customHeight="1" x14ac:dyDescent="0.25">
      <c r="A20" s="5" t="str">
        <f>HYPERLINK("#'Input - Data quality'!A1", "Data quality")</f>
        <v>Data quality</v>
      </c>
      <c r="D20" s="30" t="str" cm="1">
        <f t="array" ref="D20">Common_InputFunctions.Utility_DisplayArrayInTable(CommonLivestock_SourceData.SourceData_Livestock_Common_SymbolsMMS_Data(), Table_Data_MMSSymbols[[#Headers],[Symbol]], 0)</f>
        <v>9</v>
      </c>
      <c r="E20" s="30" t="str" cm="1">
        <f t="array" ref="E20">Common_InputFunctions.Utility_DisplayArrayInTable(CommonLivestock_SourceData.SourceData_Livestock_Common_SymbolsMMS_Data(), Table_Data_MMSSymbols[[#Headers],[Symbol]], 0)</f>
        <v>Pit storage</v>
      </c>
      <c r="F20" s="30" t="str" cm="1">
        <f t="array" ref="F20">Common_InputFunctions.Utility_DisplayArrayInTable(CommonLivestock_SourceData.SourceData_Livestock_Common_SymbolsMMS_Data(), Table_Data_MMSSymbols[[#Headers],[Symbol]], 0)</f>
        <v>Pit storage (m=9)</v>
      </c>
      <c r="G20" s="35"/>
    </row>
    <row r="21" spans="1:8" ht="20.100000000000001" customHeight="1" x14ac:dyDescent="0.25">
      <c r="A21"/>
      <c r="D21" s="30" t="str" cm="1">
        <f t="array" ref="D21">Common_InputFunctions.Utility_DisplayArrayInTable(CommonLivestock_SourceData.SourceData_Livestock_Common_SymbolsMMS_Data(), Table_Data_MMSSymbols[[#Headers],[Symbol]], 0)</f>
        <v>10</v>
      </c>
      <c r="E21" s="30" t="str" cm="1">
        <f t="array" ref="E21">Common_InputFunctions.Utility_DisplayArrayInTable(CommonLivestock_SourceData.SourceData_Livestock_Common_SymbolsMMS_Data(), Table_Data_MMSSymbols[[#Headers],[Symbol]], 0)</f>
        <v>Poultry manure with bedding</v>
      </c>
      <c r="F21" s="30" t="str" cm="1">
        <f t="array" ref="F21">Common_InputFunctions.Utility_DisplayArrayInTable(CommonLivestock_SourceData.SourceData_Livestock_Common_SymbolsMMS_Data(), Table_Data_MMSSymbols[[#Headers],[Symbol]], 0)</f>
        <v>Poultry manure with bedding (m=10)</v>
      </c>
      <c r="G21" s="35"/>
    </row>
    <row r="22" spans="1:8" ht="20.100000000000001" customHeight="1" x14ac:dyDescent="0.25">
      <c r="A22"/>
      <c r="D22" s="30" t="str" cm="1">
        <f t="array" ref="D22">Common_InputFunctions.Utility_DisplayArrayInTable(CommonLivestock_SourceData.SourceData_Livestock_Common_SymbolsMMS_Data(), Table_Data_MMSSymbols[[#Headers],[Symbol]], 0)</f>
        <v>11</v>
      </c>
      <c r="E22" s="30" t="str" cm="1">
        <f t="array" ref="E22">Common_InputFunctions.Utility_DisplayArrayInTable(CommonLivestock_SourceData.SourceData_Livestock_Common_SymbolsMMS_Data(), Table_Data_MMSSymbols[[#Headers],[Symbol]], 0)</f>
        <v>Poultry manure without bedding</v>
      </c>
      <c r="F22" s="30" t="str" cm="1">
        <f t="array" ref="F22">Common_InputFunctions.Utility_DisplayArrayInTable(CommonLivestock_SourceData.SourceData_Livestock_Common_SymbolsMMS_Data(), Table_Data_MMSSymbols[[#Headers],[Symbol]], 0)</f>
        <v>Poultry manure without bedding (m=11)</v>
      </c>
      <c r="G22" s="35"/>
    </row>
    <row r="23" spans="1:8" ht="20.100000000000001" customHeight="1" x14ac:dyDescent="0.25">
      <c r="A23" s="6" t="s">
        <v>2</v>
      </c>
      <c r="D23" s="30" t="str" cm="1">
        <f t="array" ref="D23">Common_InputFunctions.Utility_DisplayArrayInTable(CommonLivestock_SourceData.SourceData_Livestock_Common_SymbolsMMS_Data(), Table_Data_MMSSymbols[[#Headers],[Symbol]], 0)</f>
        <v>11a</v>
      </c>
      <c r="E23" s="30" t="str" cm="1">
        <f t="array" ref="E23">Common_InputFunctions.Utility_DisplayArrayInTable(CommonLivestock_SourceData.SourceData_Livestock_Common_SymbolsMMS_Data(), Table_Data_MMSSymbols[[#Headers],[Symbol]], 0)</f>
        <v>Belt manure removal</v>
      </c>
      <c r="F23" s="30" t="str" cm="1">
        <f t="array" ref="F23">Common_InputFunctions.Utility_DisplayArrayInTable(CommonLivestock_SourceData.SourceData_Livestock_Common_SymbolsMMS_Data(), Table_Data_MMSSymbols[[#Headers],[Symbol]], 0)</f>
        <v>Belt manure removal (m=11a)</v>
      </c>
      <c r="G23" s="35"/>
    </row>
    <row r="24" spans="1:8" ht="20.100000000000001" customHeight="1" x14ac:dyDescent="0.25">
      <c r="A24" s="5" t="str">
        <f>HYPERLINK("#'5.1.1.1-2 Inorganic fert N2O'!A1", "5.1.1.1-2 Inorganic fert N2O")</f>
        <v>5.1.1.1-2 Inorganic fert N2O</v>
      </c>
      <c r="D24" s="30" t="str" cm="1">
        <f t="array" ref="D24">Common_InputFunctions.Utility_DisplayArrayInTable(CommonLivestock_SourceData.SourceData_Livestock_Common_SymbolsMMS_Data(), Table_Data_MMSSymbols[[#Headers],[Symbol]], 0)</f>
        <v>11b</v>
      </c>
      <c r="E24" s="30" t="str" cm="1">
        <f t="array" ref="E24">Common_InputFunctions.Utility_DisplayArrayInTable(CommonLivestock_SourceData.SourceData_Livestock_Common_SymbolsMMS_Data(), Table_Data_MMSSymbols[[#Headers],[Symbol]], 0)</f>
        <v>Manure stored in house</v>
      </c>
      <c r="F24" s="30" t="str" cm="1">
        <f t="array" ref="F24">Common_InputFunctions.Utility_DisplayArrayInTable(CommonLivestock_SourceData.SourceData_Livestock_Common_SymbolsMMS_Data(), Table_Data_MMSSymbols[[#Headers],[Symbol]], 0)</f>
        <v>Manure stored in house (m=11b)</v>
      </c>
      <c r="G24" s="35"/>
    </row>
    <row r="25" spans="1:8" ht="20.100000000000001" customHeight="1" x14ac:dyDescent="0.25">
      <c r="A25" s="5" t="str">
        <f>HYPERLINK("#'5.1.1.3-4 Inorganic fert CO2'!A1", "5.1.1.3-4 Inorganic fert CO2")</f>
        <v>5.1.1.3-4 Inorganic fert CO2</v>
      </c>
      <c r="D25" s="30" t="str" cm="1">
        <f t="array" ref="D25">Common_InputFunctions.Utility_DisplayArrayInTable(CommonLivestock_SourceData.SourceData_Livestock_Common_SymbolsMMS_Data(), Table_Data_MMSSymbols[[#Headers],[Symbol]], 0)</f>
        <v>12</v>
      </c>
      <c r="E25" s="30" t="str" cm="1">
        <f t="array" ref="E25">Common_InputFunctions.Utility_DisplayArrayInTable(CommonLivestock_SourceData.SourceData_Livestock_Common_SymbolsMMS_Data(), Table_Data_MMSSymbols[[#Headers],[Symbol]], 0)</f>
        <v>Direct processing</v>
      </c>
      <c r="F25" s="30" t="str" cm="1">
        <f t="array" ref="F25">Common_InputFunctions.Utility_DisplayArrayInTable(CommonLivestock_SourceData.SourceData_Livestock_Common_SymbolsMMS_Data(), Table_Data_MMSSymbols[[#Headers],[Symbol]], 0)</f>
        <v>Direct processing (m=12)</v>
      </c>
      <c r="G25" s="35"/>
    </row>
    <row r="26" spans="1:8" ht="20.100000000000001" customHeight="1" x14ac:dyDescent="0.25">
      <c r="A26" s="5" t="str">
        <f>HYPERLINK("#'5.2.1.1-2 Organic Fert N2O'!A1", "5.2.1.1-2 Organic fert N2O")</f>
        <v>5.2.1.1-2 Organic fert N2O</v>
      </c>
      <c r="D26" s="30" t="str" cm="1">
        <f t="array" ref="D26">Common_InputFunctions.Utility_DisplayArrayInTable(CommonLivestock_SourceData.SourceData_Livestock_Common_SymbolsMMS_Data(), Table_Data_MMSSymbols[[#Headers],[Symbol]], 0)</f>
        <v>13</v>
      </c>
      <c r="E26" s="30" t="str" cm="1">
        <f t="array" ref="E26">Common_InputFunctions.Utility_DisplayArrayInTable(CommonLivestock_SourceData.SourceData_Livestock_Common_SymbolsMMS_Data(), Table_Data_MMSSymbols[[#Headers],[Symbol]], 0)</f>
        <v>Direct application</v>
      </c>
      <c r="F26" s="30" t="str" cm="1">
        <f t="array" ref="F26">Common_InputFunctions.Utility_DisplayArrayInTable(CommonLivestock_SourceData.SourceData_Livestock_Common_SymbolsMMS_Data(), Table_Data_MMSSymbols[[#Headers],[Symbol]], 0)</f>
        <v>Direct application (m=13)</v>
      </c>
      <c r="G26" s="35"/>
    </row>
    <row r="27" spans="1:8" ht="20.100000000000001" customHeight="1" x14ac:dyDescent="0.25">
      <c r="A27" s="5" t="str">
        <f>HYPERLINK("#'5.3.1.1-2 Lime CO2'!A1", "5.3.1.1-2 Lime CO2")</f>
        <v>5.3.1.1-2 Lime CO2</v>
      </c>
      <c r="D27" s="30" t="str" cm="1">
        <f t="array" ref="D27">Common_InputFunctions.Utility_DisplayArrayInTable(CommonLivestock_SourceData.SourceData_Livestock_Common_SymbolsMMS_Data(), Table_Data_MMSSymbols[[#Headers],[Symbol]], 0)</f>
        <v>14</v>
      </c>
      <c r="E27" s="30" t="str" cm="1">
        <f t="array" ref="E27">Common_InputFunctions.Utility_DisplayArrayInTable(CommonLivestock_SourceData.SourceData_Livestock_Common_SymbolsMMS_Data(), Table_Data_MMSSymbols[[#Headers],[Symbol]], 0)</f>
        <v>Pasture range and paddock</v>
      </c>
      <c r="F27" s="30" t="str" cm="1">
        <f t="array" ref="F27">Common_InputFunctions.Utility_DisplayArrayInTable(CommonLivestock_SourceData.SourceData_Livestock_Common_SymbolsMMS_Data(), Table_Data_MMSSymbols[[#Headers],[Symbol]], 0)</f>
        <v>Pasture range and paddock (m=14)</v>
      </c>
      <c r="G27" s="35"/>
    </row>
    <row r="28" spans="1:8" ht="20.100000000000001" customHeight="1" x14ac:dyDescent="0.25">
      <c r="A28" s="5" t="str">
        <f>HYPERLINK("#'5.4.1.1-4 Atmos deposition'!A1", "5.4.1.1-4 Atmos. deposition")</f>
        <v>5.4.1.1-4 Atmos. deposition</v>
      </c>
      <c r="G28" s="35"/>
      <c r="H28" s="35"/>
    </row>
    <row r="29" spans="1:8" ht="20.100000000000001" customHeight="1" x14ac:dyDescent="0.25">
      <c r="A29" s="5" t="str">
        <f>HYPERLINK("#'5.5.1.1-2 Leaching and runoff'!A1", "5.5.1.1-2 Leaching &amp; runoff")</f>
        <v>5.5.1.1-2 Leaching &amp; runoff</v>
      </c>
      <c r="D29" s="2" t="str" cm="1">
        <f t="array" ref="D29">CommonLivestock_SourceData.SourceData_Livestock_Product_BeefCattle_Title()</f>
        <v>Beef cattle products for scope 3</v>
      </c>
    </row>
    <row r="30" spans="1:8" ht="20.100000000000001" customHeight="1" x14ac:dyDescent="0.25">
      <c r="A30" s="5" t="str">
        <f>HYPERLINK("#'6.1.1.1-2 Crop residue N2O'!A1", "6.1.1.1-2 Crop residue N2O")</f>
        <v>6.1.1.1-2 Crop residue N2O</v>
      </c>
      <c r="D30" s="27"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5" t="str">
        <f>HYPERLINK("#'6.3.1.1-2 Leach runoff crop'!A1", "6.3.1.1-2 Leach &amp; runoff (crop)")</f>
        <v>6.3.1.1-2 Leach &amp; runoff (crop)</v>
      </c>
      <c r="D31" s="30" t="s">
        <v>137</v>
      </c>
      <c r="E31" s="30" t="s">
        <v>970</v>
      </c>
      <c r="F31" s="1" t="s">
        <v>971</v>
      </c>
    </row>
    <row r="32" spans="1:8" ht="20.100000000000001" customHeight="1" x14ac:dyDescent="0.25">
      <c r="A32" s="5" t="str">
        <f>HYPERLINK("#'6.4.1.1-2 Residue burning'!A1", "6.4.1.1-2 Residue burning")</f>
        <v>6.4.1.1-2 Residue burning</v>
      </c>
      <c r="D32" s="30" t="str" cm="1">
        <f t="array" ref="D32">Common_InputFunctions.Utility_DisplayArrayInTable(CommonLivestock_SourceData.SourceData_Livestock_Product_BeefCattle_Data(),Table_SourceData_LivestockProduct_Beefcattle[[#Headers],[Product]],0)</f>
        <v>Cattle, for manufacturing beef</v>
      </c>
      <c r="E32" s="3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5" t="str">
        <f>HYPERLINK("#'8.1.1.1-2 Transport fuel'!A1", "8.1.1.1-2 Transport fuel")</f>
        <v>8.1.1.1-2 Transport fuel</v>
      </c>
      <c r="D33" s="1" t="str" cm="1">
        <f t="array" ref="D33">Common_InputFunctions.Utility_DisplayArrayInTable(CommonLivestock_SourceData.SourceData_Livestock_Product_BeefCattle_Data(),Table_SourceData_LivestockProduct_Beefcattle[[#Headers],[Product]],0)</f>
        <v>Cattle, for prime beef</v>
      </c>
      <c r="E33" s="3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5" t="str">
        <f>HYPERLINK("#'8.2.1.1-2 Stationary fuel'!A1", "8.2.1.1-2 Stationary fuel")</f>
        <v>8.2.1.1-2 Stationary fuel</v>
      </c>
      <c r="D34" s="1" t="str" cm="1">
        <f t="array" ref="D34">Common_InputFunctions.Utility_DisplayArrayInTable(CommonLivestock_SourceData.SourceData_Livestock_Product_BeefCattle_Data(),Table_SourceData_LivestockProduct_Beefcattle[[#Headers],[Product]],0)</f>
        <v>Cattle, weaners</v>
      </c>
      <c r="E34" s="3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5" t="str">
        <f>HYPERLINK("#'14.1.1-2 Purchased electricity'!A1", "14.1.1-2 Purchased electricity")</f>
        <v>14.1.1-2 Purchased electricity</v>
      </c>
      <c r="D35" s="1" t="str" cm="1">
        <f t="array" ref="D35">Common_InputFunctions.Utility_DisplayArrayInTable(CommonLivestock_SourceData.SourceData_Livestock_Product_BeefCattle_Data(),Table_SourceData_LivestockProduct_Beefcattle[[#Headers],[Product]],0)</f>
        <v/>
      </c>
      <c r="E35" s="3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5" t="str">
        <f>HYPERLINK("#'15 Scope 3'!A1", "15 Scope 3")</f>
        <v>15 Scope 3</v>
      </c>
      <c r="D36" s="1" t="str" cm="1">
        <f t="array" ref="D36">Common_InputFunctions.Utility_DisplayArrayInTable(CommonLivestock_SourceData.SourceData_Livestock_Product_BeefCattle_Data(),Table_SourceData_LivestockProduct_Beefcattle[[#Headers],[Product]],0)</f>
        <v/>
      </c>
      <c r="E36" s="3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5" t="str">
        <f>HYPERLINK("#'Calcs - Manure sent off-site'!A1", "Calcs - Manure sent off-site")</f>
        <v>Calcs - Manure sent off-site</v>
      </c>
      <c r="D37" s="1" t="str" cm="1">
        <f t="array" ref="D37">Common_InputFunctions.Utility_DisplayArrayInTable(CommonLivestock_SourceData.SourceData_Livestock_Product_BeefCattle_Data(),Table_SourceData_LivestockProduct_Beefcattle[[#Headers],[Product]],0)</f>
        <v/>
      </c>
      <c r="E37" s="3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5" t="str">
        <f>HYPERLINK("#'10.1.1-2 Solid waste treatment'!A1", "10.1.1-2 Solid waste treatment")</f>
        <v>10.1.1-2 Solid waste treatment</v>
      </c>
      <c r="D38" s="1" t="str" cm="1">
        <f t="array" ref="D38">Common_InputFunctions.Utility_DisplayArrayInTable(CommonLivestock_SourceData.SourceData_Livestock_Product_BeefCattle_Data(),Table_SourceData_LivestockProduct_Beefcattle[[#Headers],[Product]],0)</f>
        <v/>
      </c>
      <c r="E38" s="3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c r="D39" s="1" t="str" cm="1">
        <f t="array" ref="D39">Common_InputFunctions.Utility_DisplayArrayInTable(CommonLivestock_SourceData.SourceData_Livestock_Product_BeefCattle_Data(),Table_SourceData_LivestockProduct_Beefcattle[[#Headers],[Product]],0)</f>
        <v/>
      </c>
      <c r="E39" s="3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row>
    <row r="41" spans="1:6" ht="20.100000000000001" customHeight="1" x14ac:dyDescent="0.25">
      <c r="A41" s="121" t="s">
        <v>1</v>
      </c>
      <c r="D41" s="2" t="str" cm="1">
        <f t="array" ref="D41">CommonLivestock_SourceData.SourceData_Livestock_Product_Sheep_Title()</f>
        <v>Sheep products for scope 3</v>
      </c>
    </row>
    <row r="42" spans="1:6" ht="20.100000000000001" customHeight="1" x14ac:dyDescent="0.25">
      <c r="A42" s="5" t="str">
        <f>HYPERLINK("#'Constants - Ag Residue'!A1", "Constants - Ag residue")</f>
        <v>Constants - Ag residue</v>
      </c>
      <c r="D42" s="27"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s="172" t="str">
        <f>HYPERLINK("#'Constants - Common Livestock'!A1", "Constants - Common Livestock")</f>
        <v>Constants - Common Livestock</v>
      </c>
      <c r="D43" s="30" t="s">
        <v>137</v>
      </c>
      <c r="E43" s="30" t="s">
        <v>970</v>
      </c>
      <c r="F43" s="1" t="s">
        <v>972</v>
      </c>
    </row>
    <row r="44" spans="1:6" ht="20.100000000000001" customHeight="1" x14ac:dyDescent="0.25">
      <c r="A44" s="5" t="str">
        <f>HYPERLINK("#'Constants - Electricity'!A1", "Constants - Electricity")</f>
        <v>Constants - Electricity</v>
      </c>
      <c r="D44" s="30" t="str" cm="1">
        <f t="array" ref="D44">Common_InputFunctions.Utility_DisplayArrayInTable(CommonLivestock_SourceData.SourceData_Livestock_Product_Sheep_Data(),Table_SourceData_LivestockProduct_Sheep[[#Headers],[Product]],0)</f>
        <v>Sheep, for mutton</v>
      </c>
      <c r="E44" s="3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s="5" t="str">
        <f>HYPERLINK("#'Constants - Fertiliser'!A1", "Constants - Fertiliser")</f>
        <v>Constants - Fertiliser</v>
      </c>
      <c r="D45" s="30" t="str" cm="1">
        <f t="array" ref="D45">Common_InputFunctions.Utility_DisplayArrayInTable(CommonLivestock_SourceData.SourceData_Livestock_Product_Sheep_Data(),Table_SourceData_LivestockProduct_Sheep[[#Headers],[Product]],0)</f>
        <v>Sheep, for prime lamb</v>
      </c>
      <c r="E45" s="3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s="5" t="str">
        <f>HYPERLINK("#'Constants - Fuel'!A1", "Constants - Fuel")</f>
        <v>Constants - Fuel</v>
      </c>
      <c r="D46" s="30" t="str" cm="1">
        <f t="array" ref="D46">Common_InputFunctions.Utility_DisplayArrayInTable(CommonLivestock_SourceData.SourceData_Livestock_Product_Sheep_Data(),Table_SourceData_LivestockProduct_Sheep[[#Headers],[Product]],0)</f>
        <v/>
      </c>
      <c r="E46" s="3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s="5" t="str">
        <f>HYPERLINK("#'Constants - Scope 3'!A1", "Constants - Scope 3")</f>
        <v>Constants - Scope 3</v>
      </c>
      <c r="D47" s="30" t="str" cm="1">
        <f t="array" ref="D47">Common_InputFunctions.Utility_DisplayArrayInTable(CommonLivestock_SourceData.SourceData_Livestock_Product_Sheep_Data(),Table_SourceData_LivestockProduct_Sheep[[#Headers],[Product]],0)</f>
        <v/>
      </c>
      <c r="E47" s="3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s="5" t="str">
        <f>HYPERLINK("#'Constants - Common'!A1", "Constants - Common")</f>
        <v>Constants - Common</v>
      </c>
      <c r="D48" s="30" t="str" cm="1">
        <f t="array" ref="D48">Common_InputFunctions.Utility_DisplayArrayInTable(CommonLivestock_SourceData.SourceData_Livestock_Product_Sheep_Data(),Table_SourceData_LivestockProduct_Sheep[[#Headers],[Product]],0)</f>
        <v/>
      </c>
      <c r="E48" s="3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s="5" t="str">
        <f>HYPERLINK("#'Constants - Solid Waste'!A1", "Constants - Solid Waste")</f>
        <v>Constants - Solid Waste</v>
      </c>
      <c r="D49" s="30" t="str" cm="1">
        <f t="array" ref="D49">Common_InputFunctions.Utility_DisplayArrayInTable(CommonLivestock_SourceData.SourceData_Livestock_Product_Sheep_Data(),Table_SourceData_LivestockProduct_Sheep[[#Headers],[Product]],0)</f>
        <v/>
      </c>
      <c r="E49" s="3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c r="D50" s="30" t="str" cm="1">
        <f t="array" ref="D50">Common_InputFunctions.Utility_DisplayArrayInTable(CommonLivestock_SourceData.SourceData_Livestock_Product_Sheep_Data(),Table_SourceData_LivestockProduct_Sheep[[#Headers],[Product]],0)</f>
        <v/>
      </c>
      <c r="E50" s="3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row>
    <row r="52" spans="1:6" ht="20.100000000000001" customHeight="1" x14ac:dyDescent="0.25">
      <c r="A52"/>
      <c r="D52" s="2" t="str" cm="1">
        <f t="array" ref="D52">CommonLivestock_SourceData.SourceData_Livestock_Product_Chickens_Title()</f>
        <v>Chickens products for scope 3</v>
      </c>
    </row>
    <row r="53" spans="1:6" ht="20.100000000000001" customHeight="1" x14ac:dyDescent="0.25">
      <c r="A53"/>
      <c r="D53" s="27"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c r="D54" s="30" t="s">
        <v>137</v>
      </c>
      <c r="E54" s="30" t="s">
        <v>970</v>
      </c>
      <c r="F54" s="1" t="s">
        <v>973</v>
      </c>
    </row>
    <row r="55" spans="1:6" ht="20.100000000000001" customHeight="1" x14ac:dyDescent="0.25">
      <c r="A55"/>
      <c r="D55" s="30" t="str" cm="1">
        <f t="array" ref="D55">Common_InputFunctions.Utility_DisplayArrayInTable(CommonLivestock_SourceData.SourceData_Livestock_Product_Chickens_Data(),Table_SourceData_LivestockProduct_Chickens[[#Headers],[Product]],0)</f>
        <v>Chickens</v>
      </c>
      <c r="E55" s="3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row>
    <row r="57" spans="1:6" ht="20.100000000000001" customHeight="1" x14ac:dyDescent="0.25">
      <c r="A57"/>
      <c r="D57" s="2" t="str" cm="1">
        <f t="array" ref="D57">CommonLivestock_SourceData.SourceData_Livestock_Product_Dairycattle_Title()</f>
        <v>Dairy cattle products for scope 3</v>
      </c>
    </row>
    <row r="58" spans="1:6" ht="20.100000000000001" customHeight="1" x14ac:dyDescent="0.25">
      <c r="A58"/>
      <c r="D58" s="27"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c r="D59" s="30" t="s">
        <v>137</v>
      </c>
      <c r="E59" s="30" t="s">
        <v>970</v>
      </c>
      <c r="F59" s="1" t="s">
        <v>974</v>
      </c>
    </row>
    <row r="60" spans="1:6" ht="20.100000000000001" customHeight="1" x14ac:dyDescent="0.25">
      <c r="A60"/>
      <c r="D60" s="30" t="str" cm="1">
        <f t="array" ref="D60">Common_InputFunctions.Utility_DisplayArrayInTable(CommonLivestock_SourceData.SourceData_Livestock_Product_Dairycattle_Data(),Table_SourceData_LivestockProduct_Dairycattle[[#Headers],[Product]],0)</f>
        <v>Dairy cows</v>
      </c>
      <c r="E60" s="3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c r="A61"/>
    </row>
    <row r="62" spans="1:6" ht="20.100000000000001" customHeight="1" x14ac:dyDescent="0.25">
      <c r="A62"/>
      <c r="D62" s="2" t="str" cm="1">
        <f t="array" ref="D62">CommonLivestock_SourceData.SourceData_Livestock_Product_Pigs_Title()</f>
        <v>Pigs products for scope 3</v>
      </c>
    </row>
    <row r="63" spans="1:6" ht="20.100000000000001" customHeight="1" x14ac:dyDescent="0.25">
      <c r="A63"/>
      <c r="D63" s="27"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A64"/>
      <c r="D64" s="30" t="s">
        <v>137</v>
      </c>
      <c r="E64" s="30" t="s">
        <v>970</v>
      </c>
      <c r="F64" s="1" t="s">
        <v>975</v>
      </c>
    </row>
    <row r="65" spans="1:5" x14ac:dyDescent="0.25">
      <c r="A65"/>
      <c r="D65" s="30" t="str" cm="1">
        <f t="array" ref="D65">Common_InputFunctions.Utility_DisplayArrayInTable(CommonLivestock_SourceData.SourceData_Livestock_Product_Pigs_Data(),Table_SourceData_LivestockProduct_Pigs[[#Headers],[Product]],0)</f>
        <v>Pigs</v>
      </c>
      <c r="E65" s="30" t="str" cm="1">
        <f t="array" ref="E65">Common_InputFunctions.Utility_DisplayArrayInTable(CommonLivestock_SourceData.SourceData_Livestock_Product_Pigs_Data(),Table_SourceData_LivestockProduct_Pigs[[#Headers],[Product]],0)</f>
        <v>Australia</v>
      </c>
    </row>
    <row r="66" spans="1:5" x14ac:dyDescent="0.25">
      <c r="A66"/>
    </row>
    <row r="67" spans="1:5" x14ac:dyDescent="0.25">
      <c r="A67"/>
    </row>
    <row r="68" spans="1:5" x14ac:dyDescent="0.25">
      <c r="A68"/>
    </row>
    <row r="69" spans="1:5" x14ac:dyDescent="0.25">
      <c r="A69"/>
    </row>
    <row r="70" spans="1:5" x14ac:dyDescent="0.25">
      <c r="A70"/>
    </row>
    <row r="71" spans="1:5" x14ac:dyDescent="0.25">
      <c r="A71"/>
    </row>
    <row r="72" spans="1:5" x14ac:dyDescent="0.25">
      <c r="A72"/>
    </row>
    <row r="73" spans="1:5" x14ac:dyDescent="0.25">
      <c r="A73"/>
    </row>
    <row r="74" spans="1:5" x14ac:dyDescent="0.25">
      <c r="A74"/>
    </row>
    <row r="75" spans="1:5" x14ac:dyDescent="0.25">
      <c r="A75"/>
    </row>
    <row r="76" spans="1:5" x14ac:dyDescent="0.25">
      <c r="A76"/>
    </row>
    <row r="77" spans="1:5" x14ac:dyDescent="0.25">
      <c r="A77"/>
    </row>
    <row r="78" spans="1:5" x14ac:dyDescent="0.25">
      <c r="A78"/>
    </row>
    <row r="79" spans="1:5" x14ac:dyDescent="0.25">
      <c r="A79"/>
    </row>
    <row r="80" spans="1:5"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D944-3D1C-44C5-93E4-743D74F687C2}">
  <dimension ref="A1:AI165"/>
  <sheetViews>
    <sheetView showGridLines="0" topLeftCell="A7"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432</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Electricity_SourceData.Electricity_Scope2Scope3LocationBased_Title()</f>
        <v>Electricity scope 2 and scope 3 location-based emission factors</v>
      </c>
    </row>
    <row r="6" spans="1:35" ht="20.100000000000001" customHeight="1" x14ac:dyDescent="0.25">
      <c r="D6" s="27" t="str" cm="1">
        <f t="array" ref="D6">Electricity_SourceData.Electricity_Scope2Scope3LocationBased_Source()</f>
        <v>Australian National Greenhouse Accounts Factors 2025 - Table 1</v>
      </c>
      <c r="E6" s="8"/>
      <c r="F6" s="8"/>
    </row>
    <row r="7" spans="1:35" ht="20.100000000000001" customHeight="1" x14ac:dyDescent="0.25">
      <c r="D7" s="36" t="str" cm="1">
        <f t="array" ref="D7">"⚠️" &amp; Electricity_SourceData.Electricity_Scope2Scope3LocationBased_Variation()</f>
        <v>⚠️VARIATION OF SOURCE DATA: NSW and ACT split into separate rows.</v>
      </c>
      <c r="E7" s="8"/>
      <c r="F7" s="8"/>
    </row>
    <row r="8" spans="1:35" ht="20.100000000000001" customHeight="1" x14ac:dyDescent="0.25">
      <c r="A8" s="7" t="s">
        <v>0</v>
      </c>
      <c r="D8" s="8"/>
      <c r="E8" s="8"/>
      <c r="F8" s="8"/>
    </row>
    <row r="9" spans="1:35" ht="20.100000000000001" customHeight="1" x14ac:dyDescent="0.25">
      <c r="A9" s="5" t="str">
        <f>HYPERLINK("#'Input - Enterprise'!A1", "Enterprise")</f>
        <v>Enterprise</v>
      </c>
      <c r="D9" s="181" t="s">
        <v>433</v>
      </c>
      <c r="E9" s="181" t="s">
        <v>434</v>
      </c>
      <c r="F9" s="181" t="s">
        <v>435</v>
      </c>
    </row>
    <row r="10" spans="1:35" ht="20.100000000000001" customHeight="1" x14ac:dyDescent="0.25">
      <c r="A10" s="5" t="str">
        <f>HYPERLINK("#'Input - Site'!A1", "Site")</f>
        <v>Site</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5" t="str">
        <f>HYPERLINK("#'Input - Crop'!A1", "Crop")</f>
        <v>Crop</v>
      </c>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5" t="str">
        <f>HYPERLINK("#'Input - Fert Prod System'!A1", "Fert Prod System")</f>
        <v>Fert Prod System</v>
      </c>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5" t="str">
        <f>HYPERLINK("#'Input - Fertiliser'!A1", "Fertiliser")</f>
        <v>Fertiliser</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5" t="str">
        <f>HYPERLINK("#'Input - Fuel'!A1", "Fuel")</f>
        <v>Fuel</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5" t="str">
        <f>HYPERLINK("#'Input - Electricity'!A1", "Electricity")</f>
        <v>Electricity</v>
      </c>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5" t="str">
        <f>HYPERLINK("#'Input - Farm Inputs'!A1", "Farm Inputs")</f>
        <v>Farm Inputs</v>
      </c>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5" t="str">
        <f>HYPERLINK("#'Input - Freight'!A1", "Freight")</f>
        <v>Freight</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5" t="str">
        <f>HYPERLINK("#'Input - Manure sent off-site'!A1", "Manure sent off-site")</f>
        <v>Manure sent off-site</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5" t="str">
        <f>HYPERLINK("#'Input - Solid waste'!A1", "Solid waste")</f>
        <v>Solid waste</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s="5" t="str">
        <f>HYPERLINK("#'Input - Data quality'!A1", "Data quality")</f>
        <v>Data quality</v>
      </c>
    </row>
    <row r="21" spans="1:8" ht="20.100000000000001" customHeight="1" x14ac:dyDescent="0.25">
      <c r="D21" s="2" t="str" cm="1">
        <f t="array" ref="D21">Electricity_SourceData.Electricity_Scope2Scope3MarketBased_Title()</f>
        <v>Electricity scope 2 and scope 3 market-based emission factors</v>
      </c>
    </row>
    <row r="22" spans="1:8" ht="20.100000000000001" customHeight="1" x14ac:dyDescent="0.25">
      <c r="D22" s="27" t="str" cm="1">
        <f t="array" ref="D22">Electricity_SourceData.Electricity_Scope2Scope3MarketBased_Source()</f>
        <v>Australian National Greenhouse Accounts Factors 2025 - Table 2a</v>
      </c>
    </row>
    <row r="23" spans="1:8" ht="20.100000000000001" customHeight="1" x14ac:dyDescent="0.25">
      <c r="A23" s="6" t="s">
        <v>2</v>
      </c>
    </row>
    <row r="24" spans="1:8" ht="20.100000000000001" customHeight="1" x14ac:dyDescent="0.25">
      <c r="A24" s="5" t="str">
        <f>HYPERLINK("#'5.1.1.1-2 Inorganic fert N2O'!A1", "5.1.1.1-2 Inorganic fert N2O")</f>
        <v>5.1.1.1-2 Inorganic fert N2O</v>
      </c>
      <c r="D24" s="171" t="s">
        <v>433</v>
      </c>
      <c r="E24" s="171" t="s">
        <v>436</v>
      </c>
      <c r="F24" s="171" t="s">
        <v>437</v>
      </c>
      <c r="G24" s="171" t="s">
        <v>438</v>
      </c>
      <c r="H24" s="171" t="s">
        <v>439</v>
      </c>
    </row>
    <row r="25" spans="1:8" ht="20.100000000000001" customHeight="1" x14ac:dyDescent="0.25">
      <c r="A25" s="5" t="str">
        <f>HYPERLINK("#'5.1.1.3-4 Inorganic fert CO2'!A1", "5.1.1.3-4 Inorganic fert CO2")</f>
        <v>5.1.1.3-4 Inorganic fert CO2</v>
      </c>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5" t="str">
        <f>HYPERLINK("#'5.2.1.1-2 Organic Fert N2O'!A1", "5.2.1.1-2 Organic fert N2O")</f>
        <v>5.2.1.1-2 Organic fert N2O</v>
      </c>
    </row>
    <row r="27" spans="1:8" ht="20.100000000000001" customHeight="1" x14ac:dyDescent="0.25">
      <c r="A27" s="5" t="str">
        <f>HYPERLINK("#'5.3.1.1-2 Lime CO2'!A1", "5.3.1.1-2 Lime CO2")</f>
        <v>5.3.1.1-2 Lime CO2</v>
      </c>
    </row>
    <row r="28" spans="1:8" ht="20.100000000000001" customHeight="1" x14ac:dyDescent="0.25">
      <c r="A28" s="5" t="str">
        <f>HYPERLINK("#'5.4.1.1-4 Atmos deposition'!A1", "5.4.1.1-4 Atmos. deposition")</f>
        <v>5.4.1.1-4 Atmos. deposition</v>
      </c>
    </row>
    <row r="29" spans="1:8" ht="20.100000000000001" customHeight="1" x14ac:dyDescent="0.25">
      <c r="A29" s="5" t="str">
        <f>HYPERLINK("#'5.5.1.1-2 Leaching and runoff'!A1", "5.5.1.1-2 Leaching &amp; runoff")</f>
        <v>5.5.1.1-2 Leaching &amp; runoff</v>
      </c>
    </row>
    <row r="30" spans="1:8" ht="20.100000000000001" customHeight="1" x14ac:dyDescent="0.25">
      <c r="A30" s="5" t="str">
        <f>HYPERLINK("#'6.1.1.1-2 Crop residue N2O'!A1", "6.1.1.1-2 Crop residue N2O")</f>
        <v>6.1.1.1-2 Crop residue N2O</v>
      </c>
    </row>
    <row r="31" spans="1:8" ht="20.100000000000001" customHeight="1" x14ac:dyDescent="0.25">
      <c r="A31" s="5" t="str">
        <f>HYPERLINK("#'6.3.1.1-2 Leach runoff crop'!A1", "6.3.1.1-2 Leach &amp; runoff (crop)")</f>
        <v>6.3.1.1-2 Leach &amp; runoff (crop)</v>
      </c>
    </row>
    <row r="32" spans="1:8" ht="20.100000000000001" customHeight="1" x14ac:dyDescent="0.25">
      <c r="A32" s="5" t="str">
        <f>HYPERLINK("#'6.4.1.1-2 Residue burning'!A1", "6.4.1.1-2 Residue burning")</f>
        <v>6.4.1.1-2 Residue burning</v>
      </c>
    </row>
    <row r="33" spans="1:1" ht="20.100000000000001" customHeight="1" x14ac:dyDescent="0.25">
      <c r="A33" s="5" t="str">
        <f>HYPERLINK("#'8.1.1.1-2 Transport fuel'!A1", "8.1.1.1-2 Transport fuel")</f>
        <v>8.1.1.1-2 Transport fuel</v>
      </c>
    </row>
    <row r="34" spans="1:1" ht="20.100000000000001" customHeight="1" x14ac:dyDescent="0.25">
      <c r="A34" s="5" t="str">
        <f>HYPERLINK("#'8.2.1.1-2 Stationary fuel'!A1", "8.2.1.1-2 Stationary fuel")</f>
        <v>8.2.1.1-2 Stationary fuel</v>
      </c>
    </row>
    <row r="35" spans="1:1" ht="20.100000000000001" customHeight="1" x14ac:dyDescent="0.25">
      <c r="A35" s="5" t="str">
        <f>HYPERLINK("#'14.1.1-2 Purchased electricity'!A1", "14.1.1-2 Purchased electricity")</f>
        <v>14.1.1-2 Purchased electricity</v>
      </c>
    </row>
    <row r="36" spans="1:1" ht="20.100000000000001" customHeight="1" x14ac:dyDescent="0.25">
      <c r="A36" s="5" t="str">
        <f>HYPERLINK("#'15 Scope 3'!A1", "15 Scope 3")</f>
        <v>15 Scope 3</v>
      </c>
    </row>
    <row r="37" spans="1:1" ht="20.100000000000001" customHeight="1" x14ac:dyDescent="0.25">
      <c r="A37" s="5" t="str">
        <f>HYPERLINK("#'Calcs - Manure sent off-site'!A1", "Calcs - Manure sent off-site")</f>
        <v>Calcs - Manure sent off-site</v>
      </c>
    </row>
    <row r="38" spans="1:1" ht="20.100000000000001" customHeight="1" x14ac:dyDescent="0.25">
      <c r="A38" s="5" t="str">
        <f>HYPERLINK("#'10.1.1-2 Solid waste treatment'!A1", "10.1.1-2 Solid waste treatment")</f>
        <v>10.1.1-2 Solid waste treatment</v>
      </c>
    </row>
    <row r="39" spans="1:1" ht="20.100000000000001" customHeight="1" x14ac:dyDescent="0.25"/>
    <row r="40" spans="1:1" ht="20.100000000000001" customHeight="1" x14ac:dyDescent="0.25"/>
    <row r="41" spans="1:1" ht="20.100000000000001" customHeight="1" x14ac:dyDescent="0.25">
      <c r="A41" s="121" t="s">
        <v>1</v>
      </c>
    </row>
    <row r="42" spans="1:1" ht="20.100000000000001" customHeight="1" x14ac:dyDescent="0.25">
      <c r="A42" s="5" t="str">
        <f>HYPERLINK("#'Constants - Ag Residue'!A1", "Constants - Ag residue")</f>
        <v>Constants - Ag residue</v>
      </c>
    </row>
    <row r="43" spans="1:1" ht="20.100000000000001" customHeight="1" x14ac:dyDescent="0.25">
      <c r="A43" s="5" t="str">
        <f>HYPERLINK("#'Constants - Common Livestock'!A1", "Constants - Common Livestock")</f>
        <v>Constants - Common Livestock</v>
      </c>
    </row>
    <row r="44" spans="1:1" ht="20.100000000000001" customHeight="1" x14ac:dyDescent="0.25">
      <c r="A44" s="172" t="str">
        <f>HYPERLINK("#'Constants - Electricity'!A1", "Constants - Electricity")</f>
        <v>Constants - Electricity</v>
      </c>
    </row>
    <row r="45" spans="1:1" ht="20.100000000000001" customHeight="1" x14ac:dyDescent="0.25">
      <c r="A45" s="5" t="str">
        <f>HYPERLINK("#'Constants - Fertiliser'!A1", "Constants - Fertiliser")</f>
        <v>Constants - Fertiliser</v>
      </c>
    </row>
    <row r="46" spans="1:1" ht="20.100000000000001" customHeight="1" x14ac:dyDescent="0.25">
      <c r="A46" s="5" t="str">
        <f>HYPERLINK("#'Constants - Fuel'!A1", "Constants - Fuel")</f>
        <v>Constants - Fuel</v>
      </c>
    </row>
    <row r="47" spans="1:1" ht="20.100000000000001" customHeight="1" x14ac:dyDescent="0.25">
      <c r="A47" s="5" t="str">
        <f>HYPERLINK("#'Constants - Scope 3'!A1", "Constants - Scope 3")</f>
        <v>Constants - Scope 3</v>
      </c>
    </row>
    <row r="48" spans="1:1" ht="20.100000000000001" customHeight="1" x14ac:dyDescent="0.25">
      <c r="A48" s="5" t="str">
        <f>HYPERLINK("#'Constants - Common'!A1", "Constants - Common")</f>
        <v>Constants - Common</v>
      </c>
    </row>
    <row r="49" spans="1:1" ht="20.100000000000001" customHeight="1" x14ac:dyDescent="0.25">
      <c r="A49" s="5" t="str">
        <f>HYPERLINK("#'Constants - Solid Waste'!A1", "Constants - Solid Waste")</f>
        <v>Constants - Solid Waste</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10A9A-7F20-41CF-BB35-599314FEDB57}">
  <dimension ref="A1:AI165"/>
  <sheetViews>
    <sheetView showGridLines="0" topLeftCell="A17"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31" customFormat="1" ht="30" customHeight="1" x14ac:dyDescent="0.35">
      <c r="A1" s="16" t="e" vm="1">
        <v>#VALUE!</v>
      </c>
      <c r="C1" s="31" t="s">
        <v>355</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Fertiliser_SourceData.Fertiliser_ChemicalCompoundElements_Title()</f>
        <v>Common inorganic fertilisers</v>
      </c>
      <c r="E5" s="158"/>
      <c r="F5" s="158"/>
      <c r="G5" s="158"/>
      <c r="H5" s="158"/>
      <c r="I5" s="158"/>
      <c r="J5" s="158"/>
    </row>
    <row r="6" spans="1:35" ht="20.100000000000001" customHeight="1" x14ac:dyDescent="0.25">
      <c r="D6" s="27"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36" t="str" cm="1">
        <f t="array" ref="D7:D18">Fertiliser_SourceData.Fertiliser_ChemicalCompoundElements_Variation()</f>
        <v>VARIATION ON SOURCE</v>
      </c>
    </row>
    <row r="8" spans="1:35" ht="20.100000000000001" customHeight="1" x14ac:dyDescent="0.25">
      <c r="A8" s="7" t="s">
        <v>0</v>
      </c>
      <c r="D8" s="36" t="str">
        <v>Added 'Basis' column to allow cross-referencing with table Table A.2.2.6: Fraction of inorganic fertiliser f that volatilises as NH3 and NOx ((kg NH3-N + NOx-N)/kg N) (FracGASFf)</v>
      </c>
    </row>
    <row r="9" spans="1:35" ht="20.100000000000001" customHeight="1" x14ac:dyDescent="0.25">
      <c r="A9" s="5" t="str">
        <f>HYPERLINK("#'Input - Enterprise'!A1", "Enterprise")</f>
        <v>Enterprise</v>
      </c>
      <c r="D9" s="36" t="str">
        <v>Added extra fertiliser types and generic chemical compounds to allow for custom NPKS blends</v>
      </c>
    </row>
    <row r="10" spans="1:35" ht="20.100000000000001" customHeight="1" x14ac:dyDescent="0.25">
      <c r="A10" s="5" t="str">
        <f>HYPERLINK("#'Input - Site'!A1", "Site")</f>
        <v>Site</v>
      </c>
      <c r="D10" s="36" t="str">
        <v>Added extra 'Scope 3 definition' column to allow mapping with scope 3 data</v>
      </c>
    </row>
    <row r="11" spans="1:35" ht="20.100000000000001" customHeight="1" x14ac:dyDescent="0.25">
      <c r="A11" s="5" t="str">
        <f>HYPERLINK("#'Input - Crop'!A1", "Crop")</f>
        <v>Crop</v>
      </c>
      <c r="D11" s="36" t="str">
        <v>Added 'Source' column</v>
      </c>
    </row>
    <row r="12" spans="1:35" ht="20.100000000000001" customHeight="1" x14ac:dyDescent="0.25">
      <c r="A12" s="5" t="str">
        <f>HYPERLINK("#'Input - Fert Prod System'!A1", "Fert Prod System")</f>
        <v>Fert Prod System</v>
      </c>
      <c r="D12" s="36" t="str">
        <v>Combined data from Table A.2.2.3 and Table A.2.2.4 into one table to aid lookup.</v>
      </c>
    </row>
    <row r="13" spans="1:35" ht="20.100000000000001" customHeight="1" x14ac:dyDescent="0.25">
      <c r="A13" s="5" t="str">
        <f>HYPERLINK("#'Input - Fertiliser'!A1", "Fertiliser")</f>
        <v>Fertiliser</v>
      </c>
      <c r="D13" s="36" t="str">
        <v>Excluded 'References' column</v>
      </c>
    </row>
    <row r="14" spans="1:35" ht="20.100000000000001" customHeight="1" x14ac:dyDescent="0.25">
      <c r="A14" s="5" t="str">
        <f>HYPERLINK("#'Input - Fuel'!A1", "Fuel")</f>
        <v>Fuel</v>
      </c>
      <c r="D14" s="36" t="str">
        <v>Excluded 'Ammonium sulfate' as it is a duplicate of 'Sulphate of ammonia (SOA)'</v>
      </c>
    </row>
    <row r="15" spans="1:35" ht="20.100000000000001" customHeight="1" x14ac:dyDescent="0.25">
      <c r="A15" s="5" t="str">
        <f>HYPERLINK("#'Input - Electricity'!A1", "Electricity")</f>
        <v>Electricity</v>
      </c>
      <c r="D15" s="36" t="str">
        <v>Excluded 'Calcium nitrate' as no scope 3 value available.</v>
      </c>
    </row>
    <row r="16" spans="1:35" ht="20.100000000000001" customHeight="1" x14ac:dyDescent="0.25">
      <c r="A16" s="5" t="str">
        <f>HYPERLINK("#'Input - Farm Inputs'!A1", "Farm Inputs")</f>
        <v>Farm Inputs</v>
      </c>
      <c r="D16" s="36" t="str">
        <v>Set 'Nitrogen - Generic' basis as 'Urea-based fertilisers, as urea is the most commonly used form of nitrogen in Australian fertilisers</v>
      </c>
    </row>
    <row r="17" spans="1:22" ht="20.100000000000001" customHeight="1" x14ac:dyDescent="0.25">
      <c r="A17" s="5" t="str">
        <f>HYPERLINK("#'Input - Freight'!A1", "Freight")</f>
        <v>Freight</v>
      </c>
      <c r="D17" s="36" t="str">
        <v>Set 'Urea-ammonium nitrate' basis as 'Urea-based fertiliser'</v>
      </c>
      <c r="K17" s="2" t="str" cm="1">
        <f t="array" ref="K17">Fertiliser_SourceData.Fertiliser_FractionNCommonFertilisers_Title()</f>
        <v>Fraction of nitrogen in common inorganic fertilisers (kgN/kg) (FNorganic,f)</v>
      </c>
      <c r="Q17" s="2" t="str" cm="1">
        <f t="array" ref="Q17">Fertiliser_SourceData.Fertiliser_FractionUreaCommonFertilisers_Title()</f>
        <v>Fraction of urea in common inorganic fertilisers (kg urea/kg) (FUf)</v>
      </c>
      <c r="V17" s="2" t="str" cm="1">
        <f t="array" ref="V17">Fertiliser_SourceData.Fertiliser_UreaAmmoniaSourceRegions_Title()</f>
        <v>Source regions for urea and ammonia</v>
      </c>
    </row>
    <row r="18" spans="1:22" ht="20.100000000000001" customHeight="1" x14ac:dyDescent="0.25">
      <c r="A18" s="5" t="str">
        <f>HYPERLINK("#'Input - Manure sent off-site'!A1", "Manure sent off-site")</f>
        <v>Manure sent off-site</v>
      </c>
      <c r="D18" s="36" t="str">
        <v>Ammonia has an FN value of 0.8235 based on (14/17)x100, where 14 is the mass of nitrogen in ammonia and 17 is the molar mass of ammonia.</v>
      </c>
      <c r="K18" s="27" t="str" cm="1">
        <f t="array" ref="K18">Fertiliser_SourceData.Fertiliser_FractionNCommonFertilisers_Source()</f>
        <v>VEERG 2026: Table A.2.2.3</v>
      </c>
      <c r="Q18" s="27" t="str" cm="1">
        <f t="array" ref="Q18">Fertiliser_SourceData.Fertiliser_FractionUreaCommonFertilisers_Source()</f>
        <v>VEERG 2026: Table A.2.2.4</v>
      </c>
      <c r="V18" s="27"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5" t="str">
        <f>HYPERLINK("#'Input - Solid waste'!A1", "Solid waste")</f>
        <v>Solid waste</v>
      </c>
      <c r="D19" t="s">
        <v>272</v>
      </c>
      <c r="E19" t="s">
        <v>356</v>
      </c>
      <c r="F19" t="s">
        <v>357</v>
      </c>
      <c r="G19" t="s">
        <v>331</v>
      </c>
      <c r="H19" t="s">
        <v>358</v>
      </c>
      <c r="I19" t="s">
        <v>359</v>
      </c>
      <c r="K19" s="30" t="s">
        <v>272</v>
      </c>
      <c r="L19" s="30" t="s">
        <v>356</v>
      </c>
      <c r="Q19" s="30" t="s">
        <v>272</v>
      </c>
      <c r="R19" s="30" t="s">
        <v>356</v>
      </c>
      <c r="V19" s="30" t="s">
        <v>359</v>
      </c>
    </row>
    <row r="20" spans="1:22" ht="20.100000000000001" customHeight="1" x14ac:dyDescent="0.25">
      <c r="A20" s="5" t="str">
        <f>HYPERLINK("#'Input - Data quality'!A1", "Data quality")</f>
        <v>Data quality</v>
      </c>
      <c r="D20" s="171" t="str" cm="1">
        <f t="array" ref="D20">Common_InputFunctions.Utility_DisplayArrayInTable(Fertiliser_SourceData.Fertiliser_ChemicalCompoundElements_Data(),Table_Fertiliser_ChemicalCompounds[[#Headers],[Fertiliser type f]], 0)</f>
        <v>Monoammonium phosphate (MAP)</v>
      </c>
      <c r="E20" s="171" cm="1">
        <f t="array" ref="E20">Common_InputFunctions.Utility_DisplayArrayInTable(Fertiliser_SourceData.Fertiliser_ChemicalCompoundElements_Data(),Table_Fertiliser_ChemicalCompounds[[#Headers],[Fertiliser type f]], 0)</f>
        <v>0.1</v>
      </c>
      <c r="F20" s="171" cm="1">
        <f t="array" ref="F20">Common_InputFunctions.Utility_DisplayArrayInTable(Fertiliser_SourceData.Fertiliser_ChemicalCompoundElements_Data(),Table_Fertiliser_ChemicalCompounds[[#Headers],[Fertiliser type f]], 0)</f>
        <v>0</v>
      </c>
      <c r="G20" s="171" t="str" cm="1">
        <f t="array" ref="G20">Common_InputFunctions.Utility_DisplayArrayInTable(Fertiliser_SourceData.Fertiliser_ChemicalCompoundElements_Data(),Table_Fertiliser_ChemicalCompounds[[#Headers],[Fertiliser type f]], 0)</f>
        <v>Ammonium-based fertilisers</v>
      </c>
      <c r="H20" s="171" t="str" cm="1">
        <f t="array" ref="H20">Common_InputFunctions.Utility_DisplayArrayInTable(Fertiliser_SourceData.Fertiliser_ChemicalCompoundElements_Data(),Table_Fertiliser_ChemicalCompounds[[#Headers],[Fertiliser type f]], 0)</f>
        <v>Monoammonium phosphate (MAP)</v>
      </c>
      <c r="I20" s="171" t="str" cm="1">
        <f t="array" ref="I20">Common_InputFunctions.Utility_DisplayArrayInTable(Fertiliser_SourceData.Fertiliser_ChemicalCompoundElements_Data(),Table_Fertiliser_ChemicalCompounds[[#Headers],[Fertiliser type f]], 0)</f>
        <v>VEERG</v>
      </c>
      <c r="K20" s="30" t="str" cm="1">
        <f t="array" ref="K20">Common_InputFunctions.Utility_DisplayArrayInTable(Fertiliser_SourceData.Fertiliser_FractionNCommonFertilisers_Data(), Table2[[#Headers],[Fertiliser type f]], 0)</f>
        <v>Monoammonium phosphate (MAP)</v>
      </c>
      <c r="L20" s="30" cm="1">
        <f t="array" ref="L20">Common_InputFunctions.Utility_DisplayArrayInTable(Fertiliser_SourceData.Fertiliser_FractionNCommonFertilisers_Data(), Table2[[#Headers],[Fertiliser type f]], 0)</f>
        <v>0.1</v>
      </c>
      <c r="Q20" s="30" t="str" cm="1">
        <f t="array" ref="Q20">Common_InputFunctions.Utility_DisplayArrayInTable(Fertiliser_SourceData.Fertiliser_FractionUreaCommonFertilisers_Data(), Table28[[#Headers],[Fertiliser type f]], 0)</f>
        <v>Monoammonium phosphate (MAP)</v>
      </c>
      <c r="R20" s="30" cm="1">
        <f t="array" ref="R20">Common_InputFunctions.Utility_DisplayArrayInTable(Fertiliser_SourceData.Fertiliser_FractionUreaCommonFertilisers_Data(), Table28[[#Headers],[Fertiliser type f]], 0)</f>
        <v>0</v>
      </c>
      <c r="V20" s="3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71" t="str" cm="1">
        <f t="array" ref="D21">Common_InputFunctions.Utility_DisplayArrayInTable(Fertiliser_SourceData.Fertiliser_ChemicalCompoundElements_Data(),Table_Fertiliser_ChemicalCompounds[[#Headers],[Fertiliser type f]], 0)</f>
        <v>Diammonium phosphate (DAP)</v>
      </c>
      <c r="E21" s="171" cm="1">
        <f t="array" ref="E21">Common_InputFunctions.Utility_DisplayArrayInTable(Fertiliser_SourceData.Fertiliser_ChemicalCompoundElements_Data(),Table_Fertiliser_ChemicalCompounds[[#Headers],[Fertiliser type f]], 0)</f>
        <v>0.18</v>
      </c>
      <c r="F21" s="171" cm="1">
        <f t="array" ref="F21">Common_InputFunctions.Utility_DisplayArrayInTable(Fertiliser_SourceData.Fertiliser_ChemicalCompoundElements_Data(),Table_Fertiliser_ChemicalCompounds[[#Headers],[Fertiliser type f]], 0)</f>
        <v>0</v>
      </c>
      <c r="G21" s="171" t="str" cm="1">
        <f t="array" ref="G21">Common_InputFunctions.Utility_DisplayArrayInTable(Fertiliser_SourceData.Fertiliser_ChemicalCompoundElements_Data(),Table_Fertiliser_ChemicalCompounds[[#Headers],[Fertiliser type f]], 0)</f>
        <v>Ammonium-based fertilisers</v>
      </c>
      <c r="H21" s="171" t="str" cm="1">
        <f t="array" ref="H21">Common_InputFunctions.Utility_DisplayArrayInTable(Fertiliser_SourceData.Fertiliser_ChemicalCompoundElements_Data(),Table_Fertiliser_ChemicalCompounds[[#Headers],[Fertiliser type f]], 0)</f>
        <v>Diammonium phosphate (DAP)</v>
      </c>
      <c r="I21" s="171" t="str" cm="1">
        <f t="array" ref="I21">Common_InputFunctions.Utility_DisplayArrayInTable(Fertiliser_SourceData.Fertiliser_ChemicalCompoundElements_Data(),Table_Fertiliser_ChemicalCompounds[[#Headers],[Fertiliser type f]], 0)</f>
        <v>VEERG</v>
      </c>
      <c r="K21" s="30" t="str" cm="1">
        <f t="array" ref="K21">Common_InputFunctions.Utility_DisplayArrayInTable(Fertiliser_SourceData.Fertiliser_FractionNCommonFertilisers_Data(), Table2[[#Headers],[Fertiliser type f]], 0)</f>
        <v>Diammonium phosphate (DAP)</v>
      </c>
      <c r="L21" s="30" cm="1">
        <f t="array" ref="L21">Common_InputFunctions.Utility_DisplayArrayInTable(Fertiliser_SourceData.Fertiliser_FractionNCommonFertilisers_Data(), Table2[[#Headers],[Fertiliser type f]], 0)</f>
        <v>0.18</v>
      </c>
      <c r="Q21" s="30" t="str" cm="1">
        <f t="array" ref="Q21">Common_InputFunctions.Utility_DisplayArrayInTable(Fertiliser_SourceData.Fertiliser_FractionUreaCommonFertilisers_Data(), Table28[[#Headers],[Fertiliser type f]], 0)</f>
        <v>Diammonium phosphate (DAP)</v>
      </c>
      <c r="R21" s="30" cm="1">
        <f t="array" ref="R21">Common_InputFunctions.Utility_DisplayArrayInTable(Fertiliser_SourceData.Fertiliser_FractionUreaCommonFertilisers_Data(), Table28[[#Headers],[Fertiliser type f]], 0)</f>
        <v>0</v>
      </c>
      <c r="V21" s="3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71" t="str" cm="1">
        <f t="array" ref="D22">Common_InputFunctions.Utility_DisplayArrayInTable(Fertiliser_SourceData.Fertiliser_ChemicalCompoundElements_Data(),Table_Fertiliser_ChemicalCompounds[[#Headers],[Fertiliser type f]], 0)</f>
        <v>Urea</v>
      </c>
      <c r="E22" s="171" cm="1">
        <f t="array" ref="E22">Common_InputFunctions.Utility_DisplayArrayInTable(Fertiliser_SourceData.Fertiliser_ChemicalCompoundElements_Data(),Table_Fertiliser_ChemicalCompounds[[#Headers],[Fertiliser type f]], 0)</f>
        <v>0.46</v>
      </c>
      <c r="F22" s="171" cm="1">
        <f t="array" ref="F22">Common_InputFunctions.Utility_DisplayArrayInTable(Fertiliser_SourceData.Fertiliser_ChemicalCompoundElements_Data(),Table_Fertiliser_ChemicalCompounds[[#Headers],[Fertiliser type f]], 0)</f>
        <v>1</v>
      </c>
      <c r="G22" s="171" t="str" cm="1">
        <f t="array" ref="G22">Common_InputFunctions.Utility_DisplayArrayInTable(Fertiliser_SourceData.Fertiliser_ChemicalCompoundElements_Data(),Table_Fertiliser_ChemicalCompounds[[#Headers],[Fertiliser type f]], 0)</f>
        <v>Urea-based fertilisers</v>
      </c>
      <c r="H22" s="171" t="str" cm="1">
        <f t="array" ref="H22">Common_InputFunctions.Utility_DisplayArrayInTable(Fertiliser_SourceData.Fertiliser_ChemicalCompoundElements_Data(),Table_Fertiliser_ChemicalCompounds[[#Headers],[Fertiliser type f]], 0)</f>
        <v>Urea</v>
      </c>
      <c r="I22" s="171" t="str" cm="1">
        <f t="array" ref="I22">Common_InputFunctions.Utility_DisplayArrayInTable(Fertiliser_SourceData.Fertiliser_ChemicalCompoundElements_Data(),Table_Fertiliser_ChemicalCompounds[[#Headers],[Fertiliser type f]], 0)</f>
        <v>VEERG</v>
      </c>
      <c r="K22" s="30" t="str" cm="1">
        <f t="array" ref="K22">Common_InputFunctions.Utility_DisplayArrayInTable(Fertiliser_SourceData.Fertiliser_FractionNCommonFertilisers_Data(), Table2[[#Headers],[Fertiliser type f]], 0)</f>
        <v>Urea</v>
      </c>
      <c r="L22" s="30" cm="1">
        <f t="array" ref="L22">Common_InputFunctions.Utility_DisplayArrayInTable(Fertiliser_SourceData.Fertiliser_FractionNCommonFertilisers_Data(), Table2[[#Headers],[Fertiliser type f]], 0)</f>
        <v>0.46</v>
      </c>
      <c r="Q22" s="30" t="str" cm="1">
        <f t="array" ref="Q22">Common_InputFunctions.Utility_DisplayArrayInTable(Fertiliser_SourceData.Fertiliser_FractionUreaCommonFertilisers_Data(), Table28[[#Headers],[Fertiliser type f]], 0)</f>
        <v>Urea</v>
      </c>
      <c r="R22" s="30" cm="1">
        <f t="array" ref="R22">Common_InputFunctions.Utility_DisplayArrayInTable(Fertiliser_SourceData.Fertiliser_FractionUreaCommonFertilisers_Data(), Table28[[#Headers],[Fertiliser type f]], 0)</f>
        <v>1</v>
      </c>
      <c r="V22" s="3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6" t="s">
        <v>2</v>
      </c>
      <c r="D23" s="171" t="str" cm="1">
        <f t="array" ref="D23">Common_InputFunctions.Utility_DisplayArrayInTable(Fertiliser_SourceData.Fertiliser_ChemicalCompoundElements_Data(),Table_Fertiliser_ChemicalCompounds[[#Headers],[Fertiliser type f]], 0)</f>
        <v>Sulphate of ammonia (SOA)</v>
      </c>
      <c r="E23" s="171" cm="1">
        <f t="array" ref="E23">Common_InputFunctions.Utility_DisplayArrayInTable(Fertiliser_SourceData.Fertiliser_ChemicalCompoundElements_Data(),Table_Fertiliser_ChemicalCompounds[[#Headers],[Fertiliser type f]], 0)</f>
        <v>0.21</v>
      </c>
      <c r="F23" s="171" cm="1">
        <f t="array" ref="F23">Common_InputFunctions.Utility_DisplayArrayInTable(Fertiliser_SourceData.Fertiliser_ChemicalCompoundElements_Data(),Table_Fertiliser_ChemicalCompounds[[#Headers],[Fertiliser type f]], 0)</f>
        <v>0</v>
      </c>
      <c r="G23" s="171" t="str" cm="1">
        <f t="array" ref="G23">Common_InputFunctions.Utility_DisplayArrayInTable(Fertiliser_SourceData.Fertiliser_ChemicalCompoundElements_Data(),Table_Fertiliser_ChemicalCompounds[[#Headers],[Fertiliser type f]], 0)</f>
        <v>Ammonium-based fertilisers</v>
      </c>
      <c r="H23" s="171" t="str" cm="1">
        <f t="array" ref="H23">Common_InputFunctions.Utility_DisplayArrayInTable(Fertiliser_SourceData.Fertiliser_ChemicalCompoundElements_Data(),Table_Fertiliser_ChemicalCompounds[[#Headers],[Fertiliser type f]], 0)</f>
        <v>Sulphate of ammonia (SOA)</v>
      </c>
      <c r="I23" s="171" t="str" cm="1">
        <f t="array" ref="I23">Common_InputFunctions.Utility_DisplayArrayInTable(Fertiliser_SourceData.Fertiliser_ChemicalCompoundElements_Data(),Table_Fertiliser_ChemicalCompounds[[#Headers],[Fertiliser type f]], 0)</f>
        <v>VEERG</v>
      </c>
      <c r="K23" s="30" t="str" cm="1">
        <f t="array" ref="K23">Common_InputFunctions.Utility_DisplayArrayInTable(Fertiliser_SourceData.Fertiliser_FractionNCommonFertilisers_Data(), Table2[[#Headers],[Fertiliser type f]], 0)</f>
        <v>Sulphate of ammonia (SOA)</v>
      </c>
      <c r="L23" s="30" cm="1">
        <f t="array" ref="L23">Common_InputFunctions.Utility_DisplayArrayInTable(Fertiliser_SourceData.Fertiliser_FractionNCommonFertilisers_Data(), Table2[[#Headers],[Fertiliser type f]], 0)</f>
        <v>0.21</v>
      </c>
      <c r="Q23" s="30" t="str" cm="1">
        <f t="array" ref="Q23">Common_InputFunctions.Utility_DisplayArrayInTable(Fertiliser_SourceData.Fertiliser_FractionUreaCommonFertilisers_Data(), Table28[[#Headers],[Fertiliser type f]], 0)</f>
        <v>Sulphate of ammonia (SOA)</v>
      </c>
      <c r="R23" s="30" cm="1">
        <f t="array" ref="R23">Common_InputFunctions.Utility_DisplayArrayInTable(Fertiliser_SourceData.Fertiliser_FractionUreaCommonFertilisers_Data(), Table28[[#Headers],[Fertiliser type f]], 0)</f>
        <v>0</v>
      </c>
      <c r="V23" s="3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5" t="str">
        <f>HYPERLINK("#'5.1.1.1-2 Inorganic fert N2O'!A1", "5.1.1.1-2 Inorganic fert N2O")</f>
        <v>5.1.1.1-2 Inorganic fert N2O</v>
      </c>
      <c r="D24" s="171" t="str" cm="1">
        <f t="array" ref="D24">Common_InputFunctions.Utility_DisplayArrayInTable(Fertiliser_SourceData.Fertiliser_ChemicalCompoundElements_Data(),Table_Fertiliser_ChemicalCompounds[[#Headers],[Fertiliser type f]], 0)</f>
        <v>Urea-ammonium nitrate (UAN)</v>
      </c>
      <c r="E24" s="171" cm="1">
        <f t="array" ref="E24">Common_InputFunctions.Utility_DisplayArrayInTable(Fertiliser_SourceData.Fertiliser_ChemicalCompoundElements_Data(),Table_Fertiliser_ChemicalCompounds[[#Headers],[Fertiliser type f]], 0)</f>
        <v>0.32</v>
      </c>
      <c r="F24" s="171" cm="1">
        <f t="array" ref="F24">Common_InputFunctions.Utility_DisplayArrayInTable(Fertiliser_SourceData.Fertiliser_ChemicalCompoundElements_Data(),Table_Fertiliser_ChemicalCompounds[[#Headers],[Fertiliser type f]], 0)</f>
        <v>0.35</v>
      </c>
      <c r="G24" s="171" t="str" cm="1">
        <f t="array" ref="G24">Common_InputFunctions.Utility_DisplayArrayInTable(Fertiliser_SourceData.Fertiliser_ChemicalCompoundElements_Data(),Table_Fertiliser_ChemicalCompounds[[#Headers],[Fertiliser type f]], 0)</f>
        <v>Urea-based fertilisers</v>
      </c>
      <c r="H24" s="171" t="str" cm="1">
        <f t="array" ref="H24">Common_InputFunctions.Utility_DisplayArrayInTable(Fertiliser_SourceData.Fertiliser_ChemicalCompoundElements_Data(),Table_Fertiliser_ChemicalCompounds[[#Headers],[Fertiliser type f]], 0)</f>
        <v>Urea-ammonium nitrate (UAN)</v>
      </c>
      <c r="I24" s="171" t="str" cm="1">
        <f t="array" ref="I24">Common_InputFunctions.Utility_DisplayArrayInTable(Fertiliser_SourceData.Fertiliser_ChemicalCompoundElements_Data(),Table_Fertiliser_ChemicalCompounds[[#Headers],[Fertiliser type f]], 0)</f>
        <v>VEERG</v>
      </c>
      <c r="K24" s="30" t="str" cm="1">
        <f t="array" ref="K24">Common_InputFunctions.Utility_DisplayArrayInTable(Fertiliser_SourceData.Fertiliser_FractionNCommonFertilisers_Data(), Table2[[#Headers],[Fertiliser type f]], 0)</f>
        <v>Urea-ammonium nitrate (UAN)</v>
      </c>
      <c r="L24" s="30" cm="1">
        <f t="array" ref="L24">Common_InputFunctions.Utility_DisplayArrayInTable(Fertiliser_SourceData.Fertiliser_FractionNCommonFertilisers_Data(), Table2[[#Headers],[Fertiliser type f]], 0)</f>
        <v>0.32</v>
      </c>
      <c r="Q24" s="30" t="str" cm="1">
        <f t="array" ref="Q24">Common_InputFunctions.Utility_DisplayArrayInTable(Fertiliser_SourceData.Fertiliser_FractionUreaCommonFertilisers_Data(), Table28[[#Headers],[Fertiliser type f]], 0)</f>
        <v>Urea-ammonium nitrate (UAN)</v>
      </c>
      <c r="R24" s="30" cm="1">
        <f t="array" ref="R24">Common_InputFunctions.Utility_DisplayArrayInTable(Fertiliser_SourceData.Fertiliser_FractionUreaCommonFertilisers_Data(), Table28[[#Headers],[Fertiliser type f]], 0)</f>
        <v>0.35</v>
      </c>
    </row>
    <row r="25" spans="1:22" ht="20.100000000000001" customHeight="1" x14ac:dyDescent="0.25">
      <c r="A25" s="5" t="str">
        <f>HYPERLINK("#'5.1.1.3-4 Inorganic fert CO2'!A1", "5.1.1.3-4 Inorganic fert CO2")</f>
        <v>5.1.1.3-4 Inorganic fert CO2</v>
      </c>
      <c r="D25" s="171" t="str" cm="1">
        <f t="array" ref="D25">Common_InputFunctions.Utility_DisplayArrayInTable(Fertiliser_SourceData.Fertiliser_ChemicalCompoundElements_Data(),Table_Fertiliser_ChemicalCompounds[[#Headers],[Fertiliser type f]], 0)</f>
        <v>Ammonium nitrate (AN)</v>
      </c>
      <c r="E25" s="171" cm="1">
        <f t="array" ref="E25">Common_InputFunctions.Utility_DisplayArrayInTable(Fertiliser_SourceData.Fertiliser_ChemicalCompoundElements_Data(),Table_Fertiliser_ChemicalCompounds[[#Headers],[Fertiliser type f]], 0)</f>
        <v>0.33700000000000002</v>
      </c>
      <c r="F25" s="171" cm="1">
        <f t="array" ref="F25">Common_InputFunctions.Utility_DisplayArrayInTable(Fertiliser_SourceData.Fertiliser_ChemicalCompoundElements_Data(),Table_Fertiliser_ChemicalCompounds[[#Headers],[Fertiliser type f]], 0)</f>
        <v>0</v>
      </c>
      <c r="G25" s="171" t="str" cm="1">
        <f t="array" ref="G25">Common_InputFunctions.Utility_DisplayArrayInTable(Fertiliser_SourceData.Fertiliser_ChemicalCompoundElements_Data(),Table_Fertiliser_ChemicalCompounds[[#Headers],[Fertiliser type f]], 0)</f>
        <v>Ammonium-nitrate based fertilisers</v>
      </c>
      <c r="H25" s="171" t="str" cm="1">
        <f t="array" ref="H25">Common_InputFunctions.Utility_DisplayArrayInTable(Fertiliser_SourceData.Fertiliser_ChemicalCompoundElements_Data(),Table_Fertiliser_ChemicalCompounds[[#Headers],[Fertiliser type f]], 0)</f>
        <v>Ammonium nitrate (AN)</v>
      </c>
      <c r="I25" s="171" t="str" cm="1">
        <f t="array" ref="I25">Common_InputFunctions.Utility_DisplayArrayInTable(Fertiliser_SourceData.Fertiliser_ChemicalCompoundElements_Data(),Table_Fertiliser_ChemicalCompounds[[#Headers],[Fertiliser type f]], 0)</f>
        <v>VEERG</v>
      </c>
      <c r="K25" s="30" t="str" cm="1">
        <f t="array" ref="K25">Common_InputFunctions.Utility_DisplayArrayInTable(Fertiliser_SourceData.Fertiliser_FractionNCommonFertilisers_Data(), Table2[[#Headers],[Fertiliser type f]], 0)</f>
        <v>Ammonium nitrate (AN)</v>
      </c>
      <c r="L25" s="30" cm="1">
        <f t="array" ref="L25">Common_InputFunctions.Utility_DisplayArrayInTable(Fertiliser_SourceData.Fertiliser_FractionNCommonFertilisers_Data(), Table2[[#Headers],[Fertiliser type f]], 0)</f>
        <v>0.33700000000000002</v>
      </c>
      <c r="Q25" s="30" t="str" cm="1">
        <f t="array" ref="Q25">Common_InputFunctions.Utility_DisplayArrayInTable(Fertiliser_SourceData.Fertiliser_FractionUreaCommonFertilisers_Data(), Table28[[#Headers],[Fertiliser type f]], 0)</f>
        <v>Ammonium nitrate (AN)</v>
      </c>
      <c r="R25" s="30" cm="1">
        <f t="array" ref="R25">Common_InputFunctions.Utility_DisplayArrayInTable(Fertiliser_SourceData.Fertiliser_FractionUreaCommonFertilisers_Data(), Table28[[#Headers],[Fertiliser type f]], 0)</f>
        <v>0</v>
      </c>
    </row>
    <row r="26" spans="1:22" ht="20.100000000000001" customHeight="1" x14ac:dyDescent="0.25">
      <c r="A26" s="5" t="str">
        <f>HYPERLINK("#'5.2.1.1-2 Organic Fert N2O'!A1", "5.2.1.1-2 Organic fert N2O")</f>
        <v>5.2.1.1-2 Organic fert N2O</v>
      </c>
      <c r="D26" s="171" t="str" cm="1">
        <f t="array" ref="D26">Common_InputFunctions.Utility_DisplayArrayInTable(Fertiliser_SourceData.Fertiliser_ChemicalCompoundElements_Data(),Table_Fertiliser_ChemicalCompounds[[#Headers],[Fertiliser type f]], 0)</f>
        <v>Calcium ammonium nitrate (CAN)</v>
      </c>
      <c r="E26" s="171" cm="1">
        <f t="array" ref="E26">Common_InputFunctions.Utility_DisplayArrayInTable(Fertiliser_SourceData.Fertiliser_ChemicalCompoundElements_Data(),Table_Fertiliser_ChemicalCompounds[[#Headers],[Fertiliser type f]], 0)</f>
        <v>0.27</v>
      </c>
      <c r="F26" s="171" cm="1">
        <f t="array" ref="F26">Common_InputFunctions.Utility_DisplayArrayInTable(Fertiliser_SourceData.Fertiliser_ChemicalCompoundElements_Data(),Table_Fertiliser_ChemicalCompounds[[#Headers],[Fertiliser type f]], 0)</f>
        <v>0</v>
      </c>
      <c r="G26" s="171" t="str" cm="1">
        <f t="array" ref="G26">Common_InputFunctions.Utility_DisplayArrayInTable(Fertiliser_SourceData.Fertiliser_ChemicalCompoundElements_Data(),Table_Fertiliser_ChemicalCompounds[[#Headers],[Fertiliser type f]], 0)</f>
        <v>Ammonium-nitrate based fertilisers</v>
      </c>
      <c r="H26" s="171" t="str" cm="1">
        <f t="array" ref="H26">Common_InputFunctions.Utility_DisplayArrayInTable(Fertiliser_SourceData.Fertiliser_ChemicalCompoundElements_Data(),Table_Fertiliser_ChemicalCompounds[[#Headers],[Fertiliser type f]], 0)</f>
        <v>Calcium ammonium nitrate (CAN)</v>
      </c>
      <c r="I26" s="171" t="str" cm="1">
        <f t="array" ref="I26">Common_InputFunctions.Utility_DisplayArrayInTable(Fertiliser_SourceData.Fertiliser_ChemicalCompoundElements_Data(),Table_Fertiliser_ChemicalCompounds[[#Headers],[Fertiliser type f]], 0)</f>
        <v>VEERG</v>
      </c>
      <c r="K26" s="30" t="str" cm="1">
        <f t="array" ref="K26">Common_InputFunctions.Utility_DisplayArrayInTable(Fertiliser_SourceData.Fertiliser_FractionNCommonFertilisers_Data(), Table2[[#Headers],[Fertiliser type f]], 0)</f>
        <v>Calcium ammonium nitrate (CAN)</v>
      </c>
      <c r="L26" s="30" cm="1">
        <f t="array" ref="L26">Common_InputFunctions.Utility_DisplayArrayInTable(Fertiliser_SourceData.Fertiliser_FractionNCommonFertilisers_Data(), Table2[[#Headers],[Fertiliser type f]], 0)</f>
        <v>0.27</v>
      </c>
      <c r="Q26" s="30" t="str" cm="1">
        <f t="array" ref="Q26">Common_InputFunctions.Utility_DisplayArrayInTable(Fertiliser_SourceData.Fertiliser_FractionUreaCommonFertilisers_Data(), Table28[[#Headers],[Fertiliser type f]], 0)</f>
        <v>Calcium ammonium nitrate (CAN)</v>
      </c>
      <c r="R26" s="30" cm="1">
        <f t="array" ref="R26">Common_InputFunctions.Utility_DisplayArrayInTable(Fertiliser_SourceData.Fertiliser_FractionUreaCommonFertilisers_Data(), Table28[[#Headers],[Fertiliser type f]], 0)</f>
        <v>0</v>
      </c>
    </row>
    <row r="27" spans="1:22" ht="20.100000000000001" customHeight="1" x14ac:dyDescent="0.25">
      <c r="A27" s="5" t="str">
        <f>HYPERLINK("#'5.3.1.1-2 Lime CO2'!A1", "5.3.1.1-2 Lime CO2")</f>
        <v>5.3.1.1-2 Lime CO2</v>
      </c>
      <c r="D27" s="171" t="str" cm="1">
        <f t="array" ref="D27">Common_InputFunctions.Utility_DisplayArrayInTable(Fertiliser_SourceData.Fertiliser_ChemicalCompoundElements_Data(),Table_Fertiliser_ChemicalCompounds[[#Headers],[Fertiliser type f]], 0)</f>
        <v>Nitrogen - Ammoniacal</v>
      </c>
      <c r="E27" s="171" cm="1">
        <f t="array" ref="E27">Common_InputFunctions.Utility_DisplayArrayInTable(Fertiliser_SourceData.Fertiliser_ChemicalCompoundElements_Data(),Table_Fertiliser_ChemicalCompounds[[#Headers],[Fertiliser type f]], 0)</f>
        <v>1</v>
      </c>
      <c r="F27" s="171" cm="1">
        <f t="array" ref="F27">Common_InputFunctions.Utility_DisplayArrayInTable(Fertiliser_SourceData.Fertiliser_ChemicalCompoundElements_Data(),Table_Fertiliser_ChemicalCompounds[[#Headers],[Fertiliser type f]], 0)</f>
        <v>0</v>
      </c>
      <c r="G27" s="171" t="str" cm="1">
        <f t="array" ref="G27">Common_InputFunctions.Utility_DisplayArrayInTable(Fertiliser_SourceData.Fertiliser_ChemicalCompoundElements_Data(),Table_Fertiliser_ChemicalCompounds[[#Headers],[Fertiliser type f]], 0)</f>
        <v>Ammonium-based fertilisers</v>
      </c>
      <c r="H27" s="171" t="str" cm="1">
        <f t="array" ref="H27">Common_InputFunctions.Utility_DisplayArrayInTable(Fertiliser_SourceData.Fertiliser_ChemicalCompoundElements_Data(),Table_Fertiliser_ChemicalCompounds[[#Headers],[Fertiliser type f]], 0)</f>
        <v>Nitrogen - Ammoniacal</v>
      </c>
      <c r="I27" s="171" t="str" cm="1">
        <f t="array" ref="I27">Common_InputFunctions.Utility_DisplayArrayInTable(Fertiliser_SourceData.Fertiliser_ChemicalCompoundElements_Data(),Table_Fertiliser_ChemicalCompounds[[#Headers],[Fertiliser type f]], 0)</f>
        <v>LifeCycles</v>
      </c>
      <c r="K27" s="30" t="str" cm="1">
        <f t="array" ref="K27">Common_InputFunctions.Utility_DisplayArrayInTable(Fertiliser_SourceData.Fertiliser_FractionNCommonFertilisers_Data(), Table2[[#Headers],[Fertiliser type f]], 0)</f>
        <v>Ammonium Sulfate</v>
      </c>
      <c r="L27" s="30" cm="1">
        <f t="array" ref="L27">Common_InputFunctions.Utility_DisplayArrayInTable(Fertiliser_SourceData.Fertiliser_FractionNCommonFertilisers_Data(), Table2[[#Headers],[Fertiliser type f]], 0)</f>
        <v>0.21</v>
      </c>
      <c r="Q27" s="30" t="str" cm="1">
        <f t="array" ref="Q27">Common_InputFunctions.Utility_DisplayArrayInTable(Fertiliser_SourceData.Fertiliser_FractionUreaCommonFertilisers_Data(), Table28[[#Headers],[Fertiliser type f]], 0)</f>
        <v>Ammonium Sulfate</v>
      </c>
      <c r="R27" s="30" cm="1">
        <f t="array" ref="R27">Common_InputFunctions.Utility_DisplayArrayInTable(Fertiliser_SourceData.Fertiliser_FractionUreaCommonFertilisers_Data(), Table28[[#Headers],[Fertiliser type f]], 0)</f>
        <v>0</v>
      </c>
    </row>
    <row r="28" spans="1:22" ht="20.100000000000001" customHeight="1" x14ac:dyDescent="0.25">
      <c r="A28" s="5" t="str">
        <f>HYPERLINK("#'5.4.1.1-4 Atmos deposition'!A1", "5.4.1.1-4 Atmos. deposition")</f>
        <v>5.4.1.1-4 Atmos. deposition</v>
      </c>
      <c r="D28" s="171" t="str" cm="1">
        <f t="array" ref="D28">Common_InputFunctions.Utility_DisplayArrayInTable(Fertiliser_SourceData.Fertiliser_ChemicalCompoundElements_Data(),Table_Fertiliser_ChemicalCompounds[[#Headers],[Fertiliser type f]], 0)</f>
        <v>Nitrogen - Nitrate</v>
      </c>
      <c r="E28" s="171" cm="1">
        <f t="array" ref="E28">Common_InputFunctions.Utility_DisplayArrayInTable(Fertiliser_SourceData.Fertiliser_ChemicalCompoundElements_Data(),Table_Fertiliser_ChemicalCompounds[[#Headers],[Fertiliser type f]], 0)</f>
        <v>1</v>
      </c>
      <c r="F28" s="171" cm="1">
        <f t="array" ref="F28">Common_InputFunctions.Utility_DisplayArrayInTable(Fertiliser_SourceData.Fertiliser_ChemicalCompoundElements_Data(),Table_Fertiliser_ChemicalCompounds[[#Headers],[Fertiliser type f]], 0)</f>
        <v>0</v>
      </c>
      <c r="G28" s="171" t="str" cm="1">
        <f t="array" ref="G28">Common_InputFunctions.Utility_DisplayArrayInTable(Fertiliser_SourceData.Fertiliser_ChemicalCompoundElements_Data(),Table_Fertiliser_ChemicalCompounds[[#Headers],[Fertiliser type f]], 0)</f>
        <v>Nitrate-based fertilisers</v>
      </c>
      <c r="H28" s="171" t="str" cm="1">
        <f t="array" ref="H28">Common_InputFunctions.Utility_DisplayArrayInTable(Fertiliser_SourceData.Fertiliser_ChemicalCompoundElements_Data(),Table_Fertiliser_ChemicalCompounds[[#Headers],[Fertiliser type f]], 0)</f>
        <v>Nitrogen from Nitrate</v>
      </c>
      <c r="I28" s="171" t="str" cm="1">
        <f t="array" ref="I28">Common_InputFunctions.Utility_DisplayArrayInTable(Fertiliser_SourceData.Fertiliser_ChemicalCompoundElements_Data(),Table_Fertiliser_ChemicalCompounds[[#Headers],[Fertiliser type f]], 0)</f>
        <v>LifeCycles</v>
      </c>
      <c r="K28" s="30" t="str" cm="1">
        <f t="array" ref="K28">Common_InputFunctions.Utility_DisplayArrayInTable(Fertiliser_SourceData.Fertiliser_FractionNCommonFertilisers_Data(), Table2[[#Headers],[Fertiliser type f]], 0)</f>
        <v>Calcium Nitrate</v>
      </c>
      <c r="L28" s="30" cm="1">
        <f t="array" ref="L28">Common_InputFunctions.Utility_DisplayArrayInTable(Fertiliser_SourceData.Fertiliser_FractionNCommonFertilisers_Data(), Table2[[#Headers],[Fertiliser type f]], 0)</f>
        <v>0.155</v>
      </c>
      <c r="Q28" s="30" t="str" cm="1">
        <f t="array" ref="Q28">Common_InputFunctions.Utility_DisplayArrayInTable(Fertiliser_SourceData.Fertiliser_FractionUreaCommonFertilisers_Data(), Table28[[#Headers],[Fertiliser type f]], 0)</f>
        <v>Calcium Nitrate</v>
      </c>
      <c r="R28" s="30" cm="1">
        <f t="array" ref="R28">Common_InputFunctions.Utility_DisplayArrayInTable(Fertiliser_SourceData.Fertiliser_FractionUreaCommonFertilisers_Data(), Table28[[#Headers],[Fertiliser type f]], 0)</f>
        <v>0</v>
      </c>
    </row>
    <row r="29" spans="1:22" ht="20.100000000000001" customHeight="1" x14ac:dyDescent="0.25">
      <c r="A29" s="5" t="str">
        <f>HYPERLINK("#'5.5.1.1-2 Leaching and runoff'!A1", "5.5.1.1-2 Leaching &amp; runoff")</f>
        <v>5.5.1.1-2 Leaching &amp; runoff</v>
      </c>
      <c r="D29" s="171" t="str" cm="1">
        <f t="array" ref="D29">Common_InputFunctions.Utility_DisplayArrayInTable(Fertiliser_SourceData.Fertiliser_ChemicalCompoundElements_Data(),Table_Fertiliser_ChemicalCompounds[[#Headers],[Fertiliser type f]], 0)</f>
        <v>Nitrogen - Generic</v>
      </c>
      <c r="E29" s="171" cm="1">
        <f t="array" ref="E29">Common_InputFunctions.Utility_DisplayArrayInTable(Fertiliser_SourceData.Fertiliser_ChemicalCompoundElements_Data(),Table_Fertiliser_ChemicalCompounds[[#Headers],[Fertiliser type f]], 0)</f>
        <v>1</v>
      </c>
      <c r="F29" s="171" cm="1">
        <f t="array" ref="F29">Common_InputFunctions.Utility_DisplayArrayInTable(Fertiliser_SourceData.Fertiliser_ChemicalCompoundElements_Data(),Table_Fertiliser_ChemicalCompounds[[#Headers],[Fertiliser type f]], 0)</f>
        <v>0</v>
      </c>
      <c r="G29" s="171" t="str" cm="1">
        <f t="array" ref="G29">Common_InputFunctions.Utility_DisplayArrayInTable(Fertiliser_SourceData.Fertiliser_ChemicalCompoundElements_Data(),Table_Fertiliser_ChemicalCompounds[[#Headers],[Fertiliser type f]], 0)</f>
        <v>Urea-based fertilisers</v>
      </c>
      <c r="H29" s="171" t="str" cm="1">
        <f t="array" ref="H29">Common_InputFunctions.Utility_DisplayArrayInTable(Fertiliser_SourceData.Fertiliser_ChemicalCompoundElements_Data(),Table_Fertiliser_ChemicalCompounds[[#Headers],[Fertiliser type f]], 0)</f>
        <v>Nitrogen from fertiliser</v>
      </c>
      <c r="I29" s="17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5" t="str">
        <f>HYPERLINK("#'6.1.1.1-2 Crop residue N2O'!A1", "6.1.1.1-2 Crop residue N2O")</f>
        <v>6.1.1.1-2 Crop residue N2O</v>
      </c>
      <c r="D30" s="171" t="str" cm="1">
        <f t="array" ref="D30">Common_InputFunctions.Utility_DisplayArrayInTable(Fertiliser_SourceData.Fertiliser_ChemicalCompoundElements_Data(),Table_Fertiliser_ChemicalCompounds[[#Headers],[Fertiliser type f]], 0)</f>
        <v>Phosphorus - Generic</v>
      </c>
      <c r="E30" s="171" cm="1">
        <f t="array" ref="E30">Common_InputFunctions.Utility_DisplayArrayInTable(Fertiliser_SourceData.Fertiliser_ChemicalCompoundElements_Data(),Table_Fertiliser_ChemicalCompounds[[#Headers],[Fertiliser type f]], 0)</f>
        <v>0</v>
      </c>
      <c r="F30" s="171" cm="1">
        <f t="array" ref="F30">Common_InputFunctions.Utility_DisplayArrayInTable(Fertiliser_SourceData.Fertiliser_ChemicalCompoundElements_Data(),Table_Fertiliser_ChemicalCompounds[[#Headers],[Fertiliser type f]], 0)</f>
        <v>0</v>
      </c>
      <c r="G30" s="171" t="str" cm="1">
        <f t="array" ref="G30">Common_InputFunctions.Utility_DisplayArrayInTable(Fertiliser_SourceData.Fertiliser_ChemicalCompoundElements_Data(),Table_Fertiliser_ChemicalCompounds[[#Headers],[Fertiliser type f]], 0)</f>
        <v>Other fertilisers</v>
      </c>
      <c r="H30" s="171" t="str" cm="1">
        <f t="array" ref="H30">Common_InputFunctions.Utility_DisplayArrayInTable(Fertiliser_SourceData.Fertiliser_ChemicalCompoundElements_Data(),Table_Fertiliser_ChemicalCompounds[[#Headers],[Fertiliser type f]], 0)</f>
        <v>Phosphorus from fertiliser</v>
      </c>
      <c r="I30" s="17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5" t="str">
        <f>HYPERLINK("#'6.3.1.1-2 Leach runoff crop'!A1", "6.3.1.1-2 Leach &amp; runoff (crop)")</f>
        <v>6.3.1.1-2 Leach &amp; runoff (crop)</v>
      </c>
      <c r="D31" s="171" t="str" cm="1">
        <f t="array" ref="D31">Common_InputFunctions.Utility_DisplayArrayInTable(Fertiliser_SourceData.Fertiliser_ChemicalCompoundElements_Data(),Table_Fertiliser_ChemicalCompounds[[#Headers],[Fertiliser type f]], 0)</f>
        <v>Potassium - Generic</v>
      </c>
      <c r="E31" s="171" cm="1">
        <f t="array" ref="E31">Common_InputFunctions.Utility_DisplayArrayInTable(Fertiliser_SourceData.Fertiliser_ChemicalCompoundElements_Data(),Table_Fertiliser_ChemicalCompounds[[#Headers],[Fertiliser type f]], 0)</f>
        <v>0</v>
      </c>
      <c r="F31" s="171" cm="1">
        <f t="array" ref="F31">Common_InputFunctions.Utility_DisplayArrayInTable(Fertiliser_SourceData.Fertiliser_ChemicalCompoundElements_Data(),Table_Fertiliser_ChemicalCompounds[[#Headers],[Fertiliser type f]], 0)</f>
        <v>0</v>
      </c>
      <c r="G31" s="171" t="str" cm="1">
        <f t="array" ref="G31">Common_InputFunctions.Utility_DisplayArrayInTable(Fertiliser_SourceData.Fertiliser_ChemicalCompoundElements_Data(),Table_Fertiliser_ChemicalCompounds[[#Headers],[Fertiliser type f]], 0)</f>
        <v>Other fertilisers</v>
      </c>
      <c r="H31" s="171" t="str" cm="1">
        <f t="array" ref="H31">Common_InputFunctions.Utility_DisplayArrayInTable(Fertiliser_SourceData.Fertiliser_ChemicalCompoundElements_Data(),Table_Fertiliser_ChemicalCompounds[[#Headers],[Fertiliser type f]], 0)</f>
        <v>Potassium from fertiliser</v>
      </c>
      <c r="I31" s="17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5" t="str">
        <f>HYPERLINK("#'6.4.1.1-2 Residue burning'!A1", "6.4.1.1-2 Residue burning")</f>
        <v>6.4.1.1-2 Residue burning</v>
      </c>
      <c r="D32" s="171" t="str" cm="1">
        <f t="array" ref="D32">Common_InputFunctions.Utility_DisplayArrayInTable(Fertiliser_SourceData.Fertiliser_ChemicalCompoundElements_Data(),Table_Fertiliser_ChemicalCompounds[[#Headers],[Fertiliser type f]], 0)</f>
        <v>Sulfur - Generic</v>
      </c>
      <c r="E32" s="171" cm="1">
        <f t="array" ref="E32">Common_InputFunctions.Utility_DisplayArrayInTable(Fertiliser_SourceData.Fertiliser_ChemicalCompoundElements_Data(),Table_Fertiliser_ChemicalCompounds[[#Headers],[Fertiliser type f]], 0)</f>
        <v>0</v>
      </c>
      <c r="F32" s="171" cm="1">
        <f t="array" ref="F32">Common_InputFunctions.Utility_DisplayArrayInTable(Fertiliser_SourceData.Fertiliser_ChemicalCompoundElements_Data(),Table_Fertiliser_ChemicalCompounds[[#Headers],[Fertiliser type f]], 0)</f>
        <v>0</v>
      </c>
      <c r="G32" s="171" t="str" cm="1">
        <f t="array" ref="G32">Common_InputFunctions.Utility_DisplayArrayInTable(Fertiliser_SourceData.Fertiliser_ChemicalCompoundElements_Data(),Table_Fertiliser_ChemicalCompounds[[#Headers],[Fertiliser type f]], 0)</f>
        <v>Other fertilisers</v>
      </c>
      <c r="H32" s="171" t="str" cm="1">
        <f t="array" ref="H32">Common_InputFunctions.Utility_DisplayArrayInTable(Fertiliser_SourceData.Fertiliser_ChemicalCompoundElements_Data(),Table_Fertiliser_ChemicalCompounds[[#Headers],[Fertiliser type f]], 0)</f>
        <v>Sulfur from fertiliser</v>
      </c>
      <c r="I32" s="171"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5" t="str">
        <f>HYPERLINK("#'8.1.1.1-2 Transport fuel'!A1", "8.1.1.1-2 Transport fuel")</f>
        <v>8.1.1.1-2 Transport fuel</v>
      </c>
      <c r="D33" s="171" t="str" cm="1">
        <f t="array" ref="D33">Common_InputFunctions.Utility_DisplayArrayInTable(Fertiliser_SourceData.Fertiliser_ChemicalCompoundElements_Data(),Table_Fertiliser_ChemicalCompounds[[#Headers],[Fertiliser type f]], 0)</f>
        <v>Zinc - Generic</v>
      </c>
      <c r="E33" s="171" cm="1">
        <f t="array" ref="E33">Common_InputFunctions.Utility_DisplayArrayInTable(Fertiliser_SourceData.Fertiliser_ChemicalCompoundElements_Data(),Table_Fertiliser_ChemicalCompounds[[#Headers],[Fertiliser type f]], 0)</f>
        <v>0</v>
      </c>
      <c r="F33" s="171" cm="1">
        <f t="array" ref="F33">Common_InputFunctions.Utility_DisplayArrayInTable(Fertiliser_SourceData.Fertiliser_ChemicalCompoundElements_Data(),Table_Fertiliser_ChemicalCompounds[[#Headers],[Fertiliser type f]], 0)</f>
        <v>0</v>
      </c>
      <c r="G33" s="171" t="str" cm="1">
        <f t="array" ref="G33">Common_InputFunctions.Utility_DisplayArrayInTable(Fertiliser_SourceData.Fertiliser_ChemicalCompoundElements_Data(),Table_Fertiliser_ChemicalCompounds[[#Headers],[Fertiliser type f]], 0)</f>
        <v>Other fertilisers</v>
      </c>
      <c r="H33" s="171" t="str" cm="1">
        <f t="array" ref="H33">Common_InputFunctions.Utility_DisplayArrayInTable(Fertiliser_SourceData.Fertiliser_ChemicalCompoundElements_Data(),Table_Fertiliser_ChemicalCompounds[[#Headers],[Fertiliser type f]], 0)</f>
        <v>Zinc from fertiliser</v>
      </c>
      <c r="I33" s="171"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5" t="str">
        <f>HYPERLINK("#'8.2.1.1-2 Stationary fuel'!A1", "8.2.1.1-2 Stationary fuel")</f>
        <v>8.2.1.1-2 Stationary fuel</v>
      </c>
      <c r="D34" s="171" t="str" cm="1">
        <f t="array" ref="D34">Common_InputFunctions.Utility_DisplayArrayInTable(Fertiliser_SourceData.Fertiliser_ChemicalCompoundElements_Data(),Table_Fertiliser_ChemicalCompounds[[#Headers],[Fertiliser type f]], 0)</f>
        <v>Muriate of potash (MOP)</v>
      </c>
      <c r="E34" s="171" cm="1">
        <f t="array" ref="E34">Common_InputFunctions.Utility_DisplayArrayInTable(Fertiliser_SourceData.Fertiliser_ChemicalCompoundElements_Data(),Table_Fertiliser_ChemicalCompounds[[#Headers],[Fertiliser type f]], 0)</f>
        <v>0</v>
      </c>
      <c r="F34" s="171" cm="1">
        <f t="array" ref="F34">Common_InputFunctions.Utility_DisplayArrayInTable(Fertiliser_SourceData.Fertiliser_ChemicalCompoundElements_Data(),Table_Fertiliser_ChemicalCompounds[[#Headers],[Fertiliser type f]], 0)</f>
        <v>0</v>
      </c>
      <c r="G34" s="171" t="str" cm="1">
        <f t="array" ref="G34">Common_InputFunctions.Utility_DisplayArrayInTable(Fertiliser_SourceData.Fertiliser_ChemicalCompoundElements_Data(),Table_Fertiliser_ChemicalCompounds[[#Headers],[Fertiliser type f]], 0)</f>
        <v>Other fertilisers</v>
      </c>
      <c r="H34" s="171" t="str" cm="1">
        <f t="array" ref="H34">Common_InputFunctions.Utility_DisplayArrayInTable(Fertiliser_SourceData.Fertiliser_ChemicalCompoundElements_Data(),Table_Fertiliser_ChemicalCompounds[[#Headers],[Fertiliser type f]], 0)</f>
        <v>Muriate of potash (MOP)</v>
      </c>
      <c r="I34" s="171"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5" t="str">
        <f>HYPERLINK("#'14.1.1-2 Purchased electricity'!A1", "14.1.1-2 Purchased electricity")</f>
        <v>14.1.1-2 Purchased electricity</v>
      </c>
      <c r="D35" s="171" t="str" cm="1">
        <f t="array" ref="D35">Common_InputFunctions.Utility_DisplayArrayInTable(Fertiliser_SourceData.Fertiliser_ChemicalCompoundElements_Data(),Table_Fertiliser_ChemicalCompounds[[#Headers],[Fertiliser type f]], 0)</f>
        <v>Double superphosphate</v>
      </c>
      <c r="E35" s="171" cm="1">
        <f t="array" ref="E35">Common_InputFunctions.Utility_DisplayArrayInTable(Fertiliser_SourceData.Fertiliser_ChemicalCompoundElements_Data(),Table_Fertiliser_ChemicalCompounds[[#Headers],[Fertiliser type f]], 0)</f>
        <v>0</v>
      </c>
      <c r="F35" s="171" cm="1">
        <f t="array" ref="F35">Common_InputFunctions.Utility_DisplayArrayInTable(Fertiliser_SourceData.Fertiliser_ChemicalCompoundElements_Data(),Table_Fertiliser_ChemicalCompounds[[#Headers],[Fertiliser type f]], 0)</f>
        <v>0</v>
      </c>
      <c r="G35" s="171" t="str" cm="1">
        <f t="array" ref="G35">Common_InputFunctions.Utility_DisplayArrayInTable(Fertiliser_SourceData.Fertiliser_ChemicalCompoundElements_Data(),Table_Fertiliser_ChemicalCompounds[[#Headers],[Fertiliser type f]], 0)</f>
        <v>Other fertilisers</v>
      </c>
      <c r="H35" s="171" t="str" cm="1">
        <f t="array" ref="H35">Common_InputFunctions.Utility_DisplayArrayInTable(Fertiliser_SourceData.Fertiliser_ChemicalCompoundElements_Data(),Table_Fertiliser_ChemicalCompounds[[#Headers],[Fertiliser type f]], 0)</f>
        <v>Double superphosphate</v>
      </c>
      <c r="I35" s="171"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5" t="str">
        <f>HYPERLINK("#'15 Scope 3'!A1", "15 Scope 3")</f>
        <v>15 Scope 3</v>
      </c>
      <c r="D36" s="171" t="str" cm="1">
        <f t="array" ref="D36">Common_InputFunctions.Utility_DisplayArrayInTable(Fertiliser_SourceData.Fertiliser_ChemicalCompoundElements_Data(),Table_Fertiliser_ChemicalCompounds[[#Headers],[Fertiliser type f]], 0)</f>
        <v>Single superphosphate (SSP)</v>
      </c>
      <c r="E36" s="171" cm="1">
        <f t="array" ref="E36">Common_InputFunctions.Utility_DisplayArrayInTable(Fertiliser_SourceData.Fertiliser_ChemicalCompoundElements_Data(),Table_Fertiliser_ChemicalCompounds[[#Headers],[Fertiliser type f]], 0)</f>
        <v>0</v>
      </c>
      <c r="F36" s="171" cm="1">
        <f t="array" ref="F36">Common_InputFunctions.Utility_DisplayArrayInTable(Fertiliser_SourceData.Fertiliser_ChemicalCompoundElements_Data(),Table_Fertiliser_ChemicalCompounds[[#Headers],[Fertiliser type f]], 0)</f>
        <v>0</v>
      </c>
      <c r="G36" s="171" t="str" cm="1">
        <f t="array" ref="G36">Common_InputFunctions.Utility_DisplayArrayInTable(Fertiliser_SourceData.Fertiliser_ChemicalCompoundElements_Data(),Table_Fertiliser_ChemicalCompounds[[#Headers],[Fertiliser type f]], 0)</f>
        <v>Other fertilisers</v>
      </c>
      <c r="H36" s="171" t="str" cm="1">
        <f t="array" ref="H36">Common_InputFunctions.Utility_DisplayArrayInTable(Fertiliser_SourceData.Fertiliser_ChemicalCompoundElements_Data(),Table_Fertiliser_ChemicalCompounds[[#Headers],[Fertiliser type f]], 0)</f>
        <v>Single superphosphate (SSP)</v>
      </c>
      <c r="I36" s="171"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5" t="str">
        <f>HYPERLINK("#'Calcs - Manure sent off-site'!A1", "Calcs - Manure sent off-site")</f>
        <v>Calcs - Manure sent off-site</v>
      </c>
      <c r="D37" s="171" t="str" cm="1">
        <f t="array" ref="D37">Common_InputFunctions.Utility_DisplayArrayInTable(Fertiliser_SourceData.Fertiliser_ChemicalCompoundElements_Data(),Table_Fertiliser_ChemicalCompounds[[#Headers],[Fertiliser type f]], 0)</f>
        <v>Ammonia</v>
      </c>
      <c r="E37" s="171" cm="1">
        <f t="array" ref="E37">Common_InputFunctions.Utility_DisplayArrayInTable(Fertiliser_SourceData.Fertiliser_ChemicalCompoundElements_Data(),Table_Fertiliser_ChemicalCompounds[[#Headers],[Fertiliser type f]], 0)</f>
        <v>0.82350000000000001</v>
      </c>
      <c r="F37" s="171" cm="1">
        <f t="array" ref="F37">Common_InputFunctions.Utility_DisplayArrayInTable(Fertiliser_SourceData.Fertiliser_ChemicalCompoundElements_Data(),Table_Fertiliser_ChemicalCompounds[[#Headers],[Fertiliser type f]], 0)</f>
        <v>0</v>
      </c>
      <c r="G37" s="171" t="str" cm="1">
        <f t="array" ref="G37">Common_InputFunctions.Utility_DisplayArrayInTable(Fertiliser_SourceData.Fertiliser_ChemicalCompoundElements_Data(),Table_Fertiliser_ChemicalCompounds[[#Headers],[Fertiliser type f]], 0)</f>
        <v>Ammonium-based fertilisers</v>
      </c>
      <c r="H37" s="171" t="str" cm="1">
        <f t="array" ref="H37">Common_InputFunctions.Utility_DisplayArrayInTable(Fertiliser_SourceData.Fertiliser_ChemicalCompoundElements_Data(),Table_Fertiliser_ChemicalCompounds[[#Headers],[Fertiliser type f]], 0)</f>
        <v>Ammonia</v>
      </c>
      <c r="I37" s="171"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5" t="str">
        <f>HYPERLINK("#'10.1.1-2 Solid waste treatment'!A1", "10.1.1-2 Solid waste treatment")</f>
        <v>10.1.1-2 Solid waste treatment</v>
      </c>
      <c r="D38" s="30" t="str" cm="1">
        <f t="array" ref="D38">Common_InputFunctions.Utility_DisplayArrayInTable(Fertiliser_SourceData.Fertiliser_ChemicalCompoundElements_Data(),Table_Fertiliser_ChemicalCompounds[[#Headers],[Fertiliser type f]], 0)</f>
        <v>Calcium nitrate</v>
      </c>
      <c r="E38" s="30" cm="1">
        <f t="array" ref="E38">Common_InputFunctions.Utility_DisplayArrayInTable(Fertiliser_SourceData.Fertiliser_ChemicalCompoundElements_Data(),Table_Fertiliser_ChemicalCompounds[[#Headers],[Fertiliser type f]], 0)</f>
        <v>0.155</v>
      </c>
      <c r="F38" s="30" cm="1">
        <f t="array" ref="F38">Common_InputFunctions.Utility_DisplayArrayInTable(Fertiliser_SourceData.Fertiliser_ChemicalCompoundElements_Data(),Table_Fertiliser_ChemicalCompounds[[#Headers],[Fertiliser type f]], 0)</f>
        <v>0</v>
      </c>
      <c r="G38" s="30" t="str" cm="1">
        <f t="array" ref="G38">Common_InputFunctions.Utility_DisplayArrayInTable(Fertiliser_SourceData.Fertiliser_ChemicalCompoundElements_Data(),Table_Fertiliser_ChemicalCompounds[[#Headers],[Fertiliser type f]], 0)</f>
        <v>Nitrate-based fertilisers</v>
      </c>
      <c r="H38" s="30" t="str" cm="1">
        <f t="array" ref="H38">Common_InputFunctions.Utility_DisplayArrayInTable(Fertiliser_SourceData.Fertiliser_ChemicalCompoundElements_Data(),Table_Fertiliser_ChemicalCompounds[[#Headers],[Fertiliser type f]], 0)</f>
        <v>Calcium nitrate</v>
      </c>
      <c r="I38" s="3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row r="40" spans="1:10" ht="20.100000000000001" customHeight="1" x14ac:dyDescent="0.25">
      <c r="D40" s="2" t="s">
        <v>360</v>
      </c>
      <c r="F40" s="2" t="s">
        <v>361</v>
      </c>
      <c r="H40" s="2" t="s">
        <v>362</v>
      </c>
      <c r="J40" s="2" t="s">
        <v>363</v>
      </c>
    </row>
    <row r="41" spans="1:10" ht="20.100000000000001" customHeight="1" x14ac:dyDescent="0.25">
      <c r="A41" s="121" t="s">
        <v>1</v>
      </c>
      <c r="D41" s="30" t="s">
        <v>183</v>
      </c>
      <c r="F41" s="30" t="s">
        <v>183</v>
      </c>
      <c r="H41" s="30" t="s">
        <v>63</v>
      </c>
      <c r="J41" s="30" t="s">
        <v>364</v>
      </c>
    </row>
    <row r="42" spans="1:10" ht="20.100000000000001" customHeight="1" x14ac:dyDescent="0.25">
      <c r="A42" s="5" t="str">
        <f>HYPERLINK("#'Constants - Ag Residue'!A1", "Constants - Ag residue")</f>
        <v>Constants - Ag residue</v>
      </c>
      <c r="D42" s="30" t="s">
        <v>365</v>
      </c>
      <c r="F42" s="30" t="s">
        <v>365</v>
      </c>
      <c r="H42" s="30" t="s">
        <v>366</v>
      </c>
      <c r="J42" s="30" t="s">
        <v>367</v>
      </c>
    </row>
    <row r="43" spans="1:10" ht="20.100000000000001" customHeight="1" x14ac:dyDescent="0.25">
      <c r="A43" s="5" t="str">
        <f>HYPERLINK("#'Constants - Common Livestock'!A1", "Constants - Common Livestock")</f>
        <v>Constants - Common Livestock</v>
      </c>
      <c r="D43" s="1" t="s">
        <v>184</v>
      </c>
      <c r="F43" s="1" t="s">
        <v>368</v>
      </c>
      <c r="H43" s="30" t="s">
        <v>369</v>
      </c>
      <c r="J43" s="1" t="s">
        <v>264</v>
      </c>
    </row>
    <row r="44" spans="1:10" ht="20.100000000000001" customHeight="1" x14ac:dyDescent="0.25">
      <c r="A44" s="5" t="str">
        <f>HYPERLINK("#'Constants - Electricity'!A1", "Constants - Electricity")</f>
        <v>Constants - Electricity</v>
      </c>
      <c r="F44" s="1" t="s">
        <v>370</v>
      </c>
      <c r="H44" s="1" t="s">
        <v>371</v>
      </c>
      <c r="J44" s="1" t="s">
        <v>372</v>
      </c>
    </row>
    <row r="45" spans="1:10" ht="20.100000000000001" customHeight="1" x14ac:dyDescent="0.25">
      <c r="A45" s="172" t="str">
        <f>HYPERLINK("#'Constants - Fertiliser'!A1", "Constants - Fertiliser")</f>
        <v>Constants - Fertiliser</v>
      </c>
      <c r="F45" s="1" t="s">
        <v>373</v>
      </c>
      <c r="H45" s="1" t="s">
        <v>374</v>
      </c>
      <c r="J45" s="1" t="s">
        <v>263</v>
      </c>
    </row>
    <row r="46" spans="1:10" ht="20.100000000000001" customHeight="1" x14ac:dyDescent="0.25">
      <c r="A46" s="5" t="str">
        <f>HYPERLINK("#'Constants - Fuel'!A1", "Constants - Fuel")</f>
        <v>Constants - Fuel</v>
      </c>
      <c r="H46" s="1" t="s">
        <v>375</v>
      </c>
      <c r="J46" s="1" t="s">
        <v>265</v>
      </c>
    </row>
    <row r="47" spans="1:10" ht="20.100000000000001" customHeight="1" x14ac:dyDescent="0.25">
      <c r="A47" s="5" t="str">
        <f>HYPERLINK("#'Constants - Scope 3'!A1", "Constants - Scope 3")</f>
        <v>Constants - Scope 3</v>
      </c>
    </row>
    <row r="48" spans="1:10" ht="20.100000000000001" customHeight="1" x14ac:dyDescent="0.25">
      <c r="A48" s="5" t="str">
        <f>HYPERLINK("#'Constants - Common'!A1", "Constants - Common")</f>
        <v>Constants - Common</v>
      </c>
      <c r="D48" s="2" t="str" cm="1">
        <f t="array" ref="D48">Fertiliser_SourceData.Fertiliser_FracGASF_Title()</f>
        <v>Fraction of inorganic fertiliser that volatilises as NH3 and NOx</v>
      </c>
      <c r="G48" s="158"/>
    </row>
    <row r="49" spans="1:8" ht="20.100000000000001" customHeight="1" x14ac:dyDescent="0.25">
      <c r="A49" s="5" t="str">
        <f>HYPERLINK("#'Constants - Solid Waste'!A1", "Constants - Solid Waste")</f>
        <v>Constants - Solid Waste</v>
      </c>
      <c r="D49" s="27" t="str" cm="1">
        <f t="array" ref="D49">Fertiliser_SourceData.Fertiliser_FracGASF_Source()</f>
        <v>Table A.2.2.6: Fraction of inorganic fertiliser f that volatilises as NH3 and NOx ((kg NH3-N + NOx-N)/kg N) (FracGASFf)</v>
      </c>
      <c r="G49" s="158"/>
    </row>
    <row r="50" spans="1:8" ht="20.100000000000001" customHeight="1" x14ac:dyDescent="0.25">
      <c r="D50" s="30" t="s">
        <v>272</v>
      </c>
      <c r="E50" s="30" t="s">
        <v>376</v>
      </c>
      <c r="G50" s="158"/>
    </row>
    <row r="51" spans="1:8" ht="20.100000000000001" customHeight="1" x14ac:dyDescent="0.25">
      <c r="D51" s="30" t="str" cm="1">
        <f t="array" ref="D51">Common_InputFunctions.Utility_DisplayArrayInTable(Fertiliser_SourceData.Fertiliser_FracGASF_Data(), Table_SourceData_Fertiliser_FracGASF[[#Headers],[Fertiliser type f]], 0)</f>
        <v>Urea-based fertilisers</v>
      </c>
      <c r="E51" s="30" cm="1">
        <f t="array" ref="E51">Common_InputFunctions.Utility_DisplayArrayInTable(Fertiliser_SourceData.Fertiliser_FracGASF_Data(), Table_SourceData_Fertiliser_FracGASF[[#Headers],[Fertiliser type f]], 0)</f>
        <v>0.15</v>
      </c>
      <c r="G51" s="158"/>
    </row>
    <row r="52" spans="1: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0" cm="1">
        <f t="array" ref="E52">Common_InputFunctions.Utility_DisplayArrayInTable(Fertiliser_SourceData.Fertiliser_FracGASF_Data(), Table_SourceData_Fertiliser_FracGASF[[#Headers],[Fertiliser type f]], 0)</f>
        <v>0.08</v>
      </c>
      <c r="G52" s="158"/>
    </row>
    <row r="53" spans="1: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0" cm="1">
        <f t="array" ref="E53">Common_InputFunctions.Utility_DisplayArrayInTable(Fertiliser_SourceData.Fertiliser_FracGASF_Data(), Table_SourceData_Fertiliser_FracGASF[[#Headers],[Fertiliser type f]], 0)</f>
        <v>0.01</v>
      </c>
      <c r="G53" s="158"/>
    </row>
    <row r="54" spans="1: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0" cm="1">
        <f t="array" ref="E54">Common_InputFunctions.Utility_DisplayArrayInTable(Fertiliser_SourceData.Fertiliser_FracGASF_Data(), Table_SourceData_Fertiliser_FracGASF[[#Headers],[Fertiliser type f]], 0)</f>
        <v>0.05</v>
      </c>
      <c r="G54" s="158"/>
      <c r="H54" s="158"/>
    </row>
    <row r="55" spans="1:8" ht="20.100000000000001" customHeight="1" x14ac:dyDescent="0.25">
      <c r="D55" s="1" t="str" cm="1">
        <f t="array" ref="D55">Common_InputFunctions.Utility_DisplayArrayInTable(Fertiliser_SourceData.Fertiliser_FracGASF_Data(), Table_SourceData_Fertiliser_FracGASF[[#Headers],[Fertiliser type f]], 0)</f>
        <v>Other fertilisers</v>
      </c>
      <c r="E55" s="30" cm="1">
        <f t="array" ref="E55">Common_InputFunctions.Utility_DisplayArrayInTable(Fertiliser_SourceData.Fertiliser_FracGASF_Data(), Table_SourceData_Fertiliser_FracGASF[[#Headers],[Fertiliser type f]], 0)</f>
        <v>0.11</v>
      </c>
      <c r="G55" s="158"/>
      <c r="H55" s="158"/>
    </row>
    <row r="56" spans="1:8" ht="20.100000000000001" customHeight="1" x14ac:dyDescent="0.25"/>
    <row r="57" spans="1:8" ht="20.100000000000001" customHeight="1" x14ac:dyDescent="0.25"/>
    <row r="58" spans="1:8" ht="20.100000000000001" customHeight="1" x14ac:dyDescent="0.25">
      <c r="D58" s="2" t="str" cm="1">
        <f t="array" ref="D58">Fertiliser_SourceData.Fertiliser_EFUreaCO2_Title()</f>
        <v>Emission factor for carbon emissions from urea application</v>
      </c>
    </row>
    <row r="59" spans="1:8" ht="20.100000000000001" customHeight="1" x14ac:dyDescent="0.25">
      <c r="D59" s="27" t="str" cm="1">
        <f t="array" ref="D59">Fertiliser_SourceData.Fertiliser_EFUreaCO2_Source()</f>
        <v>VEERG 2026: 5.1.2.2 Constant Parameters</v>
      </c>
    </row>
    <row r="60" spans="1:8" ht="20.100000000000001" customHeight="1" x14ac:dyDescent="0.25">
      <c r="D60" s="88" t="str" cm="1">
        <f t="array" ref="D60">Fertiliser_SourceData.Fertiliser_EFUreaCO2_Variable()</f>
        <v>EFureaCO2</v>
      </c>
      <c r="E60" s="1" cm="1">
        <f t="array" ref="E60">Fertiliser_SourceData.Fertiliser_EFUreaCO2_Data()</f>
        <v>0.2</v>
      </c>
      <c r="F60" s="15" t="str" cm="1">
        <f t="array" ref="F60">Fertiliser_SourceData.Fertiliser_EFUreaCO2_Unit()</f>
        <v>kg C/kg urea</v>
      </c>
    </row>
    <row r="61" spans="1:8" ht="20.100000000000001" customHeight="1" x14ac:dyDescent="0.25"/>
    <row r="62" spans="1:8" ht="20.100000000000001" customHeight="1" x14ac:dyDescent="0.25"/>
    <row r="63" spans="1:8" ht="20.100000000000001" customHeight="1" x14ac:dyDescent="0.25">
      <c r="D63" s="2" t="str" cm="1">
        <f t="array" ref="D63">Fertiliser_SourceData.Fertiliser_LimeDolomiteGypsumConstants_Title()</f>
        <v>Constants for lime, dolomite and gypsum</v>
      </c>
    </row>
    <row r="64" spans="1:8" ht="20.100000000000001" customHeight="1" x14ac:dyDescent="0.25">
      <c r="D64" s="27" t="str" cm="1">
        <f t="array" ref="D64">Fertiliser_SourceData.Fertiliser_LimeDolomiteGypsumConstants_Source()</f>
        <v>VEERG 2026: 5.3.2.3 Constant Parameters</v>
      </c>
    </row>
    <row r="65" spans="4:6" ht="20.100000000000001" customHeight="1" x14ac:dyDescent="0.25">
      <c r="D65" s="30" t="s">
        <v>320</v>
      </c>
      <c r="E65" s="30" t="s">
        <v>377</v>
      </c>
      <c r="F65" s="30" t="s">
        <v>378</v>
      </c>
    </row>
    <row r="66" spans="4:6" ht="20.100000000000001" customHeight="1" x14ac:dyDescent="0.25">
      <c r="D66" s="30" t="str" cm="1">
        <f t="array" ref="D66">Common_InputFunctions.Utility_DisplayArrayInTable(Fertiliser_SourceData.Fertiliser_LimeDolomiteGypsumConstants_Data(), Table_SourceData_Fertiliser_LimeDolomiteConstants[[#Headers],[Element]], 0)</f>
        <v>Lime (Calcium carbonate)</v>
      </c>
      <c r="E66" s="30" cm="1">
        <f t="array" ref="E66">Common_InputFunctions.Utility_DisplayArrayInTable(Fertiliser_SourceData.Fertiliser_LimeDolomiteGypsumConstants_Data(), Table_SourceData_Fertiliser_LimeDolomiteConstants[[#Headers],[Element]], 0)</f>
        <v>0.9</v>
      </c>
      <c r="F66" s="30"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0" cm="1">
        <f t="array" ref="E67">Common_InputFunctions.Utility_DisplayArrayInTable(Fertiliser_SourceData.Fertiliser_LimeDolomiteGypsumConstants_Data(), Table_SourceData_Fertiliser_LimeDolomiteConstants[[#Headers],[Element]], 0)</f>
        <v>0.95</v>
      </c>
      <c r="F67" s="30"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0" cm="1">
        <f t="array" ref="E68">Common_InputFunctions.Utility_DisplayArrayInTable(Fertiliser_SourceData.Fertiliser_LimeDolomiteGypsumConstants_Data(), Table_SourceData_Fertiliser_LimeDolomiteConstants[[#Headers],[Element]], 0)</f>
        <v>0</v>
      </c>
      <c r="F68" s="30"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2" t="str" cm="1">
        <f t="array" ref="D71">Fertiliser_SourceData.Fertiliser_FracGASMSoil_Title()</f>
        <v>Fraction of organic fertiliser that volatilises as NH3 and NOx</v>
      </c>
    </row>
    <row r="72" spans="4:6" ht="20.100000000000001" customHeight="1" x14ac:dyDescent="0.25">
      <c r="D72" s="27" t="str" cm="1">
        <f t="array" ref="D72">Fertiliser_SourceData.Fertiliser_FracGASMSoil_Source()</f>
        <v>VEERG 2026: 5.4.2.3 Constant Parameters</v>
      </c>
    </row>
    <row r="73" spans="4:6" ht="20.100000000000001" customHeight="1" x14ac:dyDescent="0.25">
      <c r="D73" s="88" t="str" cm="1">
        <f t="array" ref="D73">Fertiliser_SourceData.Fertiliser_FracGASMSoil_Variable()</f>
        <v>FracGASMsoil</v>
      </c>
      <c r="E73" s="1" cm="1">
        <f t="array" ref="E73">Fertiliser_SourceData.Fertiliser_FracGASMSoil_Data()</f>
        <v>0.21</v>
      </c>
      <c r="F73" s="15"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2" t="str" cm="1">
        <f t="array" ref="D76">Fertiliser_SourceData.Fertiliser_FracLEACH_Title()</f>
        <v>Fraction of nitrogen that is lost through leaching and runoff</v>
      </c>
    </row>
    <row r="77" spans="4:6" ht="20.100000000000001" customHeight="1" x14ac:dyDescent="0.25">
      <c r="D77" s="27" t="str" cm="1">
        <f t="array" ref="D77">Fertiliser_SourceData.Fertiliser_FracLEACH_Source()</f>
        <v>VEERG 2026: 5.5.2.3 Constant Parameters</v>
      </c>
    </row>
    <row r="78" spans="4:6" ht="20.100000000000001" customHeight="1" x14ac:dyDescent="0.25">
      <c r="D78" s="88" t="str" cm="1">
        <f t="array" ref="D78">Fertiliser_SourceData.Fertiliser_FracLEACH_Variable()</f>
        <v>FracLEACH</v>
      </c>
      <c r="E78" s="1" cm="1">
        <f t="array" ref="E78">Fertiliser_SourceData.Fertiliser_FracLEACH_Data()</f>
        <v>0.24</v>
      </c>
      <c r="F78" s="15"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2" t="str" cm="1">
        <f t="array" ref="D81">Fertiliser_SourceData.Fertiliser_EFLeach_Title()</f>
        <v>Emission factor for nitrogen leaching and runoff</v>
      </c>
    </row>
    <row r="82" spans="4:31" ht="20.100000000000001" customHeight="1" x14ac:dyDescent="0.25">
      <c r="D82" s="27" t="str" cm="1">
        <f t="array" ref="D82">Fertiliser_SourceData.Fertiliser_EFLeach_Source()</f>
        <v>VEERG 2026: 5.5.2.3 Constant Parameters</v>
      </c>
    </row>
    <row r="83" spans="4:31" ht="20.100000000000001" customHeight="1" x14ac:dyDescent="0.25">
      <c r="D83" s="88" t="str" cm="1">
        <f t="array" ref="D83">Fertiliser_SourceData.Fertiliser_EFLeach_Variable()</f>
        <v>EFLeach</v>
      </c>
      <c r="E83" s="1" cm="1">
        <f t="array" ref="E83">Fertiliser_SourceData.Fertiliser_EFLeach_Data()</f>
        <v>1.0999999999999999E-2</v>
      </c>
      <c r="F83" s="15"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379</v>
      </c>
    </row>
    <row r="87" spans="4:31" ht="20.100000000000001" customHeight="1" x14ac:dyDescent="0.25">
      <c r="D87" s="2" t="s">
        <v>380</v>
      </c>
      <c r="E87" s="158"/>
      <c r="F87" s="158"/>
      <c r="G87" s="158"/>
      <c r="H87" s="158"/>
      <c r="I87" s="158"/>
      <c r="J87" s="158"/>
      <c r="K87" s="158"/>
      <c r="L87" s="158"/>
      <c r="N87" s="158" t="s">
        <v>379</v>
      </c>
      <c r="O87" s="158"/>
      <c r="P87" s="158"/>
      <c r="Q87" s="158"/>
      <c r="R87" s="158"/>
      <c r="S87" s="158"/>
      <c r="T87" s="158"/>
      <c r="U87" s="158"/>
    </row>
    <row r="88" spans="4:31" ht="20.100000000000001" customHeight="1" x14ac:dyDescent="0.25">
      <c r="D88" s="158"/>
    </row>
    <row r="89" spans="4:31" ht="20.100000000000001" customHeight="1" x14ac:dyDescent="0.25">
      <c r="D89" s="173" t="s">
        <v>381</v>
      </c>
      <c r="E89" s="30" t="s">
        <v>193</v>
      </c>
      <c r="F89" s="30" t="s">
        <v>382</v>
      </c>
      <c r="G89" s="101" t="s">
        <v>383</v>
      </c>
      <c r="H89" s="101" t="s">
        <v>121</v>
      </c>
      <c r="I89" s="101" t="s">
        <v>384</v>
      </c>
      <c r="J89" s="101" t="s">
        <v>224</v>
      </c>
      <c r="K89" s="101" t="s">
        <v>225</v>
      </c>
      <c r="L89" s="101" t="s">
        <v>211</v>
      </c>
      <c r="M89" s="101" t="s">
        <v>212</v>
      </c>
      <c r="N89" s="101" t="s">
        <v>213</v>
      </c>
      <c r="O89" s="30" t="s">
        <v>214</v>
      </c>
      <c r="P89" s="30" t="s">
        <v>215</v>
      </c>
      <c r="Q89" s="30" t="s">
        <v>216</v>
      </c>
      <c r="R89" s="101" t="s">
        <v>217</v>
      </c>
      <c r="S89" s="101" t="s">
        <v>218</v>
      </c>
      <c r="T89" s="30" t="s">
        <v>219</v>
      </c>
      <c r="U89" s="101" t="s">
        <v>220</v>
      </c>
      <c r="V89" s="101" t="s">
        <v>221</v>
      </c>
      <c r="W89" s="101" t="s">
        <v>222</v>
      </c>
      <c r="X89" s="101" t="s">
        <v>385</v>
      </c>
      <c r="Y89" s="101" t="s">
        <v>386</v>
      </c>
      <c r="Z89" s="30" t="s">
        <v>387</v>
      </c>
      <c r="AA89" s="30" t="s">
        <v>388</v>
      </c>
      <c r="AB89" s="30" t="s">
        <v>389</v>
      </c>
      <c r="AC89" s="30" t="s">
        <v>390</v>
      </c>
      <c r="AD89" s="30" t="s">
        <v>391</v>
      </c>
      <c r="AE89" s="30" t="s">
        <v>392</v>
      </c>
    </row>
    <row r="90" spans="4:31" ht="20.100000000000001" customHeight="1" x14ac:dyDescent="0.25">
      <c r="D90" s="171" t="str" cm="1">
        <f t="array" ref="D90">Common_InputFunctions.Utility_DisplayArrayInTable(Fertiliser_SourceData.Fertiliser_Products_Data1(),FertiliserProducts[[#Headers],[Include or Exclude]], -1)</f>
        <v>Include</v>
      </c>
      <c r="E90" s="171" t="str" cm="1">
        <f t="array" ref="E90">Common_InputFunctions.Utility_DisplayArrayInTable(Fertiliser_SourceData.Fertiliser_Products_Data1(),FertiliserProducts[[#Headers],[Include or Exclude]], 0)</f>
        <v/>
      </c>
      <c r="F90" s="171" t="str" cm="1">
        <f t="array" ref="F90">Common_InputFunctions.Utility_DisplayArrayInTable(Fertiliser_SourceData.Fertiliser_Products_Data1(),FertiliserProducts[[#Headers],[Include or Exclude]], 0)</f>
        <v>Campbells fertilisers Australia</v>
      </c>
      <c r="G90" s="171" t="str" cm="1">
        <f t="array" ref="G90">Common_InputFunctions.Utility_DisplayArrayInTable(Fertiliser_SourceData.Fertiliser_Products_Data1(),FertiliserProducts[[#Headers],[Include or Exclude]], 0)</f>
        <v>Aqua Finish</v>
      </c>
      <c r="H90" s="171" t="str" cm="1">
        <f t="array" ref="H90">Common_InputFunctions.Utility_DisplayArrayInTable(Fertiliser_SourceData.Fertiliser_Products_Data1(),FertiliserProducts[[#Headers],[Include or Exclude]], 0,4)</f>
        <v>L</v>
      </c>
      <c r="I90" s="171" cm="1">
        <f t="array" ref="I90">Common_InputFunctions.Utility_DisplayArrayInTable(Fertiliser_SourceData.Fertiliser_Products_Data1(),FertiliserProducts[[#Headers],[Include or Exclude]], 0,4)</f>
        <v>1.26</v>
      </c>
      <c r="J90" s="171" t="str" cm="1">
        <f t="array" ref="J90">Common_InputFunctions.Utility_DisplayArrayInTable(Fertiliser_SourceData.Fertiliser_Products_Data1(),FertiliserProducts[[#Headers],[Include or Exclude]], 0,4)</f>
        <v/>
      </c>
      <c r="K90" s="171" t="str" cm="1">
        <f t="array" ref="K90">Common_InputFunctions.Utility_DisplayArrayInTable(Fertiliser_SourceData.Fertiliser_Products_Data1(),FertiliserProducts[[#Headers],[Include or Exclude]], 0,4)</f>
        <v/>
      </c>
      <c r="L90" s="171" t="str" cm="1">
        <f t="array" ref="L90">Common_InputFunctions.Utility_DisplayArrayInTable(Fertiliser_SourceData.Fertiliser_Products_Data1(),FertiliserProducts[[#Headers],[Include or Exclude]], 0,4)</f>
        <v>Potassium - Generic</v>
      </c>
      <c r="M90" s="171" cm="1">
        <f t="array" ref="M90">Common_InputFunctions.Utility_DisplayArrayInTable(Fertiliser_SourceData.Fertiliser_Products_Data1(),FertiliserProducts[[#Headers],[Include or Exclude]], 0,4)</f>
        <v>0.22500000000000001</v>
      </c>
      <c r="N90" s="171" t="str" cm="1">
        <f t="array" ref="N90">Common_InputFunctions.Utility_DisplayArrayInTable(Fertiliser_SourceData.Fertiliser_Products_Data1(),FertiliserProducts[[#Headers],[Include or Exclude]], 0,4)</f>
        <v>Phosphorus - Generic</v>
      </c>
      <c r="O90" s="171" cm="1">
        <f t="array" ref="O90">Common_InputFunctions.Utility_DisplayArrayInTable(Fertiliser_SourceData.Fertiliser_Products_Data1(),FertiliserProducts[[#Headers],[Include or Exclude]], 0,4)</f>
        <v>0.04</v>
      </c>
      <c r="P90" s="171" t="str" cm="1">
        <f t="array" ref="P90">Common_InputFunctions.Utility_DisplayArrayInTable(Fertiliser_SourceData.Fertiliser_Products_Data1(),FertiliserProducts[[#Headers],[Include or Exclude]], 0,4)</f>
        <v>Nitrogen - Generic</v>
      </c>
      <c r="Q90" s="171" cm="1">
        <f t="array" ref="Q90">Common_InputFunctions.Utility_DisplayArrayInTable(Fertiliser_SourceData.Fertiliser_Products_Data1(),FertiliserProducts[[#Headers],[Include or Exclude]], 0,4)</f>
        <v>2.5999999999999999E-2</v>
      </c>
      <c r="R90" s="171" t="str" cm="1">
        <f t="array" ref="R90">Common_InputFunctions.Utility_DisplayArrayInTable(Fertiliser_SourceData.Fertiliser_Products_Data1(),FertiliserProducts[[#Headers],[Include or Exclude]], 0,4)</f>
        <v/>
      </c>
      <c r="S90" s="171" t="str" cm="1">
        <f t="array" ref="S90">Common_InputFunctions.Utility_DisplayArrayInTable(Fertiliser_SourceData.Fertiliser_Products_Data1(),FertiliserProducts[[#Headers],[Include or Exclude]], 0,4)</f>
        <v/>
      </c>
      <c r="T90" s="171" t="str" cm="1">
        <f t="array" ref="T90">Common_InputFunctions.Utility_DisplayArrayInTable(Fertiliser_SourceData.Fertiliser_Products_Data1(),FertiliserProducts[[#Headers],[Include or Exclude]], 0,4)</f>
        <v/>
      </c>
      <c r="U90" s="171" t="str" cm="1">
        <f t="array" ref="U90">Common_InputFunctions.Utility_DisplayArrayInTable(Fertiliser_SourceData.Fertiliser_Products_Data1(),FertiliserProducts[[#Headers],[Include or Exclude]], 0,4)</f>
        <v/>
      </c>
      <c r="V90" s="171" t="str" cm="1">
        <f t="array" ref="V90">Common_InputFunctions.Utility_DisplayArrayInTable(Fertiliser_SourceData.Fertiliser_Products_Data1(),FertiliserProducts[[#Headers],[Include or Exclude]], 0,4)</f>
        <v/>
      </c>
      <c r="W90" s="171" t="str" cm="1">
        <f t="array" ref="W90">Common_InputFunctions.Utility_DisplayArrayInTable(Fertiliser_SourceData.Fertiliser_Products_Data1(),FertiliserProducts[[#Headers],[Include or Exclude]], 0,4)</f>
        <v/>
      </c>
      <c r="X90" s="171" t="str" cm="1">
        <f t="array" ref="X90">Common_InputFunctions.Utility_DisplayArrayInTable(Fertiliser_SourceData.Fertiliser_Products_Data1(),FertiliserProducts[[#Headers],[Include or Exclude]], 0,4)</f>
        <v/>
      </c>
      <c r="Y90" s="171" t="str" cm="1">
        <f t="array" ref="Y90">Common_InputFunctions.Utility_DisplayArrayInTable(Fertiliser_SourceData.Fertiliser_Products_Data1(),FertiliserProducts[[#Headers],[Include or Exclude]], 0,4)</f>
        <v/>
      </c>
      <c r="Z90" s="171" t="str" cm="1">
        <f t="array" ref="Z90">Common_InputFunctions.Utility_DisplayArrayInTable(Fertiliser_SourceData.Fertiliser_Products_Data1(),FertiliserProducts[[#Headers],[Include or Exclude]], 0,4)</f>
        <v/>
      </c>
      <c r="AA90" s="171" t="str" cm="1">
        <f t="array" ref="AA90">Common_InputFunctions.Utility_DisplayArrayInTable(Fertiliser_SourceData.Fertiliser_Products_Data1(),FertiliserProducts[[#Headers],[Include or Exclude]], 0,4)</f>
        <v/>
      </c>
      <c r="AB90" s="171" t="str" cm="1">
        <f t="array" ref="AB90">Common_InputFunctions.Utility_DisplayArrayInTable(Fertiliser_SourceData.Fertiliser_Products_Data1(),FertiliserProducts[[#Headers],[Include or Exclude]], 0,4)</f>
        <v/>
      </c>
      <c r="AC90" s="171" t="str" cm="1">
        <f t="array" ref="AC90">Common_InputFunctions.Utility_DisplayArrayInTable(Fertiliser_SourceData.Fertiliser_Products_Data1(),FertiliserProducts[[#Headers],[Include or Exclude]], 0,4)</f>
        <v/>
      </c>
      <c r="AD90" s="171" t="str" cm="1">
        <f t="array" ref="AD90">Common_InputFunctions.Utility_DisplayArrayInTable(Fertiliser_SourceData.Fertiliser_Products_Data1(),FertiliserProducts[[#Headers],[Include or Exclude]], 0,4)</f>
        <v/>
      </c>
      <c r="AE90" s="171" t="str" cm="1">
        <f t="array" ref="AE90">Common_InputFunctions.Utility_DisplayArrayInTable(Fertiliser_SourceData.Fertiliser_Products_Data1(),FertiliserProducts[[#Headers],[Include or Exclude]], 0,4)</f>
        <v/>
      </c>
    </row>
    <row r="91" spans="4:31" ht="20.100000000000001" customHeight="1" x14ac:dyDescent="0.25">
      <c r="D91" s="171" t="str" cm="1">
        <f t="array" ref="D91">Common_InputFunctions.Utility_DisplayArrayInTable(Fertiliser_SourceData.Fertiliser_Products_Data1(),FertiliserProducts[[#Headers],[Include or Exclude]], -1)</f>
        <v>Include</v>
      </c>
      <c r="E91" s="171" t="str" cm="1">
        <f t="array" ref="E91">Common_InputFunctions.Utility_DisplayArrayInTable(Fertiliser_SourceData.Fertiliser_Products_Data1(),FertiliserProducts[[#Headers],[Include or Exclude]], 0)</f>
        <v/>
      </c>
      <c r="F91" s="171" t="str" cm="1">
        <f t="array" ref="F91">Common_InputFunctions.Utility_DisplayArrayInTable(Fertiliser_SourceData.Fertiliser_Products_Data1(),FertiliserProducts[[#Headers],[Include or Exclude]], 0)</f>
        <v>Campbells fertilisers Australia</v>
      </c>
      <c r="G91" s="171" t="str" cm="1">
        <f t="array" ref="G91">Common_InputFunctions.Utility_DisplayArrayInTable(Fertiliser_SourceData.Fertiliser_Products_Data1(),FertiliserProducts[[#Headers],[Include or Exclude]], 0)</f>
        <v>Aqua Grow</v>
      </c>
      <c r="H91" s="171" t="str" cm="1">
        <f t="array" ref="H91">Common_InputFunctions.Utility_DisplayArrayInTable(Fertiliser_SourceData.Fertiliser_Products_Data1(),FertiliserProducts[[#Headers],[Include or Exclude]], 0,4)</f>
        <v>L</v>
      </c>
      <c r="I91" s="171" cm="1">
        <f t="array" ref="I91">Common_InputFunctions.Utility_DisplayArrayInTable(Fertiliser_SourceData.Fertiliser_Products_Data1(),FertiliserProducts[[#Headers],[Include or Exclude]], 0,4)</f>
        <v>1.26</v>
      </c>
      <c r="J91" s="171" t="str" cm="1">
        <f t="array" ref="J91">Common_InputFunctions.Utility_DisplayArrayInTable(Fertiliser_SourceData.Fertiliser_Products_Data1(),FertiliserProducts[[#Headers],[Include or Exclude]], 0,4)</f>
        <v/>
      </c>
      <c r="K91" s="171" t="str" cm="1">
        <f t="array" ref="K91">Common_InputFunctions.Utility_DisplayArrayInTable(Fertiliser_SourceData.Fertiliser_Products_Data1(),FertiliserProducts[[#Headers],[Include or Exclude]], 0,4)</f>
        <v/>
      </c>
      <c r="L91" s="171" t="str" cm="1">
        <f t="array" ref="L91">Common_InputFunctions.Utility_DisplayArrayInTable(Fertiliser_SourceData.Fertiliser_Products_Data1(),FertiliserProducts[[#Headers],[Include or Exclude]], 0,4)</f>
        <v>Potassium - Generic</v>
      </c>
      <c r="M91" s="171" cm="1">
        <f t="array" ref="M91">Common_InputFunctions.Utility_DisplayArrayInTable(Fertiliser_SourceData.Fertiliser_Products_Data1(),FertiliserProducts[[#Headers],[Include or Exclude]], 0,4)</f>
        <v>0.105</v>
      </c>
      <c r="N91" s="171" t="str" cm="1">
        <f t="array" ref="N91">Common_InputFunctions.Utility_DisplayArrayInTable(Fertiliser_SourceData.Fertiliser_Products_Data1(),FertiliserProducts[[#Headers],[Include or Exclude]], 0,4)</f>
        <v>Nitrogen - Generic</v>
      </c>
      <c r="O91" s="171" cm="1">
        <f t="array" ref="O91">Common_InputFunctions.Utility_DisplayArrayInTable(Fertiliser_SourceData.Fertiliser_Products_Data1(),FertiliserProducts[[#Headers],[Include or Exclude]], 0,4)</f>
        <v>9.6000000000000002E-2</v>
      </c>
      <c r="P91" s="171" t="str" cm="1">
        <f t="array" ref="P91">Common_InputFunctions.Utility_DisplayArrayInTable(Fertiliser_SourceData.Fertiliser_Products_Data1(),FertiliserProducts[[#Headers],[Include or Exclude]], 0,4)</f>
        <v>Phosphorus - Generic</v>
      </c>
      <c r="Q91" s="171" cm="1">
        <f t="array" ref="Q91">Common_InputFunctions.Utility_DisplayArrayInTable(Fertiliser_SourceData.Fertiliser_Products_Data1(),FertiliserProducts[[#Headers],[Include or Exclude]], 0,4)</f>
        <v>0.05</v>
      </c>
      <c r="R91" s="171" t="str" cm="1">
        <f t="array" ref="R91">Common_InputFunctions.Utility_DisplayArrayInTable(Fertiliser_SourceData.Fertiliser_Products_Data1(),FertiliserProducts[[#Headers],[Include or Exclude]], 0,4)</f>
        <v/>
      </c>
      <c r="S91" s="171" t="str" cm="1">
        <f t="array" ref="S91">Common_InputFunctions.Utility_DisplayArrayInTable(Fertiliser_SourceData.Fertiliser_Products_Data1(),FertiliserProducts[[#Headers],[Include or Exclude]], 0,4)</f>
        <v/>
      </c>
      <c r="T91" s="171" t="str" cm="1">
        <f t="array" ref="T91">Common_InputFunctions.Utility_DisplayArrayInTable(Fertiliser_SourceData.Fertiliser_Products_Data1(),FertiliserProducts[[#Headers],[Include or Exclude]], 0,4)</f>
        <v/>
      </c>
      <c r="U91" s="171" t="str" cm="1">
        <f t="array" ref="U91">Common_InputFunctions.Utility_DisplayArrayInTable(Fertiliser_SourceData.Fertiliser_Products_Data1(),FertiliserProducts[[#Headers],[Include or Exclude]], 0,4)</f>
        <v/>
      </c>
      <c r="V91" s="171" t="str" cm="1">
        <f t="array" ref="V91">Common_InputFunctions.Utility_DisplayArrayInTable(Fertiliser_SourceData.Fertiliser_Products_Data1(),FertiliserProducts[[#Headers],[Include or Exclude]], 0,4)</f>
        <v/>
      </c>
      <c r="W91" s="171" t="str" cm="1">
        <f t="array" ref="W91">Common_InputFunctions.Utility_DisplayArrayInTable(Fertiliser_SourceData.Fertiliser_Products_Data1(),FertiliserProducts[[#Headers],[Include or Exclude]], 0,4)</f>
        <v/>
      </c>
      <c r="X91" s="171" t="str" cm="1">
        <f t="array" ref="X91">Common_InputFunctions.Utility_DisplayArrayInTable(Fertiliser_SourceData.Fertiliser_Products_Data1(),FertiliserProducts[[#Headers],[Include or Exclude]], 0,4)</f>
        <v/>
      </c>
      <c r="Y91" s="171" t="str" cm="1">
        <f t="array" ref="Y91">Common_InputFunctions.Utility_DisplayArrayInTable(Fertiliser_SourceData.Fertiliser_Products_Data1(),FertiliserProducts[[#Headers],[Include or Exclude]], 0,4)</f>
        <v/>
      </c>
      <c r="Z91" s="171" t="str" cm="1">
        <f t="array" ref="Z91">Common_InputFunctions.Utility_DisplayArrayInTable(Fertiliser_SourceData.Fertiliser_Products_Data1(),FertiliserProducts[[#Headers],[Include or Exclude]], 0,4)</f>
        <v/>
      </c>
      <c r="AA91" s="171" t="str" cm="1">
        <f t="array" ref="AA91">Common_InputFunctions.Utility_DisplayArrayInTable(Fertiliser_SourceData.Fertiliser_Products_Data1(),FertiliserProducts[[#Headers],[Include or Exclude]], 0,4)</f>
        <v/>
      </c>
      <c r="AB91" s="171" t="str" cm="1">
        <f t="array" ref="AB91">Common_InputFunctions.Utility_DisplayArrayInTable(Fertiliser_SourceData.Fertiliser_Products_Data1(),FertiliserProducts[[#Headers],[Include or Exclude]], 0,4)</f>
        <v/>
      </c>
      <c r="AC91" s="171" t="str" cm="1">
        <f t="array" ref="AC91">Common_InputFunctions.Utility_DisplayArrayInTable(Fertiliser_SourceData.Fertiliser_Products_Data1(),FertiliserProducts[[#Headers],[Include or Exclude]], 0,4)</f>
        <v/>
      </c>
      <c r="AD91" s="171" t="str" cm="1">
        <f t="array" ref="AD91">Common_InputFunctions.Utility_DisplayArrayInTable(Fertiliser_SourceData.Fertiliser_Products_Data1(),FertiliserProducts[[#Headers],[Include or Exclude]], 0,4)</f>
        <v/>
      </c>
      <c r="AE91" s="171" t="str" cm="1">
        <f t="array" ref="AE91">Common_InputFunctions.Utility_DisplayArrayInTable(Fertiliser_SourceData.Fertiliser_Products_Data1(),FertiliserProducts[[#Headers],[Include or Exclude]], 0,4)</f>
        <v/>
      </c>
    </row>
    <row r="92" spans="4:31" ht="20.100000000000001" customHeight="1" x14ac:dyDescent="0.25">
      <c r="D92" s="171" t="str" cm="1">
        <f t="array" ref="D92">Common_InputFunctions.Utility_DisplayArrayInTable(Fertiliser_SourceData.Fertiliser_Products_Data1(),FertiliserProducts[[#Headers],[Include or Exclude]], -1)</f>
        <v>Include</v>
      </c>
      <c r="E92" s="171" t="str" cm="1">
        <f t="array" ref="E92">Common_InputFunctions.Utility_DisplayArrayInTable(Fertiliser_SourceData.Fertiliser_Products_Data1(),FertiliserProducts[[#Headers],[Include or Exclude]], 0)</f>
        <v/>
      </c>
      <c r="F92" s="171" t="str" cm="1">
        <f t="array" ref="F92">Common_InputFunctions.Utility_DisplayArrayInTable(Fertiliser_SourceData.Fertiliser_Products_Data1(),FertiliserProducts[[#Headers],[Include or Exclude]], 0)</f>
        <v>Campbells fertilisers Australia</v>
      </c>
      <c r="G92" s="171" t="str" cm="1">
        <f t="array" ref="G92">Common_InputFunctions.Utility_DisplayArrayInTable(Fertiliser_SourceData.Fertiliser_Products_Data1(),FertiliserProducts[[#Headers],[Include or Exclude]], 0)</f>
        <v>Aqua Nitro AN</v>
      </c>
      <c r="H92" s="171" t="str" cm="1">
        <f t="array" ref="H92">Common_InputFunctions.Utility_DisplayArrayInTable(Fertiliser_SourceData.Fertiliser_Products_Data1(),FertiliserProducts[[#Headers],[Include or Exclude]], 0,4)</f>
        <v>L</v>
      </c>
      <c r="I92" s="171" cm="1">
        <f t="array" ref="I92">Common_InputFunctions.Utility_DisplayArrayInTable(Fertiliser_SourceData.Fertiliser_Products_Data1(),FertiliserProducts[[#Headers],[Include or Exclude]], 0,4)</f>
        <v>1.24</v>
      </c>
      <c r="J92" s="171" t="str" cm="1">
        <f t="array" ref="J92">Common_InputFunctions.Utility_DisplayArrayInTable(Fertiliser_SourceData.Fertiliser_Products_Data1(),FertiliserProducts[[#Headers],[Include or Exclude]], 0,4)</f>
        <v/>
      </c>
      <c r="K92" s="171" t="str" cm="1">
        <f t="array" ref="K92">Common_InputFunctions.Utility_DisplayArrayInTable(Fertiliser_SourceData.Fertiliser_Products_Data1(),FertiliserProducts[[#Headers],[Include or Exclude]], 0,4)</f>
        <v/>
      </c>
      <c r="L92" s="171" t="str" cm="1">
        <f t="array" ref="L92">Common_InputFunctions.Utility_DisplayArrayInTable(Fertiliser_SourceData.Fertiliser_Products_Data1(),FertiliserProducts[[#Headers],[Include or Exclude]], 0,4)</f>
        <v>Nitrogen - Ammoniacal</v>
      </c>
      <c r="M92" s="171" cm="1">
        <f t="array" ref="M92">Common_InputFunctions.Utility_DisplayArrayInTable(Fertiliser_SourceData.Fertiliser_Products_Data1(),FertiliserProducts[[#Headers],[Include or Exclude]], 0,4)</f>
        <v>0.223</v>
      </c>
      <c r="N92" s="171" t="str" cm="1">
        <f t="array" ref="N92">Common_InputFunctions.Utility_DisplayArrayInTable(Fertiliser_SourceData.Fertiliser_Products_Data1(),FertiliserProducts[[#Headers],[Include or Exclude]], 0,4)</f>
        <v/>
      </c>
      <c r="O92" s="171" t="str" cm="1">
        <f t="array" ref="O92">Common_InputFunctions.Utility_DisplayArrayInTable(Fertiliser_SourceData.Fertiliser_Products_Data1(),FertiliserProducts[[#Headers],[Include or Exclude]], 0,4)</f>
        <v/>
      </c>
      <c r="P92" s="171" t="str" cm="1">
        <f t="array" ref="P92">Common_InputFunctions.Utility_DisplayArrayInTable(Fertiliser_SourceData.Fertiliser_Products_Data1(),FertiliserProducts[[#Headers],[Include or Exclude]], 0,4)</f>
        <v/>
      </c>
      <c r="Q92" s="171" t="str" cm="1">
        <f t="array" ref="Q92">Common_InputFunctions.Utility_DisplayArrayInTable(Fertiliser_SourceData.Fertiliser_Products_Data1(),FertiliserProducts[[#Headers],[Include or Exclude]], 0,4)</f>
        <v/>
      </c>
      <c r="R92" s="171" t="str" cm="1">
        <f t="array" ref="R92">Common_InputFunctions.Utility_DisplayArrayInTable(Fertiliser_SourceData.Fertiliser_Products_Data1(),FertiliserProducts[[#Headers],[Include or Exclude]], 0,4)</f>
        <v/>
      </c>
      <c r="S92" s="171" t="str" cm="1">
        <f t="array" ref="S92">Common_InputFunctions.Utility_DisplayArrayInTable(Fertiliser_SourceData.Fertiliser_Products_Data1(),FertiliserProducts[[#Headers],[Include or Exclude]], 0,4)</f>
        <v/>
      </c>
      <c r="T92" s="171" t="str" cm="1">
        <f t="array" ref="T92">Common_InputFunctions.Utility_DisplayArrayInTable(Fertiliser_SourceData.Fertiliser_Products_Data1(),FertiliserProducts[[#Headers],[Include or Exclude]], 0,4)</f>
        <v/>
      </c>
      <c r="U92" s="171" t="str" cm="1">
        <f t="array" ref="U92">Common_InputFunctions.Utility_DisplayArrayInTable(Fertiliser_SourceData.Fertiliser_Products_Data1(),FertiliserProducts[[#Headers],[Include or Exclude]], 0,4)</f>
        <v/>
      </c>
      <c r="V92" s="171" t="str" cm="1">
        <f t="array" ref="V92">Common_InputFunctions.Utility_DisplayArrayInTable(Fertiliser_SourceData.Fertiliser_Products_Data1(),FertiliserProducts[[#Headers],[Include or Exclude]], 0,4)</f>
        <v/>
      </c>
      <c r="W92" s="171" t="str" cm="1">
        <f t="array" ref="W92">Common_InputFunctions.Utility_DisplayArrayInTable(Fertiliser_SourceData.Fertiliser_Products_Data1(),FertiliserProducts[[#Headers],[Include or Exclude]], 0,4)</f>
        <v/>
      </c>
      <c r="X92" s="171" t="str" cm="1">
        <f t="array" ref="X92">Common_InputFunctions.Utility_DisplayArrayInTable(Fertiliser_SourceData.Fertiliser_Products_Data1(),FertiliserProducts[[#Headers],[Include or Exclude]], 0,4)</f>
        <v/>
      </c>
      <c r="Y92" s="171" t="str" cm="1">
        <f t="array" ref="Y92">Common_InputFunctions.Utility_DisplayArrayInTable(Fertiliser_SourceData.Fertiliser_Products_Data1(),FertiliserProducts[[#Headers],[Include or Exclude]], 0,4)</f>
        <v/>
      </c>
      <c r="Z92" s="171" t="str" cm="1">
        <f t="array" ref="Z92">Common_InputFunctions.Utility_DisplayArrayInTable(Fertiliser_SourceData.Fertiliser_Products_Data1(),FertiliserProducts[[#Headers],[Include or Exclude]], 0,4)</f>
        <v/>
      </c>
      <c r="AA92" s="171" t="str" cm="1">
        <f t="array" ref="AA92">Common_InputFunctions.Utility_DisplayArrayInTable(Fertiliser_SourceData.Fertiliser_Products_Data1(),FertiliserProducts[[#Headers],[Include or Exclude]], 0,4)</f>
        <v/>
      </c>
      <c r="AB92" s="171" t="str" cm="1">
        <f t="array" ref="AB92">Common_InputFunctions.Utility_DisplayArrayInTable(Fertiliser_SourceData.Fertiliser_Products_Data1(),FertiliserProducts[[#Headers],[Include or Exclude]], 0,4)</f>
        <v/>
      </c>
      <c r="AC92" s="171" t="str" cm="1">
        <f t="array" ref="AC92">Common_InputFunctions.Utility_DisplayArrayInTable(Fertiliser_SourceData.Fertiliser_Products_Data1(),FertiliserProducts[[#Headers],[Include or Exclude]], 0,4)</f>
        <v/>
      </c>
      <c r="AD92" s="171" t="str" cm="1">
        <f t="array" ref="AD92">Common_InputFunctions.Utility_DisplayArrayInTable(Fertiliser_SourceData.Fertiliser_Products_Data1(),FertiliserProducts[[#Headers],[Include or Exclude]], 0,4)</f>
        <v/>
      </c>
      <c r="AE92" s="171" t="str" cm="1">
        <f t="array" ref="AE92">Common_InputFunctions.Utility_DisplayArrayInTable(Fertiliser_SourceData.Fertiliser_Products_Data1(),FertiliserProducts[[#Headers],[Include or Exclude]], 0,4)</f>
        <v/>
      </c>
    </row>
    <row r="93" spans="4:31" ht="20.100000000000001" customHeight="1" x14ac:dyDescent="0.25">
      <c r="D93" s="171" t="str" cm="1">
        <f t="array" ref="D93">Common_InputFunctions.Utility_DisplayArrayInTable(Fertiliser_SourceData.Fertiliser_Products_Data1(),FertiliserProducts[[#Headers],[Include or Exclude]], -1)</f>
        <v>Include</v>
      </c>
      <c r="E93" s="171" t="str" cm="1">
        <f t="array" ref="E93">Common_InputFunctions.Utility_DisplayArrayInTable(Fertiliser_SourceData.Fertiliser_Products_Data1(),FertiliserProducts[[#Headers],[Include or Exclude]], 0)</f>
        <v>Use Lime EF for calcium</v>
      </c>
      <c r="F93" s="171" t="str" cm="1">
        <f t="array" ref="F93">Common_InputFunctions.Utility_DisplayArrayInTable(Fertiliser_SourceData.Fertiliser_Products_Data1(),FertiliserProducts[[#Headers],[Include or Exclude]], 0)</f>
        <v>Campbells fertilisers Australia</v>
      </c>
      <c r="G93" s="171" t="str" cm="1">
        <f t="array" ref="G93">Common_InputFunctions.Utility_DisplayArrayInTable(Fertiliser_SourceData.Fertiliser_Products_Data1(),FertiliserProducts[[#Headers],[Include or Exclude]], 0)</f>
        <v>Aqua NitroCal</v>
      </c>
      <c r="H93" s="171" t="str" cm="1">
        <f t="array" ref="H93">Common_InputFunctions.Utility_DisplayArrayInTable(Fertiliser_SourceData.Fertiliser_Products_Data1(),FertiliserProducts[[#Headers],[Include or Exclude]], 0,4)</f>
        <v>L</v>
      </c>
      <c r="I93" s="171" cm="1">
        <f t="array" ref="I93">Common_InputFunctions.Utility_DisplayArrayInTable(Fertiliser_SourceData.Fertiliser_Products_Data1(),FertiliserProducts[[#Headers],[Include or Exclude]], 0,4)</f>
        <v>1.5</v>
      </c>
      <c r="J93" s="171" t="str" cm="1">
        <f t="array" ref="J93">Common_InputFunctions.Utility_DisplayArrayInTable(Fertiliser_SourceData.Fertiliser_Products_Data1(),FertiliserProducts[[#Headers],[Include or Exclude]], 0,4)</f>
        <v/>
      </c>
      <c r="K93" s="171" t="str" cm="1">
        <f t="array" ref="K93">Common_InputFunctions.Utility_DisplayArrayInTable(Fertiliser_SourceData.Fertiliser_Products_Data1(),FertiliserProducts[[#Headers],[Include or Exclude]], 0,4)</f>
        <v/>
      </c>
      <c r="L93" s="171" t="str" cm="1">
        <f t="array" ref="L93">Common_InputFunctions.Utility_DisplayArrayInTable(Fertiliser_SourceData.Fertiliser_Products_Data1(),FertiliserProducts[[#Headers],[Include or Exclude]], 0,4)</f>
        <v>Calcium - Generic</v>
      </c>
      <c r="M93" s="171" cm="1">
        <f t="array" ref="M93">Common_InputFunctions.Utility_DisplayArrayInTable(Fertiliser_SourceData.Fertiliser_Products_Data1(),FertiliserProducts[[#Headers],[Include or Exclude]], 0,4)</f>
        <v>0.16200000000000001</v>
      </c>
      <c r="N93" s="171" t="str" cm="1">
        <f t="array" ref="N93">Common_InputFunctions.Utility_DisplayArrayInTable(Fertiliser_SourceData.Fertiliser_Products_Data1(),FertiliserProducts[[#Headers],[Include or Exclude]], 0,4)</f>
        <v>Nitrogen - Nitrate</v>
      </c>
      <c r="O93" s="171" cm="1">
        <f t="array" ref="O93">Common_InputFunctions.Utility_DisplayArrayInTable(Fertiliser_SourceData.Fertiliser_Products_Data1(),FertiliserProducts[[#Headers],[Include or Exclude]], 0,4)</f>
        <v>0.13200000000000001</v>
      </c>
      <c r="P93" s="171" t="str" cm="1">
        <f t="array" ref="P93">Common_InputFunctions.Utility_DisplayArrayInTable(Fertiliser_SourceData.Fertiliser_Products_Data1(),FertiliserProducts[[#Headers],[Include or Exclude]], 0,4)</f>
        <v/>
      </c>
      <c r="Q93" s="171" t="str" cm="1">
        <f t="array" ref="Q93">Common_InputFunctions.Utility_DisplayArrayInTable(Fertiliser_SourceData.Fertiliser_Products_Data1(),FertiliserProducts[[#Headers],[Include or Exclude]], 0,4)</f>
        <v/>
      </c>
      <c r="R93" s="171" t="str" cm="1">
        <f t="array" ref="R93">Common_InputFunctions.Utility_DisplayArrayInTable(Fertiliser_SourceData.Fertiliser_Products_Data1(),FertiliserProducts[[#Headers],[Include or Exclude]], 0,4)</f>
        <v/>
      </c>
      <c r="S93" s="171" t="str" cm="1">
        <f t="array" ref="S93">Common_InputFunctions.Utility_DisplayArrayInTable(Fertiliser_SourceData.Fertiliser_Products_Data1(),FertiliserProducts[[#Headers],[Include or Exclude]], 0,4)</f>
        <v/>
      </c>
      <c r="T93" s="171" t="str" cm="1">
        <f t="array" ref="T93">Common_InputFunctions.Utility_DisplayArrayInTable(Fertiliser_SourceData.Fertiliser_Products_Data1(),FertiliserProducts[[#Headers],[Include or Exclude]], 0,4)</f>
        <v/>
      </c>
      <c r="U93" s="171" t="str" cm="1">
        <f t="array" ref="U93">Common_InputFunctions.Utility_DisplayArrayInTable(Fertiliser_SourceData.Fertiliser_Products_Data1(),FertiliserProducts[[#Headers],[Include or Exclude]], 0,4)</f>
        <v/>
      </c>
      <c r="V93" s="171" t="str" cm="1">
        <f t="array" ref="V93">Common_InputFunctions.Utility_DisplayArrayInTable(Fertiliser_SourceData.Fertiliser_Products_Data1(),FertiliserProducts[[#Headers],[Include or Exclude]], 0,4)</f>
        <v/>
      </c>
      <c r="W93" s="171" t="str" cm="1">
        <f t="array" ref="W93">Common_InputFunctions.Utility_DisplayArrayInTable(Fertiliser_SourceData.Fertiliser_Products_Data1(),FertiliserProducts[[#Headers],[Include or Exclude]], 0,4)</f>
        <v/>
      </c>
      <c r="X93" s="171" t="str" cm="1">
        <f t="array" ref="X93">Common_InputFunctions.Utility_DisplayArrayInTable(Fertiliser_SourceData.Fertiliser_Products_Data1(),FertiliserProducts[[#Headers],[Include or Exclude]], 0,4)</f>
        <v/>
      </c>
      <c r="Y93" s="171" t="str" cm="1">
        <f t="array" ref="Y93">Common_InputFunctions.Utility_DisplayArrayInTable(Fertiliser_SourceData.Fertiliser_Products_Data1(),FertiliserProducts[[#Headers],[Include or Exclude]], 0,4)</f>
        <v/>
      </c>
      <c r="Z93" s="171" t="str" cm="1">
        <f t="array" ref="Z93">Common_InputFunctions.Utility_DisplayArrayInTable(Fertiliser_SourceData.Fertiliser_Products_Data1(),FertiliserProducts[[#Headers],[Include or Exclude]], 0,4)</f>
        <v/>
      </c>
      <c r="AA93" s="171" t="str" cm="1">
        <f t="array" ref="AA93">Common_InputFunctions.Utility_DisplayArrayInTable(Fertiliser_SourceData.Fertiliser_Products_Data1(),FertiliserProducts[[#Headers],[Include or Exclude]], 0,4)</f>
        <v/>
      </c>
      <c r="AB93" s="171" t="str" cm="1">
        <f t="array" ref="AB93">Common_InputFunctions.Utility_DisplayArrayInTable(Fertiliser_SourceData.Fertiliser_Products_Data1(),FertiliserProducts[[#Headers],[Include or Exclude]], 0,4)</f>
        <v/>
      </c>
      <c r="AC93" s="171" t="str" cm="1">
        <f t="array" ref="AC93">Common_InputFunctions.Utility_DisplayArrayInTable(Fertiliser_SourceData.Fertiliser_Products_Data1(),FertiliserProducts[[#Headers],[Include or Exclude]], 0,4)</f>
        <v/>
      </c>
      <c r="AD93" s="171" t="str" cm="1">
        <f t="array" ref="AD93">Common_InputFunctions.Utility_DisplayArrayInTable(Fertiliser_SourceData.Fertiliser_Products_Data1(),FertiliserProducts[[#Headers],[Include or Exclude]], 0,4)</f>
        <v/>
      </c>
      <c r="AE93" s="171" t="str" cm="1">
        <f t="array" ref="AE93">Common_InputFunctions.Utility_DisplayArrayInTable(Fertiliser_SourceData.Fertiliser_Products_Data1(),FertiliserProducts[[#Headers],[Include or Exclude]], 0,4)</f>
        <v/>
      </c>
    </row>
    <row r="94" spans="4:31" ht="20.100000000000001" customHeight="1" x14ac:dyDescent="0.25">
      <c r="D94" s="171" t="str" cm="1">
        <f t="array" ref="D94">Common_InputFunctions.Utility_DisplayArrayInTable(Fertiliser_SourceData.Fertiliser_Products_Data1(),FertiliserProducts[[#Headers],[Include or Exclude]], -1)</f>
        <v>Include</v>
      </c>
      <c r="E94" s="171" t="str" cm="1">
        <f t="array" ref="E94">Common_InputFunctions.Utility_DisplayArrayInTable(Fertiliser_SourceData.Fertiliser_Products_Data1(),FertiliserProducts[[#Headers],[Include or Exclude]], 0)</f>
        <v>Use Lime EF for calcium</v>
      </c>
      <c r="F94" s="171" t="str" cm="1">
        <f t="array" ref="F94">Common_InputFunctions.Utility_DisplayArrayInTable(Fertiliser_SourceData.Fertiliser_Products_Data1(),FertiliserProducts[[#Headers],[Include or Exclude]], 0)</f>
        <v>Campbells fertilisers Australia</v>
      </c>
      <c r="G94" s="171" t="str" cm="1">
        <f t="array" ref="G94">Common_InputFunctions.Utility_DisplayArrayInTable(Fertiliser_SourceData.Fertiliser_Products_Data1(),FertiliserProducts[[#Headers],[Include or Exclude]], 0)</f>
        <v>Aqua NitroCal (VI)</v>
      </c>
      <c r="H94" s="171" t="str" cm="1">
        <f t="array" ref="H94">Common_InputFunctions.Utility_DisplayArrayInTable(Fertiliser_SourceData.Fertiliser_Products_Data1(),FertiliserProducts[[#Headers],[Include or Exclude]], 0,4)</f>
        <v>L</v>
      </c>
      <c r="I94" s="171" cm="1">
        <f t="array" ref="I94">Common_InputFunctions.Utility_DisplayArrayInTable(Fertiliser_SourceData.Fertiliser_Products_Data1(),FertiliserProducts[[#Headers],[Include or Exclude]], 0,4)</f>
        <v>1.5</v>
      </c>
      <c r="J94" s="171" t="str" cm="1">
        <f t="array" ref="J94">Common_InputFunctions.Utility_DisplayArrayInTable(Fertiliser_SourceData.Fertiliser_Products_Data1(),FertiliserProducts[[#Headers],[Include or Exclude]], 0,4)</f>
        <v/>
      </c>
      <c r="K94" s="171" t="str" cm="1">
        <f t="array" ref="K94">Common_InputFunctions.Utility_DisplayArrayInTable(Fertiliser_SourceData.Fertiliser_Products_Data1(),FertiliserProducts[[#Headers],[Include or Exclude]], 0,4)</f>
        <v/>
      </c>
      <c r="L94" s="171" t="str" cm="1">
        <f t="array" ref="L94">Common_InputFunctions.Utility_DisplayArrayInTable(Fertiliser_SourceData.Fertiliser_Products_Data1(),FertiliserProducts[[#Headers],[Include or Exclude]], 0,4)</f>
        <v>Calcium - Generic</v>
      </c>
      <c r="M94" s="171" cm="1">
        <f t="array" ref="M94">Common_InputFunctions.Utility_DisplayArrayInTable(Fertiliser_SourceData.Fertiliser_Products_Data1(),FertiliserProducts[[#Headers],[Include or Exclude]], 0,4)</f>
        <v>0.187</v>
      </c>
      <c r="N94" s="171" t="str" cm="1">
        <f t="array" ref="N94">Common_InputFunctions.Utility_DisplayArrayInTable(Fertiliser_SourceData.Fertiliser_Products_Data1(),FertiliserProducts[[#Headers],[Include or Exclude]], 0,4)</f>
        <v>Nitrogen - Nitrate</v>
      </c>
      <c r="O94" s="171" cm="1">
        <f t="array" ref="O94">Common_InputFunctions.Utility_DisplayArrayInTable(Fertiliser_SourceData.Fertiliser_Products_Data1(),FertiliserProducts[[#Headers],[Include or Exclude]], 0,4)</f>
        <v>0.13200000000000001</v>
      </c>
      <c r="P94" s="171" t="str" cm="1">
        <f t="array" ref="P94">Common_InputFunctions.Utility_DisplayArrayInTable(Fertiliser_SourceData.Fertiliser_Products_Data1(),FertiliserProducts[[#Headers],[Include or Exclude]], 0,4)</f>
        <v/>
      </c>
      <c r="Q94" s="171" t="str" cm="1">
        <f t="array" ref="Q94">Common_InputFunctions.Utility_DisplayArrayInTable(Fertiliser_SourceData.Fertiliser_Products_Data1(),FertiliserProducts[[#Headers],[Include or Exclude]], 0,4)</f>
        <v/>
      </c>
      <c r="R94" s="171" t="str" cm="1">
        <f t="array" ref="R94">Common_InputFunctions.Utility_DisplayArrayInTable(Fertiliser_SourceData.Fertiliser_Products_Data1(),FertiliserProducts[[#Headers],[Include or Exclude]], 0,4)</f>
        <v/>
      </c>
      <c r="S94" s="171" t="str" cm="1">
        <f t="array" ref="S94">Common_InputFunctions.Utility_DisplayArrayInTable(Fertiliser_SourceData.Fertiliser_Products_Data1(),FertiliserProducts[[#Headers],[Include or Exclude]], 0,4)</f>
        <v/>
      </c>
      <c r="T94" s="171" t="str" cm="1">
        <f t="array" ref="T94">Common_InputFunctions.Utility_DisplayArrayInTable(Fertiliser_SourceData.Fertiliser_Products_Data1(),FertiliserProducts[[#Headers],[Include or Exclude]], 0,4)</f>
        <v/>
      </c>
      <c r="U94" s="171" t="str" cm="1">
        <f t="array" ref="U94">Common_InputFunctions.Utility_DisplayArrayInTable(Fertiliser_SourceData.Fertiliser_Products_Data1(),FertiliserProducts[[#Headers],[Include or Exclude]], 0,4)</f>
        <v/>
      </c>
      <c r="V94" s="171" t="str" cm="1">
        <f t="array" ref="V94">Common_InputFunctions.Utility_DisplayArrayInTable(Fertiliser_SourceData.Fertiliser_Products_Data1(),FertiliserProducts[[#Headers],[Include or Exclude]], 0,4)</f>
        <v/>
      </c>
      <c r="W94" s="171" t="str" cm="1">
        <f t="array" ref="W94">Common_InputFunctions.Utility_DisplayArrayInTable(Fertiliser_SourceData.Fertiliser_Products_Data1(),FertiliserProducts[[#Headers],[Include or Exclude]], 0,4)</f>
        <v/>
      </c>
      <c r="X94" s="171" t="str" cm="1">
        <f t="array" ref="X94">Common_InputFunctions.Utility_DisplayArrayInTable(Fertiliser_SourceData.Fertiliser_Products_Data1(),FertiliserProducts[[#Headers],[Include or Exclude]], 0,4)</f>
        <v/>
      </c>
      <c r="Y94" s="171" t="str" cm="1">
        <f t="array" ref="Y94">Common_InputFunctions.Utility_DisplayArrayInTable(Fertiliser_SourceData.Fertiliser_Products_Data1(),FertiliserProducts[[#Headers],[Include or Exclude]], 0,4)</f>
        <v/>
      </c>
      <c r="Z94" s="171" t="str" cm="1">
        <f t="array" ref="Z94">Common_InputFunctions.Utility_DisplayArrayInTable(Fertiliser_SourceData.Fertiliser_Products_Data1(),FertiliserProducts[[#Headers],[Include or Exclude]], 0,4)</f>
        <v/>
      </c>
      <c r="AA94" s="171" t="str" cm="1">
        <f t="array" ref="AA94">Common_InputFunctions.Utility_DisplayArrayInTable(Fertiliser_SourceData.Fertiliser_Products_Data1(),FertiliserProducts[[#Headers],[Include or Exclude]], 0,4)</f>
        <v/>
      </c>
      <c r="AB94" s="171" t="str" cm="1">
        <f t="array" ref="AB94">Common_InputFunctions.Utility_DisplayArrayInTable(Fertiliser_SourceData.Fertiliser_Products_Data1(),FertiliserProducts[[#Headers],[Include or Exclude]], 0,4)</f>
        <v/>
      </c>
      <c r="AC94" s="171" t="str" cm="1">
        <f t="array" ref="AC94">Common_InputFunctions.Utility_DisplayArrayInTable(Fertiliser_SourceData.Fertiliser_Products_Data1(),FertiliserProducts[[#Headers],[Include or Exclude]], 0,4)</f>
        <v/>
      </c>
      <c r="AD94" s="171" t="str" cm="1">
        <f t="array" ref="AD94">Common_InputFunctions.Utility_DisplayArrayInTable(Fertiliser_SourceData.Fertiliser_Products_Data1(),FertiliserProducts[[#Headers],[Include or Exclude]], 0,4)</f>
        <v/>
      </c>
      <c r="AE94" s="171" t="str" cm="1">
        <f t="array" ref="AE94">Common_InputFunctions.Utility_DisplayArrayInTable(Fertiliser_SourceData.Fertiliser_Products_Data1(),FertiliserProducts[[#Headers],[Include or Exclude]], 0,4)</f>
        <v/>
      </c>
    </row>
    <row r="95" spans="4:31" ht="20.100000000000001" customHeight="1" x14ac:dyDescent="0.25">
      <c r="D95" s="171" t="str" cm="1">
        <f t="array" ref="D95">Common_InputFunctions.Utility_DisplayArrayInTable(Fertiliser_SourceData.Fertiliser_Products_Data1(),FertiliserProducts[[#Headers],[Include or Exclude]], -1)</f>
        <v>Include</v>
      </c>
      <c r="E95" s="171" t="str" cm="1">
        <f t="array" ref="E95">Common_InputFunctions.Utility_DisplayArrayInTable(Fertiliser_SourceData.Fertiliser_Products_Data1(),FertiliserProducts[[#Headers],[Include or Exclude]], 0)</f>
        <v>Use Lime EF for calcium</v>
      </c>
      <c r="F95" s="171" t="str" cm="1">
        <f t="array" ref="F95">Common_InputFunctions.Utility_DisplayArrayInTable(Fertiliser_SourceData.Fertiliser_Products_Data1(),FertiliserProducts[[#Headers],[Include or Exclude]], 0)</f>
        <v>Campbells fertilisers Australia</v>
      </c>
      <c r="G95" s="171" t="str" cm="1">
        <f t="array" ref="G95">Common_InputFunctions.Utility_DisplayArrayInTable(Fertiliser_SourceData.Fertiliser_Products_Data1(),FertiliserProducts[[#Headers],[Include or Exclude]], 0)</f>
        <v>Aqua NitroCal Ultimate</v>
      </c>
      <c r="H95" s="171" t="str" cm="1">
        <f t="array" ref="H95">Common_InputFunctions.Utility_DisplayArrayInTable(Fertiliser_SourceData.Fertiliser_Products_Data1(),FertiliserProducts[[#Headers],[Include or Exclude]], 0,4)</f>
        <v>L</v>
      </c>
      <c r="I95" s="171" cm="1">
        <f t="array" ref="I95">Common_InputFunctions.Utility_DisplayArrayInTable(Fertiliser_SourceData.Fertiliser_Products_Data1(),FertiliserProducts[[#Headers],[Include or Exclude]], 0,4)</f>
        <v>1.5</v>
      </c>
      <c r="J95" s="171" t="str" cm="1">
        <f t="array" ref="J95">Common_InputFunctions.Utility_DisplayArrayInTable(Fertiliser_SourceData.Fertiliser_Products_Data1(),FertiliserProducts[[#Headers],[Include or Exclude]], 0,4)</f>
        <v/>
      </c>
      <c r="K95" s="171" t="str" cm="1">
        <f t="array" ref="K95">Common_InputFunctions.Utility_DisplayArrayInTable(Fertiliser_SourceData.Fertiliser_Products_Data1(),FertiliserProducts[[#Headers],[Include or Exclude]], 0,4)</f>
        <v/>
      </c>
      <c r="L95" s="171" t="str" cm="1">
        <f t="array" ref="L95">Common_InputFunctions.Utility_DisplayArrayInTable(Fertiliser_SourceData.Fertiliser_Products_Data1(),FertiliserProducts[[#Headers],[Include or Exclude]], 0,4)</f>
        <v>Calcium - Generic</v>
      </c>
      <c r="M95" s="171" cm="1">
        <f t="array" ref="M95">Common_InputFunctions.Utility_DisplayArrayInTable(Fertiliser_SourceData.Fertiliser_Products_Data1(),FertiliserProducts[[#Headers],[Include or Exclude]], 0,4)</f>
        <v>0.183</v>
      </c>
      <c r="N95" s="171" t="str" cm="1">
        <f t="array" ref="N95">Common_InputFunctions.Utility_DisplayArrayInTable(Fertiliser_SourceData.Fertiliser_Products_Data1(),FertiliserProducts[[#Headers],[Include or Exclude]], 0,4)</f>
        <v>Nitrogen  - Nitrate</v>
      </c>
      <c r="O95" s="171" cm="1">
        <f t="array" ref="O95">Common_InputFunctions.Utility_DisplayArrayInTable(Fertiliser_SourceData.Fertiliser_Products_Data1(),FertiliserProducts[[#Headers],[Include or Exclude]], 0,4)</f>
        <v>0.13200000000000001</v>
      </c>
      <c r="P95" s="171" t="str" cm="1">
        <f t="array" ref="P95">Common_InputFunctions.Utility_DisplayArrayInTable(Fertiliser_SourceData.Fertiliser_Products_Data1(),FertiliserProducts[[#Headers],[Include or Exclude]], 0,4)</f>
        <v/>
      </c>
      <c r="Q95" s="171" t="str" cm="1">
        <f t="array" ref="Q95">Common_InputFunctions.Utility_DisplayArrayInTable(Fertiliser_SourceData.Fertiliser_Products_Data1(),FertiliserProducts[[#Headers],[Include or Exclude]], 0,4)</f>
        <v/>
      </c>
      <c r="R95" s="171" t="str" cm="1">
        <f t="array" ref="R95">Common_InputFunctions.Utility_DisplayArrayInTable(Fertiliser_SourceData.Fertiliser_Products_Data1(),FertiliserProducts[[#Headers],[Include or Exclude]], 0,4)</f>
        <v/>
      </c>
      <c r="S95" s="171" t="str" cm="1">
        <f t="array" ref="S95">Common_InputFunctions.Utility_DisplayArrayInTable(Fertiliser_SourceData.Fertiliser_Products_Data1(),FertiliserProducts[[#Headers],[Include or Exclude]], 0,4)</f>
        <v/>
      </c>
      <c r="T95" s="171" t="str" cm="1">
        <f t="array" ref="T95">Common_InputFunctions.Utility_DisplayArrayInTable(Fertiliser_SourceData.Fertiliser_Products_Data1(),FertiliserProducts[[#Headers],[Include or Exclude]], 0,4)</f>
        <v/>
      </c>
      <c r="U95" s="171" t="str" cm="1">
        <f t="array" ref="U95">Common_InputFunctions.Utility_DisplayArrayInTable(Fertiliser_SourceData.Fertiliser_Products_Data1(),FertiliserProducts[[#Headers],[Include or Exclude]], 0,4)</f>
        <v/>
      </c>
      <c r="V95" s="171" t="str" cm="1">
        <f t="array" ref="V95">Common_InputFunctions.Utility_DisplayArrayInTable(Fertiliser_SourceData.Fertiliser_Products_Data1(),FertiliserProducts[[#Headers],[Include or Exclude]], 0,4)</f>
        <v/>
      </c>
      <c r="W95" s="171" t="str" cm="1">
        <f t="array" ref="W95">Common_InputFunctions.Utility_DisplayArrayInTable(Fertiliser_SourceData.Fertiliser_Products_Data1(),FertiliserProducts[[#Headers],[Include or Exclude]], 0,4)</f>
        <v/>
      </c>
      <c r="X95" s="171" t="str" cm="1">
        <f t="array" ref="X95">Common_InputFunctions.Utility_DisplayArrayInTable(Fertiliser_SourceData.Fertiliser_Products_Data1(),FertiliserProducts[[#Headers],[Include or Exclude]], 0,4)</f>
        <v/>
      </c>
      <c r="Y95" s="171" t="str" cm="1">
        <f t="array" ref="Y95">Common_InputFunctions.Utility_DisplayArrayInTable(Fertiliser_SourceData.Fertiliser_Products_Data1(),FertiliserProducts[[#Headers],[Include or Exclude]], 0,4)</f>
        <v/>
      </c>
      <c r="Z95" s="171" t="str" cm="1">
        <f t="array" ref="Z95">Common_InputFunctions.Utility_DisplayArrayInTable(Fertiliser_SourceData.Fertiliser_Products_Data1(),FertiliserProducts[[#Headers],[Include or Exclude]], 0,4)</f>
        <v/>
      </c>
      <c r="AA95" s="171" t="str" cm="1">
        <f t="array" ref="AA95">Common_InputFunctions.Utility_DisplayArrayInTable(Fertiliser_SourceData.Fertiliser_Products_Data1(),FertiliserProducts[[#Headers],[Include or Exclude]], 0,4)</f>
        <v/>
      </c>
      <c r="AB95" s="171" t="str" cm="1">
        <f t="array" ref="AB95">Common_InputFunctions.Utility_DisplayArrayInTable(Fertiliser_SourceData.Fertiliser_Products_Data1(),FertiliserProducts[[#Headers],[Include or Exclude]], 0,4)</f>
        <v/>
      </c>
      <c r="AC95" s="171" t="str" cm="1">
        <f t="array" ref="AC95">Common_InputFunctions.Utility_DisplayArrayInTable(Fertiliser_SourceData.Fertiliser_Products_Data1(),FertiliserProducts[[#Headers],[Include or Exclude]], 0,4)</f>
        <v/>
      </c>
      <c r="AD95" s="171" t="str" cm="1">
        <f t="array" ref="AD95">Common_InputFunctions.Utility_DisplayArrayInTable(Fertiliser_SourceData.Fertiliser_Products_Data1(),FertiliserProducts[[#Headers],[Include or Exclude]], 0,4)</f>
        <v/>
      </c>
      <c r="AE95" s="171" t="str" cm="1">
        <f t="array" ref="AE95">Common_InputFunctions.Utility_DisplayArrayInTable(Fertiliser_SourceData.Fertiliser_Products_Data1(),FertiliserProducts[[#Headers],[Include or Exclude]], 0,4)</f>
        <v/>
      </c>
    </row>
    <row r="96" spans="4:31" ht="20.100000000000001" customHeight="1" x14ac:dyDescent="0.25">
      <c r="D96" s="171" t="str" cm="1">
        <f t="array" ref="D96">Common_InputFunctions.Utility_DisplayArrayInTable(Fertiliser_SourceData.Fertiliser_Products_Data1(),FertiliserProducts[[#Headers],[Include or Exclude]], -1)</f>
        <v>Include</v>
      </c>
      <c r="E96" s="171" t="str" cm="1">
        <f t="array" ref="E96">Common_InputFunctions.Utility_DisplayArrayInTable(Fertiliser_SourceData.Fertiliser_Products_Data1(),FertiliserProducts[[#Headers],[Include or Exclude]], 0)</f>
        <v/>
      </c>
      <c r="F96" s="171" t="str" cm="1">
        <f t="array" ref="F96">Common_InputFunctions.Utility_DisplayArrayInTable(Fertiliser_SourceData.Fertiliser_Products_Data1(),FertiliserProducts[[#Headers],[Include or Exclude]], 0)</f>
        <v>Campbells fertilisers Australia</v>
      </c>
      <c r="G96" s="171" t="str" cm="1">
        <f t="array" ref="G96">Common_InputFunctions.Utility_DisplayArrayInTable(Fertiliser_SourceData.Fertiliser_Products_Data1(),FertiliserProducts[[#Headers],[Include or Exclude]], 0)</f>
        <v>Aqua Start</v>
      </c>
      <c r="H96" s="171" t="str" cm="1">
        <f t="array" ref="H96">Common_InputFunctions.Utility_DisplayArrayInTable(Fertiliser_SourceData.Fertiliser_Products_Data1(),FertiliserProducts[[#Headers],[Include or Exclude]], 0,4)</f>
        <v>L</v>
      </c>
      <c r="I96" s="171" cm="1">
        <f t="array" ref="I96">Common_InputFunctions.Utility_DisplayArrayInTable(Fertiliser_SourceData.Fertiliser_Products_Data1(),FertiliserProducts[[#Headers],[Include or Exclude]], 0,4)</f>
        <v>1.25</v>
      </c>
      <c r="J96" s="171" t="str" cm="1">
        <f t="array" ref="J96">Common_InputFunctions.Utility_DisplayArrayInTable(Fertiliser_SourceData.Fertiliser_Products_Data1(),FertiliserProducts[[#Headers],[Include or Exclude]], 0,4)</f>
        <v/>
      </c>
      <c r="K96" s="171" t="str" cm="1">
        <f t="array" ref="K96">Common_InputFunctions.Utility_DisplayArrayInTable(Fertiliser_SourceData.Fertiliser_Products_Data1(),FertiliserProducts[[#Headers],[Include or Exclude]], 0,4)</f>
        <v/>
      </c>
      <c r="L96" s="171" t="str" cm="1">
        <f t="array" ref="L96">Common_InputFunctions.Utility_DisplayArrayInTable(Fertiliser_SourceData.Fertiliser_Products_Data1(),FertiliserProducts[[#Headers],[Include or Exclude]], 0,4)</f>
        <v>Nitrogen - Generic</v>
      </c>
      <c r="M96" s="171" cm="1">
        <f t="array" ref="M96">Common_InputFunctions.Utility_DisplayArrayInTable(Fertiliser_SourceData.Fertiliser_Products_Data1(),FertiliserProducts[[#Headers],[Include or Exclude]], 0,4)</f>
        <v>0.10299999999999999</v>
      </c>
      <c r="N96" s="171" t="str" cm="1">
        <f t="array" ref="N96">Common_InputFunctions.Utility_DisplayArrayInTable(Fertiliser_SourceData.Fertiliser_Products_Data1(),FertiliserProducts[[#Headers],[Include or Exclude]], 0,4)</f>
        <v>Phosphorus - Generic</v>
      </c>
      <c r="O96" s="171" cm="1">
        <f t="array" ref="O96">Common_InputFunctions.Utility_DisplayArrayInTable(Fertiliser_SourceData.Fertiliser_Products_Data1(),FertiliserProducts[[#Headers],[Include or Exclude]], 0,4)</f>
        <v>0.1</v>
      </c>
      <c r="P96" s="171" t="str" cm="1">
        <f t="array" ref="P96">Common_InputFunctions.Utility_DisplayArrayInTable(Fertiliser_SourceData.Fertiliser_Products_Data1(),FertiliserProducts[[#Headers],[Include or Exclude]], 0,4)</f>
        <v>Potassium - Generic</v>
      </c>
      <c r="Q96" s="171" cm="1">
        <f t="array" ref="Q96">Common_InputFunctions.Utility_DisplayArrayInTable(Fertiliser_SourceData.Fertiliser_Products_Data1(),FertiliserProducts[[#Headers],[Include or Exclude]], 0,4)</f>
        <v>3.4000000000000002E-2</v>
      </c>
      <c r="R96" s="171" t="str" cm="1">
        <f t="array" ref="R96">Common_InputFunctions.Utility_DisplayArrayInTable(Fertiliser_SourceData.Fertiliser_Products_Data1(),FertiliserProducts[[#Headers],[Include or Exclude]], 0,4)</f>
        <v/>
      </c>
      <c r="S96" s="171" t="str" cm="1">
        <f t="array" ref="S96">Common_InputFunctions.Utility_DisplayArrayInTable(Fertiliser_SourceData.Fertiliser_Products_Data1(),FertiliserProducts[[#Headers],[Include or Exclude]], 0,4)</f>
        <v/>
      </c>
      <c r="T96" s="171" t="str" cm="1">
        <f t="array" ref="T96">Common_InputFunctions.Utility_DisplayArrayInTable(Fertiliser_SourceData.Fertiliser_Products_Data1(),FertiliserProducts[[#Headers],[Include or Exclude]], 0,4)</f>
        <v/>
      </c>
      <c r="U96" s="171" t="str" cm="1">
        <f t="array" ref="U96">Common_InputFunctions.Utility_DisplayArrayInTable(Fertiliser_SourceData.Fertiliser_Products_Data1(),FertiliserProducts[[#Headers],[Include or Exclude]], 0,4)</f>
        <v/>
      </c>
      <c r="V96" s="171" t="str" cm="1">
        <f t="array" ref="V96">Common_InputFunctions.Utility_DisplayArrayInTable(Fertiliser_SourceData.Fertiliser_Products_Data1(),FertiliserProducts[[#Headers],[Include or Exclude]], 0,4)</f>
        <v/>
      </c>
      <c r="W96" s="171" t="str" cm="1">
        <f t="array" ref="W96">Common_InputFunctions.Utility_DisplayArrayInTable(Fertiliser_SourceData.Fertiliser_Products_Data1(),FertiliserProducts[[#Headers],[Include or Exclude]], 0,4)</f>
        <v/>
      </c>
      <c r="X96" s="171" t="str" cm="1">
        <f t="array" ref="X96">Common_InputFunctions.Utility_DisplayArrayInTable(Fertiliser_SourceData.Fertiliser_Products_Data1(),FertiliserProducts[[#Headers],[Include or Exclude]], 0,4)</f>
        <v/>
      </c>
      <c r="Y96" s="171" t="str" cm="1">
        <f t="array" ref="Y96">Common_InputFunctions.Utility_DisplayArrayInTable(Fertiliser_SourceData.Fertiliser_Products_Data1(),FertiliserProducts[[#Headers],[Include or Exclude]], 0,4)</f>
        <v/>
      </c>
      <c r="Z96" s="171" t="str" cm="1">
        <f t="array" ref="Z96">Common_InputFunctions.Utility_DisplayArrayInTable(Fertiliser_SourceData.Fertiliser_Products_Data1(),FertiliserProducts[[#Headers],[Include or Exclude]], 0,4)</f>
        <v/>
      </c>
      <c r="AA96" s="171" t="str" cm="1">
        <f t="array" ref="AA96">Common_InputFunctions.Utility_DisplayArrayInTable(Fertiliser_SourceData.Fertiliser_Products_Data1(),FertiliserProducts[[#Headers],[Include or Exclude]], 0,4)</f>
        <v/>
      </c>
      <c r="AB96" s="171" t="str" cm="1">
        <f t="array" ref="AB96">Common_InputFunctions.Utility_DisplayArrayInTable(Fertiliser_SourceData.Fertiliser_Products_Data1(),FertiliserProducts[[#Headers],[Include or Exclude]], 0,4)</f>
        <v/>
      </c>
      <c r="AC96" s="171" t="str" cm="1">
        <f t="array" ref="AC96">Common_InputFunctions.Utility_DisplayArrayInTable(Fertiliser_SourceData.Fertiliser_Products_Data1(),FertiliserProducts[[#Headers],[Include or Exclude]], 0,4)</f>
        <v/>
      </c>
      <c r="AD96" s="171" t="str" cm="1">
        <f t="array" ref="AD96">Common_InputFunctions.Utility_DisplayArrayInTable(Fertiliser_SourceData.Fertiliser_Products_Data1(),FertiliserProducts[[#Headers],[Include or Exclude]], 0,4)</f>
        <v/>
      </c>
      <c r="AE96" s="171" t="str" cm="1">
        <f t="array" ref="AE96">Common_InputFunctions.Utility_DisplayArrayInTable(Fertiliser_SourceData.Fertiliser_Products_Data1(),FertiliserProducts[[#Headers],[Include or Exclude]], 0,4)</f>
        <v/>
      </c>
    </row>
    <row r="97" spans="4:31" ht="20.100000000000001" customHeight="1" x14ac:dyDescent="0.25">
      <c r="D97" s="171" t="str" cm="1">
        <f t="array" ref="D97">Common_InputFunctions.Utility_DisplayArrayInTable(Fertiliser_SourceData.Fertiliser_Products_Data1(),FertiliserProducts[[#Headers],[Include or Exclude]], -1)</f>
        <v>Include</v>
      </c>
      <c r="E97" s="171" t="str" cm="1">
        <f t="array" ref="E97">Common_InputFunctions.Utility_DisplayArrayInTable(Fertiliser_SourceData.Fertiliser_Products_Data1(),FertiliserProducts[[#Headers],[Include or Exclude]], 0)</f>
        <v/>
      </c>
      <c r="F97" s="171" t="str" cm="1">
        <f t="array" ref="F97">Common_InputFunctions.Utility_DisplayArrayInTable(Fertiliser_SourceData.Fertiliser_Products_Data1(),FertiliserProducts[[#Headers],[Include or Exclude]], 0)</f>
        <v>Campbells fertilisers Australia</v>
      </c>
      <c r="G97" s="171" t="str" cm="1">
        <f t="array" ref="G97">Common_InputFunctions.Utility_DisplayArrayInTable(Fertiliser_SourceData.Fertiliser_Products_Data1(),FertiliserProducts[[#Headers],[Include or Exclude]], 0)</f>
        <v>Aqua Thio-Complete</v>
      </c>
      <c r="H97" s="171" t="str" cm="1">
        <f t="array" ref="H97">Common_InputFunctions.Utility_DisplayArrayInTable(Fertiliser_SourceData.Fertiliser_Products_Data1(),FertiliserProducts[[#Headers],[Include or Exclude]], 0,4)</f>
        <v>L</v>
      </c>
      <c r="I97" s="171" cm="1">
        <f t="array" ref="I97">Common_InputFunctions.Utility_DisplayArrayInTable(Fertiliser_SourceData.Fertiliser_Products_Data1(),FertiliserProducts[[#Headers],[Include or Exclude]], 0,4)</f>
        <v>1.43</v>
      </c>
      <c r="J97" s="171" t="str" cm="1">
        <f t="array" ref="J97">Common_InputFunctions.Utility_DisplayArrayInTable(Fertiliser_SourceData.Fertiliser_Products_Data1(),FertiliserProducts[[#Headers],[Include or Exclude]], 0,4)</f>
        <v/>
      </c>
      <c r="K97" s="171" t="str" cm="1">
        <f t="array" ref="K97">Common_InputFunctions.Utility_DisplayArrayInTable(Fertiliser_SourceData.Fertiliser_Products_Data1(),FertiliserProducts[[#Headers],[Include or Exclude]], 0,4)</f>
        <v/>
      </c>
      <c r="L97" s="171" t="str" cm="1">
        <f t="array" ref="L97">Common_InputFunctions.Utility_DisplayArrayInTable(Fertiliser_SourceData.Fertiliser_Products_Data1(),FertiliserProducts[[#Headers],[Include or Exclude]], 0,4)</f>
        <v>Potassium - Generic</v>
      </c>
      <c r="M97" s="171" cm="1">
        <f t="array" ref="M97">Common_InputFunctions.Utility_DisplayArrayInTable(Fertiliser_SourceData.Fertiliser_Products_Data1(),FertiliserProducts[[#Headers],[Include or Exclude]], 0,4)</f>
        <v>0.22500000000000001</v>
      </c>
      <c r="N97" s="171" t="str" cm="1">
        <f t="array" ref="N97">Common_InputFunctions.Utility_DisplayArrayInTable(Fertiliser_SourceData.Fertiliser_Products_Data1(),FertiliserProducts[[#Headers],[Include or Exclude]], 0,4)</f>
        <v>Phosphorus - Generic</v>
      </c>
      <c r="O97" s="171" cm="1">
        <f t="array" ref="O97">Common_InputFunctions.Utility_DisplayArrayInTable(Fertiliser_SourceData.Fertiliser_Products_Data1(),FertiliserProducts[[#Headers],[Include or Exclude]], 0,4)</f>
        <v>3.7999999999999999E-2</v>
      </c>
      <c r="P97" s="171" t="str" cm="1">
        <f t="array" ref="P97">Common_InputFunctions.Utility_DisplayArrayInTable(Fertiliser_SourceData.Fertiliser_Products_Data1(),FertiliserProducts[[#Headers],[Include or Exclude]], 0,4)</f>
        <v>Nitrogen - Generic</v>
      </c>
      <c r="Q97" s="171" cm="1">
        <f t="array" ref="Q97">Common_InputFunctions.Utility_DisplayArrayInTable(Fertiliser_SourceData.Fertiliser_Products_Data1(),FertiliserProducts[[#Headers],[Include or Exclude]], 0,4)</f>
        <v>2.5000000000000001E-2</v>
      </c>
      <c r="R97" s="171" t="str" cm="1">
        <f t="array" ref="R97">Common_InputFunctions.Utility_DisplayArrayInTable(Fertiliser_SourceData.Fertiliser_Products_Data1(),FertiliserProducts[[#Headers],[Include or Exclude]], 0,4)</f>
        <v/>
      </c>
      <c r="S97" s="171" t="str" cm="1">
        <f t="array" ref="S97">Common_InputFunctions.Utility_DisplayArrayInTable(Fertiliser_SourceData.Fertiliser_Products_Data1(),FertiliserProducts[[#Headers],[Include or Exclude]], 0,4)</f>
        <v/>
      </c>
      <c r="T97" s="171" t="str" cm="1">
        <f t="array" ref="T97">Common_InputFunctions.Utility_DisplayArrayInTable(Fertiliser_SourceData.Fertiliser_Products_Data1(),FertiliserProducts[[#Headers],[Include or Exclude]], 0,4)</f>
        <v/>
      </c>
      <c r="U97" s="171" t="str" cm="1">
        <f t="array" ref="U97">Common_InputFunctions.Utility_DisplayArrayInTable(Fertiliser_SourceData.Fertiliser_Products_Data1(),FertiliserProducts[[#Headers],[Include or Exclude]], 0,4)</f>
        <v/>
      </c>
      <c r="V97" s="171" t="str" cm="1">
        <f t="array" ref="V97">Common_InputFunctions.Utility_DisplayArrayInTable(Fertiliser_SourceData.Fertiliser_Products_Data1(),FertiliserProducts[[#Headers],[Include or Exclude]], 0,4)</f>
        <v/>
      </c>
      <c r="W97" s="171" t="str" cm="1">
        <f t="array" ref="W97">Common_InputFunctions.Utility_DisplayArrayInTable(Fertiliser_SourceData.Fertiliser_Products_Data1(),FertiliserProducts[[#Headers],[Include or Exclude]], 0,4)</f>
        <v/>
      </c>
      <c r="X97" s="171" t="str" cm="1">
        <f t="array" ref="X97">Common_InputFunctions.Utility_DisplayArrayInTable(Fertiliser_SourceData.Fertiliser_Products_Data1(),FertiliserProducts[[#Headers],[Include or Exclude]], 0,4)</f>
        <v/>
      </c>
      <c r="Y97" s="171" t="str" cm="1">
        <f t="array" ref="Y97">Common_InputFunctions.Utility_DisplayArrayInTable(Fertiliser_SourceData.Fertiliser_Products_Data1(),FertiliserProducts[[#Headers],[Include or Exclude]], 0,4)</f>
        <v/>
      </c>
      <c r="Z97" s="171" t="str" cm="1">
        <f t="array" ref="Z97">Common_InputFunctions.Utility_DisplayArrayInTable(Fertiliser_SourceData.Fertiliser_Products_Data1(),FertiliserProducts[[#Headers],[Include or Exclude]], 0,4)</f>
        <v/>
      </c>
      <c r="AA97" s="171" t="str" cm="1">
        <f t="array" ref="AA97">Common_InputFunctions.Utility_DisplayArrayInTable(Fertiliser_SourceData.Fertiliser_Products_Data1(),FertiliserProducts[[#Headers],[Include or Exclude]], 0,4)</f>
        <v/>
      </c>
      <c r="AB97" s="171" t="str" cm="1">
        <f t="array" ref="AB97">Common_InputFunctions.Utility_DisplayArrayInTable(Fertiliser_SourceData.Fertiliser_Products_Data1(),FertiliserProducts[[#Headers],[Include or Exclude]], 0,4)</f>
        <v/>
      </c>
      <c r="AC97" s="171" t="str" cm="1">
        <f t="array" ref="AC97">Common_InputFunctions.Utility_DisplayArrayInTable(Fertiliser_SourceData.Fertiliser_Products_Data1(),FertiliserProducts[[#Headers],[Include or Exclude]], 0,4)</f>
        <v/>
      </c>
      <c r="AD97" s="171" t="str" cm="1">
        <f t="array" ref="AD97">Common_InputFunctions.Utility_DisplayArrayInTable(Fertiliser_SourceData.Fertiliser_Products_Data1(),FertiliserProducts[[#Headers],[Include or Exclude]], 0,4)</f>
        <v/>
      </c>
      <c r="AE97" s="171" t="str" cm="1">
        <f t="array" ref="AE97">Common_InputFunctions.Utility_DisplayArrayInTable(Fertiliser_SourceData.Fertiliser_Products_Data1(),FertiliserProducts[[#Headers],[Include or Exclude]], 0,4)</f>
        <v/>
      </c>
    </row>
    <row r="98" spans="4:31" ht="20.100000000000001" customHeight="1" x14ac:dyDescent="0.25">
      <c r="D98" s="171" t="str" cm="1">
        <f t="array" ref="D98">Common_InputFunctions.Utility_DisplayArrayInTable(Fertiliser_SourceData.Fertiliser_Products_Data1(),FertiliserProducts[[#Headers],[Include or Exclude]], -1)</f>
        <v>Include</v>
      </c>
      <c r="E98" s="171" t="str" cm="1">
        <f t="array" ref="E98">Common_InputFunctions.Utility_DisplayArrayInTable(Fertiliser_SourceData.Fertiliser_Products_Data1(),FertiliserProducts[[#Headers],[Include or Exclude]], 0)</f>
        <v/>
      </c>
      <c r="F98" s="171" t="str" cm="1">
        <f t="array" ref="F98">Common_InputFunctions.Utility_DisplayArrayInTable(Fertiliser_SourceData.Fertiliser_Products_Data1(),FertiliserProducts[[#Headers],[Include or Exclude]], 0)</f>
        <v>Campbells fertilisers Australia</v>
      </c>
      <c r="G98" s="171" t="str" cm="1">
        <f t="array" ref="G98">Common_InputFunctions.Utility_DisplayArrayInTable(Fertiliser_SourceData.Fertiliser_Products_Data1(),FertiliserProducts[[#Headers],[Include or Exclude]], 0)</f>
        <v>Aqua Thio-Emerge</v>
      </c>
      <c r="H98" s="171" t="str" cm="1">
        <f t="array" ref="H98">Common_InputFunctions.Utility_DisplayArrayInTable(Fertiliser_SourceData.Fertiliser_Products_Data1(),FertiliserProducts[[#Headers],[Include or Exclude]], 0,4)</f>
        <v>L</v>
      </c>
      <c r="I98" s="171" cm="1">
        <f t="array" ref="I98">Common_InputFunctions.Utility_DisplayArrayInTable(Fertiliser_SourceData.Fertiliser_Products_Data1(),FertiliserProducts[[#Headers],[Include or Exclude]], 0,4)</f>
        <v>1.29</v>
      </c>
      <c r="J98" s="171" t="str" cm="1">
        <f t="array" ref="J98">Common_InputFunctions.Utility_DisplayArrayInTable(Fertiliser_SourceData.Fertiliser_Products_Data1(),FertiliserProducts[[#Headers],[Include or Exclude]], 0,4)</f>
        <v/>
      </c>
      <c r="K98" s="171" t="str" cm="1">
        <f t="array" ref="K98">Common_InputFunctions.Utility_DisplayArrayInTable(Fertiliser_SourceData.Fertiliser_Products_Data1(),FertiliserProducts[[#Headers],[Include or Exclude]], 0,4)</f>
        <v/>
      </c>
      <c r="L98" s="171" t="str" cm="1">
        <f t="array" ref="L98">Common_InputFunctions.Utility_DisplayArrayInTable(Fertiliser_SourceData.Fertiliser_Products_Data1(),FertiliserProducts[[#Headers],[Include or Exclude]], 0,4)</f>
        <v>Nitrogen - Generic</v>
      </c>
      <c r="M98" s="171" cm="1">
        <f t="array" ref="M98">Common_InputFunctions.Utility_DisplayArrayInTable(Fertiliser_SourceData.Fertiliser_Products_Data1(),FertiliserProducts[[#Headers],[Include or Exclude]], 0,4)</f>
        <v>0.105</v>
      </c>
      <c r="N98" s="171" t="str" cm="1">
        <f t="array" ref="N98">Common_InputFunctions.Utility_DisplayArrayInTable(Fertiliser_SourceData.Fertiliser_Products_Data1(),FertiliserProducts[[#Headers],[Include or Exclude]], 0,4)</f>
        <v>Phosphorus - Generic</v>
      </c>
      <c r="O98" s="171" cm="1">
        <f t="array" ref="O98">Common_InputFunctions.Utility_DisplayArrayInTable(Fertiliser_SourceData.Fertiliser_Products_Data1(),FertiliserProducts[[#Headers],[Include or Exclude]], 0,4)</f>
        <v>9.4E-2</v>
      </c>
      <c r="P98" s="171" t="str" cm="1">
        <f t="array" ref="P98">Common_InputFunctions.Utility_DisplayArrayInTable(Fertiliser_SourceData.Fertiliser_Products_Data1(),FertiliserProducts[[#Headers],[Include or Exclude]], 0,4)</f>
        <v>Potassium - Generic</v>
      </c>
      <c r="Q98" s="171" cm="1">
        <f t="array" ref="Q98">Common_InputFunctions.Utility_DisplayArrayInTable(Fertiliser_SourceData.Fertiliser_Products_Data1(),FertiliserProducts[[#Headers],[Include or Exclude]], 0,4)</f>
        <v>0.04</v>
      </c>
      <c r="R98" s="171" t="str" cm="1">
        <f t="array" ref="R98">Common_InputFunctions.Utility_DisplayArrayInTable(Fertiliser_SourceData.Fertiliser_Products_Data1(),FertiliserProducts[[#Headers],[Include or Exclude]], 0,4)</f>
        <v>Sulfur - Generic</v>
      </c>
      <c r="S98" s="171" cm="1">
        <f t="array" ref="S98">Common_InputFunctions.Utility_DisplayArrayInTable(Fertiliser_SourceData.Fertiliser_Products_Data1(),FertiliserProducts[[#Headers],[Include or Exclude]], 0,4)</f>
        <v>0.03</v>
      </c>
      <c r="T98" s="171" t="str" cm="1">
        <f t="array" ref="T98">Common_InputFunctions.Utility_DisplayArrayInTable(Fertiliser_SourceData.Fertiliser_Products_Data1(),FertiliserProducts[[#Headers],[Include or Exclude]], 0,4)</f>
        <v/>
      </c>
      <c r="U98" s="171" t="str" cm="1">
        <f t="array" ref="U98">Common_InputFunctions.Utility_DisplayArrayInTable(Fertiliser_SourceData.Fertiliser_Products_Data1(),FertiliserProducts[[#Headers],[Include or Exclude]], 0,4)</f>
        <v/>
      </c>
      <c r="V98" s="171" t="str" cm="1">
        <f t="array" ref="V98">Common_InputFunctions.Utility_DisplayArrayInTable(Fertiliser_SourceData.Fertiliser_Products_Data1(),FertiliserProducts[[#Headers],[Include or Exclude]], 0,4)</f>
        <v/>
      </c>
      <c r="W98" s="171" t="str" cm="1">
        <f t="array" ref="W98">Common_InputFunctions.Utility_DisplayArrayInTable(Fertiliser_SourceData.Fertiliser_Products_Data1(),FertiliserProducts[[#Headers],[Include or Exclude]], 0,4)</f>
        <v/>
      </c>
      <c r="X98" s="171" t="str" cm="1">
        <f t="array" ref="X98">Common_InputFunctions.Utility_DisplayArrayInTable(Fertiliser_SourceData.Fertiliser_Products_Data1(),FertiliserProducts[[#Headers],[Include or Exclude]], 0,4)</f>
        <v/>
      </c>
      <c r="Y98" s="171" t="str" cm="1">
        <f t="array" ref="Y98">Common_InputFunctions.Utility_DisplayArrayInTable(Fertiliser_SourceData.Fertiliser_Products_Data1(),FertiliserProducts[[#Headers],[Include or Exclude]], 0,4)</f>
        <v/>
      </c>
      <c r="Z98" s="171" t="str" cm="1">
        <f t="array" ref="Z98">Common_InputFunctions.Utility_DisplayArrayInTable(Fertiliser_SourceData.Fertiliser_Products_Data1(),FertiliserProducts[[#Headers],[Include or Exclude]], 0,4)</f>
        <v/>
      </c>
      <c r="AA98" s="171" t="str" cm="1">
        <f t="array" ref="AA98">Common_InputFunctions.Utility_DisplayArrayInTable(Fertiliser_SourceData.Fertiliser_Products_Data1(),FertiliserProducts[[#Headers],[Include or Exclude]], 0,4)</f>
        <v/>
      </c>
      <c r="AB98" s="171" t="str" cm="1">
        <f t="array" ref="AB98">Common_InputFunctions.Utility_DisplayArrayInTable(Fertiliser_SourceData.Fertiliser_Products_Data1(),FertiliserProducts[[#Headers],[Include or Exclude]], 0,4)</f>
        <v/>
      </c>
      <c r="AC98" s="171" t="str" cm="1">
        <f t="array" ref="AC98">Common_InputFunctions.Utility_DisplayArrayInTable(Fertiliser_SourceData.Fertiliser_Products_Data1(),FertiliserProducts[[#Headers],[Include or Exclude]], 0,4)</f>
        <v/>
      </c>
      <c r="AD98" s="171" t="str" cm="1">
        <f t="array" ref="AD98">Common_InputFunctions.Utility_DisplayArrayInTable(Fertiliser_SourceData.Fertiliser_Products_Data1(),FertiliserProducts[[#Headers],[Include or Exclude]], 0,4)</f>
        <v/>
      </c>
      <c r="AE98" s="171" t="str" cm="1">
        <f t="array" ref="AE98">Common_InputFunctions.Utility_DisplayArrayInTable(Fertiliser_SourceData.Fertiliser_Products_Data1(),FertiliserProducts[[#Headers],[Include or Exclude]], 0,4)</f>
        <v/>
      </c>
    </row>
    <row r="99" spans="4:31" ht="20.100000000000001" customHeight="1" x14ac:dyDescent="0.25">
      <c r="D99" s="171" t="str" cm="1">
        <f t="array" ref="D99">Common_InputFunctions.Utility_DisplayArrayInTable(Fertiliser_SourceData.Fertiliser_Products_Data1(),FertiliserProducts[[#Headers],[Include or Exclude]], -1)</f>
        <v>Exclude - Not relevant</v>
      </c>
      <c r="E99" s="171" t="str" cm="1">
        <f t="array" ref="E99">Common_InputFunctions.Utility_DisplayArrayInTable(Fertiliser_SourceData.Fertiliser_Products_Data1(),FertiliserProducts[[#Headers],[Include or Exclude]], 0)</f>
        <v/>
      </c>
      <c r="F99" s="171" t="str" cm="1">
        <f t="array" ref="F99">Common_InputFunctions.Utility_DisplayArrayInTable(Fertiliser_SourceData.Fertiliser_Products_Data1(),FertiliserProducts[[#Headers],[Include or Exclude]], 0)</f>
        <v>Campbells fertilisers Australia</v>
      </c>
      <c r="G99" s="171" t="str" cm="1">
        <f t="array" ref="G99">Common_InputFunctions.Utility_DisplayArrayInTable(Fertiliser_SourceData.Fertiliser_Products_Data1(),FertiliserProducts[[#Headers],[Include or Exclude]], 0)</f>
        <v>Aqua Thio-Flourish</v>
      </c>
      <c r="H99" s="171" t="str" cm="1">
        <f t="array" ref="H99">Common_InputFunctions.Utility_DisplayArrayInTable(Fertiliser_SourceData.Fertiliser_Products_Data1(),FertiliserProducts[[#Headers],[Include or Exclude]], 0,4)</f>
        <v>L</v>
      </c>
      <c r="I99" s="171" cm="1">
        <f t="array" ref="I99">Common_InputFunctions.Utility_DisplayArrayInTable(Fertiliser_SourceData.Fertiliser_Products_Data1(),FertiliserProducts[[#Headers],[Include or Exclude]], 0,4)</f>
        <v>1.32</v>
      </c>
      <c r="J99" s="171" t="str" cm="1">
        <f t="array" ref="J99">Common_InputFunctions.Utility_DisplayArrayInTable(Fertiliser_SourceData.Fertiliser_Products_Data1(),FertiliserProducts[[#Headers],[Include or Exclude]], 0,4)</f>
        <v/>
      </c>
      <c r="K99" s="171" t="str" cm="1">
        <f t="array" ref="K99">Common_InputFunctions.Utility_DisplayArrayInTable(Fertiliser_SourceData.Fertiliser_Products_Data1(),FertiliserProducts[[#Headers],[Include or Exclude]], 0,4)</f>
        <v/>
      </c>
      <c r="L99" s="171" t="str" cm="1">
        <f t="array" ref="L99">Common_InputFunctions.Utility_DisplayArrayInTable(Fertiliser_SourceData.Fertiliser_Products_Data1(),FertiliserProducts[[#Headers],[Include or Exclude]], 0,4)</f>
        <v>Potassium - Generic</v>
      </c>
      <c r="M99" s="171" cm="1">
        <f t="array" ref="M99">Common_InputFunctions.Utility_DisplayArrayInTable(Fertiliser_SourceData.Fertiliser_Products_Data1(),FertiliserProducts[[#Headers],[Include or Exclude]], 0,4)</f>
        <v>0.108</v>
      </c>
      <c r="N99" s="171" t="str" cm="1">
        <f t="array" ref="N99">Common_InputFunctions.Utility_DisplayArrayInTable(Fertiliser_SourceData.Fertiliser_Products_Data1(),FertiliserProducts[[#Headers],[Include or Exclude]], 0,4)</f>
        <v>Nitrogen - Generic</v>
      </c>
      <c r="O99" s="171" cm="1">
        <f t="array" ref="O99">Common_InputFunctions.Utility_DisplayArrayInTable(Fertiliser_SourceData.Fertiliser_Products_Data1(),FertiliserProducts[[#Headers],[Include or Exclude]], 0,4)</f>
        <v>9.5000000000000001E-2</v>
      </c>
      <c r="P99" s="171" t="str" cm="1">
        <f t="array" ref="P99">Common_InputFunctions.Utility_DisplayArrayInTable(Fertiliser_SourceData.Fertiliser_Products_Data1(),FertiliserProducts[[#Headers],[Include or Exclude]], 0,4)</f>
        <v>Sulfur - Generic</v>
      </c>
      <c r="Q99" s="171" cm="1">
        <f t="array" ref="Q99">Common_InputFunctions.Utility_DisplayArrayInTable(Fertiliser_SourceData.Fertiliser_Products_Data1(),FertiliserProducts[[#Headers],[Include or Exclude]], 0,4)</f>
        <v>8.1000000000000003E-2</v>
      </c>
      <c r="R99" s="171" t="str" cm="1">
        <f t="array" ref="R99">Common_InputFunctions.Utility_DisplayArrayInTable(Fertiliser_SourceData.Fertiliser_Products_Data1(),FertiliserProducts[[#Headers],[Include or Exclude]], 0,4)</f>
        <v>Phosphorus - Generic</v>
      </c>
      <c r="S99" s="171" cm="1">
        <f t="array" ref="S99">Common_InputFunctions.Utility_DisplayArrayInTable(Fertiliser_SourceData.Fertiliser_Products_Data1(),FertiliserProducts[[#Headers],[Include or Exclude]], 0,4)</f>
        <v>4.7E-2</v>
      </c>
      <c r="T99" s="171" t="str" cm="1">
        <f t="array" ref="T99">Common_InputFunctions.Utility_DisplayArrayInTable(Fertiliser_SourceData.Fertiliser_Products_Data1(),FertiliserProducts[[#Headers],[Include or Exclude]], 0,4)</f>
        <v/>
      </c>
      <c r="U99" s="171" t="str" cm="1">
        <f t="array" ref="U99">Common_InputFunctions.Utility_DisplayArrayInTable(Fertiliser_SourceData.Fertiliser_Products_Data1(),FertiliserProducts[[#Headers],[Include or Exclude]], 0,4)</f>
        <v/>
      </c>
      <c r="V99" s="171" t="str" cm="1">
        <f t="array" ref="V99">Common_InputFunctions.Utility_DisplayArrayInTable(Fertiliser_SourceData.Fertiliser_Products_Data1(),FertiliserProducts[[#Headers],[Include or Exclude]], 0,4)</f>
        <v/>
      </c>
      <c r="W99" s="171" t="str" cm="1">
        <f t="array" ref="W99">Common_InputFunctions.Utility_DisplayArrayInTable(Fertiliser_SourceData.Fertiliser_Products_Data1(),FertiliserProducts[[#Headers],[Include or Exclude]], 0,4)</f>
        <v/>
      </c>
      <c r="X99" s="171" t="str" cm="1">
        <f t="array" ref="X99">Common_InputFunctions.Utility_DisplayArrayInTable(Fertiliser_SourceData.Fertiliser_Products_Data1(),FertiliserProducts[[#Headers],[Include or Exclude]], 0,4)</f>
        <v/>
      </c>
      <c r="Y99" s="171" t="str" cm="1">
        <f t="array" ref="Y99">Common_InputFunctions.Utility_DisplayArrayInTable(Fertiliser_SourceData.Fertiliser_Products_Data1(),FertiliserProducts[[#Headers],[Include or Exclude]], 0,4)</f>
        <v/>
      </c>
      <c r="Z99" s="171" t="str" cm="1">
        <f t="array" ref="Z99">Common_InputFunctions.Utility_DisplayArrayInTable(Fertiliser_SourceData.Fertiliser_Products_Data1(),FertiliserProducts[[#Headers],[Include or Exclude]], 0,4)</f>
        <v/>
      </c>
      <c r="AA99" s="171" t="str" cm="1">
        <f t="array" ref="AA99">Common_InputFunctions.Utility_DisplayArrayInTable(Fertiliser_SourceData.Fertiliser_Products_Data1(),FertiliserProducts[[#Headers],[Include or Exclude]], 0,4)</f>
        <v/>
      </c>
      <c r="AB99" s="171" t="str" cm="1">
        <f t="array" ref="AB99">Common_InputFunctions.Utility_DisplayArrayInTable(Fertiliser_SourceData.Fertiliser_Products_Data1(),FertiliserProducts[[#Headers],[Include or Exclude]], 0,4)</f>
        <v/>
      </c>
      <c r="AC99" s="171" t="str" cm="1">
        <f t="array" ref="AC99">Common_InputFunctions.Utility_DisplayArrayInTable(Fertiliser_SourceData.Fertiliser_Products_Data1(),FertiliserProducts[[#Headers],[Include or Exclude]], 0,4)</f>
        <v/>
      </c>
      <c r="AD99" s="171" t="str" cm="1">
        <f t="array" ref="AD99">Common_InputFunctions.Utility_DisplayArrayInTable(Fertiliser_SourceData.Fertiliser_Products_Data1(),FertiliserProducts[[#Headers],[Include or Exclude]], 0,4)</f>
        <v/>
      </c>
      <c r="AE99" s="171" t="str" cm="1">
        <f t="array" ref="AE99">Common_InputFunctions.Utility_DisplayArrayInTable(Fertiliser_SourceData.Fertiliser_Products_Data1(),FertiliserProducts[[#Headers],[Include or Exclude]], 0,4)</f>
        <v/>
      </c>
    </row>
    <row r="100" spans="4:31" ht="20.100000000000001" customHeight="1" x14ac:dyDescent="0.25">
      <c r="D100" s="171" t="str" cm="1">
        <f t="array" ref="D100">Common_InputFunctions.Utility_DisplayArrayInTable(Fertiliser_SourceData.Fertiliser_Products_Data1(),FertiliserProducts[[#Headers],[Include or Exclude]], -1)</f>
        <v>Exclude - Not relevant</v>
      </c>
      <c r="E100" s="171" t="str" cm="1">
        <f t="array" ref="E100">Common_InputFunctions.Utility_DisplayArrayInTable(Fertiliser_SourceData.Fertiliser_Products_Data1(),FertiliserProducts[[#Headers],[Include or Exclude]], 0)</f>
        <v/>
      </c>
      <c r="F100" s="171" t="str" cm="1">
        <f t="array" ref="F100">Common_InputFunctions.Utility_DisplayArrayInTable(Fertiliser_SourceData.Fertiliser_Products_Data1(),FertiliserProducts[[#Headers],[Include or Exclude]], 0)</f>
        <v>Campbells fertilisers Australia</v>
      </c>
      <c r="G100" s="171" t="str" cm="1">
        <f t="array" ref="G100">Common_InputFunctions.Utility_DisplayArrayInTable(Fertiliser_SourceData.Fertiliser_Products_Data1(),FertiliserProducts[[#Headers],[Include or Exclude]], 0)</f>
        <v>Asco Fol Plus</v>
      </c>
      <c r="H100" s="171" t="str" cm="1">
        <f t="array" ref="H100">Common_InputFunctions.Utility_DisplayArrayInTable(Fertiliser_SourceData.Fertiliser_Products_Data1(),FertiliserProducts[[#Headers],[Include or Exclude]], 0,4)</f>
        <v/>
      </c>
      <c r="I100" s="171" t="str" cm="1">
        <f t="array" ref="I100">Common_InputFunctions.Utility_DisplayArrayInTable(Fertiliser_SourceData.Fertiliser_Products_Data1(),FertiliserProducts[[#Headers],[Include or Exclude]], 0,4)</f>
        <v/>
      </c>
      <c r="J100" s="171" t="str" cm="1">
        <f t="array" ref="J100">Common_InputFunctions.Utility_DisplayArrayInTable(Fertiliser_SourceData.Fertiliser_Products_Data1(),FertiliserProducts[[#Headers],[Include or Exclude]], 0,4)</f>
        <v/>
      </c>
      <c r="K100" s="171" t="str" cm="1">
        <f t="array" ref="K100">Common_InputFunctions.Utility_DisplayArrayInTable(Fertiliser_SourceData.Fertiliser_Products_Data1(),FertiliserProducts[[#Headers],[Include or Exclude]], 0,4)</f>
        <v/>
      </c>
      <c r="L100" s="171" t="str" cm="1">
        <f t="array" ref="L100">Common_InputFunctions.Utility_DisplayArrayInTable(Fertiliser_SourceData.Fertiliser_Products_Data1(),FertiliserProducts[[#Headers],[Include or Exclude]], 0,4)</f>
        <v/>
      </c>
      <c r="M100" s="171" t="str" cm="1">
        <f t="array" ref="M100">Common_InputFunctions.Utility_DisplayArrayInTable(Fertiliser_SourceData.Fertiliser_Products_Data1(),FertiliserProducts[[#Headers],[Include or Exclude]], 0,4)</f>
        <v/>
      </c>
      <c r="N100" s="171" t="str" cm="1">
        <f t="array" ref="N100">Common_InputFunctions.Utility_DisplayArrayInTable(Fertiliser_SourceData.Fertiliser_Products_Data1(),FertiliserProducts[[#Headers],[Include or Exclude]], 0,4)</f>
        <v/>
      </c>
      <c r="O100" s="171" t="str" cm="1">
        <f t="array" ref="O100">Common_InputFunctions.Utility_DisplayArrayInTable(Fertiliser_SourceData.Fertiliser_Products_Data1(),FertiliserProducts[[#Headers],[Include or Exclude]], 0,4)</f>
        <v/>
      </c>
      <c r="P100" s="171" t="str" cm="1">
        <f t="array" ref="P100">Common_InputFunctions.Utility_DisplayArrayInTable(Fertiliser_SourceData.Fertiliser_Products_Data1(),FertiliserProducts[[#Headers],[Include or Exclude]], 0,4)</f>
        <v/>
      </c>
      <c r="Q100" s="171" t="str" cm="1">
        <f t="array" ref="Q100">Common_InputFunctions.Utility_DisplayArrayInTable(Fertiliser_SourceData.Fertiliser_Products_Data1(),FertiliserProducts[[#Headers],[Include or Exclude]], 0,4)</f>
        <v/>
      </c>
      <c r="R100" s="171" t="str" cm="1">
        <f t="array" ref="R100">Common_InputFunctions.Utility_DisplayArrayInTable(Fertiliser_SourceData.Fertiliser_Products_Data1(),FertiliserProducts[[#Headers],[Include or Exclude]], 0,4)</f>
        <v/>
      </c>
      <c r="S100" s="171" t="str" cm="1">
        <f t="array" ref="S100">Common_InputFunctions.Utility_DisplayArrayInTable(Fertiliser_SourceData.Fertiliser_Products_Data1(),FertiliserProducts[[#Headers],[Include or Exclude]], 0,4)</f>
        <v/>
      </c>
      <c r="T100" s="171" t="str" cm="1">
        <f t="array" ref="T100">Common_InputFunctions.Utility_DisplayArrayInTable(Fertiliser_SourceData.Fertiliser_Products_Data1(),FertiliserProducts[[#Headers],[Include or Exclude]], 0,4)</f>
        <v/>
      </c>
      <c r="U100" s="171" t="str" cm="1">
        <f t="array" ref="U100">Common_InputFunctions.Utility_DisplayArrayInTable(Fertiliser_SourceData.Fertiliser_Products_Data1(),FertiliserProducts[[#Headers],[Include or Exclude]], 0,4)</f>
        <v/>
      </c>
      <c r="V100" s="171" t="str" cm="1">
        <f t="array" ref="V100">Common_InputFunctions.Utility_DisplayArrayInTable(Fertiliser_SourceData.Fertiliser_Products_Data1(),FertiliserProducts[[#Headers],[Include or Exclude]], 0,4)</f>
        <v/>
      </c>
      <c r="W100" s="171" t="str" cm="1">
        <f t="array" ref="W100">Common_InputFunctions.Utility_DisplayArrayInTable(Fertiliser_SourceData.Fertiliser_Products_Data1(),FertiliserProducts[[#Headers],[Include or Exclude]], 0,4)</f>
        <v/>
      </c>
      <c r="X100" s="171" t="str" cm="1">
        <f t="array" ref="X100">Common_InputFunctions.Utility_DisplayArrayInTable(Fertiliser_SourceData.Fertiliser_Products_Data1(),FertiliserProducts[[#Headers],[Include or Exclude]], 0,4)</f>
        <v/>
      </c>
      <c r="Y100" s="171" t="str" cm="1">
        <f t="array" ref="Y100">Common_InputFunctions.Utility_DisplayArrayInTable(Fertiliser_SourceData.Fertiliser_Products_Data1(),FertiliserProducts[[#Headers],[Include or Exclude]], 0,4)</f>
        <v/>
      </c>
      <c r="Z100" s="171" t="str" cm="1">
        <f t="array" ref="Z100">Common_InputFunctions.Utility_DisplayArrayInTable(Fertiliser_SourceData.Fertiliser_Products_Data1(),FertiliserProducts[[#Headers],[Include or Exclude]], 0,4)</f>
        <v/>
      </c>
      <c r="AA100" s="171" t="str" cm="1">
        <f t="array" ref="AA100">Common_InputFunctions.Utility_DisplayArrayInTable(Fertiliser_SourceData.Fertiliser_Products_Data1(),FertiliserProducts[[#Headers],[Include or Exclude]], 0,4)</f>
        <v/>
      </c>
      <c r="AB100" s="171" t="str" cm="1">
        <f t="array" ref="AB100">Common_InputFunctions.Utility_DisplayArrayInTable(Fertiliser_SourceData.Fertiliser_Products_Data1(),FertiliserProducts[[#Headers],[Include or Exclude]], 0,4)</f>
        <v/>
      </c>
      <c r="AC100" s="171" t="str" cm="1">
        <f t="array" ref="AC100">Common_InputFunctions.Utility_DisplayArrayInTable(Fertiliser_SourceData.Fertiliser_Products_Data1(),FertiliserProducts[[#Headers],[Include or Exclude]], 0,4)</f>
        <v/>
      </c>
      <c r="AD100" s="171" t="str" cm="1">
        <f t="array" ref="AD100">Common_InputFunctions.Utility_DisplayArrayInTable(Fertiliser_SourceData.Fertiliser_Products_Data1(),FertiliserProducts[[#Headers],[Include or Exclude]], 0,4)</f>
        <v/>
      </c>
      <c r="AE100" s="171" t="str" cm="1">
        <f t="array" ref="AE100">Common_InputFunctions.Utility_DisplayArrayInTable(Fertiliser_SourceData.Fertiliser_Products_Data1(),FertiliserProducts[[#Headers],[Include or Exclude]], 0,4)</f>
        <v/>
      </c>
    </row>
    <row r="101" spans="4:31" ht="20.100000000000001" customHeight="1" x14ac:dyDescent="0.25">
      <c r="D101" s="171" t="str" cm="1">
        <f t="array" ref="D101">Common_InputFunctions.Utility_DisplayArrayInTable(Fertiliser_SourceData.Fertiliser_Products_Data1(),FertiliserProducts[[#Headers],[Include or Exclude]], -1)</f>
        <v>Exclude - Not relevant</v>
      </c>
      <c r="E101" s="171" t="str" cm="1">
        <f t="array" ref="E101">Common_InputFunctions.Utility_DisplayArrayInTable(Fertiliser_SourceData.Fertiliser_Products_Data1(),FertiliserProducts[[#Headers],[Include or Exclude]], 0)</f>
        <v/>
      </c>
      <c r="F101" s="171" t="str" cm="1">
        <f t="array" ref="F101">Common_InputFunctions.Utility_DisplayArrayInTable(Fertiliser_SourceData.Fertiliser_Products_Data1(),FertiliserProducts[[#Headers],[Include or Exclude]], 0)</f>
        <v>Campbells fertilisers Australia</v>
      </c>
      <c r="G101" s="171" t="str" cm="1">
        <f t="array" ref="G101">Common_InputFunctions.Utility_DisplayArrayInTable(Fertiliser_SourceData.Fertiliser_Products_Data1(),FertiliserProducts[[#Headers],[Include or Exclude]], 0)</f>
        <v>Asco Plus</v>
      </c>
      <c r="H101" s="171" t="str" cm="1">
        <f t="array" ref="H101">Common_InputFunctions.Utility_DisplayArrayInTable(Fertiliser_SourceData.Fertiliser_Products_Data1(),FertiliserProducts[[#Headers],[Include or Exclude]], 0,4)</f>
        <v/>
      </c>
      <c r="I101" s="171" t="str" cm="1">
        <f t="array" ref="I101">Common_InputFunctions.Utility_DisplayArrayInTable(Fertiliser_SourceData.Fertiliser_Products_Data1(),FertiliserProducts[[#Headers],[Include or Exclude]], 0,4)</f>
        <v/>
      </c>
      <c r="J101" s="171" t="str" cm="1">
        <f t="array" ref="J101">Common_InputFunctions.Utility_DisplayArrayInTable(Fertiliser_SourceData.Fertiliser_Products_Data1(),FertiliserProducts[[#Headers],[Include or Exclude]], 0,4)</f>
        <v/>
      </c>
      <c r="K101" s="171" t="str" cm="1">
        <f t="array" ref="K101">Common_InputFunctions.Utility_DisplayArrayInTable(Fertiliser_SourceData.Fertiliser_Products_Data1(),FertiliserProducts[[#Headers],[Include or Exclude]], 0,4)</f>
        <v/>
      </c>
      <c r="L101" s="171" t="str" cm="1">
        <f t="array" ref="L101">Common_InputFunctions.Utility_DisplayArrayInTable(Fertiliser_SourceData.Fertiliser_Products_Data1(),FertiliserProducts[[#Headers],[Include or Exclude]], 0,4)</f>
        <v/>
      </c>
      <c r="M101" s="171" t="str" cm="1">
        <f t="array" ref="M101">Common_InputFunctions.Utility_DisplayArrayInTable(Fertiliser_SourceData.Fertiliser_Products_Data1(),FertiliserProducts[[#Headers],[Include or Exclude]], 0,4)</f>
        <v/>
      </c>
      <c r="N101" s="171" t="str" cm="1">
        <f t="array" ref="N101">Common_InputFunctions.Utility_DisplayArrayInTable(Fertiliser_SourceData.Fertiliser_Products_Data1(),FertiliserProducts[[#Headers],[Include or Exclude]], 0,4)</f>
        <v/>
      </c>
      <c r="O101" s="171" t="str" cm="1">
        <f t="array" ref="O101">Common_InputFunctions.Utility_DisplayArrayInTable(Fertiliser_SourceData.Fertiliser_Products_Data1(),FertiliserProducts[[#Headers],[Include or Exclude]], 0,4)</f>
        <v/>
      </c>
      <c r="P101" s="171" t="str" cm="1">
        <f t="array" ref="P101">Common_InputFunctions.Utility_DisplayArrayInTable(Fertiliser_SourceData.Fertiliser_Products_Data1(),FertiliserProducts[[#Headers],[Include or Exclude]], 0,4)</f>
        <v/>
      </c>
      <c r="Q101" s="171" t="str" cm="1">
        <f t="array" ref="Q101">Common_InputFunctions.Utility_DisplayArrayInTable(Fertiliser_SourceData.Fertiliser_Products_Data1(),FertiliserProducts[[#Headers],[Include or Exclude]], 0,4)</f>
        <v/>
      </c>
      <c r="R101" s="171" t="str" cm="1">
        <f t="array" ref="R101">Common_InputFunctions.Utility_DisplayArrayInTable(Fertiliser_SourceData.Fertiliser_Products_Data1(),FertiliserProducts[[#Headers],[Include or Exclude]], 0,4)</f>
        <v/>
      </c>
      <c r="S101" s="171" t="str" cm="1">
        <f t="array" ref="S101">Common_InputFunctions.Utility_DisplayArrayInTable(Fertiliser_SourceData.Fertiliser_Products_Data1(),FertiliserProducts[[#Headers],[Include or Exclude]], 0,4)</f>
        <v/>
      </c>
      <c r="T101" s="171" t="str" cm="1">
        <f t="array" ref="T101">Common_InputFunctions.Utility_DisplayArrayInTable(Fertiliser_SourceData.Fertiliser_Products_Data1(),FertiliserProducts[[#Headers],[Include or Exclude]], 0,4)</f>
        <v/>
      </c>
      <c r="U101" s="171" t="str" cm="1">
        <f t="array" ref="U101">Common_InputFunctions.Utility_DisplayArrayInTable(Fertiliser_SourceData.Fertiliser_Products_Data1(),FertiliserProducts[[#Headers],[Include or Exclude]], 0,4)</f>
        <v/>
      </c>
      <c r="V101" s="171" t="str" cm="1">
        <f t="array" ref="V101">Common_InputFunctions.Utility_DisplayArrayInTable(Fertiliser_SourceData.Fertiliser_Products_Data1(),FertiliserProducts[[#Headers],[Include or Exclude]], 0,4)</f>
        <v/>
      </c>
      <c r="W101" s="171" t="str" cm="1">
        <f t="array" ref="W101">Common_InputFunctions.Utility_DisplayArrayInTable(Fertiliser_SourceData.Fertiliser_Products_Data1(),FertiliserProducts[[#Headers],[Include or Exclude]], 0,4)</f>
        <v/>
      </c>
      <c r="X101" s="171" t="str" cm="1">
        <f t="array" ref="X101">Common_InputFunctions.Utility_DisplayArrayInTable(Fertiliser_SourceData.Fertiliser_Products_Data1(),FertiliserProducts[[#Headers],[Include or Exclude]], 0,4)</f>
        <v/>
      </c>
      <c r="Y101" s="171" t="str" cm="1">
        <f t="array" ref="Y101">Common_InputFunctions.Utility_DisplayArrayInTable(Fertiliser_SourceData.Fertiliser_Products_Data1(),FertiliserProducts[[#Headers],[Include or Exclude]], 0,4)</f>
        <v/>
      </c>
      <c r="Z101" s="171" t="str" cm="1">
        <f t="array" ref="Z101">Common_InputFunctions.Utility_DisplayArrayInTable(Fertiliser_SourceData.Fertiliser_Products_Data1(),FertiliserProducts[[#Headers],[Include or Exclude]], 0,4)</f>
        <v/>
      </c>
      <c r="AA101" s="171" t="str" cm="1">
        <f t="array" ref="AA101">Common_InputFunctions.Utility_DisplayArrayInTable(Fertiliser_SourceData.Fertiliser_Products_Data1(),FertiliserProducts[[#Headers],[Include or Exclude]], 0,4)</f>
        <v/>
      </c>
      <c r="AB101" s="171" t="str" cm="1">
        <f t="array" ref="AB101">Common_InputFunctions.Utility_DisplayArrayInTable(Fertiliser_SourceData.Fertiliser_Products_Data1(),FertiliserProducts[[#Headers],[Include or Exclude]], 0,4)</f>
        <v/>
      </c>
      <c r="AC101" s="171" t="str" cm="1">
        <f t="array" ref="AC101">Common_InputFunctions.Utility_DisplayArrayInTable(Fertiliser_SourceData.Fertiliser_Products_Data1(),FertiliserProducts[[#Headers],[Include or Exclude]], 0,4)</f>
        <v/>
      </c>
      <c r="AD101" s="171" t="str" cm="1">
        <f t="array" ref="AD101">Common_InputFunctions.Utility_DisplayArrayInTable(Fertiliser_SourceData.Fertiliser_Products_Data1(),FertiliserProducts[[#Headers],[Include or Exclude]], 0,4)</f>
        <v/>
      </c>
      <c r="AE101" s="171" t="str" cm="1">
        <f t="array" ref="AE101">Common_InputFunctions.Utility_DisplayArrayInTable(Fertiliser_SourceData.Fertiliser_Products_Data1(),FertiliserProducts[[#Headers],[Include or Exclude]], 0,4)</f>
        <v/>
      </c>
    </row>
    <row r="102" spans="4:31" ht="20.100000000000001" customHeight="1" x14ac:dyDescent="0.25">
      <c r="D102" s="171" t="str" cm="1">
        <f t="array" ref="D102">Common_InputFunctions.Utility_DisplayArrayInTable(Fertiliser_SourceData.Fertiliser_Products_Data1(),FertiliserProducts[[#Headers],[Include or Exclude]], -1)</f>
        <v>Exclude - Not relevant</v>
      </c>
      <c r="E102" s="171" t="str" cm="1">
        <f t="array" ref="E102">Common_InputFunctions.Utility_DisplayArrayInTable(Fertiliser_SourceData.Fertiliser_Products_Data1(),FertiliserProducts[[#Headers],[Include or Exclude]], 0)</f>
        <v/>
      </c>
      <c r="F102" s="171" t="str" cm="1">
        <f t="array" ref="F102">Common_InputFunctions.Utility_DisplayArrayInTable(Fertiliser_SourceData.Fertiliser_Products_Data1(),FertiliserProducts[[#Headers],[Include or Exclude]], 0)</f>
        <v>Campbells fertilisers Australia</v>
      </c>
      <c r="G102" s="171" t="str" cm="1">
        <f t="array" ref="G102">Common_InputFunctions.Utility_DisplayArrayInTable(Fertiliser_SourceData.Fertiliser_Products_Data1(),FertiliserProducts[[#Headers],[Include or Exclude]], 0)</f>
        <v>Asco Rhizo Plus</v>
      </c>
      <c r="H102" s="171" t="str" cm="1">
        <f t="array" ref="H102">Common_InputFunctions.Utility_DisplayArrayInTable(Fertiliser_SourceData.Fertiliser_Products_Data1(),FertiliserProducts[[#Headers],[Include or Exclude]], 0,4)</f>
        <v/>
      </c>
      <c r="I102" s="171" t="str" cm="1">
        <f t="array" ref="I102">Common_InputFunctions.Utility_DisplayArrayInTable(Fertiliser_SourceData.Fertiliser_Products_Data1(),FertiliserProducts[[#Headers],[Include or Exclude]], 0,4)</f>
        <v/>
      </c>
      <c r="J102" s="171" t="str" cm="1">
        <f t="array" ref="J102">Common_InputFunctions.Utility_DisplayArrayInTable(Fertiliser_SourceData.Fertiliser_Products_Data1(),FertiliserProducts[[#Headers],[Include or Exclude]], 0,4)</f>
        <v/>
      </c>
      <c r="K102" s="171" t="str" cm="1">
        <f t="array" ref="K102">Common_InputFunctions.Utility_DisplayArrayInTable(Fertiliser_SourceData.Fertiliser_Products_Data1(),FertiliserProducts[[#Headers],[Include or Exclude]], 0,4)</f>
        <v/>
      </c>
      <c r="L102" s="171" t="str" cm="1">
        <f t="array" ref="L102">Common_InputFunctions.Utility_DisplayArrayInTable(Fertiliser_SourceData.Fertiliser_Products_Data1(),FertiliserProducts[[#Headers],[Include or Exclude]], 0,4)</f>
        <v/>
      </c>
      <c r="M102" s="171" t="str" cm="1">
        <f t="array" ref="M102">Common_InputFunctions.Utility_DisplayArrayInTable(Fertiliser_SourceData.Fertiliser_Products_Data1(),FertiliserProducts[[#Headers],[Include or Exclude]], 0,4)</f>
        <v/>
      </c>
      <c r="N102" s="171" t="str" cm="1">
        <f t="array" ref="N102">Common_InputFunctions.Utility_DisplayArrayInTable(Fertiliser_SourceData.Fertiliser_Products_Data1(),FertiliserProducts[[#Headers],[Include or Exclude]], 0,4)</f>
        <v/>
      </c>
      <c r="O102" s="171" t="str" cm="1">
        <f t="array" ref="O102">Common_InputFunctions.Utility_DisplayArrayInTable(Fertiliser_SourceData.Fertiliser_Products_Data1(),FertiliserProducts[[#Headers],[Include or Exclude]], 0,4)</f>
        <v/>
      </c>
      <c r="P102" s="171" t="str" cm="1">
        <f t="array" ref="P102">Common_InputFunctions.Utility_DisplayArrayInTable(Fertiliser_SourceData.Fertiliser_Products_Data1(),FertiliserProducts[[#Headers],[Include or Exclude]], 0,4)</f>
        <v/>
      </c>
      <c r="Q102" s="171" t="str" cm="1">
        <f t="array" ref="Q102">Common_InputFunctions.Utility_DisplayArrayInTable(Fertiliser_SourceData.Fertiliser_Products_Data1(),FertiliserProducts[[#Headers],[Include or Exclude]], 0,4)</f>
        <v/>
      </c>
      <c r="R102" s="171" t="str" cm="1">
        <f t="array" ref="R102">Common_InputFunctions.Utility_DisplayArrayInTable(Fertiliser_SourceData.Fertiliser_Products_Data1(),FertiliserProducts[[#Headers],[Include or Exclude]], 0,4)</f>
        <v/>
      </c>
      <c r="S102" s="171" t="str" cm="1">
        <f t="array" ref="S102">Common_InputFunctions.Utility_DisplayArrayInTable(Fertiliser_SourceData.Fertiliser_Products_Data1(),FertiliserProducts[[#Headers],[Include or Exclude]], 0,4)</f>
        <v/>
      </c>
      <c r="T102" s="171" t="str" cm="1">
        <f t="array" ref="T102">Common_InputFunctions.Utility_DisplayArrayInTable(Fertiliser_SourceData.Fertiliser_Products_Data1(),FertiliserProducts[[#Headers],[Include or Exclude]], 0,4)</f>
        <v/>
      </c>
      <c r="U102" s="171" t="str" cm="1">
        <f t="array" ref="U102">Common_InputFunctions.Utility_DisplayArrayInTable(Fertiliser_SourceData.Fertiliser_Products_Data1(),FertiliserProducts[[#Headers],[Include or Exclude]], 0,4)</f>
        <v/>
      </c>
      <c r="V102" s="171" t="str" cm="1">
        <f t="array" ref="V102">Common_InputFunctions.Utility_DisplayArrayInTable(Fertiliser_SourceData.Fertiliser_Products_Data1(),FertiliserProducts[[#Headers],[Include or Exclude]], 0,4)</f>
        <v/>
      </c>
      <c r="W102" s="171" t="str" cm="1">
        <f t="array" ref="W102">Common_InputFunctions.Utility_DisplayArrayInTable(Fertiliser_SourceData.Fertiliser_Products_Data1(),FertiliserProducts[[#Headers],[Include or Exclude]], 0,4)</f>
        <v/>
      </c>
      <c r="X102" s="171" t="str" cm="1">
        <f t="array" ref="X102">Common_InputFunctions.Utility_DisplayArrayInTable(Fertiliser_SourceData.Fertiliser_Products_Data1(),FertiliserProducts[[#Headers],[Include or Exclude]], 0,4)</f>
        <v/>
      </c>
      <c r="Y102" s="171" t="str" cm="1">
        <f t="array" ref="Y102">Common_InputFunctions.Utility_DisplayArrayInTable(Fertiliser_SourceData.Fertiliser_Products_Data1(),FertiliserProducts[[#Headers],[Include or Exclude]], 0,4)</f>
        <v/>
      </c>
      <c r="Z102" s="171" t="str" cm="1">
        <f t="array" ref="Z102">Common_InputFunctions.Utility_DisplayArrayInTable(Fertiliser_SourceData.Fertiliser_Products_Data1(),FertiliserProducts[[#Headers],[Include or Exclude]], 0,4)</f>
        <v/>
      </c>
      <c r="AA102" s="171" t="str" cm="1">
        <f t="array" ref="AA102">Common_InputFunctions.Utility_DisplayArrayInTable(Fertiliser_SourceData.Fertiliser_Products_Data1(),FertiliserProducts[[#Headers],[Include or Exclude]], 0,4)</f>
        <v/>
      </c>
      <c r="AB102" s="171" t="str" cm="1">
        <f t="array" ref="AB102">Common_InputFunctions.Utility_DisplayArrayInTable(Fertiliser_SourceData.Fertiliser_Products_Data1(),FertiliserProducts[[#Headers],[Include or Exclude]], 0,4)</f>
        <v/>
      </c>
      <c r="AC102" s="171" t="str" cm="1">
        <f t="array" ref="AC102">Common_InputFunctions.Utility_DisplayArrayInTable(Fertiliser_SourceData.Fertiliser_Products_Data1(),FertiliserProducts[[#Headers],[Include or Exclude]], 0,4)</f>
        <v/>
      </c>
      <c r="AD102" s="171" t="str" cm="1">
        <f t="array" ref="AD102">Common_InputFunctions.Utility_DisplayArrayInTable(Fertiliser_SourceData.Fertiliser_Products_Data1(),FertiliserProducts[[#Headers],[Include or Exclude]], 0,4)</f>
        <v/>
      </c>
      <c r="AE102" s="171" t="str" cm="1">
        <f t="array" ref="AE102">Common_InputFunctions.Utility_DisplayArrayInTable(Fertiliser_SourceData.Fertiliser_Products_Data1(),FertiliserProducts[[#Headers],[Include or Exclude]], 0,4)</f>
        <v/>
      </c>
    </row>
    <row r="103" spans="4:31" ht="20.100000000000001" customHeight="1" x14ac:dyDescent="0.25">
      <c r="D103" s="171" t="str" cm="1">
        <f t="array" ref="D103">Common_InputFunctions.Utility_DisplayArrayInTable(Fertiliser_SourceData.Fertiliser_Products_Data1(),FertiliserProducts[[#Headers],[Include or Exclude]], -1)</f>
        <v>Include - Absent ingredients &lt; 2%</v>
      </c>
      <c r="E103" s="171" t="str" cm="1">
        <f t="array" ref="E103">Common_InputFunctions.Utility_DisplayArrayInTable(Fertiliser_SourceData.Fertiliser_Products_Data1(),FertiliserProducts[[#Headers],[Include or Exclude]], 0)</f>
        <v/>
      </c>
      <c r="F103" s="171" t="str" cm="1">
        <f t="array" ref="F103">Common_InputFunctions.Utility_DisplayArrayInTable(Fertiliser_SourceData.Fertiliser_Products_Data1(),FertiliserProducts[[#Headers],[Include or Exclude]], 0)</f>
        <v>Campbells fertilisers Australia</v>
      </c>
      <c r="G103" s="171" t="str" cm="1">
        <f t="array" ref="G103">Common_InputFunctions.Utility_DisplayArrayInTable(Fertiliser_SourceData.Fertiliser_Products_Data1(),FertiliserProducts[[#Headers],[Include or Exclude]], 0)</f>
        <v>Benefit PZ</v>
      </c>
      <c r="H103" s="171" t="str" cm="1">
        <f t="array" ref="H103">Common_InputFunctions.Utility_DisplayArrayInTable(Fertiliser_SourceData.Fertiliser_Products_Data1(),FertiliserProducts[[#Headers],[Include or Exclude]], 0,4)</f>
        <v/>
      </c>
      <c r="I103" s="171" t="str" cm="1">
        <f t="array" ref="I103">Common_InputFunctions.Utility_DisplayArrayInTable(Fertiliser_SourceData.Fertiliser_Products_Data1(),FertiliserProducts[[#Headers],[Include or Exclude]], 0,4)</f>
        <v/>
      </c>
      <c r="J103" s="171" t="str" cm="1">
        <f t="array" ref="J103">Common_InputFunctions.Utility_DisplayArrayInTable(Fertiliser_SourceData.Fertiliser_Products_Data1(),FertiliserProducts[[#Headers],[Include or Exclude]], 0,4)</f>
        <v/>
      </c>
      <c r="K103" s="171" t="str" cm="1">
        <f t="array" ref="K103">Common_InputFunctions.Utility_DisplayArrayInTable(Fertiliser_SourceData.Fertiliser_Products_Data1(),FertiliserProducts[[#Headers],[Include or Exclude]], 0,4)</f>
        <v/>
      </c>
      <c r="L103" s="171" t="str" cm="1">
        <f t="array" ref="L103">Common_InputFunctions.Utility_DisplayArrayInTable(Fertiliser_SourceData.Fertiliser_Products_Data1(),FertiliserProducts[[#Headers],[Include or Exclude]], 0,4)</f>
        <v/>
      </c>
      <c r="M103" s="171" t="str" cm="1">
        <f t="array" ref="M103">Common_InputFunctions.Utility_DisplayArrayInTable(Fertiliser_SourceData.Fertiliser_Products_Data1(),FertiliserProducts[[#Headers],[Include or Exclude]], 0,4)</f>
        <v/>
      </c>
      <c r="N103" s="171" t="str" cm="1">
        <f t="array" ref="N103">Common_InputFunctions.Utility_DisplayArrayInTable(Fertiliser_SourceData.Fertiliser_Products_Data1(),FertiliserProducts[[#Headers],[Include or Exclude]], 0,4)</f>
        <v/>
      </c>
      <c r="O103" s="171" t="str" cm="1">
        <f t="array" ref="O103">Common_InputFunctions.Utility_DisplayArrayInTable(Fertiliser_SourceData.Fertiliser_Products_Data1(),FertiliserProducts[[#Headers],[Include or Exclude]], 0,4)</f>
        <v/>
      </c>
      <c r="P103" s="171" t="str" cm="1">
        <f t="array" ref="P103">Common_InputFunctions.Utility_DisplayArrayInTable(Fertiliser_SourceData.Fertiliser_Products_Data1(),FertiliserProducts[[#Headers],[Include or Exclude]], 0,4)</f>
        <v/>
      </c>
      <c r="Q103" s="171" t="str" cm="1">
        <f t="array" ref="Q103">Common_InputFunctions.Utility_DisplayArrayInTable(Fertiliser_SourceData.Fertiliser_Products_Data1(),FertiliserProducts[[#Headers],[Include or Exclude]], 0,4)</f>
        <v/>
      </c>
      <c r="R103" s="171" t="str" cm="1">
        <f t="array" ref="R103">Common_InputFunctions.Utility_DisplayArrayInTable(Fertiliser_SourceData.Fertiliser_Products_Data1(),FertiliserProducts[[#Headers],[Include or Exclude]], 0,4)</f>
        <v/>
      </c>
      <c r="S103" s="171" t="str" cm="1">
        <f t="array" ref="S103">Common_InputFunctions.Utility_DisplayArrayInTable(Fertiliser_SourceData.Fertiliser_Products_Data1(),FertiliserProducts[[#Headers],[Include or Exclude]], 0,4)</f>
        <v/>
      </c>
      <c r="T103" s="171" t="str" cm="1">
        <f t="array" ref="T103">Common_InputFunctions.Utility_DisplayArrayInTable(Fertiliser_SourceData.Fertiliser_Products_Data1(),FertiliserProducts[[#Headers],[Include or Exclude]], 0,4)</f>
        <v/>
      </c>
      <c r="U103" s="171" t="str" cm="1">
        <f t="array" ref="U103">Common_InputFunctions.Utility_DisplayArrayInTable(Fertiliser_SourceData.Fertiliser_Products_Data1(),FertiliserProducts[[#Headers],[Include or Exclude]], 0,4)</f>
        <v/>
      </c>
      <c r="V103" s="171" t="str" cm="1">
        <f t="array" ref="V103">Common_InputFunctions.Utility_DisplayArrayInTable(Fertiliser_SourceData.Fertiliser_Products_Data1(),FertiliserProducts[[#Headers],[Include or Exclude]], 0,4)</f>
        <v/>
      </c>
      <c r="W103" s="171" t="str" cm="1">
        <f t="array" ref="W103">Common_InputFunctions.Utility_DisplayArrayInTable(Fertiliser_SourceData.Fertiliser_Products_Data1(),FertiliserProducts[[#Headers],[Include or Exclude]], 0,4)</f>
        <v/>
      </c>
      <c r="X103" s="171" t="str" cm="1">
        <f t="array" ref="X103">Common_InputFunctions.Utility_DisplayArrayInTable(Fertiliser_SourceData.Fertiliser_Products_Data1(),FertiliserProducts[[#Headers],[Include or Exclude]], 0,4)</f>
        <v/>
      </c>
      <c r="Y103" s="171" t="str" cm="1">
        <f t="array" ref="Y103">Common_InputFunctions.Utility_DisplayArrayInTable(Fertiliser_SourceData.Fertiliser_Products_Data1(),FertiliserProducts[[#Headers],[Include or Exclude]], 0,4)</f>
        <v/>
      </c>
      <c r="Z103" s="171" t="str" cm="1">
        <f t="array" ref="Z103">Common_InputFunctions.Utility_DisplayArrayInTable(Fertiliser_SourceData.Fertiliser_Products_Data1(),FertiliserProducts[[#Headers],[Include or Exclude]], 0,4)</f>
        <v/>
      </c>
      <c r="AA103" s="171" t="str" cm="1">
        <f t="array" ref="AA103">Common_InputFunctions.Utility_DisplayArrayInTable(Fertiliser_SourceData.Fertiliser_Products_Data1(),FertiliserProducts[[#Headers],[Include or Exclude]], 0,4)</f>
        <v/>
      </c>
      <c r="AB103" s="171" t="str" cm="1">
        <f t="array" ref="AB103">Common_InputFunctions.Utility_DisplayArrayInTable(Fertiliser_SourceData.Fertiliser_Products_Data1(),FertiliserProducts[[#Headers],[Include or Exclude]], 0,4)</f>
        <v/>
      </c>
      <c r="AC103" s="171" t="str" cm="1">
        <f t="array" ref="AC103">Common_InputFunctions.Utility_DisplayArrayInTable(Fertiliser_SourceData.Fertiliser_Products_Data1(),FertiliserProducts[[#Headers],[Include or Exclude]], 0,4)</f>
        <v/>
      </c>
      <c r="AD103" s="171" t="str" cm="1">
        <f t="array" ref="AD103">Common_InputFunctions.Utility_DisplayArrayInTable(Fertiliser_SourceData.Fertiliser_Products_Data1(),FertiliserProducts[[#Headers],[Include or Exclude]], 0,4)</f>
        <v/>
      </c>
      <c r="AE103" s="171" t="str" cm="1">
        <f t="array" ref="AE103">Common_InputFunctions.Utility_DisplayArrayInTable(Fertiliser_SourceData.Fertiliser_Products_Data1(),FertiliserProducts[[#Headers],[Include or Exclude]], 0,4)</f>
        <v/>
      </c>
    </row>
    <row r="104" spans="4:31" ht="20.100000000000001" customHeight="1" x14ac:dyDescent="0.25">
      <c r="D104" s="171" t="str" cm="1">
        <f t="array" ref="D104">Common_InputFunctions.Utility_DisplayArrayInTable(Fertiliser_SourceData.Fertiliser_Products_Data1(),FertiliserProducts[[#Headers],[Include or Exclude]], -1)</f>
        <v>Exclude - Not relevant</v>
      </c>
      <c r="E104" s="171" t="str" cm="1">
        <f t="array" ref="E104">Common_InputFunctions.Utility_DisplayArrayInTable(Fertiliser_SourceData.Fertiliser_Products_Data1(),FertiliserProducts[[#Headers],[Include or Exclude]], 0)</f>
        <v>Amount of urea calculated from urea nitrogen amount</v>
      </c>
      <c r="F104" s="171" t="str" cm="1">
        <f t="array" ref="F104">Common_InputFunctions.Utility_DisplayArrayInTable(Fertiliser_SourceData.Fertiliser_Products_Data1(),FertiliserProducts[[#Headers],[Include or Exclude]], 0)</f>
        <v>Campbells fertilisers Australia</v>
      </c>
      <c r="G104" s="171" t="str" cm="1">
        <f t="array" ref="G104">Common_InputFunctions.Utility_DisplayArrayInTable(Fertiliser_SourceData.Fertiliser_Products_Data1(),FertiliserProducts[[#Headers],[Include or Exclude]], 0)</f>
        <v>Boost-It</v>
      </c>
      <c r="H104" s="171" t="str" cm="1">
        <f t="array" ref="H104">Common_InputFunctions.Utility_DisplayArrayInTable(Fertiliser_SourceData.Fertiliser_Products_Data1(),FertiliserProducts[[#Headers],[Include or Exclude]], 0,4)</f>
        <v>kg</v>
      </c>
      <c r="I104" s="171" cm="1">
        <f t="array" ref="I104">Common_InputFunctions.Utility_DisplayArrayInTable(Fertiliser_SourceData.Fertiliser_Products_Data1(),FertiliserProducts[[#Headers],[Include or Exclude]], 0,4)</f>
        <v>1</v>
      </c>
      <c r="J104" s="171" t="str" cm="1">
        <f t="array" ref="J104">Common_InputFunctions.Utility_DisplayArrayInTable(Fertiliser_SourceData.Fertiliser_Products_Data1(),FertiliserProducts[[#Headers],[Include or Exclude]], 0,4)</f>
        <v/>
      </c>
      <c r="K104" s="171" t="str" cm="1">
        <f t="array" ref="K104">Common_InputFunctions.Utility_DisplayArrayInTable(Fertiliser_SourceData.Fertiliser_Products_Data1(),FertiliserProducts[[#Headers],[Include or Exclude]], 0,4)</f>
        <v/>
      </c>
      <c r="L104" s="171" t="str" cm="1">
        <f t="array" ref="L104">Common_InputFunctions.Utility_DisplayArrayInTable(Fertiliser_SourceData.Fertiliser_Products_Data1(),FertiliserProducts[[#Headers],[Include or Exclude]], 0,4)</f>
        <v>Urea</v>
      </c>
      <c r="M104" s="171" cm="1">
        <f t="array" ref="M104">Common_InputFunctions.Utility_DisplayArrayInTable(Fertiliser_SourceData.Fertiliser_Products_Data1(),FertiliserProducts[[#Headers],[Include or Exclude]], 0,4)</f>
        <v>0.52173913000000005</v>
      </c>
      <c r="N104" s="171" t="str" cm="1">
        <f t="array" ref="N104">Common_InputFunctions.Utility_DisplayArrayInTable(Fertiliser_SourceData.Fertiliser_Products_Data1(),FertiliserProducts[[#Headers],[Include or Exclude]], 0,4)</f>
        <v>Potassium - Generic</v>
      </c>
      <c r="O104" s="171" cm="1">
        <f t="array" ref="O104">Common_InputFunctions.Utility_DisplayArrayInTable(Fertiliser_SourceData.Fertiliser_Products_Data1(),FertiliserProducts[[#Headers],[Include or Exclude]], 0,4)</f>
        <v>0.08</v>
      </c>
      <c r="P104" s="171" t="str" cm="1">
        <f t="array" ref="P104">Common_InputFunctions.Utility_DisplayArrayInTable(Fertiliser_SourceData.Fertiliser_Products_Data1(),FertiliserProducts[[#Headers],[Include or Exclude]], 0,4)</f>
        <v>Sulfur - Generic</v>
      </c>
      <c r="Q104" s="171" cm="1">
        <f t="array" ref="Q104">Common_InputFunctions.Utility_DisplayArrayInTable(Fertiliser_SourceData.Fertiliser_Products_Data1(),FertiliserProducts[[#Headers],[Include or Exclude]], 0,4)</f>
        <v>5.2999999999999999E-2</v>
      </c>
      <c r="R104" s="171" t="str" cm="1">
        <f t="array" ref="R104">Common_InputFunctions.Utility_DisplayArrayInTable(Fertiliser_SourceData.Fertiliser_Products_Data1(),FertiliserProducts[[#Headers],[Include or Exclude]], 0,4)</f>
        <v>Phosphorus - Generic</v>
      </c>
      <c r="S104" s="171" cm="1">
        <f t="array" ref="S104">Common_InputFunctions.Utility_DisplayArrayInTable(Fertiliser_SourceData.Fertiliser_Products_Data1(),FertiliserProducts[[#Headers],[Include or Exclude]], 0,4)</f>
        <v>5.1999999999999998E-2</v>
      </c>
      <c r="T104" s="171" t="str" cm="1">
        <f t="array" ref="T104">Common_InputFunctions.Utility_DisplayArrayInTable(Fertiliser_SourceData.Fertiliser_Products_Data1(),FertiliserProducts[[#Headers],[Include or Exclude]], 0,4)</f>
        <v>Magnesium</v>
      </c>
      <c r="U104" s="171" cm="1">
        <f t="array" ref="U104">Common_InputFunctions.Utility_DisplayArrayInTable(Fertiliser_SourceData.Fertiliser_Products_Data1(),FertiliserProducts[[#Headers],[Include or Exclude]], 0,4)</f>
        <v>1.2999999999999999E-2</v>
      </c>
      <c r="V104" s="171" t="str" cm="1">
        <f t="array" ref="V104">Common_InputFunctions.Utility_DisplayArrayInTable(Fertiliser_SourceData.Fertiliser_Products_Data1(),FertiliserProducts[[#Headers],[Include or Exclude]], 0,4)</f>
        <v>Zinc</v>
      </c>
      <c r="W104" s="171" cm="1">
        <f t="array" ref="W104">Common_InputFunctions.Utility_DisplayArrayInTable(Fertiliser_SourceData.Fertiliser_Products_Data1(),FertiliserProducts[[#Headers],[Include or Exclude]], 0,4)</f>
        <v>2E-3</v>
      </c>
      <c r="X104" s="171" t="str" cm="1">
        <f t="array" ref="X104">Common_InputFunctions.Utility_DisplayArrayInTable(Fertiliser_SourceData.Fertiliser_Products_Data1(),FertiliserProducts[[#Headers],[Include or Exclude]], 0,4)</f>
        <v>Manganese</v>
      </c>
      <c r="Y104" s="171" cm="1">
        <f t="array" ref="Y104">Common_InputFunctions.Utility_DisplayArrayInTable(Fertiliser_SourceData.Fertiliser_Products_Data1(),FertiliserProducts[[#Headers],[Include or Exclude]], 0,4)</f>
        <v>3.5000000000000001E-3</v>
      </c>
      <c r="Z104" s="171" t="str" cm="1">
        <f t="array" ref="Z104">Common_InputFunctions.Utility_DisplayArrayInTable(Fertiliser_SourceData.Fertiliser_Products_Data1(),FertiliserProducts[[#Headers],[Include or Exclude]], 0,4)</f>
        <v>Iron</v>
      </c>
      <c r="AA104" s="171" cm="1">
        <f t="array" ref="AA104">Common_InputFunctions.Utility_DisplayArrayInTable(Fertiliser_SourceData.Fertiliser_Products_Data1(),FertiliserProducts[[#Headers],[Include or Exclude]], 0,4)</f>
        <v>1.2999999999999999E-3</v>
      </c>
      <c r="AB104" s="171" t="str" cm="1">
        <f t="array" ref="AB104">Common_InputFunctions.Utility_DisplayArrayInTable(Fertiliser_SourceData.Fertiliser_Products_Data1(),FertiliserProducts[[#Headers],[Include or Exclude]], 0,4)</f>
        <v>Copper</v>
      </c>
      <c r="AC104" s="171" cm="1">
        <f t="array" ref="AC104">Common_InputFunctions.Utility_DisplayArrayInTable(Fertiliser_SourceData.Fertiliser_Products_Data1(),FertiliserProducts[[#Headers],[Include or Exclude]], 0,4)</f>
        <v>6.9999999999999999E-4</v>
      </c>
      <c r="AD104" s="171" t="str" cm="1">
        <f t="array" ref="AD104">Common_InputFunctions.Utility_DisplayArrayInTable(Fertiliser_SourceData.Fertiliser_Products_Data1(),FertiliserProducts[[#Headers],[Include or Exclude]], 0,4)</f>
        <v>Boron</v>
      </c>
      <c r="AE104" s="171" cm="1">
        <f t="array" ref="AE104">Common_InputFunctions.Utility_DisplayArrayInTable(Fertiliser_SourceData.Fertiliser_Products_Data1(),FertiliserProducts[[#Headers],[Include or Exclude]], 0,4)</f>
        <v>6.9999999999999999E-4</v>
      </c>
    </row>
    <row r="105" spans="4:31" ht="20.100000000000001" customHeight="1" x14ac:dyDescent="0.25">
      <c r="D105" s="171" t="str" cm="1">
        <f t="array" ref="D105">Common_InputFunctions.Utility_DisplayArrayInTable(Fertiliser_SourceData.Fertiliser_Products_Data1(),FertiliserProducts[[#Headers],[Include or Exclude]], -1)</f>
        <v>Exclude - Not relevant</v>
      </c>
      <c r="E105" s="171" t="str" cm="1">
        <f t="array" ref="E105">Common_InputFunctions.Utility_DisplayArrayInTable(Fertiliser_SourceData.Fertiliser_Products_Data1(),FertiliserProducts[[#Headers],[Include or Exclude]], 0)</f>
        <v/>
      </c>
      <c r="F105" s="171" t="str" cm="1">
        <f t="array" ref="F105">Common_InputFunctions.Utility_DisplayArrayInTable(Fertiliser_SourceData.Fertiliser_Products_Data1(),FertiliserProducts[[#Headers],[Include or Exclude]], 0)</f>
        <v>Campbells fertilisers Australia</v>
      </c>
      <c r="G105" s="171" t="str" cm="1">
        <f t="array" ref="G105">Common_InputFunctions.Utility_DisplayArrayInTable(Fertiliser_SourceData.Fertiliser_Products_Data1(),FertiliserProducts[[#Headers],[Include or Exclude]], 0)</f>
        <v>Boroplus</v>
      </c>
      <c r="H105" s="171" t="str" cm="1">
        <f t="array" ref="H105">Common_InputFunctions.Utility_DisplayArrayInTable(Fertiliser_SourceData.Fertiliser_Products_Data1(),FertiliserProducts[[#Headers],[Include or Exclude]], 0,4)</f>
        <v/>
      </c>
      <c r="I105" s="171" t="str" cm="1">
        <f t="array" ref="I105">Common_InputFunctions.Utility_DisplayArrayInTable(Fertiliser_SourceData.Fertiliser_Products_Data1(),FertiliserProducts[[#Headers],[Include or Exclude]], 0,4)</f>
        <v/>
      </c>
      <c r="J105" s="171" t="str" cm="1">
        <f t="array" ref="J105">Common_InputFunctions.Utility_DisplayArrayInTable(Fertiliser_SourceData.Fertiliser_Products_Data1(),FertiliserProducts[[#Headers],[Include or Exclude]], 0,4)</f>
        <v/>
      </c>
      <c r="K105" s="171" t="str" cm="1">
        <f t="array" ref="K105">Common_InputFunctions.Utility_DisplayArrayInTable(Fertiliser_SourceData.Fertiliser_Products_Data1(),FertiliserProducts[[#Headers],[Include or Exclude]], 0,4)</f>
        <v/>
      </c>
      <c r="L105" s="171" t="str" cm="1">
        <f t="array" ref="L105">Common_InputFunctions.Utility_DisplayArrayInTable(Fertiliser_SourceData.Fertiliser_Products_Data1(),FertiliserProducts[[#Headers],[Include or Exclude]], 0,4)</f>
        <v/>
      </c>
      <c r="M105" s="171" t="str" cm="1">
        <f t="array" ref="M105">Common_InputFunctions.Utility_DisplayArrayInTable(Fertiliser_SourceData.Fertiliser_Products_Data1(),FertiliserProducts[[#Headers],[Include or Exclude]], 0,4)</f>
        <v/>
      </c>
      <c r="N105" s="171" t="str" cm="1">
        <f t="array" ref="N105">Common_InputFunctions.Utility_DisplayArrayInTable(Fertiliser_SourceData.Fertiliser_Products_Data1(),FertiliserProducts[[#Headers],[Include or Exclude]], 0,4)</f>
        <v/>
      </c>
      <c r="O105" s="171" t="str" cm="1">
        <f t="array" ref="O105">Common_InputFunctions.Utility_DisplayArrayInTable(Fertiliser_SourceData.Fertiliser_Products_Data1(),FertiliserProducts[[#Headers],[Include or Exclude]], 0,4)</f>
        <v/>
      </c>
      <c r="P105" s="171" t="str" cm="1">
        <f t="array" ref="P105">Common_InputFunctions.Utility_DisplayArrayInTable(Fertiliser_SourceData.Fertiliser_Products_Data1(),FertiliserProducts[[#Headers],[Include or Exclude]], 0,4)</f>
        <v/>
      </c>
      <c r="Q105" s="171" t="str" cm="1">
        <f t="array" ref="Q105">Common_InputFunctions.Utility_DisplayArrayInTable(Fertiliser_SourceData.Fertiliser_Products_Data1(),FertiliserProducts[[#Headers],[Include or Exclude]], 0,4)</f>
        <v/>
      </c>
      <c r="R105" s="171" t="str" cm="1">
        <f t="array" ref="R105">Common_InputFunctions.Utility_DisplayArrayInTable(Fertiliser_SourceData.Fertiliser_Products_Data1(),FertiliserProducts[[#Headers],[Include or Exclude]], 0,4)</f>
        <v/>
      </c>
      <c r="S105" s="171" t="str" cm="1">
        <f t="array" ref="S105">Common_InputFunctions.Utility_DisplayArrayInTable(Fertiliser_SourceData.Fertiliser_Products_Data1(),FertiliserProducts[[#Headers],[Include or Exclude]], 0,4)</f>
        <v/>
      </c>
      <c r="T105" s="171" t="str" cm="1">
        <f t="array" ref="T105">Common_InputFunctions.Utility_DisplayArrayInTable(Fertiliser_SourceData.Fertiliser_Products_Data1(),FertiliserProducts[[#Headers],[Include or Exclude]], 0,4)</f>
        <v/>
      </c>
      <c r="U105" s="171" t="str" cm="1">
        <f t="array" ref="U105">Common_InputFunctions.Utility_DisplayArrayInTable(Fertiliser_SourceData.Fertiliser_Products_Data1(),FertiliserProducts[[#Headers],[Include or Exclude]], 0,4)</f>
        <v/>
      </c>
      <c r="V105" s="171" t="str" cm="1">
        <f t="array" ref="V105">Common_InputFunctions.Utility_DisplayArrayInTable(Fertiliser_SourceData.Fertiliser_Products_Data1(),FertiliserProducts[[#Headers],[Include or Exclude]], 0,4)</f>
        <v/>
      </c>
      <c r="W105" s="171" t="str" cm="1">
        <f t="array" ref="W105">Common_InputFunctions.Utility_DisplayArrayInTable(Fertiliser_SourceData.Fertiliser_Products_Data1(),FertiliserProducts[[#Headers],[Include or Exclude]], 0,4)</f>
        <v/>
      </c>
      <c r="X105" s="171" t="str" cm="1">
        <f t="array" ref="X105">Common_InputFunctions.Utility_DisplayArrayInTable(Fertiliser_SourceData.Fertiliser_Products_Data1(),FertiliserProducts[[#Headers],[Include or Exclude]], 0,4)</f>
        <v/>
      </c>
      <c r="Y105" s="171" t="str" cm="1">
        <f t="array" ref="Y105">Common_InputFunctions.Utility_DisplayArrayInTable(Fertiliser_SourceData.Fertiliser_Products_Data1(),FertiliserProducts[[#Headers],[Include or Exclude]], 0,4)</f>
        <v/>
      </c>
      <c r="Z105" s="171" t="str" cm="1">
        <f t="array" ref="Z105">Common_InputFunctions.Utility_DisplayArrayInTable(Fertiliser_SourceData.Fertiliser_Products_Data1(),FertiliserProducts[[#Headers],[Include or Exclude]], 0,4)</f>
        <v/>
      </c>
      <c r="AA105" s="171" t="str" cm="1">
        <f t="array" ref="AA105">Common_InputFunctions.Utility_DisplayArrayInTable(Fertiliser_SourceData.Fertiliser_Products_Data1(),FertiliserProducts[[#Headers],[Include or Exclude]], 0,4)</f>
        <v/>
      </c>
      <c r="AB105" s="171" t="str" cm="1">
        <f t="array" ref="AB105">Common_InputFunctions.Utility_DisplayArrayInTable(Fertiliser_SourceData.Fertiliser_Products_Data1(),FertiliserProducts[[#Headers],[Include or Exclude]], 0,4)</f>
        <v/>
      </c>
      <c r="AC105" s="171" t="str" cm="1">
        <f t="array" ref="AC105">Common_InputFunctions.Utility_DisplayArrayInTable(Fertiliser_SourceData.Fertiliser_Products_Data1(),FertiliserProducts[[#Headers],[Include or Exclude]], 0,4)</f>
        <v/>
      </c>
      <c r="AD105" s="171" t="str" cm="1">
        <f t="array" ref="AD105">Common_InputFunctions.Utility_DisplayArrayInTable(Fertiliser_SourceData.Fertiliser_Products_Data1(),FertiliserProducts[[#Headers],[Include or Exclude]], 0,4)</f>
        <v/>
      </c>
      <c r="AE105" s="171" t="str" cm="1">
        <f t="array" ref="AE105">Common_InputFunctions.Utility_DisplayArrayInTable(Fertiliser_SourceData.Fertiliser_Products_Data1(),FertiliserProducts[[#Headers],[Include or Exclude]], 0,4)</f>
        <v/>
      </c>
    </row>
    <row r="106" spans="4:31" ht="20.100000000000001" customHeight="1" x14ac:dyDescent="0.25">
      <c r="D106" s="171" t="str" cm="1">
        <f t="array" ref="D106">Common_InputFunctions.Utility_DisplayArrayInTable(Fertiliser_SourceData.Fertiliser_Products_Data1(),FertiliserProducts[[#Headers],[Include or Exclude]], -1)</f>
        <v>Exclude - Not relevant</v>
      </c>
      <c r="E106" s="171" t="str" cm="1">
        <f t="array" ref="E106">Common_InputFunctions.Utility_DisplayArrayInTable(Fertiliser_SourceData.Fertiliser_Products_Data1(),FertiliserProducts[[#Headers],[Include or Exclude]], 0)</f>
        <v/>
      </c>
      <c r="F106" s="171" t="str" cm="1">
        <f t="array" ref="F106">Common_InputFunctions.Utility_DisplayArrayInTable(Fertiliser_SourceData.Fertiliser_Products_Data1(),FertiliserProducts[[#Headers],[Include or Exclude]], 0)</f>
        <v>Campbells fertilisers Australia</v>
      </c>
      <c r="G106" s="171" t="str" cm="1">
        <f t="array" ref="G106">Common_InputFunctions.Utility_DisplayArrayInTable(Fertiliser_SourceData.Fertiliser_Products_Data1(),FertiliserProducts[[#Headers],[Include or Exclude]], 0)</f>
        <v>Brevisol Range</v>
      </c>
      <c r="H106" s="171" t="str" cm="1">
        <f t="array" ref="H106">Common_InputFunctions.Utility_DisplayArrayInTable(Fertiliser_SourceData.Fertiliser_Products_Data1(),FertiliserProducts[[#Headers],[Include or Exclude]], 0,4)</f>
        <v/>
      </c>
      <c r="I106" s="171" t="str" cm="1">
        <f t="array" ref="I106">Common_InputFunctions.Utility_DisplayArrayInTable(Fertiliser_SourceData.Fertiliser_Products_Data1(),FertiliserProducts[[#Headers],[Include or Exclude]], 0,4)</f>
        <v/>
      </c>
      <c r="J106" s="171" t="str" cm="1">
        <f t="array" ref="J106">Common_InputFunctions.Utility_DisplayArrayInTable(Fertiliser_SourceData.Fertiliser_Products_Data1(),FertiliserProducts[[#Headers],[Include or Exclude]], 0,4)</f>
        <v/>
      </c>
      <c r="K106" s="171" t="str" cm="1">
        <f t="array" ref="K106">Common_InputFunctions.Utility_DisplayArrayInTable(Fertiliser_SourceData.Fertiliser_Products_Data1(),FertiliserProducts[[#Headers],[Include or Exclude]], 0,4)</f>
        <v/>
      </c>
      <c r="L106" s="171" t="str" cm="1">
        <f t="array" ref="L106">Common_InputFunctions.Utility_DisplayArrayInTable(Fertiliser_SourceData.Fertiliser_Products_Data1(),FertiliserProducts[[#Headers],[Include or Exclude]], 0,4)</f>
        <v/>
      </c>
      <c r="M106" s="171" t="str" cm="1">
        <f t="array" ref="M106">Common_InputFunctions.Utility_DisplayArrayInTable(Fertiliser_SourceData.Fertiliser_Products_Data1(),FertiliserProducts[[#Headers],[Include or Exclude]], 0,4)</f>
        <v/>
      </c>
      <c r="N106" s="171" t="str" cm="1">
        <f t="array" ref="N106">Common_InputFunctions.Utility_DisplayArrayInTable(Fertiliser_SourceData.Fertiliser_Products_Data1(),FertiliserProducts[[#Headers],[Include or Exclude]], 0,4)</f>
        <v/>
      </c>
      <c r="O106" s="171" t="str" cm="1">
        <f t="array" ref="O106">Common_InputFunctions.Utility_DisplayArrayInTable(Fertiliser_SourceData.Fertiliser_Products_Data1(),FertiliserProducts[[#Headers],[Include or Exclude]], 0,4)</f>
        <v/>
      </c>
      <c r="P106" s="171" t="str" cm="1">
        <f t="array" ref="P106">Common_InputFunctions.Utility_DisplayArrayInTable(Fertiliser_SourceData.Fertiliser_Products_Data1(),FertiliserProducts[[#Headers],[Include or Exclude]], 0,4)</f>
        <v/>
      </c>
      <c r="Q106" s="171" t="str" cm="1">
        <f t="array" ref="Q106">Common_InputFunctions.Utility_DisplayArrayInTable(Fertiliser_SourceData.Fertiliser_Products_Data1(),FertiliserProducts[[#Headers],[Include or Exclude]], 0,4)</f>
        <v/>
      </c>
      <c r="R106" s="171" t="str" cm="1">
        <f t="array" ref="R106">Common_InputFunctions.Utility_DisplayArrayInTable(Fertiliser_SourceData.Fertiliser_Products_Data1(),FertiliserProducts[[#Headers],[Include or Exclude]], 0,4)</f>
        <v/>
      </c>
      <c r="S106" s="171" t="str" cm="1">
        <f t="array" ref="S106">Common_InputFunctions.Utility_DisplayArrayInTable(Fertiliser_SourceData.Fertiliser_Products_Data1(),FertiliserProducts[[#Headers],[Include or Exclude]], 0,4)</f>
        <v/>
      </c>
      <c r="T106" s="171" t="str" cm="1">
        <f t="array" ref="T106">Common_InputFunctions.Utility_DisplayArrayInTable(Fertiliser_SourceData.Fertiliser_Products_Data1(),FertiliserProducts[[#Headers],[Include or Exclude]], 0,4)</f>
        <v/>
      </c>
      <c r="U106" s="171" t="str" cm="1">
        <f t="array" ref="U106">Common_InputFunctions.Utility_DisplayArrayInTable(Fertiliser_SourceData.Fertiliser_Products_Data1(),FertiliserProducts[[#Headers],[Include or Exclude]], 0,4)</f>
        <v/>
      </c>
      <c r="V106" s="171" t="str" cm="1">
        <f t="array" ref="V106">Common_InputFunctions.Utility_DisplayArrayInTable(Fertiliser_SourceData.Fertiliser_Products_Data1(),FertiliserProducts[[#Headers],[Include or Exclude]], 0,4)</f>
        <v/>
      </c>
      <c r="W106" s="171" t="str" cm="1">
        <f t="array" ref="W106">Common_InputFunctions.Utility_DisplayArrayInTable(Fertiliser_SourceData.Fertiliser_Products_Data1(),FertiliserProducts[[#Headers],[Include or Exclude]], 0,4)</f>
        <v/>
      </c>
      <c r="X106" s="171" t="str" cm="1">
        <f t="array" ref="X106">Common_InputFunctions.Utility_DisplayArrayInTable(Fertiliser_SourceData.Fertiliser_Products_Data1(),FertiliserProducts[[#Headers],[Include or Exclude]], 0,4)</f>
        <v/>
      </c>
      <c r="Y106" s="171" t="str" cm="1">
        <f t="array" ref="Y106">Common_InputFunctions.Utility_DisplayArrayInTable(Fertiliser_SourceData.Fertiliser_Products_Data1(),FertiliserProducts[[#Headers],[Include or Exclude]], 0,4)</f>
        <v/>
      </c>
      <c r="Z106" s="171" t="str" cm="1">
        <f t="array" ref="Z106">Common_InputFunctions.Utility_DisplayArrayInTable(Fertiliser_SourceData.Fertiliser_Products_Data1(),FertiliserProducts[[#Headers],[Include or Exclude]], 0,4)</f>
        <v/>
      </c>
      <c r="AA106" s="171" t="str" cm="1">
        <f t="array" ref="AA106">Common_InputFunctions.Utility_DisplayArrayInTable(Fertiliser_SourceData.Fertiliser_Products_Data1(),FertiliserProducts[[#Headers],[Include or Exclude]], 0,4)</f>
        <v/>
      </c>
      <c r="AB106" s="171" t="str" cm="1">
        <f t="array" ref="AB106">Common_InputFunctions.Utility_DisplayArrayInTable(Fertiliser_SourceData.Fertiliser_Products_Data1(),FertiliserProducts[[#Headers],[Include or Exclude]], 0,4)</f>
        <v/>
      </c>
      <c r="AC106" s="171" t="str" cm="1">
        <f t="array" ref="AC106">Common_InputFunctions.Utility_DisplayArrayInTable(Fertiliser_SourceData.Fertiliser_Products_Data1(),FertiliserProducts[[#Headers],[Include or Exclude]], 0,4)</f>
        <v/>
      </c>
      <c r="AD106" s="171" t="str" cm="1">
        <f t="array" ref="AD106">Common_InputFunctions.Utility_DisplayArrayInTable(Fertiliser_SourceData.Fertiliser_Products_Data1(),FertiliserProducts[[#Headers],[Include or Exclude]], 0,4)</f>
        <v/>
      </c>
      <c r="AE106" s="171" t="str" cm="1">
        <f t="array" ref="AE106">Common_InputFunctions.Utility_DisplayArrayInTable(Fertiliser_SourceData.Fertiliser_Products_Data1(),FertiliserProducts[[#Headers],[Include or Exclude]], 0,4)</f>
        <v/>
      </c>
    </row>
    <row r="107" spans="4:31" ht="20.100000000000001" customHeight="1" x14ac:dyDescent="0.25">
      <c r="D107" s="171" t="str" cm="1">
        <f t="array" ref="D107">Common_InputFunctions.Utility_DisplayArrayInTable(Fertiliser_SourceData.Fertiliser_Products_Data1(),FertiliserProducts[[#Headers],[Include or Exclude]], -1)</f>
        <v>Include</v>
      </c>
      <c r="E107" s="171" t="str" cm="1">
        <f t="array" ref="E107">Common_InputFunctions.Utility_DisplayArrayInTable(Fertiliser_SourceData.Fertiliser_Products_Data1(),FertiliserProducts[[#Headers],[Include or Exclude]], 0)</f>
        <v/>
      </c>
      <c r="F107" s="171" t="str" cm="1">
        <f t="array" ref="F107">Common_InputFunctions.Utility_DisplayArrayInTable(Fertiliser_SourceData.Fertiliser_Products_Data1(),FertiliserProducts[[#Headers],[Include or Exclude]], 0)</f>
        <v>Campbells fertilisers Australia</v>
      </c>
      <c r="G107" s="171" t="str" cm="1">
        <f t="array" ref="G107">Common_InputFunctions.Utility_DisplayArrayInTable(Fertiliser_SourceData.Fertiliser_Products_Data1(),FertiliserProducts[[#Headers],[Include or Exclude]], 0)</f>
        <v>Brexil Line</v>
      </c>
      <c r="H107" s="171" t="str" cm="1">
        <f t="array" ref="H107">Common_InputFunctions.Utility_DisplayArrayInTable(Fertiliser_SourceData.Fertiliser_Products_Data1(),FertiliserProducts[[#Headers],[Include or Exclude]], 0,4)</f>
        <v/>
      </c>
      <c r="I107" s="171" t="str" cm="1">
        <f t="array" ref="I107">Common_InputFunctions.Utility_DisplayArrayInTable(Fertiliser_SourceData.Fertiliser_Products_Data1(),FertiliserProducts[[#Headers],[Include or Exclude]], 0,4)</f>
        <v/>
      </c>
      <c r="J107" s="171" t="str" cm="1">
        <f t="array" ref="J107">Common_InputFunctions.Utility_DisplayArrayInTable(Fertiliser_SourceData.Fertiliser_Products_Data1(),FertiliserProducts[[#Headers],[Include or Exclude]], 0,4)</f>
        <v/>
      </c>
      <c r="K107" s="171" t="str" cm="1">
        <f t="array" ref="K107">Common_InputFunctions.Utility_DisplayArrayInTable(Fertiliser_SourceData.Fertiliser_Products_Data1(),FertiliserProducts[[#Headers],[Include or Exclude]], 0,4)</f>
        <v/>
      </c>
      <c r="L107" s="171" t="str" cm="1">
        <f t="array" ref="L107">Common_InputFunctions.Utility_DisplayArrayInTable(Fertiliser_SourceData.Fertiliser_Products_Data1(),FertiliserProducts[[#Headers],[Include or Exclude]], 0,4)</f>
        <v/>
      </c>
      <c r="M107" s="171" t="str" cm="1">
        <f t="array" ref="M107">Common_InputFunctions.Utility_DisplayArrayInTable(Fertiliser_SourceData.Fertiliser_Products_Data1(),FertiliserProducts[[#Headers],[Include or Exclude]], 0,4)</f>
        <v/>
      </c>
      <c r="N107" s="171" t="str" cm="1">
        <f t="array" ref="N107">Common_InputFunctions.Utility_DisplayArrayInTable(Fertiliser_SourceData.Fertiliser_Products_Data1(),FertiliserProducts[[#Headers],[Include or Exclude]], 0,4)</f>
        <v/>
      </c>
      <c r="O107" s="171" t="str" cm="1">
        <f t="array" ref="O107">Common_InputFunctions.Utility_DisplayArrayInTable(Fertiliser_SourceData.Fertiliser_Products_Data1(),FertiliserProducts[[#Headers],[Include or Exclude]], 0,4)</f>
        <v/>
      </c>
      <c r="P107" s="171" t="str" cm="1">
        <f t="array" ref="P107">Common_InputFunctions.Utility_DisplayArrayInTable(Fertiliser_SourceData.Fertiliser_Products_Data1(),FertiliserProducts[[#Headers],[Include or Exclude]], 0,4)</f>
        <v/>
      </c>
      <c r="Q107" s="171" t="str" cm="1">
        <f t="array" ref="Q107">Common_InputFunctions.Utility_DisplayArrayInTable(Fertiliser_SourceData.Fertiliser_Products_Data1(),FertiliserProducts[[#Headers],[Include or Exclude]], 0,4)</f>
        <v/>
      </c>
      <c r="R107" s="171" t="str" cm="1">
        <f t="array" ref="R107">Common_InputFunctions.Utility_DisplayArrayInTable(Fertiliser_SourceData.Fertiliser_Products_Data1(),FertiliserProducts[[#Headers],[Include or Exclude]], 0,4)</f>
        <v/>
      </c>
      <c r="S107" s="171" t="str" cm="1">
        <f t="array" ref="S107">Common_InputFunctions.Utility_DisplayArrayInTable(Fertiliser_SourceData.Fertiliser_Products_Data1(),FertiliserProducts[[#Headers],[Include or Exclude]], 0,4)</f>
        <v/>
      </c>
      <c r="T107" s="171" t="str" cm="1">
        <f t="array" ref="T107">Common_InputFunctions.Utility_DisplayArrayInTable(Fertiliser_SourceData.Fertiliser_Products_Data1(),FertiliserProducts[[#Headers],[Include or Exclude]], 0,4)</f>
        <v/>
      </c>
      <c r="U107" s="171" t="str" cm="1">
        <f t="array" ref="U107">Common_InputFunctions.Utility_DisplayArrayInTable(Fertiliser_SourceData.Fertiliser_Products_Data1(),FertiliserProducts[[#Headers],[Include or Exclude]], 0,4)</f>
        <v/>
      </c>
      <c r="V107" s="171" t="str" cm="1">
        <f t="array" ref="V107">Common_InputFunctions.Utility_DisplayArrayInTable(Fertiliser_SourceData.Fertiliser_Products_Data1(),FertiliserProducts[[#Headers],[Include or Exclude]], 0,4)</f>
        <v/>
      </c>
      <c r="W107" s="171" t="str" cm="1">
        <f t="array" ref="W107">Common_InputFunctions.Utility_DisplayArrayInTable(Fertiliser_SourceData.Fertiliser_Products_Data1(),FertiliserProducts[[#Headers],[Include or Exclude]], 0,4)</f>
        <v/>
      </c>
      <c r="X107" s="171" t="str" cm="1">
        <f t="array" ref="X107">Common_InputFunctions.Utility_DisplayArrayInTable(Fertiliser_SourceData.Fertiliser_Products_Data1(),FertiliserProducts[[#Headers],[Include or Exclude]], 0,4)</f>
        <v/>
      </c>
      <c r="Y107" s="171" t="str" cm="1">
        <f t="array" ref="Y107">Common_InputFunctions.Utility_DisplayArrayInTable(Fertiliser_SourceData.Fertiliser_Products_Data1(),FertiliserProducts[[#Headers],[Include or Exclude]], 0,4)</f>
        <v/>
      </c>
      <c r="Z107" s="171" t="str" cm="1">
        <f t="array" ref="Z107">Common_InputFunctions.Utility_DisplayArrayInTable(Fertiliser_SourceData.Fertiliser_Products_Data1(),FertiliserProducts[[#Headers],[Include or Exclude]], 0,4)</f>
        <v/>
      </c>
      <c r="AA107" s="171" t="str" cm="1">
        <f t="array" ref="AA107">Common_InputFunctions.Utility_DisplayArrayInTable(Fertiliser_SourceData.Fertiliser_Products_Data1(),FertiliserProducts[[#Headers],[Include or Exclude]], 0,4)</f>
        <v/>
      </c>
      <c r="AB107" s="171" t="str" cm="1">
        <f t="array" ref="AB107">Common_InputFunctions.Utility_DisplayArrayInTable(Fertiliser_SourceData.Fertiliser_Products_Data1(),FertiliserProducts[[#Headers],[Include or Exclude]], 0,4)</f>
        <v/>
      </c>
      <c r="AC107" s="171" t="str" cm="1">
        <f t="array" ref="AC107">Common_InputFunctions.Utility_DisplayArrayInTable(Fertiliser_SourceData.Fertiliser_Products_Data1(),FertiliserProducts[[#Headers],[Include or Exclude]], 0,4)</f>
        <v/>
      </c>
      <c r="AD107" s="171" t="str" cm="1">
        <f t="array" ref="AD107">Common_InputFunctions.Utility_DisplayArrayInTable(Fertiliser_SourceData.Fertiliser_Products_Data1(),FertiliserProducts[[#Headers],[Include or Exclude]], 0,4)</f>
        <v/>
      </c>
      <c r="AE107" s="171" t="str" cm="1">
        <f t="array" ref="AE107">Common_InputFunctions.Utility_DisplayArrayInTable(Fertiliser_SourceData.Fertiliser_Products_Data1(),FertiliserProducts[[#Headers],[Include or Exclude]], 0,4)</f>
        <v/>
      </c>
    </row>
    <row r="108" spans="4:31" ht="20.100000000000001" customHeight="1" x14ac:dyDescent="0.25">
      <c r="D108" s="171" t="str" cm="1">
        <f t="array" ref="D108">Common_InputFunctions.Utility_DisplayArrayInTable(Fertiliser_SourceData.Fertiliser_Products_Data1(),FertiliserProducts[[#Headers],[Include or Exclude]], -1)</f>
        <v>Exclude - Absent ingredients &gt; 2%</v>
      </c>
      <c r="E108" s="171" t="str" cm="1">
        <f t="array" ref="E108">Common_InputFunctions.Utility_DisplayArrayInTable(Fertiliser_SourceData.Fertiliser_Products_Data1(),FertiliserProducts[[#Headers],[Include or Exclude]], 0)</f>
        <v/>
      </c>
      <c r="F108" s="171" t="str" cm="1">
        <f t="array" ref="F108">Common_InputFunctions.Utility_DisplayArrayInTable(Fertiliser_SourceData.Fertiliser_Products_Data1(),FertiliserProducts[[#Headers],[Include or Exclude]], 0)</f>
        <v>Campbells fertilisers Australia</v>
      </c>
      <c r="G108" s="171" t="str" cm="1">
        <f t="array" ref="G108">Common_InputFunctions.Utility_DisplayArrayInTable(Fertiliser_SourceData.Fertiliser_Products_Data1(),FertiliserProducts[[#Headers],[Include or Exclude]], 0)</f>
        <v>Bronze</v>
      </c>
      <c r="H108" s="171" t="str" cm="1">
        <f t="array" ref="H108">Common_InputFunctions.Utility_DisplayArrayInTable(Fertiliser_SourceData.Fertiliser_Products_Data1(),FertiliserProducts[[#Headers],[Include or Exclude]], 0,4)</f>
        <v>kg</v>
      </c>
      <c r="I108" s="171" t="str" cm="1">
        <f t="array" ref="I108">Common_InputFunctions.Utility_DisplayArrayInTable(Fertiliser_SourceData.Fertiliser_Products_Data1(),FertiliserProducts[[#Headers],[Include or Exclude]], 0,4)</f>
        <v/>
      </c>
      <c r="J108" s="171" t="str" cm="1">
        <f t="array" ref="J108">Common_InputFunctions.Utility_DisplayArrayInTable(Fertiliser_SourceData.Fertiliser_Products_Data1(),FertiliserProducts[[#Headers],[Include or Exclude]], 0,4)</f>
        <v/>
      </c>
      <c r="K108" s="171" t="str" cm="1">
        <f t="array" ref="K108">Common_InputFunctions.Utility_DisplayArrayInTable(Fertiliser_SourceData.Fertiliser_Products_Data1(),FertiliserProducts[[#Headers],[Include or Exclude]], 0,4)</f>
        <v/>
      </c>
      <c r="L108" s="171" t="str" cm="1">
        <f t="array" ref="L108">Common_InputFunctions.Utility_DisplayArrayInTable(Fertiliser_SourceData.Fertiliser_Products_Data1(),FertiliserProducts[[#Headers],[Include or Exclude]], 0,4)</f>
        <v>Muriate of Potash (MOP)</v>
      </c>
      <c r="M108" s="171" cm="1">
        <f t="array" ref="M108">Common_InputFunctions.Utility_DisplayArrayInTable(Fertiliser_SourceData.Fertiliser_Products_Data1(),FertiliserProducts[[#Headers],[Include or Exclude]], 0,4)</f>
        <v>0.23200000000000001</v>
      </c>
      <c r="N108" s="171" t="str" cm="1">
        <f t="array" ref="N108">Common_InputFunctions.Utility_DisplayArrayInTable(Fertiliser_SourceData.Fertiliser_Products_Data1(),FertiliserProducts[[#Headers],[Include or Exclude]], 0,4)</f>
        <v>Nitrogen - Generic</v>
      </c>
      <c r="O108" s="171" cm="1">
        <f t="array" ref="O108">Common_InputFunctions.Utility_DisplayArrayInTable(Fertiliser_SourceData.Fertiliser_Products_Data1(),FertiliserProducts[[#Headers],[Include or Exclude]], 0,4)</f>
        <v>0.17</v>
      </c>
      <c r="P108" s="171" t="str" cm="1">
        <f t="array" ref="P108">Common_InputFunctions.Utility_DisplayArrayInTable(Fertiliser_SourceData.Fertiliser_Products_Data1(),FertiliserProducts[[#Headers],[Include or Exclude]], 0,4)</f>
        <v>Sulfur - Generic</v>
      </c>
      <c r="Q108" s="171" cm="1">
        <f t="array" ref="Q108">Common_InputFunctions.Utility_DisplayArrayInTable(Fertiliser_SourceData.Fertiliser_Products_Data1(),FertiliserProducts[[#Headers],[Include or Exclude]], 0,4)</f>
        <v>5.0000000000000001E-3</v>
      </c>
      <c r="R108" s="171" t="str" cm="1">
        <f t="array" ref="R108">Common_InputFunctions.Utility_DisplayArrayInTable(Fertiliser_SourceData.Fertiliser_Products_Data1(),FertiliserProducts[[#Headers],[Include or Exclude]], 0,4)</f>
        <v>Magnesium</v>
      </c>
      <c r="S108" s="171" cm="1">
        <f t="array" ref="S108">Common_InputFunctions.Utility_DisplayArrayInTable(Fertiliser_SourceData.Fertiliser_Products_Data1(),FertiliserProducts[[#Headers],[Include or Exclude]], 0,4)</f>
        <v>2.3999999999999998E-3</v>
      </c>
      <c r="T108" s="171" t="str" cm="1">
        <f t="array" ref="T108">Common_InputFunctions.Utility_DisplayArrayInTable(Fertiliser_SourceData.Fertiliser_Products_Data1(),FertiliserProducts[[#Headers],[Include or Exclude]], 0,4)</f>
        <v>Phosphorus - Generic</v>
      </c>
      <c r="U108" s="171" cm="1">
        <f t="array" ref="U108">Common_InputFunctions.Utility_DisplayArrayInTable(Fertiliser_SourceData.Fertiliser_Products_Data1(),FertiliserProducts[[#Headers],[Include or Exclude]], 0,4)</f>
        <v>4.0000000000000002E-4</v>
      </c>
      <c r="V108" s="171" t="str" cm="1">
        <f t="array" ref="V108">Common_InputFunctions.Utility_DisplayArrayInTable(Fertiliser_SourceData.Fertiliser_Products_Data1(),FertiliserProducts[[#Headers],[Include or Exclude]], 0,4)</f>
        <v/>
      </c>
      <c r="W108" s="171" t="str" cm="1">
        <f t="array" ref="W108">Common_InputFunctions.Utility_DisplayArrayInTable(Fertiliser_SourceData.Fertiliser_Products_Data1(),FertiliserProducts[[#Headers],[Include or Exclude]], 0,4)</f>
        <v/>
      </c>
      <c r="X108" s="171" t="str" cm="1">
        <f t="array" ref="X108">Common_InputFunctions.Utility_DisplayArrayInTable(Fertiliser_SourceData.Fertiliser_Products_Data1(),FertiliserProducts[[#Headers],[Include or Exclude]], 0,4)</f>
        <v/>
      </c>
      <c r="Y108" s="171" t="str" cm="1">
        <f t="array" ref="Y108">Common_InputFunctions.Utility_DisplayArrayInTable(Fertiliser_SourceData.Fertiliser_Products_Data1(),FertiliserProducts[[#Headers],[Include or Exclude]], 0,4)</f>
        <v/>
      </c>
      <c r="Z108" s="171" t="str" cm="1">
        <f t="array" ref="Z108">Common_InputFunctions.Utility_DisplayArrayInTable(Fertiliser_SourceData.Fertiliser_Products_Data1(),FertiliserProducts[[#Headers],[Include or Exclude]], 0,4)</f>
        <v/>
      </c>
      <c r="AA108" s="171" t="str" cm="1">
        <f t="array" ref="AA108">Common_InputFunctions.Utility_DisplayArrayInTable(Fertiliser_SourceData.Fertiliser_Products_Data1(),FertiliserProducts[[#Headers],[Include or Exclude]], 0,4)</f>
        <v/>
      </c>
      <c r="AB108" s="171" t="str" cm="1">
        <f t="array" ref="AB108">Common_InputFunctions.Utility_DisplayArrayInTable(Fertiliser_SourceData.Fertiliser_Products_Data1(),FertiliserProducts[[#Headers],[Include or Exclude]], 0,4)</f>
        <v/>
      </c>
      <c r="AC108" s="171" t="str" cm="1">
        <f t="array" ref="AC108">Common_InputFunctions.Utility_DisplayArrayInTable(Fertiliser_SourceData.Fertiliser_Products_Data1(),FertiliserProducts[[#Headers],[Include or Exclude]], 0,4)</f>
        <v/>
      </c>
      <c r="AD108" s="171" t="str" cm="1">
        <f t="array" ref="AD108">Common_InputFunctions.Utility_DisplayArrayInTable(Fertiliser_SourceData.Fertiliser_Products_Data1(),FertiliserProducts[[#Headers],[Include or Exclude]], 0,4)</f>
        <v/>
      </c>
      <c r="AE108" s="171" t="str" cm="1">
        <f t="array" ref="AE108">Common_InputFunctions.Utility_DisplayArrayInTable(Fertiliser_SourceData.Fertiliser_Products_Data1(),FertiliserProducts[[#Headers],[Include or Exclude]], 0,4)</f>
        <v/>
      </c>
    </row>
    <row r="109" spans="4:31" ht="20.100000000000001" customHeight="1" x14ac:dyDescent="0.25">
      <c r="D109" s="171" t="str" cm="1">
        <f t="array" ref="D109">Common_InputFunctions.Utility_DisplayArrayInTable(Fertiliser_SourceData.Fertiliser_Products_Data1(),FertiliserProducts[[#Headers],[Include or Exclude]], -1)</f>
        <v>Exclude - Not relevant</v>
      </c>
      <c r="E109" s="171" t="str" cm="1">
        <f t="array" ref="E109">Common_InputFunctions.Utility_DisplayArrayInTable(Fertiliser_SourceData.Fertiliser_Products_Data1(),FertiliserProducts[[#Headers],[Include or Exclude]], 0)</f>
        <v/>
      </c>
      <c r="F109" s="171" t="str" cm="1">
        <f t="array" ref="F109">Common_InputFunctions.Utility_DisplayArrayInTable(Fertiliser_SourceData.Fertiliser_Products_Data1(),FertiliserProducts[[#Headers],[Include or Exclude]], 0)</f>
        <v>Campbells fertilisers Australia</v>
      </c>
      <c r="G109" s="171" t="str" cm="1">
        <f t="array" ref="G109">Common_InputFunctions.Utility_DisplayArrayInTable(Fertiliser_SourceData.Fertiliser_Products_Data1(),FertiliserProducts[[#Headers],[Include or Exclude]], 0)</f>
        <v>Bud-Wiser Dry</v>
      </c>
      <c r="H109" s="171" t="str" cm="1">
        <f t="array" ref="H109">Common_InputFunctions.Utility_DisplayArrayInTable(Fertiliser_SourceData.Fertiliser_Products_Data1(),FertiliserProducts[[#Headers],[Include or Exclude]], 0,4)</f>
        <v>kg</v>
      </c>
      <c r="I109" s="171" t="str" cm="1">
        <f t="array" ref="I109">Common_InputFunctions.Utility_DisplayArrayInTable(Fertiliser_SourceData.Fertiliser_Products_Data1(),FertiliserProducts[[#Headers],[Include or Exclude]], 0,4)</f>
        <v/>
      </c>
      <c r="J109" s="171" t="str" cm="1">
        <f t="array" ref="J109">Common_InputFunctions.Utility_DisplayArrayInTable(Fertiliser_SourceData.Fertiliser_Products_Data1(),FertiliserProducts[[#Headers],[Include or Exclude]], 0,4)</f>
        <v/>
      </c>
      <c r="K109" s="171" t="str" cm="1">
        <f t="array" ref="K109">Common_InputFunctions.Utility_DisplayArrayInTable(Fertiliser_SourceData.Fertiliser_Products_Data1(),FertiliserProducts[[#Headers],[Include or Exclude]], 0,4)</f>
        <v/>
      </c>
      <c r="L109" s="171" t="str" cm="1">
        <f t="array" ref="L109">Common_InputFunctions.Utility_DisplayArrayInTable(Fertiliser_SourceData.Fertiliser_Products_Data1(),FertiliserProducts[[#Headers],[Include or Exclude]], 0,4)</f>
        <v>Sulfur - Generic</v>
      </c>
      <c r="M109" s="171" cm="1">
        <f t="array" ref="M109">Common_InputFunctions.Utility_DisplayArrayInTable(Fertiliser_SourceData.Fertiliser_Products_Data1(),FertiliserProducts[[#Headers],[Include or Exclude]], 0,4)</f>
        <v>9.4E-2</v>
      </c>
      <c r="N109" s="171" t="str" cm="1">
        <f t="array" ref="N109">Common_InputFunctions.Utility_DisplayArrayInTable(Fertiliser_SourceData.Fertiliser_Products_Data1(),FertiliserProducts[[#Headers],[Include or Exclude]], 0,4)</f>
        <v>Magnesium</v>
      </c>
      <c r="O109" s="171" cm="1">
        <f t="array" ref="O109">Common_InputFunctions.Utility_DisplayArrayInTable(Fertiliser_SourceData.Fertiliser_Products_Data1(),FertiliserProducts[[#Headers],[Include or Exclude]], 0,4)</f>
        <v>0.06</v>
      </c>
      <c r="P109" s="171" t="str" cm="1">
        <f t="array" ref="P109">Common_InputFunctions.Utility_DisplayArrayInTable(Fertiliser_SourceData.Fertiliser_Products_Data1(),FertiliserProducts[[#Headers],[Include or Exclude]], 0,4)</f>
        <v>Boron</v>
      </c>
      <c r="Q109" s="171" cm="1">
        <f t="array" ref="Q109">Common_InputFunctions.Utility_DisplayArrayInTable(Fertiliser_SourceData.Fertiliser_Products_Data1(),FertiliserProducts[[#Headers],[Include or Exclude]], 0,4)</f>
        <v>4.4999999999999998E-2</v>
      </c>
      <c r="R109" s="171" t="str" cm="1">
        <f t="array" ref="R109">Common_InputFunctions.Utility_DisplayArrayInTable(Fertiliser_SourceData.Fertiliser_Products_Data1(),FertiliserProducts[[#Headers],[Include or Exclude]], 0,4)</f>
        <v>Zinc</v>
      </c>
      <c r="S109" s="171" cm="1">
        <f t="array" ref="S109">Common_InputFunctions.Utility_DisplayArrayInTable(Fertiliser_SourceData.Fertiliser_Products_Data1(),FertiliserProducts[[#Headers],[Include or Exclude]], 0,4)</f>
        <v>2.7E-2</v>
      </c>
      <c r="T109" s="171" t="str" cm="1">
        <f t="array" ref="T109">Common_InputFunctions.Utility_DisplayArrayInTable(Fertiliser_SourceData.Fertiliser_Products_Data1(),FertiliserProducts[[#Headers],[Include or Exclude]], 0,4)</f>
        <v/>
      </c>
      <c r="U109" s="171" t="str" cm="1">
        <f t="array" ref="U109">Common_InputFunctions.Utility_DisplayArrayInTable(Fertiliser_SourceData.Fertiliser_Products_Data1(),FertiliserProducts[[#Headers],[Include or Exclude]], 0,4)</f>
        <v/>
      </c>
      <c r="V109" s="171" t="str" cm="1">
        <f t="array" ref="V109">Common_InputFunctions.Utility_DisplayArrayInTable(Fertiliser_SourceData.Fertiliser_Products_Data1(),FertiliserProducts[[#Headers],[Include or Exclude]], 0,4)</f>
        <v/>
      </c>
      <c r="W109" s="171" t="str" cm="1">
        <f t="array" ref="W109">Common_InputFunctions.Utility_DisplayArrayInTable(Fertiliser_SourceData.Fertiliser_Products_Data1(),FertiliserProducts[[#Headers],[Include or Exclude]], 0,4)</f>
        <v/>
      </c>
      <c r="X109" s="171" t="str" cm="1">
        <f t="array" ref="X109">Common_InputFunctions.Utility_DisplayArrayInTable(Fertiliser_SourceData.Fertiliser_Products_Data1(),FertiliserProducts[[#Headers],[Include or Exclude]], 0,4)</f>
        <v/>
      </c>
      <c r="Y109" s="171" t="str" cm="1">
        <f t="array" ref="Y109">Common_InputFunctions.Utility_DisplayArrayInTable(Fertiliser_SourceData.Fertiliser_Products_Data1(),FertiliserProducts[[#Headers],[Include or Exclude]], 0,4)</f>
        <v/>
      </c>
      <c r="Z109" s="171" t="str" cm="1">
        <f t="array" ref="Z109">Common_InputFunctions.Utility_DisplayArrayInTable(Fertiliser_SourceData.Fertiliser_Products_Data1(),FertiliserProducts[[#Headers],[Include or Exclude]], 0,4)</f>
        <v/>
      </c>
      <c r="AA109" s="171" t="str" cm="1">
        <f t="array" ref="AA109">Common_InputFunctions.Utility_DisplayArrayInTable(Fertiliser_SourceData.Fertiliser_Products_Data1(),FertiliserProducts[[#Headers],[Include or Exclude]], 0,4)</f>
        <v/>
      </c>
      <c r="AB109" s="171" t="str" cm="1">
        <f t="array" ref="AB109">Common_InputFunctions.Utility_DisplayArrayInTable(Fertiliser_SourceData.Fertiliser_Products_Data1(),FertiliserProducts[[#Headers],[Include or Exclude]], 0,4)</f>
        <v/>
      </c>
      <c r="AC109" s="171" t="str" cm="1">
        <f t="array" ref="AC109">Common_InputFunctions.Utility_DisplayArrayInTable(Fertiliser_SourceData.Fertiliser_Products_Data1(),FertiliserProducts[[#Headers],[Include or Exclude]], 0,4)</f>
        <v/>
      </c>
      <c r="AD109" s="171" t="str" cm="1">
        <f t="array" ref="AD109">Common_InputFunctions.Utility_DisplayArrayInTable(Fertiliser_SourceData.Fertiliser_Products_Data1(),FertiliserProducts[[#Headers],[Include or Exclude]], 0,4)</f>
        <v/>
      </c>
      <c r="AE109" s="171" t="str" cm="1">
        <f t="array" ref="AE109">Common_InputFunctions.Utility_DisplayArrayInTable(Fertiliser_SourceData.Fertiliser_Products_Data1(),FertiliserProducts[[#Headers],[Include or Exclude]], 0,4)</f>
        <v/>
      </c>
    </row>
    <row r="110" spans="4:31" ht="20.100000000000001" customHeight="1" x14ac:dyDescent="0.25">
      <c r="D110" s="171" t="str" cm="1">
        <f t="array" ref="D110">Common_InputFunctions.Utility_DisplayArrayInTable(Fertiliser_SourceData.Fertiliser_Products_Data1(),FertiliserProducts[[#Headers],[Include or Exclude]], -1)</f>
        <v>Exclude - Not relevant</v>
      </c>
      <c r="E110" s="171" t="str" cm="1">
        <f t="array" ref="E110">Common_InputFunctions.Utility_DisplayArrayInTable(Fertiliser_SourceData.Fertiliser_Products_Data1(),FertiliserProducts[[#Headers],[Include or Exclude]], 0)</f>
        <v/>
      </c>
      <c r="F110" s="171" t="str" cm="1">
        <f t="array" ref="F110">Common_InputFunctions.Utility_DisplayArrayInTable(Fertiliser_SourceData.Fertiliser_Products_Data1(),FertiliserProducts[[#Headers],[Include or Exclude]], 0)</f>
        <v>Campbells fertilisers Australia</v>
      </c>
      <c r="G110" s="171" t="str" cm="1">
        <f t="array" ref="G110">Common_InputFunctions.Utility_DisplayArrayInTable(Fertiliser_SourceData.Fertiliser_Products_Data1(),FertiliserProducts[[#Headers],[Include or Exclude]], 0)</f>
        <v>Calbit C</v>
      </c>
      <c r="H110" s="171" t="str" cm="1">
        <f t="array" ref="H110">Common_InputFunctions.Utility_DisplayArrayInTable(Fertiliser_SourceData.Fertiliser_Products_Data1(),FertiliserProducts[[#Headers],[Include or Exclude]], 0,4)</f>
        <v>L</v>
      </c>
      <c r="I110" s="171" t="str" cm="1">
        <f t="array" ref="I110">Common_InputFunctions.Utility_DisplayArrayInTable(Fertiliser_SourceData.Fertiliser_Products_Data1(),FertiliserProducts[[#Headers],[Include or Exclude]], 0,4)</f>
        <v/>
      </c>
      <c r="J110" s="171" t="str" cm="1">
        <f t="array" ref="J110">Common_InputFunctions.Utility_DisplayArrayInTable(Fertiliser_SourceData.Fertiliser_Products_Data1(),FertiliserProducts[[#Headers],[Include or Exclude]], 0,4)</f>
        <v/>
      </c>
      <c r="K110" s="171" t="str" cm="1">
        <f t="array" ref="K110">Common_InputFunctions.Utility_DisplayArrayInTable(Fertiliser_SourceData.Fertiliser_Products_Data1(),FertiliserProducts[[#Headers],[Include or Exclude]], 0,4)</f>
        <v/>
      </c>
      <c r="L110" s="171" t="str" cm="1">
        <f t="array" ref="L110">Common_InputFunctions.Utility_DisplayArrayInTable(Fertiliser_SourceData.Fertiliser_Products_Data1(),FertiliserProducts[[#Headers],[Include or Exclude]], 0,4)</f>
        <v/>
      </c>
      <c r="M110" s="171" t="str" cm="1">
        <f t="array" ref="M110">Common_InputFunctions.Utility_DisplayArrayInTable(Fertiliser_SourceData.Fertiliser_Products_Data1(),FertiliserProducts[[#Headers],[Include or Exclude]], 0,4)</f>
        <v/>
      </c>
      <c r="N110" s="171" t="str" cm="1">
        <f t="array" ref="N110">Common_InputFunctions.Utility_DisplayArrayInTable(Fertiliser_SourceData.Fertiliser_Products_Data1(),FertiliserProducts[[#Headers],[Include or Exclude]], 0,4)</f>
        <v/>
      </c>
      <c r="O110" s="171" t="str" cm="1">
        <f t="array" ref="O110">Common_InputFunctions.Utility_DisplayArrayInTable(Fertiliser_SourceData.Fertiliser_Products_Data1(),FertiliserProducts[[#Headers],[Include or Exclude]], 0,4)</f>
        <v/>
      </c>
      <c r="P110" s="171" t="str" cm="1">
        <f t="array" ref="P110">Common_InputFunctions.Utility_DisplayArrayInTable(Fertiliser_SourceData.Fertiliser_Products_Data1(),FertiliserProducts[[#Headers],[Include or Exclude]], 0,4)</f>
        <v/>
      </c>
      <c r="Q110" s="171" t="str" cm="1">
        <f t="array" ref="Q110">Common_InputFunctions.Utility_DisplayArrayInTable(Fertiliser_SourceData.Fertiliser_Products_Data1(),FertiliserProducts[[#Headers],[Include or Exclude]], 0,4)</f>
        <v/>
      </c>
      <c r="R110" s="171" t="str" cm="1">
        <f t="array" ref="R110">Common_InputFunctions.Utility_DisplayArrayInTable(Fertiliser_SourceData.Fertiliser_Products_Data1(),FertiliserProducts[[#Headers],[Include or Exclude]], 0,4)</f>
        <v/>
      </c>
      <c r="S110" s="171" t="str" cm="1">
        <f t="array" ref="S110">Common_InputFunctions.Utility_DisplayArrayInTable(Fertiliser_SourceData.Fertiliser_Products_Data1(),FertiliserProducts[[#Headers],[Include or Exclude]], 0,4)</f>
        <v/>
      </c>
      <c r="T110" s="171" t="str" cm="1">
        <f t="array" ref="T110">Common_InputFunctions.Utility_DisplayArrayInTable(Fertiliser_SourceData.Fertiliser_Products_Data1(),FertiliserProducts[[#Headers],[Include or Exclude]], 0,4)</f>
        <v/>
      </c>
      <c r="U110" s="171" t="str" cm="1">
        <f t="array" ref="U110">Common_InputFunctions.Utility_DisplayArrayInTable(Fertiliser_SourceData.Fertiliser_Products_Data1(),FertiliserProducts[[#Headers],[Include or Exclude]], 0,4)</f>
        <v/>
      </c>
      <c r="V110" s="171" t="str" cm="1">
        <f t="array" ref="V110">Common_InputFunctions.Utility_DisplayArrayInTable(Fertiliser_SourceData.Fertiliser_Products_Data1(),FertiliserProducts[[#Headers],[Include or Exclude]], 0,4)</f>
        <v/>
      </c>
      <c r="W110" s="171" t="str" cm="1">
        <f t="array" ref="W110">Common_InputFunctions.Utility_DisplayArrayInTable(Fertiliser_SourceData.Fertiliser_Products_Data1(),FertiliserProducts[[#Headers],[Include or Exclude]], 0,4)</f>
        <v/>
      </c>
      <c r="X110" s="171" t="str" cm="1">
        <f t="array" ref="X110">Common_InputFunctions.Utility_DisplayArrayInTable(Fertiliser_SourceData.Fertiliser_Products_Data1(),FertiliserProducts[[#Headers],[Include or Exclude]], 0,4)</f>
        <v/>
      </c>
      <c r="Y110" s="171" t="str" cm="1">
        <f t="array" ref="Y110">Common_InputFunctions.Utility_DisplayArrayInTable(Fertiliser_SourceData.Fertiliser_Products_Data1(),FertiliserProducts[[#Headers],[Include or Exclude]], 0,4)</f>
        <v/>
      </c>
      <c r="Z110" s="171" t="str" cm="1">
        <f t="array" ref="Z110">Common_InputFunctions.Utility_DisplayArrayInTable(Fertiliser_SourceData.Fertiliser_Products_Data1(),FertiliserProducts[[#Headers],[Include or Exclude]], 0,4)</f>
        <v/>
      </c>
      <c r="AA110" s="171" t="str" cm="1">
        <f t="array" ref="AA110">Common_InputFunctions.Utility_DisplayArrayInTable(Fertiliser_SourceData.Fertiliser_Products_Data1(),FertiliserProducts[[#Headers],[Include or Exclude]], 0,4)</f>
        <v/>
      </c>
      <c r="AB110" s="171" t="str" cm="1">
        <f t="array" ref="AB110">Common_InputFunctions.Utility_DisplayArrayInTable(Fertiliser_SourceData.Fertiliser_Products_Data1(),FertiliserProducts[[#Headers],[Include or Exclude]], 0,4)</f>
        <v/>
      </c>
      <c r="AC110" s="171" t="str" cm="1">
        <f t="array" ref="AC110">Common_InputFunctions.Utility_DisplayArrayInTable(Fertiliser_SourceData.Fertiliser_Products_Data1(),FertiliserProducts[[#Headers],[Include or Exclude]], 0,4)</f>
        <v/>
      </c>
      <c r="AD110" s="171" t="str" cm="1">
        <f t="array" ref="AD110">Common_InputFunctions.Utility_DisplayArrayInTable(Fertiliser_SourceData.Fertiliser_Products_Data1(),FertiliserProducts[[#Headers],[Include or Exclude]], 0,4)</f>
        <v/>
      </c>
      <c r="AE110" s="171" t="str" cm="1">
        <f t="array" ref="AE110">Common_InputFunctions.Utility_DisplayArrayInTable(Fertiliser_SourceData.Fertiliser_Products_Data1(),FertiliserProducts[[#Headers],[Include or Exclude]], 0,4)</f>
        <v/>
      </c>
    </row>
    <row r="111" spans="4:31" ht="20.100000000000001" customHeight="1" x14ac:dyDescent="0.25">
      <c r="D111" s="171" t="str" cm="1">
        <f t="array" ref="D111">Common_InputFunctions.Utility_DisplayArrayInTable(Fertiliser_SourceData.Fertiliser_Products_Data1(),FertiliserProducts[[#Headers],[Include or Exclude]], -1)</f>
        <v>Include</v>
      </c>
      <c r="E111" s="171" t="str" cm="1">
        <f t="array" ref="E111">Common_InputFunctions.Utility_DisplayArrayInTable(Fertiliser_SourceData.Fertiliser_Products_Data1(),FertiliserProducts[[#Headers],[Include or Exclude]], 0)</f>
        <v/>
      </c>
      <c r="F111" s="171" t="str" cm="1">
        <f t="array" ref="F111">Common_InputFunctions.Utility_DisplayArrayInTable(Fertiliser_SourceData.Fertiliser_Products_Data1(),FertiliserProducts[[#Headers],[Include or Exclude]], 0)</f>
        <v>Campbells fertilisers Australia</v>
      </c>
      <c r="G111" s="171" t="str" cm="1">
        <f t="array" ref="G111">Common_InputFunctions.Utility_DisplayArrayInTable(Fertiliser_SourceData.Fertiliser_Products_Data1(),FertiliserProducts[[#Headers],[Include or Exclude]], 0)</f>
        <v>Calcium 175</v>
      </c>
      <c r="H111" s="171" t="str" cm="1">
        <f t="array" ref="H111">Common_InputFunctions.Utility_DisplayArrayInTable(Fertiliser_SourceData.Fertiliser_Products_Data1(),FertiliserProducts[[#Headers],[Include or Exclude]], 0,4)</f>
        <v>L</v>
      </c>
      <c r="I111" s="171" t="str" cm="1">
        <f t="array" ref="I111">Common_InputFunctions.Utility_DisplayArrayInTable(Fertiliser_SourceData.Fertiliser_Products_Data1(),FertiliserProducts[[#Headers],[Include or Exclude]], 0,4)</f>
        <v/>
      </c>
      <c r="J111" s="171" t="str" cm="1">
        <f t="array" ref="J111">Common_InputFunctions.Utility_DisplayArrayInTable(Fertiliser_SourceData.Fertiliser_Products_Data1(),FertiliserProducts[[#Headers],[Include or Exclude]], 0,4)</f>
        <v/>
      </c>
      <c r="K111" s="171" t="str" cm="1">
        <f t="array" ref="K111">Common_InputFunctions.Utility_DisplayArrayInTable(Fertiliser_SourceData.Fertiliser_Products_Data1(),FertiliserProducts[[#Headers],[Include or Exclude]], 0,4)</f>
        <v/>
      </c>
      <c r="L111" s="171" t="str" cm="1">
        <f t="array" ref="L111">Common_InputFunctions.Utility_DisplayArrayInTable(Fertiliser_SourceData.Fertiliser_Products_Data1(),FertiliserProducts[[#Headers],[Include or Exclude]], 0,4)</f>
        <v/>
      </c>
      <c r="M111" s="171" t="str" cm="1">
        <f t="array" ref="M111">Common_InputFunctions.Utility_DisplayArrayInTable(Fertiliser_SourceData.Fertiliser_Products_Data1(),FertiliserProducts[[#Headers],[Include or Exclude]], 0,4)</f>
        <v/>
      </c>
      <c r="N111" s="171" t="str" cm="1">
        <f t="array" ref="N111">Common_InputFunctions.Utility_DisplayArrayInTable(Fertiliser_SourceData.Fertiliser_Products_Data1(),FertiliserProducts[[#Headers],[Include or Exclude]], 0,4)</f>
        <v/>
      </c>
      <c r="O111" s="171" t="str" cm="1">
        <f t="array" ref="O111">Common_InputFunctions.Utility_DisplayArrayInTable(Fertiliser_SourceData.Fertiliser_Products_Data1(),FertiliserProducts[[#Headers],[Include or Exclude]], 0,4)</f>
        <v/>
      </c>
      <c r="P111" s="171" t="str" cm="1">
        <f t="array" ref="P111">Common_InputFunctions.Utility_DisplayArrayInTable(Fertiliser_SourceData.Fertiliser_Products_Data1(),FertiliserProducts[[#Headers],[Include or Exclude]], 0,4)</f>
        <v/>
      </c>
      <c r="Q111" s="171" t="str" cm="1">
        <f t="array" ref="Q111">Common_InputFunctions.Utility_DisplayArrayInTable(Fertiliser_SourceData.Fertiliser_Products_Data1(),FertiliserProducts[[#Headers],[Include or Exclude]], 0,4)</f>
        <v/>
      </c>
      <c r="R111" s="171" t="str" cm="1">
        <f t="array" ref="R111">Common_InputFunctions.Utility_DisplayArrayInTable(Fertiliser_SourceData.Fertiliser_Products_Data1(),FertiliserProducts[[#Headers],[Include or Exclude]], 0,4)</f>
        <v/>
      </c>
      <c r="S111" s="171" t="str" cm="1">
        <f t="array" ref="S111">Common_InputFunctions.Utility_DisplayArrayInTable(Fertiliser_SourceData.Fertiliser_Products_Data1(),FertiliserProducts[[#Headers],[Include or Exclude]], 0,4)</f>
        <v/>
      </c>
      <c r="T111" s="171" t="str" cm="1">
        <f t="array" ref="T111">Common_InputFunctions.Utility_DisplayArrayInTable(Fertiliser_SourceData.Fertiliser_Products_Data1(),FertiliserProducts[[#Headers],[Include or Exclude]], 0,4)</f>
        <v/>
      </c>
      <c r="U111" s="171" t="str" cm="1">
        <f t="array" ref="U111">Common_InputFunctions.Utility_DisplayArrayInTable(Fertiliser_SourceData.Fertiliser_Products_Data1(),FertiliserProducts[[#Headers],[Include or Exclude]], 0,4)</f>
        <v/>
      </c>
      <c r="V111" s="171" t="str" cm="1">
        <f t="array" ref="V111">Common_InputFunctions.Utility_DisplayArrayInTable(Fertiliser_SourceData.Fertiliser_Products_Data1(),FertiliserProducts[[#Headers],[Include or Exclude]], 0,4)</f>
        <v/>
      </c>
      <c r="W111" s="171" t="str" cm="1">
        <f t="array" ref="W111">Common_InputFunctions.Utility_DisplayArrayInTable(Fertiliser_SourceData.Fertiliser_Products_Data1(),FertiliserProducts[[#Headers],[Include or Exclude]], 0,4)</f>
        <v/>
      </c>
      <c r="X111" s="171" t="str" cm="1">
        <f t="array" ref="X111">Common_InputFunctions.Utility_DisplayArrayInTable(Fertiliser_SourceData.Fertiliser_Products_Data1(),FertiliserProducts[[#Headers],[Include or Exclude]], 0,4)</f>
        <v/>
      </c>
      <c r="Y111" s="171" t="str" cm="1">
        <f t="array" ref="Y111">Common_InputFunctions.Utility_DisplayArrayInTable(Fertiliser_SourceData.Fertiliser_Products_Data1(),FertiliserProducts[[#Headers],[Include or Exclude]], 0,4)</f>
        <v/>
      </c>
      <c r="Z111" s="171" t="str" cm="1">
        <f t="array" ref="Z111">Common_InputFunctions.Utility_DisplayArrayInTable(Fertiliser_SourceData.Fertiliser_Products_Data1(),FertiliserProducts[[#Headers],[Include or Exclude]], 0,4)</f>
        <v/>
      </c>
      <c r="AA111" s="171" t="str" cm="1">
        <f t="array" ref="AA111">Common_InputFunctions.Utility_DisplayArrayInTable(Fertiliser_SourceData.Fertiliser_Products_Data1(),FertiliserProducts[[#Headers],[Include or Exclude]], 0,4)</f>
        <v/>
      </c>
      <c r="AB111" s="171" t="str" cm="1">
        <f t="array" ref="AB111">Common_InputFunctions.Utility_DisplayArrayInTable(Fertiliser_SourceData.Fertiliser_Products_Data1(),FertiliserProducts[[#Headers],[Include or Exclude]], 0,4)</f>
        <v/>
      </c>
      <c r="AC111" s="171" t="str" cm="1">
        <f t="array" ref="AC111">Common_InputFunctions.Utility_DisplayArrayInTable(Fertiliser_SourceData.Fertiliser_Products_Data1(),FertiliserProducts[[#Headers],[Include or Exclude]], 0,4)</f>
        <v/>
      </c>
      <c r="AD111" s="171" t="str" cm="1">
        <f t="array" ref="AD111">Common_InputFunctions.Utility_DisplayArrayInTable(Fertiliser_SourceData.Fertiliser_Products_Data1(),FertiliserProducts[[#Headers],[Include or Exclude]], 0,4)</f>
        <v/>
      </c>
      <c r="AE111" s="171" t="str" cm="1">
        <f t="array" ref="AE111">Common_InputFunctions.Utility_DisplayArrayInTable(Fertiliser_SourceData.Fertiliser_Products_Data1(),FertiliserProducts[[#Headers],[Include or Exclude]], 0,4)</f>
        <v/>
      </c>
    </row>
    <row r="112" spans="4:31" ht="20.100000000000001" customHeight="1" x14ac:dyDescent="0.25">
      <c r="D112" s="171" t="str" cm="1">
        <f t="array" ref="D112">Common_InputFunctions.Utility_DisplayArrayInTable(Fertiliser_SourceData.Fertiliser_Products_Data1(),FertiliserProducts[[#Headers],[Include or Exclude]], -1)</f>
        <v/>
      </c>
      <c r="E112" s="171" t="str" cm="1">
        <f t="array" ref="E112">Common_InputFunctions.Utility_DisplayArrayInTable(Fertiliser_SourceData.Fertiliser_Products_Data1(),FertiliserProducts[[#Headers],[Include or Exclude]], 0)</f>
        <v>Use Lime EF for calcium</v>
      </c>
      <c r="F112" s="171" t="str" cm="1">
        <f t="array" ref="F112">Common_InputFunctions.Utility_DisplayArrayInTable(Fertiliser_SourceData.Fertiliser_Products_Data1(),FertiliserProducts[[#Headers],[Include or Exclude]], 0)</f>
        <v>Campbells fertilisers Australia</v>
      </c>
      <c r="G112" s="171" t="str" cm="1">
        <f t="array" ref="G112">Common_InputFunctions.Utility_DisplayArrayInTable(Fertiliser_SourceData.Fertiliser_Products_Data1(),FertiliserProducts[[#Headers],[Include or Exclude]], 0)</f>
        <v>CalPhos</v>
      </c>
      <c r="H112" s="171" t="str" cm="1">
        <f t="array" ref="H112">Common_InputFunctions.Utility_DisplayArrayInTable(Fertiliser_SourceData.Fertiliser_Products_Data1(),FertiliserProducts[[#Headers],[Include or Exclude]], 0,4)</f>
        <v>L</v>
      </c>
      <c r="I112" s="171" cm="1">
        <f t="array" ref="I112">Common_InputFunctions.Utility_DisplayArrayInTable(Fertiliser_SourceData.Fertiliser_Products_Data1(),FertiliserProducts[[#Headers],[Include or Exclude]], 0,4)</f>
        <v>1.2849999999999999</v>
      </c>
      <c r="J112" s="171" t="str" cm="1">
        <f t="array" ref="J112">Common_InputFunctions.Utility_DisplayArrayInTable(Fertiliser_SourceData.Fertiliser_Products_Data1(),FertiliserProducts[[#Headers],[Include or Exclude]], 0,4)</f>
        <v/>
      </c>
      <c r="K112" s="171" t="str" cm="1">
        <f t="array" ref="K112">Common_InputFunctions.Utility_DisplayArrayInTable(Fertiliser_SourceData.Fertiliser_Products_Data1(),FertiliserProducts[[#Headers],[Include or Exclude]], 0,4)</f>
        <v/>
      </c>
      <c r="L112" s="171" t="str" cm="1">
        <f t="array" ref="L112">Common_InputFunctions.Utility_DisplayArrayInTable(Fertiliser_SourceData.Fertiliser_Products_Data1(),FertiliserProducts[[#Headers],[Include or Exclude]], 0,4)</f>
        <v>Phosphorus - Generic</v>
      </c>
      <c r="M112" s="171" cm="1">
        <f t="array" ref="M112">Common_InputFunctions.Utility_DisplayArrayInTable(Fertiliser_SourceData.Fertiliser_Products_Data1(),FertiliserProducts[[#Headers],[Include or Exclude]], 0,4)</f>
        <v>0.13500000000000001</v>
      </c>
      <c r="N112" s="171" t="str" cm="1">
        <f t="array" ref="N112">Common_InputFunctions.Utility_DisplayArrayInTable(Fertiliser_SourceData.Fertiliser_Products_Data1(),FertiliserProducts[[#Headers],[Include or Exclude]], 0,4)</f>
        <v>Calcium - Generic</v>
      </c>
      <c r="O112" s="171" cm="1">
        <f t="array" ref="O112">Common_InputFunctions.Utility_DisplayArrayInTable(Fertiliser_SourceData.Fertiliser_Products_Data1(),FertiliserProducts[[#Headers],[Include or Exclude]], 0,4)</f>
        <v>0.04</v>
      </c>
      <c r="P112" s="171" t="str" cm="1">
        <f t="array" ref="P112">Common_InputFunctions.Utility_DisplayArrayInTable(Fertiliser_SourceData.Fertiliser_Products_Data1(),FertiliserProducts[[#Headers],[Include or Exclude]], 0,4)</f>
        <v/>
      </c>
      <c r="Q112" s="171" t="str" cm="1">
        <f t="array" ref="Q112">Common_InputFunctions.Utility_DisplayArrayInTable(Fertiliser_SourceData.Fertiliser_Products_Data1(),FertiliserProducts[[#Headers],[Include or Exclude]], 0,4)</f>
        <v/>
      </c>
      <c r="R112" s="171" t="str" cm="1">
        <f t="array" ref="R112">Common_InputFunctions.Utility_DisplayArrayInTable(Fertiliser_SourceData.Fertiliser_Products_Data1(),FertiliserProducts[[#Headers],[Include or Exclude]], 0,4)</f>
        <v/>
      </c>
      <c r="S112" s="171" t="str" cm="1">
        <f t="array" ref="S112">Common_InputFunctions.Utility_DisplayArrayInTable(Fertiliser_SourceData.Fertiliser_Products_Data1(),FertiliserProducts[[#Headers],[Include or Exclude]], 0,4)</f>
        <v/>
      </c>
      <c r="T112" s="171" t="str" cm="1">
        <f t="array" ref="T112">Common_InputFunctions.Utility_DisplayArrayInTable(Fertiliser_SourceData.Fertiliser_Products_Data1(),FertiliserProducts[[#Headers],[Include or Exclude]], 0,4)</f>
        <v/>
      </c>
      <c r="U112" s="171" t="str" cm="1">
        <f t="array" ref="U112">Common_InputFunctions.Utility_DisplayArrayInTable(Fertiliser_SourceData.Fertiliser_Products_Data1(),FertiliserProducts[[#Headers],[Include or Exclude]], 0,4)</f>
        <v/>
      </c>
      <c r="V112" s="171" t="str" cm="1">
        <f t="array" ref="V112">Common_InputFunctions.Utility_DisplayArrayInTable(Fertiliser_SourceData.Fertiliser_Products_Data1(),FertiliserProducts[[#Headers],[Include or Exclude]], 0,4)</f>
        <v/>
      </c>
      <c r="W112" s="171" t="str" cm="1">
        <f t="array" ref="W112">Common_InputFunctions.Utility_DisplayArrayInTable(Fertiliser_SourceData.Fertiliser_Products_Data1(),FertiliserProducts[[#Headers],[Include or Exclude]], 0,4)</f>
        <v/>
      </c>
      <c r="X112" s="171" t="str" cm="1">
        <f t="array" ref="X112">Common_InputFunctions.Utility_DisplayArrayInTable(Fertiliser_SourceData.Fertiliser_Products_Data1(),FertiliserProducts[[#Headers],[Include or Exclude]], 0,4)</f>
        <v/>
      </c>
      <c r="Y112" s="171" t="str" cm="1">
        <f t="array" ref="Y112">Common_InputFunctions.Utility_DisplayArrayInTable(Fertiliser_SourceData.Fertiliser_Products_Data1(),FertiliserProducts[[#Headers],[Include or Exclude]], 0,4)</f>
        <v/>
      </c>
      <c r="Z112" s="171" t="str" cm="1">
        <f t="array" ref="Z112">Common_InputFunctions.Utility_DisplayArrayInTable(Fertiliser_SourceData.Fertiliser_Products_Data1(),FertiliserProducts[[#Headers],[Include or Exclude]], 0,4)</f>
        <v/>
      </c>
      <c r="AA112" s="171" t="str" cm="1">
        <f t="array" ref="AA112">Common_InputFunctions.Utility_DisplayArrayInTable(Fertiliser_SourceData.Fertiliser_Products_Data1(),FertiliserProducts[[#Headers],[Include or Exclude]], 0,4)</f>
        <v/>
      </c>
      <c r="AB112" s="171" t="str" cm="1">
        <f t="array" ref="AB112">Common_InputFunctions.Utility_DisplayArrayInTable(Fertiliser_SourceData.Fertiliser_Products_Data1(),FertiliserProducts[[#Headers],[Include or Exclude]], 0,4)</f>
        <v/>
      </c>
      <c r="AC112" s="171" t="str" cm="1">
        <f t="array" ref="AC112">Common_InputFunctions.Utility_DisplayArrayInTable(Fertiliser_SourceData.Fertiliser_Products_Data1(),FertiliserProducts[[#Headers],[Include or Exclude]], 0,4)</f>
        <v/>
      </c>
      <c r="AD112" s="171" t="str" cm="1">
        <f t="array" ref="AD112">Common_InputFunctions.Utility_DisplayArrayInTable(Fertiliser_SourceData.Fertiliser_Products_Data1(),FertiliserProducts[[#Headers],[Include or Exclude]], 0,4)</f>
        <v/>
      </c>
      <c r="AE112" s="171" t="str" cm="1">
        <f t="array" ref="AE112">Common_InputFunctions.Utility_DisplayArrayInTable(Fertiliser_SourceData.Fertiliser_Products_Data1(),FertiliserProducts[[#Headers],[Include or Exclude]], 0,4)</f>
        <v/>
      </c>
    </row>
    <row r="113" spans="4:31" ht="20.100000000000001" customHeight="1" x14ac:dyDescent="0.25">
      <c r="D113" s="171" t="str" cm="1">
        <f t="array" ref="D113">Common_InputFunctions.Utility_DisplayArrayInTable(Fertiliser_SourceData.Fertiliser_Products_Data1(),FertiliserProducts[[#Headers],[Include or Exclude]], -1)</f>
        <v/>
      </c>
      <c r="E113" s="171" t="str" cm="1">
        <f t="array" ref="E113">Common_InputFunctions.Utility_DisplayArrayInTable(Fertiliser_SourceData.Fertiliser_Products_Data1(),FertiliserProducts[[#Headers],[Include or Exclude]], 0)</f>
        <v/>
      </c>
      <c r="F113" s="171" t="str" cm="1">
        <f t="array" ref="F113">Common_InputFunctions.Utility_DisplayArrayInTable(Fertiliser_SourceData.Fertiliser_Products_Data1(),FertiliserProducts[[#Headers],[Include or Exclude]], 0)</f>
        <v/>
      </c>
      <c r="G113" s="171" t="str" cm="1">
        <f t="array" ref="G113">Common_InputFunctions.Utility_DisplayArrayInTable(Fertiliser_SourceData.Fertiliser_Products_Data1(),FertiliserProducts[[#Headers],[Include or Exclude]], 0)</f>
        <v/>
      </c>
      <c r="H113" s="171" t="str" cm="1">
        <f t="array" ref="H113">Common_InputFunctions.Utility_DisplayArrayInTable(Fertiliser_SourceData.Fertiliser_Products_Data1(),FertiliserProducts[[#Headers],[Include or Exclude]], 0,4)</f>
        <v/>
      </c>
      <c r="I113" s="171" t="str" cm="1">
        <f t="array" ref="I113">Common_InputFunctions.Utility_DisplayArrayInTable(Fertiliser_SourceData.Fertiliser_Products_Data1(),FertiliserProducts[[#Headers],[Include or Exclude]], 0,4)</f>
        <v/>
      </c>
      <c r="J113" s="171" t="str" cm="1">
        <f t="array" ref="J113">Common_InputFunctions.Utility_DisplayArrayInTable(Fertiliser_SourceData.Fertiliser_Products_Data1(),FertiliserProducts[[#Headers],[Include or Exclude]], 0,4)</f>
        <v/>
      </c>
      <c r="K113" s="171" t="str" cm="1">
        <f t="array" ref="K113">Common_InputFunctions.Utility_DisplayArrayInTable(Fertiliser_SourceData.Fertiliser_Products_Data1(),FertiliserProducts[[#Headers],[Include or Exclude]], 0,4)</f>
        <v/>
      </c>
      <c r="L113" s="171" t="str" cm="1">
        <f t="array" ref="L113">Common_InputFunctions.Utility_DisplayArrayInTable(Fertiliser_SourceData.Fertiliser_Products_Data1(),FertiliserProducts[[#Headers],[Include or Exclude]], 0,4)</f>
        <v/>
      </c>
      <c r="M113" s="171" t="str" cm="1">
        <f t="array" ref="M113">Common_InputFunctions.Utility_DisplayArrayInTable(Fertiliser_SourceData.Fertiliser_Products_Data1(),FertiliserProducts[[#Headers],[Include or Exclude]], 0,4)</f>
        <v/>
      </c>
      <c r="N113" s="171" t="str" cm="1">
        <f t="array" ref="N113">Common_InputFunctions.Utility_DisplayArrayInTable(Fertiliser_SourceData.Fertiliser_Products_Data1(),FertiliserProducts[[#Headers],[Include or Exclude]], 0,4)</f>
        <v/>
      </c>
      <c r="O113" s="171" t="str" cm="1">
        <f t="array" ref="O113">Common_InputFunctions.Utility_DisplayArrayInTable(Fertiliser_SourceData.Fertiliser_Products_Data1(),FertiliserProducts[[#Headers],[Include or Exclude]], 0,4)</f>
        <v/>
      </c>
      <c r="P113" s="171" t="str" cm="1">
        <f t="array" ref="P113">Common_InputFunctions.Utility_DisplayArrayInTable(Fertiliser_SourceData.Fertiliser_Products_Data1(),FertiliserProducts[[#Headers],[Include or Exclude]], 0,4)</f>
        <v/>
      </c>
      <c r="Q113" s="171" t="str" cm="1">
        <f t="array" ref="Q113">Common_InputFunctions.Utility_DisplayArrayInTable(Fertiliser_SourceData.Fertiliser_Products_Data1(),FertiliserProducts[[#Headers],[Include or Exclude]], 0,4)</f>
        <v/>
      </c>
      <c r="R113" s="171" t="str" cm="1">
        <f t="array" ref="R113">Common_InputFunctions.Utility_DisplayArrayInTable(Fertiliser_SourceData.Fertiliser_Products_Data1(),FertiliserProducts[[#Headers],[Include or Exclude]], 0,4)</f>
        <v/>
      </c>
      <c r="S113" s="171" t="str" cm="1">
        <f t="array" ref="S113">Common_InputFunctions.Utility_DisplayArrayInTable(Fertiliser_SourceData.Fertiliser_Products_Data1(),FertiliserProducts[[#Headers],[Include or Exclude]], 0,4)</f>
        <v/>
      </c>
      <c r="T113" s="171" t="str" cm="1">
        <f t="array" ref="T113">Common_InputFunctions.Utility_DisplayArrayInTable(Fertiliser_SourceData.Fertiliser_Products_Data1(),FertiliserProducts[[#Headers],[Include or Exclude]], 0,4)</f>
        <v/>
      </c>
      <c r="U113" s="171" t="str" cm="1">
        <f t="array" ref="U113">Common_InputFunctions.Utility_DisplayArrayInTable(Fertiliser_SourceData.Fertiliser_Products_Data1(),FertiliserProducts[[#Headers],[Include or Exclude]], 0,4)</f>
        <v/>
      </c>
      <c r="V113" s="171" t="str" cm="1">
        <f t="array" ref="V113">Common_InputFunctions.Utility_DisplayArrayInTable(Fertiliser_SourceData.Fertiliser_Products_Data1(),FertiliserProducts[[#Headers],[Include or Exclude]], 0,4)</f>
        <v/>
      </c>
      <c r="W113" s="171" t="str" cm="1">
        <f t="array" ref="W113">Common_InputFunctions.Utility_DisplayArrayInTable(Fertiliser_SourceData.Fertiliser_Products_Data1(),FertiliserProducts[[#Headers],[Include or Exclude]], 0,4)</f>
        <v/>
      </c>
      <c r="X113" s="171" t="str" cm="1">
        <f t="array" ref="X113">Common_InputFunctions.Utility_DisplayArrayInTable(Fertiliser_SourceData.Fertiliser_Products_Data1(),FertiliserProducts[[#Headers],[Include or Exclude]], 0,4)</f>
        <v/>
      </c>
      <c r="Y113" s="171" t="str" cm="1">
        <f t="array" ref="Y113">Common_InputFunctions.Utility_DisplayArrayInTable(Fertiliser_SourceData.Fertiliser_Products_Data1(),FertiliserProducts[[#Headers],[Include or Exclude]], 0,4)</f>
        <v/>
      </c>
      <c r="Z113" s="171" t="str" cm="1">
        <f t="array" ref="Z113">Common_InputFunctions.Utility_DisplayArrayInTable(Fertiliser_SourceData.Fertiliser_Products_Data1(),FertiliserProducts[[#Headers],[Include or Exclude]], 0,4)</f>
        <v/>
      </c>
      <c r="AA113" s="171" t="str" cm="1">
        <f t="array" ref="AA113">Common_InputFunctions.Utility_DisplayArrayInTable(Fertiliser_SourceData.Fertiliser_Products_Data1(),FertiliserProducts[[#Headers],[Include or Exclude]], 0,4)</f>
        <v/>
      </c>
      <c r="AB113" s="171" t="str" cm="1">
        <f t="array" ref="AB113">Common_InputFunctions.Utility_DisplayArrayInTable(Fertiliser_SourceData.Fertiliser_Products_Data1(),FertiliserProducts[[#Headers],[Include or Exclude]], 0,4)</f>
        <v/>
      </c>
      <c r="AC113" s="171" t="str" cm="1">
        <f t="array" ref="AC113">Common_InputFunctions.Utility_DisplayArrayInTable(Fertiliser_SourceData.Fertiliser_Products_Data1(),FertiliserProducts[[#Headers],[Include or Exclude]], 0,4)</f>
        <v/>
      </c>
      <c r="AD113" s="171" t="str" cm="1">
        <f t="array" ref="AD113">Common_InputFunctions.Utility_DisplayArrayInTable(Fertiliser_SourceData.Fertiliser_Products_Data1(),FertiliserProducts[[#Headers],[Include or Exclude]], 0,4)</f>
        <v/>
      </c>
      <c r="AE113" s="171" t="str" cm="1">
        <f t="array" ref="AE113">Common_InputFunctions.Utility_DisplayArrayInTable(Fertiliser_SourceData.Fertiliser_Products_Data1(),FertiliserProducts[[#Headers],[Include or Exclude]], 0,4)</f>
        <v/>
      </c>
    </row>
    <row r="114" spans="4:31" ht="20.100000000000001" customHeight="1" x14ac:dyDescent="0.25">
      <c r="D114" s="171" t="str" cm="1">
        <f t="array" ref="D114">Common_InputFunctions.Utility_DisplayArrayInTable(Fertiliser_SourceData.Fertiliser_Products_Data1(),FertiliserProducts[[#Headers],[Include or Exclude]], -1)</f>
        <v/>
      </c>
      <c r="E114" s="171" t="str" cm="1">
        <f t="array" ref="E114">Common_InputFunctions.Utility_DisplayArrayInTable(Fertiliser_SourceData.Fertiliser_Products_Data1(),FertiliserProducts[[#Headers],[Include or Exclude]], 0)</f>
        <v/>
      </c>
      <c r="F114" s="171" t="str" cm="1">
        <f t="array" ref="F114">Common_InputFunctions.Utility_DisplayArrayInTable(Fertiliser_SourceData.Fertiliser_Products_Data1(),FertiliserProducts[[#Headers],[Include or Exclude]], 0)</f>
        <v/>
      </c>
      <c r="G114" s="171" t="str" cm="1">
        <f t="array" ref="G114">Common_InputFunctions.Utility_DisplayArrayInTable(Fertiliser_SourceData.Fertiliser_Products_Data1(),FertiliserProducts[[#Headers],[Include or Exclude]], 0)</f>
        <v/>
      </c>
      <c r="H114" s="171" t="str" cm="1">
        <f t="array" ref="H114">Common_InputFunctions.Utility_DisplayArrayInTable(Fertiliser_SourceData.Fertiliser_Products_Data1(),FertiliserProducts[[#Headers],[Include or Exclude]], 0,4)</f>
        <v/>
      </c>
      <c r="I114" s="171" t="str" cm="1">
        <f t="array" ref="I114">Common_InputFunctions.Utility_DisplayArrayInTable(Fertiliser_SourceData.Fertiliser_Products_Data1(),FertiliserProducts[[#Headers],[Include or Exclude]], 0,4)</f>
        <v/>
      </c>
      <c r="J114" s="171" t="str" cm="1">
        <f t="array" ref="J114">Common_InputFunctions.Utility_DisplayArrayInTable(Fertiliser_SourceData.Fertiliser_Products_Data1(),FertiliserProducts[[#Headers],[Include or Exclude]], 0,4)</f>
        <v/>
      </c>
      <c r="K114" s="171" t="str" cm="1">
        <f t="array" ref="K114">Common_InputFunctions.Utility_DisplayArrayInTable(Fertiliser_SourceData.Fertiliser_Products_Data1(),FertiliserProducts[[#Headers],[Include or Exclude]], 0,4)</f>
        <v/>
      </c>
      <c r="L114" s="171" t="str" cm="1">
        <f t="array" ref="L114">Common_InputFunctions.Utility_DisplayArrayInTable(Fertiliser_SourceData.Fertiliser_Products_Data1(),FertiliserProducts[[#Headers],[Include or Exclude]], 0,4)</f>
        <v/>
      </c>
      <c r="M114" s="171" t="str" cm="1">
        <f t="array" ref="M114">Common_InputFunctions.Utility_DisplayArrayInTable(Fertiliser_SourceData.Fertiliser_Products_Data1(),FertiliserProducts[[#Headers],[Include or Exclude]], 0,4)</f>
        <v/>
      </c>
      <c r="N114" s="171" t="str" cm="1">
        <f t="array" ref="N114">Common_InputFunctions.Utility_DisplayArrayInTable(Fertiliser_SourceData.Fertiliser_Products_Data1(),FertiliserProducts[[#Headers],[Include or Exclude]], 0,4)</f>
        <v/>
      </c>
      <c r="O114" s="171" t="str" cm="1">
        <f t="array" ref="O114">Common_InputFunctions.Utility_DisplayArrayInTable(Fertiliser_SourceData.Fertiliser_Products_Data1(),FertiliserProducts[[#Headers],[Include or Exclude]], 0,4)</f>
        <v/>
      </c>
      <c r="P114" s="171" t="str" cm="1">
        <f t="array" ref="P114">Common_InputFunctions.Utility_DisplayArrayInTable(Fertiliser_SourceData.Fertiliser_Products_Data1(),FertiliserProducts[[#Headers],[Include or Exclude]], 0,4)</f>
        <v/>
      </c>
      <c r="Q114" s="171" t="str" cm="1">
        <f t="array" ref="Q114">Common_InputFunctions.Utility_DisplayArrayInTable(Fertiliser_SourceData.Fertiliser_Products_Data1(),FertiliserProducts[[#Headers],[Include or Exclude]], 0,4)</f>
        <v/>
      </c>
      <c r="R114" s="171" t="str" cm="1">
        <f t="array" ref="R114">Common_InputFunctions.Utility_DisplayArrayInTable(Fertiliser_SourceData.Fertiliser_Products_Data1(),FertiliserProducts[[#Headers],[Include or Exclude]], 0,4)</f>
        <v/>
      </c>
      <c r="S114" s="171" t="str" cm="1">
        <f t="array" ref="S114">Common_InputFunctions.Utility_DisplayArrayInTable(Fertiliser_SourceData.Fertiliser_Products_Data1(),FertiliserProducts[[#Headers],[Include or Exclude]], 0,4)</f>
        <v/>
      </c>
      <c r="T114" s="171" t="str" cm="1">
        <f t="array" ref="T114">Common_InputFunctions.Utility_DisplayArrayInTable(Fertiliser_SourceData.Fertiliser_Products_Data1(),FertiliserProducts[[#Headers],[Include or Exclude]], 0,4)</f>
        <v/>
      </c>
      <c r="U114" s="171" t="str" cm="1">
        <f t="array" ref="U114">Common_InputFunctions.Utility_DisplayArrayInTable(Fertiliser_SourceData.Fertiliser_Products_Data1(),FertiliserProducts[[#Headers],[Include or Exclude]], 0,4)</f>
        <v/>
      </c>
      <c r="V114" s="171" t="str" cm="1">
        <f t="array" ref="V114">Common_InputFunctions.Utility_DisplayArrayInTable(Fertiliser_SourceData.Fertiliser_Products_Data1(),FertiliserProducts[[#Headers],[Include or Exclude]], 0,4)</f>
        <v/>
      </c>
      <c r="W114" s="171" t="str" cm="1">
        <f t="array" ref="W114">Common_InputFunctions.Utility_DisplayArrayInTable(Fertiliser_SourceData.Fertiliser_Products_Data1(),FertiliserProducts[[#Headers],[Include or Exclude]], 0,4)</f>
        <v/>
      </c>
      <c r="X114" s="171" t="str" cm="1">
        <f t="array" ref="X114">Common_InputFunctions.Utility_DisplayArrayInTable(Fertiliser_SourceData.Fertiliser_Products_Data1(),FertiliserProducts[[#Headers],[Include or Exclude]], 0,4)</f>
        <v/>
      </c>
      <c r="Y114" s="171" t="str" cm="1">
        <f t="array" ref="Y114">Common_InputFunctions.Utility_DisplayArrayInTable(Fertiliser_SourceData.Fertiliser_Products_Data1(),FertiliserProducts[[#Headers],[Include or Exclude]], 0,4)</f>
        <v/>
      </c>
      <c r="Z114" s="171" t="str" cm="1">
        <f t="array" ref="Z114">Common_InputFunctions.Utility_DisplayArrayInTable(Fertiliser_SourceData.Fertiliser_Products_Data1(),FertiliserProducts[[#Headers],[Include or Exclude]], 0,4)</f>
        <v/>
      </c>
      <c r="AA114" s="171" t="str" cm="1">
        <f t="array" ref="AA114">Common_InputFunctions.Utility_DisplayArrayInTable(Fertiliser_SourceData.Fertiliser_Products_Data1(),FertiliserProducts[[#Headers],[Include or Exclude]], 0,4)</f>
        <v/>
      </c>
      <c r="AB114" s="171" t="str" cm="1">
        <f t="array" ref="AB114">Common_InputFunctions.Utility_DisplayArrayInTable(Fertiliser_SourceData.Fertiliser_Products_Data1(),FertiliserProducts[[#Headers],[Include or Exclude]], 0,4)</f>
        <v/>
      </c>
      <c r="AC114" s="171" t="str" cm="1">
        <f t="array" ref="AC114">Common_InputFunctions.Utility_DisplayArrayInTable(Fertiliser_SourceData.Fertiliser_Products_Data1(),FertiliserProducts[[#Headers],[Include or Exclude]], 0,4)</f>
        <v/>
      </c>
      <c r="AD114" s="171" t="str" cm="1">
        <f t="array" ref="AD114">Common_InputFunctions.Utility_DisplayArrayInTable(Fertiliser_SourceData.Fertiliser_Products_Data1(),FertiliserProducts[[#Headers],[Include or Exclude]], 0,4)</f>
        <v/>
      </c>
      <c r="AE114" s="171" t="str" cm="1">
        <f t="array" ref="AE114">Common_InputFunctions.Utility_DisplayArrayInTable(Fertiliser_SourceData.Fertiliser_Products_Data1(),FertiliserProducts[[#Headers],[Include or Exclude]], 0,4)</f>
        <v/>
      </c>
    </row>
    <row r="115" spans="4:31" ht="20.100000000000001" customHeight="1" x14ac:dyDescent="0.25">
      <c r="D115" s="171" t="str" cm="1">
        <f t="array" ref="D115">Common_InputFunctions.Utility_DisplayArrayInTable(Fertiliser_SourceData.Fertiliser_Products_Data1(),FertiliserProducts[[#Headers],[Include or Exclude]], -1)</f>
        <v/>
      </c>
      <c r="E115" s="171" t="str" cm="1">
        <f t="array" ref="E115">Common_InputFunctions.Utility_DisplayArrayInTable(Fertiliser_SourceData.Fertiliser_Products_Data1(),FertiliserProducts[[#Headers],[Include or Exclude]], 0)</f>
        <v/>
      </c>
      <c r="F115" s="171" t="str" cm="1">
        <f t="array" ref="F115">Common_InputFunctions.Utility_DisplayArrayInTable(Fertiliser_SourceData.Fertiliser_Products_Data1(),FertiliserProducts[[#Headers],[Include or Exclude]], 0)</f>
        <v/>
      </c>
      <c r="G115" s="171" t="str" cm="1">
        <f t="array" ref="G115">Common_InputFunctions.Utility_DisplayArrayInTable(Fertiliser_SourceData.Fertiliser_Products_Data1(),FertiliserProducts[[#Headers],[Include or Exclude]], 0)</f>
        <v/>
      </c>
      <c r="H115" s="171" t="str" cm="1">
        <f t="array" ref="H115">Common_InputFunctions.Utility_DisplayArrayInTable(Fertiliser_SourceData.Fertiliser_Products_Data1(),FertiliserProducts[[#Headers],[Include or Exclude]], 0,4)</f>
        <v/>
      </c>
      <c r="I115" s="171" t="str" cm="1">
        <f t="array" ref="I115">Common_InputFunctions.Utility_DisplayArrayInTable(Fertiliser_SourceData.Fertiliser_Products_Data1(),FertiliserProducts[[#Headers],[Include or Exclude]], 0,4)</f>
        <v/>
      </c>
      <c r="J115" s="171" t="str" cm="1">
        <f t="array" ref="J115">Common_InputFunctions.Utility_DisplayArrayInTable(Fertiliser_SourceData.Fertiliser_Products_Data1(),FertiliserProducts[[#Headers],[Include or Exclude]], 0,4)</f>
        <v/>
      </c>
      <c r="K115" s="171" t="str" cm="1">
        <f t="array" ref="K115">Common_InputFunctions.Utility_DisplayArrayInTable(Fertiliser_SourceData.Fertiliser_Products_Data1(),FertiliserProducts[[#Headers],[Include or Exclude]], 0,4)</f>
        <v/>
      </c>
      <c r="L115" s="171" t="str" cm="1">
        <f t="array" ref="L115">Common_InputFunctions.Utility_DisplayArrayInTable(Fertiliser_SourceData.Fertiliser_Products_Data1(),FertiliserProducts[[#Headers],[Include or Exclude]], 0,4)</f>
        <v/>
      </c>
      <c r="M115" s="171" t="str" cm="1">
        <f t="array" ref="M115">Common_InputFunctions.Utility_DisplayArrayInTable(Fertiliser_SourceData.Fertiliser_Products_Data1(),FertiliserProducts[[#Headers],[Include or Exclude]], 0,4)</f>
        <v/>
      </c>
      <c r="N115" s="171" t="str" cm="1">
        <f t="array" ref="N115">Common_InputFunctions.Utility_DisplayArrayInTable(Fertiliser_SourceData.Fertiliser_Products_Data1(),FertiliserProducts[[#Headers],[Include or Exclude]], 0,4)</f>
        <v/>
      </c>
      <c r="O115" s="171" t="str" cm="1">
        <f t="array" ref="O115">Common_InputFunctions.Utility_DisplayArrayInTable(Fertiliser_SourceData.Fertiliser_Products_Data1(),FertiliserProducts[[#Headers],[Include or Exclude]], 0,4)</f>
        <v/>
      </c>
      <c r="P115" s="171" t="str" cm="1">
        <f t="array" ref="P115">Common_InputFunctions.Utility_DisplayArrayInTable(Fertiliser_SourceData.Fertiliser_Products_Data1(),FertiliserProducts[[#Headers],[Include or Exclude]], 0,4)</f>
        <v/>
      </c>
      <c r="Q115" s="171" t="str" cm="1">
        <f t="array" ref="Q115">Common_InputFunctions.Utility_DisplayArrayInTable(Fertiliser_SourceData.Fertiliser_Products_Data1(),FertiliserProducts[[#Headers],[Include or Exclude]], 0,4)</f>
        <v/>
      </c>
      <c r="R115" s="171" t="str" cm="1">
        <f t="array" ref="R115">Common_InputFunctions.Utility_DisplayArrayInTable(Fertiliser_SourceData.Fertiliser_Products_Data1(),FertiliserProducts[[#Headers],[Include or Exclude]], 0,4)</f>
        <v/>
      </c>
      <c r="S115" s="171" t="str" cm="1">
        <f t="array" ref="S115">Common_InputFunctions.Utility_DisplayArrayInTable(Fertiliser_SourceData.Fertiliser_Products_Data1(),FertiliserProducts[[#Headers],[Include or Exclude]], 0,4)</f>
        <v/>
      </c>
      <c r="T115" s="171" t="str" cm="1">
        <f t="array" ref="T115">Common_InputFunctions.Utility_DisplayArrayInTable(Fertiliser_SourceData.Fertiliser_Products_Data1(),FertiliserProducts[[#Headers],[Include or Exclude]], 0,4)</f>
        <v/>
      </c>
      <c r="U115" s="171" t="str" cm="1">
        <f t="array" ref="U115">Common_InputFunctions.Utility_DisplayArrayInTable(Fertiliser_SourceData.Fertiliser_Products_Data1(),FertiliserProducts[[#Headers],[Include or Exclude]], 0,4)</f>
        <v/>
      </c>
      <c r="V115" s="171" t="str" cm="1">
        <f t="array" ref="V115">Common_InputFunctions.Utility_DisplayArrayInTable(Fertiliser_SourceData.Fertiliser_Products_Data1(),FertiliserProducts[[#Headers],[Include or Exclude]], 0,4)</f>
        <v/>
      </c>
      <c r="W115" s="171" t="str" cm="1">
        <f t="array" ref="W115">Common_InputFunctions.Utility_DisplayArrayInTable(Fertiliser_SourceData.Fertiliser_Products_Data1(),FertiliserProducts[[#Headers],[Include or Exclude]], 0,4)</f>
        <v/>
      </c>
      <c r="X115" s="171" t="str" cm="1">
        <f t="array" ref="X115">Common_InputFunctions.Utility_DisplayArrayInTable(Fertiliser_SourceData.Fertiliser_Products_Data1(),FertiliserProducts[[#Headers],[Include or Exclude]], 0,4)</f>
        <v/>
      </c>
      <c r="Y115" s="171" t="str" cm="1">
        <f t="array" ref="Y115">Common_InputFunctions.Utility_DisplayArrayInTable(Fertiliser_SourceData.Fertiliser_Products_Data1(),FertiliserProducts[[#Headers],[Include or Exclude]], 0,4)</f>
        <v/>
      </c>
      <c r="Z115" s="171" t="str" cm="1">
        <f t="array" ref="Z115">Common_InputFunctions.Utility_DisplayArrayInTable(Fertiliser_SourceData.Fertiliser_Products_Data1(),FertiliserProducts[[#Headers],[Include or Exclude]], 0,4)</f>
        <v/>
      </c>
      <c r="AA115" s="171" t="str" cm="1">
        <f t="array" ref="AA115">Common_InputFunctions.Utility_DisplayArrayInTable(Fertiliser_SourceData.Fertiliser_Products_Data1(),FertiliserProducts[[#Headers],[Include or Exclude]], 0,4)</f>
        <v/>
      </c>
      <c r="AB115" s="171" t="str" cm="1">
        <f t="array" ref="AB115">Common_InputFunctions.Utility_DisplayArrayInTable(Fertiliser_SourceData.Fertiliser_Products_Data1(),FertiliserProducts[[#Headers],[Include or Exclude]], 0,4)</f>
        <v/>
      </c>
      <c r="AC115" s="171" t="str" cm="1">
        <f t="array" ref="AC115">Common_InputFunctions.Utility_DisplayArrayInTable(Fertiliser_SourceData.Fertiliser_Products_Data1(),FertiliserProducts[[#Headers],[Include or Exclude]], 0,4)</f>
        <v/>
      </c>
      <c r="AD115" s="171" t="str" cm="1">
        <f t="array" ref="AD115">Common_InputFunctions.Utility_DisplayArrayInTable(Fertiliser_SourceData.Fertiliser_Products_Data1(),FertiliserProducts[[#Headers],[Include or Exclude]], 0,4)</f>
        <v/>
      </c>
      <c r="AE115" s="171" t="str" cm="1">
        <f t="array" ref="AE115">Common_InputFunctions.Utility_DisplayArrayInTable(Fertiliser_SourceData.Fertiliser_Products_Data1(),FertiliserProducts[[#Headers],[Include or Exclude]], 0,4)</f>
        <v/>
      </c>
    </row>
    <row r="116" spans="4:31" ht="20.100000000000001" customHeight="1" x14ac:dyDescent="0.25">
      <c r="D116" s="171" t="str" cm="1">
        <f t="array" ref="D116">Common_InputFunctions.Utility_DisplayArrayInTable(Fertiliser_SourceData.Fertiliser_Products_Data1(),FertiliserProducts[[#Headers],[Include or Exclude]], -1)</f>
        <v/>
      </c>
      <c r="E116" s="171" t="str" cm="1">
        <f t="array" ref="E116">Common_InputFunctions.Utility_DisplayArrayInTable(Fertiliser_SourceData.Fertiliser_Products_Data1(),FertiliserProducts[[#Headers],[Include or Exclude]], 0)</f>
        <v/>
      </c>
      <c r="F116" s="171" t="str" cm="1">
        <f t="array" ref="F116">Common_InputFunctions.Utility_DisplayArrayInTable(Fertiliser_SourceData.Fertiliser_Products_Data1(),FertiliserProducts[[#Headers],[Include or Exclude]], 0)</f>
        <v/>
      </c>
      <c r="G116" s="171" t="str" cm="1">
        <f t="array" ref="G116">Common_InputFunctions.Utility_DisplayArrayInTable(Fertiliser_SourceData.Fertiliser_Products_Data1(),FertiliserProducts[[#Headers],[Include or Exclude]], 0)</f>
        <v/>
      </c>
      <c r="H116" s="171" t="str" cm="1">
        <f t="array" ref="H116">Common_InputFunctions.Utility_DisplayArrayInTable(Fertiliser_SourceData.Fertiliser_Products_Data1(),FertiliserProducts[[#Headers],[Include or Exclude]], 0,4)</f>
        <v/>
      </c>
      <c r="I116" s="171" t="str" cm="1">
        <f t="array" ref="I116">Common_InputFunctions.Utility_DisplayArrayInTable(Fertiliser_SourceData.Fertiliser_Products_Data1(),FertiliserProducts[[#Headers],[Include or Exclude]], 0,4)</f>
        <v/>
      </c>
      <c r="J116" s="171" t="str" cm="1">
        <f t="array" ref="J116">Common_InputFunctions.Utility_DisplayArrayInTable(Fertiliser_SourceData.Fertiliser_Products_Data1(),FertiliserProducts[[#Headers],[Include or Exclude]], 0,4)</f>
        <v/>
      </c>
      <c r="K116" s="171" t="str" cm="1">
        <f t="array" ref="K116">Common_InputFunctions.Utility_DisplayArrayInTable(Fertiliser_SourceData.Fertiliser_Products_Data1(),FertiliserProducts[[#Headers],[Include or Exclude]], 0,4)</f>
        <v/>
      </c>
      <c r="L116" s="171" t="str" cm="1">
        <f t="array" ref="L116">Common_InputFunctions.Utility_DisplayArrayInTable(Fertiliser_SourceData.Fertiliser_Products_Data1(),FertiliserProducts[[#Headers],[Include or Exclude]], 0,4)</f>
        <v/>
      </c>
      <c r="M116" s="171" t="str" cm="1">
        <f t="array" ref="M116">Common_InputFunctions.Utility_DisplayArrayInTable(Fertiliser_SourceData.Fertiliser_Products_Data1(),FertiliserProducts[[#Headers],[Include or Exclude]], 0,4)</f>
        <v/>
      </c>
      <c r="N116" s="171" t="str" cm="1">
        <f t="array" ref="N116">Common_InputFunctions.Utility_DisplayArrayInTable(Fertiliser_SourceData.Fertiliser_Products_Data1(),FertiliserProducts[[#Headers],[Include or Exclude]], 0,4)</f>
        <v/>
      </c>
      <c r="O116" s="171" t="str" cm="1">
        <f t="array" ref="O116">Common_InputFunctions.Utility_DisplayArrayInTable(Fertiliser_SourceData.Fertiliser_Products_Data1(),FertiliserProducts[[#Headers],[Include or Exclude]], 0,4)</f>
        <v/>
      </c>
      <c r="P116" s="171" t="str" cm="1">
        <f t="array" ref="P116">Common_InputFunctions.Utility_DisplayArrayInTable(Fertiliser_SourceData.Fertiliser_Products_Data1(),FertiliserProducts[[#Headers],[Include or Exclude]], 0,4)</f>
        <v/>
      </c>
      <c r="Q116" s="171" t="str" cm="1">
        <f t="array" ref="Q116">Common_InputFunctions.Utility_DisplayArrayInTable(Fertiliser_SourceData.Fertiliser_Products_Data1(),FertiliserProducts[[#Headers],[Include or Exclude]], 0,4)</f>
        <v/>
      </c>
      <c r="R116" s="171" t="str" cm="1">
        <f t="array" ref="R116">Common_InputFunctions.Utility_DisplayArrayInTable(Fertiliser_SourceData.Fertiliser_Products_Data1(),FertiliserProducts[[#Headers],[Include or Exclude]], 0,4)</f>
        <v/>
      </c>
      <c r="S116" s="171" t="str" cm="1">
        <f t="array" ref="S116">Common_InputFunctions.Utility_DisplayArrayInTable(Fertiliser_SourceData.Fertiliser_Products_Data1(),FertiliserProducts[[#Headers],[Include or Exclude]], 0,4)</f>
        <v/>
      </c>
      <c r="T116" s="171" t="str" cm="1">
        <f t="array" ref="T116">Common_InputFunctions.Utility_DisplayArrayInTable(Fertiliser_SourceData.Fertiliser_Products_Data1(),FertiliserProducts[[#Headers],[Include or Exclude]], 0,4)</f>
        <v/>
      </c>
      <c r="U116" s="171" t="str" cm="1">
        <f t="array" ref="U116">Common_InputFunctions.Utility_DisplayArrayInTable(Fertiliser_SourceData.Fertiliser_Products_Data1(),FertiliserProducts[[#Headers],[Include or Exclude]], 0,4)</f>
        <v/>
      </c>
      <c r="V116" s="171" t="str" cm="1">
        <f t="array" ref="V116">Common_InputFunctions.Utility_DisplayArrayInTable(Fertiliser_SourceData.Fertiliser_Products_Data1(),FertiliserProducts[[#Headers],[Include or Exclude]], 0,4)</f>
        <v/>
      </c>
      <c r="W116" s="171" t="str" cm="1">
        <f t="array" ref="W116">Common_InputFunctions.Utility_DisplayArrayInTable(Fertiliser_SourceData.Fertiliser_Products_Data1(),FertiliserProducts[[#Headers],[Include or Exclude]], 0,4)</f>
        <v/>
      </c>
      <c r="X116" s="171" t="str" cm="1">
        <f t="array" ref="X116">Common_InputFunctions.Utility_DisplayArrayInTable(Fertiliser_SourceData.Fertiliser_Products_Data1(),FertiliserProducts[[#Headers],[Include or Exclude]], 0,4)</f>
        <v/>
      </c>
      <c r="Y116" s="171" t="str" cm="1">
        <f t="array" ref="Y116">Common_InputFunctions.Utility_DisplayArrayInTable(Fertiliser_SourceData.Fertiliser_Products_Data1(),FertiliserProducts[[#Headers],[Include or Exclude]], 0,4)</f>
        <v/>
      </c>
      <c r="Z116" s="171" t="str" cm="1">
        <f t="array" ref="Z116">Common_InputFunctions.Utility_DisplayArrayInTable(Fertiliser_SourceData.Fertiliser_Products_Data1(),FertiliserProducts[[#Headers],[Include or Exclude]], 0,4)</f>
        <v/>
      </c>
      <c r="AA116" s="171" t="str" cm="1">
        <f t="array" ref="AA116">Common_InputFunctions.Utility_DisplayArrayInTable(Fertiliser_SourceData.Fertiliser_Products_Data1(),FertiliserProducts[[#Headers],[Include or Exclude]], 0,4)</f>
        <v/>
      </c>
      <c r="AB116" s="171" t="str" cm="1">
        <f t="array" ref="AB116">Common_InputFunctions.Utility_DisplayArrayInTable(Fertiliser_SourceData.Fertiliser_Products_Data1(),FertiliserProducts[[#Headers],[Include or Exclude]], 0,4)</f>
        <v/>
      </c>
      <c r="AC116" s="171" t="str" cm="1">
        <f t="array" ref="AC116">Common_InputFunctions.Utility_DisplayArrayInTable(Fertiliser_SourceData.Fertiliser_Products_Data1(),FertiliserProducts[[#Headers],[Include or Exclude]], 0,4)</f>
        <v/>
      </c>
      <c r="AD116" s="171" t="str" cm="1">
        <f t="array" ref="AD116">Common_InputFunctions.Utility_DisplayArrayInTable(Fertiliser_SourceData.Fertiliser_Products_Data1(),FertiliserProducts[[#Headers],[Include or Exclude]], 0,4)</f>
        <v/>
      </c>
      <c r="AE116" s="171" t="str" cm="1">
        <f t="array" ref="AE116">Common_InputFunctions.Utility_DisplayArrayInTable(Fertiliser_SourceData.Fertiliser_Products_Data1(),FertiliserProducts[[#Headers],[Include or Exclude]], 0,4)</f>
        <v/>
      </c>
    </row>
    <row r="117" spans="4:31" ht="20.100000000000001" customHeight="1" x14ac:dyDescent="0.25">
      <c r="D117" s="171" t="str" cm="1">
        <f t="array" ref="D117">Common_InputFunctions.Utility_DisplayArrayInTable(Fertiliser_SourceData.Fertiliser_Products_Data1(),FertiliserProducts[[#Headers],[Include or Exclude]], -1)</f>
        <v/>
      </c>
      <c r="E117" s="171" t="str" cm="1">
        <f t="array" ref="E117">Common_InputFunctions.Utility_DisplayArrayInTable(Fertiliser_SourceData.Fertiliser_Products_Data1(),FertiliserProducts[[#Headers],[Include or Exclude]], 0)</f>
        <v/>
      </c>
      <c r="F117" s="171" t="str" cm="1">
        <f t="array" ref="F117">Common_InputFunctions.Utility_DisplayArrayInTable(Fertiliser_SourceData.Fertiliser_Products_Data1(),FertiliserProducts[[#Headers],[Include or Exclude]], 0)</f>
        <v/>
      </c>
      <c r="G117" s="171" t="str" cm="1">
        <f t="array" ref="G117">Common_InputFunctions.Utility_DisplayArrayInTable(Fertiliser_SourceData.Fertiliser_Products_Data1(),FertiliserProducts[[#Headers],[Include or Exclude]], 0)</f>
        <v/>
      </c>
      <c r="H117" s="171" t="str" cm="1">
        <f t="array" ref="H117">Common_InputFunctions.Utility_DisplayArrayInTable(Fertiliser_SourceData.Fertiliser_Products_Data1(),FertiliserProducts[[#Headers],[Include or Exclude]], 0,4)</f>
        <v/>
      </c>
      <c r="I117" s="171" t="str" cm="1">
        <f t="array" ref="I117">Common_InputFunctions.Utility_DisplayArrayInTable(Fertiliser_SourceData.Fertiliser_Products_Data1(),FertiliserProducts[[#Headers],[Include or Exclude]], 0,4)</f>
        <v/>
      </c>
      <c r="J117" s="171" t="str" cm="1">
        <f t="array" ref="J117">Common_InputFunctions.Utility_DisplayArrayInTable(Fertiliser_SourceData.Fertiliser_Products_Data1(),FertiliserProducts[[#Headers],[Include or Exclude]], 0,4)</f>
        <v/>
      </c>
      <c r="K117" s="171" t="str" cm="1">
        <f t="array" ref="K117">Common_InputFunctions.Utility_DisplayArrayInTable(Fertiliser_SourceData.Fertiliser_Products_Data1(),FertiliserProducts[[#Headers],[Include or Exclude]], 0,4)</f>
        <v/>
      </c>
      <c r="L117" s="171" t="str" cm="1">
        <f t="array" ref="L117">Common_InputFunctions.Utility_DisplayArrayInTable(Fertiliser_SourceData.Fertiliser_Products_Data1(),FertiliserProducts[[#Headers],[Include or Exclude]], 0,4)</f>
        <v/>
      </c>
      <c r="M117" s="171" t="str" cm="1">
        <f t="array" ref="M117">Common_InputFunctions.Utility_DisplayArrayInTable(Fertiliser_SourceData.Fertiliser_Products_Data1(),FertiliserProducts[[#Headers],[Include or Exclude]], 0,4)</f>
        <v/>
      </c>
      <c r="N117" s="171" t="str" cm="1">
        <f t="array" ref="N117">Common_InputFunctions.Utility_DisplayArrayInTable(Fertiliser_SourceData.Fertiliser_Products_Data1(),FertiliserProducts[[#Headers],[Include or Exclude]], 0,4)</f>
        <v/>
      </c>
      <c r="O117" s="171" t="str" cm="1">
        <f t="array" ref="O117">Common_InputFunctions.Utility_DisplayArrayInTable(Fertiliser_SourceData.Fertiliser_Products_Data1(),FertiliserProducts[[#Headers],[Include or Exclude]], 0,4)</f>
        <v/>
      </c>
      <c r="P117" s="171" t="str" cm="1">
        <f t="array" ref="P117">Common_InputFunctions.Utility_DisplayArrayInTable(Fertiliser_SourceData.Fertiliser_Products_Data1(),FertiliserProducts[[#Headers],[Include or Exclude]], 0,4)</f>
        <v/>
      </c>
      <c r="Q117" s="171" t="str" cm="1">
        <f t="array" ref="Q117">Common_InputFunctions.Utility_DisplayArrayInTable(Fertiliser_SourceData.Fertiliser_Products_Data1(),FertiliserProducts[[#Headers],[Include or Exclude]], 0,4)</f>
        <v/>
      </c>
      <c r="R117" s="171" t="str" cm="1">
        <f t="array" ref="R117">Common_InputFunctions.Utility_DisplayArrayInTable(Fertiliser_SourceData.Fertiliser_Products_Data1(),FertiliserProducts[[#Headers],[Include or Exclude]], 0,4)</f>
        <v/>
      </c>
      <c r="S117" s="171" t="str" cm="1">
        <f t="array" ref="S117">Common_InputFunctions.Utility_DisplayArrayInTable(Fertiliser_SourceData.Fertiliser_Products_Data1(),FertiliserProducts[[#Headers],[Include or Exclude]], 0,4)</f>
        <v/>
      </c>
      <c r="T117" s="171" t="str" cm="1">
        <f t="array" ref="T117">Common_InputFunctions.Utility_DisplayArrayInTable(Fertiliser_SourceData.Fertiliser_Products_Data1(),FertiliserProducts[[#Headers],[Include or Exclude]], 0,4)</f>
        <v/>
      </c>
      <c r="U117" s="171" t="str" cm="1">
        <f t="array" ref="U117">Common_InputFunctions.Utility_DisplayArrayInTable(Fertiliser_SourceData.Fertiliser_Products_Data1(),FertiliserProducts[[#Headers],[Include or Exclude]], 0,4)</f>
        <v/>
      </c>
      <c r="V117" s="171" t="str" cm="1">
        <f t="array" ref="V117">Common_InputFunctions.Utility_DisplayArrayInTable(Fertiliser_SourceData.Fertiliser_Products_Data1(),FertiliserProducts[[#Headers],[Include or Exclude]], 0,4)</f>
        <v/>
      </c>
      <c r="W117" s="171" t="str" cm="1">
        <f t="array" ref="W117">Common_InputFunctions.Utility_DisplayArrayInTable(Fertiliser_SourceData.Fertiliser_Products_Data1(),FertiliserProducts[[#Headers],[Include or Exclude]], 0,4)</f>
        <v/>
      </c>
      <c r="X117" s="171" t="str" cm="1">
        <f t="array" ref="X117">Common_InputFunctions.Utility_DisplayArrayInTable(Fertiliser_SourceData.Fertiliser_Products_Data1(),FertiliserProducts[[#Headers],[Include or Exclude]], 0,4)</f>
        <v/>
      </c>
      <c r="Y117" s="171" t="str" cm="1">
        <f t="array" ref="Y117">Common_InputFunctions.Utility_DisplayArrayInTable(Fertiliser_SourceData.Fertiliser_Products_Data1(),FertiliserProducts[[#Headers],[Include or Exclude]], 0,4)</f>
        <v/>
      </c>
      <c r="Z117" s="171" t="str" cm="1">
        <f t="array" ref="Z117">Common_InputFunctions.Utility_DisplayArrayInTable(Fertiliser_SourceData.Fertiliser_Products_Data1(),FertiliserProducts[[#Headers],[Include or Exclude]], 0,4)</f>
        <v/>
      </c>
      <c r="AA117" s="171" t="str" cm="1">
        <f t="array" ref="AA117">Common_InputFunctions.Utility_DisplayArrayInTable(Fertiliser_SourceData.Fertiliser_Products_Data1(),FertiliserProducts[[#Headers],[Include or Exclude]], 0,4)</f>
        <v/>
      </c>
      <c r="AB117" s="171" t="str" cm="1">
        <f t="array" ref="AB117">Common_InputFunctions.Utility_DisplayArrayInTable(Fertiliser_SourceData.Fertiliser_Products_Data1(),FertiliserProducts[[#Headers],[Include or Exclude]], 0,4)</f>
        <v/>
      </c>
      <c r="AC117" s="171" t="str" cm="1">
        <f t="array" ref="AC117">Common_InputFunctions.Utility_DisplayArrayInTable(Fertiliser_SourceData.Fertiliser_Products_Data1(),FertiliserProducts[[#Headers],[Include or Exclude]], 0,4)</f>
        <v/>
      </c>
      <c r="AD117" s="171" t="str" cm="1">
        <f t="array" ref="AD117">Common_InputFunctions.Utility_DisplayArrayInTable(Fertiliser_SourceData.Fertiliser_Products_Data1(),FertiliserProducts[[#Headers],[Include or Exclude]], 0,4)</f>
        <v/>
      </c>
      <c r="AE117" s="171" t="str" cm="1">
        <f t="array" ref="AE117">Common_InputFunctions.Utility_DisplayArrayInTable(Fertiliser_SourceData.Fertiliser_Products_Data1(),FertiliserProducts[[#Headers],[Include or Exclude]], 0,4)</f>
        <v/>
      </c>
    </row>
    <row r="118" spans="4:31" ht="20.100000000000001" customHeight="1" x14ac:dyDescent="0.25">
      <c r="D118" s="171" t="str" cm="1">
        <f t="array" ref="D118">Common_InputFunctions.Utility_DisplayArrayInTable(Fertiliser_SourceData.Fertiliser_Products_Data1(),FertiliserProducts[[#Headers],[Include or Exclude]], -1)</f>
        <v/>
      </c>
      <c r="E118" s="171" t="str" cm="1">
        <f t="array" ref="E118">Common_InputFunctions.Utility_DisplayArrayInTable(Fertiliser_SourceData.Fertiliser_Products_Data1(),FertiliserProducts[[#Headers],[Include or Exclude]], 0)</f>
        <v/>
      </c>
      <c r="F118" s="171" t="str" cm="1">
        <f t="array" ref="F118">Common_InputFunctions.Utility_DisplayArrayInTable(Fertiliser_SourceData.Fertiliser_Products_Data1(),FertiliserProducts[[#Headers],[Include or Exclude]], 0)</f>
        <v/>
      </c>
      <c r="G118" s="171" t="str" cm="1">
        <f t="array" ref="G118">Common_InputFunctions.Utility_DisplayArrayInTable(Fertiliser_SourceData.Fertiliser_Products_Data1(),FertiliserProducts[[#Headers],[Include or Exclude]], 0)</f>
        <v/>
      </c>
      <c r="H118" s="171" t="str" cm="1">
        <f t="array" ref="H118">Common_InputFunctions.Utility_DisplayArrayInTable(Fertiliser_SourceData.Fertiliser_Products_Data1(),FertiliserProducts[[#Headers],[Include or Exclude]], 0,4)</f>
        <v/>
      </c>
      <c r="I118" s="171" t="str" cm="1">
        <f t="array" ref="I118">Common_InputFunctions.Utility_DisplayArrayInTable(Fertiliser_SourceData.Fertiliser_Products_Data1(),FertiliserProducts[[#Headers],[Include or Exclude]], 0,4)</f>
        <v/>
      </c>
      <c r="J118" s="171" t="str" cm="1">
        <f t="array" ref="J118">Common_InputFunctions.Utility_DisplayArrayInTable(Fertiliser_SourceData.Fertiliser_Products_Data1(),FertiliserProducts[[#Headers],[Include or Exclude]], 0,4)</f>
        <v/>
      </c>
      <c r="K118" s="171" t="str" cm="1">
        <f t="array" ref="K118">Common_InputFunctions.Utility_DisplayArrayInTable(Fertiliser_SourceData.Fertiliser_Products_Data1(),FertiliserProducts[[#Headers],[Include or Exclude]], 0,4)</f>
        <v/>
      </c>
      <c r="L118" s="171" t="str" cm="1">
        <f t="array" ref="L118">Common_InputFunctions.Utility_DisplayArrayInTable(Fertiliser_SourceData.Fertiliser_Products_Data1(),FertiliserProducts[[#Headers],[Include or Exclude]], 0,4)</f>
        <v/>
      </c>
      <c r="M118" s="171" t="str" cm="1">
        <f t="array" ref="M118">Common_InputFunctions.Utility_DisplayArrayInTable(Fertiliser_SourceData.Fertiliser_Products_Data1(),FertiliserProducts[[#Headers],[Include or Exclude]], 0,4)</f>
        <v/>
      </c>
      <c r="N118" s="171" t="str" cm="1">
        <f t="array" ref="N118">Common_InputFunctions.Utility_DisplayArrayInTable(Fertiliser_SourceData.Fertiliser_Products_Data1(),FertiliserProducts[[#Headers],[Include or Exclude]], 0,4)</f>
        <v/>
      </c>
      <c r="O118" s="171" t="str" cm="1">
        <f t="array" ref="O118">Common_InputFunctions.Utility_DisplayArrayInTable(Fertiliser_SourceData.Fertiliser_Products_Data1(),FertiliserProducts[[#Headers],[Include or Exclude]], 0,4)</f>
        <v/>
      </c>
      <c r="P118" s="171" t="str" cm="1">
        <f t="array" ref="P118">Common_InputFunctions.Utility_DisplayArrayInTable(Fertiliser_SourceData.Fertiliser_Products_Data1(),FertiliserProducts[[#Headers],[Include or Exclude]], 0,4)</f>
        <v/>
      </c>
      <c r="Q118" s="171" t="str" cm="1">
        <f t="array" ref="Q118">Common_InputFunctions.Utility_DisplayArrayInTable(Fertiliser_SourceData.Fertiliser_Products_Data1(),FertiliserProducts[[#Headers],[Include or Exclude]], 0,4)</f>
        <v/>
      </c>
      <c r="R118" s="171" t="str" cm="1">
        <f t="array" ref="R118">Common_InputFunctions.Utility_DisplayArrayInTable(Fertiliser_SourceData.Fertiliser_Products_Data1(),FertiliserProducts[[#Headers],[Include or Exclude]], 0,4)</f>
        <v/>
      </c>
      <c r="S118" s="171" t="str" cm="1">
        <f t="array" ref="S118">Common_InputFunctions.Utility_DisplayArrayInTable(Fertiliser_SourceData.Fertiliser_Products_Data1(),FertiliserProducts[[#Headers],[Include or Exclude]], 0,4)</f>
        <v/>
      </c>
      <c r="T118" s="171" t="str" cm="1">
        <f t="array" ref="T118">Common_InputFunctions.Utility_DisplayArrayInTable(Fertiliser_SourceData.Fertiliser_Products_Data1(),FertiliserProducts[[#Headers],[Include or Exclude]], 0,4)</f>
        <v/>
      </c>
      <c r="U118" s="171" t="str" cm="1">
        <f t="array" ref="U118">Common_InputFunctions.Utility_DisplayArrayInTable(Fertiliser_SourceData.Fertiliser_Products_Data1(),FertiliserProducts[[#Headers],[Include or Exclude]], 0,4)</f>
        <v/>
      </c>
      <c r="V118" s="171" t="str" cm="1">
        <f t="array" ref="V118">Common_InputFunctions.Utility_DisplayArrayInTable(Fertiliser_SourceData.Fertiliser_Products_Data1(),FertiliserProducts[[#Headers],[Include or Exclude]], 0,4)</f>
        <v/>
      </c>
      <c r="W118" s="171" t="str" cm="1">
        <f t="array" ref="W118">Common_InputFunctions.Utility_DisplayArrayInTable(Fertiliser_SourceData.Fertiliser_Products_Data1(),FertiliserProducts[[#Headers],[Include or Exclude]], 0,4)</f>
        <v/>
      </c>
      <c r="X118" s="171" t="str" cm="1">
        <f t="array" ref="X118">Common_InputFunctions.Utility_DisplayArrayInTable(Fertiliser_SourceData.Fertiliser_Products_Data1(),FertiliserProducts[[#Headers],[Include or Exclude]], 0,4)</f>
        <v/>
      </c>
      <c r="Y118" s="171" t="str" cm="1">
        <f t="array" ref="Y118">Common_InputFunctions.Utility_DisplayArrayInTable(Fertiliser_SourceData.Fertiliser_Products_Data1(),FertiliserProducts[[#Headers],[Include or Exclude]], 0,4)</f>
        <v/>
      </c>
      <c r="Z118" s="171" t="str" cm="1">
        <f t="array" ref="Z118">Common_InputFunctions.Utility_DisplayArrayInTable(Fertiliser_SourceData.Fertiliser_Products_Data1(),FertiliserProducts[[#Headers],[Include or Exclude]], 0,4)</f>
        <v/>
      </c>
      <c r="AA118" s="171" t="str" cm="1">
        <f t="array" ref="AA118">Common_InputFunctions.Utility_DisplayArrayInTable(Fertiliser_SourceData.Fertiliser_Products_Data1(),FertiliserProducts[[#Headers],[Include or Exclude]], 0,4)</f>
        <v/>
      </c>
      <c r="AB118" s="171" t="str" cm="1">
        <f t="array" ref="AB118">Common_InputFunctions.Utility_DisplayArrayInTable(Fertiliser_SourceData.Fertiliser_Products_Data1(),FertiliserProducts[[#Headers],[Include or Exclude]], 0,4)</f>
        <v/>
      </c>
      <c r="AC118" s="171" t="str" cm="1">
        <f t="array" ref="AC118">Common_InputFunctions.Utility_DisplayArrayInTable(Fertiliser_SourceData.Fertiliser_Products_Data1(),FertiliserProducts[[#Headers],[Include or Exclude]], 0,4)</f>
        <v/>
      </c>
      <c r="AD118" s="171" t="str" cm="1">
        <f t="array" ref="AD118">Common_InputFunctions.Utility_DisplayArrayInTable(Fertiliser_SourceData.Fertiliser_Products_Data1(),FertiliserProducts[[#Headers],[Include or Exclude]], 0,4)</f>
        <v/>
      </c>
      <c r="AE118" s="171" t="str" cm="1">
        <f t="array" ref="AE118">Common_InputFunctions.Utility_DisplayArrayInTable(Fertiliser_SourceData.Fertiliser_Products_Data1(),FertiliserProducts[[#Headers],[Include or Exclude]], 0,4)</f>
        <v/>
      </c>
    </row>
    <row r="119" spans="4:31" ht="20.100000000000001" customHeight="1" x14ac:dyDescent="0.25">
      <c r="D119" s="171" t="str" cm="1">
        <f t="array" ref="D119">Common_InputFunctions.Utility_DisplayArrayInTable(Fertiliser_SourceData.Fertiliser_Products_Data1(),FertiliserProducts[[#Headers],[Include or Exclude]], -1)</f>
        <v/>
      </c>
      <c r="E119" s="171" t="str" cm="1">
        <f t="array" ref="E119">Common_InputFunctions.Utility_DisplayArrayInTable(Fertiliser_SourceData.Fertiliser_Products_Data1(),FertiliserProducts[[#Headers],[Include or Exclude]], 0)</f>
        <v/>
      </c>
      <c r="F119" s="171" t="str" cm="1">
        <f t="array" ref="F119">Common_InputFunctions.Utility_DisplayArrayInTable(Fertiliser_SourceData.Fertiliser_Products_Data1(),FertiliserProducts[[#Headers],[Include or Exclude]], 0)</f>
        <v/>
      </c>
      <c r="G119" s="171" t="str" cm="1">
        <f t="array" ref="G119">Common_InputFunctions.Utility_DisplayArrayInTable(Fertiliser_SourceData.Fertiliser_Products_Data1(),FertiliserProducts[[#Headers],[Include or Exclude]], 0)</f>
        <v/>
      </c>
      <c r="H119" s="171" t="str" cm="1">
        <f t="array" ref="H119">Common_InputFunctions.Utility_DisplayArrayInTable(Fertiliser_SourceData.Fertiliser_Products_Data1(),FertiliserProducts[[#Headers],[Include or Exclude]], 0,4)</f>
        <v/>
      </c>
      <c r="I119" s="171" t="str" cm="1">
        <f t="array" ref="I119">Common_InputFunctions.Utility_DisplayArrayInTable(Fertiliser_SourceData.Fertiliser_Products_Data1(),FertiliserProducts[[#Headers],[Include or Exclude]], 0,4)</f>
        <v/>
      </c>
      <c r="J119" s="171" t="str" cm="1">
        <f t="array" ref="J119">Common_InputFunctions.Utility_DisplayArrayInTable(Fertiliser_SourceData.Fertiliser_Products_Data1(),FertiliserProducts[[#Headers],[Include or Exclude]], 0,4)</f>
        <v/>
      </c>
      <c r="K119" s="171" t="str" cm="1">
        <f t="array" ref="K119">Common_InputFunctions.Utility_DisplayArrayInTable(Fertiliser_SourceData.Fertiliser_Products_Data1(),FertiliserProducts[[#Headers],[Include or Exclude]], 0,4)</f>
        <v/>
      </c>
      <c r="L119" s="171" t="str" cm="1">
        <f t="array" ref="L119">Common_InputFunctions.Utility_DisplayArrayInTable(Fertiliser_SourceData.Fertiliser_Products_Data1(),FertiliserProducts[[#Headers],[Include or Exclude]], 0,4)</f>
        <v/>
      </c>
      <c r="M119" s="171" t="str" cm="1">
        <f t="array" ref="M119">Common_InputFunctions.Utility_DisplayArrayInTable(Fertiliser_SourceData.Fertiliser_Products_Data1(),FertiliserProducts[[#Headers],[Include or Exclude]], 0,4)</f>
        <v/>
      </c>
      <c r="N119" s="171" t="str" cm="1">
        <f t="array" ref="N119">Common_InputFunctions.Utility_DisplayArrayInTable(Fertiliser_SourceData.Fertiliser_Products_Data1(),FertiliserProducts[[#Headers],[Include or Exclude]], 0,4)</f>
        <v/>
      </c>
      <c r="O119" s="171" t="str" cm="1">
        <f t="array" ref="O119">Common_InputFunctions.Utility_DisplayArrayInTable(Fertiliser_SourceData.Fertiliser_Products_Data1(),FertiliserProducts[[#Headers],[Include or Exclude]], 0,4)</f>
        <v/>
      </c>
      <c r="P119" s="171" t="str" cm="1">
        <f t="array" ref="P119">Common_InputFunctions.Utility_DisplayArrayInTable(Fertiliser_SourceData.Fertiliser_Products_Data1(),FertiliserProducts[[#Headers],[Include or Exclude]], 0,4)</f>
        <v/>
      </c>
      <c r="Q119" s="171" t="str" cm="1">
        <f t="array" ref="Q119">Common_InputFunctions.Utility_DisplayArrayInTable(Fertiliser_SourceData.Fertiliser_Products_Data1(),FertiliserProducts[[#Headers],[Include or Exclude]], 0,4)</f>
        <v/>
      </c>
      <c r="R119" s="171" t="str" cm="1">
        <f t="array" ref="R119">Common_InputFunctions.Utility_DisplayArrayInTable(Fertiliser_SourceData.Fertiliser_Products_Data1(),FertiliserProducts[[#Headers],[Include or Exclude]], 0,4)</f>
        <v/>
      </c>
      <c r="S119" s="171" t="str" cm="1">
        <f t="array" ref="S119">Common_InputFunctions.Utility_DisplayArrayInTable(Fertiliser_SourceData.Fertiliser_Products_Data1(),FertiliserProducts[[#Headers],[Include or Exclude]], 0,4)</f>
        <v/>
      </c>
      <c r="T119" s="171" t="str" cm="1">
        <f t="array" ref="T119">Common_InputFunctions.Utility_DisplayArrayInTable(Fertiliser_SourceData.Fertiliser_Products_Data1(),FertiliserProducts[[#Headers],[Include or Exclude]], 0,4)</f>
        <v/>
      </c>
      <c r="U119" s="171" t="str" cm="1">
        <f t="array" ref="U119">Common_InputFunctions.Utility_DisplayArrayInTable(Fertiliser_SourceData.Fertiliser_Products_Data1(),FertiliserProducts[[#Headers],[Include or Exclude]], 0,4)</f>
        <v/>
      </c>
      <c r="V119" s="171" t="str" cm="1">
        <f t="array" ref="V119">Common_InputFunctions.Utility_DisplayArrayInTable(Fertiliser_SourceData.Fertiliser_Products_Data1(),FertiliserProducts[[#Headers],[Include or Exclude]], 0,4)</f>
        <v/>
      </c>
      <c r="W119" s="171" t="str" cm="1">
        <f t="array" ref="W119">Common_InputFunctions.Utility_DisplayArrayInTable(Fertiliser_SourceData.Fertiliser_Products_Data1(),FertiliserProducts[[#Headers],[Include or Exclude]], 0,4)</f>
        <v/>
      </c>
      <c r="X119" s="171" t="str" cm="1">
        <f t="array" ref="X119">Common_InputFunctions.Utility_DisplayArrayInTable(Fertiliser_SourceData.Fertiliser_Products_Data1(),FertiliserProducts[[#Headers],[Include or Exclude]], 0,4)</f>
        <v/>
      </c>
      <c r="Y119" s="171" t="str" cm="1">
        <f t="array" ref="Y119">Common_InputFunctions.Utility_DisplayArrayInTable(Fertiliser_SourceData.Fertiliser_Products_Data1(),FertiliserProducts[[#Headers],[Include or Exclude]], 0,4)</f>
        <v/>
      </c>
      <c r="Z119" s="171" t="str" cm="1">
        <f t="array" ref="Z119">Common_InputFunctions.Utility_DisplayArrayInTable(Fertiliser_SourceData.Fertiliser_Products_Data1(),FertiliserProducts[[#Headers],[Include or Exclude]], 0,4)</f>
        <v/>
      </c>
      <c r="AA119" s="171" t="str" cm="1">
        <f t="array" ref="AA119">Common_InputFunctions.Utility_DisplayArrayInTable(Fertiliser_SourceData.Fertiliser_Products_Data1(),FertiliserProducts[[#Headers],[Include or Exclude]], 0,4)</f>
        <v/>
      </c>
      <c r="AB119" s="171" t="str" cm="1">
        <f t="array" ref="AB119">Common_InputFunctions.Utility_DisplayArrayInTable(Fertiliser_SourceData.Fertiliser_Products_Data1(),FertiliserProducts[[#Headers],[Include or Exclude]], 0,4)</f>
        <v/>
      </c>
      <c r="AC119" s="171" t="str" cm="1">
        <f t="array" ref="AC119">Common_InputFunctions.Utility_DisplayArrayInTable(Fertiliser_SourceData.Fertiliser_Products_Data1(),FertiliserProducts[[#Headers],[Include or Exclude]], 0,4)</f>
        <v/>
      </c>
      <c r="AD119" s="171" t="str" cm="1">
        <f t="array" ref="AD119">Common_InputFunctions.Utility_DisplayArrayInTable(Fertiliser_SourceData.Fertiliser_Products_Data1(),FertiliserProducts[[#Headers],[Include or Exclude]], 0,4)</f>
        <v/>
      </c>
      <c r="AE119" s="171" t="str" cm="1">
        <f t="array" ref="AE119">Common_InputFunctions.Utility_DisplayArrayInTable(Fertiliser_SourceData.Fertiliser_Products_Data1(),FertiliserProducts[[#Headers],[Include or Exclude]], 0,4)</f>
        <v/>
      </c>
    </row>
    <row r="120" spans="4:31" ht="20.100000000000001" customHeight="1" x14ac:dyDescent="0.25">
      <c r="D120" s="171" t="str" cm="1">
        <f t="array" ref="D120">Common_InputFunctions.Utility_DisplayArrayInTable(Fertiliser_SourceData.Fertiliser_Products_Data1(),FertiliserProducts[[#Headers],[Include or Exclude]], -1)</f>
        <v/>
      </c>
      <c r="E120" s="171" t="str" cm="1">
        <f t="array" ref="E120">Common_InputFunctions.Utility_DisplayArrayInTable(Fertiliser_SourceData.Fertiliser_Products_Data1(),FertiliserProducts[[#Headers],[Include or Exclude]], 0)</f>
        <v/>
      </c>
      <c r="F120" s="171" t="str" cm="1">
        <f t="array" ref="F120">Common_InputFunctions.Utility_DisplayArrayInTable(Fertiliser_SourceData.Fertiliser_Products_Data1(),FertiliserProducts[[#Headers],[Include or Exclude]], 0)</f>
        <v/>
      </c>
      <c r="G120" s="171" t="str" cm="1">
        <f t="array" ref="G120">Common_InputFunctions.Utility_DisplayArrayInTable(Fertiliser_SourceData.Fertiliser_Products_Data1(),FertiliserProducts[[#Headers],[Include or Exclude]], 0)</f>
        <v/>
      </c>
      <c r="H120" s="171" t="str" cm="1">
        <f t="array" ref="H120">Common_InputFunctions.Utility_DisplayArrayInTable(Fertiliser_SourceData.Fertiliser_Products_Data1(),FertiliserProducts[[#Headers],[Include or Exclude]], 0,4)</f>
        <v/>
      </c>
      <c r="I120" s="171" t="str" cm="1">
        <f t="array" ref="I120">Common_InputFunctions.Utility_DisplayArrayInTable(Fertiliser_SourceData.Fertiliser_Products_Data1(),FertiliserProducts[[#Headers],[Include or Exclude]], 0,4)</f>
        <v/>
      </c>
      <c r="J120" s="171" t="str" cm="1">
        <f t="array" ref="J120">Common_InputFunctions.Utility_DisplayArrayInTable(Fertiliser_SourceData.Fertiliser_Products_Data1(),FertiliserProducts[[#Headers],[Include or Exclude]], 0,4)</f>
        <v/>
      </c>
      <c r="K120" s="171" t="str" cm="1">
        <f t="array" ref="K120">Common_InputFunctions.Utility_DisplayArrayInTable(Fertiliser_SourceData.Fertiliser_Products_Data1(),FertiliserProducts[[#Headers],[Include or Exclude]], 0,4)</f>
        <v/>
      </c>
      <c r="L120" s="171" t="str" cm="1">
        <f t="array" ref="L120">Common_InputFunctions.Utility_DisplayArrayInTable(Fertiliser_SourceData.Fertiliser_Products_Data1(),FertiliserProducts[[#Headers],[Include or Exclude]], 0,4)</f>
        <v/>
      </c>
      <c r="M120" s="171" t="str" cm="1">
        <f t="array" ref="M120">Common_InputFunctions.Utility_DisplayArrayInTable(Fertiliser_SourceData.Fertiliser_Products_Data1(),FertiliserProducts[[#Headers],[Include or Exclude]], 0,4)</f>
        <v/>
      </c>
      <c r="N120" s="171" t="str" cm="1">
        <f t="array" ref="N120">Common_InputFunctions.Utility_DisplayArrayInTable(Fertiliser_SourceData.Fertiliser_Products_Data1(),FertiliserProducts[[#Headers],[Include or Exclude]], 0,4)</f>
        <v/>
      </c>
      <c r="O120" s="171" t="str" cm="1">
        <f t="array" ref="O120">Common_InputFunctions.Utility_DisplayArrayInTable(Fertiliser_SourceData.Fertiliser_Products_Data1(),FertiliserProducts[[#Headers],[Include or Exclude]], 0,4)</f>
        <v/>
      </c>
      <c r="P120" s="171" t="str" cm="1">
        <f t="array" ref="P120">Common_InputFunctions.Utility_DisplayArrayInTable(Fertiliser_SourceData.Fertiliser_Products_Data1(),FertiliserProducts[[#Headers],[Include or Exclude]], 0,4)</f>
        <v/>
      </c>
      <c r="Q120" s="171" t="str" cm="1">
        <f t="array" ref="Q120">Common_InputFunctions.Utility_DisplayArrayInTable(Fertiliser_SourceData.Fertiliser_Products_Data1(),FertiliserProducts[[#Headers],[Include or Exclude]], 0,4)</f>
        <v/>
      </c>
      <c r="R120" s="171" t="str" cm="1">
        <f t="array" ref="R120">Common_InputFunctions.Utility_DisplayArrayInTable(Fertiliser_SourceData.Fertiliser_Products_Data1(),FertiliserProducts[[#Headers],[Include or Exclude]], 0,4)</f>
        <v/>
      </c>
      <c r="S120" s="171" t="str" cm="1">
        <f t="array" ref="S120">Common_InputFunctions.Utility_DisplayArrayInTable(Fertiliser_SourceData.Fertiliser_Products_Data1(),FertiliserProducts[[#Headers],[Include or Exclude]], 0,4)</f>
        <v/>
      </c>
      <c r="T120" s="171" t="str" cm="1">
        <f t="array" ref="T120">Common_InputFunctions.Utility_DisplayArrayInTable(Fertiliser_SourceData.Fertiliser_Products_Data1(),FertiliserProducts[[#Headers],[Include or Exclude]], 0,4)</f>
        <v/>
      </c>
      <c r="U120" s="171" t="str" cm="1">
        <f t="array" ref="U120">Common_InputFunctions.Utility_DisplayArrayInTable(Fertiliser_SourceData.Fertiliser_Products_Data1(),FertiliserProducts[[#Headers],[Include or Exclude]], 0,4)</f>
        <v/>
      </c>
      <c r="V120" s="171" t="str" cm="1">
        <f t="array" ref="V120">Common_InputFunctions.Utility_DisplayArrayInTable(Fertiliser_SourceData.Fertiliser_Products_Data1(),FertiliserProducts[[#Headers],[Include or Exclude]], 0,4)</f>
        <v/>
      </c>
      <c r="W120" s="171" t="str" cm="1">
        <f t="array" ref="W120">Common_InputFunctions.Utility_DisplayArrayInTable(Fertiliser_SourceData.Fertiliser_Products_Data1(),FertiliserProducts[[#Headers],[Include or Exclude]], 0,4)</f>
        <v/>
      </c>
      <c r="X120" s="171" t="str" cm="1">
        <f t="array" ref="X120">Common_InputFunctions.Utility_DisplayArrayInTable(Fertiliser_SourceData.Fertiliser_Products_Data1(),FertiliserProducts[[#Headers],[Include or Exclude]], 0,4)</f>
        <v/>
      </c>
      <c r="Y120" s="171" t="str" cm="1">
        <f t="array" ref="Y120">Common_InputFunctions.Utility_DisplayArrayInTable(Fertiliser_SourceData.Fertiliser_Products_Data1(),FertiliserProducts[[#Headers],[Include or Exclude]], 0,4)</f>
        <v/>
      </c>
      <c r="Z120" s="171" t="str" cm="1">
        <f t="array" ref="Z120">Common_InputFunctions.Utility_DisplayArrayInTable(Fertiliser_SourceData.Fertiliser_Products_Data1(),FertiliserProducts[[#Headers],[Include or Exclude]], 0,4)</f>
        <v/>
      </c>
      <c r="AA120" s="171" t="str" cm="1">
        <f t="array" ref="AA120">Common_InputFunctions.Utility_DisplayArrayInTable(Fertiliser_SourceData.Fertiliser_Products_Data1(),FertiliserProducts[[#Headers],[Include or Exclude]], 0,4)</f>
        <v/>
      </c>
      <c r="AB120" s="171" t="str" cm="1">
        <f t="array" ref="AB120">Common_InputFunctions.Utility_DisplayArrayInTable(Fertiliser_SourceData.Fertiliser_Products_Data1(),FertiliserProducts[[#Headers],[Include or Exclude]], 0,4)</f>
        <v/>
      </c>
      <c r="AC120" s="171" t="str" cm="1">
        <f t="array" ref="AC120">Common_InputFunctions.Utility_DisplayArrayInTable(Fertiliser_SourceData.Fertiliser_Products_Data1(),FertiliserProducts[[#Headers],[Include or Exclude]], 0,4)</f>
        <v/>
      </c>
      <c r="AD120" s="171" t="str" cm="1">
        <f t="array" ref="AD120">Common_InputFunctions.Utility_DisplayArrayInTable(Fertiliser_SourceData.Fertiliser_Products_Data1(),FertiliserProducts[[#Headers],[Include or Exclude]], 0,4)</f>
        <v/>
      </c>
      <c r="AE120" s="171" t="str" cm="1">
        <f t="array" ref="AE120">Common_InputFunctions.Utility_DisplayArrayInTable(Fertiliser_SourceData.Fertiliser_Products_Data1(),FertiliserProducts[[#Headers],[Include or Exclude]], 0,4)</f>
        <v/>
      </c>
    </row>
    <row r="121" spans="4:31" ht="20.100000000000001" customHeight="1" x14ac:dyDescent="0.25">
      <c r="D121" s="171" t="str" cm="1">
        <f t="array" ref="D121">Common_InputFunctions.Utility_DisplayArrayInTable(Fertiliser_SourceData.Fertiliser_Products_Data1(),FertiliserProducts[[#Headers],[Include or Exclude]], -1)</f>
        <v/>
      </c>
      <c r="E121" s="171" t="str" cm="1">
        <f t="array" ref="E121">Common_InputFunctions.Utility_DisplayArrayInTable(Fertiliser_SourceData.Fertiliser_Products_Data1(),FertiliserProducts[[#Headers],[Include or Exclude]], 0)</f>
        <v/>
      </c>
      <c r="F121" s="171" t="str" cm="1">
        <f t="array" ref="F121">Common_InputFunctions.Utility_DisplayArrayInTable(Fertiliser_SourceData.Fertiliser_Products_Data1(),FertiliserProducts[[#Headers],[Include or Exclude]], 0)</f>
        <v/>
      </c>
      <c r="G121" s="171" t="str" cm="1">
        <f t="array" ref="G121">Common_InputFunctions.Utility_DisplayArrayInTable(Fertiliser_SourceData.Fertiliser_Products_Data1(),FertiliserProducts[[#Headers],[Include or Exclude]], 0)</f>
        <v/>
      </c>
      <c r="H121" s="171" t="str" cm="1">
        <f t="array" ref="H121">Common_InputFunctions.Utility_DisplayArrayInTable(Fertiliser_SourceData.Fertiliser_Products_Data1(),FertiliserProducts[[#Headers],[Include or Exclude]], 0,4)</f>
        <v/>
      </c>
      <c r="I121" s="171" t="str" cm="1">
        <f t="array" ref="I121">Common_InputFunctions.Utility_DisplayArrayInTable(Fertiliser_SourceData.Fertiliser_Products_Data1(),FertiliserProducts[[#Headers],[Include or Exclude]], 0,4)</f>
        <v/>
      </c>
      <c r="J121" s="171" t="str" cm="1">
        <f t="array" ref="J121">Common_InputFunctions.Utility_DisplayArrayInTable(Fertiliser_SourceData.Fertiliser_Products_Data1(),FertiliserProducts[[#Headers],[Include or Exclude]], 0,4)</f>
        <v/>
      </c>
      <c r="K121" s="171" t="str" cm="1">
        <f t="array" ref="K121">Common_InputFunctions.Utility_DisplayArrayInTable(Fertiliser_SourceData.Fertiliser_Products_Data1(),FertiliserProducts[[#Headers],[Include or Exclude]], 0,4)</f>
        <v/>
      </c>
      <c r="L121" s="171" t="str" cm="1">
        <f t="array" ref="L121">Common_InputFunctions.Utility_DisplayArrayInTable(Fertiliser_SourceData.Fertiliser_Products_Data1(),FertiliserProducts[[#Headers],[Include or Exclude]], 0,4)</f>
        <v/>
      </c>
      <c r="M121" s="171" t="str" cm="1">
        <f t="array" ref="M121">Common_InputFunctions.Utility_DisplayArrayInTable(Fertiliser_SourceData.Fertiliser_Products_Data1(),FertiliserProducts[[#Headers],[Include or Exclude]], 0,4)</f>
        <v/>
      </c>
      <c r="N121" s="171" t="str" cm="1">
        <f t="array" ref="N121">Common_InputFunctions.Utility_DisplayArrayInTable(Fertiliser_SourceData.Fertiliser_Products_Data1(),FertiliserProducts[[#Headers],[Include or Exclude]], 0,4)</f>
        <v/>
      </c>
      <c r="O121" s="171" t="str" cm="1">
        <f t="array" ref="O121">Common_InputFunctions.Utility_DisplayArrayInTable(Fertiliser_SourceData.Fertiliser_Products_Data1(),FertiliserProducts[[#Headers],[Include or Exclude]], 0,4)</f>
        <v/>
      </c>
      <c r="P121" s="171" t="str" cm="1">
        <f t="array" ref="P121">Common_InputFunctions.Utility_DisplayArrayInTable(Fertiliser_SourceData.Fertiliser_Products_Data1(),FertiliserProducts[[#Headers],[Include or Exclude]], 0,4)</f>
        <v/>
      </c>
      <c r="Q121" s="171" t="str" cm="1">
        <f t="array" ref="Q121">Common_InputFunctions.Utility_DisplayArrayInTable(Fertiliser_SourceData.Fertiliser_Products_Data1(),FertiliserProducts[[#Headers],[Include or Exclude]], 0,4)</f>
        <v/>
      </c>
      <c r="R121" s="171" t="str" cm="1">
        <f t="array" ref="R121">Common_InputFunctions.Utility_DisplayArrayInTable(Fertiliser_SourceData.Fertiliser_Products_Data1(),FertiliserProducts[[#Headers],[Include or Exclude]], 0,4)</f>
        <v/>
      </c>
      <c r="S121" s="171" t="str" cm="1">
        <f t="array" ref="S121">Common_InputFunctions.Utility_DisplayArrayInTable(Fertiliser_SourceData.Fertiliser_Products_Data1(),FertiliserProducts[[#Headers],[Include or Exclude]], 0,4)</f>
        <v/>
      </c>
      <c r="T121" s="171" t="str" cm="1">
        <f t="array" ref="T121">Common_InputFunctions.Utility_DisplayArrayInTable(Fertiliser_SourceData.Fertiliser_Products_Data1(),FertiliserProducts[[#Headers],[Include or Exclude]], 0,4)</f>
        <v/>
      </c>
      <c r="U121" s="171" t="str" cm="1">
        <f t="array" ref="U121">Common_InputFunctions.Utility_DisplayArrayInTable(Fertiliser_SourceData.Fertiliser_Products_Data1(),FertiliserProducts[[#Headers],[Include or Exclude]], 0,4)</f>
        <v/>
      </c>
      <c r="V121" s="171" t="str" cm="1">
        <f t="array" ref="V121">Common_InputFunctions.Utility_DisplayArrayInTable(Fertiliser_SourceData.Fertiliser_Products_Data1(),FertiliserProducts[[#Headers],[Include or Exclude]], 0,4)</f>
        <v/>
      </c>
      <c r="W121" s="171" t="str" cm="1">
        <f t="array" ref="W121">Common_InputFunctions.Utility_DisplayArrayInTable(Fertiliser_SourceData.Fertiliser_Products_Data1(),FertiliserProducts[[#Headers],[Include or Exclude]], 0,4)</f>
        <v/>
      </c>
      <c r="X121" s="171" t="str" cm="1">
        <f t="array" ref="X121">Common_InputFunctions.Utility_DisplayArrayInTable(Fertiliser_SourceData.Fertiliser_Products_Data1(),FertiliserProducts[[#Headers],[Include or Exclude]], 0,4)</f>
        <v/>
      </c>
      <c r="Y121" s="171" t="str" cm="1">
        <f t="array" ref="Y121">Common_InputFunctions.Utility_DisplayArrayInTable(Fertiliser_SourceData.Fertiliser_Products_Data1(),FertiliserProducts[[#Headers],[Include or Exclude]], 0,4)</f>
        <v/>
      </c>
      <c r="Z121" s="171" t="str" cm="1">
        <f t="array" ref="Z121">Common_InputFunctions.Utility_DisplayArrayInTable(Fertiliser_SourceData.Fertiliser_Products_Data1(),FertiliserProducts[[#Headers],[Include or Exclude]], 0,4)</f>
        <v/>
      </c>
      <c r="AA121" s="171" t="str" cm="1">
        <f t="array" ref="AA121">Common_InputFunctions.Utility_DisplayArrayInTable(Fertiliser_SourceData.Fertiliser_Products_Data1(),FertiliserProducts[[#Headers],[Include or Exclude]], 0,4)</f>
        <v/>
      </c>
      <c r="AB121" s="171" t="str" cm="1">
        <f t="array" ref="AB121">Common_InputFunctions.Utility_DisplayArrayInTable(Fertiliser_SourceData.Fertiliser_Products_Data1(),FertiliserProducts[[#Headers],[Include or Exclude]], 0,4)</f>
        <v/>
      </c>
      <c r="AC121" s="171" t="str" cm="1">
        <f t="array" ref="AC121">Common_InputFunctions.Utility_DisplayArrayInTable(Fertiliser_SourceData.Fertiliser_Products_Data1(),FertiliserProducts[[#Headers],[Include or Exclude]], 0,4)</f>
        <v/>
      </c>
      <c r="AD121" s="171" t="str" cm="1">
        <f t="array" ref="AD121">Common_InputFunctions.Utility_DisplayArrayInTable(Fertiliser_SourceData.Fertiliser_Products_Data1(),FertiliserProducts[[#Headers],[Include or Exclude]], 0,4)</f>
        <v/>
      </c>
      <c r="AE121" s="171" t="str" cm="1">
        <f t="array" ref="AE121">Common_InputFunctions.Utility_DisplayArrayInTable(Fertiliser_SourceData.Fertiliser_Products_Data1(),FertiliserProducts[[#Headers],[Include or Exclude]], 0,4)</f>
        <v/>
      </c>
    </row>
    <row r="122" spans="4:31" ht="20.100000000000001" customHeight="1" x14ac:dyDescent="0.25">
      <c r="D122" s="171" t="str" cm="1">
        <f t="array" ref="D122">Common_InputFunctions.Utility_DisplayArrayInTable(Fertiliser_SourceData.Fertiliser_Products_Data1(),FertiliserProducts[[#Headers],[Include or Exclude]], -1)</f>
        <v/>
      </c>
      <c r="E122" s="171" t="str" cm="1">
        <f t="array" ref="E122">Common_InputFunctions.Utility_DisplayArrayInTable(Fertiliser_SourceData.Fertiliser_Products_Data1(),FertiliserProducts[[#Headers],[Include or Exclude]], 0)</f>
        <v/>
      </c>
      <c r="F122" s="171" t="str" cm="1">
        <f t="array" ref="F122">Common_InputFunctions.Utility_DisplayArrayInTable(Fertiliser_SourceData.Fertiliser_Products_Data1(),FertiliserProducts[[#Headers],[Include or Exclude]], 0)</f>
        <v/>
      </c>
      <c r="G122" s="171" t="str" cm="1">
        <f t="array" ref="G122">Common_InputFunctions.Utility_DisplayArrayInTable(Fertiliser_SourceData.Fertiliser_Products_Data1(),FertiliserProducts[[#Headers],[Include or Exclude]], 0)</f>
        <v/>
      </c>
      <c r="H122" s="171" t="str" cm="1">
        <f t="array" ref="H122">Common_InputFunctions.Utility_DisplayArrayInTable(Fertiliser_SourceData.Fertiliser_Products_Data1(),FertiliserProducts[[#Headers],[Include or Exclude]], 0,4)</f>
        <v/>
      </c>
      <c r="I122" s="171" t="str" cm="1">
        <f t="array" ref="I122">Common_InputFunctions.Utility_DisplayArrayInTable(Fertiliser_SourceData.Fertiliser_Products_Data1(),FertiliserProducts[[#Headers],[Include or Exclude]], 0,4)</f>
        <v/>
      </c>
      <c r="J122" s="171" t="str" cm="1">
        <f t="array" ref="J122">Common_InputFunctions.Utility_DisplayArrayInTable(Fertiliser_SourceData.Fertiliser_Products_Data1(),FertiliserProducts[[#Headers],[Include or Exclude]], 0,4)</f>
        <v/>
      </c>
      <c r="K122" s="171" t="str" cm="1">
        <f t="array" ref="K122">Common_InputFunctions.Utility_DisplayArrayInTable(Fertiliser_SourceData.Fertiliser_Products_Data1(),FertiliserProducts[[#Headers],[Include or Exclude]], 0,4)</f>
        <v/>
      </c>
      <c r="L122" s="171" t="str" cm="1">
        <f t="array" ref="L122">Common_InputFunctions.Utility_DisplayArrayInTable(Fertiliser_SourceData.Fertiliser_Products_Data1(),FertiliserProducts[[#Headers],[Include or Exclude]], 0,4)</f>
        <v/>
      </c>
      <c r="M122" s="171" t="str" cm="1">
        <f t="array" ref="M122">Common_InputFunctions.Utility_DisplayArrayInTable(Fertiliser_SourceData.Fertiliser_Products_Data1(),FertiliserProducts[[#Headers],[Include or Exclude]], 0,4)</f>
        <v/>
      </c>
      <c r="N122" s="171" t="str" cm="1">
        <f t="array" ref="N122">Common_InputFunctions.Utility_DisplayArrayInTable(Fertiliser_SourceData.Fertiliser_Products_Data1(),FertiliserProducts[[#Headers],[Include or Exclude]], 0,4)</f>
        <v/>
      </c>
      <c r="O122" s="171" t="str" cm="1">
        <f t="array" ref="O122">Common_InputFunctions.Utility_DisplayArrayInTable(Fertiliser_SourceData.Fertiliser_Products_Data1(),FertiliserProducts[[#Headers],[Include or Exclude]], 0,4)</f>
        <v/>
      </c>
      <c r="P122" s="171" t="str" cm="1">
        <f t="array" ref="P122">Common_InputFunctions.Utility_DisplayArrayInTable(Fertiliser_SourceData.Fertiliser_Products_Data1(),FertiliserProducts[[#Headers],[Include or Exclude]], 0,4)</f>
        <v/>
      </c>
      <c r="Q122" s="171" t="str" cm="1">
        <f t="array" ref="Q122">Common_InputFunctions.Utility_DisplayArrayInTable(Fertiliser_SourceData.Fertiliser_Products_Data1(),FertiliserProducts[[#Headers],[Include or Exclude]], 0,4)</f>
        <v/>
      </c>
      <c r="R122" s="171" t="str" cm="1">
        <f t="array" ref="R122">Common_InputFunctions.Utility_DisplayArrayInTable(Fertiliser_SourceData.Fertiliser_Products_Data1(),FertiliserProducts[[#Headers],[Include or Exclude]], 0,4)</f>
        <v/>
      </c>
      <c r="S122" s="171" t="str" cm="1">
        <f t="array" ref="S122">Common_InputFunctions.Utility_DisplayArrayInTable(Fertiliser_SourceData.Fertiliser_Products_Data1(),FertiliserProducts[[#Headers],[Include or Exclude]], 0,4)</f>
        <v/>
      </c>
      <c r="T122" s="171" t="str" cm="1">
        <f t="array" ref="T122">Common_InputFunctions.Utility_DisplayArrayInTable(Fertiliser_SourceData.Fertiliser_Products_Data1(),FertiliserProducts[[#Headers],[Include or Exclude]], 0,4)</f>
        <v/>
      </c>
      <c r="U122" s="171" t="str" cm="1">
        <f t="array" ref="U122">Common_InputFunctions.Utility_DisplayArrayInTable(Fertiliser_SourceData.Fertiliser_Products_Data1(),FertiliserProducts[[#Headers],[Include or Exclude]], 0,4)</f>
        <v/>
      </c>
      <c r="V122" s="171" t="str" cm="1">
        <f t="array" ref="V122">Common_InputFunctions.Utility_DisplayArrayInTable(Fertiliser_SourceData.Fertiliser_Products_Data1(),FertiliserProducts[[#Headers],[Include or Exclude]], 0,4)</f>
        <v/>
      </c>
      <c r="W122" s="171" t="str" cm="1">
        <f t="array" ref="W122">Common_InputFunctions.Utility_DisplayArrayInTable(Fertiliser_SourceData.Fertiliser_Products_Data1(),FertiliserProducts[[#Headers],[Include or Exclude]], 0,4)</f>
        <v/>
      </c>
      <c r="X122" s="171" t="str" cm="1">
        <f t="array" ref="X122">Common_InputFunctions.Utility_DisplayArrayInTable(Fertiliser_SourceData.Fertiliser_Products_Data1(),FertiliserProducts[[#Headers],[Include or Exclude]], 0,4)</f>
        <v/>
      </c>
      <c r="Y122" s="171" t="str" cm="1">
        <f t="array" ref="Y122">Common_InputFunctions.Utility_DisplayArrayInTable(Fertiliser_SourceData.Fertiliser_Products_Data1(),FertiliserProducts[[#Headers],[Include or Exclude]], 0,4)</f>
        <v/>
      </c>
      <c r="Z122" s="171" t="str" cm="1">
        <f t="array" ref="Z122">Common_InputFunctions.Utility_DisplayArrayInTable(Fertiliser_SourceData.Fertiliser_Products_Data1(),FertiliserProducts[[#Headers],[Include or Exclude]], 0,4)</f>
        <v/>
      </c>
      <c r="AA122" s="171" t="str" cm="1">
        <f t="array" ref="AA122">Common_InputFunctions.Utility_DisplayArrayInTable(Fertiliser_SourceData.Fertiliser_Products_Data1(),FertiliserProducts[[#Headers],[Include or Exclude]], 0,4)</f>
        <v/>
      </c>
      <c r="AB122" s="171" t="str" cm="1">
        <f t="array" ref="AB122">Common_InputFunctions.Utility_DisplayArrayInTable(Fertiliser_SourceData.Fertiliser_Products_Data1(),FertiliserProducts[[#Headers],[Include or Exclude]], 0,4)</f>
        <v/>
      </c>
      <c r="AC122" s="171" t="str" cm="1">
        <f t="array" ref="AC122">Common_InputFunctions.Utility_DisplayArrayInTable(Fertiliser_SourceData.Fertiliser_Products_Data1(),FertiliserProducts[[#Headers],[Include or Exclude]], 0,4)</f>
        <v/>
      </c>
      <c r="AD122" s="171" t="str" cm="1">
        <f t="array" ref="AD122">Common_InputFunctions.Utility_DisplayArrayInTable(Fertiliser_SourceData.Fertiliser_Products_Data1(),FertiliserProducts[[#Headers],[Include or Exclude]], 0,4)</f>
        <v/>
      </c>
      <c r="AE122" s="171" t="str" cm="1">
        <f t="array" ref="AE122">Common_InputFunctions.Utility_DisplayArrayInTable(Fertiliser_SourceData.Fertiliser_Products_Data1(),FertiliserProducts[[#Headers],[Include or Exclude]], 0,4)</f>
        <v/>
      </c>
    </row>
    <row r="123" spans="4:31" ht="20.100000000000001" customHeight="1" x14ac:dyDescent="0.25">
      <c r="D123" s="171" t="str" cm="1">
        <f t="array" ref="D123">Common_InputFunctions.Utility_DisplayArrayInTable(Fertiliser_SourceData.Fertiliser_Products_Data1(),FertiliserProducts[[#Headers],[Include or Exclude]], -1)</f>
        <v/>
      </c>
      <c r="E123" s="171" t="str" cm="1">
        <f t="array" ref="E123">Common_InputFunctions.Utility_DisplayArrayInTable(Fertiliser_SourceData.Fertiliser_Products_Data1(),FertiliserProducts[[#Headers],[Include or Exclude]], 0)</f>
        <v/>
      </c>
      <c r="F123" s="171" t="str" cm="1">
        <f t="array" ref="F123">Common_InputFunctions.Utility_DisplayArrayInTable(Fertiliser_SourceData.Fertiliser_Products_Data1(),FertiliserProducts[[#Headers],[Include or Exclude]], 0)</f>
        <v/>
      </c>
      <c r="G123" s="171" t="str" cm="1">
        <f t="array" ref="G123">Common_InputFunctions.Utility_DisplayArrayInTable(Fertiliser_SourceData.Fertiliser_Products_Data1(),FertiliserProducts[[#Headers],[Include or Exclude]], 0)</f>
        <v/>
      </c>
      <c r="H123" s="171" t="str" cm="1">
        <f t="array" ref="H123">Common_InputFunctions.Utility_DisplayArrayInTable(Fertiliser_SourceData.Fertiliser_Products_Data1(),FertiliserProducts[[#Headers],[Include or Exclude]], 0,4)</f>
        <v/>
      </c>
      <c r="I123" s="171" t="str" cm="1">
        <f t="array" ref="I123">Common_InputFunctions.Utility_DisplayArrayInTable(Fertiliser_SourceData.Fertiliser_Products_Data1(),FertiliserProducts[[#Headers],[Include or Exclude]], 0,4)</f>
        <v/>
      </c>
      <c r="J123" s="171" t="str" cm="1">
        <f t="array" ref="J123">Common_InputFunctions.Utility_DisplayArrayInTable(Fertiliser_SourceData.Fertiliser_Products_Data1(),FertiliserProducts[[#Headers],[Include or Exclude]], 0,4)</f>
        <v/>
      </c>
      <c r="K123" s="171" t="str" cm="1">
        <f t="array" ref="K123">Common_InputFunctions.Utility_DisplayArrayInTable(Fertiliser_SourceData.Fertiliser_Products_Data1(),FertiliserProducts[[#Headers],[Include or Exclude]], 0,4)</f>
        <v/>
      </c>
      <c r="L123" s="171" t="str" cm="1">
        <f t="array" ref="L123">Common_InputFunctions.Utility_DisplayArrayInTable(Fertiliser_SourceData.Fertiliser_Products_Data1(),FertiliserProducts[[#Headers],[Include or Exclude]], 0,4)</f>
        <v/>
      </c>
      <c r="M123" s="171" t="str" cm="1">
        <f t="array" ref="M123">Common_InputFunctions.Utility_DisplayArrayInTable(Fertiliser_SourceData.Fertiliser_Products_Data1(),FertiliserProducts[[#Headers],[Include or Exclude]], 0,4)</f>
        <v/>
      </c>
      <c r="N123" s="171" t="str" cm="1">
        <f t="array" ref="N123">Common_InputFunctions.Utility_DisplayArrayInTable(Fertiliser_SourceData.Fertiliser_Products_Data1(),FertiliserProducts[[#Headers],[Include or Exclude]], 0,4)</f>
        <v/>
      </c>
      <c r="O123" s="171" t="str" cm="1">
        <f t="array" ref="O123">Common_InputFunctions.Utility_DisplayArrayInTable(Fertiliser_SourceData.Fertiliser_Products_Data1(),FertiliserProducts[[#Headers],[Include or Exclude]], 0,4)</f>
        <v/>
      </c>
      <c r="P123" s="171" t="str" cm="1">
        <f t="array" ref="P123">Common_InputFunctions.Utility_DisplayArrayInTable(Fertiliser_SourceData.Fertiliser_Products_Data1(),FertiliserProducts[[#Headers],[Include or Exclude]], 0,4)</f>
        <v/>
      </c>
      <c r="Q123" s="171" t="str" cm="1">
        <f t="array" ref="Q123">Common_InputFunctions.Utility_DisplayArrayInTable(Fertiliser_SourceData.Fertiliser_Products_Data1(),FertiliserProducts[[#Headers],[Include or Exclude]], 0,4)</f>
        <v/>
      </c>
      <c r="R123" s="171" t="str" cm="1">
        <f t="array" ref="R123">Common_InputFunctions.Utility_DisplayArrayInTable(Fertiliser_SourceData.Fertiliser_Products_Data1(),FertiliserProducts[[#Headers],[Include or Exclude]], 0,4)</f>
        <v/>
      </c>
      <c r="S123" s="171" t="str" cm="1">
        <f t="array" ref="S123">Common_InputFunctions.Utility_DisplayArrayInTable(Fertiliser_SourceData.Fertiliser_Products_Data1(),FertiliserProducts[[#Headers],[Include or Exclude]], 0,4)</f>
        <v/>
      </c>
      <c r="T123" s="171" t="str" cm="1">
        <f t="array" ref="T123">Common_InputFunctions.Utility_DisplayArrayInTable(Fertiliser_SourceData.Fertiliser_Products_Data1(),FertiliserProducts[[#Headers],[Include or Exclude]], 0,4)</f>
        <v/>
      </c>
      <c r="U123" s="171" t="str" cm="1">
        <f t="array" ref="U123">Common_InputFunctions.Utility_DisplayArrayInTable(Fertiliser_SourceData.Fertiliser_Products_Data1(),FertiliserProducts[[#Headers],[Include or Exclude]], 0,4)</f>
        <v/>
      </c>
      <c r="V123" s="171" t="str" cm="1">
        <f t="array" ref="V123">Common_InputFunctions.Utility_DisplayArrayInTable(Fertiliser_SourceData.Fertiliser_Products_Data1(),FertiliserProducts[[#Headers],[Include or Exclude]], 0,4)</f>
        <v/>
      </c>
      <c r="W123" s="171" t="str" cm="1">
        <f t="array" ref="W123">Common_InputFunctions.Utility_DisplayArrayInTable(Fertiliser_SourceData.Fertiliser_Products_Data1(),FertiliserProducts[[#Headers],[Include or Exclude]], 0,4)</f>
        <v/>
      </c>
      <c r="X123" s="171" t="str" cm="1">
        <f t="array" ref="X123">Common_InputFunctions.Utility_DisplayArrayInTable(Fertiliser_SourceData.Fertiliser_Products_Data1(),FertiliserProducts[[#Headers],[Include or Exclude]], 0,4)</f>
        <v/>
      </c>
      <c r="Y123" s="171" t="str" cm="1">
        <f t="array" ref="Y123">Common_InputFunctions.Utility_DisplayArrayInTable(Fertiliser_SourceData.Fertiliser_Products_Data1(),FertiliserProducts[[#Headers],[Include or Exclude]], 0,4)</f>
        <v/>
      </c>
      <c r="Z123" s="171" t="str" cm="1">
        <f t="array" ref="Z123">Common_InputFunctions.Utility_DisplayArrayInTable(Fertiliser_SourceData.Fertiliser_Products_Data1(),FertiliserProducts[[#Headers],[Include or Exclude]], 0,4)</f>
        <v/>
      </c>
      <c r="AA123" s="171" t="str" cm="1">
        <f t="array" ref="AA123">Common_InputFunctions.Utility_DisplayArrayInTable(Fertiliser_SourceData.Fertiliser_Products_Data1(),FertiliserProducts[[#Headers],[Include or Exclude]], 0,4)</f>
        <v/>
      </c>
      <c r="AB123" s="171" t="str" cm="1">
        <f t="array" ref="AB123">Common_InputFunctions.Utility_DisplayArrayInTable(Fertiliser_SourceData.Fertiliser_Products_Data1(),FertiliserProducts[[#Headers],[Include or Exclude]], 0,4)</f>
        <v/>
      </c>
      <c r="AC123" s="171" t="str" cm="1">
        <f t="array" ref="AC123">Common_InputFunctions.Utility_DisplayArrayInTable(Fertiliser_SourceData.Fertiliser_Products_Data1(),FertiliserProducts[[#Headers],[Include or Exclude]], 0,4)</f>
        <v/>
      </c>
      <c r="AD123" s="171" t="str" cm="1">
        <f t="array" ref="AD123">Common_InputFunctions.Utility_DisplayArrayInTable(Fertiliser_SourceData.Fertiliser_Products_Data1(),FertiliserProducts[[#Headers],[Include or Exclude]], 0,4)</f>
        <v/>
      </c>
      <c r="AE123" s="171" t="str" cm="1">
        <f t="array" ref="AE123">Common_InputFunctions.Utility_DisplayArrayInTable(Fertiliser_SourceData.Fertiliser_Products_Data1(),FertiliserProducts[[#Headers],[Include or Exclude]], 0,4)</f>
        <v/>
      </c>
    </row>
    <row r="124" spans="4:31" ht="20.100000000000001" customHeight="1" x14ac:dyDescent="0.25">
      <c r="D124" s="171" t="str" cm="1">
        <f t="array" ref="D124">Common_InputFunctions.Utility_DisplayArrayInTable(Fertiliser_SourceData.Fertiliser_Products_Data1(),FertiliserProducts[[#Headers],[Include or Exclude]], -1)</f>
        <v/>
      </c>
      <c r="E124" s="171" t="str" cm="1">
        <f t="array" ref="E124">Common_InputFunctions.Utility_DisplayArrayInTable(Fertiliser_SourceData.Fertiliser_Products_Data1(),FertiliserProducts[[#Headers],[Include or Exclude]], 0)</f>
        <v/>
      </c>
      <c r="F124" s="171" t="str" cm="1">
        <f t="array" ref="F124">Common_InputFunctions.Utility_DisplayArrayInTable(Fertiliser_SourceData.Fertiliser_Products_Data1(),FertiliserProducts[[#Headers],[Include or Exclude]], 0)</f>
        <v/>
      </c>
      <c r="G124" s="171" t="str" cm="1">
        <f t="array" ref="G124">Common_InputFunctions.Utility_DisplayArrayInTable(Fertiliser_SourceData.Fertiliser_Products_Data1(),FertiliserProducts[[#Headers],[Include or Exclude]], 0)</f>
        <v/>
      </c>
      <c r="H124" s="171" t="str" cm="1">
        <f t="array" ref="H124">Common_InputFunctions.Utility_DisplayArrayInTable(Fertiliser_SourceData.Fertiliser_Products_Data1(),FertiliserProducts[[#Headers],[Include or Exclude]], 0,4)</f>
        <v/>
      </c>
      <c r="I124" s="171" t="str" cm="1">
        <f t="array" ref="I124">Common_InputFunctions.Utility_DisplayArrayInTable(Fertiliser_SourceData.Fertiliser_Products_Data1(),FertiliserProducts[[#Headers],[Include or Exclude]], 0,4)</f>
        <v/>
      </c>
      <c r="J124" s="171" t="str" cm="1">
        <f t="array" ref="J124">Common_InputFunctions.Utility_DisplayArrayInTable(Fertiliser_SourceData.Fertiliser_Products_Data1(),FertiliserProducts[[#Headers],[Include or Exclude]], 0,4)</f>
        <v/>
      </c>
      <c r="K124" s="171" t="str" cm="1">
        <f t="array" ref="K124">Common_InputFunctions.Utility_DisplayArrayInTable(Fertiliser_SourceData.Fertiliser_Products_Data1(),FertiliserProducts[[#Headers],[Include or Exclude]], 0,4)</f>
        <v/>
      </c>
      <c r="L124" s="171" t="str" cm="1">
        <f t="array" ref="L124">Common_InputFunctions.Utility_DisplayArrayInTable(Fertiliser_SourceData.Fertiliser_Products_Data1(),FertiliserProducts[[#Headers],[Include or Exclude]], 0,4)</f>
        <v/>
      </c>
      <c r="M124" s="171" t="str" cm="1">
        <f t="array" ref="M124">Common_InputFunctions.Utility_DisplayArrayInTable(Fertiliser_SourceData.Fertiliser_Products_Data1(),FertiliserProducts[[#Headers],[Include or Exclude]], 0,4)</f>
        <v/>
      </c>
      <c r="N124" s="171" t="str" cm="1">
        <f t="array" ref="N124">Common_InputFunctions.Utility_DisplayArrayInTable(Fertiliser_SourceData.Fertiliser_Products_Data1(),FertiliserProducts[[#Headers],[Include or Exclude]], 0,4)</f>
        <v/>
      </c>
      <c r="O124" s="171" t="str" cm="1">
        <f t="array" ref="O124">Common_InputFunctions.Utility_DisplayArrayInTable(Fertiliser_SourceData.Fertiliser_Products_Data1(),FertiliserProducts[[#Headers],[Include or Exclude]], 0,4)</f>
        <v/>
      </c>
      <c r="P124" s="171" t="str" cm="1">
        <f t="array" ref="P124">Common_InputFunctions.Utility_DisplayArrayInTable(Fertiliser_SourceData.Fertiliser_Products_Data1(),FertiliserProducts[[#Headers],[Include or Exclude]], 0,4)</f>
        <v/>
      </c>
      <c r="Q124" s="171" t="str" cm="1">
        <f t="array" ref="Q124">Common_InputFunctions.Utility_DisplayArrayInTable(Fertiliser_SourceData.Fertiliser_Products_Data1(),FertiliserProducts[[#Headers],[Include or Exclude]], 0,4)</f>
        <v/>
      </c>
      <c r="R124" s="171" t="str" cm="1">
        <f t="array" ref="R124">Common_InputFunctions.Utility_DisplayArrayInTable(Fertiliser_SourceData.Fertiliser_Products_Data1(),FertiliserProducts[[#Headers],[Include or Exclude]], 0,4)</f>
        <v/>
      </c>
      <c r="S124" s="171" t="str" cm="1">
        <f t="array" ref="S124">Common_InputFunctions.Utility_DisplayArrayInTable(Fertiliser_SourceData.Fertiliser_Products_Data1(),FertiliserProducts[[#Headers],[Include or Exclude]], 0,4)</f>
        <v/>
      </c>
      <c r="T124" s="171" t="str" cm="1">
        <f t="array" ref="T124">Common_InputFunctions.Utility_DisplayArrayInTable(Fertiliser_SourceData.Fertiliser_Products_Data1(),FertiliserProducts[[#Headers],[Include or Exclude]], 0,4)</f>
        <v/>
      </c>
      <c r="U124" s="171" t="str" cm="1">
        <f t="array" ref="U124">Common_InputFunctions.Utility_DisplayArrayInTable(Fertiliser_SourceData.Fertiliser_Products_Data1(),FertiliserProducts[[#Headers],[Include or Exclude]], 0,4)</f>
        <v/>
      </c>
      <c r="V124" s="171" t="str" cm="1">
        <f t="array" ref="V124">Common_InputFunctions.Utility_DisplayArrayInTable(Fertiliser_SourceData.Fertiliser_Products_Data1(),FertiliserProducts[[#Headers],[Include or Exclude]], 0,4)</f>
        <v/>
      </c>
      <c r="W124" s="171" t="str" cm="1">
        <f t="array" ref="W124">Common_InputFunctions.Utility_DisplayArrayInTable(Fertiliser_SourceData.Fertiliser_Products_Data1(),FertiliserProducts[[#Headers],[Include or Exclude]], 0,4)</f>
        <v/>
      </c>
      <c r="X124" s="171" t="str" cm="1">
        <f t="array" ref="X124">Common_InputFunctions.Utility_DisplayArrayInTable(Fertiliser_SourceData.Fertiliser_Products_Data1(),FertiliserProducts[[#Headers],[Include or Exclude]], 0,4)</f>
        <v/>
      </c>
      <c r="Y124" s="171" t="str" cm="1">
        <f t="array" ref="Y124">Common_InputFunctions.Utility_DisplayArrayInTable(Fertiliser_SourceData.Fertiliser_Products_Data1(),FertiliserProducts[[#Headers],[Include or Exclude]], 0,4)</f>
        <v/>
      </c>
      <c r="Z124" s="171" t="str" cm="1">
        <f t="array" ref="Z124">Common_InputFunctions.Utility_DisplayArrayInTable(Fertiliser_SourceData.Fertiliser_Products_Data1(),FertiliserProducts[[#Headers],[Include or Exclude]], 0,4)</f>
        <v/>
      </c>
      <c r="AA124" s="171" t="str" cm="1">
        <f t="array" ref="AA124">Common_InputFunctions.Utility_DisplayArrayInTable(Fertiliser_SourceData.Fertiliser_Products_Data1(),FertiliserProducts[[#Headers],[Include or Exclude]], 0,4)</f>
        <v/>
      </c>
      <c r="AB124" s="171" t="str" cm="1">
        <f t="array" ref="AB124">Common_InputFunctions.Utility_DisplayArrayInTable(Fertiliser_SourceData.Fertiliser_Products_Data1(),FertiliserProducts[[#Headers],[Include or Exclude]], 0,4)</f>
        <v/>
      </c>
      <c r="AC124" s="171" t="str" cm="1">
        <f t="array" ref="AC124">Common_InputFunctions.Utility_DisplayArrayInTable(Fertiliser_SourceData.Fertiliser_Products_Data1(),FertiliserProducts[[#Headers],[Include or Exclude]], 0,4)</f>
        <v/>
      </c>
      <c r="AD124" s="171" t="str" cm="1">
        <f t="array" ref="AD124">Common_InputFunctions.Utility_DisplayArrayInTable(Fertiliser_SourceData.Fertiliser_Products_Data1(),FertiliserProducts[[#Headers],[Include or Exclude]], 0,4)</f>
        <v/>
      </c>
      <c r="AE124" s="171" t="str" cm="1">
        <f t="array" ref="AE124">Common_InputFunctions.Utility_DisplayArrayInTable(Fertiliser_SourceData.Fertiliser_Products_Data1(),FertiliserProducts[[#Headers],[Include or Exclude]], 0,4)</f>
        <v/>
      </c>
    </row>
    <row r="125" spans="4:31" ht="20.100000000000001" customHeight="1" x14ac:dyDescent="0.25">
      <c r="D125" s="171" t="str" cm="1">
        <f t="array" ref="D125">Common_InputFunctions.Utility_DisplayArrayInTable(Fertiliser_SourceData.Fertiliser_Products_Data1(),FertiliserProducts[[#Headers],[Include or Exclude]], -1)</f>
        <v/>
      </c>
      <c r="E125" s="171" t="str" cm="1">
        <f t="array" ref="E125">Common_InputFunctions.Utility_DisplayArrayInTable(Fertiliser_SourceData.Fertiliser_Products_Data1(),FertiliserProducts[[#Headers],[Include or Exclude]], 0)</f>
        <v/>
      </c>
      <c r="F125" s="171" t="str" cm="1">
        <f t="array" ref="F125">Common_InputFunctions.Utility_DisplayArrayInTable(Fertiliser_SourceData.Fertiliser_Products_Data1(),FertiliserProducts[[#Headers],[Include or Exclude]], 0)</f>
        <v/>
      </c>
      <c r="G125" s="171" t="str" cm="1">
        <f t="array" ref="G125">Common_InputFunctions.Utility_DisplayArrayInTable(Fertiliser_SourceData.Fertiliser_Products_Data1(),FertiliserProducts[[#Headers],[Include or Exclude]], 0)</f>
        <v/>
      </c>
      <c r="H125" s="171" t="str" cm="1">
        <f t="array" ref="H125">Common_InputFunctions.Utility_DisplayArrayInTable(Fertiliser_SourceData.Fertiliser_Products_Data1(),FertiliserProducts[[#Headers],[Include or Exclude]], 0,4)</f>
        <v/>
      </c>
      <c r="I125" s="171" t="str" cm="1">
        <f t="array" ref="I125">Common_InputFunctions.Utility_DisplayArrayInTable(Fertiliser_SourceData.Fertiliser_Products_Data1(),FertiliserProducts[[#Headers],[Include or Exclude]], 0,4)</f>
        <v/>
      </c>
      <c r="J125" s="171" t="str" cm="1">
        <f t="array" ref="J125">Common_InputFunctions.Utility_DisplayArrayInTable(Fertiliser_SourceData.Fertiliser_Products_Data1(),FertiliserProducts[[#Headers],[Include or Exclude]], 0,4)</f>
        <v/>
      </c>
      <c r="K125" s="171" t="str" cm="1">
        <f t="array" ref="K125">Common_InputFunctions.Utility_DisplayArrayInTable(Fertiliser_SourceData.Fertiliser_Products_Data1(),FertiliserProducts[[#Headers],[Include or Exclude]], 0,4)</f>
        <v/>
      </c>
      <c r="L125" s="171" t="str" cm="1">
        <f t="array" ref="L125">Common_InputFunctions.Utility_DisplayArrayInTable(Fertiliser_SourceData.Fertiliser_Products_Data1(),FertiliserProducts[[#Headers],[Include or Exclude]], 0,4)</f>
        <v/>
      </c>
      <c r="M125" s="171" t="str" cm="1">
        <f t="array" ref="M125">Common_InputFunctions.Utility_DisplayArrayInTable(Fertiliser_SourceData.Fertiliser_Products_Data1(),FertiliserProducts[[#Headers],[Include or Exclude]], 0,4)</f>
        <v/>
      </c>
      <c r="N125" s="171" t="str" cm="1">
        <f t="array" ref="N125">Common_InputFunctions.Utility_DisplayArrayInTable(Fertiliser_SourceData.Fertiliser_Products_Data1(),FertiliserProducts[[#Headers],[Include or Exclude]], 0,4)</f>
        <v/>
      </c>
      <c r="O125" s="171" t="str" cm="1">
        <f t="array" ref="O125">Common_InputFunctions.Utility_DisplayArrayInTable(Fertiliser_SourceData.Fertiliser_Products_Data1(),FertiliserProducts[[#Headers],[Include or Exclude]], 0,4)</f>
        <v/>
      </c>
      <c r="P125" s="171" t="str" cm="1">
        <f t="array" ref="P125">Common_InputFunctions.Utility_DisplayArrayInTable(Fertiliser_SourceData.Fertiliser_Products_Data1(),FertiliserProducts[[#Headers],[Include or Exclude]], 0,4)</f>
        <v/>
      </c>
      <c r="Q125" s="171" t="str" cm="1">
        <f t="array" ref="Q125">Common_InputFunctions.Utility_DisplayArrayInTable(Fertiliser_SourceData.Fertiliser_Products_Data1(),FertiliserProducts[[#Headers],[Include or Exclude]], 0,4)</f>
        <v/>
      </c>
      <c r="R125" s="171" t="str" cm="1">
        <f t="array" ref="R125">Common_InputFunctions.Utility_DisplayArrayInTable(Fertiliser_SourceData.Fertiliser_Products_Data1(),FertiliserProducts[[#Headers],[Include or Exclude]], 0,4)</f>
        <v/>
      </c>
      <c r="S125" s="171" t="str" cm="1">
        <f t="array" ref="S125">Common_InputFunctions.Utility_DisplayArrayInTable(Fertiliser_SourceData.Fertiliser_Products_Data1(),FertiliserProducts[[#Headers],[Include or Exclude]], 0,4)</f>
        <v/>
      </c>
      <c r="T125" s="171" t="str" cm="1">
        <f t="array" ref="T125">Common_InputFunctions.Utility_DisplayArrayInTable(Fertiliser_SourceData.Fertiliser_Products_Data1(),FertiliserProducts[[#Headers],[Include or Exclude]], 0,4)</f>
        <v/>
      </c>
      <c r="U125" s="171" t="str" cm="1">
        <f t="array" ref="U125">Common_InputFunctions.Utility_DisplayArrayInTable(Fertiliser_SourceData.Fertiliser_Products_Data1(),FertiliserProducts[[#Headers],[Include or Exclude]], 0,4)</f>
        <v/>
      </c>
      <c r="V125" s="171" t="str" cm="1">
        <f t="array" ref="V125">Common_InputFunctions.Utility_DisplayArrayInTable(Fertiliser_SourceData.Fertiliser_Products_Data1(),FertiliserProducts[[#Headers],[Include or Exclude]], 0,4)</f>
        <v/>
      </c>
      <c r="W125" s="171" t="str" cm="1">
        <f t="array" ref="W125">Common_InputFunctions.Utility_DisplayArrayInTable(Fertiliser_SourceData.Fertiliser_Products_Data1(),FertiliserProducts[[#Headers],[Include or Exclude]], 0,4)</f>
        <v/>
      </c>
      <c r="X125" s="171" t="str" cm="1">
        <f t="array" ref="X125">Common_InputFunctions.Utility_DisplayArrayInTable(Fertiliser_SourceData.Fertiliser_Products_Data1(),FertiliserProducts[[#Headers],[Include or Exclude]], 0,4)</f>
        <v/>
      </c>
      <c r="Y125" s="171" t="str" cm="1">
        <f t="array" ref="Y125">Common_InputFunctions.Utility_DisplayArrayInTable(Fertiliser_SourceData.Fertiliser_Products_Data1(),FertiliserProducts[[#Headers],[Include or Exclude]], 0,4)</f>
        <v/>
      </c>
      <c r="Z125" s="171" t="str" cm="1">
        <f t="array" ref="Z125">Common_InputFunctions.Utility_DisplayArrayInTable(Fertiliser_SourceData.Fertiliser_Products_Data1(),FertiliserProducts[[#Headers],[Include or Exclude]], 0,4)</f>
        <v/>
      </c>
      <c r="AA125" s="171" t="str" cm="1">
        <f t="array" ref="AA125">Common_InputFunctions.Utility_DisplayArrayInTable(Fertiliser_SourceData.Fertiliser_Products_Data1(),FertiliserProducts[[#Headers],[Include or Exclude]], 0,4)</f>
        <v/>
      </c>
      <c r="AB125" s="171" t="str" cm="1">
        <f t="array" ref="AB125">Common_InputFunctions.Utility_DisplayArrayInTable(Fertiliser_SourceData.Fertiliser_Products_Data1(),FertiliserProducts[[#Headers],[Include or Exclude]], 0,4)</f>
        <v/>
      </c>
      <c r="AC125" s="171" t="str" cm="1">
        <f t="array" ref="AC125">Common_InputFunctions.Utility_DisplayArrayInTable(Fertiliser_SourceData.Fertiliser_Products_Data1(),FertiliserProducts[[#Headers],[Include or Exclude]], 0,4)</f>
        <v/>
      </c>
      <c r="AD125" s="171" t="str" cm="1">
        <f t="array" ref="AD125">Common_InputFunctions.Utility_DisplayArrayInTable(Fertiliser_SourceData.Fertiliser_Products_Data1(),FertiliserProducts[[#Headers],[Include or Exclude]], 0,4)</f>
        <v/>
      </c>
      <c r="AE125" s="171" t="str" cm="1">
        <f t="array" ref="AE125">Common_InputFunctions.Utility_DisplayArrayInTable(Fertiliser_SourceData.Fertiliser_Products_Data1(),FertiliserProducts[[#Headers],[Include or Exclude]], 0,4)</f>
        <v/>
      </c>
    </row>
    <row r="126" spans="4:31" ht="20.100000000000001" customHeight="1" x14ac:dyDescent="0.25">
      <c r="D126" s="171" t="str" cm="1">
        <f t="array" ref="D126">Common_InputFunctions.Utility_DisplayArrayInTable(Fertiliser_SourceData.Fertiliser_Products_Data1(),FertiliserProducts[[#Headers],[Include or Exclude]], -1)</f>
        <v/>
      </c>
      <c r="E126" s="171" t="str" cm="1">
        <f t="array" ref="E126">Common_InputFunctions.Utility_DisplayArrayInTable(Fertiliser_SourceData.Fertiliser_Products_Data1(),FertiliserProducts[[#Headers],[Include or Exclude]], 0)</f>
        <v/>
      </c>
      <c r="F126" s="171" t="str" cm="1">
        <f t="array" ref="F126">Common_InputFunctions.Utility_DisplayArrayInTable(Fertiliser_SourceData.Fertiliser_Products_Data1(),FertiliserProducts[[#Headers],[Include or Exclude]], 0)</f>
        <v/>
      </c>
      <c r="G126" s="171" t="str" cm="1">
        <f t="array" ref="G126">Common_InputFunctions.Utility_DisplayArrayInTable(Fertiliser_SourceData.Fertiliser_Products_Data1(),FertiliserProducts[[#Headers],[Include or Exclude]], 0)</f>
        <v/>
      </c>
      <c r="H126" s="171" t="str" cm="1">
        <f t="array" ref="H126">Common_InputFunctions.Utility_DisplayArrayInTable(Fertiliser_SourceData.Fertiliser_Products_Data1(),FertiliserProducts[[#Headers],[Include or Exclude]], 0,4)</f>
        <v/>
      </c>
      <c r="I126" s="171" t="str" cm="1">
        <f t="array" ref="I126">Common_InputFunctions.Utility_DisplayArrayInTable(Fertiliser_SourceData.Fertiliser_Products_Data1(),FertiliserProducts[[#Headers],[Include or Exclude]], 0,4)</f>
        <v/>
      </c>
      <c r="J126" s="171" t="str" cm="1">
        <f t="array" ref="J126">Common_InputFunctions.Utility_DisplayArrayInTable(Fertiliser_SourceData.Fertiliser_Products_Data1(),FertiliserProducts[[#Headers],[Include or Exclude]], 0,4)</f>
        <v/>
      </c>
      <c r="K126" s="171" t="str" cm="1">
        <f t="array" ref="K126">Common_InputFunctions.Utility_DisplayArrayInTable(Fertiliser_SourceData.Fertiliser_Products_Data1(),FertiliserProducts[[#Headers],[Include or Exclude]], 0,4)</f>
        <v/>
      </c>
      <c r="L126" s="171" t="str" cm="1">
        <f t="array" ref="L126">Common_InputFunctions.Utility_DisplayArrayInTable(Fertiliser_SourceData.Fertiliser_Products_Data1(),FertiliserProducts[[#Headers],[Include or Exclude]], 0,4)</f>
        <v/>
      </c>
      <c r="M126" s="171" t="str" cm="1">
        <f t="array" ref="M126">Common_InputFunctions.Utility_DisplayArrayInTable(Fertiliser_SourceData.Fertiliser_Products_Data1(),FertiliserProducts[[#Headers],[Include or Exclude]], 0,4)</f>
        <v/>
      </c>
      <c r="N126" s="171" t="str" cm="1">
        <f t="array" ref="N126">Common_InputFunctions.Utility_DisplayArrayInTable(Fertiliser_SourceData.Fertiliser_Products_Data1(),FertiliserProducts[[#Headers],[Include or Exclude]], 0,4)</f>
        <v/>
      </c>
      <c r="O126" s="171" t="str" cm="1">
        <f t="array" ref="O126">Common_InputFunctions.Utility_DisplayArrayInTable(Fertiliser_SourceData.Fertiliser_Products_Data1(),FertiliserProducts[[#Headers],[Include or Exclude]], 0,4)</f>
        <v/>
      </c>
      <c r="P126" s="171" t="str" cm="1">
        <f t="array" ref="P126">Common_InputFunctions.Utility_DisplayArrayInTable(Fertiliser_SourceData.Fertiliser_Products_Data1(),FertiliserProducts[[#Headers],[Include or Exclude]], 0,4)</f>
        <v/>
      </c>
      <c r="Q126" s="171" t="str" cm="1">
        <f t="array" ref="Q126">Common_InputFunctions.Utility_DisplayArrayInTable(Fertiliser_SourceData.Fertiliser_Products_Data1(),FertiliserProducts[[#Headers],[Include or Exclude]], 0,4)</f>
        <v/>
      </c>
      <c r="R126" s="171" t="str" cm="1">
        <f t="array" ref="R126">Common_InputFunctions.Utility_DisplayArrayInTable(Fertiliser_SourceData.Fertiliser_Products_Data1(),FertiliserProducts[[#Headers],[Include or Exclude]], 0,4)</f>
        <v/>
      </c>
      <c r="S126" s="171" t="str" cm="1">
        <f t="array" ref="S126">Common_InputFunctions.Utility_DisplayArrayInTable(Fertiliser_SourceData.Fertiliser_Products_Data1(),FertiliserProducts[[#Headers],[Include or Exclude]], 0,4)</f>
        <v/>
      </c>
      <c r="T126" s="171" t="str" cm="1">
        <f t="array" ref="T126">Common_InputFunctions.Utility_DisplayArrayInTable(Fertiliser_SourceData.Fertiliser_Products_Data1(),FertiliserProducts[[#Headers],[Include or Exclude]], 0,4)</f>
        <v/>
      </c>
      <c r="U126" s="171" t="str" cm="1">
        <f t="array" ref="U126">Common_InputFunctions.Utility_DisplayArrayInTable(Fertiliser_SourceData.Fertiliser_Products_Data1(),FertiliserProducts[[#Headers],[Include or Exclude]], 0,4)</f>
        <v/>
      </c>
      <c r="V126" s="171" t="str" cm="1">
        <f t="array" ref="V126">Common_InputFunctions.Utility_DisplayArrayInTable(Fertiliser_SourceData.Fertiliser_Products_Data1(),FertiliserProducts[[#Headers],[Include or Exclude]], 0,4)</f>
        <v/>
      </c>
      <c r="W126" s="171" t="str" cm="1">
        <f t="array" ref="W126">Common_InputFunctions.Utility_DisplayArrayInTable(Fertiliser_SourceData.Fertiliser_Products_Data1(),FertiliserProducts[[#Headers],[Include or Exclude]], 0,4)</f>
        <v/>
      </c>
      <c r="X126" s="171" t="str" cm="1">
        <f t="array" ref="X126">Common_InputFunctions.Utility_DisplayArrayInTable(Fertiliser_SourceData.Fertiliser_Products_Data1(),FertiliserProducts[[#Headers],[Include or Exclude]], 0,4)</f>
        <v/>
      </c>
      <c r="Y126" s="171" t="str" cm="1">
        <f t="array" ref="Y126">Common_InputFunctions.Utility_DisplayArrayInTable(Fertiliser_SourceData.Fertiliser_Products_Data1(),FertiliserProducts[[#Headers],[Include or Exclude]], 0,4)</f>
        <v/>
      </c>
      <c r="Z126" s="171" t="str" cm="1">
        <f t="array" ref="Z126">Common_InputFunctions.Utility_DisplayArrayInTable(Fertiliser_SourceData.Fertiliser_Products_Data1(),FertiliserProducts[[#Headers],[Include or Exclude]], 0,4)</f>
        <v/>
      </c>
      <c r="AA126" s="171" t="str" cm="1">
        <f t="array" ref="AA126">Common_InputFunctions.Utility_DisplayArrayInTable(Fertiliser_SourceData.Fertiliser_Products_Data1(),FertiliserProducts[[#Headers],[Include or Exclude]], 0,4)</f>
        <v/>
      </c>
      <c r="AB126" s="171" t="str" cm="1">
        <f t="array" ref="AB126">Common_InputFunctions.Utility_DisplayArrayInTable(Fertiliser_SourceData.Fertiliser_Products_Data1(),FertiliserProducts[[#Headers],[Include or Exclude]], 0,4)</f>
        <v/>
      </c>
      <c r="AC126" s="171" t="str" cm="1">
        <f t="array" ref="AC126">Common_InputFunctions.Utility_DisplayArrayInTable(Fertiliser_SourceData.Fertiliser_Products_Data1(),FertiliserProducts[[#Headers],[Include or Exclude]], 0,4)</f>
        <v/>
      </c>
      <c r="AD126" s="171" t="str" cm="1">
        <f t="array" ref="AD126">Common_InputFunctions.Utility_DisplayArrayInTable(Fertiliser_SourceData.Fertiliser_Products_Data1(),FertiliserProducts[[#Headers],[Include or Exclude]], 0,4)</f>
        <v/>
      </c>
      <c r="AE126" s="171" t="str" cm="1">
        <f t="array" ref="AE126">Common_InputFunctions.Utility_DisplayArrayInTable(Fertiliser_SourceData.Fertiliser_Products_Data1(),FertiliserProducts[[#Headers],[Include or Exclude]], 0,4)</f>
        <v/>
      </c>
    </row>
    <row r="127" spans="4:31" ht="20.100000000000001" customHeight="1" x14ac:dyDescent="0.25">
      <c r="D127" s="171" t="str" cm="1">
        <f t="array" ref="D127">Common_InputFunctions.Utility_DisplayArrayInTable(Fertiliser_SourceData.Fertiliser_Products_Data1(),FertiliserProducts[[#Headers],[Include or Exclude]], -1)</f>
        <v/>
      </c>
      <c r="E127" s="171" t="str" cm="1">
        <f t="array" ref="E127">Common_InputFunctions.Utility_DisplayArrayInTable(Fertiliser_SourceData.Fertiliser_Products_Data1(),FertiliserProducts[[#Headers],[Include or Exclude]], 0)</f>
        <v/>
      </c>
      <c r="F127" s="171" t="str" cm="1">
        <f t="array" ref="F127">Common_InputFunctions.Utility_DisplayArrayInTable(Fertiliser_SourceData.Fertiliser_Products_Data1(),FertiliserProducts[[#Headers],[Include or Exclude]], 0)</f>
        <v/>
      </c>
      <c r="G127" s="171" t="str" cm="1">
        <f t="array" ref="G127">Common_InputFunctions.Utility_DisplayArrayInTable(Fertiliser_SourceData.Fertiliser_Products_Data1(),FertiliserProducts[[#Headers],[Include or Exclude]], 0)</f>
        <v/>
      </c>
      <c r="H127" s="171" t="str" cm="1">
        <f t="array" ref="H127">Common_InputFunctions.Utility_DisplayArrayInTable(Fertiliser_SourceData.Fertiliser_Products_Data1(),FertiliserProducts[[#Headers],[Include or Exclude]], 0,4)</f>
        <v/>
      </c>
      <c r="I127" s="171" t="str" cm="1">
        <f t="array" ref="I127">Common_InputFunctions.Utility_DisplayArrayInTable(Fertiliser_SourceData.Fertiliser_Products_Data1(),FertiliserProducts[[#Headers],[Include or Exclude]], 0,4)</f>
        <v/>
      </c>
      <c r="J127" s="171" t="str" cm="1">
        <f t="array" ref="J127">Common_InputFunctions.Utility_DisplayArrayInTable(Fertiliser_SourceData.Fertiliser_Products_Data1(),FertiliserProducts[[#Headers],[Include or Exclude]], 0,4)</f>
        <v/>
      </c>
      <c r="K127" s="171" t="str" cm="1">
        <f t="array" ref="K127">Common_InputFunctions.Utility_DisplayArrayInTable(Fertiliser_SourceData.Fertiliser_Products_Data1(),FertiliserProducts[[#Headers],[Include or Exclude]], 0,4)</f>
        <v/>
      </c>
      <c r="L127" s="171" t="str" cm="1">
        <f t="array" ref="L127">Common_InputFunctions.Utility_DisplayArrayInTable(Fertiliser_SourceData.Fertiliser_Products_Data1(),FertiliserProducts[[#Headers],[Include or Exclude]], 0,4)</f>
        <v/>
      </c>
      <c r="M127" s="171" t="str" cm="1">
        <f t="array" ref="M127">Common_InputFunctions.Utility_DisplayArrayInTable(Fertiliser_SourceData.Fertiliser_Products_Data1(),FertiliserProducts[[#Headers],[Include or Exclude]], 0,4)</f>
        <v/>
      </c>
      <c r="N127" s="171" t="str" cm="1">
        <f t="array" ref="N127">Common_InputFunctions.Utility_DisplayArrayInTable(Fertiliser_SourceData.Fertiliser_Products_Data1(),FertiliserProducts[[#Headers],[Include or Exclude]], 0,4)</f>
        <v/>
      </c>
      <c r="O127" s="171" t="str" cm="1">
        <f t="array" ref="O127">Common_InputFunctions.Utility_DisplayArrayInTable(Fertiliser_SourceData.Fertiliser_Products_Data1(),FertiliserProducts[[#Headers],[Include or Exclude]], 0,4)</f>
        <v/>
      </c>
      <c r="P127" s="171" t="str" cm="1">
        <f t="array" ref="P127">Common_InputFunctions.Utility_DisplayArrayInTable(Fertiliser_SourceData.Fertiliser_Products_Data1(),FertiliserProducts[[#Headers],[Include or Exclude]], 0,4)</f>
        <v/>
      </c>
      <c r="Q127" s="171" t="str" cm="1">
        <f t="array" ref="Q127">Common_InputFunctions.Utility_DisplayArrayInTable(Fertiliser_SourceData.Fertiliser_Products_Data1(),FertiliserProducts[[#Headers],[Include or Exclude]], 0,4)</f>
        <v/>
      </c>
      <c r="R127" s="171" t="str" cm="1">
        <f t="array" ref="R127">Common_InputFunctions.Utility_DisplayArrayInTable(Fertiliser_SourceData.Fertiliser_Products_Data1(),FertiliserProducts[[#Headers],[Include or Exclude]], 0,4)</f>
        <v/>
      </c>
      <c r="S127" s="171" t="str" cm="1">
        <f t="array" ref="S127">Common_InputFunctions.Utility_DisplayArrayInTable(Fertiliser_SourceData.Fertiliser_Products_Data1(),FertiliserProducts[[#Headers],[Include or Exclude]], 0,4)</f>
        <v/>
      </c>
      <c r="T127" s="171" t="str" cm="1">
        <f t="array" ref="T127">Common_InputFunctions.Utility_DisplayArrayInTable(Fertiliser_SourceData.Fertiliser_Products_Data1(),FertiliserProducts[[#Headers],[Include or Exclude]], 0,4)</f>
        <v/>
      </c>
      <c r="U127" s="171" t="str" cm="1">
        <f t="array" ref="U127">Common_InputFunctions.Utility_DisplayArrayInTable(Fertiliser_SourceData.Fertiliser_Products_Data1(),FertiliserProducts[[#Headers],[Include or Exclude]], 0,4)</f>
        <v/>
      </c>
      <c r="V127" s="171" t="str" cm="1">
        <f t="array" ref="V127">Common_InputFunctions.Utility_DisplayArrayInTable(Fertiliser_SourceData.Fertiliser_Products_Data1(),FertiliserProducts[[#Headers],[Include or Exclude]], 0,4)</f>
        <v/>
      </c>
      <c r="W127" s="171" t="str" cm="1">
        <f t="array" ref="W127">Common_InputFunctions.Utility_DisplayArrayInTable(Fertiliser_SourceData.Fertiliser_Products_Data1(),FertiliserProducts[[#Headers],[Include or Exclude]], 0,4)</f>
        <v/>
      </c>
      <c r="X127" s="171" t="str" cm="1">
        <f t="array" ref="X127">Common_InputFunctions.Utility_DisplayArrayInTable(Fertiliser_SourceData.Fertiliser_Products_Data1(),FertiliserProducts[[#Headers],[Include or Exclude]], 0,4)</f>
        <v/>
      </c>
      <c r="Y127" s="171" t="str" cm="1">
        <f t="array" ref="Y127">Common_InputFunctions.Utility_DisplayArrayInTable(Fertiliser_SourceData.Fertiliser_Products_Data1(),FertiliserProducts[[#Headers],[Include or Exclude]], 0,4)</f>
        <v/>
      </c>
      <c r="Z127" s="171" t="str" cm="1">
        <f t="array" ref="Z127">Common_InputFunctions.Utility_DisplayArrayInTable(Fertiliser_SourceData.Fertiliser_Products_Data1(),FertiliserProducts[[#Headers],[Include or Exclude]], 0,4)</f>
        <v/>
      </c>
      <c r="AA127" s="171" t="str" cm="1">
        <f t="array" ref="AA127">Common_InputFunctions.Utility_DisplayArrayInTable(Fertiliser_SourceData.Fertiliser_Products_Data1(),FertiliserProducts[[#Headers],[Include or Exclude]], 0,4)</f>
        <v/>
      </c>
      <c r="AB127" s="171" t="str" cm="1">
        <f t="array" ref="AB127">Common_InputFunctions.Utility_DisplayArrayInTable(Fertiliser_SourceData.Fertiliser_Products_Data1(),FertiliserProducts[[#Headers],[Include or Exclude]], 0,4)</f>
        <v/>
      </c>
      <c r="AC127" s="171" t="str" cm="1">
        <f t="array" ref="AC127">Common_InputFunctions.Utility_DisplayArrayInTable(Fertiliser_SourceData.Fertiliser_Products_Data1(),FertiliserProducts[[#Headers],[Include or Exclude]], 0,4)</f>
        <v/>
      </c>
      <c r="AD127" s="171" t="str" cm="1">
        <f t="array" ref="AD127">Common_InputFunctions.Utility_DisplayArrayInTable(Fertiliser_SourceData.Fertiliser_Products_Data1(),FertiliserProducts[[#Headers],[Include or Exclude]], 0,4)</f>
        <v/>
      </c>
      <c r="AE127" s="171" t="str" cm="1">
        <f t="array" ref="AE127">Common_InputFunctions.Utility_DisplayArrayInTable(Fertiliser_SourceData.Fertiliser_Products_Data1(),FertiliserProducts[[#Headers],[Include or Exclude]], 0,4)</f>
        <v/>
      </c>
    </row>
    <row r="128" spans="4:31" ht="20.100000000000001" customHeight="1" x14ac:dyDescent="0.25">
      <c r="D128" s="171" t="str" cm="1">
        <f t="array" ref="D128">Common_InputFunctions.Utility_DisplayArrayInTable(Fertiliser_SourceData.Fertiliser_Products_Data1(),FertiliserProducts[[#Headers],[Include or Exclude]], -1)</f>
        <v/>
      </c>
      <c r="E128" s="171" t="str" cm="1">
        <f t="array" ref="E128">Common_InputFunctions.Utility_DisplayArrayInTable(Fertiliser_SourceData.Fertiliser_Products_Data1(),FertiliserProducts[[#Headers],[Include or Exclude]], 0)</f>
        <v/>
      </c>
      <c r="F128" s="171" t="str" cm="1">
        <f t="array" ref="F128">Common_InputFunctions.Utility_DisplayArrayInTable(Fertiliser_SourceData.Fertiliser_Products_Data1(),FertiliserProducts[[#Headers],[Include or Exclude]], 0)</f>
        <v/>
      </c>
      <c r="G128" s="171" t="str" cm="1">
        <f t="array" ref="G128">Common_InputFunctions.Utility_DisplayArrayInTable(Fertiliser_SourceData.Fertiliser_Products_Data1(),FertiliserProducts[[#Headers],[Include or Exclude]], 0)</f>
        <v/>
      </c>
      <c r="H128" s="171" t="str" cm="1">
        <f t="array" ref="H128">Common_InputFunctions.Utility_DisplayArrayInTable(Fertiliser_SourceData.Fertiliser_Products_Data1(),FertiliserProducts[[#Headers],[Include or Exclude]], 0,4)</f>
        <v/>
      </c>
      <c r="I128" s="171" t="str" cm="1">
        <f t="array" ref="I128">Common_InputFunctions.Utility_DisplayArrayInTable(Fertiliser_SourceData.Fertiliser_Products_Data1(),FertiliserProducts[[#Headers],[Include or Exclude]], 0,4)</f>
        <v/>
      </c>
      <c r="J128" s="171" t="str" cm="1">
        <f t="array" ref="J128">Common_InputFunctions.Utility_DisplayArrayInTable(Fertiliser_SourceData.Fertiliser_Products_Data1(),FertiliserProducts[[#Headers],[Include or Exclude]], 0,4)</f>
        <v/>
      </c>
      <c r="K128" s="171" t="str" cm="1">
        <f t="array" ref="K128">Common_InputFunctions.Utility_DisplayArrayInTable(Fertiliser_SourceData.Fertiliser_Products_Data1(),FertiliserProducts[[#Headers],[Include or Exclude]], 0,4)</f>
        <v/>
      </c>
      <c r="L128" s="171" t="str" cm="1">
        <f t="array" ref="L128">Common_InputFunctions.Utility_DisplayArrayInTable(Fertiliser_SourceData.Fertiliser_Products_Data1(),FertiliserProducts[[#Headers],[Include or Exclude]], 0,4)</f>
        <v/>
      </c>
      <c r="M128" s="171" t="str" cm="1">
        <f t="array" ref="M128">Common_InputFunctions.Utility_DisplayArrayInTable(Fertiliser_SourceData.Fertiliser_Products_Data1(),FertiliserProducts[[#Headers],[Include or Exclude]], 0,4)</f>
        <v/>
      </c>
      <c r="N128" s="171" t="str" cm="1">
        <f t="array" ref="N128">Common_InputFunctions.Utility_DisplayArrayInTable(Fertiliser_SourceData.Fertiliser_Products_Data1(),FertiliserProducts[[#Headers],[Include or Exclude]], 0,4)</f>
        <v/>
      </c>
      <c r="O128" s="171" t="str" cm="1">
        <f t="array" ref="O128">Common_InputFunctions.Utility_DisplayArrayInTable(Fertiliser_SourceData.Fertiliser_Products_Data1(),FertiliserProducts[[#Headers],[Include or Exclude]], 0,4)</f>
        <v/>
      </c>
      <c r="P128" s="171" t="str" cm="1">
        <f t="array" ref="P128">Common_InputFunctions.Utility_DisplayArrayInTable(Fertiliser_SourceData.Fertiliser_Products_Data1(),FertiliserProducts[[#Headers],[Include or Exclude]], 0,4)</f>
        <v/>
      </c>
      <c r="Q128" s="171" t="str" cm="1">
        <f t="array" ref="Q128">Common_InputFunctions.Utility_DisplayArrayInTable(Fertiliser_SourceData.Fertiliser_Products_Data1(),FertiliserProducts[[#Headers],[Include or Exclude]], 0,4)</f>
        <v/>
      </c>
      <c r="R128" s="171" t="str" cm="1">
        <f t="array" ref="R128">Common_InputFunctions.Utility_DisplayArrayInTable(Fertiliser_SourceData.Fertiliser_Products_Data1(),FertiliserProducts[[#Headers],[Include or Exclude]], 0,4)</f>
        <v/>
      </c>
      <c r="S128" s="171" t="str" cm="1">
        <f t="array" ref="S128">Common_InputFunctions.Utility_DisplayArrayInTable(Fertiliser_SourceData.Fertiliser_Products_Data1(),FertiliserProducts[[#Headers],[Include or Exclude]], 0,4)</f>
        <v/>
      </c>
      <c r="T128" s="171" t="str" cm="1">
        <f t="array" ref="T128">Common_InputFunctions.Utility_DisplayArrayInTable(Fertiliser_SourceData.Fertiliser_Products_Data1(),FertiliserProducts[[#Headers],[Include or Exclude]], 0,4)</f>
        <v/>
      </c>
      <c r="U128" s="171" t="str" cm="1">
        <f t="array" ref="U128">Common_InputFunctions.Utility_DisplayArrayInTable(Fertiliser_SourceData.Fertiliser_Products_Data1(),FertiliserProducts[[#Headers],[Include or Exclude]], 0,4)</f>
        <v/>
      </c>
      <c r="V128" s="171" t="str" cm="1">
        <f t="array" ref="V128">Common_InputFunctions.Utility_DisplayArrayInTable(Fertiliser_SourceData.Fertiliser_Products_Data1(),FertiliserProducts[[#Headers],[Include or Exclude]], 0,4)</f>
        <v/>
      </c>
      <c r="W128" s="171" t="str" cm="1">
        <f t="array" ref="W128">Common_InputFunctions.Utility_DisplayArrayInTable(Fertiliser_SourceData.Fertiliser_Products_Data1(),FertiliserProducts[[#Headers],[Include or Exclude]], 0,4)</f>
        <v/>
      </c>
      <c r="X128" s="171" t="str" cm="1">
        <f t="array" ref="X128">Common_InputFunctions.Utility_DisplayArrayInTable(Fertiliser_SourceData.Fertiliser_Products_Data1(),FertiliserProducts[[#Headers],[Include or Exclude]], 0,4)</f>
        <v/>
      </c>
      <c r="Y128" s="171" t="str" cm="1">
        <f t="array" ref="Y128">Common_InputFunctions.Utility_DisplayArrayInTable(Fertiliser_SourceData.Fertiliser_Products_Data1(),FertiliserProducts[[#Headers],[Include or Exclude]], 0,4)</f>
        <v/>
      </c>
      <c r="Z128" s="171" t="str" cm="1">
        <f t="array" ref="Z128">Common_InputFunctions.Utility_DisplayArrayInTable(Fertiliser_SourceData.Fertiliser_Products_Data1(),FertiliserProducts[[#Headers],[Include or Exclude]], 0,4)</f>
        <v/>
      </c>
      <c r="AA128" s="171" t="str" cm="1">
        <f t="array" ref="AA128">Common_InputFunctions.Utility_DisplayArrayInTable(Fertiliser_SourceData.Fertiliser_Products_Data1(),FertiliserProducts[[#Headers],[Include or Exclude]], 0,4)</f>
        <v/>
      </c>
      <c r="AB128" s="171" t="str" cm="1">
        <f t="array" ref="AB128">Common_InputFunctions.Utility_DisplayArrayInTable(Fertiliser_SourceData.Fertiliser_Products_Data1(),FertiliserProducts[[#Headers],[Include or Exclude]], 0,4)</f>
        <v/>
      </c>
      <c r="AC128" s="171" t="str" cm="1">
        <f t="array" ref="AC128">Common_InputFunctions.Utility_DisplayArrayInTable(Fertiliser_SourceData.Fertiliser_Products_Data1(),FertiliserProducts[[#Headers],[Include or Exclude]], 0,4)</f>
        <v/>
      </c>
      <c r="AD128" s="171" t="str" cm="1">
        <f t="array" ref="AD128">Common_InputFunctions.Utility_DisplayArrayInTable(Fertiliser_SourceData.Fertiliser_Products_Data1(),FertiliserProducts[[#Headers],[Include or Exclude]], 0,4)</f>
        <v/>
      </c>
      <c r="AE128" s="171" t="str" cm="1">
        <f t="array" ref="AE128">Common_InputFunctions.Utility_DisplayArrayInTable(Fertiliser_SourceData.Fertiliser_Products_Data1(),FertiliserProducts[[#Headers],[Include or Exclude]], 0,4)</f>
        <v/>
      </c>
    </row>
    <row r="129" spans="4:31" ht="20.100000000000001" customHeight="1" x14ac:dyDescent="0.25">
      <c r="D129" s="171" t="str" cm="1">
        <f t="array" ref="D129">Common_InputFunctions.Utility_DisplayArrayInTable(Fertiliser_SourceData.Fertiliser_Products_Data1(),FertiliserProducts[[#Headers],[Include or Exclude]], -1)</f>
        <v/>
      </c>
      <c r="E129" s="171" t="str" cm="1">
        <f t="array" ref="E129">Common_InputFunctions.Utility_DisplayArrayInTable(Fertiliser_SourceData.Fertiliser_Products_Data1(),FertiliserProducts[[#Headers],[Include or Exclude]], 0)</f>
        <v/>
      </c>
      <c r="F129" s="171" t="str" cm="1">
        <f t="array" ref="F129">Common_InputFunctions.Utility_DisplayArrayInTable(Fertiliser_SourceData.Fertiliser_Products_Data1(),FertiliserProducts[[#Headers],[Include or Exclude]], 0)</f>
        <v/>
      </c>
      <c r="G129" s="171" t="str" cm="1">
        <f t="array" ref="G129">Common_InputFunctions.Utility_DisplayArrayInTable(Fertiliser_SourceData.Fertiliser_Products_Data1(),FertiliserProducts[[#Headers],[Include or Exclude]], 0)</f>
        <v/>
      </c>
      <c r="H129" s="171" t="str" cm="1">
        <f t="array" ref="H129">Common_InputFunctions.Utility_DisplayArrayInTable(Fertiliser_SourceData.Fertiliser_Products_Data1(),FertiliserProducts[[#Headers],[Include or Exclude]], 0,4)</f>
        <v/>
      </c>
      <c r="I129" s="171" t="str" cm="1">
        <f t="array" ref="I129">Common_InputFunctions.Utility_DisplayArrayInTable(Fertiliser_SourceData.Fertiliser_Products_Data1(),FertiliserProducts[[#Headers],[Include or Exclude]], 0,4)</f>
        <v/>
      </c>
      <c r="J129" s="171" t="str" cm="1">
        <f t="array" ref="J129">Common_InputFunctions.Utility_DisplayArrayInTable(Fertiliser_SourceData.Fertiliser_Products_Data1(),FertiliserProducts[[#Headers],[Include or Exclude]], 0,4)</f>
        <v/>
      </c>
      <c r="K129" s="171" t="str" cm="1">
        <f t="array" ref="K129">Common_InputFunctions.Utility_DisplayArrayInTable(Fertiliser_SourceData.Fertiliser_Products_Data1(),FertiliserProducts[[#Headers],[Include or Exclude]], 0,4)</f>
        <v/>
      </c>
      <c r="L129" s="171" t="str" cm="1">
        <f t="array" ref="L129">Common_InputFunctions.Utility_DisplayArrayInTable(Fertiliser_SourceData.Fertiliser_Products_Data1(),FertiliserProducts[[#Headers],[Include or Exclude]], 0,4)</f>
        <v/>
      </c>
      <c r="M129" s="171" t="str" cm="1">
        <f t="array" ref="M129">Common_InputFunctions.Utility_DisplayArrayInTable(Fertiliser_SourceData.Fertiliser_Products_Data1(),FertiliserProducts[[#Headers],[Include or Exclude]], 0,4)</f>
        <v/>
      </c>
      <c r="N129" s="171" t="str" cm="1">
        <f t="array" ref="N129">Common_InputFunctions.Utility_DisplayArrayInTable(Fertiliser_SourceData.Fertiliser_Products_Data1(),FertiliserProducts[[#Headers],[Include or Exclude]], 0,4)</f>
        <v/>
      </c>
      <c r="O129" s="171" t="str" cm="1">
        <f t="array" ref="O129">Common_InputFunctions.Utility_DisplayArrayInTable(Fertiliser_SourceData.Fertiliser_Products_Data1(),FertiliserProducts[[#Headers],[Include or Exclude]], 0,4)</f>
        <v/>
      </c>
      <c r="P129" s="171" t="str" cm="1">
        <f t="array" ref="P129">Common_InputFunctions.Utility_DisplayArrayInTable(Fertiliser_SourceData.Fertiliser_Products_Data1(),FertiliserProducts[[#Headers],[Include or Exclude]], 0,4)</f>
        <v/>
      </c>
      <c r="Q129" s="171" t="str" cm="1">
        <f t="array" ref="Q129">Common_InputFunctions.Utility_DisplayArrayInTable(Fertiliser_SourceData.Fertiliser_Products_Data1(),FertiliserProducts[[#Headers],[Include or Exclude]], 0,4)</f>
        <v/>
      </c>
      <c r="R129" s="171" t="str" cm="1">
        <f t="array" ref="R129">Common_InputFunctions.Utility_DisplayArrayInTable(Fertiliser_SourceData.Fertiliser_Products_Data1(),FertiliserProducts[[#Headers],[Include or Exclude]], 0,4)</f>
        <v/>
      </c>
      <c r="S129" s="171" t="str" cm="1">
        <f t="array" ref="S129">Common_InputFunctions.Utility_DisplayArrayInTable(Fertiliser_SourceData.Fertiliser_Products_Data1(),FertiliserProducts[[#Headers],[Include or Exclude]], 0,4)</f>
        <v/>
      </c>
      <c r="T129" s="171" t="str" cm="1">
        <f t="array" ref="T129">Common_InputFunctions.Utility_DisplayArrayInTable(Fertiliser_SourceData.Fertiliser_Products_Data1(),FertiliserProducts[[#Headers],[Include or Exclude]], 0,4)</f>
        <v/>
      </c>
      <c r="U129" s="171" t="str" cm="1">
        <f t="array" ref="U129">Common_InputFunctions.Utility_DisplayArrayInTable(Fertiliser_SourceData.Fertiliser_Products_Data1(),FertiliserProducts[[#Headers],[Include or Exclude]], 0,4)</f>
        <v/>
      </c>
      <c r="V129" s="171" t="str" cm="1">
        <f t="array" ref="V129">Common_InputFunctions.Utility_DisplayArrayInTable(Fertiliser_SourceData.Fertiliser_Products_Data1(),FertiliserProducts[[#Headers],[Include or Exclude]], 0,4)</f>
        <v/>
      </c>
      <c r="W129" s="171" t="str" cm="1">
        <f t="array" ref="W129">Common_InputFunctions.Utility_DisplayArrayInTable(Fertiliser_SourceData.Fertiliser_Products_Data1(),FertiliserProducts[[#Headers],[Include or Exclude]], 0,4)</f>
        <v/>
      </c>
      <c r="X129" s="171" t="str" cm="1">
        <f t="array" ref="X129">Common_InputFunctions.Utility_DisplayArrayInTable(Fertiliser_SourceData.Fertiliser_Products_Data1(),FertiliserProducts[[#Headers],[Include or Exclude]], 0,4)</f>
        <v/>
      </c>
      <c r="Y129" s="171" t="str" cm="1">
        <f t="array" ref="Y129">Common_InputFunctions.Utility_DisplayArrayInTable(Fertiliser_SourceData.Fertiliser_Products_Data1(),FertiliserProducts[[#Headers],[Include or Exclude]], 0,4)</f>
        <v/>
      </c>
      <c r="Z129" s="171" t="str" cm="1">
        <f t="array" ref="Z129">Common_InputFunctions.Utility_DisplayArrayInTable(Fertiliser_SourceData.Fertiliser_Products_Data1(),FertiliserProducts[[#Headers],[Include or Exclude]], 0,4)</f>
        <v/>
      </c>
      <c r="AA129" s="171" t="str" cm="1">
        <f t="array" ref="AA129">Common_InputFunctions.Utility_DisplayArrayInTable(Fertiliser_SourceData.Fertiliser_Products_Data1(),FertiliserProducts[[#Headers],[Include or Exclude]], 0,4)</f>
        <v/>
      </c>
      <c r="AB129" s="171" t="str" cm="1">
        <f t="array" ref="AB129">Common_InputFunctions.Utility_DisplayArrayInTable(Fertiliser_SourceData.Fertiliser_Products_Data1(),FertiliserProducts[[#Headers],[Include or Exclude]], 0,4)</f>
        <v/>
      </c>
      <c r="AC129" s="171" t="str" cm="1">
        <f t="array" ref="AC129">Common_InputFunctions.Utility_DisplayArrayInTable(Fertiliser_SourceData.Fertiliser_Products_Data1(),FertiliserProducts[[#Headers],[Include or Exclude]], 0,4)</f>
        <v/>
      </c>
      <c r="AD129" s="171" t="str" cm="1">
        <f t="array" ref="AD129">Common_InputFunctions.Utility_DisplayArrayInTable(Fertiliser_SourceData.Fertiliser_Products_Data1(),FertiliserProducts[[#Headers],[Include or Exclude]], 0,4)</f>
        <v/>
      </c>
      <c r="AE129" s="171" t="str" cm="1">
        <f t="array" ref="AE129">Common_InputFunctions.Utility_DisplayArrayInTable(Fertiliser_SourceData.Fertiliser_Products_Data1(),FertiliserProducts[[#Headers],[Include or Exclude]], 0,4)</f>
        <v/>
      </c>
    </row>
    <row r="130" spans="4:31" ht="20.100000000000001" customHeight="1" x14ac:dyDescent="0.25">
      <c r="D130" s="171" t="str" cm="1">
        <f t="array" ref="D130">Common_InputFunctions.Utility_DisplayArrayInTable(Fertiliser_SourceData.Fertiliser_Products_Data1(),FertiliserProducts[[#Headers],[Include or Exclude]], -1)</f>
        <v/>
      </c>
      <c r="E130" s="171" t="str" cm="1">
        <f t="array" ref="E130">Common_InputFunctions.Utility_DisplayArrayInTable(Fertiliser_SourceData.Fertiliser_Products_Data1(),FertiliserProducts[[#Headers],[Include or Exclude]], 0)</f>
        <v/>
      </c>
      <c r="F130" s="171" t="str" cm="1">
        <f t="array" ref="F130">Common_InputFunctions.Utility_DisplayArrayInTable(Fertiliser_SourceData.Fertiliser_Products_Data1(),FertiliserProducts[[#Headers],[Include or Exclude]], 0)</f>
        <v/>
      </c>
      <c r="G130" s="171" t="str" cm="1">
        <f t="array" ref="G130">Common_InputFunctions.Utility_DisplayArrayInTable(Fertiliser_SourceData.Fertiliser_Products_Data1(),FertiliserProducts[[#Headers],[Include or Exclude]], 0)</f>
        <v/>
      </c>
      <c r="H130" s="171" t="str" cm="1">
        <f t="array" ref="H130">Common_InputFunctions.Utility_DisplayArrayInTable(Fertiliser_SourceData.Fertiliser_Products_Data1(),FertiliserProducts[[#Headers],[Include or Exclude]], 0,4)</f>
        <v/>
      </c>
      <c r="I130" s="171" t="str" cm="1">
        <f t="array" ref="I130">Common_InputFunctions.Utility_DisplayArrayInTable(Fertiliser_SourceData.Fertiliser_Products_Data1(),FertiliserProducts[[#Headers],[Include or Exclude]], 0,4)</f>
        <v/>
      </c>
      <c r="J130" s="171" t="str" cm="1">
        <f t="array" ref="J130">Common_InputFunctions.Utility_DisplayArrayInTable(Fertiliser_SourceData.Fertiliser_Products_Data1(),FertiliserProducts[[#Headers],[Include or Exclude]], 0,4)</f>
        <v/>
      </c>
      <c r="K130" s="171" t="str" cm="1">
        <f t="array" ref="K130">Common_InputFunctions.Utility_DisplayArrayInTable(Fertiliser_SourceData.Fertiliser_Products_Data1(),FertiliserProducts[[#Headers],[Include or Exclude]], 0,4)</f>
        <v/>
      </c>
      <c r="L130" s="171" t="str" cm="1">
        <f t="array" ref="L130">Common_InputFunctions.Utility_DisplayArrayInTable(Fertiliser_SourceData.Fertiliser_Products_Data1(),FertiliserProducts[[#Headers],[Include or Exclude]], 0,4)</f>
        <v/>
      </c>
      <c r="M130" s="171" t="str" cm="1">
        <f t="array" ref="M130">Common_InputFunctions.Utility_DisplayArrayInTable(Fertiliser_SourceData.Fertiliser_Products_Data1(),FertiliserProducts[[#Headers],[Include or Exclude]], 0,4)</f>
        <v/>
      </c>
      <c r="N130" s="171" t="str" cm="1">
        <f t="array" ref="N130">Common_InputFunctions.Utility_DisplayArrayInTable(Fertiliser_SourceData.Fertiliser_Products_Data1(),FertiliserProducts[[#Headers],[Include or Exclude]], 0,4)</f>
        <v/>
      </c>
      <c r="O130" s="171" t="str" cm="1">
        <f t="array" ref="O130">Common_InputFunctions.Utility_DisplayArrayInTable(Fertiliser_SourceData.Fertiliser_Products_Data1(),FertiliserProducts[[#Headers],[Include or Exclude]], 0,4)</f>
        <v/>
      </c>
      <c r="P130" s="171" t="str" cm="1">
        <f t="array" ref="P130">Common_InputFunctions.Utility_DisplayArrayInTable(Fertiliser_SourceData.Fertiliser_Products_Data1(),FertiliserProducts[[#Headers],[Include or Exclude]], 0,4)</f>
        <v/>
      </c>
      <c r="Q130" s="171" t="str" cm="1">
        <f t="array" ref="Q130">Common_InputFunctions.Utility_DisplayArrayInTable(Fertiliser_SourceData.Fertiliser_Products_Data1(),FertiliserProducts[[#Headers],[Include or Exclude]], 0,4)</f>
        <v/>
      </c>
      <c r="R130" s="171" t="str" cm="1">
        <f t="array" ref="R130">Common_InputFunctions.Utility_DisplayArrayInTable(Fertiliser_SourceData.Fertiliser_Products_Data1(),FertiliserProducts[[#Headers],[Include or Exclude]], 0,4)</f>
        <v/>
      </c>
      <c r="S130" s="171" t="str" cm="1">
        <f t="array" ref="S130">Common_InputFunctions.Utility_DisplayArrayInTable(Fertiliser_SourceData.Fertiliser_Products_Data1(),FertiliserProducts[[#Headers],[Include or Exclude]], 0,4)</f>
        <v/>
      </c>
      <c r="T130" s="171" t="str" cm="1">
        <f t="array" ref="T130">Common_InputFunctions.Utility_DisplayArrayInTable(Fertiliser_SourceData.Fertiliser_Products_Data1(),FertiliserProducts[[#Headers],[Include or Exclude]], 0,4)</f>
        <v/>
      </c>
      <c r="U130" s="171" t="str" cm="1">
        <f t="array" ref="U130">Common_InputFunctions.Utility_DisplayArrayInTable(Fertiliser_SourceData.Fertiliser_Products_Data1(),FertiliserProducts[[#Headers],[Include or Exclude]], 0,4)</f>
        <v/>
      </c>
      <c r="V130" s="171" t="str" cm="1">
        <f t="array" ref="V130">Common_InputFunctions.Utility_DisplayArrayInTable(Fertiliser_SourceData.Fertiliser_Products_Data1(),FertiliserProducts[[#Headers],[Include or Exclude]], 0,4)</f>
        <v/>
      </c>
      <c r="W130" s="171" t="str" cm="1">
        <f t="array" ref="W130">Common_InputFunctions.Utility_DisplayArrayInTable(Fertiliser_SourceData.Fertiliser_Products_Data1(),FertiliserProducts[[#Headers],[Include or Exclude]], 0,4)</f>
        <v/>
      </c>
      <c r="X130" s="171" t="str" cm="1">
        <f t="array" ref="X130">Common_InputFunctions.Utility_DisplayArrayInTable(Fertiliser_SourceData.Fertiliser_Products_Data1(),FertiliserProducts[[#Headers],[Include or Exclude]], 0,4)</f>
        <v/>
      </c>
      <c r="Y130" s="171" t="str" cm="1">
        <f t="array" ref="Y130">Common_InputFunctions.Utility_DisplayArrayInTable(Fertiliser_SourceData.Fertiliser_Products_Data1(),FertiliserProducts[[#Headers],[Include or Exclude]], 0,4)</f>
        <v/>
      </c>
      <c r="Z130" s="171" t="str" cm="1">
        <f t="array" ref="Z130">Common_InputFunctions.Utility_DisplayArrayInTable(Fertiliser_SourceData.Fertiliser_Products_Data1(),FertiliserProducts[[#Headers],[Include or Exclude]], 0,4)</f>
        <v/>
      </c>
      <c r="AA130" s="171" t="str" cm="1">
        <f t="array" ref="AA130">Common_InputFunctions.Utility_DisplayArrayInTable(Fertiliser_SourceData.Fertiliser_Products_Data1(),FertiliserProducts[[#Headers],[Include or Exclude]], 0,4)</f>
        <v/>
      </c>
      <c r="AB130" s="171" t="str" cm="1">
        <f t="array" ref="AB130">Common_InputFunctions.Utility_DisplayArrayInTable(Fertiliser_SourceData.Fertiliser_Products_Data1(),FertiliserProducts[[#Headers],[Include or Exclude]], 0,4)</f>
        <v/>
      </c>
      <c r="AC130" s="171" t="str" cm="1">
        <f t="array" ref="AC130">Common_InputFunctions.Utility_DisplayArrayInTable(Fertiliser_SourceData.Fertiliser_Products_Data1(),FertiliserProducts[[#Headers],[Include or Exclude]], 0,4)</f>
        <v/>
      </c>
      <c r="AD130" s="171" t="str" cm="1">
        <f t="array" ref="AD130">Common_InputFunctions.Utility_DisplayArrayInTable(Fertiliser_SourceData.Fertiliser_Products_Data1(),FertiliserProducts[[#Headers],[Include or Exclude]], 0,4)</f>
        <v/>
      </c>
      <c r="AE130" s="171" t="str" cm="1">
        <f t="array" ref="AE130">Common_InputFunctions.Utility_DisplayArrayInTable(Fertiliser_SourceData.Fertiliser_Products_Data1(),FertiliserProducts[[#Headers],[Include or Exclude]], 0,4)</f>
        <v/>
      </c>
    </row>
    <row r="131" spans="4:31" ht="20.100000000000001" customHeight="1" x14ac:dyDescent="0.25">
      <c r="D131" s="171" t="str" cm="1">
        <f t="array" ref="D131">Common_InputFunctions.Utility_DisplayArrayInTable(Fertiliser_SourceData.Fertiliser_Products_Data1(),FertiliserProducts[[#Headers],[Include or Exclude]], -1)</f>
        <v/>
      </c>
      <c r="E131" s="171" t="str" cm="1">
        <f t="array" ref="E131">Common_InputFunctions.Utility_DisplayArrayInTable(Fertiliser_SourceData.Fertiliser_Products_Data1(),FertiliserProducts[[#Headers],[Include or Exclude]], 0)</f>
        <v/>
      </c>
      <c r="F131" s="171" t="str" cm="1">
        <f t="array" ref="F131">Common_InputFunctions.Utility_DisplayArrayInTable(Fertiliser_SourceData.Fertiliser_Products_Data1(),FertiliserProducts[[#Headers],[Include or Exclude]], 0)</f>
        <v/>
      </c>
      <c r="G131" s="171" t="str" cm="1">
        <f t="array" ref="G131">Common_InputFunctions.Utility_DisplayArrayInTable(Fertiliser_SourceData.Fertiliser_Products_Data1(),FertiliserProducts[[#Headers],[Include or Exclude]], 0)</f>
        <v/>
      </c>
      <c r="H131" s="171" t="str" cm="1">
        <f t="array" ref="H131">Common_InputFunctions.Utility_DisplayArrayInTable(Fertiliser_SourceData.Fertiliser_Products_Data1(),FertiliserProducts[[#Headers],[Include or Exclude]], 0,4)</f>
        <v/>
      </c>
      <c r="I131" s="171" t="str" cm="1">
        <f t="array" ref="I131">Common_InputFunctions.Utility_DisplayArrayInTable(Fertiliser_SourceData.Fertiliser_Products_Data1(),FertiliserProducts[[#Headers],[Include or Exclude]], 0,4)</f>
        <v/>
      </c>
      <c r="J131" s="171" t="str" cm="1">
        <f t="array" ref="J131">Common_InputFunctions.Utility_DisplayArrayInTable(Fertiliser_SourceData.Fertiliser_Products_Data1(),FertiliserProducts[[#Headers],[Include or Exclude]], 0,4)</f>
        <v/>
      </c>
      <c r="K131" s="171" t="str" cm="1">
        <f t="array" ref="K131">Common_InputFunctions.Utility_DisplayArrayInTable(Fertiliser_SourceData.Fertiliser_Products_Data1(),FertiliserProducts[[#Headers],[Include or Exclude]], 0,4)</f>
        <v/>
      </c>
      <c r="L131" s="171" t="str" cm="1">
        <f t="array" ref="L131">Common_InputFunctions.Utility_DisplayArrayInTable(Fertiliser_SourceData.Fertiliser_Products_Data1(),FertiliserProducts[[#Headers],[Include or Exclude]], 0,4)</f>
        <v/>
      </c>
      <c r="M131" s="171" t="str" cm="1">
        <f t="array" ref="M131">Common_InputFunctions.Utility_DisplayArrayInTable(Fertiliser_SourceData.Fertiliser_Products_Data1(),FertiliserProducts[[#Headers],[Include or Exclude]], 0,4)</f>
        <v/>
      </c>
      <c r="N131" s="171" t="str" cm="1">
        <f t="array" ref="N131">Common_InputFunctions.Utility_DisplayArrayInTable(Fertiliser_SourceData.Fertiliser_Products_Data1(),FertiliserProducts[[#Headers],[Include or Exclude]], 0,4)</f>
        <v/>
      </c>
      <c r="O131" s="171" t="str" cm="1">
        <f t="array" ref="O131">Common_InputFunctions.Utility_DisplayArrayInTable(Fertiliser_SourceData.Fertiliser_Products_Data1(),FertiliserProducts[[#Headers],[Include or Exclude]], 0,4)</f>
        <v/>
      </c>
      <c r="P131" s="171" t="str" cm="1">
        <f t="array" ref="P131">Common_InputFunctions.Utility_DisplayArrayInTable(Fertiliser_SourceData.Fertiliser_Products_Data1(),FertiliserProducts[[#Headers],[Include or Exclude]], 0,4)</f>
        <v/>
      </c>
      <c r="Q131" s="171" t="str" cm="1">
        <f t="array" ref="Q131">Common_InputFunctions.Utility_DisplayArrayInTable(Fertiliser_SourceData.Fertiliser_Products_Data1(),FertiliserProducts[[#Headers],[Include or Exclude]], 0,4)</f>
        <v/>
      </c>
      <c r="R131" s="171" t="str" cm="1">
        <f t="array" ref="R131">Common_InputFunctions.Utility_DisplayArrayInTable(Fertiliser_SourceData.Fertiliser_Products_Data1(),FertiliserProducts[[#Headers],[Include or Exclude]], 0,4)</f>
        <v/>
      </c>
      <c r="S131" s="171" t="str" cm="1">
        <f t="array" ref="S131">Common_InputFunctions.Utility_DisplayArrayInTable(Fertiliser_SourceData.Fertiliser_Products_Data1(),FertiliserProducts[[#Headers],[Include or Exclude]], 0,4)</f>
        <v/>
      </c>
      <c r="T131" s="171" t="str" cm="1">
        <f t="array" ref="T131">Common_InputFunctions.Utility_DisplayArrayInTable(Fertiliser_SourceData.Fertiliser_Products_Data1(),FertiliserProducts[[#Headers],[Include or Exclude]], 0,4)</f>
        <v/>
      </c>
      <c r="U131" s="171" t="str" cm="1">
        <f t="array" ref="U131">Common_InputFunctions.Utility_DisplayArrayInTable(Fertiliser_SourceData.Fertiliser_Products_Data1(),FertiliserProducts[[#Headers],[Include or Exclude]], 0,4)</f>
        <v/>
      </c>
      <c r="V131" s="171" t="str" cm="1">
        <f t="array" ref="V131">Common_InputFunctions.Utility_DisplayArrayInTable(Fertiliser_SourceData.Fertiliser_Products_Data1(),FertiliserProducts[[#Headers],[Include or Exclude]], 0,4)</f>
        <v/>
      </c>
      <c r="W131" s="171" t="str" cm="1">
        <f t="array" ref="W131">Common_InputFunctions.Utility_DisplayArrayInTable(Fertiliser_SourceData.Fertiliser_Products_Data1(),FertiliserProducts[[#Headers],[Include or Exclude]], 0,4)</f>
        <v/>
      </c>
      <c r="X131" s="171" t="str" cm="1">
        <f t="array" ref="X131">Common_InputFunctions.Utility_DisplayArrayInTable(Fertiliser_SourceData.Fertiliser_Products_Data1(),FertiliserProducts[[#Headers],[Include or Exclude]], 0,4)</f>
        <v/>
      </c>
      <c r="Y131" s="171" t="str" cm="1">
        <f t="array" ref="Y131">Common_InputFunctions.Utility_DisplayArrayInTable(Fertiliser_SourceData.Fertiliser_Products_Data1(),FertiliserProducts[[#Headers],[Include or Exclude]], 0,4)</f>
        <v/>
      </c>
      <c r="Z131" s="171" t="str" cm="1">
        <f t="array" ref="Z131">Common_InputFunctions.Utility_DisplayArrayInTable(Fertiliser_SourceData.Fertiliser_Products_Data1(),FertiliserProducts[[#Headers],[Include or Exclude]], 0,4)</f>
        <v/>
      </c>
      <c r="AA131" s="171" t="str" cm="1">
        <f t="array" ref="AA131">Common_InputFunctions.Utility_DisplayArrayInTable(Fertiliser_SourceData.Fertiliser_Products_Data1(),FertiliserProducts[[#Headers],[Include or Exclude]], 0,4)</f>
        <v/>
      </c>
      <c r="AB131" s="171" t="str" cm="1">
        <f t="array" ref="AB131">Common_InputFunctions.Utility_DisplayArrayInTable(Fertiliser_SourceData.Fertiliser_Products_Data1(),FertiliserProducts[[#Headers],[Include or Exclude]], 0,4)</f>
        <v/>
      </c>
      <c r="AC131" s="171" t="str" cm="1">
        <f t="array" ref="AC131">Common_InputFunctions.Utility_DisplayArrayInTable(Fertiliser_SourceData.Fertiliser_Products_Data1(),FertiliserProducts[[#Headers],[Include or Exclude]], 0,4)</f>
        <v/>
      </c>
      <c r="AD131" s="171" t="str" cm="1">
        <f t="array" ref="AD131">Common_InputFunctions.Utility_DisplayArrayInTable(Fertiliser_SourceData.Fertiliser_Products_Data1(),FertiliserProducts[[#Headers],[Include or Exclude]], 0,4)</f>
        <v/>
      </c>
      <c r="AE131" s="171" t="str" cm="1">
        <f t="array" ref="AE131">Common_InputFunctions.Utility_DisplayArrayInTable(Fertiliser_SourceData.Fertiliser_Products_Data1(),FertiliserProducts[[#Headers],[Include or Exclude]], 0,4)</f>
        <v/>
      </c>
    </row>
    <row r="132" spans="4:31" ht="20.100000000000001" customHeight="1" x14ac:dyDescent="0.25">
      <c r="D132" s="171" t="str" cm="1">
        <f t="array" ref="D132">Common_InputFunctions.Utility_DisplayArrayInTable(Fertiliser_SourceData.Fertiliser_Products_Data1(),FertiliserProducts[[#Headers],[Include or Exclude]], -1)</f>
        <v/>
      </c>
      <c r="E132" s="171" t="str" cm="1">
        <f t="array" ref="E132">Common_InputFunctions.Utility_DisplayArrayInTable(Fertiliser_SourceData.Fertiliser_Products_Data1(),FertiliserProducts[[#Headers],[Include or Exclude]], 0)</f>
        <v/>
      </c>
      <c r="F132" s="171" t="str" cm="1">
        <f t="array" ref="F132">Common_InputFunctions.Utility_DisplayArrayInTable(Fertiliser_SourceData.Fertiliser_Products_Data1(),FertiliserProducts[[#Headers],[Include or Exclude]], 0)</f>
        <v/>
      </c>
      <c r="G132" s="171" t="str" cm="1">
        <f t="array" ref="G132">Common_InputFunctions.Utility_DisplayArrayInTable(Fertiliser_SourceData.Fertiliser_Products_Data1(),FertiliserProducts[[#Headers],[Include or Exclude]], 0)</f>
        <v/>
      </c>
      <c r="H132" s="171" t="str" cm="1">
        <f t="array" ref="H132">Common_InputFunctions.Utility_DisplayArrayInTable(Fertiliser_SourceData.Fertiliser_Products_Data1(),FertiliserProducts[[#Headers],[Include or Exclude]], 0,4)</f>
        <v/>
      </c>
      <c r="I132" s="171" t="str" cm="1">
        <f t="array" ref="I132">Common_InputFunctions.Utility_DisplayArrayInTable(Fertiliser_SourceData.Fertiliser_Products_Data1(),FertiliserProducts[[#Headers],[Include or Exclude]], 0,4)</f>
        <v/>
      </c>
      <c r="J132" s="171" t="str" cm="1">
        <f t="array" ref="J132">Common_InputFunctions.Utility_DisplayArrayInTable(Fertiliser_SourceData.Fertiliser_Products_Data1(),FertiliserProducts[[#Headers],[Include or Exclude]], 0,4)</f>
        <v/>
      </c>
      <c r="K132" s="171" t="str" cm="1">
        <f t="array" ref="K132">Common_InputFunctions.Utility_DisplayArrayInTable(Fertiliser_SourceData.Fertiliser_Products_Data1(),FertiliserProducts[[#Headers],[Include or Exclude]], 0,4)</f>
        <v/>
      </c>
      <c r="L132" s="171" t="str" cm="1">
        <f t="array" ref="L132">Common_InputFunctions.Utility_DisplayArrayInTable(Fertiliser_SourceData.Fertiliser_Products_Data1(),FertiliserProducts[[#Headers],[Include or Exclude]], 0,4)</f>
        <v/>
      </c>
      <c r="M132" s="171" t="str" cm="1">
        <f t="array" ref="M132">Common_InputFunctions.Utility_DisplayArrayInTable(Fertiliser_SourceData.Fertiliser_Products_Data1(),FertiliserProducts[[#Headers],[Include or Exclude]], 0,4)</f>
        <v/>
      </c>
      <c r="N132" s="171" t="str" cm="1">
        <f t="array" ref="N132">Common_InputFunctions.Utility_DisplayArrayInTable(Fertiliser_SourceData.Fertiliser_Products_Data1(),FertiliserProducts[[#Headers],[Include or Exclude]], 0,4)</f>
        <v/>
      </c>
      <c r="O132" s="171" t="str" cm="1">
        <f t="array" ref="O132">Common_InputFunctions.Utility_DisplayArrayInTable(Fertiliser_SourceData.Fertiliser_Products_Data1(),FertiliserProducts[[#Headers],[Include or Exclude]], 0,4)</f>
        <v/>
      </c>
      <c r="P132" s="171" t="str" cm="1">
        <f t="array" ref="P132">Common_InputFunctions.Utility_DisplayArrayInTable(Fertiliser_SourceData.Fertiliser_Products_Data1(),FertiliserProducts[[#Headers],[Include or Exclude]], 0,4)</f>
        <v/>
      </c>
      <c r="Q132" s="171" t="str" cm="1">
        <f t="array" ref="Q132">Common_InputFunctions.Utility_DisplayArrayInTable(Fertiliser_SourceData.Fertiliser_Products_Data1(),FertiliserProducts[[#Headers],[Include or Exclude]], 0,4)</f>
        <v/>
      </c>
      <c r="R132" s="171" t="str" cm="1">
        <f t="array" ref="R132">Common_InputFunctions.Utility_DisplayArrayInTable(Fertiliser_SourceData.Fertiliser_Products_Data1(),FertiliserProducts[[#Headers],[Include or Exclude]], 0,4)</f>
        <v/>
      </c>
      <c r="S132" s="171" t="str" cm="1">
        <f t="array" ref="S132">Common_InputFunctions.Utility_DisplayArrayInTable(Fertiliser_SourceData.Fertiliser_Products_Data1(),FertiliserProducts[[#Headers],[Include or Exclude]], 0,4)</f>
        <v/>
      </c>
      <c r="T132" s="171" t="str" cm="1">
        <f t="array" ref="T132">Common_InputFunctions.Utility_DisplayArrayInTable(Fertiliser_SourceData.Fertiliser_Products_Data1(),FertiliserProducts[[#Headers],[Include or Exclude]], 0,4)</f>
        <v/>
      </c>
      <c r="U132" s="171" t="str" cm="1">
        <f t="array" ref="U132">Common_InputFunctions.Utility_DisplayArrayInTable(Fertiliser_SourceData.Fertiliser_Products_Data1(),FertiliserProducts[[#Headers],[Include or Exclude]], 0,4)</f>
        <v/>
      </c>
      <c r="V132" s="171" t="str" cm="1">
        <f t="array" ref="V132">Common_InputFunctions.Utility_DisplayArrayInTable(Fertiliser_SourceData.Fertiliser_Products_Data1(),FertiliserProducts[[#Headers],[Include or Exclude]], 0,4)</f>
        <v/>
      </c>
      <c r="W132" s="171" t="str" cm="1">
        <f t="array" ref="W132">Common_InputFunctions.Utility_DisplayArrayInTable(Fertiliser_SourceData.Fertiliser_Products_Data1(),FertiliserProducts[[#Headers],[Include or Exclude]], 0,4)</f>
        <v/>
      </c>
      <c r="X132" s="171" t="str" cm="1">
        <f t="array" ref="X132">Common_InputFunctions.Utility_DisplayArrayInTable(Fertiliser_SourceData.Fertiliser_Products_Data1(),FertiliserProducts[[#Headers],[Include or Exclude]], 0,4)</f>
        <v/>
      </c>
      <c r="Y132" s="171" t="str" cm="1">
        <f t="array" ref="Y132">Common_InputFunctions.Utility_DisplayArrayInTable(Fertiliser_SourceData.Fertiliser_Products_Data1(),FertiliserProducts[[#Headers],[Include or Exclude]], 0,4)</f>
        <v/>
      </c>
      <c r="Z132" s="171" t="str" cm="1">
        <f t="array" ref="Z132">Common_InputFunctions.Utility_DisplayArrayInTable(Fertiliser_SourceData.Fertiliser_Products_Data1(),FertiliserProducts[[#Headers],[Include or Exclude]], 0,4)</f>
        <v/>
      </c>
      <c r="AA132" s="171" t="str" cm="1">
        <f t="array" ref="AA132">Common_InputFunctions.Utility_DisplayArrayInTable(Fertiliser_SourceData.Fertiliser_Products_Data1(),FertiliserProducts[[#Headers],[Include or Exclude]], 0,4)</f>
        <v/>
      </c>
      <c r="AB132" s="171" t="str" cm="1">
        <f t="array" ref="AB132">Common_InputFunctions.Utility_DisplayArrayInTable(Fertiliser_SourceData.Fertiliser_Products_Data1(),FertiliserProducts[[#Headers],[Include or Exclude]], 0,4)</f>
        <v/>
      </c>
      <c r="AC132" s="171" t="str" cm="1">
        <f t="array" ref="AC132">Common_InputFunctions.Utility_DisplayArrayInTable(Fertiliser_SourceData.Fertiliser_Products_Data1(),FertiliserProducts[[#Headers],[Include or Exclude]], 0,4)</f>
        <v/>
      </c>
      <c r="AD132" s="171" t="str" cm="1">
        <f t="array" ref="AD132">Common_InputFunctions.Utility_DisplayArrayInTable(Fertiliser_SourceData.Fertiliser_Products_Data1(),FertiliserProducts[[#Headers],[Include or Exclude]], 0,4)</f>
        <v/>
      </c>
      <c r="AE132" s="171" t="str" cm="1">
        <f t="array" ref="AE132">Common_InputFunctions.Utility_DisplayArrayInTable(Fertiliser_SourceData.Fertiliser_Products_Data1(),FertiliserProducts[[#Headers],[Include or Exclude]], 0,4)</f>
        <v/>
      </c>
    </row>
    <row r="133" spans="4:31" ht="20.100000000000001" customHeight="1" x14ac:dyDescent="0.25">
      <c r="D133" s="171" t="str" cm="1">
        <f t="array" ref="D133">Common_InputFunctions.Utility_DisplayArrayInTable(Fertiliser_SourceData.Fertiliser_Products_Data1(),FertiliserProducts[[#Headers],[Include or Exclude]], -1)</f>
        <v/>
      </c>
      <c r="E133" s="171" t="str" cm="1">
        <f t="array" ref="E133">Common_InputFunctions.Utility_DisplayArrayInTable(Fertiliser_SourceData.Fertiliser_Products_Data1(),FertiliserProducts[[#Headers],[Include or Exclude]], 0)</f>
        <v/>
      </c>
      <c r="F133" s="171" t="str" cm="1">
        <f t="array" ref="F133">Common_InputFunctions.Utility_DisplayArrayInTable(Fertiliser_SourceData.Fertiliser_Products_Data1(),FertiliserProducts[[#Headers],[Include or Exclude]], 0)</f>
        <v/>
      </c>
      <c r="G133" s="171" t="str" cm="1">
        <f t="array" ref="G133">Common_InputFunctions.Utility_DisplayArrayInTable(Fertiliser_SourceData.Fertiliser_Products_Data1(),FertiliserProducts[[#Headers],[Include or Exclude]], 0)</f>
        <v/>
      </c>
      <c r="H133" s="171" t="str" cm="1">
        <f t="array" ref="H133">Common_InputFunctions.Utility_DisplayArrayInTable(Fertiliser_SourceData.Fertiliser_Products_Data1(),FertiliserProducts[[#Headers],[Include or Exclude]], 0,4)</f>
        <v/>
      </c>
      <c r="I133" s="171" t="str" cm="1">
        <f t="array" ref="I133">Common_InputFunctions.Utility_DisplayArrayInTable(Fertiliser_SourceData.Fertiliser_Products_Data1(),FertiliserProducts[[#Headers],[Include or Exclude]], 0,4)</f>
        <v/>
      </c>
      <c r="J133" s="171" t="str" cm="1">
        <f t="array" ref="J133">Common_InputFunctions.Utility_DisplayArrayInTable(Fertiliser_SourceData.Fertiliser_Products_Data1(),FertiliserProducts[[#Headers],[Include or Exclude]], 0,4)</f>
        <v/>
      </c>
      <c r="K133" s="171" t="str" cm="1">
        <f t="array" ref="K133">Common_InputFunctions.Utility_DisplayArrayInTable(Fertiliser_SourceData.Fertiliser_Products_Data1(),FertiliserProducts[[#Headers],[Include or Exclude]], 0,4)</f>
        <v/>
      </c>
      <c r="L133" s="171" t="str" cm="1">
        <f t="array" ref="L133">Common_InputFunctions.Utility_DisplayArrayInTable(Fertiliser_SourceData.Fertiliser_Products_Data1(),FertiliserProducts[[#Headers],[Include or Exclude]], 0,4)</f>
        <v/>
      </c>
      <c r="M133" s="171" t="str" cm="1">
        <f t="array" ref="M133">Common_InputFunctions.Utility_DisplayArrayInTable(Fertiliser_SourceData.Fertiliser_Products_Data1(),FertiliserProducts[[#Headers],[Include or Exclude]], 0,4)</f>
        <v/>
      </c>
      <c r="N133" s="171" t="str" cm="1">
        <f t="array" ref="N133">Common_InputFunctions.Utility_DisplayArrayInTable(Fertiliser_SourceData.Fertiliser_Products_Data1(),FertiliserProducts[[#Headers],[Include or Exclude]], 0,4)</f>
        <v/>
      </c>
      <c r="O133" s="171" t="str" cm="1">
        <f t="array" ref="O133">Common_InputFunctions.Utility_DisplayArrayInTable(Fertiliser_SourceData.Fertiliser_Products_Data1(),FertiliserProducts[[#Headers],[Include or Exclude]], 0,4)</f>
        <v/>
      </c>
      <c r="P133" s="171" t="str" cm="1">
        <f t="array" ref="P133">Common_InputFunctions.Utility_DisplayArrayInTable(Fertiliser_SourceData.Fertiliser_Products_Data1(),FertiliserProducts[[#Headers],[Include or Exclude]], 0,4)</f>
        <v/>
      </c>
      <c r="Q133" s="171" t="str" cm="1">
        <f t="array" ref="Q133">Common_InputFunctions.Utility_DisplayArrayInTable(Fertiliser_SourceData.Fertiliser_Products_Data1(),FertiliserProducts[[#Headers],[Include or Exclude]], 0,4)</f>
        <v/>
      </c>
      <c r="R133" s="171" t="str" cm="1">
        <f t="array" ref="R133">Common_InputFunctions.Utility_DisplayArrayInTable(Fertiliser_SourceData.Fertiliser_Products_Data1(),FertiliserProducts[[#Headers],[Include or Exclude]], 0,4)</f>
        <v/>
      </c>
      <c r="S133" s="171" t="str" cm="1">
        <f t="array" ref="S133">Common_InputFunctions.Utility_DisplayArrayInTable(Fertiliser_SourceData.Fertiliser_Products_Data1(),FertiliserProducts[[#Headers],[Include or Exclude]], 0,4)</f>
        <v/>
      </c>
      <c r="T133" s="171" t="str" cm="1">
        <f t="array" ref="T133">Common_InputFunctions.Utility_DisplayArrayInTable(Fertiliser_SourceData.Fertiliser_Products_Data1(),FertiliserProducts[[#Headers],[Include or Exclude]], 0,4)</f>
        <v/>
      </c>
      <c r="U133" s="171" t="str" cm="1">
        <f t="array" ref="U133">Common_InputFunctions.Utility_DisplayArrayInTable(Fertiliser_SourceData.Fertiliser_Products_Data1(),FertiliserProducts[[#Headers],[Include or Exclude]], 0,4)</f>
        <v/>
      </c>
      <c r="V133" s="171" t="str" cm="1">
        <f t="array" ref="V133">Common_InputFunctions.Utility_DisplayArrayInTable(Fertiliser_SourceData.Fertiliser_Products_Data1(),FertiliserProducts[[#Headers],[Include or Exclude]], 0,4)</f>
        <v/>
      </c>
      <c r="W133" s="171" t="str" cm="1">
        <f t="array" ref="W133">Common_InputFunctions.Utility_DisplayArrayInTable(Fertiliser_SourceData.Fertiliser_Products_Data1(),FertiliserProducts[[#Headers],[Include or Exclude]], 0,4)</f>
        <v/>
      </c>
      <c r="X133" s="171" t="str" cm="1">
        <f t="array" ref="X133">Common_InputFunctions.Utility_DisplayArrayInTable(Fertiliser_SourceData.Fertiliser_Products_Data1(),FertiliserProducts[[#Headers],[Include or Exclude]], 0,4)</f>
        <v/>
      </c>
      <c r="Y133" s="171" t="str" cm="1">
        <f t="array" ref="Y133">Common_InputFunctions.Utility_DisplayArrayInTable(Fertiliser_SourceData.Fertiliser_Products_Data1(),FertiliserProducts[[#Headers],[Include or Exclude]], 0,4)</f>
        <v/>
      </c>
      <c r="Z133" s="171" t="str" cm="1">
        <f t="array" ref="Z133">Common_InputFunctions.Utility_DisplayArrayInTable(Fertiliser_SourceData.Fertiliser_Products_Data1(),FertiliserProducts[[#Headers],[Include or Exclude]], 0,4)</f>
        <v/>
      </c>
      <c r="AA133" s="171" t="str" cm="1">
        <f t="array" ref="AA133">Common_InputFunctions.Utility_DisplayArrayInTable(Fertiliser_SourceData.Fertiliser_Products_Data1(),FertiliserProducts[[#Headers],[Include or Exclude]], 0,4)</f>
        <v/>
      </c>
      <c r="AB133" s="171" t="str" cm="1">
        <f t="array" ref="AB133">Common_InputFunctions.Utility_DisplayArrayInTable(Fertiliser_SourceData.Fertiliser_Products_Data1(),FertiliserProducts[[#Headers],[Include or Exclude]], 0,4)</f>
        <v/>
      </c>
      <c r="AC133" s="171" t="str" cm="1">
        <f t="array" ref="AC133">Common_InputFunctions.Utility_DisplayArrayInTable(Fertiliser_SourceData.Fertiliser_Products_Data1(),FertiliserProducts[[#Headers],[Include or Exclude]], 0,4)</f>
        <v/>
      </c>
      <c r="AD133" s="171" t="str" cm="1">
        <f t="array" ref="AD133">Common_InputFunctions.Utility_DisplayArrayInTable(Fertiliser_SourceData.Fertiliser_Products_Data1(),FertiliserProducts[[#Headers],[Include or Exclude]], 0,4)</f>
        <v/>
      </c>
      <c r="AE133" s="171" t="str" cm="1">
        <f t="array" ref="AE133">Common_InputFunctions.Utility_DisplayArrayInTable(Fertiliser_SourceData.Fertiliser_Products_Data1(),FertiliserProducts[[#Headers],[Include or Exclude]], 0,4)</f>
        <v/>
      </c>
    </row>
    <row r="134" spans="4:31" ht="20.100000000000001" customHeight="1" x14ac:dyDescent="0.25">
      <c r="D134" s="171" t="str" cm="1">
        <f t="array" ref="D134">Common_InputFunctions.Utility_DisplayArrayInTable(Fertiliser_SourceData.Fertiliser_Products_Data1(),FertiliserProducts[[#Headers],[Include or Exclude]], -1)</f>
        <v/>
      </c>
      <c r="E134" s="171" t="str" cm="1">
        <f t="array" ref="E134">Common_InputFunctions.Utility_DisplayArrayInTable(Fertiliser_SourceData.Fertiliser_Products_Data1(),FertiliserProducts[[#Headers],[Include or Exclude]], 0)</f>
        <v/>
      </c>
      <c r="F134" s="171" t="str" cm="1">
        <f t="array" ref="F134">Common_InputFunctions.Utility_DisplayArrayInTable(Fertiliser_SourceData.Fertiliser_Products_Data1(),FertiliserProducts[[#Headers],[Include or Exclude]], 0)</f>
        <v/>
      </c>
      <c r="G134" s="171" t="str" cm="1">
        <f t="array" ref="G134">Common_InputFunctions.Utility_DisplayArrayInTable(Fertiliser_SourceData.Fertiliser_Products_Data1(),FertiliserProducts[[#Headers],[Include or Exclude]], 0)</f>
        <v/>
      </c>
      <c r="H134" s="171" t="str" cm="1">
        <f t="array" ref="H134">Common_InputFunctions.Utility_DisplayArrayInTable(Fertiliser_SourceData.Fertiliser_Products_Data1(),FertiliserProducts[[#Headers],[Include or Exclude]], 0,4)</f>
        <v/>
      </c>
      <c r="I134" s="171" t="str" cm="1">
        <f t="array" ref="I134">Common_InputFunctions.Utility_DisplayArrayInTable(Fertiliser_SourceData.Fertiliser_Products_Data1(),FertiliserProducts[[#Headers],[Include or Exclude]], 0,4)</f>
        <v/>
      </c>
      <c r="J134" s="171" t="str" cm="1">
        <f t="array" ref="J134">Common_InputFunctions.Utility_DisplayArrayInTable(Fertiliser_SourceData.Fertiliser_Products_Data1(),FertiliserProducts[[#Headers],[Include or Exclude]], 0,4)</f>
        <v/>
      </c>
      <c r="K134" s="171" t="str" cm="1">
        <f t="array" ref="K134">Common_InputFunctions.Utility_DisplayArrayInTable(Fertiliser_SourceData.Fertiliser_Products_Data1(),FertiliserProducts[[#Headers],[Include or Exclude]], 0,4)</f>
        <v/>
      </c>
      <c r="L134" s="171" t="str" cm="1">
        <f t="array" ref="L134">Common_InputFunctions.Utility_DisplayArrayInTable(Fertiliser_SourceData.Fertiliser_Products_Data1(),FertiliserProducts[[#Headers],[Include or Exclude]], 0,4)</f>
        <v/>
      </c>
      <c r="M134" s="171" t="str" cm="1">
        <f t="array" ref="M134">Common_InputFunctions.Utility_DisplayArrayInTable(Fertiliser_SourceData.Fertiliser_Products_Data1(),FertiliserProducts[[#Headers],[Include or Exclude]], 0,4)</f>
        <v/>
      </c>
      <c r="N134" s="171" t="str" cm="1">
        <f t="array" ref="N134">Common_InputFunctions.Utility_DisplayArrayInTable(Fertiliser_SourceData.Fertiliser_Products_Data1(),FertiliserProducts[[#Headers],[Include or Exclude]], 0,4)</f>
        <v/>
      </c>
      <c r="O134" s="171" t="str" cm="1">
        <f t="array" ref="O134">Common_InputFunctions.Utility_DisplayArrayInTable(Fertiliser_SourceData.Fertiliser_Products_Data1(),FertiliserProducts[[#Headers],[Include or Exclude]], 0,4)</f>
        <v/>
      </c>
      <c r="P134" s="171" t="str" cm="1">
        <f t="array" ref="P134">Common_InputFunctions.Utility_DisplayArrayInTable(Fertiliser_SourceData.Fertiliser_Products_Data1(),FertiliserProducts[[#Headers],[Include or Exclude]], 0,4)</f>
        <v/>
      </c>
      <c r="Q134" s="171" t="str" cm="1">
        <f t="array" ref="Q134">Common_InputFunctions.Utility_DisplayArrayInTable(Fertiliser_SourceData.Fertiliser_Products_Data1(),FertiliserProducts[[#Headers],[Include or Exclude]], 0,4)</f>
        <v/>
      </c>
      <c r="R134" s="171" t="str" cm="1">
        <f t="array" ref="R134">Common_InputFunctions.Utility_DisplayArrayInTable(Fertiliser_SourceData.Fertiliser_Products_Data1(),FertiliserProducts[[#Headers],[Include or Exclude]], 0,4)</f>
        <v/>
      </c>
      <c r="S134" s="171" t="str" cm="1">
        <f t="array" ref="S134">Common_InputFunctions.Utility_DisplayArrayInTable(Fertiliser_SourceData.Fertiliser_Products_Data1(),FertiliserProducts[[#Headers],[Include or Exclude]], 0,4)</f>
        <v/>
      </c>
      <c r="T134" s="171" t="str" cm="1">
        <f t="array" ref="T134">Common_InputFunctions.Utility_DisplayArrayInTable(Fertiliser_SourceData.Fertiliser_Products_Data1(),FertiliserProducts[[#Headers],[Include or Exclude]], 0,4)</f>
        <v/>
      </c>
      <c r="U134" s="171" t="str" cm="1">
        <f t="array" ref="U134">Common_InputFunctions.Utility_DisplayArrayInTable(Fertiliser_SourceData.Fertiliser_Products_Data1(),FertiliserProducts[[#Headers],[Include or Exclude]], 0,4)</f>
        <v/>
      </c>
      <c r="V134" s="171" t="str" cm="1">
        <f t="array" ref="V134">Common_InputFunctions.Utility_DisplayArrayInTable(Fertiliser_SourceData.Fertiliser_Products_Data1(),FertiliserProducts[[#Headers],[Include or Exclude]], 0,4)</f>
        <v/>
      </c>
      <c r="W134" s="171" t="str" cm="1">
        <f t="array" ref="W134">Common_InputFunctions.Utility_DisplayArrayInTable(Fertiliser_SourceData.Fertiliser_Products_Data1(),FertiliserProducts[[#Headers],[Include or Exclude]], 0,4)</f>
        <v/>
      </c>
      <c r="X134" s="171" t="str" cm="1">
        <f t="array" ref="X134">Common_InputFunctions.Utility_DisplayArrayInTable(Fertiliser_SourceData.Fertiliser_Products_Data1(),FertiliserProducts[[#Headers],[Include or Exclude]], 0,4)</f>
        <v/>
      </c>
      <c r="Y134" s="171" t="str" cm="1">
        <f t="array" ref="Y134">Common_InputFunctions.Utility_DisplayArrayInTable(Fertiliser_SourceData.Fertiliser_Products_Data1(),FertiliserProducts[[#Headers],[Include or Exclude]], 0,4)</f>
        <v/>
      </c>
      <c r="Z134" s="171" t="str" cm="1">
        <f t="array" ref="Z134">Common_InputFunctions.Utility_DisplayArrayInTable(Fertiliser_SourceData.Fertiliser_Products_Data1(),FertiliserProducts[[#Headers],[Include or Exclude]], 0,4)</f>
        <v/>
      </c>
      <c r="AA134" s="171" t="str" cm="1">
        <f t="array" ref="AA134">Common_InputFunctions.Utility_DisplayArrayInTable(Fertiliser_SourceData.Fertiliser_Products_Data1(),FertiliserProducts[[#Headers],[Include or Exclude]], 0,4)</f>
        <v/>
      </c>
      <c r="AB134" s="171" t="str" cm="1">
        <f t="array" ref="AB134">Common_InputFunctions.Utility_DisplayArrayInTable(Fertiliser_SourceData.Fertiliser_Products_Data1(),FertiliserProducts[[#Headers],[Include or Exclude]], 0,4)</f>
        <v/>
      </c>
      <c r="AC134" s="171" t="str" cm="1">
        <f t="array" ref="AC134">Common_InputFunctions.Utility_DisplayArrayInTable(Fertiliser_SourceData.Fertiliser_Products_Data1(),FertiliserProducts[[#Headers],[Include or Exclude]], 0,4)</f>
        <v/>
      </c>
      <c r="AD134" s="171" t="str" cm="1">
        <f t="array" ref="AD134">Common_InputFunctions.Utility_DisplayArrayInTable(Fertiliser_SourceData.Fertiliser_Products_Data1(),FertiliserProducts[[#Headers],[Include or Exclude]], 0,4)</f>
        <v/>
      </c>
      <c r="AE134" s="171" t="str" cm="1">
        <f t="array" ref="AE134">Common_InputFunctions.Utility_DisplayArrayInTable(Fertiliser_SourceData.Fertiliser_Products_Data1(),FertiliserProducts[[#Headers],[Include or Exclude]], 0,4)</f>
        <v/>
      </c>
    </row>
    <row r="135" spans="4:31" ht="20.100000000000001" customHeight="1" x14ac:dyDescent="0.25">
      <c r="D135" s="171" t="str" cm="1">
        <f t="array" ref="D135">Common_InputFunctions.Utility_DisplayArrayInTable(Fertiliser_SourceData.Fertiliser_Products_Data1(),FertiliserProducts[[#Headers],[Include or Exclude]], -1)</f>
        <v/>
      </c>
      <c r="E135" s="171" t="str" cm="1">
        <f t="array" ref="E135">Common_InputFunctions.Utility_DisplayArrayInTable(Fertiliser_SourceData.Fertiliser_Products_Data1(),FertiliserProducts[[#Headers],[Include or Exclude]], 0)</f>
        <v/>
      </c>
      <c r="F135" s="171" t="str" cm="1">
        <f t="array" ref="F135">Common_InputFunctions.Utility_DisplayArrayInTable(Fertiliser_SourceData.Fertiliser_Products_Data1(),FertiliserProducts[[#Headers],[Include or Exclude]], 0)</f>
        <v/>
      </c>
      <c r="G135" s="171" t="str" cm="1">
        <f t="array" ref="G135">Common_InputFunctions.Utility_DisplayArrayInTable(Fertiliser_SourceData.Fertiliser_Products_Data1(),FertiliserProducts[[#Headers],[Include or Exclude]], 0)</f>
        <v/>
      </c>
      <c r="H135" s="171" t="str" cm="1">
        <f t="array" ref="H135">Common_InputFunctions.Utility_DisplayArrayInTable(Fertiliser_SourceData.Fertiliser_Products_Data1(),FertiliserProducts[[#Headers],[Include or Exclude]], 0,4)</f>
        <v/>
      </c>
      <c r="I135" s="171" t="str" cm="1">
        <f t="array" ref="I135">Common_InputFunctions.Utility_DisplayArrayInTable(Fertiliser_SourceData.Fertiliser_Products_Data1(),FertiliserProducts[[#Headers],[Include or Exclude]], 0,4)</f>
        <v/>
      </c>
      <c r="J135" s="171" t="str" cm="1">
        <f t="array" ref="J135">Common_InputFunctions.Utility_DisplayArrayInTable(Fertiliser_SourceData.Fertiliser_Products_Data1(),FertiliserProducts[[#Headers],[Include or Exclude]], 0,4)</f>
        <v/>
      </c>
      <c r="K135" s="171" t="str" cm="1">
        <f t="array" ref="K135">Common_InputFunctions.Utility_DisplayArrayInTable(Fertiliser_SourceData.Fertiliser_Products_Data1(),FertiliserProducts[[#Headers],[Include or Exclude]], 0,4)</f>
        <v/>
      </c>
      <c r="L135" s="171" t="str" cm="1">
        <f t="array" ref="L135">Common_InputFunctions.Utility_DisplayArrayInTable(Fertiliser_SourceData.Fertiliser_Products_Data1(),FertiliserProducts[[#Headers],[Include or Exclude]], 0,4)</f>
        <v/>
      </c>
      <c r="M135" s="171" t="str" cm="1">
        <f t="array" ref="M135">Common_InputFunctions.Utility_DisplayArrayInTable(Fertiliser_SourceData.Fertiliser_Products_Data1(),FertiliserProducts[[#Headers],[Include or Exclude]], 0,4)</f>
        <v/>
      </c>
      <c r="N135" s="171" t="str" cm="1">
        <f t="array" ref="N135">Common_InputFunctions.Utility_DisplayArrayInTable(Fertiliser_SourceData.Fertiliser_Products_Data1(),FertiliserProducts[[#Headers],[Include or Exclude]], 0,4)</f>
        <v/>
      </c>
      <c r="O135" s="171" t="str" cm="1">
        <f t="array" ref="O135">Common_InputFunctions.Utility_DisplayArrayInTable(Fertiliser_SourceData.Fertiliser_Products_Data1(),FertiliserProducts[[#Headers],[Include or Exclude]], 0,4)</f>
        <v/>
      </c>
      <c r="P135" s="171" t="str" cm="1">
        <f t="array" ref="P135">Common_InputFunctions.Utility_DisplayArrayInTable(Fertiliser_SourceData.Fertiliser_Products_Data1(),FertiliserProducts[[#Headers],[Include or Exclude]], 0,4)</f>
        <v/>
      </c>
      <c r="Q135" s="171" t="str" cm="1">
        <f t="array" ref="Q135">Common_InputFunctions.Utility_DisplayArrayInTable(Fertiliser_SourceData.Fertiliser_Products_Data1(),FertiliserProducts[[#Headers],[Include or Exclude]], 0,4)</f>
        <v/>
      </c>
      <c r="R135" s="171" t="str" cm="1">
        <f t="array" ref="R135">Common_InputFunctions.Utility_DisplayArrayInTable(Fertiliser_SourceData.Fertiliser_Products_Data1(),FertiliserProducts[[#Headers],[Include or Exclude]], 0,4)</f>
        <v/>
      </c>
      <c r="S135" s="171" t="str" cm="1">
        <f t="array" ref="S135">Common_InputFunctions.Utility_DisplayArrayInTable(Fertiliser_SourceData.Fertiliser_Products_Data1(),FertiliserProducts[[#Headers],[Include or Exclude]], 0,4)</f>
        <v/>
      </c>
      <c r="T135" s="171" t="str" cm="1">
        <f t="array" ref="T135">Common_InputFunctions.Utility_DisplayArrayInTable(Fertiliser_SourceData.Fertiliser_Products_Data1(),FertiliserProducts[[#Headers],[Include or Exclude]], 0,4)</f>
        <v/>
      </c>
      <c r="U135" s="171" t="str" cm="1">
        <f t="array" ref="U135">Common_InputFunctions.Utility_DisplayArrayInTable(Fertiliser_SourceData.Fertiliser_Products_Data1(),FertiliserProducts[[#Headers],[Include or Exclude]], 0,4)</f>
        <v/>
      </c>
      <c r="V135" s="171" t="str" cm="1">
        <f t="array" ref="V135">Common_InputFunctions.Utility_DisplayArrayInTable(Fertiliser_SourceData.Fertiliser_Products_Data1(),FertiliserProducts[[#Headers],[Include or Exclude]], 0,4)</f>
        <v/>
      </c>
      <c r="W135" s="171" t="str" cm="1">
        <f t="array" ref="W135">Common_InputFunctions.Utility_DisplayArrayInTable(Fertiliser_SourceData.Fertiliser_Products_Data1(),FertiliserProducts[[#Headers],[Include or Exclude]], 0,4)</f>
        <v/>
      </c>
      <c r="X135" s="171" t="str" cm="1">
        <f t="array" ref="X135">Common_InputFunctions.Utility_DisplayArrayInTable(Fertiliser_SourceData.Fertiliser_Products_Data1(),FertiliserProducts[[#Headers],[Include or Exclude]], 0,4)</f>
        <v/>
      </c>
      <c r="Y135" s="171" t="str" cm="1">
        <f t="array" ref="Y135">Common_InputFunctions.Utility_DisplayArrayInTable(Fertiliser_SourceData.Fertiliser_Products_Data1(),FertiliserProducts[[#Headers],[Include or Exclude]], 0,4)</f>
        <v/>
      </c>
      <c r="Z135" s="171" t="str" cm="1">
        <f t="array" ref="Z135">Common_InputFunctions.Utility_DisplayArrayInTable(Fertiliser_SourceData.Fertiliser_Products_Data1(),FertiliserProducts[[#Headers],[Include or Exclude]], 0,4)</f>
        <v/>
      </c>
      <c r="AA135" s="171" t="str" cm="1">
        <f t="array" ref="AA135">Common_InputFunctions.Utility_DisplayArrayInTable(Fertiliser_SourceData.Fertiliser_Products_Data1(),FertiliserProducts[[#Headers],[Include or Exclude]], 0,4)</f>
        <v/>
      </c>
      <c r="AB135" s="171" t="str" cm="1">
        <f t="array" ref="AB135">Common_InputFunctions.Utility_DisplayArrayInTable(Fertiliser_SourceData.Fertiliser_Products_Data1(),FertiliserProducts[[#Headers],[Include or Exclude]], 0,4)</f>
        <v/>
      </c>
      <c r="AC135" s="171" t="str" cm="1">
        <f t="array" ref="AC135">Common_InputFunctions.Utility_DisplayArrayInTable(Fertiliser_SourceData.Fertiliser_Products_Data1(),FertiliserProducts[[#Headers],[Include or Exclude]], 0,4)</f>
        <v/>
      </c>
      <c r="AD135" s="171" t="str" cm="1">
        <f t="array" ref="AD135">Common_InputFunctions.Utility_DisplayArrayInTable(Fertiliser_SourceData.Fertiliser_Products_Data1(),FertiliserProducts[[#Headers],[Include or Exclude]], 0,4)</f>
        <v/>
      </c>
      <c r="AE135" s="171" t="str" cm="1">
        <f t="array" ref="AE135">Common_InputFunctions.Utility_DisplayArrayInTable(Fertiliser_SourceData.Fertiliser_Products_Data1(),FertiliserProducts[[#Headers],[Include or Exclude]], 0,4)</f>
        <v/>
      </c>
    </row>
    <row r="136" spans="4:31" ht="20.100000000000001" customHeight="1" x14ac:dyDescent="0.25">
      <c r="D136" s="171" t="str" cm="1">
        <f t="array" ref="D136">Common_InputFunctions.Utility_DisplayArrayInTable(Fertiliser_SourceData.Fertiliser_Products_Data1(),FertiliserProducts[[#Headers],[Include or Exclude]], -1)</f>
        <v/>
      </c>
      <c r="E136" s="171" t="str" cm="1">
        <f t="array" ref="E136">Common_InputFunctions.Utility_DisplayArrayInTable(Fertiliser_SourceData.Fertiliser_Products_Data1(),FertiliserProducts[[#Headers],[Include or Exclude]], 0)</f>
        <v/>
      </c>
      <c r="F136" s="171" t="str" cm="1">
        <f t="array" ref="F136">Common_InputFunctions.Utility_DisplayArrayInTable(Fertiliser_SourceData.Fertiliser_Products_Data1(),FertiliserProducts[[#Headers],[Include or Exclude]], 0)</f>
        <v/>
      </c>
      <c r="G136" s="171" t="str" cm="1">
        <f t="array" ref="G136">Common_InputFunctions.Utility_DisplayArrayInTable(Fertiliser_SourceData.Fertiliser_Products_Data1(),FertiliserProducts[[#Headers],[Include or Exclude]], 0)</f>
        <v/>
      </c>
      <c r="H136" s="171" t="str" cm="1">
        <f t="array" ref="H136">Common_InputFunctions.Utility_DisplayArrayInTable(Fertiliser_SourceData.Fertiliser_Products_Data1(),FertiliserProducts[[#Headers],[Include or Exclude]], 0,4)</f>
        <v/>
      </c>
      <c r="I136" s="171" t="str" cm="1">
        <f t="array" ref="I136">Common_InputFunctions.Utility_DisplayArrayInTable(Fertiliser_SourceData.Fertiliser_Products_Data1(),FertiliserProducts[[#Headers],[Include or Exclude]], 0,4)</f>
        <v/>
      </c>
      <c r="J136" s="171" t="str" cm="1">
        <f t="array" ref="J136">Common_InputFunctions.Utility_DisplayArrayInTable(Fertiliser_SourceData.Fertiliser_Products_Data1(),FertiliserProducts[[#Headers],[Include or Exclude]], 0,4)</f>
        <v/>
      </c>
      <c r="K136" s="171" t="str" cm="1">
        <f t="array" ref="K136">Common_InputFunctions.Utility_DisplayArrayInTable(Fertiliser_SourceData.Fertiliser_Products_Data1(),FertiliserProducts[[#Headers],[Include or Exclude]], 0,4)</f>
        <v/>
      </c>
      <c r="L136" s="171" t="str" cm="1">
        <f t="array" ref="L136">Common_InputFunctions.Utility_DisplayArrayInTable(Fertiliser_SourceData.Fertiliser_Products_Data1(),FertiliserProducts[[#Headers],[Include or Exclude]], 0,4)</f>
        <v/>
      </c>
      <c r="M136" s="171" t="str" cm="1">
        <f t="array" ref="M136">Common_InputFunctions.Utility_DisplayArrayInTable(Fertiliser_SourceData.Fertiliser_Products_Data1(),FertiliserProducts[[#Headers],[Include or Exclude]], 0,4)</f>
        <v/>
      </c>
      <c r="N136" s="171" t="str" cm="1">
        <f t="array" ref="N136">Common_InputFunctions.Utility_DisplayArrayInTable(Fertiliser_SourceData.Fertiliser_Products_Data1(),FertiliserProducts[[#Headers],[Include or Exclude]], 0,4)</f>
        <v/>
      </c>
      <c r="O136" s="171" t="str" cm="1">
        <f t="array" ref="O136">Common_InputFunctions.Utility_DisplayArrayInTable(Fertiliser_SourceData.Fertiliser_Products_Data1(),FertiliserProducts[[#Headers],[Include or Exclude]], 0,4)</f>
        <v/>
      </c>
      <c r="P136" s="171" t="str" cm="1">
        <f t="array" ref="P136">Common_InputFunctions.Utility_DisplayArrayInTable(Fertiliser_SourceData.Fertiliser_Products_Data1(),FertiliserProducts[[#Headers],[Include or Exclude]], 0,4)</f>
        <v/>
      </c>
      <c r="Q136" s="171" t="str" cm="1">
        <f t="array" ref="Q136">Common_InputFunctions.Utility_DisplayArrayInTable(Fertiliser_SourceData.Fertiliser_Products_Data1(),FertiliserProducts[[#Headers],[Include or Exclude]], 0,4)</f>
        <v/>
      </c>
      <c r="R136" s="171" t="str" cm="1">
        <f t="array" ref="R136">Common_InputFunctions.Utility_DisplayArrayInTable(Fertiliser_SourceData.Fertiliser_Products_Data1(),FertiliserProducts[[#Headers],[Include or Exclude]], 0,4)</f>
        <v/>
      </c>
      <c r="S136" s="171" t="str" cm="1">
        <f t="array" ref="S136">Common_InputFunctions.Utility_DisplayArrayInTable(Fertiliser_SourceData.Fertiliser_Products_Data1(),FertiliserProducts[[#Headers],[Include or Exclude]], 0,4)</f>
        <v/>
      </c>
      <c r="T136" s="171" t="str" cm="1">
        <f t="array" ref="T136">Common_InputFunctions.Utility_DisplayArrayInTable(Fertiliser_SourceData.Fertiliser_Products_Data1(),FertiliserProducts[[#Headers],[Include or Exclude]], 0,4)</f>
        <v/>
      </c>
      <c r="U136" s="171" t="str" cm="1">
        <f t="array" ref="U136">Common_InputFunctions.Utility_DisplayArrayInTable(Fertiliser_SourceData.Fertiliser_Products_Data1(),FertiliserProducts[[#Headers],[Include or Exclude]], 0,4)</f>
        <v/>
      </c>
      <c r="V136" s="171" t="str" cm="1">
        <f t="array" ref="V136">Common_InputFunctions.Utility_DisplayArrayInTable(Fertiliser_SourceData.Fertiliser_Products_Data1(),FertiliserProducts[[#Headers],[Include or Exclude]], 0,4)</f>
        <v/>
      </c>
      <c r="W136" s="171" t="str" cm="1">
        <f t="array" ref="W136">Common_InputFunctions.Utility_DisplayArrayInTable(Fertiliser_SourceData.Fertiliser_Products_Data1(),FertiliserProducts[[#Headers],[Include or Exclude]], 0,4)</f>
        <v/>
      </c>
      <c r="X136" s="171" t="str" cm="1">
        <f t="array" ref="X136">Common_InputFunctions.Utility_DisplayArrayInTable(Fertiliser_SourceData.Fertiliser_Products_Data1(),FertiliserProducts[[#Headers],[Include or Exclude]], 0,4)</f>
        <v/>
      </c>
      <c r="Y136" s="171" t="str" cm="1">
        <f t="array" ref="Y136">Common_InputFunctions.Utility_DisplayArrayInTable(Fertiliser_SourceData.Fertiliser_Products_Data1(),FertiliserProducts[[#Headers],[Include or Exclude]], 0,4)</f>
        <v/>
      </c>
      <c r="Z136" s="171" t="str" cm="1">
        <f t="array" ref="Z136">Common_InputFunctions.Utility_DisplayArrayInTable(Fertiliser_SourceData.Fertiliser_Products_Data1(),FertiliserProducts[[#Headers],[Include or Exclude]], 0,4)</f>
        <v/>
      </c>
      <c r="AA136" s="171" t="str" cm="1">
        <f t="array" ref="AA136">Common_InputFunctions.Utility_DisplayArrayInTable(Fertiliser_SourceData.Fertiliser_Products_Data1(),FertiliserProducts[[#Headers],[Include or Exclude]], 0,4)</f>
        <v/>
      </c>
      <c r="AB136" s="171" t="str" cm="1">
        <f t="array" ref="AB136">Common_InputFunctions.Utility_DisplayArrayInTable(Fertiliser_SourceData.Fertiliser_Products_Data1(),FertiliserProducts[[#Headers],[Include or Exclude]], 0,4)</f>
        <v/>
      </c>
      <c r="AC136" s="171" t="str" cm="1">
        <f t="array" ref="AC136">Common_InputFunctions.Utility_DisplayArrayInTable(Fertiliser_SourceData.Fertiliser_Products_Data1(),FertiliserProducts[[#Headers],[Include or Exclude]], 0,4)</f>
        <v/>
      </c>
      <c r="AD136" s="171" t="str" cm="1">
        <f t="array" ref="AD136">Common_InputFunctions.Utility_DisplayArrayInTable(Fertiliser_SourceData.Fertiliser_Products_Data1(),FertiliserProducts[[#Headers],[Include or Exclude]], 0,4)</f>
        <v/>
      </c>
      <c r="AE136" s="171" t="str" cm="1">
        <f t="array" ref="AE136">Common_InputFunctions.Utility_DisplayArrayInTable(Fertiliser_SourceData.Fertiliser_Products_Data1(),FertiliserProducts[[#Headers],[Include or Exclude]], 0,4)</f>
        <v/>
      </c>
    </row>
    <row r="137" spans="4:31" ht="20.100000000000001" customHeight="1" x14ac:dyDescent="0.25">
      <c r="D137" s="171" t="str" cm="1">
        <f t="array" ref="D137">Common_InputFunctions.Utility_DisplayArrayInTable(Fertiliser_SourceData.Fertiliser_Products_Data1(),FertiliserProducts[[#Headers],[Include or Exclude]], -1)</f>
        <v/>
      </c>
      <c r="E137" s="171" t="str" cm="1">
        <f t="array" ref="E137">Common_InputFunctions.Utility_DisplayArrayInTable(Fertiliser_SourceData.Fertiliser_Products_Data1(),FertiliserProducts[[#Headers],[Include or Exclude]], 0)</f>
        <v/>
      </c>
      <c r="F137" s="171" t="str" cm="1">
        <f t="array" ref="F137">Common_InputFunctions.Utility_DisplayArrayInTable(Fertiliser_SourceData.Fertiliser_Products_Data1(),FertiliserProducts[[#Headers],[Include or Exclude]], 0)</f>
        <v/>
      </c>
      <c r="G137" s="171" t="str" cm="1">
        <f t="array" ref="G137">Common_InputFunctions.Utility_DisplayArrayInTable(Fertiliser_SourceData.Fertiliser_Products_Data1(),FertiliserProducts[[#Headers],[Include or Exclude]], 0)</f>
        <v/>
      </c>
      <c r="H137" s="171" t="str" cm="1">
        <f t="array" ref="H137">Common_InputFunctions.Utility_DisplayArrayInTable(Fertiliser_SourceData.Fertiliser_Products_Data1(),FertiliserProducts[[#Headers],[Include or Exclude]], 0,4)</f>
        <v/>
      </c>
      <c r="I137" s="171" t="str" cm="1">
        <f t="array" ref="I137">Common_InputFunctions.Utility_DisplayArrayInTable(Fertiliser_SourceData.Fertiliser_Products_Data1(),FertiliserProducts[[#Headers],[Include or Exclude]], 0,4)</f>
        <v/>
      </c>
      <c r="J137" s="171" t="str" cm="1">
        <f t="array" ref="J137">Common_InputFunctions.Utility_DisplayArrayInTable(Fertiliser_SourceData.Fertiliser_Products_Data1(),FertiliserProducts[[#Headers],[Include or Exclude]], 0,4)</f>
        <v/>
      </c>
      <c r="K137" s="171" t="str" cm="1">
        <f t="array" ref="K137">Common_InputFunctions.Utility_DisplayArrayInTable(Fertiliser_SourceData.Fertiliser_Products_Data1(),FertiliserProducts[[#Headers],[Include or Exclude]], 0,4)</f>
        <v/>
      </c>
      <c r="L137" s="171" t="str" cm="1">
        <f t="array" ref="L137">Common_InputFunctions.Utility_DisplayArrayInTable(Fertiliser_SourceData.Fertiliser_Products_Data1(),FertiliserProducts[[#Headers],[Include or Exclude]], 0,4)</f>
        <v/>
      </c>
      <c r="M137" s="171" t="str" cm="1">
        <f t="array" ref="M137">Common_InputFunctions.Utility_DisplayArrayInTable(Fertiliser_SourceData.Fertiliser_Products_Data1(),FertiliserProducts[[#Headers],[Include or Exclude]], 0,4)</f>
        <v/>
      </c>
      <c r="N137" s="171" t="str" cm="1">
        <f t="array" ref="N137">Common_InputFunctions.Utility_DisplayArrayInTable(Fertiliser_SourceData.Fertiliser_Products_Data1(),FertiliserProducts[[#Headers],[Include or Exclude]], 0,4)</f>
        <v/>
      </c>
      <c r="O137" s="171" t="str" cm="1">
        <f t="array" ref="O137">Common_InputFunctions.Utility_DisplayArrayInTable(Fertiliser_SourceData.Fertiliser_Products_Data1(),FertiliserProducts[[#Headers],[Include or Exclude]], 0,4)</f>
        <v/>
      </c>
      <c r="P137" s="171" t="str" cm="1">
        <f t="array" ref="P137">Common_InputFunctions.Utility_DisplayArrayInTable(Fertiliser_SourceData.Fertiliser_Products_Data1(),FertiliserProducts[[#Headers],[Include or Exclude]], 0,4)</f>
        <v/>
      </c>
      <c r="Q137" s="171" t="str" cm="1">
        <f t="array" ref="Q137">Common_InputFunctions.Utility_DisplayArrayInTable(Fertiliser_SourceData.Fertiliser_Products_Data1(),FertiliserProducts[[#Headers],[Include or Exclude]], 0,4)</f>
        <v/>
      </c>
      <c r="R137" s="171" t="str" cm="1">
        <f t="array" ref="R137">Common_InputFunctions.Utility_DisplayArrayInTable(Fertiliser_SourceData.Fertiliser_Products_Data1(),FertiliserProducts[[#Headers],[Include or Exclude]], 0,4)</f>
        <v/>
      </c>
      <c r="S137" s="171" t="str" cm="1">
        <f t="array" ref="S137">Common_InputFunctions.Utility_DisplayArrayInTable(Fertiliser_SourceData.Fertiliser_Products_Data1(),FertiliserProducts[[#Headers],[Include or Exclude]], 0,4)</f>
        <v/>
      </c>
      <c r="T137" s="171" t="str" cm="1">
        <f t="array" ref="T137">Common_InputFunctions.Utility_DisplayArrayInTable(Fertiliser_SourceData.Fertiliser_Products_Data1(),FertiliserProducts[[#Headers],[Include or Exclude]], 0,4)</f>
        <v/>
      </c>
      <c r="U137" s="171" t="str" cm="1">
        <f t="array" ref="U137">Common_InputFunctions.Utility_DisplayArrayInTable(Fertiliser_SourceData.Fertiliser_Products_Data1(),FertiliserProducts[[#Headers],[Include or Exclude]], 0,4)</f>
        <v/>
      </c>
      <c r="V137" s="171" t="str" cm="1">
        <f t="array" ref="V137">Common_InputFunctions.Utility_DisplayArrayInTable(Fertiliser_SourceData.Fertiliser_Products_Data1(),FertiliserProducts[[#Headers],[Include or Exclude]], 0,4)</f>
        <v/>
      </c>
      <c r="W137" s="171" t="str" cm="1">
        <f t="array" ref="W137">Common_InputFunctions.Utility_DisplayArrayInTable(Fertiliser_SourceData.Fertiliser_Products_Data1(),FertiliserProducts[[#Headers],[Include or Exclude]], 0,4)</f>
        <v/>
      </c>
      <c r="X137" s="171" t="str" cm="1">
        <f t="array" ref="X137">Common_InputFunctions.Utility_DisplayArrayInTable(Fertiliser_SourceData.Fertiliser_Products_Data1(),FertiliserProducts[[#Headers],[Include or Exclude]], 0,4)</f>
        <v/>
      </c>
      <c r="Y137" s="171" t="str" cm="1">
        <f t="array" ref="Y137">Common_InputFunctions.Utility_DisplayArrayInTable(Fertiliser_SourceData.Fertiliser_Products_Data1(),FertiliserProducts[[#Headers],[Include or Exclude]], 0,4)</f>
        <v/>
      </c>
      <c r="Z137" s="171" t="str" cm="1">
        <f t="array" ref="Z137">Common_InputFunctions.Utility_DisplayArrayInTable(Fertiliser_SourceData.Fertiliser_Products_Data1(),FertiliserProducts[[#Headers],[Include or Exclude]], 0,4)</f>
        <v/>
      </c>
      <c r="AA137" s="171" t="str" cm="1">
        <f t="array" ref="AA137">Common_InputFunctions.Utility_DisplayArrayInTable(Fertiliser_SourceData.Fertiliser_Products_Data1(),FertiliserProducts[[#Headers],[Include or Exclude]], 0,4)</f>
        <v/>
      </c>
      <c r="AB137" s="171" t="str" cm="1">
        <f t="array" ref="AB137">Common_InputFunctions.Utility_DisplayArrayInTable(Fertiliser_SourceData.Fertiliser_Products_Data1(),FertiliserProducts[[#Headers],[Include or Exclude]], 0,4)</f>
        <v/>
      </c>
      <c r="AC137" s="171" t="str" cm="1">
        <f t="array" ref="AC137">Common_InputFunctions.Utility_DisplayArrayInTable(Fertiliser_SourceData.Fertiliser_Products_Data1(),FertiliserProducts[[#Headers],[Include or Exclude]], 0,4)</f>
        <v/>
      </c>
      <c r="AD137" s="171" t="str" cm="1">
        <f t="array" ref="AD137">Common_InputFunctions.Utility_DisplayArrayInTable(Fertiliser_SourceData.Fertiliser_Products_Data1(),FertiliserProducts[[#Headers],[Include or Exclude]], 0,4)</f>
        <v/>
      </c>
      <c r="AE137" s="171" t="str" cm="1">
        <f t="array" ref="AE137">Common_InputFunctions.Utility_DisplayArrayInTable(Fertiliser_SourceData.Fertiliser_Products_Data1(),FertiliserProducts[[#Headers],[Include or Exclude]], 0,4)</f>
        <v/>
      </c>
    </row>
    <row r="138" spans="4:31" ht="20.100000000000001" customHeight="1" x14ac:dyDescent="0.25">
      <c r="D138" s="171" t="str" cm="1">
        <f t="array" ref="D138">Common_InputFunctions.Utility_DisplayArrayInTable(Fertiliser_SourceData.Fertiliser_Products_Data1(),FertiliserProducts[[#Headers],[Include or Exclude]], -1)</f>
        <v/>
      </c>
      <c r="E138" s="171" t="str" cm="1">
        <f t="array" ref="E138">Common_InputFunctions.Utility_DisplayArrayInTable(Fertiliser_SourceData.Fertiliser_Products_Data1(),FertiliserProducts[[#Headers],[Include or Exclude]], 0)</f>
        <v/>
      </c>
      <c r="F138" s="171" t="str" cm="1">
        <f t="array" ref="F138">Common_InputFunctions.Utility_DisplayArrayInTable(Fertiliser_SourceData.Fertiliser_Products_Data1(),FertiliserProducts[[#Headers],[Include or Exclude]], 0)</f>
        <v/>
      </c>
      <c r="G138" s="171" t="str" cm="1">
        <f t="array" ref="G138">Common_InputFunctions.Utility_DisplayArrayInTable(Fertiliser_SourceData.Fertiliser_Products_Data1(),FertiliserProducts[[#Headers],[Include or Exclude]], 0)</f>
        <v/>
      </c>
      <c r="H138" s="171" t="str" cm="1">
        <f t="array" ref="H138">Common_InputFunctions.Utility_DisplayArrayInTable(Fertiliser_SourceData.Fertiliser_Products_Data1(),FertiliserProducts[[#Headers],[Include or Exclude]], 0,4)</f>
        <v/>
      </c>
      <c r="I138" s="171" t="str" cm="1">
        <f t="array" ref="I138">Common_InputFunctions.Utility_DisplayArrayInTable(Fertiliser_SourceData.Fertiliser_Products_Data1(),FertiliserProducts[[#Headers],[Include or Exclude]], 0,4)</f>
        <v/>
      </c>
      <c r="J138" s="171" t="str" cm="1">
        <f t="array" ref="J138">Common_InputFunctions.Utility_DisplayArrayInTable(Fertiliser_SourceData.Fertiliser_Products_Data1(),FertiliserProducts[[#Headers],[Include or Exclude]], 0,4)</f>
        <v/>
      </c>
      <c r="K138" s="171" t="str" cm="1">
        <f t="array" ref="K138">Common_InputFunctions.Utility_DisplayArrayInTable(Fertiliser_SourceData.Fertiliser_Products_Data1(),FertiliserProducts[[#Headers],[Include or Exclude]], 0,4)</f>
        <v/>
      </c>
      <c r="L138" s="171" t="str" cm="1">
        <f t="array" ref="L138">Common_InputFunctions.Utility_DisplayArrayInTable(Fertiliser_SourceData.Fertiliser_Products_Data1(),FertiliserProducts[[#Headers],[Include or Exclude]], 0,4)</f>
        <v/>
      </c>
      <c r="M138" s="171" t="str" cm="1">
        <f t="array" ref="M138">Common_InputFunctions.Utility_DisplayArrayInTable(Fertiliser_SourceData.Fertiliser_Products_Data1(),FertiliserProducts[[#Headers],[Include or Exclude]], 0,4)</f>
        <v/>
      </c>
      <c r="N138" s="171" t="str" cm="1">
        <f t="array" ref="N138">Common_InputFunctions.Utility_DisplayArrayInTable(Fertiliser_SourceData.Fertiliser_Products_Data1(),FertiliserProducts[[#Headers],[Include or Exclude]], 0,4)</f>
        <v/>
      </c>
      <c r="O138" s="171" t="str" cm="1">
        <f t="array" ref="O138">Common_InputFunctions.Utility_DisplayArrayInTable(Fertiliser_SourceData.Fertiliser_Products_Data1(),FertiliserProducts[[#Headers],[Include or Exclude]], 0,4)</f>
        <v/>
      </c>
      <c r="P138" s="171" t="str" cm="1">
        <f t="array" ref="P138">Common_InputFunctions.Utility_DisplayArrayInTable(Fertiliser_SourceData.Fertiliser_Products_Data1(),FertiliserProducts[[#Headers],[Include or Exclude]], 0,4)</f>
        <v/>
      </c>
      <c r="Q138" s="171" t="str" cm="1">
        <f t="array" ref="Q138">Common_InputFunctions.Utility_DisplayArrayInTable(Fertiliser_SourceData.Fertiliser_Products_Data1(),FertiliserProducts[[#Headers],[Include or Exclude]], 0,4)</f>
        <v/>
      </c>
      <c r="R138" s="171" t="str" cm="1">
        <f t="array" ref="R138">Common_InputFunctions.Utility_DisplayArrayInTable(Fertiliser_SourceData.Fertiliser_Products_Data1(),FertiliserProducts[[#Headers],[Include or Exclude]], 0,4)</f>
        <v/>
      </c>
      <c r="S138" s="171" t="str" cm="1">
        <f t="array" ref="S138">Common_InputFunctions.Utility_DisplayArrayInTable(Fertiliser_SourceData.Fertiliser_Products_Data1(),FertiliserProducts[[#Headers],[Include or Exclude]], 0,4)</f>
        <v/>
      </c>
      <c r="T138" s="171" t="str" cm="1">
        <f t="array" ref="T138">Common_InputFunctions.Utility_DisplayArrayInTable(Fertiliser_SourceData.Fertiliser_Products_Data1(),FertiliserProducts[[#Headers],[Include or Exclude]], 0,4)</f>
        <v/>
      </c>
      <c r="U138" s="171" t="str" cm="1">
        <f t="array" ref="U138">Common_InputFunctions.Utility_DisplayArrayInTable(Fertiliser_SourceData.Fertiliser_Products_Data1(),FertiliserProducts[[#Headers],[Include or Exclude]], 0,4)</f>
        <v/>
      </c>
      <c r="V138" s="171" t="str" cm="1">
        <f t="array" ref="V138">Common_InputFunctions.Utility_DisplayArrayInTable(Fertiliser_SourceData.Fertiliser_Products_Data1(),FertiliserProducts[[#Headers],[Include or Exclude]], 0,4)</f>
        <v/>
      </c>
      <c r="W138" s="171" t="str" cm="1">
        <f t="array" ref="W138">Common_InputFunctions.Utility_DisplayArrayInTable(Fertiliser_SourceData.Fertiliser_Products_Data1(),FertiliserProducts[[#Headers],[Include or Exclude]], 0,4)</f>
        <v/>
      </c>
      <c r="X138" s="171" t="str" cm="1">
        <f t="array" ref="X138">Common_InputFunctions.Utility_DisplayArrayInTable(Fertiliser_SourceData.Fertiliser_Products_Data1(),FertiliserProducts[[#Headers],[Include or Exclude]], 0,4)</f>
        <v/>
      </c>
      <c r="Y138" s="171" t="str" cm="1">
        <f t="array" ref="Y138">Common_InputFunctions.Utility_DisplayArrayInTable(Fertiliser_SourceData.Fertiliser_Products_Data1(),FertiliserProducts[[#Headers],[Include or Exclude]], 0,4)</f>
        <v/>
      </c>
      <c r="Z138" s="171" t="str" cm="1">
        <f t="array" ref="Z138">Common_InputFunctions.Utility_DisplayArrayInTable(Fertiliser_SourceData.Fertiliser_Products_Data1(),FertiliserProducts[[#Headers],[Include or Exclude]], 0,4)</f>
        <v/>
      </c>
      <c r="AA138" s="171" t="str" cm="1">
        <f t="array" ref="AA138">Common_InputFunctions.Utility_DisplayArrayInTable(Fertiliser_SourceData.Fertiliser_Products_Data1(),FertiliserProducts[[#Headers],[Include or Exclude]], 0,4)</f>
        <v/>
      </c>
      <c r="AB138" s="171" t="str" cm="1">
        <f t="array" ref="AB138">Common_InputFunctions.Utility_DisplayArrayInTable(Fertiliser_SourceData.Fertiliser_Products_Data1(),FertiliserProducts[[#Headers],[Include or Exclude]], 0,4)</f>
        <v/>
      </c>
      <c r="AC138" s="171" t="str" cm="1">
        <f t="array" ref="AC138">Common_InputFunctions.Utility_DisplayArrayInTable(Fertiliser_SourceData.Fertiliser_Products_Data1(),FertiliserProducts[[#Headers],[Include or Exclude]], 0,4)</f>
        <v/>
      </c>
      <c r="AD138" s="171" t="str" cm="1">
        <f t="array" ref="AD138">Common_InputFunctions.Utility_DisplayArrayInTable(Fertiliser_SourceData.Fertiliser_Products_Data1(),FertiliserProducts[[#Headers],[Include or Exclude]], 0,4)</f>
        <v/>
      </c>
      <c r="AE138" s="171" t="str" cm="1">
        <f t="array" ref="AE138">Common_InputFunctions.Utility_DisplayArrayInTable(Fertiliser_SourceData.Fertiliser_Products_Data1(),FertiliserProducts[[#Headers],[Include or Exclude]], 0,4)</f>
        <v/>
      </c>
    </row>
    <row r="139" spans="4:31" ht="20.100000000000001" customHeight="1" x14ac:dyDescent="0.25">
      <c r="D139" s="171" t="str" cm="1">
        <f t="array" ref="D139">Common_InputFunctions.Utility_DisplayArrayInTable(Fertiliser_SourceData.Fertiliser_Products_Data1(),FertiliserProducts[[#Headers],[Include or Exclude]], -1)</f>
        <v/>
      </c>
      <c r="E139" s="171" t="str" cm="1">
        <f t="array" ref="E139">Common_InputFunctions.Utility_DisplayArrayInTable(Fertiliser_SourceData.Fertiliser_Products_Data1(),FertiliserProducts[[#Headers],[Include or Exclude]], 0)</f>
        <v/>
      </c>
      <c r="F139" s="171" t="str" cm="1">
        <f t="array" ref="F139">Common_InputFunctions.Utility_DisplayArrayInTable(Fertiliser_SourceData.Fertiliser_Products_Data1(),FertiliserProducts[[#Headers],[Include or Exclude]], 0)</f>
        <v/>
      </c>
      <c r="G139" s="171" t="str" cm="1">
        <f t="array" ref="G139">Common_InputFunctions.Utility_DisplayArrayInTable(Fertiliser_SourceData.Fertiliser_Products_Data1(),FertiliserProducts[[#Headers],[Include or Exclude]], 0)</f>
        <v/>
      </c>
      <c r="H139" s="171" t="str" cm="1">
        <f t="array" ref="H139">Common_InputFunctions.Utility_DisplayArrayInTable(Fertiliser_SourceData.Fertiliser_Products_Data1(),FertiliserProducts[[#Headers],[Include or Exclude]], 0,4)</f>
        <v/>
      </c>
      <c r="I139" s="171" t="str" cm="1">
        <f t="array" ref="I139">Common_InputFunctions.Utility_DisplayArrayInTable(Fertiliser_SourceData.Fertiliser_Products_Data1(),FertiliserProducts[[#Headers],[Include or Exclude]], 0,4)</f>
        <v/>
      </c>
      <c r="J139" s="171" t="str" cm="1">
        <f t="array" ref="J139">Common_InputFunctions.Utility_DisplayArrayInTable(Fertiliser_SourceData.Fertiliser_Products_Data1(),FertiliserProducts[[#Headers],[Include or Exclude]], 0,4)</f>
        <v/>
      </c>
      <c r="K139" s="171" t="str" cm="1">
        <f t="array" ref="K139">Common_InputFunctions.Utility_DisplayArrayInTable(Fertiliser_SourceData.Fertiliser_Products_Data1(),FertiliserProducts[[#Headers],[Include or Exclude]], 0,4)</f>
        <v/>
      </c>
      <c r="L139" s="171" t="str" cm="1">
        <f t="array" ref="L139">Common_InputFunctions.Utility_DisplayArrayInTable(Fertiliser_SourceData.Fertiliser_Products_Data1(),FertiliserProducts[[#Headers],[Include or Exclude]], 0,4)</f>
        <v/>
      </c>
      <c r="M139" s="171" t="str" cm="1">
        <f t="array" ref="M139">Common_InputFunctions.Utility_DisplayArrayInTable(Fertiliser_SourceData.Fertiliser_Products_Data1(),FertiliserProducts[[#Headers],[Include or Exclude]], 0,4)</f>
        <v/>
      </c>
      <c r="N139" s="171" t="str" cm="1">
        <f t="array" ref="N139">Common_InputFunctions.Utility_DisplayArrayInTable(Fertiliser_SourceData.Fertiliser_Products_Data1(),FertiliserProducts[[#Headers],[Include or Exclude]], 0,4)</f>
        <v/>
      </c>
      <c r="O139" s="171" t="str" cm="1">
        <f t="array" ref="O139">Common_InputFunctions.Utility_DisplayArrayInTable(Fertiliser_SourceData.Fertiliser_Products_Data1(),FertiliserProducts[[#Headers],[Include or Exclude]], 0,4)</f>
        <v/>
      </c>
      <c r="P139" s="171" t="str" cm="1">
        <f t="array" ref="P139">Common_InputFunctions.Utility_DisplayArrayInTable(Fertiliser_SourceData.Fertiliser_Products_Data1(),FertiliserProducts[[#Headers],[Include or Exclude]], 0,4)</f>
        <v/>
      </c>
      <c r="Q139" s="171" t="str" cm="1">
        <f t="array" ref="Q139">Common_InputFunctions.Utility_DisplayArrayInTable(Fertiliser_SourceData.Fertiliser_Products_Data1(),FertiliserProducts[[#Headers],[Include or Exclude]], 0,4)</f>
        <v/>
      </c>
      <c r="R139" s="171" t="str" cm="1">
        <f t="array" ref="R139">Common_InputFunctions.Utility_DisplayArrayInTable(Fertiliser_SourceData.Fertiliser_Products_Data1(),FertiliserProducts[[#Headers],[Include or Exclude]], 0,4)</f>
        <v/>
      </c>
      <c r="S139" s="171" t="str" cm="1">
        <f t="array" ref="S139">Common_InputFunctions.Utility_DisplayArrayInTable(Fertiliser_SourceData.Fertiliser_Products_Data1(),FertiliserProducts[[#Headers],[Include or Exclude]], 0,4)</f>
        <v/>
      </c>
      <c r="T139" s="171" t="str" cm="1">
        <f t="array" ref="T139">Common_InputFunctions.Utility_DisplayArrayInTable(Fertiliser_SourceData.Fertiliser_Products_Data1(),FertiliserProducts[[#Headers],[Include or Exclude]], 0,4)</f>
        <v/>
      </c>
      <c r="U139" s="171" t="str" cm="1">
        <f t="array" ref="U139">Common_InputFunctions.Utility_DisplayArrayInTable(Fertiliser_SourceData.Fertiliser_Products_Data1(),FertiliserProducts[[#Headers],[Include or Exclude]], 0,4)</f>
        <v/>
      </c>
      <c r="V139" s="171" t="str" cm="1">
        <f t="array" ref="V139">Common_InputFunctions.Utility_DisplayArrayInTable(Fertiliser_SourceData.Fertiliser_Products_Data1(),FertiliserProducts[[#Headers],[Include or Exclude]], 0,4)</f>
        <v/>
      </c>
      <c r="W139" s="171" t="str" cm="1">
        <f t="array" ref="W139">Common_InputFunctions.Utility_DisplayArrayInTable(Fertiliser_SourceData.Fertiliser_Products_Data1(),FertiliserProducts[[#Headers],[Include or Exclude]], 0,4)</f>
        <v/>
      </c>
      <c r="X139" s="171" t="str" cm="1">
        <f t="array" ref="X139">Common_InputFunctions.Utility_DisplayArrayInTable(Fertiliser_SourceData.Fertiliser_Products_Data1(),FertiliserProducts[[#Headers],[Include or Exclude]], 0,4)</f>
        <v/>
      </c>
      <c r="Y139" s="171" t="str" cm="1">
        <f t="array" ref="Y139">Common_InputFunctions.Utility_DisplayArrayInTable(Fertiliser_SourceData.Fertiliser_Products_Data1(),FertiliserProducts[[#Headers],[Include or Exclude]], 0,4)</f>
        <v/>
      </c>
      <c r="Z139" s="171" t="str" cm="1">
        <f t="array" ref="Z139">Common_InputFunctions.Utility_DisplayArrayInTable(Fertiliser_SourceData.Fertiliser_Products_Data1(),FertiliserProducts[[#Headers],[Include or Exclude]], 0,4)</f>
        <v/>
      </c>
      <c r="AA139" s="171" t="str" cm="1">
        <f t="array" ref="AA139">Common_InputFunctions.Utility_DisplayArrayInTable(Fertiliser_SourceData.Fertiliser_Products_Data1(),FertiliserProducts[[#Headers],[Include or Exclude]], 0,4)</f>
        <v/>
      </c>
      <c r="AB139" s="171" t="str" cm="1">
        <f t="array" ref="AB139">Common_InputFunctions.Utility_DisplayArrayInTable(Fertiliser_SourceData.Fertiliser_Products_Data1(),FertiliserProducts[[#Headers],[Include or Exclude]], 0,4)</f>
        <v/>
      </c>
      <c r="AC139" s="171" t="str" cm="1">
        <f t="array" ref="AC139">Common_InputFunctions.Utility_DisplayArrayInTable(Fertiliser_SourceData.Fertiliser_Products_Data1(),FertiliserProducts[[#Headers],[Include or Exclude]], 0,4)</f>
        <v/>
      </c>
      <c r="AD139" s="171" t="str" cm="1">
        <f t="array" ref="AD139">Common_InputFunctions.Utility_DisplayArrayInTable(Fertiliser_SourceData.Fertiliser_Products_Data1(),FertiliserProducts[[#Headers],[Include or Exclude]], 0,4)</f>
        <v/>
      </c>
      <c r="AE139" s="171" t="str" cm="1">
        <f t="array" ref="AE139">Common_InputFunctions.Utility_DisplayArrayInTable(Fertiliser_SourceData.Fertiliser_Products_Data1(),FertiliserProducts[[#Headers],[Include or Exclude]], 0,4)</f>
        <v/>
      </c>
    </row>
    <row r="140" spans="4:31" ht="20.100000000000001" customHeight="1" x14ac:dyDescent="0.25">
      <c r="D140" s="171" t="str" cm="1">
        <f t="array" ref="D140">Common_InputFunctions.Utility_DisplayArrayInTable(Fertiliser_SourceData.Fertiliser_Products_Data1(),FertiliserProducts[[#Headers],[Include or Exclude]], -1)</f>
        <v/>
      </c>
      <c r="E140" s="171" t="str" cm="1">
        <f t="array" ref="E140">Common_InputFunctions.Utility_DisplayArrayInTable(Fertiliser_SourceData.Fertiliser_Products_Data1(),FertiliserProducts[[#Headers],[Include or Exclude]], 0)</f>
        <v/>
      </c>
      <c r="F140" s="171" t="str" cm="1">
        <f t="array" ref="F140">Common_InputFunctions.Utility_DisplayArrayInTable(Fertiliser_SourceData.Fertiliser_Products_Data1(),FertiliserProducts[[#Headers],[Include or Exclude]], 0)</f>
        <v/>
      </c>
      <c r="G140" s="171" t="str" cm="1">
        <f t="array" ref="G140">Common_InputFunctions.Utility_DisplayArrayInTable(Fertiliser_SourceData.Fertiliser_Products_Data1(),FertiliserProducts[[#Headers],[Include or Exclude]], 0)</f>
        <v/>
      </c>
      <c r="H140" s="171" t="str" cm="1">
        <f t="array" ref="H140">Common_InputFunctions.Utility_DisplayArrayInTable(Fertiliser_SourceData.Fertiliser_Products_Data1(),FertiliserProducts[[#Headers],[Include or Exclude]], 0,4)</f>
        <v/>
      </c>
      <c r="I140" s="171" t="str" cm="1">
        <f t="array" ref="I140">Common_InputFunctions.Utility_DisplayArrayInTable(Fertiliser_SourceData.Fertiliser_Products_Data1(),FertiliserProducts[[#Headers],[Include or Exclude]], 0,4)</f>
        <v/>
      </c>
      <c r="J140" s="171" t="str" cm="1">
        <f t="array" ref="J140">Common_InputFunctions.Utility_DisplayArrayInTable(Fertiliser_SourceData.Fertiliser_Products_Data1(),FertiliserProducts[[#Headers],[Include or Exclude]], 0,4)</f>
        <v/>
      </c>
      <c r="K140" s="171" t="str" cm="1">
        <f t="array" ref="K140">Common_InputFunctions.Utility_DisplayArrayInTable(Fertiliser_SourceData.Fertiliser_Products_Data1(),FertiliserProducts[[#Headers],[Include or Exclude]], 0,4)</f>
        <v/>
      </c>
      <c r="L140" s="171" t="str" cm="1">
        <f t="array" ref="L140">Common_InputFunctions.Utility_DisplayArrayInTable(Fertiliser_SourceData.Fertiliser_Products_Data1(),FertiliserProducts[[#Headers],[Include or Exclude]], 0,4)</f>
        <v/>
      </c>
      <c r="M140" s="171" t="str" cm="1">
        <f t="array" ref="M140">Common_InputFunctions.Utility_DisplayArrayInTable(Fertiliser_SourceData.Fertiliser_Products_Data1(),FertiliserProducts[[#Headers],[Include or Exclude]], 0,4)</f>
        <v/>
      </c>
      <c r="N140" s="171" t="str" cm="1">
        <f t="array" ref="N140">Common_InputFunctions.Utility_DisplayArrayInTable(Fertiliser_SourceData.Fertiliser_Products_Data1(),FertiliserProducts[[#Headers],[Include or Exclude]], 0,4)</f>
        <v/>
      </c>
      <c r="O140" s="171" t="str" cm="1">
        <f t="array" ref="O140">Common_InputFunctions.Utility_DisplayArrayInTable(Fertiliser_SourceData.Fertiliser_Products_Data1(),FertiliserProducts[[#Headers],[Include or Exclude]], 0,4)</f>
        <v/>
      </c>
      <c r="P140" s="171" t="str" cm="1">
        <f t="array" ref="P140">Common_InputFunctions.Utility_DisplayArrayInTable(Fertiliser_SourceData.Fertiliser_Products_Data1(),FertiliserProducts[[#Headers],[Include or Exclude]], 0,4)</f>
        <v/>
      </c>
      <c r="Q140" s="171" t="str" cm="1">
        <f t="array" ref="Q140">Common_InputFunctions.Utility_DisplayArrayInTable(Fertiliser_SourceData.Fertiliser_Products_Data1(),FertiliserProducts[[#Headers],[Include or Exclude]], 0,4)</f>
        <v/>
      </c>
      <c r="R140" s="171" t="str" cm="1">
        <f t="array" ref="R140">Common_InputFunctions.Utility_DisplayArrayInTable(Fertiliser_SourceData.Fertiliser_Products_Data1(),FertiliserProducts[[#Headers],[Include or Exclude]], 0,4)</f>
        <v/>
      </c>
      <c r="S140" s="171" t="str" cm="1">
        <f t="array" ref="S140">Common_InputFunctions.Utility_DisplayArrayInTable(Fertiliser_SourceData.Fertiliser_Products_Data1(),FertiliserProducts[[#Headers],[Include or Exclude]], 0,4)</f>
        <v/>
      </c>
      <c r="T140" s="171" t="str" cm="1">
        <f t="array" ref="T140">Common_InputFunctions.Utility_DisplayArrayInTable(Fertiliser_SourceData.Fertiliser_Products_Data1(),FertiliserProducts[[#Headers],[Include or Exclude]], 0,4)</f>
        <v/>
      </c>
      <c r="U140" s="171" t="str" cm="1">
        <f t="array" ref="U140">Common_InputFunctions.Utility_DisplayArrayInTable(Fertiliser_SourceData.Fertiliser_Products_Data1(),FertiliserProducts[[#Headers],[Include or Exclude]], 0,4)</f>
        <v/>
      </c>
      <c r="V140" s="171" t="str" cm="1">
        <f t="array" ref="V140">Common_InputFunctions.Utility_DisplayArrayInTable(Fertiliser_SourceData.Fertiliser_Products_Data1(),FertiliserProducts[[#Headers],[Include or Exclude]], 0,4)</f>
        <v/>
      </c>
      <c r="W140" s="171" t="str" cm="1">
        <f t="array" ref="W140">Common_InputFunctions.Utility_DisplayArrayInTable(Fertiliser_SourceData.Fertiliser_Products_Data1(),FertiliserProducts[[#Headers],[Include or Exclude]], 0,4)</f>
        <v/>
      </c>
      <c r="X140" s="171" t="str" cm="1">
        <f t="array" ref="X140">Common_InputFunctions.Utility_DisplayArrayInTable(Fertiliser_SourceData.Fertiliser_Products_Data1(),FertiliserProducts[[#Headers],[Include or Exclude]], 0,4)</f>
        <v/>
      </c>
      <c r="Y140" s="171" t="str" cm="1">
        <f t="array" ref="Y140">Common_InputFunctions.Utility_DisplayArrayInTable(Fertiliser_SourceData.Fertiliser_Products_Data1(),FertiliserProducts[[#Headers],[Include or Exclude]], 0,4)</f>
        <v/>
      </c>
      <c r="Z140" s="171" t="str" cm="1">
        <f t="array" ref="Z140">Common_InputFunctions.Utility_DisplayArrayInTable(Fertiliser_SourceData.Fertiliser_Products_Data1(),FertiliserProducts[[#Headers],[Include or Exclude]], 0,4)</f>
        <v/>
      </c>
      <c r="AA140" s="171" t="str" cm="1">
        <f t="array" ref="AA140">Common_InputFunctions.Utility_DisplayArrayInTable(Fertiliser_SourceData.Fertiliser_Products_Data1(),FertiliserProducts[[#Headers],[Include or Exclude]], 0,4)</f>
        <v/>
      </c>
      <c r="AB140" s="171" t="str" cm="1">
        <f t="array" ref="AB140">Common_InputFunctions.Utility_DisplayArrayInTable(Fertiliser_SourceData.Fertiliser_Products_Data1(),FertiliserProducts[[#Headers],[Include or Exclude]], 0,4)</f>
        <v/>
      </c>
      <c r="AC140" s="171" t="str" cm="1">
        <f t="array" ref="AC140">Common_InputFunctions.Utility_DisplayArrayInTable(Fertiliser_SourceData.Fertiliser_Products_Data1(),FertiliserProducts[[#Headers],[Include or Exclude]], 0,4)</f>
        <v/>
      </c>
      <c r="AD140" s="171" t="str" cm="1">
        <f t="array" ref="AD140">Common_InputFunctions.Utility_DisplayArrayInTable(Fertiliser_SourceData.Fertiliser_Products_Data1(),FertiliserProducts[[#Headers],[Include or Exclude]], 0,4)</f>
        <v/>
      </c>
      <c r="AE140" s="171" t="str" cm="1">
        <f t="array" ref="AE140">Common_InputFunctions.Utility_DisplayArrayInTable(Fertiliser_SourceData.Fertiliser_Products_Data1(),FertiliserProducts[[#Headers],[Include or Exclude]], 0,4)</f>
        <v/>
      </c>
    </row>
    <row r="141" spans="4:31" ht="20.100000000000001" customHeight="1" x14ac:dyDescent="0.25">
      <c r="D141" s="171" t="str" cm="1">
        <f t="array" ref="D141">Common_InputFunctions.Utility_DisplayArrayInTable(Fertiliser_SourceData.Fertiliser_Products_Data1(),FertiliserProducts[[#Headers],[Include or Exclude]], -1)</f>
        <v/>
      </c>
      <c r="E141" s="171" t="str" cm="1">
        <f t="array" ref="E141">Common_InputFunctions.Utility_DisplayArrayInTable(Fertiliser_SourceData.Fertiliser_Products_Data1(),FertiliserProducts[[#Headers],[Include or Exclude]], 0)</f>
        <v/>
      </c>
      <c r="F141" s="171" t="str" cm="1">
        <f t="array" ref="F141">Common_InputFunctions.Utility_DisplayArrayInTable(Fertiliser_SourceData.Fertiliser_Products_Data1(),FertiliserProducts[[#Headers],[Include or Exclude]], 0)</f>
        <v/>
      </c>
      <c r="G141" s="171" t="str" cm="1">
        <f t="array" ref="G141">Common_InputFunctions.Utility_DisplayArrayInTable(Fertiliser_SourceData.Fertiliser_Products_Data1(),FertiliserProducts[[#Headers],[Include or Exclude]], 0)</f>
        <v/>
      </c>
      <c r="H141" s="171" t="str" cm="1">
        <f t="array" ref="H141">Common_InputFunctions.Utility_DisplayArrayInTable(Fertiliser_SourceData.Fertiliser_Products_Data1(),FertiliserProducts[[#Headers],[Include or Exclude]], 0,4)</f>
        <v/>
      </c>
      <c r="I141" s="171" t="str" cm="1">
        <f t="array" ref="I141">Common_InputFunctions.Utility_DisplayArrayInTable(Fertiliser_SourceData.Fertiliser_Products_Data1(),FertiliserProducts[[#Headers],[Include or Exclude]], 0,4)</f>
        <v/>
      </c>
      <c r="J141" s="171" t="str" cm="1">
        <f t="array" ref="J141">Common_InputFunctions.Utility_DisplayArrayInTable(Fertiliser_SourceData.Fertiliser_Products_Data1(),FertiliserProducts[[#Headers],[Include or Exclude]], 0,4)</f>
        <v/>
      </c>
      <c r="K141" s="171" t="str" cm="1">
        <f t="array" ref="K141">Common_InputFunctions.Utility_DisplayArrayInTable(Fertiliser_SourceData.Fertiliser_Products_Data1(),FertiliserProducts[[#Headers],[Include or Exclude]], 0,4)</f>
        <v/>
      </c>
      <c r="L141" s="171" t="str" cm="1">
        <f t="array" ref="L141">Common_InputFunctions.Utility_DisplayArrayInTable(Fertiliser_SourceData.Fertiliser_Products_Data1(),FertiliserProducts[[#Headers],[Include or Exclude]], 0,4)</f>
        <v/>
      </c>
      <c r="M141" s="171" t="str" cm="1">
        <f t="array" ref="M141">Common_InputFunctions.Utility_DisplayArrayInTable(Fertiliser_SourceData.Fertiliser_Products_Data1(),FertiliserProducts[[#Headers],[Include or Exclude]], 0,4)</f>
        <v/>
      </c>
      <c r="N141" s="171" t="str" cm="1">
        <f t="array" ref="N141">Common_InputFunctions.Utility_DisplayArrayInTable(Fertiliser_SourceData.Fertiliser_Products_Data1(),FertiliserProducts[[#Headers],[Include or Exclude]], 0,4)</f>
        <v/>
      </c>
      <c r="O141" s="171" t="str" cm="1">
        <f t="array" ref="O141">Common_InputFunctions.Utility_DisplayArrayInTable(Fertiliser_SourceData.Fertiliser_Products_Data1(),FertiliserProducts[[#Headers],[Include or Exclude]], 0,4)</f>
        <v/>
      </c>
      <c r="P141" s="171" t="str" cm="1">
        <f t="array" ref="P141">Common_InputFunctions.Utility_DisplayArrayInTable(Fertiliser_SourceData.Fertiliser_Products_Data1(),FertiliserProducts[[#Headers],[Include or Exclude]], 0,4)</f>
        <v/>
      </c>
      <c r="Q141" s="171" t="str" cm="1">
        <f t="array" ref="Q141">Common_InputFunctions.Utility_DisplayArrayInTable(Fertiliser_SourceData.Fertiliser_Products_Data1(),FertiliserProducts[[#Headers],[Include or Exclude]], 0,4)</f>
        <v/>
      </c>
      <c r="R141" s="171" t="str" cm="1">
        <f t="array" ref="R141">Common_InputFunctions.Utility_DisplayArrayInTable(Fertiliser_SourceData.Fertiliser_Products_Data1(),FertiliserProducts[[#Headers],[Include or Exclude]], 0,4)</f>
        <v/>
      </c>
      <c r="S141" s="171" t="str" cm="1">
        <f t="array" ref="S141">Common_InputFunctions.Utility_DisplayArrayInTable(Fertiliser_SourceData.Fertiliser_Products_Data1(),FertiliserProducts[[#Headers],[Include or Exclude]], 0,4)</f>
        <v/>
      </c>
      <c r="T141" s="171" t="str" cm="1">
        <f t="array" ref="T141">Common_InputFunctions.Utility_DisplayArrayInTable(Fertiliser_SourceData.Fertiliser_Products_Data1(),FertiliserProducts[[#Headers],[Include or Exclude]], 0,4)</f>
        <v/>
      </c>
      <c r="U141" s="171" t="str" cm="1">
        <f t="array" ref="U141">Common_InputFunctions.Utility_DisplayArrayInTable(Fertiliser_SourceData.Fertiliser_Products_Data1(),FertiliserProducts[[#Headers],[Include or Exclude]], 0,4)</f>
        <v/>
      </c>
      <c r="V141" s="171" t="str" cm="1">
        <f t="array" ref="V141">Common_InputFunctions.Utility_DisplayArrayInTable(Fertiliser_SourceData.Fertiliser_Products_Data1(),FertiliserProducts[[#Headers],[Include or Exclude]], 0,4)</f>
        <v/>
      </c>
      <c r="W141" s="171" t="str" cm="1">
        <f t="array" ref="W141">Common_InputFunctions.Utility_DisplayArrayInTable(Fertiliser_SourceData.Fertiliser_Products_Data1(),FertiliserProducts[[#Headers],[Include or Exclude]], 0,4)</f>
        <v/>
      </c>
      <c r="X141" s="171" t="str" cm="1">
        <f t="array" ref="X141">Common_InputFunctions.Utility_DisplayArrayInTable(Fertiliser_SourceData.Fertiliser_Products_Data1(),FertiliserProducts[[#Headers],[Include or Exclude]], 0,4)</f>
        <v/>
      </c>
      <c r="Y141" s="171" t="str" cm="1">
        <f t="array" ref="Y141">Common_InputFunctions.Utility_DisplayArrayInTable(Fertiliser_SourceData.Fertiliser_Products_Data1(),FertiliserProducts[[#Headers],[Include or Exclude]], 0,4)</f>
        <v/>
      </c>
      <c r="Z141" s="171" t="str" cm="1">
        <f t="array" ref="Z141">Common_InputFunctions.Utility_DisplayArrayInTable(Fertiliser_SourceData.Fertiliser_Products_Data1(),FertiliserProducts[[#Headers],[Include or Exclude]], 0,4)</f>
        <v/>
      </c>
      <c r="AA141" s="171" t="str" cm="1">
        <f t="array" ref="AA141">Common_InputFunctions.Utility_DisplayArrayInTable(Fertiliser_SourceData.Fertiliser_Products_Data1(),FertiliserProducts[[#Headers],[Include or Exclude]], 0,4)</f>
        <v/>
      </c>
      <c r="AB141" s="171" t="str" cm="1">
        <f t="array" ref="AB141">Common_InputFunctions.Utility_DisplayArrayInTable(Fertiliser_SourceData.Fertiliser_Products_Data1(),FertiliserProducts[[#Headers],[Include or Exclude]], 0,4)</f>
        <v/>
      </c>
      <c r="AC141" s="171" t="str" cm="1">
        <f t="array" ref="AC141">Common_InputFunctions.Utility_DisplayArrayInTable(Fertiliser_SourceData.Fertiliser_Products_Data1(),FertiliserProducts[[#Headers],[Include or Exclude]], 0,4)</f>
        <v/>
      </c>
      <c r="AD141" s="171" t="str" cm="1">
        <f t="array" ref="AD141">Common_InputFunctions.Utility_DisplayArrayInTable(Fertiliser_SourceData.Fertiliser_Products_Data1(),FertiliserProducts[[#Headers],[Include or Exclude]], 0,4)</f>
        <v/>
      </c>
      <c r="AE141" s="171" t="str" cm="1">
        <f t="array" ref="AE141">Common_InputFunctions.Utility_DisplayArrayInTable(Fertiliser_SourceData.Fertiliser_Products_Data1(),FertiliserProducts[[#Headers],[Include or Exclude]], 0,4)</f>
        <v/>
      </c>
    </row>
    <row r="142" spans="4:31" ht="20.100000000000001" customHeight="1" x14ac:dyDescent="0.25">
      <c r="D142" s="171" t="str" cm="1">
        <f t="array" ref="D142">Common_InputFunctions.Utility_DisplayArrayInTable(Fertiliser_SourceData.Fertiliser_Products_Data1(),FertiliserProducts[[#Headers],[Include or Exclude]], -1)</f>
        <v/>
      </c>
      <c r="E142" s="171" t="str" cm="1">
        <f t="array" ref="E142">Common_InputFunctions.Utility_DisplayArrayInTable(Fertiliser_SourceData.Fertiliser_Products_Data1(),FertiliserProducts[[#Headers],[Include or Exclude]], 0)</f>
        <v/>
      </c>
      <c r="F142" s="171" t="str" cm="1">
        <f t="array" ref="F142">Common_InputFunctions.Utility_DisplayArrayInTable(Fertiliser_SourceData.Fertiliser_Products_Data1(),FertiliserProducts[[#Headers],[Include or Exclude]], 0)</f>
        <v/>
      </c>
      <c r="G142" s="171" t="str" cm="1">
        <f t="array" ref="G142">Common_InputFunctions.Utility_DisplayArrayInTable(Fertiliser_SourceData.Fertiliser_Products_Data1(),FertiliserProducts[[#Headers],[Include or Exclude]], 0)</f>
        <v/>
      </c>
      <c r="H142" s="171" t="str" cm="1">
        <f t="array" ref="H142">Common_InputFunctions.Utility_DisplayArrayInTable(Fertiliser_SourceData.Fertiliser_Products_Data1(),FertiliserProducts[[#Headers],[Include or Exclude]], 0,4)</f>
        <v/>
      </c>
      <c r="I142" s="171" t="str" cm="1">
        <f t="array" ref="I142">Common_InputFunctions.Utility_DisplayArrayInTable(Fertiliser_SourceData.Fertiliser_Products_Data1(),FertiliserProducts[[#Headers],[Include or Exclude]], 0,4)</f>
        <v/>
      </c>
      <c r="J142" s="171" t="str" cm="1">
        <f t="array" ref="J142">Common_InputFunctions.Utility_DisplayArrayInTable(Fertiliser_SourceData.Fertiliser_Products_Data1(),FertiliserProducts[[#Headers],[Include or Exclude]], 0,4)</f>
        <v/>
      </c>
      <c r="K142" s="171" t="str" cm="1">
        <f t="array" ref="K142">Common_InputFunctions.Utility_DisplayArrayInTable(Fertiliser_SourceData.Fertiliser_Products_Data1(),FertiliserProducts[[#Headers],[Include or Exclude]], 0,4)</f>
        <v/>
      </c>
      <c r="L142" s="171" t="str" cm="1">
        <f t="array" ref="L142">Common_InputFunctions.Utility_DisplayArrayInTable(Fertiliser_SourceData.Fertiliser_Products_Data1(),FertiliserProducts[[#Headers],[Include or Exclude]], 0,4)</f>
        <v/>
      </c>
      <c r="M142" s="171" t="str" cm="1">
        <f t="array" ref="M142">Common_InputFunctions.Utility_DisplayArrayInTable(Fertiliser_SourceData.Fertiliser_Products_Data1(),FertiliserProducts[[#Headers],[Include or Exclude]], 0,4)</f>
        <v/>
      </c>
      <c r="N142" s="171" t="str" cm="1">
        <f t="array" ref="N142">Common_InputFunctions.Utility_DisplayArrayInTable(Fertiliser_SourceData.Fertiliser_Products_Data1(),FertiliserProducts[[#Headers],[Include or Exclude]], 0,4)</f>
        <v/>
      </c>
      <c r="O142" s="171" t="str" cm="1">
        <f t="array" ref="O142">Common_InputFunctions.Utility_DisplayArrayInTable(Fertiliser_SourceData.Fertiliser_Products_Data1(),FertiliserProducts[[#Headers],[Include or Exclude]], 0,4)</f>
        <v/>
      </c>
      <c r="P142" s="171" t="str" cm="1">
        <f t="array" ref="P142">Common_InputFunctions.Utility_DisplayArrayInTable(Fertiliser_SourceData.Fertiliser_Products_Data1(),FertiliserProducts[[#Headers],[Include or Exclude]], 0,4)</f>
        <v/>
      </c>
      <c r="Q142" s="171" t="str" cm="1">
        <f t="array" ref="Q142">Common_InputFunctions.Utility_DisplayArrayInTable(Fertiliser_SourceData.Fertiliser_Products_Data1(),FertiliserProducts[[#Headers],[Include or Exclude]], 0,4)</f>
        <v/>
      </c>
      <c r="R142" s="171" t="str" cm="1">
        <f t="array" ref="R142">Common_InputFunctions.Utility_DisplayArrayInTable(Fertiliser_SourceData.Fertiliser_Products_Data1(),FertiliserProducts[[#Headers],[Include or Exclude]], 0,4)</f>
        <v/>
      </c>
      <c r="S142" s="171" t="str" cm="1">
        <f t="array" ref="S142">Common_InputFunctions.Utility_DisplayArrayInTable(Fertiliser_SourceData.Fertiliser_Products_Data1(),FertiliserProducts[[#Headers],[Include or Exclude]], 0,4)</f>
        <v/>
      </c>
      <c r="T142" s="171" t="str" cm="1">
        <f t="array" ref="T142">Common_InputFunctions.Utility_DisplayArrayInTable(Fertiliser_SourceData.Fertiliser_Products_Data1(),FertiliserProducts[[#Headers],[Include or Exclude]], 0,4)</f>
        <v/>
      </c>
      <c r="U142" s="171" t="str" cm="1">
        <f t="array" ref="U142">Common_InputFunctions.Utility_DisplayArrayInTable(Fertiliser_SourceData.Fertiliser_Products_Data1(),FertiliserProducts[[#Headers],[Include or Exclude]], 0,4)</f>
        <v/>
      </c>
      <c r="V142" s="171" t="str" cm="1">
        <f t="array" ref="V142">Common_InputFunctions.Utility_DisplayArrayInTable(Fertiliser_SourceData.Fertiliser_Products_Data1(),FertiliserProducts[[#Headers],[Include or Exclude]], 0,4)</f>
        <v/>
      </c>
      <c r="W142" s="171" t="str" cm="1">
        <f t="array" ref="W142">Common_InputFunctions.Utility_DisplayArrayInTable(Fertiliser_SourceData.Fertiliser_Products_Data1(),FertiliserProducts[[#Headers],[Include or Exclude]], 0,4)</f>
        <v/>
      </c>
      <c r="X142" s="171" t="str" cm="1">
        <f t="array" ref="X142">Common_InputFunctions.Utility_DisplayArrayInTable(Fertiliser_SourceData.Fertiliser_Products_Data1(),FertiliserProducts[[#Headers],[Include or Exclude]], 0,4)</f>
        <v/>
      </c>
      <c r="Y142" s="171" t="str" cm="1">
        <f t="array" ref="Y142">Common_InputFunctions.Utility_DisplayArrayInTable(Fertiliser_SourceData.Fertiliser_Products_Data1(),FertiliserProducts[[#Headers],[Include or Exclude]], 0,4)</f>
        <v/>
      </c>
      <c r="Z142" s="171" t="str" cm="1">
        <f t="array" ref="Z142">Common_InputFunctions.Utility_DisplayArrayInTable(Fertiliser_SourceData.Fertiliser_Products_Data1(),FertiliserProducts[[#Headers],[Include or Exclude]], 0,4)</f>
        <v/>
      </c>
      <c r="AA142" s="171" t="str" cm="1">
        <f t="array" ref="AA142">Common_InputFunctions.Utility_DisplayArrayInTable(Fertiliser_SourceData.Fertiliser_Products_Data1(),FertiliserProducts[[#Headers],[Include or Exclude]], 0,4)</f>
        <v/>
      </c>
      <c r="AB142" s="171" t="str" cm="1">
        <f t="array" ref="AB142">Common_InputFunctions.Utility_DisplayArrayInTable(Fertiliser_SourceData.Fertiliser_Products_Data1(),FertiliserProducts[[#Headers],[Include or Exclude]], 0,4)</f>
        <v/>
      </c>
      <c r="AC142" s="171" t="str" cm="1">
        <f t="array" ref="AC142">Common_InputFunctions.Utility_DisplayArrayInTable(Fertiliser_SourceData.Fertiliser_Products_Data1(),FertiliserProducts[[#Headers],[Include or Exclude]], 0,4)</f>
        <v/>
      </c>
      <c r="AD142" s="171" t="str" cm="1">
        <f t="array" ref="AD142">Common_InputFunctions.Utility_DisplayArrayInTable(Fertiliser_SourceData.Fertiliser_Products_Data1(),FertiliserProducts[[#Headers],[Include or Exclude]], 0,4)</f>
        <v/>
      </c>
      <c r="AE142" s="171" t="str" cm="1">
        <f t="array" ref="AE142">Common_InputFunctions.Utility_DisplayArrayInTable(Fertiliser_SourceData.Fertiliser_Products_Data1(),FertiliserProducts[[#Headers],[Include or Exclude]], 0,4)</f>
        <v/>
      </c>
    </row>
    <row r="143" spans="4:31" ht="20.100000000000001" customHeight="1" x14ac:dyDescent="0.25">
      <c r="D143" s="171" t="str" cm="1">
        <f t="array" ref="D143">Common_InputFunctions.Utility_DisplayArrayInTable(Fertiliser_SourceData.Fertiliser_Products_Data1(),FertiliserProducts[[#Headers],[Include or Exclude]], -1)</f>
        <v/>
      </c>
      <c r="E143" s="171" t="str" cm="1">
        <f t="array" ref="E143">Common_InputFunctions.Utility_DisplayArrayInTable(Fertiliser_SourceData.Fertiliser_Products_Data1(),FertiliserProducts[[#Headers],[Include or Exclude]], 0)</f>
        <v/>
      </c>
      <c r="F143" s="171" t="str" cm="1">
        <f t="array" ref="F143">Common_InputFunctions.Utility_DisplayArrayInTable(Fertiliser_SourceData.Fertiliser_Products_Data1(),FertiliserProducts[[#Headers],[Include or Exclude]], 0)</f>
        <v/>
      </c>
      <c r="G143" s="171" t="str" cm="1">
        <f t="array" ref="G143">Common_InputFunctions.Utility_DisplayArrayInTable(Fertiliser_SourceData.Fertiliser_Products_Data1(),FertiliserProducts[[#Headers],[Include or Exclude]], 0)</f>
        <v/>
      </c>
      <c r="H143" s="171" t="str" cm="1">
        <f t="array" ref="H143">Common_InputFunctions.Utility_DisplayArrayInTable(Fertiliser_SourceData.Fertiliser_Products_Data1(),FertiliserProducts[[#Headers],[Include or Exclude]], 0,4)</f>
        <v/>
      </c>
      <c r="I143" s="171" t="str" cm="1">
        <f t="array" ref="I143">Common_InputFunctions.Utility_DisplayArrayInTable(Fertiliser_SourceData.Fertiliser_Products_Data1(),FertiliserProducts[[#Headers],[Include or Exclude]], 0,4)</f>
        <v/>
      </c>
      <c r="J143" s="171" t="str" cm="1">
        <f t="array" ref="J143">Common_InputFunctions.Utility_DisplayArrayInTable(Fertiliser_SourceData.Fertiliser_Products_Data1(),FertiliserProducts[[#Headers],[Include or Exclude]], 0,4)</f>
        <v/>
      </c>
      <c r="K143" s="171" t="str" cm="1">
        <f t="array" ref="K143">Common_InputFunctions.Utility_DisplayArrayInTable(Fertiliser_SourceData.Fertiliser_Products_Data1(),FertiliserProducts[[#Headers],[Include or Exclude]], 0,4)</f>
        <v/>
      </c>
      <c r="L143" s="171" t="str" cm="1">
        <f t="array" ref="L143">Common_InputFunctions.Utility_DisplayArrayInTable(Fertiliser_SourceData.Fertiliser_Products_Data1(),FertiliserProducts[[#Headers],[Include or Exclude]], 0,4)</f>
        <v/>
      </c>
      <c r="M143" s="171" t="str" cm="1">
        <f t="array" ref="M143">Common_InputFunctions.Utility_DisplayArrayInTable(Fertiliser_SourceData.Fertiliser_Products_Data1(),FertiliserProducts[[#Headers],[Include or Exclude]], 0,4)</f>
        <v/>
      </c>
      <c r="N143" s="171" t="str" cm="1">
        <f t="array" ref="N143">Common_InputFunctions.Utility_DisplayArrayInTable(Fertiliser_SourceData.Fertiliser_Products_Data1(),FertiliserProducts[[#Headers],[Include or Exclude]], 0,4)</f>
        <v/>
      </c>
      <c r="O143" s="171" t="str" cm="1">
        <f t="array" ref="O143">Common_InputFunctions.Utility_DisplayArrayInTable(Fertiliser_SourceData.Fertiliser_Products_Data1(),FertiliserProducts[[#Headers],[Include or Exclude]], 0,4)</f>
        <v/>
      </c>
      <c r="P143" s="171" t="str" cm="1">
        <f t="array" ref="P143">Common_InputFunctions.Utility_DisplayArrayInTable(Fertiliser_SourceData.Fertiliser_Products_Data1(),FertiliserProducts[[#Headers],[Include or Exclude]], 0,4)</f>
        <v/>
      </c>
      <c r="Q143" s="171" t="str" cm="1">
        <f t="array" ref="Q143">Common_InputFunctions.Utility_DisplayArrayInTable(Fertiliser_SourceData.Fertiliser_Products_Data1(),FertiliserProducts[[#Headers],[Include or Exclude]], 0,4)</f>
        <v/>
      </c>
      <c r="R143" s="171" t="str" cm="1">
        <f t="array" ref="R143">Common_InputFunctions.Utility_DisplayArrayInTable(Fertiliser_SourceData.Fertiliser_Products_Data1(),FertiliserProducts[[#Headers],[Include or Exclude]], 0,4)</f>
        <v/>
      </c>
      <c r="S143" s="171" t="str" cm="1">
        <f t="array" ref="S143">Common_InputFunctions.Utility_DisplayArrayInTable(Fertiliser_SourceData.Fertiliser_Products_Data1(),FertiliserProducts[[#Headers],[Include or Exclude]], 0,4)</f>
        <v/>
      </c>
      <c r="T143" s="171" t="str" cm="1">
        <f t="array" ref="T143">Common_InputFunctions.Utility_DisplayArrayInTable(Fertiliser_SourceData.Fertiliser_Products_Data1(),FertiliserProducts[[#Headers],[Include or Exclude]], 0,4)</f>
        <v/>
      </c>
      <c r="U143" s="171" t="str" cm="1">
        <f t="array" ref="U143">Common_InputFunctions.Utility_DisplayArrayInTable(Fertiliser_SourceData.Fertiliser_Products_Data1(),FertiliserProducts[[#Headers],[Include or Exclude]], 0,4)</f>
        <v/>
      </c>
      <c r="V143" s="171" t="str" cm="1">
        <f t="array" ref="V143">Common_InputFunctions.Utility_DisplayArrayInTable(Fertiliser_SourceData.Fertiliser_Products_Data1(),FertiliserProducts[[#Headers],[Include or Exclude]], 0,4)</f>
        <v/>
      </c>
      <c r="W143" s="171" t="str" cm="1">
        <f t="array" ref="W143">Common_InputFunctions.Utility_DisplayArrayInTable(Fertiliser_SourceData.Fertiliser_Products_Data1(),FertiliserProducts[[#Headers],[Include or Exclude]], 0,4)</f>
        <v/>
      </c>
      <c r="X143" s="171" t="str" cm="1">
        <f t="array" ref="X143">Common_InputFunctions.Utility_DisplayArrayInTable(Fertiliser_SourceData.Fertiliser_Products_Data1(),FertiliserProducts[[#Headers],[Include or Exclude]], 0,4)</f>
        <v/>
      </c>
      <c r="Y143" s="171" t="str" cm="1">
        <f t="array" ref="Y143">Common_InputFunctions.Utility_DisplayArrayInTable(Fertiliser_SourceData.Fertiliser_Products_Data1(),FertiliserProducts[[#Headers],[Include or Exclude]], 0,4)</f>
        <v/>
      </c>
      <c r="Z143" s="171" t="str" cm="1">
        <f t="array" ref="Z143">Common_InputFunctions.Utility_DisplayArrayInTable(Fertiliser_SourceData.Fertiliser_Products_Data1(),FertiliserProducts[[#Headers],[Include or Exclude]], 0,4)</f>
        <v/>
      </c>
      <c r="AA143" s="171" t="str" cm="1">
        <f t="array" ref="AA143">Common_InputFunctions.Utility_DisplayArrayInTable(Fertiliser_SourceData.Fertiliser_Products_Data1(),FertiliserProducts[[#Headers],[Include or Exclude]], 0,4)</f>
        <v/>
      </c>
      <c r="AB143" s="171" t="str" cm="1">
        <f t="array" ref="AB143">Common_InputFunctions.Utility_DisplayArrayInTable(Fertiliser_SourceData.Fertiliser_Products_Data1(),FertiliserProducts[[#Headers],[Include or Exclude]], 0,4)</f>
        <v/>
      </c>
      <c r="AC143" s="171" t="str" cm="1">
        <f t="array" ref="AC143">Common_InputFunctions.Utility_DisplayArrayInTable(Fertiliser_SourceData.Fertiliser_Products_Data1(),FertiliserProducts[[#Headers],[Include or Exclude]], 0,4)</f>
        <v/>
      </c>
      <c r="AD143" s="171" t="str" cm="1">
        <f t="array" ref="AD143">Common_InputFunctions.Utility_DisplayArrayInTable(Fertiliser_SourceData.Fertiliser_Products_Data1(),FertiliserProducts[[#Headers],[Include or Exclude]], 0,4)</f>
        <v/>
      </c>
      <c r="AE143" s="171" t="str" cm="1">
        <f t="array" ref="AE143">Common_InputFunctions.Utility_DisplayArrayInTable(Fertiliser_SourceData.Fertiliser_Products_Data1(),FertiliserProducts[[#Headers],[Include or Exclude]], 0,4)</f>
        <v/>
      </c>
    </row>
    <row r="144" spans="4:31" ht="20.100000000000001" customHeight="1" x14ac:dyDescent="0.25">
      <c r="D144" s="171" t="str" cm="1">
        <f t="array" ref="D144">Common_InputFunctions.Utility_DisplayArrayInTable(Fertiliser_SourceData.Fertiliser_Products_Data1(),FertiliserProducts[[#Headers],[Include or Exclude]], -1)</f>
        <v/>
      </c>
      <c r="E144" s="171" t="str" cm="1">
        <f t="array" ref="E144">Common_InputFunctions.Utility_DisplayArrayInTable(Fertiliser_SourceData.Fertiliser_Products_Data1(),FertiliserProducts[[#Headers],[Include or Exclude]], 0)</f>
        <v/>
      </c>
      <c r="F144" s="171" t="str" cm="1">
        <f t="array" ref="F144">Common_InputFunctions.Utility_DisplayArrayInTable(Fertiliser_SourceData.Fertiliser_Products_Data1(),FertiliserProducts[[#Headers],[Include or Exclude]], 0)</f>
        <v/>
      </c>
      <c r="G144" s="171" t="str" cm="1">
        <f t="array" ref="G144">Common_InputFunctions.Utility_DisplayArrayInTable(Fertiliser_SourceData.Fertiliser_Products_Data1(),FertiliserProducts[[#Headers],[Include or Exclude]], 0)</f>
        <v/>
      </c>
      <c r="H144" s="171" t="str" cm="1">
        <f t="array" ref="H144">Common_InputFunctions.Utility_DisplayArrayInTable(Fertiliser_SourceData.Fertiliser_Products_Data1(),FertiliserProducts[[#Headers],[Include or Exclude]], 0,4)</f>
        <v/>
      </c>
      <c r="I144" s="171" t="str" cm="1">
        <f t="array" ref="I144">Common_InputFunctions.Utility_DisplayArrayInTable(Fertiliser_SourceData.Fertiliser_Products_Data1(),FertiliserProducts[[#Headers],[Include or Exclude]], 0,4)</f>
        <v/>
      </c>
      <c r="J144" s="171" t="str" cm="1">
        <f t="array" ref="J144">Common_InputFunctions.Utility_DisplayArrayInTable(Fertiliser_SourceData.Fertiliser_Products_Data1(),FertiliserProducts[[#Headers],[Include or Exclude]], 0,4)</f>
        <v/>
      </c>
      <c r="K144" s="171" t="str" cm="1">
        <f t="array" ref="K144">Common_InputFunctions.Utility_DisplayArrayInTable(Fertiliser_SourceData.Fertiliser_Products_Data1(),FertiliserProducts[[#Headers],[Include or Exclude]], 0,4)</f>
        <v/>
      </c>
      <c r="L144" s="171" t="str" cm="1">
        <f t="array" ref="L144">Common_InputFunctions.Utility_DisplayArrayInTable(Fertiliser_SourceData.Fertiliser_Products_Data1(),FertiliserProducts[[#Headers],[Include or Exclude]], 0,4)</f>
        <v/>
      </c>
      <c r="M144" s="171" t="str" cm="1">
        <f t="array" ref="M144">Common_InputFunctions.Utility_DisplayArrayInTable(Fertiliser_SourceData.Fertiliser_Products_Data1(),FertiliserProducts[[#Headers],[Include or Exclude]], 0,4)</f>
        <v/>
      </c>
      <c r="N144" s="171" t="str" cm="1">
        <f t="array" ref="N144">Common_InputFunctions.Utility_DisplayArrayInTable(Fertiliser_SourceData.Fertiliser_Products_Data1(),FertiliserProducts[[#Headers],[Include or Exclude]], 0,4)</f>
        <v/>
      </c>
      <c r="O144" s="171" t="str" cm="1">
        <f t="array" ref="O144">Common_InputFunctions.Utility_DisplayArrayInTable(Fertiliser_SourceData.Fertiliser_Products_Data1(),FertiliserProducts[[#Headers],[Include or Exclude]], 0,4)</f>
        <v/>
      </c>
      <c r="P144" s="171" t="str" cm="1">
        <f t="array" ref="P144">Common_InputFunctions.Utility_DisplayArrayInTable(Fertiliser_SourceData.Fertiliser_Products_Data1(),FertiliserProducts[[#Headers],[Include or Exclude]], 0,4)</f>
        <v/>
      </c>
      <c r="Q144" s="171" t="str" cm="1">
        <f t="array" ref="Q144">Common_InputFunctions.Utility_DisplayArrayInTable(Fertiliser_SourceData.Fertiliser_Products_Data1(),FertiliserProducts[[#Headers],[Include or Exclude]], 0,4)</f>
        <v/>
      </c>
      <c r="R144" s="171" t="str" cm="1">
        <f t="array" ref="R144">Common_InputFunctions.Utility_DisplayArrayInTable(Fertiliser_SourceData.Fertiliser_Products_Data1(),FertiliserProducts[[#Headers],[Include or Exclude]], 0,4)</f>
        <v/>
      </c>
      <c r="S144" s="171" t="str" cm="1">
        <f t="array" ref="S144">Common_InputFunctions.Utility_DisplayArrayInTable(Fertiliser_SourceData.Fertiliser_Products_Data1(),FertiliserProducts[[#Headers],[Include or Exclude]], 0,4)</f>
        <v/>
      </c>
      <c r="T144" s="171" t="str" cm="1">
        <f t="array" ref="T144">Common_InputFunctions.Utility_DisplayArrayInTable(Fertiliser_SourceData.Fertiliser_Products_Data1(),FertiliserProducts[[#Headers],[Include or Exclude]], 0,4)</f>
        <v/>
      </c>
      <c r="U144" s="171" t="str" cm="1">
        <f t="array" ref="U144">Common_InputFunctions.Utility_DisplayArrayInTable(Fertiliser_SourceData.Fertiliser_Products_Data1(),FertiliserProducts[[#Headers],[Include or Exclude]], 0,4)</f>
        <v/>
      </c>
      <c r="V144" s="171" t="str" cm="1">
        <f t="array" ref="V144">Common_InputFunctions.Utility_DisplayArrayInTable(Fertiliser_SourceData.Fertiliser_Products_Data1(),FertiliserProducts[[#Headers],[Include or Exclude]], 0,4)</f>
        <v/>
      </c>
      <c r="W144" s="171" t="str" cm="1">
        <f t="array" ref="W144">Common_InputFunctions.Utility_DisplayArrayInTable(Fertiliser_SourceData.Fertiliser_Products_Data1(),FertiliserProducts[[#Headers],[Include or Exclude]], 0,4)</f>
        <v/>
      </c>
      <c r="X144" s="171" t="str" cm="1">
        <f t="array" ref="X144">Common_InputFunctions.Utility_DisplayArrayInTable(Fertiliser_SourceData.Fertiliser_Products_Data1(),FertiliserProducts[[#Headers],[Include or Exclude]], 0,4)</f>
        <v/>
      </c>
      <c r="Y144" s="171" t="str" cm="1">
        <f t="array" ref="Y144">Common_InputFunctions.Utility_DisplayArrayInTable(Fertiliser_SourceData.Fertiliser_Products_Data1(),FertiliserProducts[[#Headers],[Include or Exclude]], 0,4)</f>
        <v/>
      </c>
      <c r="Z144" s="171" t="str" cm="1">
        <f t="array" ref="Z144">Common_InputFunctions.Utility_DisplayArrayInTable(Fertiliser_SourceData.Fertiliser_Products_Data1(),FertiliserProducts[[#Headers],[Include or Exclude]], 0,4)</f>
        <v/>
      </c>
      <c r="AA144" s="171" t="str" cm="1">
        <f t="array" ref="AA144">Common_InputFunctions.Utility_DisplayArrayInTable(Fertiliser_SourceData.Fertiliser_Products_Data1(),FertiliserProducts[[#Headers],[Include or Exclude]], 0,4)</f>
        <v/>
      </c>
      <c r="AB144" s="171" t="str" cm="1">
        <f t="array" ref="AB144">Common_InputFunctions.Utility_DisplayArrayInTable(Fertiliser_SourceData.Fertiliser_Products_Data1(),FertiliserProducts[[#Headers],[Include or Exclude]], 0,4)</f>
        <v/>
      </c>
      <c r="AC144" s="171" t="str" cm="1">
        <f t="array" ref="AC144">Common_InputFunctions.Utility_DisplayArrayInTable(Fertiliser_SourceData.Fertiliser_Products_Data1(),FertiliserProducts[[#Headers],[Include or Exclude]], 0,4)</f>
        <v/>
      </c>
      <c r="AD144" s="171" t="str" cm="1">
        <f t="array" ref="AD144">Common_InputFunctions.Utility_DisplayArrayInTable(Fertiliser_SourceData.Fertiliser_Products_Data1(),FertiliserProducts[[#Headers],[Include or Exclude]], 0,4)</f>
        <v/>
      </c>
      <c r="AE144" s="171" t="str" cm="1">
        <f t="array" ref="AE144">Common_InputFunctions.Utility_DisplayArrayInTable(Fertiliser_SourceData.Fertiliser_Products_Data1(),FertiliserProducts[[#Headers],[Include or Exclude]], 0,4)</f>
        <v/>
      </c>
    </row>
    <row r="145" spans="4:31" ht="20.100000000000001" customHeight="1" x14ac:dyDescent="0.25">
      <c r="D145" s="171" t="str" cm="1">
        <f t="array" ref="D145">Common_InputFunctions.Utility_DisplayArrayInTable(Fertiliser_SourceData.Fertiliser_Products_Data1(),FertiliserProducts[[#Headers],[Include or Exclude]], -1)</f>
        <v/>
      </c>
      <c r="E145" s="171" t="str" cm="1">
        <f t="array" ref="E145">Common_InputFunctions.Utility_DisplayArrayInTable(Fertiliser_SourceData.Fertiliser_Products_Data1(),FertiliserProducts[[#Headers],[Include or Exclude]], 0)</f>
        <v/>
      </c>
      <c r="F145" s="171" t="str" cm="1">
        <f t="array" ref="F145">Common_InputFunctions.Utility_DisplayArrayInTable(Fertiliser_SourceData.Fertiliser_Products_Data1(),FertiliserProducts[[#Headers],[Include or Exclude]], 0)</f>
        <v/>
      </c>
      <c r="G145" s="171" t="str" cm="1">
        <f t="array" ref="G145">Common_InputFunctions.Utility_DisplayArrayInTable(Fertiliser_SourceData.Fertiliser_Products_Data1(),FertiliserProducts[[#Headers],[Include or Exclude]], 0)</f>
        <v/>
      </c>
      <c r="H145" s="171" t="str" cm="1">
        <f t="array" ref="H145">Common_InputFunctions.Utility_DisplayArrayInTable(Fertiliser_SourceData.Fertiliser_Products_Data1(),FertiliserProducts[[#Headers],[Include or Exclude]], 0,4)</f>
        <v/>
      </c>
      <c r="I145" s="171" t="str" cm="1">
        <f t="array" ref="I145">Common_InputFunctions.Utility_DisplayArrayInTable(Fertiliser_SourceData.Fertiliser_Products_Data1(),FertiliserProducts[[#Headers],[Include or Exclude]], 0,4)</f>
        <v/>
      </c>
      <c r="J145" s="171" t="str" cm="1">
        <f t="array" ref="J145">Common_InputFunctions.Utility_DisplayArrayInTable(Fertiliser_SourceData.Fertiliser_Products_Data1(),FertiliserProducts[[#Headers],[Include or Exclude]], 0,4)</f>
        <v/>
      </c>
      <c r="K145" s="171" t="str" cm="1">
        <f t="array" ref="K145">Common_InputFunctions.Utility_DisplayArrayInTable(Fertiliser_SourceData.Fertiliser_Products_Data1(),FertiliserProducts[[#Headers],[Include or Exclude]], 0,4)</f>
        <v/>
      </c>
      <c r="L145" s="171" t="str" cm="1">
        <f t="array" ref="L145">Common_InputFunctions.Utility_DisplayArrayInTable(Fertiliser_SourceData.Fertiliser_Products_Data1(),FertiliserProducts[[#Headers],[Include or Exclude]], 0,4)</f>
        <v/>
      </c>
      <c r="M145" s="171" t="str" cm="1">
        <f t="array" ref="M145">Common_InputFunctions.Utility_DisplayArrayInTable(Fertiliser_SourceData.Fertiliser_Products_Data1(),FertiliserProducts[[#Headers],[Include or Exclude]], 0,4)</f>
        <v/>
      </c>
      <c r="N145" s="171" t="str" cm="1">
        <f t="array" ref="N145">Common_InputFunctions.Utility_DisplayArrayInTable(Fertiliser_SourceData.Fertiliser_Products_Data1(),FertiliserProducts[[#Headers],[Include or Exclude]], 0,4)</f>
        <v/>
      </c>
      <c r="O145" s="171" t="str" cm="1">
        <f t="array" ref="O145">Common_InputFunctions.Utility_DisplayArrayInTable(Fertiliser_SourceData.Fertiliser_Products_Data1(),FertiliserProducts[[#Headers],[Include or Exclude]], 0,4)</f>
        <v/>
      </c>
      <c r="P145" s="171" t="str" cm="1">
        <f t="array" ref="P145">Common_InputFunctions.Utility_DisplayArrayInTable(Fertiliser_SourceData.Fertiliser_Products_Data1(),FertiliserProducts[[#Headers],[Include or Exclude]], 0,4)</f>
        <v/>
      </c>
      <c r="Q145" s="171" t="str" cm="1">
        <f t="array" ref="Q145">Common_InputFunctions.Utility_DisplayArrayInTable(Fertiliser_SourceData.Fertiliser_Products_Data1(),FertiliserProducts[[#Headers],[Include or Exclude]], 0,4)</f>
        <v/>
      </c>
      <c r="R145" s="171" t="str" cm="1">
        <f t="array" ref="R145">Common_InputFunctions.Utility_DisplayArrayInTable(Fertiliser_SourceData.Fertiliser_Products_Data1(),FertiliserProducts[[#Headers],[Include or Exclude]], 0,4)</f>
        <v/>
      </c>
      <c r="S145" s="171" t="str" cm="1">
        <f t="array" ref="S145">Common_InputFunctions.Utility_DisplayArrayInTable(Fertiliser_SourceData.Fertiliser_Products_Data1(),FertiliserProducts[[#Headers],[Include or Exclude]], 0,4)</f>
        <v/>
      </c>
      <c r="T145" s="171" t="str" cm="1">
        <f t="array" ref="T145">Common_InputFunctions.Utility_DisplayArrayInTable(Fertiliser_SourceData.Fertiliser_Products_Data1(),FertiliserProducts[[#Headers],[Include or Exclude]], 0,4)</f>
        <v/>
      </c>
      <c r="U145" s="171" t="str" cm="1">
        <f t="array" ref="U145">Common_InputFunctions.Utility_DisplayArrayInTable(Fertiliser_SourceData.Fertiliser_Products_Data1(),FertiliserProducts[[#Headers],[Include or Exclude]], 0,4)</f>
        <v/>
      </c>
      <c r="V145" s="171" t="str" cm="1">
        <f t="array" ref="V145">Common_InputFunctions.Utility_DisplayArrayInTable(Fertiliser_SourceData.Fertiliser_Products_Data1(),FertiliserProducts[[#Headers],[Include or Exclude]], 0,4)</f>
        <v/>
      </c>
      <c r="W145" s="171" t="str" cm="1">
        <f t="array" ref="W145">Common_InputFunctions.Utility_DisplayArrayInTable(Fertiliser_SourceData.Fertiliser_Products_Data1(),FertiliserProducts[[#Headers],[Include or Exclude]], 0,4)</f>
        <v/>
      </c>
      <c r="X145" s="171" t="str" cm="1">
        <f t="array" ref="X145">Common_InputFunctions.Utility_DisplayArrayInTable(Fertiliser_SourceData.Fertiliser_Products_Data1(),FertiliserProducts[[#Headers],[Include or Exclude]], 0,4)</f>
        <v/>
      </c>
      <c r="Y145" s="171" t="str" cm="1">
        <f t="array" ref="Y145">Common_InputFunctions.Utility_DisplayArrayInTable(Fertiliser_SourceData.Fertiliser_Products_Data1(),FertiliserProducts[[#Headers],[Include or Exclude]], 0,4)</f>
        <v/>
      </c>
      <c r="Z145" s="171" t="str" cm="1">
        <f t="array" ref="Z145">Common_InputFunctions.Utility_DisplayArrayInTable(Fertiliser_SourceData.Fertiliser_Products_Data1(),FertiliserProducts[[#Headers],[Include or Exclude]], 0,4)</f>
        <v/>
      </c>
      <c r="AA145" s="171" t="str" cm="1">
        <f t="array" ref="AA145">Common_InputFunctions.Utility_DisplayArrayInTable(Fertiliser_SourceData.Fertiliser_Products_Data1(),FertiliserProducts[[#Headers],[Include or Exclude]], 0,4)</f>
        <v/>
      </c>
      <c r="AB145" s="171" t="str" cm="1">
        <f t="array" ref="AB145">Common_InputFunctions.Utility_DisplayArrayInTable(Fertiliser_SourceData.Fertiliser_Products_Data1(),FertiliserProducts[[#Headers],[Include or Exclude]], 0,4)</f>
        <v/>
      </c>
      <c r="AC145" s="171" t="str" cm="1">
        <f t="array" ref="AC145">Common_InputFunctions.Utility_DisplayArrayInTable(Fertiliser_SourceData.Fertiliser_Products_Data1(),FertiliserProducts[[#Headers],[Include or Exclude]], 0,4)</f>
        <v/>
      </c>
      <c r="AD145" s="171" t="str" cm="1">
        <f t="array" ref="AD145">Common_InputFunctions.Utility_DisplayArrayInTable(Fertiliser_SourceData.Fertiliser_Products_Data1(),FertiliserProducts[[#Headers],[Include or Exclude]], 0,4)</f>
        <v/>
      </c>
      <c r="AE145" s="171" t="str" cm="1">
        <f t="array" ref="AE145">Common_InputFunctions.Utility_DisplayArrayInTable(Fertiliser_SourceData.Fertiliser_Products_Data1(),FertiliserProducts[[#Headers],[Include or Exclude]], 0,4)</f>
        <v/>
      </c>
    </row>
    <row r="146" spans="4:31" ht="20.100000000000001" customHeight="1" x14ac:dyDescent="0.25">
      <c r="D146" s="171" t="str" cm="1">
        <f t="array" ref="D146">Common_InputFunctions.Utility_DisplayArrayInTable(Fertiliser_SourceData.Fertiliser_Products_Data1(),FertiliserProducts[[#Headers],[Include or Exclude]], -1)</f>
        <v/>
      </c>
      <c r="E146" s="171" t="str" cm="1">
        <f t="array" ref="E146">Common_InputFunctions.Utility_DisplayArrayInTable(Fertiliser_SourceData.Fertiliser_Products_Data1(),FertiliserProducts[[#Headers],[Include or Exclude]], 0)</f>
        <v/>
      </c>
      <c r="F146" s="171" t="str" cm="1">
        <f t="array" ref="F146">Common_InputFunctions.Utility_DisplayArrayInTable(Fertiliser_SourceData.Fertiliser_Products_Data1(),FertiliserProducts[[#Headers],[Include or Exclude]], 0)</f>
        <v/>
      </c>
      <c r="G146" s="171" t="str" cm="1">
        <f t="array" ref="G146">Common_InputFunctions.Utility_DisplayArrayInTable(Fertiliser_SourceData.Fertiliser_Products_Data1(),FertiliserProducts[[#Headers],[Include or Exclude]], 0)</f>
        <v/>
      </c>
      <c r="H146" s="171" t="str" cm="1">
        <f t="array" ref="H146">Common_InputFunctions.Utility_DisplayArrayInTable(Fertiliser_SourceData.Fertiliser_Products_Data1(),FertiliserProducts[[#Headers],[Include or Exclude]], 0,4)</f>
        <v/>
      </c>
      <c r="I146" s="171" t="str" cm="1">
        <f t="array" ref="I146">Common_InputFunctions.Utility_DisplayArrayInTable(Fertiliser_SourceData.Fertiliser_Products_Data1(),FertiliserProducts[[#Headers],[Include or Exclude]], 0,4)</f>
        <v/>
      </c>
      <c r="J146" s="171" t="str" cm="1">
        <f t="array" ref="J146">Common_InputFunctions.Utility_DisplayArrayInTable(Fertiliser_SourceData.Fertiliser_Products_Data1(),FertiliserProducts[[#Headers],[Include or Exclude]], 0,4)</f>
        <v/>
      </c>
      <c r="K146" s="171" t="str" cm="1">
        <f t="array" ref="K146">Common_InputFunctions.Utility_DisplayArrayInTable(Fertiliser_SourceData.Fertiliser_Products_Data1(),FertiliserProducts[[#Headers],[Include or Exclude]], 0,4)</f>
        <v/>
      </c>
      <c r="L146" s="171" t="str" cm="1">
        <f t="array" ref="L146">Common_InputFunctions.Utility_DisplayArrayInTable(Fertiliser_SourceData.Fertiliser_Products_Data1(),FertiliserProducts[[#Headers],[Include or Exclude]], 0,4)</f>
        <v/>
      </c>
      <c r="M146" s="171" t="str" cm="1">
        <f t="array" ref="M146">Common_InputFunctions.Utility_DisplayArrayInTable(Fertiliser_SourceData.Fertiliser_Products_Data1(),FertiliserProducts[[#Headers],[Include or Exclude]], 0,4)</f>
        <v/>
      </c>
      <c r="N146" s="171" t="str" cm="1">
        <f t="array" ref="N146">Common_InputFunctions.Utility_DisplayArrayInTable(Fertiliser_SourceData.Fertiliser_Products_Data1(),FertiliserProducts[[#Headers],[Include or Exclude]], 0,4)</f>
        <v/>
      </c>
      <c r="O146" s="171" t="str" cm="1">
        <f t="array" ref="O146">Common_InputFunctions.Utility_DisplayArrayInTable(Fertiliser_SourceData.Fertiliser_Products_Data1(),FertiliserProducts[[#Headers],[Include or Exclude]], 0,4)</f>
        <v/>
      </c>
      <c r="P146" s="171" t="str" cm="1">
        <f t="array" ref="P146">Common_InputFunctions.Utility_DisplayArrayInTable(Fertiliser_SourceData.Fertiliser_Products_Data1(),FertiliserProducts[[#Headers],[Include or Exclude]], 0,4)</f>
        <v/>
      </c>
      <c r="Q146" s="171" t="str" cm="1">
        <f t="array" ref="Q146">Common_InputFunctions.Utility_DisplayArrayInTable(Fertiliser_SourceData.Fertiliser_Products_Data1(),FertiliserProducts[[#Headers],[Include or Exclude]], 0,4)</f>
        <v/>
      </c>
      <c r="R146" s="171" t="str" cm="1">
        <f t="array" ref="R146">Common_InputFunctions.Utility_DisplayArrayInTable(Fertiliser_SourceData.Fertiliser_Products_Data1(),FertiliserProducts[[#Headers],[Include or Exclude]], 0,4)</f>
        <v/>
      </c>
      <c r="S146" s="171" t="str" cm="1">
        <f t="array" ref="S146">Common_InputFunctions.Utility_DisplayArrayInTable(Fertiliser_SourceData.Fertiliser_Products_Data1(),FertiliserProducts[[#Headers],[Include or Exclude]], 0,4)</f>
        <v/>
      </c>
      <c r="T146" s="171" t="str" cm="1">
        <f t="array" ref="T146">Common_InputFunctions.Utility_DisplayArrayInTable(Fertiliser_SourceData.Fertiliser_Products_Data1(),FertiliserProducts[[#Headers],[Include or Exclude]], 0,4)</f>
        <v/>
      </c>
      <c r="U146" s="171" t="str" cm="1">
        <f t="array" ref="U146">Common_InputFunctions.Utility_DisplayArrayInTable(Fertiliser_SourceData.Fertiliser_Products_Data1(),FertiliserProducts[[#Headers],[Include or Exclude]], 0,4)</f>
        <v/>
      </c>
      <c r="V146" s="171" t="str" cm="1">
        <f t="array" ref="V146">Common_InputFunctions.Utility_DisplayArrayInTable(Fertiliser_SourceData.Fertiliser_Products_Data1(),FertiliserProducts[[#Headers],[Include or Exclude]], 0,4)</f>
        <v/>
      </c>
      <c r="W146" s="171" t="str" cm="1">
        <f t="array" ref="W146">Common_InputFunctions.Utility_DisplayArrayInTable(Fertiliser_SourceData.Fertiliser_Products_Data1(),FertiliserProducts[[#Headers],[Include or Exclude]], 0,4)</f>
        <v/>
      </c>
      <c r="X146" s="171" t="str" cm="1">
        <f t="array" ref="X146">Common_InputFunctions.Utility_DisplayArrayInTable(Fertiliser_SourceData.Fertiliser_Products_Data1(),FertiliserProducts[[#Headers],[Include or Exclude]], 0,4)</f>
        <v/>
      </c>
      <c r="Y146" s="171" t="str" cm="1">
        <f t="array" ref="Y146">Common_InputFunctions.Utility_DisplayArrayInTable(Fertiliser_SourceData.Fertiliser_Products_Data1(),FertiliserProducts[[#Headers],[Include or Exclude]], 0,4)</f>
        <v/>
      </c>
      <c r="Z146" s="171" t="str" cm="1">
        <f t="array" ref="Z146">Common_InputFunctions.Utility_DisplayArrayInTable(Fertiliser_SourceData.Fertiliser_Products_Data1(),FertiliserProducts[[#Headers],[Include or Exclude]], 0,4)</f>
        <v/>
      </c>
      <c r="AA146" s="171" t="str" cm="1">
        <f t="array" ref="AA146">Common_InputFunctions.Utility_DisplayArrayInTable(Fertiliser_SourceData.Fertiliser_Products_Data1(),FertiliserProducts[[#Headers],[Include or Exclude]], 0,4)</f>
        <v/>
      </c>
      <c r="AB146" s="171" t="str" cm="1">
        <f t="array" ref="AB146">Common_InputFunctions.Utility_DisplayArrayInTable(Fertiliser_SourceData.Fertiliser_Products_Data1(),FertiliserProducts[[#Headers],[Include or Exclude]], 0,4)</f>
        <v/>
      </c>
      <c r="AC146" s="171" t="str" cm="1">
        <f t="array" ref="AC146">Common_InputFunctions.Utility_DisplayArrayInTable(Fertiliser_SourceData.Fertiliser_Products_Data1(),FertiliserProducts[[#Headers],[Include or Exclude]], 0,4)</f>
        <v/>
      </c>
      <c r="AD146" s="171" t="str" cm="1">
        <f t="array" ref="AD146">Common_InputFunctions.Utility_DisplayArrayInTable(Fertiliser_SourceData.Fertiliser_Products_Data1(),FertiliserProducts[[#Headers],[Include or Exclude]], 0,4)</f>
        <v/>
      </c>
      <c r="AE146" s="171" t="str" cm="1">
        <f t="array" ref="AE146">Common_InputFunctions.Utility_DisplayArrayInTable(Fertiliser_SourceData.Fertiliser_Products_Data1(),FertiliserProducts[[#Headers],[Include or Exclude]], 0,4)</f>
        <v/>
      </c>
    </row>
    <row r="147" spans="4:31" ht="20.100000000000001" customHeight="1" x14ac:dyDescent="0.25">
      <c r="D147" s="171" t="str" cm="1">
        <f t="array" ref="D147">Common_InputFunctions.Utility_DisplayArrayInTable(Fertiliser_SourceData.Fertiliser_Products_Data1(),FertiliserProducts[[#Headers],[Include or Exclude]], -1)</f>
        <v/>
      </c>
      <c r="E147" s="171" t="str" cm="1">
        <f t="array" ref="E147">Common_InputFunctions.Utility_DisplayArrayInTable(Fertiliser_SourceData.Fertiliser_Products_Data1(),FertiliserProducts[[#Headers],[Include or Exclude]], 0)</f>
        <v/>
      </c>
      <c r="F147" s="171" t="str" cm="1">
        <f t="array" ref="F147">Common_InputFunctions.Utility_DisplayArrayInTable(Fertiliser_SourceData.Fertiliser_Products_Data1(),FertiliserProducts[[#Headers],[Include or Exclude]], 0)</f>
        <v/>
      </c>
      <c r="G147" s="171" t="str" cm="1">
        <f t="array" ref="G147">Common_InputFunctions.Utility_DisplayArrayInTable(Fertiliser_SourceData.Fertiliser_Products_Data1(),FertiliserProducts[[#Headers],[Include or Exclude]], 0)</f>
        <v/>
      </c>
      <c r="H147" s="171" t="str" cm="1">
        <f t="array" ref="H147">Common_InputFunctions.Utility_DisplayArrayInTable(Fertiliser_SourceData.Fertiliser_Products_Data1(),FertiliserProducts[[#Headers],[Include or Exclude]], 0,4)</f>
        <v/>
      </c>
      <c r="I147" s="171" t="str" cm="1">
        <f t="array" ref="I147">Common_InputFunctions.Utility_DisplayArrayInTable(Fertiliser_SourceData.Fertiliser_Products_Data1(),FertiliserProducts[[#Headers],[Include or Exclude]], 0,4)</f>
        <v/>
      </c>
      <c r="J147" s="171" t="str" cm="1">
        <f t="array" ref="J147">Common_InputFunctions.Utility_DisplayArrayInTable(Fertiliser_SourceData.Fertiliser_Products_Data1(),FertiliserProducts[[#Headers],[Include or Exclude]], 0,4)</f>
        <v/>
      </c>
      <c r="K147" s="171" t="str" cm="1">
        <f t="array" ref="K147">Common_InputFunctions.Utility_DisplayArrayInTable(Fertiliser_SourceData.Fertiliser_Products_Data1(),FertiliserProducts[[#Headers],[Include or Exclude]], 0,4)</f>
        <v/>
      </c>
      <c r="L147" s="171" t="str" cm="1">
        <f t="array" ref="L147">Common_InputFunctions.Utility_DisplayArrayInTable(Fertiliser_SourceData.Fertiliser_Products_Data1(),FertiliserProducts[[#Headers],[Include or Exclude]], 0,4)</f>
        <v/>
      </c>
      <c r="M147" s="171" t="str" cm="1">
        <f t="array" ref="M147">Common_InputFunctions.Utility_DisplayArrayInTable(Fertiliser_SourceData.Fertiliser_Products_Data1(),FertiliserProducts[[#Headers],[Include or Exclude]], 0,4)</f>
        <v/>
      </c>
      <c r="N147" s="171" t="str" cm="1">
        <f t="array" ref="N147">Common_InputFunctions.Utility_DisplayArrayInTable(Fertiliser_SourceData.Fertiliser_Products_Data1(),FertiliserProducts[[#Headers],[Include or Exclude]], 0,4)</f>
        <v/>
      </c>
      <c r="O147" s="171" t="str" cm="1">
        <f t="array" ref="O147">Common_InputFunctions.Utility_DisplayArrayInTable(Fertiliser_SourceData.Fertiliser_Products_Data1(),FertiliserProducts[[#Headers],[Include or Exclude]], 0,4)</f>
        <v/>
      </c>
      <c r="P147" s="171" t="str" cm="1">
        <f t="array" ref="P147">Common_InputFunctions.Utility_DisplayArrayInTable(Fertiliser_SourceData.Fertiliser_Products_Data1(),FertiliserProducts[[#Headers],[Include or Exclude]], 0,4)</f>
        <v/>
      </c>
      <c r="Q147" s="171" t="str" cm="1">
        <f t="array" ref="Q147">Common_InputFunctions.Utility_DisplayArrayInTable(Fertiliser_SourceData.Fertiliser_Products_Data1(),FertiliserProducts[[#Headers],[Include or Exclude]], 0,4)</f>
        <v/>
      </c>
      <c r="R147" s="171" t="str" cm="1">
        <f t="array" ref="R147">Common_InputFunctions.Utility_DisplayArrayInTable(Fertiliser_SourceData.Fertiliser_Products_Data1(),FertiliserProducts[[#Headers],[Include or Exclude]], 0,4)</f>
        <v/>
      </c>
      <c r="S147" s="171" t="str" cm="1">
        <f t="array" ref="S147">Common_InputFunctions.Utility_DisplayArrayInTable(Fertiliser_SourceData.Fertiliser_Products_Data1(),FertiliserProducts[[#Headers],[Include or Exclude]], 0,4)</f>
        <v/>
      </c>
      <c r="T147" s="171" t="str" cm="1">
        <f t="array" ref="T147">Common_InputFunctions.Utility_DisplayArrayInTable(Fertiliser_SourceData.Fertiliser_Products_Data1(),FertiliserProducts[[#Headers],[Include or Exclude]], 0,4)</f>
        <v/>
      </c>
      <c r="U147" s="171" t="str" cm="1">
        <f t="array" ref="U147">Common_InputFunctions.Utility_DisplayArrayInTable(Fertiliser_SourceData.Fertiliser_Products_Data1(),FertiliserProducts[[#Headers],[Include or Exclude]], 0,4)</f>
        <v/>
      </c>
      <c r="V147" s="171" t="str" cm="1">
        <f t="array" ref="V147">Common_InputFunctions.Utility_DisplayArrayInTable(Fertiliser_SourceData.Fertiliser_Products_Data1(),FertiliserProducts[[#Headers],[Include or Exclude]], 0,4)</f>
        <v/>
      </c>
      <c r="W147" s="171" t="str" cm="1">
        <f t="array" ref="W147">Common_InputFunctions.Utility_DisplayArrayInTable(Fertiliser_SourceData.Fertiliser_Products_Data1(),FertiliserProducts[[#Headers],[Include or Exclude]], 0,4)</f>
        <v/>
      </c>
      <c r="X147" s="171" t="str" cm="1">
        <f t="array" ref="X147">Common_InputFunctions.Utility_DisplayArrayInTable(Fertiliser_SourceData.Fertiliser_Products_Data1(),FertiliserProducts[[#Headers],[Include or Exclude]], 0,4)</f>
        <v/>
      </c>
      <c r="Y147" s="171" t="str" cm="1">
        <f t="array" ref="Y147">Common_InputFunctions.Utility_DisplayArrayInTable(Fertiliser_SourceData.Fertiliser_Products_Data1(),FertiliserProducts[[#Headers],[Include or Exclude]], 0,4)</f>
        <v/>
      </c>
      <c r="Z147" s="171" t="str" cm="1">
        <f t="array" ref="Z147">Common_InputFunctions.Utility_DisplayArrayInTable(Fertiliser_SourceData.Fertiliser_Products_Data1(),FertiliserProducts[[#Headers],[Include or Exclude]], 0,4)</f>
        <v/>
      </c>
      <c r="AA147" s="171" t="str" cm="1">
        <f t="array" ref="AA147">Common_InputFunctions.Utility_DisplayArrayInTable(Fertiliser_SourceData.Fertiliser_Products_Data1(),FertiliserProducts[[#Headers],[Include or Exclude]], 0,4)</f>
        <v/>
      </c>
      <c r="AB147" s="171" t="str" cm="1">
        <f t="array" ref="AB147">Common_InputFunctions.Utility_DisplayArrayInTable(Fertiliser_SourceData.Fertiliser_Products_Data1(),FertiliserProducts[[#Headers],[Include or Exclude]], 0,4)</f>
        <v/>
      </c>
      <c r="AC147" s="171" t="str" cm="1">
        <f t="array" ref="AC147">Common_InputFunctions.Utility_DisplayArrayInTable(Fertiliser_SourceData.Fertiliser_Products_Data1(),FertiliserProducts[[#Headers],[Include or Exclude]], 0,4)</f>
        <v/>
      </c>
      <c r="AD147" s="171" t="str" cm="1">
        <f t="array" ref="AD147">Common_InputFunctions.Utility_DisplayArrayInTable(Fertiliser_SourceData.Fertiliser_Products_Data1(),FertiliserProducts[[#Headers],[Include or Exclude]], 0,4)</f>
        <v/>
      </c>
      <c r="AE147" s="171" t="str" cm="1">
        <f t="array" ref="AE147">Common_InputFunctions.Utility_DisplayArrayInTable(Fertiliser_SourceData.Fertiliser_Products_Data1(),FertiliserProducts[[#Headers],[Include or Exclude]], 0,4)</f>
        <v/>
      </c>
    </row>
    <row r="148" spans="4:31" ht="20.100000000000001" customHeight="1" x14ac:dyDescent="0.25">
      <c r="D148" s="171" t="str" cm="1">
        <f t="array" ref="D148">Common_InputFunctions.Utility_DisplayArrayInTable(Fertiliser_SourceData.Fertiliser_Products_Data1(),FertiliserProducts[[#Headers],[Include or Exclude]], -1)</f>
        <v/>
      </c>
      <c r="E148" s="171" t="str" cm="1">
        <f t="array" ref="E148">Common_InputFunctions.Utility_DisplayArrayInTable(Fertiliser_SourceData.Fertiliser_Products_Data1(),FertiliserProducts[[#Headers],[Include or Exclude]], 0)</f>
        <v/>
      </c>
      <c r="F148" s="171" t="str" cm="1">
        <f t="array" ref="F148">Common_InputFunctions.Utility_DisplayArrayInTable(Fertiliser_SourceData.Fertiliser_Products_Data1(),FertiliserProducts[[#Headers],[Include or Exclude]], 0)</f>
        <v/>
      </c>
      <c r="G148" s="171" t="str" cm="1">
        <f t="array" ref="G148">Common_InputFunctions.Utility_DisplayArrayInTable(Fertiliser_SourceData.Fertiliser_Products_Data1(),FertiliserProducts[[#Headers],[Include or Exclude]], 0)</f>
        <v/>
      </c>
      <c r="H148" s="171" t="str" cm="1">
        <f t="array" ref="H148">Common_InputFunctions.Utility_DisplayArrayInTable(Fertiliser_SourceData.Fertiliser_Products_Data1(),FertiliserProducts[[#Headers],[Include or Exclude]], 0,4)</f>
        <v/>
      </c>
      <c r="I148" s="171" t="str" cm="1">
        <f t="array" ref="I148">Common_InputFunctions.Utility_DisplayArrayInTable(Fertiliser_SourceData.Fertiliser_Products_Data1(),FertiliserProducts[[#Headers],[Include or Exclude]], 0,4)</f>
        <v/>
      </c>
      <c r="J148" s="171" t="str" cm="1">
        <f t="array" ref="J148">Common_InputFunctions.Utility_DisplayArrayInTable(Fertiliser_SourceData.Fertiliser_Products_Data1(),FertiliserProducts[[#Headers],[Include or Exclude]], 0,4)</f>
        <v/>
      </c>
      <c r="K148" s="171" t="str" cm="1">
        <f t="array" ref="K148">Common_InputFunctions.Utility_DisplayArrayInTable(Fertiliser_SourceData.Fertiliser_Products_Data1(),FertiliserProducts[[#Headers],[Include or Exclude]], 0,4)</f>
        <v/>
      </c>
      <c r="L148" s="171" t="str" cm="1">
        <f t="array" ref="L148">Common_InputFunctions.Utility_DisplayArrayInTable(Fertiliser_SourceData.Fertiliser_Products_Data1(),FertiliserProducts[[#Headers],[Include or Exclude]], 0,4)</f>
        <v/>
      </c>
      <c r="M148" s="171" t="str" cm="1">
        <f t="array" ref="M148">Common_InputFunctions.Utility_DisplayArrayInTable(Fertiliser_SourceData.Fertiliser_Products_Data1(),FertiliserProducts[[#Headers],[Include or Exclude]], 0,4)</f>
        <v/>
      </c>
      <c r="N148" s="171" t="str" cm="1">
        <f t="array" ref="N148">Common_InputFunctions.Utility_DisplayArrayInTable(Fertiliser_SourceData.Fertiliser_Products_Data1(),FertiliserProducts[[#Headers],[Include or Exclude]], 0,4)</f>
        <v/>
      </c>
      <c r="O148" s="171" t="str" cm="1">
        <f t="array" ref="O148">Common_InputFunctions.Utility_DisplayArrayInTable(Fertiliser_SourceData.Fertiliser_Products_Data1(),FertiliserProducts[[#Headers],[Include or Exclude]], 0,4)</f>
        <v/>
      </c>
      <c r="P148" s="171" t="str" cm="1">
        <f t="array" ref="P148">Common_InputFunctions.Utility_DisplayArrayInTable(Fertiliser_SourceData.Fertiliser_Products_Data1(),FertiliserProducts[[#Headers],[Include or Exclude]], 0,4)</f>
        <v/>
      </c>
      <c r="Q148" s="171" t="str" cm="1">
        <f t="array" ref="Q148">Common_InputFunctions.Utility_DisplayArrayInTable(Fertiliser_SourceData.Fertiliser_Products_Data1(),FertiliserProducts[[#Headers],[Include or Exclude]], 0,4)</f>
        <v/>
      </c>
      <c r="R148" s="171" t="str" cm="1">
        <f t="array" ref="R148">Common_InputFunctions.Utility_DisplayArrayInTable(Fertiliser_SourceData.Fertiliser_Products_Data1(),FertiliserProducts[[#Headers],[Include or Exclude]], 0,4)</f>
        <v/>
      </c>
      <c r="S148" s="171" t="str" cm="1">
        <f t="array" ref="S148">Common_InputFunctions.Utility_DisplayArrayInTable(Fertiliser_SourceData.Fertiliser_Products_Data1(),FertiliserProducts[[#Headers],[Include or Exclude]], 0,4)</f>
        <v/>
      </c>
      <c r="T148" s="171" t="str" cm="1">
        <f t="array" ref="T148">Common_InputFunctions.Utility_DisplayArrayInTable(Fertiliser_SourceData.Fertiliser_Products_Data1(),FertiliserProducts[[#Headers],[Include or Exclude]], 0,4)</f>
        <v/>
      </c>
      <c r="U148" s="171" t="str" cm="1">
        <f t="array" ref="U148">Common_InputFunctions.Utility_DisplayArrayInTable(Fertiliser_SourceData.Fertiliser_Products_Data1(),FertiliserProducts[[#Headers],[Include or Exclude]], 0,4)</f>
        <v/>
      </c>
      <c r="V148" s="171" t="str" cm="1">
        <f t="array" ref="V148">Common_InputFunctions.Utility_DisplayArrayInTable(Fertiliser_SourceData.Fertiliser_Products_Data1(),FertiliserProducts[[#Headers],[Include or Exclude]], 0,4)</f>
        <v/>
      </c>
      <c r="W148" s="171" t="str" cm="1">
        <f t="array" ref="W148">Common_InputFunctions.Utility_DisplayArrayInTable(Fertiliser_SourceData.Fertiliser_Products_Data1(),FertiliserProducts[[#Headers],[Include or Exclude]], 0,4)</f>
        <v/>
      </c>
      <c r="X148" s="171" t="str" cm="1">
        <f t="array" ref="X148">Common_InputFunctions.Utility_DisplayArrayInTable(Fertiliser_SourceData.Fertiliser_Products_Data1(),FertiliserProducts[[#Headers],[Include or Exclude]], 0,4)</f>
        <v/>
      </c>
      <c r="Y148" s="171" t="str" cm="1">
        <f t="array" ref="Y148">Common_InputFunctions.Utility_DisplayArrayInTable(Fertiliser_SourceData.Fertiliser_Products_Data1(),FertiliserProducts[[#Headers],[Include or Exclude]], 0,4)</f>
        <v/>
      </c>
      <c r="Z148" s="171" t="str" cm="1">
        <f t="array" ref="Z148">Common_InputFunctions.Utility_DisplayArrayInTable(Fertiliser_SourceData.Fertiliser_Products_Data1(),FertiliserProducts[[#Headers],[Include or Exclude]], 0,4)</f>
        <v/>
      </c>
      <c r="AA148" s="171" t="str" cm="1">
        <f t="array" ref="AA148">Common_InputFunctions.Utility_DisplayArrayInTable(Fertiliser_SourceData.Fertiliser_Products_Data1(),FertiliserProducts[[#Headers],[Include or Exclude]], 0,4)</f>
        <v/>
      </c>
      <c r="AB148" s="171" t="str" cm="1">
        <f t="array" ref="AB148">Common_InputFunctions.Utility_DisplayArrayInTable(Fertiliser_SourceData.Fertiliser_Products_Data1(),FertiliserProducts[[#Headers],[Include or Exclude]], 0,4)</f>
        <v/>
      </c>
      <c r="AC148" s="171" t="str" cm="1">
        <f t="array" ref="AC148">Common_InputFunctions.Utility_DisplayArrayInTable(Fertiliser_SourceData.Fertiliser_Products_Data1(),FertiliserProducts[[#Headers],[Include or Exclude]], 0,4)</f>
        <v/>
      </c>
      <c r="AD148" s="171" t="str" cm="1">
        <f t="array" ref="AD148">Common_InputFunctions.Utility_DisplayArrayInTable(Fertiliser_SourceData.Fertiliser_Products_Data1(),FertiliserProducts[[#Headers],[Include or Exclude]], 0,4)</f>
        <v/>
      </c>
      <c r="AE148" s="171" t="str" cm="1">
        <f t="array" ref="AE148">Common_InputFunctions.Utility_DisplayArrayInTable(Fertiliser_SourceData.Fertiliser_Products_Data1(),FertiliserProducts[[#Headers],[Include or Exclude]], 0,4)</f>
        <v/>
      </c>
    </row>
    <row r="149" spans="4:31" ht="20.100000000000001" customHeight="1" x14ac:dyDescent="0.25">
      <c r="D149" s="171" t="str" cm="1">
        <f t="array" ref="D149">Common_InputFunctions.Utility_DisplayArrayInTable(Fertiliser_SourceData.Fertiliser_Products_Data1(),FertiliserProducts[[#Headers],[Include or Exclude]], -1)</f>
        <v/>
      </c>
      <c r="E149" s="171" t="str" cm="1">
        <f t="array" ref="E149">Common_InputFunctions.Utility_DisplayArrayInTable(Fertiliser_SourceData.Fertiliser_Products_Data1(),FertiliserProducts[[#Headers],[Include or Exclude]], 0)</f>
        <v/>
      </c>
      <c r="F149" s="171" t="str" cm="1">
        <f t="array" ref="F149">Common_InputFunctions.Utility_DisplayArrayInTable(Fertiliser_SourceData.Fertiliser_Products_Data1(),FertiliserProducts[[#Headers],[Include or Exclude]], 0)</f>
        <v/>
      </c>
      <c r="G149" s="171" t="str" cm="1">
        <f t="array" ref="G149">Common_InputFunctions.Utility_DisplayArrayInTable(Fertiliser_SourceData.Fertiliser_Products_Data1(),FertiliserProducts[[#Headers],[Include or Exclude]], 0)</f>
        <v/>
      </c>
      <c r="H149" s="171" t="str" cm="1">
        <f t="array" ref="H149">Common_InputFunctions.Utility_DisplayArrayInTable(Fertiliser_SourceData.Fertiliser_Products_Data1(),FertiliserProducts[[#Headers],[Include or Exclude]], 0,4)</f>
        <v/>
      </c>
      <c r="I149" s="171" t="str" cm="1">
        <f t="array" ref="I149">Common_InputFunctions.Utility_DisplayArrayInTable(Fertiliser_SourceData.Fertiliser_Products_Data1(),FertiliserProducts[[#Headers],[Include or Exclude]], 0,4)</f>
        <v/>
      </c>
      <c r="J149" s="171" t="str" cm="1">
        <f t="array" ref="J149">Common_InputFunctions.Utility_DisplayArrayInTable(Fertiliser_SourceData.Fertiliser_Products_Data1(),FertiliserProducts[[#Headers],[Include or Exclude]], 0,4)</f>
        <v/>
      </c>
      <c r="K149" s="171" t="str" cm="1">
        <f t="array" ref="K149">Common_InputFunctions.Utility_DisplayArrayInTable(Fertiliser_SourceData.Fertiliser_Products_Data1(),FertiliserProducts[[#Headers],[Include or Exclude]], 0,4)</f>
        <v/>
      </c>
      <c r="L149" s="171" t="str" cm="1">
        <f t="array" ref="L149">Common_InputFunctions.Utility_DisplayArrayInTable(Fertiliser_SourceData.Fertiliser_Products_Data1(),FertiliserProducts[[#Headers],[Include or Exclude]], 0,4)</f>
        <v/>
      </c>
      <c r="M149" s="171" t="str" cm="1">
        <f t="array" ref="M149">Common_InputFunctions.Utility_DisplayArrayInTable(Fertiliser_SourceData.Fertiliser_Products_Data1(),FertiliserProducts[[#Headers],[Include or Exclude]], 0,4)</f>
        <v/>
      </c>
      <c r="N149" s="171" t="str" cm="1">
        <f t="array" ref="N149">Common_InputFunctions.Utility_DisplayArrayInTable(Fertiliser_SourceData.Fertiliser_Products_Data1(),FertiliserProducts[[#Headers],[Include or Exclude]], 0,4)</f>
        <v/>
      </c>
      <c r="O149" s="171" t="str" cm="1">
        <f t="array" ref="O149">Common_InputFunctions.Utility_DisplayArrayInTable(Fertiliser_SourceData.Fertiliser_Products_Data1(),FertiliserProducts[[#Headers],[Include or Exclude]], 0,4)</f>
        <v/>
      </c>
      <c r="P149" s="171" t="str" cm="1">
        <f t="array" ref="P149">Common_InputFunctions.Utility_DisplayArrayInTable(Fertiliser_SourceData.Fertiliser_Products_Data1(),FertiliserProducts[[#Headers],[Include or Exclude]], 0,4)</f>
        <v/>
      </c>
      <c r="Q149" s="171" t="str" cm="1">
        <f t="array" ref="Q149">Common_InputFunctions.Utility_DisplayArrayInTable(Fertiliser_SourceData.Fertiliser_Products_Data1(),FertiliserProducts[[#Headers],[Include or Exclude]], 0,4)</f>
        <v/>
      </c>
      <c r="R149" s="171" t="str" cm="1">
        <f t="array" ref="R149">Common_InputFunctions.Utility_DisplayArrayInTable(Fertiliser_SourceData.Fertiliser_Products_Data1(),FertiliserProducts[[#Headers],[Include or Exclude]], 0,4)</f>
        <v/>
      </c>
      <c r="S149" s="171" t="str" cm="1">
        <f t="array" ref="S149">Common_InputFunctions.Utility_DisplayArrayInTable(Fertiliser_SourceData.Fertiliser_Products_Data1(),FertiliserProducts[[#Headers],[Include or Exclude]], 0,4)</f>
        <v/>
      </c>
      <c r="T149" s="171" t="str" cm="1">
        <f t="array" ref="T149">Common_InputFunctions.Utility_DisplayArrayInTable(Fertiliser_SourceData.Fertiliser_Products_Data1(),FertiliserProducts[[#Headers],[Include or Exclude]], 0,4)</f>
        <v/>
      </c>
      <c r="U149" s="171" t="str" cm="1">
        <f t="array" ref="U149">Common_InputFunctions.Utility_DisplayArrayInTable(Fertiliser_SourceData.Fertiliser_Products_Data1(),FertiliserProducts[[#Headers],[Include or Exclude]], 0,4)</f>
        <v/>
      </c>
      <c r="V149" s="171" t="str" cm="1">
        <f t="array" ref="V149">Common_InputFunctions.Utility_DisplayArrayInTable(Fertiliser_SourceData.Fertiliser_Products_Data1(),FertiliserProducts[[#Headers],[Include or Exclude]], 0,4)</f>
        <v/>
      </c>
      <c r="W149" s="171" t="str" cm="1">
        <f t="array" ref="W149">Common_InputFunctions.Utility_DisplayArrayInTable(Fertiliser_SourceData.Fertiliser_Products_Data1(),FertiliserProducts[[#Headers],[Include or Exclude]], 0,4)</f>
        <v/>
      </c>
      <c r="X149" s="171" t="str" cm="1">
        <f t="array" ref="X149">Common_InputFunctions.Utility_DisplayArrayInTable(Fertiliser_SourceData.Fertiliser_Products_Data1(),FertiliserProducts[[#Headers],[Include or Exclude]], 0,4)</f>
        <v/>
      </c>
      <c r="Y149" s="171" t="str" cm="1">
        <f t="array" ref="Y149">Common_InputFunctions.Utility_DisplayArrayInTable(Fertiliser_SourceData.Fertiliser_Products_Data1(),FertiliserProducts[[#Headers],[Include or Exclude]], 0,4)</f>
        <v/>
      </c>
      <c r="Z149" s="171" t="str" cm="1">
        <f t="array" ref="Z149">Common_InputFunctions.Utility_DisplayArrayInTable(Fertiliser_SourceData.Fertiliser_Products_Data1(),FertiliserProducts[[#Headers],[Include or Exclude]], 0,4)</f>
        <v/>
      </c>
      <c r="AA149" s="171" t="str" cm="1">
        <f t="array" ref="AA149">Common_InputFunctions.Utility_DisplayArrayInTable(Fertiliser_SourceData.Fertiliser_Products_Data1(),FertiliserProducts[[#Headers],[Include or Exclude]], 0,4)</f>
        <v/>
      </c>
      <c r="AB149" s="171" t="str" cm="1">
        <f t="array" ref="AB149">Common_InputFunctions.Utility_DisplayArrayInTable(Fertiliser_SourceData.Fertiliser_Products_Data1(),FertiliserProducts[[#Headers],[Include or Exclude]], 0,4)</f>
        <v/>
      </c>
      <c r="AC149" s="171" t="str" cm="1">
        <f t="array" ref="AC149">Common_InputFunctions.Utility_DisplayArrayInTable(Fertiliser_SourceData.Fertiliser_Products_Data1(),FertiliserProducts[[#Headers],[Include or Exclude]], 0,4)</f>
        <v/>
      </c>
      <c r="AD149" s="171" t="str" cm="1">
        <f t="array" ref="AD149">Common_InputFunctions.Utility_DisplayArrayInTable(Fertiliser_SourceData.Fertiliser_Products_Data1(),FertiliserProducts[[#Headers],[Include or Exclude]], 0,4)</f>
        <v/>
      </c>
      <c r="AE149" s="171" t="str" cm="1">
        <f t="array" ref="AE149">Common_InputFunctions.Utility_DisplayArrayInTable(Fertiliser_SourceData.Fertiliser_Products_Data1(),FertiliserProducts[[#Headers],[Include or Exclude]], 0,4)</f>
        <v/>
      </c>
    </row>
    <row r="150" spans="4:31" ht="20.100000000000001" customHeight="1" x14ac:dyDescent="0.25">
      <c r="D150" s="171" t="str" cm="1">
        <f t="array" ref="D150">Common_InputFunctions.Utility_DisplayArrayInTable(Fertiliser_SourceData.Fertiliser_Products_Data1(),FertiliserProducts[[#Headers],[Include or Exclude]], -1)</f>
        <v/>
      </c>
      <c r="E150" s="171" t="str" cm="1">
        <f t="array" ref="E150">Common_InputFunctions.Utility_DisplayArrayInTable(Fertiliser_SourceData.Fertiliser_Products_Data1(),FertiliserProducts[[#Headers],[Include or Exclude]], 0)</f>
        <v/>
      </c>
      <c r="F150" s="171" t="str" cm="1">
        <f t="array" ref="F150">Common_InputFunctions.Utility_DisplayArrayInTable(Fertiliser_SourceData.Fertiliser_Products_Data1(),FertiliserProducts[[#Headers],[Include or Exclude]], 0)</f>
        <v/>
      </c>
      <c r="G150" s="171" t="str" cm="1">
        <f t="array" ref="G150">Common_InputFunctions.Utility_DisplayArrayInTable(Fertiliser_SourceData.Fertiliser_Products_Data1(),FertiliserProducts[[#Headers],[Include or Exclude]], 0)</f>
        <v/>
      </c>
      <c r="H150" s="171" t="str" cm="1">
        <f t="array" ref="H150">Common_InputFunctions.Utility_DisplayArrayInTable(Fertiliser_SourceData.Fertiliser_Products_Data1(),FertiliserProducts[[#Headers],[Include or Exclude]], 0,4)</f>
        <v/>
      </c>
      <c r="I150" s="171" t="str" cm="1">
        <f t="array" ref="I150">Common_InputFunctions.Utility_DisplayArrayInTable(Fertiliser_SourceData.Fertiliser_Products_Data1(),FertiliserProducts[[#Headers],[Include or Exclude]], 0,4)</f>
        <v/>
      </c>
      <c r="J150" s="171" t="str" cm="1">
        <f t="array" ref="J150">Common_InputFunctions.Utility_DisplayArrayInTable(Fertiliser_SourceData.Fertiliser_Products_Data1(),FertiliserProducts[[#Headers],[Include or Exclude]], 0,4)</f>
        <v/>
      </c>
      <c r="K150" s="171" t="str" cm="1">
        <f t="array" ref="K150">Common_InputFunctions.Utility_DisplayArrayInTable(Fertiliser_SourceData.Fertiliser_Products_Data1(),FertiliserProducts[[#Headers],[Include or Exclude]], 0,4)</f>
        <v/>
      </c>
      <c r="L150" s="171" t="str" cm="1">
        <f t="array" ref="L150">Common_InputFunctions.Utility_DisplayArrayInTable(Fertiliser_SourceData.Fertiliser_Products_Data1(),FertiliserProducts[[#Headers],[Include or Exclude]], 0,4)</f>
        <v/>
      </c>
      <c r="M150" s="171" t="str" cm="1">
        <f t="array" ref="M150">Common_InputFunctions.Utility_DisplayArrayInTable(Fertiliser_SourceData.Fertiliser_Products_Data1(),FertiliserProducts[[#Headers],[Include or Exclude]], 0,4)</f>
        <v/>
      </c>
      <c r="N150" s="171" t="str" cm="1">
        <f t="array" ref="N150">Common_InputFunctions.Utility_DisplayArrayInTable(Fertiliser_SourceData.Fertiliser_Products_Data1(),FertiliserProducts[[#Headers],[Include or Exclude]], 0,4)</f>
        <v/>
      </c>
      <c r="O150" s="171" t="str" cm="1">
        <f t="array" ref="O150">Common_InputFunctions.Utility_DisplayArrayInTable(Fertiliser_SourceData.Fertiliser_Products_Data1(),FertiliserProducts[[#Headers],[Include or Exclude]], 0,4)</f>
        <v/>
      </c>
      <c r="P150" s="171" t="str" cm="1">
        <f t="array" ref="P150">Common_InputFunctions.Utility_DisplayArrayInTable(Fertiliser_SourceData.Fertiliser_Products_Data1(),FertiliserProducts[[#Headers],[Include or Exclude]], 0,4)</f>
        <v/>
      </c>
      <c r="Q150" s="171" t="str" cm="1">
        <f t="array" ref="Q150">Common_InputFunctions.Utility_DisplayArrayInTable(Fertiliser_SourceData.Fertiliser_Products_Data1(),FertiliserProducts[[#Headers],[Include or Exclude]], 0,4)</f>
        <v/>
      </c>
      <c r="R150" s="171" t="str" cm="1">
        <f t="array" ref="R150">Common_InputFunctions.Utility_DisplayArrayInTable(Fertiliser_SourceData.Fertiliser_Products_Data1(),FertiliserProducts[[#Headers],[Include or Exclude]], 0,4)</f>
        <v/>
      </c>
      <c r="S150" s="171" t="str" cm="1">
        <f t="array" ref="S150">Common_InputFunctions.Utility_DisplayArrayInTable(Fertiliser_SourceData.Fertiliser_Products_Data1(),FertiliserProducts[[#Headers],[Include or Exclude]], 0,4)</f>
        <v/>
      </c>
      <c r="T150" s="171" t="str" cm="1">
        <f t="array" ref="T150">Common_InputFunctions.Utility_DisplayArrayInTable(Fertiliser_SourceData.Fertiliser_Products_Data1(),FertiliserProducts[[#Headers],[Include or Exclude]], 0,4)</f>
        <v/>
      </c>
      <c r="U150" s="171" t="str" cm="1">
        <f t="array" ref="U150">Common_InputFunctions.Utility_DisplayArrayInTable(Fertiliser_SourceData.Fertiliser_Products_Data1(),FertiliserProducts[[#Headers],[Include or Exclude]], 0,4)</f>
        <v/>
      </c>
      <c r="V150" s="171" t="str" cm="1">
        <f t="array" ref="V150">Common_InputFunctions.Utility_DisplayArrayInTable(Fertiliser_SourceData.Fertiliser_Products_Data1(),FertiliserProducts[[#Headers],[Include or Exclude]], 0,4)</f>
        <v/>
      </c>
      <c r="W150" s="171" t="str" cm="1">
        <f t="array" ref="W150">Common_InputFunctions.Utility_DisplayArrayInTable(Fertiliser_SourceData.Fertiliser_Products_Data1(),FertiliserProducts[[#Headers],[Include or Exclude]], 0,4)</f>
        <v/>
      </c>
      <c r="X150" s="171" t="str" cm="1">
        <f t="array" ref="X150">Common_InputFunctions.Utility_DisplayArrayInTable(Fertiliser_SourceData.Fertiliser_Products_Data1(),FertiliserProducts[[#Headers],[Include or Exclude]], 0,4)</f>
        <v/>
      </c>
      <c r="Y150" s="171" t="str" cm="1">
        <f t="array" ref="Y150">Common_InputFunctions.Utility_DisplayArrayInTable(Fertiliser_SourceData.Fertiliser_Products_Data1(),FertiliserProducts[[#Headers],[Include or Exclude]], 0,4)</f>
        <v/>
      </c>
      <c r="Z150" s="171" t="str" cm="1">
        <f t="array" ref="Z150">Common_InputFunctions.Utility_DisplayArrayInTable(Fertiliser_SourceData.Fertiliser_Products_Data1(),FertiliserProducts[[#Headers],[Include or Exclude]], 0,4)</f>
        <v/>
      </c>
      <c r="AA150" s="171" t="str" cm="1">
        <f t="array" ref="AA150">Common_InputFunctions.Utility_DisplayArrayInTable(Fertiliser_SourceData.Fertiliser_Products_Data1(),FertiliserProducts[[#Headers],[Include or Exclude]], 0,4)</f>
        <v/>
      </c>
      <c r="AB150" s="171" t="str" cm="1">
        <f t="array" ref="AB150">Common_InputFunctions.Utility_DisplayArrayInTable(Fertiliser_SourceData.Fertiliser_Products_Data1(),FertiliserProducts[[#Headers],[Include or Exclude]], 0,4)</f>
        <v/>
      </c>
      <c r="AC150" s="171" t="str" cm="1">
        <f t="array" ref="AC150">Common_InputFunctions.Utility_DisplayArrayInTable(Fertiliser_SourceData.Fertiliser_Products_Data1(),FertiliserProducts[[#Headers],[Include or Exclude]], 0,4)</f>
        <v/>
      </c>
      <c r="AD150" s="171" t="str" cm="1">
        <f t="array" ref="AD150">Common_InputFunctions.Utility_DisplayArrayInTable(Fertiliser_SourceData.Fertiliser_Products_Data1(),FertiliserProducts[[#Headers],[Include or Exclude]], 0,4)</f>
        <v/>
      </c>
      <c r="AE150" s="171" t="str" cm="1">
        <f t="array" ref="AE150">Common_InputFunctions.Utility_DisplayArrayInTable(Fertiliser_SourceData.Fertiliser_Products_Data1(),FertiliserProducts[[#Headers],[Include or Exclude]], 0,4)</f>
        <v/>
      </c>
    </row>
    <row r="151" spans="4:31" ht="20.100000000000001" customHeight="1" x14ac:dyDescent="0.25">
      <c r="D151" s="171" t="str" cm="1">
        <f t="array" ref="D151">Common_InputFunctions.Utility_DisplayArrayInTable(Fertiliser_SourceData.Fertiliser_Products_Data1(),FertiliserProducts[[#Headers],[Include or Exclude]], -1)</f>
        <v/>
      </c>
      <c r="E151" s="171" t="str" cm="1">
        <f t="array" ref="E151">Common_InputFunctions.Utility_DisplayArrayInTable(Fertiliser_SourceData.Fertiliser_Products_Data1(),FertiliserProducts[[#Headers],[Include or Exclude]], 0)</f>
        <v/>
      </c>
      <c r="F151" s="171" t="str" cm="1">
        <f t="array" ref="F151">Common_InputFunctions.Utility_DisplayArrayInTable(Fertiliser_SourceData.Fertiliser_Products_Data1(),FertiliserProducts[[#Headers],[Include or Exclude]], 0)</f>
        <v/>
      </c>
      <c r="G151" s="171" t="str" cm="1">
        <f t="array" ref="G151">Common_InputFunctions.Utility_DisplayArrayInTable(Fertiliser_SourceData.Fertiliser_Products_Data1(),FertiliserProducts[[#Headers],[Include or Exclude]], 0)</f>
        <v/>
      </c>
      <c r="H151" s="171" t="str" cm="1">
        <f t="array" ref="H151">Common_InputFunctions.Utility_DisplayArrayInTable(Fertiliser_SourceData.Fertiliser_Products_Data1(),FertiliserProducts[[#Headers],[Include or Exclude]], 0,4)</f>
        <v/>
      </c>
      <c r="I151" s="171" t="str" cm="1">
        <f t="array" ref="I151">Common_InputFunctions.Utility_DisplayArrayInTable(Fertiliser_SourceData.Fertiliser_Products_Data1(),FertiliserProducts[[#Headers],[Include or Exclude]], 0,4)</f>
        <v/>
      </c>
      <c r="J151" s="171" t="str" cm="1">
        <f t="array" ref="J151">Common_InputFunctions.Utility_DisplayArrayInTable(Fertiliser_SourceData.Fertiliser_Products_Data1(),FertiliserProducts[[#Headers],[Include or Exclude]], 0,4)</f>
        <v/>
      </c>
      <c r="K151" s="171" t="str" cm="1">
        <f t="array" ref="K151">Common_InputFunctions.Utility_DisplayArrayInTable(Fertiliser_SourceData.Fertiliser_Products_Data1(),FertiliserProducts[[#Headers],[Include or Exclude]], 0,4)</f>
        <v/>
      </c>
      <c r="L151" s="171" t="str" cm="1">
        <f t="array" ref="L151">Common_InputFunctions.Utility_DisplayArrayInTable(Fertiliser_SourceData.Fertiliser_Products_Data1(),FertiliserProducts[[#Headers],[Include or Exclude]], 0,4)</f>
        <v/>
      </c>
      <c r="M151" s="171" t="str" cm="1">
        <f t="array" ref="M151">Common_InputFunctions.Utility_DisplayArrayInTable(Fertiliser_SourceData.Fertiliser_Products_Data1(),FertiliserProducts[[#Headers],[Include or Exclude]], 0,4)</f>
        <v/>
      </c>
      <c r="N151" s="171" t="str" cm="1">
        <f t="array" ref="N151">Common_InputFunctions.Utility_DisplayArrayInTable(Fertiliser_SourceData.Fertiliser_Products_Data1(),FertiliserProducts[[#Headers],[Include or Exclude]], 0,4)</f>
        <v/>
      </c>
      <c r="O151" s="171" t="str" cm="1">
        <f t="array" ref="O151">Common_InputFunctions.Utility_DisplayArrayInTable(Fertiliser_SourceData.Fertiliser_Products_Data1(),FertiliserProducts[[#Headers],[Include or Exclude]], 0,4)</f>
        <v/>
      </c>
      <c r="P151" s="171" t="str" cm="1">
        <f t="array" ref="P151">Common_InputFunctions.Utility_DisplayArrayInTable(Fertiliser_SourceData.Fertiliser_Products_Data1(),FertiliserProducts[[#Headers],[Include or Exclude]], 0,4)</f>
        <v/>
      </c>
      <c r="Q151" s="171" t="str" cm="1">
        <f t="array" ref="Q151">Common_InputFunctions.Utility_DisplayArrayInTable(Fertiliser_SourceData.Fertiliser_Products_Data1(),FertiliserProducts[[#Headers],[Include or Exclude]], 0,4)</f>
        <v/>
      </c>
      <c r="R151" s="171" t="str" cm="1">
        <f t="array" ref="R151">Common_InputFunctions.Utility_DisplayArrayInTable(Fertiliser_SourceData.Fertiliser_Products_Data1(),FertiliserProducts[[#Headers],[Include or Exclude]], 0,4)</f>
        <v/>
      </c>
      <c r="S151" s="171" t="str" cm="1">
        <f t="array" ref="S151">Common_InputFunctions.Utility_DisplayArrayInTable(Fertiliser_SourceData.Fertiliser_Products_Data1(),FertiliserProducts[[#Headers],[Include or Exclude]], 0,4)</f>
        <v/>
      </c>
      <c r="T151" s="171" t="str" cm="1">
        <f t="array" ref="T151">Common_InputFunctions.Utility_DisplayArrayInTable(Fertiliser_SourceData.Fertiliser_Products_Data1(),FertiliserProducts[[#Headers],[Include or Exclude]], 0,4)</f>
        <v/>
      </c>
      <c r="U151" s="171" t="str" cm="1">
        <f t="array" ref="U151">Common_InputFunctions.Utility_DisplayArrayInTable(Fertiliser_SourceData.Fertiliser_Products_Data1(),FertiliserProducts[[#Headers],[Include or Exclude]], 0,4)</f>
        <v/>
      </c>
      <c r="V151" s="171" t="str" cm="1">
        <f t="array" ref="V151">Common_InputFunctions.Utility_DisplayArrayInTable(Fertiliser_SourceData.Fertiliser_Products_Data1(),FertiliserProducts[[#Headers],[Include or Exclude]], 0,4)</f>
        <v/>
      </c>
      <c r="W151" s="171" t="str" cm="1">
        <f t="array" ref="W151">Common_InputFunctions.Utility_DisplayArrayInTable(Fertiliser_SourceData.Fertiliser_Products_Data1(),FertiliserProducts[[#Headers],[Include or Exclude]], 0,4)</f>
        <v/>
      </c>
      <c r="X151" s="171" t="str" cm="1">
        <f t="array" ref="X151">Common_InputFunctions.Utility_DisplayArrayInTable(Fertiliser_SourceData.Fertiliser_Products_Data1(),FertiliserProducts[[#Headers],[Include or Exclude]], 0,4)</f>
        <v/>
      </c>
      <c r="Y151" s="171" t="str" cm="1">
        <f t="array" ref="Y151">Common_InputFunctions.Utility_DisplayArrayInTable(Fertiliser_SourceData.Fertiliser_Products_Data1(),FertiliserProducts[[#Headers],[Include or Exclude]], 0,4)</f>
        <v/>
      </c>
      <c r="Z151" s="171" t="str" cm="1">
        <f t="array" ref="Z151">Common_InputFunctions.Utility_DisplayArrayInTable(Fertiliser_SourceData.Fertiliser_Products_Data1(),FertiliserProducts[[#Headers],[Include or Exclude]], 0,4)</f>
        <v/>
      </c>
      <c r="AA151" s="171" t="str" cm="1">
        <f t="array" ref="AA151">Common_InputFunctions.Utility_DisplayArrayInTable(Fertiliser_SourceData.Fertiliser_Products_Data1(),FertiliserProducts[[#Headers],[Include or Exclude]], 0,4)</f>
        <v/>
      </c>
      <c r="AB151" s="171" t="str" cm="1">
        <f t="array" ref="AB151">Common_InputFunctions.Utility_DisplayArrayInTable(Fertiliser_SourceData.Fertiliser_Products_Data1(),FertiliserProducts[[#Headers],[Include or Exclude]], 0,4)</f>
        <v/>
      </c>
      <c r="AC151" s="171" t="str" cm="1">
        <f t="array" ref="AC151">Common_InputFunctions.Utility_DisplayArrayInTable(Fertiliser_SourceData.Fertiliser_Products_Data1(),FertiliserProducts[[#Headers],[Include or Exclude]], 0,4)</f>
        <v/>
      </c>
      <c r="AD151" s="171" t="str" cm="1">
        <f t="array" ref="AD151">Common_InputFunctions.Utility_DisplayArrayInTable(Fertiliser_SourceData.Fertiliser_Products_Data1(),FertiliserProducts[[#Headers],[Include or Exclude]], 0,4)</f>
        <v/>
      </c>
      <c r="AE151" s="171" t="str" cm="1">
        <f t="array" ref="AE151">Common_InputFunctions.Utility_DisplayArrayInTable(Fertiliser_SourceData.Fertiliser_Products_Data1(),FertiliserProducts[[#Headers],[Include or Exclude]], 0,4)</f>
        <v/>
      </c>
    </row>
    <row r="152" spans="4:31" ht="20.100000000000001" customHeight="1" x14ac:dyDescent="0.25">
      <c r="D152" s="171" t="str" cm="1">
        <f t="array" ref="D152">Common_InputFunctions.Utility_DisplayArrayInTable(Fertiliser_SourceData.Fertiliser_Products_Data1(),FertiliserProducts[[#Headers],[Include or Exclude]], -1)</f>
        <v/>
      </c>
      <c r="E152" s="171" t="str" cm="1">
        <f t="array" ref="E152">Common_InputFunctions.Utility_DisplayArrayInTable(Fertiliser_SourceData.Fertiliser_Products_Data1(),FertiliserProducts[[#Headers],[Include or Exclude]], 0)</f>
        <v/>
      </c>
      <c r="F152" s="171" t="str" cm="1">
        <f t="array" ref="F152">Common_InputFunctions.Utility_DisplayArrayInTable(Fertiliser_SourceData.Fertiliser_Products_Data1(),FertiliserProducts[[#Headers],[Include or Exclude]], 0)</f>
        <v/>
      </c>
      <c r="G152" s="171" t="str" cm="1">
        <f t="array" ref="G152">Common_InputFunctions.Utility_DisplayArrayInTable(Fertiliser_SourceData.Fertiliser_Products_Data1(),FertiliserProducts[[#Headers],[Include or Exclude]], 0)</f>
        <v/>
      </c>
      <c r="H152" s="171" t="str" cm="1">
        <f t="array" ref="H152">Common_InputFunctions.Utility_DisplayArrayInTable(Fertiliser_SourceData.Fertiliser_Products_Data1(),FertiliserProducts[[#Headers],[Include or Exclude]], 0,4)</f>
        <v/>
      </c>
      <c r="I152" s="171" t="str" cm="1">
        <f t="array" ref="I152">Common_InputFunctions.Utility_DisplayArrayInTable(Fertiliser_SourceData.Fertiliser_Products_Data1(),FertiliserProducts[[#Headers],[Include or Exclude]], 0,4)</f>
        <v/>
      </c>
      <c r="J152" s="171" t="str" cm="1">
        <f t="array" ref="J152">Common_InputFunctions.Utility_DisplayArrayInTable(Fertiliser_SourceData.Fertiliser_Products_Data1(),FertiliserProducts[[#Headers],[Include or Exclude]], 0,4)</f>
        <v/>
      </c>
      <c r="K152" s="171" t="str" cm="1">
        <f t="array" ref="K152">Common_InputFunctions.Utility_DisplayArrayInTable(Fertiliser_SourceData.Fertiliser_Products_Data1(),FertiliserProducts[[#Headers],[Include or Exclude]], 0,4)</f>
        <v/>
      </c>
      <c r="L152" s="171" t="str" cm="1">
        <f t="array" ref="L152">Common_InputFunctions.Utility_DisplayArrayInTable(Fertiliser_SourceData.Fertiliser_Products_Data1(),FertiliserProducts[[#Headers],[Include or Exclude]], 0,4)</f>
        <v/>
      </c>
      <c r="M152" s="171" t="str" cm="1">
        <f t="array" ref="M152">Common_InputFunctions.Utility_DisplayArrayInTable(Fertiliser_SourceData.Fertiliser_Products_Data1(),FertiliserProducts[[#Headers],[Include or Exclude]], 0,4)</f>
        <v/>
      </c>
      <c r="N152" s="171" t="str" cm="1">
        <f t="array" ref="N152">Common_InputFunctions.Utility_DisplayArrayInTable(Fertiliser_SourceData.Fertiliser_Products_Data1(),FertiliserProducts[[#Headers],[Include or Exclude]], 0,4)</f>
        <v/>
      </c>
      <c r="O152" s="171" t="str" cm="1">
        <f t="array" ref="O152">Common_InputFunctions.Utility_DisplayArrayInTable(Fertiliser_SourceData.Fertiliser_Products_Data1(),FertiliserProducts[[#Headers],[Include or Exclude]], 0,4)</f>
        <v/>
      </c>
      <c r="P152" s="171" t="str" cm="1">
        <f t="array" ref="P152">Common_InputFunctions.Utility_DisplayArrayInTable(Fertiliser_SourceData.Fertiliser_Products_Data1(),FertiliserProducts[[#Headers],[Include or Exclude]], 0,4)</f>
        <v/>
      </c>
      <c r="Q152" s="171" t="str" cm="1">
        <f t="array" ref="Q152">Common_InputFunctions.Utility_DisplayArrayInTable(Fertiliser_SourceData.Fertiliser_Products_Data1(),FertiliserProducts[[#Headers],[Include or Exclude]], 0,4)</f>
        <v/>
      </c>
      <c r="R152" s="171" t="str" cm="1">
        <f t="array" ref="R152">Common_InputFunctions.Utility_DisplayArrayInTable(Fertiliser_SourceData.Fertiliser_Products_Data1(),FertiliserProducts[[#Headers],[Include or Exclude]], 0,4)</f>
        <v/>
      </c>
      <c r="S152" s="171" t="str" cm="1">
        <f t="array" ref="S152">Common_InputFunctions.Utility_DisplayArrayInTable(Fertiliser_SourceData.Fertiliser_Products_Data1(),FertiliserProducts[[#Headers],[Include or Exclude]], 0,4)</f>
        <v/>
      </c>
      <c r="T152" s="171" t="str" cm="1">
        <f t="array" ref="T152">Common_InputFunctions.Utility_DisplayArrayInTable(Fertiliser_SourceData.Fertiliser_Products_Data1(),FertiliserProducts[[#Headers],[Include or Exclude]], 0,4)</f>
        <v/>
      </c>
      <c r="U152" s="171" t="str" cm="1">
        <f t="array" ref="U152">Common_InputFunctions.Utility_DisplayArrayInTable(Fertiliser_SourceData.Fertiliser_Products_Data1(),FertiliserProducts[[#Headers],[Include or Exclude]], 0,4)</f>
        <v/>
      </c>
      <c r="V152" s="171" t="str" cm="1">
        <f t="array" ref="V152">Common_InputFunctions.Utility_DisplayArrayInTable(Fertiliser_SourceData.Fertiliser_Products_Data1(),FertiliserProducts[[#Headers],[Include or Exclude]], 0,4)</f>
        <v/>
      </c>
      <c r="W152" s="171" t="str" cm="1">
        <f t="array" ref="W152">Common_InputFunctions.Utility_DisplayArrayInTable(Fertiliser_SourceData.Fertiliser_Products_Data1(),FertiliserProducts[[#Headers],[Include or Exclude]], 0,4)</f>
        <v/>
      </c>
      <c r="X152" s="171" t="str" cm="1">
        <f t="array" ref="X152">Common_InputFunctions.Utility_DisplayArrayInTable(Fertiliser_SourceData.Fertiliser_Products_Data1(),FertiliserProducts[[#Headers],[Include or Exclude]], 0,4)</f>
        <v/>
      </c>
      <c r="Y152" s="171" t="str" cm="1">
        <f t="array" ref="Y152">Common_InputFunctions.Utility_DisplayArrayInTable(Fertiliser_SourceData.Fertiliser_Products_Data1(),FertiliserProducts[[#Headers],[Include or Exclude]], 0,4)</f>
        <v/>
      </c>
      <c r="Z152" s="171" t="str" cm="1">
        <f t="array" ref="Z152">Common_InputFunctions.Utility_DisplayArrayInTable(Fertiliser_SourceData.Fertiliser_Products_Data1(),FertiliserProducts[[#Headers],[Include or Exclude]], 0,4)</f>
        <v/>
      </c>
      <c r="AA152" s="171" t="str" cm="1">
        <f t="array" ref="AA152">Common_InputFunctions.Utility_DisplayArrayInTable(Fertiliser_SourceData.Fertiliser_Products_Data1(),FertiliserProducts[[#Headers],[Include or Exclude]], 0,4)</f>
        <v/>
      </c>
      <c r="AB152" s="171" t="str" cm="1">
        <f t="array" ref="AB152">Common_InputFunctions.Utility_DisplayArrayInTable(Fertiliser_SourceData.Fertiliser_Products_Data1(),FertiliserProducts[[#Headers],[Include or Exclude]], 0,4)</f>
        <v/>
      </c>
      <c r="AC152" s="171" t="str" cm="1">
        <f t="array" ref="AC152">Common_InputFunctions.Utility_DisplayArrayInTable(Fertiliser_SourceData.Fertiliser_Products_Data1(),FertiliserProducts[[#Headers],[Include or Exclude]], 0,4)</f>
        <v/>
      </c>
      <c r="AD152" s="171" t="str" cm="1">
        <f t="array" ref="AD152">Common_InputFunctions.Utility_DisplayArrayInTable(Fertiliser_SourceData.Fertiliser_Products_Data1(),FertiliserProducts[[#Headers],[Include or Exclude]], 0,4)</f>
        <v/>
      </c>
      <c r="AE152" s="171" t="str" cm="1">
        <f t="array" ref="AE152">Common_InputFunctions.Utility_DisplayArrayInTable(Fertiliser_SourceData.Fertiliser_Products_Data1(),FertiliserProducts[[#Headers],[Include or Exclude]], 0,4)</f>
        <v/>
      </c>
    </row>
    <row r="153" spans="4:31" ht="20.100000000000001" customHeight="1" x14ac:dyDescent="0.25">
      <c r="D153" s="171" t="str" cm="1">
        <f t="array" ref="D153">Common_InputFunctions.Utility_DisplayArrayInTable(Fertiliser_SourceData.Fertiliser_Products_Data1(),FertiliserProducts[[#Headers],[Include or Exclude]], -1)</f>
        <v/>
      </c>
      <c r="E153" s="171" t="str" cm="1">
        <f t="array" ref="E153">Common_InputFunctions.Utility_DisplayArrayInTable(Fertiliser_SourceData.Fertiliser_Products_Data1(),FertiliserProducts[[#Headers],[Include or Exclude]], 0)</f>
        <v/>
      </c>
      <c r="F153" s="171" t="str" cm="1">
        <f t="array" ref="F153">Common_InputFunctions.Utility_DisplayArrayInTable(Fertiliser_SourceData.Fertiliser_Products_Data1(),FertiliserProducts[[#Headers],[Include or Exclude]], 0)</f>
        <v/>
      </c>
      <c r="G153" s="171" t="str" cm="1">
        <f t="array" ref="G153">Common_InputFunctions.Utility_DisplayArrayInTable(Fertiliser_SourceData.Fertiliser_Products_Data1(),FertiliserProducts[[#Headers],[Include or Exclude]], 0)</f>
        <v/>
      </c>
      <c r="H153" s="171" t="str" cm="1">
        <f t="array" ref="H153">Common_InputFunctions.Utility_DisplayArrayInTable(Fertiliser_SourceData.Fertiliser_Products_Data1(),FertiliserProducts[[#Headers],[Include or Exclude]], 0,4)</f>
        <v/>
      </c>
      <c r="I153" s="171" t="str" cm="1">
        <f t="array" ref="I153">Common_InputFunctions.Utility_DisplayArrayInTable(Fertiliser_SourceData.Fertiliser_Products_Data1(),FertiliserProducts[[#Headers],[Include or Exclude]], 0,4)</f>
        <v/>
      </c>
      <c r="J153" s="171" t="str" cm="1">
        <f t="array" ref="J153">Common_InputFunctions.Utility_DisplayArrayInTable(Fertiliser_SourceData.Fertiliser_Products_Data1(),FertiliserProducts[[#Headers],[Include or Exclude]], 0,4)</f>
        <v/>
      </c>
      <c r="K153" s="171" t="str" cm="1">
        <f t="array" ref="K153">Common_InputFunctions.Utility_DisplayArrayInTable(Fertiliser_SourceData.Fertiliser_Products_Data1(),FertiliserProducts[[#Headers],[Include or Exclude]], 0,4)</f>
        <v/>
      </c>
      <c r="L153" s="171" t="str" cm="1">
        <f t="array" ref="L153">Common_InputFunctions.Utility_DisplayArrayInTable(Fertiliser_SourceData.Fertiliser_Products_Data1(),FertiliserProducts[[#Headers],[Include or Exclude]], 0,4)</f>
        <v/>
      </c>
      <c r="M153" s="171" t="str" cm="1">
        <f t="array" ref="M153">Common_InputFunctions.Utility_DisplayArrayInTable(Fertiliser_SourceData.Fertiliser_Products_Data1(),FertiliserProducts[[#Headers],[Include or Exclude]], 0,4)</f>
        <v/>
      </c>
      <c r="N153" s="171" t="str" cm="1">
        <f t="array" ref="N153">Common_InputFunctions.Utility_DisplayArrayInTable(Fertiliser_SourceData.Fertiliser_Products_Data1(),FertiliserProducts[[#Headers],[Include or Exclude]], 0,4)</f>
        <v/>
      </c>
      <c r="O153" s="171" t="str" cm="1">
        <f t="array" ref="O153">Common_InputFunctions.Utility_DisplayArrayInTable(Fertiliser_SourceData.Fertiliser_Products_Data1(),FertiliserProducts[[#Headers],[Include or Exclude]], 0,4)</f>
        <v/>
      </c>
      <c r="P153" s="171" t="str" cm="1">
        <f t="array" ref="P153">Common_InputFunctions.Utility_DisplayArrayInTable(Fertiliser_SourceData.Fertiliser_Products_Data1(),FertiliserProducts[[#Headers],[Include or Exclude]], 0,4)</f>
        <v/>
      </c>
      <c r="Q153" s="171" t="str" cm="1">
        <f t="array" ref="Q153">Common_InputFunctions.Utility_DisplayArrayInTable(Fertiliser_SourceData.Fertiliser_Products_Data1(),FertiliserProducts[[#Headers],[Include or Exclude]], 0,4)</f>
        <v/>
      </c>
      <c r="R153" s="171" t="str" cm="1">
        <f t="array" ref="R153">Common_InputFunctions.Utility_DisplayArrayInTable(Fertiliser_SourceData.Fertiliser_Products_Data1(),FertiliserProducts[[#Headers],[Include or Exclude]], 0,4)</f>
        <v/>
      </c>
      <c r="S153" s="171" t="str" cm="1">
        <f t="array" ref="S153">Common_InputFunctions.Utility_DisplayArrayInTable(Fertiliser_SourceData.Fertiliser_Products_Data1(),FertiliserProducts[[#Headers],[Include or Exclude]], 0,4)</f>
        <v/>
      </c>
      <c r="T153" s="171" t="str" cm="1">
        <f t="array" ref="T153">Common_InputFunctions.Utility_DisplayArrayInTable(Fertiliser_SourceData.Fertiliser_Products_Data1(),FertiliserProducts[[#Headers],[Include or Exclude]], 0,4)</f>
        <v/>
      </c>
      <c r="U153" s="171" t="str" cm="1">
        <f t="array" ref="U153">Common_InputFunctions.Utility_DisplayArrayInTable(Fertiliser_SourceData.Fertiliser_Products_Data1(),FertiliserProducts[[#Headers],[Include or Exclude]], 0,4)</f>
        <v/>
      </c>
      <c r="V153" s="171" t="str" cm="1">
        <f t="array" ref="V153">Common_InputFunctions.Utility_DisplayArrayInTable(Fertiliser_SourceData.Fertiliser_Products_Data1(),FertiliserProducts[[#Headers],[Include or Exclude]], 0,4)</f>
        <v/>
      </c>
      <c r="W153" s="171" t="str" cm="1">
        <f t="array" ref="W153">Common_InputFunctions.Utility_DisplayArrayInTable(Fertiliser_SourceData.Fertiliser_Products_Data1(),FertiliserProducts[[#Headers],[Include or Exclude]], 0,4)</f>
        <v/>
      </c>
      <c r="X153" s="171" t="str" cm="1">
        <f t="array" ref="X153">Common_InputFunctions.Utility_DisplayArrayInTable(Fertiliser_SourceData.Fertiliser_Products_Data1(),FertiliserProducts[[#Headers],[Include or Exclude]], 0,4)</f>
        <v/>
      </c>
      <c r="Y153" s="171" t="str" cm="1">
        <f t="array" ref="Y153">Common_InputFunctions.Utility_DisplayArrayInTable(Fertiliser_SourceData.Fertiliser_Products_Data1(),FertiliserProducts[[#Headers],[Include or Exclude]], 0,4)</f>
        <v/>
      </c>
      <c r="Z153" s="171" t="str" cm="1">
        <f t="array" ref="Z153">Common_InputFunctions.Utility_DisplayArrayInTable(Fertiliser_SourceData.Fertiliser_Products_Data1(),FertiliserProducts[[#Headers],[Include or Exclude]], 0,4)</f>
        <v/>
      </c>
      <c r="AA153" s="171" t="str" cm="1">
        <f t="array" ref="AA153">Common_InputFunctions.Utility_DisplayArrayInTable(Fertiliser_SourceData.Fertiliser_Products_Data1(),FertiliserProducts[[#Headers],[Include or Exclude]], 0,4)</f>
        <v/>
      </c>
      <c r="AB153" s="171" t="str" cm="1">
        <f t="array" ref="AB153">Common_InputFunctions.Utility_DisplayArrayInTable(Fertiliser_SourceData.Fertiliser_Products_Data1(),FertiliserProducts[[#Headers],[Include or Exclude]], 0,4)</f>
        <v/>
      </c>
      <c r="AC153" s="171" t="str" cm="1">
        <f t="array" ref="AC153">Common_InputFunctions.Utility_DisplayArrayInTable(Fertiliser_SourceData.Fertiliser_Products_Data1(),FertiliserProducts[[#Headers],[Include or Exclude]], 0,4)</f>
        <v/>
      </c>
      <c r="AD153" s="171" t="str" cm="1">
        <f t="array" ref="AD153">Common_InputFunctions.Utility_DisplayArrayInTable(Fertiliser_SourceData.Fertiliser_Products_Data1(),FertiliserProducts[[#Headers],[Include or Exclude]], 0,4)</f>
        <v/>
      </c>
      <c r="AE153" s="17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1C631-FB7C-4391-8C9B-E7EAC766AD11}">
  <dimension ref="A1:AI165"/>
  <sheetViews>
    <sheetView showGridLines="0" topLeftCell="A138"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495</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Fuel_SourceData.Fuel_Scope1Scope3EmissionFactorsTransport_Title()</f>
        <v>Fuel scope 1 and 3 emission factors - Transport</v>
      </c>
      <c r="E5" s="158"/>
      <c r="F5" s="158"/>
      <c r="G5" s="158"/>
      <c r="H5" s="158"/>
      <c r="I5" s="158"/>
      <c r="J5" s="158"/>
      <c r="K5" s="158"/>
      <c r="L5" s="158"/>
    </row>
    <row r="6" spans="1:35" ht="20.100000000000001" customHeight="1" x14ac:dyDescent="0.25">
      <c r="D6" s="1" t="str" cm="1">
        <f t="array" ref="D6">Fuel_SourceData.Fuel_Scope1Scope3EmissionFactorsTransport_Description()</f>
        <v>Direct (scope 1) and indirect (scope 3) emission factors for the consumption of transport fuels in different transport equipment</v>
      </c>
      <c r="E6" s="158"/>
      <c r="F6" s="158"/>
      <c r="G6" s="158"/>
      <c r="H6" s="158"/>
      <c r="I6" s="158"/>
      <c r="J6" s="158"/>
      <c r="K6" s="158"/>
      <c r="L6" s="158"/>
    </row>
    <row r="7" spans="1:35" ht="20.100000000000001" customHeight="1" x14ac:dyDescent="0.25">
      <c r="D7" s="27" t="str" cm="1">
        <f t="array" ref="D7">Fuel_SourceData.Fuel_Scope1Scope3EmissionFactorsTransport_Source()</f>
        <v>Australian National Greenhouse Accounts Factors 2025 - Table 9</v>
      </c>
      <c r="E7" s="158"/>
      <c r="F7" s="158"/>
      <c r="G7" s="158"/>
      <c r="H7" s="158"/>
      <c r="I7" s="158"/>
      <c r="J7" s="158"/>
      <c r="K7" s="158"/>
      <c r="L7" s="158"/>
    </row>
    <row r="8" spans="1:35" ht="20.100000000000001" customHeight="1" x14ac:dyDescent="0.25">
      <c r="A8" s="7" t="s">
        <v>0</v>
      </c>
      <c r="D8" s="36" t="str" cm="1">
        <f t="array" ref="D8">"⚠️" &amp; Fuel_SourceData.Fuel_Scope1Scope3EmissionFactorsTransport_Variation()</f>
        <v>⚠️VARIATION OF SOURCE DATA: 'NE' values returned as zero for calculations.</v>
      </c>
      <c r="E8" s="158"/>
      <c r="F8" s="158"/>
      <c r="G8" s="158"/>
      <c r="H8" s="158"/>
      <c r="I8" s="158"/>
      <c r="J8" s="158"/>
      <c r="K8" s="158"/>
      <c r="L8" s="158"/>
    </row>
    <row r="9" spans="1:35" ht="20.100000000000001" customHeight="1" x14ac:dyDescent="0.25">
      <c r="A9" s="5" t="str">
        <f>HYPERLINK("#'Input - Enterprise'!A1", "Enterprise")</f>
        <v>Enterprise</v>
      </c>
      <c r="D9" s="213" t="s">
        <v>496</v>
      </c>
      <c r="E9" s="213" t="s">
        <v>497</v>
      </c>
      <c r="F9" s="213" t="s">
        <v>498</v>
      </c>
      <c r="G9" s="213" t="s">
        <v>499</v>
      </c>
      <c r="H9" s="213" t="s">
        <v>500</v>
      </c>
      <c r="I9" s="213" t="s">
        <v>501</v>
      </c>
      <c r="J9" s="213" t="s">
        <v>502</v>
      </c>
      <c r="K9" s="213" t="s">
        <v>503</v>
      </c>
      <c r="L9" s="213" t="s">
        <v>504</v>
      </c>
    </row>
    <row r="10" spans="1:35" ht="20.100000000000001" customHeight="1" x14ac:dyDescent="0.25">
      <c r="A10" s="5" t="str">
        <f>HYPERLINK("#'Input - Site'!A1", "Site")</f>
        <v>Site</v>
      </c>
      <c r="D10" s="214" t="str" cm="1">
        <f t="array" ref="D10">Common_InputFunctions.Utility_DisplayArrayInTable(Fuel_SourceData.Fuel_Scope1Scope3EmissionFactorsTransport_Data(), Table_Fuel_EFs_Transport[[#Headers],[Transport type]], 0)</f>
        <v>Cars and light commercial vehicles</v>
      </c>
      <c r="E10" s="214" t="str" cm="1">
        <f t="array" ref="E10">Common_InputFunctions.Utility_DisplayArrayInTable(Fuel_SourceData.Fuel_Scope1Scope3EmissionFactorsTransport_Data(), Table_Fuel_EFs_Transport[[#Headers],[Transport type]], 0)</f>
        <v>Gasoline</v>
      </c>
      <c r="F10" s="214" cm="1">
        <f t="array" ref="F10">Common_InputFunctions.Utility_DisplayArrayInTable(Fuel_SourceData.Fuel_Scope1Scope3EmissionFactorsTransport_Data(), Table_Fuel_EFs_Transport[[#Headers],[Transport type]], 0)</f>
        <v>34.200000000000003</v>
      </c>
      <c r="G10" s="214" t="str" cm="1">
        <f t="array" ref="G10">Common_InputFunctions.Utility_DisplayArrayInTable(Fuel_SourceData.Fuel_Scope1Scope3EmissionFactorsTransport_Data(), Table_Fuel_EFs_Transport[[#Headers],[Transport type]], 0)</f>
        <v>kl</v>
      </c>
      <c r="H10" s="214" cm="1">
        <f t="array" ref="H10">Common_InputFunctions.Utility_DisplayArrayInTable(Fuel_SourceData.Fuel_Scope1Scope3EmissionFactorsTransport_Data(), Table_Fuel_EFs_Transport[[#Headers],[Transport type]], 0)</f>
        <v>67.400000000000006</v>
      </c>
      <c r="I10" s="214" cm="1">
        <f t="array" ref="I10">Common_InputFunctions.Utility_DisplayArrayInTable(Fuel_SourceData.Fuel_Scope1Scope3EmissionFactorsTransport_Data(), Table_Fuel_EFs_Transport[[#Headers],[Transport type]], 0)</f>
        <v>0.02</v>
      </c>
      <c r="J10" s="214" cm="1">
        <f t="array" ref="J10">Common_InputFunctions.Utility_DisplayArrayInTable(Fuel_SourceData.Fuel_Scope1Scope3EmissionFactorsTransport_Data(), Table_Fuel_EFs_Transport[[#Headers],[Transport type]], 0)</f>
        <v>0.2</v>
      </c>
      <c r="K10" s="214" cm="1">
        <f t="array" ref="K10">Common_InputFunctions.Utility_DisplayArrayInTable(Fuel_SourceData.Fuel_Scope1Scope3EmissionFactorsTransport_Data(), Table_Fuel_EFs_Transport[[#Headers],[Transport type]], 0)</f>
        <v>67.62</v>
      </c>
      <c r="L10" s="214" cm="1">
        <f t="array" ref="L10">Common_InputFunctions.Utility_DisplayArrayInTable(Fuel_SourceData.Fuel_Scope1Scope3EmissionFactorsTransport_Data(), Table_Fuel_EFs_Transport[[#Headers],[Transport type]], 0)</f>
        <v>17.2</v>
      </c>
    </row>
    <row r="11" spans="1:35" ht="20.100000000000001" customHeight="1" x14ac:dyDescent="0.25">
      <c r="A11" s="5" t="str">
        <f>HYPERLINK("#'Input - Crop'!A1", "Crop")</f>
        <v>Crop</v>
      </c>
      <c r="D11" s="214" t="str" cm="1">
        <f t="array" ref="D11">Common_InputFunctions.Utility_DisplayArrayInTable(Fuel_SourceData.Fuel_Scope1Scope3EmissionFactorsTransport_Data(), Table_Fuel_EFs_Transport[[#Headers],[Transport type]], 0)</f>
        <v>Cars and light commercial vehicles</v>
      </c>
      <c r="E11" s="214" t="str" cm="1">
        <f t="array" ref="E11">Common_InputFunctions.Utility_DisplayArrayInTable(Fuel_SourceData.Fuel_Scope1Scope3EmissionFactorsTransport_Data(), Table_Fuel_EFs_Transport[[#Headers],[Transport type]], 0)</f>
        <v>Diesel oil</v>
      </c>
      <c r="F11" s="214" cm="1">
        <f t="array" ref="F11">Common_InputFunctions.Utility_DisplayArrayInTable(Fuel_SourceData.Fuel_Scope1Scope3EmissionFactorsTransport_Data(), Table_Fuel_EFs_Transport[[#Headers],[Transport type]], 0)</f>
        <v>38.6</v>
      </c>
      <c r="G11" s="214" t="str" cm="1">
        <f t="array" ref="G11">Common_InputFunctions.Utility_DisplayArrayInTable(Fuel_SourceData.Fuel_Scope1Scope3EmissionFactorsTransport_Data(), Table_Fuel_EFs_Transport[[#Headers],[Transport type]], 0)</f>
        <v>kl</v>
      </c>
      <c r="H11" s="214" cm="1">
        <f t="array" ref="H11">Common_InputFunctions.Utility_DisplayArrayInTable(Fuel_SourceData.Fuel_Scope1Scope3EmissionFactorsTransport_Data(), Table_Fuel_EFs_Transport[[#Headers],[Transport type]], 0)</f>
        <v>69.900000000000006</v>
      </c>
      <c r="I11" s="214" cm="1">
        <f t="array" ref="I11">Common_InputFunctions.Utility_DisplayArrayInTable(Fuel_SourceData.Fuel_Scope1Scope3EmissionFactorsTransport_Data(), Table_Fuel_EFs_Transport[[#Headers],[Transport type]], 0)</f>
        <v>0.01</v>
      </c>
      <c r="J11" s="214" cm="1">
        <f t="array" ref="J11">Common_InputFunctions.Utility_DisplayArrayInTable(Fuel_SourceData.Fuel_Scope1Scope3EmissionFactorsTransport_Data(), Table_Fuel_EFs_Transport[[#Headers],[Transport type]], 0)</f>
        <v>0.5</v>
      </c>
      <c r="K11" s="214" cm="1">
        <f t="array" ref="K11">Common_InputFunctions.Utility_DisplayArrayInTable(Fuel_SourceData.Fuel_Scope1Scope3EmissionFactorsTransport_Data(), Table_Fuel_EFs_Transport[[#Headers],[Transport type]], 0)</f>
        <v>70.41</v>
      </c>
      <c r="L11" s="214" cm="1">
        <f t="array" ref="L11">Common_InputFunctions.Utility_DisplayArrayInTable(Fuel_SourceData.Fuel_Scope1Scope3EmissionFactorsTransport_Data(), Table_Fuel_EFs_Transport[[#Headers],[Transport type]], 0)</f>
        <v>17.3</v>
      </c>
    </row>
    <row r="12" spans="1:35" ht="20.100000000000001" customHeight="1" x14ac:dyDescent="0.25">
      <c r="A12" s="5" t="str">
        <f>HYPERLINK("#'Input - Fert Prod System'!A1", "Fert Prod System")</f>
        <v>Fert Prod System</v>
      </c>
      <c r="D12" s="214" t="str" cm="1">
        <f t="array" ref="D12">Common_InputFunctions.Utility_DisplayArrayInTable(Fuel_SourceData.Fuel_Scope1Scope3EmissionFactorsTransport_Data(), Table_Fuel_EFs_Transport[[#Headers],[Transport type]], 0)</f>
        <v>Cars and light commercial vehicles</v>
      </c>
      <c r="E12" s="214" t="str" cm="1">
        <f t="array" ref="E12">Common_InputFunctions.Utility_DisplayArrayInTable(Fuel_SourceData.Fuel_Scope1Scope3EmissionFactorsTransport_Data(), Table_Fuel_EFs_Transport[[#Headers],[Transport type]], 0)</f>
        <v>Liquefied petroleum gas (LPG)</v>
      </c>
      <c r="F12" s="214" cm="1">
        <f t="array" ref="F12">Common_InputFunctions.Utility_DisplayArrayInTable(Fuel_SourceData.Fuel_Scope1Scope3EmissionFactorsTransport_Data(), Table_Fuel_EFs_Transport[[#Headers],[Transport type]], 0)</f>
        <v>26.2</v>
      </c>
      <c r="G12" s="214" t="str" cm="1">
        <f t="array" ref="G12">Common_InputFunctions.Utility_DisplayArrayInTable(Fuel_SourceData.Fuel_Scope1Scope3EmissionFactorsTransport_Data(), Table_Fuel_EFs_Transport[[#Headers],[Transport type]], 0)</f>
        <v>kl</v>
      </c>
      <c r="H12" s="214" cm="1">
        <f t="array" ref="H12">Common_InputFunctions.Utility_DisplayArrayInTable(Fuel_SourceData.Fuel_Scope1Scope3EmissionFactorsTransport_Data(), Table_Fuel_EFs_Transport[[#Headers],[Transport type]], 0)</f>
        <v>60.2</v>
      </c>
      <c r="I12" s="214" cm="1">
        <f t="array" ref="I12">Common_InputFunctions.Utility_DisplayArrayInTable(Fuel_SourceData.Fuel_Scope1Scope3EmissionFactorsTransport_Data(), Table_Fuel_EFs_Transport[[#Headers],[Transport type]], 0)</f>
        <v>0.5</v>
      </c>
      <c r="J12" s="214" cm="1">
        <f t="array" ref="J12">Common_InputFunctions.Utility_DisplayArrayInTable(Fuel_SourceData.Fuel_Scope1Scope3EmissionFactorsTransport_Data(), Table_Fuel_EFs_Transport[[#Headers],[Transport type]], 0)</f>
        <v>0.3</v>
      </c>
      <c r="K12" s="214" cm="1">
        <f t="array" ref="K12">Common_InputFunctions.Utility_DisplayArrayInTable(Fuel_SourceData.Fuel_Scope1Scope3EmissionFactorsTransport_Data(), Table_Fuel_EFs_Transport[[#Headers],[Transport type]], 0)</f>
        <v>61</v>
      </c>
      <c r="L12" s="214" cm="1">
        <f t="array" ref="L12">Common_InputFunctions.Utility_DisplayArrayInTable(Fuel_SourceData.Fuel_Scope1Scope3EmissionFactorsTransport_Data(), Table_Fuel_EFs_Transport[[#Headers],[Transport type]], 0)</f>
        <v>20.2</v>
      </c>
    </row>
    <row r="13" spans="1:35" ht="20.100000000000001" customHeight="1" x14ac:dyDescent="0.25">
      <c r="A13" s="5" t="str">
        <f>HYPERLINK("#'Input - Fertiliser'!A1", "Fertiliser")</f>
        <v>Fertiliser</v>
      </c>
      <c r="D13" s="214" t="str" cm="1">
        <f t="array" ref="D13">Common_InputFunctions.Utility_DisplayArrayInTable(Fuel_SourceData.Fuel_Scope1Scope3EmissionFactorsTransport_Data(), Table_Fuel_EFs_Transport[[#Headers],[Transport type]], 0)</f>
        <v>Cars and light commercial vehicles</v>
      </c>
      <c r="E13" s="214" t="str" cm="1">
        <f t="array" ref="E13">Common_InputFunctions.Utility_DisplayArrayInTable(Fuel_SourceData.Fuel_Scope1Scope3EmissionFactorsTransport_Data(), Table_Fuel_EFs_Transport[[#Headers],[Transport type]], 0)</f>
        <v>Fuel oil</v>
      </c>
      <c r="F13" s="214" cm="1">
        <f t="array" ref="F13">Common_InputFunctions.Utility_DisplayArrayInTable(Fuel_SourceData.Fuel_Scope1Scope3EmissionFactorsTransport_Data(), Table_Fuel_EFs_Transport[[#Headers],[Transport type]], 0)</f>
        <v>39.700000000000003</v>
      </c>
      <c r="G13" s="214" t="str" cm="1">
        <f t="array" ref="G13">Common_InputFunctions.Utility_DisplayArrayInTable(Fuel_SourceData.Fuel_Scope1Scope3EmissionFactorsTransport_Data(), Table_Fuel_EFs_Transport[[#Headers],[Transport type]], 0)</f>
        <v>kl</v>
      </c>
      <c r="H13" s="214" cm="1">
        <f t="array" ref="H13">Common_InputFunctions.Utility_DisplayArrayInTable(Fuel_SourceData.Fuel_Scope1Scope3EmissionFactorsTransport_Data(), Table_Fuel_EFs_Transport[[#Headers],[Transport type]], 0)</f>
        <v>73.599999999999994</v>
      </c>
      <c r="I13" s="214" cm="1">
        <f t="array" ref="I13">Common_InputFunctions.Utility_DisplayArrayInTable(Fuel_SourceData.Fuel_Scope1Scope3EmissionFactorsTransport_Data(), Table_Fuel_EFs_Transport[[#Headers],[Transport type]], 0)</f>
        <v>0.08</v>
      </c>
      <c r="J13" s="214" cm="1">
        <f t="array" ref="J13">Common_InputFunctions.Utility_DisplayArrayInTable(Fuel_SourceData.Fuel_Scope1Scope3EmissionFactorsTransport_Data(), Table_Fuel_EFs_Transport[[#Headers],[Transport type]], 0)</f>
        <v>0.5</v>
      </c>
      <c r="K13" s="214" cm="1">
        <f t="array" ref="K13">Common_InputFunctions.Utility_DisplayArrayInTable(Fuel_SourceData.Fuel_Scope1Scope3EmissionFactorsTransport_Data(), Table_Fuel_EFs_Transport[[#Headers],[Transport type]], 0)</f>
        <v>74.180000000000007</v>
      </c>
      <c r="L13" s="214" cm="1">
        <f t="array" ref="L13">Common_InputFunctions.Utility_DisplayArrayInTable(Fuel_SourceData.Fuel_Scope1Scope3EmissionFactorsTransport_Data(), Table_Fuel_EFs_Transport[[#Headers],[Transport type]], 0)</f>
        <v>18</v>
      </c>
    </row>
    <row r="14" spans="1:35" ht="20.100000000000001" customHeight="1" x14ac:dyDescent="0.25">
      <c r="A14" s="5" t="str">
        <f>HYPERLINK("#'Input - Fuel'!A1", "Fuel")</f>
        <v>Fuel</v>
      </c>
      <c r="D14" s="214" t="str" cm="1">
        <f t="array" ref="D14">Common_InputFunctions.Utility_DisplayArrayInTable(Fuel_SourceData.Fuel_Scope1Scope3EmissionFactorsTransport_Data(), Table_Fuel_EFs_Transport[[#Headers],[Transport type]], 0)</f>
        <v>Cars and light commercial vehicles</v>
      </c>
      <c r="E14" s="214" t="str" cm="1">
        <f t="array" ref="E14">Common_InputFunctions.Utility_DisplayArrayInTable(Fuel_SourceData.Fuel_Scope1Scope3EmissionFactorsTransport_Data(), Table_Fuel_EFs_Transport[[#Headers],[Transport type]], 0)</f>
        <v>Ethanol</v>
      </c>
      <c r="F14" s="214" cm="1">
        <f t="array" ref="F14">Common_InputFunctions.Utility_DisplayArrayInTable(Fuel_SourceData.Fuel_Scope1Scope3EmissionFactorsTransport_Data(), Table_Fuel_EFs_Transport[[#Headers],[Transport type]], 0)</f>
        <v>23.4</v>
      </c>
      <c r="G14" s="214" t="str" cm="1">
        <f t="array" ref="G14">Common_InputFunctions.Utility_DisplayArrayInTable(Fuel_SourceData.Fuel_Scope1Scope3EmissionFactorsTransport_Data(), Table_Fuel_EFs_Transport[[#Headers],[Transport type]], 0)</f>
        <v>kl</v>
      </c>
      <c r="H14" s="214" cm="1">
        <f t="array" ref="H14">Common_InputFunctions.Utility_DisplayArrayInTable(Fuel_SourceData.Fuel_Scope1Scope3EmissionFactorsTransport_Data(), Table_Fuel_EFs_Transport[[#Headers],[Transport type]], 0)</f>
        <v>0</v>
      </c>
      <c r="I14" s="214" cm="1">
        <f t="array" ref="I14">Common_InputFunctions.Utility_DisplayArrayInTable(Fuel_SourceData.Fuel_Scope1Scope3EmissionFactorsTransport_Data(), Table_Fuel_EFs_Transport[[#Headers],[Transport type]], 0)</f>
        <v>0.2</v>
      </c>
      <c r="J14" s="214" cm="1">
        <f t="array" ref="J14">Common_InputFunctions.Utility_DisplayArrayInTable(Fuel_SourceData.Fuel_Scope1Scope3EmissionFactorsTransport_Data(), Table_Fuel_EFs_Transport[[#Headers],[Transport type]], 0)</f>
        <v>0.2</v>
      </c>
      <c r="K14" s="214" cm="1">
        <f t="array" ref="K14">Common_InputFunctions.Utility_DisplayArrayInTable(Fuel_SourceData.Fuel_Scope1Scope3EmissionFactorsTransport_Data(), Table_Fuel_EFs_Transport[[#Headers],[Transport type]], 0)</f>
        <v>0.4</v>
      </c>
      <c r="L14" s="214" t="str" cm="1">
        <f t="array" ref="L14">Common_InputFunctions.Utility_DisplayArrayInTable(Fuel_SourceData.Fuel_Scope1Scope3EmissionFactorsTransport_Data(), Table_Fuel_EFs_Transport[[#Headers],[Transport type]], 0)</f>
        <v>NE</v>
      </c>
    </row>
    <row r="15" spans="1:35" ht="20.100000000000001" customHeight="1" x14ac:dyDescent="0.25">
      <c r="A15" s="5" t="str">
        <f>HYPERLINK("#'Input - Electricity'!A1", "Electricity")</f>
        <v>Electricity</v>
      </c>
      <c r="D15" s="214" t="str" cm="1">
        <f t="array" ref="D15">Common_InputFunctions.Utility_DisplayArrayInTable(Fuel_SourceData.Fuel_Scope1Scope3EmissionFactorsTransport_Data(), Table_Fuel_EFs_Transport[[#Headers],[Transport type]], 0)</f>
        <v>Cars and light commercial vehicles</v>
      </c>
      <c r="E15" s="214" t="str" cm="1">
        <f t="array" ref="E15">Common_InputFunctions.Utility_DisplayArrayInTable(Fuel_SourceData.Fuel_Scope1Scope3EmissionFactorsTransport_Data(), Table_Fuel_EFs_Transport[[#Headers],[Transport type]], 0)</f>
        <v>Biodiesel</v>
      </c>
      <c r="F15" s="214" cm="1">
        <f t="array" ref="F15">Common_InputFunctions.Utility_DisplayArrayInTable(Fuel_SourceData.Fuel_Scope1Scope3EmissionFactorsTransport_Data(), Table_Fuel_EFs_Transport[[#Headers],[Transport type]], 0)</f>
        <v>34.6</v>
      </c>
      <c r="G15" s="214" t="str" cm="1">
        <f t="array" ref="G15">Common_InputFunctions.Utility_DisplayArrayInTable(Fuel_SourceData.Fuel_Scope1Scope3EmissionFactorsTransport_Data(), Table_Fuel_EFs_Transport[[#Headers],[Transport type]], 0)</f>
        <v>kl</v>
      </c>
      <c r="H15" s="214" cm="1">
        <f t="array" ref="H15">Common_InputFunctions.Utility_DisplayArrayInTable(Fuel_SourceData.Fuel_Scope1Scope3EmissionFactorsTransport_Data(), Table_Fuel_EFs_Transport[[#Headers],[Transport type]], 0)</f>
        <v>0</v>
      </c>
      <c r="I15" s="214" cm="1">
        <f t="array" ref="I15">Common_InputFunctions.Utility_DisplayArrayInTable(Fuel_SourceData.Fuel_Scope1Scope3EmissionFactorsTransport_Data(), Table_Fuel_EFs_Transport[[#Headers],[Transport type]], 0)</f>
        <v>0.8</v>
      </c>
      <c r="J15" s="214" cm="1">
        <f t="array" ref="J15">Common_InputFunctions.Utility_DisplayArrayInTable(Fuel_SourceData.Fuel_Scope1Scope3EmissionFactorsTransport_Data(), Table_Fuel_EFs_Transport[[#Headers],[Transport type]], 0)</f>
        <v>1.7</v>
      </c>
      <c r="K15" s="214" cm="1">
        <f t="array" ref="K15">Common_InputFunctions.Utility_DisplayArrayInTable(Fuel_SourceData.Fuel_Scope1Scope3EmissionFactorsTransport_Data(), Table_Fuel_EFs_Transport[[#Headers],[Transport type]], 0)</f>
        <v>2.5</v>
      </c>
      <c r="L15" s="214" t="str" cm="1">
        <f t="array" ref="L15">Common_InputFunctions.Utility_DisplayArrayInTable(Fuel_SourceData.Fuel_Scope1Scope3EmissionFactorsTransport_Data(), Table_Fuel_EFs_Transport[[#Headers],[Transport type]], 0)</f>
        <v>NE</v>
      </c>
    </row>
    <row r="16" spans="1:35" ht="20.100000000000001" customHeight="1" x14ac:dyDescent="0.25">
      <c r="A16" s="5" t="str">
        <f>HYPERLINK("#'Input - Farm Inputs'!A1", "Farm Inputs")</f>
        <v>Farm Inputs</v>
      </c>
      <c r="D16" s="214" t="str" cm="1">
        <f t="array" ref="D16">Common_InputFunctions.Utility_DisplayArrayInTable(Fuel_SourceData.Fuel_Scope1Scope3EmissionFactorsTransport_Data(), Table_Fuel_EFs_Transport[[#Headers],[Transport type]], 0)</f>
        <v>Cars and light commercial vehicles</v>
      </c>
      <c r="E16" s="214" t="str" cm="1">
        <f t="array" ref="E16">Common_InputFunctions.Utility_DisplayArrayInTable(Fuel_SourceData.Fuel_Scope1Scope3EmissionFactorsTransport_Data(), Table_Fuel_EFs_Transport[[#Headers],[Transport type]], 0)</f>
        <v>Renewable diesel</v>
      </c>
      <c r="F16" s="214" cm="1">
        <f t="array" ref="F16">Common_InputFunctions.Utility_DisplayArrayInTable(Fuel_SourceData.Fuel_Scope1Scope3EmissionFactorsTransport_Data(), Table_Fuel_EFs_Transport[[#Headers],[Transport type]], 0)</f>
        <v>38.6</v>
      </c>
      <c r="G16" s="214" t="str" cm="1">
        <f t="array" ref="G16">Common_InputFunctions.Utility_DisplayArrayInTable(Fuel_SourceData.Fuel_Scope1Scope3EmissionFactorsTransport_Data(), Table_Fuel_EFs_Transport[[#Headers],[Transport type]], 0)</f>
        <v>kl</v>
      </c>
      <c r="H16" s="214" cm="1">
        <f t="array" ref="H16">Common_InputFunctions.Utility_DisplayArrayInTable(Fuel_SourceData.Fuel_Scope1Scope3EmissionFactorsTransport_Data(), Table_Fuel_EFs_Transport[[#Headers],[Transport type]], 0)</f>
        <v>0</v>
      </c>
      <c r="I16" s="214" cm="1">
        <f t="array" ref="I16">Common_InputFunctions.Utility_DisplayArrayInTable(Fuel_SourceData.Fuel_Scope1Scope3EmissionFactorsTransport_Data(), Table_Fuel_EFs_Transport[[#Headers],[Transport type]], 0)</f>
        <v>0.01</v>
      </c>
      <c r="J16" s="214" cm="1">
        <f t="array" ref="J16">Common_InputFunctions.Utility_DisplayArrayInTable(Fuel_SourceData.Fuel_Scope1Scope3EmissionFactorsTransport_Data(), Table_Fuel_EFs_Transport[[#Headers],[Transport type]], 0)</f>
        <v>0.5</v>
      </c>
      <c r="K16" s="214" cm="1">
        <f t="array" ref="K16">Common_InputFunctions.Utility_DisplayArrayInTable(Fuel_SourceData.Fuel_Scope1Scope3EmissionFactorsTransport_Data(), Table_Fuel_EFs_Transport[[#Headers],[Transport type]], 0)</f>
        <v>0.51</v>
      </c>
      <c r="L16" s="214" t="str" cm="1">
        <f t="array" ref="L16">Common_InputFunctions.Utility_DisplayArrayInTable(Fuel_SourceData.Fuel_Scope1Scope3EmissionFactorsTransport_Data(), Table_Fuel_EFs_Transport[[#Headers],[Transport type]], 0)</f>
        <v>NE</v>
      </c>
    </row>
    <row r="17" spans="1:12" ht="20.100000000000001" customHeight="1" x14ac:dyDescent="0.25">
      <c r="A17" s="5" t="str">
        <f>HYPERLINK("#'Input - Freight'!A1", "Freight")</f>
        <v>Freight</v>
      </c>
      <c r="D17" s="214" t="str" cm="1">
        <f t="array" ref="D17">Common_InputFunctions.Utility_DisplayArrayInTable(Fuel_SourceData.Fuel_Scope1Scope3EmissionFactorsTransport_Data(), Table_Fuel_EFs_Transport[[#Headers],[Transport type]], 0)</f>
        <v>Cars and light commercial vehicles</v>
      </c>
      <c r="E17" s="214" t="str" cm="1">
        <f t="array" ref="E17">Common_InputFunctions.Utility_DisplayArrayInTable(Fuel_SourceData.Fuel_Scope1Scope3EmissionFactorsTransport_Data(), Table_Fuel_EFs_Transport[[#Headers],[Transport type]], 0)</f>
        <v>Other biofuels</v>
      </c>
      <c r="F17" s="214" cm="1">
        <f t="array" ref="F17">Common_InputFunctions.Utility_DisplayArrayInTable(Fuel_SourceData.Fuel_Scope1Scope3EmissionFactorsTransport_Data(), Table_Fuel_EFs_Transport[[#Headers],[Transport type]], 0)</f>
        <v>23.4</v>
      </c>
      <c r="G17" s="214" t="str" cm="1">
        <f t="array" ref="G17">Common_InputFunctions.Utility_DisplayArrayInTable(Fuel_SourceData.Fuel_Scope1Scope3EmissionFactorsTransport_Data(), Table_Fuel_EFs_Transport[[#Headers],[Transport type]], 0)</f>
        <v>kl</v>
      </c>
      <c r="H17" s="214" cm="1">
        <f t="array" ref="H17">Common_InputFunctions.Utility_DisplayArrayInTable(Fuel_SourceData.Fuel_Scope1Scope3EmissionFactorsTransport_Data(), Table_Fuel_EFs_Transport[[#Headers],[Transport type]], 0)</f>
        <v>0</v>
      </c>
      <c r="I17" s="214" cm="1">
        <f t="array" ref="I17">Common_InputFunctions.Utility_DisplayArrayInTable(Fuel_SourceData.Fuel_Scope1Scope3EmissionFactorsTransport_Data(), Table_Fuel_EFs_Transport[[#Headers],[Transport type]], 0)</f>
        <v>0.8</v>
      </c>
      <c r="J17" s="214" cm="1">
        <f t="array" ref="J17">Common_InputFunctions.Utility_DisplayArrayInTable(Fuel_SourceData.Fuel_Scope1Scope3EmissionFactorsTransport_Data(), Table_Fuel_EFs_Transport[[#Headers],[Transport type]], 0)</f>
        <v>1.7</v>
      </c>
      <c r="K17" s="214" cm="1">
        <f t="array" ref="K17">Common_InputFunctions.Utility_DisplayArrayInTable(Fuel_SourceData.Fuel_Scope1Scope3EmissionFactorsTransport_Data(), Table_Fuel_EFs_Transport[[#Headers],[Transport type]], 0)</f>
        <v>2.5</v>
      </c>
      <c r="L17" s="214" t="str" cm="1">
        <f t="array" ref="L17">Common_InputFunctions.Utility_DisplayArrayInTable(Fuel_SourceData.Fuel_Scope1Scope3EmissionFactorsTransport_Data(), Table_Fuel_EFs_Transport[[#Headers],[Transport type]], 0)</f>
        <v>NE</v>
      </c>
    </row>
    <row r="18" spans="1:12" ht="20.100000000000001" customHeight="1" x14ac:dyDescent="0.25">
      <c r="A18" s="5" t="str">
        <f>HYPERLINK("#'Input - Manure sent off-site'!A1", "Manure sent off-site")</f>
        <v>Manure sent off-site</v>
      </c>
      <c r="D18" s="214" t="str" cm="1">
        <f t="array" ref="D18">Common_InputFunctions.Utility_DisplayArrayInTable(Fuel_SourceData.Fuel_Scope1Scope3EmissionFactorsTransport_Data(), Table_Fuel_EFs_Transport[[#Headers],[Transport type]], 0)</f>
        <v>Light duty vehicles</v>
      </c>
      <c r="E18" s="214" t="str" cm="1">
        <f t="array" ref="E18">Common_InputFunctions.Utility_DisplayArrayInTable(Fuel_SourceData.Fuel_Scope1Scope3EmissionFactorsTransport_Data(), Table_Fuel_EFs_Transport[[#Headers],[Transport type]], 0)</f>
        <v>Compressed natural gas</v>
      </c>
      <c r="F18" s="214" cm="1">
        <f t="array" ref="F18">Common_InputFunctions.Utility_DisplayArrayInTable(Fuel_SourceData.Fuel_Scope1Scope3EmissionFactorsTransport_Data(), Table_Fuel_EFs_Transport[[#Headers],[Transport type]], 0)</f>
        <v>3.9300000000000002E-2</v>
      </c>
      <c r="G18" s="214" t="str" cm="1">
        <f t="array" ref="G18">Common_InputFunctions.Utility_DisplayArrayInTable(Fuel_SourceData.Fuel_Scope1Scope3EmissionFactorsTransport_Data(), Table_Fuel_EFs_Transport[[#Headers],[Transport type]], 0)</f>
        <v>m3</v>
      </c>
      <c r="H18" s="214" cm="1">
        <f t="array" ref="H18">Common_InputFunctions.Utility_DisplayArrayInTable(Fuel_SourceData.Fuel_Scope1Scope3EmissionFactorsTransport_Data(), Table_Fuel_EFs_Transport[[#Headers],[Transport type]], 0)</f>
        <v>51.4</v>
      </c>
      <c r="I18" s="214" cm="1">
        <f t="array" ref="I18">Common_InputFunctions.Utility_DisplayArrayInTable(Fuel_SourceData.Fuel_Scope1Scope3EmissionFactorsTransport_Data(), Table_Fuel_EFs_Transport[[#Headers],[Transport type]], 0)</f>
        <v>7.3</v>
      </c>
      <c r="J18" s="214" cm="1">
        <f t="array" ref="J18">Common_InputFunctions.Utility_DisplayArrayInTable(Fuel_SourceData.Fuel_Scope1Scope3EmissionFactorsTransport_Data(), Table_Fuel_EFs_Transport[[#Headers],[Transport type]], 0)</f>
        <v>0.3</v>
      </c>
      <c r="K18" s="214" cm="1">
        <f t="array" ref="K18">Common_InputFunctions.Utility_DisplayArrayInTable(Fuel_SourceData.Fuel_Scope1Scope3EmissionFactorsTransport_Data(), Table_Fuel_EFs_Transport[[#Headers],[Transport type]], 0)</f>
        <v>59</v>
      </c>
      <c r="L18" s="214" cm="1">
        <f t="array" ref="L18">Common_InputFunctions.Utility_DisplayArrayInTable(Fuel_SourceData.Fuel_Scope1Scope3EmissionFactorsTransport_Data(), Table_Fuel_EFs_Transport[[#Headers],[Transport type]], 0)</f>
        <v>18</v>
      </c>
    </row>
    <row r="19" spans="1:12" ht="20.100000000000001" customHeight="1" x14ac:dyDescent="0.25">
      <c r="A19" s="5" t="str">
        <f>HYPERLINK("#'Input - Solid waste'!A1", "Solid waste")</f>
        <v>Solid waste</v>
      </c>
      <c r="D19" s="214" t="str" cm="1">
        <f t="array" ref="D19">Common_InputFunctions.Utility_DisplayArrayInTable(Fuel_SourceData.Fuel_Scope1Scope3EmissionFactorsTransport_Data(), Table_Fuel_EFs_Transport[[#Headers],[Transport type]], 0)</f>
        <v>Light duty vehicles</v>
      </c>
      <c r="E19" s="214" t="str" cm="1">
        <f t="array" ref="E19">Common_InputFunctions.Utility_DisplayArrayInTable(Fuel_SourceData.Fuel_Scope1Scope3EmissionFactorsTransport_Data(), Table_Fuel_EFs_Transport[[#Headers],[Transport type]], 0)</f>
        <v>Liquefied natural gas</v>
      </c>
      <c r="F19" s="214" cm="1">
        <f t="array" ref="F19">Common_InputFunctions.Utility_DisplayArrayInTable(Fuel_SourceData.Fuel_Scope1Scope3EmissionFactorsTransport_Data(), Table_Fuel_EFs_Transport[[#Headers],[Transport type]], 0)</f>
        <v>25.3</v>
      </c>
      <c r="G19" s="214" t="str" cm="1">
        <f t="array" ref="G19">Common_InputFunctions.Utility_DisplayArrayInTable(Fuel_SourceData.Fuel_Scope1Scope3EmissionFactorsTransport_Data(), Table_Fuel_EFs_Transport[[#Headers],[Transport type]], 0)</f>
        <v>kl</v>
      </c>
      <c r="H19" s="214" cm="1">
        <f t="array" ref="H19">Common_InputFunctions.Utility_DisplayArrayInTable(Fuel_SourceData.Fuel_Scope1Scope3EmissionFactorsTransport_Data(), Table_Fuel_EFs_Transport[[#Headers],[Transport type]], 0)</f>
        <v>51.4</v>
      </c>
      <c r="I19" s="214" cm="1">
        <f t="array" ref="I19">Common_InputFunctions.Utility_DisplayArrayInTable(Fuel_SourceData.Fuel_Scope1Scope3EmissionFactorsTransport_Data(), Table_Fuel_EFs_Transport[[#Headers],[Transport type]], 0)</f>
        <v>7.3</v>
      </c>
      <c r="J19" s="214" cm="1">
        <f t="array" ref="J19">Common_InputFunctions.Utility_DisplayArrayInTable(Fuel_SourceData.Fuel_Scope1Scope3EmissionFactorsTransport_Data(), Table_Fuel_EFs_Transport[[#Headers],[Transport type]], 0)</f>
        <v>0.3</v>
      </c>
      <c r="K19" s="214" cm="1">
        <f t="array" ref="K19">Common_InputFunctions.Utility_DisplayArrayInTable(Fuel_SourceData.Fuel_Scope1Scope3EmissionFactorsTransport_Data(), Table_Fuel_EFs_Transport[[#Headers],[Transport type]], 0)</f>
        <v>59</v>
      </c>
      <c r="L19" s="214" cm="1">
        <f t="array" ref="L19">Common_InputFunctions.Utility_DisplayArrayInTable(Fuel_SourceData.Fuel_Scope1Scope3EmissionFactorsTransport_Data(), Table_Fuel_EFs_Transport[[#Headers],[Transport type]], 0)</f>
        <v>18</v>
      </c>
    </row>
    <row r="20" spans="1:12" ht="20.100000000000001" customHeight="1" x14ac:dyDescent="0.25">
      <c r="A20" s="5" t="str">
        <f>HYPERLINK("#'Input - Data quality'!A1", "Data quality")</f>
        <v>Data quality</v>
      </c>
      <c r="D20" s="214" t="str" cm="1">
        <f t="array" ref="D20">Common_InputFunctions.Utility_DisplayArrayInTable(Fuel_SourceData.Fuel_Scope1Scope3EmissionFactorsTransport_Data(), Table_Fuel_EFs_Transport[[#Headers],[Transport type]], 0)</f>
        <v>Heavy duty vehicles</v>
      </c>
      <c r="E20" s="214" t="str" cm="1">
        <f t="array" ref="E20">Common_InputFunctions.Utility_DisplayArrayInTable(Fuel_SourceData.Fuel_Scope1Scope3EmissionFactorsTransport_Data(), Table_Fuel_EFs_Transport[[#Headers],[Transport type]], 0)</f>
        <v>Compressed natural gas</v>
      </c>
      <c r="F20" s="214" cm="1">
        <f t="array" ref="F20">Common_InputFunctions.Utility_DisplayArrayInTable(Fuel_SourceData.Fuel_Scope1Scope3EmissionFactorsTransport_Data(), Table_Fuel_EFs_Transport[[#Headers],[Transport type]], 0)</f>
        <v>3.9300000000000002E-2</v>
      </c>
      <c r="G20" s="214" t="str" cm="1">
        <f t="array" ref="G20">Common_InputFunctions.Utility_DisplayArrayInTable(Fuel_SourceData.Fuel_Scope1Scope3EmissionFactorsTransport_Data(), Table_Fuel_EFs_Transport[[#Headers],[Transport type]], 0)</f>
        <v>m3</v>
      </c>
      <c r="H20" s="214" cm="1">
        <f t="array" ref="H20">Common_InputFunctions.Utility_DisplayArrayInTable(Fuel_SourceData.Fuel_Scope1Scope3EmissionFactorsTransport_Data(), Table_Fuel_EFs_Transport[[#Headers],[Transport type]], 0)</f>
        <v>51.4</v>
      </c>
      <c r="I20" s="214" cm="1">
        <f t="array" ref="I20">Common_InputFunctions.Utility_DisplayArrayInTable(Fuel_SourceData.Fuel_Scope1Scope3EmissionFactorsTransport_Data(), Table_Fuel_EFs_Transport[[#Headers],[Transport type]], 0)</f>
        <v>2.8</v>
      </c>
      <c r="J20" s="214" cm="1">
        <f t="array" ref="J20">Common_InputFunctions.Utility_DisplayArrayInTable(Fuel_SourceData.Fuel_Scope1Scope3EmissionFactorsTransport_Data(), Table_Fuel_EFs_Transport[[#Headers],[Transport type]], 0)</f>
        <v>0.3</v>
      </c>
      <c r="K20" s="214" cm="1">
        <f t="array" ref="K20">Common_InputFunctions.Utility_DisplayArrayInTable(Fuel_SourceData.Fuel_Scope1Scope3EmissionFactorsTransport_Data(), Table_Fuel_EFs_Transport[[#Headers],[Transport type]], 0)</f>
        <v>54.5</v>
      </c>
      <c r="L20" s="214" cm="1">
        <f t="array" ref="L20">Common_InputFunctions.Utility_DisplayArrayInTable(Fuel_SourceData.Fuel_Scope1Scope3EmissionFactorsTransport_Data(), Table_Fuel_EFs_Transport[[#Headers],[Transport type]], 0)</f>
        <v>18</v>
      </c>
    </row>
    <row r="21" spans="1:12" ht="20.100000000000001" customHeight="1" x14ac:dyDescent="0.25">
      <c r="D21" s="214" t="str" cm="1">
        <f t="array" ref="D21">Common_InputFunctions.Utility_DisplayArrayInTable(Fuel_SourceData.Fuel_Scope1Scope3EmissionFactorsTransport_Data(), Table_Fuel_EFs_Transport[[#Headers],[Transport type]], 0)</f>
        <v>Heavy duty vehicles</v>
      </c>
      <c r="E21" s="214" t="str" cm="1">
        <f t="array" ref="E21">Common_InputFunctions.Utility_DisplayArrayInTable(Fuel_SourceData.Fuel_Scope1Scope3EmissionFactorsTransport_Data(), Table_Fuel_EFs_Transport[[#Headers],[Transport type]], 0)</f>
        <v>Liquefied natural gas</v>
      </c>
      <c r="F21" s="214" cm="1">
        <f t="array" ref="F21">Common_InputFunctions.Utility_DisplayArrayInTable(Fuel_SourceData.Fuel_Scope1Scope3EmissionFactorsTransport_Data(), Table_Fuel_EFs_Transport[[#Headers],[Transport type]], 0)</f>
        <v>25.3</v>
      </c>
      <c r="G21" s="214" t="str" cm="1">
        <f t="array" ref="G21">Common_InputFunctions.Utility_DisplayArrayInTable(Fuel_SourceData.Fuel_Scope1Scope3EmissionFactorsTransport_Data(), Table_Fuel_EFs_Transport[[#Headers],[Transport type]], 0)</f>
        <v>kl</v>
      </c>
      <c r="H21" s="214" cm="1">
        <f t="array" ref="H21">Common_InputFunctions.Utility_DisplayArrayInTable(Fuel_SourceData.Fuel_Scope1Scope3EmissionFactorsTransport_Data(), Table_Fuel_EFs_Transport[[#Headers],[Transport type]], 0)</f>
        <v>51.4</v>
      </c>
      <c r="I21" s="214" cm="1">
        <f t="array" ref="I21">Common_InputFunctions.Utility_DisplayArrayInTable(Fuel_SourceData.Fuel_Scope1Scope3EmissionFactorsTransport_Data(), Table_Fuel_EFs_Transport[[#Headers],[Transport type]], 0)</f>
        <v>2.8</v>
      </c>
      <c r="J21" s="214" cm="1">
        <f t="array" ref="J21">Common_InputFunctions.Utility_DisplayArrayInTable(Fuel_SourceData.Fuel_Scope1Scope3EmissionFactorsTransport_Data(), Table_Fuel_EFs_Transport[[#Headers],[Transport type]], 0)</f>
        <v>0.3</v>
      </c>
      <c r="K21" s="214" cm="1">
        <f t="array" ref="K21">Common_InputFunctions.Utility_DisplayArrayInTable(Fuel_SourceData.Fuel_Scope1Scope3EmissionFactorsTransport_Data(), Table_Fuel_EFs_Transport[[#Headers],[Transport type]], 0)</f>
        <v>54.5</v>
      </c>
      <c r="L21" s="214" cm="1">
        <f t="array" ref="L21">Common_InputFunctions.Utility_DisplayArrayInTable(Fuel_SourceData.Fuel_Scope1Scope3EmissionFactorsTransport_Data(), Table_Fuel_EFs_Transport[[#Headers],[Transport type]], 0)</f>
        <v>18</v>
      </c>
    </row>
    <row r="22" spans="1:12" ht="20.100000000000001" customHeight="1" x14ac:dyDescent="0.25">
      <c r="D22" s="214" t="str" cm="1">
        <f t="array" ref="D22">Common_InputFunctions.Utility_DisplayArrayInTable(Fuel_SourceData.Fuel_Scope1Scope3EmissionFactorsTransport_Data(), Table_Fuel_EFs_Transport[[#Headers],[Transport type]], 0)</f>
        <v>Heavy duty vehicles</v>
      </c>
      <c r="E22" s="214" t="str" cm="1">
        <f t="array" ref="E22">Common_InputFunctions.Utility_DisplayArrayInTable(Fuel_SourceData.Fuel_Scope1Scope3EmissionFactorsTransport_Data(), Table_Fuel_EFs_Transport[[#Headers],[Transport type]], 0)</f>
        <v>Diesel oil - Euro iv or higher</v>
      </c>
      <c r="F22" s="214" cm="1">
        <f t="array" ref="F22">Common_InputFunctions.Utility_DisplayArrayInTable(Fuel_SourceData.Fuel_Scope1Scope3EmissionFactorsTransport_Data(), Table_Fuel_EFs_Transport[[#Headers],[Transport type]], 0)</f>
        <v>38.6</v>
      </c>
      <c r="G22" s="214" t="str" cm="1">
        <f t="array" ref="G22">Common_InputFunctions.Utility_DisplayArrayInTable(Fuel_SourceData.Fuel_Scope1Scope3EmissionFactorsTransport_Data(), Table_Fuel_EFs_Transport[[#Headers],[Transport type]], 0)</f>
        <v>kl</v>
      </c>
      <c r="H22" s="214" cm="1">
        <f t="array" ref="H22">Common_InputFunctions.Utility_DisplayArrayInTable(Fuel_SourceData.Fuel_Scope1Scope3EmissionFactorsTransport_Data(), Table_Fuel_EFs_Transport[[#Headers],[Transport type]], 0)</f>
        <v>69.900000000000006</v>
      </c>
      <c r="I22" s="214" cm="1">
        <f t="array" ref="I22">Common_InputFunctions.Utility_DisplayArrayInTable(Fuel_SourceData.Fuel_Scope1Scope3EmissionFactorsTransport_Data(), Table_Fuel_EFs_Transport[[#Headers],[Transport type]], 0)</f>
        <v>7.0000000000000007E-2</v>
      </c>
      <c r="J22" s="214" cm="1">
        <f t="array" ref="J22">Common_InputFunctions.Utility_DisplayArrayInTable(Fuel_SourceData.Fuel_Scope1Scope3EmissionFactorsTransport_Data(), Table_Fuel_EFs_Transport[[#Headers],[Transport type]], 0)</f>
        <v>0.4</v>
      </c>
      <c r="K22" s="214" cm="1">
        <f t="array" ref="K22">Common_InputFunctions.Utility_DisplayArrayInTable(Fuel_SourceData.Fuel_Scope1Scope3EmissionFactorsTransport_Data(), Table_Fuel_EFs_Transport[[#Headers],[Transport type]], 0)</f>
        <v>70.37</v>
      </c>
      <c r="L22" s="214" cm="1">
        <f t="array" ref="L22">Common_InputFunctions.Utility_DisplayArrayInTable(Fuel_SourceData.Fuel_Scope1Scope3EmissionFactorsTransport_Data(), Table_Fuel_EFs_Transport[[#Headers],[Transport type]], 0)</f>
        <v>17.3</v>
      </c>
    </row>
    <row r="23" spans="1:12" ht="20.100000000000001" customHeight="1" x14ac:dyDescent="0.25">
      <c r="A23" s="6" t="s">
        <v>2</v>
      </c>
      <c r="D23" s="214" t="str" cm="1">
        <f t="array" ref="D23">Common_InputFunctions.Utility_DisplayArrayInTable(Fuel_SourceData.Fuel_Scope1Scope3EmissionFactorsTransport_Data(), Table_Fuel_EFs_Transport[[#Headers],[Transport type]], 0)</f>
        <v>Heavy duty vehicles</v>
      </c>
      <c r="E23" s="214" t="str" cm="1">
        <f t="array" ref="E23">Common_InputFunctions.Utility_DisplayArrayInTable(Fuel_SourceData.Fuel_Scope1Scope3EmissionFactorsTransport_Data(), Table_Fuel_EFs_Transport[[#Headers],[Transport type]], 0)</f>
        <v>Diesel oil - Euro iii</v>
      </c>
      <c r="F23" s="214" cm="1">
        <f t="array" ref="F23">Common_InputFunctions.Utility_DisplayArrayInTable(Fuel_SourceData.Fuel_Scope1Scope3EmissionFactorsTransport_Data(), Table_Fuel_EFs_Transport[[#Headers],[Transport type]], 0)</f>
        <v>38.6</v>
      </c>
      <c r="G23" s="214" t="str" cm="1">
        <f t="array" ref="G23">Common_InputFunctions.Utility_DisplayArrayInTable(Fuel_SourceData.Fuel_Scope1Scope3EmissionFactorsTransport_Data(), Table_Fuel_EFs_Transport[[#Headers],[Transport type]], 0)</f>
        <v>kl</v>
      </c>
      <c r="H23" s="214" cm="1">
        <f t="array" ref="H23">Common_InputFunctions.Utility_DisplayArrayInTable(Fuel_SourceData.Fuel_Scope1Scope3EmissionFactorsTransport_Data(), Table_Fuel_EFs_Transport[[#Headers],[Transport type]], 0)</f>
        <v>69.900000000000006</v>
      </c>
      <c r="I23" s="214" cm="1">
        <f t="array" ref="I23">Common_InputFunctions.Utility_DisplayArrayInTable(Fuel_SourceData.Fuel_Scope1Scope3EmissionFactorsTransport_Data(), Table_Fuel_EFs_Transport[[#Headers],[Transport type]], 0)</f>
        <v>0.1</v>
      </c>
      <c r="J23" s="214" cm="1">
        <f t="array" ref="J23">Common_InputFunctions.Utility_DisplayArrayInTable(Fuel_SourceData.Fuel_Scope1Scope3EmissionFactorsTransport_Data(), Table_Fuel_EFs_Transport[[#Headers],[Transport type]], 0)</f>
        <v>0.4</v>
      </c>
      <c r="K23" s="214" cm="1">
        <f t="array" ref="K23">Common_InputFunctions.Utility_DisplayArrayInTable(Fuel_SourceData.Fuel_Scope1Scope3EmissionFactorsTransport_Data(), Table_Fuel_EFs_Transport[[#Headers],[Transport type]], 0)</f>
        <v>70.400000000000006</v>
      </c>
      <c r="L23" s="214" cm="1">
        <f t="array" ref="L23">Common_InputFunctions.Utility_DisplayArrayInTable(Fuel_SourceData.Fuel_Scope1Scope3EmissionFactorsTransport_Data(), Table_Fuel_EFs_Transport[[#Headers],[Transport type]], 0)</f>
        <v>17.3</v>
      </c>
    </row>
    <row r="24" spans="1:12" ht="20.100000000000001" customHeight="1" x14ac:dyDescent="0.25">
      <c r="A24" s="5" t="str">
        <f>HYPERLINK("#'5.1.1.1-2 Inorganic fert N2O'!A1", "5.1.1.1-2 Inorganic fert N2O")</f>
        <v>5.1.1.1-2 Inorganic fert N2O</v>
      </c>
      <c r="D24" s="214" t="str" cm="1">
        <f t="array" ref="D24">Common_InputFunctions.Utility_DisplayArrayInTable(Fuel_SourceData.Fuel_Scope1Scope3EmissionFactorsTransport_Data(), Table_Fuel_EFs_Transport[[#Headers],[Transport type]], 0)</f>
        <v>Heavy duty vehicles</v>
      </c>
      <c r="E24" s="214" t="str" cm="1">
        <f t="array" ref="E24">Common_InputFunctions.Utility_DisplayArrayInTable(Fuel_SourceData.Fuel_Scope1Scope3EmissionFactorsTransport_Data(), Table_Fuel_EFs_Transport[[#Headers],[Transport type]], 0)</f>
        <v>Diesel oil - Euro i</v>
      </c>
      <c r="F24" s="214" cm="1">
        <f t="array" ref="F24">Common_InputFunctions.Utility_DisplayArrayInTable(Fuel_SourceData.Fuel_Scope1Scope3EmissionFactorsTransport_Data(), Table_Fuel_EFs_Transport[[#Headers],[Transport type]], 0)</f>
        <v>38.6</v>
      </c>
      <c r="G24" s="214" t="str" cm="1">
        <f t="array" ref="G24">Common_InputFunctions.Utility_DisplayArrayInTable(Fuel_SourceData.Fuel_Scope1Scope3EmissionFactorsTransport_Data(), Table_Fuel_EFs_Transport[[#Headers],[Transport type]], 0)</f>
        <v>kl</v>
      </c>
      <c r="H24" s="214" cm="1">
        <f t="array" ref="H24">Common_InputFunctions.Utility_DisplayArrayInTable(Fuel_SourceData.Fuel_Scope1Scope3EmissionFactorsTransport_Data(), Table_Fuel_EFs_Transport[[#Headers],[Transport type]], 0)</f>
        <v>69.900000000000006</v>
      </c>
      <c r="I24" s="214" cm="1">
        <f t="array" ref="I24">Common_InputFunctions.Utility_DisplayArrayInTable(Fuel_SourceData.Fuel_Scope1Scope3EmissionFactorsTransport_Data(), Table_Fuel_EFs_Transport[[#Headers],[Transport type]], 0)</f>
        <v>0.2</v>
      </c>
      <c r="J24" s="214" cm="1">
        <f t="array" ref="J24">Common_InputFunctions.Utility_DisplayArrayInTable(Fuel_SourceData.Fuel_Scope1Scope3EmissionFactorsTransport_Data(), Table_Fuel_EFs_Transport[[#Headers],[Transport type]], 0)</f>
        <v>0.4</v>
      </c>
      <c r="K24" s="214" cm="1">
        <f t="array" ref="K24">Common_InputFunctions.Utility_DisplayArrayInTable(Fuel_SourceData.Fuel_Scope1Scope3EmissionFactorsTransport_Data(), Table_Fuel_EFs_Transport[[#Headers],[Transport type]], 0)</f>
        <v>70.5</v>
      </c>
      <c r="L24" s="214" cm="1">
        <f t="array" ref="L24">Common_InputFunctions.Utility_DisplayArrayInTable(Fuel_SourceData.Fuel_Scope1Scope3EmissionFactorsTransport_Data(), Table_Fuel_EFs_Transport[[#Headers],[Transport type]], 0)</f>
        <v>17.3</v>
      </c>
    </row>
    <row r="25" spans="1:12" ht="20.100000000000001" customHeight="1" x14ac:dyDescent="0.25">
      <c r="A25" s="5" t="str">
        <f>HYPERLINK("#'5.1.1.3-4 Inorganic fert CO2'!A1", "5.1.1.3-4 Inorganic fert CO2")</f>
        <v>5.1.1.3-4 Inorganic fert CO2</v>
      </c>
      <c r="D25" s="214" t="str" cm="1">
        <f t="array" ref="D25">Common_InputFunctions.Utility_DisplayArrayInTable(Fuel_SourceData.Fuel_Scope1Scope3EmissionFactorsTransport_Data(), Table_Fuel_EFs_Transport[[#Headers],[Transport type]], 0)</f>
        <v>Heavy duty vehicles</v>
      </c>
      <c r="E25" s="214" t="str" cm="1">
        <f t="array" ref="E25">Common_InputFunctions.Utility_DisplayArrayInTable(Fuel_SourceData.Fuel_Scope1Scope3EmissionFactorsTransport_Data(), Table_Fuel_EFs_Transport[[#Headers],[Transport type]], 0)</f>
        <v>Renewable diesel – Euro iv or higher</v>
      </c>
      <c r="F25" s="214" cm="1">
        <f t="array" ref="F25">Common_InputFunctions.Utility_DisplayArrayInTable(Fuel_SourceData.Fuel_Scope1Scope3EmissionFactorsTransport_Data(), Table_Fuel_EFs_Transport[[#Headers],[Transport type]], 0)</f>
        <v>38.6</v>
      </c>
      <c r="G25" s="214" t="str" cm="1">
        <f t="array" ref="G25">Common_InputFunctions.Utility_DisplayArrayInTable(Fuel_SourceData.Fuel_Scope1Scope3EmissionFactorsTransport_Data(), Table_Fuel_EFs_Transport[[#Headers],[Transport type]], 0)</f>
        <v>kl</v>
      </c>
      <c r="H25" s="214" cm="1">
        <f t="array" ref="H25">Common_InputFunctions.Utility_DisplayArrayInTable(Fuel_SourceData.Fuel_Scope1Scope3EmissionFactorsTransport_Data(), Table_Fuel_EFs_Transport[[#Headers],[Transport type]], 0)</f>
        <v>0</v>
      </c>
      <c r="I25" s="214" cm="1">
        <f t="array" ref="I25">Common_InputFunctions.Utility_DisplayArrayInTable(Fuel_SourceData.Fuel_Scope1Scope3EmissionFactorsTransport_Data(), Table_Fuel_EFs_Transport[[#Headers],[Transport type]], 0)</f>
        <v>7.0000000000000007E-2</v>
      </c>
      <c r="J25" s="214" cm="1">
        <f t="array" ref="J25">Common_InputFunctions.Utility_DisplayArrayInTable(Fuel_SourceData.Fuel_Scope1Scope3EmissionFactorsTransport_Data(), Table_Fuel_EFs_Transport[[#Headers],[Transport type]], 0)</f>
        <v>0.4</v>
      </c>
      <c r="K25" s="214" cm="1">
        <f t="array" ref="K25">Common_InputFunctions.Utility_DisplayArrayInTable(Fuel_SourceData.Fuel_Scope1Scope3EmissionFactorsTransport_Data(), Table_Fuel_EFs_Transport[[#Headers],[Transport type]], 0)</f>
        <v>0.47</v>
      </c>
      <c r="L25" s="214" t="str" cm="1">
        <f t="array" ref="L25">Common_InputFunctions.Utility_DisplayArrayInTable(Fuel_SourceData.Fuel_Scope1Scope3EmissionFactorsTransport_Data(), Table_Fuel_EFs_Transport[[#Headers],[Transport type]], 0)</f>
        <v>NE</v>
      </c>
    </row>
    <row r="26" spans="1:12" ht="20.100000000000001" customHeight="1" x14ac:dyDescent="0.25">
      <c r="A26" s="5" t="str">
        <f>HYPERLINK("#'5.2.1.1-2 Organic Fert N2O'!A1", "5.2.1.1-2 Organic fert N2O")</f>
        <v>5.2.1.1-2 Organic fert N2O</v>
      </c>
      <c r="D26" s="214" t="str" cm="1">
        <f t="array" ref="D26">Common_InputFunctions.Utility_DisplayArrayInTable(Fuel_SourceData.Fuel_Scope1Scope3EmissionFactorsTransport_Data(), Table_Fuel_EFs_Transport[[#Headers],[Transport type]], 0)</f>
        <v>Heavy duty vehicles</v>
      </c>
      <c r="E26" s="214" t="str" cm="1">
        <f t="array" ref="E26">Common_InputFunctions.Utility_DisplayArrayInTable(Fuel_SourceData.Fuel_Scope1Scope3EmissionFactorsTransport_Data(), Table_Fuel_EFs_Transport[[#Headers],[Transport type]], 0)</f>
        <v>Renewable diesel – Euro iii</v>
      </c>
      <c r="F26" s="214" cm="1">
        <f t="array" ref="F26">Common_InputFunctions.Utility_DisplayArrayInTable(Fuel_SourceData.Fuel_Scope1Scope3EmissionFactorsTransport_Data(), Table_Fuel_EFs_Transport[[#Headers],[Transport type]], 0)</f>
        <v>38.6</v>
      </c>
      <c r="G26" s="214" t="str" cm="1">
        <f t="array" ref="G26">Common_InputFunctions.Utility_DisplayArrayInTable(Fuel_SourceData.Fuel_Scope1Scope3EmissionFactorsTransport_Data(), Table_Fuel_EFs_Transport[[#Headers],[Transport type]], 0)</f>
        <v>kl</v>
      </c>
      <c r="H26" s="214" cm="1">
        <f t="array" ref="H26">Common_InputFunctions.Utility_DisplayArrayInTable(Fuel_SourceData.Fuel_Scope1Scope3EmissionFactorsTransport_Data(), Table_Fuel_EFs_Transport[[#Headers],[Transport type]], 0)</f>
        <v>0</v>
      </c>
      <c r="I26" s="214" cm="1">
        <f t="array" ref="I26">Common_InputFunctions.Utility_DisplayArrayInTable(Fuel_SourceData.Fuel_Scope1Scope3EmissionFactorsTransport_Data(), Table_Fuel_EFs_Transport[[#Headers],[Transport type]], 0)</f>
        <v>0.1</v>
      </c>
      <c r="J26" s="214" cm="1">
        <f t="array" ref="J26">Common_InputFunctions.Utility_DisplayArrayInTable(Fuel_SourceData.Fuel_Scope1Scope3EmissionFactorsTransport_Data(), Table_Fuel_EFs_Transport[[#Headers],[Transport type]], 0)</f>
        <v>0.4</v>
      </c>
      <c r="K26" s="214" cm="1">
        <f t="array" ref="K26">Common_InputFunctions.Utility_DisplayArrayInTable(Fuel_SourceData.Fuel_Scope1Scope3EmissionFactorsTransport_Data(), Table_Fuel_EFs_Transport[[#Headers],[Transport type]], 0)</f>
        <v>0.5</v>
      </c>
      <c r="L26" s="214" t="str" cm="1">
        <f t="array" ref="L26">Common_InputFunctions.Utility_DisplayArrayInTable(Fuel_SourceData.Fuel_Scope1Scope3EmissionFactorsTransport_Data(), Table_Fuel_EFs_Transport[[#Headers],[Transport type]], 0)</f>
        <v>NE</v>
      </c>
    </row>
    <row r="27" spans="1:12" ht="20.100000000000001" customHeight="1" x14ac:dyDescent="0.25">
      <c r="A27" s="5" t="str">
        <f>HYPERLINK("#'5.3.1.1-2 Lime CO2'!A1", "5.3.1.1-2 Lime CO2")</f>
        <v>5.3.1.1-2 Lime CO2</v>
      </c>
      <c r="D27" s="214" t="str" cm="1">
        <f t="array" ref="D27">Common_InputFunctions.Utility_DisplayArrayInTable(Fuel_SourceData.Fuel_Scope1Scope3EmissionFactorsTransport_Data(), Table_Fuel_EFs_Transport[[#Headers],[Transport type]], 0)</f>
        <v>Heavy duty vehicles</v>
      </c>
      <c r="E27" s="214" t="str" cm="1">
        <f t="array" ref="E27">Common_InputFunctions.Utility_DisplayArrayInTable(Fuel_SourceData.Fuel_Scope1Scope3EmissionFactorsTransport_Data(), Table_Fuel_EFs_Transport[[#Headers],[Transport type]], 0)</f>
        <v>Renewable diesel – Euro i</v>
      </c>
      <c r="F27" s="214" cm="1">
        <f t="array" ref="F27">Common_InputFunctions.Utility_DisplayArrayInTable(Fuel_SourceData.Fuel_Scope1Scope3EmissionFactorsTransport_Data(), Table_Fuel_EFs_Transport[[#Headers],[Transport type]], 0)</f>
        <v>38.6</v>
      </c>
      <c r="G27" s="214" t="str" cm="1">
        <f t="array" ref="G27">Common_InputFunctions.Utility_DisplayArrayInTable(Fuel_SourceData.Fuel_Scope1Scope3EmissionFactorsTransport_Data(), Table_Fuel_EFs_Transport[[#Headers],[Transport type]], 0)</f>
        <v>kl</v>
      </c>
      <c r="H27" s="214" cm="1">
        <f t="array" ref="H27">Common_InputFunctions.Utility_DisplayArrayInTable(Fuel_SourceData.Fuel_Scope1Scope3EmissionFactorsTransport_Data(), Table_Fuel_EFs_Transport[[#Headers],[Transport type]], 0)</f>
        <v>0</v>
      </c>
      <c r="I27" s="214" cm="1">
        <f t="array" ref="I27">Common_InputFunctions.Utility_DisplayArrayInTable(Fuel_SourceData.Fuel_Scope1Scope3EmissionFactorsTransport_Data(), Table_Fuel_EFs_Transport[[#Headers],[Transport type]], 0)</f>
        <v>0.2</v>
      </c>
      <c r="J27" s="214" cm="1">
        <f t="array" ref="J27">Common_InputFunctions.Utility_DisplayArrayInTable(Fuel_SourceData.Fuel_Scope1Scope3EmissionFactorsTransport_Data(), Table_Fuel_EFs_Transport[[#Headers],[Transport type]], 0)</f>
        <v>0.4</v>
      </c>
      <c r="K27" s="214" cm="1">
        <f t="array" ref="K27">Common_InputFunctions.Utility_DisplayArrayInTable(Fuel_SourceData.Fuel_Scope1Scope3EmissionFactorsTransport_Data(), Table_Fuel_EFs_Transport[[#Headers],[Transport type]], 0)</f>
        <v>0.6</v>
      </c>
      <c r="L27" s="214" t="str" cm="1">
        <f t="array" ref="L27">Common_InputFunctions.Utility_DisplayArrayInTable(Fuel_SourceData.Fuel_Scope1Scope3EmissionFactorsTransport_Data(), Table_Fuel_EFs_Transport[[#Headers],[Transport type]], 0)</f>
        <v>NE</v>
      </c>
    </row>
    <row r="28" spans="1:12" ht="20.100000000000001" customHeight="1" x14ac:dyDescent="0.25">
      <c r="A28" s="5" t="str">
        <f>HYPERLINK("#'5.4.1.1-4 Atmos deposition'!A1", "5.4.1.1-4 Atmos. deposition")</f>
        <v>5.4.1.1-4 Atmos. deposition</v>
      </c>
      <c r="D28" s="214" t="str" cm="1">
        <f t="array" ref="D28">Common_InputFunctions.Utility_DisplayArrayInTable(Fuel_SourceData.Fuel_Scope1Scope3EmissionFactorsTransport_Data(), Table_Fuel_EFs_Transport[[#Headers],[Transport type]], 0)</f>
        <v>Aviation</v>
      </c>
      <c r="E28" s="214" t="str" cm="1">
        <f t="array" ref="E28">Common_InputFunctions.Utility_DisplayArrayInTable(Fuel_SourceData.Fuel_Scope1Scope3EmissionFactorsTransport_Data(), Table_Fuel_EFs_Transport[[#Headers],[Transport type]], 0)</f>
        <v>Gasoline for use as fuel in an aircraft</v>
      </c>
      <c r="F28" s="214" cm="1">
        <f t="array" ref="F28">Common_InputFunctions.Utility_DisplayArrayInTable(Fuel_SourceData.Fuel_Scope1Scope3EmissionFactorsTransport_Data(), Table_Fuel_EFs_Transport[[#Headers],[Transport type]], 0)</f>
        <v>33.1</v>
      </c>
      <c r="G28" s="214" t="str" cm="1">
        <f t="array" ref="G28">Common_InputFunctions.Utility_DisplayArrayInTable(Fuel_SourceData.Fuel_Scope1Scope3EmissionFactorsTransport_Data(), Table_Fuel_EFs_Transport[[#Headers],[Transport type]], 0)</f>
        <v>kl</v>
      </c>
      <c r="H28" s="214" cm="1">
        <f t="array" ref="H28">Common_InputFunctions.Utility_DisplayArrayInTable(Fuel_SourceData.Fuel_Scope1Scope3EmissionFactorsTransport_Data(), Table_Fuel_EFs_Transport[[#Headers],[Transport type]], 0)</f>
        <v>67</v>
      </c>
      <c r="I28" s="214" cm="1">
        <f t="array" ref="I28">Common_InputFunctions.Utility_DisplayArrayInTable(Fuel_SourceData.Fuel_Scope1Scope3EmissionFactorsTransport_Data(), Table_Fuel_EFs_Transport[[#Headers],[Transport type]], 0)</f>
        <v>0.06</v>
      </c>
      <c r="J28" s="214" cm="1">
        <f t="array" ref="J28">Common_InputFunctions.Utility_DisplayArrayInTable(Fuel_SourceData.Fuel_Scope1Scope3EmissionFactorsTransport_Data(), Table_Fuel_EFs_Transport[[#Headers],[Transport type]], 0)</f>
        <v>0.6</v>
      </c>
      <c r="K28" s="214" cm="1">
        <f t="array" ref="K28">Common_InputFunctions.Utility_DisplayArrayInTable(Fuel_SourceData.Fuel_Scope1Scope3EmissionFactorsTransport_Data(), Table_Fuel_EFs_Transport[[#Headers],[Transport type]], 0)</f>
        <v>67.66</v>
      </c>
      <c r="L28" s="214" cm="1">
        <f t="array" ref="L28">Common_InputFunctions.Utility_DisplayArrayInTable(Fuel_SourceData.Fuel_Scope1Scope3EmissionFactorsTransport_Data(), Table_Fuel_EFs_Transport[[#Headers],[Transport type]], 0)</f>
        <v>18</v>
      </c>
    </row>
    <row r="29" spans="1:12" ht="20.100000000000001" customHeight="1" x14ac:dyDescent="0.25">
      <c r="A29" s="5" t="str">
        <f>HYPERLINK("#'5.5.1.1-2 Leaching and runoff'!A1", "5.5.1.1-2 Leaching &amp; runoff")</f>
        <v>5.5.1.1-2 Leaching &amp; runoff</v>
      </c>
      <c r="D29" s="214" t="str" cm="1">
        <f t="array" ref="D29">Common_InputFunctions.Utility_DisplayArrayInTable(Fuel_SourceData.Fuel_Scope1Scope3EmissionFactorsTransport_Data(), Table_Fuel_EFs_Transport[[#Headers],[Transport type]], 0)</f>
        <v>Aviation</v>
      </c>
      <c r="E29" s="214" t="str" cm="1">
        <f t="array" ref="E29">Common_InputFunctions.Utility_DisplayArrayInTable(Fuel_SourceData.Fuel_Scope1Scope3EmissionFactorsTransport_Data(), Table_Fuel_EFs_Transport[[#Headers],[Transport type]], 0)</f>
        <v>Kerosene for use as fuel in an aircraft</v>
      </c>
      <c r="F29" s="214" cm="1">
        <f t="array" ref="F29">Common_InputFunctions.Utility_DisplayArrayInTable(Fuel_SourceData.Fuel_Scope1Scope3EmissionFactorsTransport_Data(), Table_Fuel_EFs_Transport[[#Headers],[Transport type]], 0)</f>
        <v>36.799999999999997</v>
      </c>
      <c r="G29" s="214" t="str" cm="1">
        <f t="array" ref="G29">Common_InputFunctions.Utility_DisplayArrayInTable(Fuel_SourceData.Fuel_Scope1Scope3EmissionFactorsTransport_Data(), Table_Fuel_EFs_Transport[[#Headers],[Transport type]], 0)</f>
        <v>kl</v>
      </c>
      <c r="H29" s="214" cm="1">
        <f t="array" ref="H29">Common_InputFunctions.Utility_DisplayArrayInTable(Fuel_SourceData.Fuel_Scope1Scope3EmissionFactorsTransport_Data(), Table_Fuel_EFs_Transport[[#Headers],[Transport type]], 0)</f>
        <v>69.599999999999994</v>
      </c>
      <c r="I29" s="214" cm="1">
        <f t="array" ref="I29">Common_InputFunctions.Utility_DisplayArrayInTable(Fuel_SourceData.Fuel_Scope1Scope3EmissionFactorsTransport_Data(), Table_Fuel_EFs_Transport[[#Headers],[Transport type]], 0)</f>
        <v>0.01</v>
      </c>
      <c r="J29" s="214" cm="1">
        <f t="array" ref="J29">Common_InputFunctions.Utility_DisplayArrayInTable(Fuel_SourceData.Fuel_Scope1Scope3EmissionFactorsTransport_Data(), Table_Fuel_EFs_Transport[[#Headers],[Transport type]], 0)</f>
        <v>0.6</v>
      </c>
      <c r="K29" s="214" cm="1">
        <f t="array" ref="K29">Common_InputFunctions.Utility_DisplayArrayInTable(Fuel_SourceData.Fuel_Scope1Scope3EmissionFactorsTransport_Data(), Table_Fuel_EFs_Transport[[#Headers],[Transport type]], 0)</f>
        <v>70.209999999999994</v>
      </c>
      <c r="L29" s="214" cm="1">
        <f t="array" ref="L29">Common_InputFunctions.Utility_DisplayArrayInTable(Fuel_SourceData.Fuel_Scope1Scope3EmissionFactorsTransport_Data(), Table_Fuel_EFs_Transport[[#Headers],[Transport type]], 0)</f>
        <v>18</v>
      </c>
    </row>
    <row r="30" spans="1:12" ht="20.100000000000001" customHeight="1" x14ac:dyDescent="0.25">
      <c r="A30" s="5" t="str">
        <f>HYPERLINK("#'6.1.1.1-2 Crop residue N2O'!A1", "6.1.1.1-2 Crop residue N2O")</f>
        <v>6.1.1.1-2 Crop residue N2O</v>
      </c>
      <c r="D30" s="214" t="str" cm="1">
        <f t="array" ref="D30">Common_InputFunctions.Utility_DisplayArrayInTable(Fuel_SourceData.Fuel_Scope1Scope3EmissionFactorsTransport_Data(), Table_Fuel_EFs_Transport[[#Headers],[Transport type]], 0)</f>
        <v>Aviation</v>
      </c>
      <c r="E30" s="214" t="str" cm="1">
        <f t="array" ref="E30">Common_InputFunctions.Utility_DisplayArrayInTable(Fuel_SourceData.Fuel_Scope1Scope3EmissionFactorsTransport_Data(), Table_Fuel_EFs_Transport[[#Headers],[Transport type]], 0)</f>
        <v>Renewable aviation kerosene</v>
      </c>
      <c r="F30" s="214" cm="1">
        <f t="array" ref="F30">Common_InputFunctions.Utility_DisplayArrayInTable(Fuel_SourceData.Fuel_Scope1Scope3EmissionFactorsTransport_Data(), Table_Fuel_EFs_Transport[[#Headers],[Transport type]], 0)</f>
        <v>36.799999999999997</v>
      </c>
      <c r="G30" s="214" t="str" cm="1">
        <f t="array" ref="G30">Common_InputFunctions.Utility_DisplayArrayInTable(Fuel_SourceData.Fuel_Scope1Scope3EmissionFactorsTransport_Data(), Table_Fuel_EFs_Transport[[#Headers],[Transport type]], 0)</f>
        <v>kl</v>
      </c>
      <c r="H30" s="214" cm="1">
        <f t="array" ref="H30">Common_InputFunctions.Utility_DisplayArrayInTable(Fuel_SourceData.Fuel_Scope1Scope3EmissionFactorsTransport_Data(), Table_Fuel_EFs_Transport[[#Headers],[Transport type]], 0)</f>
        <v>0</v>
      </c>
      <c r="I30" s="214" cm="1">
        <f t="array" ref="I30">Common_InputFunctions.Utility_DisplayArrayInTable(Fuel_SourceData.Fuel_Scope1Scope3EmissionFactorsTransport_Data(), Table_Fuel_EFs_Transport[[#Headers],[Transport type]], 0)</f>
        <v>0.01</v>
      </c>
      <c r="J30" s="214" cm="1">
        <f t="array" ref="J30">Common_InputFunctions.Utility_DisplayArrayInTable(Fuel_SourceData.Fuel_Scope1Scope3EmissionFactorsTransport_Data(), Table_Fuel_EFs_Transport[[#Headers],[Transport type]], 0)</f>
        <v>0.6</v>
      </c>
      <c r="K30" s="214" cm="1">
        <f t="array" ref="K30">Common_InputFunctions.Utility_DisplayArrayInTable(Fuel_SourceData.Fuel_Scope1Scope3EmissionFactorsTransport_Data(), Table_Fuel_EFs_Transport[[#Headers],[Transport type]], 0)</f>
        <v>0.61</v>
      </c>
      <c r="L30" s="214" t="str" cm="1">
        <f t="array" ref="L30">Common_InputFunctions.Utility_DisplayArrayInTable(Fuel_SourceData.Fuel_Scope1Scope3EmissionFactorsTransport_Data(), Table_Fuel_EFs_Transport[[#Headers],[Transport type]], 0)</f>
        <v>NE</v>
      </c>
    </row>
    <row r="31" spans="1:12" ht="20.100000000000001" customHeight="1" x14ac:dyDescent="0.25">
      <c r="A31" s="5" t="str">
        <f>HYPERLINK("#'6.3.1.1-2 Leach runoff crop'!A1", "6.3.1.1-2 Leach &amp; runoff (crop)")</f>
        <v>6.3.1.1-2 Leach &amp; runoff (crop)</v>
      </c>
      <c r="D31" s="214" t="str" cm="1">
        <f t="array" ref="D31">Common_InputFunctions.Utility_DisplayArrayInTable(Fuel_SourceData.Fuel_Scope1Scope3EmissionFactorsTransport_Data(), Table_Fuel_EFs_Transport[[#Headers],[Transport type]], 0)</f>
        <v>Vessels</v>
      </c>
      <c r="E31" s="214" t="str" cm="1">
        <f t="array" ref="E31">Common_InputFunctions.Utility_DisplayArrayInTable(Fuel_SourceData.Fuel_Scope1Scope3EmissionFactorsTransport_Data(), Table_Fuel_EFs_Transport[[#Headers],[Transport type]], 0)</f>
        <v>Gasoline</v>
      </c>
      <c r="F31" s="214" cm="1">
        <f t="array" ref="F31">Common_InputFunctions.Utility_DisplayArrayInTable(Fuel_SourceData.Fuel_Scope1Scope3EmissionFactorsTransport_Data(), Table_Fuel_EFs_Transport[[#Headers],[Transport type]], 0)</f>
        <v>34.200000000000003</v>
      </c>
      <c r="G31" s="214" t="str" cm="1">
        <f t="array" ref="G31">Common_InputFunctions.Utility_DisplayArrayInTable(Fuel_SourceData.Fuel_Scope1Scope3EmissionFactorsTransport_Data(), Table_Fuel_EFs_Transport[[#Headers],[Transport type]], 0)</f>
        <v>kL</v>
      </c>
      <c r="H31" s="214" cm="1">
        <f t="array" ref="H31">Common_InputFunctions.Utility_DisplayArrayInTable(Fuel_SourceData.Fuel_Scope1Scope3EmissionFactorsTransport_Data(), Table_Fuel_EFs_Transport[[#Headers],[Transport type]], 0)</f>
        <v>67.400000000000006</v>
      </c>
      <c r="I31" s="214" cm="1">
        <f t="array" ref="I31">Common_InputFunctions.Utility_DisplayArrayInTable(Fuel_SourceData.Fuel_Scope1Scope3EmissionFactorsTransport_Data(), Table_Fuel_EFs_Transport[[#Headers],[Transport type]], 0)</f>
        <v>10.1</v>
      </c>
      <c r="J31" s="214" cm="1">
        <f t="array" ref="J31">Common_InputFunctions.Utility_DisplayArrayInTable(Fuel_SourceData.Fuel_Scope1Scope3EmissionFactorsTransport_Data(), Table_Fuel_EFs_Transport[[#Headers],[Transport type]], 0)</f>
        <v>0.3</v>
      </c>
      <c r="K31" s="214" t="str" cm="1">
        <f t="array" ref="K31">Common_InputFunctions.Utility_DisplayArrayInTable(Fuel_SourceData.Fuel_Scope1Scope3EmissionFactorsTransport_Data(), Table_Fuel_EFs_Transport[[#Headers],[Transport type]], 0)</f>
        <v/>
      </c>
      <c r="L31" s="214" cm="1">
        <f t="array" ref="L31">Common_InputFunctions.Utility_DisplayArrayInTable(Fuel_SourceData.Fuel_Scope1Scope3EmissionFactorsTransport_Data(), Table_Fuel_EFs_Transport[[#Headers],[Transport type]], 0)</f>
        <v>17.2</v>
      </c>
    </row>
    <row r="32" spans="1:12" ht="20.100000000000001" customHeight="1" x14ac:dyDescent="0.25">
      <c r="A32" s="5" t="str">
        <f>HYPERLINK("#'6.4.1.1-2 Residue burning'!A1", "6.4.1.1-2 Residue burning")</f>
        <v>6.4.1.1-2 Residue burning</v>
      </c>
      <c r="D32" s="215" t="str" cm="1">
        <f t="array" ref="D32">Common_InputFunctions.Utility_DisplayArrayInTable(Fuel_SourceData.Fuel_Scope1Scope3EmissionFactorsTransport_Data(), Table_Fuel_EFs_Transport[[#Headers],[Transport type]], 0)</f>
        <v>Vessels</v>
      </c>
      <c r="E32" s="215" t="str" cm="1">
        <f t="array" ref="E32">Common_InputFunctions.Utility_DisplayArrayInTable(Fuel_SourceData.Fuel_Scope1Scope3EmissionFactorsTransport_Data(), Table_Fuel_EFs_Transport[[#Headers],[Transport type]], 0)</f>
        <v>Diesel oil</v>
      </c>
      <c r="F32" s="215" cm="1">
        <f t="array" ref="F32">Common_InputFunctions.Utility_DisplayArrayInTable(Fuel_SourceData.Fuel_Scope1Scope3EmissionFactorsTransport_Data(), Table_Fuel_EFs_Transport[[#Headers],[Transport type]], 0)</f>
        <v>38.6</v>
      </c>
      <c r="G32" s="215" t="str" cm="1">
        <f t="array" ref="G32">Common_InputFunctions.Utility_DisplayArrayInTable(Fuel_SourceData.Fuel_Scope1Scope3EmissionFactorsTransport_Data(), Table_Fuel_EFs_Transport[[#Headers],[Transport type]], 0)</f>
        <v>kL</v>
      </c>
      <c r="H32" s="215" cm="1">
        <f t="array" ref="H32">Common_InputFunctions.Utility_DisplayArrayInTable(Fuel_SourceData.Fuel_Scope1Scope3EmissionFactorsTransport_Data(), Table_Fuel_EFs_Transport[[#Headers],[Transport type]], 0)</f>
        <v>69.900000000000006</v>
      </c>
      <c r="I32" s="215" cm="1">
        <f t="array" ref="I32">Common_InputFunctions.Utility_DisplayArrayInTable(Fuel_SourceData.Fuel_Scope1Scope3EmissionFactorsTransport_Data(), Table_Fuel_EFs_Transport[[#Headers],[Transport type]], 0)</f>
        <v>0.2</v>
      </c>
      <c r="J32" s="215" cm="1">
        <f t="array" ref="J32">Common_InputFunctions.Utility_DisplayArrayInTable(Fuel_SourceData.Fuel_Scope1Scope3EmissionFactorsTransport_Data(), Table_Fuel_EFs_Transport[[#Headers],[Transport type]], 0)</f>
        <v>0.5</v>
      </c>
      <c r="K32" s="215" t="str" cm="1">
        <f t="array" ref="K32">Common_InputFunctions.Utility_DisplayArrayInTable(Fuel_SourceData.Fuel_Scope1Scope3EmissionFactorsTransport_Data(), Table_Fuel_EFs_Transport[[#Headers],[Transport type]], 0)</f>
        <v/>
      </c>
      <c r="L32" s="215" cm="1">
        <f t="array" ref="L32">Common_InputFunctions.Utility_DisplayArrayInTable(Fuel_SourceData.Fuel_Scope1Scope3EmissionFactorsTransport_Data(), Table_Fuel_EFs_Transport[[#Headers],[Transport type]], 0)</f>
        <v>17.3</v>
      </c>
    </row>
    <row r="33" spans="1:12" ht="20.100000000000001" customHeight="1" x14ac:dyDescent="0.25">
      <c r="A33" s="5" t="str">
        <f>HYPERLINK("#'8.1.1.1-2 Transport fuel'!A1", "8.1.1.1-2 Transport fuel")</f>
        <v>8.1.1.1-2 Transport fuel</v>
      </c>
      <c r="D33" s="215" t="str" cm="1">
        <f t="array" ref="D33">Common_InputFunctions.Utility_DisplayArrayInTable(Fuel_SourceData.Fuel_Scope1Scope3EmissionFactorsTransport_Data(), Table_Fuel_EFs_Transport[[#Headers],[Transport type]], 0)</f>
        <v>Vessels</v>
      </c>
      <c r="E33" s="215" t="str" cm="1">
        <f t="array" ref="E33">Common_InputFunctions.Utility_DisplayArrayInTable(Fuel_SourceData.Fuel_Scope1Scope3EmissionFactorsTransport_Data(), Table_Fuel_EFs_Transport[[#Headers],[Transport type]], 0)</f>
        <v>Fuel Oil</v>
      </c>
      <c r="F33" s="215" cm="1">
        <f t="array" ref="F33">Common_InputFunctions.Utility_DisplayArrayInTable(Fuel_SourceData.Fuel_Scope1Scope3EmissionFactorsTransport_Data(), Table_Fuel_EFs_Transport[[#Headers],[Transport type]], 0)</f>
        <v>39.700000000000003</v>
      </c>
      <c r="G33" s="215" t="str" cm="1">
        <f t="array" ref="G33">Common_InputFunctions.Utility_DisplayArrayInTable(Fuel_SourceData.Fuel_Scope1Scope3EmissionFactorsTransport_Data(), Table_Fuel_EFs_Transport[[#Headers],[Transport type]], 0)</f>
        <v>kL</v>
      </c>
      <c r="H33" s="215" cm="1">
        <f t="array" ref="H33">Common_InputFunctions.Utility_DisplayArrayInTable(Fuel_SourceData.Fuel_Scope1Scope3EmissionFactorsTransport_Data(), Table_Fuel_EFs_Transport[[#Headers],[Transport type]], 0)</f>
        <v>73.599999999999994</v>
      </c>
      <c r="I33" s="215" cm="1">
        <f t="array" ref="I33">Common_InputFunctions.Utility_DisplayArrayInTable(Fuel_SourceData.Fuel_Scope1Scope3EmissionFactorsTransport_Data(), Table_Fuel_EFs_Transport[[#Headers],[Transport type]], 0)</f>
        <v>0.2</v>
      </c>
      <c r="J33" s="215" cm="1">
        <f t="array" ref="J33">Common_InputFunctions.Utility_DisplayArrayInTable(Fuel_SourceData.Fuel_Scope1Scope3EmissionFactorsTransport_Data(), Table_Fuel_EFs_Transport[[#Headers],[Transport type]], 0)</f>
        <v>0.5</v>
      </c>
      <c r="K33" s="215" t="str" cm="1">
        <f t="array" ref="K33">Common_InputFunctions.Utility_DisplayArrayInTable(Fuel_SourceData.Fuel_Scope1Scope3EmissionFactorsTransport_Data(), Table_Fuel_EFs_Transport[[#Headers],[Transport type]], 0)</f>
        <v/>
      </c>
      <c r="L33" s="215" cm="1">
        <f t="array" ref="L33">Common_InputFunctions.Utility_DisplayArrayInTable(Fuel_SourceData.Fuel_Scope1Scope3EmissionFactorsTransport_Data(), Table_Fuel_EFs_Transport[[#Headers],[Transport type]], 0)</f>
        <v>18</v>
      </c>
    </row>
    <row r="34" spans="1:12" ht="20.100000000000001" customHeight="1" x14ac:dyDescent="0.25">
      <c r="A34" s="5" t="str">
        <f>HYPERLINK("#'8.2.1.1-2 Stationary fuel'!A1", "8.2.1.1-2 Stationary fuel")</f>
        <v>8.2.1.1-2 Stationary fuel</v>
      </c>
      <c r="D34" s="215" t="str" cm="1">
        <f t="array" ref="D34">Common_InputFunctions.Utility_DisplayArrayInTable(Fuel_SourceData.Fuel_Scope1Scope3EmissionFactorsTransport_Data(), Table_Fuel_EFs_Transport[[#Headers],[Transport type]], 0)</f>
        <v>Off-road Agriculture and forestry equipment</v>
      </c>
      <c r="E34" s="215" t="str" cm="1">
        <f t="array" ref="E34">Common_InputFunctions.Utility_DisplayArrayInTable(Fuel_SourceData.Fuel_Scope1Scope3EmissionFactorsTransport_Data(), Table_Fuel_EFs_Transport[[#Headers],[Transport type]], 0)</f>
        <v>Diesel oil</v>
      </c>
      <c r="F34" s="215" cm="1">
        <f t="array" ref="F34">Common_InputFunctions.Utility_DisplayArrayInTable(Fuel_SourceData.Fuel_Scope1Scope3EmissionFactorsTransport_Data(), Table_Fuel_EFs_Transport[[#Headers],[Transport type]], 0)</f>
        <v>38.6</v>
      </c>
      <c r="G34" s="215" t="str" cm="1">
        <f t="array" ref="G34">Common_InputFunctions.Utility_DisplayArrayInTable(Fuel_SourceData.Fuel_Scope1Scope3EmissionFactorsTransport_Data(), Table_Fuel_EFs_Transport[[#Headers],[Transport type]], 0)</f>
        <v>kL</v>
      </c>
      <c r="H34" s="215" cm="1">
        <f t="array" ref="H34">Common_InputFunctions.Utility_DisplayArrayInTable(Fuel_SourceData.Fuel_Scope1Scope3EmissionFactorsTransport_Data(), Table_Fuel_EFs_Transport[[#Headers],[Transport type]], 0)</f>
        <v>69.900000000000006</v>
      </c>
      <c r="I34" s="215" cm="1">
        <f t="array" ref="I34">Common_InputFunctions.Utility_DisplayArrayInTable(Fuel_SourceData.Fuel_Scope1Scope3EmissionFactorsTransport_Data(), Table_Fuel_EFs_Transport[[#Headers],[Transport type]], 0)</f>
        <v>0.3</v>
      </c>
      <c r="J34" s="215" cm="1">
        <f t="array" ref="J34">Common_InputFunctions.Utility_DisplayArrayInTable(Fuel_SourceData.Fuel_Scope1Scope3EmissionFactorsTransport_Data(), Table_Fuel_EFs_Transport[[#Headers],[Transport type]], 0)</f>
        <v>0.5</v>
      </c>
      <c r="K34" s="215" t="str" cm="1">
        <f t="array" ref="K34">Common_InputFunctions.Utility_DisplayArrayInTable(Fuel_SourceData.Fuel_Scope1Scope3EmissionFactorsTransport_Data(), Table_Fuel_EFs_Transport[[#Headers],[Transport type]], 0)</f>
        <v/>
      </c>
      <c r="L34" s="215" cm="1">
        <f t="array" ref="L34">Common_InputFunctions.Utility_DisplayArrayInTable(Fuel_SourceData.Fuel_Scope1Scope3EmissionFactorsTransport_Data(), Table_Fuel_EFs_Transport[[#Headers],[Transport type]], 0)</f>
        <v>17.3</v>
      </c>
    </row>
    <row r="35" spans="1:12" ht="20.100000000000001" customHeight="1" x14ac:dyDescent="0.25">
      <c r="A35" s="5" t="str">
        <f>HYPERLINK("#'14.1.1-2 Purchased electricity'!A1", "14.1.1-2 Purchased electricity")</f>
        <v>14.1.1-2 Purchased electricity</v>
      </c>
    </row>
    <row r="36" spans="1:12" ht="20.100000000000001" customHeight="1" x14ac:dyDescent="0.25">
      <c r="A36" s="5" t="str">
        <f>HYPERLINK("#'15 Scope 3'!A1", "15 Scope 3")</f>
        <v>15 Scope 3</v>
      </c>
    </row>
    <row r="37" spans="1:12" ht="20.100000000000001" customHeight="1" x14ac:dyDescent="0.25">
      <c r="A37" s="5" t="str">
        <f>HYPERLINK("#'Calcs - Manure sent off-site'!A1", "Calcs - Manure sent off-site")</f>
        <v>Calcs - Manure sent off-site</v>
      </c>
      <c r="D37" s="2" t="str" cm="1">
        <f t="array" ref="D37">Fuel_SourceData.Fuel_Scope1Scope3EmissionFactorsTransportOffRoad_Title()</f>
        <v>Fuel scope 1 and 3 emission factors - Off-road equipment and vessels</v>
      </c>
    </row>
    <row r="38" spans="1:12" ht="20.100000000000001" customHeight="1" x14ac:dyDescent="0.25">
      <c r="A38" s="5" t="str">
        <f>HYPERLINK("#'10.1.1-2 Solid waste treatment'!A1", "10.1.1-2 Solid waste treatment")</f>
        <v>10.1.1-2 Solid waste treatment</v>
      </c>
      <c r="D38" s="27" t="str" cm="1">
        <f t="array" ref="D38">Fuel_SourceData.Fuel_Scope1Scope3EmissionFactorsTransportOffRoad_Source()</f>
        <v>VEERG 2026: Table A.4.2.1</v>
      </c>
    </row>
    <row r="39" spans="1:12" ht="20.100000000000001" customHeight="1" x14ac:dyDescent="0.25">
      <c r="D39" s="30" t="s">
        <v>505</v>
      </c>
      <c r="E39" s="30" t="s">
        <v>506</v>
      </c>
      <c r="F39" s="30" t="s">
        <v>507</v>
      </c>
      <c r="G39" s="30" t="s">
        <v>508</v>
      </c>
      <c r="H39" s="30" t="s">
        <v>509</v>
      </c>
      <c r="I39" s="30" t="s">
        <v>510</v>
      </c>
      <c r="J39" s="30" t="s">
        <v>511</v>
      </c>
    </row>
    <row r="40" spans="1:12" ht="20.100000000000001" customHeight="1" x14ac:dyDescent="0.25">
      <c r="D40" s="30" t="str" cm="1">
        <f t="array" ref="D40">Common_InputFunctions.Utility_DisplayArrayInTable(Fuel_SourceData.Fuel_Scope1Scope3EmissionFactorsTransportOffRoad_Data(), Table_SourceData_Fuel_TransportOffroad[[#Headers],[Transport type t]],0)</f>
        <v>Vessel</v>
      </c>
      <c r="E40" s="30" t="str" cm="1">
        <f t="array" ref="E40">Common_InputFunctions.Utility_DisplayArrayInTable(Fuel_SourceData.Fuel_Scope1Scope3EmissionFactorsTransportOffRoad_Data(), Table_SourceData_Fuel_TransportOffroad[[#Headers],[Transport type t]],0)</f>
        <v>Petrol</v>
      </c>
      <c r="F40" s="30" cm="1">
        <f t="array" ref="F40">Common_InputFunctions.Utility_DisplayArrayInTable(Fuel_SourceData.Fuel_Scope1Scope3EmissionFactorsTransportOffRoad_Data(), Table_SourceData_Fuel_TransportOffroad[[#Headers],[Transport type t]],0)</f>
        <v>34.200000000000003</v>
      </c>
      <c r="G40" s="30" cm="1">
        <f t="array" ref="G40">Common_InputFunctions.Utility_DisplayArrayInTable(Fuel_SourceData.Fuel_Scope1Scope3EmissionFactorsTransportOffRoad_Data(), Table_SourceData_Fuel_TransportOffroad[[#Headers],[Transport type t]],0)</f>
        <v>67.400000000000006</v>
      </c>
      <c r="H40" s="30" cm="1">
        <f t="array" ref="H40">Common_InputFunctions.Utility_DisplayArrayInTable(Fuel_SourceData.Fuel_Scope1Scope3EmissionFactorsTransportOffRoad_Data(), Table_SourceData_Fuel_TransportOffroad[[#Headers],[Transport type t]],0)</f>
        <v>10.1</v>
      </c>
      <c r="I40" s="30" cm="1">
        <f t="array" ref="I40">Common_InputFunctions.Utility_DisplayArrayInTable(Fuel_SourceData.Fuel_Scope1Scope3EmissionFactorsTransportOffRoad_Data(), Table_SourceData_Fuel_TransportOffroad[[#Headers],[Transport type t]],0)</f>
        <v>0.3</v>
      </c>
      <c r="J40" s="3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121" t="s">
        <v>1</v>
      </c>
      <c r="D41" s="1" t="str" cm="1">
        <f t="array" ref="D41">Common_InputFunctions.Utility_DisplayArrayInTable(Fuel_SourceData.Fuel_Scope1Scope3EmissionFactorsTransportOffRoad_Data(), Table_SourceData_Fuel_TransportOffroad[[#Headers],[Transport type t]],0)</f>
        <v>Vessel</v>
      </c>
      <c r="E41" s="30" t="str" cm="1">
        <f t="array" ref="E41">Common_InputFunctions.Utility_DisplayArrayInTable(Fuel_SourceData.Fuel_Scope1Scope3EmissionFactorsTransportOffRoad_Data(), Table_SourceData_Fuel_TransportOffroad[[#Headers],[Transport type t]],0)</f>
        <v>Diesel</v>
      </c>
      <c r="F41" s="30" cm="1">
        <f t="array" ref="F41">Common_InputFunctions.Utility_DisplayArrayInTable(Fuel_SourceData.Fuel_Scope1Scope3EmissionFactorsTransportOffRoad_Data(), Table_SourceData_Fuel_TransportOffroad[[#Headers],[Transport type t]],0)</f>
        <v>38.6</v>
      </c>
      <c r="G41" s="30" cm="1">
        <f t="array" ref="G41">Common_InputFunctions.Utility_DisplayArrayInTable(Fuel_SourceData.Fuel_Scope1Scope3EmissionFactorsTransportOffRoad_Data(), Table_SourceData_Fuel_TransportOffroad[[#Headers],[Transport type t]],0)</f>
        <v>69.900000000000006</v>
      </c>
      <c r="H41" s="30" cm="1">
        <f t="array" ref="H41">Common_InputFunctions.Utility_DisplayArrayInTable(Fuel_SourceData.Fuel_Scope1Scope3EmissionFactorsTransportOffRoad_Data(), Table_SourceData_Fuel_TransportOffroad[[#Headers],[Transport type t]],0)</f>
        <v>0.2</v>
      </c>
      <c r="I41" s="30" cm="1">
        <f t="array" ref="I41">Common_InputFunctions.Utility_DisplayArrayInTable(Fuel_SourceData.Fuel_Scope1Scope3EmissionFactorsTransportOffRoad_Data(), Table_SourceData_Fuel_TransportOffroad[[#Headers],[Transport type t]],0)</f>
        <v>0.5</v>
      </c>
      <c r="J41" s="3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s="5" t="str">
        <f>HYPERLINK("#'Constants - Ag Residue'!A1", "Constants - Ag residue")</f>
        <v>Constants - Ag residue</v>
      </c>
      <c r="D42" s="1" t="str" cm="1">
        <f t="array" ref="D42">Common_InputFunctions.Utility_DisplayArrayInTable(Fuel_SourceData.Fuel_Scope1Scope3EmissionFactorsTransportOffRoad_Data(), Table_SourceData_Fuel_TransportOffroad[[#Headers],[Transport type t]],0)</f>
        <v>Vessel</v>
      </c>
      <c r="E42" s="30" t="str" cm="1">
        <f t="array" ref="E42">Common_InputFunctions.Utility_DisplayArrayInTable(Fuel_SourceData.Fuel_Scope1Scope3EmissionFactorsTransportOffRoad_Data(), Table_SourceData_Fuel_TransportOffroad[[#Headers],[Transport type t]],0)</f>
        <v>Fuel Oil</v>
      </c>
      <c r="F42" s="30" cm="1">
        <f t="array" ref="F42">Common_InputFunctions.Utility_DisplayArrayInTable(Fuel_SourceData.Fuel_Scope1Scope3EmissionFactorsTransportOffRoad_Data(), Table_SourceData_Fuel_TransportOffroad[[#Headers],[Transport type t]],0)</f>
        <v>39.700000000000003</v>
      </c>
      <c r="G42" s="30" cm="1">
        <f t="array" ref="G42">Common_InputFunctions.Utility_DisplayArrayInTable(Fuel_SourceData.Fuel_Scope1Scope3EmissionFactorsTransportOffRoad_Data(), Table_SourceData_Fuel_TransportOffroad[[#Headers],[Transport type t]],0)</f>
        <v>73.599999999999994</v>
      </c>
      <c r="H42" s="30" cm="1">
        <f t="array" ref="H42">Common_InputFunctions.Utility_DisplayArrayInTable(Fuel_SourceData.Fuel_Scope1Scope3EmissionFactorsTransportOffRoad_Data(), Table_SourceData_Fuel_TransportOffroad[[#Headers],[Transport type t]],0)</f>
        <v>0.2</v>
      </c>
      <c r="I42" s="30" cm="1">
        <f t="array" ref="I42">Common_InputFunctions.Utility_DisplayArrayInTable(Fuel_SourceData.Fuel_Scope1Scope3EmissionFactorsTransportOffRoad_Data(), Table_SourceData_Fuel_TransportOffroad[[#Headers],[Transport type t]],0)</f>
        <v>0.5</v>
      </c>
      <c r="J42" s="3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s="5" t="str">
        <f>HYPERLINK("#'Constants - Common Livestock'!A1", "Constants - Common Livestock")</f>
        <v>Constants - Common Livestock</v>
      </c>
      <c r="D43" s="1" t="str" cm="1">
        <f t="array" ref="D43">Common_InputFunctions.Utility_DisplayArrayInTable(Fuel_SourceData.Fuel_Scope1Scope3EmissionFactorsTransportOffRoad_Data(), Table_SourceData_Fuel_TransportOffroad[[#Headers],[Transport type t]],0)</f>
        <v>Off-road Agriculture and forestry equipment</v>
      </c>
      <c r="E43" s="30" t="str" cm="1">
        <f t="array" ref="E43">Common_InputFunctions.Utility_DisplayArrayInTable(Fuel_SourceData.Fuel_Scope1Scope3EmissionFactorsTransportOffRoad_Data(), Table_SourceData_Fuel_TransportOffroad[[#Headers],[Transport type t]],0)</f>
        <v>Diesel</v>
      </c>
      <c r="F43" s="30" cm="1">
        <f t="array" ref="F43">Common_InputFunctions.Utility_DisplayArrayInTable(Fuel_SourceData.Fuel_Scope1Scope3EmissionFactorsTransportOffRoad_Data(), Table_SourceData_Fuel_TransportOffroad[[#Headers],[Transport type t]],0)</f>
        <v>38.6</v>
      </c>
      <c r="G43" s="30" cm="1">
        <f t="array" ref="G43">Common_InputFunctions.Utility_DisplayArrayInTable(Fuel_SourceData.Fuel_Scope1Scope3EmissionFactorsTransportOffRoad_Data(), Table_SourceData_Fuel_TransportOffroad[[#Headers],[Transport type t]],0)</f>
        <v>69.900000000000006</v>
      </c>
      <c r="H43" s="30" cm="1">
        <f t="array" ref="H43">Common_InputFunctions.Utility_DisplayArrayInTable(Fuel_SourceData.Fuel_Scope1Scope3EmissionFactorsTransportOffRoad_Data(), Table_SourceData_Fuel_TransportOffroad[[#Headers],[Transport type t]],0)</f>
        <v>0.3</v>
      </c>
      <c r="I43" s="30" cm="1">
        <f t="array" ref="I43">Common_InputFunctions.Utility_DisplayArrayInTable(Fuel_SourceData.Fuel_Scope1Scope3EmissionFactorsTransportOffRoad_Data(), Table_SourceData_Fuel_TransportOffroad[[#Headers],[Transport type t]],0)</f>
        <v>0.5</v>
      </c>
      <c r="J43" s="3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s="5" t="str">
        <f>HYPERLINK("#'Constants - Electricity'!A1", "Constants - Electricity")</f>
        <v>Constants - Electricity</v>
      </c>
    </row>
    <row r="45" spans="1:12" ht="20.100000000000001" customHeight="1" x14ac:dyDescent="0.25">
      <c r="A45" s="5" t="str">
        <f>HYPERLINK("#'Constants - Fertiliser'!A1", "Constants - Fertiliser")</f>
        <v>Constants - Fertiliser</v>
      </c>
    </row>
    <row r="46" spans="1:12" ht="20.100000000000001" customHeight="1" x14ac:dyDescent="0.25">
      <c r="A46" s="172" t="str">
        <f>HYPERLINK("#'Constants - Fuel'!A1", "Constants - Fuel")</f>
        <v>Constants - Fuel</v>
      </c>
    </row>
    <row r="47" spans="1:12" ht="20.100000000000001" customHeight="1" x14ac:dyDescent="0.25">
      <c r="A47" s="5" t="str">
        <f>HYPERLINK("#'Constants - Scope 3'!A1", "Constants - Scope 3")</f>
        <v>Constants - Scope 3</v>
      </c>
    </row>
    <row r="48" spans="1:12" ht="20.100000000000001" customHeight="1" x14ac:dyDescent="0.25">
      <c r="A48" s="5" t="str">
        <f>HYPERLINK("#'Constants - Common'!A1", "Constants - Common")</f>
        <v>Constants - Common</v>
      </c>
    </row>
    <row r="49" spans="1:12" ht="20.100000000000001" customHeight="1" x14ac:dyDescent="0.25">
      <c r="A49" s="5" t="str">
        <f>HYPERLINK("#'Constants - Solid Waste'!A1", "Constants - Solid Waste")</f>
        <v>Constants - Solid Waste</v>
      </c>
      <c r="D49" s="2" t="str" cm="1">
        <f t="array" ref="D49">Fuel_SourceData.Fuel_Scope1Scope3EmissionFactorsStationaryLiquid_Title()</f>
        <v>Fuel scope 1 and 3 emission factors - Stationary liquid fuels</v>
      </c>
      <c r="E49" s="158"/>
      <c r="F49" s="158"/>
      <c r="G49" s="158"/>
      <c r="H49" s="158"/>
      <c r="I49" s="158"/>
      <c r="J49" s="158"/>
      <c r="K49" s="158"/>
      <c r="L49" s="158"/>
    </row>
    <row r="50" spans="1:12" ht="20.100000000000001" customHeight="1" x14ac:dyDescent="0.25">
      <c r="D50" s="1" t="str" cm="1">
        <f t="array" ref="D50">Fuel_SourceData.Fuel_Scope1Scope3EmissionFactorsStationaryLiquid_Description()</f>
        <v>Direct (Scope 1) and indirect (scope 3) emission factors for the consumption of liquid fuels, including certain petroleum based products for stationary energy purposes.</v>
      </c>
      <c r="E50" s="158"/>
      <c r="F50" s="158"/>
      <c r="G50" s="158"/>
      <c r="H50" s="158"/>
      <c r="I50" s="158"/>
      <c r="J50" s="158"/>
      <c r="K50" s="158"/>
      <c r="L50" s="158"/>
    </row>
    <row r="51" spans="1:12" ht="20.100000000000001" customHeight="1" x14ac:dyDescent="0.25">
      <c r="D51" s="27" t="str" cm="1">
        <f t="array" ref="D51">Fuel_SourceData.Fuel_Scope1Scope3EmissionFactorsStationaryLiquid_Source()</f>
        <v>Australian National Greenhouse Accounts Factors 2025 - Table 8</v>
      </c>
      <c r="E51" s="158"/>
      <c r="F51" s="158"/>
      <c r="G51" s="158"/>
      <c r="H51" s="158"/>
      <c r="I51" s="158"/>
      <c r="J51" s="158"/>
      <c r="K51" s="158"/>
      <c r="L51" s="158"/>
    </row>
    <row r="52" spans="1:12" ht="20.100000000000001" customHeight="1" x14ac:dyDescent="0.25">
      <c r="D52" s="36" t="str" cm="1">
        <f t="array" ref="D52">"⚠️" &amp; Fuel_SourceData.Fuel_Scope1Scope3EmissionFactorsStationaryLiquid_Variation()</f>
        <v>⚠️VARIATION OF SOURCE DATA: 'NE' values returned as zero for calculations.</v>
      </c>
      <c r="E52" s="158"/>
      <c r="F52" s="158"/>
      <c r="G52" s="158"/>
      <c r="H52" s="158"/>
      <c r="I52" s="158"/>
      <c r="J52" s="158"/>
      <c r="K52" s="158"/>
      <c r="L52" s="158"/>
    </row>
    <row r="53" spans="1:12" ht="20.100000000000001" customHeight="1" x14ac:dyDescent="0.25">
      <c r="D53" s="181" t="s">
        <v>497</v>
      </c>
      <c r="E53" s="213" t="s">
        <v>498</v>
      </c>
      <c r="F53" s="181" t="s">
        <v>499</v>
      </c>
      <c r="G53" s="213" t="s">
        <v>500</v>
      </c>
      <c r="H53" s="213" t="s">
        <v>501</v>
      </c>
      <c r="I53" s="213" t="s">
        <v>502</v>
      </c>
      <c r="J53" s="213" t="s">
        <v>503</v>
      </c>
      <c r="K53" s="213" t="s">
        <v>504</v>
      </c>
      <c r="L53" s="158"/>
    </row>
    <row r="54" spans="1:12" ht="20.100000000000001" customHeight="1" x14ac:dyDescent="0.25">
      <c r="D54" s="21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16" cm="1">
        <f t="array" ref="E54">Common_InputFunctions.Utility_DisplayArrayInTable(Fuel_SourceData.Fuel_Scope1Scope3EmissionFactorsStationaryLiquid_Data(), Table_Fuel_EFs_StationaryLiquid[[#Headers],[Fuel combusted]],0)</f>
        <v>38.799999999999997</v>
      </c>
      <c r="F54" s="216" t="str" cm="1">
        <f t="array" ref="F54">Common_InputFunctions.Utility_DisplayArrayInTable(Fuel_SourceData.Fuel_Scope1Scope3EmissionFactorsStationaryLiquid_Data(), Table_Fuel_EFs_StationaryLiquid[[#Headers],[Fuel combusted]],0)</f>
        <v>kl</v>
      </c>
      <c r="G54" s="216" cm="1">
        <f t="array" ref="G54">Common_InputFunctions.Utility_DisplayArrayInTable(Fuel_SourceData.Fuel_Scope1Scope3EmissionFactorsStationaryLiquid_Data(), Table_Fuel_EFs_StationaryLiquid[[#Headers],[Fuel combusted]],0)</f>
        <v>13.9</v>
      </c>
      <c r="H54" s="216" cm="1">
        <f t="array" ref="H54">Common_InputFunctions.Utility_DisplayArrayInTable(Fuel_SourceData.Fuel_Scope1Scope3EmissionFactorsStationaryLiquid_Data(), Table_Fuel_EFs_StationaryLiquid[[#Headers],[Fuel combusted]],0)</f>
        <v>0</v>
      </c>
      <c r="I54" s="216" cm="1">
        <f t="array" ref="I54">Common_InputFunctions.Utility_DisplayArrayInTable(Fuel_SourceData.Fuel_Scope1Scope3EmissionFactorsStationaryLiquid_Data(), Table_Fuel_EFs_StationaryLiquid[[#Headers],[Fuel combusted]],0)</f>
        <v>0</v>
      </c>
      <c r="J54" s="216" cm="1">
        <f t="array" ref="J54">Common_InputFunctions.Utility_DisplayArrayInTable(Fuel_SourceData.Fuel_Scope1Scope3EmissionFactorsStationaryLiquid_Data(), Table_Fuel_EFs_StationaryLiquid[[#Headers],[Fuel combusted]],0)</f>
        <v>13.9</v>
      </c>
      <c r="K54" s="216" cm="1">
        <f t="array" ref="K54">Common_InputFunctions.Utility_DisplayArrayInTable(Fuel_SourceData.Fuel_Scope1Scope3EmissionFactorsStationaryLiquid_Data(), Table_Fuel_EFs_StationaryLiquid[[#Headers],[Fuel combusted]],0)</f>
        <v>18</v>
      </c>
      <c r="L54" s="158"/>
    </row>
    <row r="55" spans="1:12" ht="20.100000000000001" customHeight="1" x14ac:dyDescent="0.25">
      <c r="D55" s="216" t="str" cm="1">
        <f t="array" ref="D55">Common_InputFunctions.Utility_DisplayArrayInTable(Fuel_SourceData.Fuel_Scope1Scope3EmissionFactorsStationaryLiquid_Data(), Table_Fuel_EFs_StationaryLiquid[[#Headers],[Fuel combusted]],0)</f>
        <v>Petroleum based greases</v>
      </c>
      <c r="E55" s="216" cm="1">
        <f t="array" ref="E55">Common_InputFunctions.Utility_DisplayArrayInTable(Fuel_SourceData.Fuel_Scope1Scope3EmissionFactorsStationaryLiquid_Data(), Table_Fuel_EFs_StationaryLiquid[[#Headers],[Fuel combusted]],0)</f>
        <v>38.799999999999997</v>
      </c>
      <c r="F55" s="216" t="str" cm="1">
        <f t="array" ref="F55">Common_InputFunctions.Utility_DisplayArrayInTable(Fuel_SourceData.Fuel_Scope1Scope3EmissionFactorsStationaryLiquid_Data(), Table_Fuel_EFs_StationaryLiquid[[#Headers],[Fuel combusted]],0)</f>
        <v>kl</v>
      </c>
      <c r="G55" s="216" cm="1">
        <f t="array" ref="G55">Common_InputFunctions.Utility_DisplayArrayInTable(Fuel_SourceData.Fuel_Scope1Scope3EmissionFactorsStationaryLiquid_Data(), Table_Fuel_EFs_StationaryLiquid[[#Headers],[Fuel combusted]],0)</f>
        <v>3.5</v>
      </c>
      <c r="H55" s="216" cm="1">
        <f t="array" ref="H55">Common_InputFunctions.Utility_DisplayArrayInTable(Fuel_SourceData.Fuel_Scope1Scope3EmissionFactorsStationaryLiquid_Data(), Table_Fuel_EFs_StationaryLiquid[[#Headers],[Fuel combusted]],0)</f>
        <v>0</v>
      </c>
      <c r="I55" s="216" cm="1">
        <f t="array" ref="I55">Common_InputFunctions.Utility_DisplayArrayInTable(Fuel_SourceData.Fuel_Scope1Scope3EmissionFactorsStationaryLiquid_Data(), Table_Fuel_EFs_StationaryLiquid[[#Headers],[Fuel combusted]],0)</f>
        <v>0</v>
      </c>
      <c r="J55" s="216" cm="1">
        <f t="array" ref="J55">Common_InputFunctions.Utility_DisplayArrayInTable(Fuel_SourceData.Fuel_Scope1Scope3EmissionFactorsStationaryLiquid_Data(), Table_Fuel_EFs_StationaryLiquid[[#Headers],[Fuel combusted]],0)</f>
        <v>3.5</v>
      </c>
      <c r="K55" s="216" cm="1">
        <f t="array" ref="K55">Common_InputFunctions.Utility_DisplayArrayInTable(Fuel_SourceData.Fuel_Scope1Scope3EmissionFactorsStationaryLiquid_Data(), Table_Fuel_EFs_StationaryLiquid[[#Headers],[Fuel combusted]],0)</f>
        <v>18</v>
      </c>
      <c r="L55" s="158"/>
    </row>
    <row r="56" spans="1:12" ht="20.100000000000001" customHeight="1" x14ac:dyDescent="0.25">
      <c r="D56" s="216" t="str" cm="1">
        <f t="array" ref="D56">Common_InputFunctions.Utility_DisplayArrayInTable(Fuel_SourceData.Fuel_Scope1Scope3EmissionFactorsStationaryLiquid_Data(), Table_Fuel_EFs_StationaryLiquid[[#Headers],[Fuel combusted]],0)</f>
        <v>Crude oil including crude oil condensates</v>
      </c>
      <c r="E56" s="216" cm="1">
        <f t="array" ref="E56">Common_InputFunctions.Utility_DisplayArrayInTable(Fuel_SourceData.Fuel_Scope1Scope3EmissionFactorsStationaryLiquid_Data(), Table_Fuel_EFs_StationaryLiquid[[#Headers],[Fuel combusted]],0)</f>
        <v>45.3</v>
      </c>
      <c r="F56" s="216" t="str" cm="1">
        <f t="array" ref="F56">Common_InputFunctions.Utility_DisplayArrayInTable(Fuel_SourceData.Fuel_Scope1Scope3EmissionFactorsStationaryLiquid_Data(), Table_Fuel_EFs_StationaryLiquid[[#Headers],[Fuel combusted]],0)</f>
        <v>t</v>
      </c>
      <c r="G56" s="216" cm="1">
        <f t="array" ref="G56">Common_InputFunctions.Utility_DisplayArrayInTable(Fuel_SourceData.Fuel_Scope1Scope3EmissionFactorsStationaryLiquid_Data(), Table_Fuel_EFs_StationaryLiquid[[#Headers],[Fuel combusted]],0)</f>
        <v>69.599999999999994</v>
      </c>
      <c r="H56" s="216" cm="1">
        <f t="array" ref="H56">Common_InputFunctions.Utility_DisplayArrayInTable(Fuel_SourceData.Fuel_Scope1Scope3EmissionFactorsStationaryLiquid_Data(), Table_Fuel_EFs_StationaryLiquid[[#Headers],[Fuel combusted]],0)</f>
        <v>0.08</v>
      </c>
      <c r="I56" s="216" cm="1">
        <f t="array" ref="I56">Common_InputFunctions.Utility_DisplayArrayInTable(Fuel_SourceData.Fuel_Scope1Scope3EmissionFactorsStationaryLiquid_Data(), Table_Fuel_EFs_StationaryLiquid[[#Headers],[Fuel combusted]],0)</f>
        <v>0.2</v>
      </c>
      <c r="J56" s="216" cm="1">
        <f t="array" ref="J56">Common_InputFunctions.Utility_DisplayArrayInTable(Fuel_SourceData.Fuel_Scope1Scope3EmissionFactorsStationaryLiquid_Data(), Table_Fuel_EFs_StationaryLiquid[[#Headers],[Fuel combusted]],0)</f>
        <v>69.88</v>
      </c>
      <c r="K56" s="216" t="str" cm="1">
        <f t="array" ref="K56">Common_InputFunctions.Utility_DisplayArrayInTable(Fuel_SourceData.Fuel_Scope1Scope3EmissionFactorsStationaryLiquid_Data(), Table_Fuel_EFs_StationaryLiquid[[#Headers],[Fuel combusted]],0)</f>
        <v>NE</v>
      </c>
      <c r="L56" s="158"/>
    </row>
    <row r="57" spans="1:12" ht="20.100000000000001" customHeight="1" x14ac:dyDescent="0.25">
      <c r="D57" s="216" t="str" cm="1">
        <f t="array" ref="D57">Common_InputFunctions.Utility_DisplayArrayInTable(Fuel_SourceData.Fuel_Scope1Scope3EmissionFactorsStationaryLiquid_Data(), Table_Fuel_EFs_StationaryLiquid[[#Headers],[Fuel combusted]],0)</f>
        <v>Other natural gas liquids</v>
      </c>
      <c r="E57" s="216" cm="1">
        <f t="array" ref="E57">Common_InputFunctions.Utility_DisplayArrayInTable(Fuel_SourceData.Fuel_Scope1Scope3EmissionFactorsStationaryLiquid_Data(), Table_Fuel_EFs_StationaryLiquid[[#Headers],[Fuel combusted]],0)</f>
        <v>46.5</v>
      </c>
      <c r="F57" s="216" t="str" cm="1">
        <f t="array" ref="F57">Common_InputFunctions.Utility_DisplayArrayInTable(Fuel_SourceData.Fuel_Scope1Scope3EmissionFactorsStationaryLiquid_Data(), Table_Fuel_EFs_StationaryLiquid[[#Headers],[Fuel combusted]],0)</f>
        <v>t</v>
      </c>
      <c r="G57" s="216" cm="1">
        <f t="array" ref="G57">Common_InputFunctions.Utility_DisplayArrayInTable(Fuel_SourceData.Fuel_Scope1Scope3EmissionFactorsStationaryLiquid_Data(), Table_Fuel_EFs_StationaryLiquid[[#Headers],[Fuel combusted]],0)</f>
        <v>61</v>
      </c>
      <c r="H57" s="216" cm="1">
        <f t="array" ref="H57">Common_InputFunctions.Utility_DisplayArrayInTable(Fuel_SourceData.Fuel_Scope1Scope3EmissionFactorsStationaryLiquid_Data(), Table_Fuel_EFs_StationaryLiquid[[#Headers],[Fuel combusted]],0)</f>
        <v>0.08</v>
      </c>
      <c r="I57" s="216" cm="1">
        <f t="array" ref="I57">Common_InputFunctions.Utility_DisplayArrayInTable(Fuel_SourceData.Fuel_Scope1Scope3EmissionFactorsStationaryLiquid_Data(), Table_Fuel_EFs_StationaryLiquid[[#Headers],[Fuel combusted]],0)</f>
        <v>0.2</v>
      </c>
      <c r="J57" s="216" cm="1">
        <f t="array" ref="J57">Common_InputFunctions.Utility_DisplayArrayInTable(Fuel_SourceData.Fuel_Scope1Scope3EmissionFactorsStationaryLiquid_Data(), Table_Fuel_EFs_StationaryLiquid[[#Headers],[Fuel combusted]],0)</f>
        <v>61.28</v>
      </c>
      <c r="K57" s="216" t="str" cm="1">
        <f t="array" ref="K57">Common_InputFunctions.Utility_DisplayArrayInTable(Fuel_SourceData.Fuel_Scope1Scope3EmissionFactorsStationaryLiquid_Data(), Table_Fuel_EFs_StationaryLiquid[[#Headers],[Fuel combusted]],0)</f>
        <v>NE</v>
      </c>
      <c r="L57" s="158"/>
    </row>
    <row r="58" spans="1:12" ht="20.100000000000001" customHeight="1" x14ac:dyDescent="0.25">
      <c r="D58" s="21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16" cm="1">
        <f t="array" ref="E58">Common_InputFunctions.Utility_DisplayArrayInTable(Fuel_SourceData.Fuel_Scope1Scope3EmissionFactorsStationaryLiquid_Data(), Table_Fuel_EFs_StationaryLiquid[[#Headers],[Fuel combusted]],0)</f>
        <v>34.200000000000003</v>
      </c>
      <c r="F58" s="216" t="str" cm="1">
        <f t="array" ref="F58">Common_InputFunctions.Utility_DisplayArrayInTable(Fuel_SourceData.Fuel_Scope1Scope3EmissionFactorsStationaryLiquid_Data(), Table_Fuel_EFs_StationaryLiquid[[#Headers],[Fuel combusted]],0)</f>
        <v>kL</v>
      </c>
      <c r="G58" s="216" cm="1">
        <f t="array" ref="G58">Common_InputFunctions.Utility_DisplayArrayInTable(Fuel_SourceData.Fuel_Scope1Scope3EmissionFactorsStationaryLiquid_Data(), Table_Fuel_EFs_StationaryLiquid[[#Headers],[Fuel combusted]],0)</f>
        <v>67.400000000000006</v>
      </c>
      <c r="H58" s="216" cm="1">
        <f t="array" ref="H58">Common_InputFunctions.Utility_DisplayArrayInTable(Fuel_SourceData.Fuel_Scope1Scope3EmissionFactorsStationaryLiquid_Data(), Table_Fuel_EFs_StationaryLiquid[[#Headers],[Fuel combusted]],0)</f>
        <v>0.2</v>
      </c>
      <c r="I58" s="216" cm="1">
        <f t="array" ref="I58">Common_InputFunctions.Utility_DisplayArrayInTable(Fuel_SourceData.Fuel_Scope1Scope3EmissionFactorsStationaryLiquid_Data(), Table_Fuel_EFs_StationaryLiquid[[#Headers],[Fuel combusted]],0)</f>
        <v>0.2</v>
      </c>
      <c r="J58" s="216" cm="1">
        <f t="array" ref="J58">Common_InputFunctions.Utility_DisplayArrayInTable(Fuel_SourceData.Fuel_Scope1Scope3EmissionFactorsStationaryLiquid_Data(), Table_Fuel_EFs_StationaryLiquid[[#Headers],[Fuel combusted]],0)</f>
        <v>67.8</v>
      </c>
      <c r="K58" s="216" cm="1">
        <f t="array" ref="K58">Common_InputFunctions.Utility_DisplayArrayInTable(Fuel_SourceData.Fuel_Scope1Scope3EmissionFactorsStationaryLiquid_Data(), Table_Fuel_EFs_StationaryLiquid[[#Headers],[Fuel combusted]],0)</f>
        <v>17.2</v>
      </c>
      <c r="L58" s="158"/>
    </row>
    <row r="59" spans="1:12" ht="20.100000000000001" customHeight="1" x14ac:dyDescent="0.25">
      <c r="D59" s="216" t="str" cm="1">
        <f t="array" ref="D59">Common_InputFunctions.Utility_DisplayArrayInTable(Fuel_SourceData.Fuel_Scope1Scope3EmissionFactorsStationaryLiquid_Data(), Table_Fuel_EFs_StationaryLiquid[[#Headers],[Fuel combusted]],0)</f>
        <v>Aviation gasoline</v>
      </c>
      <c r="E59" s="216" cm="1">
        <f t="array" ref="E59">Common_InputFunctions.Utility_DisplayArrayInTable(Fuel_SourceData.Fuel_Scope1Scope3EmissionFactorsStationaryLiquid_Data(), Table_Fuel_EFs_StationaryLiquid[[#Headers],[Fuel combusted]],0)</f>
        <v>33.1</v>
      </c>
      <c r="F59" s="216" t="str" cm="1">
        <f t="array" ref="F59">Common_InputFunctions.Utility_DisplayArrayInTable(Fuel_SourceData.Fuel_Scope1Scope3EmissionFactorsStationaryLiquid_Data(), Table_Fuel_EFs_StationaryLiquid[[#Headers],[Fuel combusted]],0)</f>
        <v>kL</v>
      </c>
      <c r="G59" s="216" cm="1">
        <f t="array" ref="G59">Common_InputFunctions.Utility_DisplayArrayInTable(Fuel_SourceData.Fuel_Scope1Scope3EmissionFactorsStationaryLiquid_Data(), Table_Fuel_EFs_StationaryLiquid[[#Headers],[Fuel combusted]],0)</f>
        <v>67</v>
      </c>
      <c r="H59" s="216" cm="1">
        <f t="array" ref="H59">Common_InputFunctions.Utility_DisplayArrayInTable(Fuel_SourceData.Fuel_Scope1Scope3EmissionFactorsStationaryLiquid_Data(), Table_Fuel_EFs_StationaryLiquid[[#Headers],[Fuel combusted]],0)</f>
        <v>0.2</v>
      </c>
      <c r="I59" s="216" cm="1">
        <f t="array" ref="I59">Common_InputFunctions.Utility_DisplayArrayInTable(Fuel_SourceData.Fuel_Scope1Scope3EmissionFactorsStationaryLiquid_Data(), Table_Fuel_EFs_StationaryLiquid[[#Headers],[Fuel combusted]],0)</f>
        <v>0.2</v>
      </c>
      <c r="J59" s="216" cm="1">
        <f t="array" ref="J59">Common_InputFunctions.Utility_DisplayArrayInTable(Fuel_SourceData.Fuel_Scope1Scope3EmissionFactorsStationaryLiquid_Data(), Table_Fuel_EFs_StationaryLiquid[[#Headers],[Fuel combusted]],0)</f>
        <v>67.400000000000006</v>
      </c>
      <c r="K59" s="216" cm="1">
        <f t="array" ref="K59">Common_InputFunctions.Utility_DisplayArrayInTable(Fuel_SourceData.Fuel_Scope1Scope3EmissionFactorsStationaryLiquid_Data(), Table_Fuel_EFs_StationaryLiquid[[#Headers],[Fuel combusted]],0)</f>
        <v>18</v>
      </c>
      <c r="L59" s="158"/>
    </row>
    <row r="60" spans="1:12" ht="20.100000000000001" customHeight="1" x14ac:dyDescent="0.25">
      <c r="D60" s="216" t="str" cm="1">
        <f t="array" ref="D60">Common_InputFunctions.Utility_DisplayArrayInTable(Fuel_SourceData.Fuel_Scope1Scope3EmissionFactorsStationaryLiquid_Data(), Table_Fuel_EFs_StationaryLiquid[[#Headers],[Fuel combusted]],0)</f>
        <v>Kerosene (other than for use as fuel in an aircraft)</v>
      </c>
      <c r="E60" s="216" cm="1">
        <f t="array" ref="E60">Common_InputFunctions.Utility_DisplayArrayInTable(Fuel_SourceData.Fuel_Scope1Scope3EmissionFactorsStationaryLiquid_Data(), Table_Fuel_EFs_StationaryLiquid[[#Headers],[Fuel combusted]],0)</f>
        <v>37.5</v>
      </c>
      <c r="F60" s="216" t="str" cm="1">
        <f t="array" ref="F60">Common_InputFunctions.Utility_DisplayArrayInTable(Fuel_SourceData.Fuel_Scope1Scope3EmissionFactorsStationaryLiquid_Data(), Table_Fuel_EFs_StationaryLiquid[[#Headers],[Fuel combusted]],0)</f>
        <v>kL</v>
      </c>
      <c r="G60" s="216" cm="1">
        <f t="array" ref="G60">Common_InputFunctions.Utility_DisplayArrayInTable(Fuel_SourceData.Fuel_Scope1Scope3EmissionFactorsStationaryLiquid_Data(), Table_Fuel_EFs_StationaryLiquid[[#Headers],[Fuel combusted]],0)</f>
        <v>68.900000000000006</v>
      </c>
      <c r="H60" s="216" cm="1">
        <f t="array" ref="H60">Common_InputFunctions.Utility_DisplayArrayInTable(Fuel_SourceData.Fuel_Scope1Scope3EmissionFactorsStationaryLiquid_Data(), Table_Fuel_EFs_StationaryLiquid[[#Headers],[Fuel combusted]],0)</f>
        <v>0.01</v>
      </c>
      <c r="I60" s="216" cm="1">
        <f t="array" ref="I60">Common_InputFunctions.Utility_DisplayArrayInTable(Fuel_SourceData.Fuel_Scope1Scope3EmissionFactorsStationaryLiquid_Data(), Table_Fuel_EFs_StationaryLiquid[[#Headers],[Fuel combusted]],0)</f>
        <v>0.2</v>
      </c>
      <c r="J60" s="216" cm="1">
        <f t="array" ref="J60">Common_InputFunctions.Utility_DisplayArrayInTable(Fuel_SourceData.Fuel_Scope1Scope3EmissionFactorsStationaryLiquid_Data(), Table_Fuel_EFs_StationaryLiquid[[#Headers],[Fuel combusted]],0)</f>
        <v>69.11</v>
      </c>
      <c r="K60" s="216" cm="1">
        <f t="array" ref="K60">Common_InputFunctions.Utility_DisplayArrayInTable(Fuel_SourceData.Fuel_Scope1Scope3EmissionFactorsStationaryLiquid_Data(), Table_Fuel_EFs_StationaryLiquid[[#Headers],[Fuel combusted]],0)</f>
        <v>18</v>
      </c>
      <c r="L60" s="158"/>
    </row>
    <row r="61" spans="1:12" ht="20.100000000000001" customHeight="1" x14ac:dyDescent="0.25">
      <c r="D61" s="216" t="str" cm="1">
        <f t="array" ref="D61">Common_InputFunctions.Utility_DisplayArrayInTable(Fuel_SourceData.Fuel_Scope1Scope3EmissionFactorsStationaryLiquid_Data(), Table_Fuel_EFs_StationaryLiquid[[#Headers],[Fuel combusted]],0)</f>
        <v>Aviation turbine fuel / kerosene</v>
      </c>
      <c r="E61" s="216" cm="1">
        <f t="array" ref="E61">Common_InputFunctions.Utility_DisplayArrayInTable(Fuel_SourceData.Fuel_Scope1Scope3EmissionFactorsStationaryLiquid_Data(), Table_Fuel_EFs_StationaryLiquid[[#Headers],[Fuel combusted]],0)</f>
        <v>36.799999999999997</v>
      </c>
      <c r="F61" s="216" t="str" cm="1">
        <f t="array" ref="F61">Common_InputFunctions.Utility_DisplayArrayInTable(Fuel_SourceData.Fuel_Scope1Scope3EmissionFactorsStationaryLiquid_Data(), Table_Fuel_EFs_StationaryLiquid[[#Headers],[Fuel combusted]],0)</f>
        <v>kL</v>
      </c>
      <c r="G61" s="216" cm="1">
        <f t="array" ref="G61">Common_InputFunctions.Utility_DisplayArrayInTable(Fuel_SourceData.Fuel_Scope1Scope3EmissionFactorsStationaryLiquid_Data(), Table_Fuel_EFs_StationaryLiquid[[#Headers],[Fuel combusted]],0)</f>
        <v>69.599999999999994</v>
      </c>
      <c r="H61" s="216" cm="1">
        <f t="array" ref="H61">Common_InputFunctions.Utility_DisplayArrayInTable(Fuel_SourceData.Fuel_Scope1Scope3EmissionFactorsStationaryLiquid_Data(), Table_Fuel_EFs_StationaryLiquid[[#Headers],[Fuel combusted]],0)</f>
        <v>0.02</v>
      </c>
      <c r="I61" s="216" cm="1">
        <f t="array" ref="I61">Common_InputFunctions.Utility_DisplayArrayInTable(Fuel_SourceData.Fuel_Scope1Scope3EmissionFactorsStationaryLiquid_Data(), Table_Fuel_EFs_StationaryLiquid[[#Headers],[Fuel combusted]],0)</f>
        <v>0.2</v>
      </c>
      <c r="J61" s="216" cm="1">
        <f t="array" ref="J61">Common_InputFunctions.Utility_DisplayArrayInTable(Fuel_SourceData.Fuel_Scope1Scope3EmissionFactorsStationaryLiquid_Data(), Table_Fuel_EFs_StationaryLiquid[[#Headers],[Fuel combusted]],0)</f>
        <v>69.819999999999993</v>
      </c>
      <c r="K61" s="216" cm="1">
        <f t="array" ref="K61">Common_InputFunctions.Utility_DisplayArrayInTable(Fuel_SourceData.Fuel_Scope1Scope3EmissionFactorsStationaryLiquid_Data(), Table_Fuel_EFs_StationaryLiquid[[#Headers],[Fuel combusted]],0)</f>
        <v>18</v>
      </c>
      <c r="L61" s="158"/>
    </row>
    <row r="62" spans="1:12" ht="20.100000000000001" customHeight="1" x14ac:dyDescent="0.25">
      <c r="D62" s="216" t="str" cm="1">
        <f t="array" ref="D62">Common_InputFunctions.Utility_DisplayArrayInTable(Fuel_SourceData.Fuel_Scope1Scope3EmissionFactorsStationaryLiquid_Data(), Table_Fuel_EFs_StationaryLiquid[[#Headers],[Fuel combusted]],0)</f>
        <v>Heating oil</v>
      </c>
      <c r="E62" s="216" cm="1">
        <f t="array" ref="E62">Common_InputFunctions.Utility_DisplayArrayInTable(Fuel_SourceData.Fuel_Scope1Scope3EmissionFactorsStationaryLiquid_Data(), Table_Fuel_EFs_StationaryLiquid[[#Headers],[Fuel combusted]],0)</f>
        <v>37.299999999999997</v>
      </c>
      <c r="F62" s="216" t="str" cm="1">
        <f t="array" ref="F62">Common_InputFunctions.Utility_DisplayArrayInTable(Fuel_SourceData.Fuel_Scope1Scope3EmissionFactorsStationaryLiquid_Data(), Table_Fuel_EFs_StationaryLiquid[[#Headers],[Fuel combusted]],0)</f>
        <v>kL</v>
      </c>
      <c r="G62" s="216" cm="1">
        <f t="array" ref="G62">Common_InputFunctions.Utility_DisplayArrayInTable(Fuel_SourceData.Fuel_Scope1Scope3EmissionFactorsStationaryLiquid_Data(), Table_Fuel_EFs_StationaryLiquid[[#Headers],[Fuel combusted]],0)</f>
        <v>69.5</v>
      </c>
      <c r="H62" s="216" cm="1">
        <f t="array" ref="H62">Common_InputFunctions.Utility_DisplayArrayInTable(Fuel_SourceData.Fuel_Scope1Scope3EmissionFactorsStationaryLiquid_Data(), Table_Fuel_EFs_StationaryLiquid[[#Headers],[Fuel combusted]],0)</f>
        <v>0.03</v>
      </c>
      <c r="I62" s="216" cm="1">
        <f t="array" ref="I62">Common_InputFunctions.Utility_DisplayArrayInTable(Fuel_SourceData.Fuel_Scope1Scope3EmissionFactorsStationaryLiquid_Data(), Table_Fuel_EFs_StationaryLiquid[[#Headers],[Fuel combusted]],0)</f>
        <v>0.2</v>
      </c>
      <c r="J62" s="216" cm="1">
        <f t="array" ref="J62">Common_InputFunctions.Utility_DisplayArrayInTable(Fuel_SourceData.Fuel_Scope1Scope3EmissionFactorsStationaryLiquid_Data(), Table_Fuel_EFs_StationaryLiquid[[#Headers],[Fuel combusted]],0)</f>
        <v>69.73</v>
      </c>
      <c r="K62" s="216" cm="1">
        <f t="array" ref="K62">Common_InputFunctions.Utility_DisplayArrayInTable(Fuel_SourceData.Fuel_Scope1Scope3EmissionFactorsStationaryLiquid_Data(), Table_Fuel_EFs_StationaryLiquid[[#Headers],[Fuel combusted]],0)</f>
        <v>18</v>
      </c>
      <c r="L62" s="158"/>
    </row>
    <row r="63" spans="1:12" ht="20.100000000000001" customHeight="1" x14ac:dyDescent="0.25">
      <c r="D63" s="216" t="str" cm="1">
        <f t="array" ref="D63">Common_InputFunctions.Utility_DisplayArrayInTable(Fuel_SourceData.Fuel_Scope1Scope3EmissionFactorsStationaryLiquid_Data(), Table_Fuel_EFs_StationaryLiquid[[#Headers],[Fuel combusted]],0)</f>
        <v>Diesel oil</v>
      </c>
      <c r="E63" s="216" cm="1">
        <f t="array" ref="E63">Common_InputFunctions.Utility_DisplayArrayInTable(Fuel_SourceData.Fuel_Scope1Scope3EmissionFactorsStationaryLiquid_Data(), Table_Fuel_EFs_StationaryLiquid[[#Headers],[Fuel combusted]],0)</f>
        <v>38.6</v>
      </c>
      <c r="F63" s="216" t="str" cm="1">
        <f t="array" ref="F63">Common_InputFunctions.Utility_DisplayArrayInTable(Fuel_SourceData.Fuel_Scope1Scope3EmissionFactorsStationaryLiquid_Data(), Table_Fuel_EFs_StationaryLiquid[[#Headers],[Fuel combusted]],0)</f>
        <v>kL</v>
      </c>
      <c r="G63" s="216" cm="1">
        <f t="array" ref="G63">Common_InputFunctions.Utility_DisplayArrayInTable(Fuel_SourceData.Fuel_Scope1Scope3EmissionFactorsStationaryLiquid_Data(), Table_Fuel_EFs_StationaryLiquid[[#Headers],[Fuel combusted]],0)</f>
        <v>69.900000000000006</v>
      </c>
      <c r="H63" s="216" cm="1">
        <f t="array" ref="H63">Common_InputFunctions.Utility_DisplayArrayInTable(Fuel_SourceData.Fuel_Scope1Scope3EmissionFactorsStationaryLiquid_Data(), Table_Fuel_EFs_StationaryLiquid[[#Headers],[Fuel combusted]],0)</f>
        <v>0.1</v>
      </c>
      <c r="I63" s="216" cm="1">
        <f t="array" ref="I63">Common_InputFunctions.Utility_DisplayArrayInTable(Fuel_SourceData.Fuel_Scope1Scope3EmissionFactorsStationaryLiquid_Data(), Table_Fuel_EFs_StationaryLiquid[[#Headers],[Fuel combusted]],0)</f>
        <v>0.2</v>
      </c>
      <c r="J63" s="216" cm="1">
        <f t="array" ref="J63">Common_InputFunctions.Utility_DisplayArrayInTable(Fuel_SourceData.Fuel_Scope1Scope3EmissionFactorsStationaryLiquid_Data(), Table_Fuel_EFs_StationaryLiquid[[#Headers],[Fuel combusted]],0)</f>
        <v>70.2</v>
      </c>
      <c r="K63" s="216" cm="1">
        <f t="array" ref="K63">Common_InputFunctions.Utility_DisplayArrayInTable(Fuel_SourceData.Fuel_Scope1Scope3EmissionFactorsStationaryLiquid_Data(), Table_Fuel_EFs_StationaryLiquid[[#Headers],[Fuel combusted]],0)</f>
        <v>17.3</v>
      </c>
      <c r="L63" s="158"/>
    </row>
    <row r="64" spans="1:12" ht="20.100000000000001" customHeight="1" x14ac:dyDescent="0.25">
      <c r="D64" s="216" t="str" cm="1">
        <f t="array" ref="D64">Common_InputFunctions.Utility_DisplayArrayInTable(Fuel_SourceData.Fuel_Scope1Scope3EmissionFactorsStationaryLiquid_Data(), Table_Fuel_EFs_StationaryLiquid[[#Headers],[Fuel combusted]],0)</f>
        <v>Fuel oil</v>
      </c>
      <c r="E64" s="216" cm="1">
        <f t="array" ref="E64">Common_InputFunctions.Utility_DisplayArrayInTable(Fuel_SourceData.Fuel_Scope1Scope3EmissionFactorsStationaryLiquid_Data(), Table_Fuel_EFs_StationaryLiquid[[#Headers],[Fuel combusted]],0)</f>
        <v>39.700000000000003</v>
      </c>
      <c r="F64" s="216" t="str" cm="1">
        <f t="array" ref="F64">Common_InputFunctions.Utility_DisplayArrayInTable(Fuel_SourceData.Fuel_Scope1Scope3EmissionFactorsStationaryLiquid_Data(), Table_Fuel_EFs_StationaryLiquid[[#Headers],[Fuel combusted]],0)</f>
        <v>kL</v>
      </c>
      <c r="G64" s="216" cm="1">
        <f t="array" ref="G64">Common_InputFunctions.Utility_DisplayArrayInTable(Fuel_SourceData.Fuel_Scope1Scope3EmissionFactorsStationaryLiquid_Data(), Table_Fuel_EFs_StationaryLiquid[[#Headers],[Fuel combusted]],0)</f>
        <v>73.599999999999994</v>
      </c>
      <c r="H64" s="216" cm="1">
        <f t="array" ref="H64">Common_InputFunctions.Utility_DisplayArrayInTable(Fuel_SourceData.Fuel_Scope1Scope3EmissionFactorsStationaryLiquid_Data(), Table_Fuel_EFs_StationaryLiquid[[#Headers],[Fuel combusted]],0)</f>
        <v>0.04</v>
      </c>
      <c r="I64" s="216" cm="1">
        <f t="array" ref="I64">Common_InputFunctions.Utility_DisplayArrayInTable(Fuel_SourceData.Fuel_Scope1Scope3EmissionFactorsStationaryLiquid_Data(), Table_Fuel_EFs_StationaryLiquid[[#Headers],[Fuel combusted]],0)</f>
        <v>0.2</v>
      </c>
      <c r="J64" s="216" cm="1">
        <f t="array" ref="J64">Common_InputFunctions.Utility_DisplayArrayInTable(Fuel_SourceData.Fuel_Scope1Scope3EmissionFactorsStationaryLiquid_Data(), Table_Fuel_EFs_StationaryLiquid[[#Headers],[Fuel combusted]],0)</f>
        <v>73.84</v>
      </c>
      <c r="K64" s="216" cm="1">
        <f t="array" ref="K64">Common_InputFunctions.Utility_DisplayArrayInTable(Fuel_SourceData.Fuel_Scope1Scope3EmissionFactorsStationaryLiquid_Data(), Table_Fuel_EFs_StationaryLiquid[[#Headers],[Fuel combusted]],0)</f>
        <v>18</v>
      </c>
      <c r="L64" s="158"/>
    </row>
    <row r="65" spans="4:13" ht="20.100000000000001" customHeight="1" x14ac:dyDescent="0.25">
      <c r="D65" s="216" t="str" cm="1">
        <f t="array" ref="D65">Common_InputFunctions.Utility_DisplayArrayInTable(Fuel_SourceData.Fuel_Scope1Scope3EmissionFactorsStationaryLiquid_Data(), Table_Fuel_EFs_StationaryLiquid[[#Headers],[Fuel combusted]],0)</f>
        <v>Liquefied aromatic hydrocarbons</v>
      </c>
      <c r="E65" s="216" cm="1">
        <f t="array" ref="E65">Common_InputFunctions.Utility_DisplayArrayInTable(Fuel_SourceData.Fuel_Scope1Scope3EmissionFactorsStationaryLiquid_Data(), Table_Fuel_EFs_StationaryLiquid[[#Headers],[Fuel combusted]],0)</f>
        <v>34.4</v>
      </c>
      <c r="F65" s="216" t="str" cm="1">
        <f t="array" ref="F65">Common_InputFunctions.Utility_DisplayArrayInTable(Fuel_SourceData.Fuel_Scope1Scope3EmissionFactorsStationaryLiquid_Data(), Table_Fuel_EFs_StationaryLiquid[[#Headers],[Fuel combusted]],0)</f>
        <v>kL</v>
      </c>
      <c r="G65" s="216" cm="1">
        <f t="array" ref="G65">Common_InputFunctions.Utility_DisplayArrayInTable(Fuel_SourceData.Fuel_Scope1Scope3EmissionFactorsStationaryLiquid_Data(), Table_Fuel_EFs_StationaryLiquid[[#Headers],[Fuel combusted]],0)</f>
        <v>69.7</v>
      </c>
      <c r="H65" s="216" cm="1">
        <f t="array" ref="H65">Common_InputFunctions.Utility_DisplayArrayInTable(Fuel_SourceData.Fuel_Scope1Scope3EmissionFactorsStationaryLiquid_Data(), Table_Fuel_EFs_StationaryLiquid[[#Headers],[Fuel combusted]],0)</f>
        <v>0.03</v>
      </c>
      <c r="I65" s="216" cm="1">
        <f t="array" ref="I65">Common_InputFunctions.Utility_DisplayArrayInTable(Fuel_SourceData.Fuel_Scope1Scope3EmissionFactorsStationaryLiquid_Data(), Table_Fuel_EFs_StationaryLiquid[[#Headers],[Fuel combusted]],0)</f>
        <v>0.2</v>
      </c>
      <c r="J65" s="216" cm="1">
        <f t="array" ref="J65">Common_InputFunctions.Utility_DisplayArrayInTable(Fuel_SourceData.Fuel_Scope1Scope3EmissionFactorsStationaryLiquid_Data(), Table_Fuel_EFs_StationaryLiquid[[#Headers],[Fuel combusted]],0)</f>
        <v>69.930000000000007</v>
      </c>
      <c r="K65" s="216" cm="1">
        <f t="array" ref="K65">Common_InputFunctions.Utility_DisplayArrayInTable(Fuel_SourceData.Fuel_Scope1Scope3EmissionFactorsStationaryLiquid_Data(), Table_Fuel_EFs_StationaryLiquid[[#Headers],[Fuel combusted]],0)</f>
        <v>18</v>
      </c>
      <c r="L65" s="158"/>
    </row>
    <row r="66" spans="4:13" ht="20.100000000000001" customHeight="1" x14ac:dyDescent="0.25">
      <c r="D66" s="216" t="str" cm="1">
        <f t="array" ref="D66">Common_InputFunctions.Utility_DisplayArrayInTable(Fuel_SourceData.Fuel_Scope1Scope3EmissionFactorsStationaryLiquid_Data(), Table_Fuel_EFs_StationaryLiquid[[#Headers],[Fuel combusted]],0)</f>
        <v>Solvents: mineral turpentine or white spirits</v>
      </c>
      <c r="E66" s="216" cm="1">
        <f t="array" ref="E66">Common_InputFunctions.Utility_DisplayArrayInTable(Fuel_SourceData.Fuel_Scope1Scope3EmissionFactorsStationaryLiquid_Data(), Table_Fuel_EFs_StationaryLiquid[[#Headers],[Fuel combusted]],0)</f>
        <v>34.4</v>
      </c>
      <c r="F66" s="216" t="str" cm="1">
        <f t="array" ref="F66">Common_InputFunctions.Utility_DisplayArrayInTable(Fuel_SourceData.Fuel_Scope1Scope3EmissionFactorsStationaryLiquid_Data(), Table_Fuel_EFs_StationaryLiquid[[#Headers],[Fuel combusted]],0)</f>
        <v>kL</v>
      </c>
      <c r="G66" s="216" cm="1">
        <f t="array" ref="G66">Common_InputFunctions.Utility_DisplayArrayInTable(Fuel_SourceData.Fuel_Scope1Scope3EmissionFactorsStationaryLiquid_Data(), Table_Fuel_EFs_StationaryLiquid[[#Headers],[Fuel combusted]],0)</f>
        <v>69.7</v>
      </c>
      <c r="H66" s="216" cm="1">
        <f t="array" ref="H66">Common_InputFunctions.Utility_DisplayArrayInTable(Fuel_SourceData.Fuel_Scope1Scope3EmissionFactorsStationaryLiquid_Data(), Table_Fuel_EFs_StationaryLiquid[[#Headers],[Fuel combusted]],0)</f>
        <v>0.03</v>
      </c>
      <c r="I66" s="216" cm="1">
        <f t="array" ref="I66">Common_InputFunctions.Utility_DisplayArrayInTable(Fuel_SourceData.Fuel_Scope1Scope3EmissionFactorsStationaryLiquid_Data(), Table_Fuel_EFs_StationaryLiquid[[#Headers],[Fuel combusted]],0)</f>
        <v>0.2</v>
      </c>
      <c r="J66" s="216" cm="1">
        <f t="array" ref="J66">Common_InputFunctions.Utility_DisplayArrayInTable(Fuel_SourceData.Fuel_Scope1Scope3EmissionFactorsStationaryLiquid_Data(), Table_Fuel_EFs_StationaryLiquid[[#Headers],[Fuel combusted]],0)</f>
        <v>69.930000000000007</v>
      </c>
      <c r="K66" s="216" cm="1">
        <f t="array" ref="K66">Common_InputFunctions.Utility_DisplayArrayInTable(Fuel_SourceData.Fuel_Scope1Scope3EmissionFactorsStationaryLiquid_Data(), Table_Fuel_EFs_StationaryLiquid[[#Headers],[Fuel combusted]],0)</f>
        <v>18</v>
      </c>
      <c r="L66" s="158"/>
    </row>
    <row r="67" spans="4:13" ht="20.100000000000001" customHeight="1" x14ac:dyDescent="0.25">
      <c r="D67" s="216" t="str" cm="1">
        <f t="array" ref="D67">Common_InputFunctions.Utility_DisplayArrayInTable(Fuel_SourceData.Fuel_Scope1Scope3EmissionFactorsStationaryLiquid_Data(), Table_Fuel_EFs_StationaryLiquid[[#Headers],[Fuel combusted]],0)</f>
        <v>Liquefied petroleum gas (LPG)</v>
      </c>
      <c r="E67" s="216" cm="1">
        <f t="array" ref="E67">Common_InputFunctions.Utility_DisplayArrayInTable(Fuel_SourceData.Fuel_Scope1Scope3EmissionFactorsStationaryLiquid_Data(), Table_Fuel_EFs_StationaryLiquid[[#Headers],[Fuel combusted]],0)</f>
        <v>25.7</v>
      </c>
      <c r="F67" s="216" t="str" cm="1">
        <f t="array" ref="F67">Common_InputFunctions.Utility_DisplayArrayInTable(Fuel_SourceData.Fuel_Scope1Scope3EmissionFactorsStationaryLiquid_Data(), Table_Fuel_EFs_StationaryLiquid[[#Headers],[Fuel combusted]],0)</f>
        <v>kL</v>
      </c>
      <c r="G67" s="216" cm="1">
        <f t="array" ref="G67">Common_InputFunctions.Utility_DisplayArrayInTable(Fuel_SourceData.Fuel_Scope1Scope3EmissionFactorsStationaryLiquid_Data(), Table_Fuel_EFs_StationaryLiquid[[#Headers],[Fuel combusted]],0)</f>
        <v>60.2</v>
      </c>
      <c r="H67" s="216" cm="1">
        <f t="array" ref="H67">Common_InputFunctions.Utility_DisplayArrayInTable(Fuel_SourceData.Fuel_Scope1Scope3EmissionFactorsStationaryLiquid_Data(), Table_Fuel_EFs_StationaryLiquid[[#Headers],[Fuel combusted]],0)</f>
        <v>0.2</v>
      </c>
      <c r="I67" s="216" cm="1">
        <f t="array" ref="I67">Common_InputFunctions.Utility_DisplayArrayInTable(Fuel_SourceData.Fuel_Scope1Scope3EmissionFactorsStationaryLiquid_Data(), Table_Fuel_EFs_StationaryLiquid[[#Headers],[Fuel combusted]],0)</f>
        <v>0.2</v>
      </c>
      <c r="J67" s="216" cm="1">
        <f t="array" ref="J67">Common_InputFunctions.Utility_DisplayArrayInTable(Fuel_SourceData.Fuel_Scope1Scope3EmissionFactorsStationaryLiquid_Data(), Table_Fuel_EFs_StationaryLiquid[[#Headers],[Fuel combusted]],0)</f>
        <v>60.6</v>
      </c>
      <c r="K67" s="216" cm="1">
        <f t="array" ref="K67">Common_InputFunctions.Utility_DisplayArrayInTable(Fuel_SourceData.Fuel_Scope1Scope3EmissionFactorsStationaryLiquid_Data(), Table_Fuel_EFs_StationaryLiquid[[#Headers],[Fuel combusted]],0)</f>
        <v>20.2</v>
      </c>
      <c r="L67" s="158"/>
    </row>
    <row r="68" spans="4:13" ht="20.100000000000001" customHeight="1" x14ac:dyDescent="0.25">
      <c r="D68" s="216" t="str" cm="1">
        <f t="array" ref="D68">Common_InputFunctions.Utility_DisplayArrayInTable(Fuel_SourceData.Fuel_Scope1Scope3EmissionFactorsStationaryLiquid_Data(), Table_Fuel_EFs_StationaryLiquid[[#Headers],[Fuel combusted]],0)</f>
        <v>Naphtha</v>
      </c>
      <c r="E68" s="216" cm="1">
        <f t="array" ref="E68">Common_InputFunctions.Utility_DisplayArrayInTable(Fuel_SourceData.Fuel_Scope1Scope3EmissionFactorsStationaryLiquid_Data(), Table_Fuel_EFs_StationaryLiquid[[#Headers],[Fuel combusted]],0)</f>
        <v>31.4</v>
      </c>
      <c r="F68" s="216" t="str" cm="1">
        <f t="array" ref="F68">Common_InputFunctions.Utility_DisplayArrayInTable(Fuel_SourceData.Fuel_Scope1Scope3EmissionFactorsStationaryLiquid_Data(), Table_Fuel_EFs_StationaryLiquid[[#Headers],[Fuel combusted]],0)</f>
        <v>kL</v>
      </c>
      <c r="G68" s="216" cm="1">
        <f t="array" ref="G68">Common_InputFunctions.Utility_DisplayArrayInTable(Fuel_SourceData.Fuel_Scope1Scope3EmissionFactorsStationaryLiquid_Data(), Table_Fuel_EFs_StationaryLiquid[[#Headers],[Fuel combusted]],0)</f>
        <v>69.8</v>
      </c>
      <c r="H68" s="216" cm="1">
        <f t="array" ref="H68">Common_InputFunctions.Utility_DisplayArrayInTable(Fuel_SourceData.Fuel_Scope1Scope3EmissionFactorsStationaryLiquid_Data(), Table_Fuel_EFs_StationaryLiquid[[#Headers],[Fuel combusted]],0)</f>
        <v>0.01</v>
      </c>
      <c r="I68" s="216" cm="1">
        <f t="array" ref="I68">Common_InputFunctions.Utility_DisplayArrayInTable(Fuel_SourceData.Fuel_Scope1Scope3EmissionFactorsStationaryLiquid_Data(), Table_Fuel_EFs_StationaryLiquid[[#Headers],[Fuel combusted]],0)</f>
        <v>0.01</v>
      </c>
      <c r="J68" s="216" cm="1">
        <f t="array" ref="J68">Common_InputFunctions.Utility_DisplayArrayInTable(Fuel_SourceData.Fuel_Scope1Scope3EmissionFactorsStationaryLiquid_Data(), Table_Fuel_EFs_StationaryLiquid[[#Headers],[Fuel combusted]],0)</f>
        <v>69.819999999999993</v>
      </c>
      <c r="K68" s="216" cm="1">
        <f t="array" ref="K68">Common_InputFunctions.Utility_DisplayArrayInTable(Fuel_SourceData.Fuel_Scope1Scope3EmissionFactorsStationaryLiquid_Data(), Table_Fuel_EFs_StationaryLiquid[[#Headers],[Fuel combusted]],0)</f>
        <v>18</v>
      </c>
      <c r="L68" s="158"/>
    </row>
    <row r="69" spans="4:13" ht="20.100000000000001" customHeight="1" x14ac:dyDescent="0.25">
      <c r="D69" s="216" t="str" cm="1">
        <f t="array" ref="D69">Common_InputFunctions.Utility_DisplayArrayInTable(Fuel_SourceData.Fuel_Scope1Scope3EmissionFactorsStationaryLiquid_Data(), Table_Fuel_EFs_StationaryLiquid[[#Headers],[Fuel combusted]],0)</f>
        <v>Petroleum coke</v>
      </c>
      <c r="E69" s="216" cm="1">
        <f t="array" ref="E69">Common_InputFunctions.Utility_DisplayArrayInTable(Fuel_SourceData.Fuel_Scope1Scope3EmissionFactorsStationaryLiquid_Data(), Table_Fuel_EFs_StationaryLiquid[[#Headers],[Fuel combusted]],0)</f>
        <v>34.200000000000003</v>
      </c>
      <c r="F69" s="216" t="str" cm="1">
        <f t="array" ref="F69">Common_InputFunctions.Utility_DisplayArrayInTable(Fuel_SourceData.Fuel_Scope1Scope3EmissionFactorsStationaryLiquid_Data(), Table_Fuel_EFs_StationaryLiquid[[#Headers],[Fuel combusted]],0)</f>
        <v>t</v>
      </c>
      <c r="G69" s="216" cm="1">
        <f t="array" ref="G69">Common_InputFunctions.Utility_DisplayArrayInTable(Fuel_SourceData.Fuel_Scope1Scope3EmissionFactorsStationaryLiquid_Data(), Table_Fuel_EFs_StationaryLiquid[[#Headers],[Fuel combusted]],0)</f>
        <v>92.6</v>
      </c>
      <c r="H69" s="216" cm="1">
        <f t="array" ref="H69">Common_InputFunctions.Utility_DisplayArrayInTable(Fuel_SourceData.Fuel_Scope1Scope3EmissionFactorsStationaryLiquid_Data(), Table_Fuel_EFs_StationaryLiquid[[#Headers],[Fuel combusted]],0)</f>
        <v>0.08</v>
      </c>
      <c r="I69" s="216" cm="1">
        <f t="array" ref="I69">Common_InputFunctions.Utility_DisplayArrayInTable(Fuel_SourceData.Fuel_Scope1Scope3EmissionFactorsStationaryLiquid_Data(), Table_Fuel_EFs_StationaryLiquid[[#Headers],[Fuel combusted]],0)</f>
        <v>0.2</v>
      </c>
      <c r="J69" s="216" cm="1">
        <f t="array" ref="J69">Common_InputFunctions.Utility_DisplayArrayInTable(Fuel_SourceData.Fuel_Scope1Scope3EmissionFactorsStationaryLiquid_Data(), Table_Fuel_EFs_StationaryLiquid[[#Headers],[Fuel combusted]],0)</f>
        <v>92.88</v>
      </c>
      <c r="K69" s="216" cm="1">
        <f t="array" ref="K69">Common_InputFunctions.Utility_DisplayArrayInTable(Fuel_SourceData.Fuel_Scope1Scope3EmissionFactorsStationaryLiquid_Data(), Table_Fuel_EFs_StationaryLiquid[[#Headers],[Fuel combusted]],0)</f>
        <v>18</v>
      </c>
      <c r="L69" s="158"/>
    </row>
    <row r="70" spans="4:13" ht="20.100000000000001" customHeight="1" x14ac:dyDescent="0.25">
      <c r="D70" s="216" t="str" cm="1">
        <f t="array" ref="D70">Common_InputFunctions.Utility_DisplayArrayInTable(Fuel_SourceData.Fuel_Scope1Scope3EmissionFactorsStationaryLiquid_Data(), Table_Fuel_EFs_StationaryLiquid[[#Headers],[Fuel combusted]],0)</f>
        <v>Refinery gas and liquids</v>
      </c>
      <c r="E70" s="216" cm="1">
        <f t="array" ref="E70">Common_InputFunctions.Utility_DisplayArrayInTable(Fuel_SourceData.Fuel_Scope1Scope3EmissionFactorsStationaryLiquid_Data(), Table_Fuel_EFs_StationaryLiquid[[#Headers],[Fuel combusted]],0)</f>
        <v>42.9</v>
      </c>
      <c r="F70" s="216" t="str" cm="1">
        <f t="array" ref="F70">Common_InputFunctions.Utility_DisplayArrayInTable(Fuel_SourceData.Fuel_Scope1Scope3EmissionFactorsStationaryLiquid_Data(), Table_Fuel_EFs_StationaryLiquid[[#Headers],[Fuel combusted]],0)</f>
        <v>t</v>
      </c>
      <c r="G70" s="216" cm="1">
        <f t="array" ref="G70">Common_InputFunctions.Utility_DisplayArrayInTable(Fuel_SourceData.Fuel_Scope1Scope3EmissionFactorsStationaryLiquid_Data(), Table_Fuel_EFs_StationaryLiquid[[#Headers],[Fuel combusted]],0)</f>
        <v>54.7</v>
      </c>
      <c r="H70" s="216" cm="1">
        <f t="array" ref="H70">Common_InputFunctions.Utility_DisplayArrayInTable(Fuel_SourceData.Fuel_Scope1Scope3EmissionFactorsStationaryLiquid_Data(), Table_Fuel_EFs_StationaryLiquid[[#Headers],[Fuel combusted]],0)</f>
        <v>0.03</v>
      </c>
      <c r="I70" s="216" cm="1">
        <f t="array" ref="I70">Common_InputFunctions.Utility_DisplayArrayInTable(Fuel_SourceData.Fuel_Scope1Scope3EmissionFactorsStationaryLiquid_Data(), Table_Fuel_EFs_StationaryLiquid[[#Headers],[Fuel combusted]],0)</f>
        <v>0.03</v>
      </c>
      <c r="J70" s="216" cm="1">
        <f t="array" ref="J70">Common_InputFunctions.Utility_DisplayArrayInTable(Fuel_SourceData.Fuel_Scope1Scope3EmissionFactorsStationaryLiquid_Data(), Table_Fuel_EFs_StationaryLiquid[[#Headers],[Fuel combusted]],0)</f>
        <v>54.76</v>
      </c>
      <c r="K70" s="216" cm="1">
        <f t="array" ref="K70">Common_InputFunctions.Utility_DisplayArrayInTable(Fuel_SourceData.Fuel_Scope1Scope3EmissionFactorsStationaryLiquid_Data(), Table_Fuel_EFs_StationaryLiquid[[#Headers],[Fuel combusted]],0)</f>
        <v>18</v>
      </c>
      <c r="L70" s="158"/>
    </row>
    <row r="71" spans="4:13" ht="20.100000000000001" customHeight="1" x14ac:dyDescent="0.25">
      <c r="D71" s="216" t="str" cm="1">
        <f t="array" ref="D71">Common_InputFunctions.Utility_DisplayArrayInTable(Fuel_SourceData.Fuel_Scope1Scope3EmissionFactorsStationaryLiquid_Data(), Table_Fuel_EFs_StationaryLiquid[[#Headers],[Fuel combusted]],0)</f>
        <v>Refinery coke</v>
      </c>
      <c r="E71" s="216" cm="1">
        <f t="array" ref="E71">Common_InputFunctions.Utility_DisplayArrayInTable(Fuel_SourceData.Fuel_Scope1Scope3EmissionFactorsStationaryLiquid_Data(), Table_Fuel_EFs_StationaryLiquid[[#Headers],[Fuel combusted]],0)</f>
        <v>34.200000000000003</v>
      </c>
      <c r="F71" s="216" t="str" cm="1">
        <f t="array" ref="F71">Common_InputFunctions.Utility_DisplayArrayInTable(Fuel_SourceData.Fuel_Scope1Scope3EmissionFactorsStationaryLiquid_Data(), Table_Fuel_EFs_StationaryLiquid[[#Headers],[Fuel combusted]],0)</f>
        <v>t</v>
      </c>
      <c r="G71" s="216" cm="1">
        <f t="array" ref="G71">Common_InputFunctions.Utility_DisplayArrayInTable(Fuel_SourceData.Fuel_Scope1Scope3EmissionFactorsStationaryLiquid_Data(), Table_Fuel_EFs_StationaryLiquid[[#Headers],[Fuel combusted]],0)</f>
        <v>92.6</v>
      </c>
      <c r="H71" s="216" cm="1">
        <f t="array" ref="H71">Common_InputFunctions.Utility_DisplayArrayInTable(Fuel_SourceData.Fuel_Scope1Scope3EmissionFactorsStationaryLiquid_Data(), Table_Fuel_EFs_StationaryLiquid[[#Headers],[Fuel combusted]],0)</f>
        <v>0.08</v>
      </c>
      <c r="I71" s="216" cm="1">
        <f t="array" ref="I71">Common_InputFunctions.Utility_DisplayArrayInTable(Fuel_SourceData.Fuel_Scope1Scope3EmissionFactorsStationaryLiquid_Data(), Table_Fuel_EFs_StationaryLiquid[[#Headers],[Fuel combusted]],0)</f>
        <v>0.2</v>
      </c>
      <c r="J71" s="216" cm="1">
        <f t="array" ref="J71">Common_InputFunctions.Utility_DisplayArrayInTable(Fuel_SourceData.Fuel_Scope1Scope3EmissionFactorsStationaryLiquid_Data(), Table_Fuel_EFs_StationaryLiquid[[#Headers],[Fuel combusted]],0)</f>
        <v>92.88</v>
      </c>
      <c r="K71" s="216" cm="1">
        <f t="array" ref="K71">Common_InputFunctions.Utility_DisplayArrayInTable(Fuel_SourceData.Fuel_Scope1Scope3EmissionFactorsStationaryLiquid_Data(), Table_Fuel_EFs_StationaryLiquid[[#Headers],[Fuel combusted]],0)</f>
        <v>18</v>
      </c>
      <c r="L71" s="158"/>
    </row>
    <row r="72" spans="4:13" ht="20.100000000000001" customHeight="1" x14ac:dyDescent="0.25">
      <c r="D72" s="216" t="str" cm="1">
        <f t="array" ref="D72">Common_InputFunctions.Utility_DisplayArrayInTable(Fuel_SourceData.Fuel_Scope1Scope3EmissionFactorsStationaryLiquid_Data(), Table_Fuel_EFs_StationaryLiquid[[#Headers],[Fuel combusted]],0)</f>
        <v>Petroleum based products other than mentioned in the items above</v>
      </c>
      <c r="E72" s="216" cm="1">
        <f t="array" ref="E72">Common_InputFunctions.Utility_DisplayArrayInTable(Fuel_SourceData.Fuel_Scope1Scope3EmissionFactorsStationaryLiquid_Data(), Table_Fuel_EFs_StationaryLiquid[[#Headers],[Fuel combusted]],0)</f>
        <v>34.4</v>
      </c>
      <c r="F72" s="216" t="str" cm="1">
        <f t="array" ref="F72">Common_InputFunctions.Utility_DisplayArrayInTable(Fuel_SourceData.Fuel_Scope1Scope3EmissionFactorsStationaryLiquid_Data(), Table_Fuel_EFs_StationaryLiquid[[#Headers],[Fuel combusted]],0)</f>
        <v>kL</v>
      </c>
      <c r="G72" s="216" cm="1">
        <f t="array" ref="G72">Common_InputFunctions.Utility_DisplayArrayInTable(Fuel_SourceData.Fuel_Scope1Scope3EmissionFactorsStationaryLiquid_Data(), Table_Fuel_EFs_StationaryLiquid[[#Headers],[Fuel combusted]],0)</f>
        <v>69.8</v>
      </c>
      <c r="H72" s="216" cm="1">
        <f t="array" ref="H72">Common_InputFunctions.Utility_DisplayArrayInTable(Fuel_SourceData.Fuel_Scope1Scope3EmissionFactorsStationaryLiquid_Data(), Table_Fuel_EFs_StationaryLiquid[[#Headers],[Fuel combusted]],0)</f>
        <v>0.02</v>
      </c>
      <c r="I72" s="216" cm="1">
        <f t="array" ref="I72">Common_InputFunctions.Utility_DisplayArrayInTable(Fuel_SourceData.Fuel_Scope1Scope3EmissionFactorsStationaryLiquid_Data(), Table_Fuel_EFs_StationaryLiquid[[#Headers],[Fuel combusted]],0)</f>
        <v>0.1</v>
      </c>
      <c r="J72" s="216" cm="1">
        <f t="array" ref="J72">Common_InputFunctions.Utility_DisplayArrayInTable(Fuel_SourceData.Fuel_Scope1Scope3EmissionFactorsStationaryLiquid_Data(), Table_Fuel_EFs_StationaryLiquid[[#Headers],[Fuel combusted]],0)</f>
        <v>69.92</v>
      </c>
      <c r="K72" s="216" cm="1">
        <f t="array" ref="K72">Common_InputFunctions.Utility_DisplayArrayInTable(Fuel_SourceData.Fuel_Scope1Scope3EmissionFactorsStationaryLiquid_Data(), Table_Fuel_EFs_StationaryLiquid[[#Headers],[Fuel combusted]],0)</f>
        <v>18</v>
      </c>
      <c r="L72" s="158"/>
    </row>
    <row r="73" spans="4:13" ht="20.100000000000001" customHeight="1" x14ac:dyDescent="0.25">
      <c r="D73" s="216" t="str" cm="1">
        <f t="array" ref="D73">Common_InputFunctions.Utility_DisplayArrayInTable(Fuel_SourceData.Fuel_Scope1Scope3EmissionFactorsStationaryLiquid_Data(), Table_Fuel_EFs_StationaryLiquid[[#Headers],[Fuel combusted]],0)</f>
        <v>Biodiesel</v>
      </c>
      <c r="E73" s="216" cm="1">
        <f t="array" ref="E73">Common_InputFunctions.Utility_DisplayArrayInTable(Fuel_SourceData.Fuel_Scope1Scope3EmissionFactorsStationaryLiquid_Data(), Table_Fuel_EFs_StationaryLiquid[[#Headers],[Fuel combusted]],0)</f>
        <v>34.6</v>
      </c>
      <c r="F73" s="216" t="str" cm="1">
        <f t="array" ref="F73">Common_InputFunctions.Utility_DisplayArrayInTable(Fuel_SourceData.Fuel_Scope1Scope3EmissionFactorsStationaryLiquid_Data(), Table_Fuel_EFs_StationaryLiquid[[#Headers],[Fuel combusted]],0)</f>
        <v>kL</v>
      </c>
      <c r="G73" s="216" cm="1">
        <f t="array" ref="G73">Common_InputFunctions.Utility_DisplayArrayInTable(Fuel_SourceData.Fuel_Scope1Scope3EmissionFactorsStationaryLiquid_Data(), Table_Fuel_EFs_StationaryLiquid[[#Headers],[Fuel combusted]],0)</f>
        <v>0</v>
      </c>
      <c r="H73" s="216" cm="1">
        <f t="array" ref="H73">Common_InputFunctions.Utility_DisplayArrayInTable(Fuel_SourceData.Fuel_Scope1Scope3EmissionFactorsStationaryLiquid_Data(), Table_Fuel_EFs_StationaryLiquid[[#Headers],[Fuel combusted]],0)</f>
        <v>0.08</v>
      </c>
      <c r="I73" s="216" cm="1">
        <f t="array" ref="I73">Common_InputFunctions.Utility_DisplayArrayInTable(Fuel_SourceData.Fuel_Scope1Scope3EmissionFactorsStationaryLiquid_Data(), Table_Fuel_EFs_StationaryLiquid[[#Headers],[Fuel combusted]],0)</f>
        <v>0.2</v>
      </c>
      <c r="J73" s="216" cm="1">
        <f t="array" ref="J73">Common_InputFunctions.Utility_DisplayArrayInTable(Fuel_SourceData.Fuel_Scope1Scope3EmissionFactorsStationaryLiquid_Data(), Table_Fuel_EFs_StationaryLiquid[[#Headers],[Fuel combusted]],0)</f>
        <v>0.28000000000000003</v>
      </c>
      <c r="K73" s="216" t="str" cm="1">
        <f t="array" ref="K73">Common_InputFunctions.Utility_DisplayArrayInTable(Fuel_SourceData.Fuel_Scope1Scope3EmissionFactorsStationaryLiquid_Data(), Table_Fuel_EFs_StationaryLiquid[[#Headers],[Fuel combusted]],0)</f>
        <v>NE</v>
      </c>
      <c r="L73" s="158"/>
    </row>
    <row r="74" spans="4:13" ht="20.100000000000001" customHeight="1" x14ac:dyDescent="0.25">
      <c r="D74" s="216" t="str" cm="1">
        <f t="array" ref="D74">Common_InputFunctions.Utility_DisplayArrayInTable(Fuel_SourceData.Fuel_Scope1Scope3EmissionFactorsStationaryLiquid_Data(), Table_Fuel_EFs_StationaryLiquid[[#Headers],[Fuel combusted]],0)</f>
        <v>Ethanol for use as a fuel in an internal combustion engine</v>
      </c>
      <c r="E74" s="216" cm="1">
        <f t="array" ref="E74">Common_InputFunctions.Utility_DisplayArrayInTable(Fuel_SourceData.Fuel_Scope1Scope3EmissionFactorsStationaryLiquid_Data(), Table_Fuel_EFs_StationaryLiquid[[#Headers],[Fuel combusted]],0)</f>
        <v>23.4</v>
      </c>
      <c r="F74" s="216" t="str" cm="1">
        <f t="array" ref="F74">Common_InputFunctions.Utility_DisplayArrayInTable(Fuel_SourceData.Fuel_Scope1Scope3EmissionFactorsStationaryLiquid_Data(), Table_Fuel_EFs_StationaryLiquid[[#Headers],[Fuel combusted]],0)</f>
        <v>kL</v>
      </c>
      <c r="G74" s="216" cm="1">
        <f t="array" ref="G74">Common_InputFunctions.Utility_DisplayArrayInTable(Fuel_SourceData.Fuel_Scope1Scope3EmissionFactorsStationaryLiquid_Data(), Table_Fuel_EFs_StationaryLiquid[[#Headers],[Fuel combusted]],0)</f>
        <v>0</v>
      </c>
      <c r="H74" s="216" cm="1">
        <f t="array" ref="H74">Common_InputFunctions.Utility_DisplayArrayInTable(Fuel_SourceData.Fuel_Scope1Scope3EmissionFactorsStationaryLiquid_Data(), Table_Fuel_EFs_StationaryLiquid[[#Headers],[Fuel combusted]],0)</f>
        <v>0.08</v>
      </c>
      <c r="I74" s="216" cm="1">
        <f t="array" ref="I74">Common_InputFunctions.Utility_DisplayArrayInTable(Fuel_SourceData.Fuel_Scope1Scope3EmissionFactorsStationaryLiquid_Data(), Table_Fuel_EFs_StationaryLiquid[[#Headers],[Fuel combusted]],0)</f>
        <v>0.2</v>
      </c>
      <c r="J74" s="216" cm="1">
        <f t="array" ref="J74">Common_InputFunctions.Utility_DisplayArrayInTable(Fuel_SourceData.Fuel_Scope1Scope3EmissionFactorsStationaryLiquid_Data(), Table_Fuel_EFs_StationaryLiquid[[#Headers],[Fuel combusted]],0)</f>
        <v>0.28000000000000003</v>
      </c>
      <c r="K74" s="216" t="str" cm="1">
        <f t="array" ref="K74">Common_InputFunctions.Utility_DisplayArrayInTable(Fuel_SourceData.Fuel_Scope1Scope3EmissionFactorsStationaryLiquid_Data(), Table_Fuel_EFs_StationaryLiquid[[#Headers],[Fuel combusted]],0)</f>
        <v>NE</v>
      </c>
      <c r="L74" s="158"/>
    </row>
    <row r="75" spans="4:13" ht="20.100000000000001" customHeight="1" x14ac:dyDescent="0.25">
      <c r="D75" s="216" t="str" cm="1">
        <f t="array" ref="D75">Common_InputFunctions.Utility_DisplayArrayInTable(Fuel_SourceData.Fuel_Scope1Scope3EmissionFactorsStationaryLiquid_Data(), Table_Fuel_EFs_StationaryLiquid[[#Headers],[Fuel combusted]],0)</f>
        <v>Biofuels other than those mentioned in the items above and below</v>
      </c>
      <c r="E75" s="216" cm="1">
        <f t="array" ref="E75">Common_InputFunctions.Utility_DisplayArrayInTable(Fuel_SourceData.Fuel_Scope1Scope3EmissionFactorsStationaryLiquid_Data(), Table_Fuel_EFs_StationaryLiquid[[#Headers],[Fuel combusted]],0)</f>
        <v>23.4</v>
      </c>
      <c r="F75" s="216" t="str" cm="1">
        <f t="array" ref="F75">Common_InputFunctions.Utility_DisplayArrayInTable(Fuel_SourceData.Fuel_Scope1Scope3EmissionFactorsStationaryLiquid_Data(), Table_Fuel_EFs_StationaryLiquid[[#Headers],[Fuel combusted]],0)</f>
        <v>kL</v>
      </c>
      <c r="G75" s="216" cm="1">
        <f t="array" ref="G75">Common_InputFunctions.Utility_DisplayArrayInTable(Fuel_SourceData.Fuel_Scope1Scope3EmissionFactorsStationaryLiquid_Data(), Table_Fuel_EFs_StationaryLiquid[[#Headers],[Fuel combusted]],0)</f>
        <v>0</v>
      </c>
      <c r="H75" s="216" cm="1">
        <f t="array" ref="H75">Common_InputFunctions.Utility_DisplayArrayInTable(Fuel_SourceData.Fuel_Scope1Scope3EmissionFactorsStationaryLiquid_Data(), Table_Fuel_EFs_StationaryLiquid[[#Headers],[Fuel combusted]],0)</f>
        <v>0.08</v>
      </c>
      <c r="I75" s="216" cm="1">
        <f t="array" ref="I75">Common_InputFunctions.Utility_DisplayArrayInTable(Fuel_SourceData.Fuel_Scope1Scope3EmissionFactorsStationaryLiquid_Data(), Table_Fuel_EFs_StationaryLiquid[[#Headers],[Fuel combusted]],0)</f>
        <v>0.2</v>
      </c>
      <c r="J75" s="216" cm="1">
        <f t="array" ref="J75">Common_InputFunctions.Utility_DisplayArrayInTable(Fuel_SourceData.Fuel_Scope1Scope3EmissionFactorsStationaryLiquid_Data(), Table_Fuel_EFs_StationaryLiquid[[#Headers],[Fuel combusted]],0)</f>
        <v>0.28000000000000003</v>
      </c>
      <c r="K75" s="216" t="str" cm="1">
        <f t="array" ref="K75">Common_InputFunctions.Utility_DisplayArrayInTable(Fuel_SourceData.Fuel_Scope1Scope3EmissionFactorsStationaryLiquid_Data(), Table_Fuel_EFs_StationaryLiquid[[#Headers],[Fuel combusted]],0)</f>
        <v>NE</v>
      </c>
      <c r="L75" s="158"/>
    </row>
    <row r="76" spans="4:13" ht="20.100000000000001" customHeight="1" x14ac:dyDescent="0.25">
      <c r="D76" s="216" t="str" cm="1">
        <f t="array" ref="D76">Common_InputFunctions.Utility_DisplayArrayInTable(Fuel_SourceData.Fuel_Scope1Scope3EmissionFactorsStationaryLiquid_Data(), Table_Fuel_EFs_StationaryLiquid[[#Headers],[Fuel combusted]],0)</f>
        <v>Renewable aviation kerosene</v>
      </c>
      <c r="E76" s="216" cm="1">
        <f t="array" ref="E76">Common_InputFunctions.Utility_DisplayArrayInTable(Fuel_SourceData.Fuel_Scope1Scope3EmissionFactorsStationaryLiquid_Data(), Table_Fuel_EFs_StationaryLiquid[[#Headers],[Fuel combusted]],0)</f>
        <v>36.799999999999997</v>
      </c>
      <c r="F76" s="216" t="str" cm="1">
        <f t="array" ref="F76">Common_InputFunctions.Utility_DisplayArrayInTable(Fuel_SourceData.Fuel_Scope1Scope3EmissionFactorsStationaryLiquid_Data(), Table_Fuel_EFs_StationaryLiquid[[#Headers],[Fuel combusted]],0)</f>
        <v>kL</v>
      </c>
      <c r="G76" s="216" cm="1">
        <f t="array" ref="G76">Common_InputFunctions.Utility_DisplayArrayInTable(Fuel_SourceData.Fuel_Scope1Scope3EmissionFactorsStationaryLiquid_Data(), Table_Fuel_EFs_StationaryLiquid[[#Headers],[Fuel combusted]],0)</f>
        <v>0</v>
      </c>
      <c r="H76" s="216" cm="1">
        <f t="array" ref="H76">Common_InputFunctions.Utility_DisplayArrayInTable(Fuel_SourceData.Fuel_Scope1Scope3EmissionFactorsStationaryLiquid_Data(), Table_Fuel_EFs_StationaryLiquid[[#Headers],[Fuel combusted]],0)</f>
        <v>0.02</v>
      </c>
      <c r="I76" s="216" cm="1">
        <f t="array" ref="I76">Common_InputFunctions.Utility_DisplayArrayInTable(Fuel_SourceData.Fuel_Scope1Scope3EmissionFactorsStationaryLiquid_Data(), Table_Fuel_EFs_StationaryLiquid[[#Headers],[Fuel combusted]],0)</f>
        <v>0.2</v>
      </c>
      <c r="J76" s="216" cm="1">
        <f t="array" ref="J76">Common_InputFunctions.Utility_DisplayArrayInTable(Fuel_SourceData.Fuel_Scope1Scope3EmissionFactorsStationaryLiquid_Data(), Table_Fuel_EFs_StationaryLiquid[[#Headers],[Fuel combusted]],0)</f>
        <v>0.22</v>
      </c>
      <c r="K76" s="216" t="str" cm="1">
        <f t="array" ref="K76">Common_InputFunctions.Utility_DisplayArrayInTable(Fuel_SourceData.Fuel_Scope1Scope3EmissionFactorsStationaryLiquid_Data(), Table_Fuel_EFs_StationaryLiquid[[#Headers],[Fuel combusted]],0)</f>
        <v>NE</v>
      </c>
      <c r="L76" s="158"/>
    </row>
    <row r="77" spans="4:13" ht="20.100000000000001" customHeight="1" x14ac:dyDescent="0.25">
      <c r="D77" s="216" t="str" cm="1">
        <f t="array" ref="D77">Common_InputFunctions.Utility_DisplayArrayInTable(Fuel_SourceData.Fuel_Scope1Scope3EmissionFactorsStationaryLiquid_Data(), Table_Fuel_EFs_StationaryLiquid[[#Headers],[Fuel combusted]],0)</f>
        <v>Renewable diesel</v>
      </c>
      <c r="E77" s="216" cm="1">
        <f t="array" ref="E77">Common_InputFunctions.Utility_DisplayArrayInTable(Fuel_SourceData.Fuel_Scope1Scope3EmissionFactorsStationaryLiquid_Data(), Table_Fuel_EFs_StationaryLiquid[[#Headers],[Fuel combusted]],0)</f>
        <v>38.6</v>
      </c>
      <c r="F77" s="216" t="str" cm="1">
        <f t="array" ref="F77">Common_InputFunctions.Utility_DisplayArrayInTable(Fuel_SourceData.Fuel_Scope1Scope3EmissionFactorsStationaryLiquid_Data(), Table_Fuel_EFs_StationaryLiquid[[#Headers],[Fuel combusted]],0)</f>
        <v>kL</v>
      </c>
      <c r="G77" s="216" cm="1">
        <f t="array" ref="G77">Common_InputFunctions.Utility_DisplayArrayInTable(Fuel_SourceData.Fuel_Scope1Scope3EmissionFactorsStationaryLiquid_Data(), Table_Fuel_EFs_StationaryLiquid[[#Headers],[Fuel combusted]],0)</f>
        <v>0</v>
      </c>
      <c r="H77" s="216" cm="1">
        <f t="array" ref="H77">Common_InputFunctions.Utility_DisplayArrayInTable(Fuel_SourceData.Fuel_Scope1Scope3EmissionFactorsStationaryLiquid_Data(), Table_Fuel_EFs_StationaryLiquid[[#Headers],[Fuel combusted]],0)</f>
        <v>0.1</v>
      </c>
      <c r="I77" s="216" cm="1">
        <f t="array" ref="I77">Common_InputFunctions.Utility_DisplayArrayInTable(Fuel_SourceData.Fuel_Scope1Scope3EmissionFactorsStationaryLiquid_Data(), Table_Fuel_EFs_StationaryLiquid[[#Headers],[Fuel combusted]],0)</f>
        <v>0.2</v>
      </c>
      <c r="J77" s="216" cm="1">
        <f t="array" ref="J77">Common_InputFunctions.Utility_DisplayArrayInTable(Fuel_SourceData.Fuel_Scope1Scope3EmissionFactorsStationaryLiquid_Data(), Table_Fuel_EFs_StationaryLiquid[[#Headers],[Fuel combusted]],0)</f>
        <v>0.3</v>
      </c>
      <c r="K77" s="216" t="str" cm="1">
        <f t="array" ref="K77">Common_InputFunctions.Utility_DisplayArrayInTable(Fuel_SourceData.Fuel_Scope1Scope3EmissionFactorsStationaryLiquid_Data(), Table_Fuel_EFs_StationaryLiquid[[#Headers],[Fuel combusted]],0)</f>
        <v>NE</v>
      </c>
      <c r="L77" s="158"/>
    </row>
    <row r="78" spans="4:13" ht="20.100000000000001" customHeight="1" x14ac:dyDescent="0.25">
      <c r="D78" s="158"/>
      <c r="E78" s="158"/>
      <c r="F78" s="158"/>
      <c r="G78" s="158"/>
      <c r="H78" s="158"/>
      <c r="I78" s="158"/>
      <c r="J78" s="158"/>
      <c r="K78" s="158"/>
      <c r="L78" s="158"/>
    </row>
    <row r="79" spans="4:13" ht="20.100000000000001" customHeight="1" x14ac:dyDescent="0.25">
      <c r="D79" s="158"/>
      <c r="E79" s="158"/>
      <c r="F79" s="158"/>
      <c r="G79" s="158"/>
      <c r="H79" s="158"/>
      <c r="I79" s="158"/>
      <c r="J79" s="158"/>
      <c r="K79" s="158"/>
      <c r="L79" s="158"/>
      <c r="M79" s="158"/>
    </row>
    <row r="80" spans="4:13" ht="20.100000000000001" customHeight="1" x14ac:dyDescent="0.25">
      <c r="D80" s="158"/>
      <c r="E80" s="158"/>
      <c r="F80" s="158"/>
      <c r="G80" s="158"/>
      <c r="H80" s="158"/>
      <c r="I80" s="158"/>
      <c r="J80" s="158"/>
      <c r="K80" s="158"/>
      <c r="L80" s="158"/>
      <c r="M80" s="158"/>
    </row>
    <row r="81" spans="4:12" ht="20.100000000000001" customHeight="1" x14ac:dyDescent="0.25">
      <c r="D81" s="2" t="str" cm="1">
        <f t="array" ref="D81">Fuel_SourceData.Fuel_Scope1EmissionFactorsStationaryGaseous_Title()</f>
        <v>Fuel scope 1 emission factors - Stationary gaseous fuels</v>
      </c>
      <c r="E81" s="158"/>
      <c r="F81" s="158"/>
      <c r="G81" s="158"/>
      <c r="H81" s="158"/>
      <c r="I81" s="158"/>
      <c r="J81" s="158"/>
      <c r="K81" s="158"/>
      <c r="L81" s="158"/>
    </row>
    <row r="82" spans="4:12" ht="20.100000000000001" customHeight="1" x14ac:dyDescent="0.25">
      <c r="D82" s="1" t="str" cm="1">
        <f t="array" ref="D82">Fuel_SourceData.Fuel_Scope1EmissionFactorsStationaryGaseous_Description()</f>
        <v xml:space="preserve">Direct (Scope 1) emission factors for the consumption of gaseous fuels including liquefied natural gas  </v>
      </c>
      <c r="E82" s="158"/>
      <c r="F82" s="158"/>
      <c r="G82" s="158"/>
      <c r="H82" s="158"/>
      <c r="I82" s="158"/>
      <c r="J82" s="158"/>
      <c r="K82" s="158"/>
      <c r="L82" s="158"/>
    </row>
    <row r="83" spans="4:12" ht="20.100000000000001" customHeight="1" x14ac:dyDescent="0.25">
      <c r="D83" s="27" t="str" cm="1">
        <f t="array" ref="D83">Fuel_SourceData.Fuel_Scope1EmissionFactorsStationaryGaseous_Source()</f>
        <v>Australian National Greenhouse Accounts Factors 2025 - Table 5</v>
      </c>
      <c r="E83" s="158"/>
      <c r="F83" s="158"/>
      <c r="G83" s="158"/>
      <c r="H83" s="158"/>
      <c r="I83" s="158"/>
      <c r="J83" s="158"/>
      <c r="K83" s="158"/>
      <c r="L83" s="158"/>
    </row>
    <row r="84" spans="4:12" ht="20.100000000000001" customHeight="1" x14ac:dyDescent="0.25">
      <c r="D84" s="3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8"/>
      <c r="F84" s="158"/>
      <c r="G84" s="158"/>
      <c r="H84" s="158"/>
      <c r="I84" s="158"/>
      <c r="J84" s="158"/>
      <c r="K84" s="158"/>
      <c r="L84" s="158"/>
    </row>
    <row r="85" spans="4:12" ht="20.100000000000001" customHeight="1" x14ac:dyDescent="0.25">
      <c r="D85" s="158"/>
      <c r="E85" s="158"/>
      <c r="F85" s="158"/>
      <c r="G85" s="158"/>
      <c r="H85" s="158"/>
      <c r="I85" s="158"/>
      <c r="J85" s="158"/>
      <c r="K85" s="158"/>
      <c r="L85" s="158"/>
    </row>
    <row r="86" spans="4:12" ht="20.100000000000001" customHeight="1" x14ac:dyDescent="0.25">
      <c r="D86" s="181" t="s">
        <v>497</v>
      </c>
      <c r="E86" s="213" t="s">
        <v>498</v>
      </c>
      <c r="F86" s="181" t="s">
        <v>499</v>
      </c>
      <c r="G86" s="213" t="s">
        <v>500</v>
      </c>
      <c r="H86" s="213" t="s">
        <v>501</v>
      </c>
      <c r="I86" s="213" t="s">
        <v>502</v>
      </c>
      <c r="J86" s="213" t="s">
        <v>503</v>
      </c>
      <c r="K86" s="158"/>
      <c r="L86" s="158"/>
    </row>
    <row r="87" spans="4:12" ht="20.100000000000001" customHeight="1" x14ac:dyDescent="0.25">
      <c r="D87" s="216" t="str" cm="1">
        <f t="array" ref="D87">Common_InputFunctions.Utility_DisplayArrayInTable(Fuel_SourceData.Fuel_Scope1EmissionFactorsStationaryGaseous_Data(), Table_Fuel_EFs_StationaryGaseous[[#Headers],[Fuel combusted]],0)</f>
        <v>Natural gas distributed in a pipeline</v>
      </c>
      <c r="E87" s="216" cm="1">
        <f t="array" ref="E87">Common_InputFunctions.Utility_DisplayArrayInTable(Fuel_SourceData.Fuel_Scope1EmissionFactorsStationaryGaseous_Data(), Table_Fuel_EFs_StationaryGaseous[[#Headers],[Fuel combusted]],0)</f>
        <v>3.9300000000000002E-2</v>
      </c>
      <c r="F87" s="216" t="str" cm="1">
        <f t="array" ref="F87">Common_InputFunctions.Utility_DisplayArrayInTable(Fuel_SourceData.Fuel_Scope1EmissionFactorsStationaryGaseous_Data(), Table_Fuel_EFs_StationaryGaseous[[#Headers],[Fuel combusted]],0)</f>
        <v>m3</v>
      </c>
      <c r="G87" s="216" cm="1">
        <f t="array" ref="G87">Common_InputFunctions.Utility_DisplayArrayInTable(Fuel_SourceData.Fuel_Scope1EmissionFactorsStationaryGaseous_Data(), Table_Fuel_EFs_StationaryGaseous[[#Headers],[Fuel combusted]],0)</f>
        <v>51.4</v>
      </c>
      <c r="H87" s="216" cm="1">
        <f t="array" ref="H87">Common_InputFunctions.Utility_DisplayArrayInTable(Fuel_SourceData.Fuel_Scope1EmissionFactorsStationaryGaseous_Data(), Table_Fuel_EFs_StationaryGaseous[[#Headers],[Fuel combusted]],0)</f>
        <v>0.1</v>
      </c>
      <c r="I87" s="216" cm="1">
        <f t="array" ref="I87">Common_InputFunctions.Utility_DisplayArrayInTable(Fuel_SourceData.Fuel_Scope1EmissionFactorsStationaryGaseous_Data(), Table_Fuel_EFs_StationaryGaseous[[#Headers],[Fuel combusted]],0)</f>
        <v>0.03</v>
      </c>
      <c r="J87" s="216" cm="1">
        <f t="array" ref="J87">Common_InputFunctions.Utility_DisplayArrayInTable(Fuel_SourceData.Fuel_Scope1EmissionFactorsStationaryGaseous_Data(), Table_Fuel_EFs_StationaryGaseous[[#Headers],[Fuel combusted]],0)</f>
        <v>51.53</v>
      </c>
      <c r="K87" s="158"/>
      <c r="L87" s="158"/>
    </row>
    <row r="88" spans="4:12" ht="20.100000000000001" customHeight="1" x14ac:dyDescent="0.25">
      <c r="D88" s="216" t="str" cm="1">
        <f t="array" ref="D88">Common_InputFunctions.Utility_DisplayArrayInTable(Fuel_SourceData.Fuel_Scope1EmissionFactorsStationaryGaseous_Data(), Table_Fuel_EFs_StationaryGaseous[[#Headers],[Fuel combusted]],0)</f>
        <v>Coal seam methane that is captured for combustion</v>
      </c>
      <c r="E88" s="216" cm="1">
        <f t="array" ref="E88">Common_InputFunctions.Utility_DisplayArrayInTable(Fuel_SourceData.Fuel_Scope1EmissionFactorsStationaryGaseous_Data(), Table_Fuel_EFs_StationaryGaseous[[#Headers],[Fuel combusted]],0)</f>
        <v>3.7699999999999997E-2</v>
      </c>
      <c r="F88" s="216" t="str" cm="1">
        <f t="array" ref="F88">Common_InputFunctions.Utility_DisplayArrayInTable(Fuel_SourceData.Fuel_Scope1EmissionFactorsStationaryGaseous_Data(), Table_Fuel_EFs_StationaryGaseous[[#Headers],[Fuel combusted]],0)</f>
        <v>m3</v>
      </c>
      <c r="G88" s="216" cm="1">
        <f t="array" ref="G88">Common_InputFunctions.Utility_DisplayArrayInTable(Fuel_SourceData.Fuel_Scope1EmissionFactorsStationaryGaseous_Data(), Table_Fuel_EFs_StationaryGaseous[[#Headers],[Fuel combusted]],0)</f>
        <v>51.4</v>
      </c>
      <c r="H88" s="216" cm="1">
        <f t="array" ref="H88">Common_InputFunctions.Utility_DisplayArrayInTable(Fuel_SourceData.Fuel_Scope1EmissionFactorsStationaryGaseous_Data(), Table_Fuel_EFs_StationaryGaseous[[#Headers],[Fuel combusted]],0)</f>
        <v>0.2</v>
      </c>
      <c r="I88" s="216" cm="1">
        <f t="array" ref="I88">Common_InputFunctions.Utility_DisplayArrayInTable(Fuel_SourceData.Fuel_Scope1EmissionFactorsStationaryGaseous_Data(), Table_Fuel_EFs_StationaryGaseous[[#Headers],[Fuel combusted]],0)</f>
        <v>0.03</v>
      </c>
      <c r="J88" s="216" cm="1">
        <f t="array" ref="J88">Common_InputFunctions.Utility_DisplayArrayInTable(Fuel_SourceData.Fuel_Scope1EmissionFactorsStationaryGaseous_Data(), Table_Fuel_EFs_StationaryGaseous[[#Headers],[Fuel combusted]],0)</f>
        <v>51.63</v>
      </c>
      <c r="K88" s="158"/>
      <c r="L88" s="158"/>
    </row>
    <row r="89" spans="4:12" ht="20.100000000000001" customHeight="1" x14ac:dyDescent="0.25">
      <c r="D89" s="216" t="str" cm="1">
        <f t="array" ref="D89">Common_InputFunctions.Utility_DisplayArrayInTable(Fuel_SourceData.Fuel_Scope1EmissionFactorsStationaryGaseous_Data(), Table_Fuel_EFs_StationaryGaseous[[#Headers],[Fuel combusted]],0)</f>
        <v>Coal mine waste gas that is captured for combustion</v>
      </c>
      <c r="E89" s="216" cm="1">
        <f t="array" ref="E89">Common_InputFunctions.Utility_DisplayArrayInTable(Fuel_SourceData.Fuel_Scope1EmissionFactorsStationaryGaseous_Data(), Table_Fuel_EFs_StationaryGaseous[[#Headers],[Fuel combusted]],0)</f>
        <v>3.7699999999999997E-2</v>
      </c>
      <c r="F89" s="216" t="str" cm="1">
        <f t="array" ref="F89">Common_InputFunctions.Utility_DisplayArrayInTable(Fuel_SourceData.Fuel_Scope1EmissionFactorsStationaryGaseous_Data(), Table_Fuel_EFs_StationaryGaseous[[#Headers],[Fuel combusted]],0)</f>
        <v>m3</v>
      </c>
      <c r="G89" s="216" cm="1">
        <f t="array" ref="G89">Common_InputFunctions.Utility_DisplayArrayInTable(Fuel_SourceData.Fuel_Scope1EmissionFactorsStationaryGaseous_Data(), Table_Fuel_EFs_StationaryGaseous[[#Headers],[Fuel combusted]],0)</f>
        <v>51.9</v>
      </c>
      <c r="H89" s="216" cm="1">
        <f t="array" ref="H89">Common_InputFunctions.Utility_DisplayArrayInTable(Fuel_SourceData.Fuel_Scope1EmissionFactorsStationaryGaseous_Data(), Table_Fuel_EFs_StationaryGaseous[[#Headers],[Fuel combusted]],0)</f>
        <v>4.5999999999999996</v>
      </c>
      <c r="I89" s="216" cm="1">
        <f t="array" ref="I89">Common_InputFunctions.Utility_DisplayArrayInTable(Fuel_SourceData.Fuel_Scope1EmissionFactorsStationaryGaseous_Data(), Table_Fuel_EFs_StationaryGaseous[[#Headers],[Fuel combusted]],0)</f>
        <v>0.3</v>
      </c>
      <c r="J89" s="216" cm="1">
        <f t="array" ref="J89">Common_InputFunctions.Utility_DisplayArrayInTable(Fuel_SourceData.Fuel_Scope1EmissionFactorsStationaryGaseous_Data(), Table_Fuel_EFs_StationaryGaseous[[#Headers],[Fuel combusted]],0)</f>
        <v>56.8</v>
      </c>
      <c r="K89" s="158"/>
      <c r="L89" s="158"/>
    </row>
    <row r="90" spans="4:12" ht="20.100000000000001" customHeight="1" x14ac:dyDescent="0.25">
      <c r="D90" s="216" t="str" cm="1">
        <f t="array" ref="D90">Common_InputFunctions.Utility_DisplayArrayInTable(Fuel_SourceData.Fuel_Scope1EmissionFactorsStationaryGaseous_Data(), Table_Fuel_EFs_StationaryGaseous[[#Headers],[Fuel combusted]],0)</f>
        <v>Compressed natural gas(reverting to standard conditions)</v>
      </c>
      <c r="E90" s="216" cm="1">
        <f t="array" ref="E90">Common_InputFunctions.Utility_DisplayArrayInTable(Fuel_SourceData.Fuel_Scope1EmissionFactorsStationaryGaseous_Data(), Table_Fuel_EFs_StationaryGaseous[[#Headers],[Fuel combusted]],0)</f>
        <v>3.9300000000000002E-2</v>
      </c>
      <c r="F90" s="216" t="str" cm="1">
        <f t="array" ref="F90">Common_InputFunctions.Utility_DisplayArrayInTable(Fuel_SourceData.Fuel_Scope1EmissionFactorsStationaryGaseous_Data(), Table_Fuel_EFs_StationaryGaseous[[#Headers],[Fuel combusted]],0)</f>
        <v>m3</v>
      </c>
      <c r="G90" s="216" cm="1">
        <f t="array" ref="G90">Common_InputFunctions.Utility_DisplayArrayInTable(Fuel_SourceData.Fuel_Scope1EmissionFactorsStationaryGaseous_Data(), Table_Fuel_EFs_StationaryGaseous[[#Headers],[Fuel combusted]],0)</f>
        <v>51.4</v>
      </c>
      <c r="H90" s="216" cm="1">
        <f t="array" ref="H90">Common_InputFunctions.Utility_DisplayArrayInTable(Fuel_SourceData.Fuel_Scope1EmissionFactorsStationaryGaseous_Data(), Table_Fuel_EFs_StationaryGaseous[[#Headers],[Fuel combusted]],0)</f>
        <v>0.1</v>
      </c>
      <c r="I90" s="216" cm="1">
        <f t="array" ref="I90">Common_InputFunctions.Utility_DisplayArrayInTable(Fuel_SourceData.Fuel_Scope1EmissionFactorsStationaryGaseous_Data(), Table_Fuel_EFs_StationaryGaseous[[#Headers],[Fuel combusted]],0)</f>
        <v>0.03</v>
      </c>
      <c r="J90" s="216" cm="1">
        <f t="array" ref="J90">Common_InputFunctions.Utility_DisplayArrayInTable(Fuel_SourceData.Fuel_Scope1EmissionFactorsStationaryGaseous_Data(), Table_Fuel_EFs_StationaryGaseous[[#Headers],[Fuel combusted]],0)</f>
        <v>51.53</v>
      </c>
      <c r="K90" s="158"/>
      <c r="L90" s="158"/>
    </row>
    <row r="91" spans="4:12" ht="20.100000000000001" customHeight="1" x14ac:dyDescent="0.25">
      <c r="D91" s="216" t="str" cm="1">
        <f t="array" ref="D91">Common_InputFunctions.Utility_DisplayArrayInTable(Fuel_SourceData.Fuel_Scope1EmissionFactorsStationaryGaseous_Data(), Table_Fuel_EFs_StationaryGaseous[[#Headers],[Fuel combusted]],0)</f>
        <v>Unprocessed natural gas</v>
      </c>
      <c r="E91" s="216" cm="1">
        <f t="array" ref="E91">Common_InputFunctions.Utility_DisplayArrayInTable(Fuel_SourceData.Fuel_Scope1EmissionFactorsStationaryGaseous_Data(), Table_Fuel_EFs_StationaryGaseous[[#Headers],[Fuel combusted]],0)</f>
        <v>3.9300000000000002E-2</v>
      </c>
      <c r="F91" s="216" t="str" cm="1">
        <f t="array" ref="F91">Common_InputFunctions.Utility_DisplayArrayInTable(Fuel_SourceData.Fuel_Scope1EmissionFactorsStationaryGaseous_Data(), Table_Fuel_EFs_StationaryGaseous[[#Headers],[Fuel combusted]],0)</f>
        <v>m3</v>
      </c>
      <c r="G91" s="216" cm="1">
        <f t="array" ref="G91">Common_InputFunctions.Utility_DisplayArrayInTable(Fuel_SourceData.Fuel_Scope1EmissionFactorsStationaryGaseous_Data(), Table_Fuel_EFs_StationaryGaseous[[#Headers],[Fuel combusted]],0)</f>
        <v>51.4</v>
      </c>
      <c r="H91" s="216" cm="1">
        <f t="array" ref="H91">Common_InputFunctions.Utility_DisplayArrayInTable(Fuel_SourceData.Fuel_Scope1EmissionFactorsStationaryGaseous_Data(), Table_Fuel_EFs_StationaryGaseous[[#Headers],[Fuel combusted]],0)</f>
        <v>0.1</v>
      </c>
      <c r="I91" s="216" cm="1">
        <f t="array" ref="I91">Common_InputFunctions.Utility_DisplayArrayInTable(Fuel_SourceData.Fuel_Scope1EmissionFactorsStationaryGaseous_Data(), Table_Fuel_EFs_StationaryGaseous[[#Headers],[Fuel combusted]],0)</f>
        <v>0.03</v>
      </c>
      <c r="J91" s="216" cm="1">
        <f t="array" ref="J91">Common_InputFunctions.Utility_DisplayArrayInTable(Fuel_SourceData.Fuel_Scope1EmissionFactorsStationaryGaseous_Data(), Table_Fuel_EFs_StationaryGaseous[[#Headers],[Fuel combusted]],0)</f>
        <v>51.53</v>
      </c>
      <c r="K91" s="158"/>
      <c r="L91" s="158"/>
    </row>
    <row r="92" spans="4:12" ht="20.100000000000001" customHeight="1" x14ac:dyDescent="0.25">
      <c r="D92" s="216" t="str" cm="1">
        <f t="array" ref="D92">Common_InputFunctions.Utility_DisplayArrayInTable(Fuel_SourceData.Fuel_Scope1EmissionFactorsStationaryGaseous_Data(), Table_Fuel_EFs_StationaryGaseous[[#Headers],[Fuel combusted]],0)</f>
        <v>Ethane</v>
      </c>
      <c r="E92" s="216" cm="1">
        <f t="array" ref="E92">Common_InputFunctions.Utility_DisplayArrayInTable(Fuel_SourceData.Fuel_Scope1EmissionFactorsStationaryGaseous_Data(), Table_Fuel_EFs_StationaryGaseous[[#Headers],[Fuel combusted]],0)</f>
        <v>6.2899999999999998E-2</v>
      </c>
      <c r="F92" s="216" t="str" cm="1">
        <f t="array" ref="F92">Common_InputFunctions.Utility_DisplayArrayInTable(Fuel_SourceData.Fuel_Scope1EmissionFactorsStationaryGaseous_Data(), Table_Fuel_EFs_StationaryGaseous[[#Headers],[Fuel combusted]],0)</f>
        <v>m3</v>
      </c>
      <c r="G92" s="216" cm="1">
        <f t="array" ref="G92">Common_InputFunctions.Utility_DisplayArrayInTable(Fuel_SourceData.Fuel_Scope1EmissionFactorsStationaryGaseous_Data(), Table_Fuel_EFs_StationaryGaseous[[#Headers],[Fuel combusted]],0)</f>
        <v>56.5</v>
      </c>
      <c r="H92" s="216" cm="1">
        <f t="array" ref="H92">Common_InputFunctions.Utility_DisplayArrayInTable(Fuel_SourceData.Fuel_Scope1EmissionFactorsStationaryGaseous_Data(), Table_Fuel_EFs_StationaryGaseous[[#Headers],[Fuel combusted]],0)</f>
        <v>0.03</v>
      </c>
      <c r="I92" s="216" cm="1">
        <f t="array" ref="I92">Common_InputFunctions.Utility_DisplayArrayInTable(Fuel_SourceData.Fuel_Scope1EmissionFactorsStationaryGaseous_Data(), Table_Fuel_EFs_StationaryGaseous[[#Headers],[Fuel combusted]],0)</f>
        <v>0.03</v>
      </c>
      <c r="J92" s="216" cm="1">
        <f t="array" ref="J92">Common_InputFunctions.Utility_DisplayArrayInTable(Fuel_SourceData.Fuel_Scope1EmissionFactorsStationaryGaseous_Data(), Table_Fuel_EFs_StationaryGaseous[[#Headers],[Fuel combusted]],0)</f>
        <v>56.56</v>
      </c>
      <c r="K92" s="158"/>
      <c r="L92" s="158"/>
    </row>
    <row r="93" spans="4:12" ht="20.100000000000001" customHeight="1" x14ac:dyDescent="0.25">
      <c r="D93" s="216" t="str" cm="1">
        <f t="array" ref="D93">Common_InputFunctions.Utility_DisplayArrayInTable(Fuel_SourceData.Fuel_Scope1EmissionFactorsStationaryGaseous_Data(), Table_Fuel_EFs_StationaryGaseous[[#Headers],[Fuel combusted]],0)</f>
        <v>Coke oven gas</v>
      </c>
      <c r="E93" s="216" cm="1">
        <f t="array" ref="E93">Common_InputFunctions.Utility_DisplayArrayInTable(Fuel_SourceData.Fuel_Scope1EmissionFactorsStationaryGaseous_Data(), Table_Fuel_EFs_StationaryGaseous[[#Headers],[Fuel combusted]],0)</f>
        <v>1.8100000000000002E-2</v>
      </c>
      <c r="F93" s="216" t="str" cm="1">
        <f t="array" ref="F93">Common_InputFunctions.Utility_DisplayArrayInTable(Fuel_SourceData.Fuel_Scope1EmissionFactorsStationaryGaseous_Data(), Table_Fuel_EFs_StationaryGaseous[[#Headers],[Fuel combusted]],0)</f>
        <v>m3</v>
      </c>
      <c r="G93" s="216" cm="1">
        <f t="array" ref="G93">Common_InputFunctions.Utility_DisplayArrayInTable(Fuel_SourceData.Fuel_Scope1EmissionFactorsStationaryGaseous_Data(), Table_Fuel_EFs_StationaryGaseous[[#Headers],[Fuel combusted]],0)</f>
        <v>37</v>
      </c>
      <c r="H93" s="216" cm="1">
        <f t="array" ref="H93">Common_InputFunctions.Utility_DisplayArrayInTable(Fuel_SourceData.Fuel_Scope1EmissionFactorsStationaryGaseous_Data(), Table_Fuel_EFs_StationaryGaseous[[#Headers],[Fuel combusted]],0)</f>
        <v>0.03</v>
      </c>
      <c r="I93" s="216" cm="1">
        <f t="array" ref="I93">Common_InputFunctions.Utility_DisplayArrayInTable(Fuel_SourceData.Fuel_Scope1EmissionFactorsStationaryGaseous_Data(), Table_Fuel_EFs_StationaryGaseous[[#Headers],[Fuel combusted]],0)</f>
        <v>0.05</v>
      </c>
      <c r="J93" s="216" cm="1">
        <f t="array" ref="J93">Common_InputFunctions.Utility_DisplayArrayInTable(Fuel_SourceData.Fuel_Scope1EmissionFactorsStationaryGaseous_Data(), Table_Fuel_EFs_StationaryGaseous[[#Headers],[Fuel combusted]],0)</f>
        <v>37.08</v>
      </c>
      <c r="K93" s="158"/>
      <c r="L93" s="158"/>
    </row>
    <row r="94" spans="4:12" ht="20.100000000000001" customHeight="1" x14ac:dyDescent="0.25">
      <c r="D94" s="216" t="str" cm="1">
        <f t="array" ref="D94">Common_InputFunctions.Utility_DisplayArrayInTable(Fuel_SourceData.Fuel_Scope1EmissionFactorsStationaryGaseous_Data(), Table_Fuel_EFs_StationaryGaseous[[#Headers],[Fuel combusted]],0)</f>
        <v>Blast furnace gas</v>
      </c>
      <c r="E94" s="216" cm="1">
        <f t="array" ref="E94">Common_InputFunctions.Utility_DisplayArrayInTable(Fuel_SourceData.Fuel_Scope1EmissionFactorsStationaryGaseous_Data(), Table_Fuel_EFs_StationaryGaseous[[#Headers],[Fuel combusted]],0)</f>
        <v>4.0000000000000001E-3</v>
      </c>
      <c r="F94" s="216" t="str" cm="1">
        <f t="array" ref="F94">Common_InputFunctions.Utility_DisplayArrayInTable(Fuel_SourceData.Fuel_Scope1EmissionFactorsStationaryGaseous_Data(), Table_Fuel_EFs_StationaryGaseous[[#Headers],[Fuel combusted]],0)</f>
        <v>m3</v>
      </c>
      <c r="G94" s="216" cm="1">
        <f t="array" ref="G94">Common_InputFunctions.Utility_DisplayArrayInTable(Fuel_SourceData.Fuel_Scope1EmissionFactorsStationaryGaseous_Data(), Table_Fuel_EFs_StationaryGaseous[[#Headers],[Fuel combusted]],0)</f>
        <v>234</v>
      </c>
      <c r="H94" s="216" cm="1">
        <f t="array" ref="H94">Common_InputFunctions.Utility_DisplayArrayInTable(Fuel_SourceData.Fuel_Scope1EmissionFactorsStationaryGaseous_Data(), Table_Fuel_EFs_StationaryGaseous[[#Headers],[Fuel combusted]],0)</f>
        <v>0.03</v>
      </c>
      <c r="I94" s="216" cm="1">
        <f t="array" ref="I94">Common_InputFunctions.Utility_DisplayArrayInTable(Fuel_SourceData.Fuel_Scope1EmissionFactorsStationaryGaseous_Data(), Table_Fuel_EFs_StationaryGaseous[[#Headers],[Fuel combusted]],0)</f>
        <v>0.02</v>
      </c>
      <c r="J94" s="216" cm="1">
        <f t="array" ref="J94">Common_InputFunctions.Utility_DisplayArrayInTable(Fuel_SourceData.Fuel_Scope1EmissionFactorsStationaryGaseous_Data(), Table_Fuel_EFs_StationaryGaseous[[#Headers],[Fuel combusted]],0)</f>
        <v>234.05</v>
      </c>
      <c r="K94" s="158"/>
      <c r="L94" s="158"/>
    </row>
    <row r="95" spans="4:12" ht="20.100000000000001" customHeight="1" x14ac:dyDescent="0.25">
      <c r="D95" s="216" t="str" cm="1">
        <f t="array" ref="D95">Common_InputFunctions.Utility_DisplayArrayInTable(Fuel_SourceData.Fuel_Scope1EmissionFactorsStationaryGaseous_Data(), Table_Fuel_EFs_StationaryGaseous[[#Headers],[Fuel combusted]],0)</f>
        <v>Town gas</v>
      </c>
      <c r="E95" s="216" cm="1">
        <f t="array" ref="E95">Common_InputFunctions.Utility_DisplayArrayInTable(Fuel_SourceData.Fuel_Scope1EmissionFactorsStationaryGaseous_Data(), Table_Fuel_EFs_StationaryGaseous[[#Headers],[Fuel combusted]],0)</f>
        <v>3.9E-2</v>
      </c>
      <c r="F95" s="216" t="str" cm="1">
        <f t="array" ref="F95">Common_InputFunctions.Utility_DisplayArrayInTable(Fuel_SourceData.Fuel_Scope1EmissionFactorsStationaryGaseous_Data(), Table_Fuel_EFs_StationaryGaseous[[#Headers],[Fuel combusted]],0)</f>
        <v>m3</v>
      </c>
      <c r="G95" s="216" cm="1">
        <f t="array" ref="G95">Common_InputFunctions.Utility_DisplayArrayInTable(Fuel_SourceData.Fuel_Scope1EmissionFactorsStationaryGaseous_Data(), Table_Fuel_EFs_StationaryGaseous[[#Headers],[Fuel combusted]],0)</f>
        <v>60.2</v>
      </c>
      <c r="H95" s="216" cm="1">
        <f t="array" ref="H95">Common_InputFunctions.Utility_DisplayArrayInTable(Fuel_SourceData.Fuel_Scope1EmissionFactorsStationaryGaseous_Data(), Table_Fuel_EFs_StationaryGaseous[[#Headers],[Fuel combusted]],0)</f>
        <v>0.04</v>
      </c>
      <c r="I95" s="216" cm="1">
        <f t="array" ref="I95">Common_InputFunctions.Utility_DisplayArrayInTable(Fuel_SourceData.Fuel_Scope1EmissionFactorsStationaryGaseous_Data(), Table_Fuel_EFs_StationaryGaseous[[#Headers],[Fuel combusted]],0)</f>
        <v>0.03</v>
      </c>
      <c r="J95" s="216" cm="1">
        <f t="array" ref="J95">Common_InputFunctions.Utility_DisplayArrayInTable(Fuel_SourceData.Fuel_Scope1EmissionFactorsStationaryGaseous_Data(), Table_Fuel_EFs_StationaryGaseous[[#Headers],[Fuel combusted]],0)</f>
        <v>60.27</v>
      </c>
      <c r="K95" s="158"/>
      <c r="L95" s="158"/>
    </row>
    <row r="96" spans="4:12" ht="20.100000000000001" customHeight="1" x14ac:dyDescent="0.25">
      <c r="D96" s="216" t="str" cm="1">
        <f t="array" ref="D96">Common_InputFunctions.Utility_DisplayArrayInTable(Fuel_SourceData.Fuel_Scope1EmissionFactorsStationaryGaseous_Data(), Table_Fuel_EFs_StationaryGaseous[[#Headers],[Fuel combusted]],0)</f>
        <v>Liquefied natural gas</v>
      </c>
      <c r="E96" s="216" cm="1">
        <f t="array" ref="E96">Common_InputFunctions.Utility_DisplayArrayInTable(Fuel_SourceData.Fuel_Scope1EmissionFactorsStationaryGaseous_Data(), Table_Fuel_EFs_StationaryGaseous[[#Headers],[Fuel combusted]],0)</f>
        <v>25.3</v>
      </c>
      <c r="F96" s="216" t="str" cm="1">
        <f t="array" ref="F96">Common_InputFunctions.Utility_DisplayArrayInTable(Fuel_SourceData.Fuel_Scope1EmissionFactorsStationaryGaseous_Data(), Table_Fuel_EFs_StationaryGaseous[[#Headers],[Fuel combusted]],0)</f>
        <v>kL</v>
      </c>
      <c r="G96" s="216" cm="1">
        <f t="array" ref="G96">Common_InputFunctions.Utility_DisplayArrayInTable(Fuel_SourceData.Fuel_Scope1EmissionFactorsStationaryGaseous_Data(), Table_Fuel_EFs_StationaryGaseous[[#Headers],[Fuel combusted]],0)</f>
        <v>51.4</v>
      </c>
      <c r="H96" s="216" cm="1">
        <f t="array" ref="H96">Common_InputFunctions.Utility_DisplayArrayInTable(Fuel_SourceData.Fuel_Scope1EmissionFactorsStationaryGaseous_Data(), Table_Fuel_EFs_StationaryGaseous[[#Headers],[Fuel combusted]],0)</f>
        <v>0.1</v>
      </c>
      <c r="I96" s="216" cm="1">
        <f t="array" ref="I96">Common_InputFunctions.Utility_DisplayArrayInTable(Fuel_SourceData.Fuel_Scope1EmissionFactorsStationaryGaseous_Data(), Table_Fuel_EFs_StationaryGaseous[[#Headers],[Fuel combusted]],0)</f>
        <v>0.03</v>
      </c>
      <c r="J96" s="216" cm="1">
        <f t="array" ref="J96">Common_InputFunctions.Utility_DisplayArrayInTable(Fuel_SourceData.Fuel_Scope1EmissionFactorsStationaryGaseous_Data(), Table_Fuel_EFs_StationaryGaseous[[#Headers],[Fuel combusted]],0)</f>
        <v>51.53</v>
      </c>
      <c r="K96" s="158"/>
      <c r="L96" s="158"/>
    </row>
    <row r="97" spans="4:13" ht="20.100000000000001" customHeight="1" x14ac:dyDescent="0.25">
      <c r="D97" s="216" t="str" cm="1">
        <f t="array" ref="D97">Common_InputFunctions.Utility_DisplayArrayInTable(Fuel_SourceData.Fuel_Scope1EmissionFactorsStationaryGaseous_Data(), Table_Fuel_EFs_StationaryGaseous[[#Headers],[Fuel combusted]],0)</f>
        <v>Gaseous fossil fuels other than those mentioned in the items above</v>
      </c>
      <c r="E97" s="216" cm="1">
        <f t="array" ref="E97">Common_InputFunctions.Utility_DisplayArrayInTable(Fuel_SourceData.Fuel_Scope1EmissionFactorsStationaryGaseous_Data(), Table_Fuel_EFs_StationaryGaseous[[#Headers],[Fuel combusted]],0)</f>
        <v>3.9E-2</v>
      </c>
      <c r="F97" s="216" t="str" cm="1">
        <f t="array" ref="F97">Common_InputFunctions.Utility_DisplayArrayInTable(Fuel_SourceData.Fuel_Scope1EmissionFactorsStationaryGaseous_Data(), Table_Fuel_EFs_StationaryGaseous[[#Headers],[Fuel combusted]],0)</f>
        <v>m3</v>
      </c>
      <c r="G97" s="216" cm="1">
        <f t="array" ref="G97">Common_InputFunctions.Utility_DisplayArrayInTable(Fuel_SourceData.Fuel_Scope1EmissionFactorsStationaryGaseous_Data(), Table_Fuel_EFs_StationaryGaseous[[#Headers],[Fuel combusted]],0)</f>
        <v>51.4</v>
      </c>
      <c r="H97" s="216" cm="1">
        <f t="array" ref="H97">Common_InputFunctions.Utility_DisplayArrayInTable(Fuel_SourceData.Fuel_Scope1EmissionFactorsStationaryGaseous_Data(), Table_Fuel_EFs_StationaryGaseous[[#Headers],[Fuel combusted]],0)</f>
        <v>0.1</v>
      </c>
      <c r="I97" s="216" cm="1">
        <f t="array" ref="I97">Common_InputFunctions.Utility_DisplayArrayInTable(Fuel_SourceData.Fuel_Scope1EmissionFactorsStationaryGaseous_Data(), Table_Fuel_EFs_StationaryGaseous[[#Headers],[Fuel combusted]],0)</f>
        <v>0.03</v>
      </c>
      <c r="J97" s="216" cm="1">
        <f t="array" ref="J97">Common_InputFunctions.Utility_DisplayArrayInTable(Fuel_SourceData.Fuel_Scope1EmissionFactorsStationaryGaseous_Data(), Table_Fuel_EFs_StationaryGaseous[[#Headers],[Fuel combusted]],0)</f>
        <v>51.53</v>
      </c>
      <c r="K97" s="158"/>
      <c r="L97" s="158"/>
    </row>
    <row r="98" spans="4:13" ht="20.100000000000001" customHeight="1" x14ac:dyDescent="0.25">
      <c r="D98" s="216" t="str" cm="1">
        <f t="array" ref="D98">Common_InputFunctions.Utility_DisplayArrayInTable(Fuel_SourceData.Fuel_Scope1EmissionFactorsStationaryGaseous_Data(), Table_Fuel_EFs_StationaryGaseous[[#Headers],[Fuel combusted]],0)</f>
        <v>Landfill biogas that is captured for combustion (methane only)</v>
      </c>
      <c r="E98" s="216" cm="1">
        <f t="array" ref="E98">Common_InputFunctions.Utility_DisplayArrayInTable(Fuel_SourceData.Fuel_Scope1EmissionFactorsStationaryGaseous_Data(), Table_Fuel_EFs_StationaryGaseous[[#Headers],[Fuel combusted]],0)</f>
        <v>3.7699999999999997E-2</v>
      </c>
      <c r="F98" s="216" t="str" cm="1">
        <f t="array" ref="F98">Common_InputFunctions.Utility_DisplayArrayInTable(Fuel_SourceData.Fuel_Scope1EmissionFactorsStationaryGaseous_Data(), Table_Fuel_EFs_StationaryGaseous[[#Headers],[Fuel combusted]],0)</f>
        <v>m3</v>
      </c>
      <c r="G98" s="216" cm="1">
        <f t="array" ref="G98">Common_InputFunctions.Utility_DisplayArrayInTable(Fuel_SourceData.Fuel_Scope1EmissionFactorsStationaryGaseous_Data(), Table_Fuel_EFs_StationaryGaseous[[#Headers],[Fuel combusted]],0)</f>
        <v>0</v>
      </c>
      <c r="H98" s="216" cm="1">
        <f t="array" ref="H98">Common_InputFunctions.Utility_DisplayArrayInTable(Fuel_SourceData.Fuel_Scope1EmissionFactorsStationaryGaseous_Data(), Table_Fuel_EFs_StationaryGaseous[[#Headers],[Fuel combusted]],0)</f>
        <v>6.4</v>
      </c>
      <c r="I98" s="216" cm="1">
        <f t="array" ref="I98">Common_InputFunctions.Utility_DisplayArrayInTable(Fuel_SourceData.Fuel_Scope1EmissionFactorsStationaryGaseous_Data(), Table_Fuel_EFs_StationaryGaseous[[#Headers],[Fuel combusted]],0)</f>
        <v>0.03</v>
      </c>
      <c r="J98" s="216" cm="1">
        <f t="array" ref="J98">Common_InputFunctions.Utility_DisplayArrayInTable(Fuel_SourceData.Fuel_Scope1EmissionFactorsStationaryGaseous_Data(), Table_Fuel_EFs_StationaryGaseous[[#Headers],[Fuel combusted]],0)</f>
        <v>6.43</v>
      </c>
      <c r="K98" s="158"/>
      <c r="L98" s="158"/>
    </row>
    <row r="99" spans="4:13" ht="20.100000000000001" customHeight="1" x14ac:dyDescent="0.25">
      <c r="D99" s="216" t="str" cm="1">
        <f t="array" ref="D99">Common_InputFunctions.Utility_DisplayArrayInTable(Fuel_SourceData.Fuel_Scope1EmissionFactorsStationaryGaseous_Data(), Table_Fuel_EFs_StationaryGaseous[[#Headers],[Fuel combusted]],0)</f>
        <v>Sludge biogas that is captured for combustion (methane only)</v>
      </c>
      <c r="E99" s="216" cm="1">
        <f t="array" ref="E99">Common_InputFunctions.Utility_DisplayArrayInTable(Fuel_SourceData.Fuel_Scope1EmissionFactorsStationaryGaseous_Data(), Table_Fuel_EFs_StationaryGaseous[[#Headers],[Fuel combusted]],0)</f>
        <v>3.7699999999999997E-2</v>
      </c>
      <c r="F99" s="216" t="str" cm="1">
        <f t="array" ref="F99">Common_InputFunctions.Utility_DisplayArrayInTable(Fuel_SourceData.Fuel_Scope1EmissionFactorsStationaryGaseous_Data(), Table_Fuel_EFs_StationaryGaseous[[#Headers],[Fuel combusted]],0)</f>
        <v>m3</v>
      </c>
      <c r="G99" s="216" cm="1">
        <f t="array" ref="G99">Common_InputFunctions.Utility_DisplayArrayInTable(Fuel_SourceData.Fuel_Scope1EmissionFactorsStationaryGaseous_Data(), Table_Fuel_EFs_StationaryGaseous[[#Headers],[Fuel combusted]],0)</f>
        <v>0</v>
      </c>
      <c r="H99" s="216" cm="1">
        <f t="array" ref="H99">Common_InputFunctions.Utility_DisplayArrayInTable(Fuel_SourceData.Fuel_Scope1EmissionFactorsStationaryGaseous_Data(), Table_Fuel_EFs_StationaryGaseous[[#Headers],[Fuel combusted]],0)</f>
        <v>6.4</v>
      </c>
      <c r="I99" s="216" cm="1">
        <f t="array" ref="I99">Common_InputFunctions.Utility_DisplayArrayInTable(Fuel_SourceData.Fuel_Scope1EmissionFactorsStationaryGaseous_Data(), Table_Fuel_EFs_StationaryGaseous[[#Headers],[Fuel combusted]],0)</f>
        <v>0.03</v>
      </c>
      <c r="J99" s="216" cm="1">
        <f t="array" ref="J99">Common_InputFunctions.Utility_DisplayArrayInTable(Fuel_SourceData.Fuel_Scope1EmissionFactorsStationaryGaseous_Data(), Table_Fuel_EFs_StationaryGaseous[[#Headers],[Fuel combusted]],0)</f>
        <v>6.43</v>
      </c>
      <c r="K99" s="158"/>
      <c r="L99" s="158"/>
    </row>
    <row r="100" spans="4:13" ht="20.100000000000001" customHeight="1" x14ac:dyDescent="0.25">
      <c r="D100" s="21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16" cm="1">
        <f t="array" ref="E100">Common_InputFunctions.Utility_DisplayArrayInTable(Fuel_SourceData.Fuel_Scope1EmissionFactorsStationaryGaseous_Data(), Table_Fuel_EFs_StationaryGaseous[[#Headers],[Fuel combusted]],0)</f>
        <v>3.6999999999999998E-2</v>
      </c>
      <c r="F100" s="216" t="str" cm="1">
        <f t="array" ref="F100">Common_InputFunctions.Utility_DisplayArrayInTable(Fuel_SourceData.Fuel_Scope1EmissionFactorsStationaryGaseous_Data(), Table_Fuel_EFs_StationaryGaseous[[#Headers],[Fuel combusted]],0)</f>
        <v>m3</v>
      </c>
      <c r="G100" s="216" cm="1">
        <f t="array" ref="G100">Common_InputFunctions.Utility_DisplayArrayInTable(Fuel_SourceData.Fuel_Scope1EmissionFactorsStationaryGaseous_Data(), Table_Fuel_EFs_StationaryGaseous[[#Headers],[Fuel combusted]],0)</f>
        <v>0</v>
      </c>
      <c r="H100" s="216" cm="1">
        <f t="array" ref="H100">Common_InputFunctions.Utility_DisplayArrayInTable(Fuel_SourceData.Fuel_Scope1EmissionFactorsStationaryGaseous_Data(), Table_Fuel_EFs_StationaryGaseous[[#Headers],[Fuel combusted]],0)</f>
        <v>6.4</v>
      </c>
      <c r="I100" s="216" cm="1">
        <f t="array" ref="I100">Common_InputFunctions.Utility_DisplayArrayInTable(Fuel_SourceData.Fuel_Scope1EmissionFactorsStationaryGaseous_Data(), Table_Fuel_EFs_StationaryGaseous[[#Headers],[Fuel combusted]],0)</f>
        <v>0.03</v>
      </c>
      <c r="J100" s="216" cm="1">
        <f t="array" ref="J100">Common_InputFunctions.Utility_DisplayArrayInTable(Fuel_SourceData.Fuel_Scope1EmissionFactorsStationaryGaseous_Data(), Table_Fuel_EFs_StationaryGaseous[[#Headers],[Fuel combusted]],0)</f>
        <v>6.43</v>
      </c>
      <c r="K100" s="158"/>
      <c r="L100" s="158"/>
    </row>
    <row r="101" spans="4:13" ht="20.100000000000001" customHeight="1" x14ac:dyDescent="0.25">
      <c r="D101" s="216" t="str" cm="1">
        <f t="array" ref="D101">Common_InputFunctions.Utility_DisplayArrayInTable(Fuel_SourceData.Fuel_Scope1EmissionFactorsStationaryGaseous_Data(), Table_Fuel_EFs_StationaryGaseous[[#Headers],[Fuel combusted]],0)</f>
        <v>Biomethane</v>
      </c>
      <c r="E101" s="216" cm="1">
        <f t="array" ref="E101">Common_InputFunctions.Utility_DisplayArrayInTable(Fuel_SourceData.Fuel_Scope1EmissionFactorsStationaryGaseous_Data(), Table_Fuel_EFs_StationaryGaseous[[#Headers],[Fuel combusted]],0)</f>
        <v>3.9300000000000002E-2</v>
      </c>
      <c r="F101" s="216" t="str" cm="1">
        <f t="array" ref="F101">Common_InputFunctions.Utility_DisplayArrayInTable(Fuel_SourceData.Fuel_Scope1EmissionFactorsStationaryGaseous_Data(), Table_Fuel_EFs_StationaryGaseous[[#Headers],[Fuel combusted]],0)</f>
        <v>m3</v>
      </c>
      <c r="G101" s="216" cm="1">
        <f t="array" ref="G101">Common_InputFunctions.Utility_DisplayArrayInTable(Fuel_SourceData.Fuel_Scope1EmissionFactorsStationaryGaseous_Data(), Table_Fuel_EFs_StationaryGaseous[[#Headers],[Fuel combusted]],0)</f>
        <v>0</v>
      </c>
      <c r="H101" s="216" cm="1">
        <f t="array" ref="H101">Common_InputFunctions.Utility_DisplayArrayInTable(Fuel_SourceData.Fuel_Scope1EmissionFactorsStationaryGaseous_Data(), Table_Fuel_EFs_StationaryGaseous[[#Headers],[Fuel combusted]],0)</f>
        <v>0.1</v>
      </c>
      <c r="I101" s="216" cm="1">
        <f t="array" ref="I101">Common_InputFunctions.Utility_DisplayArrayInTable(Fuel_SourceData.Fuel_Scope1EmissionFactorsStationaryGaseous_Data(), Table_Fuel_EFs_StationaryGaseous[[#Headers],[Fuel combusted]],0)</f>
        <v>0.03</v>
      </c>
      <c r="J101" s="216" cm="1">
        <f t="array" ref="J101">Common_InputFunctions.Utility_DisplayArrayInTable(Fuel_SourceData.Fuel_Scope1EmissionFactorsStationaryGaseous_Data(), Table_Fuel_EFs_StationaryGaseous[[#Headers],[Fuel combusted]],0)</f>
        <v>0.13</v>
      </c>
      <c r="K101" s="158"/>
      <c r="L101" s="158"/>
    </row>
    <row r="102" spans="4:13" ht="20.100000000000001" customHeight="1" x14ac:dyDescent="0.25">
      <c r="D102" s="216" t="str" cm="1">
        <f t="array" ref="D102">Common_InputFunctions.Utility_DisplayArrayInTable(Fuel_SourceData.Fuel_Scope1EmissionFactorsStationaryGaseous_Data(), Table_Fuel_EFs_StationaryGaseous[[#Headers],[Fuel combusted]],0)</f>
        <v>Hydrogen</v>
      </c>
      <c r="E102" s="216" cm="1">
        <f t="array" ref="E102">Common_InputFunctions.Utility_DisplayArrayInTable(Fuel_SourceData.Fuel_Scope1EmissionFactorsStationaryGaseous_Data(), Table_Fuel_EFs_StationaryGaseous[[#Headers],[Fuel combusted]],0)</f>
        <v>1.2200000000000001E-2</v>
      </c>
      <c r="F102" s="216" t="str" cm="1">
        <f t="array" ref="F102">Common_InputFunctions.Utility_DisplayArrayInTable(Fuel_SourceData.Fuel_Scope1EmissionFactorsStationaryGaseous_Data(), Table_Fuel_EFs_StationaryGaseous[[#Headers],[Fuel combusted]],0)</f>
        <v>m3</v>
      </c>
      <c r="G102" s="216" cm="1">
        <f t="array" ref="G102">Common_InputFunctions.Utility_DisplayArrayInTable(Fuel_SourceData.Fuel_Scope1EmissionFactorsStationaryGaseous_Data(), Table_Fuel_EFs_StationaryGaseous[[#Headers],[Fuel combusted]],0)</f>
        <v>0</v>
      </c>
      <c r="H102" s="216" cm="1">
        <f t="array" ref="H102">Common_InputFunctions.Utility_DisplayArrayInTable(Fuel_SourceData.Fuel_Scope1EmissionFactorsStationaryGaseous_Data(), Table_Fuel_EFs_StationaryGaseous[[#Headers],[Fuel combusted]],0)</f>
        <v>0</v>
      </c>
      <c r="I102" s="216" cm="1">
        <f t="array" ref="I102">Common_InputFunctions.Utility_DisplayArrayInTable(Fuel_SourceData.Fuel_Scope1EmissionFactorsStationaryGaseous_Data(), Table_Fuel_EFs_StationaryGaseous[[#Headers],[Fuel combusted]],0)</f>
        <v>0.5</v>
      </c>
      <c r="J102" s="216" cm="1">
        <f t="array" ref="J102">Common_InputFunctions.Utility_DisplayArrayInTable(Fuel_SourceData.Fuel_Scope1EmissionFactorsStationaryGaseous_Data(), Table_Fuel_EFs_StationaryGaseous[[#Headers],[Fuel combusted]],0)</f>
        <v>0.5</v>
      </c>
      <c r="K102" s="158"/>
      <c r="L102" s="158"/>
    </row>
    <row r="103" spans="4:13" ht="20.100000000000001" customHeight="1" x14ac:dyDescent="0.25">
      <c r="D103" s="216" t="str" cm="1">
        <f t="array" ref="D103">Common_InputFunctions.Utility_DisplayArrayInTable(Fuel_SourceData.Fuel_Scope1EmissionFactorsStationaryGaseous_Data(), Table_Fuel_EFs_StationaryGaseous[[#Headers],[Fuel combusted]],0)</f>
        <v>Natural gas distributed in a pipeline - Gigajoules</v>
      </c>
      <c r="E103" s="216" cm="1">
        <f t="array" ref="E103">Common_InputFunctions.Utility_DisplayArrayInTable(Fuel_SourceData.Fuel_Scope1EmissionFactorsStationaryGaseous_Data(), Table_Fuel_EFs_StationaryGaseous[[#Headers],[Fuel combusted]],0)</f>
        <v>1</v>
      </c>
      <c r="F103" s="216" t="str" cm="1">
        <f t="array" ref="F103">Common_InputFunctions.Utility_DisplayArrayInTable(Fuel_SourceData.Fuel_Scope1EmissionFactorsStationaryGaseous_Data(), Table_Fuel_EFs_StationaryGaseous[[#Headers],[Fuel combusted]],0)</f>
        <v>GJ</v>
      </c>
      <c r="G103" s="216" cm="1">
        <f t="array" ref="G103">Common_InputFunctions.Utility_DisplayArrayInTable(Fuel_SourceData.Fuel_Scope1EmissionFactorsStationaryGaseous_Data(), Table_Fuel_EFs_StationaryGaseous[[#Headers],[Fuel combusted]],0)</f>
        <v>51.4</v>
      </c>
      <c r="H103" s="216" cm="1">
        <f t="array" ref="H103">Common_InputFunctions.Utility_DisplayArrayInTable(Fuel_SourceData.Fuel_Scope1EmissionFactorsStationaryGaseous_Data(), Table_Fuel_EFs_StationaryGaseous[[#Headers],[Fuel combusted]],0)</f>
        <v>0.1</v>
      </c>
      <c r="I103" s="216" cm="1">
        <f t="array" ref="I103">Common_InputFunctions.Utility_DisplayArrayInTable(Fuel_SourceData.Fuel_Scope1EmissionFactorsStationaryGaseous_Data(), Table_Fuel_EFs_StationaryGaseous[[#Headers],[Fuel combusted]],0)</f>
        <v>0.03</v>
      </c>
      <c r="J103" s="216" cm="1">
        <f t="array" ref="J103">Common_InputFunctions.Utility_DisplayArrayInTable(Fuel_SourceData.Fuel_Scope1EmissionFactorsStationaryGaseous_Data(), Table_Fuel_EFs_StationaryGaseous[[#Headers],[Fuel combusted]],0)</f>
        <v>51.53</v>
      </c>
      <c r="K103" s="158"/>
      <c r="L103" s="158"/>
    </row>
    <row r="104" spans="4:13" ht="20.100000000000001" customHeight="1" x14ac:dyDescent="0.25">
      <c r="D104" s="216" t="str" cm="1">
        <f t="array" ref="D104">Common_InputFunctions.Utility_DisplayArrayInTable(Fuel_SourceData.Fuel_Scope1EmissionFactorsStationaryGaseous_Data(), Table_Fuel_EFs_StationaryGaseous[[#Headers],[Fuel combusted]],0)</f>
        <v>Town gas - Gigajoules</v>
      </c>
      <c r="E104" s="216" cm="1">
        <f t="array" ref="E104">Common_InputFunctions.Utility_DisplayArrayInTable(Fuel_SourceData.Fuel_Scope1EmissionFactorsStationaryGaseous_Data(), Table_Fuel_EFs_StationaryGaseous[[#Headers],[Fuel combusted]],0)</f>
        <v>1</v>
      </c>
      <c r="F104" s="216" t="str" cm="1">
        <f t="array" ref="F104">Common_InputFunctions.Utility_DisplayArrayInTable(Fuel_SourceData.Fuel_Scope1EmissionFactorsStationaryGaseous_Data(), Table_Fuel_EFs_StationaryGaseous[[#Headers],[Fuel combusted]],0)</f>
        <v>GJ</v>
      </c>
      <c r="G104" s="216" cm="1">
        <f t="array" ref="G104">Common_InputFunctions.Utility_DisplayArrayInTable(Fuel_SourceData.Fuel_Scope1EmissionFactorsStationaryGaseous_Data(), Table_Fuel_EFs_StationaryGaseous[[#Headers],[Fuel combusted]],0)</f>
        <v>60.2</v>
      </c>
      <c r="H104" s="216" cm="1">
        <f t="array" ref="H104">Common_InputFunctions.Utility_DisplayArrayInTable(Fuel_SourceData.Fuel_Scope1EmissionFactorsStationaryGaseous_Data(), Table_Fuel_EFs_StationaryGaseous[[#Headers],[Fuel combusted]],0)</f>
        <v>0.04</v>
      </c>
      <c r="I104" s="216" cm="1">
        <f t="array" ref="I104">Common_InputFunctions.Utility_DisplayArrayInTable(Fuel_SourceData.Fuel_Scope1EmissionFactorsStationaryGaseous_Data(), Table_Fuel_EFs_StationaryGaseous[[#Headers],[Fuel combusted]],0)</f>
        <v>0.03</v>
      </c>
      <c r="J104" s="216" cm="1">
        <f t="array" ref="J104">Common_InputFunctions.Utility_DisplayArrayInTable(Fuel_SourceData.Fuel_Scope1EmissionFactorsStationaryGaseous_Data(), Table_Fuel_EFs_StationaryGaseous[[#Headers],[Fuel combusted]],0)</f>
        <v>60.27</v>
      </c>
      <c r="K104" s="158"/>
      <c r="L104" s="158"/>
    </row>
    <row r="105" spans="4:13" ht="20.100000000000001" customHeight="1" x14ac:dyDescent="0.25">
      <c r="D105" s="158"/>
      <c r="E105" s="158"/>
      <c r="F105" s="158"/>
      <c r="G105" s="158"/>
      <c r="H105" s="158"/>
      <c r="I105" s="158"/>
      <c r="J105" s="158"/>
      <c r="K105" s="158"/>
      <c r="L105" s="158"/>
      <c r="M105" s="158"/>
    </row>
    <row r="106" spans="4:13" ht="20.100000000000001" customHeight="1" x14ac:dyDescent="0.25">
      <c r="D106" s="158"/>
      <c r="E106" s="158"/>
      <c r="F106" s="158"/>
      <c r="G106" s="158"/>
      <c r="H106" s="158"/>
      <c r="I106" s="158"/>
      <c r="J106" s="158"/>
      <c r="K106" s="158"/>
      <c r="L106" s="158"/>
      <c r="M106" s="158"/>
    </row>
    <row r="107" spans="4:13" ht="20.100000000000001" customHeight="1" x14ac:dyDescent="0.25">
      <c r="D107" s="2" t="str" cm="1">
        <f t="array" ref="D107">Fuel_SourceData.Fuel_Scope3EmissionFactorsStationaryGaseous_Title()</f>
        <v>Fuel scope 3 emission factors - Stationary gaseous fuels</v>
      </c>
      <c r="E107" s="158"/>
      <c r="F107" s="158"/>
      <c r="G107" s="158"/>
      <c r="H107" s="158"/>
      <c r="I107" s="158"/>
      <c r="J107" s="158"/>
      <c r="K107" s="158"/>
      <c r="L107" s="158"/>
    </row>
    <row r="108" spans="4:13" ht="20.100000000000001" customHeight="1" x14ac:dyDescent="0.25">
      <c r="D108" s="1" t="str" cm="1">
        <f t="array" ref="D108">Fuel_SourceData.Fuel_Scope3EmissionFactorsStationaryGaseous_Description()</f>
        <v>Indirect (Scope 3) emission factors for the consumption of natural gas.</v>
      </c>
      <c r="E108" s="158"/>
      <c r="F108" s="158"/>
      <c r="G108" s="158"/>
      <c r="H108" s="158"/>
      <c r="I108" s="158"/>
      <c r="J108" s="158"/>
      <c r="K108" s="158"/>
      <c r="L108" s="158"/>
    </row>
    <row r="109" spans="4:13" ht="20.100000000000001" customHeight="1" x14ac:dyDescent="0.25">
      <c r="D109" s="27" t="str" cm="1">
        <f t="array" ref="D109">Fuel_SourceData.Fuel_Scope3EmissionFactorsStationaryGaseous_Source()</f>
        <v>Australian National Greenhouse Accounts Factors 2025 - Table 6</v>
      </c>
      <c r="E109" s="158"/>
      <c r="F109" s="158"/>
      <c r="G109" s="158"/>
      <c r="H109" s="158"/>
      <c r="I109" s="158"/>
      <c r="J109" s="158"/>
      <c r="K109" s="158"/>
      <c r="L109" s="158"/>
    </row>
    <row r="110" spans="4:13" ht="20.100000000000001" customHeight="1" x14ac:dyDescent="0.25">
      <c r="D110" s="3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8"/>
      <c r="F110" s="158"/>
      <c r="G110" s="158"/>
      <c r="H110" s="158"/>
      <c r="I110" s="158"/>
      <c r="J110" s="158"/>
      <c r="K110" s="158"/>
      <c r="L110" s="158"/>
    </row>
    <row r="111" spans="4:13" ht="20.100000000000001" customHeight="1" x14ac:dyDescent="0.25">
      <c r="D111" s="158"/>
      <c r="E111" s="158"/>
      <c r="F111" s="158"/>
      <c r="G111" s="158"/>
      <c r="H111" s="158"/>
      <c r="I111" s="158"/>
      <c r="J111" s="158"/>
      <c r="K111" s="158"/>
      <c r="L111" s="158"/>
    </row>
    <row r="112" spans="4:13" ht="20.100000000000001" customHeight="1" x14ac:dyDescent="0.25">
      <c r="D112" s="181" t="s">
        <v>512</v>
      </c>
      <c r="E112" s="213" t="s">
        <v>446</v>
      </c>
      <c r="F112" s="213" t="s">
        <v>513</v>
      </c>
      <c r="G112" s="158"/>
      <c r="H112" s="88" t="s">
        <v>514</v>
      </c>
      <c r="I112" s="158"/>
      <c r="J112" s="158"/>
      <c r="K112" s="158"/>
      <c r="L112" s="158"/>
    </row>
    <row r="113" spans="4:13" ht="20.100000000000001" customHeight="1" x14ac:dyDescent="0.25">
      <c r="D113" s="217" t="str" cm="1">
        <f t="array" ref="D113">Common_InputFunctions.Utility_DisplayArrayInTable(Fuel_SourceData.Fuel_Scope3EmissionFactorsStationaryGaseous_Data(), Table_Fuel_EFs_StationaryGaseous34[[#Headers],[State or territory]],0)</f>
        <v>New South Wales</v>
      </c>
      <c r="E113" s="217" cm="1">
        <f t="array" ref="E113">Common_InputFunctions.Utility_DisplayArrayInTable(Fuel_SourceData.Fuel_Scope3EmissionFactorsStationaryGaseous_Data(), Table_Fuel_EFs_StationaryGaseous34[[#Headers],[State or territory]],0)</f>
        <v>13.1</v>
      </c>
      <c r="F113" s="217" cm="1">
        <f t="array" ref="F113">Common_InputFunctions.Utility_DisplayArrayInTable(Fuel_SourceData.Fuel_Scope3EmissionFactorsStationaryGaseous_Data(), Table_Fuel_EFs_StationaryGaseous34[[#Headers],[State or territory]],0)</f>
        <v>14</v>
      </c>
      <c r="G113" s="218" t="str" cm="1">
        <f t="array" ref="G113:H124">Fuel_SourceData.Fuel_Scope3EmissionFactorsStationaryGaseous_Appendices()</f>
        <v>-</v>
      </c>
      <c r="H113" s="1" t="str">
        <v>As Scope 3 factors are calculated at the point where natural gas is delivered to end users, it is necessary to calculate consumption at each of the load centres.</v>
      </c>
      <c r="I113" s="158"/>
      <c r="J113" s="158"/>
      <c r="K113" s="158"/>
      <c r="L113" s="158"/>
    </row>
    <row r="114" spans="4:13" ht="20.100000000000001" customHeight="1" x14ac:dyDescent="0.25">
      <c r="D114" s="217" t="str" cm="1">
        <f t="array" ref="D114">Common_InputFunctions.Utility_DisplayArrayInTable(Fuel_SourceData.Fuel_Scope3EmissionFactorsStationaryGaseous_Data(), Table_Fuel_EFs_StationaryGaseous34[[#Headers],[State or territory]],0)</f>
        <v>ACT</v>
      </c>
      <c r="E114" s="217" cm="1">
        <f t="array" ref="E114">Common_InputFunctions.Utility_DisplayArrayInTable(Fuel_SourceData.Fuel_Scope3EmissionFactorsStationaryGaseous_Data(), Table_Fuel_EFs_StationaryGaseous34[[#Headers],[State or territory]],0)</f>
        <v>13.1</v>
      </c>
      <c r="F114" s="217" cm="1">
        <f t="array" ref="F114">Common_InputFunctions.Utility_DisplayArrayInTable(Fuel_SourceData.Fuel_Scope3EmissionFactorsStationaryGaseous_Data(), Table_Fuel_EFs_StationaryGaseous34[[#Headers],[State or territory]],0)</f>
        <v>14</v>
      </c>
      <c r="G114" s="218" t="str">
        <v/>
      </c>
      <c r="H114" s="1" t="str">
        <v>Gas reaches end users either from the metro distribution networks or direct from the high - pressure distribution pipelines.</v>
      </c>
      <c r="I114" s="158"/>
      <c r="J114" s="158"/>
      <c r="K114" s="158"/>
      <c r="L114" s="158"/>
    </row>
    <row r="115" spans="4:13" ht="20.100000000000001" customHeight="1" x14ac:dyDescent="0.25">
      <c r="D115" s="217" t="str" cm="1">
        <f t="array" ref="D115">Common_InputFunctions.Utility_DisplayArrayInTable(Fuel_SourceData.Fuel_Scope3EmissionFactorsStationaryGaseous_Data(), Table_Fuel_EFs_StationaryGaseous34[[#Headers],[State or territory]],0)</f>
        <v>Victoria</v>
      </c>
      <c r="E115" s="217" cm="1">
        <f t="array" ref="E115">Common_InputFunctions.Utility_DisplayArrayInTable(Fuel_SourceData.Fuel_Scope3EmissionFactorsStationaryGaseous_Data(), Table_Fuel_EFs_StationaryGaseous34[[#Headers],[State or territory]],0)</f>
        <v>4</v>
      </c>
      <c r="F115" s="217" cm="1">
        <f t="array" ref="F115">Common_InputFunctions.Utility_DisplayArrayInTable(Fuel_SourceData.Fuel_Scope3EmissionFactorsStationaryGaseous_Data(), Table_Fuel_EFs_StationaryGaseous34[[#Headers],[State or territory]],0)</f>
        <v>4</v>
      </c>
      <c r="G115" s="218" t="str">
        <v/>
      </c>
      <c r="H115" s="1" t="str">
        <v>Households and commercial users tend to be served by the former, and electricity generators and large industrial plants from the latter.</v>
      </c>
      <c r="I115" s="158"/>
      <c r="J115" s="158"/>
      <c r="K115" s="158"/>
      <c r="L115" s="158"/>
    </row>
    <row r="116" spans="4:13" ht="20.100000000000001" customHeight="1" x14ac:dyDescent="0.25">
      <c r="D116" s="217" t="str" cm="1">
        <f t="array" ref="D116">Common_InputFunctions.Utility_DisplayArrayInTable(Fuel_SourceData.Fuel_Scope3EmissionFactorsStationaryGaseous_Data(), Table_Fuel_EFs_StationaryGaseous34[[#Headers],[State or territory]],0)</f>
        <v>Queensland</v>
      </c>
      <c r="E116" s="217" cm="1">
        <f t="array" ref="E116">Common_InputFunctions.Utility_DisplayArrayInTable(Fuel_SourceData.Fuel_Scope3EmissionFactorsStationaryGaseous_Data(), Table_Fuel_EFs_StationaryGaseous34[[#Headers],[State or territory]],0)</f>
        <v>8.8000000000000007</v>
      </c>
      <c r="F116" s="217" cm="1">
        <f t="array" ref="F116">Common_InputFunctions.Utility_DisplayArrayInTable(Fuel_SourceData.Fuel_Scope3EmissionFactorsStationaryGaseous_Data(), Table_Fuel_EFs_StationaryGaseous34[[#Headers],[State or territory]],0)</f>
        <v>7.9</v>
      </c>
      <c r="G116" s="218" t="str">
        <v>-</v>
      </c>
      <c r="H116" s="1" t="str">
        <v>Metro is defined as located on or east of the dividing range in NSW, including Canberra and Queanbeyan, Melbourne, Brisbane, Adelaide or Perth.</v>
      </c>
      <c r="I116" s="158"/>
      <c r="J116" s="158"/>
      <c r="K116" s="158"/>
      <c r="L116" s="158"/>
    </row>
    <row r="117" spans="4:13" ht="20.100000000000001" customHeight="1" x14ac:dyDescent="0.25">
      <c r="D117" s="217" t="str" cm="1">
        <f t="array" ref="D117">Common_InputFunctions.Utility_DisplayArrayInTable(Fuel_SourceData.Fuel_Scope3EmissionFactorsStationaryGaseous_Data(), Table_Fuel_EFs_StationaryGaseous34[[#Headers],[State or territory]],0)</f>
        <v>South Australia</v>
      </c>
      <c r="E117" s="217" cm="1">
        <f t="array" ref="E117">Common_InputFunctions.Utility_DisplayArrayInTable(Fuel_SourceData.Fuel_Scope3EmissionFactorsStationaryGaseous_Data(), Table_Fuel_EFs_StationaryGaseous34[[#Headers],[State or territory]],0)</f>
        <v>10.7</v>
      </c>
      <c r="F117" s="217" cm="1">
        <f t="array" ref="F117">Common_InputFunctions.Utility_DisplayArrayInTable(Fuel_SourceData.Fuel_Scope3EmissionFactorsStationaryGaseous_Data(), Table_Fuel_EFs_StationaryGaseous34[[#Headers],[State or territory]],0)</f>
        <v>10.6</v>
      </c>
      <c r="G117" s="218" t="str">
        <v/>
      </c>
      <c r="H117" s="1" t="str">
        <v>Otherwise, the non - metro factor should be used.</v>
      </c>
      <c r="I117" s="158"/>
      <c r="J117" s="158"/>
      <c r="K117" s="158"/>
      <c r="L117" s="158"/>
    </row>
    <row r="118" spans="4:13" ht="20.100000000000001" customHeight="1" x14ac:dyDescent="0.25">
      <c r="D118" s="217" t="str" cm="1">
        <f t="array" ref="D118">Common_InputFunctions.Utility_DisplayArrayInTable(Fuel_SourceData.Fuel_Scope3EmissionFactorsStationaryGaseous_Data(), Table_Fuel_EFs_StationaryGaseous34[[#Headers],[State or territory]],0)</f>
        <v>Western Australia</v>
      </c>
      <c r="E118" s="217" cm="1">
        <f t="array" ref="E118">Common_InputFunctions.Utility_DisplayArrayInTable(Fuel_SourceData.Fuel_Scope3EmissionFactorsStationaryGaseous_Data(), Table_Fuel_EFs_StationaryGaseous34[[#Headers],[State or territory]],0)</f>
        <v>4.0999999999999996</v>
      </c>
      <c r="F118" s="217" cm="1">
        <f t="array" ref="F118">Common_InputFunctions.Utility_DisplayArrayInTable(Fuel_SourceData.Fuel_Scope3EmissionFactorsStationaryGaseous_Data(), Table_Fuel_EFs_StationaryGaseous34[[#Headers],[State or territory]],0)</f>
        <v>4</v>
      </c>
      <c r="G118" s="218" t="str">
        <v>-</v>
      </c>
      <c r="H118" s="1" t="str">
        <v>Factors are calculated for all natural gas distributed in a pipeline which may include coal seam methane.</v>
      </c>
      <c r="I118" s="158"/>
      <c r="J118" s="158"/>
      <c r="K118" s="158"/>
      <c r="L118" s="158"/>
    </row>
    <row r="119" spans="4:13" ht="20.100000000000001" customHeight="1" x14ac:dyDescent="0.25">
      <c r="D119" s="217" t="str" cm="1">
        <f t="array" ref="D119">Common_InputFunctions.Utility_DisplayArrayInTable(Fuel_SourceData.Fuel_Scope3EmissionFactorsStationaryGaseous_Data(), Table_Fuel_EFs_StationaryGaseous34[[#Headers],[State or territory]],0)</f>
        <v>Tasmania</v>
      </c>
      <c r="E119" s="217" cm="1">
        <f t="array" ref="E119">Common_InputFunctions.Utility_DisplayArrayInTable(Fuel_SourceData.Fuel_Scope3EmissionFactorsStationaryGaseous_Data(), Table_Fuel_EFs_StationaryGaseous34[[#Headers],[State or territory]],0)</f>
        <v>4</v>
      </c>
      <c r="F119" s="217" cm="1">
        <f t="array" ref="F119">Common_InputFunctions.Utility_DisplayArrayInTable(Fuel_SourceData.Fuel_Scope3EmissionFactorsStationaryGaseous_Data(), Table_Fuel_EFs_StationaryGaseous34[[#Headers],[State or territory]],0)</f>
        <v>4</v>
      </c>
      <c r="G119" s="218" t="str">
        <v>-</v>
      </c>
      <c r="H119" s="1" t="str">
        <v>Table 6 is not applicable to ethane. See Table 7 Indirect (Scope 3) emissions from the consumption of ethane.</v>
      </c>
      <c r="I119" s="158"/>
      <c r="J119" s="158"/>
      <c r="K119" s="158"/>
      <c r="L119" s="158"/>
    </row>
    <row r="120" spans="4:13" ht="20.100000000000001" customHeight="1" x14ac:dyDescent="0.25">
      <c r="D120" s="217" t="str" cm="1">
        <f t="array" ref="D120">Common_InputFunctions.Utility_DisplayArrayInTable(Fuel_SourceData.Fuel_Scope3EmissionFactorsStationaryGaseous_Data(), Table_Fuel_EFs_StationaryGaseous34[[#Headers],[State or territory]],0)</f>
        <v>Northern Territory</v>
      </c>
      <c r="E120" s="217" cm="1">
        <f t="array" ref="E120">Common_InputFunctions.Utility_DisplayArrayInTable(Fuel_SourceData.Fuel_Scope3EmissionFactorsStationaryGaseous_Data(), Table_Fuel_EFs_StationaryGaseous34[[#Headers],[State or territory]],0)</f>
        <v>4.0999999999999996</v>
      </c>
      <c r="F120" s="217" cm="1">
        <f t="array" ref="F120">Common_InputFunctions.Utility_DisplayArrayInTable(Fuel_SourceData.Fuel_Scope3EmissionFactorsStationaryGaseous_Data(), Table_Fuel_EFs_StationaryGaseous34[[#Headers],[State or territory]],0)</f>
        <v>4</v>
      </c>
      <c r="G120" s="218" t="str">
        <v>-</v>
      </c>
      <c r="H120" s="1" t="str">
        <v>C = Confidential. Scope 3 emission factors for Tasmania and the Northern Territory are not available due to confidentiality constraints that arise</v>
      </c>
      <c r="I120" s="158"/>
      <c r="J120" s="158"/>
      <c r="K120" s="158"/>
      <c r="L120" s="158"/>
    </row>
    <row r="121" spans="4:13" ht="20.100000000000001" customHeight="1" x14ac:dyDescent="0.25">
      <c r="D121" s="8"/>
      <c r="E121" s="8"/>
      <c r="F121" s="8"/>
      <c r="G121" s="218" t="str">
        <v/>
      </c>
      <c r="H121" s="1" t="str">
        <v>from the use of a limited number of NGER data inputs. It is suggested that for Tasmania the use of the Victorian emission factors is appropriate,</v>
      </c>
      <c r="I121" s="158"/>
      <c r="J121" s="158"/>
      <c r="K121" s="158"/>
      <c r="L121" s="158"/>
    </row>
    <row r="122" spans="4:13" ht="20.100000000000001" customHeight="1" x14ac:dyDescent="0.25">
      <c r="D122" s="158"/>
      <c r="F122" s="219"/>
      <c r="G122" s="218" t="str">
        <v/>
      </c>
      <c r="H122" s="1" t="str">
        <v>while for Northern Territory the use of the Western Australian emission factors is appropriate.</v>
      </c>
      <c r="I122" s="158"/>
      <c r="J122" s="158"/>
      <c r="K122" s="158"/>
      <c r="L122" s="158"/>
    </row>
    <row r="123" spans="4:13" ht="20.100000000000001" customHeight="1" x14ac:dyDescent="0.25">
      <c r="D123" s="220"/>
      <c r="F123" s="219"/>
      <c r="G123" s="218" t="str">
        <v>-</v>
      </c>
      <c r="H123" s="1" t="str">
        <v>Scope 3 emission factors do not include fugitive emission leakage from low pressure natural gas distribution pipeline networks while those from high pressure</v>
      </c>
      <c r="I123" s="158"/>
      <c r="J123" s="158"/>
      <c r="K123" s="158"/>
      <c r="L123" s="158"/>
    </row>
    <row r="124" spans="4:13" ht="20.100000000000001" customHeight="1" x14ac:dyDescent="0.25">
      <c r="D124" s="220"/>
      <c r="F124" s="219"/>
      <c r="G124" s="158" t="str">
        <v/>
      </c>
      <c r="H124" s="1" t="str">
        <v>gas networks are considered negligible.</v>
      </c>
      <c r="I124" s="158"/>
      <c r="J124" s="158"/>
      <c r="K124" s="158"/>
      <c r="L124" s="158"/>
    </row>
    <row r="125" spans="4:13" ht="20.100000000000001" customHeight="1" x14ac:dyDescent="0.25">
      <c r="D125" s="220"/>
      <c r="F125" s="219"/>
      <c r="G125" s="158"/>
      <c r="H125" s="158"/>
      <c r="I125" s="158"/>
      <c r="J125" s="158"/>
      <c r="K125" s="158"/>
      <c r="L125" s="158"/>
    </row>
    <row r="126" spans="4:13" ht="20.100000000000001" customHeight="1" x14ac:dyDescent="0.25">
      <c r="D126" s="158"/>
      <c r="E126" s="158"/>
      <c r="F126" s="158"/>
      <c r="G126" s="158"/>
      <c r="H126" s="158"/>
      <c r="I126" s="158"/>
      <c r="J126" s="158"/>
      <c r="K126" s="158"/>
      <c r="L126" s="158"/>
      <c r="M126" s="158"/>
    </row>
    <row r="127" spans="4:13" ht="20.100000000000001" customHeight="1" x14ac:dyDescent="0.25">
      <c r="D127" s="158"/>
      <c r="E127" s="158"/>
      <c r="F127" s="158"/>
      <c r="G127" s="158"/>
      <c r="H127" s="158"/>
      <c r="I127" s="158"/>
      <c r="J127" s="158"/>
      <c r="K127" s="158"/>
      <c r="L127" s="158"/>
      <c r="M127" s="158"/>
    </row>
    <row r="128" spans="4:13" ht="20.100000000000001" customHeight="1" x14ac:dyDescent="0.25">
      <c r="D128" s="158"/>
      <c r="E128" s="158"/>
      <c r="F128" s="158"/>
      <c r="G128" s="158"/>
      <c r="H128" s="158"/>
      <c r="I128" s="158"/>
      <c r="J128" s="158"/>
      <c r="K128" s="158"/>
      <c r="L128" s="158"/>
      <c r="M128" s="158"/>
    </row>
    <row r="129" spans="4:33" ht="20.100000000000001" customHeight="1" x14ac:dyDescent="0.25">
      <c r="D129" s="221"/>
      <c r="E129" s="158"/>
      <c r="F129" s="158"/>
      <c r="G129" s="158"/>
      <c r="H129" s="158"/>
      <c r="I129" s="158"/>
      <c r="J129" s="158"/>
      <c r="K129" s="158"/>
      <c r="L129" s="158"/>
    </row>
    <row r="130" spans="4:33" ht="20.100000000000001" customHeight="1" x14ac:dyDescent="0.25">
      <c r="D130" s="222" t="s">
        <v>515</v>
      </c>
      <c r="E130" s="222" t="s">
        <v>455</v>
      </c>
      <c r="F130" s="222" t="s">
        <v>516</v>
      </c>
      <c r="G130" s="222" t="s">
        <v>458</v>
      </c>
      <c r="H130" s="222" t="s">
        <v>460</v>
      </c>
      <c r="I130" s="222" t="s">
        <v>461</v>
      </c>
      <c r="J130" s="158"/>
      <c r="K130" s="158"/>
      <c r="L130" s="158"/>
    </row>
    <row r="131" spans="4:33" ht="20.100000000000001" customHeight="1" x14ac:dyDescent="0.25">
      <c r="D131" s="223" t="str">
        <f>$D$143</f>
        <v>Petrol</v>
      </c>
      <c r="E131" s="223" t="str">
        <f>$D$143</f>
        <v>Petrol</v>
      </c>
      <c r="F131" s="223" t="str">
        <f>$D$150</f>
        <v>Avgas</v>
      </c>
      <c r="G131" s="223" t="str">
        <f>$D$143</f>
        <v>Petrol</v>
      </c>
      <c r="H131" s="223" t="str">
        <f>$D$144</f>
        <v>Diesel</v>
      </c>
      <c r="I131" s="223" t="str">
        <f>$D$143</f>
        <v>Petrol</v>
      </c>
      <c r="J131" s="158"/>
      <c r="K131" s="158"/>
      <c r="L131" s="158"/>
    </row>
    <row r="132" spans="4:33" ht="20.100000000000001" customHeight="1" x14ac:dyDescent="0.25">
      <c r="D132" s="223" t="str">
        <f>$D$144</f>
        <v>Diesel</v>
      </c>
      <c r="E132" s="223" t="str">
        <f>$D$144</f>
        <v>Diesel</v>
      </c>
      <c r="F132" s="223" t="str">
        <f>$D$151</f>
        <v>Jet A1, Jet B</v>
      </c>
      <c r="G132" s="223" t="str">
        <f>$D$144</f>
        <v>Diesel</v>
      </c>
      <c r="H132" s="223"/>
      <c r="I132" s="223" t="str">
        <f>$D$144</f>
        <v>Diesel</v>
      </c>
      <c r="J132" s="158"/>
      <c r="K132" s="158"/>
      <c r="L132" s="158"/>
    </row>
    <row r="133" spans="4:33" ht="20.100000000000001" customHeight="1" x14ac:dyDescent="0.25">
      <c r="D133" s="223" t="str">
        <f>$D$145</f>
        <v>Liquefied petroleum gas (LPG)</v>
      </c>
      <c r="E133" s="223" t="str">
        <f>$D$145</f>
        <v>Liquefied petroleum gas (LPG)</v>
      </c>
      <c r="F133" s="223" t="str">
        <f>$D$152</f>
        <v>Renewable aviation kerosene</v>
      </c>
      <c r="G133" s="223" t="str">
        <f>$D$145</f>
        <v>Liquefied petroleum gas (LPG)</v>
      </c>
      <c r="H133" s="223"/>
      <c r="I133" s="223" t="s">
        <v>462</v>
      </c>
      <c r="J133" s="158"/>
      <c r="K133" s="158"/>
      <c r="L133" s="158"/>
    </row>
    <row r="134" spans="4:33" ht="20.100000000000001" customHeight="1" x14ac:dyDescent="0.25">
      <c r="D134" s="223" t="str">
        <f>$D$146</f>
        <v>Biodiesel</v>
      </c>
      <c r="E134" s="223" t="str">
        <f>$D$146</f>
        <v>Biodiesel</v>
      </c>
      <c r="F134" s="222"/>
      <c r="G134" s="223" t="str">
        <f>$D$160</f>
        <v>Fuel oil</v>
      </c>
      <c r="H134" s="223"/>
      <c r="I134" s="223"/>
      <c r="J134" s="158"/>
      <c r="K134" s="158"/>
      <c r="L134" s="158"/>
    </row>
    <row r="135" spans="4:33" ht="20.100000000000001" customHeight="1" x14ac:dyDescent="0.25">
      <c r="D135" s="223" t="str">
        <f>$D$147</f>
        <v>Ethanol</v>
      </c>
      <c r="E135" s="223" t="str">
        <f>$D$147</f>
        <v>Ethanol</v>
      </c>
      <c r="F135" s="222"/>
      <c r="G135" s="223" t="str">
        <f>$D$147</f>
        <v>Ethanol</v>
      </c>
      <c r="H135" s="223"/>
      <c r="I135" s="223"/>
      <c r="J135" s="158"/>
      <c r="K135" s="158"/>
      <c r="L135" s="158"/>
    </row>
    <row r="136" spans="4:33" ht="20.100000000000001" customHeight="1" x14ac:dyDescent="0.25">
      <c r="D136" s="223" t="str">
        <f>$D$148</f>
        <v>Other biofuels</v>
      </c>
      <c r="E136" s="223" t="str">
        <f>$D$148</f>
        <v>Other biofuels</v>
      </c>
      <c r="F136" s="222"/>
      <c r="G136" s="223" t="str">
        <f>$D$146</f>
        <v>Biodiesel</v>
      </c>
      <c r="H136" s="223"/>
      <c r="I136" s="223"/>
      <c r="J136" s="158"/>
      <c r="K136" s="158"/>
      <c r="L136" s="158"/>
    </row>
    <row r="137" spans="4:33" ht="20.100000000000001" customHeight="1" x14ac:dyDescent="0.25">
      <c r="D137" s="223" t="str">
        <f>$D$149</f>
        <v>Renewable diesel</v>
      </c>
      <c r="E137" s="223" t="str">
        <f>$D$149</f>
        <v>Renewable diesel</v>
      </c>
      <c r="F137" s="222"/>
      <c r="G137" s="223" t="str">
        <f>$D$149</f>
        <v>Renewable diesel</v>
      </c>
      <c r="H137" s="223"/>
      <c r="I137" s="223"/>
      <c r="J137" s="158"/>
      <c r="K137" s="158"/>
      <c r="L137" s="158"/>
    </row>
    <row r="138" spans="4:33" ht="20.100000000000001" customHeight="1" x14ac:dyDescent="0.25">
      <c r="D138" s="222"/>
      <c r="E138" s="224" t="str">
        <f>$D$161</f>
        <v>Natural gas (via pipeline) in GJ</v>
      </c>
      <c r="F138" s="224"/>
      <c r="G138" s="223" t="str">
        <f>$D$148</f>
        <v>Other biofuels</v>
      </c>
      <c r="H138" s="223"/>
      <c r="I138" s="223"/>
      <c r="J138" s="158"/>
      <c r="K138" s="158"/>
      <c r="L138" s="158"/>
    </row>
    <row r="139" spans="4:33" ht="20.100000000000001" customHeight="1" x14ac:dyDescent="0.25">
      <c r="D139" s="224"/>
      <c r="E139" s="224" t="str">
        <f>$D$162</f>
        <v>Town gas in GJ</v>
      </c>
      <c r="F139" s="224"/>
      <c r="G139" s="224"/>
      <c r="H139" s="224"/>
      <c r="I139" s="224"/>
      <c r="J139" s="158"/>
      <c r="K139" s="158"/>
      <c r="L139" s="158"/>
    </row>
    <row r="140" spans="4:33" ht="20.100000000000001" customHeight="1" x14ac:dyDescent="0.25">
      <c r="D140" s="158"/>
      <c r="E140" s="158"/>
      <c r="F140" s="158"/>
      <c r="G140" s="158"/>
      <c r="H140" s="158"/>
      <c r="I140" s="158"/>
      <c r="J140" s="158"/>
      <c r="K140" s="158"/>
      <c r="L140" s="158"/>
    </row>
    <row r="141" spans="4:33" ht="20.100000000000001" customHeight="1" x14ac:dyDescent="0.25">
      <c r="D141" s="158"/>
      <c r="E141" s="158"/>
      <c r="F141" s="158"/>
      <c r="G141" s="158"/>
      <c r="H141" s="158"/>
      <c r="I141" s="158"/>
      <c r="J141" s="158"/>
      <c r="K141" s="158"/>
      <c r="L141" s="158"/>
    </row>
    <row r="142" spans="4:33" ht="20.100000000000001" customHeight="1" x14ac:dyDescent="0.25">
      <c r="D142" t="s">
        <v>517</v>
      </c>
      <c r="E142" t="s">
        <v>121</v>
      </c>
      <c r="F142" t="s">
        <v>518</v>
      </c>
      <c r="G142" s="158"/>
      <c r="H142" s="158"/>
      <c r="I142" s="158"/>
      <c r="J142" s="158"/>
      <c r="K142" s="158"/>
      <c r="L142" s="158"/>
      <c r="M142" s="158"/>
      <c r="AG142" s="1"/>
    </row>
    <row r="143" spans="4:33" ht="20.100000000000001" customHeight="1" x14ac:dyDescent="0.25">
      <c r="D143" s="223" t="s">
        <v>457</v>
      </c>
      <c r="E143" t="s">
        <v>519</v>
      </c>
      <c r="F143" t="s">
        <v>520</v>
      </c>
      <c r="G143" s="158"/>
      <c r="H143" s="158"/>
      <c r="I143" s="158"/>
      <c r="J143" s="158"/>
      <c r="K143" s="158"/>
      <c r="L143" s="158"/>
      <c r="M143" s="158"/>
      <c r="AG143" s="1"/>
    </row>
    <row r="144" spans="4:33" ht="20.100000000000001" customHeight="1" x14ac:dyDescent="0.25">
      <c r="D144" s="223" t="s">
        <v>459</v>
      </c>
      <c r="E144" t="s">
        <v>519</v>
      </c>
      <c r="F144" t="s">
        <v>520</v>
      </c>
      <c r="G144" s="158"/>
      <c r="H144" s="158"/>
      <c r="I144" s="158"/>
      <c r="J144" s="158"/>
      <c r="K144" s="158"/>
      <c r="L144" s="158"/>
      <c r="M144" s="158"/>
      <c r="AG144" s="1"/>
    </row>
    <row r="145" spans="4:33" ht="20.100000000000001" customHeight="1" x14ac:dyDescent="0.25">
      <c r="D145" s="223" t="s">
        <v>521</v>
      </c>
      <c r="E145" t="s">
        <v>519</v>
      </c>
      <c r="F145" t="s">
        <v>520</v>
      </c>
      <c r="G145" s="158"/>
      <c r="H145" s="158"/>
      <c r="I145" s="158"/>
      <c r="J145" s="158"/>
      <c r="K145" s="158"/>
      <c r="L145" s="158"/>
      <c r="M145" s="158"/>
      <c r="AG145" s="1"/>
    </row>
    <row r="146" spans="4:33" ht="20.100000000000001" customHeight="1" x14ac:dyDescent="0.25">
      <c r="D146" s="223" t="s">
        <v>522</v>
      </c>
      <c r="E146" t="s">
        <v>519</v>
      </c>
      <c r="F146" t="s">
        <v>520</v>
      </c>
      <c r="G146" s="158"/>
      <c r="H146" s="158"/>
      <c r="I146" s="158"/>
      <c r="J146" s="158"/>
      <c r="K146" s="158"/>
      <c r="L146" s="158"/>
      <c r="M146" s="158"/>
      <c r="AG146" s="1"/>
    </row>
    <row r="147" spans="4:33" ht="20.100000000000001" customHeight="1" x14ac:dyDescent="0.25">
      <c r="D147" s="223" t="s">
        <v>523</v>
      </c>
      <c r="E147" t="s">
        <v>519</v>
      </c>
      <c r="F147" t="s">
        <v>520</v>
      </c>
      <c r="G147" s="158"/>
      <c r="H147" s="158"/>
      <c r="I147" s="158"/>
      <c r="J147" s="158"/>
      <c r="K147" s="158"/>
      <c r="L147" s="158"/>
      <c r="M147" s="158"/>
      <c r="AG147" s="1"/>
    </row>
    <row r="148" spans="4:33" ht="20.100000000000001" customHeight="1" x14ac:dyDescent="0.25">
      <c r="D148" s="223" t="s">
        <v>524</v>
      </c>
      <c r="E148" t="s">
        <v>519</v>
      </c>
      <c r="F148" t="s">
        <v>520</v>
      </c>
      <c r="G148" s="158"/>
      <c r="H148" s="158"/>
      <c r="I148" s="158"/>
      <c r="J148" s="158"/>
      <c r="K148" s="158"/>
      <c r="L148" s="158"/>
      <c r="M148" s="158"/>
      <c r="AG148" s="1"/>
    </row>
    <row r="149" spans="4:33" ht="20.100000000000001" customHeight="1" x14ac:dyDescent="0.25">
      <c r="D149" s="223" t="s">
        <v>525</v>
      </c>
      <c r="E149" t="s">
        <v>519</v>
      </c>
      <c r="F149" t="s">
        <v>520</v>
      </c>
      <c r="G149" s="158"/>
      <c r="H149" s="158"/>
      <c r="I149" s="158"/>
      <c r="J149" s="158"/>
      <c r="K149" s="158"/>
      <c r="L149" s="158"/>
      <c r="M149" s="158"/>
      <c r="AG149" s="1"/>
    </row>
    <row r="150" spans="4:33" ht="20.100000000000001" customHeight="1" x14ac:dyDescent="0.25">
      <c r="D150" s="223" t="s">
        <v>526</v>
      </c>
      <c r="E150" t="s">
        <v>519</v>
      </c>
      <c r="F150" t="s">
        <v>520</v>
      </c>
      <c r="G150" s="158"/>
      <c r="H150" s="158"/>
      <c r="I150" s="158"/>
      <c r="J150" s="158"/>
      <c r="K150" s="158"/>
      <c r="L150" s="158"/>
      <c r="M150" s="158"/>
      <c r="AG150" s="1"/>
    </row>
    <row r="151" spans="4:33" ht="20.100000000000001" customHeight="1" x14ac:dyDescent="0.25">
      <c r="D151" s="223" t="s">
        <v>527</v>
      </c>
      <c r="E151" t="s">
        <v>519</v>
      </c>
      <c r="F151" t="s">
        <v>520</v>
      </c>
      <c r="G151" s="158"/>
      <c r="H151" s="158"/>
      <c r="I151" s="158"/>
      <c r="J151" s="158"/>
      <c r="K151" s="158"/>
      <c r="L151" s="158"/>
      <c r="M151" s="158"/>
      <c r="AG151" s="1"/>
    </row>
    <row r="152" spans="4:33" ht="20.100000000000001" customHeight="1" x14ac:dyDescent="0.25">
      <c r="D152" s="225" t="s">
        <v>528</v>
      </c>
      <c r="E152" s="8" t="s">
        <v>519</v>
      </c>
      <c r="F152" t="s">
        <v>520</v>
      </c>
      <c r="G152" s="158"/>
      <c r="H152" s="158"/>
      <c r="I152" s="158"/>
      <c r="J152" s="158"/>
      <c r="K152" s="158"/>
      <c r="L152" s="158"/>
      <c r="M152" s="158"/>
      <c r="AG152" s="1"/>
    </row>
    <row r="153" spans="4:33" ht="20.100000000000001" customHeight="1" x14ac:dyDescent="0.25">
      <c r="D153" s="225" t="s">
        <v>529</v>
      </c>
      <c r="E153" s="8" t="s">
        <v>519</v>
      </c>
      <c r="F153" t="s">
        <v>520</v>
      </c>
      <c r="G153" s="158"/>
      <c r="H153" s="158"/>
      <c r="I153" s="158"/>
      <c r="J153" s="158"/>
      <c r="K153" s="158"/>
      <c r="L153" s="158"/>
      <c r="M153" s="158"/>
      <c r="AG153" s="1"/>
    </row>
    <row r="154" spans="4:33" ht="20.100000000000001" customHeight="1" x14ac:dyDescent="0.25">
      <c r="D154" s="225" t="s">
        <v>530</v>
      </c>
      <c r="E154" s="8" t="s">
        <v>519</v>
      </c>
      <c r="F154" t="s">
        <v>520</v>
      </c>
      <c r="G154" s="158"/>
      <c r="H154" s="158"/>
      <c r="I154" s="158"/>
      <c r="J154" s="158"/>
      <c r="K154" s="158"/>
      <c r="L154" s="158"/>
      <c r="M154" s="158"/>
      <c r="AG154" s="1"/>
    </row>
    <row r="155" spans="4:33" ht="20.100000000000001" customHeight="1" x14ac:dyDescent="0.25">
      <c r="D155" s="225" t="s">
        <v>531</v>
      </c>
      <c r="E155" s="8" t="s">
        <v>519</v>
      </c>
      <c r="F155" t="s">
        <v>520</v>
      </c>
      <c r="G155" s="158"/>
      <c r="H155" s="158"/>
      <c r="I155" s="158"/>
      <c r="J155" s="158"/>
      <c r="K155" s="158"/>
      <c r="L155" s="158"/>
      <c r="M155" s="158"/>
      <c r="AG155" s="1"/>
    </row>
    <row r="156" spans="4:33" ht="20.100000000000001" customHeight="1" x14ac:dyDescent="0.25">
      <c r="D156" s="225" t="s">
        <v>532</v>
      </c>
      <c r="E156" s="8" t="s">
        <v>519</v>
      </c>
      <c r="F156" t="s">
        <v>520</v>
      </c>
      <c r="G156" s="158"/>
      <c r="H156" s="158"/>
      <c r="I156" s="158"/>
      <c r="J156" s="158"/>
      <c r="K156" s="158"/>
      <c r="L156" s="158"/>
      <c r="M156" s="158"/>
      <c r="AG156" s="1"/>
    </row>
    <row r="157" spans="4:33" ht="20.100000000000001" customHeight="1" x14ac:dyDescent="0.25">
      <c r="D157" s="225" t="s">
        <v>533</v>
      </c>
      <c r="E157" s="8" t="s">
        <v>519</v>
      </c>
      <c r="F157" t="s">
        <v>520</v>
      </c>
      <c r="G157" s="158"/>
      <c r="H157" s="158"/>
      <c r="I157" s="158"/>
      <c r="J157" s="158"/>
      <c r="K157" s="158"/>
      <c r="L157" s="158"/>
      <c r="M157" s="158"/>
      <c r="AG157" s="1"/>
    </row>
    <row r="158" spans="4:33" ht="20.100000000000001" customHeight="1" x14ac:dyDescent="0.25">
      <c r="D158" s="225" t="s">
        <v>534</v>
      </c>
      <c r="E158" s="8" t="s">
        <v>519</v>
      </c>
      <c r="F158" t="s">
        <v>520</v>
      </c>
      <c r="G158" s="158"/>
      <c r="H158" s="158"/>
      <c r="I158" s="158"/>
      <c r="J158" s="158"/>
      <c r="K158" s="158"/>
      <c r="L158" s="158"/>
      <c r="M158" s="158"/>
      <c r="AG158" s="1"/>
    </row>
    <row r="159" spans="4:33" ht="20.100000000000001" customHeight="1" x14ac:dyDescent="0.25">
      <c r="D159" s="225" t="s">
        <v>535</v>
      </c>
      <c r="E159" s="8" t="s">
        <v>519</v>
      </c>
      <c r="F159" t="s">
        <v>520</v>
      </c>
      <c r="G159" s="158"/>
      <c r="H159" s="158"/>
      <c r="I159" s="158"/>
      <c r="J159" s="158"/>
      <c r="K159" s="158"/>
      <c r="L159" s="158"/>
      <c r="M159" s="158"/>
      <c r="AG159" s="1"/>
    </row>
    <row r="160" spans="4:33" ht="20.100000000000001" customHeight="1" x14ac:dyDescent="0.25">
      <c r="D160" s="225" t="s">
        <v>462</v>
      </c>
      <c r="E160" s="8" t="s">
        <v>519</v>
      </c>
      <c r="F160" t="s">
        <v>520</v>
      </c>
      <c r="G160" s="158"/>
      <c r="H160" s="158"/>
      <c r="I160" s="158"/>
      <c r="J160" s="158"/>
      <c r="K160" s="158"/>
      <c r="L160" s="158"/>
      <c r="M160" s="158"/>
      <c r="AG160" s="1"/>
    </row>
    <row r="161" spans="4:33" ht="20.100000000000001" customHeight="1" x14ac:dyDescent="0.25">
      <c r="D161" s="224" t="s">
        <v>536</v>
      </c>
      <c r="E161" s="158" t="s">
        <v>537</v>
      </c>
      <c r="F161" s="158" t="s">
        <v>537</v>
      </c>
      <c r="G161" s="158"/>
      <c r="H161" s="158"/>
      <c r="I161" s="158"/>
      <c r="J161" s="158"/>
      <c r="K161" s="158"/>
      <c r="L161" s="158"/>
      <c r="M161" s="158"/>
      <c r="AG161" s="1"/>
    </row>
    <row r="162" spans="4:33" ht="20.100000000000001" customHeight="1" x14ac:dyDescent="0.25">
      <c r="D162" s="158" t="s">
        <v>456</v>
      </c>
      <c r="E162" s="158" t="s">
        <v>537</v>
      </c>
      <c r="F162" s="158" t="s">
        <v>537</v>
      </c>
      <c r="G162" s="158"/>
      <c r="H162" s="158"/>
      <c r="I162" s="158"/>
      <c r="J162" s="158"/>
      <c r="K162" s="158"/>
      <c r="L162" s="158"/>
      <c r="M162" s="158"/>
      <c r="AG162" s="1"/>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4D6B-B1C4-415B-A9F2-892F0346ADDE}">
  <sheetPr>
    <tabColor theme="2" tint="-0.499984740745262"/>
  </sheetPr>
  <dimension ref="A1:Q238"/>
  <sheetViews>
    <sheetView showGridLines="0" topLeftCell="A90" zoomScaleNormal="100" workbookViewId="0">
      <selection activeCell="A49" sqref="A49"/>
    </sheetView>
  </sheetViews>
  <sheetFormatPr defaultRowHeight="15.75" x14ac:dyDescent="0.25"/>
  <cols>
    <col min="1" max="1" width="35" style="238" customWidth="1"/>
    <col min="2" max="2" width="5.28515625" style="238" customWidth="1"/>
    <col min="3" max="3" width="5.28515625" style="1" customWidth="1"/>
    <col min="4" max="16" width="35" style="1" customWidth="1"/>
    <col min="17" max="17" width="9.140625" style="1"/>
    <col min="18" max="16384" width="9.140625" style="238"/>
  </cols>
  <sheetData>
    <row r="1" spans="1:17" ht="30" customHeight="1" x14ac:dyDescent="0.35">
      <c r="A1" s="16" t="e" vm="1">
        <v>#VALUE!</v>
      </c>
      <c r="C1" s="238"/>
      <c r="D1" s="238"/>
      <c r="E1" s="238"/>
      <c r="F1" s="238"/>
      <c r="G1" s="238"/>
      <c r="H1" s="238"/>
      <c r="I1" s="238"/>
      <c r="J1" s="238"/>
      <c r="K1" s="238"/>
      <c r="L1" s="238"/>
      <c r="M1" s="238"/>
      <c r="N1" s="238"/>
      <c r="O1" s="238"/>
      <c r="P1" s="238"/>
      <c r="Q1" s="238"/>
    </row>
    <row r="2" spans="1:17" ht="20.100000000000001" customHeight="1" x14ac:dyDescent="0.25">
      <c r="A2"/>
      <c r="C2" s="238"/>
      <c r="D2" s="238"/>
      <c r="E2" s="238"/>
      <c r="F2" s="238"/>
      <c r="G2" s="238"/>
      <c r="H2" s="238"/>
      <c r="I2" s="238"/>
      <c r="J2" s="238"/>
      <c r="K2" s="238"/>
      <c r="L2" s="238"/>
      <c r="M2" s="238"/>
      <c r="N2" s="238"/>
      <c r="O2" s="238"/>
      <c r="P2" s="238"/>
      <c r="Q2" s="238"/>
    </row>
    <row r="3" spans="1:17" ht="20.100000000000001" customHeight="1" x14ac:dyDescent="0.25">
      <c r="A3" s="5" t="str">
        <f>HYPERLINK("#'Home'!A1", "Home")</f>
        <v>Home</v>
      </c>
    </row>
    <row r="4" spans="1:17" ht="20.100000000000001" customHeight="1" x14ac:dyDescent="0.25">
      <c r="A4" s="5" t="str">
        <f>HYPERLINK("#'Overview'!A1", "Overview")</f>
        <v>Overview</v>
      </c>
    </row>
    <row r="5" spans="1:17" ht="20.100000000000001" customHeight="1" x14ac:dyDescent="0.25">
      <c r="A5" s="5" t="str">
        <f>HYPERLINK("#'Results'!A1", "Results")</f>
        <v>Results</v>
      </c>
    </row>
    <row r="6" spans="1:17" ht="20.100000000000001" customHeight="1" x14ac:dyDescent="0.25">
      <c r="A6"/>
    </row>
    <row r="7" spans="1:17" ht="20.100000000000001" customHeight="1" x14ac:dyDescent="0.25">
      <c r="A7"/>
    </row>
    <row r="8" spans="1:17" ht="20.100000000000001" customHeight="1" x14ac:dyDescent="0.25">
      <c r="A8" s="7" t="s">
        <v>0</v>
      </c>
    </row>
    <row r="9" spans="1:17" ht="20.100000000000001" customHeight="1" x14ac:dyDescent="0.25">
      <c r="A9" s="5" t="str">
        <f>HYPERLINK("#'Input - Enterprise'!A1", "Enterprise")</f>
        <v>Enterprise</v>
      </c>
    </row>
    <row r="10" spans="1:17" ht="20.100000000000001" customHeight="1" x14ac:dyDescent="0.25">
      <c r="A10" s="5" t="str">
        <f>HYPERLINK("#'Input - Site'!A1", "Site")</f>
        <v>Site</v>
      </c>
    </row>
    <row r="11" spans="1:17" ht="20.100000000000001" customHeight="1" x14ac:dyDescent="0.25">
      <c r="A11" s="5" t="str">
        <f>HYPERLINK("#'Input - Crop'!A1", "Crop")</f>
        <v>Crop</v>
      </c>
    </row>
    <row r="12" spans="1:17" ht="20.100000000000001" customHeight="1" x14ac:dyDescent="0.25">
      <c r="A12" s="5" t="str">
        <f>HYPERLINK("#'Input - Fert Prod System'!A1", "Fert Prod System")</f>
        <v>Fert Prod System</v>
      </c>
    </row>
    <row r="13" spans="1:17" ht="20.100000000000001" customHeight="1" x14ac:dyDescent="0.25">
      <c r="A13" s="5" t="str">
        <f>HYPERLINK("#'Input - Fertiliser'!A1", "Fertiliser")</f>
        <v>Fertiliser</v>
      </c>
    </row>
    <row r="14" spans="1:17" ht="20.100000000000001" customHeight="1" x14ac:dyDescent="0.25">
      <c r="A14" s="5" t="str">
        <f>HYPERLINK("#'Input - Fuel'!A1", "Fuel")</f>
        <v>Fuel</v>
      </c>
    </row>
    <row r="15" spans="1:17" ht="20.100000000000001" customHeight="1" x14ac:dyDescent="0.25">
      <c r="A15" s="5" t="str">
        <f>HYPERLINK("#'Input - Electricity'!A1", "Electricity")</f>
        <v>Electricity</v>
      </c>
    </row>
    <row r="16" spans="1:17" ht="20.100000000000001" customHeight="1" x14ac:dyDescent="0.25">
      <c r="A16" s="5" t="str">
        <f>HYPERLINK("#'Input - Farm Inputs'!A1", "Farm Inputs")</f>
        <v>Farm Inputs</v>
      </c>
    </row>
    <row r="17" spans="1:11" ht="20.100000000000001" customHeight="1" x14ac:dyDescent="0.25">
      <c r="A17" s="5" t="str">
        <f>HYPERLINK("#'Input - Freight'!A1", "Freight")</f>
        <v>Freight</v>
      </c>
    </row>
    <row r="18" spans="1:11" ht="20.100000000000001" customHeight="1" x14ac:dyDescent="0.25">
      <c r="A18" s="5" t="str">
        <f>HYPERLINK("#'Input - Manure sent off-site'!A1", "Manure sent off-site")</f>
        <v>Manure sent off-site</v>
      </c>
    </row>
    <row r="19" spans="1:11" ht="20.100000000000001" customHeight="1" x14ac:dyDescent="0.25">
      <c r="A19" s="5" t="str">
        <f>HYPERLINK("#'Input - Solid waste'!A1", "Solid waste")</f>
        <v>Solid waste</v>
      </c>
    </row>
    <row r="20" spans="1:11" ht="20.100000000000001" customHeight="1" x14ac:dyDescent="0.25">
      <c r="A20" s="5" t="str">
        <f>HYPERLINK("#'Input - Data quality'!A1", "Data quality")</f>
        <v>Data quality</v>
      </c>
    </row>
    <row r="21" spans="1:11" ht="20.100000000000001" customHeight="1" x14ac:dyDescent="0.25">
      <c r="A21"/>
    </row>
    <row r="22" spans="1:11" ht="20.100000000000001" customHeight="1" x14ac:dyDescent="0.25">
      <c r="A22"/>
    </row>
    <row r="23" spans="1:11" ht="20.100000000000001" customHeight="1" x14ac:dyDescent="0.25">
      <c r="A23" s="6" t="s">
        <v>2</v>
      </c>
    </row>
    <row r="24" spans="1:11" ht="20.100000000000001" customHeight="1" x14ac:dyDescent="0.25">
      <c r="A24" s="5" t="str">
        <f>HYPERLINK("#'5.1.1.1-2 Inorganic fert N2O'!A1", "5.1.1.1-2 Inorganic fert N2O")</f>
        <v>5.1.1.1-2 Inorganic fert N2O</v>
      </c>
    </row>
    <row r="25" spans="1:11" ht="20.100000000000001" customHeight="1" x14ac:dyDescent="0.25">
      <c r="A25" s="5" t="str">
        <f>HYPERLINK("#'5.1.1.3-4 Inorganic fert CO2'!A1", "5.1.1.3-4 Inorganic fert CO2")</f>
        <v>5.1.1.3-4 Inorganic fert CO2</v>
      </c>
    </row>
    <row r="26" spans="1:11" ht="20.100000000000001" customHeight="1" x14ac:dyDescent="0.25">
      <c r="A26" s="5" t="str">
        <f>HYPERLINK("#'5.2.1.1-2 Organic Fert N2O'!A1", "5.2.1.1-2 Organic fert N2O")</f>
        <v>5.2.1.1-2 Organic fert N2O</v>
      </c>
    </row>
    <row r="27" spans="1:11" ht="20.100000000000001" customHeight="1" x14ac:dyDescent="0.25">
      <c r="A27" s="5" t="str">
        <f>HYPERLINK("#'5.3.1.1-2 Lime CO2'!A1", "5.3.1.1-2 Lime CO2")</f>
        <v>5.3.1.1-2 Lime CO2</v>
      </c>
    </row>
    <row r="28" spans="1:11" ht="20.100000000000001" customHeight="1" x14ac:dyDescent="0.25">
      <c r="A28" s="5" t="str">
        <f>HYPERLINK("#'5.4.1.1-4 Atmos deposition'!A1", "5.4.1.1-4 Atmos. deposition")</f>
        <v>5.4.1.1-4 Atmos. deposition</v>
      </c>
    </row>
    <row r="29" spans="1:11" ht="20.100000000000001" customHeight="1" x14ac:dyDescent="0.25">
      <c r="A29" s="5" t="str">
        <f>HYPERLINK("#'5.5.1.1-2 Leaching and runoff'!A1", "5.5.1.1-2 Leaching &amp; runoff")</f>
        <v>5.5.1.1-2 Leaching &amp; runoff</v>
      </c>
    </row>
    <row r="30" spans="1:11" ht="20.100000000000001" customHeight="1" x14ac:dyDescent="0.25">
      <c r="A30" s="5" t="str">
        <f>HYPERLINK("#'6.1.1.1-2 Crop residue N2O'!A1", "6.1.1.1-2 Crop residue N2O")</f>
        <v>6.1.1.1-2 Crop residue N2O</v>
      </c>
    </row>
    <row r="31" spans="1:11" ht="20.100000000000001" customHeight="1" x14ac:dyDescent="0.25">
      <c r="A31" s="5" t="str">
        <f>HYPERLINK("#'6.3.1.1-2 Leach runoff crop'!A1", "6.3.1.1-2 Leach &amp; runoff (crop)")</f>
        <v>6.3.1.1-2 Leach &amp; runoff (crop)</v>
      </c>
    </row>
    <row r="32" spans="1:11" ht="20.100000000000001" customHeight="1" x14ac:dyDescent="0.25">
      <c r="A32" s="5" t="str">
        <f>HYPERLINK("#'6.4.1.1-2 Residue burning'!A1", "6.4.1.1-2 Residue burning")</f>
        <v>6.4.1.1-2 Residue burning</v>
      </c>
      <c r="D32" s="2" t="s">
        <v>940</v>
      </c>
      <c r="K32" s="1" t="s">
        <v>941</v>
      </c>
    </row>
    <row r="33" spans="1:12" ht="20.100000000000001" customHeight="1" x14ac:dyDescent="0.25">
      <c r="A33" s="5" t="str">
        <f>HYPERLINK("#'8.1.1.1-2 Transport fuel'!A1", "8.1.1.1-2 Transport fuel")</f>
        <v>8.1.1.1-2 Transport fuel</v>
      </c>
      <c r="D33" s="30" t="s">
        <v>942</v>
      </c>
      <c r="E33" s="30" t="s">
        <v>137</v>
      </c>
      <c r="F33" s="30" t="s">
        <v>943</v>
      </c>
      <c r="G33" s="30" t="s">
        <v>944</v>
      </c>
      <c r="H33" s="30" t="s">
        <v>945</v>
      </c>
      <c r="I33" s="30" t="s">
        <v>946</v>
      </c>
      <c r="K33" s="30" t="s">
        <v>947</v>
      </c>
      <c r="L33" s="30" t="s">
        <v>948</v>
      </c>
    </row>
    <row r="34" spans="1:12" ht="20.100000000000001" customHeight="1" x14ac:dyDescent="0.25">
      <c r="A34" s="5" t="str">
        <f>HYPERLINK("#'8.2.1.1-2 Stationary fuel'!A1", "8.2.1.1-2 Stationary fuel")</f>
        <v>8.2.1.1-2 Stationary fuel</v>
      </c>
      <c r="D34" s="30" t="str" cm="1">
        <f t="array" ref="D34">Common_InputFunctions.Utility_DisplayArrayInTable(Scope3_SourceData.Scope3_Livestock_Data(), Table_SourceData_Scope3_Animals[[#Headers],[Category]], 0, 2)</f>
        <v>Beef cattle</v>
      </c>
      <c r="E34" s="30" t="str" cm="1">
        <f t="array" ref="E34">Common_InputFunctions.Utility_DisplayArrayInTable(Scope3_SourceData.Scope3_Livestock_Data(), Table_SourceData_Scope3_Animals[[#Headers],[Category]], 0, 2)</f>
        <v>Cattle, for manufacturing beef</v>
      </c>
      <c r="F34" s="30" t="str" cm="1">
        <f t="array" ref="F34">Common_InputFunctions.Utility_DisplayArrayInTable(Scope3_SourceData.Scope3_Livestock_Data(), Table_SourceData_Scope3_Animals[[#Headers],[Category]], 0, 2)</f>
        <v>Australia</v>
      </c>
      <c r="G34" s="30" t="str" cm="1">
        <f t="array" ref="G34">Common_InputFunctions.Utility_DisplayArrayInTable(Scope3_SourceData.Scope3_Livestock_Data(), Table_SourceData_Scope3_Animals[[#Headers],[Category]], 0, 2)</f>
        <v>kg liveweight</v>
      </c>
      <c r="H34" s="30" cm="1">
        <f t="array" ref="H34">Common_InputFunctions.Utility_DisplayArrayInTable(Scope3_SourceData.Scope3_Livestock_Data(), Table_SourceData_Scope3_Animals[[#Headers],[Category]], 0, 2)</f>
        <v>11</v>
      </c>
      <c r="I34" s="30" t="str" cm="1">
        <f t="array" ref="I34">Common_InputFunctions.Utility_DisplayArrayInTable(Scope3_SourceData.Scope3_Livestock_Data(), Table_SourceData_Scope3_Animals[[#Headers],[Category]], 0, 2)</f>
        <v>at market</v>
      </c>
      <c r="K34" s="30" t="s">
        <v>949</v>
      </c>
      <c r="L34" s="30" t="s">
        <v>756</v>
      </c>
    </row>
    <row r="35" spans="1:12" ht="20.100000000000001" customHeight="1" x14ac:dyDescent="0.25">
      <c r="A35" s="5" t="str">
        <f>HYPERLINK("#'14.1.1-2 Purchased electricity'!A1", "14.1.1-2 Purchased electricity")</f>
        <v>14.1.1-2 Purchased electricity</v>
      </c>
      <c r="D35" s="30" t="str" cm="1">
        <f t="array" ref="D35">Common_InputFunctions.Utility_DisplayArrayInTable(Scope3_SourceData.Scope3_Livestock_Data(), Table_SourceData_Scope3_Animals[[#Headers],[Category]], 0, 2)</f>
        <v>Beef cattle</v>
      </c>
      <c r="E35" s="30" t="str" cm="1">
        <f t="array" ref="E35">Common_InputFunctions.Utility_DisplayArrayInTable(Scope3_SourceData.Scope3_Livestock_Data(), Table_SourceData_Scope3_Animals[[#Headers],[Category]], 0, 2)</f>
        <v>Cattle, for manufacturing beef</v>
      </c>
      <c r="F35" s="30" t="str" cm="1">
        <f t="array" ref="F35">Common_InputFunctions.Utility_DisplayArrayInTable(Scope3_SourceData.Scope3_Livestock_Data(), Table_SourceData_Scope3_Animals[[#Headers],[Category]], 0, 2)</f>
        <v>NSW</v>
      </c>
      <c r="G35" s="30" t="str" cm="1">
        <f t="array" ref="G35">Common_InputFunctions.Utility_DisplayArrayInTable(Scope3_SourceData.Scope3_Livestock_Data(), Table_SourceData_Scope3_Animals[[#Headers],[Category]], 0, 2)</f>
        <v>kg liveweight</v>
      </c>
      <c r="H35" s="30" cm="1">
        <f t="array" ref="H35">Common_InputFunctions.Utility_DisplayArrayInTable(Scope3_SourceData.Scope3_Livestock_Data(), Table_SourceData_Scope3_Animals[[#Headers],[Category]], 0, 2)</f>
        <v>8.2100000000000009</v>
      </c>
      <c r="I35" s="30" t="str" cm="1">
        <f t="array" ref="I35">Common_InputFunctions.Utility_DisplayArrayInTable(Scope3_SourceData.Scope3_Livestock_Data(), Table_SourceData_Scope3_Animals[[#Headers],[Category]], 0, 2)</f>
        <v>at market</v>
      </c>
      <c r="K35" s="30" t="s">
        <v>756</v>
      </c>
      <c r="L35" s="30" t="s">
        <v>756</v>
      </c>
    </row>
    <row r="36" spans="1:12" ht="20.100000000000001" customHeight="1" x14ac:dyDescent="0.25">
      <c r="A36" s="5" t="str">
        <f>HYPERLINK("#'15 Scope 3'!A1", "15 Scope 3")</f>
        <v>15 Scope 3</v>
      </c>
      <c r="D36" s="30" t="str" cm="1">
        <f t="array" ref="D36">Common_InputFunctions.Utility_DisplayArrayInTable(Scope3_SourceData.Scope3_Livestock_Data(), Table_SourceData_Scope3_Animals[[#Headers],[Category]], 0, 2)</f>
        <v>Beef cattle</v>
      </c>
      <c r="E36" s="30" t="str" cm="1">
        <f t="array" ref="E36">Common_InputFunctions.Utility_DisplayArrayInTable(Scope3_SourceData.Scope3_Livestock_Data(), Table_SourceData_Scope3_Animals[[#Headers],[Category]], 0, 2)</f>
        <v>Cattle, for manufacturing beef</v>
      </c>
      <c r="F36" s="30" t="str" cm="1">
        <f t="array" ref="F36">Common_InputFunctions.Utility_DisplayArrayInTable(Scope3_SourceData.Scope3_Livestock_Data(), Table_SourceData_Scope3_Animals[[#Headers],[Category]], 0, 2)</f>
        <v>NT</v>
      </c>
      <c r="G36" s="30" t="str" cm="1">
        <f t="array" ref="G36">Common_InputFunctions.Utility_DisplayArrayInTable(Scope3_SourceData.Scope3_Livestock_Data(), Table_SourceData_Scope3_Animals[[#Headers],[Category]], 0, 2)</f>
        <v>kg liveweight</v>
      </c>
      <c r="H36" s="30" cm="1">
        <f t="array" ref="H36">Common_InputFunctions.Utility_DisplayArrayInTable(Scope3_SourceData.Scope3_Livestock_Data(), Table_SourceData_Scope3_Animals[[#Headers],[Category]], 0, 2)</f>
        <v>12.2</v>
      </c>
      <c r="I36" s="30" t="str" cm="1">
        <f t="array" ref="I36">Common_InputFunctions.Utility_DisplayArrayInTable(Scope3_SourceData.Scope3_Livestock_Data(), Table_SourceData_Scope3_Animals[[#Headers],[Category]], 0, 2)</f>
        <v>at market</v>
      </c>
      <c r="K36" s="30" t="s">
        <v>748</v>
      </c>
      <c r="L36" s="30" t="s">
        <v>748</v>
      </c>
    </row>
    <row r="37" spans="1:12" ht="20.100000000000001" customHeight="1" x14ac:dyDescent="0.25">
      <c r="A37" s="5" t="str">
        <f>HYPERLINK("#'Calcs - Manure sent off-site'!A1", "Calcs - Manure sent off-site")</f>
        <v>Calcs - Manure sent off-site</v>
      </c>
      <c r="D37" s="30" t="str" cm="1">
        <f t="array" ref="D37">Common_InputFunctions.Utility_DisplayArrayInTable(Scope3_SourceData.Scope3_Livestock_Data(), Table_SourceData_Scope3_Animals[[#Headers],[Category]], 0, 2)</f>
        <v>Beef cattle</v>
      </c>
      <c r="E37" s="30" t="str" cm="1">
        <f t="array" ref="E37">Common_InputFunctions.Utility_DisplayArrayInTable(Scope3_SourceData.Scope3_Livestock_Data(), Table_SourceData_Scope3_Animals[[#Headers],[Category]], 0, 2)</f>
        <v>Cattle, for manufacturing beef</v>
      </c>
      <c r="F37" s="30" t="str" cm="1">
        <f t="array" ref="F37">Common_InputFunctions.Utility_DisplayArrayInTable(Scope3_SourceData.Scope3_Livestock_Data(), Table_SourceData_Scope3_Animals[[#Headers],[Category]], 0, 2)</f>
        <v>QLD</v>
      </c>
      <c r="G37" s="30" t="str" cm="1">
        <f t="array" ref="G37">Common_InputFunctions.Utility_DisplayArrayInTable(Scope3_SourceData.Scope3_Livestock_Data(), Table_SourceData_Scope3_Animals[[#Headers],[Category]], 0, 2)</f>
        <v>kg liveweight</v>
      </c>
      <c r="H37" s="30" cm="1">
        <f t="array" ref="H37">Common_InputFunctions.Utility_DisplayArrayInTable(Scope3_SourceData.Scope3_Livestock_Data(), Table_SourceData_Scope3_Animals[[#Headers],[Category]], 0, 2)</f>
        <v>10.9</v>
      </c>
      <c r="I37" s="30" t="str" cm="1">
        <f t="array" ref="I37">Common_InputFunctions.Utility_DisplayArrayInTable(Scope3_SourceData.Scope3_Livestock_Data(), Table_SourceData_Scope3_Animals[[#Headers],[Category]], 0, 2)</f>
        <v>at market</v>
      </c>
      <c r="K37" s="30" t="s">
        <v>950</v>
      </c>
      <c r="L37" s="30" t="s">
        <v>950</v>
      </c>
    </row>
    <row r="38" spans="1:12" ht="20.100000000000001" customHeight="1" x14ac:dyDescent="0.25">
      <c r="A38" s="5" t="str">
        <f>HYPERLINK("#'10.1.1-2 Solid waste treatment'!A1", "10.1.1-2 Solid waste treatment")</f>
        <v>10.1.1-2 Solid waste treatment</v>
      </c>
      <c r="D38" s="30" t="str" cm="1">
        <f t="array" ref="D38">Common_InputFunctions.Utility_DisplayArrayInTable(Scope3_SourceData.Scope3_Livestock_Data(), Table_SourceData_Scope3_Animals[[#Headers],[Category]], 0, 2)</f>
        <v>Beef cattle</v>
      </c>
      <c r="E38" s="30" t="str" cm="1">
        <f t="array" ref="E38">Common_InputFunctions.Utility_DisplayArrayInTable(Scope3_SourceData.Scope3_Livestock_Data(), Table_SourceData_Scope3_Animals[[#Headers],[Category]], 0, 2)</f>
        <v>Cattle, for manufacturing beef</v>
      </c>
      <c r="F38" s="30" t="str" cm="1">
        <f t="array" ref="F38">Common_InputFunctions.Utility_DisplayArrayInTable(Scope3_SourceData.Scope3_Livestock_Data(), Table_SourceData_Scope3_Animals[[#Headers],[Category]], 0, 2)</f>
        <v>SA</v>
      </c>
      <c r="G38" s="30" t="str" cm="1">
        <f t="array" ref="G38">Common_InputFunctions.Utility_DisplayArrayInTable(Scope3_SourceData.Scope3_Livestock_Data(), Table_SourceData_Scope3_Animals[[#Headers],[Category]], 0, 2)</f>
        <v>kg liveweight</v>
      </c>
      <c r="H38" s="30" cm="1">
        <f t="array" ref="H38">Common_InputFunctions.Utility_DisplayArrayInTable(Scope3_SourceData.Scope3_Livestock_Data(), Table_SourceData_Scope3_Animals[[#Headers],[Category]], 0, 2)</f>
        <v>7.63</v>
      </c>
      <c r="I38" s="30" t="str" cm="1">
        <f t="array" ref="I38">Common_InputFunctions.Utility_DisplayArrayInTable(Scope3_SourceData.Scope3_Livestock_Data(), Table_SourceData_Scope3_Animals[[#Headers],[Category]], 0, 2)</f>
        <v>at market</v>
      </c>
      <c r="K38" s="30" t="s">
        <v>759</v>
      </c>
      <c r="L38" s="30" t="s">
        <v>759</v>
      </c>
    </row>
    <row r="39" spans="1:12" ht="20.100000000000001" customHeight="1" x14ac:dyDescent="0.25">
      <c r="A39"/>
      <c r="D39" s="30" t="str" cm="1">
        <f t="array" ref="D39">Common_InputFunctions.Utility_DisplayArrayInTable(Scope3_SourceData.Scope3_Livestock_Data(), Table_SourceData_Scope3_Animals[[#Headers],[Category]], 0, 2)</f>
        <v>Beef cattle</v>
      </c>
      <c r="E39" s="30" t="str" cm="1">
        <f t="array" ref="E39">Common_InputFunctions.Utility_DisplayArrayInTable(Scope3_SourceData.Scope3_Livestock_Data(), Table_SourceData_Scope3_Animals[[#Headers],[Category]], 0, 2)</f>
        <v>Cattle, for manufacturing beef</v>
      </c>
      <c r="F39" s="30" t="str" cm="1">
        <f t="array" ref="F39">Common_InputFunctions.Utility_DisplayArrayInTable(Scope3_SourceData.Scope3_Livestock_Data(), Table_SourceData_Scope3_Animals[[#Headers],[Category]], 0, 2)</f>
        <v>TAS</v>
      </c>
      <c r="G39" s="30" t="str" cm="1">
        <f t="array" ref="G39">Common_InputFunctions.Utility_DisplayArrayInTable(Scope3_SourceData.Scope3_Livestock_Data(), Table_SourceData_Scope3_Animals[[#Headers],[Category]], 0, 2)</f>
        <v>kg liveweight</v>
      </c>
      <c r="H39" s="30" cm="1">
        <f t="array" ref="H39">Common_InputFunctions.Utility_DisplayArrayInTable(Scope3_SourceData.Scope3_Livestock_Data(), Table_SourceData_Scope3_Animals[[#Headers],[Category]], 0, 2)</f>
        <v>8.75</v>
      </c>
      <c r="I39" s="30" t="str" cm="1">
        <f t="array" ref="I39">Common_InputFunctions.Utility_DisplayArrayInTable(Scope3_SourceData.Scope3_Livestock_Data(), Table_SourceData_Scope3_Animals[[#Headers],[Category]], 0, 2)</f>
        <v>at market</v>
      </c>
      <c r="K39" s="30" t="s">
        <v>951</v>
      </c>
      <c r="L39" s="30" t="s">
        <v>755</v>
      </c>
    </row>
    <row r="40" spans="1:12" ht="20.100000000000001" customHeight="1" x14ac:dyDescent="0.25">
      <c r="A40"/>
      <c r="D40" s="30" t="str" cm="1">
        <f t="array" ref="D40">Common_InputFunctions.Utility_DisplayArrayInTable(Scope3_SourceData.Scope3_Livestock_Data(), Table_SourceData_Scope3_Animals[[#Headers],[Category]], 0, 2)</f>
        <v>Beef cattle</v>
      </c>
      <c r="E40" s="30" t="str" cm="1">
        <f t="array" ref="E40">Common_InputFunctions.Utility_DisplayArrayInTable(Scope3_SourceData.Scope3_Livestock_Data(), Table_SourceData_Scope3_Animals[[#Headers],[Category]], 0, 2)</f>
        <v>Cattle, for manufacturing beef</v>
      </c>
      <c r="F40" s="30" t="str" cm="1">
        <f t="array" ref="F40">Common_InputFunctions.Utility_DisplayArrayInTable(Scope3_SourceData.Scope3_Livestock_Data(), Table_SourceData_Scope3_Animals[[#Headers],[Category]], 0, 2)</f>
        <v>VIC</v>
      </c>
      <c r="G40" s="30" t="str" cm="1">
        <f t="array" ref="G40">Common_InputFunctions.Utility_DisplayArrayInTable(Scope3_SourceData.Scope3_Livestock_Data(), Table_SourceData_Scope3_Animals[[#Headers],[Category]], 0, 2)</f>
        <v>kg liveweight</v>
      </c>
      <c r="H40" s="30" cm="1">
        <f t="array" ref="H40">Common_InputFunctions.Utility_DisplayArrayInTable(Scope3_SourceData.Scope3_Livestock_Data(), Table_SourceData_Scope3_Animals[[#Headers],[Category]], 0, 2)</f>
        <v>8.17</v>
      </c>
      <c r="I40" s="30" t="str" cm="1">
        <f t="array" ref="I40">Common_InputFunctions.Utility_DisplayArrayInTable(Scope3_SourceData.Scope3_Livestock_Data(), Table_SourceData_Scope3_Animals[[#Headers],[Category]], 0, 2)</f>
        <v>at market</v>
      </c>
      <c r="K40" s="30" t="s">
        <v>952</v>
      </c>
      <c r="L40" s="30" t="s">
        <v>755</v>
      </c>
    </row>
    <row r="41" spans="1:12" ht="20.100000000000001" customHeight="1" x14ac:dyDescent="0.25">
      <c r="A41" s="121" t="s">
        <v>1</v>
      </c>
      <c r="D41" s="30" t="str" cm="1">
        <f t="array" ref="D41">Common_InputFunctions.Utility_DisplayArrayInTable(Scope3_SourceData.Scope3_Livestock_Data(), Table_SourceData_Scope3_Animals[[#Headers],[Category]], 0, 2)</f>
        <v>Beef cattle</v>
      </c>
      <c r="E41" s="30" t="str" cm="1">
        <f t="array" ref="E41">Common_InputFunctions.Utility_DisplayArrayInTable(Scope3_SourceData.Scope3_Livestock_Data(), Table_SourceData_Scope3_Animals[[#Headers],[Category]], 0, 2)</f>
        <v>Cattle, for manufacturing beef</v>
      </c>
      <c r="F41" s="30" t="str" cm="1">
        <f t="array" ref="F41">Common_InputFunctions.Utility_DisplayArrayInTable(Scope3_SourceData.Scope3_Livestock_Data(), Table_SourceData_Scope3_Animals[[#Headers],[Category]], 0, 2)</f>
        <v>WA</v>
      </c>
      <c r="G41" s="30" t="str" cm="1">
        <f t="array" ref="G41">Common_InputFunctions.Utility_DisplayArrayInTable(Scope3_SourceData.Scope3_Livestock_Data(), Table_SourceData_Scope3_Animals[[#Headers],[Category]], 0, 2)</f>
        <v>kg liveweight</v>
      </c>
      <c r="H41" s="30" cm="1">
        <f t="array" ref="H41">Common_InputFunctions.Utility_DisplayArrayInTable(Scope3_SourceData.Scope3_Livestock_Data(), Table_SourceData_Scope3_Animals[[#Headers],[Category]], 0, 2)</f>
        <v>13.1</v>
      </c>
      <c r="I41" s="30" t="str" cm="1">
        <f t="array" ref="I41">Common_InputFunctions.Utility_DisplayArrayInTable(Scope3_SourceData.Scope3_Livestock_Data(), Table_SourceData_Scope3_Animals[[#Headers],[Category]], 0, 2)</f>
        <v>at market</v>
      </c>
      <c r="K41" s="30" t="s">
        <v>953</v>
      </c>
      <c r="L41" s="30" t="s">
        <v>755</v>
      </c>
    </row>
    <row r="42" spans="1:12" ht="20.100000000000001" customHeight="1" x14ac:dyDescent="0.25">
      <c r="A42" s="5" t="str">
        <f>HYPERLINK("#'Constants - Ag Residue'!A1", "Constants - Ag residue")</f>
        <v>Constants - Ag residue</v>
      </c>
      <c r="D42" s="30" t="str" cm="1">
        <f t="array" ref="D42">Common_InputFunctions.Utility_DisplayArrayInTable(Scope3_SourceData.Scope3_Livestock_Data(), Table_SourceData_Scope3_Animals[[#Headers],[Category]], 0, 2)</f>
        <v>Beef cattle</v>
      </c>
      <c r="E42" s="30" t="str" cm="1">
        <f t="array" ref="E42">Common_InputFunctions.Utility_DisplayArrayInTable(Scope3_SourceData.Scope3_Livestock_Data(), Table_SourceData_Scope3_Animals[[#Headers],[Category]], 0, 2)</f>
        <v>Cattle, for prime beef</v>
      </c>
      <c r="F42" s="30" t="str" cm="1">
        <f t="array" ref="F42">Common_InputFunctions.Utility_DisplayArrayInTable(Scope3_SourceData.Scope3_Livestock_Data(), Table_SourceData_Scope3_Animals[[#Headers],[Category]], 0, 2)</f>
        <v>Australia</v>
      </c>
      <c r="G42" s="30" t="str" cm="1">
        <f t="array" ref="G42">Common_InputFunctions.Utility_DisplayArrayInTable(Scope3_SourceData.Scope3_Livestock_Data(), Table_SourceData_Scope3_Animals[[#Headers],[Category]], 0, 2)</f>
        <v>kg liveweight</v>
      </c>
      <c r="H42" s="30" cm="1">
        <f t="array" ref="H42">Common_InputFunctions.Utility_DisplayArrayInTable(Scope3_SourceData.Scope3_Livestock_Data(), Table_SourceData_Scope3_Animals[[#Headers],[Category]], 0, 2)</f>
        <v>14.5</v>
      </c>
      <c r="I42" s="30" t="str" cm="1">
        <f t="array" ref="I42">Common_InputFunctions.Utility_DisplayArrayInTable(Scope3_SourceData.Scope3_Livestock_Data(), Table_SourceData_Scope3_Animals[[#Headers],[Category]], 0, 2)</f>
        <v>at market</v>
      </c>
      <c r="K42" s="30" t="s">
        <v>954</v>
      </c>
      <c r="L42" s="30" t="s">
        <v>955</v>
      </c>
    </row>
    <row r="43" spans="1:12" ht="20.100000000000001" customHeight="1" x14ac:dyDescent="0.25">
      <c r="A43" s="5" t="str">
        <f>HYPERLINK("#'Constants - Common Livestock'!A1", "Constants - Common Livestock")</f>
        <v>Constants - Common Livestock</v>
      </c>
      <c r="D43" s="30" t="str" cm="1">
        <f t="array" ref="D43">Common_InputFunctions.Utility_DisplayArrayInTable(Scope3_SourceData.Scope3_Livestock_Data(), Table_SourceData_Scope3_Animals[[#Headers],[Category]], 0, 2)</f>
        <v>Beef cattle</v>
      </c>
      <c r="E43" s="30" t="str" cm="1">
        <f t="array" ref="E43">Common_InputFunctions.Utility_DisplayArrayInTable(Scope3_SourceData.Scope3_Livestock_Data(), Table_SourceData_Scope3_Animals[[#Headers],[Category]], 0, 2)</f>
        <v>Cattle, for prime beef</v>
      </c>
      <c r="F43" s="30" t="str" cm="1">
        <f t="array" ref="F43">Common_InputFunctions.Utility_DisplayArrayInTable(Scope3_SourceData.Scope3_Livestock_Data(), Table_SourceData_Scope3_Animals[[#Headers],[Category]], 0, 2)</f>
        <v>NSW</v>
      </c>
      <c r="G43" s="30" t="str" cm="1">
        <f t="array" ref="G43">Common_InputFunctions.Utility_DisplayArrayInTable(Scope3_SourceData.Scope3_Livestock_Data(), Table_SourceData_Scope3_Animals[[#Headers],[Category]], 0, 2)</f>
        <v>kg liveweight</v>
      </c>
      <c r="H43" s="30" cm="1">
        <f t="array" ref="H43">Common_InputFunctions.Utility_DisplayArrayInTable(Scope3_SourceData.Scope3_Livestock_Data(), Table_SourceData_Scope3_Animals[[#Headers],[Category]], 0, 2)</f>
        <v>11.3</v>
      </c>
      <c r="I43" s="30" t="str" cm="1">
        <f t="array" ref="I43">Common_InputFunctions.Utility_DisplayArrayInTable(Scope3_SourceData.Scope3_Livestock_Data(), Table_SourceData_Scope3_Animals[[#Headers],[Category]], 0, 2)</f>
        <v>at market</v>
      </c>
      <c r="K43" s="30" t="s">
        <v>956</v>
      </c>
      <c r="L43" s="30" t="s">
        <v>955</v>
      </c>
    </row>
    <row r="44" spans="1:12" ht="20.100000000000001" customHeight="1" x14ac:dyDescent="0.25">
      <c r="A44" s="5" t="str">
        <f>HYPERLINK("#'Constants - Electricity'!A1", "Constants - Electricity")</f>
        <v>Constants - Electricity</v>
      </c>
      <c r="D44" s="30" t="str" cm="1">
        <f t="array" ref="D44">Common_InputFunctions.Utility_DisplayArrayInTable(Scope3_SourceData.Scope3_Livestock_Data(), Table_SourceData_Scope3_Animals[[#Headers],[Category]], 0, 2)</f>
        <v>Beef cattle</v>
      </c>
      <c r="E44" s="30" t="str" cm="1">
        <f t="array" ref="E44">Common_InputFunctions.Utility_DisplayArrayInTable(Scope3_SourceData.Scope3_Livestock_Data(), Table_SourceData_Scope3_Animals[[#Headers],[Category]], 0, 2)</f>
        <v>Cattle, for prime beef</v>
      </c>
      <c r="F44" s="30" t="str" cm="1">
        <f t="array" ref="F44">Common_InputFunctions.Utility_DisplayArrayInTable(Scope3_SourceData.Scope3_Livestock_Data(), Table_SourceData_Scope3_Animals[[#Headers],[Category]], 0, 2)</f>
        <v>NT</v>
      </c>
      <c r="G44" s="30" t="str" cm="1">
        <f t="array" ref="G44">Common_InputFunctions.Utility_DisplayArrayInTable(Scope3_SourceData.Scope3_Livestock_Data(), Table_SourceData_Scope3_Animals[[#Headers],[Category]], 0, 2)</f>
        <v>kg liveweight</v>
      </c>
      <c r="H44" s="30" cm="1">
        <f t="array" ref="H44">Common_InputFunctions.Utility_DisplayArrayInTable(Scope3_SourceData.Scope3_Livestock_Data(), Table_SourceData_Scope3_Animals[[#Headers],[Category]], 0, 2)</f>
        <v>18.899999999999999</v>
      </c>
      <c r="I44" s="30" t="str" cm="1">
        <f t="array" ref="I44">Common_InputFunctions.Utility_DisplayArrayInTable(Scope3_SourceData.Scope3_Livestock_Data(), Table_SourceData_Scope3_Animals[[#Headers],[Category]], 0, 2)</f>
        <v>at market</v>
      </c>
      <c r="K44" s="30" t="s">
        <v>957</v>
      </c>
      <c r="L44" s="30" t="s">
        <v>955</v>
      </c>
    </row>
    <row r="45" spans="1:12" ht="20.100000000000001" customHeight="1" x14ac:dyDescent="0.25">
      <c r="A45" s="5" t="str">
        <f>HYPERLINK("#'Constants - Fertiliser'!A1", "Constants - Fertiliser")</f>
        <v>Constants - Fertiliser</v>
      </c>
      <c r="D45" s="30" t="str" cm="1">
        <f t="array" ref="D45">Common_InputFunctions.Utility_DisplayArrayInTable(Scope3_SourceData.Scope3_Livestock_Data(), Table_SourceData_Scope3_Animals[[#Headers],[Category]], 0, 2)</f>
        <v>Beef cattle</v>
      </c>
      <c r="E45" s="30" t="str" cm="1">
        <f t="array" ref="E45">Common_InputFunctions.Utility_DisplayArrayInTable(Scope3_SourceData.Scope3_Livestock_Data(), Table_SourceData_Scope3_Animals[[#Headers],[Category]], 0, 2)</f>
        <v>Cattle, for prime beef</v>
      </c>
      <c r="F45" s="30" t="str" cm="1">
        <f t="array" ref="F45">Common_InputFunctions.Utility_DisplayArrayInTable(Scope3_SourceData.Scope3_Livestock_Data(), Table_SourceData_Scope3_Animals[[#Headers],[Category]], 0, 2)</f>
        <v>QLD</v>
      </c>
      <c r="G45" s="30" t="str" cm="1">
        <f t="array" ref="G45">Common_InputFunctions.Utility_DisplayArrayInTable(Scope3_SourceData.Scope3_Livestock_Data(), Table_SourceData_Scope3_Animals[[#Headers],[Category]], 0, 2)</f>
        <v>kg liveweight</v>
      </c>
      <c r="H45" s="30" cm="1">
        <f t="array" ref="H45">Common_InputFunctions.Utility_DisplayArrayInTable(Scope3_SourceData.Scope3_Livestock_Data(), Table_SourceData_Scope3_Animals[[#Headers],[Category]], 0, 2)</f>
        <v>13.9</v>
      </c>
      <c r="I45" s="30" t="str" cm="1">
        <f t="array" ref="I45">Common_InputFunctions.Utility_DisplayArrayInTable(Scope3_SourceData.Scope3_Livestock_Data(), Table_SourceData_Scope3_Animals[[#Headers],[Category]], 0, 2)</f>
        <v>at market</v>
      </c>
      <c r="K45" s="30" t="s">
        <v>958</v>
      </c>
      <c r="L45" s="30" t="s">
        <v>753</v>
      </c>
    </row>
    <row r="46" spans="1:12" ht="20.100000000000001" customHeight="1" x14ac:dyDescent="0.25">
      <c r="A46" s="5" t="str">
        <f>HYPERLINK("#'Constants - Fuel'!A1", "Constants - Fuel")</f>
        <v>Constants - Fuel</v>
      </c>
      <c r="D46" s="30" t="str" cm="1">
        <f t="array" ref="D46">Common_InputFunctions.Utility_DisplayArrayInTable(Scope3_SourceData.Scope3_Livestock_Data(), Table_SourceData_Scope3_Animals[[#Headers],[Category]], 0, 2)</f>
        <v>Beef cattle</v>
      </c>
      <c r="E46" s="30" t="str" cm="1">
        <f t="array" ref="E46">Common_InputFunctions.Utility_DisplayArrayInTable(Scope3_SourceData.Scope3_Livestock_Data(), Table_SourceData_Scope3_Animals[[#Headers],[Category]], 0, 2)</f>
        <v>Cattle, for prime beef</v>
      </c>
      <c r="F46" s="30" t="str" cm="1">
        <f t="array" ref="F46">Common_InputFunctions.Utility_DisplayArrayInTable(Scope3_SourceData.Scope3_Livestock_Data(), Table_SourceData_Scope3_Animals[[#Headers],[Category]], 0, 2)</f>
        <v>SA</v>
      </c>
      <c r="G46" s="30" t="str" cm="1">
        <f t="array" ref="G46">Common_InputFunctions.Utility_DisplayArrayInTable(Scope3_SourceData.Scope3_Livestock_Data(), Table_SourceData_Scope3_Animals[[#Headers],[Category]], 0, 2)</f>
        <v>kg liveweight</v>
      </c>
      <c r="H46" s="30" cm="1">
        <f t="array" ref="H46">Common_InputFunctions.Utility_DisplayArrayInTable(Scope3_SourceData.Scope3_Livestock_Data(), Table_SourceData_Scope3_Animals[[#Headers],[Category]], 0, 2)</f>
        <v>12.3</v>
      </c>
      <c r="I46" s="30" t="str" cm="1">
        <f t="array" ref="I46">Common_InputFunctions.Utility_DisplayArrayInTable(Scope3_SourceData.Scope3_Livestock_Data(), Table_SourceData_Scope3_Animals[[#Headers],[Category]], 0, 2)</f>
        <v>at market</v>
      </c>
      <c r="K46" s="30" t="s">
        <v>959</v>
      </c>
      <c r="L46" s="30" t="s">
        <v>753</v>
      </c>
    </row>
    <row r="47" spans="1:12" ht="20.100000000000001" customHeight="1" x14ac:dyDescent="0.25">
      <c r="A47" s="172" t="str">
        <f>HYPERLINK("#'Constants - Scope 3'!A1", "Constants - Scope 3")</f>
        <v>Constants - Scope 3</v>
      </c>
      <c r="D47" s="30" t="str" cm="1">
        <f t="array" ref="D47">Common_InputFunctions.Utility_DisplayArrayInTable(Scope3_SourceData.Scope3_Livestock_Data(), Table_SourceData_Scope3_Animals[[#Headers],[Category]], 0, 2)</f>
        <v>Beef cattle</v>
      </c>
      <c r="E47" s="30" t="str" cm="1">
        <f t="array" ref="E47">Common_InputFunctions.Utility_DisplayArrayInTable(Scope3_SourceData.Scope3_Livestock_Data(), Table_SourceData_Scope3_Animals[[#Headers],[Category]], 0, 2)</f>
        <v>Cattle, for prime beef</v>
      </c>
      <c r="F47" s="30" t="str" cm="1">
        <f t="array" ref="F47">Common_InputFunctions.Utility_DisplayArrayInTable(Scope3_SourceData.Scope3_Livestock_Data(), Table_SourceData_Scope3_Animals[[#Headers],[Category]], 0, 2)</f>
        <v>TAS</v>
      </c>
      <c r="G47" s="30" t="str" cm="1">
        <f t="array" ref="G47">Common_InputFunctions.Utility_DisplayArrayInTable(Scope3_SourceData.Scope3_Livestock_Data(), Table_SourceData_Scope3_Animals[[#Headers],[Category]], 0, 2)</f>
        <v>kg liveweight</v>
      </c>
      <c r="H47" s="30" cm="1">
        <f t="array" ref="H47">Common_InputFunctions.Utility_DisplayArrayInTable(Scope3_SourceData.Scope3_Livestock_Data(), Table_SourceData_Scope3_Animals[[#Headers],[Category]], 0, 2)</f>
        <v>11.5</v>
      </c>
      <c r="I47" s="30" t="str" cm="1">
        <f t="array" ref="I47">Common_InputFunctions.Utility_DisplayArrayInTable(Scope3_SourceData.Scope3_Livestock_Data(), Table_SourceData_Scope3_Animals[[#Headers],[Category]], 0, 2)</f>
        <v>at market</v>
      </c>
      <c r="K47" s="30" t="s">
        <v>960</v>
      </c>
      <c r="L47" s="30" t="s">
        <v>753</v>
      </c>
    </row>
    <row r="48" spans="1:12" ht="20.100000000000001" customHeight="1" x14ac:dyDescent="0.25">
      <c r="A48" s="5" t="str">
        <f>HYPERLINK("#'Constants - Common'!A1", "Constants - Common")</f>
        <v>Constants - Common</v>
      </c>
      <c r="D48" s="30" t="str" cm="1">
        <f t="array" ref="D48">Common_InputFunctions.Utility_DisplayArrayInTable(Scope3_SourceData.Scope3_Livestock_Data(), Table_SourceData_Scope3_Animals[[#Headers],[Category]], 0, 2)</f>
        <v>Beef cattle</v>
      </c>
      <c r="E48" s="30" t="str" cm="1">
        <f t="array" ref="E48">Common_InputFunctions.Utility_DisplayArrayInTable(Scope3_SourceData.Scope3_Livestock_Data(), Table_SourceData_Scope3_Animals[[#Headers],[Category]], 0, 2)</f>
        <v>Cattle, for prime beef</v>
      </c>
      <c r="F48" s="30" t="str" cm="1">
        <f t="array" ref="F48">Common_InputFunctions.Utility_DisplayArrayInTable(Scope3_SourceData.Scope3_Livestock_Data(), Table_SourceData_Scope3_Animals[[#Headers],[Category]], 0, 2)</f>
        <v>VIC</v>
      </c>
      <c r="G48" s="30" t="str" cm="1">
        <f t="array" ref="G48">Common_InputFunctions.Utility_DisplayArrayInTable(Scope3_SourceData.Scope3_Livestock_Data(), Table_SourceData_Scope3_Animals[[#Headers],[Category]], 0, 2)</f>
        <v>kg liveweight</v>
      </c>
      <c r="H48" s="30" cm="1">
        <f t="array" ref="H48">Common_InputFunctions.Utility_DisplayArrayInTable(Scope3_SourceData.Scope3_Livestock_Data(), Table_SourceData_Scope3_Animals[[#Headers],[Category]], 0, 2)</f>
        <v>11.5</v>
      </c>
      <c r="I48" s="30" t="str" cm="1">
        <f t="array" ref="I48">Common_InputFunctions.Utility_DisplayArrayInTable(Scope3_SourceData.Scope3_Livestock_Data(), Table_SourceData_Scope3_Animals[[#Headers],[Category]], 0, 2)</f>
        <v>at market</v>
      </c>
      <c r="K48" s="30" t="s">
        <v>961</v>
      </c>
      <c r="L48" s="30" t="s">
        <v>753</v>
      </c>
    </row>
    <row r="49" spans="1:12" ht="20.100000000000001" customHeight="1" x14ac:dyDescent="0.25">
      <c r="A49" s="5" t="str">
        <f>HYPERLINK("#'Constants - Solid Waste'!A1", "Constants - Solid Waste")</f>
        <v>Constants - Solid Waste</v>
      </c>
      <c r="D49" s="30" t="str" cm="1">
        <f t="array" ref="D49">Common_InputFunctions.Utility_DisplayArrayInTable(Scope3_SourceData.Scope3_Livestock_Data(), Table_SourceData_Scope3_Animals[[#Headers],[Category]], 0, 2)</f>
        <v>Beef cattle</v>
      </c>
      <c r="E49" s="30" t="str" cm="1">
        <f t="array" ref="E49">Common_InputFunctions.Utility_DisplayArrayInTable(Scope3_SourceData.Scope3_Livestock_Data(), Table_SourceData_Scope3_Animals[[#Headers],[Category]], 0, 2)</f>
        <v>Cattle, for prime beef</v>
      </c>
      <c r="F49" s="30" t="str" cm="1">
        <f t="array" ref="F49">Common_InputFunctions.Utility_DisplayArrayInTable(Scope3_SourceData.Scope3_Livestock_Data(), Table_SourceData_Scope3_Animals[[#Headers],[Category]], 0, 2)</f>
        <v>WA</v>
      </c>
      <c r="G49" s="30" t="str" cm="1">
        <f t="array" ref="G49">Common_InputFunctions.Utility_DisplayArrayInTable(Scope3_SourceData.Scope3_Livestock_Data(), Table_SourceData_Scope3_Animals[[#Headers],[Category]], 0, 2)</f>
        <v>kg liveweight</v>
      </c>
      <c r="H49" s="30" cm="1">
        <f t="array" ref="H49">Common_InputFunctions.Utility_DisplayArrayInTable(Scope3_SourceData.Scope3_Livestock_Data(), Table_SourceData_Scope3_Animals[[#Headers],[Category]], 0, 2)</f>
        <v>20.8</v>
      </c>
      <c r="I49" s="30" t="str" cm="1">
        <f t="array" ref="I49">Common_InputFunctions.Utility_DisplayArrayInTable(Scope3_SourceData.Scope3_Livestock_Data(), Table_SourceData_Scope3_Animals[[#Headers],[Category]], 0, 2)</f>
        <v>at market</v>
      </c>
      <c r="K49" s="1" t="s">
        <v>751</v>
      </c>
      <c r="L49" s="1" t="s">
        <v>751</v>
      </c>
    </row>
    <row r="50" spans="1:12" ht="20.100000000000001" customHeight="1" x14ac:dyDescent="0.25">
      <c r="A50"/>
      <c r="D50" s="30" t="str" cm="1">
        <f t="array" ref="D50">Common_InputFunctions.Utility_DisplayArrayInTable(Scope3_SourceData.Scope3_Livestock_Data(), Table_SourceData_Scope3_Animals[[#Headers],[Category]], 0, 2)</f>
        <v>Beef cattle</v>
      </c>
      <c r="E50" s="30" t="str" cm="1">
        <f t="array" ref="E50">Common_InputFunctions.Utility_DisplayArrayInTable(Scope3_SourceData.Scope3_Livestock_Data(), Table_SourceData_Scope3_Animals[[#Headers],[Category]], 0, 2)</f>
        <v>Cattle, weaners</v>
      </c>
      <c r="F50" s="30" t="str" cm="1">
        <f t="array" ref="F50">Common_InputFunctions.Utility_DisplayArrayInTable(Scope3_SourceData.Scope3_Livestock_Data(), Table_SourceData_Scope3_Animals[[#Headers],[Category]], 0, 2)</f>
        <v>Australia</v>
      </c>
      <c r="G50" s="30" t="str" cm="1">
        <f t="array" ref="G50">Common_InputFunctions.Utility_DisplayArrayInTable(Scope3_SourceData.Scope3_Livestock_Data(), Table_SourceData_Scope3_Animals[[#Headers],[Category]], 0, 2)</f>
        <v>kg liveweight</v>
      </c>
      <c r="H50" s="30" cm="1">
        <f t="array" ref="H50">Common_InputFunctions.Utility_DisplayArrayInTable(Scope3_SourceData.Scope3_Livestock_Data(), Table_SourceData_Scope3_Animals[[#Headers],[Category]], 0, 2)</f>
        <v>15.5</v>
      </c>
      <c r="I50" s="30" t="str" cm="1">
        <f t="array" ref="I50">Common_InputFunctions.Utility_DisplayArrayInTable(Scope3_SourceData.Scope3_Livestock_Data(), Table_SourceData_Scope3_Animals[[#Headers],[Category]], 0, 2)</f>
        <v>at market</v>
      </c>
    </row>
    <row r="51" spans="1:12" ht="20.100000000000001" customHeight="1" x14ac:dyDescent="0.25">
      <c r="A51"/>
      <c r="D51" s="30" t="str" cm="1">
        <f t="array" ref="D51">Common_InputFunctions.Utility_DisplayArrayInTable(Scope3_SourceData.Scope3_Livestock_Data(), Table_SourceData_Scope3_Animals[[#Headers],[Category]], 0, 2)</f>
        <v>Beef cattle</v>
      </c>
      <c r="E51" s="30" t="str" cm="1">
        <f t="array" ref="E51">Common_InputFunctions.Utility_DisplayArrayInTable(Scope3_SourceData.Scope3_Livestock_Data(), Table_SourceData_Scope3_Animals[[#Headers],[Category]], 0, 2)</f>
        <v>Cattle, weaners</v>
      </c>
      <c r="F51" s="30" t="str" cm="1">
        <f t="array" ref="F51">Common_InputFunctions.Utility_DisplayArrayInTable(Scope3_SourceData.Scope3_Livestock_Data(), Table_SourceData_Scope3_Animals[[#Headers],[Category]], 0, 2)</f>
        <v>NSW</v>
      </c>
      <c r="G51" s="30" t="str" cm="1">
        <f t="array" ref="G51">Common_InputFunctions.Utility_DisplayArrayInTable(Scope3_SourceData.Scope3_Livestock_Data(), Table_SourceData_Scope3_Animals[[#Headers],[Category]], 0, 2)</f>
        <v>kg liveweight</v>
      </c>
      <c r="H51" s="30" cm="1">
        <f t="array" ref="H51">Common_InputFunctions.Utility_DisplayArrayInTable(Scope3_SourceData.Scope3_Livestock_Data(), Table_SourceData_Scope3_Animals[[#Headers],[Category]], 0, 2)</f>
        <v>12.7</v>
      </c>
      <c r="I51" s="30" t="str" cm="1">
        <f t="array" ref="I51">Common_InputFunctions.Utility_DisplayArrayInTable(Scope3_SourceData.Scope3_Livestock_Data(), Table_SourceData_Scope3_Animals[[#Headers],[Category]], 0, 2)</f>
        <v>at market</v>
      </c>
    </row>
    <row r="52" spans="1:12" ht="20.100000000000001" customHeight="1" x14ac:dyDescent="0.25">
      <c r="A52"/>
      <c r="D52" s="30" t="str" cm="1">
        <f t="array" ref="D52">Common_InputFunctions.Utility_DisplayArrayInTable(Scope3_SourceData.Scope3_Livestock_Data(), Table_SourceData_Scope3_Animals[[#Headers],[Category]], 0, 2)</f>
        <v>Beef cattle</v>
      </c>
      <c r="E52" s="30" t="str" cm="1">
        <f t="array" ref="E52">Common_InputFunctions.Utility_DisplayArrayInTable(Scope3_SourceData.Scope3_Livestock_Data(), Table_SourceData_Scope3_Animals[[#Headers],[Category]], 0, 2)</f>
        <v>Cattle, weaners</v>
      </c>
      <c r="F52" s="30" t="str" cm="1">
        <f t="array" ref="F52">Common_InputFunctions.Utility_DisplayArrayInTable(Scope3_SourceData.Scope3_Livestock_Data(), Table_SourceData_Scope3_Animals[[#Headers],[Category]], 0, 2)</f>
        <v>NT</v>
      </c>
      <c r="G52" s="30" t="str" cm="1">
        <f t="array" ref="G52">Common_InputFunctions.Utility_DisplayArrayInTable(Scope3_SourceData.Scope3_Livestock_Data(), Table_SourceData_Scope3_Animals[[#Headers],[Category]], 0, 2)</f>
        <v>kg liveweight</v>
      </c>
      <c r="H52" s="30" cm="1">
        <f t="array" ref="H52">Common_InputFunctions.Utility_DisplayArrayInTable(Scope3_SourceData.Scope3_Livestock_Data(), Table_SourceData_Scope3_Animals[[#Headers],[Category]], 0, 2)</f>
        <v>19.100000000000001</v>
      </c>
      <c r="I52" s="30" t="str" cm="1">
        <f t="array" ref="I52">Common_InputFunctions.Utility_DisplayArrayInTable(Scope3_SourceData.Scope3_Livestock_Data(), Table_SourceData_Scope3_Animals[[#Headers],[Category]], 0, 2)</f>
        <v>at market</v>
      </c>
    </row>
    <row r="53" spans="1:12" ht="20.100000000000001" customHeight="1" x14ac:dyDescent="0.25">
      <c r="A53"/>
      <c r="D53" s="30" t="str" cm="1">
        <f t="array" ref="D53">Common_InputFunctions.Utility_DisplayArrayInTable(Scope3_SourceData.Scope3_Livestock_Data(), Table_SourceData_Scope3_Animals[[#Headers],[Category]], 0, 2)</f>
        <v>Beef cattle</v>
      </c>
      <c r="E53" s="30" t="str" cm="1">
        <f t="array" ref="E53">Common_InputFunctions.Utility_DisplayArrayInTable(Scope3_SourceData.Scope3_Livestock_Data(), Table_SourceData_Scope3_Animals[[#Headers],[Category]], 0, 2)</f>
        <v>Cattle, weaners</v>
      </c>
      <c r="F53" s="30" t="str" cm="1">
        <f t="array" ref="F53">Common_InputFunctions.Utility_DisplayArrayInTable(Scope3_SourceData.Scope3_Livestock_Data(), Table_SourceData_Scope3_Animals[[#Headers],[Category]], 0, 2)</f>
        <v>QLD</v>
      </c>
      <c r="G53" s="30" t="str" cm="1">
        <f t="array" ref="G53">Common_InputFunctions.Utility_DisplayArrayInTable(Scope3_SourceData.Scope3_Livestock_Data(), Table_SourceData_Scope3_Animals[[#Headers],[Category]], 0, 2)</f>
        <v>kg liveweight</v>
      </c>
      <c r="H53" s="30" cm="1">
        <f t="array" ref="H53">Common_InputFunctions.Utility_DisplayArrayInTable(Scope3_SourceData.Scope3_Livestock_Data(), Table_SourceData_Scope3_Animals[[#Headers],[Category]], 0, 2)</f>
        <v>20.5</v>
      </c>
      <c r="I53" s="30" t="str" cm="1">
        <f t="array" ref="I53">Common_InputFunctions.Utility_DisplayArrayInTable(Scope3_SourceData.Scope3_Livestock_Data(), Table_SourceData_Scope3_Animals[[#Headers],[Category]], 0, 2)</f>
        <v>at market</v>
      </c>
    </row>
    <row r="54" spans="1:12" ht="20.100000000000001" customHeight="1" x14ac:dyDescent="0.25">
      <c r="A54"/>
      <c r="D54" s="30" t="str" cm="1">
        <f t="array" ref="D54">Common_InputFunctions.Utility_DisplayArrayInTable(Scope3_SourceData.Scope3_Livestock_Data(), Table_SourceData_Scope3_Animals[[#Headers],[Category]], 0, 2)</f>
        <v>Beef cattle</v>
      </c>
      <c r="E54" s="30" t="str" cm="1">
        <f t="array" ref="E54">Common_InputFunctions.Utility_DisplayArrayInTable(Scope3_SourceData.Scope3_Livestock_Data(), Table_SourceData_Scope3_Animals[[#Headers],[Category]], 0, 2)</f>
        <v>Cattle, weaners</v>
      </c>
      <c r="F54" s="30" t="str" cm="1">
        <f t="array" ref="F54">Common_InputFunctions.Utility_DisplayArrayInTable(Scope3_SourceData.Scope3_Livestock_Data(), Table_SourceData_Scope3_Animals[[#Headers],[Category]], 0, 2)</f>
        <v>SA</v>
      </c>
      <c r="G54" s="30" t="str" cm="1">
        <f t="array" ref="G54">Common_InputFunctions.Utility_DisplayArrayInTable(Scope3_SourceData.Scope3_Livestock_Data(), Table_SourceData_Scope3_Animals[[#Headers],[Category]], 0, 2)</f>
        <v>kg liveweight</v>
      </c>
      <c r="H54" s="30" cm="1">
        <f t="array" ref="H54">Common_InputFunctions.Utility_DisplayArrayInTable(Scope3_SourceData.Scope3_Livestock_Data(), Table_SourceData_Scope3_Animals[[#Headers],[Category]], 0, 2)</f>
        <v>10.8</v>
      </c>
      <c r="I54" s="30" t="str" cm="1">
        <f t="array" ref="I54">Common_InputFunctions.Utility_DisplayArrayInTable(Scope3_SourceData.Scope3_Livestock_Data(), Table_SourceData_Scope3_Animals[[#Headers],[Category]], 0, 2)</f>
        <v>at market</v>
      </c>
    </row>
    <row r="55" spans="1:12" ht="20.100000000000001" customHeight="1" x14ac:dyDescent="0.25">
      <c r="A55"/>
      <c r="D55" s="30" t="str" cm="1">
        <f t="array" ref="D55">Common_InputFunctions.Utility_DisplayArrayInTable(Scope3_SourceData.Scope3_Livestock_Data(), Table_SourceData_Scope3_Animals[[#Headers],[Category]], 0, 2)</f>
        <v>Beef cattle</v>
      </c>
      <c r="E55" s="30" t="str" cm="1">
        <f t="array" ref="E55">Common_InputFunctions.Utility_DisplayArrayInTable(Scope3_SourceData.Scope3_Livestock_Data(), Table_SourceData_Scope3_Animals[[#Headers],[Category]], 0, 2)</f>
        <v>Cattle, weaners</v>
      </c>
      <c r="F55" s="30" t="str" cm="1">
        <f t="array" ref="F55">Common_InputFunctions.Utility_DisplayArrayInTable(Scope3_SourceData.Scope3_Livestock_Data(), Table_SourceData_Scope3_Animals[[#Headers],[Category]], 0, 2)</f>
        <v>TAS</v>
      </c>
      <c r="G55" s="30" t="str" cm="1">
        <f t="array" ref="G55">Common_InputFunctions.Utility_DisplayArrayInTable(Scope3_SourceData.Scope3_Livestock_Data(), Table_SourceData_Scope3_Animals[[#Headers],[Category]], 0, 2)</f>
        <v>kg liveweight</v>
      </c>
      <c r="H55" s="30" cm="1">
        <f t="array" ref="H55">Common_InputFunctions.Utility_DisplayArrayInTable(Scope3_SourceData.Scope3_Livestock_Data(), Table_SourceData_Scope3_Animals[[#Headers],[Category]], 0, 2)</f>
        <v>13.4</v>
      </c>
      <c r="I55" s="30" t="str" cm="1">
        <f t="array" ref="I55">Common_InputFunctions.Utility_DisplayArrayInTable(Scope3_SourceData.Scope3_Livestock_Data(), Table_SourceData_Scope3_Animals[[#Headers],[Category]], 0, 2)</f>
        <v>at market</v>
      </c>
    </row>
    <row r="56" spans="1:12" ht="20.100000000000001" customHeight="1" x14ac:dyDescent="0.25">
      <c r="A56"/>
      <c r="D56" s="30" t="str" cm="1">
        <f t="array" ref="D56">Common_InputFunctions.Utility_DisplayArrayInTable(Scope3_SourceData.Scope3_Livestock_Data(), Table_SourceData_Scope3_Animals[[#Headers],[Category]], 0, 2)</f>
        <v>Beef cattle</v>
      </c>
      <c r="E56" s="30" t="str" cm="1">
        <f t="array" ref="E56">Common_InputFunctions.Utility_DisplayArrayInTable(Scope3_SourceData.Scope3_Livestock_Data(), Table_SourceData_Scope3_Animals[[#Headers],[Category]], 0, 2)</f>
        <v>Cattle, weaners</v>
      </c>
      <c r="F56" s="30" t="str" cm="1">
        <f t="array" ref="F56">Common_InputFunctions.Utility_DisplayArrayInTable(Scope3_SourceData.Scope3_Livestock_Data(), Table_SourceData_Scope3_Animals[[#Headers],[Category]], 0, 2)</f>
        <v>VIC</v>
      </c>
      <c r="G56" s="30" t="str" cm="1">
        <f t="array" ref="G56">Common_InputFunctions.Utility_DisplayArrayInTable(Scope3_SourceData.Scope3_Livestock_Data(), Table_SourceData_Scope3_Animals[[#Headers],[Category]], 0, 2)</f>
        <v>kg liveweight</v>
      </c>
      <c r="H56" s="30" cm="1">
        <f t="array" ref="H56">Common_InputFunctions.Utility_DisplayArrayInTable(Scope3_SourceData.Scope3_Livestock_Data(), Table_SourceData_Scope3_Animals[[#Headers],[Category]], 0, 2)</f>
        <v>12</v>
      </c>
      <c r="I56" s="30" t="str" cm="1">
        <f t="array" ref="I56">Common_InputFunctions.Utility_DisplayArrayInTable(Scope3_SourceData.Scope3_Livestock_Data(), Table_SourceData_Scope3_Animals[[#Headers],[Category]], 0, 2)</f>
        <v>at market</v>
      </c>
    </row>
    <row r="57" spans="1:12" ht="20.100000000000001" customHeight="1" x14ac:dyDescent="0.25">
      <c r="A57"/>
      <c r="D57" s="30" t="str" cm="1">
        <f t="array" ref="D57">Common_InputFunctions.Utility_DisplayArrayInTable(Scope3_SourceData.Scope3_Livestock_Data(), Table_SourceData_Scope3_Animals[[#Headers],[Category]], 0, 2)</f>
        <v>Beef cattle</v>
      </c>
      <c r="E57" s="30" t="str" cm="1">
        <f t="array" ref="E57">Common_InputFunctions.Utility_DisplayArrayInTable(Scope3_SourceData.Scope3_Livestock_Data(), Table_SourceData_Scope3_Animals[[#Headers],[Category]], 0, 2)</f>
        <v>Cattle, weaners</v>
      </c>
      <c r="F57" s="30" t="str" cm="1">
        <f t="array" ref="F57">Common_InputFunctions.Utility_DisplayArrayInTable(Scope3_SourceData.Scope3_Livestock_Data(), Table_SourceData_Scope3_Animals[[#Headers],[Category]], 0, 2)</f>
        <v>WA</v>
      </c>
      <c r="G57" s="30" t="str" cm="1">
        <f t="array" ref="G57">Common_InputFunctions.Utility_DisplayArrayInTable(Scope3_SourceData.Scope3_Livestock_Data(), Table_SourceData_Scope3_Animals[[#Headers],[Category]], 0, 2)</f>
        <v>kg liveweight</v>
      </c>
      <c r="H57" s="30" cm="1">
        <f t="array" ref="H57">Common_InputFunctions.Utility_DisplayArrayInTable(Scope3_SourceData.Scope3_Livestock_Data(), Table_SourceData_Scope3_Animals[[#Headers],[Category]], 0, 2)</f>
        <v>12.4</v>
      </c>
      <c r="I57" s="30" t="str" cm="1">
        <f t="array" ref="I57">Common_InputFunctions.Utility_DisplayArrayInTable(Scope3_SourceData.Scope3_Livestock_Data(), Table_SourceData_Scope3_Animals[[#Headers],[Category]], 0, 2)</f>
        <v>at market</v>
      </c>
    </row>
    <row r="58" spans="1:12" ht="20.100000000000001" customHeight="1" x14ac:dyDescent="0.25">
      <c r="A58"/>
      <c r="D58" s="30" t="str" cm="1">
        <f t="array" ref="D58">Common_InputFunctions.Utility_DisplayArrayInTable(Scope3_SourceData.Scope3_Livestock_Data(), Table_SourceData_Scope3_Animals[[#Headers],[Category]], 0, 2)</f>
        <v>Chickens</v>
      </c>
      <c r="E58" s="30" t="str" cm="1">
        <f t="array" ref="E58">Common_InputFunctions.Utility_DisplayArrayInTable(Scope3_SourceData.Scope3_Livestock_Data(), Table_SourceData_Scope3_Animals[[#Headers],[Category]], 0, 2)</f>
        <v>Chickens</v>
      </c>
      <c r="F58" s="30" t="str" cm="1">
        <f t="array" ref="F58">Common_InputFunctions.Utility_DisplayArrayInTable(Scope3_SourceData.Scope3_Livestock_Data(), Table_SourceData_Scope3_Animals[[#Headers],[Category]], 0, 2)</f>
        <v>Australia</v>
      </c>
      <c r="G58" s="30" t="str" cm="1">
        <f t="array" ref="G58">Common_InputFunctions.Utility_DisplayArrayInTable(Scope3_SourceData.Scope3_Livestock_Data(), Table_SourceData_Scope3_Animals[[#Headers],[Category]], 0, 2)</f>
        <v>kg liveweight</v>
      </c>
      <c r="H58" s="30" cm="1">
        <f t="array" ref="H58">Common_InputFunctions.Utility_DisplayArrayInTable(Scope3_SourceData.Scope3_Livestock_Data(), Table_SourceData_Scope3_Animals[[#Headers],[Category]], 0, 2)</f>
        <v>1.36</v>
      </c>
      <c r="I58" s="30" t="str" cm="1">
        <f t="array" ref="I58">Common_InputFunctions.Utility_DisplayArrayInTable(Scope3_SourceData.Scope3_Livestock_Data(), Table_SourceData_Scope3_Animals[[#Headers],[Category]], 0, 2)</f>
        <v>at market</v>
      </c>
    </row>
    <row r="59" spans="1:12" ht="20.100000000000001" customHeight="1" x14ac:dyDescent="0.25">
      <c r="A59"/>
      <c r="D59" s="30" t="str" cm="1">
        <f t="array" ref="D59">Common_InputFunctions.Utility_DisplayArrayInTable(Scope3_SourceData.Scope3_Livestock_Data(), Table_SourceData_Scope3_Animals[[#Headers],[Category]], 0, 2)</f>
        <v>Dairy cattle</v>
      </c>
      <c r="E59" s="30" t="str" cm="1">
        <f t="array" ref="E59">Common_InputFunctions.Utility_DisplayArrayInTable(Scope3_SourceData.Scope3_Livestock_Data(), Table_SourceData_Scope3_Animals[[#Headers],[Category]], 0, 2)</f>
        <v>Dairy cows</v>
      </c>
      <c r="F59" s="30" t="str" cm="1">
        <f t="array" ref="F59">Common_InputFunctions.Utility_DisplayArrayInTable(Scope3_SourceData.Scope3_Livestock_Data(), Table_SourceData_Scope3_Animals[[#Headers],[Category]], 0, 2)</f>
        <v>VIC</v>
      </c>
      <c r="G59" s="30" t="str" cm="1">
        <f t="array" ref="G59">Common_InputFunctions.Utility_DisplayArrayInTable(Scope3_SourceData.Scope3_Livestock_Data(), Table_SourceData_Scope3_Animals[[#Headers],[Category]], 0, 2)</f>
        <v>kg liveweight</v>
      </c>
      <c r="H59" s="30" cm="1">
        <f t="array" ref="H59">Common_InputFunctions.Utility_DisplayArrayInTable(Scope3_SourceData.Scope3_Livestock_Data(), Table_SourceData_Scope3_Animals[[#Headers],[Category]], 0, 2)</f>
        <v>4.41</v>
      </c>
      <c r="I59" s="30" t="str" cm="1">
        <f t="array" ref="I59">Common_InputFunctions.Utility_DisplayArrayInTable(Scope3_SourceData.Scope3_Livestock_Data(), Table_SourceData_Scope3_Animals[[#Headers],[Category]], 0, 2)</f>
        <v>at market</v>
      </c>
    </row>
    <row r="60" spans="1:12" ht="20.100000000000001" customHeight="1" x14ac:dyDescent="0.25">
      <c r="A60"/>
      <c r="D60" s="30" t="str" cm="1">
        <f t="array" ref="D60">Common_InputFunctions.Utility_DisplayArrayInTable(Scope3_SourceData.Scope3_Livestock_Data(), Table_SourceData_Scope3_Animals[[#Headers],[Category]], 0, 2)</f>
        <v>Pigs</v>
      </c>
      <c r="E60" s="30" t="str" cm="1">
        <f t="array" ref="E60">Common_InputFunctions.Utility_DisplayArrayInTable(Scope3_SourceData.Scope3_Livestock_Data(), Table_SourceData_Scope3_Animals[[#Headers],[Category]], 0, 2)</f>
        <v>Pigs</v>
      </c>
      <c r="F60" s="30" t="str" cm="1">
        <f t="array" ref="F60">Common_InputFunctions.Utility_DisplayArrayInTable(Scope3_SourceData.Scope3_Livestock_Data(), Table_SourceData_Scope3_Animals[[#Headers],[Category]], 0, 2)</f>
        <v>Australia</v>
      </c>
      <c r="G60" s="30" t="str" cm="1">
        <f t="array" ref="G60">Common_InputFunctions.Utility_DisplayArrayInTable(Scope3_SourceData.Scope3_Livestock_Data(), Table_SourceData_Scope3_Animals[[#Headers],[Category]], 0, 2)</f>
        <v>kg liveweight</v>
      </c>
      <c r="H60" s="30" cm="1">
        <f t="array" ref="H60">Common_InputFunctions.Utility_DisplayArrayInTable(Scope3_SourceData.Scope3_Livestock_Data(), Table_SourceData_Scope3_Animals[[#Headers],[Category]], 0, 2)</f>
        <v>3.38</v>
      </c>
      <c r="I60" s="30" t="str" cm="1">
        <f t="array" ref="I60">Common_InputFunctions.Utility_DisplayArrayInTable(Scope3_SourceData.Scope3_Livestock_Data(), Table_SourceData_Scope3_Animals[[#Headers],[Category]], 0, 2)</f>
        <v>at market</v>
      </c>
    </row>
    <row r="61" spans="1:12" ht="20.100000000000001" customHeight="1" x14ac:dyDescent="0.25">
      <c r="A61"/>
      <c r="D61" s="30" t="str" cm="1">
        <f t="array" ref="D61">Common_InputFunctions.Utility_DisplayArrayInTable(Scope3_SourceData.Scope3_Livestock_Data(), Table_SourceData_Scope3_Animals[[#Headers],[Category]], 0, 2)</f>
        <v>Sheep</v>
      </c>
      <c r="E61" s="30" t="str" cm="1">
        <f t="array" ref="E61">Common_InputFunctions.Utility_DisplayArrayInTable(Scope3_SourceData.Scope3_Livestock_Data(), Table_SourceData_Scope3_Animals[[#Headers],[Category]], 0, 2)</f>
        <v>Sheep, for mutton</v>
      </c>
      <c r="F61" s="30" t="str" cm="1">
        <f t="array" ref="F61">Common_InputFunctions.Utility_DisplayArrayInTable(Scope3_SourceData.Scope3_Livestock_Data(), Table_SourceData_Scope3_Animals[[#Headers],[Category]], 0, 2)</f>
        <v>Australia</v>
      </c>
      <c r="G61" s="30" t="str" cm="1">
        <f t="array" ref="G61">Common_InputFunctions.Utility_DisplayArrayInTable(Scope3_SourceData.Scope3_Livestock_Data(), Table_SourceData_Scope3_Animals[[#Headers],[Category]], 0, 2)</f>
        <v>kg liveweight</v>
      </c>
      <c r="H61" s="30" cm="1">
        <f t="array" ref="H61">Common_InputFunctions.Utility_DisplayArrayInTable(Scope3_SourceData.Scope3_Livestock_Data(), Table_SourceData_Scope3_Animals[[#Headers],[Category]], 0, 2)</f>
        <v>6.81</v>
      </c>
      <c r="I61" s="30" t="str" cm="1">
        <f t="array" ref="I61">Common_InputFunctions.Utility_DisplayArrayInTable(Scope3_SourceData.Scope3_Livestock_Data(), Table_SourceData_Scope3_Animals[[#Headers],[Category]], 0, 2)</f>
        <v>at market</v>
      </c>
    </row>
    <row r="62" spans="1:12" ht="20.100000000000001" customHeight="1" x14ac:dyDescent="0.25">
      <c r="A62"/>
      <c r="D62" s="30" t="str" cm="1">
        <f t="array" ref="D62">Common_InputFunctions.Utility_DisplayArrayInTable(Scope3_SourceData.Scope3_Livestock_Data(), Table_SourceData_Scope3_Animals[[#Headers],[Category]], 0, 2)</f>
        <v>Sheep</v>
      </c>
      <c r="E62" s="30" t="str" cm="1">
        <f t="array" ref="E62">Common_InputFunctions.Utility_DisplayArrayInTable(Scope3_SourceData.Scope3_Livestock_Data(), Table_SourceData_Scope3_Animals[[#Headers],[Category]], 0, 2)</f>
        <v>Sheep, for mutton</v>
      </c>
      <c r="F62" s="30" t="str" cm="1">
        <f t="array" ref="F62">Common_InputFunctions.Utility_DisplayArrayInTable(Scope3_SourceData.Scope3_Livestock_Data(), Table_SourceData_Scope3_Animals[[#Headers],[Category]], 0, 2)</f>
        <v>NSW</v>
      </c>
      <c r="G62" s="30" t="str" cm="1">
        <f t="array" ref="G62">Common_InputFunctions.Utility_DisplayArrayInTable(Scope3_SourceData.Scope3_Livestock_Data(), Table_SourceData_Scope3_Animals[[#Headers],[Category]], 0, 2)</f>
        <v>kg liveweight</v>
      </c>
      <c r="H62" s="30" cm="1">
        <f t="array" ref="H62">Common_InputFunctions.Utility_DisplayArrayInTable(Scope3_SourceData.Scope3_Livestock_Data(), Table_SourceData_Scope3_Animals[[#Headers],[Category]], 0, 2)</f>
        <v>2.2599999999999998</v>
      </c>
      <c r="I62" s="30" t="str" cm="1">
        <f t="array" ref="I62">Common_InputFunctions.Utility_DisplayArrayInTable(Scope3_SourceData.Scope3_Livestock_Data(), Table_SourceData_Scope3_Animals[[#Headers],[Category]], 0, 2)</f>
        <v>at market</v>
      </c>
    </row>
    <row r="63" spans="1:12" ht="20.100000000000001" customHeight="1" x14ac:dyDescent="0.25">
      <c r="A63"/>
      <c r="D63" s="30" t="str" cm="1">
        <f t="array" ref="D63">Common_InputFunctions.Utility_DisplayArrayInTable(Scope3_SourceData.Scope3_Livestock_Data(), Table_SourceData_Scope3_Animals[[#Headers],[Category]], 0, 2)</f>
        <v>Sheep</v>
      </c>
      <c r="E63" s="30" t="str" cm="1">
        <f t="array" ref="E63">Common_InputFunctions.Utility_DisplayArrayInTable(Scope3_SourceData.Scope3_Livestock_Data(), Table_SourceData_Scope3_Animals[[#Headers],[Category]], 0, 2)</f>
        <v>Sheep, for mutton</v>
      </c>
      <c r="F63" s="30" t="str" cm="1">
        <f t="array" ref="F63">Common_InputFunctions.Utility_DisplayArrayInTable(Scope3_SourceData.Scope3_Livestock_Data(), Table_SourceData_Scope3_Animals[[#Headers],[Category]], 0, 2)</f>
        <v>QLD</v>
      </c>
      <c r="G63" s="30" t="str" cm="1">
        <f t="array" ref="G63">Common_InputFunctions.Utility_DisplayArrayInTable(Scope3_SourceData.Scope3_Livestock_Data(), Table_SourceData_Scope3_Animals[[#Headers],[Category]], 0, 2)</f>
        <v>kg liveweight</v>
      </c>
      <c r="H63" s="30" cm="1">
        <f t="array" ref="H63">Common_InputFunctions.Utility_DisplayArrayInTable(Scope3_SourceData.Scope3_Livestock_Data(), Table_SourceData_Scope3_Animals[[#Headers],[Category]], 0, 2)</f>
        <v>6.33</v>
      </c>
      <c r="I63" s="30" t="str" cm="1">
        <f t="array" ref="I63">Common_InputFunctions.Utility_DisplayArrayInTable(Scope3_SourceData.Scope3_Livestock_Data(), Table_SourceData_Scope3_Animals[[#Headers],[Category]], 0, 2)</f>
        <v>at market</v>
      </c>
    </row>
    <row r="64" spans="1:12" ht="20.100000000000001" customHeight="1" x14ac:dyDescent="0.25">
      <c r="A64"/>
      <c r="D64" s="30" t="str" cm="1">
        <f t="array" ref="D64">Common_InputFunctions.Utility_DisplayArrayInTable(Scope3_SourceData.Scope3_Livestock_Data(), Table_SourceData_Scope3_Animals[[#Headers],[Category]], 0, 2)</f>
        <v>Sheep</v>
      </c>
      <c r="E64" s="30" t="str" cm="1">
        <f t="array" ref="E64">Common_InputFunctions.Utility_DisplayArrayInTable(Scope3_SourceData.Scope3_Livestock_Data(), Table_SourceData_Scope3_Animals[[#Headers],[Category]], 0, 2)</f>
        <v>Sheep, for mutton</v>
      </c>
      <c r="F64" s="30" t="str" cm="1">
        <f t="array" ref="F64">Common_InputFunctions.Utility_DisplayArrayInTable(Scope3_SourceData.Scope3_Livestock_Data(), Table_SourceData_Scope3_Animals[[#Headers],[Category]], 0, 2)</f>
        <v>SA</v>
      </c>
      <c r="G64" s="30" t="str" cm="1">
        <f t="array" ref="G64">Common_InputFunctions.Utility_DisplayArrayInTable(Scope3_SourceData.Scope3_Livestock_Data(), Table_SourceData_Scope3_Animals[[#Headers],[Category]], 0, 2)</f>
        <v>kg liveweight</v>
      </c>
      <c r="H64" s="30" cm="1">
        <f t="array" ref="H64">Common_InputFunctions.Utility_DisplayArrayInTable(Scope3_SourceData.Scope3_Livestock_Data(), Table_SourceData_Scope3_Animals[[#Headers],[Category]], 0, 2)</f>
        <v>6.18</v>
      </c>
      <c r="I64" s="30" t="str" cm="1">
        <f t="array" ref="I64">Common_InputFunctions.Utility_DisplayArrayInTable(Scope3_SourceData.Scope3_Livestock_Data(), Table_SourceData_Scope3_Animals[[#Headers],[Category]], 0, 2)</f>
        <v>at market</v>
      </c>
    </row>
    <row r="65" spans="1:9" ht="20.100000000000001" customHeight="1" x14ac:dyDescent="0.25">
      <c r="A65"/>
      <c r="D65" s="30" t="str" cm="1">
        <f t="array" ref="D65">Common_InputFunctions.Utility_DisplayArrayInTable(Scope3_SourceData.Scope3_Livestock_Data(), Table_SourceData_Scope3_Animals[[#Headers],[Category]], 0, 2)</f>
        <v>Sheep</v>
      </c>
      <c r="E65" s="30" t="str" cm="1">
        <f t="array" ref="E65">Common_InputFunctions.Utility_DisplayArrayInTable(Scope3_SourceData.Scope3_Livestock_Data(), Table_SourceData_Scope3_Animals[[#Headers],[Category]], 0, 2)</f>
        <v>Sheep, for mutton</v>
      </c>
      <c r="F65" s="30" t="str" cm="1">
        <f t="array" ref="F65">Common_InputFunctions.Utility_DisplayArrayInTable(Scope3_SourceData.Scope3_Livestock_Data(), Table_SourceData_Scope3_Animals[[#Headers],[Category]], 0, 2)</f>
        <v>TAS</v>
      </c>
      <c r="G65" s="30" t="str" cm="1">
        <f t="array" ref="G65">Common_InputFunctions.Utility_DisplayArrayInTable(Scope3_SourceData.Scope3_Livestock_Data(), Table_SourceData_Scope3_Animals[[#Headers],[Category]], 0, 2)</f>
        <v>kg liveweight</v>
      </c>
      <c r="H65" s="30" cm="1">
        <f t="array" ref="H65">Common_InputFunctions.Utility_DisplayArrayInTable(Scope3_SourceData.Scope3_Livestock_Data(), Table_SourceData_Scope3_Animals[[#Headers],[Category]], 0, 2)</f>
        <v>7.5</v>
      </c>
      <c r="I65" s="30" t="str" cm="1">
        <f t="array" ref="I65">Common_InputFunctions.Utility_DisplayArrayInTable(Scope3_SourceData.Scope3_Livestock_Data(), Table_SourceData_Scope3_Animals[[#Headers],[Category]], 0, 2)</f>
        <v>at market</v>
      </c>
    </row>
    <row r="66" spans="1:9" ht="20.100000000000001" customHeight="1" x14ac:dyDescent="0.25">
      <c r="A66"/>
      <c r="D66" s="30" t="str" cm="1">
        <f t="array" ref="D66">Common_InputFunctions.Utility_DisplayArrayInTable(Scope3_SourceData.Scope3_Livestock_Data(), Table_SourceData_Scope3_Animals[[#Headers],[Category]], 0, 2)</f>
        <v>Sheep</v>
      </c>
      <c r="E66" s="30" t="str" cm="1">
        <f t="array" ref="E66">Common_InputFunctions.Utility_DisplayArrayInTable(Scope3_SourceData.Scope3_Livestock_Data(), Table_SourceData_Scope3_Animals[[#Headers],[Category]], 0, 2)</f>
        <v>Sheep, for mutton</v>
      </c>
      <c r="F66" s="30" t="str" cm="1">
        <f t="array" ref="F66">Common_InputFunctions.Utility_DisplayArrayInTable(Scope3_SourceData.Scope3_Livestock_Data(), Table_SourceData_Scope3_Animals[[#Headers],[Category]], 0, 2)</f>
        <v>VIC</v>
      </c>
      <c r="G66" s="30" t="str" cm="1">
        <f t="array" ref="G66">Common_InputFunctions.Utility_DisplayArrayInTable(Scope3_SourceData.Scope3_Livestock_Data(), Table_SourceData_Scope3_Animals[[#Headers],[Category]], 0, 2)</f>
        <v>kg liveweight</v>
      </c>
      <c r="H66" s="30" cm="1">
        <f t="array" ref="H66">Common_InputFunctions.Utility_DisplayArrayInTable(Scope3_SourceData.Scope3_Livestock_Data(), Table_SourceData_Scope3_Animals[[#Headers],[Category]], 0, 2)</f>
        <v>8.08</v>
      </c>
      <c r="I66" s="30" t="str" cm="1">
        <f t="array" ref="I66">Common_InputFunctions.Utility_DisplayArrayInTable(Scope3_SourceData.Scope3_Livestock_Data(), Table_SourceData_Scope3_Animals[[#Headers],[Category]], 0, 2)</f>
        <v>at market</v>
      </c>
    </row>
    <row r="67" spans="1:9" ht="20.100000000000001" customHeight="1" x14ac:dyDescent="0.25">
      <c r="A67"/>
      <c r="D67" s="30" t="str" cm="1">
        <f t="array" ref="D67">Common_InputFunctions.Utility_DisplayArrayInTable(Scope3_SourceData.Scope3_Livestock_Data(), Table_SourceData_Scope3_Animals[[#Headers],[Category]], 0, 2)</f>
        <v>Sheep</v>
      </c>
      <c r="E67" s="30" t="str" cm="1">
        <f t="array" ref="E67">Common_InputFunctions.Utility_DisplayArrayInTable(Scope3_SourceData.Scope3_Livestock_Data(), Table_SourceData_Scope3_Animals[[#Headers],[Category]], 0, 2)</f>
        <v>Sheep, for mutton</v>
      </c>
      <c r="F67" s="30" t="str" cm="1">
        <f t="array" ref="F67">Common_InputFunctions.Utility_DisplayArrayInTable(Scope3_SourceData.Scope3_Livestock_Data(), Table_SourceData_Scope3_Animals[[#Headers],[Category]], 0, 2)</f>
        <v>WA</v>
      </c>
      <c r="G67" s="30" t="str" cm="1">
        <f t="array" ref="G67">Common_InputFunctions.Utility_DisplayArrayInTable(Scope3_SourceData.Scope3_Livestock_Data(), Table_SourceData_Scope3_Animals[[#Headers],[Category]], 0, 2)</f>
        <v>kg liveweight</v>
      </c>
      <c r="H67" s="30" cm="1">
        <f t="array" ref="H67">Common_InputFunctions.Utility_DisplayArrayInTable(Scope3_SourceData.Scope3_Livestock_Data(), Table_SourceData_Scope3_Animals[[#Headers],[Category]], 0, 2)</f>
        <v>5.45</v>
      </c>
      <c r="I67" s="30" t="str" cm="1">
        <f t="array" ref="I67">Common_InputFunctions.Utility_DisplayArrayInTable(Scope3_SourceData.Scope3_Livestock_Data(), Table_SourceData_Scope3_Animals[[#Headers],[Category]], 0, 2)</f>
        <v>at market</v>
      </c>
    </row>
    <row r="68" spans="1:9" ht="20.100000000000001" customHeight="1" x14ac:dyDescent="0.25">
      <c r="A68"/>
      <c r="D68" s="30" t="str" cm="1">
        <f t="array" ref="D68">Common_InputFunctions.Utility_DisplayArrayInTable(Scope3_SourceData.Scope3_Livestock_Data(), Table_SourceData_Scope3_Animals[[#Headers],[Category]], 0, 2)</f>
        <v>Sheep</v>
      </c>
      <c r="E68" s="30" t="str" cm="1">
        <f t="array" ref="E68">Common_InputFunctions.Utility_DisplayArrayInTable(Scope3_SourceData.Scope3_Livestock_Data(), Table_SourceData_Scope3_Animals[[#Headers],[Category]], 0, 2)</f>
        <v>Sheep, for prime lamb</v>
      </c>
      <c r="F68" s="30" t="str" cm="1">
        <f t="array" ref="F68">Common_InputFunctions.Utility_DisplayArrayInTable(Scope3_SourceData.Scope3_Livestock_Data(), Table_SourceData_Scope3_Animals[[#Headers],[Category]], 0, 2)</f>
        <v>Australia</v>
      </c>
      <c r="G68" s="30" t="str" cm="1">
        <f t="array" ref="G68">Common_InputFunctions.Utility_DisplayArrayInTable(Scope3_SourceData.Scope3_Livestock_Data(), Table_SourceData_Scope3_Animals[[#Headers],[Category]], 0, 2)</f>
        <v>kg liveweight</v>
      </c>
      <c r="H68" s="30" cm="1">
        <f t="array" ref="H68">Common_InputFunctions.Utility_DisplayArrayInTable(Scope3_SourceData.Scope3_Livestock_Data(), Table_SourceData_Scope3_Animals[[#Headers],[Category]], 0, 2)</f>
        <v>7.15</v>
      </c>
      <c r="I68" s="30" t="str" cm="1">
        <f t="array" ref="I68">Common_InputFunctions.Utility_DisplayArrayInTable(Scope3_SourceData.Scope3_Livestock_Data(), Table_SourceData_Scope3_Animals[[#Headers],[Category]], 0, 2)</f>
        <v>at market</v>
      </c>
    </row>
    <row r="69" spans="1:9" ht="20.100000000000001" customHeight="1" x14ac:dyDescent="0.25">
      <c r="A69"/>
      <c r="D69" s="30" t="str" cm="1">
        <f t="array" ref="D69">Common_InputFunctions.Utility_DisplayArrayInTable(Scope3_SourceData.Scope3_Livestock_Data(), Table_SourceData_Scope3_Animals[[#Headers],[Category]], 0, 2)</f>
        <v>Sheep</v>
      </c>
      <c r="E69" s="30" t="str" cm="1">
        <f t="array" ref="E69">Common_InputFunctions.Utility_DisplayArrayInTable(Scope3_SourceData.Scope3_Livestock_Data(), Table_SourceData_Scope3_Animals[[#Headers],[Category]], 0, 2)</f>
        <v>Sheep, for prime lamb</v>
      </c>
      <c r="F69" s="30" t="str" cm="1">
        <f t="array" ref="F69">Common_InputFunctions.Utility_DisplayArrayInTable(Scope3_SourceData.Scope3_Livestock_Data(), Table_SourceData_Scope3_Animals[[#Headers],[Category]], 0, 2)</f>
        <v>NSW</v>
      </c>
      <c r="G69" s="30" t="str" cm="1">
        <f t="array" ref="G69">Common_InputFunctions.Utility_DisplayArrayInTable(Scope3_SourceData.Scope3_Livestock_Data(), Table_SourceData_Scope3_Animals[[#Headers],[Category]], 0, 2)</f>
        <v>kg liveweight</v>
      </c>
      <c r="H69" s="30" cm="1">
        <f t="array" ref="H69">Common_InputFunctions.Utility_DisplayArrayInTable(Scope3_SourceData.Scope3_Livestock_Data(), Table_SourceData_Scope3_Animals[[#Headers],[Category]], 0, 2)</f>
        <v>8.2899999999999991</v>
      </c>
      <c r="I69" s="30" t="str" cm="1">
        <f t="array" ref="I69">Common_InputFunctions.Utility_DisplayArrayInTable(Scope3_SourceData.Scope3_Livestock_Data(), Table_SourceData_Scope3_Animals[[#Headers],[Category]], 0, 2)</f>
        <v>at market</v>
      </c>
    </row>
    <row r="70" spans="1:9" ht="20.100000000000001" customHeight="1" x14ac:dyDescent="0.25">
      <c r="A70"/>
      <c r="D70" s="30" t="str" cm="1">
        <f t="array" ref="D70">Common_InputFunctions.Utility_DisplayArrayInTable(Scope3_SourceData.Scope3_Livestock_Data(), Table_SourceData_Scope3_Animals[[#Headers],[Category]], 0, 2)</f>
        <v>Sheep</v>
      </c>
      <c r="E70" s="30" t="str" cm="1">
        <f t="array" ref="E70">Common_InputFunctions.Utility_DisplayArrayInTable(Scope3_SourceData.Scope3_Livestock_Data(), Table_SourceData_Scope3_Animals[[#Headers],[Category]], 0, 2)</f>
        <v>Sheep, for prime lamb</v>
      </c>
      <c r="F70" s="30" t="str" cm="1">
        <f t="array" ref="F70">Common_InputFunctions.Utility_DisplayArrayInTable(Scope3_SourceData.Scope3_Livestock_Data(), Table_SourceData_Scope3_Animals[[#Headers],[Category]], 0, 2)</f>
        <v>QLD</v>
      </c>
      <c r="G70" s="30" t="str" cm="1">
        <f t="array" ref="G70">Common_InputFunctions.Utility_DisplayArrayInTable(Scope3_SourceData.Scope3_Livestock_Data(), Table_SourceData_Scope3_Animals[[#Headers],[Category]], 0, 2)</f>
        <v>kg liveweight</v>
      </c>
      <c r="H70" s="30" cm="1">
        <f t="array" ref="H70">Common_InputFunctions.Utility_DisplayArrayInTable(Scope3_SourceData.Scope3_Livestock_Data(), Table_SourceData_Scope3_Animals[[#Headers],[Category]], 0, 2)</f>
        <v>6.39</v>
      </c>
      <c r="I70" s="30" t="str" cm="1">
        <f t="array" ref="I70">Common_InputFunctions.Utility_DisplayArrayInTable(Scope3_SourceData.Scope3_Livestock_Data(), Table_SourceData_Scope3_Animals[[#Headers],[Category]], 0, 2)</f>
        <v>at market</v>
      </c>
    </row>
    <row r="71" spans="1:9" ht="20.100000000000001" customHeight="1" x14ac:dyDescent="0.25">
      <c r="A71"/>
      <c r="D71" s="30" t="str" cm="1">
        <f t="array" ref="D71">Common_InputFunctions.Utility_DisplayArrayInTable(Scope3_SourceData.Scope3_Livestock_Data(), Table_SourceData_Scope3_Animals[[#Headers],[Category]], 0, 2)</f>
        <v>Sheep</v>
      </c>
      <c r="E71" s="30" t="str" cm="1">
        <f t="array" ref="E71">Common_InputFunctions.Utility_DisplayArrayInTable(Scope3_SourceData.Scope3_Livestock_Data(), Table_SourceData_Scope3_Animals[[#Headers],[Category]], 0, 2)</f>
        <v>Sheep, for prime lamb</v>
      </c>
      <c r="F71" s="30" t="str" cm="1">
        <f t="array" ref="F71">Common_InputFunctions.Utility_DisplayArrayInTable(Scope3_SourceData.Scope3_Livestock_Data(), Table_SourceData_Scope3_Animals[[#Headers],[Category]], 0, 2)</f>
        <v>SA</v>
      </c>
      <c r="G71" s="30" t="str" cm="1">
        <f t="array" ref="G71">Common_InputFunctions.Utility_DisplayArrayInTable(Scope3_SourceData.Scope3_Livestock_Data(), Table_SourceData_Scope3_Animals[[#Headers],[Category]], 0, 2)</f>
        <v>kg liveweight</v>
      </c>
      <c r="H71" s="30" cm="1">
        <f t="array" ref="H71">Common_InputFunctions.Utility_DisplayArrayInTable(Scope3_SourceData.Scope3_Livestock_Data(), Table_SourceData_Scope3_Animals[[#Headers],[Category]], 0, 2)</f>
        <v>6.87</v>
      </c>
      <c r="I71" s="30" t="str" cm="1">
        <f t="array" ref="I71">Common_InputFunctions.Utility_DisplayArrayInTable(Scope3_SourceData.Scope3_Livestock_Data(), Table_SourceData_Scope3_Animals[[#Headers],[Category]], 0, 2)</f>
        <v>at market</v>
      </c>
    </row>
    <row r="72" spans="1:9" ht="20.100000000000001" customHeight="1" x14ac:dyDescent="0.25">
      <c r="A72"/>
      <c r="D72" s="30" t="str" cm="1">
        <f t="array" ref="D72">Common_InputFunctions.Utility_DisplayArrayInTable(Scope3_SourceData.Scope3_Livestock_Data(), Table_SourceData_Scope3_Animals[[#Headers],[Category]], 0, 2)</f>
        <v>Sheep</v>
      </c>
      <c r="E72" s="30" t="str" cm="1">
        <f t="array" ref="E72">Common_InputFunctions.Utility_DisplayArrayInTable(Scope3_SourceData.Scope3_Livestock_Data(), Table_SourceData_Scope3_Animals[[#Headers],[Category]], 0, 2)</f>
        <v>Sheep, for prime lamb</v>
      </c>
      <c r="F72" s="30" t="str" cm="1">
        <f t="array" ref="F72">Common_InputFunctions.Utility_DisplayArrayInTable(Scope3_SourceData.Scope3_Livestock_Data(), Table_SourceData_Scope3_Animals[[#Headers],[Category]], 0, 2)</f>
        <v>TAS</v>
      </c>
      <c r="G72" s="30" t="str" cm="1">
        <f t="array" ref="G72">Common_InputFunctions.Utility_DisplayArrayInTable(Scope3_SourceData.Scope3_Livestock_Data(), Table_SourceData_Scope3_Animals[[#Headers],[Category]], 0, 2)</f>
        <v>kg liveweight</v>
      </c>
      <c r="H72" s="30" cm="1">
        <f t="array" ref="H72">Common_InputFunctions.Utility_DisplayArrayInTable(Scope3_SourceData.Scope3_Livestock_Data(), Table_SourceData_Scope3_Animals[[#Headers],[Category]], 0, 2)</f>
        <v>8.66</v>
      </c>
      <c r="I72" s="30" t="str" cm="1">
        <f t="array" ref="I72">Common_InputFunctions.Utility_DisplayArrayInTable(Scope3_SourceData.Scope3_Livestock_Data(), Table_SourceData_Scope3_Animals[[#Headers],[Category]], 0, 2)</f>
        <v>at market</v>
      </c>
    </row>
    <row r="73" spans="1:9" ht="20.100000000000001" customHeight="1" x14ac:dyDescent="0.25">
      <c r="A73"/>
      <c r="D73" s="30" t="str" cm="1">
        <f t="array" ref="D73">Common_InputFunctions.Utility_DisplayArrayInTable(Scope3_SourceData.Scope3_Livestock_Data(), Table_SourceData_Scope3_Animals[[#Headers],[Category]], 0, 2)</f>
        <v>Sheep</v>
      </c>
      <c r="E73" s="30" t="str" cm="1">
        <f t="array" ref="E73">Common_InputFunctions.Utility_DisplayArrayInTable(Scope3_SourceData.Scope3_Livestock_Data(), Table_SourceData_Scope3_Animals[[#Headers],[Category]], 0, 2)</f>
        <v>Sheep, for prime lamb</v>
      </c>
      <c r="F73" s="30" t="str" cm="1">
        <f t="array" ref="F73">Common_InputFunctions.Utility_DisplayArrayInTable(Scope3_SourceData.Scope3_Livestock_Data(), Table_SourceData_Scope3_Animals[[#Headers],[Category]], 0, 2)</f>
        <v>VIC</v>
      </c>
      <c r="G73" s="30" t="str" cm="1">
        <f t="array" ref="G73">Common_InputFunctions.Utility_DisplayArrayInTable(Scope3_SourceData.Scope3_Livestock_Data(), Table_SourceData_Scope3_Animals[[#Headers],[Category]], 0, 2)</f>
        <v>kg liveweight</v>
      </c>
      <c r="H73" s="30" cm="1">
        <f t="array" ref="H73">Common_InputFunctions.Utility_DisplayArrayInTable(Scope3_SourceData.Scope3_Livestock_Data(), Table_SourceData_Scope3_Animals[[#Headers],[Category]], 0, 2)</f>
        <v>10</v>
      </c>
      <c r="I73" s="30" t="str" cm="1">
        <f t="array" ref="I73">Common_InputFunctions.Utility_DisplayArrayInTable(Scope3_SourceData.Scope3_Livestock_Data(), Table_SourceData_Scope3_Animals[[#Headers],[Category]], 0, 2)</f>
        <v>at market</v>
      </c>
    </row>
    <row r="74" spans="1:9" ht="20.100000000000001" customHeight="1" x14ac:dyDescent="0.25">
      <c r="A74"/>
      <c r="D74" s="30" t="str" cm="1">
        <f t="array" ref="D74">Common_InputFunctions.Utility_DisplayArrayInTable(Scope3_SourceData.Scope3_Livestock_Data(), Table_SourceData_Scope3_Animals[[#Headers],[Category]], 0, 2)</f>
        <v>Sheep</v>
      </c>
      <c r="E74" s="30" t="str" cm="1">
        <f t="array" ref="E74">Common_InputFunctions.Utility_DisplayArrayInTable(Scope3_SourceData.Scope3_Livestock_Data(), Table_SourceData_Scope3_Animals[[#Headers],[Category]], 0, 2)</f>
        <v>Sheep, for prime lamb</v>
      </c>
      <c r="F74" s="30" t="str" cm="1">
        <f t="array" ref="F74">Common_InputFunctions.Utility_DisplayArrayInTable(Scope3_SourceData.Scope3_Livestock_Data(), Table_SourceData_Scope3_Animals[[#Headers],[Category]], 0, 2)</f>
        <v>WA</v>
      </c>
      <c r="G74" s="30" t="str" cm="1">
        <f t="array" ref="G74">Common_InputFunctions.Utility_DisplayArrayInTable(Scope3_SourceData.Scope3_Livestock_Data(), Table_SourceData_Scope3_Animals[[#Headers],[Category]], 0, 2)</f>
        <v>kg liveweight</v>
      </c>
      <c r="H74" s="30" cm="1">
        <f t="array" ref="H74">Common_InputFunctions.Utility_DisplayArrayInTable(Scope3_SourceData.Scope3_Livestock_Data(), Table_SourceData_Scope3_Animals[[#Headers],[Category]], 0, 2)</f>
        <v>5.67</v>
      </c>
      <c r="I74" s="30" t="str" cm="1">
        <f t="array" ref="I74">Common_InputFunctions.Utility_DisplayArrayInTable(Scope3_SourceData.Scope3_Livestock_Data(), Table_SourceData_Scope3_Animals[[#Headers],[Category]], 0, 2)</f>
        <v>at market</v>
      </c>
    </row>
    <row r="75" spans="1:9" ht="20.100000000000001" customHeight="1" x14ac:dyDescent="0.25">
      <c r="A75"/>
    </row>
    <row r="76" spans="1:9" ht="20.100000000000001" customHeight="1" x14ac:dyDescent="0.25">
      <c r="A76"/>
      <c r="D76" s="2" t="s">
        <v>687</v>
      </c>
    </row>
    <row r="77" spans="1:9" ht="20.100000000000001" customHeight="1" x14ac:dyDescent="0.25">
      <c r="A77"/>
      <c r="D77" s="30" t="s">
        <v>942</v>
      </c>
      <c r="E77" s="30" t="s">
        <v>137</v>
      </c>
      <c r="F77" s="30" t="s">
        <v>943</v>
      </c>
      <c r="G77" s="30" t="s">
        <v>944</v>
      </c>
      <c r="H77" s="30" t="s">
        <v>945</v>
      </c>
      <c r="I77" s="30" t="s">
        <v>946</v>
      </c>
    </row>
    <row r="78" spans="1:9" ht="20.100000000000001" customHeight="1" x14ac:dyDescent="0.25">
      <c r="A78"/>
      <c r="D78" s="30" t="str" cm="1">
        <f t="array" ref="D78">Common_InputFunctions.Utility_DisplayArrayInTable(Scope3_SourceData.Scope3_Chemicals_Data(), Table_SourceData_Scope3_ChemicalsCleaning[[#Headers],[Category]], 0, 2)</f>
        <v>Cleaning chemicals</v>
      </c>
      <c r="E78" s="30" t="str" cm="1">
        <f t="array" ref="E78">Common_InputFunctions.Utility_DisplayArrayInTable(Scope3_SourceData.Scope3_Chemicals_Data(), Table_SourceData_Scope3_ChemicalsCleaning[[#Headers],[Category]], 0, 2)</f>
        <v>Alkaline cleaner</v>
      </c>
      <c r="F78" s="30" t="str" cm="1">
        <f t="array" ref="F78">Common_InputFunctions.Utility_DisplayArrayInTable(Scope3_SourceData.Scope3_Chemicals_Data(), Table_SourceData_Scope3_ChemicalsCleaning[[#Headers],[Category]], 0, 2)</f>
        <v>Global</v>
      </c>
      <c r="G78" s="30" t="str" cm="1">
        <f t="array" ref="G78">Common_InputFunctions.Utility_DisplayArrayInTable(Scope3_SourceData.Scope3_Chemicals_Data(), Table_SourceData_Scope3_ChemicalsCleaning[[#Headers],[Category]], 0, 2)</f>
        <v>kg</v>
      </c>
      <c r="H78" s="30" cm="1">
        <f t="array" ref="H78">Common_InputFunctions.Utility_DisplayArrayInTable(Scope3_SourceData.Scope3_Chemicals_Data(), Table_SourceData_Scope3_ChemicalsCleaning[[#Headers],[Category]], 0, 2)</f>
        <v>0.72199999999999998</v>
      </c>
      <c r="I78" s="30" t="str" cm="1">
        <f t="array" ref="I78">Common_InputFunctions.Utility_DisplayArrayInTable(Scope3_SourceData.Scope3_Chemicals_Data(), Table_SourceData_Scope3_ChemicalsCleaning[[#Headers],[Category]], 0, 2)</f>
        <v>at manufacturer</v>
      </c>
    </row>
    <row r="79" spans="1:9" ht="20.100000000000001" customHeight="1" x14ac:dyDescent="0.25">
      <c r="A79"/>
      <c r="D79" s="30" t="str" cm="1">
        <f t="array" ref="D79">Common_InputFunctions.Utility_DisplayArrayInTable(Scope3_SourceData.Scope3_Chemicals_Data(), Table_SourceData_Scope3_ChemicalsCleaning[[#Headers],[Category]], 0, 2)</f>
        <v>Cleaning chemicals</v>
      </c>
      <c r="E79" s="30" t="str" cm="1">
        <f t="array" ref="E79">Common_InputFunctions.Utility_DisplayArrayInTable(Scope3_SourceData.Scope3_Chemicals_Data(), Table_SourceData_Scope3_ChemicalsCleaning[[#Headers],[Category]], 0, 2)</f>
        <v>Bleach</v>
      </c>
      <c r="F79" s="30" t="str" cm="1">
        <f t="array" ref="F79">Common_InputFunctions.Utility_DisplayArrayInTable(Scope3_SourceData.Scope3_Chemicals_Data(), Table_SourceData_Scope3_ChemicalsCleaning[[#Headers],[Category]], 0, 2)</f>
        <v>Global</v>
      </c>
      <c r="G79" s="30" t="str" cm="1">
        <f t="array" ref="G79">Common_InputFunctions.Utility_DisplayArrayInTable(Scope3_SourceData.Scope3_Chemicals_Data(), Table_SourceData_Scope3_ChemicalsCleaning[[#Headers],[Category]], 0, 2)</f>
        <v>kg</v>
      </c>
      <c r="H79" s="30" cm="1">
        <f t="array" ref="H79">Common_InputFunctions.Utility_DisplayArrayInTable(Scope3_SourceData.Scope3_Chemicals_Data(), Table_SourceData_Scope3_ChemicalsCleaning[[#Headers],[Category]], 0, 2)</f>
        <v>0.80400000000000005</v>
      </c>
      <c r="I79" s="30" t="str" cm="1">
        <f t="array" ref="I79">Common_InputFunctions.Utility_DisplayArrayInTable(Scope3_SourceData.Scope3_Chemicals_Data(), Table_SourceData_Scope3_ChemicalsCleaning[[#Headers],[Category]], 0, 2)</f>
        <v>at manufacturer</v>
      </c>
    </row>
    <row r="80" spans="1:9" ht="20.100000000000001" customHeight="1" x14ac:dyDescent="0.25">
      <c r="A80"/>
      <c r="D80" s="30" t="str" cm="1">
        <f t="array" ref="D80">Common_InputFunctions.Utility_DisplayArrayInTable(Scope3_SourceData.Scope3_Chemicals_Data(), Table_SourceData_Scope3_ChemicalsCleaning[[#Headers],[Category]], 0, 2)</f>
        <v>Cleaning chemicals</v>
      </c>
      <c r="E80" s="30" t="str" cm="1">
        <f t="array" ref="E80">Common_InputFunctions.Utility_DisplayArrayInTable(Scope3_SourceData.Scope3_Chemicals_Data(), Table_SourceData_Scope3_ChemicalsCleaning[[#Headers],[Category]], 0, 2)</f>
        <v>Phosphoric acid</v>
      </c>
      <c r="F80" s="30" t="str" cm="1">
        <f t="array" ref="F80">Common_InputFunctions.Utility_DisplayArrayInTable(Scope3_SourceData.Scope3_Chemicals_Data(), Table_SourceData_Scope3_ChemicalsCleaning[[#Headers],[Category]], 0, 2)</f>
        <v>Global</v>
      </c>
      <c r="G80" s="30" t="str" cm="1">
        <f t="array" ref="G80">Common_InputFunctions.Utility_DisplayArrayInTable(Scope3_SourceData.Scope3_Chemicals_Data(), Table_SourceData_Scope3_ChemicalsCleaning[[#Headers],[Category]], 0, 2)</f>
        <v>kg</v>
      </c>
      <c r="H80" s="30" cm="1">
        <f t="array" ref="H80">Common_InputFunctions.Utility_DisplayArrayInTable(Scope3_SourceData.Scope3_Chemicals_Data(), Table_SourceData_Scope3_ChemicalsCleaning[[#Headers],[Category]], 0, 2)</f>
        <v>0.90700000000000003</v>
      </c>
      <c r="I80" s="30" t="str" cm="1">
        <f t="array" ref="I80">Common_InputFunctions.Utility_DisplayArrayInTable(Scope3_SourceData.Scope3_Chemicals_Data(), Table_SourceData_Scope3_ChemicalsCleaning[[#Headers],[Category]], 0, 2)</f>
        <v>at manufacturer</v>
      </c>
    </row>
    <row r="81" spans="1:16" ht="20.100000000000001" customHeight="1" x14ac:dyDescent="0.25">
      <c r="A81"/>
    </row>
    <row r="82" spans="1:16" ht="20.100000000000001" customHeight="1" x14ac:dyDescent="0.25">
      <c r="A82"/>
      <c r="D82" s="30" t="s">
        <v>942</v>
      </c>
      <c r="E82" s="30" t="s">
        <v>137</v>
      </c>
      <c r="F82" s="30" t="s">
        <v>943</v>
      </c>
      <c r="G82" s="30" t="s">
        <v>944</v>
      </c>
      <c r="H82" s="30" t="s">
        <v>945</v>
      </c>
      <c r="I82" s="30" t="s">
        <v>946</v>
      </c>
    </row>
    <row r="83" spans="1:16" ht="20.100000000000001" customHeight="1" x14ac:dyDescent="0.25">
      <c r="A83"/>
      <c r="D83" s="30" t="str" cm="1">
        <f t="array" ref="D83">Common_InputFunctions.Utility_DisplayArrayInTable(Scope3_SourceData.Scope3_Chemicals_Data(), Table_SourceData_Scope3_ChemicalsPharmacy[[#Headers],[Category]], -3, 2)</f>
        <v>Pharmacy chemicals</v>
      </c>
      <c r="E83" s="30" t="str" cm="1">
        <f t="array" ref="E83">Common_InputFunctions.Utility_DisplayArrayInTable(Scope3_SourceData.Scope3_Chemicals_Data(), Table_SourceData_Scope3_ChemicalsPharmacy[[#Headers],[Category]], -3, 2)</f>
        <v>Parasite control for cattle (external), dipping</v>
      </c>
      <c r="F83" s="30" t="str" cm="1">
        <f t="array" ref="F83">Common_InputFunctions.Utility_DisplayArrayInTable(Scope3_SourceData.Scope3_Chemicals_Data(), Table_SourceData_Scope3_ChemicalsPharmacy[[#Headers],[Category]], -3, 2)</f>
        <v>Global</v>
      </c>
      <c r="G83" s="30" t="str" cm="1">
        <f t="array" ref="G83">Common_InputFunctions.Utility_DisplayArrayInTable(Scope3_SourceData.Scope3_Chemicals_Data(), Table_SourceData_Scope3_ChemicalsPharmacy[[#Headers],[Category]], -3, 2)</f>
        <v>p (head)</v>
      </c>
      <c r="H83" s="30" cm="1">
        <f t="array" ref="H83">Common_InputFunctions.Utility_DisplayArrayInTable(Scope3_SourceData.Scope3_Chemicals_Data(), Table_SourceData_Scope3_ChemicalsPharmacy[[#Headers],[Category]], -3, 2)</f>
        <v>5.4699999999999999E-2</v>
      </c>
      <c r="I83" s="30" t="str" cm="1">
        <f t="array" ref="I83">Common_InputFunctions.Utility_DisplayArrayInTable(Scope3_SourceData.Scope3_Chemicals_Data(), Table_SourceData_Scope3_ChemicalsPharmacy[[#Headers],[Category]], -3, 2)</f>
        <v>at manufacturer</v>
      </c>
    </row>
    <row r="84" spans="1:16" ht="20.100000000000001" customHeight="1" x14ac:dyDescent="0.25">
      <c r="A84"/>
      <c r="D84" s="30" t="str" cm="1">
        <f t="array" ref="D84">Common_InputFunctions.Utility_DisplayArrayInTable(Scope3_SourceData.Scope3_Chemicals_Data(), Table_SourceData_Scope3_ChemicalsPharmacy[[#Headers],[Category]], -3, 2)</f>
        <v>Pharmacy chemicals</v>
      </c>
      <c r="E84" s="30" t="str" cm="1">
        <f t="array" ref="E84">Common_InputFunctions.Utility_DisplayArrayInTable(Scope3_SourceData.Scope3_Chemicals_Data(), Table_SourceData_Scope3_ChemicalsPharmacy[[#Headers],[Category]], -3, 2)</f>
        <v>Parasite control for cattle (internal)</v>
      </c>
      <c r="F84" s="30" t="str" cm="1">
        <f t="array" ref="F84">Common_InputFunctions.Utility_DisplayArrayInTable(Scope3_SourceData.Scope3_Chemicals_Data(), Table_SourceData_Scope3_ChemicalsPharmacy[[#Headers],[Category]], -3, 2)</f>
        <v>Global</v>
      </c>
      <c r="G84" s="30" t="str" cm="1">
        <f t="array" ref="G84">Common_InputFunctions.Utility_DisplayArrayInTable(Scope3_SourceData.Scope3_Chemicals_Data(), Table_SourceData_Scope3_ChemicalsPharmacy[[#Headers],[Category]], -3, 2)</f>
        <v>p (head)</v>
      </c>
      <c r="H84" s="30" cm="1">
        <f t="array" ref="H84">Common_InputFunctions.Utility_DisplayArrayInTable(Scope3_SourceData.Scope3_Chemicals_Data(), Table_SourceData_Scope3_ChemicalsPharmacy[[#Headers],[Category]], -3, 2)</f>
        <v>1.4200000000000001E-2</v>
      </c>
      <c r="I84" s="30" t="str" cm="1">
        <f t="array" ref="I84">Common_InputFunctions.Utility_DisplayArrayInTable(Scope3_SourceData.Scope3_Chemicals_Data(), Table_SourceData_Scope3_ChemicalsPharmacy[[#Headers],[Category]], -3, 2)</f>
        <v>at manufacturer</v>
      </c>
    </row>
    <row r="85" spans="1:16" ht="20.100000000000001" customHeight="1" x14ac:dyDescent="0.25">
      <c r="A85"/>
      <c r="D85" s="30" t="str" cm="1">
        <f t="array" ref="D85">Common_InputFunctions.Utility_DisplayArrayInTable(Scope3_SourceData.Scope3_Chemicals_Data(), Table_SourceData_Scope3_ChemicalsPharmacy[[#Headers],[Category]], -3, 2)</f>
        <v>Pharmacy chemicals</v>
      </c>
      <c r="E85" s="30" t="str" cm="1">
        <f t="array" ref="E85">Common_InputFunctions.Utility_DisplayArrayInTable(Scope3_SourceData.Scope3_Chemicals_Data(), Table_SourceData_Scope3_ChemicalsPharmacy[[#Headers],[Category]], -3, 2)</f>
        <v>Parasite control for sheep (external)</v>
      </c>
      <c r="F85" s="30" t="str" cm="1">
        <f t="array" ref="F85">Common_InputFunctions.Utility_DisplayArrayInTable(Scope3_SourceData.Scope3_Chemicals_Data(), Table_SourceData_Scope3_ChemicalsPharmacy[[#Headers],[Category]], -3, 2)</f>
        <v>Global</v>
      </c>
      <c r="G85" s="30" t="str" cm="1">
        <f t="array" ref="G85">Common_InputFunctions.Utility_DisplayArrayInTable(Scope3_SourceData.Scope3_Chemicals_Data(), Table_SourceData_Scope3_ChemicalsPharmacy[[#Headers],[Category]], -3, 2)</f>
        <v>p (head)</v>
      </c>
      <c r="H85" s="30" cm="1">
        <f t="array" ref="H85">Common_InputFunctions.Utility_DisplayArrayInTable(Scope3_SourceData.Scope3_Chemicals_Data(), Table_SourceData_Scope3_ChemicalsPharmacy[[#Headers],[Category]], -3, 2)</f>
        <v>1.43E-2</v>
      </c>
      <c r="I85" s="30" t="str" cm="1">
        <f t="array" ref="I85">Common_InputFunctions.Utility_DisplayArrayInTable(Scope3_SourceData.Scope3_Chemicals_Data(), Table_SourceData_Scope3_ChemicalsPharmacy[[#Headers],[Category]], -3, 2)</f>
        <v>at manufacturer</v>
      </c>
    </row>
    <row r="86" spans="1:16" ht="20.100000000000001" customHeight="1" x14ac:dyDescent="0.25">
      <c r="A86"/>
      <c r="D86" s="30" t="str" cm="1">
        <f t="array" ref="D86">Common_InputFunctions.Utility_DisplayArrayInTable(Scope3_SourceData.Scope3_Chemicals_Data(), Table_SourceData_Scope3_ChemicalsPharmacy[[#Headers],[Category]], -3, 2)</f>
        <v>Pharmacy chemicals</v>
      </c>
      <c r="E86" s="30" t="str" cm="1">
        <f t="array" ref="E86">Common_InputFunctions.Utility_DisplayArrayInTable(Scope3_SourceData.Scope3_Chemicals_Data(), Table_SourceData_Scope3_ChemicalsPharmacy[[#Headers],[Category]], -3, 2)</f>
        <v>Parasite control for sheep (internal)</v>
      </c>
      <c r="F86" s="30" t="str" cm="1">
        <f t="array" ref="F86">Common_InputFunctions.Utility_DisplayArrayInTable(Scope3_SourceData.Scope3_Chemicals_Data(), Table_SourceData_Scope3_ChemicalsPharmacy[[#Headers],[Category]], -3, 2)</f>
        <v>Global</v>
      </c>
      <c r="G86" s="30" t="str" cm="1">
        <f t="array" ref="G86">Common_InputFunctions.Utility_DisplayArrayInTable(Scope3_SourceData.Scope3_Chemicals_Data(), Table_SourceData_Scope3_ChemicalsPharmacy[[#Headers],[Category]], -3, 2)</f>
        <v>p (head)</v>
      </c>
      <c r="H86" s="30" cm="1">
        <f t="array" ref="H86">Common_InputFunctions.Utility_DisplayArrayInTable(Scope3_SourceData.Scope3_Chemicals_Data(), Table_SourceData_Scope3_ChemicalsPharmacy[[#Headers],[Category]], -3, 2)</f>
        <v>4.2599999999999999E-3</v>
      </c>
      <c r="I86" s="30" t="str" cm="1">
        <f t="array" ref="I86">Common_InputFunctions.Utility_DisplayArrayInTable(Scope3_SourceData.Scope3_Chemicals_Data(), Table_SourceData_Scope3_ChemicalsPharmacy[[#Headers],[Category]], -3, 2)</f>
        <v>at manufacturer</v>
      </c>
    </row>
    <row r="87" spans="1:16" ht="20.100000000000001" customHeight="1" x14ac:dyDescent="0.25">
      <c r="A87"/>
    </row>
    <row r="88" spans="1:16" ht="20.100000000000001" customHeight="1" x14ac:dyDescent="0.25">
      <c r="A88"/>
      <c r="D88" s="2" t="s">
        <v>734</v>
      </c>
    </row>
    <row r="89" spans="1:16" ht="20.100000000000001" customHeight="1" x14ac:dyDescent="0.25">
      <c r="A89"/>
      <c r="D89" s="30" t="s">
        <v>942</v>
      </c>
      <c r="E89" s="30" t="s">
        <v>137</v>
      </c>
      <c r="F89" s="30" t="s">
        <v>943</v>
      </c>
      <c r="G89" s="30" t="s">
        <v>944</v>
      </c>
      <c r="H89" s="30" t="s">
        <v>945</v>
      </c>
      <c r="I89" s="30" t="s">
        <v>946</v>
      </c>
      <c r="K89" s="30" t="s">
        <v>137</v>
      </c>
      <c r="L89" s="30" t="s">
        <v>947</v>
      </c>
      <c r="M89" s="1" t="str">
        <f>"Table_ProductRegions_" &amp; SUBSTITUTE(SUBSTITUTE(SUBSTITUTE(SUBSTITUTE(K90, " ", ""), ",", ""), "(", ""), ")", "")</f>
        <v>Table_ProductRegions_Sardineswhole</v>
      </c>
    </row>
    <row r="90" spans="1:16" ht="20.100000000000001" customHeight="1" x14ac:dyDescent="0.25">
      <c r="A90"/>
      <c r="D90" s="30" t="str" cm="1">
        <f t="array" ref="D90">Common_InputFunctions.Utility_DisplayArrayInTable(Scope3_SourceData.Scope3_Feed_Data(), Table_SourceData_Scope3_Feed[[#Headers],[Category]], 0, 2)</f>
        <v>Aquaculture feed</v>
      </c>
      <c r="E90" s="30" t="str" cm="1">
        <f t="array" ref="E90">Common_InputFunctions.Utility_DisplayArrayInTable(Scope3_SourceData.Scope3_Feed_Data(), Table_SourceData_Scope3_Feed[[#Headers],[Category]], 0, 2)</f>
        <v>Sardines (whole)</v>
      </c>
      <c r="F90" s="30" t="str" cm="1">
        <f t="array" ref="F90">Common_InputFunctions.Utility_DisplayArrayInTable(Scope3_SourceData.Scope3_Feed_Data(), Table_SourceData_Scope3_Feed[[#Headers],[Category]], 0, 2)</f>
        <v>SA</v>
      </c>
      <c r="G90" s="30" t="str" cm="1">
        <f t="array" ref="G90">Common_InputFunctions.Utility_DisplayArrayInTable(Scope3_SourceData.Scope3_Feed_Data(), Table_SourceData_Scope3_Feed[[#Headers],[Category]], 0, 2)</f>
        <v>kg</v>
      </c>
      <c r="H90" s="30" cm="1">
        <f t="array" ref="H90">Common_InputFunctions.Utility_DisplayArrayInTable(Scope3_SourceData.Scope3_Feed_Data(), Table_SourceData_Scope3_Feed[[#Headers],[Category]], 0, 2)</f>
        <v>0.376</v>
      </c>
      <c r="I90" s="30" t="str" cm="1">
        <f t="array" ref="I90">Common_InputFunctions.Utility_DisplayArrayInTable(Scope3_SourceData.Scope3_Feed_Data(), Table_SourceData_Scope3_Feed[[#Headers],[Category]], 0, 2)</f>
        <v>at market</v>
      </c>
      <c r="K90" s="30" t="str">
        <f>Table_SourceData_Scope3_Feed[[#This Row],[Product]]</f>
        <v>Sardines (whole)</v>
      </c>
      <c r="L90" s="30" t="str">
        <f>Table_SourceData_Scope3_Feed[[#This Row],[Region of origin]]</f>
        <v>SA</v>
      </c>
      <c r="N90" s="30" t="s">
        <v>137</v>
      </c>
      <c r="O90" s="30" t="s">
        <v>947</v>
      </c>
      <c r="P90" s="1" t="str">
        <f>"Table_ProductRegions_" &amp; SUBSTITUTE(SUBSTITUTE(SUBSTITUTE(SUBSTITUTE(N91, " ", ""), ",", ""), "(", ""), ")", "")</f>
        <v>Table_ProductRegions_Barleygrain</v>
      </c>
    </row>
    <row r="91" spans="1:16" ht="20.100000000000001" customHeight="1" x14ac:dyDescent="0.25">
      <c r="A91"/>
      <c r="D91" s="30" t="str" cm="1">
        <f t="array" ref="D91">Common_InputFunctions.Utility_DisplayArrayInTable(Scope3_SourceData.Scope3_Feed_Data(), Table_SourceData_Scope3_Feed[[#Headers],[Category]], 0, 2)</f>
        <v>Grain</v>
      </c>
      <c r="E91" s="30" t="str" cm="1">
        <f t="array" ref="E91">Common_InputFunctions.Utility_DisplayArrayInTable(Scope3_SourceData.Scope3_Feed_Data(), Table_SourceData_Scope3_Feed[[#Headers],[Category]], 0, 2)</f>
        <v>Barley grain</v>
      </c>
      <c r="F91" s="30" t="str" cm="1">
        <f t="array" ref="F91">Common_InputFunctions.Utility_DisplayArrayInTable(Scope3_SourceData.Scope3_Feed_Data(), Table_SourceData_Scope3_Feed[[#Headers],[Category]], 0, 2)</f>
        <v>Australia</v>
      </c>
      <c r="G91" s="30" t="str" cm="1">
        <f t="array" ref="G91">Common_InputFunctions.Utility_DisplayArrayInTable(Scope3_SourceData.Scope3_Feed_Data(), Table_SourceData_Scope3_Feed[[#Headers],[Category]], 0, 2)</f>
        <v>kg</v>
      </c>
      <c r="H91" s="30" cm="1">
        <f t="array" ref="H91">Common_InputFunctions.Utility_DisplayArrayInTable(Scope3_SourceData.Scope3_Feed_Data(), Table_SourceData_Scope3_Feed[[#Headers],[Category]], 0, 2)</f>
        <v>0.23899999999999999</v>
      </c>
      <c r="I91" s="30" t="str" cm="1">
        <f t="array" ref="I91">Common_InputFunctions.Utility_DisplayArrayInTable(Scope3_SourceData.Scope3_Feed_Data(), Table_SourceData_Scope3_Feed[[#Headers],[Category]], 0, 2)</f>
        <v>at market</v>
      </c>
      <c r="N91" s="30" t="str">
        <f>Table_SourceData_Scope3_Feed[[#This Row],[Product]]</f>
        <v>Barley grain</v>
      </c>
      <c r="O91" s="30" t="str">
        <f>Table_SourceData_Scope3_Feed[[#This Row],[Region of origin]]</f>
        <v>Australia</v>
      </c>
    </row>
    <row r="92" spans="1:16" ht="20.100000000000001" customHeight="1" x14ac:dyDescent="0.25">
      <c r="A92"/>
      <c r="D92" s="30" t="str" cm="1">
        <f t="array" ref="D92">Common_InputFunctions.Utility_DisplayArrayInTable(Scope3_SourceData.Scope3_Feed_Data(), Table_SourceData_Scope3_Feed[[#Headers],[Category]], 0, 2)</f>
        <v>Grain</v>
      </c>
      <c r="E92" s="30" t="str" cm="1">
        <f t="array" ref="E92">Common_InputFunctions.Utility_DisplayArrayInTable(Scope3_SourceData.Scope3_Feed_Data(), Table_SourceData_Scope3_Feed[[#Headers],[Category]], 0, 2)</f>
        <v>Barley grain</v>
      </c>
      <c r="F92" s="30" t="str" cm="1">
        <f t="array" ref="F92">Common_InputFunctions.Utility_DisplayArrayInTable(Scope3_SourceData.Scope3_Feed_Data(), Table_SourceData_Scope3_Feed[[#Headers],[Category]], 0, 2)</f>
        <v>NSW</v>
      </c>
      <c r="G92" s="30" t="str" cm="1">
        <f t="array" ref="G92">Common_InputFunctions.Utility_DisplayArrayInTable(Scope3_SourceData.Scope3_Feed_Data(), Table_SourceData_Scope3_Feed[[#Headers],[Category]], 0, 2)</f>
        <v>kg</v>
      </c>
      <c r="H92" s="30" cm="1">
        <f t="array" ref="H92">Common_InputFunctions.Utility_DisplayArrayInTable(Scope3_SourceData.Scope3_Feed_Data(), Table_SourceData_Scope3_Feed[[#Headers],[Category]], 0, 2)</f>
        <v>0.25600000000000001</v>
      </c>
      <c r="I92" s="30" t="str" cm="1">
        <f t="array" ref="I92">Common_InputFunctions.Utility_DisplayArrayInTable(Scope3_SourceData.Scope3_Feed_Data(), Table_SourceData_Scope3_Feed[[#Headers],[Category]], 0, 2)</f>
        <v>at market</v>
      </c>
      <c r="N92" s="30" t="str">
        <f>Table_SourceData_Scope3_Feed[[#This Row],[Product]]</f>
        <v>Barley grain</v>
      </c>
      <c r="O92" s="30" t="str">
        <f>Table_SourceData_Scope3_Feed[[#This Row],[Region of origin]]</f>
        <v>NSW</v>
      </c>
    </row>
    <row r="93" spans="1:16" ht="20.100000000000001" customHeight="1" x14ac:dyDescent="0.25">
      <c r="A93"/>
      <c r="D93" s="30" t="str" cm="1">
        <f t="array" ref="D93">Common_InputFunctions.Utility_DisplayArrayInTable(Scope3_SourceData.Scope3_Feed_Data(), Table_SourceData_Scope3_Feed[[#Headers],[Category]], 0, 2)</f>
        <v>Grain</v>
      </c>
      <c r="E93" s="30" t="str" cm="1">
        <f t="array" ref="E93">Common_InputFunctions.Utility_DisplayArrayInTable(Scope3_SourceData.Scope3_Feed_Data(), Table_SourceData_Scope3_Feed[[#Headers],[Category]], 0, 2)</f>
        <v>Barley grain</v>
      </c>
      <c r="F93" s="30" t="str" cm="1">
        <f t="array" ref="F93">Common_InputFunctions.Utility_DisplayArrayInTable(Scope3_SourceData.Scope3_Feed_Data(), Table_SourceData_Scope3_Feed[[#Headers],[Category]], 0, 2)</f>
        <v>NT</v>
      </c>
      <c r="G93" s="30" t="str" cm="1">
        <f t="array" ref="G93">Common_InputFunctions.Utility_DisplayArrayInTable(Scope3_SourceData.Scope3_Feed_Data(), Table_SourceData_Scope3_Feed[[#Headers],[Category]], 0, 2)</f>
        <v>kg</v>
      </c>
      <c r="H93" s="30" cm="1">
        <f t="array" ref="H93">Common_InputFunctions.Utility_DisplayArrayInTable(Scope3_SourceData.Scope3_Feed_Data(), Table_SourceData_Scope3_Feed[[#Headers],[Category]], 0, 2)</f>
        <v>0.33200000000000002</v>
      </c>
      <c r="I93" s="30" t="str" cm="1">
        <f t="array" ref="I93">Common_InputFunctions.Utility_DisplayArrayInTable(Scope3_SourceData.Scope3_Feed_Data(), Table_SourceData_Scope3_Feed[[#Headers],[Category]], 0, 2)</f>
        <v>at market</v>
      </c>
      <c r="N93" s="30" t="str">
        <f>Table_SourceData_Scope3_Feed[[#This Row],[Product]]</f>
        <v>Barley grain</v>
      </c>
      <c r="O93" s="30" t="str">
        <f>Table_SourceData_Scope3_Feed[[#This Row],[Region of origin]]</f>
        <v>NT</v>
      </c>
    </row>
    <row r="94" spans="1:16" ht="20.100000000000001" customHeight="1" x14ac:dyDescent="0.25">
      <c r="A94"/>
      <c r="D94" s="30" t="str" cm="1">
        <f t="array" ref="D94">Common_InputFunctions.Utility_DisplayArrayInTable(Scope3_SourceData.Scope3_Feed_Data(), Table_SourceData_Scope3_Feed[[#Headers],[Category]], 0, 2)</f>
        <v>Grain</v>
      </c>
      <c r="E94" s="30" t="str" cm="1">
        <f t="array" ref="E94">Common_InputFunctions.Utility_DisplayArrayInTable(Scope3_SourceData.Scope3_Feed_Data(), Table_SourceData_Scope3_Feed[[#Headers],[Category]], 0, 2)</f>
        <v>Barley grain</v>
      </c>
      <c r="F94" s="30" t="str" cm="1">
        <f t="array" ref="F94">Common_InputFunctions.Utility_DisplayArrayInTable(Scope3_SourceData.Scope3_Feed_Data(), Table_SourceData_Scope3_Feed[[#Headers],[Category]], 0, 2)</f>
        <v>QLD</v>
      </c>
      <c r="G94" s="30" t="str" cm="1">
        <f t="array" ref="G94">Common_InputFunctions.Utility_DisplayArrayInTable(Scope3_SourceData.Scope3_Feed_Data(), Table_SourceData_Scope3_Feed[[#Headers],[Category]], 0, 2)</f>
        <v>kg</v>
      </c>
      <c r="H94" s="30" cm="1">
        <f t="array" ref="H94">Common_InputFunctions.Utility_DisplayArrayInTable(Scope3_SourceData.Scope3_Feed_Data(), Table_SourceData_Scope3_Feed[[#Headers],[Category]], 0, 2)</f>
        <v>0.26900000000000002</v>
      </c>
      <c r="I94" s="30" t="str" cm="1">
        <f t="array" ref="I94">Common_InputFunctions.Utility_DisplayArrayInTable(Scope3_SourceData.Scope3_Feed_Data(), Table_SourceData_Scope3_Feed[[#Headers],[Category]], 0, 2)</f>
        <v>at market</v>
      </c>
      <c r="N94" s="30" t="str">
        <f>Table_SourceData_Scope3_Feed[[#This Row],[Product]]</f>
        <v>Barley grain</v>
      </c>
      <c r="O94" s="30" t="str">
        <f>Table_SourceData_Scope3_Feed[[#This Row],[Region of origin]]</f>
        <v>QLD</v>
      </c>
    </row>
    <row r="95" spans="1:16" ht="20.100000000000001" customHeight="1" x14ac:dyDescent="0.25">
      <c r="A95"/>
      <c r="D95" s="30" t="str" cm="1">
        <f t="array" ref="D95">Common_InputFunctions.Utility_DisplayArrayInTable(Scope3_SourceData.Scope3_Feed_Data(), Table_SourceData_Scope3_Feed[[#Headers],[Category]], 0, 2)</f>
        <v>Grain</v>
      </c>
      <c r="E95" s="30" t="str" cm="1">
        <f t="array" ref="E95">Common_InputFunctions.Utility_DisplayArrayInTable(Scope3_SourceData.Scope3_Feed_Data(), Table_SourceData_Scope3_Feed[[#Headers],[Category]], 0, 2)</f>
        <v>Barley grain</v>
      </c>
      <c r="F95" s="30" t="str" cm="1">
        <f t="array" ref="F95">Common_InputFunctions.Utility_DisplayArrayInTable(Scope3_SourceData.Scope3_Feed_Data(), Table_SourceData_Scope3_Feed[[#Headers],[Category]], 0, 2)</f>
        <v>SA</v>
      </c>
      <c r="G95" s="30" t="str" cm="1">
        <f t="array" ref="G95">Common_InputFunctions.Utility_DisplayArrayInTable(Scope3_SourceData.Scope3_Feed_Data(), Table_SourceData_Scope3_Feed[[#Headers],[Category]], 0, 2)</f>
        <v>kg</v>
      </c>
      <c r="H95" s="30" cm="1">
        <f t="array" ref="H95">Common_InputFunctions.Utility_DisplayArrayInTable(Scope3_SourceData.Scope3_Feed_Data(), Table_SourceData_Scope3_Feed[[#Headers],[Category]], 0, 2)</f>
        <v>0.223</v>
      </c>
      <c r="I95" s="30" t="str" cm="1">
        <f t="array" ref="I95">Common_InputFunctions.Utility_DisplayArrayInTable(Scope3_SourceData.Scope3_Feed_Data(), Table_SourceData_Scope3_Feed[[#Headers],[Category]], 0, 2)</f>
        <v>at market</v>
      </c>
      <c r="N95" s="30" t="str">
        <f>Table_SourceData_Scope3_Feed[[#This Row],[Product]]</f>
        <v>Barley grain</v>
      </c>
      <c r="O95" s="30" t="str">
        <f>Table_SourceData_Scope3_Feed[[#This Row],[Region of origin]]</f>
        <v>SA</v>
      </c>
    </row>
    <row r="96" spans="1:16" ht="20.100000000000001" customHeight="1" x14ac:dyDescent="0.25">
      <c r="A96"/>
      <c r="D96" s="30" t="str" cm="1">
        <f t="array" ref="D96">Common_InputFunctions.Utility_DisplayArrayInTable(Scope3_SourceData.Scope3_Feed_Data(), Table_SourceData_Scope3_Feed[[#Headers],[Category]], 0, 2)</f>
        <v>Grain</v>
      </c>
      <c r="E96" s="30" t="str" cm="1">
        <f t="array" ref="E96">Common_InputFunctions.Utility_DisplayArrayInTable(Scope3_SourceData.Scope3_Feed_Data(), Table_SourceData_Scope3_Feed[[#Headers],[Category]], 0, 2)</f>
        <v>Barley grain</v>
      </c>
      <c r="F96" s="30" t="str" cm="1">
        <f t="array" ref="F96">Common_InputFunctions.Utility_DisplayArrayInTable(Scope3_SourceData.Scope3_Feed_Data(), Table_SourceData_Scope3_Feed[[#Headers],[Category]], 0, 2)</f>
        <v>TAS</v>
      </c>
      <c r="G96" s="30" t="str" cm="1">
        <f t="array" ref="G96">Common_InputFunctions.Utility_DisplayArrayInTable(Scope3_SourceData.Scope3_Feed_Data(), Table_SourceData_Scope3_Feed[[#Headers],[Category]], 0, 2)</f>
        <v>kg</v>
      </c>
      <c r="H96" s="30" cm="1">
        <f t="array" ref="H96">Common_InputFunctions.Utility_DisplayArrayInTable(Scope3_SourceData.Scope3_Feed_Data(), Table_SourceData_Scope3_Feed[[#Headers],[Category]], 0, 2)</f>
        <v>0.307</v>
      </c>
      <c r="I96" s="30" t="str" cm="1">
        <f t="array" ref="I96">Common_InputFunctions.Utility_DisplayArrayInTable(Scope3_SourceData.Scope3_Feed_Data(), Table_SourceData_Scope3_Feed[[#Headers],[Category]], 0, 2)</f>
        <v>at market</v>
      </c>
      <c r="N96" s="30" t="str">
        <f>Table_SourceData_Scope3_Feed[[#This Row],[Product]]</f>
        <v>Barley grain</v>
      </c>
      <c r="O96" s="30" t="str">
        <f>Table_SourceData_Scope3_Feed[[#This Row],[Region of origin]]</f>
        <v>TAS</v>
      </c>
    </row>
    <row r="97" spans="1:16" ht="20.100000000000001" customHeight="1" x14ac:dyDescent="0.25">
      <c r="A97"/>
      <c r="D97" s="30" t="str" cm="1">
        <f t="array" ref="D97">Common_InputFunctions.Utility_DisplayArrayInTable(Scope3_SourceData.Scope3_Feed_Data(), Table_SourceData_Scope3_Feed[[#Headers],[Category]], 0, 2)</f>
        <v>Grain</v>
      </c>
      <c r="E97" s="30" t="str" cm="1">
        <f t="array" ref="E97">Common_InputFunctions.Utility_DisplayArrayInTable(Scope3_SourceData.Scope3_Feed_Data(), Table_SourceData_Scope3_Feed[[#Headers],[Category]], 0, 2)</f>
        <v>Barley grain</v>
      </c>
      <c r="F97" s="30" t="str" cm="1">
        <f t="array" ref="F97">Common_InputFunctions.Utility_DisplayArrayInTable(Scope3_SourceData.Scope3_Feed_Data(), Table_SourceData_Scope3_Feed[[#Headers],[Category]], 0, 2)</f>
        <v>VIC</v>
      </c>
      <c r="G97" s="30" t="str" cm="1">
        <f t="array" ref="G97">Common_InputFunctions.Utility_DisplayArrayInTable(Scope3_SourceData.Scope3_Feed_Data(), Table_SourceData_Scope3_Feed[[#Headers],[Category]], 0, 2)</f>
        <v>kg</v>
      </c>
      <c r="H97" s="30" cm="1">
        <f t="array" ref="H97">Common_InputFunctions.Utility_DisplayArrayInTable(Scope3_SourceData.Scope3_Feed_Data(), Table_SourceData_Scope3_Feed[[#Headers],[Category]], 0, 2)</f>
        <v>0.24099999999999999</v>
      </c>
      <c r="I97" s="30" t="str" cm="1">
        <f t="array" ref="I97">Common_InputFunctions.Utility_DisplayArrayInTable(Scope3_SourceData.Scope3_Feed_Data(), Table_SourceData_Scope3_Feed[[#Headers],[Category]], 0, 2)</f>
        <v>at market</v>
      </c>
      <c r="N97" s="30" t="str">
        <f>Table_SourceData_Scope3_Feed[[#This Row],[Product]]</f>
        <v>Barley grain</v>
      </c>
      <c r="O97" s="30" t="str">
        <f>Table_SourceData_Scope3_Feed[[#This Row],[Region of origin]]</f>
        <v>VIC</v>
      </c>
    </row>
    <row r="98" spans="1:16" ht="20.100000000000001" customHeight="1" x14ac:dyDescent="0.25">
      <c r="A98"/>
      <c r="D98" s="30" t="str" cm="1">
        <f t="array" ref="D98">Common_InputFunctions.Utility_DisplayArrayInTable(Scope3_SourceData.Scope3_Feed_Data(), Table_SourceData_Scope3_Feed[[#Headers],[Category]], 0, 2)</f>
        <v>Grain</v>
      </c>
      <c r="E98" s="30" t="str" cm="1">
        <f t="array" ref="E98">Common_InputFunctions.Utility_DisplayArrayInTable(Scope3_SourceData.Scope3_Feed_Data(), Table_SourceData_Scope3_Feed[[#Headers],[Category]], 0, 2)</f>
        <v>Barley grain</v>
      </c>
      <c r="F98" s="30" t="str" cm="1">
        <f t="array" ref="F98">Common_InputFunctions.Utility_DisplayArrayInTable(Scope3_SourceData.Scope3_Feed_Data(), Table_SourceData_Scope3_Feed[[#Headers],[Category]], 0, 2)</f>
        <v>WA</v>
      </c>
      <c r="G98" s="30" t="str" cm="1">
        <f t="array" ref="G98">Common_InputFunctions.Utility_DisplayArrayInTable(Scope3_SourceData.Scope3_Feed_Data(), Table_SourceData_Scope3_Feed[[#Headers],[Category]], 0, 2)</f>
        <v>kg</v>
      </c>
      <c r="H98" s="30" cm="1">
        <f t="array" ref="H98">Common_InputFunctions.Utility_DisplayArrayInTable(Scope3_SourceData.Scope3_Feed_Data(), Table_SourceData_Scope3_Feed[[#Headers],[Category]], 0, 2)</f>
        <v>0.23599999999999999</v>
      </c>
      <c r="I98" s="30" t="str" cm="1">
        <f t="array" ref="I98">Common_InputFunctions.Utility_DisplayArrayInTable(Scope3_SourceData.Scope3_Feed_Data(), Table_SourceData_Scope3_Feed[[#Headers],[Category]], 0, 2)</f>
        <v>at market</v>
      </c>
      <c r="K98" s="30" t="s">
        <v>137</v>
      </c>
      <c r="L98" s="30" t="s">
        <v>947</v>
      </c>
      <c r="M98" s="1" t="str">
        <f>"Table_ProductRegions_" &amp; SUBSTITUTE(SUBSTITUTE(SUBSTITUTE(SUBSTITUTE(K99, " ", ""), ",", ""), "(", ""), ")", "")</f>
        <v>Table_ProductRegions_Maizegrain</v>
      </c>
      <c r="N98" s="30" t="str">
        <f>Table_SourceData_Scope3_Feed[[#This Row],[Product]]</f>
        <v>Barley grain</v>
      </c>
      <c r="O98" s="30" t="str">
        <f>Table_SourceData_Scope3_Feed[[#This Row],[Region of origin]]</f>
        <v>WA</v>
      </c>
    </row>
    <row r="99" spans="1:16" ht="20.100000000000001" customHeight="1" x14ac:dyDescent="0.25">
      <c r="A99"/>
      <c r="D99" s="30" t="str" cm="1">
        <f t="array" ref="D99">Common_InputFunctions.Utility_DisplayArrayInTable(Scope3_SourceData.Scope3_Feed_Data(), Table_SourceData_Scope3_Feed[[#Headers],[Category]], 0, 2)</f>
        <v>Grain</v>
      </c>
      <c r="E99" s="30" t="str" cm="1">
        <f t="array" ref="E99">Common_InputFunctions.Utility_DisplayArrayInTable(Scope3_SourceData.Scope3_Feed_Data(), Table_SourceData_Scope3_Feed[[#Headers],[Category]], 0, 2)</f>
        <v>Maize grain</v>
      </c>
      <c r="F99" s="30" t="str" cm="1">
        <f t="array" ref="F99">Common_InputFunctions.Utility_DisplayArrayInTable(Scope3_SourceData.Scope3_Feed_Data(), Table_SourceData_Scope3_Feed[[#Headers],[Category]], 0, 2)</f>
        <v>Australia</v>
      </c>
      <c r="G99" s="30" t="str" cm="1">
        <f t="array" ref="G99">Common_InputFunctions.Utility_DisplayArrayInTable(Scope3_SourceData.Scope3_Feed_Data(), Table_SourceData_Scope3_Feed[[#Headers],[Category]], 0, 2)</f>
        <v>kg</v>
      </c>
      <c r="H99" s="30" cm="1">
        <f t="array" ref="H99">Common_InputFunctions.Utility_DisplayArrayInTable(Scope3_SourceData.Scope3_Feed_Data(), Table_SourceData_Scope3_Feed[[#Headers],[Category]], 0, 2)</f>
        <v>0.18099999999999999</v>
      </c>
      <c r="I99" s="30" t="str" cm="1">
        <f t="array" ref="I99">Common_InputFunctions.Utility_DisplayArrayInTable(Scope3_SourceData.Scope3_Feed_Data(), Table_SourceData_Scope3_Feed[[#Headers],[Category]], 0, 2)</f>
        <v>at market</v>
      </c>
      <c r="K99" s="30" t="str">
        <f>Table_SourceData_Scope3_Feed[[#This Row],[Product]]</f>
        <v>Maize grain</v>
      </c>
      <c r="L99" s="30" t="str">
        <f>Table_SourceData_Scope3_Feed[[#This Row],[Region of origin]]</f>
        <v>Australia</v>
      </c>
    </row>
    <row r="100" spans="1:16" ht="20.100000000000001" customHeight="1" x14ac:dyDescent="0.25">
      <c r="A100"/>
      <c r="D100" s="30" t="str" cm="1">
        <f t="array" ref="D100">Common_InputFunctions.Utility_DisplayArrayInTable(Scope3_SourceData.Scope3_Feed_Data(), Table_SourceData_Scope3_Feed[[#Headers],[Category]], 0, 2)</f>
        <v>Grain</v>
      </c>
      <c r="E100" s="30" t="str" cm="1">
        <f t="array" ref="E100">Common_InputFunctions.Utility_DisplayArrayInTable(Scope3_SourceData.Scope3_Feed_Data(), Table_SourceData_Scope3_Feed[[#Headers],[Category]], 0, 2)</f>
        <v>Maize grain</v>
      </c>
      <c r="F100" s="30" t="str" cm="1">
        <f t="array" ref="F100">Common_InputFunctions.Utility_DisplayArrayInTable(Scope3_SourceData.Scope3_Feed_Data(), Table_SourceData_Scope3_Feed[[#Headers],[Category]], 0, 2)</f>
        <v>NSW</v>
      </c>
      <c r="G100" s="30" t="str" cm="1">
        <f t="array" ref="G100">Common_InputFunctions.Utility_DisplayArrayInTable(Scope3_SourceData.Scope3_Feed_Data(), Table_SourceData_Scope3_Feed[[#Headers],[Category]], 0, 2)</f>
        <v>kg</v>
      </c>
      <c r="H100" s="30" cm="1">
        <f t="array" ref="H100">Common_InputFunctions.Utility_DisplayArrayInTable(Scope3_SourceData.Scope3_Feed_Data(), Table_SourceData_Scope3_Feed[[#Headers],[Category]], 0, 2)</f>
        <v>0.16900000000000001</v>
      </c>
      <c r="I100" s="30" t="str" cm="1">
        <f t="array" ref="I100">Common_InputFunctions.Utility_DisplayArrayInTable(Scope3_SourceData.Scope3_Feed_Data(), Table_SourceData_Scope3_Feed[[#Headers],[Category]], 0, 2)</f>
        <v>at market</v>
      </c>
      <c r="K100" s="30" t="str">
        <f>Table_SourceData_Scope3_Feed[[#This Row],[Product]]</f>
        <v>Maize grain</v>
      </c>
      <c r="L100" s="30" t="str">
        <f>Table_SourceData_Scope3_Feed[[#This Row],[Region of origin]]</f>
        <v>NSW</v>
      </c>
    </row>
    <row r="101" spans="1:16" ht="20.100000000000001" customHeight="1" x14ac:dyDescent="0.25">
      <c r="A101"/>
      <c r="D101" s="30" t="str" cm="1">
        <f t="array" ref="D101">Common_InputFunctions.Utility_DisplayArrayInTable(Scope3_SourceData.Scope3_Feed_Data(), Table_SourceData_Scope3_Feed[[#Headers],[Category]], 0, 2)</f>
        <v>Grain</v>
      </c>
      <c r="E101" s="30" t="str" cm="1">
        <f t="array" ref="E101">Common_InputFunctions.Utility_DisplayArrayInTable(Scope3_SourceData.Scope3_Feed_Data(), Table_SourceData_Scope3_Feed[[#Headers],[Category]], 0, 2)</f>
        <v>Maize grain</v>
      </c>
      <c r="F101" s="30" t="str" cm="1">
        <f t="array" ref="F101">Common_InputFunctions.Utility_DisplayArrayInTable(Scope3_SourceData.Scope3_Feed_Data(), Table_SourceData_Scope3_Feed[[#Headers],[Category]], 0, 2)</f>
        <v>NT</v>
      </c>
      <c r="G101" s="30" t="str" cm="1">
        <f t="array" ref="G101">Common_InputFunctions.Utility_DisplayArrayInTable(Scope3_SourceData.Scope3_Feed_Data(), Table_SourceData_Scope3_Feed[[#Headers],[Category]], 0, 2)</f>
        <v>kg</v>
      </c>
      <c r="H101" s="30" cm="1">
        <f t="array" ref="H101">Common_InputFunctions.Utility_DisplayArrayInTable(Scope3_SourceData.Scope3_Feed_Data(), Table_SourceData_Scope3_Feed[[#Headers],[Category]], 0, 2)</f>
        <v>0.25600000000000001</v>
      </c>
      <c r="I101" s="30" t="str" cm="1">
        <f t="array" ref="I101">Common_InputFunctions.Utility_DisplayArrayInTable(Scope3_SourceData.Scope3_Feed_Data(), Table_SourceData_Scope3_Feed[[#Headers],[Category]], 0, 2)</f>
        <v>at market</v>
      </c>
      <c r="K101" s="30" t="str">
        <f>Table_SourceData_Scope3_Feed[[#This Row],[Product]]</f>
        <v>Maize grain</v>
      </c>
      <c r="L101" s="30" t="str">
        <f>Table_SourceData_Scope3_Feed[[#This Row],[Region of origin]]</f>
        <v>NT</v>
      </c>
    </row>
    <row r="102" spans="1:16" ht="20.100000000000001" customHeight="1" x14ac:dyDescent="0.25">
      <c r="A102"/>
      <c r="D102" s="30" t="str" cm="1">
        <f t="array" ref="D102">Common_InputFunctions.Utility_DisplayArrayInTable(Scope3_SourceData.Scope3_Feed_Data(), Table_SourceData_Scope3_Feed[[#Headers],[Category]], 0, 2)</f>
        <v>Grain</v>
      </c>
      <c r="E102" s="30" t="str" cm="1">
        <f t="array" ref="E102">Common_InputFunctions.Utility_DisplayArrayInTable(Scope3_SourceData.Scope3_Feed_Data(), Table_SourceData_Scope3_Feed[[#Headers],[Category]], 0, 2)</f>
        <v>Maize grain</v>
      </c>
      <c r="F102" s="30" t="str" cm="1">
        <f t="array" ref="F102">Common_InputFunctions.Utility_DisplayArrayInTable(Scope3_SourceData.Scope3_Feed_Data(), Table_SourceData_Scope3_Feed[[#Headers],[Category]], 0, 2)</f>
        <v>QLD</v>
      </c>
      <c r="G102" s="30" t="str" cm="1">
        <f t="array" ref="G102">Common_InputFunctions.Utility_DisplayArrayInTable(Scope3_SourceData.Scope3_Feed_Data(), Table_SourceData_Scope3_Feed[[#Headers],[Category]], 0, 2)</f>
        <v>kg</v>
      </c>
      <c r="H102" s="30" cm="1">
        <f t="array" ref="H102">Common_InputFunctions.Utility_DisplayArrayInTable(Scope3_SourceData.Scope3_Feed_Data(), Table_SourceData_Scope3_Feed[[#Headers],[Category]], 0, 2)</f>
        <v>0.186</v>
      </c>
      <c r="I102" s="30" t="str" cm="1">
        <f t="array" ref="I102">Common_InputFunctions.Utility_DisplayArrayInTable(Scope3_SourceData.Scope3_Feed_Data(), Table_SourceData_Scope3_Feed[[#Headers],[Category]], 0, 2)</f>
        <v>at market</v>
      </c>
      <c r="K102" s="30" t="str">
        <f>Table_SourceData_Scope3_Feed[[#This Row],[Product]]</f>
        <v>Maize grain</v>
      </c>
      <c r="L102" s="30" t="str">
        <f>Table_SourceData_Scope3_Feed[[#This Row],[Region of origin]]</f>
        <v>QLD</v>
      </c>
    </row>
    <row r="103" spans="1:16" ht="20.100000000000001" customHeight="1" x14ac:dyDescent="0.25">
      <c r="A103"/>
      <c r="D103" s="30" t="str" cm="1">
        <f t="array" ref="D103">Common_InputFunctions.Utility_DisplayArrayInTable(Scope3_SourceData.Scope3_Feed_Data(), Table_SourceData_Scope3_Feed[[#Headers],[Category]], 0, 2)</f>
        <v>Grain</v>
      </c>
      <c r="E103" s="30" t="str" cm="1">
        <f t="array" ref="E103">Common_InputFunctions.Utility_DisplayArrayInTable(Scope3_SourceData.Scope3_Feed_Data(), Table_SourceData_Scope3_Feed[[#Headers],[Category]], 0, 2)</f>
        <v>Maize grain</v>
      </c>
      <c r="F103" s="30" t="str" cm="1">
        <f t="array" ref="F103">Common_InputFunctions.Utility_DisplayArrayInTable(Scope3_SourceData.Scope3_Feed_Data(), Table_SourceData_Scope3_Feed[[#Headers],[Category]], 0, 2)</f>
        <v>SA</v>
      </c>
      <c r="G103" s="30" t="str" cm="1">
        <f t="array" ref="G103">Common_InputFunctions.Utility_DisplayArrayInTable(Scope3_SourceData.Scope3_Feed_Data(), Table_SourceData_Scope3_Feed[[#Headers],[Category]], 0, 2)</f>
        <v>kg</v>
      </c>
      <c r="H103" s="30" cm="1">
        <f t="array" ref="H103">Common_InputFunctions.Utility_DisplayArrayInTable(Scope3_SourceData.Scope3_Feed_Data(), Table_SourceData_Scope3_Feed[[#Headers],[Category]], 0, 2)</f>
        <v>0.17599999999999999</v>
      </c>
      <c r="I103" s="30" t="str" cm="1">
        <f t="array" ref="I103">Common_InputFunctions.Utility_DisplayArrayInTable(Scope3_SourceData.Scope3_Feed_Data(), Table_SourceData_Scope3_Feed[[#Headers],[Category]], 0, 2)</f>
        <v>at market</v>
      </c>
      <c r="K103" s="30" t="str">
        <f>Table_SourceData_Scope3_Feed[[#This Row],[Product]]</f>
        <v>Maize grain</v>
      </c>
      <c r="L103" s="30" t="str">
        <f>Table_SourceData_Scope3_Feed[[#This Row],[Region of origin]]</f>
        <v>SA</v>
      </c>
    </row>
    <row r="104" spans="1:16" ht="20.100000000000001" customHeight="1" x14ac:dyDescent="0.25">
      <c r="A104"/>
      <c r="D104" s="30" t="str" cm="1">
        <f t="array" ref="D104">Common_InputFunctions.Utility_DisplayArrayInTable(Scope3_SourceData.Scope3_Feed_Data(), Table_SourceData_Scope3_Feed[[#Headers],[Category]], 0, 2)</f>
        <v>Grain</v>
      </c>
      <c r="E104" s="30" t="str" cm="1">
        <f t="array" ref="E104">Common_InputFunctions.Utility_DisplayArrayInTable(Scope3_SourceData.Scope3_Feed_Data(), Table_SourceData_Scope3_Feed[[#Headers],[Category]], 0, 2)</f>
        <v>Maize grain</v>
      </c>
      <c r="F104" s="30" t="str" cm="1">
        <f t="array" ref="F104">Common_InputFunctions.Utility_DisplayArrayInTable(Scope3_SourceData.Scope3_Feed_Data(), Table_SourceData_Scope3_Feed[[#Headers],[Category]], 0, 2)</f>
        <v>VIC</v>
      </c>
      <c r="G104" s="30" t="str" cm="1">
        <f t="array" ref="G104">Common_InputFunctions.Utility_DisplayArrayInTable(Scope3_SourceData.Scope3_Feed_Data(), Table_SourceData_Scope3_Feed[[#Headers],[Category]], 0, 2)</f>
        <v>kg</v>
      </c>
      <c r="H104" s="30" cm="1">
        <f t="array" ref="H104">Common_InputFunctions.Utility_DisplayArrayInTable(Scope3_SourceData.Scope3_Feed_Data(), Table_SourceData_Scope3_Feed[[#Headers],[Category]], 0, 2)</f>
        <v>0.159</v>
      </c>
      <c r="I104" s="30" t="str" cm="1">
        <f t="array" ref="I104">Common_InputFunctions.Utility_DisplayArrayInTable(Scope3_SourceData.Scope3_Feed_Data(), Table_SourceData_Scope3_Feed[[#Headers],[Category]], 0, 2)</f>
        <v>at market</v>
      </c>
      <c r="K104" s="30" t="str">
        <f>Table_SourceData_Scope3_Feed[[#This Row],[Product]]</f>
        <v>Maize grain</v>
      </c>
      <c r="L104" s="30" t="str">
        <f>Table_SourceData_Scope3_Feed[[#This Row],[Region of origin]]</f>
        <v>VIC</v>
      </c>
    </row>
    <row r="105" spans="1:16" ht="20.100000000000001" customHeight="1" x14ac:dyDescent="0.25">
      <c r="A105"/>
      <c r="D105" s="30" t="str" cm="1">
        <f t="array" ref="D105">Common_InputFunctions.Utility_DisplayArrayInTable(Scope3_SourceData.Scope3_Feed_Data(), Table_SourceData_Scope3_Feed[[#Headers],[Category]], 0, 2)</f>
        <v>Grain</v>
      </c>
      <c r="E105" s="30" t="str" cm="1">
        <f t="array" ref="E105">Common_InputFunctions.Utility_DisplayArrayInTable(Scope3_SourceData.Scope3_Feed_Data(), Table_SourceData_Scope3_Feed[[#Headers],[Category]], 0, 2)</f>
        <v>Maize grain</v>
      </c>
      <c r="F105" s="30" t="str" cm="1">
        <f t="array" ref="F105">Common_InputFunctions.Utility_DisplayArrayInTable(Scope3_SourceData.Scope3_Feed_Data(), Table_SourceData_Scope3_Feed[[#Headers],[Category]], 0, 2)</f>
        <v>WA</v>
      </c>
      <c r="G105" s="30" t="str" cm="1">
        <f t="array" ref="G105">Common_InputFunctions.Utility_DisplayArrayInTable(Scope3_SourceData.Scope3_Feed_Data(), Table_SourceData_Scope3_Feed[[#Headers],[Category]], 0, 2)</f>
        <v>kg</v>
      </c>
      <c r="H105" s="30" cm="1">
        <f t="array" ref="H105">Common_InputFunctions.Utility_DisplayArrayInTable(Scope3_SourceData.Scope3_Feed_Data(), Table_SourceData_Scope3_Feed[[#Headers],[Category]], 0, 2)</f>
        <v>0.28499999999999998</v>
      </c>
      <c r="I105" s="30" t="str" cm="1">
        <f t="array" ref="I105">Common_InputFunctions.Utility_DisplayArrayInTable(Scope3_SourceData.Scope3_Feed_Data(), Table_SourceData_Scope3_Feed[[#Headers],[Category]], 0, 2)</f>
        <v>at market</v>
      </c>
      <c r="K105" s="30" t="str">
        <f>Table_SourceData_Scope3_Feed[[#This Row],[Product]]</f>
        <v>Maize grain</v>
      </c>
      <c r="L105" s="30" t="str">
        <f>Table_SourceData_Scope3_Feed[[#This Row],[Region of origin]]</f>
        <v>WA</v>
      </c>
      <c r="N105" s="30" t="s">
        <v>137</v>
      </c>
      <c r="O105" s="30" t="s">
        <v>947</v>
      </c>
      <c r="P105" s="1" t="str">
        <f>"Table_ProductRegions_" &amp; SUBSTITUTE(SUBSTITUTE(SUBSTITUTE(SUBSTITUTE(N106, " ", ""), ",", ""), "(", ""), ")", "")</f>
        <v>Table_ProductRegions_Sorghumgrain</v>
      </c>
    </row>
    <row r="106" spans="1:16" ht="20.100000000000001" customHeight="1" x14ac:dyDescent="0.25">
      <c r="A106"/>
      <c r="D106" s="30" t="str" cm="1">
        <f t="array" ref="D106">Common_InputFunctions.Utility_DisplayArrayInTable(Scope3_SourceData.Scope3_Feed_Data(), Table_SourceData_Scope3_Feed[[#Headers],[Category]], 0, 2)</f>
        <v>Grain</v>
      </c>
      <c r="E106" s="30" t="str" cm="1">
        <f t="array" ref="E106">Common_InputFunctions.Utility_DisplayArrayInTable(Scope3_SourceData.Scope3_Feed_Data(), Table_SourceData_Scope3_Feed[[#Headers],[Category]], 0, 2)</f>
        <v>Sorghum grain</v>
      </c>
      <c r="F106" s="30" t="str" cm="1">
        <f t="array" ref="F106">Common_InputFunctions.Utility_DisplayArrayInTable(Scope3_SourceData.Scope3_Feed_Data(), Table_SourceData_Scope3_Feed[[#Headers],[Category]], 0, 2)</f>
        <v>Australia</v>
      </c>
      <c r="G106" s="30" t="str" cm="1">
        <f t="array" ref="G106">Common_InputFunctions.Utility_DisplayArrayInTable(Scope3_SourceData.Scope3_Feed_Data(), Table_SourceData_Scope3_Feed[[#Headers],[Category]], 0, 2)</f>
        <v>kg</v>
      </c>
      <c r="H106" s="30" cm="1">
        <f t="array" ref="H106">Common_InputFunctions.Utility_DisplayArrayInTable(Scope3_SourceData.Scope3_Feed_Data(), Table_SourceData_Scope3_Feed[[#Headers],[Category]], 0, 2)</f>
        <v>0.23200000000000001</v>
      </c>
      <c r="I106" s="30" t="str" cm="1">
        <f t="array" ref="I106">Common_InputFunctions.Utility_DisplayArrayInTable(Scope3_SourceData.Scope3_Feed_Data(), Table_SourceData_Scope3_Feed[[#Headers],[Category]], 0, 2)</f>
        <v>at market</v>
      </c>
      <c r="N106" s="30" t="str">
        <f>Table_SourceData_Scope3_Feed[[#This Row],[Product]]</f>
        <v>Sorghum grain</v>
      </c>
      <c r="O106" s="30" t="str">
        <f>Table_SourceData_Scope3_Feed[[#This Row],[Region of origin]]</f>
        <v>Australia</v>
      </c>
    </row>
    <row r="107" spans="1:16" ht="20.100000000000001" customHeight="1" x14ac:dyDescent="0.25">
      <c r="A107"/>
      <c r="D107" s="30" t="str" cm="1">
        <f t="array" ref="D107">Common_InputFunctions.Utility_DisplayArrayInTable(Scope3_SourceData.Scope3_Feed_Data(), Table_SourceData_Scope3_Feed[[#Headers],[Category]], 0, 2)</f>
        <v>Grain</v>
      </c>
      <c r="E107" s="30" t="str" cm="1">
        <f t="array" ref="E107">Common_InputFunctions.Utility_DisplayArrayInTable(Scope3_SourceData.Scope3_Feed_Data(), Table_SourceData_Scope3_Feed[[#Headers],[Category]], 0, 2)</f>
        <v>Sorghum grain</v>
      </c>
      <c r="F107" s="30" t="str" cm="1">
        <f t="array" ref="F107">Common_InputFunctions.Utility_DisplayArrayInTable(Scope3_SourceData.Scope3_Feed_Data(), Table_SourceData_Scope3_Feed[[#Headers],[Category]], 0, 2)</f>
        <v>NSW</v>
      </c>
      <c r="G107" s="30" t="str" cm="1">
        <f t="array" ref="G107">Common_InputFunctions.Utility_DisplayArrayInTable(Scope3_SourceData.Scope3_Feed_Data(), Table_SourceData_Scope3_Feed[[#Headers],[Category]], 0, 2)</f>
        <v>kg</v>
      </c>
      <c r="H107" s="30" cm="1">
        <f t="array" ref="H107">Common_InputFunctions.Utility_DisplayArrayInTable(Scope3_SourceData.Scope3_Feed_Data(), Table_SourceData_Scope3_Feed[[#Headers],[Category]], 0, 2)</f>
        <v>0.23200000000000001</v>
      </c>
      <c r="I107" s="30" t="str" cm="1">
        <f t="array" ref="I107">Common_InputFunctions.Utility_DisplayArrayInTable(Scope3_SourceData.Scope3_Feed_Data(), Table_SourceData_Scope3_Feed[[#Headers],[Category]], 0, 2)</f>
        <v>at market</v>
      </c>
      <c r="N107" s="30" t="str">
        <f>Table_SourceData_Scope3_Feed[[#This Row],[Product]]</f>
        <v>Sorghum grain</v>
      </c>
      <c r="O107" s="30" t="str">
        <f>Table_SourceData_Scope3_Feed[[#This Row],[Region of origin]]</f>
        <v>NSW</v>
      </c>
    </row>
    <row r="108" spans="1:16" ht="20.100000000000001" customHeight="1" x14ac:dyDescent="0.25">
      <c r="A108"/>
      <c r="D108" s="30" t="str" cm="1">
        <f t="array" ref="D108">Common_InputFunctions.Utility_DisplayArrayInTable(Scope3_SourceData.Scope3_Feed_Data(), Table_SourceData_Scope3_Feed[[#Headers],[Category]], 0, 2)</f>
        <v>Grain</v>
      </c>
      <c r="E108" s="30" t="str" cm="1">
        <f t="array" ref="E108">Common_InputFunctions.Utility_DisplayArrayInTable(Scope3_SourceData.Scope3_Feed_Data(), Table_SourceData_Scope3_Feed[[#Headers],[Category]], 0, 2)</f>
        <v>Sorghum grain</v>
      </c>
      <c r="F108" s="30" t="str" cm="1">
        <f t="array" ref="F108">Common_InputFunctions.Utility_DisplayArrayInTable(Scope3_SourceData.Scope3_Feed_Data(), Table_SourceData_Scope3_Feed[[#Headers],[Category]], 0, 2)</f>
        <v>QLD</v>
      </c>
      <c r="G108" s="30" t="str" cm="1">
        <f t="array" ref="G108">Common_InputFunctions.Utility_DisplayArrayInTable(Scope3_SourceData.Scope3_Feed_Data(), Table_SourceData_Scope3_Feed[[#Headers],[Category]], 0, 2)</f>
        <v>kg</v>
      </c>
      <c r="H108" s="30" cm="1">
        <f t="array" ref="H108">Common_InputFunctions.Utility_DisplayArrayInTable(Scope3_SourceData.Scope3_Feed_Data(), Table_SourceData_Scope3_Feed[[#Headers],[Category]], 0, 2)</f>
        <v>0.23100000000000001</v>
      </c>
      <c r="I108" s="30" t="str" cm="1">
        <f t="array" ref="I108">Common_InputFunctions.Utility_DisplayArrayInTable(Scope3_SourceData.Scope3_Feed_Data(), Table_SourceData_Scope3_Feed[[#Headers],[Category]], 0, 2)</f>
        <v>at market</v>
      </c>
      <c r="N108" s="30" t="str">
        <f>Table_SourceData_Scope3_Feed[[#This Row],[Product]]</f>
        <v>Sorghum grain</v>
      </c>
      <c r="O108" s="30" t="str">
        <f>Table_SourceData_Scope3_Feed[[#This Row],[Region of origin]]</f>
        <v>QLD</v>
      </c>
    </row>
    <row r="109" spans="1:16" ht="20.100000000000001" customHeight="1" x14ac:dyDescent="0.25">
      <c r="A109"/>
      <c r="D109" s="30" t="str" cm="1">
        <f t="array" ref="D109">Common_InputFunctions.Utility_DisplayArrayInTable(Scope3_SourceData.Scope3_Feed_Data(), Table_SourceData_Scope3_Feed[[#Headers],[Category]], 0, 2)</f>
        <v>Grain</v>
      </c>
      <c r="E109" s="30" t="str" cm="1">
        <f t="array" ref="E109">Common_InputFunctions.Utility_DisplayArrayInTable(Scope3_SourceData.Scope3_Feed_Data(), Table_SourceData_Scope3_Feed[[#Headers],[Category]], 0, 2)</f>
        <v>Sorghum grain</v>
      </c>
      <c r="F109" s="30" t="str" cm="1">
        <f t="array" ref="F109">Common_InputFunctions.Utility_DisplayArrayInTable(Scope3_SourceData.Scope3_Feed_Data(), Table_SourceData_Scope3_Feed[[#Headers],[Category]], 0, 2)</f>
        <v>SA</v>
      </c>
      <c r="G109" s="30" t="str" cm="1">
        <f t="array" ref="G109">Common_InputFunctions.Utility_DisplayArrayInTable(Scope3_SourceData.Scope3_Feed_Data(), Table_SourceData_Scope3_Feed[[#Headers],[Category]], 0, 2)</f>
        <v>kg</v>
      </c>
      <c r="H109" s="30" cm="1">
        <f t="array" ref="H109">Common_InputFunctions.Utility_DisplayArrayInTable(Scope3_SourceData.Scope3_Feed_Data(), Table_SourceData_Scope3_Feed[[#Headers],[Category]], 0, 2)</f>
        <v>0.218</v>
      </c>
      <c r="I109" s="30" t="str" cm="1">
        <f t="array" ref="I109">Common_InputFunctions.Utility_DisplayArrayInTable(Scope3_SourceData.Scope3_Feed_Data(), Table_SourceData_Scope3_Feed[[#Headers],[Category]], 0, 2)</f>
        <v>at market</v>
      </c>
      <c r="N109" s="30" t="str">
        <f>Table_SourceData_Scope3_Feed[[#This Row],[Product]]</f>
        <v>Sorghum grain</v>
      </c>
      <c r="O109" s="30" t="str">
        <f>Table_SourceData_Scope3_Feed[[#This Row],[Region of origin]]</f>
        <v>SA</v>
      </c>
    </row>
    <row r="110" spans="1:16" ht="20.100000000000001" customHeight="1" x14ac:dyDescent="0.25">
      <c r="A110"/>
      <c r="D110" s="30" t="str" cm="1">
        <f t="array" ref="D110">Common_InputFunctions.Utility_DisplayArrayInTable(Scope3_SourceData.Scope3_Feed_Data(), Table_SourceData_Scope3_Feed[[#Headers],[Category]], 0, 2)</f>
        <v>Grain</v>
      </c>
      <c r="E110" s="30" t="str" cm="1">
        <f t="array" ref="E110">Common_InputFunctions.Utility_DisplayArrayInTable(Scope3_SourceData.Scope3_Feed_Data(), Table_SourceData_Scope3_Feed[[#Headers],[Category]], 0, 2)</f>
        <v>Sorghum grain</v>
      </c>
      <c r="F110" s="30" t="str" cm="1">
        <f t="array" ref="F110">Common_InputFunctions.Utility_DisplayArrayInTable(Scope3_SourceData.Scope3_Feed_Data(), Table_SourceData_Scope3_Feed[[#Headers],[Category]], 0, 2)</f>
        <v>VIC</v>
      </c>
      <c r="G110" s="30" t="str" cm="1">
        <f t="array" ref="G110">Common_InputFunctions.Utility_DisplayArrayInTable(Scope3_SourceData.Scope3_Feed_Data(), Table_SourceData_Scope3_Feed[[#Headers],[Category]], 0, 2)</f>
        <v>kg</v>
      </c>
      <c r="H110" s="30" cm="1">
        <f t="array" ref="H110">Common_InputFunctions.Utility_DisplayArrayInTable(Scope3_SourceData.Scope3_Feed_Data(), Table_SourceData_Scope3_Feed[[#Headers],[Category]], 0, 2)</f>
        <v>0.246</v>
      </c>
      <c r="I110" s="30" t="str" cm="1">
        <f t="array" ref="I110">Common_InputFunctions.Utility_DisplayArrayInTable(Scope3_SourceData.Scope3_Feed_Data(), Table_SourceData_Scope3_Feed[[#Headers],[Category]], 0, 2)</f>
        <v>at market</v>
      </c>
      <c r="K110" s="30" t="s">
        <v>137</v>
      </c>
      <c r="L110" s="30" t="s">
        <v>947</v>
      </c>
      <c r="M110" s="1" t="str">
        <f>"Table_ProductRegions_" &amp; SUBSTITUTE(SUBSTITUTE(SUBSTITUTE(SUBSTITUTE(K111, " ", ""), ",", ""), "(", ""), ")", "")</f>
        <v>Table_ProductRegions_Wheatgrain</v>
      </c>
      <c r="N110" s="30" t="str">
        <f>Table_SourceData_Scope3_Feed[[#This Row],[Product]]</f>
        <v>Sorghum grain</v>
      </c>
      <c r="O110" s="30" t="str">
        <f>Table_SourceData_Scope3_Feed[[#This Row],[Region of origin]]</f>
        <v>VIC</v>
      </c>
    </row>
    <row r="111" spans="1:16" ht="20.100000000000001" customHeight="1" x14ac:dyDescent="0.25">
      <c r="A111"/>
      <c r="D111" s="30" t="str" cm="1">
        <f t="array" ref="D111">Common_InputFunctions.Utility_DisplayArrayInTable(Scope3_SourceData.Scope3_Feed_Data(), Table_SourceData_Scope3_Feed[[#Headers],[Category]], 0, 2)</f>
        <v>Grain</v>
      </c>
      <c r="E111" s="30" t="str" cm="1">
        <f t="array" ref="E111">Common_InputFunctions.Utility_DisplayArrayInTable(Scope3_SourceData.Scope3_Feed_Data(), Table_SourceData_Scope3_Feed[[#Headers],[Category]], 0, 2)</f>
        <v>Wheat grain</v>
      </c>
      <c r="F111" s="30" t="str" cm="1">
        <f t="array" ref="F111">Common_InputFunctions.Utility_DisplayArrayInTable(Scope3_SourceData.Scope3_Feed_Data(), Table_SourceData_Scope3_Feed[[#Headers],[Category]], 0, 2)</f>
        <v>Australia</v>
      </c>
      <c r="G111" s="30" t="str" cm="1">
        <f t="array" ref="G111">Common_InputFunctions.Utility_DisplayArrayInTable(Scope3_SourceData.Scope3_Feed_Data(), Table_SourceData_Scope3_Feed[[#Headers],[Category]], 0, 2)</f>
        <v>kg</v>
      </c>
      <c r="H111" s="30" cm="1">
        <f t="array" ref="H111">Common_InputFunctions.Utility_DisplayArrayInTable(Scope3_SourceData.Scope3_Feed_Data(), Table_SourceData_Scope3_Feed[[#Headers],[Category]], 0, 2)</f>
        <v>0.26800000000000002</v>
      </c>
      <c r="I111" s="30" t="str" cm="1">
        <f t="array" ref="I111">Common_InputFunctions.Utility_DisplayArrayInTable(Scope3_SourceData.Scope3_Feed_Data(), Table_SourceData_Scope3_Feed[[#Headers],[Category]], 0, 2)</f>
        <v>at market</v>
      </c>
      <c r="K111" s="30" t="str">
        <f>Table_SourceData_Scope3_Feed[[#This Row],[Product]]</f>
        <v>Wheat grain</v>
      </c>
      <c r="L111" s="30" t="str">
        <f>Table_SourceData_Scope3_Feed[[#This Row],[Region of origin]]</f>
        <v>Australia</v>
      </c>
    </row>
    <row r="112" spans="1:16" ht="20.100000000000001" customHeight="1" x14ac:dyDescent="0.25">
      <c r="A112"/>
      <c r="D112" s="30" t="str" cm="1">
        <f t="array" ref="D112">Common_InputFunctions.Utility_DisplayArrayInTable(Scope3_SourceData.Scope3_Feed_Data(), Table_SourceData_Scope3_Feed[[#Headers],[Category]], 0, 2)</f>
        <v>Grain</v>
      </c>
      <c r="E112" s="30" t="str" cm="1">
        <f t="array" ref="E112">Common_InputFunctions.Utility_DisplayArrayInTable(Scope3_SourceData.Scope3_Feed_Data(), Table_SourceData_Scope3_Feed[[#Headers],[Category]], 0, 2)</f>
        <v>Wheat grain</v>
      </c>
      <c r="F112" s="30" t="str" cm="1">
        <f t="array" ref="F112">Common_InputFunctions.Utility_DisplayArrayInTable(Scope3_SourceData.Scope3_Feed_Data(), Table_SourceData_Scope3_Feed[[#Headers],[Category]], 0, 2)</f>
        <v>NSW</v>
      </c>
      <c r="G112" s="30" t="str" cm="1">
        <f t="array" ref="G112">Common_InputFunctions.Utility_DisplayArrayInTable(Scope3_SourceData.Scope3_Feed_Data(), Table_SourceData_Scope3_Feed[[#Headers],[Category]], 0, 2)</f>
        <v>kg</v>
      </c>
      <c r="H112" s="30" cm="1">
        <f t="array" ref="H112">Common_InputFunctions.Utility_DisplayArrayInTable(Scope3_SourceData.Scope3_Feed_Data(), Table_SourceData_Scope3_Feed[[#Headers],[Category]], 0, 2)</f>
        <v>0.28199999999999997</v>
      </c>
      <c r="I112" s="30" t="str" cm="1">
        <f t="array" ref="I112">Common_InputFunctions.Utility_DisplayArrayInTable(Scope3_SourceData.Scope3_Feed_Data(), Table_SourceData_Scope3_Feed[[#Headers],[Category]], 0, 2)</f>
        <v>at market</v>
      </c>
      <c r="K112" s="30" t="str">
        <f>Table_SourceData_Scope3_Feed[[#This Row],[Product]]</f>
        <v>Wheat grain</v>
      </c>
      <c r="L112" s="30" t="str">
        <f>Table_SourceData_Scope3_Feed[[#This Row],[Region of origin]]</f>
        <v>NSW</v>
      </c>
    </row>
    <row r="113" spans="1:16" ht="20.100000000000001" customHeight="1" x14ac:dyDescent="0.25">
      <c r="A113"/>
      <c r="D113" s="30" t="str" cm="1">
        <f t="array" ref="D113">Common_InputFunctions.Utility_DisplayArrayInTable(Scope3_SourceData.Scope3_Feed_Data(), Table_SourceData_Scope3_Feed[[#Headers],[Category]], 0, 2)</f>
        <v>Grain</v>
      </c>
      <c r="E113" s="30" t="str" cm="1">
        <f t="array" ref="E113">Common_InputFunctions.Utility_DisplayArrayInTable(Scope3_SourceData.Scope3_Feed_Data(), Table_SourceData_Scope3_Feed[[#Headers],[Category]], 0, 2)</f>
        <v>Wheat grain</v>
      </c>
      <c r="F113" s="30" t="str" cm="1">
        <f t="array" ref="F113">Common_InputFunctions.Utility_DisplayArrayInTable(Scope3_SourceData.Scope3_Feed_Data(), Table_SourceData_Scope3_Feed[[#Headers],[Category]], 0, 2)</f>
        <v>NT</v>
      </c>
      <c r="G113" s="30" t="str" cm="1">
        <f t="array" ref="G113">Common_InputFunctions.Utility_DisplayArrayInTable(Scope3_SourceData.Scope3_Feed_Data(), Table_SourceData_Scope3_Feed[[#Headers],[Category]], 0, 2)</f>
        <v>kg</v>
      </c>
      <c r="H113" s="30" cm="1">
        <f t="array" ref="H113">Common_InputFunctions.Utility_DisplayArrayInTable(Scope3_SourceData.Scope3_Feed_Data(), Table_SourceData_Scope3_Feed[[#Headers],[Category]], 0, 2)</f>
        <v>0.38500000000000001</v>
      </c>
      <c r="I113" s="30" t="str" cm="1">
        <f t="array" ref="I113">Common_InputFunctions.Utility_DisplayArrayInTable(Scope3_SourceData.Scope3_Feed_Data(), Table_SourceData_Scope3_Feed[[#Headers],[Category]], 0, 2)</f>
        <v>at market</v>
      </c>
      <c r="K113" s="30" t="str">
        <f>Table_SourceData_Scope3_Feed[[#This Row],[Product]]</f>
        <v>Wheat grain</v>
      </c>
      <c r="L113" s="30" t="str">
        <f>Table_SourceData_Scope3_Feed[[#This Row],[Region of origin]]</f>
        <v>NT</v>
      </c>
    </row>
    <row r="114" spans="1:16" ht="20.100000000000001" customHeight="1" x14ac:dyDescent="0.25">
      <c r="A114"/>
      <c r="D114" s="30" t="str" cm="1">
        <f t="array" ref="D114">Common_InputFunctions.Utility_DisplayArrayInTable(Scope3_SourceData.Scope3_Feed_Data(), Table_SourceData_Scope3_Feed[[#Headers],[Category]], 0, 2)</f>
        <v>Grain</v>
      </c>
      <c r="E114" s="30" t="str" cm="1">
        <f t="array" ref="E114">Common_InputFunctions.Utility_DisplayArrayInTable(Scope3_SourceData.Scope3_Feed_Data(), Table_SourceData_Scope3_Feed[[#Headers],[Category]], 0, 2)</f>
        <v>Wheat grain</v>
      </c>
      <c r="F114" s="30" t="str" cm="1">
        <f t="array" ref="F114">Common_InputFunctions.Utility_DisplayArrayInTable(Scope3_SourceData.Scope3_Feed_Data(), Table_SourceData_Scope3_Feed[[#Headers],[Category]], 0, 2)</f>
        <v>QLD</v>
      </c>
      <c r="G114" s="30" t="str" cm="1">
        <f t="array" ref="G114">Common_InputFunctions.Utility_DisplayArrayInTable(Scope3_SourceData.Scope3_Feed_Data(), Table_SourceData_Scope3_Feed[[#Headers],[Category]], 0, 2)</f>
        <v>kg</v>
      </c>
      <c r="H114" s="30" cm="1">
        <f t="array" ref="H114">Common_InputFunctions.Utility_DisplayArrayInTable(Scope3_SourceData.Scope3_Feed_Data(), Table_SourceData_Scope3_Feed[[#Headers],[Category]], 0, 2)</f>
        <v>0.29599999999999999</v>
      </c>
      <c r="I114" s="30" t="str" cm="1">
        <f t="array" ref="I114">Common_InputFunctions.Utility_DisplayArrayInTable(Scope3_SourceData.Scope3_Feed_Data(), Table_SourceData_Scope3_Feed[[#Headers],[Category]], 0, 2)</f>
        <v>at market</v>
      </c>
      <c r="K114" s="30" t="str">
        <f>Table_SourceData_Scope3_Feed[[#This Row],[Product]]</f>
        <v>Wheat grain</v>
      </c>
      <c r="L114" s="30" t="str">
        <f>Table_SourceData_Scope3_Feed[[#This Row],[Region of origin]]</f>
        <v>QLD</v>
      </c>
    </row>
    <row r="115" spans="1:16" ht="20.100000000000001" customHeight="1" x14ac:dyDescent="0.25">
      <c r="A115"/>
      <c r="D115" s="30" t="str" cm="1">
        <f t="array" ref="D115">Common_InputFunctions.Utility_DisplayArrayInTable(Scope3_SourceData.Scope3_Feed_Data(), Table_SourceData_Scope3_Feed[[#Headers],[Category]], 0, 2)</f>
        <v>Grain</v>
      </c>
      <c r="E115" s="30" t="str" cm="1">
        <f t="array" ref="E115">Common_InputFunctions.Utility_DisplayArrayInTable(Scope3_SourceData.Scope3_Feed_Data(), Table_SourceData_Scope3_Feed[[#Headers],[Category]], 0, 2)</f>
        <v>Wheat grain</v>
      </c>
      <c r="F115" s="30" t="str" cm="1">
        <f t="array" ref="F115">Common_InputFunctions.Utility_DisplayArrayInTable(Scope3_SourceData.Scope3_Feed_Data(), Table_SourceData_Scope3_Feed[[#Headers],[Category]], 0, 2)</f>
        <v>SA</v>
      </c>
      <c r="G115" s="30" t="str" cm="1">
        <f t="array" ref="G115">Common_InputFunctions.Utility_DisplayArrayInTable(Scope3_SourceData.Scope3_Feed_Data(), Table_SourceData_Scope3_Feed[[#Headers],[Category]], 0, 2)</f>
        <v>kg</v>
      </c>
      <c r="H115" s="30" cm="1">
        <f t="array" ref="H115">Common_InputFunctions.Utility_DisplayArrayInTable(Scope3_SourceData.Scope3_Feed_Data(), Table_SourceData_Scope3_Feed[[#Headers],[Category]], 0, 2)</f>
        <v>0.24099999999999999</v>
      </c>
      <c r="I115" s="30" t="str" cm="1">
        <f t="array" ref="I115">Common_InputFunctions.Utility_DisplayArrayInTable(Scope3_SourceData.Scope3_Feed_Data(), Table_SourceData_Scope3_Feed[[#Headers],[Category]], 0, 2)</f>
        <v>at market</v>
      </c>
      <c r="K115" s="30" t="str">
        <f>Table_SourceData_Scope3_Feed[[#This Row],[Product]]</f>
        <v>Wheat grain</v>
      </c>
      <c r="L115" s="30" t="str">
        <f>Table_SourceData_Scope3_Feed[[#This Row],[Region of origin]]</f>
        <v>SA</v>
      </c>
    </row>
    <row r="116" spans="1:16" ht="20.100000000000001" customHeight="1" x14ac:dyDescent="0.25">
      <c r="A116"/>
      <c r="D116" s="30" t="str" cm="1">
        <f t="array" ref="D116">Common_InputFunctions.Utility_DisplayArrayInTable(Scope3_SourceData.Scope3_Feed_Data(), Table_SourceData_Scope3_Feed[[#Headers],[Category]], 0, 2)</f>
        <v>Grain</v>
      </c>
      <c r="E116" s="30" t="str" cm="1">
        <f t="array" ref="E116">Common_InputFunctions.Utility_DisplayArrayInTable(Scope3_SourceData.Scope3_Feed_Data(), Table_SourceData_Scope3_Feed[[#Headers],[Category]], 0, 2)</f>
        <v>Wheat grain</v>
      </c>
      <c r="F116" s="30" t="str" cm="1">
        <f t="array" ref="F116">Common_InputFunctions.Utility_DisplayArrayInTable(Scope3_SourceData.Scope3_Feed_Data(), Table_SourceData_Scope3_Feed[[#Headers],[Category]], 0, 2)</f>
        <v>TAS</v>
      </c>
      <c r="G116" s="30" t="str" cm="1">
        <f t="array" ref="G116">Common_InputFunctions.Utility_DisplayArrayInTable(Scope3_SourceData.Scope3_Feed_Data(), Table_SourceData_Scope3_Feed[[#Headers],[Category]], 0, 2)</f>
        <v>kg</v>
      </c>
      <c r="H116" s="30" cm="1">
        <f t="array" ref="H116">Common_InputFunctions.Utility_DisplayArrayInTable(Scope3_SourceData.Scope3_Feed_Data(), Table_SourceData_Scope3_Feed[[#Headers],[Category]], 0, 2)</f>
        <v>0.33800000000000002</v>
      </c>
      <c r="I116" s="30" t="str" cm="1">
        <f t="array" ref="I116">Common_InputFunctions.Utility_DisplayArrayInTable(Scope3_SourceData.Scope3_Feed_Data(), Table_SourceData_Scope3_Feed[[#Headers],[Category]], 0, 2)</f>
        <v>at market</v>
      </c>
      <c r="K116" s="30" t="str">
        <f>Table_SourceData_Scope3_Feed[[#This Row],[Product]]</f>
        <v>Wheat grain</v>
      </c>
      <c r="L116" s="30" t="str">
        <f>Table_SourceData_Scope3_Feed[[#This Row],[Region of origin]]</f>
        <v>TAS</v>
      </c>
    </row>
    <row r="117" spans="1:16" ht="20.100000000000001" customHeight="1" x14ac:dyDescent="0.25">
      <c r="A117"/>
      <c r="D117" s="30" t="str" cm="1">
        <f t="array" ref="D117">Common_InputFunctions.Utility_DisplayArrayInTable(Scope3_SourceData.Scope3_Feed_Data(), Table_SourceData_Scope3_Feed[[#Headers],[Category]], 0, 2)</f>
        <v>Grain</v>
      </c>
      <c r="E117" s="30" t="str" cm="1">
        <f t="array" ref="E117">Common_InputFunctions.Utility_DisplayArrayInTable(Scope3_SourceData.Scope3_Feed_Data(), Table_SourceData_Scope3_Feed[[#Headers],[Category]], 0, 2)</f>
        <v>Wheat grain</v>
      </c>
      <c r="F117" s="30" t="str" cm="1">
        <f t="array" ref="F117">Common_InputFunctions.Utility_DisplayArrayInTable(Scope3_SourceData.Scope3_Feed_Data(), Table_SourceData_Scope3_Feed[[#Headers],[Category]], 0, 2)</f>
        <v>VIC</v>
      </c>
      <c r="G117" s="30" t="str" cm="1">
        <f t="array" ref="G117">Common_InputFunctions.Utility_DisplayArrayInTable(Scope3_SourceData.Scope3_Feed_Data(), Table_SourceData_Scope3_Feed[[#Headers],[Category]], 0, 2)</f>
        <v>kg</v>
      </c>
      <c r="H117" s="30" cm="1">
        <f t="array" ref="H117">Common_InputFunctions.Utility_DisplayArrayInTable(Scope3_SourceData.Scope3_Feed_Data(), Table_SourceData_Scope3_Feed[[#Headers],[Category]], 0, 2)</f>
        <v>0.26600000000000001</v>
      </c>
      <c r="I117" s="30" t="str" cm="1">
        <f t="array" ref="I117">Common_InputFunctions.Utility_DisplayArrayInTable(Scope3_SourceData.Scope3_Feed_Data(), Table_SourceData_Scope3_Feed[[#Headers],[Category]], 0, 2)</f>
        <v>at market</v>
      </c>
      <c r="K117" s="30" t="str">
        <f>Table_SourceData_Scope3_Feed[[#This Row],[Product]]</f>
        <v>Wheat grain</v>
      </c>
      <c r="L117" s="30" t="str">
        <f>Table_SourceData_Scope3_Feed[[#This Row],[Region of origin]]</f>
        <v>VIC</v>
      </c>
    </row>
    <row r="118" spans="1:16" ht="20.100000000000001" customHeight="1" x14ac:dyDescent="0.25">
      <c r="A118"/>
      <c r="D118" s="30" t="str" cm="1">
        <f t="array" ref="D118">Common_InputFunctions.Utility_DisplayArrayInTable(Scope3_SourceData.Scope3_Feed_Data(), Table_SourceData_Scope3_Feed[[#Headers],[Category]], 0, 2)</f>
        <v>Grain</v>
      </c>
      <c r="E118" s="30" t="str" cm="1">
        <f t="array" ref="E118">Common_InputFunctions.Utility_DisplayArrayInTable(Scope3_SourceData.Scope3_Feed_Data(), Table_SourceData_Scope3_Feed[[#Headers],[Category]], 0, 2)</f>
        <v>Wheat grain</v>
      </c>
      <c r="F118" s="30" t="str" cm="1">
        <f t="array" ref="F118">Common_InputFunctions.Utility_DisplayArrayInTable(Scope3_SourceData.Scope3_Feed_Data(), Table_SourceData_Scope3_Feed[[#Headers],[Category]], 0, 2)</f>
        <v>WA</v>
      </c>
      <c r="G118" s="30" t="str" cm="1">
        <f t="array" ref="G118">Common_InputFunctions.Utility_DisplayArrayInTable(Scope3_SourceData.Scope3_Feed_Data(), Table_SourceData_Scope3_Feed[[#Headers],[Category]], 0, 2)</f>
        <v>kg</v>
      </c>
      <c r="H118" s="30" cm="1">
        <f t="array" ref="H118">Common_InputFunctions.Utility_DisplayArrayInTable(Scope3_SourceData.Scope3_Feed_Data(), Table_SourceData_Scope3_Feed[[#Headers],[Category]], 0, 2)</f>
        <v>0.26100000000000001</v>
      </c>
      <c r="I118" s="30" t="str" cm="1">
        <f t="array" ref="I118">Common_InputFunctions.Utility_DisplayArrayInTable(Scope3_SourceData.Scope3_Feed_Data(), Table_SourceData_Scope3_Feed[[#Headers],[Category]], 0, 2)</f>
        <v>at market</v>
      </c>
      <c r="K118" s="30" t="str">
        <f>Table_SourceData_Scope3_Feed[[#This Row],[Product]]</f>
        <v>Wheat grain</v>
      </c>
      <c r="L118" s="30" t="str">
        <f>Table_SourceData_Scope3_Feed[[#This Row],[Region of origin]]</f>
        <v>WA</v>
      </c>
      <c r="N118" s="30" t="s">
        <v>137</v>
      </c>
      <c r="O118" s="30" t="s">
        <v>947</v>
      </c>
      <c r="P118" s="1" t="str">
        <f>"Table_ProductRegions_" &amp; SUBSTITUTE(SUBSTITUTE(SUBSTITUTE(SUBSTITUTE(N119, " ", ""), ",", ""), "(", ""), ")", "")</f>
        <v>Table_ProductRegions_Cerealhay</v>
      </c>
    </row>
    <row r="119" spans="1:16" ht="20.100000000000001" customHeight="1" x14ac:dyDescent="0.25">
      <c r="A119"/>
      <c r="D119" s="30" t="str" cm="1">
        <f t="array" ref="D119">Common_InputFunctions.Utility_DisplayArrayInTable(Scope3_SourceData.Scope3_Feed_Data(), Table_SourceData_Scope3_Feed[[#Headers],[Category]], 0, 2)</f>
        <v>Hay</v>
      </c>
      <c r="E119" s="30" t="str" cm="1">
        <f t="array" ref="E119">Common_InputFunctions.Utility_DisplayArrayInTable(Scope3_SourceData.Scope3_Feed_Data(), Table_SourceData_Scope3_Feed[[#Headers],[Category]], 0, 2)</f>
        <v>Cereal hay</v>
      </c>
      <c r="F119" s="30" t="str" cm="1">
        <f t="array" ref="F119">Common_InputFunctions.Utility_DisplayArrayInTable(Scope3_SourceData.Scope3_Feed_Data(), Table_SourceData_Scope3_Feed[[#Headers],[Category]], 0, 2)</f>
        <v>Australia</v>
      </c>
      <c r="G119" s="30" t="str" cm="1">
        <f t="array" ref="G119">Common_InputFunctions.Utility_DisplayArrayInTable(Scope3_SourceData.Scope3_Feed_Data(), Table_SourceData_Scope3_Feed[[#Headers],[Category]], 0, 2)</f>
        <v>kg</v>
      </c>
      <c r="H119" s="30" cm="1">
        <f t="array" ref="H119">Common_InputFunctions.Utility_DisplayArrayInTable(Scope3_SourceData.Scope3_Feed_Data(), Table_SourceData_Scope3_Feed[[#Headers],[Category]], 0, 2)</f>
        <v>0.11700000000000001</v>
      </c>
      <c r="I119" s="30" t="str" cm="1">
        <f t="array" ref="I119">Common_InputFunctions.Utility_DisplayArrayInTable(Scope3_SourceData.Scope3_Feed_Data(), Table_SourceData_Scope3_Feed[[#Headers],[Category]], 0, 2)</f>
        <v>at market</v>
      </c>
      <c r="N119" s="30" t="str">
        <f>Table_SourceData_Scope3_Feed[[#This Row],[Product]]</f>
        <v>Cereal hay</v>
      </c>
      <c r="O119" s="30" t="str">
        <f>Table_SourceData_Scope3_Feed[[#This Row],[Region of origin]]</f>
        <v>Australia</v>
      </c>
    </row>
    <row r="120" spans="1:16" ht="20.100000000000001" customHeight="1" x14ac:dyDescent="0.25">
      <c r="A120"/>
      <c r="D120" s="30" t="str" cm="1">
        <f t="array" ref="D120">Common_InputFunctions.Utility_DisplayArrayInTable(Scope3_SourceData.Scope3_Feed_Data(), Table_SourceData_Scope3_Feed[[#Headers],[Category]], 0, 2)</f>
        <v>Hay</v>
      </c>
      <c r="E120" s="30" t="str" cm="1">
        <f t="array" ref="E120">Common_InputFunctions.Utility_DisplayArrayInTable(Scope3_SourceData.Scope3_Feed_Data(), Table_SourceData_Scope3_Feed[[#Headers],[Category]], 0, 2)</f>
        <v>Cereal hay</v>
      </c>
      <c r="F120" s="30" t="str" cm="1">
        <f t="array" ref="F120">Common_InputFunctions.Utility_DisplayArrayInTable(Scope3_SourceData.Scope3_Feed_Data(), Table_SourceData_Scope3_Feed[[#Headers],[Category]], 0, 2)</f>
        <v>NSW</v>
      </c>
      <c r="G120" s="30" t="str" cm="1">
        <f t="array" ref="G120">Common_InputFunctions.Utility_DisplayArrayInTable(Scope3_SourceData.Scope3_Feed_Data(), Table_SourceData_Scope3_Feed[[#Headers],[Category]], 0, 2)</f>
        <v>kg</v>
      </c>
      <c r="H120" s="30" cm="1">
        <f t="array" ref="H120">Common_InputFunctions.Utility_DisplayArrayInTable(Scope3_SourceData.Scope3_Feed_Data(), Table_SourceData_Scope3_Feed[[#Headers],[Category]], 0, 2)</f>
        <v>0.11600000000000001</v>
      </c>
      <c r="I120" s="30" t="str" cm="1">
        <f t="array" ref="I120">Common_InputFunctions.Utility_DisplayArrayInTable(Scope3_SourceData.Scope3_Feed_Data(), Table_SourceData_Scope3_Feed[[#Headers],[Category]], 0, 2)</f>
        <v>at market</v>
      </c>
      <c r="N120" s="30" t="str">
        <f>Table_SourceData_Scope3_Feed[[#This Row],[Product]]</f>
        <v>Cereal hay</v>
      </c>
      <c r="O120" s="30" t="str">
        <f>Table_SourceData_Scope3_Feed[[#This Row],[Region of origin]]</f>
        <v>NSW</v>
      </c>
    </row>
    <row r="121" spans="1:16" ht="20.100000000000001" customHeight="1" x14ac:dyDescent="0.25">
      <c r="A121"/>
      <c r="D121" s="30" t="str" cm="1">
        <f t="array" ref="D121">Common_InputFunctions.Utility_DisplayArrayInTable(Scope3_SourceData.Scope3_Feed_Data(), Table_SourceData_Scope3_Feed[[#Headers],[Category]], 0, 2)</f>
        <v>Hay</v>
      </c>
      <c r="E121" s="30" t="str" cm="1">
        <f t="array" ref="E121">Common_InputFunctions.Utility_DisplayArrayInTable(Scope3_SourceData.Scope3_Feed_Data(), Table_SourceData_Scope3_Feed[[#Headers],[Category]], 0, 2)</f>
        <v>Cereal hay</v>
      </c>
      <c r="F121" s="30" t="str" cm="1">
        <f t="array" ref="F121">Common_InputFunctions.Utility_DisplayArrayInTable(Scope3_SourceData.Scope3_Feed_Data(), Table_SourceData_Scope3_Feed[[#Headers],[Category]], 0, 2)</f>
        <v>QLD</v>
      </c>
      <c r="G121" s="30" t="str" cm="1">
        <f t="array" ref="G121">Common_InputFunctions.Utility_DisplayArrayInTable(Scope3_SourceData.Scope3_Feed_Data(), Table_SourceData_Scope3_Feed[[#Headers],[Category]], 0, 2)</f>
        <v>kg</v>
      </c>
      <c r="H121" s="30" cm="1">
        <f t="array" ref="H121">Common_InputFunctions.Utility_DisplayArrayInTable(Scope3_SourceData.Scope3_Feed_Data(), Table_SourceData_Scope3_Feed[[#Headers],[Category]], 0, 2)</f>
        <v>0.11799999999999999</v>
      </c>
      <c r="I121" s="30" t="str" cm="1">
        <f t="array" ref="I121">Common_InputFunctions.Utility_DisplayArrayInTable(Scope3_SourceData.Scope3_Feed_Data(), Table_SourceData_Scope3_Feed[[#Headers],[Category]], 0, 2)</f>
        <v>at market</v>
      </c>
      <c r="N121" s="30" t="str">
        <f>Table_SourceData_Scope3_Feed[[#This Row],[Product]]</f>
        <v>Cereal hay</v>
      </c>
      <c r="O121" s="30" t="str">
        <f>Table_SourceData_Scope3_Feed[[#This Row],[Region of origin]]</f>
        <v>QLD</v>
      </c>
    </row>
    <row r="122" spans="1:16" ht="20.100000000000001" customHeight="1" x14ac:dyDescent="0.25">
      <c r="A122"/>
      <c r="D122" s="30" t="str" cm="1">
        <f t="array" ref="D122">Common_InputFunctions.Utility_DisplayArrayInTable(Scope3_SourceData.Scope3_Feed_Data(), Table_SourceData_Scope3_Feed[[#Headers],[Category]], 0, 2)</f>
        <v>Hay</v>
      </c>
      <c r="E122" s="30" t="str" cm="1">
        <f t="array" ref="E122">Common_InputFunctions.Utility_DisplayArrayInTable(Scope3_SourceData.Scope3_Feed_Data(), Table_SourceData_Scope3_Feed[[#Headers],[Category]], 0, 2)</f>
        <v>Cereal hay</v>
      </c>
      <c r="F122" s="30" t="str" cm="1">
        <f t="array" ref="F122">Common_InputFunctions.Utility_DisplayArrayInTable(Scope3_SourceData.Scope3_Feed_Data(), Table_SourceData_Scope3_Feed[[#Headers],[Category]], 0, 2)</f>
        <v>SA</v>
      </c>
      <c r="G122" s="30" t="str" cm="1">
        <f t="array" ref="G122">Common_InputFunctions.Utility_DisplayArrayInTable(Scope3_SourceData.Scope3_Feed_Data(), Table_SourceData_Scope3_Feed[[#Headers],[Category]], 0, 2)</f>
        <v>kg</v>
      </c>
      <c r="H122" s="30" cm="1">
        <f t="array" ref="H122">Common_InputFunctions.Utility_DisplayArrayInTable(Scope3_SourceData.Scope3_Feed_Data(), Table_SourceData_Scope3_Feed[[#Headers],[Category]], 0, 2)</f>
        <v>0.111</v>
      </c>
      <c r="I122" s="30" t="str" cm="1">
        <f t="array" ref="I122">Common_InputFunctions.Utility_DisplayArrayInTable(Scope3_SourceData.Scope3_Feed_Data(), Table_SourceData_Scope3_Feed[[#Headers],[Category]], 0, 2)</f>
        <v>at market</v>
      </c>
      <c r="N122" s="30" t="str">
        <f>Table_SourceData_Scope3_Feed[[#This Row],[Product]]</f>
        <v>Cereal hay</v>
      </c>
      <c r="O122" s="30" t="str">
        <f>Table_SourceData_Scope3_Feed[[#This Row],[Region of origin]]</f>
        <v>SA</v>
      </c>
    </row>
    <row r="123" spans="1:16" ht="20.100000000000001" customHeight="1" x14ac:dyDescent="0.25">
      <c r="A123"/>
      <c r="D123" s="30" t="str" cm="1">
        <f t="array" ref="D123">Common_InputFunctions.Utility_DisplayArrayInTable(Scope3_SourceData.Scope3_Feed_Data(), Table_SourceData_Scope3_Feed[[#Headers],[Category]], 0, 2)</f>
        <v>Hay</v>
      </c>
      <c r="E123" s="30" t="str" cm="1">
        <f t="array" ref="E123">Common_InputFunctions.Utility_DisplayArrayInTable(Scope3_SourceData.Scope3_Feed_Data(), Table_SourceData_Scope3_Feed[[#Headers],[Category]], 0, 2)</f>
        <v>Cereal hay</v>
      </c>
      <c r="F123" s="30" t="str" cm="1">
        <f t="array" ref="F123">Common_InputFunctions.Utility_DisplayArrayInTable(Scope3_SourceData.Scope3_Feed_Data(), Table_SourceData_Scope3_Feed[[#Headers],[Category]], 0, 2)</f>
        <v>TAS</v>
      </c>
      <c r="G123" s="30" t="str" cm="1">
        <f t="array" ref="G123">Common_InputFunctions.Utility_DisplayArrayInTable(Scope3_SourceData.Scope3_Feed_Data(), Table_SourceData_Scope3_Feed[[#Headers],[Category]], 0, 2)</f>
        <v>kg</v>
      </c>
      <c r="H123" s="30" cm="1">
        <f t="array" ref="H123">Common_InputFunctions.Utility_DisplayArrayInTable(Scope3_SourceData.Scope3_Feed_Data(), Table_SourceData_Scope3_Feed[[#Headers],[Category]], 0, 2)</f>
        <v>0.13900000000000001</v>
      </c>
      <c r="I123" s="30" t="str" cm="1">
        <f t="array" ref="I123">Common_InputFunctions.Utility_DisplayArrayInTable(Scope3_SourceData.Scope3_Feed_Data(), Table_SourceData_Scope3_Feed[[#Headers],[Category]], 0, 2)</f>
        <v>at market</v>
      </c>
      <c r="N123" s="30" t="str">
        <f>Table_SourceData_Scope3_Feed[[#This Row],[Product]]</f>
        <v>Cereal hay</v>
      </c>
      <c r="O123" s="30" t="str">
        <f>Table_SourceData_Scope3_Feed[[#This Row],[Region of origin]]</f>
        <v>TAS</v>
      </c>
    </row>
    <row r="124" spans="1:16" ht="20.100000000000001" customHeight="1" x14ac:dyDescent="0.25">
      <c r="A124"/>
      <c r="D124" s="30" t="str" cm="1">
        <f t="array" ref="D124">Common_InputFunctions.Utility_DisplayArrayInTable(Scope3_SourceData.Scope3_Feed_Data(), Table_SourceData_Scope3_Feed[[#Headers],[Category]], 0, 2)</f>
        <v>Hay</v>
      </c>
      <c r="E124" s="30" t="str" cm="1">
        <f t="array" ref="E124">Common_InputFunctions.Utility_DisplayArrayInTable(Scope3_SourceData.Scope3_Feed_Data(), Table_SourceData_Scope3_Feed[[#Headers],[Category]], 0, 2)</f>
        <v>Cereal hay</v>
      </c>
      <c r="F124" s="30" t="str" cm="1">
        <f t="array" ref="F124">Common_InputFunctions.Utility_DisplayArrayInTable(Scope3_SourceData.Scope3_Feed_Data(), Table_SourceData_Scope3_Feed[[#Headers],[Category]], 0, 2)</f>
        <v>VIC</v>
      </c>
      <c r="G124" s="30" t="str" cm="1">
        <f t="array" ref="G124">Common_InputFunctions.Utility_DisplayArrayInTable(Scope3_SourceData.Scope3_Feed_Data(), Table_SourceData_Scope3_Feed[[#Headers],[Category]], 0, 2)</f>
        <v>kg</v>
      </c>
      <c r="H124" s="30" cm="1">
        <f t="array" ref="H124">Common_InputFunctions.Utility_DisplayArrayInTable(Scope3_SourceData.Scope3_Feed_Data(), Table_SourceData_Scope3_Feed[[#Headers],[Category]], 0, 2)</f>
        <v>0.11600000000000001</v>
      </c>
      <c r="I124" s="30" t="str" cm="1">
        <f t="array" ref="I124">Common_InputFunctions.Utility_DisplayArrayInTable(Scope3_SourceData.Scope3_Feed_Data(), Table_SourceData_Scope3_Feed[[#Headers],[Category]], 0, 2)</f>
        <v>at market</v>
      </c>
      <c r="N124" s="30" t="str">
        <f>Table_SourceData_Scope3_Feed[[#This Row],[Product]]</f>
        <v>Cereal hay</v>
      </c>
      <c r="O124" s="30" t="str">
        <f>Table_SourceData_Scope3_Feed[[#This Row],[Region of origin]]</f>
        <v>VIC</v>
      </c>
    </row>
    <row r="125" spans="1:16" ht="20.100000000000001" customHeight="1" x14ac:dyDescent="0.25">
      <c r="A125"/>
      <c r="D125" s="30" t="str" cm="1">
        <f t="array" ref="D125">Common_InputFunctions.Utility_DisplayArrayInTable(Scope3_SourceData.Scope3_Feed_Data(), Table_SourceData_Scope3_Feed[[#Headers],[Category]], 0, 2)</f>
        <v>Hay</v>
      </c>
      <c r="E125" s="30" t="str" cm="1">
        <f t="array" ref="E125">Common_InputFunctions.Utility_DisplayArrayInTable(Scope3_SourceData.Scope3_Feed_Data(), Table_SourceData_Scope3_Feed[[#Headers],[Category]], 0, 2)</f>
        <v>Cereal hay</v>
      </c>
      <c r="F125" s="30" t="str" cm="1">
        <f t="array" ref="F125">Common_InputFunctions.Utility_DisplayArrayInTable(Scope3_SourceData.Scope3_Feed_Data(), Table_SourceData_Scope3_Feed[[#Headers],[Category]], 0, 2)</f>
        <v>WA</v>
      </c>
      <c r="G125" s="30" t="str" cm="1">
        <f t="array" ref="G125">Common_InputFunctions.Utility_DisplayArrayInTable(Scope3_SourceData.Scope3_Feed_Data(), Table_SourceData_Scope3_Feed[[#Headers],[Category]], 0, 2)</f>
        <v>kg</v>
      </c>
      <c r="H125" s="30" cm="1">
        <f t="array" ref="H125">Common_InputFunctions.Utility_DisplayArrayInTable(Scope3_SourceData.Scope3_Feed_Data(), Table_SourceData_Scope3_Feed[[#Headers],[Category]], 0, 2)</f>
        <v>0.122</v>
      </c>
      <c r="I125" s="30" t="str" cm="1">
        <f t="array" ref="I125">Common_InputFunctions.Utility_DisplayArrayInTable(Scope3_SourceData.Scope3_Feed_Data(), Table_SourceData_Scope3_Feed[[#Headers],[Category]], 0, 2)</f>
        <v>at market</v>
      </c>
      <c r="K125" s="30" t="s">
        <v>137</v>
      </c>
      <c r="L125" s="30" t="s">
        <v>947</v>
      </c>
      <c r="M125" s="1" t="str">
        <f>"Table_ProductRegions_" &amp; SUBSTITUTE(SUBSTITUTE(SUBSTITUTE(SUBSTITUTE(K126, " ", ""), ",", ""), "(", ""), ")", "")</f>
        <v>Table_ProductRegions_Cerealsilage</v>
      </c>
      <c r="N125" s="30" t="str">
        <f>Table_SourceData_Scope3_Feed[[#This Row],[Product]]</f>
        <v>Cereal hay</v>
      </c>
      <c r="O125" s="30" t="str">
        <f>Table_SourceData_Scope3_Feed[[#This Row],[Region of origin]]</f>
        <v>WA</v>
      </c>
    </row>
    <row r="126" spans="1:16" ht="20.100000000000001" customHeight="1" x14ac:dyDescent="0.25">
      <c r="A126"/>
      <c r="D126" s="30" t="str" cm="1">
        <f t="array" ref="D126">Common_InputFunctions.Utility_DisplayArrayInTable(Scope3_SourceData.Scope3_Feed_Data(), Table_SourceData_Scope3_Feed[[#Headers],[Category]], 0, 2)</f>
        <v>Hay</v>
      </c>
      <c r="E126" s="30" t="str" cm="1">
        <f t="array" ref="E126">Common_InputFunctions.Utility_DisplayArrayInTable(Scope3_SourceData.Scope3_Feed_Data(), Table_SourceData_Scope3_Feed[[#Headers],[Category]], 0, 2)</f>
        <v>Cereal silage</v>
      </c>
      <c r="F126" s="30" t="str" cm="1">
        <f t="array" ref="F126">Common_InputFunctions.Utility_DisplayArrayInTable(Scope3_SourceData.Scope3_Feed_Data(), Table_SourceData_Scope3_Feed[[#Headers],[Category]], 0, 2)</f>
        <v>Australia</v>
      </c>
      <c r="G126" s="30" t="str" cm="1">
        <f t="array" ref="G126">Common_InputFunctions.Utility_DisplayArrayInTable(Scope3_SourceData.Scope3_Feed_Data(), Table_SourceData_Scope3_Feed[[#Headers],[Category]], 0, 2)</f>
        <v>kg</v>
      </c>
      <c r="H126" s="30" cm="1">
        <f t="array" ref="H126">Common_InputFunctions.Utility_DisplayArrayInTable(Scope3_SourceData.Scope3_Feed_Data(), Table_SourceData_Scope3_Feed[[#Headers],[Category]], 0, 2)</f>
        <v>7.4399999999999994E-2</v>
      </c>
      <c r="I126" s="30" t="str" cm="1">
        <f t="array" ref="I126">Common_InputFunctions.Utility_DisplayArrayInTable(Scope3_SourceData.Scope3_Feed_Data(), Table_SourceData_Scope3_Feed[[#Headers],[Category]], 0, 2)</f>
        <v>at market</v>
      </c>
      <c r="K126" s="30" t="str">
        <f>Table_SourceData_Scope3_Feed[[#This Row],[Product]]</f>
        <v>Cereal silage</v>
      </c>
      <c r="L126" s="30" t="str">
        <f>Table_SourceData_Scope3_Feed[[#This Row],[Region of origin]]</f>
        <v>Australia</v>
      </c>
    </row>
    <row r="127" spans="1:16" ht="20.100000000000001" customHeight="1" x14ac:dyDescent="0.25">
      <c r="A127"/>
      <c r="D127" s="30" t="str" cm="1">
        <f t="array" ref="D127">Common_InputFunctions.Utility_DisplayArrayInTable(Scope3_SourceData.Scope3_Feed_Data(), Table_SourceData_Scope3_Feed[[#Headers],[Category]], 0, 2)</f>
        <v>Hay</v>
      </c>
      <c r="E127" s="30" t="str" cm="1">
        <f t="array" ref="E127">Common_InputFunctions.Utility_DisplayArrayInTable(Scope3_SourceData.Scope3_Feed_Data(), Table_SourceData_Scope3_Feed[[#Headers],[Category]], 0, 2)</f>
        <v>Cereal silage</v>
      </c>
      <c r="F127" s="30" t="str" cm="1">
        <f t="array" ref="F127">Common_InputFunctions.Utility_DisplayArrayInTable(Scope3_SourceData.Scope3_Feed_Data(), Table_SourceData_Scope3_Feed[[#Headers],[Category]], 0, 2)</f>
        <v>NSW</v>
      </c>
      <c r="G127" s="30" t="str" cm="1">
        <f t="array" ref="G127">Common_InputFunctions.Utility_DisplayArrayInTable(Scope3_SourceData.Scope3_Feed_Data(), Table_SourceData_Scope3_Feed[[#Headers],[Category]], 0, 2)</f>
        <v>kg</v>
      </c>
      <c r="H127" s="30" cm="1">
        <f t="array" ref="H127">Common_InputFunctions.Utility_DisplayArrayInTable(Scope3_SourceData.Scope3_Feed_Data(), Table_SourceData_Scope3_Feed[[#Headers],[Category]], 0, 2)</f>
        <v>7.3899999999999993E-2</v>
      </c>
      <c r="I127" s="30" t="str" cm="1">
        <f t="array" ref="I127">Common_InputFunctions.Utility_DisplayArrayInTable(Scope3_SourceData.Scope3_Feed_Data(), Table_SourceData_Scope3_Feed[[#Headers],[Category]], 0, 2)</f>
        <v>at market</v>
      </c>
      <c r="K127" s="30" t="str">
        <f>Table_SourceData_Scope3_Feed[[#This Row],[Product]]</f>
        <v>Cereal silage</v>
      </c>
      <c r="L127" s="30" t="str">
        <f>Table_SourceData_Scope3_Feed[[#This Row],[Region of origin]]</f>
        <v>NSW</v>
      </c>
    </row>
    <row r="128" spans="1:16" ht="20.100000000000001" customHeight="1" x14ac:dyDescent="0.25">
      <c r="A128"/>
      <c r="D128" s="30" t="str" cm="1">
        <f t="array" ref="D128">Common_InputFunctions.Utility_DisplayArrayInTable(Scope3_SourceData.Scope3_Feed_Data(), Table_SourceData_Scope3_Feed[[#Headers],[Category]], 0, 2)</f>
        <v>Hay</v>
      </c>
      <c r="E128" s="30" t="str" cm="1">
        <f t="array" ref="E128">Common_InputFunctions.Utility_DisplayArrayInTable(Scope3_SourceData.Scope3_Feed_Data(), Table_SourceData_Scope3_Feed[[#Headers],[Category]], 0, 2)</f>
        <v>Cereal silage</v>
      </c>
      <c r="F128" s="30" t="str" cm="1">
        <f t="array" ref="F128">Common_InputFunctions.Utility_DisplayArrayInTable(Scope3_SourceData.Scope3_Feed_Data(), Table_SourceData_Scope3_Feed[[#Headers],[Category]], 0, 2)</f>
        <v>QLD</v>
      </c>
      <c r="G128" s="30" t="str" cm="1">
        <f t="array" ref="G128">Common_InputFunctions.Utility_DisplayArrayInTable(Scope3_SourceData.Scope3_Feed_Data(), Table_SourceData_Scope3_Feed[[#Headers],[Category]], 0, 2)</f>
        <v>kg</v>
      </c>
      <c r="H128" s="30" cm="1">
        <f t="array" ref="H128">Common_InputFunctions.Utility_DisplayArrayInTable(Scope3_SourceData.Scope3_Feed_Data(), Table_SourceData_Scope3_Feed[[#Headers],[Category]], 0, 2)</f>
        <v>7.9000000000000001E-2</v>
      </c>
      <c r="I128" s="30" t="str" cm="1">
        <f t="array" ref="I128">Common_InputFunctions.Utility_DisplayArrayInTable(Scope3_SourceData.Scope3_Feed_Data(), Table_SourceData_Scope3_Feed[[#Headers],[Category]], 0, 2)</f>
        <v>at market</v>
      </c>
      <c r="K128" s="30" t="str">
        <f>Table_SourceData_Scope3_Feed[[#This Row],[Product]]</f>
        <v>Cereal silage</v>
      </c>
      <c r="L128" s="30" t="str">
        <f>Table_SourceData_Scope3_Feed[[#This Row],[Region of origin]]</f>
        <v>QLD</v>
      </c>
    </row>
    <row r="129" spans="1:16" ht="20.100000000000001" customHeight="1" x14ac:dyDescent="0.25">
      <c r="A129"/>
      <c r="D129" s="30" t="str" cm="1">
        <f t="array" ref="D129">Common_InputFunctions.Utility_DisplayArrayInTable(Scope3_SourceData.Scope3_Feed_Data(), Table_SourceData_Scope3_Feed[[#Headers],[Category]], 0, 2)</f>
        <v>Hay</v>
      </c>
      <c r="E129" s="30" t="str" cm="1">
        <f t="array" ref="E129">Common_InputFunctions.Utility_DisplayArrayInTable(Scope3_SourceData.Scope3_Feed_Data(), Table_SourceData_Scope3_Feed[[#Headers],[Category]], 0, 2)</f>
        <v>Cereal silage</v>
      </c>
      <c r="F129" s="30" t="str" cm="1">
        <f t="array" ref="F129">Common_InputFunctions.Utility_DisplayArrayInTable(Scope3_SourceData.Scope3_Feed_Data(), Table_SourceData_Scope3_Feed[[#Headers],[Category]], 0, 2)</f>
        <v>SA</v>
      </c>
      <c r="G129" s="30" t="str" cm="1">
        <f t="array" ref="G129">Common_InputFunctions.Utility_DisplayArrayInTable(Scope3_SourceData.Scope3_Feed_Data(), Table_SourceData_Scope3_Feed[[#Headers],[Category]], 0, 2)</f>
        <v>kg</v>
      </c>
      <c r="H129" s="30" cm="1">
        <f t="array" ref="H129">Common_InputFunctions.Utility_DisplayArrayInTable(Scope3_SourceData.Scope3_Feed_Data(), Table_SourceData_Scope3_Feed[[#Headers],[Category]], 0, 2)</f>
        <v>7.0599999999999996E-2</v>
      </c>
      <c r="I129" s="30" t="str" cm="1">
        <f t="array" ref="I129">Common_InputFunctions.Utility_DisplayArrayInTable(Scope3_SourceData.Scope3_Feed_Data(), Table_SourceData_Scope3_Feed[[#Headers],[Category]], 0, 2)</f>
        <v>at market</v>
      </c>
      <c r="K129" s="30" t="str">
        <f>Table_SourceData_Scope3_Feed[[#This Row],[Product]]</f>
        <v>Cereal silage</v>
      </c>
      <c r="L129" s="30" t="str">
        <f>Table_SourceData_Scope3_Feed[[#This Row],[Region of origin]]</f>
        <v>SA</v>
      </c>
    </row>
    <row r="130" spans="1:16" ht="20.100000000000001" customHeight="1" x14ac:dyDescent="0.25">
      <c r="A130"/>
      <c r="D130" s="30" t="str" cm="1">
        <f t="array" ref="D130">Common_InputFunctions.Utility_DisplayArrayInTable(Scope3_SourceData.Scope3_Feed_Data(), Table_SourceData_Scope3_Feed[[#Headers],[Category]], 0, 2)</f>
        <v>Hay</v>
      </c>
      <c r="E130" s="30" t="str" cm="1">
        <f t="array" ref="E130">Common_InputFunctions.Utility_DisplayArrayInTable(Scope3_SourceData.Scope3_Feed_Data(), Table_SourceData_Scope3_Feed[[#Headers],[Category]], 0, 2)</f>
        <v>Cereal silage</v>
      </c>
      <c r="F130" s="30" t="str" cm="1">
        <f t="array" ref="F130">Common_InputFunctions.Utility_DisplayArrayInTable(Scope3_SourceData.Scope3_Feed_Data(), Table_SourceData_Scope3_Feed[[#Headers],[Category]], 0, 2)</f>
        <v>TAS</v>
      </c>
      <c r="G130" s="30" t="str" cm="1">
        <f t="array" ref="G130">Common_InputFunctions.Utility_DisplayArrayInTable(Scope3_SourceData.Scope3_Feed_Data(), Table_SourceData_Scope3_Feed[[#Headers],[Category]], 0, 2)</f>
        <v>kg</v>
      </c>
      <c r="H130" s="30" cm="1">
        <f t="array" ref="H130">Common_InputFunctions.Utility_DisplayArrayInTable(Scope3_SourceData.Scope3_Feed_Data(), Table_SourceData_Scope3_Feed[[#Headers],[Category]], 0, 2)</f>
        <v>8.0799999999999997E-2</v>
      </c>
      <c r="I130" s="30" t="str" cm="1">
        <f t="array" ref="I130">Common_InputFunctions.Utility_DisplayArrayInTable(Scope3_SourceData.Scope3_Feed_Data(), Table_SourceData_Scope3_Feed[[#Headers],[Category]], 0, 2)</f>
        <v>at market</v>
      </c>
      <c r="K130" s="30" t="str">
        <f>Table_SourceData_Scope3_Feed[[#This Row],[Product]]</f>
        <v>Cereal silage</v>
      </c>
      <c r="L130" s="30" t="str">
        <f>Table_SourceData_Scope3_Feed[[#This Row],[Region of origin]]</f>
        <v>TAS</v>
      </c>
    </row>
    <row r="131" spans="1:16" ht="20.100000000000001" customHeight="1" x14ac:dyDescent="0.25">
      <c r="A131"/>
      <c r="D131" s="30" t="str" cm="1">
        <f t="array" ref="D131">Common_InputFunctions.Utility_DisplayArrayInTable(Scope3_SourceData.Scope3_Feed_Data(), Table_SourceData_Scope3_Feed[[#Headers],[Category]], 0, 2)</f>
        <v>Hay</v>
      </c>
      <c r="E131" s="30" t="str" cm="1">
        <f t="array" ref="E131">Common_InputFunctions.Utility_DisplayArrayInTable(Scope3_SourceData.Scope3_Feed_Data(), Table_SourceData_Scope3_Feed[[#Headers],[Category]], 0, 2)</f>
        <v>Cereal silage</v>
      </c>
      <c r="F131" s="30" t="str" cm="1">
        <f t="array" ref="F131">Common_InputFunctions.Utility_DisplayArrayInTable(Scope3_SourceData.Scope3_Feed_Data(), Table_SourceData_Scope3_Feed[[#Headers],[Category]], 0, 2)</f>
        <v>VIC</v>
      </c>
      <c r="G131" s="30" t="str" cm="1">
        <f t="array" ref="G131">Common_InputFunctions.Utility_DisplayArrayInTable(Scope3_SourceData.Scope3_Feed_Data(), Table_SourceData_Scope3_Feed[[#Headers],[Category]], 0, 2)</f>
        <v>kg</v>
      </c>
      <c r="H131" s="30" cm="1">
        <f t="array" ref="H131">Common_InputFunctions.Utility_DisplayArrayInTable(Scope3_SourceData.Scope3_Feed_Data(), Table_SourceData_Scope3_Feed[[#Headers],[Category]], 0, 2)</f>
        <v>7.3599999999999999E-2</v>
      </c>
      <c r="I131" s="30" t="str" cm="1">
        <f t="array" ref="I131">Common_InputFunctions.Utility_DisplayArrayInTable(Scope3_SourceData.Scope3_Feed_Data(), Table_SourceData_Scope3_Feed[[#Headers],[Category]], 0, 2)</f>
        <v>at market</v>
      </c>
      <c r="K131" s="30" t="str">
        <f>Table_SourceData_Scope3_Feed[[#This Row],[Product]]</f>
        <v>Cereal silage</v>
      </c>
      <c r="L131" s="30" t="str">
        <f>Table_SourceData_Scope3_Feed[[#This Row],[Region of origin]]</f>
        <v>VIC</v>
      </c>
      <c r="N131" s="30" t="s">
        <v>137</v>
      </c>
      <c r="O131" s="30" t="s">
        <v>947</v>
      </c>
      <c r="P131" s="1" t="str">
        <f>"Table_ProductRegions_" &amp; SUBSTITUTE(SUBSTITUTE(SUBSTITUTE(SUBSTITUTE(N132, " ", ""), ",", ""), "(", ""), ")", "")</f>
        <v>Table_ProductRegions_Lucernehay</v>
      </c>
    </row>
    <row r="132" spans="1:16" ht="20.100000000000001" customHeight="1" x14ac:dyDescent="0.25">
      <c r="A132"/>
      <c r="D132" s="30" t="str" cm="1">
        <f t="array" ref="D132">Common_InputFunctions.Utility_DisplayArrayInTable(Scope3_SourceData.Scope3_Feed_Data(), Table_SourceData_Scope3_Feed[[#Headers],[Category]], 0, 2)</f>
        <v>Hay</v>
      </c>
      <c r="E132" s="30" t="str" cm="1">
        <f t="array" ref="E132">Common_InputFunctions.Utility_DisplayArrayInTable(Scope3_SourceData.Scope3_Feed_Data(), Table_SourceData_Scope3_Feed[[#Headers],[Category]], 0, 2)</f>
        <v>Lucerne hay</v>
      </c>
      <c r="F132" s="30" t="str" cm="1">
        <f t="array" ref="F132">Common_InputFunctions.Utility_DisplayArrayInTable(Scope3_SourceData.Scope3_Feed_Data(), Table_SourceData_Scope3_Feed[[#Headers],[Category]], 0, 2)</f>
        <v>Australia</v>
      </c>
      <c r="G132" s="30" t="str" cm="1">
        <f t="array" ref="G132">Common_InputFunctions.Utility_DisplayArrayInTable(Scope3_SourceData.Scope3_Feed_Data(), Table_SourceData_Scope3_Feed[[#Headers],[Category]], 0, 2)</f>
        <v>kg</v>
      </c>
      <c r="H132" s="30" cm="1">
        <f t="array" ref="H132">Common_InputFunctions.Utility_DisplayArrayInTable(Scope3_SourceData.Scope3_Feed_Data(), Table_SourceData_Scope3_Feed[[#Headers],[Category]], 0, 2)</f>
        <v>0.11700000000000001</v>
      </c>
      <c r="I132" s="30" t="str" cm="1">
        <f t="array" ref="I132">Common_InputFunctions.Utility_DisplayArrayInTable(Scope3_SourceData.Scope3_Feed_Data(), Table_SourceData_Scope3_Feed[[#Headers],[Category]], 0, 2)</f>
        <v>at market</v>
      </c>
      <c r="N132" s="30" t="str">
        <f>Table_SourceData_Scope3_Feed[[#This Row],[Product]]</f>
        <v>Lucerne hay</v>
      </c>
      <c r="O132" s="30" t="str">
        <f>Table_SourceData_Scope3_Feed[[#This Row],[Region of origin]]</f>
        <v>Australia</v>
      </c>
    </row>
    <row r="133" spans="1:16" ht="20.100000000000001" customHeight="1" x14ac:dyDescent="0.25">
      <c r="A133"/>
      <c r="D133" s="30" t="str" cm="1">
        <f t="array" ref="D133">Common_InputFunctions.Utility_DisplayArrayInTable(Scope3_SourceData.Scope3_Feed_Data(), Table_SourceData_Scope3_Feed[[#Headers],[Category]], 0, 2)</f>
        <v>Hay</v>
      </c>
      <c r="E133" s="30" t="str" cm="1">
        <f t="array" ref="E133">Common_InputFunctions.Utility_DisplayArrayInTable(Scope3_SourceData.Scope3_Feed_Data(), Table_SourceData_Scope3_Feed[[#Headers],[Category]], 0, 2)</f>
        <v>Lucerne hay</v>
      </c>
      <c r="F133" s="30" t="str" cm="1">
        <f t="array" ref="F133">Common_InputFunctions.Utility_DisplayArrayInTable(Scope3_SourceData.Scope3_Feed_Data(), Table_SourceData_Scope3_Feed[[#Headers],[Category]], 0, 2)</f>
        <v>NSW</v>
      </c>
      <c r="G133" s="30" t="str" cm="1">
        <f t="array" ref="G133">Common_InputFunctions.Utility_DisplayArrayInTable(Scope3_SourceData.Scope3_Feed_Data(), Table_SourceData_Scope3_Feed[[#Headers],[Category]], 0, 2)</f>
        <v>kg</v>
      </c>
      <c r="H133" s="30" cm="1">
        <f t="array" ref="H133">Common_InputFunctions.Utility_DisplayArrayInTable(Scope3_SourceData.Scope3_Feed_Data(), Table_SourceData_Scope3_Feed[[#Headers],[Category]], 0, 2)</f>
        <v>0.113</v>
      </c>
      <c r="I133" s="30" t="str" cm="1">
        <f t="array" ref="I133">Common_InputFunctions.Utility_DisplayArrayInTable(Scope3_SourceData.Scope3_Feed_Data(), Table_SourceData_Scope3_Feed[[#Headers],[Category]], 0, 2)</f>
        <v>at market</v>
      </c>
      <c r="N133" s="30" t="str">
        <f>Table_SourceData_Scope3_Feed[[#This Row],[Product]]</f>
        <v>Lucerne hay</v>
      </c>
      <c r="O133" s="30" t="str">
        <f>Table_SourceData_Scope3_Feed[[#This Row],[Region of origin]]</f>
        <v>NSW</v>
      </c>
    </row>
    <row r="134" spans="1:16" ht="20.100000000000001" customHeight="1" x14ac:dyDescent="0.25">
      <c r="A134"/>
      <c r="D134" s="30" t="str" cm="1">
        <f t="array" ref="D134">Common_InputFunctions.Utility_DisplayArrayInTable(Scope3_SourceData.Scope3_Feed_Data(), Table_SourceData_Scope3_Feed[[#Headers],[Category]], 0, 2)</f>
        <v>Hay</v>
      </c>
      <c r="E134" s="30" t="str" cm="1">
        <f t="array" ref="E134">Common_InputFunctions.Utility_DisplayArrayInTable(Scope3_SourceData.Scope3_Feed_Data(), Table_SourceData_Scope3_Feed[[#Headers],[Category]], 0, 2)</f>
        <v>Lucerne hay</v>
      </c>
      <c r="F134" s="30" t="str" cm="1">
        <f t="array" ref="F134">Common_InputFunctions.Utility_DisplayArrayInTable(Scope3_SourceData.Scope3_Feed_Data(), Table_SourceData_Scope3_Feed[[#Headers],[Category]], 0, 2)</f>
        <v>QLD</v>
      </c>
      <c r="G134" s="30" t="str" cm="1">
        <f t="array" ref="G134">Common_InputFunctions.Utility_DisplayArrayInTable(Scope3_SourceData.Scope3_Feed_Data(), Table_SourceData_Scope3_Feed[[#Headers],[Category]], 0, 2)</f>
        <v>kg</v>
      </c>
      <c r="H134" s="30" cm="1">
        <f t="array" ref="H134">Common_InputFunctions.Utility_DisplayArrayInTable(Scope3_SourceData.Scope3_Feed_Data(), Table_SourceData_Scope3_Feed[[#Headers],[Category]], 0, 2)</f>
        <v>0.14299999999999999</v>
      </c>
      <c r="I134" s="30" t="str" cm="1">
        <f t="array" ref="I134">Common_InputFunctions.Utility_DisplayArrayInTable(Scope3_SourceData.Scope3_Feed_Data(), Table_SourceData_Scope3_Feed[[#Headers],[Category]], 0, 2)</f>
        <v>at market</v>
      </c>
      <c r="N134" s="30" t="str">
        <f>Table_SourceData_Scope3_Feed[[#This Row],[Product]]</f>
        <v>Lucerne hay</v>
      </c>
      <c r="O134" s="30" t="str">
        <f>Table_SourceData_Scope3_Feed[[#This Row],[Region of origin]]</f>
        <v>QLD</v>
      </c>
    </row>
    <row r="135" spans="1:16" ht="20.100000000000001" customHeight="1" x14ac:dyDescent="0.25">
      <c r="A135"/>
      <c r="D135" s="30" t="str" cm="1">
        <f t="array" ref="D135">Common_InputFunctions.Utility_DisplayArrayInTable(Scope3_SourceData.Scope3_Feed_Data(), Table_SourceData_Scope3_Feed[[#Headers],[Category]], 0, 2)</f>
        <v>Hay</v>
      </c>
      <c r="E135" s="30" t="str" cm="1">
        <f t="array" ref="E135">Common_InputFunctions.Utility_DisplayArrayInTable(Scope3_SourceData.Scope3_Feed_Data(), Table_SourceData_Scope3_Feed[[#Headers],[Category]], 0, 2)</f>
        <v>Lucerne hay</v>
      </c>
      <c r="F135" s="30" t="str" cm="1">
        <f t="array" ref="F135">Common_InputFunctions.Utility_DisplayArrayInTable(Scope3_SourceData.Scope3_Feed_Data(), Table_SourceData_Scope3_Feed[[#Headers],[Category]], 0, 2)</f>
        <v>SA</v>
      </c>
      <c r="G135" s="30" t="str" cm="1">
        <f t="array" ref="G135">Common_InputFunctions.Utility_DisplayArrayInTable(Scope3_SourceData.Scope3_Feed_Data(), Table_SourceData_Scope3_Feed[[#Headers],[Category]], 0, 2)</f>
        <v>kg</v>
      </c>
      <c r="H135" s="30" cm="1">
        <f t="array" ref="H135">Common_InputFunctions.Utility_DisplayArrayInTable(Scope3_SourceData.Scope3_Feed_Data(), Table_SourceData_Scope3_Feed[[#Headers],[Category]], 0, 2)</f>
        <v>0.106</v>
      </c>
      <c r="I135" s="30" t="str" cm="1">
        <f t="array" ref="I135">Common_InputFunctions.Utility_DisplayArrayInTable(Scope3_SourceData.Scope3_Feed_Data(), Table_SourceData_Scope3_Feed[[#Headers],[Category]], 0, 2)</f>
        <v>at market</v>
      </c>
      <c r="N135" s="30" t="str">
        <f>Table_SourceData_Scope3_Feed[[#This Row],[Product]]</f>
        <v>Lucerne hay</v>
      </c>
      <c r="O135" s="30" t="str">
        <f>Table_SourceData_Scope3_Feed[[#This Row],[Region of origin]]</f>
        <v>SA</v>
      </c>
    </row>
    <row r="136" spans="1:16" ht="20.100000000000001" customHeight="1" x14ac:dyDescent="0.25">
      <c r="A136"/>
      <c r="D136" s="30" t="str" cm="1">
        <f t="array" ref="D136">Common_InputFunctions.Utility_DisplayArrayInTable(Scope3_SourceData.Scope3_Feed_Data(), Table_SourceData_Scope3_Feed[[#Headers],[Category]], 0, 2)</f>
        <v>Hay</v>
      </c>
      <c r="E136" s="30" t="str" cm="1">
        <f t="array" ref="E136">Common_InputFunctions.Utility_DisplayArrayInTable(Scope3_SourceData.Scope3_Feed_Data(), Table_SourceData_Scope3_Feed[[#Headers],[Category]], 0, 2)</f>
        <v>Lucerne hay</v>
      </c>
      <c r="F136" s="30" t="str" cm="1">
        <f t="array" ref="F136">Common_InputFunctions.Utility_DisplayArrayInTable(Scope3_SourceData.Scope3_Feed_Data(), Table_SourceData_Scope3_Feed[[#Headers],[Category]], 0, 2)</f>
        <v>TAS</v>
      </c>
      <c r="G136" s="30" t="str" cm="1">
        <f t="array" ref="G136">Common_InputFunctions.Utility_DisplayArrayInTable(Scope3_SourceData.Scope3_Feed_Data(), Table_SourceData_Scope3_Feed[[#Headers],[Category]], 0, 2)</f>
        <v>kg</v>
      </c>
      <c r="H136" s="30" cm="1">
        <f t="array" ref="H136">Common_InputFunctions.Utility_DisplayArrayInTable(Scope3_SourceData.Scope3_Feed_Data(), Table_SourceData_Scope3_Feed[[#Headers],[Category]], 0, 2)</f>
        <v>0.113</v>
      </c>
      <c r="I136" s="30" t="str" cm="1">
        <f t="array" ref="I136">Common_InputFunctions.Utility_DisplayArrayInTable(Scope3_SourceData.Scope3_Feed_Data(), Table_SourceData_Scope3_Feed[[#Headers],[Category]], 0, 2)</f>
        <v>at market</v>
      </c>
      <c r="N136" s="30" t="str">
        <f>Table_SourceData_Scope3_Feed[[#This Row],[Product]]</f>
        <v>Lucerne hay</v>
      </c>
      <c r="O136" s="30" t="str">
        <f>Table_SourceData_Scope3_Feed[[#This Row],[Region of origin]]</f>
        <v>TAS</v>
      </c>
    </row>
    <row r="137" spans="1:16" ht="20.100000000000001" customHeight="1" x14ac:dyDescent="0.25">
      <c r="A137"/>
      <c r="D137" s="30" t="str" cm="1">
        <f t="array" ref="D137">Common_InputFunctions.Utility_DisplayArrayInTable(Scope3_SourceData.Scope3_Feed_Data(), Table_SourceData_Scope3_Feed[[#Headers],[Category]], 0, 2)</f>
        <v>Hay</v>
      </c>
      <c r="E137" s="30" t="str" cm="1">
        <f t="array" ref="E137">Common_InputFunctions.Utility_DisplayArrayInTable(Scope3_SourceData.Scope3_Feed_Data(), Table_SourceData_Scope3_Feed[[#Headers],[Category]], 0, 2)</f>
        <v>Lucerne hay</v>
      </c>
      <c r="F137" s="30" t="str" cm="1">
        <f t="array" ref="F137">Common_InputFunctions.Utility_DisplayArrayInTable(Scope3_SourceData.Scope3_Feed_Data(), Table_SourceData_Scope3_Feed[[#Headers],[Category]], 0, 2)</f>
        <v>VIC</v>
      </c>
      <c r="G137" s="30" t="str" cm="1">
        <f t="array" ref="G137">Common_InputFunctions.Utility_DisplayArrayInTable(Scope3_SourceData.Scope3_Feed_Data(), Table_SourceData_Scope3_Feed[[#Headers],[Category]], 0, 2)</f>
        <v>kg</v>
      </c>
      <c r="H137" s="30" cm="1">
        <f t="array" ref="H137">Common_InputFunctions.Utility_DisplayArrayInTable(Scope3_SourceData.Scope3_Feed_Data(), Table_SourceData_Scope3_Feed[[#Headers],[Category]], 0, 2)</f>
        <v>0.106</v>
      </c>
      <c r="I137" s="30" t="str" cm="1">
        <f t="array" ref="I137">Common_InputFunctions.Utility_DisplayArrayInTable(Scope3_SourceData.Scope3_Feed_Data(), Table_SourceData_Scope3_Feed[[#Headers],[Category]], 0, 2)</f>
        <v>at market</v>
      </c>
      <c r="N137" s="30" t="str">
        <f>Table_SourceData_Scope3_Feed[[#This Row],[Product]]</f>
        <v>Lucerne hay</v>
      </c>
      <c r="O137" s="30" t="str">
        <f>Table_SourceData_Scope3_Feed[[#This Row],[Region of origin]]</f>
        <v>VIC</v>
      </c>
    </row>
    <row r="138" spans="1:16" ht="20.100000000000001" customHeight="1" x14ac:dyDescent="0.25">
      <c r="A138"/>
      <c r="D138" s="30" t="str" cm="1">
        <f t="array" ref="D138">Common_InputFunctions.Utility_DisplayArrayInTable(Scope3_SourceData.Scope3_Feed_Data(), Table_SourceData_Scope3_Feed[[#Headers],[Category]], 0, 2)</f>
        <v>Hay</v>
      </c>
      <c r="E138" s="30" t="str" cm="1">
        <f t="array" ref="E138">Common_InputFunctions.Utility_DisplayArrayInTable(Scope3_SourceData.Scope3_Feed_Data(), Table_SourceData_Scope3_Feed[[#Headers],[Category]], 0, 2)</f>
        <v>Maize silage</v>
      </c>
      <c r="F138" s="30" t="str" cm="1">
        <f t="array" ref="F138">Common_InputFunctions.Utility_DisplayArrayInTable(Scope3_SourceData.Scope3_Feed_Data(), Table_SourceData_Scope3_Feed[[#Headers],[Category]], 0, 2)</f>
        <v>VIC</v>
      </c>
      <c r="G138" s="30" t="str" cm="1">
        <f t="array" ref="G138">Common_InputFunctions.Utility_DisplayArrayInTable(Scope3_SourceData.Scope3_Feed_Data(), Table_SourceData_Scope3_Feed[[#Headers],[Category]], 0, 2)</f>
        <v>kg</v>
      </c>
      <c r="H138" s="30" cm="1">
        <f t="array" ref="H138">Common_InputFunctions.Utility_DisplayArrayInTable(Scope3_SourceData.Scope3_Feed_Data(), Table_SourceData_Scope3_Feed[[#Headers],[Category]], 0, 2)</f>
        <v>0.16300000000000001</v>
      </c>
      <c r="I138" s="30" t="str" cm="1">
        <f t="array" ref="I138">Common_InputFunctions.Utility_DisplayArrayInTable(Scope3_SourceData.Scope3_Feed_Data(), Table_SourceData_Scope3_Feed[[#Headers],[Category]], 0, 2)</f>
        <v>at market</v>
      </c>
      <c r="K138" s="30" t="s">
        <v>137</v>
      </c>
      <c r="L138" s="30" t="s">
        <v>947</v>
      </c>
      <c r="M138" s="1" t="str">
        <f>"Table_ProductRegions_" &amp; SUBSTITUTE(SUBSTITUTE(SUBSTITUTE(SUBSTITUTE(K139, " ", ""), ",", ""), "(", ""), ")", "")</f>
        <v>Table_ProductRegions_Oatenhay</v>
      </c>
      <c r="N138" s="30" t="str">
        <f>Table_SourceData_Scope3_Feed[[#This Row],[Product]]</f>
        <v>Maize silage</v>
      </c>
      <c r="O138" s="30" t="str">
        <f>Table_SourceData_Scope3_Feed[[#This Row],[Region of origin]]</f>
        <v>VIC</v>
      </c>
    </row>
    <row r="139" spans="1:16" ht="20.100000000000001" customHeight="1" x14ac:dyDescent="0.25">
      <c r="A139"/>
      <c r="D139" s="30" t="str" cm="1">
        <f t="array" ref="D139">Common_InputFunctions.Utility_DisplayArrayInTable(Scope3_SourceData.Scope3_Feed_Data(), Table_SourceData_Scope3_Feed[[#Headers],[Category]], 0, 2)</f>
        <v>Hay</v>
      </c>
      <c r="E139" s="30" t="str" cm="1">
        <f t="array" ref="E139">Common_InputFunctions.Utility_DisplayArrayInTable(Scope3_SourceData.Scope3_Feed_Data(), Table_SourceData_Scope3_Feed[[#Headers],[Category]], 0, 2)</f>
        <v>Oaten hay</v>
      </c>
      <c r="F139" s="30" t="str" cm="1">
        <f t="array" ref="F139">Common_InputFunctions.Utility_DisplayArrayInTable(Scope3_SourceData.Scope3_Feed_Data(), Table_SourceData_Scope3_Feed[[#Headers],[Category]], 0, 2)</f>
        <v>Australia</v>
      </c>
      <c r="G139" s="30" t="str" cm="1">
        <f t="array" ref="G139">Common_InputFunctions.Utility_DisplayArrayInTable(Scope3_SourceData.Scope3_Feed_Data(), Table_SourceData_Scope3_Feed[[#Headers],[Category]], 0, 2)</f>
        <v>kg</v>
      </c>
      <c r="H139" s="30" cm="1">
        <f t="array" ref="H139">Common_InputFunctions.Utility_DisplayArrayInTable(Scope3_SourceData.Scope3_Feed_Data(), Table_SourceData_Scope3_Feed[[#Headers],[Category]], 0, 2)</f>
        <v>0.12</v>
      </c>
      <c r="I139" s="30" t="str" cm="1">
        <f t="array" ref="I139">Common_InputFunctions.Utility_DisplayArrayInTable(Scope3_SourceData.Scope3_Feed_Data(), Table_SourceData_Scope3_Feed[[#Headers],[Category]], 0, 2)</f>
        <v>at market</v>
      </c>
      <c r="K139" s="30" t="str">
        <f>Table_SourceData_Scope3_Feed[[#This Row],[Product]]</f>
        <v>Oaten hay</v>
      </c>
      <c r="L139" s="30" t="str">
        <f>Table_SourceData_Scope3_Feed[[#This Row],[Region of origin]]</f>
        <v>Australia</v>
      </c>
    </row>
    <row r="140" spans="1:16" ht="20.100000000000001" customHeight="1" x14ac:dyDescent="0.25">
      <c r="A140"/>
      <c r="D140" s="30" t="str" cm="1">
        <f t="array" ref="D140">Common_InputFunctions.Utility_DisplayArrayInTable(Scope3_SourceData.Scope3_Feed_Data(), Table_SourceData_Scope3_Feed[[#Headers],[Category]], 0, 2)</f>
        <v>Hay</v>
      </c>
      <c r="E140" s="30" t="str" cm="1">
        <f t="array" ref="E140">Common_InputFunctions.Utility_DisplayArrayInTable(Scope3_SourceData.Scope3_Feed_Data(), Table_SourceData_Scope3_Feed[[#Headers],[Category]], 0, 2)</f>
        <v>Oaten hay</v>
      </c>
      <c r="F140" s="30" t="str" cm="1">
        <f t="array" ref="F140">Common_InputFunctions.Utility_DisplayArrayInTable(Scope3_SourceData.Scope3_Feed_Data(), Table_SourceData_Scope3_Feed[[#Headers],[Category]], 0, 2)</f>
        <v>NSW</v>
      </c>
      <c r="G140" s="30" t="str" cm="1">
        <f t="array" ref="G140">Common_InputFunctions.Utility_DisplayArrayInTable(Scope3_SourceData.Scope3_Feed_Data(), Table_SourceData_Scope3_Feed[[#Headers],[Category]], 0, 2)</f>
        <v>kg</v>
      </c>
      <c r="H140" s="30" cm="1">
        <f t="array" ref="H140">Common_InputFunctions.Utility_DisplayArrayInTable(Scope3_SourceData.Scope3_Feed_Data(), Table_SourceData_Scope3_Feed[[#Headers],[Category]], 0, 2)</f>
        <v>0.11899999999999999</v>
      </c>
      <c r="I140" s="30" t="str" cm="1">
        <f t="array" ref="I140">Common_InputFunctions.Utility_DisplayArrayInTable(Scope3_SourceData.Scope3_Feed_Data(), Table_SourceData_Scope3_Feed[[#Headers],[Category]], 0, 2)</f>
        <v>at market</v>
      </c>
      <c r="K140" s="30" t="str">
        <f>Table_SourceData_Scope3_Feed[[#This Row],[Product]]</f>
        <v>Oaten hay</v>
      </c>
      <c r="L140" s="30" t="str">
        <f>Table_SourceData_Scope3_Feed[[#This Row],[Region of origin]]</f>
        <v>NSW</v>
      </c>
    </row>
    <row r="141" spans="1:16" ht="20.100000000000001" customHeight="1" x14ac:dyDescent="0.25">
      <c r="A141"/>
      <c r="D141" s="30" t="str" cm="1">
        <f t="array" ref="D141">Common_InputFunctions.Utility_DisplayArrayInTable(Scope3_SourceData.Scope3_Feed_Data(), Table_SourceData_Scope3_Feed[[#Headers],[Category]], 0, 2)</f>
        <v>Hay</v>
      </c>
      <c r="E141" s="30" t="str" cm="1">
        <f t="array" ref="E141">Common_InputFunctions.Utility_DisplayArrayInTable(Scope3_SourceData.Scope3_Feed_Data(), Table_SourceData_Scope3_Feed[[#Headers],[Category]], 0, 2)</f>
        <v>Oaten hay</v>
      </c>
      <c r="F141" s="30" t="str" cm="1">
        <f t="array" ref="F141">Common_InputFunctions.Utility_DisplayArrayInTable(Scope3_SourceData.Scope3_Feed_Data(), Table_SourceData_Scope3_Feed[[#Headers],[Category]], 0, 2)</f>
        <v>QLD</v>
      </c>
      <c r="G141" s="30" t="str" cm="1">
        <f t="array" ref="G141">Common_InputFunctions.Utility_DisplayArrayInTable(Scope3_SourceData.Scope3_Feed_Data(), Table_SourceData_Scope3_Feed[[#Headers],[Category]], 0, 2)</f>
        <v>kg</v>
      </c>
      <c r="H141" s="30" cm="1">
        <f t="array" ref="H141">Common_InputFunctions.Utility_DisplayArrayInTable(Scope3_SourceData.Scope3_Feed_Data(), Table_SourceData_Scope3_Feed[[#Headers],[Category]], 0, 2)</f>
        <v>0.11700000000000001</v>
      </c>
      <c r="I141" s="30" t="str" cm="1">
        <f t="array" ref="I141">Common_InputFunctions.Utility_DisplayArrayInTable(Scope3_SourceData.Scope3_Feed_Data(), Table_SourceData_Scope3_Feed[[#Headers],[Category]], 0, 2)</f>
        <v>at market</v>
      </c>
      <c r="K141" s="30" t="str">
        <f>Table_SourceData_Scope3_Feed[[#This Row],[Product]]</f>
        <v>Oaten hay</v>
      </c>
      <c r="L141" s="30" t="str">
        <f>Table_SourceData_Scope3_Feed[[#This Row],[Region of origin]]</f>
        <v>QLD</v>
      </c>
    </row>
    <row r="142" spans="1:16" ht="20.100000000000001" customHeight="1" x14ac:dyDescent="0.25">
      <c r="A142"/>
      <c r="D142" s="30" t="str" cm="1">
        <f t="array" ref="D142">Common_InputFunctions.Utility_DisplayArrayInTable(Scope3_SourceData.Scope3_Feed_Data(), Table_SourceData_Scope3_Feed[[#Headers],[Category]], 0, 2)</f>
        <v>Hay</v>
      </c>
      <c r="E142" s="30" t="str" cm="1">
        <f t="array" ref="E142">Common_InputFunctions.Utility_DisplayArrayInTable(Scope3_SourceData.Scope3_Feed_Data(), Table_SourceData_Scope3_Feed[[#Headers],[Category]], 0, 2)</f>
        <v>Oaten hay</v>
      </c>
      <c r="F142" s="30" t="str" cm="1">
        <f t="array" ref="F142">Common_InputFunctions.Utility_DisplayArrayInTable(Scope3_SourceData.Scope3_Feed_Data(), Table_SourceData_Scope3_Feed[[#Headers],[Category]], 0, 2)</f>
        <v>SA</v>
      </c>
      <c r="G142" s="30" t="str" cm="1">
        <f t="array" ref="G142">Common_InputFunctions.Utility_DisplayArrayInTable(Scope3_SourceData.Scope3_Feed_Data(), Table_SourceData_Scope3_Feed[[#Headers],[Category]], 0, 2)</f>
        <v>kg</v>
      </c>
      <c r="H142" s="30" cm="1">
        <f t="array" ref="H142">Common_InputFunctions.Utility_DisplayArrayInTable(Scope3_SourceData.Scope3_Feed_Data(), Table_SourceData_Scope3_Feed[[#Headers],[Category]], 0, 2)</f>
        <v>0.114</v>
      </c>
      <c r="I142" s="30" t="str" cm="1">
        <f t="array" ref="I142">Common_InputFunctions.Utility_DisplayArrayInTable(Scope3_SourceData.Scope3_Feed_Data(), Table_SourceData_Scope3_Feed[[#Headers],[Category]], 0, 2)</f>
        <v>at market</v>
      </c>
      <c r="K142" s="30" t="str">
        <f>Table_SourceData_Scope3_Feed[[#This Row],[Product]]</f>
        <v>Oaten hay</v>
      </c>
      <c r="L142" s="30" t="str">
        <f>Table_SourceData_Scope3_Feed[[#This Row],[Region of origin]]</f>
        <v>SA</v>
      </c>
    </row>
    <row r="143" spans="1:16" ht="20.100000000000001" customHeight="1" x14ac:dyDescent="0.25">
      <c r="A143"/>
      <c r="D143" s="30" t="str" cm="1">
        <f t="array" ref="D143">Common_InputFunctions.Utility_DisplayArrayInTable(Scope3_SourceData.Scope3_Feed_Data(), Table_SourceData_Scope3_Feed[[#Headers],[Category]], 0, 2)</f>
        <v>Hay</v>
      </c>
      <c r="E143" s="30" t="str" cm="1">
        <f t="array" ref="E143">Common_InputFunctions.Utility_DisplayArrayInTable(Scope3_SourceData.Scope3_Feed_Data(), Table_SourceData_Scope3_Feed[[#Headers],[Category]], 0, 2)</f>
        <v>Oaten hay</v>
      </c>
      <c r="F143" s="30" t="str" cm="1">
        <f t="array" ref="F143">Common_InputFunctions.Utility_DisplayArrayInTable(Scope3_SourceData.Scope3_Feed_Data(), Table_SourceData_Scope3_Feed[[#Headers],[Category]], 0, 2)</f>
        <v>VIC</v>
      </c>
      <c r="G143" s="30" t="str" cm="1">
        <f t="array" ref="G143">Common_InputFunctions.Utility_DisplayArrayInTable(Scope3_SourceData.Scope3_Feed_Data(), Table_SourceData_Scope3_Feed[[#Headers],[Category]], 0, 2)</f>
        <v>kg</v>
      </c>
      <c r="H143" s="30" cm="1">
        <f t="array" ref="H143">Common_InputFunctions.Utility_DisplayArrayInTable(Scope3_SourceData.Scope3_Feed_Data(), Table_SourceData_Scope3_Feed[[#Headers],[Category]], 0, 2)</f>
        <v>0.11799999999999999</v>
      </c>
      <c r="I143" s="30" t="str" cm="1">
        <f t="array" ref="I143">Common_InputFunctions.Utility_DisplayArrayInTable(Scope3_SourceData.Scope3_Feed_Data(), Table_SourceData_Scope3_Feed[[#Headers],[Category]], 0, 2)</f>
        <v>at market</v>
      </c>
      <c r="K143" s="30" t="str">
        <f>Table_SourceData_Scope3_Feed[[#This Row],[Product]]</f>
        <v>Oaten hay</v>
      </c>
      <c r="L143" s="30" t="str">
        <f>Table_SourceData_Scope3_Feed[[#This Row],[Region of origin]]</f>
        <v>VIC</v>
      </c>
    </row>
    <row r="144" spans="1:16" ht="20.100000000000001" customHeight="1" x14ac:dyDescent="0.25">
      <c r="A144"/>
      <c r="D144" s="30" t="str" cm="1">
        <f t="array" ref="D144">Common_InputFunctions.Utility_DisplayArrayInTable(Scope3_SourceData.Scope3_Feed_Data(), Table_SourceData_Scope3_Feed[[#Headers],[Category]], 0, 2)</f>
        <v>Hay</v>
      </c>
      <c r="E144" s="30" t="str" cm="1">
        <f t="array" ref="E144">Common_InputFunctions.Utility_DisplayArrayInTable(Scope3_SourceData.Scope3_Feed_Data(), Table_SourceData_Scope3_Feed[[#Headers],[Category]], 0, 2)</f>
        <v>Oaten hay</v>
      </c>
      <c r="F144" s="30" t="str" cm="1">
        <f t="array" ref="F144">Common_InputFunctions.Utility_DisplayArrayInTable(Scope3_SourceData.Scope3_Feed_Data(), Table_SourceData_Scope3_Feed[[#Headers],[Category]], 0, 2)</f>
        <v>WA</v>
      </c>
      <c r="G144" s="30" t="str" cm="1">
        <f t="array" ref="G144">Common_InputFunctions.Utility_DisplayArrayInTable(Scope3_SourceData.Scope3_Feed_Data(), Table_SourceData_Scope3_Feed[[#Headers],[Category]], 0, 2)</f>
        <v>kg</v>
      </c>
      <c r="H144" s="30" cm="1">
        <f t="array" ref="H144">Common_InputFunctions.Utility_DisplayArrayInTable(Scope3_SourceData.Scope3_Feed_Data(), Table_SourceData_Scope3_Feed[[#Headers],[Category]], 0, 2)</f>
        <v>0.124</v>
      </c>
      <c r="I144" s="30" t="str" cm="1">
        <f t="array" ref="I144">Common_InputFunctions.Utility_DisplayArrayInTable(Scope3_SourceData.Scope3_Feed_Data(), Table_SourceData_Scope3_Feed[[#Headers],[Category]], 0, 2)</f>
        <v>at market</v>
      </c>
      <c r="K144" s="30" t="str">
        <f>Table_SourceData_Scope3_Feed[[#This Row],[Product]]</f>
        <v>Oaten hay</v>
      </c>
      <c r="L144" s="30" t="str">
        <f>Table_SourceData_Scope3_Feed[[#This Row],[Region of origin]]</f>
        <v>WA</v>
      </c>
      <c r="N144" s="30" t="s">
        <v>137</v>
      </c>
      <c r="O144" s="30" t="s">
        <v>947</v>
      </c>
      <c r="P144" s="1" t="str">
        <f>"Table_ProductRegions_" &amp; SUBSTITUTE(SUBSTITUTE(SUBSTITUTE(SUBSTITUTE(N145, " ", ""), ",", ""), "(", ""), ")", "")</f>
        <v>Table_ProductRegions_Pasturehay</v>
      </c>
    </row>
    <row r="145" spans="1:16" ht="20.100000000000001" customHeight="1" x14ac:dyDescent="0.25">
      <c r="A145"/>
      <c r="D145" s="30" t="str" cm="1">
        <f t="array" ref="D145">Common_InputFunctions.Utility_DisplayArrayInTable(Scope3_SourceData.Scope3_Feed_Data(), Table_SourceData_Scope3_Feed[[#Headers],[Category]], 0, 2)</f>
        <v>Hay</v>
      </c>
      <c r="E145" s="30" t="str" cm="1">
        <f t="array" ref="E145">Common_InputFunctions.Utility_DisplayArrayInTable(Scope3_SourceData.Scope3_Feed_Data(), Table_SourceData_Scope3_Feed[[#Headers],[Category]], 0, 2)</f>
        <v>Pasture hay</v>
      </c>
      <c r="F145" s="30" t="str" cm="1">
        <f t="array" ref="F145">Common_InputFunctions.Utility_DisplayArrayInTable(Scope3_SourceData.Scope3_Feed_Data(), Table_SourceData_Scope3_Feed[[#Headers],[Category]], 0, 2)</f>
        <v>Australia</v>
      </c>
      <c r="G145" s="30" t="str" cm="1">
        <f t="array" ref="G145">Common_InputFunctions.Utility_DisplayArrayInTable(Scope3_SourceData.Scope3_Feed_Data(), Table_SourceData_Scope3_Feed[[#Headers],[Category]], 0, 2)</f>
        <v>kg</v>
      </c>
      <c r="H145" s="30" cm="1">
        <f t="array" ref="H145">Common_InputFunctions.Utility_DisplayArrayInTable(Scope3_SourceData.Scope3_Feed_Data(), Table_SourceData_Scope3_Feed[[#Headers],[Category]], 0, 2)</f>
        <v>0.33900000000000002</v>
      </c>
      <c r="I145" s="30" t="str" cm="1">
        <f t="array" ref="I145">Common_InputFunctions.Utility_DisplayArrayInTable(Scope3_SourceData.Scope3_Feed_Data(), Table_SourceData_Scope3_Feed[[#Headers],[Category]], 0, 2)</f>
        <v>at market</v>
      </c>
      <c r="N145" s="30" t="str">
        <f>Table_SourceData_Scope3_Feed[[#This Row],[Product]]</f>
        <v>Pasture hay</v>
      </c>
      <c r="O145" s="30" t="str">
        <f>Table_SourceData_Scope3_Feed[[#This Row],[Region of origin]]</f>
        <v>Australia</v>
      </c>
    </row>
    <row r="146" spans="1:16" ht="20.100000000000001" customHeight="1" x14ac:dyDescent="0.25">
      <c r="A146"/>
      <c r="D146" s="30" t="str" cm="1">
        <f t="array" ref="D146">Common_InputFunctions.Utility_DisplayArrayInTable(Scope3_SourceData.Scope3_Feed_Data(), Table_SourceData_Scope3_Feed[[#Headers],[Category]], 0, 2)</f>
        <v>Hay</v>
      </c>
      <c r="E146" s="30" t="str" cm="1">
        <f t="array" ref="E146">Common_InputFunctions.Utility_DisplayArrayInTable(Scope3_SourceData.Scope3_Feed_Data(), Table_SourceData_Scope3_Feed[[#Headers],[Category]], 0, 2)</f>
        <v>Pasture hay</v>
      </c>
      <c r="F146" s="30" t="str" cm="1">
        <f t="array" ref="F146">Common_InputFunctions.Utility_DisplayArrayInTable(Scope3_SourceData.Scope3_Feed_Data(), Table_SourceData_Scope3_Feed[[#Headers],[Category]], 0, 2)</f>
        <v>NSW</v>
      </c>
      <c r="G146" s="30" t="str" cm="1">
        <f t="array" ref="G146">Common_InputFunctions.Utility_DisplayArrayInTable(Scope3_SourceData.Scope3_Feed_Data(), Table_SourceData_Scope3_Feed[[#Headers],[Category]], 0, 2)</f>
        <v>kg</v>
      </c>
      <c r="H146" s="30" cm="1">
        <f t="array" ref="H146">Common_InputFunctions.Utility_DisplayArrayInTable(Scope3_SourceData.Scope3_Feed_Data(), Table_SourceData_Scope3_Feed[[#Headers],[Category]], 0, 2)</f>
        <v>0.311</v>
      </c>
      <c r="I146" s="30" t="str" cm="1">
        <f t="array" ref="I146">Common_InputFunctions.Utility_DisplayArrayInTable(Scope3_SourceData.Scope3_Feed_Data(), Table_SourceData_Scope3_Feed[[#Headers],[Category]], 0, 2)</f>
        <v>at market</v>
      </c>
      <c r="N146" s="30" t="str">
        <f>Table_SourceData_Scope3_Feed[[#This Row],[Product]]</f>
        <v>Pasture hay</v>
      </c>
      <c r="O146" s="30" t="str">
        <f>Table_SourceData_Scope3_Feed[[#This Row],[Region of origin]]</f>
        <v>NSW</v>
      </c>
    </row>
    <row r="147" spans="1:16" ht="20.100000000000001" customHeight="1" x14ac:dyDescent="0.25">
      <c r="A147"/>
      <c r="D147" s="30" t="str" cm="1">
        <f t="array" ref="D147">Common_InputFunctions.Utility_DisplayArrayInTable(Scope3_SourceData.Scope3_Feed_Data(), Table_SourceData_Scope3_Feed[[#Headers],[Category]], 0, 2)</f>
        <v>Hay</v>
      </c>
      <c r="E147" s="30" t="str" cm="1">
        <f t="array" ref="E147">Common_InputFunctions.Utility_DisplayArrayInTable(Scope3_SourceData.Scope3_Feed_Data(), Table_SourceData_Scope3_Feed[[#Headers],[Category]], 0, 2)</f>
        <v>Pasture hay</v>
      </c>
      <c r="F147" s="30" t="str" cm="1">
        <f t="array" ref="F147">Common_InputFunctions.Utility_DisplayArrayInTable(Scope3_SourceData.Scope3_Feed_Data(), Table_SourceData_Scope3_Feed[[#Headers],[Category]], 0, 2)</f>
        <v>QLD</v>
      </c>
      <c r="G147" s="30" t="str" cm="1">
        <f t="array" ref="G147">Common_InputFunctions.Utility_DisplayArrayInTable(Scope3_SourceData.Scope3_Feed_Data(), Table_SourceData_Scope3_Feed[[#Headers],[Category]], 0, 2)</f>
        <v>kg</v>
      </c>
      <c r="H147" s="30" cm="1">
        <f t="array" ref="H147">Common_InputFunctions.Utility_DisplayArrayInTable(Scope3_SourceData.Scope3_Feed_Data(), Table_SourceData_Scope3_Feed[[#Headers],[Category]], 0, 2)</f>
        <v>0.254</v>
      </c>
      <c r="I147" s="30" t="str" cm="1">
        <f t="array" ref="I147">Common_InputFunctions.Utility_DisplayArrayInTable(Scope3_SourceData.Scope3_Feed_Data(), Table_SourceData_Scope3_Feed[[#Headers],[Category]], 0, 2)</f>
        <v>at market</v>
      </c>
      <c r="N147" s="30" t="str">
        <f>Table_SourceData_Scope3_Feed[[#This Row],[Product]]</f>
        <v>Pasture hay</v>
      </c>
      <c r="O147" s="30" t="str">
        <f>Table_SourceData_Scope3_Feed[[#This Row],[Region of origin]]</f>
        <v>QLD</v>
      </c>
    </row>
    <row r="148" spans="1:16" ht="20.100000000000001" customHeight="1" x14ac:dyDescent="0.25">
      <c r="A148"/>
      <c r="D148" s="30" t="str" cm="1">
        <f t="array" ref="D148">Common_InputFunctions.Utility_DisplayArrayInTable(Scope3_SourceData.Scope3_Feed_Data(), Table_SourceData_Scope3_Feed[[#Headers],[Category]], 0, 2)</f>
        <v>Hay</v>
      </c>
      <c r="E148" s="30" t="str" cm="1">
        <f t="array" ref="E148">Common_InputFunctions.Utility_DisplayArrayInTable(Scope3_SourceData.Scope3_Feed_Data(), Table_SourceData_Scope3_Feed[[#Headers],[Category]], 0, 2)</f>
        <v>Pasture hay</v>
      </c>
      <c r="F148" s="30" t="str" cm="1">
        <f t="array" ref="F148">Common_InputFunctions.Utility_DisplayArrayInTable(Scope3_SourceData.Scope3_Feed_Data(), Table_SourceData_Scope3_Feed[[#Headers],[Category]], 0, 2)</f>
        <v>SA</v>
      </c>
      <c r="G148" s="30" t="str" cm="1">
        <f t="array" ref="G148">Common_InputFunctions.Utility_DisplayArrayInTable(Scope3_SourceData.Scope3_Feed_Data(), Table_SourceData_Scope3_Feed[[#Headers],[Category]], 0, 2)</f>
        <v>kg</v>
      </c>
      <c r="H148" s="30" cm="1">
        <f t="array" ref="H148">Common_InputFunctions.Utility_DisplayArrayInTable(Scope3_SourceData.Scope3_Feed_Data(), Table_SourceData_Scope3_Feed[[#Headers],[Category]], 0, 2)</f>
        <v>0.313</v>
      </c>
      <c r="I148" s="30" t="str" cm="1">
        <f t="array" ref="I148">Common_InputFunctions.Utility_DisplayArrayInTable(Scope3_SourceData.Scope3_Feed_Data(), Table_SourceData_Scope3_Feed[[#Headers],[Category]], 0, 2)</f>
        <v>at market</v>
      </c>
      <c r="N148" s="30" t="str">
        <f>Table_SourceData_Scope3_Feed[[#This Row],[Product]]</f>
        <v>Pasture hay</v>
      </c>
      <c r="O148" s="30" t="str">
        <f>Table_SourceData_Scope3_Feed[[#This Row],[Region of origin]]</f>
        <v>SA</v>
      </c>
    </row>
    <row r="149" spans="1:16" ht="20.100000000000001" customHeight="1" x14ac:dyDescent="0.25">
      <c r="A149"/>
      <c r="D149" s="30" t="str" cm="1">
        <f t="array" ref="D149">Common_InputFunctions.Utility_DisplayArrayInTable(Scope3_SourceData.Scope3_Feed_Data(), Table_SourceData_Scope3_Feed[[#Headers],[Category]], 0, 2)</f>
        <v>Hay</v>
      </c>
      <c r="E149" s="30" t="str" cm="1">
        <f t="array" ref="E149">Common_InputFunctions.Utility_DisplayArrayInTable(Scope3_SourceData.Scope3_Feed_Data(), Table_SourceData_Scope3_Feed[[#Headers],[Category]], 0, 2)</f>
        <v>Pasture hay</v>
      </c>
      <c r="F149" s="30" t="str" cm="1">
        <f t="array" ref="F149">Common_InputFunctions.Utility_DisplayArrayInTable(Scope3_SourceData.Scope3_Feed_Data(), Table_SourceData_Scope3_Feed[[#Headers],[Category]], 0, 2)</f>
        <v>TAS</v>
      </c>
      <c r="G149" s="30" t="str" cm="1">
        <f t="array" ref="G149">Common_InputFunctions.Utility_DisplayArrayInTable(Scope3_SourceData.Scope3_Feed_Data(), Table_SourceData_Scope3_Feed[[#Headers],[Category]], 0, 2)</f>
        <v>kg</v>
      </c>
      <c r="H149" s="30" cm="1">
        <f t="array" ref="H149">Common_InputFunctions.Utility_DisplayArrayInTable(Scope3_SourceData.Scope3_Feed_Data(), Table_SourceData_Scope3_Feed[[#Headers],[Category]], 0, 2)</f>
        <v>0.39800000000000002</v>
      </c>
      <c r="I149" s="30" t="str" cm="1">
        <f t="array" ref="I149">Common_InputFunctions.Utility_DisplayArrayInTable(Scope3_SourceData.Scope3_Feed_Data(), Table_SourceData_Scope3_Feed[[#Headers],[Category]], 0, 2)</f>
        <v>at market</v>
      </c>
      <c r="N149" s="30" t="str">
        <f>Table_SourceData_Scope3_Feed[[#This Row],[Product]]</f>
        <v>Pasture hay</v>
      </c>
      <c r="O149" s="30" t="str">
        <f>Table_SourceData_Scope3_Feed[[#This Row],[Region of origin]]</f>
        <v>TAS</v>
      </c>
    </row>
    <row r="150" spans="1:16" ht="20.100000000000001" customHeight="1" x14ac:dyDescent="0.25">
      <c r="A150"/>
      <c r="D150" s="30" t="str" cm="1">
        <f t="array" ref="D150">Common_InputFunctions.Utility_DisplayArrayInTable(Scope3_SourceData.Scope3_Feed_Data(), Table_SourceData_Scope3_Feed[[#Headers],[Category]], 0, 2)</f>
        <v>Hay</v>
      </c>
      <c r="E150" s="30" t="str" cm="1">
        <f t="array" ref="E150">Common_InputFunctions.Utility_DisplayArrayInTable(Scope3_SourceData.Scope3_Feed_Data(), Table_SourceData_Scope3_Feed[[#Headers],[Category]], 0, 2)</f>
        <v>Pasture hay</v>
      </c>
      <c r="F150" s="30" t="str" cm="1">
        <f t="array" ref="F150">Common_InputFunctions.Utility_DisplayArrayInTable(Scope3_SourceData.Scope3_Feed_Data(), Table_SourceData_Scope3_Feed[[#Headers],[Category]], 0, 2)</f>
        <v>VIC</v>
      </c>
      <c r="G150" s="30" t="str" cm="1">
        <f t="array" ref="G150">Common_InputFunctions.Utility_DisplayArrayInTable(Scope3_SourceData.Scope3_Feed_Data(), Table_SourceData_Scope3_Feed[[#Headers],[Category]], 0, 2)</f>
        <v>kg</v>
      </c>
      <c r="H150" s="30" cm="1">
        <f t="array" ref="H150">Common_InputFunctions.Utility_DisplayArrayInTable(Scope3_SourceData.Scope3_Feed_Data(), Table_SourceData_Scope3_Feed[[#Headers],[Category]], 0, 2)</f>
        <v>0.34499999999999997</v>
      </c>
      <c r="I150" s="30" t="str" cm="1">
        <f t="array" ref="I150">Common_InputFunctions.Utility_DisplayArrayInTable(Scope3_SourceData.Scope3_Feed_Data(), Table_SourceData_Scope3_Feed[[#Headers],[Category]], 0, 2)</f>
        <v>at market</v>
      </c>
      <c r="N150" s="30" t="str">
        <f>Table_SourceData_Scope3_Feed[[#This Row],[Product]]</f>
        <v>Pasture hay</v>
      </c>
      <c r="O150" s="30" t="str">
        <f>Table_SourceData_Scope3_Feed[[#This Row],[Region of origin]]</f>
        <v>VIC</v>
      </c>
    </row>
    <row r="151" spans="1:16" ht="20.100000000000001" customHeight="1" x14ac:dyDescent="0.25">
      <c r="A151"/>
      <c r="D151" s="30" t="str" cm="1">
        <f t="array" ref="D151">Common_InputFunctions.Utility_DisplayArrayInTable(Scope3_SourceData.Scope3_Feed_Data(), Table_SourceData_Scope3_Feed[[#Headers],[Category]], 0, 2)</f>
        <v>Hay</v>
      </c>
      <c r="E151" s="30" t="str" cm="1">
        <f t="array" ref="E151">Common_InputFunctions.Utility_DisplayArrayInTable(Scope3_SourceData.Scope3_Feed_Data(), Table_SourceData_Scope3_Feed[[#Headers],[Category]], 0, 2)</f>
        <v>Pasture hay</v>
      </c>
      <c r="F151" s="30" t="str" cm="1">
        <f t="array" ref="F151">Common_InputFunctions.Utility_DisplayArrayInTable(Scope3_SourceData.Scope3_Feed_Data(), Table_SourceData_Scope3_Feed[[#Headers],[Category]], 0, 2)</f>
        <v>WA</v>
      </c>
      <c r="G151" s="30" t="str" cm="1">
        <f t="array" ref="G151">Common_InputFunctions.Utility_DisplayArrayInTable(Scope3_SourceData.Scope3_Feed_Data(), Table_SourceData_Scope3_Feed[[#Headers],[Category]], 0, 2)</f>
        <v>kg</v>
      </c>
      <c r="H151" s="30" cm="1">
        <f t="array" ref="H151">Common_InputFunctions.Utility_DisplayArrayInTable(Scope3_SourceData.Scope3_Feed_Data(), Table_SourceData_Scope3_Feed[[#Headers],[Category]], 0, 2)</f>
        <v>0.36799999999999999</v>
      </c>
      <c r="I151" s="30" t="str" cm="1">
        <f t="array" ref="I151">Common_InputFunctions.Utility_DisplayArrayInTable(Scope3_SourceData.Scope3_Feed_Data(), Table_SourceData_Scope3_Feed[[#Headers],[Category]], 0, 2)</f>
        <v>at market</v>
      </c>
      <c r="K151" s="258" t="s">
        <v>137</v>
      </c>
      <c r="L151" s="258" t="s">
        <v>947</v>
      </c>
      <c r="M151" s="1" t="str">
        <f>"Table_ProductRegions_" &amp; SUBSTITUTE(SUBSTITUTE(SUBSTITUTE(SUBSTITUTE(K152, " ", ""), ",", ""), "(", ""), ")", "")</f>
        <v>Table_ProductRegions_Canolameal</v>
      </c>
      <c r="N151" s="30" t="str">
        <f>Table_SourceData_Scope3_Feed[[#This Row],[Product]]</f>
        <v>Pasture hay</v>
      </c>
      <c r="O151" s="30" t="str">
        <f>Table_SourceData_Scope3_Feed[[#This Row],[Region of origin]]</f>
        <v>WA</v>
      </c>
    </row>
    <row r="152" spans="1:16" ht="20.100000000000001" customHeight="1" x14ac:dyDescent="0.25">
      <c r="A152"/>
      <c r="D152" s="30" t="str" cm="1">
        <f t="array" ref="D152">Common_InputFunctions.Utility_DisplayArrayInTable(Scope3_SourceData.Scope3_Feed_Data(), Table_SourceData_Scope3_Feed[[#Headers],[Category]], 0, 2)</f>
        <v>Meal</v>
      </c>
      <c r="E152" s="30" t="str" cm="1">
        <f t="array" ref="E152">Common_InputFunctions.Utility_DisplayArrayInTable(Scope3_SourceData.Scope3_Feed_Data(), Table_SourceData_Scope3_Feed[[#Headers],[Category]], 0, 2)</f>
        <v>Canola meal</v>
      </c>
      <c r="F152" s="30" t="str" cm="1">
        <f t="array" ref="F152">Common_InputFunctions.Utility_DisplayArrayInTable(Scope3_SourceData.Scope3_Feed_Data(), Table_SourceData_Scope3_Feed[[#Headers],[Category]], 0, 2)</f>
        <v>Australia</v>
      </c>
      <c r="G152" s="30" t="str" cm="1">
        <f t="array" ref="G152">Common_InputFunctions.Utility_DisplayArrayInTable(Scope3_SourceData.Scope3_Feed_Data(), Table_SourceData_Scope3_Feed[[#Headers],[Category]], 0, 2)</f>
        <v>kg</v>
      </c>
      <c r="H152" s="30" cm="1">
        <f t="array" ref="H152">Common_InputFunctions.Utility_DisplayArrayInTable(Scope3_SourceData.Scope3_Feed_Data(), Table_SourceData_Scope3_Feed[[#Headers],[Category]], 0, 2)</f>
        <v>0.24399999999999999</v>
      </c>
      <c r="I152" s="30" t="str" cm="1">
        <f t="array" ref="I152">Common_InputFunctions.Utility_DisplayArrayInTable(Scope3_SourceData.Scope3_Feed_Data(), Table_SourceData_Scope3_Feed[[#Headers],[Category]], 0, 2)</f>
        <v>at market</v>
      </c>
      <c r="K152" s="1" t="str">
        <f>Table_SourceData_Scope3_Feed[[#This Row],[Product]]</f>
        <v>Canola meal</v>
      </c>
      <c r="L152" s="1" t="str">
        <f>Table_SourceData_Scope3_Feed[[#This Row],[Region of origin]]</f>
        <v>Australia</v>
      </c>
      <c r="N152" s="30" t="s">
        <v>137</v>
      </c>
      <c r="O152" s="30" t="s">
        <v>947</v>
      </c>
      <c r="P152" s="1" t="str">
        <f>"Table_ProductRegions_" &amp; SUBSTITUTE(SUBSTITUTE(SUBSTITUTE(SUBSTITUTE(N153, " ", ""), ",", ""), "(", ""), ")", "")</f>
        <v>Table_ProductRegions_Meatmeal</v>
      </c>
    </row>
    <row r="153" spans="1:16" ht="20.100000000000001" customHeight="1" x14ac:dyDescent="0.25">
      <c r="A153"/>
      <c r="D153" s="30" t="str" cm="1">
        <f t="array" ref="D153">Common_InputFunctions.Utility_DisplayArrayInTable(Scope3_SourceData.Scope3_Feed_Data(), Table_SourceData_Scope3_Feed[[#Headers],[Category]], 0, 2)</f>
        <v>Meal</v>
      </c>
      <c r="E153" s="30" t="str" cm="1">
        <f t="array" ref="E153">Common_InputFunctions.Utility_DisplayArrayInTable(Scope3_SourceData.Scope3_Feed_Data(), Table_SourceData_Scope3_Feed[[#Headers],[Category]], 0, 2)</f>
        <v>Meat meal</v>
      </c>
      <c r="F153" s="30" t="str" cm="1">
        <f t="array" ref="F153">Common_InputFunctions.Utility_DisplayArrayInTable(Scope3_SourceData.Scope3_Feed_Data(), Table_SourceData_Scope3_Feed[[#Headers],[Category]], 0, 2)</f>
        <v>Australia</v>
      </c>
      <c r="G153" s="30" t="str" cm="1">
        <f t="array" ref="G153">Common_InputFunctions.Utility_DisplayArrayInTable(Scope3_SourceData.Scope3_Feed_Data(), Table_SourceData_Scope3_Feed[[#Headers],[Category]], 0, 2)</f>
        <v>kg</v>
      </c>
      <c r="H153" s="30" cm="1">
        <f t="array" ref="H153">Common_InputFunctions.Utility_DisplayArrayInTable(Scope3_SourceData.Scope3_Feed_Data(), Table_SourceData_Scope3_Feed[[#Headers],[Category]], 0, 2)</f>
        <v>0.40799999999999997</v>
      </c>
      <c r="I153" s="30" t="str" cm="1">
        <f t="array" ref="I153">Common_InputFunctions.Utility_DisplayArrayInTable(Scope3_SourceData.Scope3_Feed_Data(), Table_SourceData_Scope3_Feed[[#Headers],[Category]], 0, 2)</f>
        <v>at market</v>
      </c>
      <c r="K153" s="30" t="s">
        <v>137</v>
      </c>
      <c r="L153" s="30" t="s">
        <v>947</v>
      </c>
      <c r="M153" s="1" t="str">
        <f>"Table_ProductRegions_" &amp; SUBSTITUTE(SUBSTITUTE(SUBSTITUTE(SUBSTITUTE(K154, " ", ""), ",", ""), "(", ""), ")", "")</f>
        <v>Table_ProductRegions_Soybeanmeal</v>
      </c>
      <c r="N153" s="30" t="str">
        <f>Table_SourceData_Scope3_Feed[[#This Row],[Product]]</f>
        <v>Meat meal</v>
      </c>
      <c r="O153" s="30" t="str">
        <f>Table_SourceData_Scope3_Feed[[#This Row],[Region of origin]]</f>
        <v>Australia</v>
      </c>
    </row>
    <row r="154" spans="1:16" ht="20.100000000000001" customHeight="1" x14ac:dyDescent="0.25">
      <c r="A154"/>
      <c r="D154" s="30" t="str" cm="1">
        <f t="array" ref="D154">Common_InputFunctions.Utility_DisplayArrayInTable(Scope3_SourceData.Scope3_Feed_Data(), Table_SourceData_Scope3_Feed[[#Headers],[Category]], 0, 2)</f>
        <v>Meal</v>
      </c>
      <c r="E154" s="30" t="str" cm="1">
        <f t="array" ref="E154">Common_InputFunctions.Utility_DisplayArrayInTable(Scope3_SourceData.Scope3_Feed_Data(), Table_SourceData_Scope3_Feed[[#Headers],[Category]], 0, 2)</f>
        <v>Soybean meal</v>
      </c>
      <c r="F154" s="30" t="str" cm="1">
        <f t="array" ref="F154">Common_InputFunctions.Utility_DisplayArrayInTable(Scope3_SourceData.Scope3_Feed_Data(), Table_SourceData_Scope3_Feed[[#Headers],[Category]], 0, 2)</f>
        <v>Brazil</v>
      </c>
      <c r="G154" s="30" t="str" cm="1">
        <f t="array" ref="G154">Common_InputFunctions.Utility_DisplayArrayInTable(Scope3_SourceData.Scope3_Feed_Data(), Table_SourceData_Scope3_Feed[[#Headers],[Category]], 0, 2)</f>
        <v>kg</v>
      </c>
      <c r="H154" s="30" cm="1">
        <f t="array" ref="H154">Common_InputFunctions.Utility_DisplayArrayInTable(Scope3_SourceData.Scope3_Feed_Data(), Table_SourceData_Scope3_Feed[[#Headers],[Category]], 0, 2)</f>
        <v>0.42599999999999999</v>
      </c>
      <c r="I154" s="30" t="str" cm="1">
        <f t="array" ref="I154">Common_InputFunctions.Utility_DisplayArrayInTable(Scope3_SourceData.Scope3_Feed_Data(), Table_SourceData_Scope3_Feed[[#Headers],[Category]], 0, 2)</f>
        <v>at market</v>
      </c>
      <c r="K154" s="30" t="str">
        <f>Table_SourceData_Scope3_Feed[[#This Row],[Product]]</f>
        <v>Soybean meal</v>
      </c>
      <c r="L154" s="30" t="str">
        <f>Table_SourceData_Scope3_Feed[[#This Row],[Region of origin]]</f>
        <v>Brazil</v>
      </c>
      <c r="N154" s="30" t="s">
        <v>137</v>
      </c>
      <c r="O154" s="30" t="s">
        <v>947</v>
      </c>
      <c r="P154" s="1" t="str">
        <f>"Table_ProductRegions_" &amp; SUBSTITUTE(SUBSTITUTE(SUBSTITUTE(SUBSTITUTE(N155, " ", ""), ",", ""), "(", ""), ")", "")</f>
        <v>Table_ProductRegions_Wheatbran</v>
      </c>
    </row>
    <row r="155" spans="1:16" ht="20.100000000000001" customHeight="1" x14ac:dyDescent="0.25">
      <c r="A155"/>
      <c r="D155" s="30" t="str" cm="1">
        <f t="array" ref="D155">Common_InputFunctions.Utility_DisplayArrayInTable(Scope3_SourceData.Scope3_Feed_Data(), Table_SourceData_Scope3_Feed[[#Headers],[Category]], 0, 2)</f>
        <v>Meal</v>
      </c>
      <c r="E155" s="30" t="str" cm="1">
        <f t="array" ref="E155">Common_InputFunctions.Utility_DisplayArrayInTable(Scope3_SourceData.Scope3_Feed_Data(), Table_SourceData_Scope3_Feed[[#Headers],[Category]], 0, 2)</f>
        <v>Wheat bran</v>
      </c>
      <c r="F155" s="30" t="str" cm="1">
        <f t="array" ref="F155">Common_InputFunctions.Utility_DisplayArrayInTable(Scope3_SourceData.Scope3_Feed_Data(), Table_SourceData_Scope3_Feed[[#Headers],[Category]], 0, 2)</f>
        <v>Australia</v>
      </c>
      <c r="G155" s="30" t="str" cm="1">
        <f t="array" ref="G155">Common_InputFunctions.Utility_DisplayArrayInTable(Scope3_SourceData.Scope3_Feed_Data(), Table_SourceData_Scope3_Feed[[#Headers],[Category]], 0, 2)</f>
        <v>kg</v>
      </c>
      <c r="H155" s="30" cm="1">
        <f t="array" ref="H155">Common_InputFunctions.Utility_DisplayArrayInTable(Scope3_SourceData.Scope3_Feed_Data(), Table_SourceData_Scope3_Feed[[#Headers],[Category]], 0, 2)</f>
        <v>0.19600000000000001</v>
      </c>
      <c r="I155" s="30" t="str" cm="1">
        <f t="array" ref="I155">Common_InputFunctions.Utility_DisplayArrayInTable(Scope3_SourceData.Scope3_Feed_Data(), Table_SourceData_Scope3_Feed[[#Headers],[Category]], 0, 2)</f>
        <v>at market</v>
      </c>
      <c r="K155" s="30" t="s">
        <v>137</v>
      </c>
      <c r="L155" s="30" t="s">
        <v>947</v>
      </c>
      <c r="M155" s="1" t="str">
        <f>"Table_ProductRegions_" &amp; SUBSTITUTE(SUBSTITUTE(SUBSTITUTE(SUBSTITUTE(K156, " ", ""), ",", ""), "(", ""), ")", "")</f>
        <v>Table_ProductRegions_Bentonite</v>
      </c>
      <c r="N155" s="30" t="str">
        <f>Table_SourceData_Scope3_Feed[[#This Row],[Product]]</f>
        <v>Wheat bran</v>
      </c>
      <c r="O155" s="30" t="str">
        <f>Table_SourceData_Scope3_Feed[[#This Row],[Region of origin]]</f>
        <v>Australia</v>
      </c>
    </row>
    <row r="156" spans="1:16" ht="20.100000000000001" customHeight="1" x14ac:dyDescent="0.25">
      <c r="A156"/>
      <c r="D156" s="1" t="str" cm="1">
        <f t="array" ref="D156">Common_InputFunctions.Utility_DisplayArrayInTable(Scope3_SourceData.Scope3_Feed_Data(), Table_SourceData_Scope3_Feed[[#Headers],[Category]], -4, 2)</f>
        <v>Other</v>
      </c>
      <c r="E156" s="1" t="str" cm="1">
        <f t="array" ref="E156">Common_InputFunctions.Utility_DisplayArrayInTable(Scope3_SourceData.Scope3_Feed_Data(), Table_SourceData_Scope3_Feed[[#Headers],[Category]], -4, 2)</f>
        <v>Bentonite</v>
      </c>
      <c r="F156" s="1" t="str" cm="1">
        <f t="array" ref="F156">Common_InputFunctions.Utility_DisplayArrayInTable(Scope3_SourceData.Scope3_Feed_Data(), Table_SourceData_Scope3_Feed[[#Headers],[Category]], -4, 2)</f>
        <v>Australia</v>
      </c>
      <c r="G156" s="1" t="str" cm="1">
        <f t="array" ref="G156">Common_InputFunctions.Utility_DisplayArrayInTable(Scope3_SourceData.Scope3_Feed_Data(), Table_SourceData_Scope3_Feed[[#Headers],[Category]], -4, 2)</f>
        <v>kg</v>
      </c>
      <c r="H156" s="1" cm="1">
        <f t="array" ref="H156">Common_InputFunctions.Utility_DisplayArrayInTable(Scope3_SourceData.Scope3_Feed_Data(), Table_SourceData_Scope3_Feed[[#Headers],[Category]], -4, 2)</f>
        <v>6.5199999999999994E-2</v>
      </c>
      <c r="I156" s="1" t="str" cm="1">
        <f t="array" ref="I156">Common_InputFunctions.Utility_DisplayArrayInTable(Scope3_SourceData.Scope3_Feed_Data(), Table_SourceData_Scope3_Feed[[#Headers],[Category]], -4, 2)</f>
        <v>at market</v>
      </c>
      <c r="K156" s="30" t="str">
        <f>Table_SourceData_Scope3_Feed[[#This Row],[Product]]</f>
        <v>Bentonite</v>
      </c>
      <c r="L156" s="30" t="str">
        <f>Table_SourceData_Scope3_Feed[[#This Row],[Region of origin]]</f>
        <v>Australia</v>
      </c>
      <c r="N156" s="30" t="s">
        <v>137</v>
      </c>
      <c r="O156" s="30" t="s">
        <v>947</v>
      </c>
      <c r="P156" s="1" t="str">
        <f>"Table_ProductRegions_" &amp; SUBSTITUTE(SUBSTITUTE(SUBSTITUTE(SUBSTITUTE(N157, " ", ""), ",", ""), "(", ""), ")", "")</f>
        <v>Table_ProductRegions_Canolaoil</v>
      </c>
    </row>
    <row r="157" spans="1:16" ht="20.100000000000001" customHeight="1" x14ac:dyDescent="0.25">
      <c r="A157"/>
      <c r="D157" s="1" t="str" cm="1">
        <f t="array" ref="D157">Common_InputFunctions.Utility_DisplayArrayInTable(Scope3_SourceData.Scope3_Feed_Data(), Table_SourceData_Scope3_Feed[[#Headers],[Category]], -4, 2)</f>
        <v>Other</v>
      </c>
      <c r="E157" s="1" t="str" cm="1">
        <f t="array" ref="E157">Common_InputFunctions.Utility_DisplayArrayInTable(Scope3_SourceData.Scope3_Feed_Data(), Table_SourceData_Scope3_Feed[[#Headers],[Category]], -4, 2)</f>
        <v>Canola oil</v>
      </c>
      <c r="F157" s="1" t="str" cm="1">
        <f t="array" ref="F157">Common_InputFunctions.Utility_DisplayArrayInTable(Scope3_SourceData.Scope3_Feed_Data(), Table_SourceData_Scope3_Feed[[#Headers],[Category]], -4, 2)</f>
        <v>Australia</v>
      </c>
      <c r="G157" s="1" t="str" cm="1">
        <f t="array" ref="G157">Common_InputFunctions.Utility_DisplayArrayInTable(Scope3_SourceData.Scope3_Feed_Data(), Table_SourceData_Scope3_Feed[[#Headers],[Category]], -4, 2)</f>
        <v>kg</v>
      </c>
      <c r="H157" s="1" cm="1">
        <f t="array" ref="H157">Common_InputFunctions.Utility_DisplayArrayInTable(Scope3_SourceData.Scope3_Feed_Data(), Table_SourceData_Scope3_Feed[[#Headers],[Category]], -4, 2)</f>
        <v>0.87</v>
      </c>
      <c r="I157" s="1" t="str" cm="1">
        <f t="array" ref="I157">Common_InputFunctions.Utility_DisplayArrayInTable(Scope3_SourceData.Scope3_Feed_Data(), Table_SourceData_Scope3_Feed[[#Headers],[Category]], -4, 2)</f>
        <v>at market</v>
      </c>
      <c r="K157" s="30" t="s">
        <v>137</v>
      </c>
      <c r="L157" s="30" t="s">
        <v>947</v>
      </c>
      <c r="M157" s="1" t="str">
        <f>"Table_ProductRegions_" &amp; SUBSTITUTE(SUBSTITUTE(SUBSTITUTE(SUBSTITUTE(K158, " ", ""), ",", ""), "(", ""), ")", "")</f>
        <v>Table_ProductRegions_Cottonseed</v>
      </c>
      <c r="N157" s="30" t="str">
        <f>Table_SourceData_Scope3_Feed[[#This Row],[Product]]</f>
        <v>Canola oil</v>
      </c>
      <c r="O157" s="30" t="str">
        <f>Table_SourceData_Scope3_Feed[[#This Row],[Region of origin]]</f>
        <v>Australia</v>
      </c>
    </row>
    <row r="158" spans="1:16" ht="20.100000000000001" customHeight="1" x14ac:dyDescent="0.25">
      <c r="A158"/>
      <c r="D158" s="1" t="str" cm="1">
        <f t="array" ref="D158">Common_InputFunctions.Utility_DisplayArrayInTable(Scope3_SourceData.Scope3_Feed_Data(), Table_SourceData_Scope3_Feed[[#Headers],[Category]], -4, 2)</f>
        <v>Other</v>
      </c>
      <c r="E158" s="1" t="str" cm="1">
        <f t="array" ref="E158">Common_InputFunctions.Utility_DisplayArrayInTable(Scope3_SourceData.Scope3_Feed_Data(), Table_SourceData_Scope3_Feed[[#Headers],[Category]], -4, 2)</f>
        <v>Cotton seed</v>
      </c>
      <c r="F158" s="1" t="str" cm="1">
        <f t="array" ref="F158">Common_InputFunctions.Utility_DisplayArrayInTable(Scope3_SourceData.Scope3_Feed_Data(), Table_SourceData_Scope3_Feed[[#Headers],[Category]], -4, 2)</f>
        <v>Australia</v>
      </c>
      <c r="G158" s="1" t="str" cm="1">
        <f t="array" ref="G158">Common_InputFunctions.Utility_DisplayArrayInTable(Scope3_SourceData.Scope3_Feed_Data(), Table_SourceData_Scope3_Feed[[#Headers],[Category]], -4, 2)</f>
        <v>kg</v>
      </c>
      <c r="H158" s="1" cm="1">
        <f t="array" ref="H158">Common_InputFunctions.Utility_DisplayArrayInTable(Scope3_SourceData.Scope3_Feed_Data(), Table_SourceData_Scope3_Feed[[#Headers],[Category]], -4, 2)</f>
        <v>0.19700000000000001</v>
      </c>
      <c r="I158" s="1" t="str" cm="1">
        <f t="array" ref="I158">Common_InputFunctions.Utility_DisplayArrayInTable(Scope3_SourceData.Scope3_Feed_Data(), Table_SourceData_Scope3_Feed[[#Headers],[Category]], -4, 2)</f>
        <v>at market</v>
      </c>
      <c r="K158" s="30" t="str">
        <f>Table_SourceData_Scope3_Feed[[#This Row],[Product]]</f>
        <v>Cotton seed</v>
      </c>
      <c r="L158" s="30" t="str">
        <f>Table_SourceData_Scope3_Feed[[#This Row],[Region of origin]]</f>
        <v>Australia</v>
      </c>
      <c r="N158" s="30" t="s">
        <v>137</v>
      </c>
      <c r="O158" s="30" t="s">
        <v>947</v>
      </c>
      <c r="P158" s="1" t="str">
        <f>"Table_ProductRegions_" &amp; SUBSTITUTE(SUBSTITUTE(SUBSTITUTE(SUBSTITUTE(N159, " ", ""), ",", ""), "(", ""), ")", "")</f>
        <v>Table_ProductRegions_Molasses</v>
      </c>
    </row>
    <row r="159" spans="1:16" ht="20.100000000000001" customHeight="1" x14ac:dyDescent="0.25">
      <c r="A159"/>
      <c r="D159" s="1" t="str" cm="1">
        <f t="array" ref="D159">Common_InputFunctions.Utility_DisplayArrayInTable(Scope3_SourceData.Scope3_Feed_Data(), Table_SourceData_Scope3_Feed[[#Headers],[Category]], -7, 2)</f>
        <v>Other</v>
      </c>
      <c r="E159" s="1" t="str" cm="1">
        <f t="array" ref="E159">Common_InputFunctions.Utility_DisplayArrayInTable(Scope3_SourceData.Scope3_Feed_Data(), Table_SourceData_Scope3_Feed[[#Headers],[Category]], -7, 2)</f>
        <v>Molasses</v>
      </c>
      <c r="F159" s="1" t="str" cm="1">
        <f t="array" ref="F159">Common_InputFunctions.Utility_DisplayArrayInTable(Scope3_SourceData.Scope3_Feed_Data(), Table_SourceData_Scope3_Feed[[#Headers],[Category]], -7, 2)</f>
        <v>QLD</v>
      </c>
      <c r="G159" s="1" t="str" cm="1">
        <f t="array" ref="G159">Common_InputFunctions.Utility_DisplayArrayInTable(Scope3_SourceData.Scope3_Feed_Data(), Table_SourceData_Scope3_Feed[[#Headers],[Category]], -7, 2)</f>
        <v>kg</v>
      </c>
      <c r="H159" s="1" cm="1">
        <f t="array" ref="H159">Common_InputFunctions.Utility_DisplayArrayInTable(Scope3_SourceData.Scope3_Feed_Data(), Table_SourceData_Scope3_Feed[[#Headers],[Category]], -7, 2)</f>
        <v>0.184</v>
      </c>
      <c r="I159" s="1" t="str" cm="1">
        <f t="array" ref="I159">Common_InputFunctions.Utility_DisplayArrayInTable(Scope3_SourceData.Scope3_Feed_Data(), Table_SourceData_Scope3_Feed[[#Headers],[Category]], -7, 2)</f>
        <v>at market</v>
      </c>
      <c r="N159" s="30" t="str">
        <f>Table_SourceData_Scope3_Feed[[#This Row],[Product]]</f>
        <v>Molasses</v>
      </c>
      <c r="O159" s="30" t="str">
        <f>Table_SourceData_Scope3_Feed[[#This Row],[Region of origin]]</f>
        <v>QLD</v>
      </c>
    </row>
    <row r="160" spans="1:16" ht="20.100000000000001" customHeight="1" x14ac:dyDescent="0.25">
      <c r="A160"/>
    </row>
    <row r="161" spans="4:13" ht="20.100000000000001" customHeight="1" x14ac:dyDescent="0.25">
      <c r="D161" s="30" t="s">
        <v>942</v>
      </c>
      <c r="E161" s="30" t="s">
        <v>137</v>
      </c>
      <c r="F161" s="30" t="s">
        <v>943</v>
      </c>
      <c r="G161" s="30" t="s">
        <v>944</v>
      </c>
      <c r="H161" s="30" t="s">
        <v>945</v>
      </c>
      <c r="I161" s="30" t="s">
        <v>946</v>
      </c>
    </row>
    <row r="162" spans="4:13" ht="20.100000000000001" customHeight="1" x14ac:dyDescent="0.25">
      <c r="D162" s="30" t="str" cm="1">
        <f t="array" ref="D162">Common_InputFunctions.Utility_DisplayArrayInTable(Scope3_SourceData.Scope3_Feed_Data(), Table_SourceData_Scope3_MixedRations[[#Headers],[Category]], -66, 2)</f>
        <v>Mixed rations</v>
      </c>
      <c r="E162" s="30" t="str" cm="1">
        <f t="array" ref="E162">Common_InputFunctions.Utility_DisplayArrayInTable(Scope3_SourceData.Scope3_Feed_Data(), Table_SourceData_Scope3_MixedRations[[#Headers],[Category]], -66, 2)</f>
        <v>Feed for chickens</v>
      </c>
      <c r="F162" s="30" t="str" cm="1">
        <f t="array" ref="F162">Common_InputFunctions.Utility_DisplayArrayInTable(Scope3_SourceData.Scope3_Feed_Data(), Table_SourceData_Scope3_MixedRations[[#Headers],[Category]], -66, 2)</f>
        <v>Australia</v>
      </c>
      <c r="G162" s="30" t="str" cm="1">
        <f t="array" ref="G162">Common_InputFunctions.Utility_DisplayArrayInTable(Scope3_SourceData.Scope3_Feed_Data(), Table_SourceData_Scope3_MixedRations[[#Headers],[Category]], -66, 2)</f>
        <v>kg</v>
      </c>
      <c r="H162" s="30" cm="1">
        <f t="array" ref="H162">Common_InputFunctions.Utility_DisplayArrayInTable(Scope3_SourceData.Scope3_Feed_Data(), Table_SourceData_Scope3_MixedRations[[#Headers],[Category]], -66, 2)</f>
        <v>0.59399999999999997</v>
      </c>
      <c r="I162" s="30" t="str" cm="1">
        <f t="array" ref="I162">Common_InputFunctions.Utility_DisplayArrayInTable(Scope3_SourceData.Scope3_Feed_Data(), Table_SourceData_Scope3_MixedRations[[#Headers],[Category]], -66, 2)</f>
        <v>at market</v>
      </c>
    </row>
    <row r="163" spans="4:13" ht="20.100000000000001" customHeight="1" x14ac:dyDescent="0.25">
      <c r="D163" s="30" t="str" cm="1">
        <f t="array" ref="D163">Common_InputFunctions.Utility_DisplayArrayInTable(Scope3_SourceData.Scope3_Feed_Data(), Table_SourceData_Scope3_MixedRations[[#Headers],[Category]], -66, 2)</f>
        <v>Mixed rations</v>
      </c>
      <c r="E163" s="30" t="str" cm="1">
        <f t="array" ref="E163">Common_InputFunctions.Utility_DisplayArrayInTable(Scope3_SourceData.Scope3_Feed_Data(), Table_SourceData_Scope3_MixedRations[[#Headers],[Category]], -66, 2)</f>
        <v>Feed for dairy calves</v>
      </c>
      <c r="F163" s="30" t="str" cm="1">
        <f t="array" ref="F163">Common_InputFunctions.Utility_DisplayArrayInTable(Scope3_SourceData.Scope3_Feed_Data(), Table_SourceData_Scope3_MixedRations[[#Headers],[Category]], -66, 2)</f>
        <v>Australia</v>
      </c>
      <c r="G163" s="30" t="str" cm="1">
        <f t="array" ref="G163">Common_InputFunctions.Utility_DisplayArrayInTable(Scope3_SourceData.Scope3_Feed_Data(), Table_SourceData_Scope3_MixedRations[[#Headers],[Category]], -66, 2)</f>
        <v>kg</v>
      </c>
      <c r="H163" s="30" cm="1">
        <f t="array" ref="H163">Common_InputFunctions.Utility_DisplayArrayInTable(Scope3_SourceData.Scope3_Feed_Data(), Table_SourceData_Scope3_MixedRations[[#Headers],[Category]], -66, 2)</f>
        <v>0.41899999999999998</v>
      </c>
      <c r="I163" s="30" t="str" cm="1">
        <f t="array" ref="I163">Common_InputFunctions.Utility_DisplayArrayInTable(Scope3_SourceData.Scope3_Feed_Data(), Table_SourceData_Scope3_MixedRations[[#Headers],[Category]], -66, 2)</f>
        <v>at market</v>
      </c>
    </row>
    <row r="164" spans="4:13" ht="20.100000000000001" customHeight="1" x14ac:dyDescent="0.25">
      <c r="D164" s="30" t="str" cm="1">
        <f t="array" ref="D164">Common_InputFunctions.Utility_DisplayArrayInTable(Scope3_SourceData.Scope3_Feed_Data(), Table_SourceData_Scope3_MixedRations[[#Headers],[Category]], -66, 2)</f>
        <v>Mixed rations</v>
      </c>
      <c r="E164" s="30" t="str" cm="1">
        <f t="array" ref="E164">Common_InputFunctions.Utility_DisplayArrayInTable(Scope3_SourceData.Scope3_Feed_Data(), Table_SourceData_Scope3_MixedRations[[#Headers],[Category]], -66, 2)</f>
        <v>Feed for dairy cows</v>
      </c>
      <c r="F164" s="30" t="str" cm="1">
        <f t="array" ref="F164">Common_InputFunctions.Utility_DisplayArrayInTable(Scope3_SourceData.Scope3_Feed_Data(), Table_SourceData_Scope3_MixedRations[[#Headers],[Category]], -66, 2)</f>
        <v>Australia</v>
      </c>
      <c r="G164" s="30" t="str" cm="1">
        <f t="array" ref="G164">Common_InputFunctions.Utility_DisplayArrayInTable(Scope3_SourceData.Scope3_Feed_Data(), Table_SourceData_Scope3_MixedRations[[#Headers],[Category]], -66, 2)</f>
        <v>kg</v>
      </c>
      <c r="H164" s="30" cm="1">
        <f t="array" ref="H164">Common_InputFunctions.Utility_DisplayArrayInTable(Scope3_SourceData.Scope3_Feed_Data(), Table_SourceData_Scope3_MixedRations[[#Headers],[Category]], -66, 2)</f>
        <v>0.33300000000000002</v>
      </c>
      <c r="I164" s="30" t="str" cm="1">
        <f t="array" ref="I164">Common_InputFunctions.Utility_DisplayArrayInTable(Scope3_SourceData.Scope3_Feed_Data(), Table_SourceData_Scope3_MixedRations[[#Headers],[Category]], -66, 2)</f>
        <v>at market</v>
      </c>
    </row>
    <row r="165" spans="4:13" ht="20.100000000000001" customHeight="1" x14ac:dyDescent="0.25">
      <c r="D165" s="30" t="str" cm="1">
        <f t="array" ref="D165">Common_InputFunctions.Utility_DisplayArrayInTable(Scope3_SourceData.Scope3_Feed_Data(), Table_SourceData_Scope3_MixedRations[[#Headers],[Category]], -66, 2)</f>
        <v>Mixed rations</v>
      </c>
      <c r="E165" s="30" t="str" cm="1">
        <f t="array" ref="E165">Common_InputFunctions.Utility_DisplayArrayInTable(Scope3_SourceData.Scope3_Feed_Data(), Table_SourceData_Scope3_MixedRations[[#Headers],[Category]], -66, 2)</f>
        <v>Feed for pigs</v>
      </c>
      <c r="F165" s="30" t="str" cm="1">
        <f t="array" ref="F165">Common_InputFunctions.Utility_DisplayArrayInTable(Scope3_SourceData.Scope3_Feed_Data(), Table_SourceData_Scope3_MixedRations[[#Headers],[Category]], -66, 2)</f>
        <v>Australia</v>
      </c>
      <c r="G165" s="30" t="str" cm="1">
        <f t="array" ref="G165">Common_InputFunctions.Utility_DisplayArrayInTable(Scope3_SourceData.Scope3_Feed_Data(), Table_SourceData_Scope3_MixedRations[[#Headers],[Category]], -66, 2)</f>
        <v>kg</v>
      </c>
      <c r="H165" s="30" cm="1">
        <f t="array" ref="H165">Common_InputFunctions.Utility_DisplayArrayInTable(Scope3_SourceData.Scope3_Feed_Data(), Table_SourceData_Scope3_MixedRations[[#Headers],[Category]], -66, 2)</f>
        <v>0.40300000000000002</v>
      </c>
      <c r="I165" s="3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30" t="s">
        <v>942</v>
      </c>
      <c r="E167" s="30" t="s">
        <v>137</v>
      </c>
      <c r="F167" s="30" t="s">
        <v>943</v>
      </c>
      <c r="G167" s="30" t="s">
        <v>944</v>
      </c>
      <c r="H167" s="30" t="s">
        <v>945</v>
      </c>
      <c r="I167" s="30" t="s">
        <v>946</v>
      </c>
    </row>
    <row r="168" spans="4:13" ht="20.100000000000001" customHeight="1" x14ac:dyDescent="0.25">
      <c r="D168" s="30" t="str" cm="1">
        <f t="array" ref="D168">Common_InputFunctions.Utility_DisplayArrayInTable(Scope3_SourceData.Scope3_Feed_Data(), Table_SourceData_Scope3_LickBlocks[[#Headers],[Category]], -73, 2)</f>
        <v>Other</v>
      </c>
      <c r="E168" s="30" t="str" cm="1">
        <f t="array" ref="E168">Common_InputFunctions.Utility_DisplayArrayInTable(Scope3_SourceData.Scope3_Feed_Data(), Table_SourceData_Scope3_LickBlocks[[#Headers],[Category]], -73, 2)</f>
        <v>Lick block, dry season mix</v>
      </c>
      <c r="F168" s="30" t="str" cm="1">
        <f t="array" ref="F168">Common_InputFunctions.Utility_DisplayArrayInTable(Scope3_SourceData.Scope3_Feed_Data(), Table_SourceData_Scope3_LickBlocks[[#Headers],[Category]], -73, 2)</f>
        <v>Australia</v>
      </c>
      <c r="G168" s="30" t="str" cm="1">
        <f t="array" ref="G168">Common_InputFunctions.Utility_DisplayArrayInTable(Scope3_SourceData.Scope3_Feed_Data(), Table_SourceData_Scope3_LickBlocks[[#Headers],[Category]], -73, 2)</f>
        <v>kg</v>
      </c>
      <c r="H168" s="30" cm="1">
        <f t="array" ref="H168">Common_InputFunctions.Utility_DisplayArrayInTable(Scope3_SourceData.Scope3_Feed_Data(), Table_SourceData_Scope3_LickBlocks[[#Headers],[Category]], -73, 2)</f>
        <v>0.88100000000000001</v>
      </c>
      <c r="I168" s="30" t="str" cm="1">
        <f t="array" ref="I168">Common_InputFunctions.Utility_DisplayArrayInTable(Scope3_SourceData.Scope3_Feed_Data(), Table_SourceData_Scope3_LickBlocks[[#Headers],[Category]], -73, 2)</f>
        <v>at market</v>
      </c>
    </row>
    <row r="169" spans="4:13" ht="20.100000000000001" customHeight="1" x14ac:dyDescent="0.25">
      <c r="D169" s="30" t="str" cm="1">
        <f t="array" ref="D169">Common_InputFunctions.Utility_DisplayArrayInTable(Scope3_SourceData.Scope3_Feed_Data(), Table_SourceData_Scope3_LickBlocks[[#Headers],[Category]], -73, 2)</f>
        <v>Other</v>
      </c>
      <c r="E169" s="30" t="str" cm="1">
        <f t="array" ref="E169">Common_InputFunctions.Utility_DisplayArrayInTable(Scope3_SourceData.Scope3_Feed_Data(), Table_SourceData_Scope3_LickBlocks[[#Headers],[Category]], -73, 2)</f>
        <v>Lick block, mineral</v>
      </c>
      <c r="F169" s="30" t="str" cm="1">
        <f t="array" ref="F169">Common_InputFunctions.Utility_DisplayArrayInTable(Scope3_SourceData.Scope3_Feed_Data(), Table_SourceData_Scope3_LickBlocks[[#Headers],[Category]], -73, 2)</f>
        <v>Australia</v>
      </c>
      <c r="G169" s="30" t="str" cm="1">
        <f t="array" ref="G169">Common_InputFunctions.Utility_DisplayArrayInTable(Scope3_SourceData.Scope3_Feed_Data(), Table_SourceData_Scope3_LickBlocks[[#Headers],[Category]], -73, 2)</f>
        <v>kg</v>
      </c>
      <c r="H169" s="30" cm="1">
        <f t="array" ref="H169">Common_InputFunctions.Utility_DisplayArrayInTable(Scope3_SourceData.Scope3_Feed_Data(), Table_SourceData_Scope3_LickBlocks[[#Headers],[Category]], -73, 2)</f>
        <v>0.67700000000000005</v>
      </c>
      <c r="I169" s="30" t="str" cm="1">
        <f t="array" ref="I169">Common_InputFunctions.Utility_DisplayArrayInTable(Scope3_SourceData.Scope3_Feed_Data(), Table_SourceData_Scope3_LickBlocks[[#Headers],[Category]], -73, 2)</f>
        <v>at market</v>
      </c>
    </row>
    <row r="170" spans="4:13" ht="20.100000000000001" customHeight="1" x14ac:dyDescent="0.25">
      <c r="D170" s="30" t="str" cm="1">
        <f t="array" ref="D170">Common_InputFunctions.Utility_DisplayArrayInTable(Scope3_SourceData.Scope3_Feed_Data(), Table_SourceData_Scope3_LickBlocks[[#Headers],[Category]], -73, 2)</f>
        <v>Other</v>
      </c>
      <c r="E170" s="30" t="str" cm="1">
        <f t="array" ref="E170">Common_InputFunctions.Utility_DisplayArrayInTable(Scope3_SourceData.Scope3_Feed_Data(), Table_SourceData_Scope3_LickBlocks[[#Headers],[Category]], -73, 2)</f>
        <v>Lick block, weaner</v>
      </c>
      <c r="F170" s="30" t="str" cm="1">
        <f t="array" ref="F170">Common_InputFunctions.Utility_DisplayArrayInTable(Scope3_SourceData.Scope3_Feed_Data(), Table_SourceData_Scope3_LickBlocks[[#Headers],[Category]], -73, 2)</f>
        <v>Australia</v>
      </c>
      <c r="G170" s="30" t="str" cm="1">
        <f t="array" ref="G170">Common_InputFunctions.Utility_DisplayArrayInTable(Scope3_SourceData.Scope3_Feed_Data(), Table_SourceData_Scope3_LickBlocks[[#Headers],[Category]], -73, 2)</f>
        <v>kg</v>
      </c>
      <c r="H170" s="30" cm="1">
        <f t="array" ref="H170">Common_InputFunctions.Utility_DisplayArrayInTable(Scope3_SourceData.Scope3_Feed_Data(), Table_SourceData_Scope3_LickBlocks[[#Headers],[Category]], -73, 2)</f>
        <v>0.23100000000000001</v>
      </c>
      <c r="I170" s="3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2" t="s">
        <v>962</v>
      </c>
    </row>
    <row r="173" spans="4:13" ht="20.100000000000001" customHeight="1" x14ac:dyDescent="0.25">
      <c r="D173" s="30" t="s">
        <v>942</v>
      </c>
      <c r="E173" s="30" t="s">
        <v>137</v>
      </c>
      <c r="F173" s="30" t="s">
        <v>943</v>
      </c>
      <c r="G173" s="30" t="s">
        <v>329</v>
      </c>
      <c r="H173" s="30" t="s">
        <v>224</v>
      </c>
      <c r="I173" s="30" t="s">
        <v>225</v>
      </c>
      <c r="J173" s="30" t="s">
        <v>963</v>
      </c>
      <c r="K173" s="30" t="s">
        <v>944</v>
      </c>
      <c r="L173" s="30" t="s">
        <v>945</v>
      </c>
      <c r="M173" s="30" t="s">
        <v>946</v>
      </c>
    </row>
    <row r="174" spans="4:13" ht="20.100000000000001" customHeight="1" x14ac:dyDescent="0.25">
      <c r="D174" s="30" t="str" cm="1">
        <f t="array" ref="D174">Common_InputFunctions.Utility_DisplayArrayInTable(Scope3_SourceData.Scope3_InorganicFertilisers_Data(), Table_SourceData_Scope3_InorganicFertiliser[[#Headers],[Category]], 0, 2)</f>
        <v>Inorganic fertilisers</v>
      </c>
      <c r="E174" s="30" t="str" cm="1">
        <f t="array" ref="E174">Common_InputFunctions.Utility_DisplayArrayInTable(Scope3_SourceData.Scope3_InorganicFertilisers_Data(), Table_SourceData_Scope3_InorganicFertiliser[[#Headers],[Category]], 0, 2)</f>
        <v>Ammonia, AU market mix</v>
      </c>
      <c r="F174" s="30" t="str" cm="1">
        <f t="array" ref="F174">Common_InputFunctions.Utility_DisplayArrayInTable(Scope3_SourceData.Scope3_InorganicFertilisers_Data(), Table_SourceData_Scope3_InorganicFertiliser[[#Headers],[Category]], 0, 2)</f>
        <v>Global</v>
      </c>
      <c r="G174" s="30" t="str">
        <f>'Constants - Fertiliser'!$D$37</f>
        <v>Ammonia</v>
      </c>
      <c r="H174" s="30"/>
      <c r="I174" s="30" t="str">
        <f>'Constants - Fertiliser'!$V$20</f>
        <v>Global</v>
      </c>
      <c r="J174" s="30"/>
      <c r="K174" s="30" t="str" cm="1">
        <f t="array" ref="K174">Common_InputFunctions.Utility_DisplayArrayInTable(Scope3_SourceData.Scope3_InorganicFertilisers_Data(), Table_SourceData_Scope3_InorganicFertiliser[[#Headers],[Category]], 0, -2)</f>
        <v>kg</v>
      </c>
      <c r="L174" s="30" cm="1">
        <f t="array" ref="L174">Common_InputFunctions.Utility_DisplayArrayInTable(Scope3_SourceData.Scope3_InorganicFertilisers_Data(), Table_SourceData_Scope3_InorganicFertiliser[[#Headers],[Category]], 0, -2)</f>
        <v>2.3199999999999998</v>
      </c>
      <c r="M174" s="3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30" t="str" cm="1">
        <f t="array" ref="D175">Common_InputFunctions.Utility_DisplayArrayInTable(Scope3_SourceData.Scope3_InorganicFertilisers_Data(), Table_SourceData_Scope3_InorganicFertiliser[[#Headers],[Category]], 0, 2)</f>
        <v>Inorganic fertilisers</v>
      </c>
      <c r="E175" s="30" t="str" cm="1">
        <f t="array" ref="E175">Common_InputFunctions.Utility_DisplayArrayInTable(Scope3_SourceData.Scope3_InorganicFertilisers_Data(), Table_SourceData_Scope3_InorganicFertiliser[[#Headers],[Category]], 0, 2)</f>
        <v>Ammonia, Canada</v>
      </c>
      <c r="F175" s="30" t="str" cm="1">
        <f t="array" ref="F175">Common_InputFunctions.Utility_DisplayArrayInTable(Scope3_SourceData.Scope3_InorganicFertilisers_Data(), Table_SourceData_Scope3_InorganicFertiliser[[#Headers],[Category]], 0, 2)</f>
        <v>Canada</v>
      </c>
      <c r="G175" s="30" t="str">
        <f>'Constants - Fertiliser'!$D$37</f>
        <v>Ammonia</v>
      </c>
      <c r="H175" s="30"/>
      <c r="I175" s="30" t="str">
        <f>'Constants - Fertiliser'!$V$21</f>
        <v>Canada</v>
      </c>
      <c r="J175" s="30"/>
      <c r="K175" s="30" t="str" cm="1">
        <f t="array" ref="K175">Common_InputFunctions.Utility_DisplayArrayInTable(Scope3_SourceData.Scope3_InorganicFertilisers_Data(), Table_SourceData_Scope3_InorganicFertiliser[[#Headers],[Category]], 0, -2)</f>
        <v>kg</v>
      </c>
      <c r="L175" s="30" cm="1">
        <f t="array" ref="L175">Common_InputFunctions.Utility_DisplayArrayInTable(Scope3_SourceData.Scope3_InorganicFertilisers_Data(), Table_SourceData_Scope3_InorganicFertiliser[[#Headers],[Category]], 0, -2)</f>
        <v>2.12</v>
      </c>
      <c r="M175" s="3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30" t="str" cm="1">
        <f t="array" ref="D176">Common_InputFunctions.Utility_DisplayArrayInTable(Scope3_SourceData.Scope3_InorganicFertilisers_Data(), Table_SourceData_Scope3_InorganicFertiliser[[#Headers],[Category]], 0, 2)</f>
        <v>Inorganic fertilisers</v>
      </c>
      <c r="E176" s="30" t="str" cm="1">
        <f t="array" ref="E176">Common_InputFunctions.Utility_DisplayArrayInTable(Scope3_SourceData.Scope3_InorganicFertilisers_Data(), Table_SourceData_Scope3_InorganicFertiliser[[#Headers],[Category]], 0, 2)</f>
        <v>Ammonia, China</v>
      </c>
      <c r="F176" s="30" t="str" cm="1">
        <f t="array" ref="F176">Common_InputFunctions.Utility_DisplayArrayInTable(Scope3_SourceData.Scope3_InorganicFertilisers_Data(), Table_SourceData_Scope3_InorganicFertiliser[[#Headers],[Category]], 0, 2)</f>
        <v>China</v>
      </c>
      <c r="G176" s="30" t="str">
        <f>'Constants - Fertiliser'!$D$37</f>
        <v>Ammonia</v>
      </c>
      <c r="H176" s="30"/>
      <c r="I176" s="30" t="str">
        <f>'Constants - Fertiliser'!$V$22</f>
        <v>China</v>
      </c>
      <c r="J176" s="30"/>
      <c r="K176" s="30" t="str" cm="1">
        <f t="array" ref="K176">Common_InputFunctions.Utility_DisplayArrayInTable(Scope3_SourceData.Scope3_InorganicFertilisers_Data(), Table_SourceData_Scope3_InorganicFertiliser[[#Headers],[Category]], 0, -2)</f>
        <v>kg</v>
      </c>
      <c r="L176" s="30" cm="1">
        <f t="array" ref="L176">Common_InputFunctions.Utility_DisplayArrayInTable(Scope3_SourceData.Scope3_InorganicFertilisers_Data(), Table_SourceData_Scope3_InorganicFertiliser[[#Headers],[Category]], 0, -2)</f>
        <v>4.17</v>
      </c>
      <c r="M176" s="3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30" t="str" cm="1">
        <f t="array" ref="D177">Common_InputFunctions.Utility_DisplayArrayInTable(Scope3_SourceData.Scope3_InorganicFertilisers_Data(), Table_SourceData_Scope3_InorganicFertiliser[[#Headers],[Category]], 0, 2)</f>
        <v>Inorganic fertilisers</v>
      </c>
      <c r="E177" s="30" t="str" cm="1">
        <f t="array" ref="E177">Common_InputFunctions.Utility_DisplayArrayInTable(Scope3_SourceData.Scope3_InorganicFertilisers_Data(), Table_SourceData_Scope3_InorganicFertiliser[[#Headers],[Category]], 0, 2)</f>
        <v>Ammonia, Yemen</v>
      </c>
      <c r="F177" s="30" t="str" cm="1">
        <f t="array" ref="F177">Common_InputFunctions.Utility_DisplayArrayInTable(Scope3_SourceData.Scope3_InorganicFertilisers_Data(), Table_SourceData_Scope3_InorganicFertiliser[[#Headers],[Category]], 0, 2)</f>
        <v>Yemen</v>
      </c>
      <c r="G177" s="30" t="str">
        <f>'Constants - Fertiliser'!$D$37</f>
        <v>Ammonia</v>
      </c>
      <c r="H177" s="30"/>
      <c r="I177" s="30" t="str">
        <f>'Constants - Fertiliser'!$V$23</f>
        <v>Yemen</v>
      </c>
      <c r="J177" s="30"/>
      <c r="K177" s="30" t="str" cm="1">
        <f t="array" ref="K177">Common_InputFunctions.Utility_DisplayArrayInTable(Scope3_SourceData.Scope3_InorganicFertilisers_Data(), Table_SourceData_Scope3_InorganicFertiliser[[#Headers],[Category]], 0, -2)</f>
        <v>kg</v>
      </c>
      <c r="L177" s="30" cm="1">
        <f t="array" ref="L177">Common_InputFunctions.Utility_DisplayArrayInTable(Scope3_SourceData.Scope3_InorganicFertilisers_Data(), Table_SourceData_Scope3_InorganicFertiliser[[#Headers],[Category]], 0, -2)</f>
        <v>2.2599999999999998</v>
      </c>
      <c r="M177" s="3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30" t="str" cm="1">
        <f t="array" ref="D178">Common_InputFunctions.Utility_DisplayArrayInTable(Scope3_SourceData.Scope3_InorganicFertilisers_Data(), Table_SourceData_Scope3_InorganicFertiliser[[#Headers],[Category]], 0, 2)</f>
        <v>Inorganic fertilisers</v>
      </c>
      <c r="E178" s="30" t="str" cm="1">
        <f t="array" ref="E178">Common_InputFunctions.Utility_DisplayArrayInTable(Scope3_SourceData.Scope3_InorganicFertilisers_Data(), Table_SourceData_Scope3_InorganicFertiliser[[#Headers],[Category]], 0, 2)</f>
        <v>Ammonium nitrate, AU market mix</v>
      </c>
      <c r="F178" s="30" t="str" cm="1">
        <f t="array" ref="F178">Common_InputFunctions.Utility_DisplayArrayInTable(Scope3_SourceData.Scope3_InorganicFertilisers_Data(), Table_SourceData_Scope3_InorganicFertiliser[[#Headers],[Category]], 0, 2)</f>
        <v>Global</v>
      </c>
      <c r="G178" s="30" t="str">
        <f>'Constants - Fertiliser'!$D$25</f>
        <v>Ammonium nitrate (AN)</v>
      </c>
      <c r="H178" s="30"/>
      <c r="I178" s="30"/>
      <c r="J178" s="30"/>
      <c r="K178" s="30" t="str" cm="1">
        <f t="array" ref="K178">Common_InputFunctions.Utility_DisplayArrayInTable(Scope3_SourceData.Scope3_InorganicFertilisers_Data(), Table_SourceData_Scope3_InorganicFertiliser[[#Headers],[Category]], 0, -2)</f>
        <v>kg</v>
      </c>
      <c r="L178" s="30" cm="1">
        <f t="array" ref="L178">Common_InputFunctions.Utility_DisplayArrayInTable(Scope3_SourceData.Scope3_InorganicFertilisers_Data(), Table_SourceData_Scope3_InorganicFertiliser[[#Headers],[Category]], 0, -2)</f>
        <v>2.21</v>
      </c>
      <c r="M178" s="3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30" t="str" cm="1">
        <f t="array" ref="D179">Common_InputFunctions.Utility_DisplayArrayInTable(Scope3_SourceData.Scope3_InorganicFertilisers_Data(), Table_SourceData_Scope3_InorganicFertiliser[[#Headers],[Category]], 0, 2)</f>
        <v>Inorganic fertilisers</v>
      </c>
      <c r="E179" s="30" t="str" cm="1">
        <f t="array" ref="E179">Common_InputFunctions.Utility_DisplayArrayInTable(Scope3_SourceData.Scope3_InorganicFertilisers_Data(), Table_SourceData_Scope3_InorganicFertiliser[[#Headers],[Category]], 0, 2)</f>
        <v>Calcium ammonium nitrate, AU market mix</v>
      </c>
      <c r="F179" s="30" t="str" cm="1">
        <f t="array" ref="F179">Common_InputFunctions.Utility_DisplayArrayInTable(Scope3_SourceData.Scope3_InorganicFertilisers_Data(), Table_SourceData_Scope3_InorganicFertiliser[[#Headers],[Category]], 0, 2)</f>
        <v>Global</v>
      </c>
      <c r="G179" s="30" t="str">
        <f>'Constants - Fertiliser'!$D$26</f>
        <v>Calcium ammonium nitrate (CAN)</v>
      </c>
      <c r="H179" s="30"/>
      <c r="I179" s="30"/>
      <c r="J179" s="30"/>
      <c r="K179" s="30" t="str" cm="1">
        <f t="array" ref="K179">Common_InputFunctions.Utility_DisplayArrayInTable(Scope3_SourceData.Scope3_InorganicFertilisers_Data(), Table_SourceData_Scope3_InorganicFertiliser[[#Headers],[Category]], 0, -2)</f>
        <v>kg</v>
      </c>
      <c r="L179" s="30" cm="1">
        <f t="array" ref="L179">Common_InputFunctions.Utility_DisplayArrayInTable(Scope3_SourceData.Scope3_InorganicFertilisers_Data(), Table_SourceData_Scope3_InorganicFertiliser[[#Headers],[Category]], 0, -2)</f>
        <v>1.1499999999999999</v>
      </c>
      <c r="M179" s="3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30" t="str" cm="1">
        <f t="array" ref="D180">Common_InputFunctions.Utility_DisplayArrayInTable(Scope3_SourceData.Scope3_InorganicFertilisers_Data(), Table_SourceData_Scope3_InorganicFertiliser[[#Headers],[Category]], 0, 2)</f>
        <v>Inorganic fertilisers</v>
      </c>
      <c r="E180" s="30" t="str" cm="1">
        <f t="array" ref="E180">Common_InputFunctions.Utility_DisplayArrayInTable(Scope3_SourceData.Scope3_InorganicFertilisers_Data(), Table_SourceData_Scope3_InorganicFertiliser[[#Headers],[Category]], 0, 2)</f>
        <v>Calcium nitrate</v>
      </c>
      <c r="F180" s="30" t="str" cm="1">
        <f t="array" ref="F180">Common_InputFunctions.Utility_DisplayArrayInTable(Scope3_SourceData.Scope3_InorganicFertilisers_Data(), Table_SourceData_Scope3_InorganicFertiliser[[#Headers],[Category]], 0, 2)</f>
        <v>Global</v>
      </c>
      <c r="G180" s="30" t="str">
        <f>'Constants - Fertiliser'!$D$38</f>
        <v>Calcium nitrate</v>
      </c>
      <c r="H180" s="30"/>
      <c r="I180" s="30"/>
      <c r="J180" s="30"/>
      <c r="K180" s="30" t="str" cm="1">
        <f t="array" ref="K180">Common_InputFunctions.Utility_DisplayArrayInTable(Scope3_SourceData.Scope3_InorganicFertilisers_Data(), Table_SourceData_Scope3_InorganicFertiliser[[#Headers],[Category]], 0, -2)</f>
        <v>kg</v>
      </c>
      <c r="L180" s="30" cm="1">
        <f t="array" ref="L180">Common_InputFunctions.Utility_DisplayArrayInTable(Scope3_SourceData.Scope3_InorganicFertilisers_Data(), Table_SourceData_Scope3_InorganicFertiliser[[#Headers],[Category]], 0, -2)</f>
        <v>0.75</v>
      </c>
      <c r="M180" s="3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30" t="str" cm="1">
        <f t="array" ref="D181">Common_InputFunctions.Utility_DisplayArrayInTable(Scope3_SourceData.Scope3_InorganicFertilisers_Data(), Table_SourceData_Scope3_InorganicFertiliser[[#Headers],[Category]], 0, 2)</f>
        <v>Inorganic fertilisers</v>
      </c>
      <c r="E181" s="30" t="str" cm="1">
        <f t="array" ref="E181">Common_InputFunctions.Utility_DisplayArrayInTable(Scope3_SourceData.Scope3_InorganicFertilisers_Data(), Table_SourceData_Scope3_InorganicFertiliser[[#Headers],[Category]], 0, 2)</f>
        <v>Diammonium phosphate, AU market mix</v>
      </c>
      <c r="F181" s="30" t="str" cm="1">
        <f t="array" ref="F181">Common_InputFunctions.Utility_DisplayArrayInTable(Scope3_SourceData.Scope3_InorganicFertilisers_Data(), Table_SourceData_Scope3_InorganicFertiliser[[#Headers],[Category]], 0, 2)</f>
        <v>Global</v>
      </c>
      <c r="G181" s="30" t="str">
        <f>'Constants - Fertiliser'!$D$21</f>
        <v>Diammonium phosphate (DAP)</v>
      </c>
      <c r="H181" s="30"/>
      <c r="I181" s="30"/>
      <c r="J181" s="30"/>
      <c r="K181" s="30" t="str" cm="1">
        <f t="array" ref="K181">Common_InputFunctions.Utility_DisplayArrayInTable(Scope3_SourceData.Scope3_InorganicFertilisers_Data(), Table_SourceData_Scope3_InorganicFertiliser[[#Headers],[Category]], 0, -2)</f>
        <v>kg</v>
      </c>
      <c r="L181" s="30" cm="1">
        <f t="array" ref="L181">Common_InputFunctions.Utility_DisplayArrayInTable(Scope3_SourceData.Scope3_InorganicFertilisers_Data(), Table_SourceData_Scope3_InorganicFertiliser[[#Headers],[Category]], 0, -2)</f>
        <v>1.34</v>
      </c>
      <c r="M181" s="3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30" t="str" cm="1">
        <f t="array" ref="D182">Common_InputFunctions.Utility_DisplayArrayInTable(Scope3_SourceData.Scope3_InorganicFertilisers_Data(), Table_SourceData_Scope3_InorganicFertiliser[[#Headers],[Category]], 0, 2)</f>
        <v>Inorganic fertilisers</v>
      </c>
      <c r="E182" s="30" t="str" cm="1">
        <f t="array" ref="E182">Common_InputFunctions.Utility_DisplayArrayInTable(Scope3_SourceData.Scope3_InorganicFertilisers_Data(), Table_SourceData_Scope3_InorganicFertiliser[[#Headers],[Category]], 0, 2)</f>
        <v>Double superphosphate, AU market mix</v>
      </c>
      <c r="F182" s="30" t="str" cm="1">
        <f t="array" ref="F182">Common_InputFunctions.Utility_DisplayArrayInTable(Scope3_SourceData.Scope3_InorganicFertilisers_Data(), Table_SourceData_Scope3_InorganicFertiliser[[#Headers],[Category]], 0, 2)</f>
        <v>Global</v>
      </c>
      <c r="G182" s="30" t="str">
        <f>'Constants - Fertiliser'!$D$35</f>
        <v>Double superphosphate</v>
      </c>
      <c r="H182" s="30"/>
      <c r="I182" s="30"/>
      <c r="J182" s="30"/>
      <c r="K182" s="30" t="str" cm="1">
        <f t="array" ref="K182">Common_InputFunctions.Utility_DisplayArrayInTable(Scope3_SourceData.Scope3_InorganicFertilisers_Data(), Table_SourceData_Scope3_InorganicFertiliser[[#Headers],[Category]], 0, -2)</f>
        <v>kg</v>
      </c>
      <c r="L182" s="30" cm="1">
        <f t="array" ref="L182">Common_InputFunctions.Utility_DisplayArrayInTable(Scope3_SourceData.Scope3_InorganicFertilisers_Data(), Table_SourceData_Scope3_InorganicFertiliser[[#Headers],[Category]], 0, -2)</f>
        <v>0.39200000000000002</v>
      </c>
      <c r="M182" s="3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30" t="str" cm="1">
        <f t="array" ref="D183">Common_InputFunctions.Utility_DisplayArrayInTable(Scope3_SourceData.Scope3_InorganicFertilisers_Data(), Table_SourceData_Scope3_InorganicFertiliser[[#Headers],[Category]], 0, 2)</f>
        <v>Inorganic fertilisers</v>
      </c>
      <c r="E183" s="30" t="str" cm="1">
        <f t="array" ref="E183">Common_InputFunctions.Utility_DisplayArrayInTable(Scope3_SourceData.Scope3_InorganicFertilisers_Data(), Table_SourceData_Scope3_InorganicFertiliser[[#Headers],[Category]], 0, 2)</f>
        <v>Monoammonium phosphate, AU market mix</v>
      </c>
      <c r="F183" s="30" t="str" cm="1">
        <f t="array" ref="F183">Common_InputFunctions.Utility_DisplayArrayInTable(Scope3_SourceData.Scope3_InorganicFertilisers_Data(), Table_SourceData_Scope3_InorganicFertiliser[[#Headers],[Category]], 0, 2)</f>
        <v>Global</v>
      </c>
      <c r="G183" s="30" t="str">
        <f>'Constants - Fertiliser'!$D$20</f>
        <v>Monoammonium phosphate (MAP)</v>
      </c>
      <c r="H183" s="30"/>
      <c r="I183" s="30"/>
      <c r="J183" s="30"/>
      <c r="K183" s="30" t="str" cm="1">
        <f t="array" ref="K183">Common_InputFunctions.Utility_DisplayArrayInTable(Scope3_SourceData.Scope3_InorganicFertilisers_Data(), Table_SourceData_Scope3_InorganicFertiliser[[#Headers],[Category]], 0, -2)</f>
        <v>kg</v>
      </c>
      <c r="L183" s="30" cm="1">
        <f t="array" ref="L183">Common_InputFunctions.Utility_DisplayArrayInTable(Scope3_SourceData.Scope3_InorganicFertilisers_Data(), Table_SourceData_Scope3_InorganicFertiliser[[#Headers],[Category]], 0, -2)</f>
        <v>0.82699999999999996</v>
      </c>
      <c r="M183" s="3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30" t="str" cm="1">
        <f t="array" ref="D184">Common_InputFunctions.Utility_DisplayArrayInTable(Scope3_SourceData.Scope3_InorganicFertilisers_Data(), Table_SourceData_Scope3_InorganicFertiliser[[#Headers],[Category]], 0, 2)</f>
        <v>Inorganic fertilisers</v>
      </c>
      <c r="E184" s="30" t="str" cm="1">
        <f t="array" ref="E184">Common_InputFunctions.Utility_DisplayArrayInTable(Scope3_SourceData.Scope3_InorganicFertilisers_Data(), Table_SourceData_Scope3_InorganicFertiliser[[#Headers],[Category]], 0, 2)</f>
        <v>Muriate of potash, AU market mix</v>
      </c>
      <c r="F184" s="30" t="str" cm="1">
        <f t="array" ref="F184">Common_InputFunctions.Utility_DisplayArrayInTable(Scope3_SourceData.Scope3_InorganicFertilisers_Data(), Table_SourceData_Scope3_InorganicFertiliser[[#Headers],[Category]], 0, 2)</f>
        <v>Global</v>
      </c>
      <c r="G184" s="30" t="str">
        <f>'Constants - Fertiliser'!$D$34</f>
        <v>Muriate of potash (MOP)</v>
      </c>
      <c r="H184" s="30"/>
      <c r="I184" s="30"/>
      <c r="J184" s="30"/>
      <c r="K184" s="30" t="str" cm="1">
        <f t="array" ref="K184">Common_InputFunctions.Utility_DisplayArrayInTable(Scope3_SourceData.Scope3_InorganicFertilisers_Data(), Table_SourceData_Scope3_InorganicFertiliser[[#Headers],[Category]], 0, -2)</f>
        <v>kg</v>
      </c>
      <c r="L184" s="30" cm="1">
        <f t="array" ref="L184">Common_InputFunctions.Utility_DisplayArrayInTable(Scope3_SourceData.Scope3_InorganicFertilisers_Data(), Table_SourceData_Scope3_InorganicFertiliser[[#Headers],[Category]], 0, -2)</f>
        <v>0.54900000000000004</v>
      </c>
      <c r="M184" s="3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30" t="str" cm="1">
        <f t="array" ref="D185">Common_InputFunctions.Utility_DisplayArrayInTable(Scope3_SourceData.Scope3_InorganicFertilisers_Data(), Table_SourceData_Scope3_InorganicFertiliser[[#Headers],[Category]], 0, 2)</f>
        <v>Inorganic fertilisers</v>
      </c>
      <c r="E185" s="30" t="str" cm="1">
        <f t="array" ref="E185">Common_InputFunctions.Utility_DisplayArrayInTable(Scope3_SourceData.Scope3_InorganicFertilisers_Data(), Table_SourceData_Scope3_InorganicFertiliser[[#Headers],[Category]], 0, 2)</f>
        <v>Nitrogen from ammonia, AU market mix</v>
      </c>
      <c r="F185" s="30" t="str" cm="1">
        <f t="array" ref="F185">Common_InputFunctions.Utility_DisplayArrayInTable(Scope3_SourceData.Scope3_InorganicFertilisers_Data(), Table_SourceData_Scope3_InorganicFertiliser[[#Headers],[Category]], 0, 2)</f>
        <v>Global</v>
      </c>
      <c r="G185" s="30" t="str">
        <f>'Constants - Fertiliser'!$D$27</f>
        <v>Nitrogen - Ammoniacal</v>
      </c>
      <c r="H185" s="30"/>
      <c r="I185" s="30"/>
      <c r="J185" s="30"/>
      <c r="K185" s="30" t="str" cm="1">
        <f t="array" ref="K185">Common_InputFunctions.Utility_DisplayArrayInTable(Scope3_SourceData.Scope3_InorganicFertilisers_Data(), Table_SourceData_Scope3_InorganicFertiliser[[#Headers],[Category]], 0, -2)</f>
        <v>kg N</v>
      </c>
      <c r="L185" s="30" cm="1">
        <f t="array" ref="L185">Common_InputFunctions.Utility_DisplayArrayInTable(Scope3_SourceData.Scope3_InorganicFertilisers_Data(), Table_SourceData_Scope3_InorganicFertiliser[[#Headers],[Category]], 0, -2)</f>
        <v>2.83</v>
      </c>
      <c r="M185" s="30" t="str" cm="1">
        <f t="array" ref="M185">Common_InputFunctions.Utility_DisplayArrayInTable(Scope3_SourceData.Scope3_InorganicFertilisers_Data(), Table_SourceData_Scope3_InorganicFertiliser[[#Headers],[Category]], 0, -2)</f>
        <v>at market</v>
      </c>
      <c r="N185" s="30"/>
      <c r="O185" s="30"/>
      <c r="P185" s="30"/>
    </row>
    <row r="186" spans="4:16" ht="20.100000000000001" customHeight="1" x14ac:dyDescent="0.25">
      <c r="D186" s="30" t="str" cm="1">
        <f t="array" ref="D186">Common_InputFunctions.Utility_DisplayArrayInTable(Scope3_SourceData.Scope3_InorganicFertilisers_Data(), Table_SourceData_Scope3_InorganicFertiliser[[#Headers],[Category]], 0, 2)</f>
        <v>Inorganic fertilisers</v>
      </c>
      <c r="E186" s="30" t="str" cm="1">
        <f t="array" ref="E186">Common_InputFunctions.Utility_DisplayArrayInTable(Scope3_SourceData.Scope3_InorganicFertilisers_Data(), Table_SourceData_Scope3_InorganicFertiliser[[#Headers],[Category]], 0, 2)</f>
        <v>Nitrogen from fertilizer, AU market mix</v>
      </c>
      <c r="F186" s="30" t="str" cm="1">
        <f t="array" ref="F186">Common_InputFunctions.Utility_DisplayArrayInTable(Scope3_SourceData.Scope3_InorganicFertilisers_Data(), Table_SourceData_Scope3_InorganicFertiliser[[#Headers],[Category]], 0, 2)</f>
        <v>Global</v>
      </c>
      <c r="G186" s="30" t="str">
        <f>'Constants - Fertiliser'!$D$29</f>
        <v>Nitrogen - Generic</v>
      </c>
      <c r="H186" s="30"/>
      <c r="I186" s="30"/>
      <c r="J186" s="30"/>
      <c r="K186" s="30" t="str" cm="1">
        <f t="array" ref="K186">Common_InputFunctions.Utility_DisplayArrayInTable(Scope3_SourceData.Scope3_InorganicFertilisers_Data(), Table_SourceData_Scope3_InorganicFertiliser[[#Headers],[Category]], 0, -2)</f>
        <v>kg N</v>
      </c>
      <c r="L186" s="30" cm="1">
        <f t="array" ref="L186">Common_InputFunctions.Utility_DisplayArrayInTable(Scope3_SourceData.Scope3_InorganicFertilisers_Data(), Table_SourceData_Scope3_InorganicFertiliser[[#Headers],[Category]], 0, -2)</f>
        <v>4.2</v>
      </c>
      <c r="M186" s="30" t="str" cm="1">
        <f t="array" ref="M186">Common_InputFunctions.Utility_DisplayArrayInTable(Scope3_SourceData.Scope3_InorganicFertilisers_Data(), Table_SourceData_Scope3_InorganicFertiliser[[#Headers],[Category]], 0, -2)</f>
        <v>at market</v>
      </c>
      <c r="N186" s="30"/>
      <c r="O186" s="30"/>
      <c r="P186" s="30"/>
    </row>
    <row r="187" spans="4:16" ht="20.100000000000001" customHeight="1" x14ac:dyDescent="0.25">
      <c r="D187" s="30" t="str" cm="1">
        <f t="array" ref="D187">Common_InputFunctions.Utility_DisplayArrayInTable(Scope3_SourceData.Scope3_InorganicFertilisers_Data(), Table_SourceData_Scope3_InorganicFertiliser[[#Headers],[Category]], 0, 2)</f>
        <v>Inorganic fertilisers</v>
      </c>
      <c r="E187" s="30" t="str" cm="1">
        <f t="array" ref="E187">Common_InputFunctions.Utility_DisplayArrayInTable(Scope3_SourceData.Scope3_InorganicFertilisers_Data(), Table_SourceData_Scope3_InorganicFertiliser[[#Headers],[Category]], 0, 2)</f>
        <v>Nitrogen from nitrate fertilizer, AU market mix</v>
      </c>
      <c r="F187" s="30" t="str" cm="1">
        <f t="array" ref="F187">Common_InputFunctions.Utility_DisplayArrayInTable(Scope3_SourceData.Scope3_InorganicFertilisers_Data(), Table_SourceData_Scope3_InorganicFertiliser[[#Headers],[Category]], 0, 2)</f>
        <v>Global</v>
      </c>
      <c r="G187" s="30" t="str">
        <f>'Constants - Fertiliser'!$D$28</f>
        <v>Nitrogen - Nitrate</v>
      </c>
      <c r="H187" s="30"/>
      <c r="I187" s="30"/>
      <c r="J187" s="30"/>
      <c r="K187" s="30" t="str" cm="1">
        <f t="array" ref="K187">Common_InputFunctions.Utility_DisplayArrayInTable(Scope3_SourceData.Scope3_InorganicFertilisers_Data(), Table_SourceData_Scope3_InorganicFertiliser[[#Headers],[Category]], 0, -2)</f>
        <v>kg N</v>
      </c>
      <c r="L187" s="30" cm="1">
        <f t="array" ref="L187">Common_InputFunctions.Utility_DisplayArrayInTable(Scope3_SourceData.Scope3_InorganicFertilisers_Data(), Table_SourceData_Scope3_InorganicFertiliser[[#Headers],[Category]], 0, -2)</f>
        <v>5.47</v>
      </c>
      <c r="M187" s="30" t="str" cm="1">
        <f t="array" ref="M187">Common_InputFunctions.Utility_DisplayArrayInTable(Scope3_SourceData.Scope3_InorganicFertilisers_Data(), Table_SourceData_Scope3_InorganicFertiliser[[#Headers],[Category]], 0, -2)</f>
        <v>at market</v>
      </c>
      <c r="N187" s="30"/>
      <c r="O187" s="30"/>
      <c r="P187" s="30"/>
    </row>
    <row r="188" spans="4:16" ht="20.100000000000001" customHeight="1" x14ac:dyDescent="0.25">
      <c r="D188" s="30" t="str" cm="1">
        <f t="array" ref="D188">Common_InputFunctions.Utility_DisplayArrayInTable(Scope3_SourceData.Scope3_InorganicFertilisers_Data(), Table_SourceData_Scope3_InorganicFertiliser[[#Headers],[Category]], 0, 2)</f>
        <v>Inorganic fertilisers</v>
      </c>
      <c r="E188" s="30" t="str" cm="1">
        <f t="array" ref="E188">Common_InputFunctions.Utility_DisplayArrayInTable(Scope3_SourceData.Scope3_InorganicFertilisers_Data(), Table_SourceData_Scope3_InorganicFertiliser[[#Headers],[Category]], 0, 2)</f>
        <v>Phosphorus from fertilizer, AU market mix</v>
      </c>
      <c r="F188" s="30" t="str" cm="1">
        <f t="array" ref="F188">Common_InputFunctions.Utility_DisplayArrayInTable(Scope3_SourceData.Scope3_InorganicFertilisers_Data(), Table_SourceData_Scope3_InorganicFertiliser[[#Headers],[Category]], 0, 2)</f>
        <v>Global</v>
      </c>
      <c r="G188" s="30" t="str">
        <f>'Constants - Fertiliser'!$D$30</f>
        <v>Phosphorus - Generic</v>
      </c>
      <c r="H188" s="30"/>
      <c r="I188" s="30"/>
      <c r="J188" s="30"/>
      <c r="K188" s="30" t="str" cm="1">
        <f t="array" ref="K188">Common_InputFunctions.Utility_DisplayArrayInTable(Scope3_SourceData.Scope3_InorganicFertilisers_Data(), Table_SourceData_Scope3_InorganicFertiliser[[#Headers],[Category]], 0, -2)</f>
        <v>kg P</v>
      </c>
      <c r="L188" s="30" cm="1">
        <f t="array" ref="L188">Common_InputFunctions.Utility_DisplayArrayInTable(Scope3_SourceData.Scope3_InorganicFertilisers_Data(), Table_SourceData_Scope3_InorganicFertiliser[[#Headers],[Category]], 0, -2)</f>
        <v>3.96</v>
      </c>
      <c r="M188" s="30" t="str" cm="1">
        <f t="array" ref="M188">Common_InputFunctions.Utility_DisplayArrayInTable(Scope3_SourceData.Scope3_InorganicFertilisers_Data(), Table_SourceData_Scope3_InorganicFertiliser[[#Headers],[Category]], 0, -2)</f>
        <v>at market</v>
      </c>
      <c r="N188" s="30"/>
      <c r="O188" s="30"/>
      <c r="P188" s="30"/>
    </row>
    <row r="189" spans="4:16" ht="20.100000000000001" customHeight="1" x14ac:dyDescent="0.25">
      <c r="D189" s="30" t="str" cm="1">
        <f t="array" ref="D189">Common_InputFunctions.Utility_DisplayArrayInTable(Scope3_SourceData.Scope3_InorganicFertilisers_Data(), Table_SourceData_Scope3_InorganicFertiliser[[#Headers],[Category]], 0, 2)</f>
        <v>Inorganic fertilisers</v>
      </c>
      <c r="E189" s="30" t="str" cm="1">
        <f t="array" ref="E189">Common_InputFunctions.Utility_DisplayArrayInTable(Scope3_SourceData.Scope3_InorganicFertilisers_Data(), Table_SourceData_Scope3_InorganicFertiliser[[#Headers],[Category]], 0, 2)</f>
        <v>Potassium from fertilizer, AU market mix</v>
      </c>
      <c r="F189" s="30" t="str" cm="1">
        <f t="array" ref="F189">Common_InputFunctions.Utility_DisplayArrayInTable(Scope3_SourceData.Scope3_InorganicFertilisers_Data(), Table_SourceData_Scope3_InorganicFertiliser[[#Headers],[Category]], 0, 2)</f>
        <v>Global</v>
      </c>
      <c r="G189" s="30" t="str">
        <f>'Constants - Fertiliser'!$D$31</f>
        <v>Potassium - Generic</v>
      </c>
      <c r="H189" s="30"/>
      <c r="I189" s="30"/>
      <c r="J189" s="30"/>
      <c r="K189" s="30" t="str" cm="1">
        <f t="array" ref="K189">Common_InputFunctions.Utility_DisplayArrayInTable(Scope3_SourceData.Scope3_InorganicFertilisers_Data(), Table_SourceData_Scope3_InorganicFertiliser[[#Headers],[Category]], 0, -2)</f>
        <v>kg K</v>
      </c>
      <c r="L189" s="30" cm="1">
        <f t="array" ref="L189">Common_InputFunctions.Utility_DisplayArrayInTable(Scope3_SourceData.Scope3_InorganicFertilisers_Data(), Table_SourceData_Scope3_InorganicFertiliser[[#Headers],[Category]], 0, -2)</f>
        <v>0.90900000000000003</v>
      </c>
      <c r="M189" s="30" t="str" cm="1">
        <f t="array" ref="M189">Common_InputFunctions.Utility_DisplayArrayInTable(Scope3_SourceData.Scope3_InorganicFertilisers_Data(), Table_SourceData_Scope3_InorganicFertiliser[[#Headers],[Category]], 0, -2)</f>
        <v>at market</v>
      </c>
      <c r="N189" s="30"/>
      <c r="O189" s="30"/>
      <c r="P189" s="30"/>
    </row>
    <row r="190" spans="4:16" ht="20.100000000000001" customHeight="1" x14ac:dyDescent="0.25">
      <c r="D190" s="30" t="str" cm="1">
        <f t="array" ref="D190">Common_InputFunctions.Utility_DisplayArrayInTable(Scope3_SourceData.Scope3_InorganicFertilisers_Data(), Table_SourceData_Scope3_InorganicFertiliser[[#Headers],[Category]], 0, 2)</f>
        <v>Inorganic fertilisers</v>
      </c>
      <c r="E190" s="30" t="str" cm="1">
        <f t="array" ref="E190">Common_InputFunctions.Utility_DisplayArrayInTable(Scope3_SourceData.Scope3_InorganicFertilisers_Data(), Table_SourceData_Scope3_InorganicFertiliser[[#Headers],[Category]], 0, 2)</f>
        <v>Single superphosphate, AU market mix</v>
      </c>
      <c r="F190" s="30" t="str" cm="1">
        <f t="array" ref="F190">Common_InputFunctions.Utility_DisplayArrayInTable(Scope3_SourceData.Scope3_InorganicFertilisers_Data(), Table_SourceData_Scope3_InorganicFertiliser[[#Headers],[Category]], 0, 2)</f>
        <v>Global</v>
      </c>
      <c r="G190" s="30" t="str">
        <f>'Constants - Fertiliser'!$D$36</f>
        <v>Single superphosphate (SSP)</v>
      </c>
      <c r="H190" s="30"/>
      <c r="I190" s="30"/>
      <c r="J190" s="30"/>
      <c r="K190" s="30" t="str" cm="1">
        <f t="array" ref="K190">Common_InputFunctions.Utility_DisplayArrayInTable(Scope3_SourceData.Scope3_InorganicFertilisers_Data(), Table_SourceData_Scope3_InorganicFertiliser[[#Headers],[Category]], 0, -2)</f>
        <v>kg</v>
      </c>
      <c r="L190" s="30" cm="1">
        <f t="array" ref="L190">Common_InputFunctions.Utility_DisplayArrayInTable(Scope3_SourceData.Scope3_InorganicFertilisers_Data(), Table_SourceData_Scope3_InorganicFertiliser[[#Headers],[Category]], 0, -2)</f>
        <v>0.22700000000000001</v>
      </c>
      <c r="M190" s="30" t="str" cm="1">
        <f t="array" ref="M190">Common_InputFunctions.Utility_DisplayArrayInTable(Scope3_SourceData.Scope3_InorganicFertilisers_Data(), Table_SourceData_Scope3_InorganicFertiliser[[#Headers],[Category]], 0, -2)</f>
        <v>at market</v>
      </c>
      <c r="N190" s="30"/>
      <c r="O190" s="30"/>
      <c r="P190" s="30"/>
    </row>
    <row r="191" spans="4:16" ht="20.100000000000001" customHeight="1" x14ac:dyDescent="0.25">
      <c r="D191" s="30" t="str" cm="1">
        <f t="array" ref="D191">Common_InputFunctions.Utility_DisplayArrayInTable(Scope3_SourceData.Scope3_InorganicFertilisers_Data(), Table_SourceData_Scope3_InorganicFertiliser[[#Headers],[Category]], 0, 2)</f>
        <v>Inorganic fertilisers</v>
      </c>
      <c r="E191" s="30" t="str" cm="1">
        <f t="array" ref="E191">Common_InputFunctions.Utility_DisplayArrayInTable(Scope3_SourceData.Scope3_InorganicFertilisers_Data(), Table_SourceData_Scope3_InorganicFertiliser[[#Headers],[Category]], 0, 2)</f>
        <v>Sulfur from fertilizer, AU market mix</v>
      </c>
      <c r="F191" s="30" t="str" cm="1">
        <f t="array" ref="F191">Common_InputFunctions.Utility_DisplayArrayInTable(Scope3_SourceData.Scope3_InorganicFertilisers_Data(), Table_SourceData_Scope3_InorganicFertiliser[[#Headers],[Category]], 0, 2)</f>
        <v>Global</v>
      </c>
      <c r="G191" s="30" t="str">
        <f>'Constants - Fertiliser'!$D$32</f>
        <v>Sulfur - Generic</v>
      </c>
      <c r="H191" s="30"/>
      <c r="I191" s="30"/>
      <c r="J191" s="30"/>
      <c r="K191" s="30" t="str" cm="1">
        <f t="array" ref="K191">Common_InputFunctions.Utility_DisplayArrayInTable(Scope3_SourceData.Scope3_InorganicFertilisers_Data(), Table_SourceData_Scope3_InorganicFertiliser[[#Headers],[Category]], 0, -2)</f>
        <v>kg S</v>
      </c>
      <c r="L191" s="30" cm="1">
        <f t="array" ref="L191">Common_InputFunctions.Utility_DisplayArrayInTable(Scope3_SourceData.Scope3_InorganicFertilisers_Data(), Table_SourceData_Scope3_InorganicFertiliser[[#Headers],[Category]], 0, -2)</f>
        <v>2.5</v>
      </c>
      <c r="M191" s="30" t="str" cm="1">
        <f t="array" ref="M191">Common_InputFunctions.Utility_DisplayArrayInTable(Scope3_SourceData.Scope3_InorganicFertilisers_Data(), Table_SourceData_Scope3_InorganicFertiliser[[#Headers],[Category]], 0, -2)</f>
        <v>at market</v>
      </c>
      <c r="N191" s="30"/>
      <c r="O191" s="30"/>
      <c r="P191" s="30"/>
    </row>
    <row r="192" spans="4:16" ht="20.100000000000001" customHeight="1" x14ac:dyDescent="0.25">
      <c r="D192" s="30" t="str" cm="1">
        <f t="array" ref="D192">Common_InputFunctions.Utility_DisplayArrayInTable(Scope3_SourceData.Scope3_InorganicFertilisers_Data(), Table_SourceData_Scope3_InorganicFertiliser[[#Headers],[Category]], 0, 2)</f>
        <v>Inorganic fertilisers</v>
      </c>
      <c r="E192" s="30" t="str" cm="1">
        <f t="array" ref="E192">Common_InputFunctions.Utility_DisplayArrayInTable(Scope3_SourceData.Scope3_InorganicFertilisers_Data(), Table_SourceData_Scope3_InorganicFertiliser[[#Headers],[Category]], 0, 2)</f>
        <v>Ammonium sulphate, AU market mix</v>
      </c>
      <c r="F192" s="30" t="str" cm="1">
        <f t="array" ref="F192">Common_InputFunctions.Utility_DisplayArrayInTable(Scope3_SourceData.Scope3_InorganicFertilisers_Data(), Table_SourceData_Scope3_InorganicFertiliser[[#Headers],[Category]], 0, 2)</f>
        <v>Global</v>
      </c>
      <c r="G192" s="30" t="str">
        <f>'Constants - Fertiliser'!$D$23</f>
        <v>Sulphate of ammonia (SOA)</v>
      </c>
      <c r="H192" s="30"/>
      <c r="I192" s="30"/>
      <c r="J192" s="30"/>
      <c r="K192" s="30" t="str" cm="1">
        <f t="array" ref="K192">Common_InputFunctions.Utility_DisplayArrayInTable(Scope3_SourceData.Scope3_InorganicFertilisers_Data(), Table_SourceData_Scope3_InorganicFertiliser[[#Headers],[Category]], 0, -2)</f>
        <v>kg</v>
      </c>
      <c r="L192" s="30" cm="1">
        <f t="array" ref="L192">Common_InputFunctions.Utility_DisplayArrayInTable(Scope3_SourceData.Scope3_InorganicFertilisers_Data(), Table_SourceData_Scope3_InorganicFertiliser[[#Headers],[Category]], 0, -2)</f>
        <v>0.86499999999999999</v>
      </c>
      <c r="M192" s="30" t="str" cm="1">
        <f t="array" ref="M192">Common_InputFunctions.Utility_DisplayArrayInTable(Scope3_SourceData.Scope3_InorganicFertilisers_Data(), Table_SourceData_Scope3_InorganicFertiliser[[#Headers],[Category]], 0, -2)</f>
        <v>at market</v>
      </c>
      <c r="N192" s="30"/>
      <c r="O192" s="30"/>
      <c r="P192" s="30"/>
    </row>
    <row r="193" spans="4:16" ht="20.100000000000001" customHeight="1" x14ac:dyDescent="0.25">
      <c r="D193" s="30" t="str" cm="1">
        <f t="array" ref="D193">Common_InputFunctions.Utility_DisplayArrayInTable(Scope3_SourceData.Scope3_InorganicFertilisers_Data(), Table_SourceData_Scope3_InorganicFertiliser[[#Headers],[Category]], 0, 2)</f>
        <v>Inorganic fertilisers</v>
      </c>
      <c r="E193" s="30" t="str" cm="1">
        <f t="array" ref="E193">Common_InputFunctions.Utility_DisplayArrayInTable(Scope3_SourceData.Scope3_InorganicFertilisers_Data(), Table_SourceData_Scope3_InorganicFertiliser[[#Headers],[Category]], 0, 2)</f>
        <v>Urea ammonium nitrate, AU market mix</v>
      </c>
      <c r="F193" s="30" t="str" cm="1">
        <f t="array" ref="F193">Common_InputFunctions.Utility_DisplayArrayInTable(Scope3_SourceData.Scope3_InorganicFertilisers_Data(), Table_SourceData_Scope3_InorganicFertiliser[[#Headers],[Category]], 0, 2)</f>
        <v>Global</v>
      </c>
      <c r="G193" s="30" t="str">
        <f>'Constants - Fertiliser'!$D$24</f>
        <v>Urea-ammonium nitrate (UAN)</v>
      </c>
      <c r="H193" s="30"/>
      <c r="I193" s="30"/>
      <c r="J193" s="30"/>
      <c r="K193" s="30" t="str" cm="1">
        <f t="array" ref="K193">Common_InputFunctions.Utility_DisplayArrayInTable(Scope3_SourceData.Scope3_InorganicFertilisers_Data(), Table_SourceData_Scope3_InorganicFertiliser[[#Headers],[Category]], 0, -2)</f>
        <v>kg</v>
      </c>
      <c r="L193" s="30" cm="1">
        <f t="array" ref="L193">Common_InputFunctions.Utility_DisplayArrayInTable(Scope3_SourceData.Scope3_InorganicFertilisers_Data(), Table_SourceData_Scope3_InorganicFertiliser[[#Headers],[Category]], 0, -2)</f>
        <v>1.75</v>
      </c>
      <c r="M193" s="30" t="str" cm="1">
        <f t="array" ref="M193">Common_InputFunctions.Utility_DisplayArrayInTable(Scope3_SourceData.Scope3_InorganicFertilisers_Data(), Table_SourceData_Scope3_InorganicFertiliser[[#Headers],[Category]], 0, -2)</f>
        <v>at market</v>
      </c>
      <c r="N193" s="30"/>
      <c r="O193" s="30"/>
      <c r="P193" s="30"/>
    </row>
    <row r="194" spans="4:16" ht="20.100000000000001" customHeight="1" x14ac:dyDescent="0.25">
      <c r="D194" s="30" t="str" cm="1">
        <f t="array" ref="D194">Common_InputFunctions.Utility_DisplayArrayInTable(Scope3_SourceData.Scope3_InorganicFertilisers_Data(), Table_SourceData_Scope3_InorganicFertiliser[[#Headers],[Category]], 0, 2)</f>
        <v>Inorganic fertilisers</v>
      </c>
      <c r="E194" s="30" t="str" cm="1">
        <f t="array" ref="E194">Common_InputFunctions.Utility_DisplayArrayInTable(Scope3_SourceData.Scope3_InorganicFertilisers_Data(), Table_SourceData_Scope3_InorganicFertiliser[[#Headers],[Category]], 0, 2)</f>
        <v>Urea, AU market mix</v>
      </c>
      <c r="F194" s="30" t="str" cm="1">
        <f t="array" ref="F194">Common_InputFunctions.Utility_DisplayArrayInTable(Scope3_SourceData.Scope3_InorganicFertilisers_Data(), Table_SourceData_Scope3_InorganicFertiliser[[#Headers],[Category]], 0, 2)</f>
        <v>Global</v>
      </c>
      <c r="G194" s="30" t="str">
        <f>'Constants - Fertiliser'!$D$22</f>
        <v>Urea</v>
      </c>
      <c r="H194" s="30" t="str">
        <f>'Constants - Fertiliser'!$V$20</f>
        <v>Global</v>
      </c>
      <c r="I194" s="30"/>
      <c r="J194" s="30"/>
      <c r="K194" s="30" t="str" cm="1">
        <f t="array" ref="K194">Common_InputFunctions.Utility_DisplayArrayInTable(Scope3_SourceData.Scope3_InorganicFertilisers_Data(), Table_SourceData_Scope3_InorganicFertiliser[[#Headers],[Category]], 0, -2)</f>
        <v>kg</v>
      </c>
      <c r="L194" s="30" cm="1">
        <f t="array" ref="L194">Common_InputFunctions.Utility_DisplayArrayInTable(Scope3_SourceData.Scope3_InorganicFertilisers_Data(), Table_SourceData_Scope3_InorganicFertiliser[[#Headers],[Category]], 0, -2)</f>
        <v>0.96799999999999997</v>
      </c>
      <c r="M194" s="30" t="str" cm="1">
        <f t="array" ref="M194">Common_InputFunctions.Utility_DisplayArrayInTable(Scope3_SourceData.Scope3_InorganicFertilisers_Data(), Table_SourceData_Scope3_InorganicFertiliser[[#Headers],[Category]], 0, -2)</f>
        <v>at market</v>
      </c>
      <c r="N194" s="30"/>
      <c r="O194" s="30"/>
      <c r="P194" s="30"/>
    </row>
    <row r="195" spans="4:16" ht="20.100000000000001" customHeight="1" x14ac:dyDescent="0.25">
      <c r="D195" s="30" t="str" cm="1">
        <f t="array" ref="D195">Common_InputFunctions.Utility_DisplayArrayInTable(Scope3_SourceData.Scope3_InorganicFertilisers_Data(), Table_SourceData_Scope3_InorganicFertiliser[[#Headers],[Category]], 0, 2)</f>
        <v>Inorganic fertilisers</v>
      </c>
      <c r="E195" s="30" t="str" cm="1">
        <f t="array" ref="E195">Common_InputFunctions.Utility_DisplayArrayInTable(Scope3_SourceData.Scope3_InorganicFertilisers_Data(), Table_SourceData_Scope3_InorganicFertiliser[[#Headers],[Category]], 0, 2)</f>
        <v>Urea, Canada</v>
      </c>
      <c r="F195" s="30" t="str" cm="1">
        <f t="array" ref="F195">Common_InputFunctions.Utility_DisplayArrayInTable(Scope3_SourceData.Scope3_InorganicFertilisers_Data(), Table_SourceData_Scope3_InorganicFertiliser[[#Headers],[Category]], 0, 2)</f>
        <v>Canada</v>
      </c>
      <c r="G195" s="30" t="str">
        <f>'Constants - Fertiliser'!$D$22</f>
        <v>Urea</v>
      </c>
      <c r="H195" s="30" t="str">
        <f>'Constants - Fertiliser'!$V$21</f>
        <v>Canada</v>
      </c>
      <c r="I195" s="30"/>
      <c r="J195" s="30"/>
      <c r="K195" s="30" t="str" cm="1">
        <f t="array" ref="K195">Common_InputFunctions.Utility_DisplayArrayInTable(Scope3_SourceData.Scope3_InorganicFertilisers_Data(), Table_SourceData_Scope3_InorganicFertiliser[[#Headers],[Category]], 0, -2)</f>
        <v>kg</v>
      </c>
      <c r="L195" s="30" cm="1">
        <f t="array" ref="L195">Common_InputFunctions.Utility_DisplayArrayInTable(Scope3_SourceData.Scope3_InorganicFertilisers_Data(), Table_SourceData_Scope3_InorganicFertiliser[[#Headers],[Category]], 0, -2)</f>
        <v>0.82299999999999995</v>
      </c>
      <c r="M195" s="30" t="str" cm="1">
        <f t="array" ref="M195">Common_InputFunctions.Utility_DisplayArrayInTable(Scope3_SourceData.Scope3_InorganicFertilisers_Data(), Table_SourceData_Scope3_InorganicFertiliser[[#Headers],[Category]], 0, -2)</f>
        <v>at market</v>
      </c>
      <c r="N195" s="30"/>
      <c r="O195" s="30"/>
      <c r="P195" s="30"/>
    </row>
    <row r="196" spans="4:16" ht="20.100000000000001" customHeight="1" x14ac:dyDescent="0.25">
      <c r="D196" s="30" t="str" cm="1">
        <f t="array" ref="D196">Common_InputFunctions.Utility_DisplayArrayInTable(Scope3_SourceData.Scope3_InorganicFertilisers_Data(), Table_SourceData_Scope3_InorganicFertiliser[[#Headers],[Category]], 0, 2)</f>
        <v>Inorganic fertilisers</v>
      </c>
      <c r="E196" s="30" t="str" cm="1">
        <f t="array" ref="E196">Common_InputFunctions.Utility_DisplayArrayInTable(Scope3_SourceData.Scope3_InorganicFertilisers_Data(), Table_SourceData_Scope3_InorganicFertiliser[[#Headers],[Category]], 0, 2)</f>
        <v>Urea, China</v>
      </c>
      <c r="F196" s="30" t="str" cm="1">
        <f t="array" ref="F196">Common_InputFunctions.Utility_DisplayArrayInTable(Scope3_SourceData.Scope3_InorganicFertilisers_Data(), Table_SourceData_Scope3_InorganicFertiliser[[#Headers],[Category]], 0, 2)</f>
        <v>China</v>
      </c>
      <c r="G196" s="30" t="str">
        <f>'Constants - Fertiliser'!$D$22</f>
        <v>Urea</v>
      </c>
      <c r="H196" s="30" t="str">
        <f>'Constants - Fertiliser'!$V$22</f>
        <v>China</v>
      </c>
      <c r="I196" s="30"/>
      <c r="J196" s="30"/>
      <c r="K196" s="30" t="str" cm="1">
        <f t="array" ref="K196">Common_InputFunctions.Utility_DisplayArrayInTable(Scope3_SourceData.Scope3_InorganicFertilisers_Data(), Table_SourceData_Scope3_InorganicFertiliser[[#Headers],[Category]], 0, -2)</f>
        <v>kg</v>
      </c>
      <c r="L196" s="30" cm="1">
        <f t="array" ref="L196">Common_InputFunctions.Utility_DisplayArrayInTable(Scope3_SourceData.Scope3_InorganicFertilisers_Data(), Table_SourceData_Scope3_InorganicFertiliser[[#Headers],[Category]], 0, -2)</f>
        <v>2.09</v>
      </c>
      <c r="M196" s="30" t="str" cm="1">
        <f t="array" ref="M196">Common_InputFunctions.Utility_DisplayArrayInTable(Scope3_SourceData.Scope3_InorganicFertilisers_Data(), Table_SourceData_Scope3_InorganicFertiliser[[#Headers],[Category]], 0, -2)</f>
        <v>at market</v>
      </c>
      <c r="N196" s="30"/>
      <c r="O196" s="30"/>
      <c r="P196" s="30"/>
    </row>
    <row r="197" spans="4:16" ht="20.100000000000001" customHeight="1" x14ac:dyDescent="0.25">
      <c r="D197" s="30" t="str" cm="1">
        <f t="array" ref="D197">Common_InputFunctions.Utility_DisplayArrayInTable(Scope3_SourceData.Scope3_InorganicFertilisers_Data(), Table_SourceData_Scope3_InorganicFertiliser[[#Headers],[Category]], 0, 2)</f>
        <v>Inorganic fertilisers</v>
      </c>
      <c r="E197" s="30" t="str" cm="1">
        <f t="array" ref="E197">Common_InputFunctions.Utility_DisplayArrayInTable(Scope3_SourceData.Scope3_InorganicFertilisers_Data(), Table_SourceData_Scope3_InorganicFertiliser[[#Headers],[Category]], 0, 2)</f>
        <v>Urea, Yemen</v>
      </c>
      <c r="F197" s="30" t="str" cm="1">
        <f t="array" ref="F197">Common_InputFunctions.Utility_DisplayArrayInTable(Scope3_SourceData.Scope3_InorganicFertilisers_Data(), Table_SourceData_Scope3_InorganicFertiliser[[#Headers],[Category]], 0, 2)</f>
        <v>Yemen</v>
      </c>
      <c r="G197" s="30" t="str">
        <f>'Constants - Fertiliser'!$D$22</f>
        <v>Urea</v>
      </c>
      <c r="H197" s="30" t="str">
        <f>'Constants - Fertiliser'!$V$23</f>
        <v>Yemen</v>
      </c>
      <c r="I197" s="30"/>
      <c r="J197" s="30"/>
      <c r="K197" s="30" t="str" cm="1">
        <f t="array" ref="K197">Common_InputFunctions.Utility_DisplayArrayInTable(Scope3_SourceData.Scope3_InorganicFertilisers_Data(), Table_SourceData_Scope3_InorganicFertiliser[[#Headers],[Category]], 0, -2)</f>
        <v>kg</v>
      </c>
      <c r="L197" s="30" cm="1">
        <f t="array" ref="L197">Common_InputFunctions.Utility_DisplayArrayInTable(Scope3_SourceData.Scope3_InorganicFertilisers_Data(), Table_SourceData_Scope3_InorganicFertiliser[[#Headers],[Category]], 0, -2)</f>
        <v>0.96299999999999997</v>
      </c>
      <c r="M197" s="30" t="str" cm="1">
        <f t="array" ref="M197">Common_InputFunctions.Utility_DisplayArrayInTable(Scope3_SourceData.Scope3_InorganicFertilisers_Data(), Table_SourceData_Scope3_InorganicFertiliser[[#Headers],[Category]], 0, -2)</f>
        <v>at market</v>
      </c>
      <c r="N197" s="30"/>
      <c r="O197" s="30"/>
      <c r="P197" s="30"/>
    </row>
    <row r="198" spans="4:16" ht="20.100000000000001" customHeight="1" x14ac:dyDescent="0.25">
      <c r="D198" s="30" t="str" cm="1">
        <f t="array" ref="D198">Common_InputFunctions.Utility_DisplayArrayInTable(Scope3_SourceData.Scope3_InorganicFertilisers_Data(), Table_SourceData_Scope3_InorganicFertiliser[[#Headers],[Category]], 0, 2)</f>
        <v>Inorganic fertilisers</v>
      </c>
      <c r="E198" s="30" t="str" cm="1">
        <f t="array" ref="E198">Common_InputFunctions.Utility_DisplayArrayInTable(Scope3_SourceData.Scope3_InorganicFertilisers_Data(), Table_SourceData_Scope3_InorganicFertiliser[[#Headers],[Category]], 0, 2)</f>
        <v>Zinc from fertilizer</v>
      </c>
      <c r="F198" s="30" t="str" cm="1">
        <f t="array" ref="F198">Common_InputFunctions.Utility_DisplayArrayInTable(Scope3_SourceData.Scope3_InorganicFertilisers_Data(), Table_SourceData_Scope3_InorganicFertiliser[[#Headers],[Category]], 0, 2)</f>
        <v>Global</v>
      </c>
      <c r="G198" s="30" t="str">
        <f>'Constants - Fertiliser'!$D$33</f>
        <v>Zinc - Generic</v>
      </c>
      <c r="H198" s="30"/>
      <c r="I198" s="30"/>
      <c r="J198" s="30"/>
      <c r="K198" s="30" t="str" cm="1">
        <f t="array" ref="K198">Common_InputFunctions.Utility_DisplayArrayInTable(Scope3_SourceData.Scope3_InorganicFertilisers_Data(), Table_SourceData_Scope3_InorganicFertiliser[[#Headers],[Category]], 0, -2)</f>
        <v>kg Zn</v>
      </c>
      <c r="L198" s="30" cm="1">
        <f t="array" ref="L198">Common_InputFunctions.Utility_DisplayArrayInTable(Scope3_SourceData.Scope3_InorganicFertilisers_Data(), Table_SourceData_Scope3_InorganicFertiliser[[#Headers],[Category]], 0, -2)</f>
        <v>4.82</v>
      </c>
      <c r="M198" s="30" t="str" cm="1">
        <f t="array" ref="M198">Common_InputFunctions.Utility_DisplayArrayInTable(Scope3_SourceData.Scope3_InorganicFertilisers_Data(), Table_SourceData_Scope3_InorganicFertiliser[[#Headers],[Category]], 0, -2)</f>
        <v>at market</v>
      </c>
      <c r="N198" s="30"/>
      <c r="O198" s="30"/>
      <c r="P198" s="30"/>
    </row>
    <row r="199" spans="4:16" ht="20.100000000000001" customHeight="1" x14ac:dyDescent="0.25">
      <c r="N199" s="30"/>
      <c r="O199" s="30"/>
      <c r="P199" s="30"/>
    </row>
    <row r="200" spans="4:16" ht="20.100000000000001" customHeight="1" x14ac:dyDescent="0.25">
      <c r="D200" s="2" t="s">
        <v>964</v>
      </c>
      <c r="N200" s="30"/>
      <c r="O200" s="30"/>
      <c r="P200" s="30"/>
    </row>
    <row r="201" spans="4:16" ht="20.100000000000001" customHeight="1" x14ac:dyDescent="0.25">
      <c r="D201" s="30" t="s">
        <v>942</v>
      </c>
      <c r="E201" s="30" t="s">
        <v>137</v>
      </c>
      <c r="F201" s="30" t="s">
        <v>943</v>
      </c>
      <c r="G201" s="30" t="s">
        <v>944</v>
      </c>
      <c r="H201" s="30" t="s">
        <v>945</v>
      </c>
      <c r="I201" s="30" t="s">
        <v>946</v>
      </c>
      <c r="N201" s="30"/>
      <c r="O201" s="30"/>
      <c r="P201" s="30"/>
    </row>
    <row r="202" spans="4:16" ht="20.100000000000001" customHeight="1" x14ac:dyDescent="0.25">
      <c r="D202" s="30" t="str" cm="1">
        <f t="array" ref="D202">Common_InputFunctions.Utility_DisplayArrayInTable(Scope3_SourceData.Scope3_Other_Data(), Table_SourceData_Scope3_Other[[#Headers],[Category]], 0, 2)</f>
        <v>Other</v>
      </c>
      <c r="E202" s="30" t="str" cm="1">
        <f t="array" ref="E202">Common_InputFunctions.Utility_DisplayArrayInTable(Scope3_SourceData.Scope3_Other_Data(), Table_SourceData_Scope3_Other[[#Headers],[Category]], 0, 2)</f>
        <v>Animal ear tags (large)</v>
      </c>
      <c r="F202" s="30" t="str" cm="1">
        <f t="array" ref="F202">Common_InputFunctions.Utility_DisplayArrayInTable(Scope3_SourceData.Scope3_Other_Data(), Table_SourceData_Scope3_Other[[#Headers],[Category]], 0, 2)</f>
        <v>Australia</v>
      </c>
      <c r="G202" s="30" t="str" cm="1">
        <f t="array" ref="G202">Common_InputFunctions.Utility_DisplayArrayInTable(Scope3_SourceData.Scope3_Other_Data(), Table_SourceData_Scope3_Other[[#Headers],[Category]], 0, 2)</f>
        <v>p</v>
      </c>
      <c r="H202" s="30" cm="1">
        <f t="array" ref="H202">Common_InputFunctions.Utility_DisplayArrayInTable(Scope3_SourceData.Scope3_Other_Data(), Table_SourceData_Scope3_Other[[#Headers],[Category]], 0, 2)</f>
        <v>4.24E-2</v>
      </c>
      <c r="I202" s="30" t="str" cm="1">
        <f t="array" ref="I202">Common_InputFunctions.Utility_DisplayArrayInTable(Scope3_SourceData.Scope3_Other_Data(), Table_SourceData_Scope3_Other[[#Headers],[Category]], 0, 2)</f>
        <v>at market</v>
      </c>
      <c r="N202" s="30"/>
      <c r="O202" s="30"/>
      <c r="P202" s="30"/>
    </row>
    <row r="203" spans="4:16" ht="20.100000000000001" customHeight="1" x14ac:dyDescent="0.25">
      <c r="D203" s="30" t="str" cm="1">
        <f t="array" ref="D203">Common_InputFunctions.Utility_DisplayArrayInTable(Scope3_SourceData.Scope3_Other_Data(), Table_SourceData_Scope3_Other[[#Headers],[Category]], 0, 2)</f>
        <v>Other</v>
      </c>
      <c r="E203" s="30" t="str" cm="1">
        <f t="array" ref="E203">Common_InputFunctions.Utility_DisplayArrayInTable(Scope3_SourceData.Scope3_Other_Data(), Table_SourceData_Scope3_Other[[#Headers],[Category]], 0, 2)</f>
        <v>Animal ear tags (small)</v>
      </c>
      <c r="F203" s="30" t="str" cm="1">
        <f t="array" ref="F203">Common_InputFunctions.Utility_DisplayArrayInTable(Scope3_SourceData.Scope3_Other_Data(), Table_SourceData_Scope3_Other[[#Headers],[Category]], 0, 2)</f>
        <v>Australia</v>
      </c>
      <c r="G203" s="30" t="str" cm="1">
        <f t="array" ref="G203">Common_InputFunctions.Utility_DisplayArrayInTable(Scope3_SourceData.Scope3_Other_Data(), Table_SourceData_Scope3_Other[[#Headers],[Category]], 0, 2)</f>
        <v>p</v>
      </c>
      <c r="H203" s="30" cm="1">
        <f t="array" ref="H203">Common_InputFunctions.Utility_DisplayArrayInTable(Scope3_SourceData.Scope3_Other_Data(), Table_SourceData_Scope3_Other[[#Headers],[Category]], 0, 2)</f>
        <v>2.93E-2</v>
      </c>
      <c r="I203" s="30" t="str" cm="1">
        <f t="array" ref="I203">Common_InputFunctions.Utility_DisplayArrayInTable(Scope3_SourceData.Scope3_Other_Data(), Table_SourceData_Scope3_Other[[#Headers],[Category]], 0, 2)</f>
        <v>at market</v>
      </c>
      <c r="N203" s="30"/>
      <c r="O203" s="30"/>
      <c r="P203" s="30"/>
    </row>
    <row r="204" spans="4:16" ht="20.100000000000001" customHeight="1" x14ac:dyDescent="0.25">
      <c r="D204" s="30" t="str" cm="1">
        <f t="array" ref="D204">Common_InputFunctions.Utility_DisplayArrayInTable(Scope3_SourceData.Scope3_Other_Data(), Table_SourceData_Scope3_Other[[#Headers],[Category]], 0, 2)</f>
        <v>Other</v>
      </c>
      <c r="E204" s="30" t="str" cm="1">
        <f t="array" ref="E204">Common_InputFunctions.Utility_DisplayArrayInTable(Scope3_SourceData.Scope3_Other_Data(), Table_SourceData_Scope3_Other[[#Headers],[Category]], 0, 2)</f>
        <v>Barley grain (for seed)</v>
      </c>
      <c r="F204" s="30" t="str" cm="1">
        <f t="array" ref="F204">Common_InputFunctions.Utility_DisplayArrayInTable(Scope3_SourceData.Scope3_Other_Data(), Table_SourceData_Scope3_Other[[#Headers],[Category]], 0, 2)</f>
        <v>Australia</v>
      </c>
      <c r="G204" s="30" t="str" cm="1">
        <f t="array" ref="G204">Common_InputFunctions.Utility_DisplayArrayInTable(Scope3_SourceData.Scope3_Other_Data(), Table_SourceData_Scope3_Other[[#Headers],[Category]], 0, 2)</f>
        <v>kg</v>
      </c>
      <c r="H204" s="30" cm="1">
        <f t="array" ref="H204">Common_InputFunctions.Utility_DisplayArrayInTable(Scope3_SourceData.Scope3_Other_Data(), Table_SourceData_Scope3_Other[[#Headers],[Category]], 0, 2)</f>
        <v>0.23899999999999999</v>
      </c>
      <c r="I204" s="30" t="str" cm="1">
        <f t="array" ref="I204">Common_InputFunctions.Utility_DisplayArrayInTable(Scope3_SourceData.Scope3_Other_Data(), Table_SourceData_Scope3_Other[[#Headers],[Category]], 0, 2)</f>
        <v>at market</v>
      </c>
      <c r="N204" s="30"/>
      <c r="O204" s="30"/>
      <c r="P204" s="30"/>
    </row>
    <row r="205" spans="4:16" ht="20.100000000000001" customHeight="1" x14ac:dyDescent="0.25">
      <c r="D205" s="30" t="str" cm="1">
        <f t="array" ref="D205">Common_InputFunctions.Utility_DisplayArrayInTable(Scope3_SourceData.Scope3_Other_Data(), Table_SourceData_Scope3_Other[[#Headers],[Category]], 0, 2)</f>
        <v>Other</v>
      </c>
      <c r="E205" s="30" t="str" cm="1">
        <f t="array" ref="E205">Common_InputFunctions.Utility_DisplayArrayInTable(Scope3_SourceData.Scope3_Other_Data(), Table_SourceData_Scope3_Other[[#Headers],[Category]], 0, 2)</f>
        <v>Maize grain (for seed)</v>
      </c>
      <c r="F205" s="30" t="str" cm="1">
        <f t="array" ref="F205">Common_InputFunctions.Utility_DisplayArrayInTable(Scope3_SourceData.Scope3_Other_Data(), Table_SourceData_Scope3_Other[[#Headers],[Category]], 0, 2)</f>
        <v>Australia</v>
      </c>
      <c r="G205" s="30" t="str" cm="1">
        <f t="array" ref="G205">Common_InputFunctions.Utility_DisplayArrayInTable(Scope3_SourceData.Scope3_Other_Data(), Table_SourceData_Scope3_Other[[#Headers],[Category]], 0, 2)</f>
        <v>kg</v>
      </c>
      <c r="H205" s="30" cm="1">
        <f t="array" ref="H205">Common_InputFunctions.Utility_DisplayArrayInTable(Scope3_SourceData.Scope3_Other_Data(), Table_SourceData_Scope3_Other[[#Headers],[Category]], 0, 2)</f>
        <v>0.18099999999999999</v>
      </c>
      <c r="I205" s="30" t="str" cm="1">
        <f t="array" ref="I205">Common_InputFunctions.Utility_DisplayArrayInTable(Scope3_SourceData.Scope3_Other_Data(), Table_SourceData_Scope3_Other[[#Headers],[Category]], 0, 2)</f>
        <v>at market</v>
      </c>
      <c r="N205" s="30"/>
      <c r="O205" s="30"/>
      <c r="P205" s="30"/>
    </row>
    <row r="206" spans="4:16" ht="20.100000000000001" customHeight="1" x14ac:dyDescent="0.25">
      <c r="D206" s="30" t="str" cm="1">
        <f t="array" ref="D206">Common_InputFunctions.Utility_DisplayArrayInTable(Scope3_SourceData.Scope3_Other_Data(), Table_SourceData_Scope3_Other[[#Headers],[Category]], 0, 2)</f>
        <v>Other</v>
      </c>
      <c r="E206" s="30" t="str" cm="1">
        <f t="array" ref="E206">Common_InputFunctions.Utility_DisplayArrayInTable(Scope3_SourceData.Scope3_Other_Data(), Table_SourceData_Scope3_Other[[#Headers],[Category]], 0, 2)</f>
        <v>Nylon netting</v>
      </c>
      <c r="F206" s="30" t="str" cm="1">
        <f t="array" ref="F206">Common_InputFunctions.Utility_DisplayArrayInTable(Scope3_SourceData.Scope3_Other_Data(), Table_SourceData_Scope3_Other[[#Headers],[Category]], 0, 2)</f>
        <v>Global</v>
      </c>
      <c r="G206" s="30" t="str" cm="1">
        <f t="array" ref="G206">Common_InputFunctions.Utility_DisplayArrayInTable(Scope3_SourceData.Scope3_Other_Data(), Table_SourceData_Scope3_Other[[#Headers],[Category]], 0, 2)</f>
        <v>kg</v>
      </c>
      <c r="H206" s="30" cm="1">
        <f t="array" ref="H206">Common_InputFunctions.Utility_DisplayArrayInTable(Scope3_SourceData.Scope3_Other_Data(), Table_SourceData_Scope3_Other[[#Headers],[Category]], 0, 2)</f>
        <v>9.81</v>
      </c>
      <c r="I206" s="30" t="str" cm="1">
        <f t="array" ref="I206">Common_InputFunctions.Utility_DisplayArrayInTable(Scope3_SourceData.Scope3_Other_Data(), Table_SourceData_Scope3_Other[[#Headers],[Category]], 0, 2)</f>
        <v>at market</v>
      </c>
      <c r="N206" s="30"/>
      <c r="O206" s="30"/>
      <c r="P206" s="30"/>
    </row>
    <row r="207" spans="4:16" ht="20.100000000000001" customHeight="1" x14ac:dyDescent="0.25">
      <c r="D207" s="30" t="str" cm="1">
        <f t="array" ref="D207">Common_InputFunctions.Utility_DisplayArrayInTable(Scope3_SourceData.Scope3_Other_Data(), Table_SourceData_Scope3_Other[[#Headers],[Category]], 0, 2)</f>
        <v>Other</v>
      </c>
      <c r="E207" s="30" t="str" cm="1">
        <f t="array" ref="E207">Common_InputFunctions.Utility_DisplayArrayInTable(Scope3_SourceData.Scope3_Other_Data(), Table_SourceData_Scope3_Other[[#Headers],[Category]], 0, 2)</f>
        <v>Oat grain (for seed)</v>
      </c>
      <c r="F207" s="30" t="str" cm="1">
        <f t="array" ref="F207">Common_InputFunctions.Utility_DisplayArrayInTable(Scope3_SourceData.Scope3_Other_Data(), Table_SourceData_Scope3_Other[[#Headers],[Category]], 0, 2)</f>
        <v>Australia</v>
      </c>
      <c r="G207" s="30" t="str" cm="1">
        <f t="array" ref="G207">Common_InputFunctions.Utility_DisplayArrayInTable(Scope3_SourceData.Scope3_Other_Data(), Table_SourceData_Scope3_Other[[#Headers],[Category]], 0, 2)</f>
        <v>kg</v>
      </c>
      <c r="H207" s="30" cm="1">
        <f t="array" ref="H207">Common_InputFunctions.Utility_DisplayArrayInTable(Scope3_SourceData.Scope3_Other_Data(), Table_SourceData_Scope3_Other[[#Headers],[Category]], 0, 2)</f>
        <v>0.27</v>
      </c>
      <c r="I207" s="30" t="str" cm="1">
        <f t="array" ref="I207">Common_InputFunctions.Utility_DisplayArrayInTable(Scope3_SourceData.Scope3_Other_Data(), Table_SourceData_Scope3_Other[[#Headers],[Category]], 0, 2)</f>
        <v>at market</v>
      </c>
      <c r="N207" s="30"/>
      <c r="O207" s="30"/>
      <c r="P207" s="30"/>
    </row>
    <row r="208" spans="4:16" ht="20.100000000000001" customHeight="1" x14ac:dyDescent="0.25">
      <c r="D208" s="30" t="str" cm="1">
        <f t="array" ref="D208">Common_InputFunctions.Utility_DisplayArrayInTable(Scope3_SourceData.Scope3_Other_Data(), Table_SourceData_Scope3_Other[[#Headers],[Category]], 0, 2)</f>
        <v>Other</v>
      </c>
      <c r="E208" s="30" t="str" cm="1">
        <f t="array" ref="E208">Common_InputFunctions.Utility_DisplayArrayInTable(Scope3_SourceData.Scope3_Other_Data(), Table_SourceData_Scope3_Other[[#Headers],[Category]], 0, 2)</f>
        <v>Sorghum grain (for seed)</v>
      </c>
      <c r="F208" s="30" t="str" cm="1">
        <f t="array" ref="F208">Common_InputFunctions.Utility_DisplayArrayInTable(Scope3_SourceData.Scope3_Other_Data(), Table_SourceData_Scope3_Other[[#Headers],[Category]], 0, 2)</f>
        <v>Australia</v>
      </c>
      <c r="G208" s="30" t="str" cm="1">
        <f t="array" ref="G208">Common_InputFunctions.Utility_DisplayArrayInTable(Scope3_SourceData.Scope3_Other_Data(), Table_SourceData_Scope3_Other[[#Headers],[Category]], 0, 2)</f>
        <v>kg</v>
      </c>
      <c r="H208" s="30" cm="1">
        <f t="array" ref="H208">Common_InputFunctions.Utility_DisplayArrayInTable(Scope3_SourceData.Scope3_Other_Data(), Table_SourceData_Scope3_Other[[#Headers],[Category]], 0, 2)</f>
        <v>0.23200000000000001</v>
      </c>
      <c r="I208" s="30" t="str" cm="1">
        <f t="array" ref="I208">Common_InputFunctions.Utility_DisplayArrayInTable(Scope3_SourceData.Scope3_Other_Data(), Table_SourceData_Scope3_Other[[#Headers],[Category]], 0, 2)</f>
        <v>at market</v>
      </c>
      <c r="N208" s="30"/>
      <c r="O208" s="30"/>
      <c r="P208" s="30"/>
    </row>
    <row r="209" spans="4:16" ht="20.100000000000001" customHeight="1" x14ac:dyDescent="0.25">
      <c r="D209" s="30" t="str" cm="1">
        <f t="array" ref="D209">Common_InputFunctions.Utility_DisplayArrayInTable(Scope3_SourceData.Scope3_Other_Data(), Table_SourceData_Scope3_Other[[#Headers],[Category]], 0, 2)</f>
        <v>Other</v>
      </c>
      <c r="E209" s="30" t="str" cm="1">
        <f t="array" ref="E209">Common_InputFunctions.Utility_DisplayArrayInTable(Scope3_SourceData.Scope3_Other_Data(), Table_SourceData_Scope3_Other[[#Headers],[Category]], 0, 2)</f>
        <v>Wheat grain (for seed)</v>
      </c>
      <c r="F209" s="30" t="str" cm="1">
        <f t="array" ref="F209">Common_InputFunctions.Utility_DisplayArrayInTable(Scope3_SourceData.Scope3_Other_Data(), Table_SourceData_Scope3_Other[[#Headers],[Category]], 0, 2)</f>
        <v>Australia</v>
      </c>
      <c r="G209" s="30" t="str" cm="1">
        <f t="array" ref="G209">Common_InputFunctions.Utility_DisplayArrayInTable(Scope3_SourceData.Scope3_Other_Data(), Table_SourceData_Scope3_Other[[#Headers],[Category]], 0, 2)</f>
        <v>kg</v>
      </c>
      <c r="H209" s="30" cm="1">
        <f t="array" ref="H209">Common_InputFunctions.Utility_DisplayArrayInTable(Scope3_SourceData.Scope3_Other_Data(), Table_SourceData_Scope3_Other[[#Headers],[Category]], 0, 2)</f>
        <v>0.26800000000000002</v>
      </c>
      <c r="I209" s="30" t="str" cm="1">
        <f t="array" ref="I209">Common_InputFunctions.Utility_DisplayArrayInTable(Scope3_SourceData.Scope3_Other_Data(), Table_SourceData_Scope3_Other[[#Headers],[Category]], 0, 2)</f>
        <v>at market</v>
      </c>
      <c r="N209" s="30"/>
      <c r="O209" s="30"/>
      <c r="P209" s="30"/>
    </row>
    <row r="210" spans="4:16" ht="20.100000000000001" customHeight="1" x14ac:dyDescent="0.25">
      <c r="N210" s="30"/>
      <c r="O210" s="30"/>
      <c r="P210" s="30"/>
    </row>
    <row r="211" spans="4:16" ht="20.100000000000001" customHeight="1" x14ac:dyDescent="0.25">
      <c r="D211" s="2" t="s">
        <v>773</v>
      </c>
    </row>
    <row r="212" spans="4:16" ht="20.100000000000001" customHeight="1" x14ac:dyDescent="0.25">
      <c r="D212" s="30" t="s">
        <v>942</v>
      </c>
      <c r="E212" s="30" t="s">
        <v>137</v>
      </c>
      <c r="F212" s="30" t="s">
        <v>943</v>
      </c>
      <c r="G212" s="30" t="s">
        <v>944</v>
      </c>
      <c r="H212" s="30" t="s">
        <v>945</v>
      </c>
      <c r="I212" s="30" t="s">
        <v>946</v>
      </c>
    </row>
    <row r="213" spans="4:16" ht="20.100000000000001" customHeight="1" x14ac:dyDescent="0.25">
      <c r="D213" s="30" t="str" cm="1">
        <f t="array" ref="D213">Common_InputFunctions.Utility_DisplayArrayInTable(Scope3_SourceData.Scope3_Packaging_Data(), Table_SourceData_Scope3_Packaging[[#Headers],[Category]], 0, 2)</f>
        <v>Packaging</v>
      </c>
      <c r="E213" s="30" t="str" cm="1">
        <f t="array" ref="E213">Common_InputFunctions.Utility_DisplayArrayInTable(Scope3_SourceData.Scope3_Packaging_Data(), Table_SourceData_Scope3_Packaging[[#Headers],[Category]], 0, 2)</f>
        <v>Corrugated board</v>
      </c>
      <c r="F213" s="30" t="str" cm="1">
        <f t="array" ref="F213">Common_InputFunctions.Utility_DisplayArrayInTable(Scope3_SourceData.Scope3_Packaging_Data(), Table_SourceData_Scope3_Packaging[[#Headers],[Category]], 0, 2)</f>
        <v>Global</v>
      </c>
      <c r="G213" s="30" t="str" cm="1">
        <f t="array" ref="G213">Common_InputFunctions.Utility_DisplayArrayInTable(Scope3_SourceData.Scope3_Packaging_Data(), Table_SourceData_Scope3_Packaging[[#Headers],[Category]], 0, 2)</f>
        <v>kg</v>
      </c>
      <c r="H213" s="30" cm="1">
        <f t="array" ref="H213">Common_InputFunctions.Utility_DisplayArrayInTable(Scope3_SourceData.Scope3_Packaging_Data(), Table_SourceData_Scope3_Packaging[[#Headers],[Category]], 0, 2)</f>
        <v>1.05</v>
      </c>
      <c r="I213" s="30" t="str" cm="1">
        <f t="array" ref="I213">Common_InputFunctions.Utility_DisplayArrayInTable(Scope3_SourceData.Scope3_Packaging_Data(), Table_SourceData_Scope3_Packaging[[#Headers],[Category]], 0, 2)</f>
        <v>at manufacturer</v>
      </c>
    </row>
    <row r="214" spans="4:16" ht="20.100000000000001" customHeight="1" x14ac:dyDescent="0.25">
      <c r="D214" s="30" t="str" cm="1">
        <f t="array" ref="D214">Common_InputFunctions.Utility_DisplayArrayInTable(Scope3_SourceData.Scope3_Packaging_Data(), Table_SourceData_Scope3_Packaging[[#Headers],[Category]], 0, 2)</f>
        <v>Packaging</v>
      </c>
      <c r="E214" s="30" t="str" cm="1">
        <f t="array" ref="E214">Common_InputFunctions.Utility_DisplayArrayInTable(Scope3_SourceData.Scope3_Packaging_Data(), Table_SourceData_Scope3_Packaging[[#Headers],[Category]], 0, 2)</f>
        <v>Plastic crate polypropylene</v>
      </c>
      <c r="F214" s="30" t="str" cm="1">
        <f t="array" ref="F214">Common_InputFunctions.Utility_DisplayArrayInTable(Scope3_SourceData.Scope3_Packaging_Data(), Table_SourceData_Scope3_Packaging[[#Headers],[Category]], 0, 2)</f>
        <v>Global</v>
      </c>
      <c r="G214" s="30" t="str" cm="1">
        <f t="array" ref="G214">Common_InputFunctions.Utility_DisplayArrayInTable(Scope3_SourceData.Scope3_Packaging_Data(), Table_SourceData_Scope3_Packaging[[#Headers],[Category]], 0, 2)</f>
        <v>p</v>
      </c>
      <c r="H214" s="30" cm="1">
        <f t="array" ref="H214">Common_InputFunctions.Utility_DisplayArrayInTable(Scope3_SourceData.Scope3_Packaging_Data(), Table_SourceData_Scope3_Packaging[[#Headers],[Category]], 0, 2)</f>
        <v>3.99</v>
      </c>
      <c r="I214" s="30" t="str" cm="1">
        <f t="array" ref="I214">Common_InputFunctions.Utility_DisplayArrayInTable(Scope3_SourceData.Scope3_Packaging_Data(), Table_SourceData_Scope3_Packaging[[#Headers],[Category]], 0, 2)</f>
        <v>at manufacturer</v>
      </c>
    </row>
    <row r="215" spans="4:16" ht="20.100000000000001" customHeight="1" x14ac:dyDescent="0.25">
      <c r="D215" s="30" t="str" cm="1">
        <f t="array" ref="D215">Common_InputFunctions.Utility_DisplayArrayInTable(Scope3_SourceData.Scope3_Packaging_Data(), Table_SourceData_Scope3_Packaging[[#Headers],[Category]], 0, 2)</f>
        <v>Packaging</v>
      </c>
      <c r="E215" s="30" t="str" cm="1">
        <f t="array" ref="E215">Common_InputFunctions.Utility_DisplayArrayInTable(Scope3_SourceData.Scope3_Packaging_Data(), Table_SourceData_Scope3_Packaging[[#Headers],[Category]], 0, 2)</f>
        <v>Plastic film LDPE</v>
      </c>
      <c r="F215" s="30" t="str" cm="1">
        <f t="array" ref="F215">Common_InputFunctions.Utility_DisplayArrayInTable(Scope3_SourceData.Scope3_Packaging_Data(), Table_SourceData_Scope3_Packaging[[#Headers],[Category]], 0, 2)</f>
        <v>Global</v>
      </c>
      <c r="G215" s="30" t="str" cm="1">
        <f t="array" ref="G215">Common_InputFunctions.Utility_DisplayArrayInTable(Scope3_SourceData.Scope3_Packaging_Data(), Table_SourceData_Scope3_Packaging[[#Headers],[Category]], 0, 2)</f>
        <v>kg</v>
      </c>
      <c r="H215" s="30" cm="1">
        <f t="array" ref="H215">Common_InputFunctions.Utility_DisplayArrayInTable(Scope3_SourceData.Scope3_Packaging_Data(), Table_SourceData_Scope3_Packaging[[#Headers],[Category]], 0, 2)</f>
        <v>3.44</v>
      </c>
      <c r="I215" s="30" t="str" cm="1">
        <f t="array" ref="I215">Common_InputFunctions.Utility_DisplayArrayInTable(Scope3_SourceData.Scope3_Packaging_Data(), Table_SourceData_Scope3_Packaging[[#Headers],[Category]], 0, 2)</f>
        <v>at manufacturer</v>
      </c>
    </row>
    <row r="216" spans="4:16" ht="20.100000000000001" customHeight="1" x14ac:dyDescent="0.25">
      <c r="D216" s="30" t="str" cm="1">
        <f t="array" ref="D216">Common_InputFunctions.Utility_DisplayArrayInTable(Scope3_SourceData.Scope3_Packaging_Data(), Table_SourceData_Scope3_Packaging[[#Headers],[Category]], 0, 2)</f>
        <v>Packaging</v>
      </c>
      <c r="E216" s="30" t="str" cm="1">
        <f t="array" ref="E216">Common_InputFunctions.Utility_DisplayArrayInTable(Scope3_SourceData.Scope3_Packaging_Data(), Table_SourceData_Scope3_Packaging[[#Headers],[Category]], 0, 2)</f>
        <v>Plastic sheet HDPE</v>
      </c>
      <c r="F216" s="30" t="str" cm="1">
        <f t="array" ref="F216">Common_InputFunctions.Utility_DisplayArrayInTable(Scope3_SourceData.Scope3_Packaging_Data(), Table_SourceData_Scope3_Packaging[[#Headers],[Category]], 0, 2)</f>
        <v>Global</v>
      </c>
      <c r="G216" s="30" t="str" cm="1">
        <f t="array" ref="G216">Common_InputFunctions.Utility_DisplayArrayInTable(Scope3_SourceData.Scope3_Packaging_Data(), Table_SourceData_Scope3_Packaging[[#Headers],[Category]], 0, 2)</f>
        <v>kg</v>
      </c>
      <c r="H216" s="30" cm="1">
        <f t="array" ref="H216">Common_InputFunctions.Utility_DisplayArrayInTable(Scope3_SourceData.Scope3_Packaging_Data(), Table_SourceData_Scope3_Packaging[[#Headers],[Category]], 0, 2)</f>
        <v>3.72</v>
      </c>
      <c r="I216" s="3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2" t="s">
        <v>688</v>
      </c>
    </row>
    <row r="219" spans="4:16" ht="20.100000000000001" customHeight="1" x14ac:dyDescent="0.25">
      <c r="D219" s="30" t="s">
        <v>942</v>
      </c>
      <c r="E219" s="30" t="s">
        <v>137</v>
      </c>
      <c r="F219" s="30" t="s">
        <v>943</v>
      </c>
      <c r="G219" s="30" t="s">
        <v>944</v>
      </c>
      <c r="H219" s="30" t="s">
        <v>945</v>
      </c>
      <c r="I219" s="30" t="s">
        <v>946</v>
      </c>
    </row>
    <row r="220" spans="4:16" ht="20.100000000000001" customHeight="1" x14ac:dyDescent="0.25">
      <c r="D220" s="30" t="str" cm="1">
        <f t="array" ref="D220">Common_InputFunctions.Utility_DisplayArrayInTable(Scope3_SourceData.Scope3_Pesticides_Data(), Table_SourceData_Scope3_Pesticides[[#Headers],[Category]], 0, 2)</f>
        <v>Pesticides</v>
      </c>
      <c r="E220" s="30" t="str" cm="1">
        <f t="array" ref="E220">Common_InputFunctions.Utility_DisplayArrayInTable(Scope3_SourceData.Scope3_Pesticides_Data(), Table_SourceData_Scope3_Pesticides[[#Headers],[Category]], 0, 2)</f>
        <v>2,4-D</v>
      </c>
      <c r="F220" s="30" t="str" cm="1">
        <f t="array" ref="F220">Common_InputFunctions.Utility_DisplayArrayInTable(Scope3_SourceData.Scope3_Pesticides_Data(), Table_SourceData_Scope3_Pesticides[[#Headers],[Category]], 0, 2)</f>
        <v>Global</v>
      </c>
      <c r="G220" s="30" t="str" cm="1">
        <f t="array" ref="G220">Common_InputFunctions.Utility_DisplayArrayInTable(Scope3_SourceData.Scope3_Pesticides_Data(), Table_SourceData_Scope3_Pesticides[[#Headers],[Category]], 0, 2)</f>
        <v>kg AI</v>
      </c>
      <c r="H220" s="30" cm="1">
        <f t="array" ref="H220">Common_InputFunctions.Utility_DisplayArrayInTable(Scope3_SourceData.Scope3_Pesticides_Data(), Table_SourceData_Scope3_Pesticides[[#Headers],[Category]], 0, 2)</f>
        <v>5.2</v>
      </c>
      <c r="I220" s="30" t="str" cm="1">
        <f t="array" ref="I220">Common_InputFunctions.Utility_DisplayArrayInTable(Scope3_SourceData.Scope3_Pesticides_Data(), Table_SourceData_Scope3_Pesticides[[#Headers],[Category]], 0, 2)</f>
        <v>at market</v>
      </c>
    </row>
    <row r="221" spans="4:16" ht="20.100000000000001" customHeight="1" x14ac:dyDescent="0.25">
      <c r="D221" s="30" t="str" cm="1">
        <f t="array" ref="D221">Common_InputFunctions.Utility_DisplayArrayInTable(Scope3_SourceData.Scope3_Pesticides_Data(), Table_SourceData_Scope3_Pesticides[[#Headers],[Category]], 0, 2)</f>
        <v>Pesticides</v>
      </c>
      <c r="E221" s="30" t="str" cm="1">
        <f t="array" ref="E221">Common_InputFunctions.Utility_DisplayArrayInTable(Scope3_SourceData.Scope3_Pesticides_Data(), Table_SourceData_Scope3_Pesticides[[#Headers],[Category]], 0, 2)</f>
        <v>Atrazine</v>
      </c>
      <c r="F221" s="30" t="str" cm="1">
        <f t="array" ref="F221">Common_InputFunctions.Utility_DisplayArrayInTable(Scope3_SourceData.Scope3_Pesticides_Data(), Table_SourceData_Scope3_Pesticides[[#Headers],[Category]], 0, 2)</f>
        <v>Global</v>
      </c>
      <c r="G221" s="30" t="str" cm="1">
        <f t="array" ref="G221">Common_InputFunctions.Utility_DisplayArrayInTable(Scope3_SourceData.Scope3_Pesticides_Data(), Table_SourceData_Scope3_Pesticides[[#Headers],[Category]], 0, 2)</f>
        <v>kg AI</v>
      </c>
      <c r="H221" s="30" cm="1">
        <f t="array" ref="H221">Common_InputFunctions.Utility_DisplayArrayInTable(Scope3_SourceData.Scope3_Pesticides_Data(), Table_SourceData_Scope3_Pesticides[[#Headers],[Category]], 0, 2)</f>
        <v>8.3800000000000008</v>
      </c>
      <c r="I221" s="30" t="str" cm="1">
        <f t="array" ref="I221">Common_InputFunctions.Utility_DisplayArrayInTable(Scope3_SourceData.Scope3_Pesticides_Data(), Table_SourceData_Scope3_Pesticides[[#Headers],[Category]], 0, 2)</f>
        <v>at market</v>
      </c>
    </row>
    <row r="222" spans="4:16" ht="20.100000000000001" customHeight="1" x14ac:dyDescent="0.25">
      <c r="D222" s="30" t="str" cm="1">
        <f t="array" ref="D222">Common_InputFunctions.Utility_DisplayArrayInTable(Scope3_SourceData.Scope3_Pesticides_Data(), Table_SourceData_Scope3_Pesticides[[#Headers],[Category]], 0, 2)</f>
        <v>Pesticides</v>
      </c>
      <c r="E222" s="30" t="str" cm="1">
        <f t="array" ref="E222">Common_InputFunctions.Utility_DisplayArrayInTable(Scope3_SourceData.Scope3_Pesticides_Data(), Table_SourceData_Scope3_Pesticides[[#Headers],[Category]], 0, 2)</f>
        <v>Diuron</v>
      </c>
      <c r="F222" s="30" t="str" cm="1">
        <f t="array" ref="F222">Common_InputFunctions.Utility_DisplayArrayInTable(Scope3_SourceData.Scope3_Pesticides_Data(), Table_SourceData_Scope3_Pesticides[[#Headers],[Category]], 0, 2)</f>
        <v>Global</v>
      </c>
      <c r="G222" s="30" t="str" cm="1">
        <f t="array" ref="G222">Common_InputFunctions.Utility_DisplayArrayInTable(Scope3_SourceData.Scope3_Pesticides_Data(), Table_SourceData_Scope3_Pesticides[[#Headers],[Category]], 0, 2)</f>
        <v>kg AI</v>
      </c>
      <c r="H222" s="30" cm="1">
        <f t="array" ref="H222">Common_InputFunctions.Utility_DisplayArrayInTable(Scope3_SourceData.Scope3_Pesticides_Data(), Table_SourceData_Scope3_Pesticides[[#Headers],[Category]], 0, 2)</f>
        <v>8.8000000000000007</v>
      </c>
      <c r="I222" s="30" t="str" cm="1">
        <f t="array" ref="I222">Common_InputFunctions.Utility_DisplayArrayInTable(Scope3_SourceData.Scope3_Pesticides_Data(), Table_SourceData_Scope3_Pesticides[[#Headers],[Category]], 0, 2)</f>
        <v>at market</v>
      </c>
    </row>
    <row r="223" spans="4:16" ht="20.100000000000001" customHeight="1" x14ac:dyDescent="0.25">
      <c r="D223" s="30" t="str" cm="1">
        <f t="array" ref="D223">Common_InputFunctions.Utility_DisplayArrayInTable(Scope3_SourceData.Scope3_Pesticides_Data(), Table_SourceData_Scope3_Pesticides[[#Headers],[Category]], 0, 2)</f>
        <v>Pesticides</v>
      </c>
      <c r="E223" s="30" t="str" cm="1">
        <f t="array" ref="E223">Common_InputFunctions.Utility_DisplayArrayInTable(Scope3_SourceData.Scope3_Pesticides_Data(), Table_SourceData_Scope3_Pesticides[[#Headers],[Category]], 0, 2)</f>
        <v>Glyphosate</v>
      </c>
      <c r="F223" s="30" t="str" cm="1">
        <f t="array" ref="F223">Common_InputFunctions.Utility_DisplayArrayInTable(Scope3_SourceData.Scope3_Pesticides_Data(), Table_SourceData_Scope3_Pesticides[[#Headers],[Category]], 0, 2)</f>
        <v>Global</v>
      </c>
      <c r="G223" s="30" t="str" cm="1">
        <f t="array" ref="G223">Common_InputFunctions.Utility_DisplayArrayInTable(Scope3_SourceData.Scope3_Pesticides_Data(), Table_SourceData_Scope3_Pesticides[[#Headers],[Category]], 0, 2)</f>
        <v>kg AI</v>
      </c>
      <c r="H223" s="30" cm="1">
        <f t="array" ref="H223">Common_InputFunctions.Utility_DisplayArrayInTable(Scope3_SourceData.Scope3_Pesticides_Data(), Table_SourceData_Scope3_Pesticides[[#Headers],[Category]], 0, 2)</f>
        <v>10.3</v>
      </c>
      <c r="I223" s="30" t="str" cm="1">
        <f t="array" ref="I223">Common_InputFunctions.Utility_DisplayArrayInTable(Scope3_SourceData.Scope3_Pesticides_Data(), Table_SourceData_Scope3_Pesticides[[#Headers],[Category]], 0, 2)</f>
        <v>at market</v>
      </c>
    </row>
    <row r="224" spans="4:16" ht="20.100000000000001" customHeight="1" x14ac:dyDescent="0.25">
      <c r="D224" s="30" t="str" cm="1">
        <f t="array" ref="D224">Common_InputFunctions.Utility_DisplayArrayInTable(Scope3_SourceData.Scope3_Pesticides_Data(), Table_SourceData_Scope3_Pesticides[[#Headers],[Category]], 0, 2)</f>
        <v>Pesticides</v>
      </c>
      <c r="E224" s="30" t="str" cm="1">
        <f t="array" ref="E224">Common_InputFunctions.Utility_DisplayArrayInTable(Scope3_SourceData.Scope3_Pesticides_Data(), Table_SourceData_Scope3_Pesticides[[#Headers],[Category]], 0, 2)</f>
        <v>Mancozeb</v>
      </c>
      <c r="F224" s="30" t="str" cm="1">
        <f t="array" ref="F224">Common_InputFunctions.Utility_DisplayArrayInTable(Scope3_SourceData.Scope3_Pesticides_Data(), Table_SourceData_Scope3_Pesticides[[#Headers],[Category]], 0, 2)</f>
        <v>Global</v>
      </c>
      <c r="G224" s="30" t="str" cm="1">
        <f t="array" ref="G224">Common_InputFunctions.Utility_DisplayArrayInTable(Scope3_SourceData.Scope3_Pesticides_Data(), Table_SourceData_Scope3_Pesticides[[#Headers],[Category]], 0, 2)</f>
        <v>kg AI</v>
      </c>
      <c r="H224" s="30" cm="1">
        <f t="array" ref="H224">Common_InputFunctions.Utility_DisplayArrayInTable(Scope3_SourceData.Scope3_Pesticides_Data(), Table_SourceData_Scope3_Pesticides[[#Headers],[Category]], 0, 2)</f>
        <v>4.55</v>
      </c>
      <c r="I224" s="30" t="str" cm="1">
        <f t="array" ref="I224">Common_InputFunctions.Utility_DisplayArrayInTable(Scope3_SourceData.Scope3_Pesticides_Data(), Table_SourceData_Scope3_Pesticides[[#Headers],[Category]], 0, 2)</f>
        <v>at market</v>
      </c>
    </row>
    <row r="225" spans="4:9" ht="20.100000000000001" customHeight="1" x14ac:dyDescent="0.25">
      <c r="D225" s="30" t="str" cm="1">
        <f t="array" ref="D225">Common_InputFunctions.Utility_DisplayArrayInTable(Scope3_SourceData.Scope3_Pesticides_Data(), Table_SourceData_Scope3_Pesticides[[#Headers],[Category]], 0, 2)</f>
        <v>Pesticides</v>
      </c>
      <c r="E225" s="30" t="str" cm="1">
        <f t="array" ref="E225">Common_InputFunctions.Utility_DisplayArrayInTable(Scope3_SourceData.Scope3_Pesticides_Data(), Table_SourceData_Scope3_Pesticides[[#Headers],[Category]], 0, 2)</f>
        <v>MCPA</v>
      </c>
      <c r="F225" s="30" t="str" cm="1">
        <f t="array" ref="F225">Common_InputFunctions.Utility_DisplayArrayInTable(Scope3_SourceData.Scope3_Pesticides_Data(), Table_SourceData_Scope3_Pesticides[[#Headers],[Category]], 0, 2)</f>
        <v>Global</v>
      </c>
      <c r="G225" s="30" t="str" cm="1">
        <f t="array" ref="G225">Common_InputFunctions.Utility_DisplayArrayInTable(Scope3_SourceData.Scope3_Pesticides_Data(), Table_SourceData_Scope3_Pesticides[[#Headers],[Category]], 0, 2)</f>
        <v>kg AI</v>
      </c>
      <c r="H225" s="30" cm="1">
        <f t="array" ref="H225">Common_InputFunctions.Utility_DisplayArrayInTable(Scope3_SourceData.Scope3_Pesticides_Data(), Table_SourceData_Scope3_Pesticides[[#Headers],[Category]], 0, 2)</f>
        <v>5.6</v>
      </c>
      <c r="I225" s="30" t="str" cm="1">
        <f t="array" ref="I225">Common_InputFunctions.Utility_DisplayArrayInTable(Scope3_SourceData.Scope3_Pesticides_Data(), Table_SourceData_Scope3_Pesticides[[#Headers],[Category]], 0, 2)</f>
        <v>at market</v>
      </c>
    </row>
    <row r="226" spans="4:9" ht="20.100000000000001" customHeight="1" x14ac:dyDescent="0.25">
      <c r="D226" s="30" t="str" cm="1">
        <f t="array" ref="D226">Common_InputFunctions.Utility_DisplayArrayInTable(Scope3_SourceData.Scope3_Pesticides_Data(), Table_SourceData_Scope3_Pesticides[[#Headers],[Category]], 0, 2)</f>
        <v>Pesticides</v>
      </c>
      <c r="E226" s="30" t="str" cm="1">
        <f t="array" ref="E226">Common_InputFunctions.Utility_DisplayArrayInTable(Scope3_SourceData.Scope3_Pesticides_Data(), Table_SourceData_Scope3_Pesticides[[#Headers],[Category]], 0, 2)</f>
        <v>Metolachlor</v>
      </c>
      <c r="F226" s="30" t="str" cm="1">
        <f t="array" ref="F226">Common_InputFunctions.Utility_DisplayArrayInTable(Scope3_SourceData.Scope3_Pesticides_Data(), Table_SourceData_Scope3_Pesticides[[#Headers],[Category]], 0, 2)</f>
        <v>Global</v>
      </c>
      <c r="G226" s="30" t="str" cm="1">
        <f t="array" ref="G226">Common_InputFunctions.Utility_DisplayArrayInTable(Scope3_SourceData.Scope3_Pesticides_Data(), Table_SourceData_Scope3_Pesticides[[#Headers],[Category]], 0, 2)</f>
        <v>kg AI</v>
      </c>
      <c r="H226" s="30" cm="1">
        <f t="array" ref="H226">Common_InputFunctions.Utility_DisplayArrayInTable(Scope3_SourceData.Scope3_Pesticides_Data(), Table_SourceData_Scope3_Pesticides[[#Headers],[Category]], 0, 2)</f>
        <v>8.06</v>
      </c>
      <c r="I226" s="30" t="str" cm="1">
        <f t="array" ref="I226">Common_InputFunctions.Utility_DisplayArrayInTable(Scope3_SourceData.Scope3_Pesticides_Data(), Table_SourceData_Scope3_Pesticides[[#Headers],[Category]], 0, 2)</f>
        <v>at market</v>
      </c>
    </row>
    <row r="227" spans="4:9" ht="20.100000000000001" customHeight="1" x14ac:dyDescent="0.25">
      <c r="D227" s="30" t="str" cm="1">
        <f t="array" ref="D227">Common_InputFunctions.Utility_DisplayArrayInTable(Scope3_SourceData.Scope3_Pesticides_Data(), Table_SourceData_Scope3_Pesticides[[#Headers],[Category]], 0, 2)</f>
        <v>Pesticides</v>
      </c>
      <c r="E227" s="30" t="str" cm="1">
        <f t="array" ref="E227">Common_InputFunctions.Utility_DisplayArrayInTable(Scope3_SourceData.Scope3_Pesticides_Data(), Table_SourceData_Scope3_Pesticides[[#Headers],[Category]], 0, 2)</f>
        <v>Metsulfuron-methyl</v>
      </c>
      <c r="F227" s="30" t="str" cm="1">
        <f t="array" ref="F227">Common_InputFunctions.Utility_DisplayArrayInTable(Scope3_SourceData.Scope3_Pesticides_Data(), Table_SourceData_Scope3_Pesticides[[#Headers],[Category]], 0, 2)</f>
        <v>Global</v>
      </c>
      <c r="G227" s="30" t="str" cm="1">
        <f t="array" ref="G227">Common_InputFunctions.Utility_DisplayArrayInTable(Scope3_SourceData.Scope3_Pesticides_Data(), Table_SourceData_Scope3_Pesticides[[#Headers],[Category]], 0, 2)</f>
        <v>kg AI</v>
      </c>
      <c r="H227" s="30" cm="1">
        <f t="array" ref="H227">Common_InputFunctions.Utility_DisplayArrayInTable(Scope3_SourceData.Scope3_Pesticides_Data(), Table_SourceData_Scope3_Pesticides[[#Headers],[Category]], 0, 2)</f>
        <v>8.8000000000000007</v>
      </c>
      <c r="I227" s="30" t="str" cm="1">
        <f t="array" ref="I227">Common_InputFunctions.Utility_DisplayArrayInTable(Scope3_SourceData.Scope3_Pesticides_Data(), Table_SourceData_Scope3_Pesticides[[#Headers],[Category]], 0, 2)</f>
        <v>at market</v>
      </c>
    </row>
    <row r="228" spans="4:9" ht="20.100000000000001" customHeight="1" x14ac:dyDescent="0.25">
      <c r="D228" s="30" t="str" cm="1">
        <f t="array" ref="D228">Common_InputFunctions.Utility_DisplayArrayInTable(Scope3_SourceData.Scope3_Pesticides_Data(), Table_SourceData_Scope3_Pesticides[[#Headers],[Category]], 0, 2)</f>
        <v>Pesticides</v>
      </c>
      <c r="E228" s="30" t="str" cm="1">
        <f t="array" ref="E228">Common_InputFunctions.Utility_DisplayArrayInTable(Scope3_SourceData.Scope3_Pesticides_Data(), Table_SourceData_Scope3_Pesticides[[#Headers],[Category]], 0, 2)</f>
        <v>Pesticides (generic)</v>
      </c>
      <c r="F228" s="30" t="str" cm="1">
        <f t="array" ref="F228">Common_InputFunctions.Utility_DisplayArrayInTable(Scope3_SourceData.Scope3_Pesticides_Data(), Table_SourceData_Scope3_Pesticides[[#Headers],[Category]], 0, 2)</f>
        <v>Global</v>
      </c>
      <c r="G228" s="30" t="str" cm="1">
        <f t="array" ref="G228">Common_InputFunctions.Utility_DisplayArrayInTable(Scope3_SourceData.Scope3_Pesticides_Data(), Table_SourceData_Scope3_Pesticides[[#Headers],[Category]], 0, 2)</f>
        <v>kg AI</v>
      </c>
      <c r="H228" s="30" cm="1">
        <f t="array" ref="H228">Common_InputFunctions.Utility_DisplayArrayInTable(Scope3_SourceData.Scope3_Pesticides_Data(), Table_SourceData_Scope3_Pesticides[[#Headers],[Category]], 0, 2)</f>
        <v>9.16</v>
      </c>
      <c r="I228" s="30" t="str" cm="1">
        <f t="array" ref="I228">Common_InputFunctions.Utility_DisplayArrayInTable(Scope3_SourceData.Scope3_Pesticides_Data(), Table_SourceData_Scope3_Pesticides[[#Headers],[Category]], 0, 2)</f>
        <v>at market</v>
      </c>
    </row>
    <row r="229" spans="4:9" ht="20.100000000000001" customHeight="1" x14ac:dyDescent="0.25">
      <c r="D229" s="30" t="str" cm="1">
        <f t="array" ref="D229">Common_InputFunctions.Utility_DisplayArrayInTable(Scope3_SourceData.Scope3_Pesticides_Data(), Table_SourceData_Scope3_Pesticides[[#Headers],[Category]], 0, 2)</f>
        <v>Pesticides</v>
      </c>
      <c r="E229" s="30" t="str" cm="1">
        <f t="array" ref="E229">Common_InputFunctions.Utility_DisplayArrayInTable(Scope3_SourceData.Scope3_Pesticides_Data(), Table_SourceData_Scope3_Pesticides[[#Headers],[Category]], 0, 2)</f>
        <v>Tri-allate</v>
      </c>
      <c r="F229" s="30" t="str" cm="1">
        <f t="array" ref="F229">Common_InputFunctions.Utility_DisplayArrayInTable(Scope3_SourceData.Scope3_Pesticides_Data(), Table_SourceData_Scope3_Pesticides[[#Headers],[Category]], 0, 2)</f>
        <v>Global</v>
      </c>
      <c r="G229" s="30" t="str" cm="1">
        <f t="array" ref="G229">Common_InputFunctions.Utility_DisplayArrayInTable(Scope3_SourceData.Scope3_Pesticides_Data(), Table_SourceData_Scope3_Pesticides[[#Headers],[Category]], 0, 2)</f>
        <v>kg AI</v>
      </c>
      <c r="H229" s="30" cm="1">
        <f t="array" ref="H229">Common_InputFunctions.Utility_DisplayArrayInTable(Scope3_SourceData.Scope3_Pesticides_Data(), Table_SourceData_Scope3_Pesticides[[#Headers],[Category]], 0, 2)</f>
        <v>8.57</v>
      </c>
      <c r="I229" s="30" t="str" cm="1">
        <f t="array" ref="I229">Common_InputFunctions.Utility_DisplayArrayInTable(Scope3_SourceData.Scope3_Pesticides_Data(), Table_SourceData_Scope3_Pesticides[[#Headers],[Category]], 0, 2)</f>
        <v>at market</v>
      </c>
    </row>
    <row r="230" spans="4:9" ht="20.100000000000001" customHeight="1" x14ac:dyDescent="0.25">
      <c r="D230" s="30" t="str" cm="1">
        <f t="array" ref="D230">Common_InputFunctions.Utility_DisplayArrayInTable(Scope3_SourceData.Scope3_Pesticides_Data(), Table_SourceData_Scope3_Pesticides[[#Headers],[Category]], 0, 2)</f>
        <v>Pesticides</v>
      </c>
      <c r="E230" s="30" t="str" cm="1">
        <f t="array" ref="E230">Common_InputFunctions.Utility_DisplayArrayInTable(Scope3_SourceData.Scope3_Pesticides_Data(), Table_SourceData_Scope3_Pesticides[[#Headers],[Category]], 0, 2)</f>
        <v>Tribenuron methyl</v>
      </c>
      <c r="F230" s="30" t="str" cm="1">
        <f t="array" ref="F230">Common_InputFunctions.Utility_DisplayArrayInTable(Scope3_SourceData.Scope3_Pesticides_Data(), Table_SourceData_Scope3_Pesticides[[#Headers],[Category]], 0, 2)</f>
        <v>Global</v>
      </c>
      <c r="G230" s="30" t="str" cm="1">
        <f t="array" ref="G230">Common_InputFunctions.Utility_DisplayArrayInTable(Scope3_SourceData.Scope3_Pesticides_Data(), Table_SourceData_Scope3_Pesticides[[#Headers],[Category]], 0, 2)</f>
        <v>kg AI</v>
      </c>
      <c r="H230" s="30" cm="1">
        <f t="array" ref="H230">Common_InputFunctions.Utility_DisplayArrayInTable(Scope3_SourceData.Scope3_Pesticides_Data(), Table_SourceData_Scope3_Pesticides[[#Headers],[Category]], 0, 2)</f>
        <v>8.8000000000000007</v>
      </c>
      <c r="I230" s="30" t="str" cm="1">
        <f t="array" ref="I230">Common_InputFunctions.Utility_DisplayArrayInTable(Scope3_SourceData.Scope3_Pesticides_Data(), Table_SourceData_Scope3_Pesticides[[#Headers],[Category]], 0, 2)</f>
        <v>at market</v>
      </c>
    </row>
    <row r="231" spans="4:9" ht="20.100000000000001" customHeight="1" x14ac:dyDescent="0.25">
      <c r="D231" s="30" t="str" cm="1">
        <f t="array" ref="D231">Common_InputFunctions.Utility_DisplayArrayInTable(Scope3_SourceData.Scope3_Pesticides_Data(), Table_SourceData_Scope3_Pesticides[[#Headers],[Category]], 0, 2)</f>
        <v>Pesticides</v>
      </c>
      <c r="E231" s="30" t="str" cm="1">
        <f t="array" ref="E231">Common_InputFunctions.Utility_DisplayArrayInTable(Scope3_SourceData.Scope3_Pesticides_Data(), Table_SourceData_Scope3_Pesticides[[#Headers],[Category]], 0, 2)</f>
        <v>Trifluralin</v>
      </c>
      <c r="F231" s="30" t="str" cm="1">
        <f t="array" ref="F231">Common_InputFunctions.Utility_DisplayArrayInTable(Scope3_SourceData.Scope3_Pesticides_Data(), Table_SourceData_Scope3_Pesticides[[#Headers],[Category]], 0, 2)</f>
        <v>Global</v>
      </c>
      <c r="G231" s="30" t="str" cm="1">
        <f t="array" ref="G231">Common_InputFunctions.Utility_DisplayArrayInTable(Scope3_SourceData.Scope3_Pesticides_Data(), Table_SourceData_Scope3_Pesticides[[#Headers],[Category]], 0, 2)</f>
        <v>kg AI</v>
      </c>
      <c r="H231" s="30" cm="1">
        <f t="array" ref="H231">Common_InputFunctions.Utility_DisplayArrayInTable(Scope3_SourceData.Scope3_Pesticides_Data(), Table_SourceData_Scope3_Pesticides[[#Headers],[Category]], 0, 2)</f>
        <v>6.16</v>
      </c>
      <c r="I231" s="3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2" t="s">
        <v>965</v>
      </c>
    </row>
    <row r="234" spans="4:9" ht="20.100000000000001" customHeight="1" x14ac:dyDescent="0.25">
      <c r="D234" s="30" t="s">
        <v>942</v>
      </c>
      <c r="E234" s="30" t="s">
        <v>137</v>
      </c>
      <c r="F234" s="30" t="s">
        <v>943</v>
      </c>
      <c r="G234" s="30" t="s">
        <v>944</v>
      </c>
      <c r="H234" s="30" t="s">
        <v>945</v>
      </c>
      <c r="I234" s="30" t="s">
        <v>946</v>
      </c>
    </row>
    <row r="235" spans="4:9" ht="20.100000000000001" customHeight="1" x14ac:dyDescent="0.25">
      <c r="D235" s="30" t="str" cm="1">
        <f t="array" ref="D235">Common_InputFunctions.Utility_DisplayArrayInTable(Scope3_SourceData.Scope3_SoilAmendments_Data(), Table_SourceData_Scope3_SoilAmeliorants[[#Headers],[Category]], 0, 2)</f>
        <v>Soil ameliorants</v>
      </c>
      <c r="E235" s="30" t="str" cm="1">
        <f t="array" ref="E235">Common_InputFunctions.Utility_DisplayArrayInTable(Scope3_SourceData.Scope3_SoilAmendments_Data(), Table_SourceData_Scope3_SoilAmeliorants[[#Headers],[Category]], 0, 2)</f>
        <v>Dolomite</v>
      </c>
      <c r="F235" s="30" t="str" cm="1">
        <f t="array" ref="F235">Common_InputFunctions.Utility_DisplayArrayInTable(Scope3_SourceData.Scope3_SoilAmendments_Data(), Table_SourceData_Scope3_SoilAmeliorants[[#Headers],[Category]], 0, 2)</f>
        <v>Australia</v>
      </c>
      <c r="G235" s="30" t="str" cm="1">
        <f t="array" ref="G235">Common_InputFunctions.Utility_DisplayArrayInTable(Scope3_SourceData.Scope3_SoilAmendments_Data(), Table_SourceData_Scope3_SoilAmeliorants[[#Headers],[Category]], 0, 2)</f>
        <v>kg</v>
      </c>
      <c r="H235" s="30" cm="1">
        <f t="array" ref="H235">Common_InputFunctions.Utility_DisplayArrayInTable(Scope3_SourceData.Scope3_SoilAmendments_Data(), Table_SourceData_Scope3_SoilAmeliorants[[#Headers],[Category]], 0, 2)</f>
        <v>6.5199999999999994E-2</v>
      </c>
      <c r="I235" s="30" t="str" cm="1">
        <f t="array" ref="I235">Common_InputFunctions.Utility_DisplayArrayInTable(Scope3_SourceData.Scope3_SoilAmendments_Data(), Table_SourceData_Scope3_SoilAmeliorants[[#Headers],[Category]], 0, 2)</f>
        <v>at market</v>
      </c>
    </row>
    <row r="236" spans="4:9" ht="20.100000000000001" customHeight="1" x14ac:dyDescent="0.25">
      <c r="D236" s="30" t="str" cm="1">
        <f t="array" ref="D236">Common_InputFunctions.Utility_DisplayArrayInTable(Scope3_SourceData.Scope3_SoilAmendments_Data(), Table_SourceData_Scope3_SoilAmeliorants[[#Headers],[Category]], 0, 2)</f>
        <v>Soil ameliorants</v>
      </c>
      <c r="E236" s="30" t="str" cm="1">
        <f t="array" ref="E236">Common_InputFunctions.Utility_DisplayArrayInTable(Scope3_SourceData.Scope3_SoilAmendments_Data(), Table_SourceData_Scope3_SoilAmeliorants[[#Headers],[Category]], 0, 2)</f>
        <v>Gypsum</v>
      </c>
      <c r="F236" s="30" t="str" cm="1">
        <f t="array" ref="F236">Common_InputFunctions.Utility_DisplayArrayInTable(Scope3_SourceData.Scope3_SoilAmendments_Data(), Table_SourceData_Scope3_SoilAmeliorants[[#Headers],[Category]], 0, 2)</f>
        <v>Australia</v>
      </c>
      <c r="G236" s="30" t="str" cm="1">
        <f t="array" ref="G236">Common_InputFunctions.Utility_DisplayArrayInTable(Scope3_SourceData.Scope3_SoilAmendments_Data(), Table_SourceData_Scope3_SoilAmeliorants[[#Headers],[Category]], 0, 2)</f>
        <v>kg</v>
      </c>
      <c r="H236" s="30" cm="1">
        <f t="array" ref="H236">Common_InputFunctions.Utility_DisplayArrayInTable(Scope3_SourceData.Scope3_SoilAmendments_Data(), Table_SourceData_Scope3_SoilAmeliorants[[#Headers],[Category]], 0, 2)</f>
        <v>6.5199999999999994E-2</v>
      </c>
      <c r="I236" s="30" t="str" cm="1">
        <f t="array" ref="I236">Common_InputFunctions.Utility_DisplayArrayInTable(Scope3_SourceData.Scope3_SoilAmendments_Data(), Table_SourceData_Scope3_SoilAmeliorants[[#Headers],[Category]], 0, 2)</f>
        <v>at market</v>
      </c>
    </row>
    <row r="237" spans="4:9" ht="20.100000000000001" customHeight="1" x14ac:dyDescent="0.25">
      <c r="D237" s="30" t="str" cm="1">
        <f t="array" ref="D237">Common_InputFunctions.Utility_DisplayArrayInTable(Scope3_SourceData.Scope3_SoilAmendments_Data(), Table_SourceData_Scope3_SoilAmeliorants[[#Headers],[Category]], 0, 2)</f>
        <v>Soil ameliorants</v>
      </c>
      <c r="E237" s="30" t="str" cm="1">
        <f t="array" ref="E237">Common_InputFunctions.Utility_DisplayArrayInTable(Scope3_SourceData.Scope3_SoilAmendments_Data(), Table_SourceData_Scope3_SoilAmeliorants[[#Headers],[Category]], 0, 2)</f>
        <v>Limestone (crushed)</v>
      </c>
      <c r="F237" s="30" t="str" cm="1">
        <f t="array" ref="F237">Common_InputFunctions.Utility_DisplayArrayInTable(Scope3_SourceData.Scope3_SoilAmendments_Data(), Table_SourceData_Scope3_SoilAmeliorants[[#Headers],[Category]], 0, 2)</f>
        <v>Australia</v>
      </c>
      <c r="G237" s="30" t="str" cm="1">
        <f t="array" ref="G237">Common_InputFunctions.Utility_DisplayArrayInTable(Scope3_SourceData.Scope3_SoilAmendments_Data(), Table_SourceData_Scope3_SoilAmeliorants[[#Headers],[Category]], 0, 2)</f>
        <v>kg</v>
      </c>
      <c r="H237" s="30" cm="1">
        <f t="array" ref="H237">Common_InputFunctions.Utility_DisplayArrayInTable(Scope3_SourceData.Scope3_SoilAmendments_Data(), Table_SourceData_Scope3_SoilAmeliorants[[#Headers],[Category]], 0, 2)</f>
        <v>4.8500000000000001E-2</v>
      </c>
      <c r="I237" s="3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2F5-D62F-448B-BE59-D05AA2138B09}">
  <sheetPr>
    <tabColor theme="2" tint="-0.499984740745262"/>
  </sheetPr>
  <dimension ref="A1:BY259"/>
  <sheetViews>
    <sheetView showGridLines="0" topLeftCell="A29" zoomScaleNormal="100" workbookViewId="0">
      <selection activeCell="A49" sqref="A49"/>
    </sheetView>
  </sheetViews>
  <sheetFormatPr defaultColWidth="9.140625" defaultRowHeight="15.75" x14ac:dyDescent="0.25"/>
  <cols>
    <col min="1" max="1" width="30.7109375" style="32" customWidth="1"/>
    <col min="2" max="2" width="2.7109375" style="3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32" customWidth="1"/>
    <col min="34" max="39" width="21.85546875" style="32" customWidth="1"/>
    <col min="40" max="44" width="20.7109375" style="32" customWidth="1"/>
    <col min="45" max="65" width="9.140625" style="32"/>
    <col min="66" max="16384" width="9.140625" style="35"/>
  </cols>
  <sheetData>
    <row r="1" spans="1:65" s="31" customFormat="1" ht="30" customHeight="1" x14ac:dyDescent="0.35">
      <c r="A1" s="16" t="e" vm="1">
        <v>#VALUE!</v>
      </c>
      <c r="C1" s="31" t="s">
        <v>20</v>
      </c>
    </row>
    <row r="2" spans="1:65" s="3" customFormat="1" ht="20.100000000000001" customHeight="1" x14ac:dyDescent="0.25">
      <c r="A2"/>
    </row>
    <row r="3" spans="1:6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4"/>
      <c r="W3" s="34"/>
    </row>
    <row r="4" spans="1:65" ht="20.100000000000001" customHeight="1" x14ac:dyDescent="0.25">
      <c r="A4" s="5" t="str">
        <f>HYPERLINK("#'Overview'!A1", "Overview")</f>
        <v>Overview</v>
      </c>
      <c r="BM4" s="35"/>
    </row>
    <row r="5" spans="1:65" ht="20.100000000000001" customHeight="1" x14ac:dyDescent="0.25">
      <c r="A5" s="5" t="str">
        <f>HYPERLINK("#'Results'!A1", "Results")</f>
        <v>Results</v>
      </c>
      <c r="D5" s="2" t="str" cm="1">
        <f t="array" ref="D5">Common_SourceData.Common_SourceData_AustralianStatesTerritories_Title()</f>
        <v>Australian states and territories</v>
      </c>
      <c r="BM5" s="35"/>
    </row>
    <row r="6" spans="1:65" ht="20.100000000000001" customHeight="1" x14ac:dyDescent="0.25">
      <c r="A6"/>
      <c r="D6" s="30" t="s">
        <v>21</v>
      </c>
      <c r="E6" s="30" t="s">
        <v>22</v>
      </c>
      <c r="F6" s="30" t="s">
        <v>23</v>
      </c>
    </row>
    <row r="7" spans="1:65" ht="20.100000000000001" customHeight="1" x14ac:dyDescent="0.25">
      <c r="A7"/>
      <c r="D7" s="30" t="str" cm="1">
        <f t="array" ref="D7">Common_InputFunctions.Utility_DisplayArrayInTable(Common_SourceData.Common_SourceData_AustralianStatesTerritories_Data(),Table_AustralianStates[[#Headers],[State/Territory]],0)</f>
        <v>New South Wales</v>
      </c>
      <c r="E7" s="30" t="str" cm="1">
        <f t="array" ref="E7">Common_InputFunctions.Utility_DisplayArrayInTable(Common_SourceData.Common_SourceData_AustralianStatesTerritories_Data(),Table_AustralianStates[[#Headers],[State/Territory]],0)</f>
        <v>New South Wales</v>
      </c>
      <c r="F7" s="30" t="str" cm="1">
        <f t="array" ref="F7">Common_InputFunctions.Utility_DisplayArrayInTable(Common_SourceData.Common_SourceData_AustralianStatesTerritories_Data(),Table_AustralianStates[[#Headers],[State/Territory]],0)</f>
        <v>NSW</v>
      </c>
    </row>
    <row r="8" spans="1:65" ht="20.100000000000001" customHeight="1" x14ac:dyDescent="0.25">
      <c r="A8" s="7" t="s">
        <v>0</v>
      </c>
      <c r="D8" s="30" t="str" cm="1">
        <f t="array" ref="D8">Common_InputFunctions.Utility_DisplayArrayInTable(Common_SourceData.Common_SourceData_AustralianStatesTerritories_Data(),Table_AustralianStates[[#Headers],[State/Territory]],0)</f>
        <v>Australian Capital Territory</v>
      </c>
      <c r="E8" s="30" t="str" cm="1">
        <f t="array" ref="E8">Common_InputFunctions.Utility_DisplayArrayInTable(Common_SourceData.Common_SourceData_AustralianStatesTerritories_Data(),Table_AustralianStates[[#Headers],[State/Territory]],0)</f>
        <v>ACT</v>
      </c>
      <c r="F8" s="30" t="str" cm="1">
        <f t="array" ref="F8">Common_InputFunctions.Utility_DisplayArrayInTable(Common_SourceData.Common_SourceData_AustralianStatesTerritories_Data(),Table_AustralianStates[[#Headers],[State/Territory]],0)</f>
        <v>ACT</v>
      </c>
    </row>
    <row r="9" spans="1:65" ht="20.100000000000001" customHeight="1" x14ac:dyDescent="0.25">
      <c r="A9" s="5" t="str">
        <f>HYPERLINK("#'Input - Enterprise'!A1", "Enterprise")</f>
        <v>Enterprise</v>
      </c>
      <c r="D9" s="30" t="str" cm="1">
        <f t="array" ref="D9">Common_InputFunctions.Utility_DisplayArrayInTable(Common_SourceData.Common_SourceData_AustralianStatesTerritories_Data(),Table_AustralianStates[[#Headers],[State/Territory]],0)</f>
        <v>Victoria</v>
      </c>
      <c r="E9" s="30" t="str" cm="1">
        <f t="array" ref="E9">Common_InputFunctions.Utility_DisplayArrayInTable(Common_SourceData.Common_SourceData_AustralianStatesTerritories_Data(),Table_AustralianStates[[#Headers],[State/Territory]],0)</f>
        <v>Victoria</v>
      </c>
      <c r="F9" s="30" t="str" cm="1">
        <f t="array" ref="F9">Common_InputFunctions.Utility_DisplayArrayInTable(Common_SourceData.Common_SourceData_AustralianStatesTerritories_Data(),Table_AustralianStates[[#Headers],[State/Territory]],0)</f>
        <v>VIC</v>
      </c>
    </row>
    <row r="10" spans="1:65" ht="20.100000000000001" customHeight="1" x14ac:dyDescent="0.25">
      <c r="A10" s="5" t="str">
        <f>HYPERLINK("#'Input - Site'!A1", "Site")</f>
        <v>Site</v>
      </c>
      <c r="D10" s="30" t="str" cm="1">
        <f t="array" ref="D10">Common_InputFunctions.Utility_DisplayArrayInTable(Common_SourceData.Common_SourceData_AustralianStatesTerritories_Data(),Table_AustralianStates[[#Headers],[State/Territory]],0)</f>
        <v>Queensland</v>
      </c>
      <c r="E10" s="30" t="str" cm="1">
        <f t="array" ref="E10">Common_InputFunctions.Utility_DisplayArrayInTable(Common_SourceData.Common_SourceData_AustralianStatesTerritories_Data(),Table_AustralianStates[[#Headers],[State/Territory]],0)</f>
        <v>Queensland</v>
      </c>
      <c r="F10" s="30" t="str" cm="1">
        <f t="array" ref="F10">Common_InputFunctions.Utility_DisplayArrayInTable(Common_SourceData.Common_SourceData_AustralianStatesTerritories_Data(),Table_AustralianStates[[#Headers],[State/Territory]],0)</f>
        <v>QLD</v>
      </c>
    </row>
    <row r="11" spans="1:65" ht="20.100000000000001" customHeight="1" x14ac:dyDescent="0.25">
      <c r="A11" s="5" t="str">
        <f>HYPERLINK("#'Input - Crop'!A1", "Crop")</f>
        <v>Crop</v>
      </c>
      <c r="D11" s="30" t="str" cm="1">
        <f t="array" ref="D11">Common_InputFunctions.Utility_DisplayArrayInTable(Common_SourceData.Common_SourceData_AustralianStatesTerritories_Data(),Table_AustralianStates[[#Headers],[State/Territory]],0)</f>
        <v>South Australia</v>
      </c>
      <c r="E11" s="30" t="str" cm="1">
        <f t="array" ref="E11">Common_InputFunctions.Utility_DisplayArrayInTable(Common_SourceData.Common_SourceData_AustralianStatesTerritories_Data(),Table_AustralianStates[[#Headers],[State/Territory]],0)</f>
        <v>South Australia</v>
      </c>
      <c r="F11" s="30" t="str" cm="1">
        <f t="array" ref="F11">Common_InputFunctions.Utility_DisplayArrayInTable(Common_SourceData.Common_SourceData_AustralianStatesTerritories_Data(),Table_AustralianStates[[#Headers],[State/Territory]],0)</f>
        <v>SA</v>
      </c>
      <c r="BM11" s="35"/>
    </row>
    <row r="12" spans="1:65" ht="20.100000000000001" customHeight="1" x14ac:dyDescent="0.25">
      <c r="A12" s="5" t="str">
        <f>HYPERLINK("#'Input - Fert Prod System'!A1", "Fert Prod System")</f>
        <v>Fert Prod System</v>
      </c>
      <c r="D12" s="30" t="str" cm="1">
        <f t="array" ref="D12">Common_InputFunctions.Utility_DisplayArrayInTable(Common_SourceData.Common_SourceData_AustralianStatesTerritories_Data(),Table_AustralianStates[[#Headers],[State/Territory]],0)</f>
        <v>Western Australia</v>
      </c>
      <c r="E12" s="30" t="str" cm="1">
        <f t="array" ref="E12">Common_InputFunctions.Utility_DisplayArrayInTable(Common_SourceData.Common_SourceData_AustralianStatesTerritories_Data(),Table_AustralianStates[[#Headers],[State/Territory]],0)</f>
        <v>Western Australia</v>
      </c>
      <c r="F12" s="30" t="str" cm="1">
        <f t="array" ref="F12">Common_InputFunctions.Utility_DisplayArrayInTable(Common_SourceData.Common_SourceData_AustralianStatesTerritories_Data(),Table_AustralianStates[[#Headers],[State/Territory]],0)</f>
        <v>WA</v>
      </c>
      <c r="BM12" s="35"/>
    </row>
    <row r="13" spans="1:65" ht="20.100000000000001" customHeight="1" x14ac:dyDescent="0.25">
      <c r="A13" s="5" t="str">
        <f>HYPERLINK("#'Input - Fertiliser'!A1", "Fertiliser")</f>
        <v>Fertiliser</v>
      </c>
      <c r="D13" s="30" t="str" cm="1">
        <f t="array" ref="D13">Common_InputFunctions.Utility_DisplayArrayInTable(Common_SourceData.Common_SourceData_AustralianStatesTerritories_Data(),Table_AustralianStates[[#Headers],[State/Territory]],0)</f>
        <v>Tasmania</v>
      </c>
      <c r="E13" s="30" t="str" cm="1">
        <f t="array" ref="E13">Common_InputFunctions.Utility_DisplayArrayInTable(Common_SourceData.Common_SourceData_AustralianStatesTerritories_Data(),Table_AustralianStates[[#Headers],[State/Territory]],0)</f>
        <v>Tasmania</v>
      </c>
      <c r="F13" s="30" t="str" cm="1">
        <f t="array" ref="F13">Common_InputFunctions.Utility_DisplayArrayInTable(Common_SourceData.Common_SourceData_AustralianStatesTerritories_Data(),Table_AustralianStates[[#Headers],[State/Territory]],0)</f>
        <v>TAS</v>
      </c>
    </row>
    <row r="14" spans="1:65" ht="20.100000000000001" customHeight="1" x14ac:dyDescent="0.25">
      <c r="A14" s="5" t="str">
        <f>HYPERLINK("#'Input - Fuel'!A1", "Fuel")</f>
        <v>Fuel</v>
      </c>
      <c r="D14" s="30" t="str" cm="1">
        <f t="array" ref="D14">Common_InputFunctions.Utility_DisplayArrayInTable(Common_SourceData.Common_SourceData_AustralianStatesTerritories_Data(),Table_AustralianStates[[#Headers],[State/Territory]],0)</f>
        <v>Northern Territory</v>
      </c>
      <c r="E14" s="30" t="str" cm="1">
        <f t="array" ref="E14">Common_InputFunctions.Utility_DisplayArrayInTable(Common_SourceData.Common_SourceData_AustralianStatesTerritories_Data(),Table_AustralianStates[[#Headers],[State/Territory]],0)</f>
        <v>Northern Territory</v>
      </c>
      <c r="F14" s="30" t="str" cm="1">
        <f t="array" ref="F14">Common_InputFunctions.Utility_DisplayArrayInTable(Common_SourceData.Common_SourceData_AustralianStatesTerritories_Data(),Table_AustralianStates[[#Headers],[State/Territory]],0)</f>
        <v>NT</v>
      </c>
    </row>
    <row r="15" spans="1:65" ht="20.100000000000001" customHeight="1" x14ac:dyDescent="0.25">
      <c r="A15" s="5" t="str">
        <f>HYPERLINK("#'Input - Electricity'!A1", "Electricity")</f>
        <v>Electricity</v>
      </c>
    </row>
    <row r="16" spans="1:65" ht="20.100000000000001" customHeight="1" x14ac:dyDescent="0.25">
      <c r="A16" s="5" t="str">
        <f>HYPERLINK("#'Input - Farm Inputs'!A1", "Farm Inputs")</f>
        <v>Farm Inputs</v>
      </c>
    </row>
    <row r="17" spans="1:4" ht="20.100000000000001" customHeight="1" x14ac:dyDescent="0.25">
      <c r="A17" s="5" t="str">
        <f>HYPERLINK("#'Input - Freight'!A1", "Freight")</f>
        <v>Freight</v>
      </c>
    </row>
    <row r="18" spans="1:4" ht="20.100000000000001" customHeight="1" x14ac:dyDescent="0.25">
      <c r="A18" s="5" t="str">
        <f>HYPERLINK("#'Input - Manure sent off-site'!A1", "Manure sent off-site")</f>
        <v>Manure sent off-site</v>
      </c>
      <c r="D18" s="2" t="str" cm="1">
        <f t="array" ref="D18">Common_SourceData.Common_SourceData_WASA4Areas_Title()</f>
        <v>ABS Statistcal Areas Level 4 - Western Australia</v>
      </c>
    </row>
    <row r="19" spans="1:4" ht="20.100000000000001" customHeight="1" x14ac:dyDescent="0.25">
      <c r="A19" s="5" t="str">
        <f>HYPERLINK("#'Input - Solid waste'!A1", "Solid waste")</f>
        <v>Solid waste</v>
      </c>
      <c r="D19" s="27" t="str" cm="1">
        <f t="array" ref="D19">Common_SourceData.Common_SourceData_WASA4Areas_Source()</f>
        <v>Australian Bureau of Statistics (ABS) - Statistical Areas Level 2 - 2021 - Shapefile</v>
      </c>
    </row>
    <row r="20" spans="1:4" ht="20.100000000000001" customHeight="1" x14ac:dyDescent="0.25">
      <c r="A20" s="5" t="str">
        <f>HYPERLINK("#'Input - Data quality'!A1", "Data quality")</f>
        <v>Data quality</v>
      </c>
      <c r="D20" s="30" t="s">
        <v>24</v>
      </c>
    </row>
    <row r="21" spans="1:4" ht="20.100000000000001" customHeight="1" x14ac:dyDescent="0.25">
      <c r="A21"/>
      <c r="D21" s="30" t="str" cm="1">
        <f t="array" ref="D21">Common_InputFunctions.Utility_DisplayArrayInTable(Common_SourceData.Common_SourceData_WASA4Areas_Data(), Table_WASA4Areas[[#Headers],[SA 4 Name]], 0)</f>
        <v>Bunbury</v>
      </c>
    </row>
    <row r="22" spans="1:4" ht="20.100000000000001" customHeight="1" x14ac:dyDescent="0.25">
      <c r="A22"/>
      <c r="D22" s="30" t="str" cm="1">
        <f t="array" ref="D22">Common_InputFunctions.Utility_DisplayArrayInTable(Common_SourceData.Common_SourceData_WASA4Areas_Data(), Table_WASA4Areas[[#Headers],[SA 4 Name]], 0)</f>
        <v>Mandurah</v>
      </c>
    </row>
    <row r="23" spans="1:4" ht="20.100000000000001" customHeight="1" x14ac:dyDescent="0.25">
      <c r="A23" s="6" t="s">
        <v>2</v>
      </c>
      <c r="D23" s="30" t="str" cm="1">
        <f t="array" ref="D23">Common_InputFunctions.Utility_DisplayArrayInTable(Common_SourceData.Common_SourceData_WASA4Areas_Data(), Table_WASA4Areas[[#Headers],[SA 4 Name]], 0)</f>
        <v>Perth - Inner</v>
      </c>
    </row>
    <row r="24" spans="1:4" ht="20.100000000000001" customHeight="1" x14ac:dyDescent="0.25">
      <c r="A24" s="5" t="str">
        <f>HYPERLINK("#'5.1.1.1-2 Inorganic fert N2O'!A1", "5.1.1.1-2 Inorganic fert N2O")</f>
        <v>5.1.1.1-2 Inorganic fert N2O</v>
      </c>
      <c r="D24" s="30" t="str" cm="1">
        <f t="array" ref="D24">Common_InputFunctions.Utility_DisplayArrayInTable(Common_SourceData.Common_SourceData_WASA4Areas_Data(), Table_WASA4Areas[[#Headers],[SA 4 Name]], 0)</f>
        <v>Perth - North East</v>
      </c>
    </row>
    <row r="25" spans="1:4" ht="20.100000000000001" customHeight="1" x14ac:dyDescent="0.25">
      <c r="A25" s="5" t="str">
        <f>HYPERLINK("#'5.1.1.3-4 Inorganic fert CO2'!A1", "5.1.1.3-4 Inorganic fert CO2")</f>
        <v>5.1.1.3-4 Inorganic fert CO2</v>
      </c>
      <c r="D25" s="30" t="str" cm="1">
        <f t="array" ref="D25">Common_InputFunctions.Utility_DisplayArrayInTable(Common_SourceData.Common_SourceData_WASA4Areas_Data(), Table_WASA4Areas[[#Headers],[SA 4 Name]], 0)</f>
        <v>Perth - North West</v>
      </c>
    </row>
    <row r="26" spans="1:4" ht="20.100000000000001" customHeight="1" x14ac:dyDescent="0.25">
      <c r="A26" s="5" t="str">
        <f>HYPERLINK("#'5.2.1.1-2 Organic Fert N2O'!A1", "5.2.1.1-2 Organic fert N2O")</f>
        <v>5.2.1.1-2 Organic fert N2O</v>
      </c>
      <c r="D26" s="30" t="str" cm="1">
        <f t="array" ref="D26">Common_InputFunctions.Utility_DisplayArrayInTable(Common_SourceData.Common_SourceData_WASA4Areas_Data(), Table_WASA4Areas[[#Headers],[SA 4 Name]], 0)</f>
        <v>Perth - South East</v>
      </c>
    </row>
    <row r="27" spans="1:4" ht="20.100000000000001" customHeight="1" x14ac:dyDescent="0.25">
      <c r="A27" s="5" t="str">
        <f>HYPERLINK("#'5.3.1.1-2 Lime CO2'!A1", "5.3.1.1-2 Lime CO2")</f>
        <v>5.3.1.1-2 Lime CO2</v>
      </c>
      <c r="D27" s="30" t="str" cm="1">
        <f t="array" ref="D27">Common_InputFunctions.Utility_DisplayArrayInTable(Common_SourceData.Common_SourceData_WASA4Areas_Data(), Table_WASA4Areas[[#Headers],[SA 4 Name]], 0)</f>
        <v>Perth - South West</v>
      </c>
    </row>
    <row r="28" spans="1:4" ht="20.100000000000001" customHeight="1" x14ac:dyDescent="0.25">
      <c r="A28" s="5" t="str">
        <f>HYPERLINK("#'5.4.1.1-4 Atmos deposition'!A1", "5.4.1.1-4 Atmos. deposition")</f>
        <v>5.4.1.1-4 Atmos. deposition</v>
      </c>
      <c r="D28" s="30" t="str" cm="1">
        <f t="array" ref="D28">Common_InputFunctions.Utility_DisplayArrayInTable(Common_SourceData.Common_SourceData_WASA4Areas_Data(), Table_WASA4Areas[[#Headers],[SA 4 Name]], 0)</f>
        <v>Western Australia - Wheat Belt</v>
      </c>
    </row>
    <row r="29" spans="1:4" ht="20.100000000000001" customHeight="1" x14ac:dyDescent="0.25">
      <c r="A29" s="5" t="str">
        <f>HYPERLINK("#'5.5.1.1-2 Leaching and runoff'!A1", "5.5.1.1-2 Leaching &amp; runoff")</f>
        <v>5.5.1.1-2 Leaching &amp; runoff</v>
      </c>
      <c r="D29" s="30" t="str" cm="1">
        <f t="array" ref="D29">Common_InputFunctions.Utility_DisplayArrayInTable(Common_SourceData.Common_SourceData_WASA4Areas_Data(), Table_WASA4Areas[[#Headers],[SA 4 Name]], 0)</f>
        <v>Western Australia - Outback (North)</v>
      </c>
    </row>
    <row r="30" spans="1:4" ht="20.100000000000001" customHeight="1" x14ac:dyDescent="0.25">
      <c r="A30" s="5" t="str">
        <f>HYPERLINK("#'6.1.1.1-2 Crop residue N2O'!A1", "6.1.1.1-2 Crop residue N2O")</f>
        <v>6.1.1.1-2 Crop residue N2O</v>
      </c>
      <c r="D30" s="30" t="str" cm="1">
        <f t="array" ref="D30">Common_InputFunctions.Utility_DisplayArrayInTable(Common_SourceData.Common_SourceData_WASA4Areas_Data(), Table_WASA4Areas[[#Headers],[SA 4 Name]], 0)</f>
        <v>Western Australia - Outback (South)</v>
      </c>
    </row>
    <row r="31" spans="1:4" ht="20.100000000000001" customHeight="1" x14ac:dyDescent="0.25">
      <c r="A31" s="5" t="str">
        <f>HYPERLINK("#'6.3.1.1-2 Leach runoff crop'!A1", "6.3.1.1-2 Leach &amp; runoff (crop)")</f>
        <v>6.3.1.1-2 Leach &amp; runoff (crop)</v>
      </c>
    </row>
    <row r="32" spans="1:4" ht="20.100000000000001" customHeight="1" x14ac:dyDescent="0.25">
      <c r="A32" s="5" t="str">
        <f>HYPERLINK("#'6.4.1.1-2 Residue burning'!A1", "6.4.1.1-2 Residue burning")</f>
        <v>6.4.1.1-2 Residue burning</v>
      </c>
    </row>
    <row r="33" spans="1:8" ht="20.100000000000001" customHeight="1" x14ac:dyDescent="0.25">
      <c r="A33" s="5" t="str">
        <f>HYPERLINK("#'8.1.1.1-2 Transport fuel'!A1", "8.1.1.1-2 Transport fuel")</f>
        <v>8.1.1.1-2 Transport fuel</v>
      </c>
    </row>
    <row r="34" spans="1:8" ht="20.100000000000001" customHeight="1" x14ac:dyDescent="0.25">
      <c r="A34" s="5" t="str">
        <f>HYPERLINK("#'8.2.1.1-2 Stationary fuel'!A1", "8.2.1.1-2 Stationary fuel")</f>
        <v>8.2.1.1-2 Stationary fuel</v>
      </c>
      <c r="D34" s="2" t="str" cm="1">
        <f t="array" ref="D34">Common_SourceData.Common_SourceData_GWP_Title()</f>
        <v>Global warming potential for greenhouse gases</v>
      </c>
    </row>
    <row r="35" spans="1:8" ht="20.100000000000001" customHeight="1" x14ac:dyDescent="0.25">
      <c r="A35" s="5" t="str">
        <f>HYPERLINK("#'14.1.1-2 Purchased electricity'!A1", "14.1.1-2 Purchased electricity")</f>
        <v>14.1.1-2 Purchased electricity</v>
      </c>
      <c r="D35" s="27" t="str" cm="1">
        <f t="array" ref="D35">Common_SourceData.Common_SourceData_GWP_Source()</f>
        <v>XXXXXXX</v>
      </c>
    </row>
    <row r="36" spans="1:8" ht="20.100000000000001" customHeight="1" x14ac:dyDescent="0.25">
      <c r="A36" s="5" t="str">
        <f>HYPERLINK("#'15 Scope 3'!A1", "15 Scope 3")</f>
        <v>15 Scope 3</v>
      </c>
      <c r="D36" s="30" t="s">
        <v>25</v>
      </c>
      <c r="E36" s="30" t="s">
        <v>26</v>
      </c>
    </row>
    <row r="37" spans="1:8" ht="20.100000000000001" customHeight="1" x14ac:dyDescent="0.25">
      <c r="A37" s="5" t="str">
        <f>HYPERLINK("#'Calcs - Manure sent off-site'!A1", "Calcs - Manure sent off-site")</f>
        <v>Calcs - Manure sent off-site</v>
      </c>
      <c r="D37" s="30" t="str" cm="1">
        <f t="array" ref="D37">Common_InputFunctions.Utility_DisplayArrayInTable(Common_SourceData.Common_SourceData_GWP_Data(), Table_GWPData[[#Headers],[Gas]], 0)</f>
        <v>CO2</v>
      </c>
      <c r="E37" s="30" cm="1">
        <f t="array" ref="E37">Common_InputFunctions.Utility_DisplayArrayInTable(Common_SourceData.Common_SourceData_GWP_Data(), Table_GWPData[[#Headers],[Gas]], 0)</f>
        <v>1</v>
      </c>
    </row>
    <row r="38" spans="1:8" ht="20.100000000000001" customHeight="1" x14ac:dyDescent="0.25">
      <c r="A38" s="5" t="str">
        <f>HYPERLINK("#'10.1.1-2 Solid waste treatment'!A1", "10.1.1-2 Solid waste treatment")</f>
        <v>10.1.1-2 Solid waste treatment</v>
      </c>
      <c r="D38" s="30" t="str" cm="1">
        <f t="array" ref="D38">Common_InputFunctions.Utility_DisplayArrayInTable(Common_SourceData.Common_SourceData_GWP_Data(), Table_GWPData[[#Headers],[Gas]], 0)</f>
        <v>CH4</v>
      </c>
      <c r="E38" s="30" cm="1">
        <f t="array" ref="E38">Common_InputFunctions.Utility_DisplayArrayInTable(Common_SourceData.Common_SourceData_GWP_Data(), Table_GWPData[[#Headers],[Gas]], 0)</f>
        <v>28</v>
      </c>
    </row>
    <row r="39" spans="1:8" ht="20.100000000000001" customHeight="1" x14ac:dyDescent="0.25">
      <c r="A39"/>
      <c r="D39" s="30" t="str" cm="1">
        <f t="array" ref="D39">Common_InputFunctions.Utility_DisplayArrayInTable(Common_SourceData.Common_SourceData_GWP_Data(), Table_GWPData[[#Headers],[Gas]], 0)</f>
        <v>N2O</v>
      </c>
      <c r="E39" s="30" cm="1">
        <f t="array" ref="E39">Common_InputFunctions.Utility_DisplayArrayInTable(Common_SourceData.Common_SourceData_GWP_Data(), Table_GWPData[[#Headers],[Gas]], 0)</f>
        <v>265</v>
      </c>
    </row>
    <row r="40" spans="1:8" ht="20.100000000000001" customHeight="1" x14ac:dyDescent="0.25">
      <c r="A40"/>
      <c r="D40" s="30" t="str" cm="1">
        <f t="array" ref="D40">Common_InputFunctions.Utility_DisplayArrayInTable(Common_SourceData.Common_SourceData_GWP_Data(), Table_GWPData[[#Headers],[Gas]], 0)</f>
        <v>CF4</v>
      </c>
      <c r="E40" s="30" cm="1">
        <f t="array" ref="E40">Common_InputFunctions.Utility_DisplayArrayInTable(Common_SourceData.Common_SourceData_GWP_Data(), Table_GWPData[[#Headers],[Gas]], 0)</f>
        <v>6630</v>
      </c>
    </row>
    <row r="41" spans="1:8" ht="20.100000000000001" customHeight="1" x14ac:dyDescent="0.25">
      <c r="A41" s="121" t="s">
        <v>1</v>
      </c>
      <c r="D41" s="30" t="str" cm="1">
        <f t="array" ref="D41">Common_InputFunctions.Utility_DisplayArrayInTable(Common_SourceData.Common_SourceData_GWP_Data(), Table_GWPData[[#Headers],[Gas]], 0)</f>
        <v>C2F6</v>
      </c>
      <c r="E41" s="30" cm="1">
        <f t="array" ref="E41">Common_InputFunctions.Utility_DisplayArrayInTable(Common_SourceData.Common_SourceData_GWP_Data(), Table_GWPData[[#Headers],[Gas]], 0)</f>
        <v>12200</v>
      </c>
    </row>
    <row r="42" spans="1:8" ht="20.100000000000001" customHeight="1" x14ac:dyDescent="0.25">
      <c r="A42" s="5" t="str">
        <f>HYPERLINK("#'Constants - Ag Residue'!A1", "Constants - Ag residue")</f>
        <v>Constants - Ag residue</v>
      </c>
      <c r="D42" s="30" t="str" cm="1">
        <f t="array" ref="D42">Common_InputFunctions.Utility_DisplayArrayInTable(Common_SourceData.Common_SourceData_GWP_Data(), Table_GWPData[[#Headers],[Gas]], 0)</f>
        <v>SF6</v>
      </c>
      <c r="E42" s="30" cm="1">
        <f t="array" ref="E42">Common_InputFunctions.Utility_DisplayArrayInTable(Common_SourceData.Common_SourceData_GWP_Data(), Table_GWPData[[#Headers],[Gas]], 0)</f>
        <v>22800</v>
      </c>
    </row>
    <row r="43" spans="1:8" ht="20.100000000000001" customHeight="1" x14ac:dyDescent="0.25">
      <c r="A43" s="5" t="str">
        <f>HYPERLINK("#'Constants - Common Livestock'!A1", "Constants - Common Livestock")</f>
        <v>Constants - Common Livestock</v>
      </c>
      <c r="D43" s="30" t="str" cm="1">
        <f t="array" ref="D43">Common_InputFunctions.Utility_DisplayArrayInTable(Common_SourceData.Common_SourceData_GWP_Data(), Table_GWPData[[#Headers],[Gas]], 0)</f>
        <v>NF3</v>
      </c>
      <c r="E43" s="30" cm="1">
        <f t="array" ref="E43">Common_InputFunctions.Utility_DisplayArrayInTable(Common_SourceData.Common_SourceData_GWP_Data(), Table_GWPData[[#Headers],[Gas]], 0)</f>
        <v>17200</v>
      </c>
    </row>
    <row r="44" spans="1:8" ht="20.100000000000001" customHeight="1" x14ac:dyDescent="0.25">
      <c r="A44" s="5" t="str">
        <f>HYPERLINK("#'Constants - Electricity'!A1", "Constants - Electricity")</f>
        <v>Constants - Electricity</v>
      </c>
    </row>
    <row r="45" spans="1:8" ht="20.100000000000001" customHeight="1" x14ac:dyDescent="0.25">
      <c r="A45" s="5" t="str">
        <f>HYPERLINK("#'Constants - Fertiliser'!A1", "Constants - Fertiliser")</f>
        <v>Constants - Fertiliser</v>
      </c>
      <c r="D45" s="2" t="str" cm="1">
        <f t="array" ref="D45">Common_SourceData.Common_SourceData_ConvertGasElementalToMolecular_Title()</f>
        <v>Factor to convert elemental mass of gas to molecular mass</v>
      </c>
    </row>
    <row r="46" spans="1:8" ht="20.100000000000001" customHeight="1" x14ac:dyDescent="0.25">
      <c r="A46" s="5" t="str">
        <f>HYPERLINK("#'Constants - Fuel'!A1", "Constants - Fuel")</f>
        <v>Constants - Fuel</v>
      </c>
      <c r="D46" s="27" t="str" cm="1">
        <f t="array" ref="D46">Common_SourceData.Common_SourceData_ConvertGasElementalToMolecular_Source()</f>
        <v>XXXXXXX</v>
      </c>
    </row>
    <row r="47" spans="1:8" ht="20.100000000000001" customHeight="1" x14ac:dyDescent="0.25">
      <c r="A47" s="5" t="str">
        <f>HYPERLINK("#'Constants - Scope 3'!A1", "Constants - Scope 3")</f>
        <v>Constants - Scope 3</v>
      </c>
      <c r="D47" s="30" t="s">
        <v>25</v>
      </c>
      <c r="E47" s="30" t="s">
        <v>27</v>
      </c>
      <c r="F47" s="30" t="s">
        <v>28</v>
      </c>
      <c r="G47" s="30" t="s">
        <v>29</v>
      </c>
      <c r="H47" s="30" t="s">
        <v>30</v>
      </c>
    </row>
    <row r="48" spans="1:8" ht="20.100000000000001" customHeight="1" x14ac:dyDescent="0.25">
      <c r="A48" s="172" t="str">
        <f>HYPERLINK("#'Constants - Common'!A1", "Constants - Common")</f>
        <v>Constants - Common</v>
      </c>
      <c r="D48" s="30" t="str" cm="1">
        <f t="array" ref="D48">Common_InputFunctions.Utility_DisplayArrayInTable(Common_SourceData.Common_SourceData_ConvertGasElementalToMolecular_Data(),Table_GasToMolecularConversionFactor[[#Headers],[Gas]], 0)</f>
        <v>CO2</v>
      </c>
      <c r="E48" s="30" t="str" cm="1">
        <f t="array" ref="E48">Common_InputFunctions.Utility_DisplayArrayInTable(Common_SourceData.Common_SourceData_ConvertGasElementalToMolecular_Data(),Table_GasToMolecularConversionFactor[[#Headers],[Gas]], 0)</f>
        <v>44/12</v>
      </c>
      <c r="F48" s="30" cm="1">
        <f t="array" ref="F48">Common_InputFunctions.Utility_DisplayArrayInTable(Common_SourceData.Common_SourceData_ConvertGasElementalToMolecular_Data(),Table_GasToMolecularConversionFactor[[#Headers],[Gas]], 0)</f>
        <v>44</v>
      </c>
      <c r="G48" s="30" cm="1">
        <f t="array" ref="G48">Common_InputFunctions.Utility_DisplayArrayInTable(Common_SourceData.Common_SourceData_ConvertGasElementalToMolecular_Data(),Table_GasToMolecularConversionFactor[[#Headers],[Gas]], 0)</f>
        <v>12</v>
      </c>
      <c r="H48" s="30">
        <f>Table_GasToMolecularConversionFactor[[#This Row],[Conversion factor 1]]/Table_GasToMolecularConversionFactor[[#This Row],[Conversion factor 2]]</f>
        <v>3.6666666666666665</v>
      </c>
    </row>
    <row r="49" spans="1:8" ht="20.100000000000001" customHeight="1" x14ac:dyDescent="0.25">
      <c r="A49" s="5" t="str">
        <f>HYPERLINK("#'Constants - Solid Waste'!A1", "Constants - Solid Waste")</f>
        <v>Constants - Solid Waste</v>
      </c>
      <c r="D49" s="30" t="str" cm="1">
        <f t="array" ref="D49">Common_InputFunctions.Utility_DisplayArrayInTable(Common_SourceData.Common_SourceData_ConvertGasElementalToMolecular_Data(),Table_GasToMolecularConversionFactor[[#Headers],[Gas]], 0)</f>
        <v>CH4</v>
      </c>
      <c r="E49" s="30" t="str" cm="1">
        <f t="array" ref="E49">Common_InputFunctions.Utility_DisplayArrayInTable(Common_SourceData.Common_SourceData_ConvertGasElementalToMolecular_Data(),Table_GasToMolecularConversionFactor[[#Headers],[Gas]], 0)</f>
        <v>16/12</v>
      </c>
      <c r="F49" s="30" cm="1">
        <f t="array" ref="F49">Common_InputFunctions.Utility_DisplayArrayInTable(Common_SourceData.Common_SourceData_ConvertGasElementalToMolecular_Data(),Table_GasToMolecularConversionFactor[[#Headers],[Gas]], 0)</f>
        <v>16</v>
      </c>
      <c r="G49" s="30" cm="1">
        <f t="array" ref="G49">Common_InputFunctions.Utility_DisplayArrayInTable(Common_SourceData.Common_SourceData_ConvertGasElementalToMolecular_Data(),Table_GasToMolecularConversionFactor[[#Headers],[Gas]], 0)</f>
        <v>12</v>
      </c>
      <c r="H49" s="30">
        <f>Table_GasToMolecularConversionFactor[[#This Row],[Conversion factor 1]]/Table_GasToMolecularConversionFactor[[#This Row],[Conversion factor 2]]</f>
        <v>1.3333333333333333</v>
      </c>
    </row>
    <row r="50" spans="1:8" ht="20.100000000000001" customHeight="1" x14ac:dyDescent="0.25">
      <c r="A50"/>
      <c r="D50" s="30" t="str" cm="1">
        <f t="array" ref="D50">Common_InputFunctions.Utility_DisplayArrayInTable(Common_SourceData.Common_SourceData_ConvertGasElementalToMolecular_Data(),Table_GasToMolecularConversionFactor[[#Headers],[Gas]], 0)</f>
        <v>N2O</v>
      </c>
      <c r="E50" s="30" t="str" cm="1">
        <f t="array" ref="E50">Common_InputFunctions.Utility_DisplayArrayInTable(Common_SourceData.Common_SourceData_ConvertGasElementalToMolecular_Data(),Table_GasToMolecularConversionFactor[[#Headers],[Gas]], 0)</f>
        <v>44/28</v>
      </c>
      <c r="F50" s="30" cm="1">
        <f t="array" ref="F50">Common_InputFunctions.Utility_DisplayArrayInTable(Common_SourceData.Common_SourceData_ConvertGasElementalToMolecular_Data(),Table_GasToMolecularConversionFactor[[#Headers],[Gas]], 0)</f>
        <v>44</v>
      </c>
      <c r="G50" s="30" cm="1">
        <f t="array" ref="G50">Common_InputFunctions.Utility_DisplayArrayInTable(Common_SourceData.Common_SourceData_ConvertGasElementalToMolecular_Data(),Table_GasToMolecularConversionFactor[[#Headers],[Gas]], 0)</f>
        <v>28</v>
      </c>
      <c r="H50" s="30">
        <f>Table_GasToMolecularConversionFactor[[#This Row],[Conversion factor 1]]/Table_GasToMolecularConversionFactor[[#This Row],[Conversion factor 2]]</f>
        <v>1.5714285714285714</v>
      </c>
    </row>
    <row r="51" spans="1:8" ht="20.100000000000001" customHeight="1" x14ac:dyDescent="0.25">
      <c r="A51"/>
      <c r="D51" s="30" t="str" cm="1">
        <f t="array" ref="D51">Common_InputFunctions.Utility_DisplayArrayInTable(Common_SourceData.Common_SourceData_ConvertGasElementalToMolecular_Data(),Table_GasToMolecularConversionFactor[[#Headers],[Gas]], 0)</f>
        <v>Nox</v>
      </c>
      <c r="E51" s="30" t="str" cm="1">
        <f t="array" ref="E51">Common_InputFunctions.Utility_DisplayArrayInTable(Common_SourceData.Common_SourceData_ConvertGasElementalToMolecular_Data(),Table_GasToMolecularConversionFactor[[#Headers],[Gas]], 0)</f>
        <v>46/14</v>
      </c>
      <c r="F51" s="30" cm="1">
        <f t="array" ref="F51">Common_InputFunctions.Utility_DisplayArrayInTable(Common_SourceData.Common_SourceData_ConvertGasElementalToMolecular_Data(),Table_GasToMolecularConversionFactor[[#Headers],[Gas]], 0)</f>
        <v>46</v>
      </c>
      <c r="G51" s="30" cm="1">
        <f t="array" ref="G51">Common_InputFunctions.Utility_DisplayArrayInTable(Common_SourceData.Common_SourceData_ConvertGasElementalToMolecular_Data(),Table_GasToMolecularConversionFactor[[#Headers],[Gas]], 0)</f>
        <v>14</v>
      </c>
      <c r="H51" s="30">
        <f>Table_GasToMolecularConversionFactor[[#This Row],[Conversion factor 1]]/Table_GasToMolecularConversionFactor[[#This Row],[Conversion factor 2]]</f>
        <v>3.2857142857142856</v>
      </c>
    </row>
    <row r="52" spans="1:8" ht="20.100000000000001" customHeight="1" x14ac:dyDescent="0.25">
      <c r="A52"/>
      <c r="D52" s="30" t="str" cm="1">
        <f t="array" ref="D52">Common_InputFunctions.Utility_DisplayArrayInTable(Common_SourceData.Common_SourceData_ConvertGasElementalToMolecular_Data(),Table_GasToMolecularConversionFactor[[#Headers],[Gas]], 0)</f>
        <v>CO</v>
      </c>
      <c r="E52" s="30" t="str" cm="1">
        <f t="array" ref="E52">Common_InputFunctions.Utility_DisplayArrayInTable(Common_SourceData.Common_SourceData_ConvertGasElementalToMolecular_Data(),Table_GasToMolecularConversionFactor[[#Headers],[Gas]], 0)</f>
        <v>28/12</v>
      </c>
      <c r="F52" s="30" cm="1">
        <f t="array" ref="F52">Common_InputFunctions.Utility_DisplayArrayInTable(Common_SourceData.Common_SourceData_ConvertGasElementalToMolecular_Data(),Table_GasToMolecularConversionFactor[[#Headers],[Gas]], 0)</f>
        <v>28</v>
      </c>
      <c r="G52" s="30" cm="1">
        <f t="array" ref="G52">Common_InputFunctions.Utility_DisplayArrayInTable(Common_SourceData.Common_SourceData_ConvertGasElementalToMolecular_Data(),Table_GasToMolecularConversionFactor[[#Headers],[Gas]], 0)</f>
        <v>12</v>
      </c>
      <c r="H52" s="30">
        <f>Table_GasToMolecularConversionFactor[[#This Row],[Conversion factor 1]]/Table_GasToMolecularConversionFactor[[#This Row],[Conversion factor 2]]</f>
        <v>2.3333333333333335</v>
      </c>
    </row>
    <row r="53" spans="1:8" ht="20.100000000000001" customHeight="1" x14ac:dyDescent="0.25">
      <c r="A53"/>
      <c r="D53" s="30" t="str" cm="1">
        <f t="array" ref="D53">Common_InputFunctions.Utility_DisplayArrayInTable(Common_SourceData.Common_SourceData_ConvertGasElementalToMolecular_Data(),Table_GasToMolecularConversionFactor[[#Headers],[Gas]], 0)</f>
        <v>CO2 Lime</v>
      </c>
      <c r="E53" s="30" t="str" cm="1">
        <f t="array" ref="E53">Common_InputFunctions.Utility_DisplayArrayInTable(Common_SourceData.Common_SourceData_ConvertGasElementalToMolecular_Data(),Table_GasToMolecularConversionFactor[[#Headers],[Gas]], 0)</f>
        <v>44/12</v>
      </c>
      <c r="F53" s="30" cm="1">
        <f t="array" ref="F53">Common_InputFunctions.Utility_DisplayArrayInTable(Common_SourceData.Common_SourceData_ConvertGasElementalToMolecular_Data(),Table_GasToMolecularConversionFactor[[#Headers],[Gas]], 0)</f>
        <v>44</v>
      </c>
      <c r="G53" s="30" cm="1">
        <f t="array" ref="G53">Common_InputFunctions.Utility_DisplayArrayInTable(Common_SourceData.Common_SourceData_ConvertGasElementalToMolecular_Data(),Table_GasToMolecularConversionFactor[[#Headers],[Gas]], 0)</f>
        <v>12</v>
      </c>
      <c r="H53" s="30">
        <f>Table_GasToMolecularConversionFactor[[#This Row],[Conversion factor 1]]/Table_GasToMolecularConversionFactor[[#This Row],[Conversion factor 2]]</f>
        <v>3.6666666666666665</v>
      </c>
    </row>
    <row r="54" spans="1:8" ht="20.100000000000001" customHeight="1" x14ac:dyDescent="0.25">
      <c r="A54"/>
      <c r="D54" s="30" t="str" cm="1">
        <f t="array" ref="D54">Common_InputFunctions.Utility_DisplayArrayInTable(Common_SourceData.Common_SourceData_ConvertGasElementalToMolecular_Data(),Table_GasToMolecularConversionFactor[[#Headers],[Gas]], 0)</f>
        <v>NMVOC</v>
      </c>
      <c r="E54" s="30" t="str" cm="1">
        <f t="array" ref="E54">Common_InputFunctions.Utility_DisplayArrayInTable(Common_SourceData.Common_SourceData_ConvertGasElementalToMolecular_Data(),Table_GasToMolecularConversionFactor[[#Headers],[Gas]], 0)</f>
        <v>14/12</v>
      </c>
      <c r="F54" s="30" cm="1">
        <f t="array" ref="F54">Common_InputFunctions.Utility_DisplayArrayInTable(Common_SourceData.Common_SourceData_ConvertGasElementalToMolecular_Data(),Table_GasToMolecularConversionFactor[[#Headers],[Gas]], 0)</f>
        <v>14</v>
      </c>
      <c r="G54" s="30" cm="1">
        <f t="array" ref="G54">Common_InputFunctions.Utility_DisplayArrayInTable(Common_SourceData.Common_SourceData_ConvertGasElementalToMolecular_Data(),Table_GasToMolecularConversionFactor[[#Headers],[Gas]], 0)</f>
        <v>12</v>
      </c>
      <c r="H54" s="3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2" t="str" cm="1">
        <f t="array" ref="D57">Common_SourceData.Common_SourceData_WetAndDryZones_Title()</f>
        <v>VEERG Australian wet and dry zones</v>
      </c>
    </row>
    <row r="58" spans="1:8" ht="20.100000000000001" customHeight="1" x14ac:dyDescent="0.25">
      <c r="A58"/>
      <c r="D58" s="27" t="str" cm="1">
        <f t="array" ref="D58">Common_SourceData.Common_SourceData_WetAndDryZones_Source()</f>
        <v>VEERG 2026: Table 1.2: Translating climate zones to wet and dry zones</v>
      </c>
    </row>
    <row r="59" spans="1:8" ht="20.100000000000001" customHeight="1" x14ac:dyDescent="0.25">
      <c r="A59"/>
      <c r="D59" s="36" t="str" cm="1">
        <f t="array" ref="D59:D61">"⚠️" &amp; Common_SourceData.Common_SourceData_WetAndDryZones_Variation()</f>
        <v>⚠️VARIATION OF SOURCE DATA:</v>
      </c>
    </row>
    <row r="60" spans="1:8" ht="20.100000000000001" customHeight="1" x14ac:dyDescent="0.25">
      <c r="A60"/>
      <c r="D60" s="36" t="str">
        <v>⚠️Added warm / cool temperate moist / dry - low frost and high temp classes to accommodate climate scenarios excluded by VEERG criteria.</v>
      </c>
    </row>
    <row r="61" spans="1:8" ht="20.100000000000001" customHeight="1" x14ac:dyDescent="0.25">
      <c r="A61"/>
      <c r="D61" s="36" t="str">
        <v>⚠️Fixed typo - Changed 'Fry' to 'Dry'.</v>
      </c>
    </row>
    <row r="62" spans="1:8" ht="20.100000000000001" customHeight="1" x14ac:dyDescent="0.25">
      <c r="A62"/>
    </row>
    <row r="63" spans="1:8" ht="20.100000000000001" customHeight="1" x14ac:dyDescent="0.25">
      <c r="A63"/>
      <c r="D63" s="30" t="s">
        <v>31</v>
      </c>
      <c r="E63" s="30" t="s">
        <v>32</v>
      </c>
    </row>
    <row r="64" spans="1:8" ht="20.100000000000001" customHeight="1" x14ac:dyDescent="0.25">
      <c r="A64"/>
      <c r="D64" s="30" t="str" cm="1">
        <f t="array" ref="D64">Common_InputFunctions.Utility_DisplayArrayInTable(Common_SourceData.Common_SourceData_WetAndDryZones_Data(), Table_SourceData_WetDryZones[[#Headers],[Climate zone]], 0)</f>
        <v>Tropical montane</v>
      </c>
      <c r="E64" s="3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0" t="str" cm="1">
        <f t="array" ref="D65">Common_InputFunctions.Utility_DisplayArrayInTable(Common_SourceData.Common_SourceData_WetAndDryZones_Data(), Table_SourceData_WetDryZones[[#Headers],[Climate zone]], 0)</f>
        <v>Tropical wet</v>
      </c>
      <c r="E65" s="3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0" t="str" cm="1">
        <f t="array" ref="D66">Common_InputFunctions.Utility_DisplayArrayInTable(Common_SourceData.Common_SourceData_WetAndDryZones_Data(), Table_SourceData_WetDryZones[[#Headers],[Climate zone]], 0)</f>
        <v>Tropical moist</v>
      </c>
      <c r="E66" s="3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0" t="str" cm="1">
        <f t="array" ref="D67">Common_InputFunctions.Utility_DisplayArrayInTable(Common_SourceData.Common_SourceData_WetAndDryZones_Data(), Table_SourceData_WetDryZones[[#Headers],[Climate zone]], 0)</f>
        <v>Tropical dry</v>
      </c>
      <c r="E67" s="3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0" t="str" cm="1">
        <f t="array" ref="D68">Common_InputFunctions.Utility_DisplayArrayInTable(Common_SourceData.Common_SourceData_WetAndDryZones_Data(), Table_SourceData_WetDryZones[[#Headers],[Climate zone]], 0)</f>
        <v>Warm temperate moist</v>
      </c>
      <c r="E68" s="3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0" t="str" cm="1">
        <f t="array" ref="D69">Common_InputFunctions.Utility_DisplayArrayInTable(Common_SourceData.Common_SourceData_WetAndDryZones_Data(), Table_SourceData_WetDryZones[[#Headers],[Climate zone]], 0)</f>
        <v>Warm temperate dry</v>
      </c>
      <c r="E69" s="3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0" t="str" cm="1">
        <f t="array" ref="D70">Common_InputFunctions.Utility_DisplayArrayInTable(Common_SourceData.Common_SourceData_WetAndDryZones_Data(), Table_SourceData_WetDryZones[[#Headers],[Climate zone]], 0)</f>
        <v>Cool temperate moist</v>
      </c>
      <c r="E70" s="3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0" t="str" cm="1">
        <f t="array" ref="D71">Common_InputFunctions.Utility_DisplayArrayInTable(Common_SourceData.Common_SourceData_WetAndDryZones_Data(), Table_SourceData_WetDryZones[[#Headers],[Climate zone]], 0)</f>
        <v>Cool temperate dry</v>
      </c>
      <c r="E71" s="3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0" t="str" cm="1">
        <f t="array" ref="D72">Common_InputFunctions.Utility_DisplayArrayInTable(Common_SourceData.Common_SourceData_WetAndDryZones_Data(), Table_SourceData_WetDryZones[[#Headers],[Climate zone]], 0)</f>
        <v>Warm temperate moist - low frost</v>
      </c>
      <c r="E72" s="3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0" t="str" cm="1">
        <f t="array" ref="D73">Common_InputFunctions.Utility_DisplayArrayInTable(Common_SourceData.Common_SourceData_WetAndDryZones_Data(), Table_SourceData_WetDryZones[[#Headers],[Climate zone]], 0)</f>
        <v>Warm temperate dry - low frost</v>
      </c>
      <c r="E73" s="3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0" t="str" cm="1">
        <f t="array" ref="D74">Common_InputFunctions.Utility_DisplayArrayInTable(Common_SourceData.Common_SourceData_WetAndDryZones_Data(), Table_SourceData_WetDryZones[[#Headers],[Climate zone]], 0)</f>
        <v>Warm temperate moist - high temp</v>
      </c>
      <c r="E74" s="3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0" t="str" cm="1">
        <f t="array" ref="D75">Common_InputFunctions.Utility_DisplayArrayInTable(Common_SourceData.Common_SourceData_WetAndDryZones_Data(), Table_SourceData_WetDryZones[[#Headers],[Climate zone]], 0)</f>
        <v>Warm temperate dry - high temp</v>
      </c>
      <c r="E75" s="3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0" t="str" cm="1">
        <f t="array" ref="D76">Common_InputFunctions.Utility_DisplayArrayInTable(Common_SourceData.Common_SourceData_WetAndDryZones_Data(), Table_SourceData_WetDryZones[[#Headers],[Climate zone]], 0)</f>
        <v>Cool temperate moist - low frost</v>
      </c>
      <c r="E76" s="3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0" t="str" cm="1">
        <f t="array" ref="D77">Common_InputFunctions.Utility_DisplayArrayInTable(Common_SourceData.Common_SourceData_WetAndDryZones_Data(), Table_SourceData_WetDryZones[[#Headers],[Climate zone]], 0)</f>
        <v>Cool temperate dry - low frost</v>
      </c>
      <c r="E77" s="3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2" t="str" cm="1">
        <f t="array" ref="D81">Common_SourceData.Common_SourceData_ClimateZones_Title()</f>
        <v>VEERG Australian climate zones</v>
      </c>
    </row>
    <row r="82" spans="1:20" ht="20.100000000000001" customHeight="1" x14ac:dyDescent="0.25">
      <c r="A82"/>
      <c r="D82" s="27" t="str" cm="1">
        <f t="array" ref="D82">Common_SourceData.Common_SourceData_ClimateZones_Source()</f>
        <v>VEERG 2026: Table 1.3: Climate and Rainfall zone classifications and definitions</v>
      </c>
    </row>
    <row r="83" spans="1:20" ht="20.100000000000001" customHeight="1" x14ac:dyDescent="0.25">
      <c r="A83"/>
      <c r="D83" s="36" t="str" cm="1">
        <f t="array" ref="D83:D87">"⚠️" &amp; Common_SourceData.Common_SourceData_ClimateZones_Variation()</f>
        <v>⚠️VARIATION OF SOURCE DATA:</v>
      </c>
    </row>
    <row r="84" spans="1:20" ht="20.100000000000001" customHeight="1" x14ac:dyDescent="0.25">
      <c r="A84"/>
      <c r="D84" s="36" t="str">
        <v>⚠️Added warm / cool temperate moist / dry - low frost and high temp classes to accommodate climate scenarios excluded by VEERG criteria.</v>
      </c>
    </row>
    <row r="85" spans="1:20" ht="20.100000000000001" customHeight="1" x14ac:dyDescent="0.25">
      <c r="A85"/>
      <c r="D85" s="36" t="str">
        <v>⚠️Fixed typo in MAT value for warm temperate dry - changed 10 to 11.</v>
      </c>
    </row>
    <row r="86" spans="1:20" ht="20.100000000000001" customHeight="1" x14ac:dyDescent="0.25">
      <c r="A86"/>
      <c r="D86" s="36" t="str">
        <v>⚠️Added min and max columns for MAT, MAP, frost days per year, elevation, MAP:PET to calculate zones from real climate data.</v>
      </c>
    </row>
    <row r="87" spans="1:20" ht="20.100000000000001" customHeight="1" x14ac:dyDescent="0.25">
      <c r="A87"/>
      <c r="D87" s="36" t="str">
        <v>⚠️GAF accepts rainfall as a proxy for precipitation.</v>
      </c>
    </row>
    <row r="88" spans="1:20" ht="20.100000000000001" customHeight="1" x14ac:dyDescent="0.25">
      <c r="A88"/>
    </row>
    <row r="89" spans="1:20" ht="20.100000000000001" customHeight="1" x14ac:dyDescent="0.25">
      <c r="A89"/>
      <c r="D89" s="30" t="s">
        <v>31</v>
      </c>
      <c r="E89" s="30" t="s">
        <v>33</v>
      </c>
      <c r="F89" s="30" t="s">
        <v>34</v>
      </c>
      <c r="G89" s="30" t="s">
        <v>35</v>
      </c>
      <c r="H89" s="30" t="s">
        <v>36</v>
      </c>
      <c r="I89" s="30" t="s">
        <v>37</v>
      </c>
      <c r="J89" s="30" t="s">
        <v>38</v>
      </c>
      <c r="K89" s="30" t="s">
        <v>39</v>
      </c>
      <c r="L89" s="30" t="s">
        <v>40</v>
      </c>
      <c r="M89" s="30" t="s">
        <v>41</v>
      </c>
      <c r="N89" s="30" t="s">
        <v>42</v>
      </c>
      <c r="O89" s="30" t="s">
        <v>43</v>
      </c>
      <c r="P89" s="30" t="s">
        <v>44</v>
      </c>
      <c r="Q89" s="30" t="s">
        <v>45</v>
      </c>
      <c r="R89" s="30" t="s">
        <v>46</v>
      </c>
      <c r="S89" s="30" t="s">
        <v>47</v>
      </c>
      <c r="T89" s="30"/>
    </row>
    <row r="90" spans="1:20" ht="20.100000000000001" customHeight="1" x14ac:dyDescent="0.25">
      <c r="A90"/>
      <c r="D90" s="30" t="str" cm="1">
        <f t="array" ref="D90">Common_InputFunctions.Utility_DisplayArrayInTable(Common_SourceData.Common_SourceData_ClimateZones_Data(), Table_SourceData_ClimateZones[[#Headers],[Climate zone]], 0)</f>
        <v>Tropical montane</v>
      </c>
      <c r="E90" s="30" t="str" cm="1">
        <f t="array" ref="E90">Common_InputFunctions.Utility_DisplayArrayInTable(Common_SourceData.Common_SourceData_ClimateZones_Data(), Table_SourceData_ClimateZones[[#Headers],[Climate zone]], 0)</f>
        <v>&gt; 18 C</v>
      </c>
      <c r="F90" s="30" t="str" cm="1">
        <f t="array" ref="F90">Common_InputFunctions.Utility_DisplayArrayInTable(Common_SourceData.Common_SourceData_ClimateZones_Data(), Table_SourceData_ClimateZones[[#Headers],[Climate zone]], 0)</f>
        <v>Any</v>
      </c>
      <c r="G90" s="30" t="str" cm="1">
        <f t="array" ref="G90">Common_InputFunctions.Utility_DisplayArrayInTable(Common_SourceData.Common_SourceData_ClimateZones_Data(), Table_SourceData_ClimateZones[[#Headers],[Climate zone]], 0)</f>
        <v>≤ 7</v>
      </c>
      <c r="H90" s="30" t="str" cm="1">
        <f t="array" ref="H90">Common_InputFunctions.Utility_DisplayArrayInTable(Common_SourceData.Common_SourceData_ClimateZones_Data(), Table_SourceData_ClimateZones[[#Headers],[Climate zone]], 0)</f>
        <v>&gt; 1000 m</v>
      </c>
      <c r="I90" s="30" t="str" cm="1">
        <f t="array" ref="I90">Common_InputFunctions.Utility_DisplayArrayInTable(Common_SourceData.Common_SourceData_ClimateZones_Data(), Table_SourceData_ClimateZones[[#Headers],[Climate zone]], 0)</f>
        <v>Any</v>
      </c>
      <c r="J90" s="30" cm="1">
        <f t="array" ref="J90">Common_InputFunctions.Utility_DisplayArrayInTable(Common_SourceData.Common_SourceData_ClimateZones_Data(), Table_SourceData_ClimateZones[[#Headers],[Climate zone]], 0)</f>
        <v>18.001000000000001</v>
      </c>
      <c r="K90" s="30" cm="1">
        <f t="array" ref="K90">Common_InputFunctions.Utility_DisplayArrayInTable(Common_SourceData.Common_SourceData_ClimateZones_Data(), Table_SourceData_ClimateZones[[#Headers],[Climate zone]], 0)</f>
        <v>999999</v>
      </c>
      <c r="L90" s="30" cm="1">
        <f t="array" ref="L90">Common_InputFunctions.Utility_DisplayArrayInTable(Common_SourceData.Common_SourceData_ClimateZones_Data(), Table_SourceData_ClimateZones[[#Headers],[Climate zone]], 0)</f>
        <v>-999999</v>
      </c>
      <c r="M90" s="30" cm="1">
        <f t="array" ref="M90">Common_InputFunctions.Utility_DisplayArrayInTable(Common_SourceData.Common_SourceData_ClimateZones_Data(), Table_SourceData_ClimateZones[[#Headers],[Climate zone]], 0)</f>
        <v>999999</v>
      </c>
      <c r="N90" s="30" cm="1">
        <f t="array" ref="N90">Common_InputFunctions.Utility_DisplayArrayInTable(Common_SourceData.Common_SourceData_ClimateZones_Data(), Table_SourceData_ClimateZones[[#Headers],[Climate zone]], 0)</f>
        <v>-999999</v>
      </c>
      <c r="O90" s="30" cm="1">
        <f t="array" ref="O90">Common_InputFunctions.Utility_DisplayArrayInTable(Common_SourceData.Common_SourceData_ClimateZones_Data(), Table_SourceData_ClimateZones[[#Headers],[Climate zone]], 0)</f>
        <v>7</v>
      </c>
      <c r="P90" s="30" cm="1">
        <f t="array" ref="P90">Common_InputFunctions.Utility_DisplayArrayInTable(Common_SourceData.Common_SourceData_ClimateZones_Data(), Table_SourceData_ClimateZones[[#Headers],[Climate zone]], 0)</f>
        <v>1000</v>
      </c>
      <c r="Q90" s="30" cm="1">
        <f t="array" ref="Q90">Common_InputFunctions.Utility_DisplayArrayInTable(Common_SourceData.Common_SourceData_ClimateZones_Data(), Table_SourceData_ClimateZones[[#Headers],[Climate zone]], 0)</f>
        <v>999999</v>
      </c>
      <c r="R90" s="30" cm="1">
        <f t="array" ref="R90">Common_InputFunctions.Utility_DisplayArrayInTable(Common_SourceData.Common_SourceData_ClimateZones_Data(), Table_SourceData_ClimateZones[[#Headers],[Climate zone]], 0)</f>
        <v>-999999</v>
      </c>
      <c r="S90" s="30" cm="1">
        <f t="array" ref="S90">Common_InputFunctions.Utility_DisplayArrayInTable(Common_SourceData.Common_SourceData_ClimateZones_Data(), Table_SourceData_ClimateZones[[#Headers],[Climate zone]], 0)</f>
        <v>999999</v>
      </c>
      <c r="T90" s="30"/>
    </row>
    <row r="91" spans="1:20" ht="20.100000000000001" customHeight="1" x14ac:dyDescent="0.25">
      <c r="A91"/>
      <c r="D91" s="30" t="str" cm="1">
        <f t="array" ref="D91">Common_InputFunctions.Utility_DisplayArrayInTable(Common_SourceData.Common_SourceData_ClimateZones_Data(), Table_SourceData_ClimateZones[[#Headers],[Climate zone]], 0)</f>
        <v>Tropical wet</v>
      </c>
      <c r="E91" s="30" t="str" cm="1">
        <f t="array" ref="E91">Common_InputFunctions.Utility_DisplayArrayInTable(Common_SourceData.Common_SourceData_ClimateZones_Data(), Table_SourceData_ClimateZones[[#Headers],[Climate zone]], 0)</f>
        <v>&gt; 18 C</v>
      </c>
      <c r="F91" s="30" t="str" cm="1">
        <f t="array" ref="F91">Common_InputFunctions.Utility_DisplayArrayInTable(Common_SourceData.Common_SourceData_ClimateZones_Data(), Table_SourceData_ClimateZones[[#Headers],[Climate zone]], 0)</f>
        <v>&gt; 2000 mm</v>
      </c>
      <c r="G91" s="30" t="str" cm="1">
        <f t="array" ref="G91">Common_InputFunctions.Utility_DisplayArrayInTable(Common_SourceData.Common_SourceData_ClimateZones_Data(), Table_SourceData_ClimateZones[[#Headers],[Climate zone]], 0)</f>
        <v>≤ 7</v>
      </c>
      <c r="H91" s="30" t="str" cm="1">
        <f t="array" ref="H91">Common_InputFunctions.Utility_DisplayArrayInTable(Common_SourceData.Common_SourceData_ClimateZones_Data(), Table_SourceData_ClimateZones[[#Headers],[Climate zone]], 0)</f>
        <v>≤ 1000 m</v>
      </c>
      <c r="I91" s="30" t="str" cm="1">
        <f t="array" ref="I91">Common_InputFunctions.Utility_DisplayArrayInTable(Common_SourceData.Common_SourceData_ClimateZones_Data(), Table_SourceData_ClimateZones[[#Headers],[Climate zone]], 0)</f>
        <v>Any</v>
      </c>
      <c r="J91" s="30" cm="1">
        <f t="array" ref="J91">Common_InputFunctions.Utility_DisplayArrayInTable(Common_SourceData.Common_SourceData_ClimateZones_Data(), Table_SourceData_ClimateZones[[#Headers],[Climate zone]], 0)</f>
        <v>18.001000000000001</v>
      </c>
      <c r="K91" s="30" cm="1">
        <f t="array" ref="K91">Common_InputFunctions.Utility_DisplayArrayInTable(Common_SourceData.Common_SourceData_ClimateZones_Data(), Table_SourceData_ClimateZones[[#Headers],[Climate zone]], 0)</f>
        <v>999999</v>
      </c>
      <c r="L91" s="30" cm="1">
        <f t="array" ref="L91">Common_InputFunctions.Utility_DisplayArrayInTable(Common_SourceData.Common_SourceData_ClimateZones_Data(), Table_SourceData_ClimateZones[[#Headers],[Climate zone]], 0)</f>
        <v>2000.001</v>
      </c>
      <c r="M91" s="30" cm="1">
        <f t="array" ref="M91">Common_InputFunctions.Utility_DisplayArrayInTable(Common_SourceData.Common_SourceData_ClimateZones_Data(), Table_SourceData_ClimateZones[[#Headers],[Climate zone]], 0)</f>
        <v>999999</v>
      </c>
      <c r="N91" s="30" cm="1">
        <f t="array" ref="N91">Common_InputFunctions.Utility_DisplayArrayInTable(Common_SourceData.Common_SourceData_ClimateZones_Data(), Table_SourceData_ClimateZones[[#Headers],[Climate zone]], 0)</f>
        <v>-999999</v>
      </c>
      <c r="O91" s="30" cm="1">
        <f t="array" ref="O91">Common_InputFunctions.Utility_DisplayArrayInTable(Common_SourceData.Common_SourceData_ClimateZones_Data(), Table_SourceData_ClimateZones[[#Headers],[Climate zone]], 0)</f>
        <v>7</v>
      </c>
      <c r="P91" s="30" cm="1">
        <f t="array" ref="P91">Common_InputFunctions.Utility_DisplayArrayInTable(Common_SourceData.Common_SourceData_ClimateZones_Data(), Table_SourceData_ClimateZones[[#Headers],[Climate zone]], 0)</f>
        <v>-999999</v>
      </c>
      <c r="Q91" s="30" cm="1">
        <f t="array" ref="Q91">Common_InputFunctions.Utility_DisplayArrayInTable(Common_SourceData.Common_SourceData_ClimateZones_Data(), Table_SourceData_ClimateZones[[#Headers],[Climate zone]], 0)</f>
        <v>999.99900000000002</v>
      </c>
      <c r="R91" s="30" cm="1">
        <f t="array" ref="R91">Common_InputFunctions.Utility_DisplayArrayInTable(Common_SourceData.Common_SourceData_ClimateZones_Data(), Table_SourceData_ClimateZones[[#Headers],[Climate zone]], 0)</f>
        <v>-999999</v>
      </c>
      <c r="S91" s="30" cm="1">
        <f t="array" ref="S91">Common_InputFunctions.Utility_DisplayArrayInTable(Common_SourceData.Common_SourceData_ClimateZones_Data(), Table_SourceData_ClimateZones[[#Headers],[Climate zone]], 0)</f>
        <v>999999</v>
      </c>
      <c r="T91" s="30"/>
    </row>
    <row r="92" spans="1:20" ht="20.100000000000001" customHeight="1" x14ac:dyDescent="0.25">
      <c r="A92"/>
      <c r="D92" s="30" t="str" cm="1">
        <f t="array" ref="D92">Common_InputFunctions.Utility_DisplayArrayInTable(Common_SourceData.Common_SourceData_ClimateZones_Data(), Table_SourceData_ClimateZones[[#Headers],[Climate zone]], 0)</f>
        <v>Tropical moist</v>
      </c>
      <c r="E92" s="30" t="str" cm="1">
        <f t="array" ref="E92">Common_InputFunctions.Utility_DisplayArrayInTable(Common_SourceData.Common_SourceData_ClimateZones_Data(), Table_SourceData_ClimateZones[[#Headers],[Climate zone]], 0)</f>
        <v>&gt; 18 C</v>
      </c>
      <c r="F92" s="30" t="str" cm="1">
        <f t="array" ref="F92">Common_InputFunctions.Utility_DisplayArrayInTable(Common_SourceData.Common_SourceData_ClimateZones_Data(), Table_SourceData_ClimateZones[[#Headers],[Climate zone]], 0)</f>
        <v>&gt; 1000 mm - ≤ 2000 mm</v>
      </c>
      <c r="G92" s="30" t="str" cm="1">
        <f t="array" ref="G92">Common_InputFunctions.Utility_DisplayArrayInTable(Common_SourceData.Common_SourceData_ClimateZones_Data(), Table_SourceData_ClimateZones[[#Headers],[Climate zone]], 0)</f>
        <v>≤ 7</v>
      </c>
      <c r="H92" s="30" t="str" cm="1">
        <f t="array" ref="H92">Common_InputFunctions.Utility_DisplayArrayInTable(Common_SourceData.Common_SourceData_ClimateZones_Data(), Table_SourceData_ClimateZones[[#Headers],[Climate zone]], 0)</f>
        <v>≤ 1000 m</v>
      </c>
      <c r="I92" s="30" t="str" cm="1">
        <f t="array" ref="I92">Common_InputFunctions.Utility_DisplayArrayInTable(Common_SourceData.Common_SourceData_ClimateZones_Data(), Table_SourceData_ClimateZones[[#Headers],[Climate zone]], 0)</f>
        <v>Any</v>
      </c>
      <c r="J92" s="30" cm="1">
        <f t="array" ref="J92">Common_InputFunctions.Utility_DisplayArrayInTable(Common_SourceData.Common_SourceData_ClimateZones_Data(), Table_SourceData_ClimateZones[[#Headers],[Climate zone]], 0)</f>
        <v>18.001000000000001</v>
      </c>
      <c r="K92" s="30" cm="1">
        <f t="array" ref="K92">Common_InputFunctions.Utility_DisplayArrayInTable(Common_SourceData.Common_SourceData_ClimateZones_Data(), Table_SourceData_ClimateZones[[#Headers],[Climate zone]], 0)</f>
        <v>999999</v>
      </c>
      <c r="L92" s="30" cm="1">
        <f t="array" ref="L92">Common_InputFunctions.Utility_DisplayArrayInTable(Common_SourceData.Common_SourceData_ClimateZones_Data(), Table_SourceData_ClimateZones[[#Headers],[Climate zone]], 0)</f>
        <v>1000.001</v>
      </c>
      <c r="M92" s="30" cm="1">
        <f t="array" ref="M92">Common_InputFunctions.Utility_DisplayArrayInTable(Common_SourceData.Common_SourceData_ClimateZones_Data(), Table_SourceData_ClimateZones[[#Headers],[Climate zone]], 0)</f>
        <v>2000</v>
      </c>
      <c r="N92" s="30" cm="1">
        <f t="array" ref="N92">Common_InputFunctions.Utility_DisplayArrayInTable(Common_SourceData.Common_SourceData_ClimateZones_Data(), Table_SourceData_ClimateZones[[#Headers],[Climate zone]], 0)</f>
        <v>-999999</v>
      </c>
      <c r="O92" s="30" cm="1">
        <f t="array" ref="O92">Common_InputFunctions.Utility_DisplayArrayInTable(Common_SourceData.Common_SourceData_ClimateZones_Data(), Table_SourceData_ClimateZones[[#Headers],[Climate zone]], 0)</f>
        <v>7</v>
      </c>
      <c r="P92" s="30" cm="1">
        <f t="array" ref="P92">Common_InputFunctions.Utility_DisplayArrayInTable(Common_SourceData.Common_SourceData_ClimateZones_Data(), Table_SourceData_ClimateZones[[#Headers],[Climate zone]], 0)</f>
        <v>-999999</v>
      </c>
      <c r="Q92" s="30" cm="1">
        <f t="array" ref="Q92">Common_InputFunctions.Utility_DisplayArrayInTable(Common_SourceData.Common_SourceData_ClimateZones_Data(), Table_SourceData_ClimateZones[[#Headers],[Climate zone]], 0)</f>
        <v>999.99900000000002</v>
      </c>
      <c r="R92" s="30" cm="1">
        <f t="array" ref="R92">Common_InputFunctions.Utility_DisplayArrayInTable(Common_SourceData.Common_SourceData_ClimateZones_Data(), Table_SourceData_ClimateZones[[#Headers],[Climate zone]], 0)</f>
        <v>-999999</v>
      </c>
      <c r="S92" s="30" cm="1">
        <f t="array" ref="S92">Common_InputFunctions.Utility_DisplayArrayInTable(Common_SourceData.Common_SourceData_ClimateZones_Data(), Table_SourceData_ClimateZones[[#Headers],[Climate zone]], 0)</f>
        <v>999999</v>
      </c>
      <c r="T92" s="30"/>
    </row>
    <row r="93" spans="1:20" ht="20.100000000000001" customHeight="1" x14ac:dyDescent="0.25">
      <c r="A93"/>
      <c r="D93" s="30" t="str" cm="1">
        <f t="array" ref="D93">Common_InputFunctions.Utility_DisplayArrayInTable(Common_SourceData.Common_SourceData_ClimateZones_Data(), Table_SourceData_ClimateZones[[#Headers],[Climate zone]], 0)</f>
        <v>Tropical dry</v>
      </c>
      <c r="E93" s="30" t="str" cm="1">
        <f t="array" ref="E93">Common_InputFunctions.Utility_DisplayArrayInTable(Common_SourceData.Common_SourceData_ClimateZones_Data(), Table_SourceData_ClimateZones[[#Headers],[Climate zone]], 0)</f>
        <v>&gt; 18 C</v>
      </c>
      <c r="F93" s="30" t="str" cm="1">
        <f t="array" ref="F93">Common_InputFunctions.Utility_DisplayArrayInTable(Common_SourceData.Common_SourceData_ClimateZones_Data(), Table_SourceData_ClimateZones[[#Headers],[Climate zone]], 0)</f>
        <v>≤ 1000 mm</v>
      </c>
      <c r="G93" s="30" t="str" cm="1">
        <f t="array" ref="G93">Common_InputFunctions.Utility_DisplayArrayInTable(Common_SourceData.Common_SourceData_ClimateZones_Data(), Table_SourceData_ClimateZones[[#Headers],[Climate zone]], 0)</f>
        <v>≤ 7</v>
      </c>
      <c r="H93" s="30" t="str" cm="1">
        <f t="array" ref="H93">Common_InputFunctions.Utility_DisplayArrayInTable(Common_SourceData.Common_SourceData_ClimateZones_Data(), Table_SourceData_ClimateZones[[#Headers],[Climate zone]], 0)</f>
        <v>≤ 1000 m</v>
      </c>
      <c r="I93" s="30" t="str" cm="1">
        <f t="array" ref="I93">Common_InputFunctions.Utility_DisplayArrayInTable(Common_SourceData.Common_SourceData_ClimateZones_Data(), Table_SourceData_ClimateZones[[#Headers],[Climate zone]], 0)</f>
        <v>Any</v>
      </c>
      <c r="J93" s="30" cm="1">
        <f t="array" ref="J93">Common_InputFunctions.Utility_DisplayArrayInTable(Common_SourceData.Common_SourceData_ClimateZones_Data(), Table_SourceData_ClimateZones[[#Headers],[Climate zone]], 0)</f>
        <v>18.001000000000001</v>
      </c>
      <c r="K93" s="30" cm="1">
        <f t="array" ref="K93">Common_InputFunctions.Utility_DisplayArrayInTable(Common_SourceData.Common_SourceData_ClimateZones_Data(), Table_SourceData_ClimateZones[[#Headers],[Climate zone]], 0)</f>
        <v>999999</v>
      </c>
      <c r="L93" s="30" cm="1">
        <f t="array" ref="L93">Common_InputFunctions.Utility_DisplayArrayInTable(Common_SourceData.Common_SourceData_ClimateZones_Data(), Table_SourceData_ClimateZones[[#Headers],[Climate zone]], 0)</f>
        <v>-999999</v>
      </c>
      <c r="M93" s="30" cm="1">
        <f t="array" ref="M93">Common_InputFunctions.Utility_DisplayArrayInTable(Common_SourceData.Common_SourceData_ClimateZones_Data(), Table_SourceData_ClimateZones[[#Headers],[Climate zone]], 0)</f>
        <v>1000</v>
      </c>
      <c r="N93" s="30" cm="1">
        <f t="array" ref="N93">Common_InputFunctions.Utility_DisplayArrayInTable(Common_SourceData.Common_SourceData_ClimateZones_Data(), Table_SourceData_ClimateZones[[#Headers],[Climate zone]], 0)</f>
        <v>-999999</v>
      </c>
      <c r="O93" s="30" cm="1">
        <f t="array" ref="O93">Common_InputFunctions.Utility_DisplayArrayInTable(Common_SourceData.Common_SourceData_ClimateZones_Data(), Table_SourceData_ClimateZones[[#Headers],[Climate zone]], 0)</f>
        <v>7</v>
      </c>
      <c r="P93" s="30" cm="1">
        <f t="array" ref="P93">Common_InputFunctions.Utility_DisplayArrayInTable(Common_SourceData.Common_SourceData_ClimateZones_Data(), Table_SourceData_ClimateZones[[#Headers],[Climate zone]], 0)</f>
        <v>-999999</v>
      </c>
      <c r="Q93" s="30" cm="1">
        <f t="array" ref="Q93">Common_InputFunctions.Utility_DisplayArrayInTable(Common_SourceData.Common_SourceData_ClimateZones_Data(), Table_SourceData_ClimateZones[[#Headers],[Climate zone]], 0)</f>
        <v>999.99900000000002</v>
      </c>
      <c r="R93" s="30" cm="1">
        <f t="array" ref="R93">Common_InputFunctions.Utility_DisplayArrayInTable(Common_SourceData.Common_SourceData_ClimateZones_Data(), Table_SourceData_ClimateZones[[#Headers],[Climate zone]], 0)</f>
        <v>-999999</v>
      </c>
      <c r="S93" s="30" cm="1">
        <f t="array" ref="S93">Common_InputFunctions.Utility_DisplayArrayInTable(Common_SourceData.Common_SourceData_ClimateZones_Data(), Table_SourceData_ClimateZones[[#Headers],[Climate zone]], 0)</f>
        <v>999999</v>
      </c>
      <c r="T93" s="30"/>
    </row>
    <row r="94" spans="1:20" ht="20.100000000000001" customHeight="1" x14ac:dyDescent="0.25">
      <c r="A94"/>
      <c r="D94" s="30" t="str" cm="1">
        <f t="array" ref="D94">Common_InputFunctions.Utility_DisplayArrayInTable(Common_SourceData.Common_SourceData_ClimateZones_Data(), Table_SourceData_ClimateZones[[#Headers],[Climate zone]], 0)</f>
        <v>Warm temperate moist</v>
      </c>
      <c r="E94" s="30" t="str" cm="1">
        <f t="array" ref="E94">Common_InputFunctions.Utility_DisplayArrayInTable(Common_SourceData.Common_SourceData_ClimateZones_Data(), Table_SourceData_ClimateZones[[#Headers],[Climate zone]], 0)</f>
        <v>&gt; 10 C</v>
      </c>
      <c r="F94" s="30" t="str" cm="1">
        <f t="array" ref="F94">Common_InputFunctions.Utility_DisplayArrayInTable(Common_SourceData.Common_SourceData_ClimateZones_Data(), Table_SourceData_ClimateZones[[#Headers],[Climate zone]], 0)</f>
        <v>Any</v>
      </c>
      <c r="G94" s="30" t="str" cm="1">
        <f t="array" ref="G94">Common_InputFunctions.Utility_DisplayArrayInTable(Common_SourceData.Common_SourceData_ClimateZones_Data(), Table_SourceData_ClimateZones[[#Headers],[Climate zone]], 0)</f>
        <v>Any</v>
      </c>
      <c r="H94" s="30" t="str" cm="1">
        <f t="array" ref="H94">Common_InputFunctions.Utility_DisplayArrayInTable(Common_SourceData.Common_SourceData_ClimateZones_Data(), Table_SourceData_ClimateZones[[#Headers],[Climate zone]], 0)</f>
        <v>Any</v>
      </c>
      <c r="I94" s="30" t="str" cm="1">
        <f t="array" ref="I94">Common_InputFunctions.Utility_DisplayArrayInTable(Common_SourceData.Common_SourceData_ClimateZones_Data(), Table_SourceData_ClimateZones[[#Headers],[Climate zone]], 0)</f>
        <v>&gt; 1</v>
      </c>
      <c r="J94" s="30" cm="1">
        <f t="array" ref="J94">Common_InputFunctions.Utility_DisplayArrayInTable(Common_SourceData.Common_SourceData_ClimateZones_Data(), Table_SourceData_ClimateZones[[#Headers],[Climate zone]], 0)</f>
        <v>10.000999999999999</v>
      </c>
      <c r="K94" s="30" cm="1">
        <f t="array" ref="K94">Common_InputFunctions.Utility_DisplayArrayInTable(Common_SourceData.Common_SourceData_ClimateZones_Data(), Table_SourceData_ClimateZones[[#Headers],[Climate zone]], 0)</f>
        <v>999999</v>
      </c>
      <c r="L94" s="30" cm="1">
        <f t="array" ref="L94">Common_InputFunctions.Utility_DisplayArrayInTable(Common_SourceData.Common_SourceData_ClimateZones_Data(), Table_SourceData_ClimateZones[[#Headers],[Climate zone]], 0)</f>
        <v>-999999</v>
      </c>
      <c r="M94" s="30" cm="1">
        <f t="array" ref="M94">Common_InputFunctions.Utility_DisplayArrayInTable(Common_SourceData.Common_SourceData_ClimateZones_Data(), Table_SourceData_ClimateZones[[#Headers],[Climate zone]], 0)</f>
        <v>999999</v>
      </c>
      <c r="N94" s="30" cm="1">
        <f t="array" ref="N94">Common_InputFunctions.Utility_DisplayArrayInTable(Common_SourceData.Common_SourceData_ClimateZones_Data(), Table_SourceData_ClimateZones[[#Headers],[Climate zone]], 0)</f>
        <v>-999999</v>
      </c>
      <c r="O94" s="30" cm="1">
        <f t="array" ref="O94">Common_InputFunctions.Utility_DisplayArrayInTable(Common_SourceData.Common_SourceData_ClimateZones_Data(), Table_SourceData_ClimateZones[[#Headers],[Climate zone]], 0)</f>
        <v>999999</v>
      </c>
      <c r="P94" s="30" cm="1">
        <f t="array" ref="P94">Common_InputFunctions.Utility_DisplayArrayInTable(Common_SourceData.Common_SourceData_ClimateZones_Data(), Table_SourceData_ClimateZones[[#Headers],[Climate zone]], 0)</f>
        <v>-999999</v>
      </c>
      <c r="Q94" s="30" cm="1">
        <f t="array" ref="Q94">Common_InputFunctions.Utility_DisplayArrayInTable(Common_SourceData.Common_SourceData_ClimateZones_Data(), Table_SourceData_ClimateZones[[#Headers],[Climate zone]], 0)</f>
        <v>999999</v>
      </c>
      <c r="R94" s="30" cm="1">
        <f t="array" ref="R94">Common_InputFunctions.Utility_DisplayArrayInTable(Common_SourceData.Common_SourceData_ClimateZones_Data(), Table_SourceData_ClimateZones[[#Headers],[Climate zone]], 0)</f>
        <v>1.0009999999999999</v>
      </c>
      <c r="S94" s="30" cm="1">
        <f t="array" ref="S94">Common_InputFunctions.Utility_DisplayArrayInTable(Common_SourceData.Common_SourceData_ClimateZones_Data(), Table_SourceData_ClimateZones[[#Headers],[Climate zone]], 0)</f>
        <v>999999</v>
      </c>
      <c r="T94" s="30"/>
    </row>
    <row r="95" spans="1:20" ht="20.100000000000001" customHeight="1" x14ac:dyDescent="0.25">
      <c r="A95"/>
      <c r="D95" s="30" t="str" cm="1">
        <f t="array" ref="D95">Common_InputFunctions.Utility_DisplayArrayInTable(Common_SourceData.Common_SourceData_ClimateZones_Data(), Table_SourceData_ClimateZones[[#Headers],[Climate zone]], 0)</f>
        <v>Warm temperate dry</v>
      </c>
      <c r="E95" s="30" t="str" cm="1">
        <f t="array" ref="E95">Common_InputFunctions.Utility_DisplayArrayInTable(Common_SourceData.Common_SourceData_ClimateZones_Data(), Table_SourceData_ClimateZones[[#Headers],[Climate zone]], 0)</f>
        <v>&gt; 10 C</v>
      </c>
      <c r="F95" s="30" t="str" cm="1">
        <f t="array" ref="F95">Common_InputFunctions.Utility_DisplayArrayInTable(Common_SourceData.Common_SourceData_ClimateZones_Data(), Table_SourceData_ClimateZones[[#Headers],[Climate zone]], 0)</f>
        <v>Any</v>
      </c>
      <c r="G95" s="30" t="str" cm="1">
        <f t="array" ref="G95">Common_InputFunctions.Utility_DisplayArrayInTable(Common_SourceData.Common_SourceData_ClimateZones_Data(), Table_SourceData_ClimateZones[[#Headers],[Climate zone]], 0)</f>
        <v>Any</v>
      </c>
      <c r="H95" s="30" t="str" cm="1">
        <f t="array" ref="H95">Common_InputFunctions.Utility_DisplayArrayInTable(Common_SourceData.Common_SourceData_ClimateZones_Data(), Table_SourceData_ClimateZones[[#Headers],[Climate zone]], 0)</f>
        <v>Any</v>
      </c>
      <c r="I95" s="30" t="str" cm="1">
        <f t="array" ref="I95">Common_InputFunctions.Utility_DisplayArrayInTable(Common_SourceData.Common_SourceData_ClimateZones_Data(), Table_SourceData_ClimateZones[[#Headers],[Climate zone]], 0)</f>
        <v>≤ 1</v>
      </c>
      <c r="J95" s="30" cm="1">
        <f t="array" ref="J95">Common_InputFunctions.Utility_DisplayArrayInTable(Common_SourceData.Common_SourceData_ClimateZones_Data(), Table_SourceData_ClimateZones[[#Headers],[Climate zone]], 0)</f>
        <v>10.000999999999999</v>
      </c>
      <c r="K95" s="30" cm="1">
        <f t="array" ref="K95">Common_InputFunctions.Utility_DisplayArrayInTable(Common_SourceData.Common_SourceData_ClimateZones_Data(), Table_SourceData_ClimateZones[[#Headers],[Climate zone]], 0)</f>
        <v>999999</v>
      </c>
      <c r="L95" s="30" cm="1">
        <f t="array" ref="L95">Common_InputFunctions.Utility_DisplayArrayInTable(Common_SourceData.Common_SourceData_ClimateZones_Data(), Table_SourceData_ClimateZones[[#Headers],[Climate zone]], 0)</f>
        <v>-999999</v>
      </c>
      <c r="M95" s="30" cm="1">
        <f t="array" ref="M95">Common_InputFunctions.Utility_DisplayArrayInTable(Common_SourceData.Common_SourceData_ClimateZones_Data(), Table_SourceData_ClimateZones[[#Headers],[Climate zone]], 0)</f>
        <v>999999</v>
      </c>
      <c r="N95" s="30" cm="1">
        <f t="array" ref="N95">Common_InputFunctions.Utility_DisplayArrayInTable(Common_SourceData.Common_SourceData_ClimateZones_Data(), Table_SourceData_ClimateZones[[#Headers],[Climate zone]], 0)</f>
        <v>-999999</v>
      </c>
      <c r="O95" s="30" cm="1">
        <f t="array" ref="O95">Common_InputFunctions.Utility_DisplayArrayInTable(Common_SourceData.Common_SourceData_ClimateZones_Data(), Table_SourceData_ClimateZones[[#Headers],[Climate zone]], 0)</f>
        <v>999999</v>
      </c>
      <c r="P95" s="30" cm="1">
        <f t="array" ref="P95">Common_InputFunctions.Utility_DisplayArrayInTable(Common_SourceData.Common_SourceData_ClimateZones_Data(), Table_SourceData_ClimateZones[[#Headers],[Climate zone]], 0)</f>
        <v>-999999</v>
      </c>
      <c r="Q95" s="30" cm="1">
        <f t="array" ref="Q95">Common_InputFunctions.Utility_DisplayArrayInTable(Common_SourceData.Common_SourceData_ClimateZones_Data(), Table_SourceData_ClimateZones[[#Headers],[Climate zone]], 0)</f>
        <v>999999</v>
      </c>
      <c r="R95" s="30" cm="1">
        <f t="array" ref="R95">Common_InputFunctions.Utility_DisplayArrayInTable(Common_SourceData.Common_SourceData_ClimateZones_Data(), Table_SourceData_ClimateZones[[#Headers],[Climate zone]], 0)</f>
        <v>-999999</v>
      </c>
      <c r="S95" s="30" cm="1">
        <f t="array" ref="S95">Common_InputFunctions.Utility_DisplayArrayInTable(Common_SourceData.Common_SourceData_ClimateZones_Data(), Table_SourceData_ClimateZones[[#Headers],[Climate zone]], 0)</f>
        <v>1</v>
      </c>
      <c r="T95" s="30"/>
    </row>
    <row r="96" spans="1:20" ht="20.100000000000001" customHeight="1" x14ac:dyDescent="0.25">
      <c r="A96"/>
      <c r="D96" s="30" t="str" cm="1">
        <f t="array" ref="D96">Common_InputFunctions.Utility_DisplayArrayInTable(Common_SourceData.Common_SourceData_ClimateZones_Data(), Table_SourceData_ClimateZones[[#Headers],[Climate zone]], 0)</f>
        <v>Cool temperate moist</v>
      </c>
      <c r="E96" s="30" t="str" cm="1">
        <f t="array" ref="E96">Common_InputFunctions.Utility_DisplayArrayInTable(Common_SourceData.Common_SourceData_ClimateZones_Data(), Table_SourceData_ClimateZones[[#Headers],[Climate zone]], 0)</f>
        <v>&gt; 0 C - ≤ 10 C</v>
      </c>
      <c r="F96" s="30" t="str" cm="1">
        <f t="array" ref="F96">Common_InputFunctions.Utility_DisplayArrayInTable(Common_SourceData.Common_SourceData_ClimateZones_Data(), Table_SourceData_ClimateZones[[#Headers],[Climate zone]], 0)</f>
        <v>Any</v>
      </c>
      <c r="G96" s="30" t="str" cm="1">
        <f t="array" ref="G96">Common_InputFunctions.Utility_DisplayArrayInTable(Common_SourceData.Common_SourceData_ClimateZones_Data(), Table_SourceData_ClimateZones[[#Headers],[Climate zone]], 0)</f>
        <v>Any</v>
      </c>
      <c r="H96" s="30" t="str" cm="1">
        <f t="array" ref="H96">Common_InputFunctions.Utility_DisplayArrayInTable(Common_SourceData.Common_SourceData_ClimateZones_Data(), Table_SourceData_ClimateZones[[#Headers],[Climate zone]], 0)</f>
        <v>Any</v>
      </c>
      <c r="I96" s="30" t="str" cm="1">
        <f t="array" ref="I96">Common_InputFunctions.Utility_DisplayArrayInTable(Common_SourceData.Common_SourceData_ClimateZones_Data(), Table_SourceData_ClimateZones[[#Headers],[Climate zone]], 0)</f>
        <v>&gt; 1</v>
      </c>
      <c r="J96" s="30" cm="1">
        <f t="array" ref="J96">Common_InputFunctions.Utility_DisplayArrayInTable(Common_SourceData.Common_SourceData_ClimateZones_Data(), Table_SourceData_ClimateZones[[#Headers],[Climate zone]], 0)</f>
        <v>-999999</v>
      </c>
      <c r="K96" s="30" cm="1">
        <f t="array" ref="K96">Common_InputFunctions.Utility_DisplayArrayInTable(Common_SourceData.Common_SourceData_ClimateZones_Data(), Table_SourceData_ClimateZones[[#Headers],[Climate zone]], 0)</f>
        <v>10</v>
      </c>
      <c r="L96" s="30" cm="1">
        <f t="array" ref="L96">Common_InputFunctions.Utility_DisplayArrayInTable(Common_SourceData.Common_SourceData_ClimateZones_Data(), Table_SourceData_ClimateZones[[#Headers],[Climate zone]], 0)</f>
        <v>-999999</v>
      </c>
      <c r="M96" s="30" cm="1">
        <f t="array" ref="M96">Common_InputFunctions.Utility_DisplayArrayInTable(Common_SourceData.Common_SourceData_ClimateZones_Data(), Table_SourceData_ClimateZones[[#Headers],[Climate zone]], 0)</f>
        <v>999999</v>
      </c>
      <c r="N96" s="30" cm="1">
        <f t="array" ref="N96">Common_InputFunctions.Utility_DisplayArrayInTable(Common_SourceData.Common_SourceData_ClimateZones_Data(), Table_SourceData_ClimateZones[[#Headers],[Climate zone]], 0)</f>
        <v>-999999</v>
      </c>
      <c r="O96" s="30" cm="1">
        <f t="array" ref="O96">Common_InputFunctions.Utility_DisplayArrayInTable(Common_SourceData.Common_SourceData_ClimateZones_Data(), Table_SourceData_ClimateZones[[#Headers],[Climate zone]], 0)</f>
        <v>999999</v>
      </c>
      <c r="P96" s="30" cm="1">
        <f t="array" ref="P96">Common_InputFunctions.Utility_DisplayArrayInTable(Common_SourceData.Common_SourceData_ClimateZones_Data(), Table_SourceData_ClimateZones[[#Headers],[Climate zone]], 0)</f>
        <v>-999999</v>
      </c>
      <c r="Q96" s="30" cm="1">
        <f t="array" ref="Q96">Common_InputFunctions.Utility_DisplayArrayInTable(Common_SourceData.Common_SourceData_ClimateZones_Data(), Table_SourceData_ClimateZones[[#Headers],[Climate zone]], 0)</f>
        <v>999999</v>
      </c>
      <c r="R96" s="30" cm="1">
        <f t="array" ref="R96">Common_InputFunctions.Utility_DisplayArrayInTable(Common_SourceData.Common_SourceData_ClimateZones_Data(), Table_SourceData_ClimateZones[[#Headers],[Climate zone]], 0)</f>
        <v>1.0009999999999999</v>
      </c>
      <c r="S96" s="30" cm="1">
        <f t="array" ref="S96">Common_InputFunctions.Utility_DisplayArrayInTable(Common_SourceData.Common_SourceData_ClimateZones_Data(), Table_SourceData_ClimateZones[[#Headers],[Climate zone]], 0)</f>
        <v>999999</v>
      </c>
      <c r="T96" s="30"/>
    </row>
    <row r="97" spans="1:20" ht="20.100000000000001" customHeight="1" x14ac:dyDescent="0.25">
      <c r="A97"/>
      <c r="D97" s="30" t="str" cm="1">
        <f t="array" ref="D97">Common_InputFunctions.Utility_DisplayArrayInTable(Common_SourceData.Common_SourceData_ClimateZones_Data(), Table_SourceData_ClimateZones[[#Headers],[Climate zone]], 0)</f>
        <v>Cool temperate dry</v>
      </c>
      <c r="E97" s="30" t="str" cm="1">
        <f t="array" ref="E97">Common_InputFunctions.Utility_DisplayArrayInTable(Common_SourceData.Common_SourceData_ClimateZones_Data(), Table_SourceData_ClimateZones[[#Headers],[Climate zone]], 0)</f>
        <v>&gt; 0 C - ≤ 10 C</v>
      </c>
      <c r="F97" s="30" t="str" cm="1">
        <f t="array" ref="F97">Common_InputFunctions.Utility_DisplayArrayInTable(Common_SourceData.Common_SourceData_ClimateZones_Data(), Table_SourceData_ClimateZones[[#Headers],[Climate zone]], 0)</f>
        <v>Any</v>
      </c>
      <c r="G97" s="30" t="str" cm="1">
        <f t="array" ref="G97">Common_InputFunctions.Utility_DisplayArrayInTable(Common_SourceData.Common_SourceData_ClimateZones_Data(), Table_SourceData_ClimateZones[[#Headers],[Climate zone]], 0)</f>
        <v>Any</v>
      </c>
      <c r="H97" s="30" t="str" cm="1">
        <f t="array" ref="H97">Common_InputFunctions.Utility_DisplayArrayInTable(Common_SourceData.Common_SourceData_ClimateZones_Data(), Table_SourceData_ClimateZones[[#Headers],[Climate zone]], 0)</f>
        <v>Any</v>
      </c>
      <c r="I97" s="30" t="str" cm="1">
        <f t="array" ref="I97">Common_InputFunctions.Utility_DisplayArrayInTable(Common_SourceData.Common_SourceData_ClimateZones_Data(), Table_SourceData_ClimateZones[[#Headers],[Climate zone]], 0)</f>
        <v>≤ 1</v>
      </c>
      <c r="J97" s="30" cm="1">
        <f t="array" ref="J97">Common_InputFunctions.Utility_DisplayArrayInTable(Common_SourceData.Common_SourceData_ClimateZones_Data(), Table_SourceData_ClimateZones[[#Headers],[Climate zone]], 0)</f>
        <v>-999999</v>
      </c>
      <c r="K97" s="30" cm="1">
        <f t="array" ref="K97">Common_InputFunctions.Utility_DisplayArrayInTable(Common_SourceData.Common_SourceData_ClimateZones_Data(), Table_SourceData_ClimateZones[[#Headers],[Climate zone]], 0)</f>
        <v>10</v>
      </c>
      <c r="L97" s="30" cm="1">
        <f t="array" ref="L97">Common_InputFunctions.Utility_DisplayArrayInTable(Common_SourceData.Common_SourceData_ClimateZones_Data(), Table_SourceData_ClimateZones[[#Headers],[Climate zone]], 0)</f>
        <v>-999999</v>
      </c>
      <c r="M97" s="30" cm="1">
        <f t="array" ref="M97">Common_InputFunctions.Utility_DisplayArrayInTable(Common_SourceData.Common_SourceData_ClimateZones_Data(), Table_SourceData_ClimateZones[[#Headers],[Climate zone]], 0)</f>
        <v>999999</v>
      </c>
      <c r="N97" s="30" cm="1">
        <f t="array" ref="N97">Common_InputFunctions.Utility_DisplayArrayInTable(Common_SourceData.Common_SourceData_ClimateZones_Data(), Table_SourceData_ClimateZones[[#Headers],[Climate zone]], 0)</f>
        <v>-999999</v>
      </c>
      <c r="O97" s="30" cm="1">
        <f t="array" ref="O97">Common_InputFunctions.Utility_DisplayArrayInTable(Common_SourceData.Common_SourceData_ClimateZones_Data(), Table_SourceData_ClimateZones[[#Headers],[Climate zone]], 0)</f>
        <v>999999</v>
      </c>
      <c r="P97" s="30" cm="1">
        <f t="array" ref="P97">Common_InputFunctions.Utility_DisplayArrayInTable(Common_SourceData.Common_SourceData_ClimateZones_Data(), Table_SourceData_ClimateZones[[#Headers],[Climate zone]], 0)</f>
        <v>-999999</v>
      </c>
      <c r="Q97" s="30" cm="1">
        <f t="array" ref="Q97">Common_InputFunctions.Utility_DisplayArrayInTable(Common_SourceData.Common_SourceData_ClimateZones_Data(), Table_SourceData_ClimateZones[[#Headers],[Climate zone]], 0)</f>
        <v>999999</v>
      </c>
      <c r="R97" s="30" cm="1">
        <f t="array" ref="R97">Common_InputFunctions.Utility_DisplayArrayInTable(Common_SourceData.Common_SourceData_ClimateZones_Data(), Table_SourceData_ClimateZones[[#Headers],[Climate zone]], 0)</f>
        <v>-999999</v>
      </c>
      <c r="S97" s="30" cm="1">
        <f t="array" ref="S97">Common_InputFunctions.Utility_DisplayArrayInTable(Common_SourceData.Common_SourceData_ClimateZones_Data(), Table_SourceData_ClimateZones[[#Headers],[Climate zone]], 0)</f>
        <v>1</v>
      </c>
      <c r="T97" s="30"/>
    </row>
    <row r="98" spans="1:20" ht="20.100000000000001" customHeight="1" x14ac:dyDescent="0.25">
      <c r="A98"/>
    </row>
    <row r="99" spans="1:20" ht="20.100000000000001" customHeight="1" x14ac:dyDescent="0.25">
      <c r="A99"/>
      <c r="D99" s="15" t="str" cm="1">
        <f t="array" ref="D99:D102">Common_SourceData.Common_SourceData_ClimateZones_Appendices()</f>
        <v>Note:</v>
      </c>
    </row>
    <row r="100" spans="1:20" ht="20.100000000000001" customHeight="1" x14ac:dyDescent="0.25">
      <c r="A100"/>
      <c r="D100" s="15" t="str">
        <v>MAT = mean annual temperature</v>
      </c>
    </row>
    <row r="101" spans="1:20" ht="20.100000000000001" customHeight="1" x14ac:dyDescent="0.25">
      <c r="A101"/>
      <c r="D101" s="15" t="str">
        <v>MAP = mean annual precipitation</v>
      </c>
    </row>
    <row r="102" spans="1:20" ht="20.100000000000001" customHeight="1" x14ac:dyDescent="0.25">
      <c r="A102"/>
      <c r="D102" s="15" t="str">
        <v>PET = potential evapotranspiration</v>
      </c>
    </row>
    <row r="103" spans="1:20" ht="20.100000000000001" customHeight="1" x14ac:dyDescent="0.25">
      <c r="A103"/>
      <c r="D103" s="15"/>
    </row>
    <row r="104" spans="1:20" ht="20.100000000000001" customHeight="1" x14ac:dyDescent="0.25">
      <c r="A104"/>
    </row>
    <row r="105" spans="1:20" ht="20.100000000000001" customHeight="1" x14ac:dyDescent="0.25">
      <c r="A105"/>
      <c r="D105" s="2" t="str" cm="1">
        <f t="array" ref="D105">Common_SourceData.Common_SourceData_TemperatureZones_Title()</f>
        <v>VEERG Australian temperature zones</v>
      </c>
    </row>
    <row r="106" spans="1:20" ht="20.100000000000001" customHeight="1" x14ac:dyDescent="0.25">
      <c r="A106"/>
      <c r="D106" s="27" t="str" cm="1">
        <f t="array" ref="D106">Common_SourceData.Common_SourceData_TemperatureZones_Source()</f>
        <v>VEERG 2026: Table 1.3: Climate and Rainfall zone classifications and definitions</v>
      </c>
    </row>
    <row r="107" spans="1:20" ht="20.100000000000001" customHeight="1" x14ac:dyDescent="0.25">
      <c r="A107"/>
      <c r="D107" s="3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0" t="s">
        <v>48</v>
      </c>
      <c r="E109" s="30" t="s">
        <v>33</v>
      </c>
      <c r="F109" s="30" t="s">
        <v>49</v>
      </c>
      <c r="G109" s="30" t="s">
        <v>50</v>
      </c>
    </row>
    <row r="110" spans="1:20" ht="20.100000000000001" customHeight="1" x14ac:dyDescent="0.25">
      <c r="A110"/>
      <c r="D110" s="30" t="str" cm="1">
        <f t="array" ref="D110">Common_InputFunctions.Utility_DisplayArrayInTable(Common_SourceData.Common_SourceData_TemperatureZones_Data(),Table_SourceData_TemperatureZones[[#Headers],[Temperature Zone]],0)</f>
        <v>Warm</v>
      </c>
      <c r="E110" s="30" t="str" cm="1">
        <f t="array" ref="E110">Common_InputFunctions.Utility_DisplayArrayInTable(Common_SourceData.Common_SourceData_TemperatureZones_Data(),Table_SourceData_TemperatureZones[[#Headers],[Temperature Zone]],0)</f>
        <v>≥ 26 C</v>
      </c>
      <c r="F110" s="30" cm="1">
        <f t="array" ref="F110">Common_InputFunctions.Utility_DisplayArrayInTable(Common_SourceData.Common_SourceData_TemperatureZones_Data(),Table_SourceData_TemperatureZones[[#Headers],[Temperature Zone]],0)</f>
        <v>26</v>
      </c>
      <c r="G110" s="3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0" t="str" cm="1">
        <f t="array" ref="D111">Common_InputFunctions.Utility_DisplayArrayInTable(Common_SourceData.Common_SourceData_TemperatureZones_Data(),Table_SourceData_TemperatureZones[[#Headers],[Temperature Zone]],0)</f>
        <v>Temperate</v>
      </c>
      <c r="E111" s="30" t="str" cm="1">
        <f t="array" ref="E111">Common_InputFunctions.Utility_DisplayArrayInTable(Common_SourceData.Common_SourceData_TemperatureZones_Data(),Table_SourceData_TemperatureZones[[#Headers],[Temperature Zone]],0)</f>
        <v>15 - 25 C</v>
      </c>
      <c r="F111" s="30" cm="1">
        <f t="array" ref="F111">Common_InputFunctions.Utility_DisplayArrayInTable(Common_SourceData.Common_SourceData_TemperatureZones_Data(),Table_SourceData_TemperatureZones[[#Headers],[Temperature Zone]],0)</f>
        <v>15</v>
      </c>
      <c r="G111" s="3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0" t="str" cm="1">
        <f t="array" ref="D112">Common_InputFunctions.Utility_DisplayArrayInTable(Common_SourceData.Common_SourceData_TemperatureZones_Data(),Table_SourceData_TemperatureZones[[#Headers],[Temperature Zone]],0)</f>
        <v>Cool</v>
      </c>
      <c r="E112" s="30" t="str" cm="1">
        <f t="array" ref="E112">Common_InputFunctions.Utility_DisplayArrayInTable(Common_SourceData.Common_SourceData_TemperatureZones_Data(),Table_SourceData_TemperatureZones[[#Headers],[Temperature Zone]],0)</f>
        <v>≤ 14 C</v>
      </c>
      <c r="F112" s="30" cm="1">
        <f t="array" ref="F112">Common_InputFunctions.Utility_DisplayArrayInTable(Common_SourceData.Common_SourceData_TemperatureZones_Data(),Table_SourceData_TemperatureZones[[#Headers],[Temperature Zone]],0)</f>
        <v>-999999</v>
      </c>
      <c r="G112" s="3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2" t="str" cm="1">
        <f t="array" ref="D115">Common_SourceData.Common_SourceData_RainfallZones_Title()</f>
        <v>VEERG Australian rainfall zones</v>
      </c>
      <c r="BN115" s="32"/>
    </row>
    <row r="116" spans="1:66" ht="20.100000000000001" customHeight="1" x14ac:dyDescent="0.25">
      <c r="A116"/>
      <c r="D116" s="27" t="str" cm="1">
        <f t="array" ref="D116">Common_SourceData.Common_SourceData_RainfallZones_Source()</f>
        <v>VEERG 2026: Table 1.3: Climate and Rainfall zone classifications and definitions</v>
      </c>
      <c r="BN116" s="32"/>
    </row>
    <row r="117" spans="1:66" ht="20.100000000000001" customHeight="1" x14ac:dyDescent="0.25">
      <c r="A117"/>
      <c r="D117" s="36" t="str" cm="1">
        <f t="array" ref="D117">"⚠️" &amp; Common_SourceData.Common_SourceData_RainfallZones_Variation()</f>
        <v>⚠️VARIATION OF SOURCE DATA: Added extra Rainfall min and Rainfall max columns to calculate zone from real rainfall data.</v>
      </c>
      <c r="BN117" s="32"/>
    </row>
    <row r="118" spans="1:66" ht="20.100000000000001" customHeight="1" x14ac:dyDescent="0.25">
      <c r="A118"/>
      <c r="BN118" s="32"/>
    </row>
    <row r="119" spans="1:66" ht="20.100000000000001" customHeight="1" x14ac:dyDescent="0.25">
      <c r="A119"/>
      <c r="D119" s="30" t="s">
        <v>51</v>
      </c>
      <c r="E119" s="30" t="s">
        <v>52</v>
      </c>
      <c r="F119" s="30" t="s">
        <v>40</v>
      </c>
      <c r="G119" s="30" t="s">
        <v>41</v>
      </c>
      <c r="BN119" s="32"/>
    </row>
    <row r="120" spans="1:66" ht="20.100000000000001" customHeight="1" x14ac:dyDescent="0.25">
      <c r="A120"/>
      <c r="D120" s="30" t="str" cm="1">
        <f t="array" ref="D120">Common_InputFunctions.Utility_DisplayArrayInTable(Common_SourceData.Common_SourceData_RainfallZones_Data(),Table_SourceData_RainfallZones[[#Headers],[Rainfall Zone]],0)</f>
        <v>High rainfall</v>
      </c>
      <c r="E120" s="30" t="str" cm="1">
        <f t="array" ref="E120">Common_InputFunctions.Utility_DisplayArrayInTable(Common_SourceData.Common_SourceData_RainfallZones_Data(),Table_SourceData_RainfallZones[[#Headers],[Rainfall Zone]],0)</f>
        <v>Annual rainfall &gt; 600mm</v>
      </c>
      <c r="F120" s="30" cm="1">
        <f t="array" ref="F120">Common_InputFunctions.Utility_DisplayArrayInTable(Common_SourceData.Common_SourceData_RainfallZones_Data(),Table_SourceData_RainfallZones[[#Headers],[Rainfall Zone]],0)</f>
        <v>600.00099999999998</v>
      </c>
      <c r="G120" s="30" cm="1">
        <f t="array" ref="G120">Common_InputFunctions.Utility_DisplayArrayInTable(Common_SourceData.Common_SourceData_RainfallZones_Data(),Table_SourceData_RainfallZones[[#Headers],[Rainfall Zone]],0)</f>
        <v>999999</v>
      </c>
      <c r="BN120" s="32"/>
    </row>
    <row r="121" spans="1:66" ht="20.100000000000001" customHeight="1" x14ac:dyDescent="0.25">
      <c r="A121"/>
      <c r="D121" s="30" t="str" cm="1">
        <f t="array" ref="D121">Common_InputFunctions.Utility_DisplayArrayInTable(Common_SourceData.Common_SourceData_RainfallZones_Data(),Table_SourceData_RainfallZones[[#Headers],[Rainfall Zone]],0)</f>
        <v>Low rainfall</v>
      </c>
      <c r="E121" s="30" t="str" cm="1">
        <f t="array" ref="E121">Common_InputFunctions.Utility_DisplayArrayInTable(Common_SourceData.Common_SourceData_RainfallZones_Data(),Table_SourceData_RainfallZones[[#Headers],[Rainfall Zone]],0)</f>
        <v>Annual rainfall ≤ 600mm</v>
      </c>
      <c r="F121" s="30" cm="1">
        <f t="array" ref="F121">Common_InputFunctions.Utility_DisplayArrayInTable(Common_SourceData.Common_SourceData_RainfallZones_Data(),Table_SourceData_RainfallZones[[#Headers],[Rainfall Zone]],0)</f>
        <v>-999999</v>
      </c>
      <c r="G121" s="30" cm="1">
        <f t="array" ref="G121">Common_InputFunctions.Utility_DisplayArrayInTable(Common_SourceData.Common_SourceData_RainfallZones_Data(),Table_SourceData_RainfallZones[[#Headers],[Rainfall Zone]],0)</f>
        <v>600</v>
      </c>
      <c r="BN121" s="32"/>
    </row>
    <row r="122" spans="1:66" ht="20.100000000000001" customHeight="1" x14ac:dyDescent="0.25">
      <c r="A122"/>
      <c r="BN122" s="32"/>
    </row>
    <row r="123" spans="1:66" ht="20.100000000000001" customHeight="1" x14ac:dyDescent="0.25">
      <c r="A123"/>
    </row>
    <row r="124" spans="1:66" ht="20.100000000000001" customHeight="1" x14ac:dyDescent="0.25">
      <c r="A124"/>
      <c r="D124" s="2" t="str" cm="1">
        <f t="array" ref="D124">Common_SourceData.Common_SourceData_LeachingZones_Title()</f>
        <v>VEERG Australian leaching zones</v>
      </c>
    </row>
    <row r="125" spans="1:66" ht="20.100000000000001" customHeight="1" x14ac:dyDescent="0.25">
      <c r="A125"/>
      <c r="D125" s="27"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0" t="s">
        <v>53</v>
      </c>
      <c r="E127" s="30" t="s">
        <v>54</v>
      </c>
    </row>
    <row r="128" spans="1:66" ht="20.100000000000001" customHeight="1" x14ac:dyDescent="0.25">
      <c r="A128"/>
      <c r="D128" s="30" t="str" cm="1">
        <f t="array" ref="D128">Common_InputFunctions.Utility_DisplayArrayInTable(Common_SourceData.Common_SourceData_LeachingZones_Data(), Table_SourceData_LeachingZones[[#Headers],[Leaching Zone]], 0)</f>
        <v>Leaching occurs</v>
      </c>
      <c r="E128" s="3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0" t="str" cm="1">
        <f t="array" ref="D129">Common_InputFunctions.Utility_DisplayArrayInTable(Common_SourceData.Common_SourceData_LeachingZones_Data(), Table_SourceData_LeachingZones[[#Headers],[Leaching Zone]], 0)</f>
        <v>Leaching does not occur</v>
      </c>
      <c r="E129" s="3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2" t="str" cm="1">
        <f t="array" ref="D132">Common_SourceData.Common_SourceData_FracWET_Title()</f>
        <v>Fraction of N that is available for leaching and runoff</v>
      </c>
      <c r="E132" s="8"/>
    </row>
    <row r="133" spans="1:77" ht="20.100000000000001" customHeight="1" x14ac:dyDescent="0.25">
      <c r="A133"/>
      <c r="D133" s="27" t="str" cm="1">
        <f t="array" ref="D133">Common_SourceData.Common_SourceData_FracWET_Source()</f>
        <v>VEERG 2026:5.5.2.3 Constant Parameters</v>
      </c>
      <c r="E133" s="8"/>
    </row>
    <row r="134" spans="1:77" ht="20.100000000000001" customHeight="1" x14ac:dyDescent="0.25">
      <c r="A134"/>
      <c r="D134" t="s">
        <v>55</v>
      </c>
      <c r="E134" t="s">
        <v>56</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32"/>
      <c r="BO138" s="32"/>
      <c r="BP138" s="32"/>
      <c r="BQ138" s="32"/>
      <c r="BR138" s="32"/>
      <c r="BS138" s="32"/>
      <c r="BT138" s="32"/>
      <c r="BU138" s="32"/>
      <c r="BV138" s="32"/>
      <c r="BW138" s="32"/>
      <c r="BX138" s="32"/>
      <c r="BY138" s="32"/>
    </row>
    <row r="139" spans="1:77" ht="20.100000000000001" customHeight="1" x14ac:dyDescent="0.25">
      <c r="A139"/>
      <c r="D139" s="2" t="str" cm="1">
        <f t="array" ref="D139">Common_SourceData.Common_SourceData_FracWETIrrigation_Title()</f>
        <v>FracWET for irrigation types</v>
      </c>
      <c r="BN139" s="32"/>
      <c r="BO139" s="32"/>
      <c r="BP139" s="32"/>
      <c r="BQ139" s="32"/>
      <c r="BR139" s="32"/>
      <c r="BS139" s="32"/>
      <c r="BT139" s="32"/>
      <c r="BU139" s="32"/>
      <c r="BV139" s="32"/>
      <c r="BW139" s="32"/>
      <c r="BX139" s="32"/>
      <c r="BY139" s="32"/>
    </row>
    <row r="140" spans="1:77" ht="20.100000000000001" customHeight="1" x14ac:dyDescent="0.25">
      <c r="A140"/>
      <c r="D140" s="27" t="str" cm="1">
        <f t="array" ref="D140">Common_SourceData.Common_SourceData_FracWETIrrigation_Source()</f>
        <v>VEERG 2026: Chapter 1, section 1.8.2 Leaching, climate and rainfall zones</v>
      </c>
      <c r="BN140" s="32"/>
      <c r="BO140" s="32"/>
      <c r="BP140" s="32"/>
      <c r="BQ140" s="32"/>
      <c r="BR140" s="32"/>
      <c r="BS140" s="32"/>
      <c r="BT140" s="32"/>
      <c r="BU140" s="32"/>
      <c r="BV140" s="32"/>
      <c r="BW140" s="32"/>
      <c r="BX140" s="32"/>
      <c r="BY140" s="32"/>
    </row>
    <row r="141" spans="1:77" ht="20.100000000000001" customHeight="1" x14ac:dyDescent="0.25">
      <c r="A141"/>
      <c r="D141" s="36" t="str" cm="1">
        <f t="array" ref="D141">Common_SourceData.Common_SourceData_FracWETIrrigation_Variation()</f>
        <v>VARIATION FROM SOURCE DATA: Table created based on VEERG text 'Areas are subject to leaching (i.e., in the leaching zone) when... the land is irrigated (except drip irrigation).'</v>
      </c>
      <c r="BN141" s="32"/>
    </row>
    <row r="142" spans="1:77" ht="20.100000000000001" customHeight="1" x14ac:dyDescent="0.25">
      <c r="A142"/>
      <c r="D142" s="30" t="s">
        <v>57</v>
      </c>
      <c r="E142" s="30" t="s">
        <v>56</v>
      </c>
      <c r="BN142" s="32"/>
    </row>
    <row r="143" spans="1:77" ht="20.100000000000001" customHeight="1" x14ac:dyDescent="0.25">
      <c r="A143"/>
      <c r="D143" s="30" t="str" cm="1">
        <f t="array" ref="D143">Common_InputFunctions.Utility_DisplayArrayInTable(Common_SourceData.Common_SourceData_FracWETIrrigation_Data(), Table_SourceData_FracWETIrrigation[[#Headers],[Irrigation type i]], 0)</f>
        <v>Not irrigated</v>
      </c>
      <c r="E143" s="30" cm="1">
        <f t="array" ref="E143">Common_InputFunctions.Utility_DisplayArrayInTable(Common_SourceData.Common_SourceData_FracWETIrrigation_Data(), Table_SourceData_FracWETIrrigation[[#Headers],[Irrigation type i]], 0)</f>
        <v>0</v>
      </c>
      <c r="BN143" s="32"/>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0" cm="1">
        <f t="array" ref="E144">Common_InputFunctions.Utility_DisplayArrayInTable(Common_SourceData.Common_SourceData_FracWETIrrigation_Data(), Table_SourceData_FracWETIrrigation[[#Headers],[Irrigation type i]], 0)</f>
        <v>0</v>
      </c>
      <c r="BN144" s="32"/>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0" cm="1">
        <f t="array" ref="E145">Common_InputFunctions.Utility_DisplayArrayInTable(Common_SourceData.Common_SourceData_FracWETIrrigation_Data(), Table_SourceData_FracWETIrrigation[[#Headers],[Irrigation type i]], 0)</f>
        <v>1</v>
      </c>
      <c r="BN145" s="32"/>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0" cm="1">
        <f t="array" ref="E146">Common_InputFunctions.Utility_DisplayArrayInTable(Common_SourceData.Common_SourceData_FracWETIrrigation_Data(), Table_SourceData_FracWETIrrigation[[#Headers],[Irrigation type i]], 0)</f>
        <v>1</v>
      </c>
      <c r="BN146" s="32"/>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0" cm="1">
        <f t="array" ref="E147">Common_InputFunctions.Utility_DisplayArrayInTable(Common_SourceData.Common_SourceData_FracWETIrrigation_Data(), Table_SourceData_FracWETIrrigation[[#Headers],[Irrigation type i]], 0)</f>
        <v>1</v>
      </c>
      <c r="BN147" s="32"/>
    </row>
    <row r="148" spans="1:66" ht="20.100000000000001" customHeight="1" x14ac:dyDescent="0.25">
      <c r="A148"/>
      <c r="BN148" s="32"/>
    </row>
    <row r="149" spans="1:66" ht="20.100000000000001" customHeight="1" x14ac:dyDescent="0.25">
      <c r="A149"/>
      <c r="BN149" s="32"/>
    </row>
    <row r="150" spans="1:66" ht="20.100000000000001" customHeight="1" x14ac:dyDescent="0.25">
      <c r="A150"/>
      <c r="D150" s="2" t="str" cm="1">
        <f t="array" ref="D150">Common_SourceData.Common_SourceData_DataScores_Scope3_Title()</f>
        <v>Australian data scores for scope 3</v>
      </c>
      <c r="BN150" s="32"/>
    </row>
    <row r="151" spans="1:66" ht="20.100000000000001" customHeight="1" x14ac:dyDescent="0.25">
      <c r="A151"/>
      <c r="D151" s="27" t="str" cm="1">
        <f t="array" ref="D151">Common_SourceData.Common_SourceData_DataScores_Scope3_Source()</f>
        <v>VEERG 2026: XXXXXXXX</v>
      </c>
      <c r="BN151" s="32"/>
    </row>
    <row r="152" spans="1:66" ht="20.100000000000001" customHeight="1" x14ac:dyDescent="0.25">
      <c r="A152"/>
      <c r="BN152" s="32"/>
    </row>
    <row r="153" spans="1:66" ht="20.100000000000001" customHeight="1" x14ac:dyDescent="0.25">
      <c r="A153"/>
      <c r="D153" s="30" t="s">
        <v>58</v>
      </c>
      <c r="E153" s="30" t="s">
        <v>59</v>
      </c>
      <c r="BC153" s="35"/>
      <c r="BD153" s="35"/>
      <c r="BE153" s="35"/>
      <c r="BF153" s="35"/>
      <c r="BG153" s="35"/>
      <c r="BH153" s="35"/>
      <c r="BI153" s="35"/>
      <c r="BJ153" s="35"/>
      <c r="BK153" s="35"/>
      <c r="BL153" s="35"/>
      <c r="BM153" s="35"/>
    </row>
    <row r="154" spans="1:66" ht="20.100000000000001" customHeight="1" x14ac:dyDescent="0.25">
      <c r="A154"/>
      <c r="D154" s="30" t="str" cm="1">
        <f t="array" ref="D154">Common_InputFunctions.Utility_DisplayArrayInTable(Common_SourceData.Common_SourceData_DataScores_Scope3_Data(), Table_SourceData_DataScores_Scope3[[#Headers],[Data source]], 0)</f>
        <v>International scope 3 database</v>
      </c>
      <c r="E154" s="30" cm="1">
        <f t="array" ref="E154">Common_InputFunctions.Utility_DisplayArrayInTable(Common_SourceData.Common_SourceData_DataScores_Scope3_Data(), Table_SourceData_DataScores_Scope3[[#Headers],[Data source]], 0)</f>
        <v>1</v>
      </c>
      <c r="BC154" s="35"/>
      <c r="BD154" s="35"/>
      <c r="BE154" s="35"/>
      <c r="BF154" s="35"/>
      <c r="BG154" s="35"/>
      <c r="BH154" s="35"/>
      <c r="BI154" s="35"/>
      <c r="BJ154" s="35"/>
      <c r="BK154" s="35"/>
      <c r="BL154" s="35"/>
      <c r="BM154" s="35"/>
    </row>
    <row r="155" spans="1:66" ht="20.100000000000001" customHeight="1" x14ac:dyDescent="0.25">
      <c r="A155"/>
      <c r="D155" s="30" t="str" cm="1">
        <f t="array" ref="D155">Common_InputFunctions.Utility_DisplayArrayInTable(Common_SourceData.Common_SourceData_DataScores_Scope3_Data(), Table_SourceData_DataScores_Scope3[[#Headers],[Data source]], 0)</f>
        <v>Australian scope 3 database</v>
      </c>
      <c r="E155" s="30" cm="1">
        <f t="array" ref="E155">Common_InputFunctions.Utility_DisplayArrayInTable(Common_SourceData.Common_SourceData_DataScores_Scope3_Data(), Table_SourceData_DataScores_Scope3[[#Headers],[Data source]], 0)</f>
        <v>2</v>
      </c>
      <c r="BC155" s="35"/>
      <c r="BD155" s="35"/>
      <c r="BE155" s="35"/>
      <c r="BF155" s="35"/>
      <c r="BG155" s="35"/>
      <c r="BH155" s="35"/>
      <c r="BI155" s="35"/>
      <c r="BJ155" s="35"/>
      <c r="BK155" s="35"/>
      <c r="BL155" s="35"/>
      <c r="BM155" s="35"/>
    </row>
    <row r="156" spans="1:66" ht="20.100000000000001" customHeight="1" x14ac:dyDescent="0.25">
      <c r="A156"/>
      <c r="D156" s="30" t="str" cm="1">
        <f t="array" ref="D156">Common_InputFunctions.Utility_DisplayArrayInTable(Common_SourceData.Common_SourceData_DataScores_Scope3_Data(), Table_SourceData_DataScores_Scope3[[#Headers],[Data source]], 0)</f>
        <v>State or regional scope 3 database</v>
      </c>
      <c r="E156" s="3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0" t="str" cm="1">
        <f t="array" ref="D157">Common_InputFunctions.Utility_DisplayArrayInTable(Common_SourceData.Common_SourceData_DataScores_Scope3_Data(), Table_SourceData_DataScores_Scope3[[#Headers],[Data source]], 0)</f>
        <v>Emissions intensity calculated from approved method</v>
      </c>
      <c r="E157" s="3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0" t="str" cm="1">
        <f t="array" ref="D158">Common_InputFunctions.Utility_DisplayArrayInTable(Common_SourceData.Common_SourceData_DataScores_Scope3_Data(), Table_SourceData_DataScores_Scope3[[#Headers],[Data source]], 0)</f>
        <v>Verified credential matching ISO14067</v>
      </c>
      <c r="E158" s="3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2" t="str" cm="1">
        <f t="array" ref="D161">Common_SourceData.Common_SourceData_FracLEACH_Title()</f>
        <v>Fraction of N that is available for leaching and runoff</v>
      </c>
      <c r="E161" s="8"/>
    </row>
    <row r="162" spans="4:68" ht="20.100000000000001" customHeight="1" x14ac:dyDescent="0.25">
      <c r="D162" s="27" t="str" cm="1">
        <f t="array" ref="D162">Common_SourceData.Common_SourceData_FracLEACH_Source()</f>
        <v>VEERG 2026:5.5.2.3 Constant Parameters</v>
      </c>
      <c r="E162" s="8"/>
    </row>
    <row r="163" spans="4:68" ht="20.100000000000001" customHeight="1" x14ac:dyDescent="0.25">
      <c r="D163" s="27" t="str" cm="1">
        <f t="array" ref="D163">Common_SourceData.Common_SourceData_FracLEACH_NIRReference()</f>
        <v>National Inventory Report Volume 1: Leaching and runoff (3.D.b.2)</v>
      </c>
      <c r="E163" s="8"/>
    </row>
    <row r="164" spans="4:68" ht="20.100000000000001" customHeight="1" x14ac:dyDescent="0.25">
      <c r="D164" s="8" t="str" cm="1">
        <f t="array" ref="D164:E164">Common_SourceData.Common_SourceData_FracLEACH_Data()</f>
        <v>FracLEACH</v>
      </c>
      <c r="E164" s="8">
        <v>0.24</v>
      </c>
    </row>
    <row r="165" spans="4:68" ht="20.100000000000001" customHeight="1" x14ac:dyDescent="0.25">
      <c r="BN165" s="32"/>
      <c r="BO165" s="32"/>
      <c r="BP165" s="32"/>
    </row>
    <row r="166" spans="4:68" ht="20.100000000000001" customHeight="1" x14ac:dyDescent="0.25">
      <c r="BN166" s="32"/>
      <c r="BO166" s="32"/>
      <c r="BP166" s="32"/>
    </row>
    <row r="167" spans="4:68" ht="20.100000000000001" customHeight="1" x14ac:dyDescent="0.25">
      <c r="D167" s="2" t="str" cm="1">
        <f t="array" ref="D167">Common_SourceData.Common_SourceData_EFleach_Title()</f>
        <v>Emission factor for nitrogen leaching and runoff</v>
      </c>
      <c r="BN167" s="32"/>
      <c r="BO167" s="32"/>
      <c r="BP167" s="32"/>
    </row>
    <row r="168" spans="4:68" ht="20.100000000000001" customHeight="1" x14ac:dyDescent="0.25">
      <c r="D168" s="27" t="str" cm="1">
        <f t="array" ref="D168">Common_SourceData.Common_SourceData_EFleach_Source()</f>
        <v>VEERG 2026:5.5.2.3 Constant Parameters</v>
      </c>
      <c r="BN168" s="32"/>
      <c r="BO168" s="32"/>
      <c r="BP168" s="32"/>
    </row>
    <row r="169" spans="4:68" ht="20.100000000000001" customHeight="1" x14ac:dyDescent="0.25">
      <c r="D169" s="27" t="str" cm="1">
        <f t="array" ref="D169">Common_SourceData.Common_SourceData_EFleach_NIRReference()</f>
        <v>National Inventory Report Volume 1: Equation 3.D.B_10</v>
      </c>
      <c r="BN169" s="32"/>
      <c r="BO169" s="32"/>
      <c r="BP169" s="32"/>
    </row>
    <row r="170" spans="4:68" ht="20.100000000000001" customHeight="1" x14ac:dyDescent="0.25">
      <c r="D170" s="1" t="str" cm="1">
        <f t="array" ref="D170:E170">Common_SourceData.Common_SourceData_EFleach_Data()</f>
        <v>EFleach</v>
      </c>
      <c r="E170" s="1">
        <v>1.0999999999999999E-2</v>
      </c>
      <c r="BN170" s="32"/>
      <c r="BO170" s="32"/>
      <c r="BP170" s="32"/>
    </row>
    <row r="171" spans="4:68" ht="20.100000000000001" customHeight="1" x14ac:dyDescent="0.25">
      <c r="BN171" s="32"/>
      <c r="BO171" s="32"/>
      <c r="BP171" s="32"/>
    </row>
    <row r="172" spans="4:68" ht="20.100000000000001" customHeight="1" x14ac:dyDescent="0.25">
      <c r="BN172" s="32"/>
      <c r="BO172" s="32"/>
      <c r="BP172" s="32"/>
    </row>
    <row r="173" spans="4:68" ht="20.100000000000001" customHeight="1" x14ac:dyDescent="0.25">
      <c r="D173" s="2" t="str" cm="1">
        <f t="array" ref="D173">Common_SourceData.Common_SourceData_DensityOfMethane_Title()</f>
        <v>p = density of methane</v>
      </c>
      <c r="BN173" s="32"/>
      <c r="BO173" s="32"/>
      <c r="BP173" s="32"/>
    </row>
    <row r="174" spans="4:68" ht="20.100000000000001" customHeight="1" x14ac:dyDescent="0.25">
      <c r="D174" s="27" t="str" cm="1">
        <f t="array" ref="D174">Common_SourceData.Common_SourceData_DensityOfMethane_Source()</f>
        <v>National Inventory Report 2023 Volume 1: Equations 3.B.1a_2, 3.B.1c_2, 3.B.3_1, 3.B.4g_2</v>
      </c>
      <c r="BN174" s="32"/>
      <c r="BO174" s="32"/>
      <c r="BP174" s="32"/>
    </row>
    <row r="175" spans="4:68" ht="20.100000000000001" customHeight="1" x14ac:dyDescent="0.25">
      <c r="D175" s="1" cm="1">
        <f t="array" ref="D175">Common_SourceData.Common_SourceData_DensityOfMethane_Data()</f>
        <v>0.6784</v>
      </c>
      <c r="E175" s="15" t="str" cm="1">
        <f t="array" ref="E175">Common_SourceData.Common_SourceData_DensityOfMethane_Unit()</f>
        <v>kg/m3</v>
      </c>
      <c r="BN175" s="32"/>
      <c r="BO175" s="32"/>
      <c r="BP175" s="32"/>
    </row>
    <row r="176" spans="4:68" ht="20.100000000000001" customHeight="1" x14ac:dyDescent="0.25">
      <c r="BN176" s="32"/>
      <c r="BO176" s="32"/>
      <c r="BP176" s="32"/>
    </row>
    <row r="177" spans="4:68" ht="20.100000000000001" customHeight="1" x14ac:dyDescent="0.25">
      <c r="BN177" s="32"/>
      <c r="BO177" s="32"/>
      <c r="BP177" s="32"/>
    </row>
    <row r="178" spans="4:68" ht="20.100000000000001" customHeight="1" x14ac:dyDescent="0.25">
      <c r="D178" s="2" t="str" cm="1">
        <f t="array" ref="D178">Common_SourceData.Common_SourceData_EFN2O_Title()</f>
        <v>Nitrous oxide emission factors for inorganic fertiliser application</v>
      </c>
      <c r="BN178" s="32"/>
      <c r="BO178" s="32"/>
      <c r="BP178" s="32"/>
    </row>
    <row r="179" spans="4:68" ht="20.100000000000001" customHeight="1" x14ac:dyDescent="0.25">
      <c r="D179" s="27" t="str" cm="1">
        <f t="array" ref="D179">Common_SourceData.Common_SourceData_EFN2O_Source()</f>
        <v>VEERG 2026: Table A.2.2.1</v>
      </c>
      <c r="BN179" s="32"/>
      <c r="BO179" s="32"/>
      <c r="BP179" s="32"/>
    </row>
    <row r="180" spans="4:68" ht="20.100000000000001" customHeight="1" x14ac:dyDescent="0.25">
      <c r="D180" s="15" t="str" cm="1">
        <f t="array" ref="D180">Common_SourceData.Common_SourceData_EFN2O_Unit()</f>
        <v>(kg N2O-N / kg N</v>
      </c>
    </row>
    <row r="181" spans="4:68" ht="20.100000000000001" customHeight="1" x14ac:dyDescent="0.25">
      <c r="D181" s="36" t="str" cm="1">
        <f t="array" ref="D181:D185">Common_SourceData.Common_SourceData_EFN2O_Variation()</f>
        <v>VARIATION OF SOURCE DATA:</v>
      </c>
    </row>
    <row r="182" spans="4:68" ht="20.100000000000001" customHeight="1" x14ac:dyDescent="0.25">
      <c r="D182" s="36" t="str">
        <v>Removed duplicate 'Aquaculture' row.</v>
      </c>
    </row>
    <row r="183" spans="4:68" ht="20.100000000000001" customHeight="1" x14ac:dyDescent="0.25">
      <c r="D183" s="36" t="str">
        <v>Removed asterisks to aid lookup.</v>
      </c>
    </row>
    <row r="184" spans="4:68" ht="20.100000000000001" customHeight="1" x14ac:dyDescent="0.25">
      <c r="D184" s="36" t="str">
        <v>Added 'production system only', 'rainfall zone' and 'irrigation method' columns to aid lookup.</v>
      </c>
    </row>
    <row r="185" spans="4:68" ht="20.100000000000001" customHeight="1" x14ac:dyDescent="0.25">
      <c r="D185" s="36" t="str">
        <v>Duplicated 'non-irrigated pasture' row with same EF for low and high rainfall zones to aid lookup.</v>
      </c>
    </row>
    <row r="186" spans="4:68" ht="20.100000000000001" customHeight="1" x14ac:dyDescent="0.25">
      <c r="D186" s="30" t="s">
        <v>60</v>
      </c>
      <c r="E186" s="30" t="s">
        <v>61</v>
      </c>
      <c r="F186" s="30" t="s">
        <v>62</v>
      </c>
      <c r="G186" s="30" t="s">
        <v>63</v>
      </c>
      <c r="H186" s="30" t="s">
        <v>64</v>
      </c>
    </row>
    <row r="187" spans="4:68" ht="20.100000000000001" customHeight="1" x14ac:dyDescent="0.25">
      <c r="D187" s="30" t="str" cm="1">
        <f t="array" ref="D187">Common_InputFunctions.Utility_DisplayArrayInTable(Common_SourceData.Common_SourceData_EFN2O_Data(), Table_SourceData_Common_EFN2O[[#Headers],[Production system j]], 0)</f>
        <v>Irrigated pasture</v>
      </c>
      <c r="E187" s="30" cm="1">
        <f t="array" ref="E187">Common_InputFunctions.Utility_DisplayArrayInTable(Common_SourceData.Common_SourceData_EFN2O_Data(), Table_SourceData_Common_EFN2O[[#Headers],[Production system j]], 0)</f>
        <v>5.8999999999999999E-3</v>
      </c>
      <c r="F187" s="30" t="str" cm="1">
        <f t="array" ref="F187">Common_InputFunctions.Utility_DisplayArrayInTable(Common_SourceData.Common_SourceData_EFN2O_Data(), Table_SourceData_Common_EFN2O[[#Headers],[Production system j]], 0)</f>
        <v>Pasture</v>
      </c>
      <c r="G187" s="30" t="str" cm="1">
        <f t="array" ref="G187">Common_InputFunctions.Utility_DisplayArrayInTable(Common_SourceData.Common_SourceData_EFN2O_Data(), Table_SourceData_Common_EFN2O[[#Headers],[Production system j]], 0)</f>
        <v>Any</v>
      </c>
      <c r="H187" s="30" t="str" cm="1">
        <f t="array" ref="H187">Common_InputFunctions.Utility_DisplayArrayInTable(Common_SourceData.Common_SourceData_EFN2O_Data(), Table_SourceData_Common_EFN2O[[#Headers],[Production system j]], 0)</f>
        <v>Any</v>
      </c>
    </row>
    <row r="188" spans="4:68" ht="20.100000000000001" customHeight="1" x14ac:dyDescent="0.25">
      <c r="D188" s="30" t="str" cm="1">
        <f t="array" ref="D188">Common_InputFunctions.Utility_DisplayArrayInTable(Common_SourceData.Common_SourceData_EFN2O_Data(), Table_SourceData_Common_EFN2O[[#Headers],[Production system j]], 0)</f>
        <v>Irrigated crop</v>
      </c>
      <c r="E188" s="30" cm="1">
        <f t="array" ref="E188">Common_InputFunctions.Utility_DisplayArrayInTable(Common_SourceData.Common_SourceData_EFN2O_Data(), Table_SourceData_Common_EFN2O[[#Headers],[Production system j]], 0)</f>
        <v>7.0000000000000001E-3</v>
      </c>
      <c r="F188" s="30" t="str" cm="1">
        <f t="array" ref="F188">Common_InputFunctions.Utility_DisplayArrayInTable(Common_SourceData.Common_SourceData_EFN2O_Data(), Table_SourceData_Common_EFN2O[[#Headers],[Production system j]], 0)</f>
        <v>Crop</v>
      </c>
      <c r="G188" s="30" t="str" cm="1">
        <f t="array" ref="G188">Common_InputFunctions.Utility_DisplayArrayInTable(Common_SourceData.Common_SourceData_EFN2O_Data(), Table_SourceData_Common_EFN2O[[#Headers],[Production system j]], 0)</f>
        <v>Any</v>
      </c>
      <c r="H188" s="30" t="str" cm="1">
        <f t="array" ref="H188">Common_InputFunctions.Utility_DisplayArrayInTable(Common_SourceData.Common_SourceData_EFN2O_Data(), Table_SourceData_Common_EFN2O[[#Headers],[Production system j]], 0)</f>
        <v>Any</v>
      </c>
    </row>
    <row r="189" spans="4:68" ht="20.100000000000001" customHeight="1" x14ac:dyDescent="0.25">
      <c r="D189" s="30" t="str" cm="1">
        <f t="array" ref="D189">Common_InputFunctions.Utility_DisplayArrayInTable(Common_SourceData.Common_SourceData_EFN2O_Data(), Table_SourceData_Common_EFN2O[[#Headers],[Production system j]], 0)</f>
        <v>Non-irrigated pasture</v>
      </c>
      <c r="E189" s="30" cm="1">
        <f t="array" ref="E189">Common_InputFunctions.Utility_DisplayArrayInTable(Common_SourceData.Common_SourceData_EFN2O_Data(), Table_SourceData_Common_EFN2O[[#Headers],[Production system j]], 0)</f>
        <v>1.8E-3</v>
      </c>
      <c r="F189" s="30" t="str" cm="1">
        <f t="array" ref="F189">Common_InputFunctions.Utility_DisplayArrayInTable(Common_SourceData.Common_SourceData_EFN2O_Data(), Table_SourceData_Common_EFN2O[[#Headers],[Production system j]], 0)</f>
        <v>Pasture</v>
      </c>
      <c r="G189" s="30" t="str" cm="1">
        <f t="array" ref="G189">Common_InputFunctions.Utility_DisplayArrayInTable(Common_SourceData.Common_SourceData_EFN2O_Data(), Table_SourceData_Common_EFN2O[[#Headers],[Production system j]], 0)</f>
        <v>Not irrigated</v>
      </c>
      <c r="H189" s="3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0" t="str" cm="1">
        <f t="array" ref="D190">Common_InputFunctions.Utility_DisplayArrayInTable(Common_SourceData.Common_SourceData_EFN2O_Data(), Table_SourceData_Common_EFN2O[[#Headers],[Production system j]], 0)</f>
        <v>Non-irrigated pasture</v>
      </c>
      <c r="E190" s="30" cm="1">
        <f t="array" ref="E190">Common_InputFunctions.Utility_DisplayArrayInTable(Common_SourceData.Common_SourceData_EFN2O_Data(), Table_SourceData_Common_EFN2O[[#Headers],[Production system j]], 0)</f>
        <v>1.8E-3</v>
      </c>
      <c r="F190" s="30" t="str" cm="1">
        <f t="array" ref="F190">Common_InputFunctions.Utility_DisplayArrayInTable(Common_SourceData.Common_SourceData_EFN2O_Data(), Table_SourceData_Common_EFN2O[[#Headers],[Production system j]], 0)</f>
        <v>Pasture</v>
      </c>
      <c r="G190" s="30" t="str" cm="1">
        <f t="array" ref="G190">Common_InputFunctions.Utility_DisplayArrayInTable(Common_SourceData.Common_SourceData_EFN2O_Data(), Table_SourceData_Common_EFN2O[[#Headers],[Production system j]], 0)</f>
        <v>Not irrigated</v>
      </c>
      <c r="H190" s="3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0" t="str" cm="1">
        <f t="array" ref="D191">Common_InputFunctions.Utility_DisplayArrayInTable(Common_SourceData.Common_SourceData_EFN2O_Data(), Table_SourceData_Common_EFN2O[[#Headers],[Production system j]], 0)</f>
        <v>Non-irrigated crop (low rainfall)</v>
      </c>
      <c r="E191" s="30" cm="1">
        <f t="array" ref="E191">Common_InputFunctions.Utility_DisplayArrayInTable(Common_SourceData.Common_SourceData_EFN2O_Data(), Table_SourceData_Common_EFN2O[[#Headers],[Production system j]], 0)</f>
        <v>2.8999999999999998E-3</v>
      </c>
      <c r="F191" s="30" t="str" cm="1">
        <f t="array" ref="F191">Common_InputFunctions.Utility_DisplayArrayInTable(Common_SourceData.Common_SourceData_EFN2O_Data(), Table_SourceData_Common_EFN2O[[#Headers],[Production system j]], 0)</f>
        <v>Crop</v>
      </c>
      <c r="G191" s="30" t="str" cm="1">
        <f t="array" ref="G191">Common_InputFunctions.Utility_DisplayArrayInTable(Common_SourceData.Common_SourceData_EFN2O_Data(), Table_SourceData_Common_EFN2O[[#Headers],[Production system j]], 0)</f>
        <v>Not irrigated</v>
      </c>
      <c r="H191" s="3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0" t="str" cm="1">
        <f t="array" ref="D192">Common_InputFunctions.Utility_DisplayArrayInTable(Common_SourceData.Common_SourceData_EFN2O_Data(), Table_SourceData_Common_EFN2O[[#Headers],[Production system j]], 0)</f>
        <v>Non-irrigated crop (high rainfall)</v>
      </c>
      <c r="E192" s="30" cm="1">
        <f t="array" ref="E192">Common_InputFunctions.Utility_DisplayArrayInTable(Common_SourceData.Common_SourceData_EFN2O_Data(), Table_SourceData_Common_EFN2O[[#Headers],[Production system j]], 0)</f>
        <v>8.0000000000000002E-3</v>
      </c>
      <c r="F192" s="30" t="str" cm="1">
        <f t="array" ref="F192">Common_InputFunctions.Utility_DisplayArrayInTable(Common_SourceData.Common_SourceData_EFN2O_Data(), Table_SourceData_Common_EFN2O[[#Headers],[Production system j]], 0)</f>
        <v>Crop</v>
      </c>
      <c r="G192" s="30" t="str" cm="1">
        <f t="array" ref="G192">Common_InputFunctions.Utility_DisplayArrayInTable(Common_SourceData.Common_SourceData_EFN2O_Data(), Table_SourceData_Common_EFN2O[[#Headers],[Production system j]], 0)</f>
        <v>Not irrigated</v>
      </c>
      <c r="H192" s="3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0" t="str" cm="1">
        <f t="array" ref="D193">Common_InputFunctions.Utility_DisplayArrayInTable(Common_SourceData.Common_SourceData_EFN2O_Data(), Table_SourceData_Common_EFN2O[[#Headers],[Production system j]], 0)</f>
        <v>Sugar</v>
      </c>
      <c r="E193" s="30" cm="1">
        <f t="array" ref="E193">Common_InputFunctions.Utility_DisplayArrayInTable(Common_SourceData.Common_SourceData_EFN2O_Data(), Table_SourceData_Common_EFN2O[[#Headers],[Production system j]], 0)</f>
        <v>1.9900000000000001E-2</v>
      </c>
      <c r="F193" s="30" t="str" cm="1">
        <f t="array" ref="F193">Common_InputFunctions.Utility_DisplayArrayInTable(Common_SourceData.Common_SourceData_EFN2O_Data(), Table_SourceData_Common_EFN2O[[#Headers],[Production system j]], 0)</f>
        <v>Sugar</v>
      </c>
      <c r="G193" s="30" t="str" cm="1">
        <f t="array" ref="G193">Common_InputFunctions.Utility_DisplayArrayInTable(Common_SourceData.Common_SourceData_EFN2O_Data(), Table_SourceData_Common_EFN2O[[#Headers],[Production system j]], 0)</f>
        <v>Any</v>
      </c>
      <c r="H193" s="30" t="str" cm="1">
        <f t="array" ref="H193">Common_InputFunctions.Utility_DisplayArrayInTable(Common_SourceData.Common_SourceData_EFN2O_Data(), Table_SourceData_Common_EFN2O[[#Headers],[Production system j]], 0)</f>
        <v>Any</v>
      </c>
    </row>
    <row r="194" spans="4:8" ht="20.100000000000001" customHeight="1" x14ac:dyDescent="0.25">
      <c r="D194" s="30" t="str" cm="1">
        <f t="array" ref="D194">Common_InputFunctions.Utility_DisplayArrayInTable(Common_SourceData.Common_SourceData_EFN2O_Data(), Table_SourceData_Common_EFN2O[[#Headers],[Production system j]], 0)</f>
        <v>Cotton</v>
      </c>
      <c r="E194" s="30" cm="1">
        <f t="array" ref="E194">Common_InputFunctions.Utility_DisplayArrayInTable(Common_SourceData.Common_SourceData_EFN2O_Data(), Table_SourceData_Common_EFN2O[[#Headers],[Production system j]], 0)</f>
        <v>5.3E-3</v>
      </c>
      <c r="F194" s="30" t="str" cm="1">
        <f t="array" ref="F194">Common_InputFunctions.Utility_DisplayArrayInTable(Common_SourceData.Common_SourceData_EFN2O_Data(), Table_SourceData_Common_EFN2O[[#Headers],[Production system j]], 0)</f>
        <v>Cotton</v>
      </c>
      <c r="G194" s="30" t="str" cm="1">
        <f t="array" ref="G194">Common_InputFunctions.Utility_DisplayArrayInTable(Common_SourceData.Common_SourceData_EFN2O_Data(), Table_SourceData_Common_EFN2O[[#Headers],[Production system j]], 0)</f>
        <v>Any</v>
      </c>
      <c r="H194" s="30" t="str" cm="1">
        <f t="array" ref="H194">Common_InputFunctions.Utility_DisplayArrayInTable(Common_SourceData.Common_SourceData_EFN2O_Data(), Table_SourceData_Common_EFN2O[[#Headers],[Production system j]], 0)</f>
        <v>Any</v>
      </c>
    </row>
    <row r="195" spans="4:8" ht="20.100000000000001" customHeight="1" x14ac:dyDescent="0.25">
      <c r="D195" s="30" t="str" cm="1">
        <f t="array" ref="D195">Common_InputFunctions.Utility_DisplayArrayInTable(Common_SourceData.Common_SourceData_EFN2O_Data(), Table_SourceData_Common_EFN2O[[#Headers],[Production system j]], 0)</f>
        <v>Horticultural crops</v>
      </c>
      <c r="E195" s="30" cm="1">
        <f t="array" ref="E195">Common_InputFunctions.Utility_DisplayArrayInTable(Common_SourceData.Common_SourceData_EFN2O_Data(), Table_SourceData_Common_EFN2O[[#Headers],[Production system j]], 0)</f>
        <v>6.4000000000000003E-3</v>
      </c>
      <c r="F195" s="30" t="str" cm="1">
        <f t="array" ref="F195">Common_InputFunctions.Utility_DisplayArrayInTable(Common_SourceData.Common_SourceData_EFN2O_Data(), Table_SourceData_Common_EFN2O[[#Headers],[Production system j]], 0)</f>
        <v>Horticultural crops</v>
      </c>
      <c r="G195" s="30" t="str" cm="1">
        <f t="array" ref="G195">Common_InputFunctions.Utility_DisplayArrayInTable(Common_SourceData.Common_SourceData_EFN2O_Data(), Table_SourceData_Common_EFN2O[[#Headers],[Production system j]], 0)</f>
        <v>Any</v>
      </c>
      <c r="H195" s="30" t="str" cm="1">
        <f t="array" ref="H195">Common_InputFunctions.Utility_DisplayArrayInTable(Common_SourceData.Common_SourceData_EFN2O_Data(), Table_SourceData_Common_EFN2O[[#Headers],[Production system j]], 0)</f>
        <v>Any</v>
      </c>
    </row>
    <row r="196" spans="4:8" ht="20.100000000000001" customHeight="1" x14ac:dyDescent="0.25">
      <c r="D196" s="30" t="str" cm="1">
        <f t="array" ref="D196">Common_InputFunctions.Utility_DisplayArrayInTable(Common_SourceData.Common_SourceData_EFN2O_Data(), Table_SourceData_Common_EFN2O[[#Headers],[Production system j]], 0)</f>
        <v>Rice (continuous flooding)</v>
      </c>
      <c r="E196" s="30" cm="1">
        <f t="array" ref="E196">Common_InputFunctions.Utility_DisplayArrayInTable(Common_SourceData.Common_SourceData_EFN2O_Data(), Table_SourceData_Common_EFN2O[[#Headers],[Production system j]], 0)</f>
        <v>3.0000000000000001E-3</v>
      </c>
      <c r="F196" s="30" t="str" cm="1">
        <f t="array" ref="F196">Common_InputFunctions.Utility_DisplayArrayInTable(Common_SourceData.Common_SourceData_EFN2O_Data(), Table_SourceData_Common_EFN2O[[#Headers],[Production system j]], 0)</f>
        <v>Rice</v>
      </c>
      <c r="G196" s="30" t="str" cm="1">
        <f t="array" ref="G196">Common_InputFunctions.Utility_DisplayArrayInTable(Common_SourceData.Common_SourceData_EFN2O_Data(), Table_SourceData_Common_EFN2O[[#Headers],[Production system j]], 0)</f>
        <v>Continuous flooding</v>
      </c>
      <c r="H196" s="30" t="str" cm="1">
        <f t="array" ref="H196">Common_InputFunctions.Utility_DisplayArrayInTable(Common_SourceData.Common_SourceData_EFN2O_Data(), Table_SourceData_Common_EFN2O[[#Headers],[Production system j]], 0)</f>
        <v>Any</v>
      </c>
    </row>
    <row r="197" spans="4:8" x14ac:dyDescent="0.25">
      <c r="D197" s="30" t="str" cm="1">
        <f t="array" ref="D197">Common_InputFunctions.Utility_DisplayArrayInTable(Common_SourceData.Common_SourceData_EFN2O_Data(), Table_SourceData_Common_EFN2O[[#Headers],[Production system j]], 0)</f>
        <v>Rice (single and multiple drainage, or alternate wetting and drying)</v>
      </c>
      <c r="E197" s="30" cm="1">
        <f t="array" ref="E197">Common_InputFunctions.Utility_DisplayArrayInTable(Common_SourceData.Common_SourceData_EFN2O_Data(), Table_SourceData_Common_EFN2O[[#Headers],[Production system j]], 0)</f>
        <v>5.0000000000000001E-3</v>
      </c>
      <c r="F197" s="30" t="str" cm="1">
        <f t="array" ref="F197">Common_InputFunctions.Utility_DisplayArrayInTable(Common_SourceData.Common_SourceData_EFN2O_Data(), Table_SourceData_Common_EFN2O[[#Headers],[Production system j]], 0)</f>
        <v>Rice</v>
      </c>
      <c r="G197" s="30" t="str" cm="1">
        <f t="array" ref="G197">Common_InputFunctions.Utility_DisplayArrayInTable(Common_SourceData.Common_SourceData_EFN2O_Data(), Table_SourceData_Common_EFN2O[[#Headers],[Production system j]], 0)</f>
        <v>Single and multiple drainage, or alternate wetting and drying</v>
      </c>
      <c r="H197" s="30" t="str" cm="1">
        <f t="array" ref="H197">Common_InputFunctions.Utility_DisplayArrayInTable(Common_SourceData.Common_SourceData_EFN2O_Data(), Table_SourceData_Common_EFN2O[[#Headers],[Production system j]], 0)</f>
        <v>Any</v>
      </c>
    </row>
    <row r="198" spans="4:8" x14ac:dyDescent="0.25">
      <c r="D198" s="30" t="str" cm="1">
        <f t="array" ref="D198">Common_InputFunctions.Utility_DisplayArrayInTable(Common_SourceData.Common_SourceData_EFN2O_Data(), Table_SourceData_Common_EFN2O[[#Headers],[Production system j]], 0)</f>
        <v>Aquaculture</v>
      </c>
      <c r="E198" s="30" cm="1">
        <f t="array" ref="E198">Common_InputFunctions.Utility_DisplayArrayInTable(Common_SourceData.Common_SourceData_EFN2O_Data(), Table_SourceData_Common_EFN2O[[#Headers],[Production system j]], 0)</f>
        <v>2.5999999999999999E-3</v>
      </c>
      <c r="F198" s="30" t="str" cm="1">
        <f t="array" ref="F198">Common_InputFunctions.Utility_DisplayArrayInTable(Common_SourceData.Common_SourceData_EFN2O_Data(), Table_SourceData_Common_EFN2O[[#Headers],[Production system j]], 0)</f>
        <v>Aquaculture</v>
      </c>
      <c r="G198" s="30" t="str" cm="1">
        <f t="array" ref="G198">Common_InputFunctions.Utility_DisplayArrayInTable(Common_SourceData.Common_SourceData_EFN2O_Data(), Table_SourceData_Common_EFN2O[[#Headers],[Production system j]], 0)</f>
        <v>Any</v>
      </c>
      <c r="H198" s="30" t="str" cm="1">
        <f t="array" ref="H198">Common_InputFunctions.Utility_DisplayArrayInTable(Common_SourceData.Common_SourceData_EFN2O_Data(), Table_SourceData_Common_EFN2O[[#Headers],[Production system j]], 0)</f>
        <v>Any</v>
      </c>
    </row>
    <row r="199" spans="4:8" x14ac:dyDescent="0.25">
      <c r="D199" s="30" t="str" cm="1">
        <f t="array" ref="D199">Common_InputFunctions.Utility_DisplayArrayInTable(Common_SourceData.Common_SourceData_EFN2O_Data(), Table_SourceData_Common_EFN2O[[#Headers],[Production system j]], 0)</f>
        <v>Forestry</v>
      </c>
      <c r="E199" s="30" cm="1">
        <f t="array" ref="E199">Common_InputFunctions.Utility_DisplayArrayInTable(Common_SourceData.Common_SourceData_EFN2O_Data(), Table_SourceData_Common_EFN2O[[#Headers],[Production system j]], 0)</f>
        <v>1.8E-3</v>
      </c>
      <c r="F199" s="30" t="str" cm="1">
        <f t="array" ref="F199">Common_InputFunctions.Utility_DisplayArrayInTable(Common_SourceData.Common_SourceData_EFN2O_Data(), Table_SourceData_Common_EFN2O[[#Headers],[Production system j]], 0)</f>
        <v>Forestry</v>
      </c>
      <c r="G199" s="30" t="str" cm="1">
        <f t="array" ref="G199">Common_InputFunctions.Utility_DisplayArrayInTable(Common_SourceData.Common_SourceData_EFN2O_Data(), Table_SourceData_Common_EFN2O[[#Headers],[Production system j]], 0)</f>
        <v>Any</v>
      </c>
      <c r="H199" s="30" t="str" cm="1">
        <f t="array" ref="H199">Common_InputFunctions.Utility_DisplayArrayInTable(Common_SourceData.Common_SourceData_EFN2O_Data(), Table_SourceData_Common_EFN2O[[#Headers],[Production system j]], 0)</f>
        <v>Any</v>
      </c>
    </row>
    <row r="202" spans="4:8" ht="23.25" x14ac:dyDescent="0.25">
      <c r="D202" s="2" t="str" cm="1">
        <f t="array" ref="D202">Common_SourceData.Common_SourceData_EFPastureRangeAndPaddock_Title()</f>
        <v>Emission factor for urine and dung deposited on pasture, range or paddock</v>
      </c>
    </row>
    <row r="203" spans="4:8" x14ac:dyDescent="0.25">
      <c r="D203" s="27" t="str" cm="1">
        <f t="array" ref="D203">Common_SourceData.Common_SourceData_EFPastureRangeAndPaddock_Source()</f>
        <v>VEERG 2026: Table A.2.2.2</v>
      </c>
    </row>
    <row r="204" spans="4:8" x14ac:dyDescent="0.25">
      <c r="D204" s="36" t="str" cm="1">
        <f t="array" ref="D204">Common_SourceData.Common_SourceData_EFPastureRangeAndPaddock_Variation()</f>
        <v>VARIATION FROM SOURCE DATA: Changed 'Dry climate zones' to singular 'Dry climate zone' to aid lookup.</v>
      </c>
    </row>
    <row r="205" spans="4:8" x14ac:dyDescent="0.25">
      <c r="D205" s="15" t="str" cm="1">
        <f t="array" ref="D205">Common_SourceData.Common_SourceData_EFPastureRangeAndPaddock_Unit()</f>
        <v>kg N2O - N / kg N</v>
      </c>
    </row>
    <row r="206" spans="4:8" x14ac:dyDescent="0.25">
      <c r="D206" s="30" t="s">
        <v>31</v>
      </c>
      <c r="E206" s="30" t="s">
        <v>65</v>
      </c>
    </row>
    <row r="207" spans="4:8" x14ac:dyDescent="0.25">
      <c r="D207" s="30" t="str" cm="1">
        <f t="array" ref="D207">Common_InputFunctions.Utility_DisplayArrayInTable(Common_SourceData.Common_SourceData_EFPastureRangeAndPaddock_Data(), Table_SourceData_EFPastureRangeAndPaddock[[#Headers],[Climate zone]], 0)</f>
        <v>Wet climate zone</v>
      </c>
      <c r="E207" s="30"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0"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0" t="s">
        <v>66</v>
      </c>
      <c r="E212" s="30" t="s">
        <v>67</v>
      </c>
    </row>
    <row r="213" spans="4:5" x14ac:dyDescent="0.25">
      <c r="D213" s="30" t="str" cm="1">
        <f t="array" ref="D213">Common_InputFunctions.Utility_DisplayArrayInTable(Common_SourceData.Common_SourceData_MonthsToSeasons_Data(), Table_SourceData_Common_MonthToSeason[[#Headers],[Month]], 0)</f>
        <v>January</v>
      </c>
      <c r="E213" s="30"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0"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0"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0"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0"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0"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0"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0"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0"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0"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0"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0" t="str" cm="1">
        <f t="array" ref="E224">Common_InputFunctions.Utility_DisplayArrayInTable(Common_SourceData.Common_SourceData_MonthsToSeasons_Data(), Table_SourceData_Common_MonthToSeason[[#Headers],[Month]], 0)</f>
        <v>Summer</v>
      </c>
    </row>
    <row r="227" spans="4:19" ht="23.25" x14ac:dyDescent="0.25">
      <c r="D227" s="2" t="str" cm="1">
        <f t="array" ref="D227">Common_SourceData.Common_SourceData_MCFTemperatureZone_Title()</f>
        <v>Manure Management – Methane conversion factor per temperature zone (fraction) (MCFim)</v>
      </c>
    </row>
    <row r="228" spans="4:19" x14ac:dyDescent="0.25">
      <c r="D228" s="27" t="str" cm="1">
        <f t="array" ref="D228">Common_SourceData.Common_SourceData_MCFTemperatureZone_Source()</f>
        <v>VEERG 2026: Table A.1.8.1</v>
      </c>
    </row>
    <row r="229" spans="4:19" x14ac:dyDescent="0.25">
      <c r="D229" s="3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0" t="s">
        <v>68</v>
      </c>
      <c r="E231" s="30" t="s">
        <v>69</v>
      </c>
      <c r="F231" s="37" t="s">
        <v>70</v>
      </c>
      <c r="G231" s="30" t="s">
        <v>71</v>
      </c>
      <c r="H231" s="30" t="s">
        <v>72</v>
      </c>
      <c r="I231" s="30" t="s">
        <v>73</v>
      </c>
      <c r="J231" s="30" t="s">
        <v>74</v>
      </c>
      <c r="K231" s="30" t="s">
        <v>75</v>
      </c>
      <c r="L231" s="30" t="s">
        <v>76</v>
      </c>
      <c r="M231" s="30" t="s">
        <v>77</v>
      </c>
      <c r="N231" s="30" t="s">
        <v>78</v>
      </c>
      <c r="O231" s="30" t="s">
        <v>79</v>
      </c>
      <c r="P231" s="30" t="s">
        <v>80</v>
      </c>
      <c r="Q231" s="30" t="s">
        <v>81</v>
      </c>
      <c r="R231" s="30" t="s">
        <v>82</v>
      </c>
      <c r="S231" s="30" t="s">
        <v>83</v>
      </c>
    </row>
    <row r="232" spans="4:19" x14ac:dyDescent="0.25">
      <c r="D232" s="30" t="str" cm="1">
        <f t="array" ref="D232">Common_InputFunctions.Utility_DisplayArrayInTable(Common_SourceData.Common_SourceData_MCFTemperatureZone_Data(),Table_SourceData_Common_MCFTemperatureZone[[#Headers],[Temperature zone]],0)</f>
        <v>Cool</v>
      </c>
      <c r="E232" s="30" t="str" cm="1">
        <f t="array" ref="E232">Common_InputFunctions.Utility_DisplayArrayInTable(Common_SourceData.Common_SourceData_MCFTemperatureZone_Data(),Table_SourceData_Common_MCFTemperatureZone[[#Headers],[Temperature zone]],0)</f>
        <v>≤10</v>
      </c>
      <c r="F232" s="30" cm="1">
        <f t="array" ref="F232">Common_InputFunctions.Utility_DisplayArrayInTable(Common_SourceData.Common_SourceData_MCFTemperatureZone_Data(),Table_SourceData_Common_MCFTemperatureZone[[#Headers],[Temperature zone]],0)</f>
        <v>0.66</v>
      </c>
      <c r="G232" s="30" cm="1">
        <f t="array" ref="G232">Common_InputFunctions.Utility_DisplayArrayInTable(Common_SourceData.Common_SourceData_MCFTemperatureZone_Data(),Table_SourceData_Common_MCFTemperatureZone[[#Headers],[Temperature zone]],0)</f>
        <v>0.1</v>
      </c>
      <c r="H232" s="30" cm="1">
        <f t="array" ref="H232">Common_InputFunctions.Utility_DisplayArrayInTable(Common_SourceData.Common_SourceData_MCFTemperatureZone_Data(),Table_SourceData_Common_MCFTemperatureZone[[#Headers],[Temperature zone]],0)</f>
        <v>0.1</v>
      </c>
      <c r="I232" s="30" cm="1">
        <f t="array" ref="I232">Common_InputFunctions.Utility_DisplayArrayInTable(Common_SourceData.Common_SourceData_MCFTemperatureZone_Data(),Table_SourceData_Common_MCFTemperatureZone[[#Headers],[Temperature zone]],0)</f>
        <v>1E-3</v>
      </c>
      <c r="J232" s="30" cm="1">
        <f t="array" ref="J232">Common_InputFunctions.Utility_DisplayArrayInTable(Common_SourceData.Common_SourceData_MCFTemperatureZone_Data(),Table_SourceData_Common_MCFTemperatureZone[[#Headers],[Temperature zone]],0)</f>
        <v>5.0000000000000001E-3</v>
      </c>
      <c r="K232" s="30" cm="1">
        <f t="array" ref="K232">Common_InputFunctions.Utility_DisplayArrayInTable(Common_SourceData.Common_SourceData_MCFTemperatureZone_Data(),Table_SourceData_Common_MCFTemperatureZone[[#Headers],[Temperature zone]],0)</f>
        <v>0.02</v>
      </c>
      <c r="L232" s="30" cm="1">
        <f t="array" ref="L232">Common_InputFunctions.Utility_DisplayArrayInTable(Common_SourceData.Common_SourceData_MCFTemperatureZone_Data(),Table_SourceData_Common_MCFTemperatureZone[[#Headers],[Temperature zone]],0)</f>
        <v>0.03</v>
      </c>
      <c r="M232" s="30" cm="1">
        <f t="array" ref="M232">Common_InputFunctions.Utility_DisplayArrayInTable(Common_SourceData.Common_SourceData_MCFTemperatureZone_Data(),Table_SourceData_Common_MCFTemperatureZone[[#Headers],[Temperature zone]],0)</f>
        <v>0.04</v>
      </c>
      <c r="N232" s="30" cm="1">
        <f t="array" ref="N232">Common_InputFunctions.Utility_DisplayArrayInTable(Common_SourceData.Common_SourceData_MCFTemperatureZone_Data(),Table_SourceData_Common_MCFTemperatureZone[[#Headers],[Temperature zone]],0)</f>
        <v>1.4999999999999999E-2</v>
      </c>
      <c r="O232" s="30" cm="1">
        <f t="array" ref="O232">Common_InputFunctions.Utility_DisplayArrayInTable(Common_SourceData.Common_SourceData_MCFTemperatureZone_Data(),Table_SourceData_Common_MCFTemperatureZone[[#Headers],[Temperature zone]],0)</f>
        <v>1.4999999999999999E-2</v>
      </c>
      <c r="P232" s="30" cm="1">
        <f t="array" ref="P232">Common_InputFunctions.Utility_DisplayArrayInTable(Common_SourceData.Common_SourceData_MCFTemperatureZone_Data(),Table_SourceData_Common_MCFTemperatureZone[[#Headers],[Temperature zone]],0)</f>
        <v>0</v>
      </c>
      <c r="Q232" s="30" cm="1">
        <f t="array" ref="Q232">Common_InputFunctions.Utility_DisplayArrayInTable(Common_SourceData.Common_SourceData_MCFTemperatureZone_Data(),Table_SourceData_Common_MCFTemperatureZone[[#Headers],[Temperature zone]],0)</f>
        <v>0</v>
      </c>
      <c r="R232" s="30" cm="1">
        <f t="array" ref="R232">Common_InputFunctions.Utility_DisplayArrayInTable(Common_SourceData.Common_SourceData_MCFTemperatureZone_Data(),Table_SourceData_Common_MCFTemperatureZone[[#Headers],[Temperature zone]],0)</f>
        <v>4.7000000000000002E-3</v>
      </c>
      <c r="S232" s="30"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0" cm="1">
        <f t="array" ref="E233">Common_InputFunctions.Utility_DisplayArrayInTable(Common_SourceData.Common_SourceData_MCFTemperatureZone_Data(),Table_SourceData_Common_MCFTemperatureZone[[#Headers],[Temperature zone]],0)</f>
        <v>11</v>
      </c>
      <c r="F233" s="30" cm="1">
        <f t="array" ref="F233">Common_InputFunctions.Utility_DisplayArrayInTable(Common_SourceData.Common_SourceData_MCFTemperatureZone_Data(),Table_SourceData_Common_MCFTemperatureZone[[#Headers],[Temperature zone]],0)</f>
        <v>0.68</v>
      </c>
      <c r="G233" s="30" cm="1">
        <f t="array" ref="G233">Common_InputFunctions.Utility_DisplayArrayInTable(Common_SourceData.Common_SourceData_MCFTemperatureZone_Data(),Table_SourceData_Common_MCFTemperatureZone[[#Headers],[Temperature zone]],0)</f>
        <v>0.1</v>
      </c>
      <c r="H233" s="30" cm="1">
        <f t="array" ref="H233">Common_InputFunctions.Utility_DisplayArrayInTable(Common_SourceData.Common_SourceData_MCFTemperatureZone_Data(),Table_SourceData_Common_MCFTemperatureZone[[#Headers],[Temperature zone]],0)</f>
        <v>0.11</v>
      </c>
      <c r="I233" s="30" cm="1">
        <f t="array" ref="I233">Common_InputFunctions.Utility_DisplayArrayInTable(Common_SourceData.Common_SourceData_MCFTemperatureZone_Data(),Table_SourceData_Common_MCFTemperatureZone[[#Headers],[Temperature zone]],0)</f>
        <v>1E-3</v>
      </c>
      <c r="J233" s="30" cm="1">
        <f t="array" ref="J233">Common_InputFunctions.Utility_DisplayArrayInTable(Common_SourceData.Common_SourceData_MCFTemperatureZone_Data(),Table_SourceData_Common_MCFTemperatureZone[[#Headers],[Temperature zone]],0)</f>
        <v>5.0000000000000001E-3</v>
      </c>
      <c r="K233" s="30" cm="1">
        <f t="array" ref="K233">Common_InputFunctions.Utility_DisplayArrayInTable(Common_SourceData.Common_SourceData_MCFTemperatureZone_Data(),Table_SourceData_Common_MCFTemperatureZone[[#Headers],[Temperature zone]],0)</f>
        <v>0.02</v>
      </c>
      <c r="L233" s="30" cm="1">
        <f t="array" ref="L233">Common_InputFunctions.Utility_DisplayArrayInTable(Common_SourceData.Common_SourceData_MCFTemperatureZone_Data(),Table_SourceData_Common_MCFTemperatureZone[[#Headers],[Temperature zone]],0)</f>
        <v>0.03</v>
      </c>
      <c r="M233" s="30" cm="1">
        <f t="array" ref="M233">Common_InputFunctions.Utility_DisplayArrayInTable(Common_SourceData.Common_SourceData_MCFTemperatureZone_Data(),Table_SourceData_Common_MCFTemperatureZone[[#Headers],[Temperature zone]],0)</f>
        <v>0.04</v>
      </c>
      <c r="N233" s="30" cm="1">
        <f t="array" ref="N233">Common_InputFunctions.Utility_DisplayArrayInTable(Common_SourceData.Common_SourceData_MCFTemperatureZone_Data(),Table_SourceData_Common_MCFTemperatureZone[[#Headers],[Temperature zone]],0)</f>
        <v>1.4999999999999999E-2</v>
      </c>
      <c r="O233" s="30" cm="1">
        <f t="array" ref="O233">Common_InputFunctions.Utility_DisplayArrayInTable(Common_SourceData.Common_SourceData_MCFTemperatureZone_Data(),Table_SourceData_Common_MCFTemperatureZone[[#Headers],[Temperature zone]],0)</f>
        <v>1.4999999999999999E-2</v>
      </c>
      <c r="P233" s="30" cm="1">
        <f t="array" ref="P233">Common_InputFunctions.Utility_DisplayArrayInTable(Common_SourceData.Common_SourceData_MCFTemperatureZone_Data(),Table_SourceData_Common_MCFTemperatureZone[[#Headers],[Temperature zone]],0)</f>
        <v>0</v>
      </c>
      <c r="Q233" s="30" cm="1">
        <f t="array" ref="Q233">Common_InputFunctions.Utility_DisplayArrayInTable(Common_SourceData.Common_SourceData_MCFTemperatureZone_Data(),Table_SourceData_Common_MCFTemperatureZone[[#Headers],[Temperature zone]],0)</f>
        <v>0</v>
      </c>
      <c r="R233" s="30" cm="1">
        <f t="array" ref="R233">Common_InputFunctions.Utility_DisplayArrayInTable(Common_SourceData.Common_SourceData_MCFTemperatureZone_Data(),Table_SourceData_Common_MCFTemperatureZone[[#Headers],[Temperature zone]],0)</f>
        <v>4.7000000000000002E-3</v>
      </c>
      <c r="S233" s="30"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0" cm="1">
        <f t="array" ref="E234">Common_InputFunctions.Utility_DisplayArrayInTable(Common_SourceData.Common_SourceData_MCFTemperatureZone_Data(),Table_SourceData_Common_MCFTemperatureZone[[#Headers],[Temperature zone]],0)</f>
        <v>12</v>
      </c>
      <c r="F234" s="30" cm="1">
        <f t="array" ref="F234">Common_InputFunctions.Utility_DisplayArrayInTable(Common_SourceData.Common_SourceData_MCFTemperatureZone_Data(),Table_SourceData_Common_MCFTemperatureZone[[#Headers],[Temperature zone]],0)</f>
        <v>0.7</v>
      </c>
      <c r="G234" s="30" cm="1">
        <f t="array" ref="G234">Common_InputFunctions.Utility_DisplayArrayInTable(Common_SourceData.Common_SourceData_MCFTemperatureZone_Data(),Table_SourceData_Common_MCFTemperatureZone[[#Headers],[Temperature zone]],0)</f>
        <v>0.1</v>
      </c>
      <c r="H234" s="30" cm="1">
        <f t="array" ref="H234">Common_InputFunctions.Utility_DisplayArrayInTable(Common_SourceData.Common_SourceData_MCFTemperatureZone_Data(),Table_SourceData_Common_MCFTemperatureZone[[#Headers],[Temperature zone]],0)</f>
        <v>0.13</v>
      </c>
      <c r="I234" s="30" cm="1">
        <f t="array" ref="I234">Common_InputFunctions.Utility_DisplayArrayInTable(Common_SourceData.Common_SourceData_MCFTemperatureZone_Data(),Table_SourceData_Common_MCFTemperatureZone[[#Headers],[Temperature zone]],0)</f>
        <v>1E-3</v>
      </c>
      <c r="J234" s="30" cm="1">
        <f t="array" ref="J234">Common_InputFunctions.Utility_DisplayArrayInTable(Common_SourceData.Common_SourceData_MCFTemperatureZone_Data(),Table_SourceData_Common_MCFTemperatureZone[[#Headers],[Temperature zone]],0)</f>
        <v>5.0000000000000001E-3</v>
      </c>
      <c r="K234" s="30" cm="1">
        <f t="array" ref="K234">Common_InputFunctions.Utility_DisplayArrayInTable(Common_SourceData.Common_SourceData_MCFTemperatureZone_Data(),Table_SourceData_Common_MCFTemperatureZone[[#Headers],[Temperature zone]],0)</f>
        <v>0.02</v>
      </c>
      <c r="L234" s="30" cm="1">
        <f t="array" ref="L234">Common_InputFunctions.Utility_DisplayArrayInTable(Common_SourceData.Common_SourceData_MCFTemperatureZone_Data(),Table_SourceData_Common_MCFTemperatureZone[[#Headers],[Temperature zone]],0)</f>
        <v>0.03</v>
      </c>
      <c r="M234" s="30" cm="1">
        <f t="array" ref="M234">Common_InputFunctions.Utility_DisplayArrayInTable(Common_SourceData.Common_SourceData_MCFTemperatureZone_Data(),Table_SourceData_Common_MCFTemperatureZone[[#Headers],[Temperature zone]],0)</f>
        <v>0.04</v>
      </c>
      <c r="N234" s="30" cm="1">
        <f t="array" ref="N234">Common_InputFunctions.Utility_DisplayArrayInTable(Common_SourceData.Common_SourceData_MCFTemperatureZone_Data(),Table_SourceData_Common_MCFTemperatureZone[[#Headers],[Temperature zone]],0)</f>
        <v>1.4999999999999999E-2</v>
      </c>
      <c r="O234" s="30" cm="1">
        <f t="array" ref="O234">Common_InputFunctions.Utility_DisplayArrayInTable(Common_SourceData.Common_SourceData_MCFTemperatureZone_Data(),Table_SourceData_Common_MCFTemperatureZone[[#Headers],[Temperature zone]],0)</f>
        <v>1.4999999999999999E-2</v>
      </c>
      <c r="P234" s="30" cm="1">
        <f t="array" ref="P234">Common_InputFunctions.Utility_DisplayArrayInTable(Common_SourceData.Common_SourceData_MCFTemperatureZone_Data(),Table_SourceData_Common_MCFTemperatureZone[[#Headers],[Temperature zone]],0)</f>
        <v>0</v>
      </c>
      <c r="Q234" s="30" cm="1">
        <f t="array" ref="Q234">Common_InputFunctions.Utility_DisplayArrayInTable(Common_SourceData.Common_SourceData_MCFTemperatureZone_Data(),Table_SourceData_Common_MCFTemperatureZone[[#Headers],[Temperature zone]],0)</f>
        <v>0</v>
      </c>
      <c r="R234" s="30" cm="1">
        <f t="array" ref="R234">Common_InputFunctions.Utility_DisplayArrayInTable(Common_SourceData.Common_SourceData_MCFTemperatureZone_Data(),Table_SourceData_Common_MCFTemperatureZone[[#Headers],[Temperature zone]],0)</f>
        <v>4.7000000000000002E-3</v>
      </c>
      <c r="S234" s="30"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0" cm="1">
        <f t="array" ref="E235">Common_InputFunctions.Utility_DisplayArrayInTable(Common_SourceData.Common_SourceData_MCFTemperatureZone_Data(),Table_SourceData_Common_MCFTemperatureZone[[#Headers],[Temperature zone]],0)</f>
        <v>13</v>
      </c>
      <c r="F235" s="30" cm="1">
        <f t="array" ref="F235">Common_InputFunctions.Utility_DisplayArrayInTable(Common_SourceData.Common_SourceData_MCFTemperatureZone_Data(),Table_SourceData_Common_MCFTemperatureZone[[#Headers],[Temperature zone]],0)</f>
        <v>0.71</v>
      </c>
      <c r="G235" s="30" cm="1">
        <f t="array" ref="G235">Common_InputFunctions.Utility_DisplayArrayInTable(Common_SourceData.Common_SourceData_MCFTemperatureZone_Data(),Table_SourceData_Common_MCFTemperatureZone[[#Headers],[Temperature zone]],0)</f>
        <v>0.1</v>
      </c>
      <c r="H235" s="30" cm="1">
        <f t="array" ref="H235">Common_InputFunctions.Utility_DisplayArrayInTable(Common_SourceData.Common_SourceData_MCFTemperatureZone_Data(),Table_SourceData_Common_MCFTemperatureZone[[#Headers],[Temperature zone]],0)</f>
        <v>0.14000000000000001</v>
      </c>
      <c r="I235" s="30" cm="1">
        <f t="array" ref="I235">Common_InputFunctions.Utility_DisplayArrayInTable(Common_SourceData.Common_SourceData_MCFTemperatureZone_Data(),Table_SourceData_Common_MCFTemperatureZone[[#Headers],[Temperature zone]],0)</f>
        <v>1E-3</v>
      </c>
      <c r="J235" s="30" cm="1">
        <f t="array" ref="J235">Common_InputFunctions.Utility_DisplayArrayInTable(Common_SourceData.Common_SourceData_MCFTemperatureZone_Data(),Table_SourceData_Common_MCFTemperatureZone[[#Headers],[Temperature zone]],0)</f>
        <v>5.0000000000000001E-3</v>
      </c>
      <c r="K235" s="30" cm="1">
        <f t="array" ref="K235">Common_InputFunctions.Utility_DisplayArrayInTable(Common_SourceData.Common_SourceData_MCFTemperatureZone_Data(),Table_SourceData_Common_MCFTemperatureZone[[#Headers],[Temperature zone]],0)</f>
        <v>0.02</v>
      </c>
      <c r="L235" s="30" cm="1">
        <f t="array" ref="L235">Common_InputFunctions.Utility_DisplayArrayInTable(Common_SourceData.Common_SourceData_MCFTemperatureZone_Data(),Table_SourceData_Common_MCFTemperatureZone[[#Headers],[Temperature zone]],0)</f>
        <v>0.03</v>
      </c>
      <c r="M235" s="30" cm="1">
        <f t="array" ref="M235">Common_InputFunctions.Utility_DisplayArrayInTable(Common_SourceData.Common_SourceData_MCFTemperatureZone_Data(),Table_SourceData_Common_MCFTemperatureZone[[#Headers],[Temperature zone]],0)</f>
        <v>0.04</v>
      </c>
      <c r="N235" s="30" cm="1">
        <f t="array" ref="N235">Common_InputFunctions.Utility_DisplayArrayInTable(Common_SourceData.Common_SourceData_MCFTemperatureZone_Data(),Table_SourceData_Common_MCFTemperatureZone[[#Headers],[Temperature zone]],0)</f>
        <v>1.4999999999999999E-2</v>
      </c>
      <c r="O235" s="30" cm="1">
        <f t="array" ref="O235">Common_InputFunctions.Utility_DisplayArrayInTable(Common_SourceData.Common_SourceData_MCFTemperatureZone_Data(),Table_SourceData_Common_MCFTemperatureZone[[#Headers],[Temperature zone]],0)</f>
        <v>1.4999999999999999E-2</v>
      </c>
      <c r="P235" s="30" cm="1">
        <f t="array" ref="P235">Common_InputFunctions.Utility_DisplayArrayInTable(Common_SourceData.Common_SourceData_MCFTemperatureZone_Data(),Table_SourceData_Common_MCFTemperatureZone[[#Headers],[Temperature zone]],0)</f>
        <v>0</v>
      </c>
      <c r="Q235" s="30" cm="1">
        <f t="array" ref="Q235">Common_InputFunctions.Utility_DisplayArrayInTable(Common_SourceData.Common_SourceData_MCFTemperatureZone_Data(),Table_SourceData_Common_MCFTemperatureZone[[#Headers],[Temperature zone]],0)</f>
        <v>0</v>
      </c>
      <c r="R235" s="30" cm="1">
        <f t="array" ref="R235">Common_InputFunctions.Utility_DisplayArrayInTable(Common_SourceData.Common_SourceData_MCFTemperatureZone_Data(),Table_SourceData_Common_MCFTemperatureZone[[#Headers],[Temperature zone]],0)</f>
        <v>4.7000000000000002E-3</v>
      </c>
      <c r="S235" s="30"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0" cm="1">
        <f t="array" ref="E236">Common_InputFunctions.Utility_DisplayArrayInTable(Common_SourceData.Common_SourceData_MCFTemperatureZone_Data(),Table_SourceData_Common_MCFTemperatureZone[[#Headers],[Temperature zone]],0)</f>
        <v>14</v>
      </c>
      <c r="F236" s="30" cm="1">
        <f t="array" ref="F236">Common_InputFunctions.Utility_DisplayArrayInTable(Common_SourceData.Common_SourceData_MCFTemperatureZone_Data(),Table_SourceData_Common_MCFTemperatureZone[[#Headers],[Temperature zone]],0)</f>
        <v>0.73</v>
      </c>
      <c r="G236" s="30" cm="1">
        <f t="array" ref="G236">Common_InputFunctions.Utility_DisplayArrayInTable(Common_SourceData.Common_SourceData_MCFTemperatureZone_Data(),Table_SourceData_Common_MCFTemperatureZone[[#Headers],[Temperature zone]],0)</f>
        <v>0.1</v>
      </c>
      <c r="H236" s="30" cm="1">
        <f t="array" ref="H236">Common_InputFunctions.Utility_DisplayArrayInTable(Common_SourceData.Common_SourceData_MCFTemperatureZone_Data(),Table_SourceData_Common_MCFTemperatureZone[[#Headers],[Temperature zone]],0)</f>
        <v>0.15</v>
      </c>
      <c r="I236" s="30" cm="1">
        <f t="array" ref="I236">Common_InputFunctions.Utility_DisplayArrayInTable(Common_SourceData.Common_SourceData_MCFTemperatureZone_Data(),Table_SourceData_Common_MCFTemperatureZone[[#Headers],[Temperature zone]],0)</f>
        <v>1E-3</v>
      </c>
      <c r="J236" s="30" cm="1">
        <f t="array" ref="J236">Common_InputFunctions.Utility_DisplayArrayInTable(Common_SourceData.Common_SourceData_MCFTemperatureZone_Data(),Table_SourceData_Common_MCFTemperatureZone[[#Headers],[Temperature zone]],0)</f>
        <v>5.0000000000000001E-3</v>
      </c>
      <c r="K236" s="30" cm="1">
        <f t="array" ref="K236">Common_InputFunctions.Utility_DisplayArrayInTable(Common_SourceData.Common_SourceData_MCFTemperatureZone_Data(),Table_SourceData_Common_MCFTemperatureZone[[#Headers],[Temperature zone]],0)</f>
        <v>0.02</v>
      </c>
      <c r="L236" s="30" cm="1">
        <f t="array" ref="L236">Common_InputFunctions.Utility_DisplayArrayInTable(Common_SourceData.Common_SourceData_MCFTemperatureZone_Data(),Table_SourceData_Common_MCFTemperatureZone[[#Headers],[Temperature zone]],0)</f>
        <v>0.03</v>
      </c>
      <c r="M236" s="30" cm="1">
        <f t="array" ref="M236">Common_InputFunctions.Utility_DisplayArrayInTable(Common_SourceData.Common_SourceData_MCFTemperatureZone_Data(),Table_SourceData_Common_MCFTemperatureZone[[#Headers],[Temperature zone]],0)</f>
        <v>0.04</v>
      </c>
      <c r="N236" s="30" cm="1">
        <f t="array" ref="N236">Common_InputFunctions.Utility_DisplayArrayInTable(Common_SourceData.Common_SourceData_MCFTemperatureZone_Data(),Table_SourceData_Common_MCFTemperatureZone[[#Headers],[Temperature zone]],0)</f>
        <v>1.4999999999999999E-2</v>
      </c>
      <c r="O236" s="30" cm="1">
        <f t="array" ref="O236">Common_InputFunctions.Utility_DisplayArrayInTable(Common_SourceData.Common_SourceData_MCFTemperatureZone_Data(),Table_SourceData_Common_MCFTemperatureZone[[#Headers],[Temperature zone]],0)</f>
        <v>1.4999999999999999E-2</v>
      </c>
      <c r="P236" s="30" cm="1">
        <f t="array" ref="P236">Common_InputFunctions.Utility_DisplayArrayInTable(Common_SourceData.Common_SourceData_MCFTemperatureZone_Data(),Table_SourceData_Common_MCFTemperatureZone[[#Headers],[Temperature zone]],0)</f>
        <v>0</v>
      </c>
      <c r="Q236" s="30" cm="1">
        <f t="array" ref="Q236">Common_InputFunctions.Utility_DisplayArrayInTable(Common_SourceData.Common_SourceData_MCFTemperatureZone_Data(),Table_SourceData_Common_MCFTemperatureZone[[#Headers],[Temperature zone]],0)</f>
        <v>0</v>
      </c>
      <c r="R236" s="30" cm="1">
        <f t="array" ref="R236">Common_InputFunctions.Utility_DisplayArrayInTable(Common_SourceData.Common_SourceData_MCFTemperatureZone_Data(),Table_SourceData_Common_MCFTemperatureZone[[#Headers],[Temperature zone]],0)</f>
        <v>4.7000000000000002E-3</v>
      </c>
      <c r="S236" s="30"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0" cm="1">
        <f t="array" ref="E237">Common_InputFunctions.Utility_DisplayArrayInTable(Common_SourceData.Common_SourceData_MCFTemperatureZone_Data(),Table_SourceData_Common_MCFTemperatureZone[[#Headers],[Temperature zone]],0)</f>
        <v>15</v>
      </c>
      <c r="F237" s="30" cm="1">
        <f t="array" ref="F237">Common_InputFunctions.Utility_DisplayArrayInTable(Common_SourceData.Common_SourceData_MCFTemperatureZone_Data(),Table_SourceData_Common_MCFTemperatureZone[[#Headers],[Temperature zone]],0)</f>
        <v>0.74</v>
      </c>
      <c r="G237" s="30" cm="1">
        <f t="array" ref="G237">Common_InputFunctions.Utility_DisplayArrayInTable(Common_SourceData.Common_SourceData_MCFTemperatureZone_Data(),Table_SourceData_Common_MCFTemperatureZone[[#Headers],[Temperature zone]],0)</f>
        <v>0.1</v>
      </c>
      <c r="H237" s="30" cm="1">
        <f t="array" ref="H237">Common_InputFunctions.Utility_DisplayArrayInTable(Common_SourceData.Common_SourceData_MCFTemperatureZone_Data(),Table_SourceData_Common_MCFTemperatureZone[[#Headers],[Temperature zone]],0)</f>
        <v>0.17</v>
      </c>
      <c r="I237" s="30" cm="1">
        <f t="array" ref="I237">Common_InputFunctions.Utility_DisplayArrayInTable(Common_SourceData.Common_SourceData_MCFTemperatureZone_Data(),Table_SourceData_Common_MCFTemperatureZone[[#Headers],[Temperature zone]],0)</f>
        <v>5.0000000000000001E-3</v>
      </c>
      <c r="J237" s="30" cm="1">
        <f t="array" ref="J237">Common_InputFunctions.Utility_DisplayArrayInTable(Common_SourceData.Common_SourceData_MCFTemperatureZone_Data(),Table_SourceData_Common_MCFTemperatureZone[[#Headers],[Temperature zone]],0)</f>
        <v>0.01</v>
      </c>
      <c r="K237" s="30" cm="1">
        <f t="array" ref="K237">Common_InputFunctions.Utility_DisplayArrayInTable(Common_SourceData.Common_SourceData_MCFTemperatureZone_Data(),Table_SourceData_Common_MCFTemperatureZone[[#Headers],[Temperature zone]],0)</f>
        <v>0.02</v>
      </c>
      <c r="L237" s="30" cm="1">
        <f t="array" ref="L237">Common_InputFunctions.Utility_DisplayArrayInTable(Common_SourceData.Common_SourceData_MCFTemperatureZone_Data(),Table_SourceData_Common_MCFTemperatureZone[[#Headers],[Temperature zone]],0)</f>
        <v>0.03</v>
      </c>
      <c r="M237" s="30" cm="1">
        <f t="array" ref="M237">Common_InputFunctions.Utility_DisplayArrayInTable(Common_SourceData.Common_SourceData_MCFTemperatureZone_Data(),Table_SourceData_Common_MCFTemperatureZone[[#Headers],[Temperature zone]],0)</f>
        <v>0.04</v>
      </c>
      <c r="N237" s="30" cm="1">
        <f t="array" ref="N237">Common_InputFunctions.Utility_DisplayArrayInTable(Common_SourceData.Common_SourceData_MCFTemperatureZone_Data(),Table_SourceData_Common_MCFTemperatureZone[[#Headers],[Temperature zone]],0)</f>
        <v>1.4999999999999999E-2</v>
      </c>
      <c r="O237" s="30" cm="1">
        <f t="array" ref="O237">Common_InputFunctions.Utility_DisplayArrayInTable(Common_SourceData.Common_SourceData_MCFTemperatureZone_Data(),Table_SourceData_Common_MCFTemperatureZone[[#Headers],[Temperature zone]],0)</f>
        <v>1.4999999999999999E-2</v>
      </c>
      <c r="P237" s="30" cm="1">
        <f t="array" ref="P237">Common_InputFunctions.Utility_DisplayArrayInTable(Common_SourceData.Common_SourceData_MCFTemperatureZone_Data(),Table_SourceData_Common_MCFTemperatureZone[[#Headers],[Temperature zone]],0)</f>
        <v>0</v>
      </c>
      <c r="Q237" s="30" cm="1">
        <f t="array" ref="Q237">Common_InputFunctions.Utility_DisplayArrayInTable(Common_SourceData.Common_SourceData_MCFTemperatureZone_Data(),Table_SourceData_Common_MCFTemperatureZone[[#Headers],[Temperature zone]],0)</f>
        <v>0</v>
      </c>
      <c r="R237" s="30" cm="1">
        <f t="array" ref="R237">Common_InputFunctions.Utility_DisplayArrayInTable(Common_SourceData.Common_SourceData_MCFTemperatureZone_Data(),Table_SourceData_Common_MCFTemperatureZone[[#Headers],[Temperature zone]],0)</f>
        <v>4.7000000000000002E-3</v>
      </c>
      <c r="S237" s="30"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0" cm="1">
        <f t="array" ref="E238">Common_InputFunctions.Utility_DisplayArrayInTable(Common_SourceData.Common_SourceData_MCFTemperatureZone_Data(),Table_SourceData_Common_MCFTemperatureZone[[#Headers],[Temperature zone]],0)</f>
        <v>16</v>
      </c>
      <c r="F238" s="30" cm="1">
        <f t="array" ref="F238">Common_InputFunctions.Utility_DisplayArrayInTable(Common_SourceData.Common_SourceData_MCFTemperatureZone_Data(),Table_SourceData_Common_MCFTemperatureZone[[#Headers],[Temperature zone]],0)</f>
        <v>0.75</v>
      </c>
      <c r="G238" s="30" cm="1">
        <f t="array" ref="G238">Common_InputFunctions.Utility_DisplayArrayInTable(Common_SourceData.Common_SourceData_MCFTemperatureZone_Data(),Table_SourceData_Common_MCFTemperatureZone[[#Headers],[Temperature zone]],0)</f>
        <v>0.1</v>
      </c>
      <c r="H238" s="30" cm="1">
        <f t="array" ref="H238">Common_InputFunctions.Utility_DisplayArrayInTable(Common_SourceData.Common_SourceData_MCFTemperatureZone_Data(),Table_SourceData_Common_MCFTemperatureZone[[#Headers],[Temperature zone]],0)</f>
        <v>0.18</v>
      </c>
      <c r="I238" s="30" cm="1">
        <f t="array" ref="I238">Common_InputFunctions.Utility_DisplayArrayInTable(Common_SourceData.Common_SourceData_MCFTemperatureZone_Data(),Table_SourceData_Common_MCFTemperatureZone[[#Headers],[Temperature zone]],0)</f>
        <v>5.0000000000000001E-3</v>
      </c>
      <c r="J238" s="30" cm="1">
        <f t="array" ref="J238">Common_InputFunctions.Utility_DisplayArrayInTable(Common_SourceData.Common_SourceData_MCFTemperatureZone_Data(),Table_SourceData_Common_MCFTemperatureZone[[#Headers],[Temperature zone]],0)</f>
        <v>0.01</v>
      </c>
      <c r="K238" s="30" cm="1">
        <f t="array" ref="K238">Common_InputFunctions.Utility_DisplayArrayInTable(Common_SourceData.Common_SourceData_MCFTemperatureZone_Data(),Table_SourceData_Common_MCFTemperatureZone[[#Headers],[Temperature zone]],0)</f>
        <v>0.02</v>
      </c>
      <c r="L238" s="30" cm="1">
        <f t="array" ref="L238">Common_InputFunctions.Utility_DisplayArrayInTable(Common_SourceData.Common_SourceData_MCFTemperatureZone_Data(),Table_SourceData_Common_MCFTemperatureZone[[#Headers],[Temperature zone]],0)</f>
        <v>0.03</v>
      </c>
      <c r="M238" s="30" cm="1">
        <f t="array" ref="M238">Common_InputFunctions.Utility_DisplayArrayInTable(Common_SourceData.Common_SourceData_MCFTemperatureZone_Data(),Table_SourceData_Common_MCFTemperatureZone[[#Headers],[Temperature zone]],0)</f>
        <v>0.04</v>
      </c>
      <c r="N238" s="30" cm="1">
        <f t="array" ref="N238">Common_InputFunctions.Utility_DisplayArrayInTable(Common_SourceData.Common_SourceData_MCFTemperatureZone_Data(),Table_SourceData_Common_MCFTemperatureZone[[#Headers],[Temperature zone]],0)</f>
        <v>1.4999999999999999E-2</v>
      </c>
      <c r="O238" s="30" cm="1">
        <f t="array" ref="O238">Common_InputFunctions.Utility_DisplayArrayInTable(Common_SourceData.Common_SourceData_MCFTemperatureZone_Data(),Table_SourceData_Common_MCFTemperatureZone[[#Headers],[Temperature zone]],0)</f>
        <v>1.4999999999999999E-2</v>
      </c>
      <c r="P238" s="30" cm="1">
        <f t="array" ref="P238">Common_InputFunctions.Utility_DisplayArrayInTable(Common_SourceData.Common_SourceData_MCFTemperatureZone_Data(),Table_SourceData_Common_MCFTemperatureZone[[#Headers],[Temperature zone]],0)</f>
        <v>0</v>
      </c>
      <c r="Q238" s="30" cm="1">
        <f t="array" ref="Q238">Common_InputFunctions.Utility_DisplayArrayInTable(Common_SourceData.Common_SourceData_MCFTemperatureZone_Data(),Table_SourceData_Common_MCFTemperatureZone[[#Headers],[Temperature zone]],0)</f>
        <v>0</v>
      </c>
      <c r="R238" s="30" cm="1">
        <f t="array" ref="R238">Common_InputFunctions.Utility_DisplayArrayInTable(Common_SourceData.Common_SourceData_MCFTemperatureZone_Data(),Table_SourceData_Common_MCFTemperatureZone[[#Headers],[Temperature zone]],0)</f>
        <v>4.7000000000000002E-3</v>
      </c>
      <c r="S238" s="30"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0" cm="1">
        <f t="array" ref="E239">Common_InputFunctions.Utility_DisplayArrayInTable(Common_SourceData.Common_SourceData_MCFTemperatureZone_Data(),Table_SourceData_Common_MCFTemperatureZone[[#Headers],[Temperature zone]],0)</f>
        <v>17</v>
      </c>
      <c r="F239" s="30" cm="1">
        <f t="array" ref="F239">Common_InputFunctions.Utility_DisplayArrayInTable(Common_SourceData.Common_SourceData_MCFTemperatureZone_Data(),Table_SourceData_Common_MCFTemperatureZone[[#Headers],[Temperature zone]],0)</f>
        <v>0.76</v>
      </c>
      <c r="G239" s="30" cm="1">
        <f t="array" ref="G239">Common_InputFunctions.Utility_DisplayArrayInTable(Common_SourceData.Common_SourceData_MCFTemperatureZone_Data(),Table_SourceData_Common_MCFTemperatureZone[[#Headers],[Temperature zone]],0)</f>
        <v>0.1</v>
      </c>
      <c r="H239" s="30" cm="1">
        <f t="array" ref="H239">Common_InputFunctions.Utility_DisplayArrayInTable(Common_SourceData.Common_SourceData_MCFTemperatureZone_Data(),Table_SourceData_Common_MCFTemperatureZone[[#Headers],[Temperature zone]],0)</f>
        <v>0.2</v>
      </c>
      <c r="I239" s="30" cm="1">
        <f t="array" ref="I239">Common_InputFunctions.Utility_DisplayArrayInTable(Common_SourceData.Common_SourceData_MCFTemperatureZone_Data(),Table_SourceData_Common_MCFTemperatureZone[[#Headers],[Temperature zone]],0)</f>
        <v>5.0000000000000001E-3</v>
      </c>
      <c r="J239" s="30" cm="1">
        <f t="array" ref="J239">Common_InputFunctions.Utility_DisplayArrayInTable(Common_SourceData.Common_SourceData_MCFTemperatureZone_Data(),Table_SourceData_Common_MCFTemperatureZone[[#Headers],[Temperature zone]],0)</f>
        <v>0.01</v>
      </c>
      <c r="K239" s="30" cm="1">
        <f t="array" ref="K239">Common_InputFunctions.Utility_DisplayArrayInTable(Common_SourceData.Common_SourceData_MCFTemperatureZone_Data(),Table_SourceData_Common_MCFTemperatureZone[[#Headers],[Temperature zone]],0)</f>
        <v>0.02</v>
      </c>
      <c r="L239" s="30" cm="1">
        <f t="array" ref="L239">Common_InputFunctions.Utility_DisplayArrayInTable(Common_SourceData.Common_SourceData_MCFTemperatureZone_Data(),Table_SourceData_Common_MCFTemperatureZone[[#Headers],[Temperature zone]],0)</f>
        <v>0.03</v>
      </c>
      <c r="M239" s="30" cm="1">
        <f t="array" ref="M239">Common_InputFunctions.Utility_DisplayArrayInTable(Common_SourceData.Common_SourceData_MCFTemperatureZone_Data(),Table_SourceData_Common_MCFTemperatureZone[[#Headers],[Temperature zone]],0)</f>
        <v>0.04</v>
      </c>
      <c r="N239" s="30" cm="1">
        <f t="array" ref="N239">Common_InputFunctions.Utility_DisplayArrayInTable(Common_SourceData.Common_SourceData_MCFTemperatureZone_Data(),Table_SourceData_Common_MCFTemperatureZone[[#Headers],[Temperature zone]],0)</f>
        <v>1.4999999999999999E-2</v>
      </c>
      <c r="O239" s="30" cm="1">
        <f t="array" ref="O239">Common_InputFunctions.Utility_DisplayArrayInTable(Common_SourceData.Common_SourceData_MCFTemperatureZone_Data(),Table_SourceData_Common_MCFTemperatureZone[[#Headers],[Temperature zone]],0)</f>
        <v>1.4999999999999999E-2</v>
      </c>
      <c r="P239" s="30" cm="1">
        <f t="array" ref="P239">Common_InputFunctions.Utility_DisplayArrayInTable(Common_SourceData.Common_SourceData_MCFTemperatureZone_Data(),Table_SourceData_Common_MCFTemperatureZone[[#Headers],[Temperature zone]],0)</f>
        <v>0</v>
      </c>
      <c r="Q239" s="30" cm="1">
        <f t="array" ref="Q239">Common_InputFunctions.Utility_DisplayArrayInTable(Common_SourceData.Common_SourceData_MCFTemperatureZone_Data(),Table_SourceData_Common_MCFTemperatureZone[[#Headers],[Temperature zone]],0)</f>
        <v>0</v>
      </c>
      <c r="R239" s="30" cm="1">
        <f t="array" ref="R239">Common_InputFunctions.Utility_DisplayArrayInTable(Common_SourceData.Common_SourceData_MCFTemperatureZone_Data(),Table_SourceData_Common_MCFTemperatureZone[[#Headers],[Temperature zone]],0)</f>
        <v>4.7000000000000002E-3</v>
      </c>
      <c r="S239" s="30"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0" cm="1">
        <f t="array" ref="E240">Common_InputFunctions.Utility_DisplayArrayInTable(Common_SourceData.Common_SourceData_MCFTemperatureZone_Data(),Table_SourceData_Common_MCFTemperatureZone[[#Headers],[Temperature zone]],0)</f>
        <v>18</v>
      </c>
      <c r="F240" s="30" cm="1">
        <f t="array" ref="F240">Common_InputFunctions.Utility_DisplayArrayInTable(Common_SourceData.Common_SourceData_MCFTemperatureZone_Data(),Table_SourceData_Common_MCFTemperatureZone[[#Headers],[Temperature zone]],0)</f>
        <v>0.77</v>
      </c>
      <c r="G240" s="30" cm="1">
        <f t="array" ref="G240">Common_InputFunctions.Utility_DisplayArrayInTable(Common_SourceData.Common_SourceData_MCFTemperatureZone_Data(),Table_SourceData_Common_MCFTemperatureZone[[#Headers],[Temperature zone]],0)</f>
        <v>0.1</v>
      </c>
      <c r="H240" s="30" cm="1">
        <f t="array" ref="H240">Common_InputFunctions.Utility_DisplayArrayInTable(Common_SourceData.Common_SourceData_MCFTemperatureZone_Data(),Table_SourceData_Common_MCFTemperatureZone[[#Headers],[Temperature zone]],0)</f>
        <v>0.22</v>
      </c>
      <c r="I240" s="30" cm="1">
        <f t="array" ref="I240">Common_InputFunctions.Utility_DisplayArrayInTable(Common_SourceData.Common_SourceData_MCFTemperatureZone_Data(),Table_SourceData_Common_MCFTemperatureZone[[#Headers],[Temperature zone]],0)</f>
        <v>5.0000000000000001E-3</v>
      </c>
      <c r="J240" s="30" cm="1">
        <f t="array" ref="J240">Common_InputFunctions.Utility_DisplayArrayInTable(Common_SourceData.Common_SourceData_MCFTemperatureZone_Data(),Table_SourceData_Common_MCFTemperatureZone[[#Headers],[Temperature zone]],0)</f>
        <v>0.01</v>
      </c>
      <c r="K240" s="30" cm="1">
        <f t="array" ref="K240">Common_InputFunctions.Utility_DisplayArrayInTable(Common_SourceData.Common_SourceData_MCFTemperatureZone_Data(),Table_SourceData_Common_MCFTemperatureZone[[#Headers],[Temperature zone]],0)</f>
        <v>0.02</v>
      </c>
      <c r="L240" s="30" cm="1">
        <f t="array" ref="L240">Common_InputFunctions.Utility_DisplayArrayInTable(Common_SourceData.Common_SourceData_MCFTemperatureZone_Data(),Table_SourceData_Common_MCFTemperatureZone[[#Headers],[Temperature zone]],0)</f>
        <v>0.03</v>
      </c>
      <c r="M240" s="30" cm="1">
        <f t="array" ref="M240">Common_InputFunctions.Utility_DisplayArrayInTable(Common_SourceData.Common_SourceData_MCFTemperatureZone_Data(),Table_SourceData_Common_MCFTemperatureZone[[#Headers],[Temperature zone]],0)</f>
        <v>0.04</v>
      </c>
      <c r="N240" s="30" cm="1">
        <f t="array" ref="N240">Common_InputFunctions.Utility_DisplayArrayInTable(Common_SourceData.Common_SourceData_MCFTemperatureZone_Data(),Table_SourceData_Common_MCFTemperatureZone[[#Headers],[Temperature zone]],0)</f>
        <v>1.4999999999999999E-2</v>
      </c>
      <c r="O240" s="30" cm="1">
        <f t="array" ref="O240">Common_InputFunctions.Utility_DisplayArrayInTable(Common_SourceData.Common_SourceData_MCFTemperatureZone_Data(),Table_SourceData_Common_MCFTemperatureZone[[#Headers],[Temperature zone]],0)</f>
        <v>1.4999999999999999E-2</v>
      </c>
      <c r="P240" s="30" cm="1">
        <f t="array" ref="P240">Common_InputFunctions.Utility_DisplayArrayInTable(Common_SourceData.Common_SourceData_MCFTemperatureZone_Data(),Table_SourceData_Common_MCFTemperatureZone[[#Headers],[Temperature zone]],0)</f>
        <v>0</v>
      </c>
      <c r="Q240" s="30" cm="1">
        <f t="array" ref="Q240">Common_InputFunctions.Utility_DisplayArrayInTable(Common_SourceData.Common_SourceData_MCFTemperatureZone_Data(),Table_SourceData_Common_MCFTemperatureZone[[#Headers],[Temperature zone]],0)</f>
        <v>0</v>
      </c>
      <c r="R240" s="30" cm="1">
        <f t="array" ref="R240">Common_InputFunctions.Utility_DisplayArrayInTable(Common_SourceData.Common_SourceData_MCFTemperatureZone_Data(),Table_SourceData_Common_MCFTemperatureZone[[#Headers],[Temperature zone]],0)</f>
        <v>4.7000000000000002E-3</v>
      </c>
      <c r="S240" s="30"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0" cm="1">
        <f t="array" ref="E241">Common_InputFunctions.Utility_DisplayArrayInTable(Common_SourceData.Common_SourceData_MCFTemperatureZone_Data(),Table_SourceData_Common_MCFTemperatureZone[[#Headers],[Temperature zone]],0)</f>
        <v>19</v>
      </c>
      <c r="F241" s="30" cm="1">
        <f t="array" ref="F241">Common_InputFunctions.Utility_DisplayArrayInTable(Common_SourceData.Common_SourceData_MCFTemperatureZone_Data(),Table_SourceData_Common_MCFTemperatureZone[[#Headers],[Temperature zone]],0)</f>
        <v>0.77</v>
      </c>
      <c r="G241" s="30" cm="1">
        <f t="array" ref="G241">Common_InputFunctions.Utility_DisplayArrayInTable(Common_SourceData.Common_SourceData_MCFTemperatureZone_Data(),Table_SourceData_Common_MCFTemperatureZone[[#Headers],[Temperature zone]],0)</f>
        <v>0.1</v>
      </c>
      <c r="H241" s="30" cm="1">
        <f t="array" ref="H241">Common_InputFunctions.Utility_DisplayArrayInTable(Common_SourceData.Common_SourceData_MCFTemperatureZone_Data(),Table_SourceData_Common_MCFTemperatureZone[[#Headers],[Temperature zone]],0)</f>
        <v>0.24</v>
      </c>
      <c r="I241" s="30" cm="1">
        <f t="array" ref="I241">Common_InputFunctions.Utility_DisplayArrayInTable(Common_SourceData.Common_SourceData_MCFTemperatureZone_Data(),Table_SourceData_Common_MCFTemperatureZone[[#Headers],[Temperature zone]],0)</f>
        <v>5.0000000000000001E-3</v>
      </c>
      <c r="J241" s="30" cm="1">
        <f t="array" ref="J241">Common_InputFunctions.Utility_DisplayArrayInTable(Common_SourceData.Common_SourceData_MCFTemperatureZone_Data(),Table_SourceData_Common_MCFTemperatureZone[[#Headers],[Temperature zone]],0)</f>
        <v>0.01</v>
      </c>
      <c r="K241" s="30" cm="1">
        <f t="array" ref="K241">Common_InputFunctions.Utility_DisplayArrayInTable(Common_SourceData.Common_SourceData_MCFTemperatureZone_Data(),Table_SourceData_Common_MCFTemperatureZone[[#Headers],[Temperature zone]],0)</f>
        <v>0.02</v>
      </c>
      <c r="L241" s="30" cm="1">
        <f t="array" ref="L241">Common_InputFunctions.Utility_DisplayArrayInTable(Common_SourceData.Common_SourceData_MCFTemperatureZone_Data(),Table_SourceData_Common_MCFTemperatureZone[[#Headers],[Temperature zone]],0)</f>
        <v>0.03</v>
      </c>
      <c r="M241" s="30" cm="1">
        <f t="array" ref="M241">Common_InputFunctions.Utility_DisplayArrayInTable(Common_SourceData.Common_SourceData_MCFTemperatureZone_Data(),Table_SourceData_Common_MCFTemperatureZone[[#Headers],[Temperature zone]],0)</f>
        <v>0.04</v>
      </c>
      <c r="N241" s="30" cm="1">
        <f t="array" ref="N241">Common_InputFunctions.Utility_DisplayArrayInTable(Common_SourceData.Common_SourceData_MCFTemperatureZone_Data(),Table_SourceData_Common_MCFTemperatureZone[[#Headers],[Temperature zone]],0)</f>
        <v>1.4999999999999999E-2</v>
      </c>
      <c r="O241" s="30" cm="1">
        <f t="array" ref="O241">Common_InputFunctions.Utility_DisplayArrayInTable(Common_SourceData.Common_SourceData_MCFTemperatureZone_Data(),Table_SourceData_Common_MCFTemperatureZone[[#Headers],[Temperature zone]],0)</f>
        <v>1.4999999999999999E-2</v>
      </c>
      <c r="P241" s="30" cm="1">
        <f t="array" ref="P241">Common_InputFunctions.Utility_DisplayArrayInTable(Common_SourceData.Common_SourceData_MCFTemperatureZone_Data(),Table_SourceData_Common_MCFTemperatureZone[[#Headers],[Temperature zone]],0)</f>
        <v>0</v>
      </c>
      <c r="Q241" s="30" cm="1">
        <f t="array" ref="Q241">Common_InputFunctions.Utility_DisplayArrayInTable(Common_SourceData.Common_SourceData_MCFTemperatureZone_Data(),Table_SourceData_Common_MCFTemperatureZone[[#Headers],[Temperature zone]],0)</f>
        <v>0</v>
      </c>
      <c r="R241" s="30" cm="1">
        <f t="array" ref="R241">Common_InputFunctions.Utility_DisplayArrayInTable(Common_SourceData.Common_SourceData_MCFTemperatureZone_Data(),Table_SourceData_Common_MCFTemperatureZone[[#Headers],[Temperature zone]],0)</f>
        <v>4.7000000000000002E-3</v>
      </c>
      <c r="S241" s="30"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0" cm="1">
        <f t="array" ref="E242">Common_InputFunctions.Utility_DisplayArrayInTable(Common_SourceData.Common_SourceData_MCFTemperatureZone_Data(),Table_SourceData_Common_MCFTemperatureZone[[#Headers],[Temperature zone]],0)</f>
        <v>20</v>
      </c>
      <c r="F242" s="30" cm="1">
        <f t="array" ref="F242">Common_InputFunctions.Utility_DisplayArrayInTable(Common_SourceData.Common_SourceData_MCFTemperatureZone_Data(),Table_SourceData_Common_MCFTemperatureZone[[#Headers],[Temperature zone]],0)</f>
        <v>0.78</v>
      </c>
      <c r="G242" s="30" cm="1">
        <f t="array" ref="G242">Common_InputFunctions.Utility_DisplayArrayInTable(Common_SourceData.Common_SourceData_MCFTemperatureZone_Data(),Table_SourceData_Common_MCFTemperatureZone[[#Headers],[Temperature zone]],0)</f>
        <v>0.1</v>
      </c>
      <c r="H242" s="30" cm="1">
        <f t="array" ref="H242">Common_InputFunctions.Utility_DisplayArrayInTable(Common_SourceData.Common_SourceData_MCFTemperatureZone_Data(),Table_SourceData_Common_MCFTemperatureZone[[#Headers],[Temperature zone]],0)</f>
        <v>0.26</v>
      </c>
      <c r="I242" s="30" cm="1">
        <f t="array" ref="I242">Common_InputFunctions.Utility_DisplayArrayInTable(Common_SourceData.Common_SourceData_MCFTemperatureZone_Data(),Table_SourceData_Common_MCFTemperatureZone[[#Headers],[Temperature zone]],0)</f>
        <v>5.0000000000000001E-3</v>
      </c>
      <c r="J242" s="30" cm="1">
        <f t="array" ref="J242">Common_InputFunctions.Utility_DisplayArrayInTable(Common_SourceData.Common_SourceData_MCFTemperatureZone_Data(),Table_SourceData_Common_MCFTemperatureZone[[#Headers],[Temperature zone]],0)</f>
        <v>0.01</v>
      </c>
      <c r="K242" s="30" cm="1">
        <f t="array" ref="K242">Common_InputFunctions.Utility_DisplayArrayInTable(Common_SourceData.Common_SourceData_MCFTemperatureZone_Data(),Table_SourceData_Common_MCFTemperatureZone[[#Headers],[Temperature zone]],0)</f>
        <v>0.02</v>
      </c>
      <c r="L242" s="30" cm="1">
        <f t="array" ref="L242">Common_InputFunctions.Utility_DisplayArrayInTable(Common_SourceData.Common_SourceData_MCFTemperatureZone_Data(),Table_SourceData_Common_MCFTemperatureZone[[#Headers],[Temperature zone]],0)</f>
        <v>0.03</v>
      </c>
      <c r="M242" s="30" cm="1">
        <f t="array" ref="M242">Common_InputFunctions.Utility_DisplayArrayInTable(Common_SourceData.Common_SourceData_MCFTemperatureZone_Data(),Table_SourceData_Common_MCFTemperatureZone[[#Headers],[Temperature zone]],0)</f>
        <v>0.04</v>
      </c>
      <c r="N242" s="30" cm="1">
        <f t="array" ref="N242">Common_InputFunctions.Utility_DisplayArrayInTable(Common_SourceData.Common_SourceData_MCFTemperatureZone_Data(),Table_SourceData_Common_MCFTemperatureZone[[#Headers],[Temperature zone]],0)</f>
        <v>1.4999999999999999E-2</v>
      </c>
      <c r="O242" s="30" cm="1">
        <f t="array" ref="O242">Common_InputFunctions.Utility_DisplayArrayInTable(Common_SourceData.Common_SourceData_MCFTemperatureZone_Data(),Table_SourceData_Common_MCFTemperatureZone[[#Headers],[Temperature zone]],0)</f>
        <v>1.4999999999999999E-2</v>
      </c>
      <c r="P242" s="30" cm="1">
        <f t="array" ref="P242">Common_InputFunctions.Utility_DisplayArrayInTable(Common_SourceData.Common_SourceData_MCFTemperatureZone_Data(),Table_SourceData_Common_MCFTemperatureZone[[#Headers],[Temperature zone]],0)</f>
        <v>0</v>
      </c>
      <c r="Q242" s="30" cm="1">
        <f t="array" ref="Q242">Common_InputFunctions.Utility_DisplayArrayInTable(Common_SourceData.Common_SourceData_MCFTemperatureZone_Data(),Table_SourceData_Common_MCFTemperatureZone[[#Headers],[Temperature zone]],0)</f>
        <v>0</v>
      </c>
      <c r="R242" s="30" cm="1">
        <f t="array" ref="R242">Common_InputFunctions.Utility_DisplayArrayInTable(Common_SourceData.Common_SourceData_MCFTemperatureZone_Data(),Table_SourceData_Common_MCFTemperatureZone[[#Headers],[Temperature zone]],0)</f>
        <v>4.7000000000000002E-3</v>
      </c>
      <c r="S242" s="30"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0" cm="1">
        <f t="array" ref="E243">Common_InputFunctions.Utility_DisplayArrayInTable(Common_SourceData.Common_SourceData_MCFTemperatureZone_Data(),Table_SourceData_Common_MCFTemperatureZone[[#Headers],[Temperature zone]],0)</f>
        <v>21</v>
      </c>
      <c r="F243" s="30" cm="1">
        <f t="array" ref="F243">Common_InputFunctions.Utility_DisplayArrayInTable(Common_SourceData.Common_SourceData_MCFTemperatureZone_Data(),Table_SourceData_Common_MCFTemperatureZone[[#Headers],[Temperature zone]],0)</f>
        <v>0.78</v>
      </c>
      <c r="G243" s="30" cm="1">
        <f t="array" ref="G243">Common_InputFunctions.Utility_DisplayArrayInTable(Common_SourceData.Common_SourceData_MCFTemperatureZone_Data(),Table_SourceData_Common_MCFTemperatureZone[[#Headers],[Temperature zone]],0)</f>
        <v>0.1</v>
      </c>
      <c r="H243" s="30" cm="1">
        <f t="array" ref="H243">Common_InputFunctions.Utility_DisplayArrayInTable(Common_SourceData.Common_SourceData_MCFTemperatureZone_Data(),Table_SourceData_Common_MCFTemperatureZone[[#Headers],[Temperature zone]],0)</f>
        <v>0.28999999999999998</v>
      </c>
      <c r="I243" s="30" cm="1">
        <f t="array" ref="I243">Common_InputFunctions.Utility_DisplayArrayInTable(Common_SourceData.Common_SourceData_MCFTemperatureZone_Data(),Table_SourceData_Common_MCFTemperatureZone[[#Headers],[Temperature zone]],0)</f>
        <v>5.0000000000000001E-3</v>
      </c>
      <c r="J243" s="30" cm="1">
        <f t="array" ref="J243">Common_InputFunctions.Utility_DisplayArrayInTable(Common_SourceData.Common_SourceData_MCFTemperatureZone_Data(),Table_SourceData_Common_MCFTemperatureZone[[#Headers],[Temperature zone]],0)</f>
        <v>0.01</v>
      </c>
      <c r="K243" s="30" cm="1">
        <f t="array" ref="K243">Common_InputFunctions.Utility_DisplayArrayInTable(Common_SourceData.Common_SourceData_MCFTemperatureZone_Data(),Table_SourceData_Common_MCFTemperatureZone[[#Headers],[Temperature zone]],0)</f>
        <v>0.02</v>
      </c>
      <c r="L243" s="30" cm="1">
        <f t="array" ref="L243">Common_InputFunctions.Utility_DisplayArrayInTable(Common_SourceData.Common_SourceData_MCFTemperatureZone_Data(),Table_SourceData_Common_MCFTemperatureZone[[#Headers],[Temperature zone]],0)</f>
        <v>0.03</v>
      </c>
      <c r="M243" s="30" cm="1">
        <f t="array" ref="M243">Common_InputFunctions.Utility_DisplayArrayInTable(Common_SourceData.Common_SourceData_MCFTemperatureZone_Data(),Table_SourceData_Common_MCFTemperatureZone[[#Headers],[Temperature zone]],0)</f>
        <v>0.04</v>
      </c>
      <c r="N243" s="30" cm="1">
        <f t="array" ref="N243">Common_InputFunctions.Utility_DisplayArrayInTable(Common_SourceData.Common_SourceData_MCFTemperatureZone_Data(),Table_SourceData_Common_MCFTemperatureZone[[#Headers],[Temperature zone]],0)</f>
        <v>1.4999999999999999E-2</v>
      </c>
      <c r="O243" s="30" cm="1">
        <f t="array" ref="O243">Common_InputFunctions.Utility_DisplayArrayInTable(Common_SourceData.Common_SourceData_MCFTemperatureZone_Data(),Table_SourceData_Common_MCFTemperatureZone[[#Headers],[Temperature zone]],0)</f>
        <v>1.4999999999999999E-2</v>
      </c>
      <c r="P243" s="30" cm="1">
        <f t="array" ref="P243">Common_InputFunctions.Utility_DisplayArrayInTable(Common_SourceData.Common_SourceData_MCFTemperatureZone_Data(),Table_SourceData_Common_MCFTemperatureZone[[#Headers],[Temperature zone]],0)</f>
        <v>0</v>
      </c>
      <c r="Q243" s="30" cm="1">
        <f t="array" ref="Q243">Common_InputFunctions.Utility_DisplayArrayInTable(Common_SourceData.Common_SourceData_MCFTemperatureZone_Data(),Table_SourceData_Common_MCFTemperatureZone[[#Headers],[Temperature zone]],0)</f>
        <v>0</v>
      </c>
      <c r="R243" s="30" cm="1">
        <f t="array" ref="R243">Common_InputFunctions.Utility_DisplayArrayInTable(Common_SourceData.Common_SourceData_MCFTemperatureZone_Data(),Table_SourceData_Common_MCFTemperatureZone[[#Headers],[Temperature zone]],0)</f>
        <v>4.7000000000000002E-3</v>
      </c>
      <c r="S243" s="30"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0" cm="1">
        <f t="array" ref="E244">Common_InputFunctions.Utility_DisplayArrayInTable(Common_SourceData.Common_SourceData_MCFTemperatureZone_Data(),Table_SourceData_Common_MCFTemperatureZone[[#Headers],[Temperature zone]],0)</f>
        <v>22</v>
      </c>
      <c r="F244" s="30" cm="1">
        <f t="array" ref="F244">Common_InputFunctions.Utility_DisplayArrayInTable(Common_SourceData.Common_SourceData_MCFTemperatureZone_Data(),Table_SourceData_Common_MCFTemperatureZone[[#Headers],[Temperature zone]],0)</f>
        <v>0.78</v>
      </c>
      <c r="G244" s="30" cm="1">
        <f t="array" ref="G244">Common_InputFunctions.Utility_DisplayArrayInTable(Common_SourceData.Common_SourceData_MCFTemperatureZone_Data(),Table_SourceData_Common_MCFTemperatureZone[[#Headers],[Temperature zone]],0)</f>
        <v>0.1</v>
      </c>
      <c r="H244" s="30" cm="1">
        <f t="array" ref="H244">Common_InputFunctions.Utility_DisplayArrayInTable(Common_SourceData.Common_SourceData_MCFTemperatureZone_Data(),Table_SourceData_Common_MCFTemperatureZone[[#Headers],[Temperature zone]],0)</f>
        <v>0.31</v>
      </c>
      <c r="I244" s="30" cm="1">
        <f t="array" ref="I244">Common_InputFunctions.Utility_DisplayArrayInTable(Common_SourceData.Common_SourceData_MCFTemperatureZone_Data(),Table_SourceData_Common_MCFTemperatureZone[[#Headers],[Temperature zone]],0)</f>
        <v>5.0000000000000001E-3</v>
      </c>
      <c r="J244" s="30" cm="1">
        <f t="array" ref="J244">Common_InputFunctions.Utility_DisplayArrayInTable(Common_SourceData.Common_SourceData_MCFTemperatureZone_Data(),Table_SourceData_Common_MCFTemperatureZone[[#Headers],[Temperature zone]],0)</f>
        <v>0.01</v>
      </c>
      <c r="K244" s="30" cm="1">
        <f t="array" ref="K244">Common_InputFunctions.Utility_DisplayArrayInTable(Common_SourceData.Common_SourceData_MCFTemperatureZone_Data(),Table_SourceData_Common_MCFTemperatureZone[[#Headers],[Temperature zone]],0)</f>
        <v>0.02</v>
      </c>
      <c r="L244" s="30" cm="1">
        <f t="array" ref="L244">Common_InputFunctions.Utility_DisplayArrayInTable(Common_SourceData.Common_SourceData_MCFTemperatureZone_Data(),Table_SourceData_Common_MCFTemperatureZone[[#Headers],[Temperature zone]],0)</f>
        <v>0.03</v>
      </c>
      <c r="M244" s="30" cm="1">
        <f t="array" ref="M244">Common_InputFunctions.Utility_DisplayArrayInTable(Common_SourceData.Common_SourceData_MCFTemperatureZone_Data(),Table_SourceData_Common_MCFTemperatureZone[[#Headers],[Temperature zone]],0)</f>
        <v>0.04</v>
      </c>
      <c r="N244" s="30" cm="1">
        <f t="array" ref="N244">Common_InputFunctions.Utility_DisplayArrayInTable(Common_SourceData.Common_SourceData_MCFTemperatureZone_Data(),Table_SourceData_Common_MCFTemperatureZone[[#Headers],[Temperature zone]],0)</f>
        <v>1.4999999999999999E-2</v>
      </c>
      <c r="O244" s="30" cm="1">
        <f t="array" ref="O244">Common_InputFunctions.Utility_DisplayArrayInTable(Common_SourceData.Common_SourceData_MCFTemperatureZone_Data(),Table_SourceData_Common_MCFTemperatureZone[[#Headers],[Temperature zone]],0)</f>
        <v>1.4999999999999999E-2</v>
      </c>
      <c r="P244" s="30" cm="1">
        <f t="array" ref="P244">Common_InputFunctions.Utility_DisplayArrayInTable(Common_SourceData.Common_SourceData_MCFTemperatureZone_Data(),Table_SourceData_Common_MCFTemperatureZone[[#Headers],[Temperature zone]],0)</f>
        <v>0</v>
      </c>
      <c r="Q244" s="30" cm="1">
        <f t="array" ref="Q244">Common_InputFunctions.Utility_DisplayArrayInTable(Common_SourceData.Common_SourceData_MCFTemperatureZone_Data(),Table_SourceData_Common_MCFTemperatureZone[[#Headers],[Temperature zone]],0)</f>
        <v>0</v>
      </c>
      <c r="R244" s="30" cm="1">
        <f t="array" ref="R244">Common_InputFunctions.Utility_DisplayArrayInTable(Common_SourceData.Common_SourceData_MCFTemperatureZone_Data(),Table_SourceData_Common_MCFTemperatureZone[[#Headers],[Temperature zone]],0)</f>
        <v>4.7000000000000002E-3</v>
      </c>
      <c r="S244" s="30"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0" cm="1">
        <f t="array" ref="E245">Common_InputFunctions.Utility_DisplayArrayInTable(Common_SourceData.Common_SourceData_MCFTemperatureZone_Data(),Table_SourceData_Common_MCFTemperatureZone[[#Headers],[Temperature zone]],0)</f>
        <v>23</v>
      </c>
      <c r="F245" s="30" cm="1">
        <f t="array" ref="F245">Common_InputFunctions.Utility_DisplayArrayInTable(Common_SourceData.Common_SourceData_MCFTemperatureZone_Data(),Table_SourceData_Common_MCFTemperatureZone[[#Headers],[Temperature zone]],0)</f>
        <v>0.79</v>
      </c>
      <c r="G245" s="30" cm="1">
        <f t="array" ref="G245">Common_InputFunctions.Utility_DisplayArrayInTable(Common_SourceData.Common_SourceData_MCFTemperatureZone_Data(),Table_SourceData_Common_MCFTemperatureZone[[#Headers],[Temperature zone]],0)</f>
        <v>0.1</v>
      </c>
      <c r="H245" s="30" cm="1">
        <f t="array" ref="H245">Common_InputFunctions.Utility_DisplayArrayInTable(Common_SourceData.Common_SourceData_MCFTemperatureZone_Data(),Table_SourceData_Common_MCFTemperatureZone[[#Headers],[Temperature zone]],0)</f>
        <v>0.34</v>
      </c>
      <c r="I245" s="30" cm="1">
        <f t="array" ref="I245">Common_InputFunctions.Utility_DisplayArrayInTable(Common_SourceData.Common_SourceData_MCFTemperatureZone_Data(),Table_SourceData_Common_MCFTemperatureZone[[#Headers],[Temperature zone]],0)</f>
        <v>5.0000000000000001E-3</v>
      </c>
      <c r="J245" s="30" cm="1">
        <f t="array" ref="J245">Common_InputFunctions.Utility_DisplayArrayInTable(Common_SourceData.Common_SourceData_MCFTemperatureZone_Data(),Table_SourceData_Common_MCFTemperatureZone[[#Headers],[Temperature zone]],0)</f>
        <v>0.01</v>
      </c>
      <c r="K245" s="30" cm="1">
        <f t="array" ref="K245">Common_InputFunctions.Utility_DisplayArrayInTable(Common_SourceData.Common_SourceData_MCFTemperatureZone_Data(),Table_SourceData_Common_MCFTemperatureZone[[#Headers],[Temperature zone]],0)</f>
        <v>0.02</v>
      </c>
      <c r="L245" s="30" cm="1">
        <f t="array" ref="L245">Common_InputFunctions.Utility_DisplayArrayInTable(Common_SourceData.Common_SourceData_MCFTemperatureZone_Data(),Table_SourceData_Common_MCFTemperatureZone[[#Headers],[Temperature zone]],0)</f>
        <v>0.03</v>
      </c>
      <c r="M245" s="30" cm="1">
        <f t="array" ref="M245">Common_InputFunctions.Utility_DisplayArrayInTable(Common_SourceData.Common_SourceData_MCFTemperatureZone_Data(),Table_SourceData_Common_MCFTemperatureZone[[#Headers],[Temperature zone]],0)</f>
        <v>0.04</v>
      </c>
      <c r="N245" s="30" cm="1">
        <f t="array" ref="N245">Common_InputFunctions.Utility_DisplayArrayInTable(Common_SourceData.Common_SourceData_MCFTemperatureZone_Data(),Table_SourceData_Common_MCFTemperatureZone[[#Headers],[Temperature zone]],0)</f>
        <v>1.4999999999999999E-2</v>
      </c>
      <c r="O245" s="30" cm="1">
        <f t="array" ref="O245">Common_InputFunctions.Utility_DisplayArrayInTable(Common_SourceData.Common_SourceData_MCFTemperatureZone_Data(),Table_SourceData_Common_MCFTemperatureZone[[#Headers],[Temperature zone]],0)</f>
        <v>1.4999999999999999E-2</v>
      </c>
      <c r="P245" s="30" cm="1">
        <f t="array" ref="P245">Common_InputFunctions.Utility_DisplayArrayInTable(Common_SourceData.Common_SourceData_MCFTemperatureZone_Data(),Table_SourceData_Common_MCFTemperatureZone[[#Headers],[Temperature zone]],0)</f>
        <v>0</v>
      </c>
      <c r="Q245" s="30" cm="1">
        <f t="array" ref="Q245">Common_InputFunctions.Utility_DisplayArrayInTable(Common_SourceData.Common_SourceData_MCFTemperatureZone_Data(),Table_SourceData_Common_MCFTemperatureZone[[#Headers],[Temperature zone]],0)</f>
        <v>0</v>
      </c>
      <c r="R245" s="30" cm="1">
        <f t="array" ref="R245">Common_InputFunctions.Utility_DisplayArrayInTable(Common_SourceData.Common_SourceData_MCFTemperatureZone_Data(),Table_SourceData_Common_MCFTemperatureZone[[#Headers],[Temperature zone]],0)</f>
        <v>4.7000000000000002E-3</v>
      </c>
      <c r="S245" s="30"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0" cm="1">
        <f t="array" ref="E246">Common_InputFunctions.Utility_DisplayArrayInTable(Common_SourceData.Common_SourceData_MCFTemperatureZone_Data(),Table_SourceData_Common_MCFTemperatureZone[[#Headers],[Temperature zone]],0)</f>
        <v>24</v>
      </c>
      <c r="F246" s="30" cm="1">
        <f t="array" ref="F246">Common_InputFunctions.Utility_DisplayArrayInTable(Common_SourceData.Common_SourceData_MCFTemperatureZone_Data(),Table_SourceData_Common_MCFTemperatureZone[[#Headers],[Temperature zone]],0)</f>
        <v>0.79</v>
      </c>
      <c r="G246" s="30" cm="1">
        <f t="array" ref="G246">Common_InputFunctions.Utility_DisplayArrayInTable(Common_SourceData.Common_SourceData_MCFTemperatureZone_Data(),Table_SourceData_Common_MCFTemperatureZone[[#Headers],[Temperature zone]],0)</f>
        <v>0.1</v>
      </c>
      <c r="H246" s="30" cm="1">
        <f t="array" ref="H246">Common_InputFunctions.Utility_DisplayArrayInTable(Common_SourceData.Common_SourceData_MCFTemperatureZone_Data(),Table_SourceData_Common_MCFTemperatureZone[[#Headers],[Temperature zone]],0)</f>
        <v>0.37</v>
      </c>
      <c r="I246" s="30" cm="1">
        <f t="array" ref="I246">Common_InputFunctions.Utility_DisplayArrayInTable(Common_SourceData.Common_SourceData_MCFTemperatureZone_Data(),Table_SourceData_Common_MCFTemperatureZone[[#Headers],[Temperature zone]],0)</f>
        <v>5.0000000000000001E-3</v>
      </c>
      <c r="J246" s="30" cm="1">
        <f t="array" ref="J246">Common_InputFunctions.Utility_DisplayArrayInTable(Common_SourceData.Common_SourceData_MCFTemperatureZone_Data(),Table_SourceData_Common_MCFTemperatureZone[[#Headers],[Temperature zone]],0)</f>
        <v>0.01</v>
      </c>
      <c r="K246" s="30" cm="1">
        <f t="array" ref="K246">Common_InputFunctions.Utility_DisplayArrayInTable(Common_SourceData.Common_SourceData_MCFTemperatureZone_Data(),Table_SourceData_Common_MCFTemperatureZone[[#Headers],[Temperature zone]],0)</f>
        <v>0.02</v>
      </c>
      <c r="L246" s="30" cm="1">
        <f t="array" ref="L246">Common_InputFunctions.Utility_DisplayArrayInTable(Common_SourceData.Common_SourceData_MCFTemperatureZone_Data(),Table_SourceData_Common_MCFTemperatureZone[[#Headers],[Temperature zone]],0)</f>
        <v>0.03</v>
      </c>
      <c r="M246" s="30" cm="1">
        <f t="array" ref="M246">Common_InputFunctions.Utility_DisplayArrayInTable(Common_SourceData.Common_SourceData_MCFTemperatureZone_Data(),Table_SourceData_Common_MCFTemperatureZone[[#Headers],[Temperature zone]],0)</f>
        <v>0.04</v>
      </c>
      <c r="N246" s="30" cm="1">
        <f t="array" ref="N246">Common_InputFunctions.Utility_DisplayArrayInTable(Common_SourceData.Common_SourceData_MCFTemperatureZone_Data(),Table_SourceData_Common_MCFTemperatureZone[[#Headers],[Temperature zone]],0)</f>
        <v>1.4999999999999999E-2</v>
      </c>
      <c r="O246" s="30" cm="1">
        <f t="array" ref="O246">Common_InputFunctions.Utility_DisplayArrayInTable(Common_SourceData.Common_SourceData_MCFTemperatureZone_Data(),Table_SourceData_Common_MCFTemperatureZone[[#Headers],[Temperature zone]],0)</f>
        <v>1.4999999999999999E-2</v>
      </c>
      <c r="P246" s="30" cm="1">
        <f t="array" ref="P246">Common_InputFunctions.Utility_DisplayArrayInTable(Common_SourceData.Common_SourceData_MCFTemperatureZone_Data(),Table_SourceData_Common_MCFTemperatureZone[[#Headers],[Temperature zone]],0)</f>
        <v>0</v>
      </c>
      <c r="Q246" s="30" cm="1">
        <f t="array" ref="Q246">Common_InputFunctions.Utility_DisplayArrayInTable(Common_SourceData.Common_SourceData_MCFTemperatureZone_Data(),Table_SourceData_Common_MCFTemperatureZone[[#Headers],[Temperature zone]],0)</f>
        <v>0</v>
      </c>
      <c r="R246" s="30" cm="1">
        <f t="array" ref="R246">Common_InputFunctions.Utility_DisplayArrayInTable(Common_SourceData.Common_SourceData_MCFTemperatureZone_Data(),Table_SourceData_Common_MCFTemperatureZone[[#Headers],[Temperature zone]],0)</f>
        <v>4.7000000000000002E-3</v>
      </c>
      <c r="S246" s="30"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0" cm="1">
        <f t="array" ref="E247">Common_InputFunctions.Utility_DisplayArrayInTable(Common_SourceData.Common_SourceData_MCFTemperatureZone_Data(),Table_SourceData_Common_MCFTemperatureZone[[#Headers],[Temperature zone]],0)</f>
        <v>25</v>
      </c>
      <c r="F247" s="30" cm="1">
        <f t="array" ref="F247">Common_InputFunctions.Utility_DisplayArrayInTable(Common_SourceData.Common_SourceData_MCFTemperatureZone_Data(),Table_SourceData_Common_MCFTemperatureZone[[#Headers],[Temperature zone]],0)</f>
        <v>0.79</v>
      </c>
      <c r="G247" s="30" cm="1">
        <f t="array" ref="G247">Common_InputFunctions.Utility_DisplayArrayInTable(Common_SourceData.Common_SourceData_MCFTemperatureZone_Data(),Table_SourceData_Common_MCFTemperatureZone[[#Headers],[Temperature zone]],0)</f>
        <v>0.1</v>
      </c>
      <c r="H247" s="30" cm="1">
        <f t="array" ref="H247">Common_InputFunctions.Utility_DisplayArrayInTable(Common_SourceData.Common_SourceData_MCFTemperatureZone_Data(),Table_SourceData_Common_MCFTemperatureZone[[#Headers],[Temperature zone]],0)</f>
        <v>0.41</v>
      </c>
      <c r="I247" s="30" cm="1">
        <f t="array" ref="I247">Common_InputFunctions.Utility_DisplayArrayInTable(Common_SourceData.Common_SourceData_MCFTemperatureZone_Data(),Table_SourceData_Common_MCFTemperatureZone[[#Headers],[Temperature zone]],0)</f>
        <v>5.0000000000000001E-3</v>
      </c>
      <c r="J247" s="30" cm="1">
        <f t="array" ref="J247">Common_InputFunctions.Utility_DisplayArrayInTable(Common_SourceData.Common_SourceData_MCFTemperatureZone_Data(),Table_SourceData_Common_MCFTemperatureZone[[#Headers],[Temperature zone]],0)</f>
        <v>0.01</v>
      </c>
      <c r="K247" s="30" cm="1">
        <f t="array" ref="K247">Common_InputFunctions.Utility_DisplayArrayInTable(Common_SourceData.Common_SourceData_MCFTemperatureZone_Data(),Table_SourceData_Common_MCFTemperatureZone[[#Headers],[Temperature zone]],0)</f>
        <v>0.02</v>
      </c>
      <c r="L247" s="30" cm="1">
        <f t="array" ref="L247">Common_InputFunctions.Utility_DisplayArrayInTable(Common_SourceData.Common_SourceData_MCFTemperatureZone_Data(),Table_SourceData_Common_MCFTemperatureZone[[#Headers],[Temperature zone]],0)</f>
        <v>0.03</v>
      </c>
      <c r="M247" s="30" cm="1">
        <f t="array" ref="M247">Common_InputFunctions.Utility_DisplayArrayInTable(Common_SourceData.Common_SourceData_MCFTemperatureZone_Data(),Table_SourceData_Common_MCFTemperatureZone[[#Headers],[Temperature zone]],0)</f>
        <v>0.04</v>
      </c>
      <c r="N247" s="30" cm="1">
        <f t="array" ref="N247">Common_InputFunctions.Utility_DisplayArrayInTable(Common_SourceData.Common_SourceData_MCFTemperatureZone_Data(),Table_SourceData_Common_MCFTemperatureZone[[#Headers],[Temperature zone]],0)</f>
        <v>1.4999999999999999E-2</v>
      </c>
      <c r="O247" s="30" cm="1">
        <f t="array" ref="O247">Common_InputFunctions.Utility_DisplayArrayInTable(Common_SourceData.Common_SourceData_MCFTemperatureZone_Data(),Table_SourceData_Common_MCFTemperatureZone[[#Headers],[Temperature zone]],0)</f>
        <v>1.4999999999999999E-2</v>
      </c>
      <c r="P247" s="30" cm="1">
        <f t="array" ref="P247">Common_InputFunctions.Utility_DisplayArrayInTable(Common_SourceData.Common_SourceData_MCFTemperatureZone_Data(),Table_SourceData_Common_MCFTemperatureZone[[#Headers],[Temperature zone]],0)</f>
        <v>0</v>
      </c>
      <c r="Q247" s="30" cm="1">
        <f t="array" ref="Q247">Common_InputFunctions.Utility_DisplayArrayInTable(Common_SourceData.Common_SourceData_MCFTemperatureZone_Data(),Table_SourceData_Common_MCFTemperatureZone[[#Headers],[Temperature zone]],0)</f>
        <v>0</v>
      </c>
      <c r="R247" s="30" cm="1">
        <f t="array" ref="R247">Common_InputFunctions.Utility_DisplayArrayInTable(Common_SourceData.Common_SourceData_MCFTemperatureZone_Data(),Table_SourceData_Common_MCFTemperatureZone[[#Headers],[Temperature zone]],0)</f>
        <v>4.7000000000000002E-3</v>
      </c>
      <c r="S247" s="30"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0" cm="1">
        <f t="array" ref="E248">Common_InputFunctions.Utility_DisplayArrayInTable(Common_SourceData.Common_SourceData_MCFTemperatureZone_Data(),Table_SourceData_Common_MCFTemperatureZone[[#Headers],[Temperature zone]],0)</f>
        <v>26</v>
      </c>
      <c r="F248" s="30" cm="1">
        <f t="array" ref="F248">Common_InputFunctions.Utility_DisplayArrayInTable(Common_SourceData.Common_SourceData_MCFTemperatureZone_Data(),Table_SourceData_Common_MCFTemperatureZone[[#Headers],[Temperature zone]],0)</f>
        <v>0.79</v>
      </c>
      <c r="G248" s="30" cm="1">
        <f t="array" ref="G248">Common_InputFunctions.Utility_DisplayArrayInTable(Common_SourceData.Common_SourceData_MCFTemperatureZone_Data(),Table_SourceData_Common_MCFTemperatureZone[[#Headers],[Temperature zone]],0)</f>
        <v>0.1</v>
      </c>
      <c r="H248" s="30" cm="1">
        <f t="array" ref="H248">Common_InputFunctions.Utility_DisplayArrayInTable(Common_SourceData.Common_SourceData_MCFTemperatureZone_Data(),Table_SourceData_Common_MCFTemperatureZone[[#Headers],[Temperature zone]],0)</f>
        <v>0.44</v>
      </c>
      <c r="I248" s="30" cm="1">
        <f t="array" ref="I248">Common_InputFunctions.Utility_DisplayArrayInTable(Common_SourceData.Common_SourceData_MCFTemperatureZone_Data(),Table_SourceData_Common_MCFTemperatureZone[[#Headers],[Temperature zone]],0)</f>
        <v>0.01</v>
      </c>
      <c r="J248" s="30" cm="1">
        <f t="array" ref="J248">Common_InputFunctions.Utility_DisplayArrayInTable(Common_SourceData.Common_SourceData_MCFTemperatureZone_Data(),Table_SourceData_Common_MCFTemperatureZone[[#Headers],[Temperature zone]],0)</f>
        <v>1.4999999999999999E-2</v>
      </c>
      <c r="K248" s="30" cm="1">
        <f t="array" ref="K248">Common_InputFunctions.Utility_DisplayArrayInTable(Common_SourceData.Common_SourceData_MCFTemperatureZone_Data(),Table_SourceData_Common_MCFTemperatureZone[[#Headers],[Temperature zone]],0)</f>
        <v>0.02</v>
      </c>
      <c r="L248" s="30" cm="1">
        <f t="array" ref="L248">Common_InputFunctions.Utility_DisplayArrayInTable(Common_SourceData.Common_SourceData_MCFTemperatureZone_Data(),Table_SourceData_Common_MCFTemperatureZone[[#Headers],[Temperature zone]],0)</f>
        <v>0.03</v>
      </c>
      <c r="M248" s="30" cm="1">
        <f t="array" ref="M248">Common_InputFunctions.Utility_DisplayArrayInTable(Common_SourceData.Common_SourceData_MCFTemperatureZone_Data(),Table_SourceData_Common_MCFTemperatureZone[[#Headers],[Temperature zone]],0)</f>
        <v>0.04</v>
      </c>
      <c r="N248" s="30" cm="1">
        <f t="array" ref="N248">Common_InputFunctions.Utility_DisplayArrayInTable(Common_SourceData.Common_SourceData_MCFTemperatureZone_Data(),Table_SourceData_Common_MCFTemperatureZone[[#Headers],[Temperature zone]],0)</f>
        <v>1.4999999999999999E-2</v>
      </c>
      <c r="O248" s="30" cm="1">
        <f t="array" ref="O248">Common_InputFunctions.Utility_DisplayArrayInTable(Common_SourceData.Common_SourceData_MCFTemperatureZone_Data(),Table_SourceData_Common_MCFTemperatureZone[[#Headers],[Temperature zone]],0)</f>
        <v>1.4999999999999999E-2</v>
      </c>
      <c r="P248" s="30" cm="1">
        <f t="array" ref="P248">Common_InputFunctions.Utility_DisplayArrayInTable(Common_SourceData.Common_SourceData_MCFTemperatureZone_Data(),Table_SourceData_Common_MCFTemperatureZone[[#Headers],[Temperature zone]],0)</f>
        <v>0</v>
      </c>
      <c r="Q248" s="30" cm="1">
        <f t="array" ref="Q248">Common_InputFunctions.Utility_DisplayArrayInTable(Common_SourceData.Common_SourceData_MCFTemperatureZone_Data(),Table_SourceData_Common_MCFTemperatureZone[[#Headers],[Temperature zone]],0)</f>
        <v>0</v>
      </c>
      <c r="R248" s="30" cm="1">
        <f t="array" ref="R248">Common_InputFunctions.Utility_DisplayArrayInTable(Common_SourceData.Common_SourceData_MCFTemperatureZone_Data(),Table_SourceData_Common_MCFTemperatureZone[[#Headers],[Temperature zone]],0)</f>
        <v>4.7000000000000002E-3</v>
      </c>
      <c r="S248" s="30"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0" cm="1">
        <f t="array" ref="E249">Common_InputFunctions.Utility_DisplayArrayInTable(Common_SourceData.Common_SourceData_MCFTemperatureZone_Data(),Table_SourceData_Common_MCFTemperatureZone[[#Headers],[Temperature zone]],0)</f>
        <v>27</v>
      </c>
      <c r="F249" s="30" cm="1">
        <f t="array" ref="F249">Common_InputFunctions.Utility_DisplayArrayInTable(Common_SourceData.Common_SourceData_MCFTemperatureZone_Data(),Table_SourceData_Common_MCFTemperatureZone[[#Headers],[Temperature zone]],0)</f>
        <v>0.8</v>
      </c>
      <c r="G249" s="30" cm="1">
        <f t="array" ref="G249">Common_InputFunctions.Utility_DisplayArrayInTable(Common_SourceData.Common_SourceData_MCFTemperatureZone_Data(),Table_SourceData_Common_MCFTemperatureZone[[#Headers],[Temperature zone]],0)</f>
        <v>0.1</v>
      </c>
      <c r="H249" s="30" cm="1">
        <f t="array" ref="H249">Common_InputFunctions.Utility_DisplayArrayInTable(Common_SourceData.Common_SourceData_MCFTemperatureZone_Data(),Table_SourceData_Common_MCFTemperatureZone[[#Headers],[Temperature zone]],0)</f>
        <v>0.48</v>
      </c>
      <c r="I249" s="30" cm="1">
        <f t="array" ref="I249">Common_InputFunctions.Utility_DisplayArrayInTable(Common_SourceData.Common_SourceData_MCFTemperatureZone_Data(),Table_SourceData_Common_MCFTemperatureZone[[#Headers],[Temperature zone]],0)</f>
        <v>0.01</v>
      </c>
      <c r="J249" s="30" cm="1">
        <f t="array" ref="J249">Common_InputFunctions.Utility_DisplayArrayInTable(Common_SourceData.Common_SourceData_MCFTemperatureZone_Data(),Table_SourceData_Common_MCFTemperatureZone[[#Headers],[Temperature zone]],0)</f>
        <v>1.4999999999999999E-2</v>
      </c>
      <c r="K249" s="30" cm="1">
        <f t="array" ref="K249">Common_InputFunctions.Utility_DisplayArrayInTable(Common_SourceData.Common_SourceData_MCFTemperatureZone_Data(),Table_SourceData_Common_MCFTemperatureZone[[#Headers],[Temperature zone]],0)</f>
        <v>0.02</v>
      </c>
      <c r="L249" s="30" cm="1">
        <f t="array" ref="L249">Common_InputFunctions.Utility_DisplayArrayInTable(Common_SourceData.Common_SourceData_MCFTemperatureZone_Data(),Table_SourceData_Common_MCFTemperatureZone[[#Headers],[Temperature zone]],0)</f>
        <v>0.03</v>
      </c>
      <c r="M249" s="30" cm="1">
        <f t="array" ref="M249">Common_InputFunctions.Utility_DisplayArrayInTable(Common_SourceData.Common_SourceData_MCFTemperatureZone_Data(),Table_SourceData_Common_MCFTemperatureZone[[#Headers],[Temperature zone]],0)</f>
        <v>0.04</v>
      </c>
      <c r="N249" s="30" cm="1">
        <f t="array" ref="N249">Common_InputFunctions.Utility_DisplayArrayInTable(Common_SourceData.Common_SourceData_MCFTemperatureZone_Data(),Table_SourceData_Common_MCFTemperatureZone[[#Headers],[Temperature zone]],0)</f>
        <v>1.4999999999999999E-2</v>
      </c>
      <c r="O249" s="30" cm="1">
        <f t="array" ref="O249">Common_InputFunctions.Utility_DisplayArrayInTable(Common_SourceData.Common_SourceData_MCFTemperatureZone_Data(),Table_SourceData_Common_MCFTemperatureZone[[#Headers],[Temperature zone]],0)</f>
        <v>1.4999999999999999E-2</v>
      </c>
      <c r="P249" s="30" cm="1">
        <f t="array" ref="P249">Common_InputFunctions.Utility_DisplayArrayInTable(Common_SourceData.Common_SourceData_MCFTemperatureZone_Data(),Table_SourceData_Common_MCFTemperatureZone[[#Headers],[Temperature zone]],0)</f>
        <v>0</v>
      </c>
      <c r="Q249" s="30" cm="1">
        <f t="array" ref="Q249">Common_InputFunctions.Utility_DisplayArrayInTable(Common_SourceData.Common_SourceData_MCFTemperatureZone_Data(),Table_SourceData_Common_MCFTemperatureZone[[#Headers],[Temperature zone]],0)</f>
        <v>0</v>
      </c>
      <c r="R249" s="30" cm="1">
        <f t="array" ref="R249">Common_InputFunctions.Utility_DisplayArrayInTable(Common_SourceData.Common_SourceData_MCFTemperatureZone_Data(),Table_SourceData_Common_MCFTemperatureZone[[#Headers],[Temperature zone]],0)</f>
        <v>4.7000000000000002E-3</v>
      </c>
      <c r="S249" s="30"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0" t="str" cm="1">
        <f t="array" ref="E250">Common_InputFunctions.Utility_DisplayArrayInTable(Common_SourceData.Common_SourceData_MCFTemperatureZone_Data(),Table_SourceData_Common_MCFTemperatureZone[[#Headers],[Temperature zone]],0)</f>
        <v>≥28</v>
      </c>
      <c r="F250" s="30" cm="1">
        <f t="array" ref="F250">Common_InputFunctions.Utility_DisplayArrayInTable(Common_SourceData.Common_SourceData_MCFTemperatureZone_Data(),Table_SourceData_Common_MCFTemperatureZone[[#Headers],[Temperature zone]],0)</f>
        <v>0.8</v>
      </c>
      <c r="G250" s="30" cm="1">
        <f t="array" ref="G250">Common_InputFunctions.Utility_DisplayArrayInTable(Common_SourceData.Common_SourceData_MCFTemperatureZone_Data(),Table_SourceData_Common_MCFTemperatureZone[[#Headers],[Temperature zone]],0)</f>
        <v>0.1</v>
      </c>
      <c r="H250" s="30" cm="1">
        <f t="array" ref="H250">Common_InputFunctions.Utility_DisplayArrayInTable(Common_SourceData.Common_SourceData_MCFTemperatureZone_Data(),Table_SourceData_Common_MCFTemperatureZone[[#Headers],[Temperature zone]],0)</f>
        <v>0.5</v>
      </c>
      <c r="I250" s="30" cm="1">
        <f t="array" ref="I250">Common_InputFunctions.Utility_DisplayArrayInTable(Common_SourceData.Common_SourceData_MCFTemperatureZone_Data(),Table_SourceData_Common_MCFTemperatureZone[[#Headers],[Temperature zone]],0)</f>
        <v>0.01</v>
      </c>
      <c r="J250" s="30" cm="1">
        <f t="array" ref="J250">Common_InputFunctions.Utility_DisplayArrayInTable(Common_SourceData.Common_SourceData_MCFTemperatureZone_Data(),Table_SourceData_Common_MCFTemperatureZone[[#Headers],[Temperature zone]],0)</f>
        <v>1.4999999999999999E-2</v>
      </c>
      <c r="K250" s="30" cm="1">
        <f t="array" ref="K250">Common_InputFunctions.Utility_DisplayArrayInTable(Common_SourceData.Common_SourceData_MCFTemperatureZone_Data(),Table_SourceData_Common_MCFTemperatureZone[[#Headers],[Temperature zone]],0)</f>
        <v>0.02</v>
      </c>
      <c r="L250" s="30" cm="1">
        <f t="array" ref="L250">Common_InputFunctions.Utility_DisplayArrayInTable(Common_SourceData.Common_SourceData_MCFTemperatureZone_Data(),Table_SourceData_Common_MCFTemperatureZone[[#Headers],[Temperature zone]],0)</f>
        <v>0.03</v>
      </c>
      <c r="M250" s="30" cm="1">
        <f t="array" ref="M250">Common_InputFunctions.Utility_DisplayArrayInTable(Common_SourceData.Common_SourceData_MCFTemperatureZone_Data(),Table_SourceData_Common_MCFTemperatureZone[[#Headers],[Temperature zone]],0)</f>
        <v>0.04</v>
      </c>
      <c r="N250" s="30" cm="1">
        <f t="array" ref="N250">Common_InputFunctions.Utility_DisplayArrayInTable(Common_SourceData.Common_SourceData_MCFTemperatureZone_Data(),Table_SourceData_Common_MCFTemperatureZone[[#Headers],[Temperature zone]],0)</f>
        <v>1.4999999999999999E-2</v>
      </c>
      <c r="O250" s="30" cm="1">
        <f t="array" ref="O250">Common_InputFunctions.Utility_DisplayArrayInTable(Common_SourceData.Common_SourceData_MCFTemperatureZone_Data(),Table_SourceData_Common_MCFTemperatureZone[[#Headers],[Temperature zone]],0)</f>
        <v>1.4999999999999999E-2</v>
      </c>
      <c r="P250" s="30" cm="1">
        <f t="array" ref="P250">Common_InputFunctions.Utility_DisplayArrayInTable(Common_SourceData.Common_SourceData_MCFTemperatureZone_Data(),Table_SourceData_Common_MCFTemperatureZone[[#Headers],[Temperature zone]],0)</f>
        <v>0</v>
      </c>
      <c r="Q250" s="30" cm="1">
        <f t="array" ref="Q250">Common_InputFunctions.Utility_DisplayArrayInTable(Common_SourceData.Common_SourceData_MCFTemperatureZone_Data(),Table_SourceData_Common_MCFTemperatureZone[[#Headers],[Temperature zone]],0)</f>
        <v>0</v>
      </c>
      <c r="R250" s="30" cm="1">
        <f t="array" ref="R250">Common_InputFunctions.Utility_DisplayArrayInTable(Common_SourceData.Common_SourceData_MCFTemperatureZone_Data(),Table_SourceData_Common_MCFTemperatureZone[[#Headers],[Temperature zone]],0)</f>
        <v>4.7000000000000002E-3</v>
      </c>
      <c r="S250" s="30" cm="1">
        <f t="array" ref="S250">Common_InputFunctions.Utility_DisplayArrayInTable(Common_SourceData.Common_SourceData_MCFTemperatureZone_Data(),Table_SourceData_Common_MCFTemperatureZone[[#Headers],[Temperature zone]],0)</f>
        <v>28</v>
      </c>
    </row>
    <row r="253" spans="4:19" ht="23.25" x14ac:dyDescent="0.25">
      <c r="D253" s="2" t="str" cm="1">
        <f t="array" ref="D253">Common_SourceData.Common_SourceData_EFOrganicFertiliserAndCropResidues_Title()</f>
        <v>Emission factor for organic fertiliser and crop residues returned to the soil</v>
      </c>
    </row>
    <row r="254" spans="4:19" x14ac:dyDescent="0.25">
      <c r="D254" s="27"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15" t="str" cm="1">
        <f t="array" ref="D256">Common_SourceData.Common_SourceData_EFOrganicFertiliserAndCropResidues_Unit()</f>
        <v>kg N2O - N / kg N</v>
      </c>
    </row>
    <row r="257" spans="4:5" x14ac:dyDescent="0.25">
      <c r="D257" s="30" t="s">
        <v>84</v>
      </c>
      <c r="E257" s="30" t="s">
        <v>85</v>
      </c>
    </row>
    <row r="258" spans="4:5" x14ac:dyDescent="0.25">
      <c r="D258" s="30" t="str" cm="1">
        <f t="array" ref="D258">Common_InputFunctions.Utility_DisplayArrayInTable(Common_SourceData.Common_SourceData_EFOrganicFertiliserAndCropResidues_Data(), Table_SourceData_Common_EFOrganicFertCropResidues[[#Headers],[Climate Zone]], 0)</f>
        <v>Wet climate zone</v>
      </c>
      <c r="E258" s="3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A260A-9B25-4232-B5C9-7286FF2F936D}">
  <sheetPr>
    <tabColor theme="5" tint="-0.249977111117893"/>
  </sheetPr>
  <dimension ref="A1:L385"/>
  <sheetViews>
    <sheetView showGridLines="0"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6" customFormat="1" ht="30" customHeight="1" x14ac:dyDescent="0.35">
      <c r="A1" s="16" t="e" vm="1">
        <v>#VALUE!</v>
      </c>
      <c r="C1" s="16" t="s">
        <v>538</v>
      </c>
    </row>
    <row r="2" spans="1:10" s="3" customFormat="1" ht="20.100000000000001" customHeight="1" x14ac:dyDescent="0.25">
      <c r="A2"/>
    </row>
    <row r="3" spans="1:10" ht="20.100000000000001" customHeight="1" x14ac:dyDescent="0.25">
      <c r="A3" s="5" t="str">
        <f>HYPERLINK("#'Home'!A1", "Home")</f>
        <v>Home</v>
      </c>
      <c r="C3" s="39"/>
      <c r="D3" s="39"/>
      <c r="E3" s="39"/>
      <c r="F3" s="39"/>
      <c r="G3" s="39"/>
      <c r="H3" s="39"/>
      <c r="I3" s="39"/>
      <c r="J3" s="39"/>
    </row>
    <row r="4" spans="1:10" ht="20.100000000000001" customHeight="1" x14ac:dyDescent="0.25">
      <c r="A4" s="5" t="str">
        <f>HYPERLINK("#'Overview'!A1", "Overview")</f>
        <v>Overview</v>
      </c>
    </row>
    <row r="5" spans="1:10" ht="20.100000000000001" customHeight="1" x14ac:dyDescent="0.25">
      <c r="A5" s="5" t="str">
        <f>HYPERLINK("#'Results'!A1", "Results")</f>
        <v>Results</v>
      </c>
      <c r="D5" s="2" t="s">
        <v>539</v>
      </c>
    </row>
    <row r="6" spans="1:10" ht="20.100000000000001" customHeight="1" x14ac:dyDescent="0.25"/>
    <row r="7" spans="1:10" ht="20.100000000000001" customHeight="1" x14ac:dyDescent="0.25">
      <c r="D7" s="46" t="s">
        <v>412</v>
      </c>
      <c r="E7" s="49"/>
    </row>
    <row r="8" spans="1:10" ht="20.100000000000001" customHeight="1" x14ac:dyDescent="0.25">
      <c r="A8" s="7" t="s">
        <v>0</v>
      </c>
    </row>
    <row r="9" spans="1:10" ht="20.100000000000001" customHeight="1" x14ac:dyDescent="0.25">
      <c r="A9" s="5" t="str">
        <f>HYPERLINK("#'Input - Enterprise'!A1", "Enterprise")</f>
        <v>Enterprise</v>
      </c>
      <c r="D9" s="92" t="s">
        <v>413</v>
      </c>
      <c r="E9" s="92" t="s">
        <v>540</v>
      </c>
      <c r="F9" s="92" t="s">
        <v>541</v>
      </c>
      <c r="G9" s="92" t="s">
        <v>542</v>
      </c>
      <c r="H9" s="92" t="s">
        <v>543</v>
      </c>
      <c r="I9" s="92" t="s">
        <v>544</v>
      </c>
    </row>
    <row r="10" spans="1:10" ht="20.100000000000001" customHeight="1" x14ac:dyDescent="0.25">
      <c r="A10" s="5" t="str">
        <f>HYPERLINK("#'Input - Site'!A1", "Site")</f>
        <v>Site</v>
      </c>
      <c r="D10" s="30" t="s">
        <v>545</v>
      </c>
      <c r="E10" s="23" t="s">
        <v>546</v>
      </c>
      <c r="F10" s="23" t="s">
        <v>547</v>
      </c>
      <c r="G10" s="23" t="s">
        <v>548</v>
      </c>
      <c r="H10" s="86">
        <v>50</v>
      </c>
      <c r="I10" s="23" t="s">
        <v>19</v>
      </c>
    </row>
    <row r="11" spans="1:10" ht="20.100000000000001" customHeight="1" x14ac:dyDescent="0.25">
      <c r="A11" s="5" t="str">
        <f>HYPERLINK("#'Input - Crop'!A1", "Crop")</f>
        <v>Crop</v>
      </c>
      <c r="D11" s="30" t="s">
        <v>549</v>
      </c>
      <c r="E11" s="23" t="s">
        <v>546</v>
      </c>
      <c r="F11" s="23" t="s">
        <v>547</v>
      </c>
      <c r="G11" s="23" t="s">
        <v>550</v>
      </c>
      <c r="H11" s="86">
        <v>50</v>
      </c>
      <c r="I11" s="23" t="s">
        <v>551</v>
      </c>
    </row>
    <row r="12" spans="1:10" ht="20.100000000000001" customHeight="1" x14ac:dyDescent="0.25">
      <c r="A12" s="5" t="str">
        <f>HYPERLINK("#'Input - Fert Prod System'!A1", "Fert Prod System")</f>
        <v>Fert Prod System</v>
      </c>
      <c r="D12" s="30" t="s">
        <v>552</v>
      </c>
      <c r="E12" s="23" t="s">
        <v>546</v>
      </c>
      <c r="F12" s="23" t="s">
        <v>553</v>
      </c>
      <c r="G12" s="23" t="s">
        <v>548</v>
      </c>
      <c r="H12" s="86">
        <v>50</v>
      </c>
      <c r="I12" s="23" t="s">
        <v>19</v>
      </c>
    </row>
    <row r="13" spans="1:10" ht="20.100000000000001" customHeight="1" x14ac:dyDescent="0.25">
      <c r="A13" s="5" t="str">
        <f>HYPERLINK("#'Input - Fertiliser'!A1", "Fertiliser")</f>
        <v>Fertiliser</v>
      </c>
      <c r="D13" s="30" t="s">
        <v>554</v>
      </c>
      <c r="E13" s="23" t="s">
        <v>546</v>
      </c>
      <c r="F13" s="23" t="s">
        <v>553</v>
      </c>
      <c r="G13" s="23" t="s">
        <v>550</v>
      </c>
      <c r="H13" s="86">
        <v>50</v>
      </c>
      <c r="I13" s="23" t="s">
        <v>551</v>
      </c>
    </row>
    <row r="14" spans="1:10" ht="20.100000000000001" customHeight="1" x14ac:dyDescent="0.25">
      <c r="A14" s="5" t="str">
        <f>HYPERLINK("#'Input - Fuel'!A1", "Fuel")</f>
        <v>Fuel</v>
      </c>
      <c r="D14" s="30" t="s">
        <v>555</v>
      </c>
      <c r="E14" s="23" t="s">
        <v>556</v>
      </c>
      <c r="F14" s="23" t="s">
        <v>553</v>
      </c>
      <c r="G14" s="23" t="s">
        <v>548</v>
      </c>
      <c r="H14" s="86">
        <v>50</v>
      </c>
      <c r="I14" s="23" t="s">
        <v>19</v>
      </c>
    </row>
    <row r="15" spans="1:10" ht="20.100000000000001" customHeight="1" x14ac:dyDescent="0.25">
      <c r="A15" s="5" t="str">
        <f>HYPERLINK("#'Input - Electricity'!A1", "Electricity")</f>
        <v>Electricity</v>
      </c>
      <c r="D15" s="30" t="s">
        <v>557</v>
      </c>
      <c r="E15" s="23" t="s">
        <v>556</v>
      </c>
      <c r="F15" s="23" t="s">
        <v>553</v>
      </c>
      <c r="G15" s="23" t="s">
        <v>548</v>
      </c>
      <c r="H15" s="86">
        <v>50</v>
      </c>
      <c r="I15" s="23" t="s">
        <v>551</v>
      </c>
    </row>
    <row r="16" spans="1:10" ht="20.100000000000001" customHeight="1" x14ac:dyDescent="0.25">
      <c r="A16" s="5" t="str">
        <f>HYPERLINK("#'Input - Farm Inputs'!A1", "Farm Inputs")</f>
        <v>Farm Inputs</v>
      </c>
      <c r="D16" s="30" t="s">
        <v>558</v>
      </c>
      <c r="E16" s="23" t="s">
        <v>556</v>
      </c>
      <c r="F16" s="23" t="s">
        <v>553</v>
      </c>
      <c r="G16" s="23" t="s">
        <v>550</v>
      </c>
      <c r="H16" s="86">
        <v>50</v>
      </c>
      <c r="I16" s="23" t="s">
        <v>19</v>
      </c>
    </row>
    <row r="17" spans="1:11" ht="20.100000000000001" customHeight="1" x14ac:dyDescent="0.25">
      <c r="A17" s="5" t="str">
        <f>HYPERLINK("#'Input - Freight'!A1", "Freight")</f>
        <v>Freight</v>
      </c>
      <c r="D17" s="30" t="s">
        <v>559</v>
      </c>
      <c r="E17" s="23" t="s">
        <v>556</v>
      </c>
      <c r="F17" s="23" t="s">
        <v>553</v>
      </c>
      <c r="G17" s="23" t="s">
        <v>550</v>
      </c>
      <c r="H17" s="86">
        <v>50</v>
      </c>
      <c r="I17" s="23" t="s">
        <v>551</v>
      </c>
    </row>
    <row r="18" spans="1:11" ht="20.100000000000001" customHeight="1" x14ac:dyDescent="0.25">
      <c r="A18" s="5" t="str">
        <f>HYPERLINK("#'Input - Manure sent off-site'!A1", "Manure sent off-site")</f>
        <v>Manure sent off-site</v>
      </c>
      <c r="D18" s="30" t="s">
        <v>560</v>
      </c>
      <c r="E18" s="23" t="s">
        <v>556</v>
      </c>
      <c r="F18" s="23" t="s">
        <v>547</v>
      </c>
      <c r="G18" s="23" t="s">
        <v>548</v>
      </c>
      <c r="H18" s="86">
        <v>50</v>
      </c>
      <c r="I18" s="23" t="s">
        <v>19</v>
      </c>
    </row>
    <row r="19" spans="1:11" ht="20.100000000000001" customHeight="1" x14ac:dyDescent="0.25">
      <c r="A19" s="99" t="str">
        <f>HYPERLINK("#'Input - Solid waste'!A1", "Solid waste")</f>
        <v>Solid waste</v>
      </c>
      <c r="D19" s="30" t="s">
        <v>561</v>
      </c>
      <c r="E19" s="23" t="s">
        <v>556</v>
      </c>
      <c r="F19" s="23" t="s">
        <v>547</v>
      </c>
      <c r="G19" s="23" t="s">
        <v>548</v>
      </c>
      <c r="H19" s="86">
        <v>50</v>
      </c>
      <c r="I19" s="23" t="s">
        <v>551</v>
      </c>
    </row>
    <row r="20" spans="1:11" ht="20.100000000000001" customHeight="1" x14ac:dyDescent="0.25">
      <c r="A20" s="5" t="str">
        <f>HYPERLINK("#'Input - Data quality'!A1", "Data quality")</f>
        <v>Data quality</v>
      </c>
      <c r="D20" s="30" t="s">
        <v>562</v>
      </c>
      <c r="E20" s="23" t="s">
        <v>556</v>
      </c>
      <c r="F20" s="23" t="s">
        <v>547</v>
      </c>
      <c r="G20" s="23" t="s">
        <v>550</v>
      </c>
      <c r="H20" s="86">
        <v>50</v>
      </c>
      <c r="I20" s="23" t="s">
        <v>19</v>
      </c>
    </row>
    <row r="21" spans="1:11" ht="20.100000000000001" customHeight="1" x14ac:dyDescent="0.25">
      <c r="D21" s="30" t="s">
        <v>563</v>
      </c>
      <c r="E21" s="23" t="s">
        <v>556</v>
      </c>
      <c r="F21" s="23" t="s">
        <v>547</v>
      </c>
      <c r="G21" s="23" t="s">
        <v>550</v>
      </c>
      <c r="H21" s="86">
        <v>50</v>
      </c>
      <c r="I21" s="23" t="s">
        <v>551</v>
      </c>
    </row>
    <row r="22" spans="1:11" ht="20.100000000000001" customHeight="1" x14ac:dyDescent="0.25">
      <c r="D22" s="30" t="s">
        <v>564</v>
      </c>
      <c r="E22" s="23" t="s">
        <v>556</v>
      </c>
      <c r="F22" s="23" t="s">
        <v>565</v>
      </c>
      <c r="G22" s="23" t="s">
        <v>548</v>
      </c>
      <c r="H22" s="86">
        <v>50</v>
      </c>
      <c r="I22" s="23" t="s">
        <v>19</v>
      </c>
    </row>
    <row r="23" spans="1:11" ht="20.100000000000001" customHeight="1" x14ac:dyDescent="0.25">
      <c r="A23" s="6" t="s">
        <v>2</v>
      </c>
      <c r="D23" s="30" t="s">
        <v>566</v>
      </c>
      <c r="E23" s="23" t="s">
        <v>556</v>
      </c>
      <c r="F23" s="23" t="s">
        <v>565</v>
      </c>
      <c r="G23" s="23" t="s">
        <v>548</v>
      </c>
      <c r="H23" s="86">
        <v>50</v>
      </c>
      <c r="I23" s="23" t="s">
        <v>551</v>
      </c>
    </row>
    <row r="24" spans="1:11" ht="20.100000000000001" customHeight="1" x14ac:dyDescent="0.25">
      <c r="A24" s="5" t="str">
        <f>HYPERLINK("#'5.1.1.1-2 Inorganic fert N2O'!A1", "5.1.1.1-2 Inorganic fert N2O")</f>
        <v>5.1.1.1-2 Inorganic fert N2O</v>
      </c>
      <c r="D24" s="30" t="s">
        <v>567</v>
      </c>
      <c r="E24" s="23" t="s">
        <v>556</v>
      </c>
      <c r="F24" s="23" t="s">
        <v>565</v>
      </c>
      <c r="G24" s="23" t="s">
        <v>550</v>
      </c>
      <c r="H24" s="86">
        <v>50</v>
      </c>
      <c r="I24" s="23" t="s">
        <v>19</v>
      </c>
    </row>
    <row r="25" spans="1:11" ht="20.100000000000001" customHeight="1" x14ac:dyDescent="0.25">
      <c r="A25" s="5" t="str">
        <f>HYPERLINK("#'5.1.1.3-4 Inorganic fert CO2'!A1", "5.1.1.3-4 Inorganic fert CO2")</f>
        <v>5.1.1.3-4 Inorganic fert CO2</v>
      </c>
      <c r="D25" s="30" t="s">
        <v>568</v>
      </c>
      <c r="E25" s="23" t="s">
        <v>556</v>
      </c>
      <c r="F25" s="23" t="s">
        <v>565</v>
      </c>
      <c r="G25" s="23" t="s">
        <v>550</v>
      </c>
      <c r="H25" s="86">
        <v>50</v>
      </c>
      <c r="I25" s="23" t="s">
        <v>551</v>
      </c>
    </row>
    <row r="26" spans="1:11" ht="20.100000000000001" customHeight="1" x14ac:dyDescent="0.25">
      <c r="A26" s="5" t="str">
        <f>HYPERLINK("#'5.2.1.1-2 Organic Fert N2O'!A1", "5.2.1.1-2 Organic fert N2O")</f>
        <v>5.2.1.1-2 Organic fert N2O</v>
      </c>
      <c r="D26" s="30" t="s">
        <v>569</v>
      </c>
      <c r="E26" s="23" t="s">
        <v>570</v>
      </c>
      <c r="F26" s="23" t="s">
        <v>547</v>
      </c>
      <c r="G26" s="23" t="s">
        <v>550</v>
      </c>
      <c r="H26" s="86">
        <v>50</v>
      </c>
      <c r="I26" s="23" t="s">
        <v>19</v>
      </c>
    </row>
    <row r="27" spans="1:11" ht="20.100000000000001" customHeight="1" x14ac:dyDescent="0.25">
      <c r="A27" s="5" t="str">
        <f>HYPERLINK("#'5.3.1.1-2 Lime CO2'!A1", "5.3.1.1-2 Lime CO2")</f>
        <v>5.3.1.1-2 Lime CO2</v>
      </c>
      <c r="D27" s="30" t="s">
        <v>571</v>
      </c>
      <c r="E27" s="23" t="s">
        <v>570</v>
      </c>
      <c r="F27" s="23" t="s">
        <v>547</v>
      </c>
      <c r="G27" s="23" t="s">
        <v>550</v>
      </c>
      <c r="H27" s="86">
        <v>50</v>
      </c>
      <c r="I27" s="23" t="s">
        <v>551</v>
      </c>
    </row>
    <row r="28" spans="1:11" ht="20.100000000000001" customHeight="1" x14ac:dyDescent="0.25">
      <c r="A28" s="5" t="str">
        <f>HYPERLINK("#'5.4.1.1-4 Atmos deposition'!A1", "5.4.1.1-4 Atmos. deposition")</f>
        <v>5.4.1.1-4 Atmos. deposition</v>
      </c>
      <c r="D28" s="30" t="s">
        <v>572</v>
      </c>
      <c r="E28" s="23" t="s">
        <v>570</v>
      </c>
      <c r="F28" s="23" t="s">
        <v>565</v>
      </c>
      <c r="G28" s="23" t="s">
        <v>550</v>
      </c>
      <c r="H28" s="86">
        <v>50</v>
      </c>
      <c r="I28" s="23" t="s">
        <v>19</v>
      </c>
    </row>
    <row r="29" spans="1:11" ht="20.100000000000001" customHeight="1" x14ac:dyDescent="0.25">
      <c r="A29" s="5" t="str">
        <f>HYPERLINK("#'5.5.1.1-2 Leaching and runoff'!A1", "5.5.1.1-2 Leaching &amp; runoff")</f>
        <v>5.5.1.1-2 Leaching &amp; runoff</v>
      </c>
      <c r="D29" s="30" t="s">
        <v>573</v>
      </c>
      <c r="E29" s="23" t="s">
        <v>570</v>
      </c>
      <c r="F29" s="23" t="s">
        <v>565</v>
      </c>
      <c r="G29" s="23" t="s">
        <v>550</v>
      </c>
      <c r="H29" s="86">
        <v>50</v>
      </c>
      <c r="I29" s="23" t="s">
        <v>551</v>
      </c>
      <c r="K29" s="131"/>
    </row>
    <row r="30" spans="1:11" ht="20.100000000000001" customHeight="1" x14ac:dyDescent="0.25">
      <c r="A30" s="5" t="str">
        <f>HYPERLINK("#'6.1.1.1-2 Crop residue N2O'!A1", "6.1.1.1-2 Crop residue N2O")</f>
        <v>6.1.1.1-2 Crop residue N2O</v>
      </c>
      <c r="D30" s="30" t="s">
        <v>574</v>
      </c>
      <c r="E30" s="23" t="s">
        <v>570</v>
      </c>
      <c r="F30" s="23" t="s">
        <v>565</v>
      </c>
      <c r="G30" s="23" t="s">
        <v>548</v>
      </c>
      <c r="H30" s="86">
        <v>50</v>
      </c>
      <c r="I30" s="23" t="s">
        <v>19</v>
      </c>
      <c r="K30" s="131"/>
    </row>
    <row r="31" spans="1:11" ht="20.100000000000001" customHeight="1" x14ac:dyDescent="0.25">
      <c r="A31" s="5" t="str">
        <f>HYPERLINK("#'6.3.1.1-2 Leach runoff crop'!A1", "6.3.1.1-2 Leach &amp; runoff (crop)")</f>
        <v>6.3.1.1-2 Leach &amp; runoff (crop)</v>
      </c>
      <c r="D31" s="30" t="s">
        <v>575</v>
      </c>
      <c r="E31" s="23" t="s">
        <v>570</v>
      </c>
      <c r="F31" s="23" t="s">
        <v>565</v>
      </c>
      <c r="G31" s="23" t="s">
        <v>548</v>
      </c>
      <c r="H31" s="86">
        <v>50</v>
      </c>
      <c r="I31" s="23" t="s">
        <v>551</v>
      </c>
      <c r="K31" s="131"/>
    </row>
    <row r="32" spans="1:11" ht="20.100000000000001" customHeight="1" x14ac:dyDescent="0.25">
      <c r="A32" s="5" t="str">
        <f>HYPERLINK("#'6.4.1.1-2 Residue burning'!A1", "6.4.1.1-2 Residue burning")</f>
        <v>6.4.1.1-2 Residue burning</v>
      </c>
      <c r="D32" s="30" t="s">
        <v>573</v>
      </c>
      <c r="E32" s="23" t="s">
        <v>570</v>
      </c>
      <c r="F32" s="23" t="s">
        <v>565</v>
      </c>
      <c r="G32" s="23" t="s">
        <v>550</v>
      </c>
      <c r="H32" s="86">
        <v>50</v>
      </c>
      <c r="I32" s="23" t="s">
        <v>551</v>
      </c>
      <c r="K32" s="131"/>
    </row>
    <row r="33" spans="1:12" ht="20.100000000000001" customHeight="1" x14ac:dyDescent="0.25">
      <c r="A33" s="5" t="str">
        <f>HYPERLINK("#'8.1.1.1-2 Transport fuel'!A1", "8.1.1.1-2 Transport fuel")</f>
        <v>8.1.1.1-2 Transport fuel</v>
      </c>
      <c r="K33" s="131"/>
    </row>
    <row r="34" spans="1:12" ht="20.100000000000001" customHeight="1" x14ac:dyDescent="0.25">
      <c r="A34" s="5" t="str">
        <f>HYPERLINK("#'8.2.1.1-2 Stationary fuel'!A1", "8.2.1.1-2 Stationary fuel")</f>
        <v>8.2.1.1-2 Stationary fuel</v>
      </c>
      <c r="K34" s="131"/>
    </row>
    <row r="35" spans="1:12" ht="20.100000000000001" customHeight="1" x14ac:dyDescent="0.25">
      <c r="A35" s="5" t="str">
        <f>HYPERLINK("#'14.1.1-2 Purchased electricity'!A1", "14.1.1-2 Purchased electricity")</f>
        <v>14.1.1-2 Purchased electricity</v>
      </c>
    </row>
    <row r="36" spans="1:12" ht="20.100000000000001" customHeight="1" x14ac:dyDescent="0.25">
      <c r="A36" s="5" t="str">
        <f>HYPERLINK("#'15 Scope 3'!A1", "15 Scope 3")</f>
        <v>15 Scope 3</v>
      </c>
      <c r="L36" s="131"/>
    </row>
    <row r="37" spans="1:12" ht="20.100000000000001" customHeight="1" x14ac:dyDescent="0.25">
      <c r="A37" s="5" t="str">
        <f>HYPERLINK("#'Calcs - Manure sent off-site'!A1", "Calcs - Manure sent off-site")</f>
        <v>Calcs - Manure sent off-site</v>
      </c>
      <c r="L37" s="131"/>
    </row>
    <row r="38" spans="1:12" ht="20.100000000000001" customHeight="1" x14ac:dyDescent="0.25">
      <c r="A38" s="5" t="str">
        <f>HYPERLINK("#'10.1.1-2 Solid waste treatment'!A1", "10.1.1-2 Solid waste treatment")</f>
        <v>10.1.1-2 Solid waste treatment</v>
      </c>
      <c r="C38" s="114"/>
    </row>
    <row r="39" spans="1:12" ht="20.100000000000001" customHeight="1" x14ac:dyDescent="0.25">
      <c r="C39" s="114"/>
      <c r="J39" s="114"/>
    </row>
    <row r="40" spans="1:12" s="131" customFormat="1" ht="20.100000000000001" customHeight="1" x14ac:dyDescent="0.25">
      <c r="A40"/>
      <c r="C40" s="1"/>
      <c r="D40" s="1"/>
      <c r="E40" s="1"/>
      <c r="F40" s="1"/>
      <c r="G40" s="1"/>
      <c r="H40" s="1"/>
      <c r="I40" s="1"/>
      <c r="J40" s="1"/>
    </row>
    <row r="41" spans="1:12" s="131" customFormat="1" ht="20.100000000000001" customHeight="1" x14ac:dyDescent="0.25">
      <c r="A41" s="121" t="s">
        <v>1</v>
      </c>
      <c r="C41" s="1"/>
      <c r="D41" s="1"/>
      <c r="E41" s="1"/>
      <c r="F41" s="1"/>
      <c r="G41" s="1"/>
      <c r="H41" s="1"/>
      <c r="I41" s="1"/>
      <c r="J41" s="1"/>
      <c r="L41" s="131" t="s">
        <v>425</v>
      </c>
    </row>
    <row r="42" spans="1:12" ht="20.100000000000001" customHeight="1" x14ac:dyDescent="0.25">
      <c r="A42" s="5" t="str">
        <f>HYPERLINK("#'Constants - Ag Residue'!A1", "Constants - Ag residue")</f>
        <v>Constants - Ag residue</v>
      </c>
    </row>
    <row r="43" spans="1:12" ht="20.100000000000001" customHeight="1" x14ac:dyDescent="0.25">
      <c r="A43" s="5" t="str">
        <f>HYPERLINK("#'Constants - Common Livestock'!A1", "Constants - Common Livestock")</f>
        <v>Constants - Common Livestock</v>
      </c>
    </row>
    <row r="44" spans="1:12" ht="20.100000000000001" customHeight="1" x14ac:dyDescent="0.25">
      <c r="A44" s="5" t="str">
        <f>HYPERLINK("#'Constants - Electricity'!A1", "Constants - Electricity")</f>
        <v>Constants - Electricity</v>
      </c>
    </row>
    <row r="45" spans="1:12" ht="20.100000000000001" customHeight="1" x14ac:dyDescent="0.25">
      <c r="A45" s="5" t="str">
        <f>HYPERLINK("#'Constants - Fertiliser'!A1", "Constants - Fertiliser")</f>
        <v>Constants - Fertiliser</v>
      </c>
    </row>
    <row r="46" spans="1:12" ht="20.100000000000001" customHeight="1" x14ac:dyDescent="0.25">
      <c r="A46" s="5" t="str">
        <f>HYPERLINK("#'Constants - Fuel'!A1", "Constants - Fuel")</f>
        <v>Constants - Fuel</v>
      </c>
    </row>
    <row r="47" spans="1:12" ht="20.100000000000001" customHeight="1" x14ac:dyDescent="0.25">
      <c r="A47" s="5" t="str">
        <f>HYPERLINK("#'Constants - Scope 3'!A1", "Constants - Scope 3")</f>
        <v>Constants - Scope 3</v>
      </c>
    </row>
    <row r="48" spans="1:12" ht="20.100000000000001" customHeight="1" x14ac:dyDescent="0.25">
      <c r="A48" s="5" t="str">
        <f>HYPERLINK("#'Constants - Common'!A1", "Constants - Common")</f>
        <v>Constants - Common</v>
      </c>
    </row>
    <row r="49" spans="1:1" ht="20.100000000000001" customHeight="1" x14ac:dyDescent="0.25">
      <c r="A49" s="5" t="str">
        <f>HYPERLINK("#'Constants - Solid Waste'!A1", "Constants - Solid Waste")</f>
        <v>Constants - Solid Waste</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4:4" ht="20.100000000000001" customHeight="1" x14ac:dyDescent="0.25"/>
    <row r="66" spans="4:4" ht="20.100000000000001" customHeight="1" x14ac:dyDescent="0.25"/>
    <row r="67" spans="4:4" ht="20.100000000000001" customHeight="1" x14ac:dyDescent="0.25"/>
    <row r="68" spans="4:4" ht="20.100000000000001" customHeight="1" x14ac:dyDescent="0.25"/>
    <row r="69" spans="4:4" ht="20.100000000000001" customHeight="1" x14ac:dyDescent="0.25"/>
    <row r="70" spans="4:4" ht="20.100000000000001" customHeight="1" x14ac:dyDescent="0.25"/>
    <row r="71" spans="4:4" ht="20.100000000000001" customHeight="1" x14ac:dyDescent="0.25"/>
    <row r="72" spans="4:4" ht="20.100000000000001" customHeight="1" x14ac:dyDescent="0.25"/>
    <row r="73" spans="4:4" ht="20.100000000000001" customHeight="1" x14ac:dyDescent="0.25">
      <c r="D73" s="179"/>
    </row>
    <row r="74" spans="4:4" ht="20.100000000000001" customHeight="1" x14ac:dyDescent="0.25"/>
    <row r="75" spans="4:4" ht="20.100000000000001" customHeight="1" x14ac:dyDescent="0.25">
      <c r="D75" s="179"/>
    </row>
    <row r="76" spans="4:4" ht="20.100000000000001" customHeight="1" x14ac:dyDescent="0.25">
      <c r="D76" s="179"/>
    </row>
    <row r="77" spans="4:4" ht="20.100000000000001" customHeight="1" x14ac:dyDescent="0.25"/>
    <row r="78" spans="4:4" ht="20.100000000000001" customHeight="1" x14ac:dyDescent="0.25"/>
    <row r="79" spans="4:4" ht="20.100000000000001" customHeight="1" x14ac:dyDescent="0.25"/>
    <row r="80" spans="4:4"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125"/>
    </row>
  </sheetData>
  <conditionalFormatting sqref="F162:F163">
    <cfRule type="cellIs" dxfId="16" priority="7" operator="lessThan">
      <formula>0</formula>
    </cfRule>
  </conditionalFormatting>
  <conditionalFormatting sqref="F174:F175">
    <cfRule type="cellIs" dxfId="15" priority="6" operator="lessThan">
      <formula>0</formula>
    </cfRule>
  </conditionalFormatting>
  <conditionalFormatting sqref="F186:F187">
    <cfRule type="cellIs" dxfId="14" priority="5" operator="lessThan">
      <formula>0</formula>
    </cfRule>
  </conditionalFormatting>
  <conditionalFormatting sqref="F274:F275">
    <cfRule type="cellIs" dxfId="13" priority="17" operator="lessThan">
      <formula>0</formula>
    </cfRule>
  </conditionalFormatting>
  <conditionalFormatting sqref="F279:F280">
    <cfRule type="cellIs" dxfId="12" priority="16" operator="lessThan">
      <formula>0</formula>
    </cfRule>
  </conditionalFormatting>
  <conditionalFormatting sqref="F284:F285">
    <cfRule type="cellIs" dxfId="11" priority="15" operator="lessThan">
      <formula>0</formula>
    </cfRule>
  </conditionalFormatting>
  <conditionalFormatting sqref="F308:F309">
    <cfRule type="cellIs" dxfId="10" priority="14" operator="lessThan">
      <formula>0</formula>
    </cfRule>
  </conditionalFormatting>
  <conditionalFormatting sqref="F313:F314">
    <cfRule type="cellIs" dxfId="9" priority="13" operator="lessThan">
      <formula>0</formula>
    </cfRule>
  </conditionalFormatting>
  <conditionalFormatting sqref="F318:F319">
    <cfRule type="cellIs" dxfId="8" priority="12" operator="lessThan">
      <formula>0</formula>
    </cfRule>
  </conditionalFormatting>
  <conditionalFormatting sqref="I33 F71">
    <cfRule type="cellIs" dxfId="7" priority="9" operator="lessThan">
      <formula>0</formula>
    </cfRule>
  </conditionalFormatting>
  <conditionalFormatting sqref="I79:I83">
    <cfRule type="cellIs" dxfId="6" priority="4" operator="lessThan">
      <formula>0</formula>
    </cfRule>
  </conditionalFormatting>
  <conditionalFormatting sqref="I87 I146">
    <cfRule type="cellIs" dxfId="5" priority="10" operator="lessThan">
      <formula>0</formula>
    </cfRule>
  </conditionalFormatting>
  <conditionalFormatting sqref="I98:I100">
    <cfRule type="cellIs" dxfId="4" priority="3" operator="lessThan">
      <formula>0</formula>
    </cfRule>
  </conditionalFormatting>
  <conditionalFormatting sqref="I104:I107">
    <cfRule type="cellIs" dxfId="3" priority="2" operator="lessThan">
      <formula>0</formula>
    </cfRule>
  </conditionalFormatting>
  <conditionalFormatting sqref="I111:I115">
    <cfRule type="cellIs" dxfId="2" priority="1" operator="lessThan">
      <formula>0</formula>
    </cfRule>
  </conditionalFormatting>
  <conditionalFormatting sqref="J8 I65:I66 H67:H69 I68 I70:I72 I74:I75 I226 I232 E234:G234">
    <cfRule type="cellIs" dxfId="1" priority="11" operator="lessThan">
      <formula>0</formula>
    </cfRule>
  </conditionalFormatting>
  <conditionalFormatting sqref="J37 I59 F150:F151">
    <cfRule type="cellIs" dxfId="0" priority="8" operator="lessThan">
      <formula>0</formula>
    </cfRule>
  </conditionalFormatting>
  <dataValidations count="9">
    <dataValidation type="list" allowBlank="1" showInputMessage="1" showErrorMessage="1" sqref="F10:F32" xr:uid="{968455CD-AF9B-4484-BA76-A6129FF274E5}">
      <formula1>INDIRECT("Table_WasteTypes_" &amp; SUBSTITUTE(E10, " ", "") &amp; "[Waste type w]")</formula1>
    </dataValidation>
    <dataValidation type="list" allowBlank="1" showInputMessage="1" showErrorMessage="1" sqref="I10:I32" xr:uid="{B235D341-58C3-4F7A-82D7-DEC27FA56972}">
      <formula1>"tonnes, cubic metres m3"</formula1>
    </dataValidation>
    <dataValidation type="list" allowBlank="1" showInputMessage="1" showErrorMessage="1" sqref="G10:G32" xr:uid="{FC8830FB-288F-427A-8419-74F49BC224E7}">
      <formula1>"Treated on-site, Removed and treated off-site"</formula1>
    </dataValidation>
    <dataValidation type="list" allowBlank="1" showInputMessage="1" showErrorMessage="1" sqref="E10:E32" xr:uid="{7A31400E-7822-41E9-A7B8-04D04FB0E557}">
      <formula1>INDIRECT(_xlfn.UNIQUE("Table_SourceData_WasteSolid_WasteTreatmentEFs[Treatment type t]"))</formula1>
    </dataValidation>
    <dataValidation type="list" allowBlank="1" showInputMessage="1" showErrorMessage="1" sqref="E35" xr:uid="{405CB200-08E3-49F4-85B1-6EA5939999CA}">
      <formula1>INDIRECT("Table_SourceData_ElectricityEFs[State, Territory or grid description]")</formula1>
    </dataValidation>
    <dataValidation type="list" allowBlank="1" showInputMessage="1" showErrorMessage="1" sqref="E89" xr:uid="{C368D5AE-E38C-41BA-8105-C1B91D7042A9}">
      <formula1>INDIRECT("Table_SourceData_Swine_IrrigationMethods[Irrigation method]")</formula1>
    </dataValidation>
    <dataValidation type="list" allowBlank="1" showInputMessage="1" showErrorMessage="1" sqref="E273 E278 E283 E317 E312 E307 E185 E173 E149 E161" xr:uid="{693165B4-A939-4902-B44A-4158F522EB3C}">
      <formula1>"Yes, No"</formula1>
    </dataValidation>
    <dataValidation type="list" allowBlank="1" showInputMessage="1" showErrorMessage="1" sqref="E249" xr:uid="{EB759868-FEDE-4C29-BEA8-10384826B2D8}">
      <formula1>INDIRECT("Table_SourceData_Dairy_ProductionSystemTemplates[Area]")</formula1>
    </dataValidation>
    <dataValidation type="list" allowBlank="1" showInputMessage="1" showErrorMessage="1" sqref="D301" xr:uid="{FA9A7F7C-18D8-42F7-ABF7-DA13FFAC4DD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E538A-9E06-4114-8743-CE5DAE99F076}">
  <sheetPr>
    <tabColor rgb="FF008000"/>
  </sheetPr>
  <dimension ref="A1:L342"/>
  <sheetViews>
    <sheetView showGridLines="0" topLeftCell="A174"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31" customFormat="1" ht="30" customHeight="1" x14ac:dyDescent="0.35">
      <c r="A1" s="16" t="e" vm="1">
        <v>#VALUE!</v>
      </c>
      <c r="C1" s="31" t="s">
        <v>576</v>
      </c>
    </row>
    <row r="2" spans="1:12" s="3" customFormat="1" ht="20.100000000000001" customHeight="1" x14ac:dyDescent="0.25">
      <c r="A2"/>
    </row>
    <row r="3" spans="1:12" ht="20.100000000000001" customHeight="1" x14ac:dyDescent="0.25">
      <c r="A3" s="5" t="str">
        <f>HYPERLINK("#'Home'!A1", "Home")</f>
        <v>Home</v>
      </c>
      <c r="C3" s="33"/>
      <c r="D3" s="33" t="s">
        <v>135</v>
      </c>
      <c r="E3" s="33"/>
      <c r="F3" s="33"/>
      <c r="G3" s="33"/>
      <c r="H3" s="33"/>
      <c r="I3" s="33"/>
      <c r="J3" s="33"/>
      <c r="K3" s="33"/>
      <c r="L3" s="33"/>
    </row>
    <row r="4" spans="1:12" ht="20.100000000000001" customHeight="1" x14ac:dyDescent="0.25">
      <c r="A4" s="5" t="str">
        <f>HYPERLINK("#'Overview'!A1", "Overview")</f>
        <v>Overview</v>
      </c>
    </row>
    <row r="5" spans="1:12" ht="20.100000000000001" customHeight="1" x14ac:dyDescent="0.25">
      <c r="A5" s="5" t="str">
        <f>HYPERLINK("#'Results'!A1", "Results")</f>
        <v>Results</v>
      </c>
      <c r="D5" s="2" t="str" cm="1">
        <f t="array" ref="D5">WasteSolid_Equations.VEERG_10_1_1_1__2_MassOfWasteFromVolume_Title()</f>
        <v>Mass of waste from waste volume</v>
      </c>
    </row>
    <row r="6" spans="1:12" ht="20.100000000000001" customHeight="1" x14ac:dyDescent="0.25">
      <c r="D6" s="27" t="str" cm="1">
        <f t="array" ref="D6">WasteSolid_Equations.VEERG_10_1_1_1__2_MassOfWasteFromVolume_Source()</f>
        <v>VEERG 2026: 10.1.1.1, Equation (2)</v>
      </c>
    </row>
    <row r="7" spans="1:12" ht="20.100000000000001" customHeight="1" x14ac:dyDescent="0.25">
      <c r="D7" s="132" t="s">
        <v>267</v>
      </c>
      <c r="E7" s="132" t="str" cm="1">
        <f t="array" aca="1" ref="E7" ca="1">Common_InputFunctions.Utility_DisplayFunctionName(I21)</f>
        <v>=WasteSolid_Equations.VEERG_10_1_1_1__2_MassOfWasteFromVolume</v>
      </c>
    </row>
    <row r="8" spans="1:12" ht="20.100000000000001" customHeight="1" x14ac:dyDescent="0.25">
      <c r="A8" s="7" t="s">
        <v>0</v>
      </c>
    </row>
    <row r="9" spans="1:12" ht="20.100000000000001" customHeight="1" x14ac:dyDescent="0.25">
      <c r="A9" s="5" t="str">
        <f>HYPERLINK("#'Input - Enterprise'!A1", "Enterprise")</f>
        <v>Enterprise</v>
      </c>
    </row>
    <row r="10" spans="1:12" ht="20.100000000000001" customHeight="1" x14ac:dyDescent="0.25">
      <c r="A10" s="5" t="str">
        <f>HYPERLINK("#'Input - Site'!A1", "Site")</f>
        <v>Site</v>
      </c>
      <c r="D10" s="88" t="s">
        <v>268</v>
      </c>
      <c r="E10" s="1" t="str" cm="1">
        <f t="array" ref="E10">WasteSolid_Equations.VEERG_10_1_1_1__2_MassOfWasteFromVolume_Variable()</f>
        <v>Q_wt</v>
      </c>
    </row>
    <row r="11" spans="1:12" ht="20.100000000000001" customHeight="1" x14ac:dyDescent="0.25">
      <c r="A11" s="5" t="str">
        <f>HYPERLINK("#'Input - Crop'!A1", "Crop")</f>
        <v>Crop</v>
      </c>
      <c r="D11" s="88" t="s">
        <v>121</v>
      </c>
      <c r="E11" s="15" t="str" cm="1">
        <f t="array" ref="E11">WasteSolid_Equations.VEERG_10_1_1_1__2_MassOfWasteFromVolume_Unit()</f>
        <v>t</v>
      </c>
    </row>
    <row r="12" spans="1:12" ht="20.100000000000001" customHeight="1" x14ac:dyDescent="0.25">
      <c r="A12" s="5" t="str">
        <f>HYPERLINK("#'Input - Fert Prod System'!A1", "Fert Prod System")</f>
        <v>Fert Prod System</v>
      </c>
    </row>
    <row r="13" spans="1:12" ht="20.100000000000001" customHeight="1" x14ac:dyDescent="0.25">
      <c r="A13" s="5" t="str">
        <f>HYPERLINK("#'Input - Fertiliser'!A1", "Fertiliser")</f>
        <v>Fertiliser</v>
      </c>
      <c r="D13" s="154" t="str" cm="1">
        <f t="array" ref="D13:E16">_xlfn.CHOOSECOLS(WasteSolid_Equations.VEERG_10_1_1_1__2_MassOfWasteFromVolume_Arguments(),1,2)</f>
        <v>V_wt</v>
      </c>
      <c r="E13" s="162" t="str">
        <v>volume of solid waste type w being sent to treatment facility t</v>
      </c>
      <c r="F13" s="164"/>
      <c r="G13" s="154" t="str" cm="1">
        <f t="array" ref="G13:H16">_xlfn.CHOOSECOLS(WasteSolid_Equations.VEERG_10_1_1_1__2_MassOfWasteFromVolume_Arguments(),3,4)</f>
        <v>m3</v>
      </c>
      <c r="H13" s="136" t="str">
        <v>Input</v>
      </c>
      <c r="I13" s="140" t="str" cm="1">
        <f t="array" aca="1" ref="I13" ca="1">HYPERLINK(Common_InputFunctions.Utility_SourceHyperlink($D$18),$D$18)</f>
        <v>Table_V_w_t_onsite</v>
      </c>
      <c r="J13" s="140" t="str" cm="1">
        <f t="array" aca="1" ref="J13" ca="1">HYPERLINK(Common_InputFunctions.Utility_SourceHyperlink($D$56),$D$56)</f>
        <v>Table_V_w_t_offsite</v>
      </c>
    </row>
    <row r="14" spans="1:12" ht="20.100000000000001" customHeight="1" x14ac:dyDescent="0.25">
      <c r="A14" s="5" t="str">
        <f>HYPERLINK("#'Input - Fuel'!A1", "Fuel")</f>
        <v>Fuel</v>
      </c>
      <c r="D14" s="154" t="str">
        <v>VTM_w</v>
      </c>
      <c r="E14" s="162" t="str">
        <v>conversion factor of volume to mass for waste type w</v>
      </c>
      <c r="F14" s="164"/>
      <c r="G14" s="154" t="str">
        <v>t/m3</v>
      </c>
      <c r="H14" s="137" t="str">
        <v>Constant</v>
      </c>
      <c r="I14" s="140" t="str" cm="1">
        <f t="array" aca="1" ref="I14" ca="1">HYPERLINK(Common_InputFunctions.Utility_SourceHyperlink($D$18),$D$18)</f>
        <v>Table_V_w_t_onsite</v>
      </c>
      <c r="J14" s="140" t="str" cm="1">
        <f t="array" aca="1" ref="J14" ca="1">HYPERLINK(Common_InputFunctions.Utility_SourceHyperlink($D$56),$D$56)</f>
        <v>Table_V_w_t_offsite</v>
      </c>
    </row>
    <row r="15" spans="1:12" ht="20.100000000000001" customHeight="1" x14ac:dyDescent="0.25">
      <c r="A15" s="5" t="str">
        <f>HYPERLINK("#'Input - Electricity'!A1", "Electricity")</f>
        <v>Electricity</v>
      </c>
      <c r="D15" s="154" t="str">
        <v>w</v>
      </c>
      <c r="E15" s="162" t="str">
        <v>waste type</v>
      </c>
      <c r="F15" s="164"/>
      <c r="G15" s="154" t="str">
        <v/>
      </c>
      <c r="H15" s="136" t="str">
        <v>Input</v>
      </c>
      <c r="I15" s="140" t="str" cm="1">
        <f t="array" aca="1" ref="I15" ca="1">HYPERLINK(Common_InputFunctions.Utility_SourceHyperlink($D$18),$D$18)</f>
        <v>Table_V_w_t_onsite</v>
      </c>
      <c r="J15" s="140" t="str" cm="1">
        <f t="array" aca="1" ref="J15" ca="1">HYPERLINK(Common_InputFunctions.Utility_SourceHyperlink($D$56),$D$56)</f>
        <v>Table_V_w_t_offsite</v>
      </c>
    </row>
    <row r="16" spans="1:12" ht="20.100000000000001" customHeight="1" x14ac:dyDescent="0.25">
      <c r="A16" s="5" t="str">
        <f>HYPERLINK("#'Input - Farm Inputs'!A1", "Farm Inputs")</f>
        <v>Farm Inputs</v>
      </c>
      <c r="D16" s="154" t="str">
        <v>t</v>
      </c>
      <c r="E16" s="162" t="str">
        <v>treatment facility</v>
      </c>
      <c r="F16" s="164"/>
      <c r="G16" s="154" t="str">
        <v/>
      </c>
      <c r="H16" s="136" t="str">
        <v>Input</v>
      </c>
      <c r="I16" s="140" t="str" cm="1">
        <f t="array" aca="1" ref="I16" ca="1">HYPERLINK(Common_InputFunctions.Utility_SourceHyperlink($D$18),$D$18)</f>
        <v>Table_V_w_t_onsite</v>
      </c>
      <c r="J16" s="140" t="str" cm="1">
        <f t="array" aca="1" ref="J16" ca="1">HYPERLINK(Common_InputFunctions.Utility_SourceHyperlink($D$56),$D$56)</f>
        <v>Table_V_w_t_offsite</v>
      </c>
    </row>
    <row r="17" spans="1:9" ht="20.100000000000001" customHeight="1" x14ac:dyDescent="0.25">
      <c r="A17" s="5" t="str">
        <f>HYPERLINK("#'Input - Freight'!A1", "Freight")</f>
        <v>Freight</v>
      </c>
    </row>
    <row r="18" spans="1:9" ht="20.100000000000001" customHeight="1" x14ac:dyDescent="0.25">
      <c r="A18" s="5" t="str">
        <f>HYPERLINK("#'Input - Manure sent off-site'!A1", "Manure sent off-site")</f>
        <v>Manure sent off-site</v>
      </c>
      <c r="D18" s="143" t="s">
        <v>577</v>
      </c>
    </row>
    <row r="19" spans="1:9" ht="20.100000000000001" customHeight="1" x14ac:dyDescent="0.25">
      <c r="A19" s="5" t="str">
        <f>HYPERLINK("#'Input - Solid waste'!A1", "Solid waste")</f>
        <v>Solid waste</v>
      </c>
      <c r="D19" s="144" t="s">
        <v>578</v>
      </c>
    </row>
    <row r="20" spans="1:9" ht="20.100000000000001" customHeight="1" x14ac:dyDescent="0.25">
      <c r="A20" s="5" t="str">
        <f>HYPERLINK("#'Input - Data quality'!A1", "Data quality")</f>
        <v>Data quality</v>
      </c>
      <c r="D20" s="92" t="s">
        <v>579</v>
      </c>
      <c r="E20" s="92" t="s">
        <v>580</v>
      </c>
      <c r="F20" s="92"/>
      <c r="G20" s="92" t="s">
        <v>581</v>
      </c>
      <c r="H20" s="145" t="s">
        <v>582</v>
      </c>
      <c r="I20" s="145" t="s">
        <v>583</v>
      </c>
    </row>
    <row r="21" spans="1:9" ht="20.100000000000001" customHeight="1" x14ac:dyDescent="0.25">
      <c r="D21" s="154" t="str" cm="1">
        <f t="array" ref="D21:D54">Table_SourceData_WasteSolid_WasteTreatmentEFs[Treatment type t]</f>
        <v>Landfill</v>
      </c>
      <c r="E21" s="162" t="str" cm="1">
        <f t="array" ref="E21:E54">Table_SourceData_WasteSolid_WasteTreatmentEFs[Waste type w]</f>
        <v>Food waste (including animal carcasses, spoiled animal feed or crop)</v>
      </c>
      <c r="F21" s="139"/>
      <c r="G21" s="2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25" cm="1">
        <f t="array" ref="H21">Common_InputFunctions.Utility_LookupValueInTableNumber(E21,Table_SourceData_WasteSolid_VolumeToMassConversion[Waste type w],Table_SourceData_WasteSolid_VolumeToMassConversion[VTMw])</f>
        <v>0.5</v>
      </c>
      <c r="I21" s="25" cm="1">
        <f t="array" ref="I21">WasteSolid_Equations.VEERG_10_1_1_1__2_MassOfWasteFromVolume(G21,H21)</f>
        <v>25</v>
      </c>
    </row>
    <row r="22" spans="1:9" ht="20.100000000000001" customHeight="1" x14ac:dyDescent="0.25">
      <c r="D22" s="154" t="str">
        <v>Landfill</v>
      </c>
      <c r="E22" s="162" t="str">
        <v>Paper and cardboard</v>
      </c>
      <c r="F22" s="139"/>
      <c r="G22" s="2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25" cm="1">
        <f t="array" ref="H22">Common_InputFunctions.Utility_LookupValueInTableNumber(E22,Table_SourceData_WasteSolid_VolumeToMassConversion[Waste type w],Table_SourceData_WasteSolid_VolumeToMassConversion[VTMw])</f>
        <v>0.09</v>
      </c>
      <c r="I22" s="25" cm="1">
        <f t="array" ref="I22">WasteSolid_Equations.VEERG_10_1_1_1__2_MassOfWasteFromVolume(G22,H22)</f>
        <v>4.5</v>
      </c>
    </row>
    <row r="23" spans="1:9" ht="20.100000000000001" customHeight="1" x14ac:dyDescent="0.25">
      <c r="A23" s="6" t="s">
        <v>2</v>
      </c>
      <c r="D23" s="154" t="str">
        <v>Landfill</v>
      </c>
      <c r="E23" s="162" t="str">
        <v>Green waste (including crop residues or prunings)</v>
      </c>
      <c r="F23" s="139"/>
      <c r="G23" s="2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25" cm="1">
        <f t="array" ref="H23">Common_InputFunctions.Utility_LookupValueInTableNumber(E23,Table_SourceData_WasteSolid_VolumeToMassConversion[Waste type w],Table_SourceData_WasteSolid_VolumeToMassConversion[VTMw])</f>
        <v>0.24</v>
      </c>
      <c r="I23" s="25" cm="1">
        <f t="array" ref="I23">WasteSolid_Equations.VEERG_10_1_1_1__2_MassOfWasteFromVolume(G23,H23)</f>
        <v>12</v>
      </c>
    </row>
    <row r="24" spans="1:9" ht="20.100000000000001" customHeight="1" x14ac:dyDescent="0.25">
      <c r="A24" s="5" t="str">
        <f>HYPERLINK("#'5.1.1.1-2 Inorganic fert N2O'!A1", "5.1.1.1-2 Inorganic fert N2O")</f>
        <v>5.1.1.1-2 Inorganic fert N2O</v>
      </c>
      <c r="D24" s="154" t="str">
        <v>Landfill</v>
      </c>
      <c r="E24" s="162" t="str">
        <v>Wood</v>
      </c>
      <c r="F24" s="139"/>
      <c r="G24" s="2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5" cm="1">
        <f t="array" ref="H24">Common_InputFunctions.Utility_LookupValueInTableNumber(E24,Table_SourceData_WasteSolid_VolumeToMassConversion[Waste type w],Table_SourceData_WasteSolid_VolumeToMassConversion[VTMw])</f>
        <v>0.15</v>
      </c>
      <c r="I24" s="25" cm="1">
        <f t="array" ref="I24">WasteSolid_Equations.VEERG_10_1_1_1__2_MassOfWasteFromVolume(G24,H24)</f>
        <v>0</v>
      </c>
    </row>
    <row r="25" spans="1:9" ht="20.100000000000001" customHeight="1" x14ac:dyDescent="0.25">
      <c r="A25" s="5" t="str">
        <f>HYPERLINK("#'5.1.1.3-4 Inorganic fert CO2'!A1", "5.1.1.3-4 Inorganic fert CO2")</f>
        <v>5.1.1.3-4 Inorganic fert CO2</v>
      </c>
      <c r="D25" s="154" t="str">
        <v>Landfill</v>
      </c>
      <c r="E25" s="162" t="str">
        <v>Textiles</v>
      </c>
      <c r="F25" s="139"/>
      <c r="G25" s="2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5" cm="1">
        <f t="array" ref="H25">Common_InputFunctions.Utility_LookupValueInTableNumber(E25,Table_SourceData_WasteSolid_VolumeToMassConversion[Waste type w],Table_SourceData_WasteSolid_VolumeToMassConversion[VTMw])</f>
        <v>0.14000000000000001</v>
      </c>
      <c r="I25" s="25" cm="1">
        <f t="array" ref="I25">WasteSolid_Equations.VEERG_10_1_1_1__2_MassOfWasteFromVolume(G25,H25)</f>
        <v>0</v>
      </c>
    </row>
    <row r="26" spans="1:9" ht="20.100000000000001" customHeight="1" x14ac:dyDescent="0.25">
      <c r="A26" s="5" t="str">
        <f>HYPERLINK("#'5.2.1.1-2 Organic Fert N2O'!A1", "5.2.1.1-2 Organic fert N2O")</f>
        <v>5.2.1.1-2 Organic fert N2O</v>
      </c>
      <c r="D26" s="154" t="str">
        <v>Landfill</v>
      </c>
      <c r="E26" s="162" t="str">
        <v>Sludge</v>
      </c>
      <c r="F26" s="139"/>
      <c r="G26" s="2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5" cm="1">
        <f t="array" ref="H26">Common_InputFunctions.Utility_LookupValueInTableNumber(E26,Table_SourceData_WasteSolid_VolumeToMassConversion[Waste type w],Table_SourceData_WasteSolid_VolumeToMassConversion[VTMw])</f>
        <v>0.72</v>
      </c>
      <c r="I26" s="25" cm="1">
        <f t="array" ref="I26">WasteSolid_Equations.VEERG_10_1_1_1__2_MassOfWasteFromVolume(G26,H26)</f>
        <v>0</v>
      </c>
    </row>
    <row r="27" spans="1:9" ht="20.100000000000001" customHeight="1" x14ac:dyDescent="0.25">
      <c r="A27" s="5" t="str">
        <f>HYPERLINK("#'5.3.1.1-2 Lime CO2'!A1", "5.3.1.1-2 Lime CO2")</f>
        <v>5.3.1.1-2 Lime CO2</v>
      </c>
      <c r="D27" s="154" t="str">
        <v>Landfill</v>
      </c>
      <c r="E27" s="162" t="str">
        <v>Rubber and leather</v>
      </c>
      <c r="F27" s="139"/>
      <c r="G27" s="2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5" cm="1">
        <f t="array" ref="H27">Common_InputFunctions.Utility_LookupValueInTableNumber(E27,Table_SourceData_WasteSolid_VolumeToMassConversion[Waste type w],Table_SourceData_WasteSolid_VolumeToMassConversion[VTMw])</f>
        <v>0.14000000000000001</v>
      </c>
      <c r="I27" s="25" cm="1">
        <f t="array" ref="I27">WasteSolid_Equations.VEERG_10_1_1_1__2_MassOfWasteFromVolume(G27,H27)</f>
        <v>0</v>
      </c>
    </row>
    <row r="28" spans="1:9" ht="20.100000000000001" customHeight="1" x14ac:dyDescent="0.25">
      <c r="A28" s="5" t="str">
        <f>HYPERLINK("#'5.4.1.1-4 Atmos deposition'!A1", "5.4.1.1-4 Atmos. deposition")</f>
        <v>5.4.1.1-4 Atmos. deposition</v>
      </c>
      <c r="D28" s="154" t="str">
        <v>Landfill</v>
      </c>
      <c r="E28" s="162" t="str">
        <v>Inert waste (including concrete, metal, plastic or glass)</v>
      </c>
      <c r="F28" s="139"/>
      <c r="G28" s="2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5" cm="1">
        <f t="array" ref="H28">Common_InputFunctions.Utility_LookupValueInTableNumber(E28,Table_SourceData_WasteSolid_VolumeToMassConversion[Waste type w],Table_SourceData_WasteSolid_VolumeToMassConversion[VTMw])</f>
        <v>0.42</v>
      </c>
      <c r="I28" s="25" cm="1">
        <f t="array" ref="I28">WasteSolid_Equations.VEERG_10_1_1_1__2_MassOfWasteFromVolume(G28,H28)</f>
        <v>0</v>
      </c>
    </row>
    <row r="29" spans="1:9" ht="20.100000000000001" customHeight="1" x14ac:dyDescent="0.25">
      <c r="A29" s="5" t="str">
        <f>HYPERLINK("#'5.5.1.1-2 Leaching and runoff'!A1", "5.5.1.1-2 Leaching &amp; runoff")</f>
        <v>5.5.1.1-2 Leaching &amp; runoff</v>
      </c>
      <c r="D29" s="154" t="str">
        <v>Landfill</v>
      </c>
      <c r="E29" s="162" t="str">
        <v>Municipal solid waste</v>
      </c>
      <c r="F29" s="139"/>
      <c r="G29" s="2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5" cm="1">
        <f t="array" ref="H29">Common_InputFunctions.Utility_LookupValueInTableNumber(E29,Table_SourceData_WasteSolid_VolumeToMassConversion[Waste type w],Table_SourceData_WasteSolid_VolumeToMassConversion[VTMw])</f>
        <v>0.36</v>
      </c>
      <c r="I29" s="25" cm="1">
        <f t="array" ref="I29">WasteSolid_Equations.VEERG_10_1_1_1__2_MassOfWasteFromVolume(G29,H29)</f>
        <v>0</v>
      </c>
    </row>
    <row r="30" spans="1:9" ht="20.100000000000001" customHeight="1" x14ac:dyDescent="0.25">
      <c r="A30" s="5" t="str">
        <f>HYPERLINK("#'6.1.1.1-2 Crop residue N2O'!A1", "6.1.1.1-2 Crop residue N2O")</f>
        <v>6.1.1.1-2 Crop residue N2O</v>
      </c>
      <c r="D30" s="154" t="str">
        <v>Landfill</v>
      </c>
      <c r="E30" s="162" t="str">
        <v>Commercial and industrial waste</v>
      </c>
      <c r="F30" s="139"/>
      <c r="G30" s="2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5" cm="1">
        <f t="array" ref="H30">Common_InputFunctions.Utility_LookupValueInTableNumber(E30,Table_SourceData_WasteSolid_VolumeToMassConversion[Waste type w],Table_SourceData_WasteSolid_VolumeToMassConversion[VTMw])</f>
        <v>0.33</v>
      </c>
      <c r="I30" s="25" cm="1">
        <f t="array" ref="I30">WasteSolid_Equations.VEERG_10_1_1_1__2_MassOfWasteFromVolume(G30,H30)</f>
        <v>0</v>
      </c>
    </row>
    <row r="31" spans="1:9" ht="20.100000000000001" customHeight="1" x14ac:dyDescent="0.25">
      <c r="A31" s="5" t="str">
        <f>HYPERLINK("#'6.3.1.1-2 Leach runoff crop'!A1", "6.3.1.1-2 Leach &amp; runoff (crop)")</f>
        <v>6.3.1.1-2 Leach &amp; runoff (crop)</v>
      </c>
      <c r="D31" s="154" t="str">
        <v>Landfill</v>
      </c>
      <c r="E31" s="162" t="str">
        <v>Construction and demolition waste</v>
      </c>
      <c r="F31" s="139"/>
      <c r="G31" s="2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5" cm="1">
        <f t="array" ref="H31">Common_InputFunctions.Utility_LookupValueInTableNumber(E31,Table_SourceData_WasteSolid_VolumeToMassConversion[Waste type w],Table_SourceData_WasteSolid_VolumeToMassConversion[VTMw])</f>
        <v>0.39</v>
      </c>
      <c r="I31" s="25" cm="1">
        <f t="array" ref="I31">WasteSolid_Equations.VEERG_10_1_1_1__2_MassOfWasteFromVolume(G31,H31)</f>
        <v>0</v>
      </c>
    </row>
    <row r="32" spans="1:9" ht="20.100000000000001" customHeight="1" x14ac:dyDescent="0.25">
      <c r="A32" s="5" t="str">
        <f>HYPERLINK("#'6.4.1.1-2 Residue burning'!A1", "6.4.1.1-2 Residue burning")</f>
        <v>6.4.1.1-2 Residue burning</v>
      </c>
      <c r="D32" s="154" t="str">
        <v>Incineration</v>
      </c>
      <c r="E32" s="162" t="str">
        <v>Food waste, green waste, wood, sludge</v>
      </c>
      <c r="F32" s="139"/>
      <c r="G32" s="25" t="s">
        <v>296</v>
      </c>
      <c r="H32" s="25" t="s">
        <v>296</v>
      </c>
      <c r="I32" s="25" t="s">
        <v>296</v>
      </c>
    </row>
    <row r="33" spans="1:9" ht="20.100000000000001" customHeight="1" x14ac:dyDescent="0.25">
      <c r="A33" s="5" t="str">
        <f>HYPERLINK("#'8.1.1.1-2 Transport fuel'!A1", "8.1.1.1-2 Transport fuel")</f>
        <v>8.1.1.1-2 Transport fuel</v>
      </c>
      <c r="D33" s="154" t="str">
        <v>Incineration</v>
      </c>
      <c r="E33" s="162" t="str">
        <v>Food waste (including animal carcasses, spoiled animal feed or crop)</v>
      </c>
      <c r="F33" s="139"/>
      <c r="G33" s="2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25" cm="1">
        <f t="array" ref="H33">Common_InputFunctions.Utility_LookupValueInTableNumber(E33,Table_SourceData_WasteSolid_VolumeToMassConversion[Waste type w],Table_SourceData_WasteSolid_VolumeToMassConversion[VTMw])</f>
        <v>0.5</v>
      </c>
      <c r="I33" s="25" cm="1">
        <f t="array" ref="I33">WasteSolid_Equations.VEERG_10_1_1_1__2_MassOfWasteFromVolume(G33,H33)</f>
        <v>0</v>
      </c>
    </row>
    <row r="34" spans="1:9" ht="20.100000000000001" customHeight="1" x14ac:dyDescent="0.25">
      <c r="A34" s="5" t="str">
        <f>HYPERLINK("#'8.2.1.1-2 Stationary fuel'!A1", "8.2.1.1-2 Stationary fuel")</f>
        <v>8.2.1.1-2 Stationary fuel</v>
      </c>
      <c r="D34" s="154" t="str">
        <v>Incineration</v>
      </c>
      <c r="E34" s="162" t="str">
        <v>Green waste (including crop residues or prunings)</v>
      </c>
      <c r="F34" s="139"/>
      <c r="G34" s="2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25" cm="1">
        <f t="array" ref="H34">Common_InputFunctions.Utility_LookupValueInTableNumber(E34,Table_SourceData_WasteSolid_VolumeToMassConversion[Waste type w],Table_SourceData_WasteSolid_VolumeToMassConversion[VTMw])</f>
        <v>0.24</v>
      </c>
      <c r="I34" s="25" cm="1">
        <f t="array" ref="I34">WasteSolid_Equations.VEERG_10_1_1_1__2_MassOfWasteFromVolume(G34,H34)</f>
        <v>24</v>
      </c>
    </row>
    <row r="35" spans="1:9" ht="20.100000000000001" customHeight="1" x14ac:dyDescent="0.25">
      <c r="A35" s="5" t="str">
        <f>HYPERLINK("#'14.1.1-2 Purchased electricity'!A1", "14.1.1-2 Purchased electricity")</f>
        <v>14.1.1-2 Purchased electricity</v>
      </c>
      <c r="D35" s="154" t="str">
        <v>Incineration</v>
      </c>
      <c r="E35" s="162" t="str">
        <v>Wood</v>
      </c>
      <c r="F35" s="139"/>
      <c r="G35" s="2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5" cm="1">
        <f t="array" ref="H35">Common_InputFunctions.Utility_LookupValueInTableNumber(E35,Table_SourceData_WasteSolid_VolumeToMassConversion[Waste type w],Table_SourceData_WasteSolid_VolumeToMassConversion[VTMw])</f>
        <v>0.15</v>
      </c>
      <c r="I35" s="25" cm="1">
        <f t="array" ref="I35">WasteSolid_Equations.VEERG_10_1_1_1__2_MassOfWasteFromVolume(G35,H35)</f>
        <v>0</v>
      </c>
    </row>
    <row r="36" spans="1:9" ht="20.100000000000001" customHeight="1" x14ac:dyDescent="0.25">
      <c r="A36" s="5" t="str">
        <f>HYPERLINK("#'15 Scope 3'!A1", "15 Scope 3")</f>
        <v>15 Scope 3</v>
      </c>
      <c r="D36" s="154" t="str">
        <v>Incineration</v>
      </c>
      <c r="E36" s="162" t="str">
        <v>Sludge</v>
      </c>
      <c r="F36" s="139"/>
      <c r="G36" s="2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5" cm="1">
        <f t="array" ref="H36">Common_InputFunctions.Utility_LookupValueInTableNumber(E36,Table_SourceData_WasteSolid_VolumeToMassConversion[Waste type w],Table_SourceData_WasteSolid_VolumeToMassConversion[VTMw])</f>
        <v>0.72</v>
      </c>
      <c r="I36" s="25" cm="1">
        <f t="array" ref="I36">WasteSolid_Equations.VEERG_10_1_1_1__2_MassOfWasteFromVolume(G36,H36)</f>
        <v>0</v>
      </c>
    </row>
    <row r="37" spans="1:9" ht="20.100000000000001" customHeight="1" x14ac:dyDescent="0.25">
      <c r="A37" s="5" t="str">
        <f>HYPERLINK("#'Calcs - Manure sent off-site'!A1", "Calcs - Manure sent off-site")</f>
        <v>Calcs - Manure sent off-site</v>
      </c>
      <c r="D37" s="154" t="str">
        <v>Incineration</v>
      </c>
      <c r="E37" s="162" t="str">
        <v>Paper and cardboard</v>
      </c>
      <c r="F37" s="139"/>
      <c r="G37" s="2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25" cm="1">
        <f t="array" ref="H37">Common_InputFunctions.Utility_LookupValueInTableNumber(E37,Table_SourceData_WasteSolid_VolumeToMassConversion[Waste type w],Table_SourceData_WasteSolid_VolumeToMassConversion[VTMw])</f>
        <v>0.09</v>
      </c>
      <c r="I37" s="25" cm="1">
        <f t="array" ref="I37">WasteSolid_Equations.VEERG_10_1_1_1__2_MassOfWasteFromVolume(G37,H37)</f>
        <v>4.5</v>
      </c>
    </row>
    <row r="38" spans="1:9" ht="20.100000000000001" customHeight="1" x14ac:dyDescent="0.25">
      <c r="A38" s="141" t="str">
        <f>HYPERLINK("#'10.1.1-2 Solid waste treatment'!A1", "10.1.1-2 Solid waste treatment")</f>
        <v>10.1.1-2 Solid waste treatment</v>
      </c>
      <c r="D38" s="154" t="str">
        <v>Incineration</v>
      </c>
      <c r="E38" s="162" t="str">
        <v>Textiles</v>
      </c>
      <c r="F38" s="139"/>
      <c r="G38" s="2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5" cm="1">
        <f t="array" ref="H38">Common_InputFunctions.Utility_LookupValueInTableNumber(E38,Table_SourceData_WasteSolid_VolumeToMassConversion[Waste type w],Table_SourceData_WasteSolid_VolumeToMassConversion[VTMw])</f>
        <v>0.14000000000000001</v>
      </c>
      <c r="I38" s="25" cm="1">
        <f t="array" ref="I38">WasteSolid_Equations.VEERG_10_1_1_1__2_MassOfWasteFromVolume(G38,H38)</f>
        <v>0</v>
      </c>
    </row>
    <row r="39" spans="1:9" ht="20.100000000000001" customHeight="1" x14ac:dyDescent="0.25">
      <c r="D39" s="154" t="str">
        <v>Incineration</v>
      </c>
      <c r="E39" s="162" t="str">
        <v>Rubber and leather</v>
      </c>
      <c r="F39" s="139"/>
      <c r="G39" s="2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5" cm="1">
        <f t="array" ref="H39">Common_InputFunctions.Utility_LookupValueInTableNumber(E39,Table_SourceData_WasteSolid_VolumeToMassConversion[Waste type w],Table_SourceData_WasteSolid_VolumeToMassConversion[VTMw])</f>
        <v>0.14000000000000001</v>
      </c>
      <c r="I39" s="25" cm="1">
        <f t="array" ref="I39">WasteSolid_Equations.VEERG_10_1_1_1__2_MassOfWasteFromVolume(G39,H39)</f>
        <v>0</v>
      </c>
    </row>
    <row r="40" spans="1:9" ht="20.100000000000001" customHeight="1" x14ac:dyDescent="0.25">
      <c r="D40" s="154" t="str">
        <v>Incineration</v>
      </c>
      <c r="E40" s="154" t="str">
        <v>Inert waste (including concrete, metal, plastic or glass)</v>
      </c>
      <c r="F40" s="154"/>
      <c r="G40" s="2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5" cm="1">
        <f t="array" ref="H40">Common_InputFunctions.Utility_LookupValueInTableNumber(E40,Table_SourceData_WasteSolid_VolumeToMassConversion[Waste type w],Table_SourceData_WasteSolid_VolumeToMassConversion[VTMw])</f>
        <v>0.42</v>
      </c>
      <c r="I40" s="25" cm="1">
        <f t="array" ref="I40">WasteSolid_Equations.VEERG_10_1_1_1__2_MassOfWasteFromVolume(G40,H40)</f>
        <v>0</v>
      </c>
    </row>
    <row r="41" spans="1:9" ht="20.100000000000001" customHeight="1" x14ac:dyDescent="0.25">
      <c r="A41" s="121" t="s">
        <v>1</v>
      </c>
      <c r="D41" s="154" t="str">
        <v>Incineration</v>
      </c>
      <c r="E41" s="162" t="str">
        <v>Municipal solid waste</v>
      </c>
      <c r="F41" s="164"/>
      <c r="G41" s="2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25" cm="1">
        <f t="array" ref="H41">Common_InputFunctions.Utility_LookupValueInTableNumber(E41,Table_SourceData_WasteSolid_VolumeToMassConversion[Waste type w],Table_SourceData_WasteSolid_VolumeToMassConversion[VTMw])</f>
        <v>0.36</v>
      </c>
      <c r="I41" s="25" cm="1">
        <f t="array" ref="I41">WasteSolid_Equations.VEERG_10_1_1_1__2_MassOfWasteFromVolume(G41,H41)</f>
        <v>0</v>
      </c>
    </row>
    <row r="42" spans="1:9" ht="20.100000000000001" customHeight="1" x14ac:dyDescent="0.25">
      <c r="A42" s="5" t="str">
        <f>HYPERLINK("#'Constants - Ag Residue'!A1", "Constants - Ag residue")</f>
        <v>Constants - Ag residue</v>
      </c>
      <c r="D42" s="154" t="str">
        <v>Incineration</v>
      </c>
      <c r="E42" s="162" t="str">
        <v>Commercial and industrial waste</v>
      </c>
      <c r="F42" s="164"/>
      <c r="G42" s="2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25" cm="1">
        <f t="array" ref="H42">Common_InputFunctions.Utility_LookupValueInTableNumber(E42,Table_SourceData_WasteSolid_VolumeToMassConversion[Waste type w],Table_SourceData_WasteSolid_VolumeToMassConversion[VTMw])</f>
        <v>0.33</v>
      </c>
      <c r="I42" s="25" cm="1">
        <f t="array" ref="I42">WasteSolid_Equations.VEERG_10_1_1_1__2_MassOfWasteFromVolume(G42,H42)</f>
        <v>0</v>
      </c>
    </row>
    <row r="43" spans="1:9" ht="20.100000000000001" customHeight="1" x14ac:dyDescent="0.25">
      <c r="A43" s="5" t="str">
        <f>HYPERLINK("#'Constants - Common Livestock'!A1", "Constants - Common Livestock")</f>
        <v>Constants - Common Livestock</v>
      </c>
      <c r="D43" s="154" t="str">
        <v>Composting</v>
      </c>
      <c r="E43" s="162" t="str">
        <v>All organic waste</v>
      </c>
      <c r="F43" s="164"/>
      <c r="G43" s="25" t="s">
        <v>296</v>
      </c>
      <c r="H43" s="25" t="s">
        <v>296</v>
      </c>
      <c r="I43" s="25" t="s">
        <v>296</v>
      </c>
    </row>
    <row r="44" spans="1:9" ht="20.100000000000001" customHeight="1" x14ac:dyDescent="0.25">
      <c r="A44" s="5" t="str">
        <f>HYPERLINK("#'Constants - Electricity'!A1", "Constants - Electricity")</f>
        <v>Constants - Electricity</v>
      </c>
      <c r="D44" s="154" t="str">
        <v>Composting</v>
      </c>
      <c r="E44" s="162" t="str">
        <v>Food waste (including animal carcasses, spoiled animal feed or crop)</v>
      </c>
      <c r="F44" s="164"/>
      <c r="G44" s="2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25" cm="1">
        <f t="array" ref="H44">Common_InputFunctions.Utility_LookupValueInTableNumber(E44,Table_SourceData_WasteSolid_VolumeToMassConversion[Waste type w],Table_SourceData_WasteSolid_VolumeToMassConversion[VTMw])</f>
        <v>0.5</v>
      </c>
      <c r="I44" s="25" cm="1">
        <f t="array" ref="I44">WasteSolid_Equations.VEERG_10_1_1_1__2_MassOfWasteFromVolume(G44,H44)</f>
        <v>25</v>
      </c>
    </row>
    <row r="45" spans="1:9" ht="20.100000000000001" customHeight="1" x14ac:dyDescent="0.25">
      <c r="A45" s="5" t="str">
        <f>HYPERLINK("#'Constants - Fertiliser'!A1", "Constants - Fertiliser")</f>
        <v>Constants - Fertiliser</v>
      </c>
      <c r="D45" s="154" t="str">
        <v>Composting</v>
      </c>
      <c r="E45" s="162" t="str">
        <v>Green waste (including crop residues or prunings)</v>
      </c>
      <c r="F45" s="164"/>
      <c r="G45" s="2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25" cm="1">
        <f t="array" ref="H45">Common_InputFunctions.Utility_LookupValueInTableNumber(E45,Table_SourceData_WasteSolid_VolumeToMassConversion[Waste type w],Table_SourceData_WasteSolid_VolumeToMassConversion[VTMw])</f>
        <v>0.24</v>
      </c>
      <c r="I45" s="25" cm="1">
        <f t="array" ref="I45">WasteSolid_Equations.VEERG_10_1_1_1__2_MassOfWasteFromVolume(G45,H45)</f>
        <v>0</v>
      </c>
    </row>
    <row r="46" spans="1:9" ht="20.100000000000001" customHeight="1" x14ac:dyDescent="0.25">
      <c r="A46" s="5" t="str">
        <f>HYPERLINK("#'Constants - Fuel'!A1", "Constants - Fuel")</f>
        <v>Constants - Fuel</v>
      </c>
      <c r="D46" s="154" t="str">
        <v>Composting</v>
      </c>
      <c r="E46" s="162" t="str">
        <v>Wood</v>
      </c>
      <c r="F46" s="164"/>
      <c r="G46" s="2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25" cm="1">
        <f t="array" ref="H46">Common_InputFunctions.Utility_LookupValueInTableNumber(E46,Table_SourceData_WasteSolid_VolumeToMassConversion[Waste type w],Table_SourceData_WasteSolid_VolumeToMassConversion[VTMw])</f>
        <v>0.15</v>
      </c>
      <c r="I46" s="25" cm="1">
        <f t="array" ref="I46">WasteSolid_Equations.VEERG_10_1_1_1__2_MassOfWasteFromVolume(G46,H46)</f>
        <v>0</v>
      </c>
    </row>
    <row r="47" spans="1:9" ht="20.100000000000001" customHeight="1" x14ac:dyDescent="0.25">
      <c r="A47" s="5" t="str">
        <f>HYPERLINK("#'Constants - Scope 3'!A1", "Constants - Scope 3")</f>
        <v>Constants - Scope 3</v>
      </c>
      <c r="D47" s="154" t="str">
        <v>Composting</v>
      </c>
      <c r="E47" s="162" t="str">
        <v>Sludge</v>
      </c>
      <c r="F47" s="164"/>
      <c r="G47" s="2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25" cm="1">
        <f t="array" ref="H47">Common_InputFunctions.Utility_LookupValueInTableNumber(E47,Table_SourceData_WasteSolid_VolumeToMassConversion[Waste type w],Table_SourceData_WasteSolid_VolumeToMassConversion[VTMw])</f>
        <v>0.72</v>
      </c>
      <c r="I47" s="25" cm="1">
        <f t="array" ref="I47">WasteSolid_Equations.VEERG_10_1_1_1__2_MassOfWasteFromVolume(G47,H47)</f>
        <v>0</v>
      </c>
    </row>
    <row r="48" spans="1:9" ht="20.100000000000001" customHeight="1" x14ac:dyDescent="0.25">
      <c r="A48" s="5" t="str">
        <f>HYPERLINK("#'Constants - Common'!A1", "Constants - Common")</f>
        <v>Constants - Common</v>
      </c>
      <c r="D48" s="154" t="str">
        <v>Composting</v>
      </c>
      <c r="E48" s="162" t="str">
        <v>Paper and cardboard</v>
      </c>
      <c r="F48" s="164"/>
      <c r="G48" s="2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25" cm="1">
        <f t="array" ref="H48">Common_InputFunctions.Utility_LookupValueInTableNumber(E48,Table_SourceData_WasteSolid_VolumeToMassConversion[Waste type w],Table_SourceData_WasteSolid_VolumeToMassConversion[VTMw])</f>
        <v>0.09</v>
      </c>
      <c r="I48" s="25" cm="1">
        <f t="array" ref="I48">WasteSolid_Equations.VEERG_10_1_1_1__2_MassOfWasteFromVolume(G48,H48)</f>
        <v>4.5</v>
      </c>
    </row>
    <row r="49" spans="1:9" ht="20.100000000000001" customHeight="1" x14ac:dyDescent="0.25">
      <c r="A49" s="5" t="str">
        <f>HYPERLINK("#'Constants - Solid Waste'!A1", "Constants - Solid Waste")</f>
        <v>Constants - Solid Waste</v>
      </c>
      <c r="D49" s="154" t="str">
        <v>Anaerobic digestion</v>
      </c>
      <c r="E49" s="162" t="str">
        <v>All organic waste</v>
      </c>
      <c r="F49" s="164"/>
      <c r="G49" s="25" t="s">
        <v>296</v>
      </c>
      <c r="H49" s="25" t="s">
        <v>296</v>
      </c>
      <c r="I49" s="25" t="s">
        <v>296</v>
      </c>
    </row>
    <row r="50" spans="1:9" ht="20.100000000000001" customHeight="1" x14ac:dyDescent="0.25">
      <c r="D50" s="154" t="str">
        <v>Anaerobic digestion</v>
      </c>
      <c r="E50" s="162" t="str">
        <v>Food waste (including animal carcasses, spoiled animal feed or crop)</v>
      </c>
      <c r="F50" s="164"/>
      <c r="G50" s="2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25" cm="1">
        <f t="array" ref="H50">Common_InputFunctions.Utility_LookupValueInTableNumber(E50,Table_SourceData_WasteSolid_VolumeToMassConversion[Waste type w],Table_SourceData_WasteSolid_VolumeToMassConversion[VTMw])</f>
        <v>0.5</v>
      </c>
      <c r="I50" s="25" cm="1">
        <f t="array" ref="I50">WasteSolid_Equations.VEERG_10_1_1_1__2_MassOfWasteFromVolume(G50,H50)</f>
        <v>0</v>
      </c>
    </row>
    <row r="51" spans="1:9" ht="20.100000000000001" customHeight="1" x14ac:dyDescent="0.25">
      <c r="D51" s="154" t="str">
        <v>Anaerobic digestion</v>
      </c>
      <c r="E51" s="162" t="str">
        <v>Green waste (including crop residues or prunings)</v>
      </c>
      <c r="F51" s="164"/>
      <c r="G51" s="2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25" cm="1">
        <f t="array" ref="H51">Common_InputFunctions.Utility_LookupValueInTableNumber(E51,Table_SourceData_WasteSolid_VolumeToMassConversion[Waste type w],Table_SourceData_WasteSolid_VolumeToMassConversion[VTMw])</f>
        <v>0.24</v>
      </c>
      <c r="I51" s="25" cm="1">
        <f t="array" ref="I51">WasteSolid_Equations.VEERG_10_1_1_1__2_MassOfWasteFromVolume(G51,H51)</f>
        <v>0</v>
      </c>
    </row>
    <row r="52" spans="1:9" ht="20.100000000000001" customHeight="1" x14ac:dyDescent="0.25">
      <c r="D52" s="154" t="str">
        <v>Anaerobic digestion</v>
      </c>
      <c r="E52" s="162" t="str">
        <v>Wood</v>
      </c>
      <c r="F52" s="164"/>
      <c r="G52" s="2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25" cm="1">
        <f t="array" ref="H52">Common_InputFunctions.Utility_LookupValueInTableNumber(E52,Table_SourceData_WasteSolid_VolumeToMassConversion[Waste type w],Table_SourceData_WasteSolid_VolumeToMassConversion[VTMw])</f>
        <v>0.15</v>
      </c>
      <c r="I52" s="25" cm="1">
        <f t="array" ref="I52">WasteSolid_Equations.VEERG_10_1_1_1__2_MassOfWasteFromVolume(G52,H52)</f>
        <v>0</v>
      </c>
    </row>
    <row r="53" spans="1:9" ht="20.100000000000001" customHeight="1" x14ac:dyDescent="0.25">
      <c r="D53" s="154" t="str">
        <v>Anaerobic digestion</v>
      </c>
      <c r="E53" s="162" t="str">
        <v>Sludge</v>
      </c>
      <c r="F53" s="164"/>
      <c r="G53" s="2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25" cm="1">
        <f t="array" ref="H53">Common_InputFunctions.Utility_LookupValueInTableNumber(E53,Table_SourceData_WasteSolid_VolumeToMassConversion[Waste type w],Table_SourceData_WasteSolid_VolumeToMassConversion[VTMw])</f>
        <v>0.72</v>
      </c>
      <c r="I53" s="25" cm="1">
        <f t="array" ref="I53">WasteSolid_Equations.VEERG_10_1_1_1__2_MassOfWasteFromVolume(G53,H53)</f>
        <v>0</v>
      </c>
    </row>
    <row r="54" spans="1:9" ht="20.100000000000001" customHeight="1" x14ac:dyDescent="0.25">
      <c r="D54" s="154" t="str">
        <v>Anaerobic digestion</v>
      </c>
      <c r="E54" s="162" t="str">
        <v>Paper and cardboard</v>
      </c>
      <c r="F54" s="164"/>
      <c r="G54" s="2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25" cm="1">
        <f t="array" ref="H54">Common_InputFunctions.Utility_LookupValueInTableNumber(E54,Table_SourceData_WasteSolid_VolumeToMassConversion[Waste type w],Table_SourceData_WasteSolid_VolumeToMassConversion[VTMw])</f>
        <v>0.09</v>
      </c>
      <c r="I54" s="25" cm="1">
        <f t="array" ref="I54">WasteSolid_Equations.VEERG_10_1_1_1__2_MassOfWasteFromVolume(G54,H54)</f>
        <v>0</v>
      </c>
    </row>
    <row r="55" spans="1:9" ht="20.100000000000001" customHeight="1" x14ac:dyDescent="0.25"/>
    <row r="56" spans="1:9" ht="20.100000000000001" customHeight="1" x14ac:dyDescent="0.25">
      <c r="D56" s="143" t="s">
        <v>584</v>
      </c>
    </row>
    <row r="57" spans="1:9" ht="20.100000000000001" customHeight="1" x14ac:dyDescent="0.25">
      <c r="D57" s="144" t="s">
        <v>585</v>
      </c>
    </row>
    <row r="58" spans="1:9" ht="20.100000000000001" customHeight="1" x14ac:dyDescent="0.25">
      <c r="D58" s="92" t="s">
        <v>579</v>
      </c>
      <c r="E58" s="92" t="s">
        <v>580</v>
      </c>
      <c r="F58" s="92"/>
      <c r="G58" s="92" t="s">
        <v>581</v>
      </c>
      <c r="H58" s="145" t="s">
        <v>582</v>
      </c>
      <c r="I58" s="145" t="s">
        <v>583</v>
      </c>
    </row>
    <row r="59" spans="1:9" ht="20.100000000000001" customHeight="1" x14ac:dyDescent="0.25">
      <c r="D59" s="154" t="str" cm="1">
        <f t="array" ref="D59:D92">Table_SourceData_WasteSolid_WasteTreatmentEFs[Treatment type t]</f>
        <v>Landfill</v>
      </c>
      <c r="E59" s="162" t="str" cm="1">
        <f t="array" ref="E59:E92">Table_SourceData_WasteSolid_WasteTreatmentEFs[Waste type w]</f>
        <v>Food waste (including animal carcasses, spoiled animal feed or crop)</v>
      </c>
      <c r="F59" s="139"/>
      <c r="G59" s="2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25" cm="1">
        <f t="array" ref="H59">Common_InputFunctions.Utility_LookupValueInTableNumber(E59,Table_SourceData_WasteSolid_VolumeToMassConversion[Waste type w],Table_SourceData_WasteSolid_VolumeToMassConversion[VTMw])</f>
        <v>0.5</v>
      </c>
      <c r="I59" s="25" cm="1">
        <f t="array" ref="I59">WasteSolid_Equations.VEERG_10_1_1_1__2_MassOfWasteFromVolume(G59,H59)</f>
        <v>25</v>
      </c>
    </row>
    <row r="60" spans="1:9" ht="20.100000000000001" customHeight="1" x14ac:dyDescent="0.25">
      <c r="D60" s="154" t="str">
        <v>Landfill</v>
      </c>
      <c r="E60" s="162" t="str">
        <v>Paper and cardboard</v>
      </c>
      <c r="F60" s="139"/>
      <c r="G60" s="2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25" cm="1">
        <f t="array" ref="H60">Common_InputFunctions.Utility_LookupValueInTableNumber(E60,Table_SourceData_WasteSolid_VolumeToMassConversion[Waste type w],Table_SourceData_WasteSolid_VolumeToMassConversion[VTMw])</f>
        <v>0.09</v>
      </c>
      <c r="I60" s="25" cm="1">
        <f t="array" ref="I60">WasteSolid_Equations.VEERG_10_1_1_1__2_MassOfWasteFromVolume(G60,H60)</f>
        <v>4.5</v>
      </c>
    </row>
    <row r="61" spans="1:9" ht="20.100000000000001" customHeight="1" x14ac:dyDescent="0.25">
      <c r="D61" s="154" t="str">
        <v>Landfill</v>
      </c>
      <c r="E61" s="162" t="str">
        <v>Green waste (including crop residues or prunings)</v>
      </c>
      <c r="F61" s="139"/>
      <c r="G61" s="2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25" cm="1">
        <f t="array" ref="H61">Common_InputFunctions.Utility_LookupValueInTableNumber(E61,Table_SourceData_WasteSolid_VolumeToMassConversion[Waste type w],Table_SourceData_WasteSolid_VolumeToMassConversion[VTMw])</f>
        <v>0.24</v>
      </c>
      <c r="I61" s="25" cm="1">
        <f t="array" ref="I61">WasteSolid_Equations.VEERG_10_1_1_1__2_MassOfWasteFromVolume(G61,H61)</f>
        <v>12</v>
      </c>
    </row>
    <row r="62" spans="1:9" ht="20.100000000000001" customHeight="1" x14ac:dyDescent="0.25">
      <c r="D62" s="154" t="str">
        <v>Landfill</v>
      </c>
      <c r="E62" s="162" t="str">
        <v>Wood</v>
      </c>
      <c r="F62" s="139"/>
      <c r="G62" s="2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5" cm="1">
        <f t="array" ref="H62">Common_InputFunctions.Utility_LookupValueInTableNumber(E62,Table_SourceData_WasteSolid_VolumeToMassConversion[Waste type w],Table_SourceData_WasteSolid_VolumeToMassConversion[VTMw])</f>
        <v>0.15</v>
      </c>
      <c r="I62" s="25" cm="1">
        <f t="array" ref="I62">WasteSolid_Equations.VEERG_10_1_1_1__2_MassOfWasteFromVolume(G62,H62)</f>
        <v>0</v>
      </c>
    </row>
    <row r="63" spans="1:9" ht="20.100000000000001" customHeight="1" x14ac:dyDescent="0.25">
      <c r="D63" s="154" t="str">
        <v>Landfill</v>
      </c>
      <c r="E63" s="162" t="str">
        <v>Textiles</v>
      </c>
      <c r="F63" s="139"/>
      <c r="G63" s="2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5" cm="1">
        <f t="array" ref="H63">Common_InputFunctions.Utility_LookupValueInTableNumber(E63,Table_SourceData_WasteSolid_VolumeToMassConversion[Waste type w],Table_SourceData_WasteSolid_VolumeToMassConversion[VTMw])</f>
        <v>0.14000000000000001</v>
      </c>
      <c r="I63" s="25" cm="1">
        <f t="array" ref="I63">WasteSolid_Equations.VEERG_10_1_1_1__2_MassOfWasteFromVolume(G63,H63)</f>
        <v>0</v>
      </c>
    </row>
    <row r="64" spans="1:9" ht="20.100000000000001" customHeight="1" x14ac:dyDescent="0.25">
      <c r="D64" s="154" t="str">
        <v>Landfill</v>
      </c>
      <c r="E64" s="162" t="str">
        <v>Sludge</v>
      </c>
      <c r="F64" s="139"/>
      <c r="G64" s="2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5" cm="1">
        <f t="array" ref="H64">Common_InputFunctions.Utility_LookupValueInTableNumber(E64,Table_SourceData_WasteSolid_VolumeToMassConversion[Waste type w],Table_SourceData_WasteSolid_VolumeToMassConversion[VTMw])</f>
        <v>0.72</v>
      </c>
      <c r="I64" s="25" cm="1">
        <f t="array" ref="I64">WasteSolid_Equations.VEERG_10_1_1_1__2_MassOfWasteFromVolume(G64,H64)</f>
        <v>0</v>
      </c>
    </row>
    <row r="65" spans="4:9" ht="20.100000000000001" customHeight="1" x14ac:dyDescent="0.25">
      <c r="D65" s="154" t="str">
        <v>Landfill</v>
      </c>
      <c r="E65" s="162" t="str">
        <v>Rubber and leather</v>
      </c>
      <c r="F65" s="139"/>
      <c r="G65" s="2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25" cm="1">
        <f t="array" ref="H65">Common_InputFunctions.Utility_LookupValueInTableNumber(E65,Table_SourceData_WasteSolid_VolumeToMassConversion[Waste type w],Table_SourceData_WasteSolid_VolumeToMassConversion[VTMw])</f>
        <v>0.14000000000000001</v>
      </c>
      <c r="I65" s="25" cm="1">
        <f t="array" ref="I65">WasteSolid_Equations.VEERG_10_1_1_1__2_MassOfWasteFromVolume(G65,H65)</f>
        <v>0</v>
      </c>
    </row>
    <row r="66" spans="4:9" ht="20.100000000000001" customHeight="1" x14ac:dyDescent="0.25">
      <c r="D66" s="154" t="str">
        <v>Landfill</v>
      </c>
      <c r="E66" s="162" t="str">
        <v>Inert waste (including concrete, metal, plastic or glass)</v>
      </c>
      <c r="F66" s="139"/>
      <c r="G66" s="2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25" cm="1">
        <f t="array" ref="H66">Common_InputFunctions.Utility_LookupValueInTableNumber(E66,Table_SourceData_WasteSolid_VolumeToMassConversion[Waste type w],Table_SourceData_WasteSolid_VolumeToMassConversion[VTMw])</f>
        <v>0.42</v>
      </c>
      <c r="I66" s="25" cm="1">
        <f t="array" ref="I66">WasteSolid_Equations.VEERG_10_1_1_1__2_MassOfWasteFromVolume(G66,H66)</f>
        <v>0</v>
      </c>
    </row>
    <row r="67" spans="4:9" ht="20.100000000000001" customHeight="1" x14ac:dyDescent="0.25">
      <c r="D67" s="154" t="str">
        <v>Landfill</v>
      </c>
      <c r="E67" s="162" t="str">
        <v>Municipal solid waste</v>
      </c>
      <c r="F67" s="139"/>
      <c r="G67" s="2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25" cm="1">
        <f t="array" ref="H67">Common_InputFunctions.Utility_LookupValueInTableNumber(E67,Table_SourceData_WasteSolid_VolumeToMassConversion[Waste type w],Table_SourceData_WasteSolid_VolumeToMassConversion[VTMw])</f>
        <v>0.36</v>
      </c>
      <c r="I67" s="25" cm="1">
        <f t="array" ref="I67">WasteSolid_Equations.VEERG_10_1_1_1__2_MassOfWasteFromVolume(G67,H67)</f>
        <v>0</v>
      </c>
    </row>
    <row r="68" spans="4:9" ht="20.100000000000001" customHeight="1" x14ac:dyDescent="0.25">
      <c r="D68" s="154" t="str">
        <v>Landfill</v>
      </c>
      <c r="E68" s="162" t="str">
        <v>Commercial and industrial waste</v>
      </c>
      <c r="F68" s="139"/>
      <c r="G68" s="2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25" cm="1">
        <f t="array" ref="H68">Common_InputFunctions.Utility_LookupValueInTableNumber(E68,Table_SourceData_WasteSolid_VolumeToMassConversion[Waste type w],Table_SourceData_WasteSolid_VolumeToMassConversion[VTMw])</f>
        <v>0.33</v>
      </c>
      <c r="I68" s="25" cm="1">
        <f t="array" ref="I68">WasteSolid_Equations.VEERG_10_1_1_1__2_MassOfWasteFromVolume(G68,H68)</f>
        <v>0</v>
      </c>
    </row>
    <row r="69" spans="4:9" ht="20.100000000000001" customHeight="1" x14ac:dyDescent="0.25">
      <c r="D69" s="154" t="str">
        <v>Landfill</v>
      </c>
      <c r="E69" s="162" t="str">
        <v>Construction and demolition waste</v>
      </c>
      <c r="F69" s="139"/>
      <c r="G69" s="2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25" cm="1">
        <f t="array" ref="H69">Common_InputFunctions.Utility_LookupValueInTableNumber(E69,Table_SourceData_WasteSolid_VolumeToMassConversion[Waste type w],Table_SourceData_WasteSolid_VolumeToMassConversion[VTMw])</f>
        <v>0.39</v>
      </c>
      <c r="I69" s="25" cm="1">
        <f t="array" ref="I69">WasteSolid_Equations.VEERG_10_1_1_1__2_MassOfWasteFromVolume(G69,H69)</f>
        <v>0</v>
      </c>
    </row>
    <row r="70" spans="4:9" ht="20.100000000000001" customHeight="1" x14ac:dyDescent="0.25">
      <c r="D70" s="154" t="str">
        <v>Incineration</v>
      </c>
      <c r="E70" s="162" t="str">
        <v>Food waste, green waste, wood, sludge</v>
      </c>
      <c r="F70" s="139"/>
      <c r="G70" s="25" t="s">
        <v>296</v>
      </c>
      <c r="H70" s="25" t="s">
        <v>296</v>
      </c>
      <c r="I70" s="25" t="s">
        <v>296</v>
      </c>
    </row>
    <row r="71" spans="4:9" ht="20.100000000000001" customHeight="1" x14ac:dyDescent="0.25">
      <c r="D71" s="154" t="str">
        <v>Incineration</v>
      </c>
      <c r="E71" s="162" t="str">
        <v>Food waste (including animal carcasses, spoiled animal feed or crop)</v>
      </c>
      <c r="F71" s="139"/>
      <c r="G71" s="2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25" cm="1">
        <f t="array" ref="H71">Common_InputFunctions.Utility_LookupValueInTableNumber(E71,Table_SourceData_WasteSolid_VolumeToMassConversion[Waste type w],Table_SourceData_WasteSolid_VolumeToMassConversion[VTMw])</f>
        <v>0.5</v>
      </c>
      <c r="I71" s="25" cm="1">
        <f t="array" ref="I71">WasteSolid_Equations.VEERG_10_1_1_1__2_MassOfWasteFromVolume(G71,H71)</f>
        <v>0</v>
      </c>
    </row>
    <row r="72" spans="4:9" ht="20.100000000000001" customHeight="1" x14ac:dyDescent="0.25">
      <c r="D72" s="154" t="str">
        <v>Incineration</v>
      </c>
      <c r="E72" s="162" t="str">
        <v>Green waste (including crop residues or prunings)</v>
      </c>
      <c r="F72" s="139"/>
      <c r="G72" s="2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25" cm="1">
        <f t="array" ref="H72">Common_InputFunctions.Utility_LookupValueInTableNumber(E72,Table_SourceData_WasteSolid_VolumeToMassConversion[Waste type w],Table_SourceData_WasteSolid_VolumeToMassConversion[VTMw])</f>
        <v>0.24</v>
      </c>
      <c r="I72" s="25" cm="1">
        <f t="array" ref="I72">WasteSolid_Equations.VEERG_10_1_1_1__2_MassOfWasteFromVolume(G72,H72)</f>
        <v>12</v>
      </c>
    </row>
    <row r="73" spans="4:9" ht="20.100000000000001" customHeight="1" x14ac:dyDescent="0.25">
      <c r="D73" s="154" t="str">
        <v>Incineration</v>
      </c>
      <c r="E73" s="162" t="str">
        <v>Wood</v>
      </c>
      <c r="F73" s="139"/>
      <c r="G73" s="2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25" cm="1">
        <f t="array" ref="H73">Common_InputFunctions.Utility_LookupValueInTableNumber(E73,Table_SourceData_WasteSolid_VolumeToMassConversion[Waste type w],Table_SourceData_WasteSolid_VolumeToMassConversion[VTMw])</f>
        <v>0.15</v>
      </c>
      <c r="I73" s="25" cm="1">
        <f t="array" ref="I73">WasteSolid_Equations.VEERG_10_1_1_1__2_MassOfWasteFromVolume(G73,H73)</f>
        <v>0</v>
      </c>
    </row>
    <row r="74" spans="4:9" ht="20.100000000000001" customHeight="1" x14ac:dyDescent="0.25">
      <c r="D74" s="154" t="str">
        <v>Incineration</v>
      </c>
      <c r="E74" s="162" t="str">
        <v>Sludge</v>
      </c>
      <c r="F74" s="139"/>
      <c r="G74" s="2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25" cm="1">
        <f t="array" ref="H74">Common_InputFunctions.Utility_LookupValueInTableNumber(E74,Table_SourceData_WasteSolid_VolumeToMassConversion[Waste type w],Table_SourceData_WasteSolid_VolumeToMassConversion[VTMw])</f>
        <v>0.72</v>
      </c>
      <c r="I74" s="25" cm="1">
        <f t="array" ref="I74">WasteSolid_Equations.VEERG_10_1_1_1__2_MassOfWasteFromVolume(G74,H74)</f>
        <v>0</v>
      </c>
    </row>
    <row r="75" spans="4:9" ht="20.100000000000001" customHeight="1" x14ac:dyDescent="0.25">
      <c r="D75" s="154" t="str">
        <v>Incineration</v>
      </c>
      <c r="E75" s="162" t="str">
        <v>Paper and cardboard</v>
      </c>
      <c r="F75" s="139"/>
      <c r="G75" s="2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25" cm="1">
        <f t="array" ref="H75">Common_InputFunctions.Utility_LookupValueInTableNumber(E75,Table_SourceData_WasteSolid_VolumeToMassConversion[Waste type w],Table_SourceData_WasteSolid_VolumeToMassConversion[VTMw])</f>
        <v>0.09</v>
      </c>
      <c r="I75" s="25" cm="1">
        <f t="array" ref="I75">WasteSolid_Equations.VEERG_10_1_1_1__2_MassOfWasteFromVolume(G75,H75)</f>
        <v>0</v>
      </c>
    </row>
    <row r="76" spans="4:9" ht="20.100000000000001" customHeight="1" x14ac:dyDescent="0.25">
      <c r="D76" s="154" t="str">
        <v>Incineration</v>
      </c>
      <c r="E76" s="162" t="str">
        <v>Textiles</v>
      </c>
      <c r="F76" s="139"/>
      <c r="G76" s="2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25" cm="1">
        <f t="array" ref="H76">Common_InputFunctions.Utility_LookupValueInTableNumber(E76,Table_SourceData_WasteSolid_VolumeToMassConversion[Waste type w],Table_SourceData_WasteSolid_VolumeToMassConversion[VTMw])</f>
        <v>0.14000000000000001</v>
      </c>
      <c r="I76" s="25" cm="1">
        <f t="array" ref="I76">WasteSolid_Equations.VEERG_10_1_1_1__2_MassOfWasteFromVolume(G76,H76)</f>
        <v>0</v>
      </c>
    </row>
    <row r="77" spans="4:9" ht="20.100000000000001" customHeight="1" x14ac:dyDescent="0.25">
      <c r="D77" s="154" t="str">
        <v>Incineration</v>
      </c>
      <c r="E77" s="162" t="str">
        <v>Rubber and leather</v>
      </c>
      <c r="F77" s="139"/>
      <c r="G77" s="2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25" cm="1">
        <f t="array" ref="H77">Common_InputFunctions.Utility_LookupValueInTableNumber(E77,Table_SourceData_WasteSolid_VolumeToMassConversion[Waste type w],Table_SourceData_WasteSolid_VolumeToMassConversion[VTMw])</f>
        <v>0.14000000000000001</v>
      </c>
      <c r="I77" s="25" cm="1">
        <f t="array" ref="I77">WasteSolid_Equations.VEERG_10_1_1_1__2_MassOfWasteFromVolume(G77,H77)</f>
        <v>0</v>
      </c>
    </row>
    <row r="78" spans="4:9" ht="20.100000000000001" customHeight="1" x14ac:dyDescent="0.25">
      <c r="D78" s="154" t="str">
        <v>Incineration</v>
      </c>
      <c r="E78" s="162" t="str">
        <v>Inert waste (including concrete, metal, plastic or glass)</v>
      </c>
      <c r="F78" s="139"/>
      <c r="G78" s="2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25" cm="1">
        <f t="array" ref="H78">Common_InputFunctions.Utility_LookupValueInTableNumber(E78,Table_SourceData_WasteSolid_VolumeToMassConversion[Waste type w],Table_SourceData_WasteSolid_VolumeToMassConversion[VTMw])</f>
        <v>0.42</v>
      </c>
      <c r="I78" s="25" cm="1">
        <f t="array" ref="I78">WasteSolid_Equations.VEERG_10_1_1_1__2_MassOfWasteFromVolume(G78,H78)</f>
        <v>0</v>
      </c>
    </row>
    <row r="79" spans="4:9" ht="20.100000000000001" customHeight="1" x14ac:dyDescent="0.25">
      <c r="D79" s="154" t="str">
        <v>Incineration</v>
      </c>
      <c r="E79" s="162" t="str">
        <v>Municipal solid waste</v>
      </c>
      <c r="F79" s="164"/>
      <c r="G79" s="2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25" cm="1">
        <f t="array" ref="H79">Common_InputFunctions.Utility_LookupValueInTableNumber(E79,Table_SourceData_WasteSolid_VolumeToMassConversion[Waste type w],Table_SourceData_WasteSolid_VolumeToMassConversion[VTMw])</f>
        <v>0.36</v>
      </c>
      <c r="I79" s="25" cm="1">
        <f t="array" ref="I79">WasteSolid_Equations.VEERG_10_1_1_1__2_MassOfWasteFromVolume(G79,H79)</f>
        <v>0</v>
      </c>
    </row>
    <row r="80" spans="4:9" ht="20.100000000000001" customHeight="1" x14ac:dyDescent="0.25">
      <c r="D80" s="154" t="str">
        <v>Incineration</v>
      </c>
      <c r="E80" s="162" t="str">
        <v>Commercial and industrial waste</v>
      </c>
      <c r="F80" s="164"/>
      <c r="G80" s="2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25" cm="1">
        <f t="array" ref="H80">Common_InputFunctions.Utility_LookupValueInTableNumber(E80,Table_SourceData_WasteSolid_VolumeToMassConversion[Waste type w],Table_SourceData_WasteSolid_VolumeToMassConversion[VTMw])</f>
        <v>0.33</v>
      </c>
      <c r="I80" s="25" cm="1">
        <f t="array" ref="I80">WasteSolid_Equations.VEERG_10_1_1_1__2_MassOfWasteFromVolume(G80,H80)</f>
        <v>0</v>
      </c>
    </row>
    <row r="81" spans="3:12" ht="20.100000000000001" customHeight="1" x14ac:dyDescent="0.25">
      <c r="D81" s="154" t="str">
        <v>Composting</v>
      </c>
      <c r="E81" s="162" t="str">
        <v>All organic waste</v>
      </c>
      <c r="F81" s="164"/>
      <c r="G81" s="25" t="s">
        <v>296</v>
      </c>
      <c r="H81" s="25" t="s">
        <v>296</v>
      </c>
      <c r="I81" s="25" t="s">
        <v>296</v>
      </c>
    </row>
    <row r="82" spans="3:12" ht="20.100000000000001" customHeight="1" x14ac:dyDescent="0.25">
      <c r="D82" s="154" t="str">
        <v>Composting</v>
      </c>
      <c r="E82" s="162" t="str">
        <v>Food waste (including animal carcasses, spoiled animal feed or crop)</v>
      </c>
      <c r="F82" s="164"/>
      <c r="G82" s="2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25" cm="1">
        <f t="array" ref="H82">Common_InputFunctions.Utility_LookupValueInTableNumber(E82,Table_SourceData_WasteSolid_VolumeToMassConversion[Waste type w],Table_SourceData_WasteSolid_VolumeToMassConversion[VTMw])</f>
        <v>0.5</v>
      </c>
      <c r="I82" s="25" cm="1">
        <f t="array" ref="I82">WasteSolid_Equations.VEERG_10_1_1_1__2_MassOfWasteFromVolume(G82,H82)</f>
        <v>0</v>
      </c>
    </row>
    <row r="83" spans="3:12" ht="20.100000000000001" customHeight="1" x14ac:dyDescent="0.25">
      <c r="D83" s="154" t="str">
        <v>Composting</v>
      </c>
      <c r="E83" s="162" t="str">
        <v>Green waste (including crop residues or prunings)</v>
      </c>
      <c r="F83" s="164"/>
      <c r="G83" s="2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25" cm="1">
        <f t="array" ref="H83">Common_InputFunctions.Utility_LookupValueInTableNumber(E83,Table_SourceData_WasteSolid_VolumeToMassConversion[Waste type w],Table_SourceData_WasteSolid_VolumeToMassConversion[VTMw])</f>
        <v>0.24</v>
      </c>
      <c r="I83" s="25" cm="1">
        <f t="array" ref="I83">WasteSolid_Equations.VEERG_10_1_1_1__2_MassOfWasteFromVolume(G83,H83)</f>
        <v>0</v>
      </c>
    </row>
    <row r="84" spans="3:12" ht="20.100000000000001" customHeight="1" x14ac:dyDescent="0.25">
      <c r="D84" s="154" t="str">
        <v>Composting</v>
      </c>
      <c r="E84" s="162" t="str">
        <v>Wood</v>
      </c>
      <c r="F84" s="164"/>
      <c r="G84" s="2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25" cm="1">
        <f t="array" ref="H84">Common_InputFunctions.Utility_LookupValueInTableNumber(E84,Table_SourceData_WasteSolid_VolumeToMassConversion[Waste type w],Table_SourceData_WasteSolid_VolumeToMassConversion[VTMw])</f>
        <v>0.15</v>
      </c>
      <c r="I84" s="25" cm="1">
        <f t="array" ref="I84">WasteSolid_Equations.VEERG_10_1_1_1__2_MassOfWasteFromVolume(G84,H84)</f>
        <v>0</v>
      </c>
    </row>
    <row r="85" spans="3:12" ht="20.100000000000001" customHeight="1" x14ac:dyDescent="0.25">
      <c r="D85" s="154" t="str">
        <v>Composting</v>
      </c>
      <c r="E85" s="162" t="str">
        <v>Sludge</v>
      </c>
      <c r="F85" s="164"/>
      <c r="G85" s="2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25" cm="1">
        <f t="array" ref="H85">Common_InputFunctions.Utility_LookupValueInTableNumber(E85,Table_SourceData_WasteSolid_VolumeToMassConversion[Waste type w],Table_SourceData_WasteSolid_VolumeToMassConversion[VTMw])</f>
        <v>0.72</v>
      </c>
      <c r="I85" s="25" cm="1">
        <f t="array" ref="I85">WasteSolid_Equations.VEERG_10_1_1_1__2_MassOfWasteFromVolume(G85,H85)</f>
        <v>0</v>
      </c>
    </row>
    <row r="86" spans="3:12" ht="20.100000000000001" customHeight="1" x14ac:dyDescent="0.25">
      <c r="D86" s="154" t="str">
        <v>Composting</v>
      </c>
      <c r="E86" s="162" t="str">
        <v>Paper and cardboard</v>
      </c>
      <c r="F86" s="164"/>
      <c r="G86" s="2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25" cm="1">
        <f t="array" ref="H86">Common_InputFunctions.Utility_LookupValueInTableNumber(E86,Table_SourceData_WasteSolid_VolumeToMassConversion[Waste type w],Table_SourceData_WasteSolid_VolumeToMassConversion[VTMw])</f>
        <v>0.09</v>
      </c>
      <c r="I86" s="25" cm="1">
        <f t="array" ref="I86">WasteSolid_Equations.VEERG_10_1_1_1__2_MassOfWasteFromVolume(G86,H86)</f>
        <v>0</v>
      </c>
    </row>
    <row r="87" spans="3:12" ht="20.100000000000001" customHeight="1" x14ac:dyDescent="0.25">
      <c r="D87" s="154" t="str">
        <v>Anaerobic digestion</v>
      </c>
      <c r="E87" s="162" t="str">
        <v>All organic waste</v>
      </c>
      <c r="F87" s="164"/>
      <c r="G87" s="25" t="s">
        <v>296</v>
      </c>
      <c r="H87" s="25" t="s">
        <v>296</v>
      </c>
      <c r="I87" s="25" t="s">
        <v>296</v>
      </c>
    </row>
    <row r="88" spans="3:12" ht="20.100000000000001" customHeight="1" x14ac:dyDescent="0.25">
      <c r="D88" s="154" t="str">
        <v>Anaerobic digestion</v>
      </c>
      <c r="E88" s="162" t="str">
        <v>Food waste (including animal carcasses, spoiled animal feed or crop)</v>
      </c>
      <c r="F88" s="164"/>
      <c r="G88" s="2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25" cm="1">
        <f t="array" ref="H88">Common_InputFunctions.Utility_LookupValueInTableNumber(E88,Table_SourceData_WasteSolid_VolumeToMassConversion[Waste type w],Table_SourceData_WasteSolid_VolumeToMassConversion[VTMw])</f>
        <v>0.5</v>
      </c>
      <c r="I88" s="25" cm="1">
        <f t="array" ref="I88">WasteSolid_Equations.VEERG_10_1_1_1__2_MassOfWasteFromVolume(G88,H88)</f>
        <v>0</v>
      </c>
    </row>
    <row r="89" spans="3:12" ht="20.100000000000001" customHeight="1" x14ac:dyDescent="0.25">
      <c r="D89" s="154" t="str">
        <v>Anaerobic digestion</v>
      </c>
      <c r="E89" s="162" t="str">
        <v>Green waste (including crop residues or prunings)</v>
      </c>
      <c r="F89" s="164"/>
      <c r="G89" s="2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25" cm="1">
        <f t="array" ref="H89">Common_InputFunctions.Utility_LookupValueInTableNumber(E89,Table_SourceData_WasteSolid_VolumeToMassConversion[Waste type w],Table_SourceData_WasteSolid_VolumeToMassConversion[VTMw])</f>
        <v>0.24</v>
      </c>
      <c r="I89" s="25" cm="1">
        <f t="array" ref="I89">WasteSolid_Equations.VEERG_10_1_1_1__2_MassOfWasteFromVolume(G89,H89)</f>
        <v>0</v>
      </c>
    </row>
    <row r="90" spans="3:12" ht="20.100000000000001" customHeight="1" x14ac:dyDescent="0.25">
      <c r="D90" s="154" t="str">
        <v>Anaerobic digestion</v>
      </c>
      <c r="E90" s="162" t="str">
        <v>Wood</v>
      </c>
      <c r="F90" s="164"/>
      <c r="G90" s="2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25" cm="1">
        <f t="array" ref="H90">Common_InputFunctions.Utility_LookupValueInTableNumber(E90,Table_SourceData_WasteSolid_VolumeToMassConversion[Waste type w],Table_SourceData_WasteSolid_VolumeToMassConversion[VTMw])</f>
        <v>0.15</v>
      </c>
      <c r="I90" s="25" cm="1">
        <f t="array" ref="I90">WasteSolid_Equations.VEERG_10_1_1_1__2_MassOfWasteFromVolume(G90,H90)</f>
        <v>0</v>
      </c>
    </row>
    <row r="91" spans="3:12" ht="20.100000000000001" customHeight="1" x14ac:dyDescent="0.25">
      <c r="D91" s="154" t="str">
        <v>Anaerobic digestion</v>
      </c>
      <c r="E91" s="162" t="str">
        <v>Sludge</v>
      </c>
      <c r="F91" s="164"/>
      <c r="G91" s="2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25" cm="1">
        <f t="array" ref="H91">Common_InputFunctions.Utility_LookupValueInTableNumber(E91,Table_SourceData_WasteSolid_VolumeToMassConversion[Waste type w],Table_SourceData_WasteSolid_VolumeToMassConversion[VTMw])</f>
        <v>0.72</v>
      </c>
      <c r="I91" s="25" cm="1">
        <f t="array" ref="I91">WasteSolid_Equations.VEERG_10_1_1_1__2_MassOfWasteFromVolume(G91,H91)</f>
        <v>0</v>
      </c>
    </row>
    <row r="92" spans="3:12" ht="20.100000000000001" customHeight="1" x14ac:dyDescent="0.25">
      <c r="D92" s="154" t="str">
        <v>Anaerobic digestion</v>
      </c>
      <c r="E92" s="162" t="str">
        <v>Paper and cardboard</v>
      </c>
      <c r="F92" s="164"/>
      <c r="G92" s="2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25" cm="1">
        <f t="array" ref="H92">Common_InputFunctions.Utility_LookupValueInTableNumber(E92,Table_SourceData_WasteSolid_VolumeToMassConversion[Waste type w],Table_SourceData_WasteSolid_VolumeToMassConversion[VTMw])</f>
        <v>0.09</v>
      </c>
      <c r="I92" s="25" cm="1">
        <f t="array" ref="I92">WasteSolid_Equations.VEERG_10_1_1_1__2_MassOfWasteFromVolume(G92,H92)</f>
        <v>0</v>
      </c>
    </row>
    <row r="93" spans="3:12" ht="20.100000000000001" customHeight="1" x14ac:dyDescent="0.25"/>
    <row r="94" spans="3:12" ht="20.100000000000001" customHeight="1" x14ac:dyDescent="0.25"/>
    <row r="95" spans="3:12" ht="20.100000000000001" customHeight="1" x14ac:dyDescent="0.25">
      <c r="C95" s="146"/>
      <c r="D95" s="146"/>
      <c r="E95" s="146"/>
      <c r="F95" s="146"/>
      <c r="G95" s="146"/>
      <c r="H95" s="146"/>
      <c r="I95" s="146"/>
      <c r="J95" s="146"/>
      <c r="K95" s="146"/>
      <c r="L95" s="146"/>
    </row>
    <row r="96" spans="3:12" ht="20.100000000000001" customHeight="1" x14ac:dyDescent="0.25">
      <c r="D96" s="2" t="str" cm="1">
        <f t="array" ref="D96">WasteSolid_Equations.VEERG_10_1_1_1__1_EmissionsFromWasteManagement_Title()</f>
        <v>Emissions from waste management by greenhouse gas</v>
      </c>
    </row>
    <row r="97" spans="4:9" ht="20.100000000000001" customHeight="1" x14ac:dyDescent="0.25">
      <c r="D97" s="27" t="str" cm="1">
        <f t="array" ref="D97">WasteSolid_Equations.VEERG_10_1_1_1__1_EmissionsFromWasteManagement_Source()</f>
        <v>VEERG 2026: 10.1.1.1, Equation (1)</v>
      </c>
    </row>
    <row r="98" spans="4:9" ht="20.100000000000001" customHeight="1" x14ac:dyDescent="0.25">
      <c r="D98" s="36" t="str" cm="1">
        <f t="array" ref="D98">WasteSolid_Equations.VEERG_10_1_1_1__1_EmissionsFromWasteManagement_Variation()</f>
        <v>VARIATION ON SOURCE: Added Q_volwt and Q_masswt variables to clearly track input or calculated Q values</v>
      </c>
    </row>
    <row r="99" spans="4:9" ht="20.100000000000001" customHeight="1" x14ac:dyDescent="0.25">
      <c r="D99" s="132" t="s">
        <v>267</v>
      </c>
      <c r="E99" s="132" t="str" cm="1">
        <f t="array" aca="1" ref="E99" ca="1">Common_InputFunctions.Utility_DisplayFunctionName(K116)</f>
        <v>=WasteSolid_Equations.VEERG_10_1_1_1__1_EmissionsFromWasteManagement</v>
      </c>
    </row>
    <row r="100" spans="4:9" ht="20.100000000000001" customHeight="1" x14ac:dyDescent="0.25"/>
    <row r="101" spans="4:9" ht="20.100000000000001" customHeight="1" x14ac:dyDescent="0.25"/>
    <row r="102" spans="4:9" ht="20.100000000000001" customHeight="1" x14ac:dyDescent="0.25">
      <c r="D102" s="88" t="s">
        <v>268</v>
      </c>
      <c r="E102" s="1" t="str" cm="1">
        <f t="array" ref="E102">WasteSolid_Equations.VEERG_10_1_1_1__1_EmissionsFromWasteManagement_Variable()</f>
        <v>E_g</v>
      </c>
    </row>
    <row r="103" spans="4:9" ht="20.100000000000001" customHeight="1" x14ac:dyDescent="0.25">
      <c r="D103" s="88" t="s">
        <v>121</v>
      </c>
      <c r="E103" s="15" t="str" cm="1">
        <f t="array" ref="E103">WasteSolid_Equations.VEERG_10_1_1_1__1_EmissionsFromWasteManagement_Unit()</f>
        <v>t CO2e</v>
      </c>
    </row>
    <row r="104" spans="4:9" ht="20.100000000000001" customHeight="1" x14ac:dyDescent="0.25"/>
    <row r="105" spans="4:9" ht="20.100000000000001" customHeight="1" x14ac:dyDescent="0.25">
      <c r="D105" s="154" t="str" cm="1">
        <f t="array" ref="D105:E111">_xlfn.CHOOSECOLS(WasteSolid_Equations.VEERG_10_1_1_1__1_EmissionsFromWasteManagement_Arguments(),1,2)</f>
        <v>Q_wt</v>
      </c>
      <c r="E105" s="162" t="str">
        <v>quantity of solid waste of type w being sent to treatment facility t, on a wet weight basis</v>
      </c>
      <c r="F105" s="163"/>
      <c r="G105" s="164"/>
      <c r="H105" s="154" t="str" cm="1">
        <f t="array" ref="H105:I111">_xlfn.CHOOSECOLS(WasteSolid_Equations.VEERG_10_1_1_1__1_EmissionsFromWasteManagement_Arguments(),3,4)</f>
        <v>t</v>
      </c>
      <c r="I105" s="137" t="str">
        <v>Sum of Q_volwt and Q_masswt</v>
      </c>
    </row>
    <row r="106" spans="4:9" ht="20.100000000000001" customHeight="1" x14ac:dyDescent="0.25">
      <c r="D106" s="154" t="str">
        <v>EF_wtg</v>
      </c>
      <c r="E106" s="162" t="str">
        <v>emission factor for greenhouse gas g for the management of waste at treatment facility t</v>
      </c>
      <c r="F106" s="163"/>
      <c r="G106" s="164"/>
      <c r="H106" s="154" t="str">
        <v>t CO2e/t</v>
      </c>
      <c r="I106" s="137" t="str">
        <v>Constant</v>
      </c>
    </row>
    <row r="107" spans="4:9" ht="20.100000000000001" customHeight="1" x14ac:dyDescent="0.25">
      <c r="D107" s="154" t="str">
        <v>w</v>
      </c>
      <c r="E107" s="162" t="str">
        <v>waste type</v>
      </c>
      <c r="F107" s="163"/>
      <c r="G107" s="164"/>
      <c r="H107" s="154" t="str">
        <v/>
      </c>
      <c r="I107" s="136" t="str">
        <v>Input</v>
      </c>
    </row>
    <row r="108" spans="4:9" ht="20.100000000000001" customHeight="1" x14ac:dyDescent="0.25">
      <c r="D108" s="154" t="str">
        <v>t</v>
      </c>
      <c r="E108" s="162" t="str">
        <v>treatment facility</v>
      </c>
      <c r="F108" s="163"/>
      <c r="G108" s="164"/>
      <c r="H108" s="154" t="str">
        <v/>
      </c>
      <c r="I108" s="136" t="str">
        <v>Input</v>
      </c>
    </row>
    <row r="109" spans="4:9" ht="20.100000000000001" customHeight="1" x14ac:dyDescent="0.25">
      <c r="D109" s="154" t="str">
        <v>g</v>
      </c>
      <c r="E109" s="162" t="str">
        <v>greenhouse gas</v>
      </c>
      <c r="F109" s="163"/>
      <c r="G109" s="164"/>
      <c r="H109" s="154" t="str">
        <v/>
      </c>
      <c r="I109" s="136" t="str">
        <v>Input</v>
      </c>
    </row>
    <row r="110" spans="4:9" ht="20.100000000000001" customHeight="1" x14ac:dyDescent="0.25">
      <c r="D110" s="154" t="str">
        <v>Q_volwt</v>
      </c>
      <c r="E110" s="162" t="str">
        <v>quantity of sold waste input as volume and converted to tonnes</v>
      </c>
      <c r="F110" s="163"/>
      <c r="G110" s="164"/>
      <c r="H110" s="154" t="str">
        <v>tonnes</v>
      </c>
      <c r="I110" s="137" t="str">
        <v>Calculated from 10.1.1.1 (2)</v>
      </c>
    </row>
    <row r="111" spans="4:9" ht="20.100000000000001" customHeight="1" x14ac:dyDescent="0.25">
      <c r="D111" s="154" t="str">
        <v>Q_masswt</v>
      </c>
      <c r="E111" s="162" t="str">
        <v>quantity of solid waste input as mass</v>
      </c>
      <c r="F111" s="163"/>
      <c r="G111" s="164"/>
      <c r="H111" s="154" t="str">
        <v>tonnes</v>
      </c>
      <c r="I111" s="136" t="str">
        <v>Input</v>
      </c>
    </row>
    <row r="112" spans="4:9" ht="20.100000000000001" customHeight="1" x14ac:dyDescent="0.25"/>
    <row r="113" spans="4:11" ht="20.100000000000001" customHeight="1" x14ac:dyDescent="0.25">
      <c r="D113" s="143" t="s">
        <v>586</v>
      </c>
    </row>
    <row r="114" spans="4:11" ht="20.100000000000001" customHeight="1" x14ac:dyDescent="0.25">
      <c r="D114" s="144" t="s">
        <v>587</v>
      </c>
    </row>
    <row r="115" spans="4:11" ht="20.100000000000001" customHeight="1" x14ac:dyDescent="0.25">
      <c r="D115" s="92" t="s">
        <v>579</v>
      </c>
      <c r="E115" s="92" t="s">
        <v>580</v>
      </c>
      <c r="F115" s="92"/>
      <c r="G115" s="92" t="s">
        <v>588</v>
      </c>
      <c r="H115" s="145" t="s">
        <v>589</v>
      </c>
      <c r="I115" s="145" t="s">
        <v>583</v>
      </c>
      <c r="J115" s="145" t="s">
        <v>590</v>
      </c>
      <c r="K115" s="145" t="s">
        <v>591</v>
      </c>
    </row>
    <row r="116" spans="4:11" ht="20.100000000000001" customHeight="1" x14ac:dyDescent="0.25">
      <c r="D116" s="154" t="str" cm="1">
        <f t="array" ref="D116:D149">Table_SourceData_WasteSolid_WasteTreatmentEFs[Treatment type t]</f>
        <v>Landfill</v>
      </c>
      <c r="E116" s="162" t="str" cm="1">
        <f t="array" ref="E116:E149">Table_SourceData_WasteSolid_WasteTreatmentEFs[Waste type w]</f>
        <v>Food waste (including animal carcasses, spoiled animal feed or crop)</v>
      </c>
      <c r="F116" s="139"/>
      <c r="G116" s="2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25">
        <f t="shared" ref="H116:H149" si="0">I21</f>
        <v>25</v>
      </c>
      <c r="I116" s="25">
        <f>G116+H116</f>
        <v>75</v>
      </c>
      <c r="J116" s="25" cm="1">
        <f t="array" ref="J116">Common_InputFunctions.Utility_LookupValueInTableTwoColumns(D116,E116,Table_SourceData_WasteSolid_WasteTreatmentEFs[Treatment type t],Table_SourceData_WasteSolid_WasteTreatmentEFs[Waste type w],Table_SourceData_WasteSolid_WasteTreatmentEFs[EFwt])</f>
        <v>2.1</v>
      </c>
      <c r="K116" s="25" cm="1">
        <f t="array" ref="K116">WasteSolid_Equations.VEERG_10_1_1_1__1_EmissionsFromWasteManagement(I116, J116)</f>
        <v>157.5</v>
      </c>
    </row>
    <row r="117" spans="4:11" ht="20.100000000000001" customHeight="1" x14ac:dyDescent="0.25">
      <c r="D117" s="154" t="str">
        <v>Landfill</v>
      </c>
      <c r="E117" s="162" t="str">
        <v>Paper and cardboard</v>
      </c>
      <c r="F117" s="139"/>
      <c r="G117" s="2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25">
        <f t="shared" si="0"/>
        <v>4.5</v>
      </c>
      <c r="I117" s="25">
        <f t="shared" ref="I117:I126" si="1">G117+H117</f>
        <v>54.5</v>
      </c>
      <c r="J117" s="25" cm="1">
        <f t="array" ref="J117">Common_InputFunctions.Utility_LookupValueInTableTwoColumns(D117,E117,Table_SourceData_WasteSolid_WasteTreatmentEFs[Treatment type t],Table_SourceData_WasteSolid_WasteTreatmentEFs[Waste type w],Table_SourceData_WasteSolid_WasteTreatmentEFs[EFwt])</f>
        <v>3.3</v>
      </c>
      <c r="K117" s="25" cm="1">
        <f t="array" ref="K117">WasteSolid_Equations.VEERG_10_1_1_1__1_EmissionsFromWasteManagement(I117, J117)</f>
        <v>179.85</v>
      </c>
    </row>
    <row r="118" spans="4:11" ht="20.100000000000001" customHeight="1" x14ac:dyDescent="0.25">
      <c r="D118" s="154" t="str">
        <v>Landfill</v>
      </c>
      <c r="E118" s="162" t="str">
        <v>Green waste (including crop residues or prunings)</v>
      </c>
      <c r="F118" s="139"/>
      <c r="G118" s="2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25">
        <f t="shared" si="0"/>
        <v>12</v>
      </c>
      <c r="I118" s="25">
        <f t="shared" si="1"/>
        <v>62</v>
      </c>
      <c r="J118" s="25" cm="1">
        <f t="array" ref="J118">Common_InputFunctions.Utility_LookupValueInTableTwoColumns(D118,E118,Table_SourceData_WasteSolid_WasteTreatmentEFs[Treatment type t],Table_SourceData_WasteSolid_WasteTreatmentEFs[Waste type w],Table_SourceData_WasteSolid_WasteTreatmentEFs[EFwt])</f>
        <v>1.6</v>
      </c>
      <c r="K118" s="25" cm="1">
        <f t="array" ref="K118">WasteSolid_Equations.VEERG_10_1_1_1__1_EmissionsFromWasteManagement(I118, J118)</f>
        <v>99.2</v>
      </c>
    </row>
    <row r="119" spans="4:11" ht="20.100000000000001" customHeight="1" x14ac:dyDescent="0.25">
      <c r="D119" s="154" t="str">
        <v>Landfill</v>
      </c>
      <c r="E119" s="162" t="str">
        <v>Wood</v>
      </c>
      <c r="F119" s="139"/>
      <c r="G119" s="2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25">
        <f t="shared" si="0"/>
        <v>0</v>
      </c>
      <c r="I119" s="25">
        <f t="shared" si="1"/>
        <v>0</v>
      </c>
      <c r="J119" s="25" cm="1">
        <f t="array" ref="J119">Common_InputFunctions.Utility_LookupValueInTableTwoColumns(D119,E119,Table_SourceData_WasteSolid_WasteTreatmentEFs[Treatment type t],Table_SourceData_WasteSolid_WasteTreatmentEFs[Waste type w],Table_SourceData_WasteSolid_WasteTreatmentEFs[EFwt])</f>
        <v>0.7</v>
      </c>
      <c r="K119" s="25" cm="1">
        <f t="array" ref="K119">WasteSolid_Equations.VEERG_10_1_1_1__1_EmissionsFromWasteManagement(I119, J119)</f>
        <v>0</v>
      </c>
    </row>
    <row r="120" spans="4:11" ht="20.100000000000001" customHeight="1" x14ac:dyDescent="0.25">
      <c r="D120" s="154" t="str">
        <v>Landfill</v>
      </c>
      <c r="E120" s="162" t="str">
        <v>Textiles</v>
      </c>
      <c r="F120" s="139"/>
      <c r="G120" s="2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25">
        <f t="shared" si="0"/>
        <v>0</v>
      </c>
      <c r="I120" s="25">
        <f t="shared" si="1"/>
        <v>0</v>
      </c>
      <c r="J120" s="25" cm="1">
        <f t="array" ref="J120">Common_InputFunctions.Utility_LookupValueInTableTwoColumns(D120,E120,Table_SourceData_WasteSolid_WasteTreatmentEFs[Treatment type t],Table_SourceData_WasteSolid_WasteTreatmentEFs[Waste type w],Table_SourceData_WasteSolid_WasteTreatmentEFs[EFwt])</f>
        <v>2</v>
      </c>
      <c r="K120" s="25" cm="1">
        <f t="array" ref="K120">WasteSolid_Equations.VEERG_10_1_1_1__1_EmissionsFromWasteManagement(I120, J120)</f>
        <v>0</v>
      </c>
    </row>
    <row r="121" spans="4:11" ht="20.100000000000001" customHeight="1" x14ac:dyDescent="0.25">
      <c r="D121" s="154" t="str">
        <v>Landfill</v>
      </c>
      <c r="E121" s="162" t="str">
        <v>Sludge</v>
      </c>
      <c r="F121" s="139"/>
      <c r="G121" s="2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25">
        <f t="shared" si="0"/>
        <v>0</v>
      </c>
      <c r="I121" s="25">
        <f t="shared" si="1"/>
        <v>0</v>
      </c>
      <c r="J121" s="25" cm="1">
        <f t="array" ref="J121">Common_InputFunctions.Utility_LookupValueInTableTwoColumns(D121,E121,Table_SourceData_WasteSolid_WasteTreatmentEFs[Treatment type t],Table_SourceData_WasteSolid_WasteTreatmentEFs[Waste type w],Table_SourceData_WasteSolid_WasteTreatmentEFs[EFwt])</f>
        <v>0.4</v>
      </c>
      <c r="K121" s="25" cm="1">
        <f t="array" ref="K121">WasteSolid_Equations.VEERG_10_1_1_1__1_EmissionsFromWasteManagement(I121, J121)</f>
        <v>0</v>
      </c>
    </row>
    <row r="122" spans="4:11" ht="20.100000000000001" customHeight="1" x14ac:dyDescent="0.25">
      <c r="D122" s="154" t="str">
        <v>Landfill</v>
      </c>
      <c r="E122" s="162" t="str">
        <v>Rubber and leather</v>
      </c>
      <c r="F122" s="139"/>
      <c r="G122" s="2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25">
        <f t="shared" si="0"/>
        <v>0</v>
      </c>
      <c r="I122" s="25">
        <f t="shared" si="1"/>
        <v>0</v>
      </c>
      <c r="J122" s="25" cm="1">
        <f t="array" ref="J122">Common_InputFunctions.Utility_LookupValueInTableTwoColumns(D122,E122,Table_SourceData_WasteSolid_WasteTreatmentEFs[Treatment type t],Table_SourceData_WasteSolid_WasteTreatmentEFs[Waste type w],Table_SourceData_WasteSolid_WasteTreatmentEFs[EFwt])</f>
        <v>3.3</v>
      </c>
      <c r="K122" s="25" cm="1">
        <f t="array" ref="K122">WasteSolid_Equations.VEERG_10_1_1_1__1_EmissionsFromWasteManagement(I122, J122)</f>
        <v>0</v>
      </c>
    </row>
    <row r="123" spans="4:11" ht="20.100000000000001" customHeight="1" x14ac:dyDescent="0.25">
      <c r="D123" s="154" t="str">
        <v>Landfill</v>
      </c>
      <c r="E123" s="162" t="str">
        <v>Inert waste (including concrete, metal, plastic or glass)</v>
      </c>
      <c r="F123" s="139"/>
      <c r="G123" s="2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25">
        <f t="shared" si="0"/>
        <v>0</v>
      </c>
      <c r="I123" s="25">
        <f t="shared" si="1"/>
        <v>0</v>
      </c>
      <c r="J123" s="25" cm="1">
        <f t="array" ref="J123">Common_InputFunctions.Utility_LookupValueInTableTwoColumns(D123,E123,Table_SourceData_WasteSolid_WasteTreatmentEFs[Treatment type t],Table_SourceData_WasteSolid_WasteTreatmentEFs[Waste type w],Table_SourceData_WasteSolid_WasteTreatmentEFs[EFwt])</f>
        <v>0</v>
      </c>
      <c r="K123" s="25" cm="1">
        <f t="array" ref="K123">WasteSolid_Equations.VEERG_10_1_1_1__1_EmissionsFromWasteManagement(I123, J123)</f>
        <v>0</v>
      </c>
    </row>
    <row r="124" spans="4:11" ht="20.100000000000001" customHeight="1" x14ac:dyDescent="0.25">
      <c r="D124" s="154" t="str">
        <v>Landfill</v>
      </c>
      <c r="E124" s="162" t="str">
        <v>Municipal solid waste</v>
      </c>
      <c r="F124" s="139"/>
      <c r="G124" s="2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25">
        <f t="shared" si="0"/>
        <v>0</v>
      </c>
      <c r="I124" s="25">
        <f t="shared" si="1"/>
        <v>0</v>
      </c>
      <c r="J124" s="25" cm="1">
        <f t="array" ref="J124">Common_InputFunctions.Utility_LookupValueInTableTwoColumns(D124,E124,Table_SourceData_WasteSolid_WasteTreatmentEFs[Treatment type t],Table_SourceData_WasteSolid_WasteTreatmentEFs[Waste type w],Table_SourceData_WasteSolid_WasteTreatmentEFs[EFwt])</f>
        <v>1.6</v>
      </c>
      <c r="K124" s="25" cm="1">
        <f t="array" ref="K124">WasteSolid_Equations.VEERG_10_1_1_1__1_EmissionsFromWasteManagement(I124, J124)</f>
        <v>0</v>
      </c>
    </row>
    <row r="125" spans="4:11" ht="20.100000000000001" customHeight="1" x14ac:dyDescent="0.25">
      <c r="D125" s="154" t="str">
        <v>Landfill</v>
      </c>
      <c r="E125" s="162" t="str">
        <v>Commercial and industrial waste</v>
      </c>
      <c r="F125" s="139"/>
      <c r="G125" s="2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25">
        <f t="shared" si="0"/>
        <v>0</v>
      </c>
      <c r="I125" s="25">
        <f t="shared" si="1"/>
        <v>0</v>
      </c>
      <c r="J125" s="25" cm="1">
        <f t="array" ref="J125">Common_InputFunctions.Utility_LookupValueInTableTwoColumns(D125,E125,Table_SourceData_WasteSolid_WasteTreatmentEFs[Treatment type t],Table_SourceData_WasteSolid_WasteTreatmentEFs[Waste type w],Table_SourceData_WasteSolid_WasteTreatmentEFs[EFwt])</f>
        <v>1.3</v>
      </c>
      <c r="K125" s="25" cm="1">
        <f t="array" ref="K125">WasteSolid_Equations.VEERG_10_1_1_1__1_EmissionsFromWasteManagement(I125, J125)</f>
        <v>0</v>
      </c>
    </row>
    <row r="126" spans="4:11" ht="20.100000000000001" customHeight="1" x14ac:dyDescent="0.25">
      <c r="D126" s="154" t="str">
        <v>Landfill</v>
      </c>
      <c r="E126" s="162" t="str">
        <v>Construction and demolition waste</v>
      </c>
      <c r="F126" s="139"/>
      <c r="G126" s="2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25">
        <f t="shared" si="0"/>
        <v>0</v>
      </c>
      <c r="I126" s="25">
        <f t="shared" si="1"/>
        <v>0</v>
      </c>
      <c r="J126" s="25" cm="1">
        <f t="array" ref="J126">Common_InputFunctions.Utility_LookupValueInTableTwoColumns(D126,E126,Table_SourceData_WasteSolid_WasteTreatmentEFs[Treatment type t],Table_SourceData_WasteSolid_WasteTreatmentEFs[Waste type w],Table_SourceData_WasteSolid_WasteTreatmentEFs[EFwt])</f>
        <v>0.2</v>
      </c>
      <c r="K126" s="25" cm="1">
        <f t="array" ref="K126">WasteSolid_Equations.VEERG_10_1_1_1__1_EmissionsFromWasteManagement(I126, J126)</f>
        <v>0</v>
      </c>
    </row>
    <row r="127" spans="4:11" ht="20.100000000000001" customHeight="1" x14ac:dyDescent="0.25">
      <c r="D127" s="154" t="str">
        <v>Incineration</v>
      </c>
      <c r="E127" s="162" t="str">
        <v>Food waste, green waste, wood, sludge</v>
      </c>
      <c r="F127" s="139"/>
      <c r="G127" s="25" t="s">
        <v>296</v>
      </c>
      <c r="H127" s="25" t="str">
        <f t="shared" si="0"/>
        <v>Not used</v>
      </c>
      <c r="I127" s="25">
        <f>SUM(G128:G131)+SUM(H128:H131)</f>
        <v>74</v>
      </c>
      <c r="J127" s="25" cm="1">
        <f t="array" ref="J127">Common_InputFunctions.Utility_LookupValueInTableTwoColumns(D127,E127,Table_SourceData_WasteSolid_WasteTreatmentEFs[Treatment type t],Table_SourceData_WasteSolid_WasteTreatmentEFs[Waste type w],Table_SourceData_WasteSolid_WasteTreatmentEFs[EFwt])</f>
        <v>0</v>
      </c>
      <c r="K127" s="25" cm="1">
        <f t="array" ref="K127">WasteSolid_Equations.VEERG_10_1_1_1__1_EmissionsFromWasteManagement(I127, J127)</f>
        <v>0</v>
      </c>
    </row>
    <row r="128" spans="4:11" ht="20.100000000000001" customHeight="1" x14ac:dyDescent="0.25">
      <c r="D128" s="154" t="str">
        <v>Incineration</v>
      </c>
      <c r="E128" s="162" t="str">
        <v>Food waste (including animal carcasses, spoiled animal feed or crop)</v>
      </c>
      <c r="F128" s="139"/>
      <c r="G128" s="2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25">
        <f t="shared" si="0"/>
        <v>0</v>
      </c>
      <c r="I128" s="25" t="s">
        <v>592</v>
      </c>
      <c r="J128" s="25" t="s">
        <v>296</v>
      </c>
      <c r="K128" s="25" t="s">
        <v>296</v>
      </c>
    </row>
    <row r="129" spans="4:11" ht="20.100000000000001" customHeight="1" x14ac:dyDescent="0.25">
      <c r="D129" s="154" t="str">
        <v>Incineration</v>
      </c>
      <c r="E129" s="162" t="str">
        <v>Green waste (including crop residues or prunings)</v>
      </c>
      <c r="F129" s="139"/>
      <c r="G129" s="2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25">
        <f t="shared" si="0"/>
        <v>24</v>
      </c>
      <c r="I129" s="25" t="s">
        <v>592</v>
      </c>
      <c r="J129" s="25" t="s">
        <v>296</v>
      </c>
      <c r="K129" s="25" t="s">
        <v>296</v>
      </c>
    </row>
    <row r="130" spans="4:11" ht="20.100000000000001" customHeight="1" x14ac:dyDescent="0.25">
      <c r="D130" s="154" t="str">
        <v>Incineration</v>
      </c>
      <c r="E130" s="162" t="str">
        <v>Wood</v>
      </c>
      <c r="F130" s="139"/>
      <c r="G130" s="2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25">
        <f t="shared" si="0"/>
        <v>0</v>
      </c>
      <c r="I130" s="25" t="s">
        <v>592</v>
      </c>
      <c r="J130" s="25" t="s">
        <v>296</v>
      </c>
      <c r="K130" s="25" t="s">
        <v>296</v>
      </c>
    </row>
    <row r="131" spans="4:11" ht="20.100000000000001" customHeight="1" x14ac:dyDescent="0.25">
      <c r="D131" s="154" t="str">
        <v>Incineration</v>
      </c>
      <c r="E131" s="162" t="str">
        <v>Sludge</v>
      </c>
      <c r="F131" s="139"/>
      <c r="G131" s="2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25">
        <f t="shared" si="0"/>
        <v>0</v>
      </c>
      <c r="I131" s="25" t="s">
        <v>592</v>
      </c>
      <c r="J131" s="25" t="s">
        <v>296</v>
      </c>
      <c r="K131" s="25" t="s">
        <v>296</v>
      </c>
    </row>
    <row r="132" spans="4:11" ht="20.100000000000001" customHeight="1" x14ac:dyDescent="0.25">
      <c r="D132" s="154" t="str">
        <v>Incineration</v>
      </c>
      <c r="E132" s="162" t="str">
        <v>Paper and cardboard</v>
      </c>
      <c r="F132" s="139"/>
      <c r="G132" s="2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25">
        <f t="shared" si="0"/>
        <v>4.5</v>
      </c>
      <c r="I132" s="25">
        <f t="shared" ref="I132:I137" si="2">G132+H132</f>
        <v>54.5</v>
      </c>
      <c r="J132" s="2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25" cm="1">
        <f t="array" ref="K132">WasteSolid_Equations.VEERG_10_1_1_1__1_EmissionsFromWasteManagement(I132, J132)</f>
        <v>0.92104999999999992</v>
      </c>
    </row>
    <row r="133" spans="4:11" ht="20.100000000000001" customHeight="1" x14ac:dyDescent="0.25">
      <c r="D133" s="154" t="str">
        <v>Incineration</v>
      </c>
      <c r="E133" s="162" t="str">
        <v>Textiles</v>
      </c>
      <c r="F133" s="139"/>
      <c r="G133" s="2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25">
        <f t="shared" si="0"/>
        <v>0</v>
      </c>
      <c r="I133" s="25">
        <f t="shared" si="2"/>
        <v>0</v>
      </c>
      <c r="J133" s="2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25" cm="1">
        <f t="array" ref="K133">WasteSolid_Equations.VEERG_10_1_1_1__1_EmissionsFromWasteManagement(I133, J133)</f>
        <v>0</v>
      </c>
    </row>
    <row r="134" spans="4:11" ht="20.100000000000001" customHeight="1" x14ac:dyDescent="0.25">
      <c r="D134" s="154" t="str">
        <v>Incineration</v>
      </c>
      <c r="E134" s="162" t="str">
        <v>Rubber and leather</v>
      </c>
      <c r="F134" s="139"/>
      <c r="G134" s="2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25">
        <f t="shared" si="0"/>
        <v>0</v>
      </c>
      <c r="I134" s="25">
        <f t="shared" si="2"/>
        <v>0</v>
      </c>
      <c r="J134" s="25" cm="1">
        <f t="array" ref="J134">Common_InputFunctions.Utility_LookupValueInTableTwoColumns(D134,E134,Table_SourceData_WasteSolid_WasteTreatmentEFs[Treatment type t],Table_SourceData_WasteSolid_WasteTreatmentEFs[Waste type w],Table_SourceData_WasteSolid_WasteTreatmentEFs[EFwt])</f>
        <v>0.4919</v>
      </c>
      <c r="K134" s="25" cm="1">
        <f t="array" ref="K134">WasteSolid_Equations.VEERG_10_1_1_1__1_EmissionsFromWasteManagement(I134, J134)</f>
        <v>0</v>
      </c>
    </row>
    <row r="135" spans="4:11" ht="20.100000000000001" customHeight="1" x14ac:dyDescent="0.25">
      <c r="D135" s="154" t="str">
        <v>Incineration</v>
      </c>
      <c r="E135" s="162" t="str">
        <v>Inert waste (including concrete, metal, plastic or glass)</v>
      </c>
      <c r="F135" s="139"/>
      <c r="G135" s="2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25">
        <f t="shared" si="0"/>
        <v>0</v>
      </c>
      <c r="I135" s="25">
        <f t="shared" si="2"/>
        <v>0</v>
      </c>
      <c r="J135" s="25" cm="1">
        <f t="array" ref="J135">Common_InputFunctions.Utility_LookupValueInTableTwoColumns(D135,E135,Table_SourceData_WasteSolid_WasteTreatmentEFs[Treatment type t],Table_SourceData_WasteSolid_WasteTreatmentEFs[Waste type w],Table_SourceData_WasteSolid_WasteTreatmentEFs[EFwt])</f>
        <v>0.11</v>
      </c>
      <c r="K135" s="25" cm="1">
        <f t="array" ref="K135">WasteSolid_Equations.VEERG_10_1_1_1__1_EmissionsFromWasteManagement(I135, J135)</f>
        <v>0</v>
      </c>
    </row>
    <row r="136" spans="4:11" ht="20.100000000000001" customHeight="1" x14ac:dyDescent="0.25">
      <c r="D136" s="154" t="str">
        <v>Incineration</v>
      </c>
      <c r="E136" s="162" t="str">
        <v>Municipal solid waste</v>
      </c>
      <c r="F136" s="164"/>
      <c r="G136" s="2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25">
        <f t="shared" si="0"/>
        <v>0</v>
      </c>
      <c r="I136" s="25">
        <f t="shared" si="2"/>
        <v>0</v>
      </c>
      <c r="J136" s="2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25" cm="1">
        <f t="array" ref="K136">WasteSolid_Equations.VEERG_10_1_1_1__1_EmissionsFromWasteManagement(I136, J136)</f>
        <v>0</v>
      </c>
    </row>
    <row r="137" spans="4:11" ht="20.100000000000001" customHeight="1" x14ac:dyDescent="0.25">
      <c r="D137" s="154" t="str">
        <v>Incineration</v>
      </c>
      <c r="E137" s="162" t="str">
        <v>Commercial and industrial waste</v>
      </c>
      <c r="F137" s="164"/>
      <c r="G137" s="2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25">
        <f t="shared" si="0"/>
        <v>0</v>
      </c>
      <c r="I137" s="25">
        <f t="shared" si="2"/>
        <v>0</v>
      </c>
      <c r="J137" s="25" cm="1">
        <f t="array" ref="J137">Common_InputFunctions.Utility_LookupValueInTableTwoColumns(D137,E137,Table_SourceData_WasteSolid_WasteTreatmentEFs[Treatment type t],Table_SourceData_WasteSolid_WasteTreatmentEFs[Waste type w],Table_SourceData_WasteSolid_WasteTreatmentEFs[EFwt])</f>
        <v>1.649</v>
      </c>
      <c r="K137" s="25" cm="1">
        <f t="array" ref="K137">WasteSolid_Equations.VEERG_10_1_1_1__1_EmissionsFromWasteManagement(I137, J137)</f>
        <v>0</v>
      </c>
    </row>
    <row r="138" spans="4:11" ht="20.100000000000001" customHeight="1" x14ac:dyDescent="0.25">
      <c r="D138" s="154" t="str">
        <v>Composting</v>
      </c>
      <c r="E138" s="162" t="str">
        <v>All organic waste</v>
      </c>
      <c r="F138" s="164"/>
      <c r="G138" s="25" t="s">
        <v>296</v>
      </c>
      <c r="H138" s="25" t="str">
        <f t="shared" si="0"/>
        <v>Not used</v>
      </c>
      <c r="I138" s="25">
        <f>SUM(G139:G143)+SUM(H139:H143)</f>
        <v>29.5</v>
      </c>
      <c r="J138" s="2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25" cm="1">
        <f t="array" ref="K138">WasteSolid_Equations.VEERG_10_1_1_1__1_EmissionsFromWasteManagement(I138, J138)</f>
        <v>1.357</v>
      </c>
    </row>
    <row r="139" spans="4:11" ht="20.100000000000001" customHeight="1" x14ac:dyDescent="0.25">
      <c r="D139" s="154" t="str">
        <v>Composting</v>
      </c>
      <c r="E139" s="162" t="str">
        <v>Food waste (including animal carcasses, spoiled animal feed or crop)</v>
      </c>
      <c r="F139" s="164"/>
      <c r="G139" s="2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25">
        <f t="shared" si="0"/>
        <v>25</v>
      </c>
      <c r="I139" s="25" t="s">
        <v>592</v>
      </c>
      <c r="J139" s="25" t="s">
        <v>296</v>
      </c>
      <c r="K139" s="25" t="s">
        <v>296</v>
      </c>
    </row>
    <row r="140" spans="4:11" ht="20.100000000000001" customHeight="1" x14ac:dyDescent="0.25">
      <c r="D140" s="154" t="str">
        <v>Composting</v>
      </c>
      <c r="E140" s="162" t="str">
        <v>Green waste (including crop residues or prunings)</v>
      </c>
      <c r="F140" s="164"/>
      <c r="G140" s="2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25">
        <f t="shared" si="0"/>
        <v>0</v>
      </c>
      <c r="I140" s="25" t="s">
        <v>592</v>
      </c>
      <c r="J140" s="25" t="s">
        <v>296</v>
      </c>
      <c r="K140" s="25" t="s">
        <v>296</v>
      </c>
    </row>
    <row r="141" spans="4:11" ht="20.100000000000001" customHeight="1" x14ac:dyDescent="0.25">
      <c r="D141" s="154" t="str">
        <v>Composting</v>
      </c>
      <c r="E141" s="162" t="str">
        <v>Wood</v>
      </c>
      <c r="F141" s="164"/>
      <c r="G141" s="2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25">
        <f t="shared" si="0"/>
        <v>0</v>
      </c>
      <c r="I141" s="25" t="s">
        <v>592</v>
      </c>
      <c r="J141" s="25" t="s">
        <v>296</v>
      </c>
      <c r="K141" s="25" t="s">
        <v>296</v>
      </c>
    </row>
    <row r="142" spans="4:11" ht="20.100000000000001" customHeight="1" x14ac:dyDescent="0.25">
      <c r="D142" s="154" t="str">
        <v>Composting</v>
      </c>
      <c r="E142" s="162" t="str">
        <v>Sludge</v>
      </c>
      <c r="F142" s="164"/>
      <c r="G142" s="2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25">
        <f t="shared" si="0"/>
        <v>0</v>
      </c>
      <c r="I142" s="25" t="s">
        <v>592</v>
      </c>
      <c r="J142" s="25" t="s">
        <v>296</v>
      </c>
      <c r="K142" s="25" t="s">
        <v>296</v>
      </c>
    </row>
    <row r="143" spans="4:11" ht="20.100000000000001" customHeight="1" x14ac:dyDescent="0.25">
      <c r="D143" s="154" t="str">
        <v>Composting</v>
      </c>
      <c r="E143" s="162" t="str">
        <v>Paper and cardboard</v>
      </c>
      <c r="F143" s="164"/>
      <c r="G143" s="2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25">
        <f t="shared" si="0"/>
        <v>4.5</v>
      </c>
      <c r="I143" s="25" t="s">
        <v>592</v>
      </c>
      <c r="J143" s="25" t="s">
        <v>296</v>
      </c>
      <c r="K143" s="25" t="s">
        <v>296</v>
      </c>
    </row>
    <row r="144" spans="4:11" ht="20.100000000000001" customHeight="1" x14ac:dyDescent="0.25">
      <c r="D144" s="154" t="str">
        <v>Anaerobic digestion</v>
      </c>
      <c r="E144" s="162" t="str">
        <v>All organic waste</v>
      </c>
      <c r="F144" s="164"/>
      <c r="G144" s="25" t="s">
        <v>296</v>
      </c>
      <c r="H144" s="25" t="str">
        <f t="shared" si="0"/>
        <v>Not used</v>
      </c>
      <c r="I144" s="25">
        <f>SUM(G145:G149)+SUM(H145:H149)</f>
        <v>0</v>
      </c>
      <c r="J144" s="2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25" cm="1">
        <f t="array" ref="K144">WasteSolid_Equations.VEERG_10_1_1_1__1_EmissionsFromWasteManagement(I144, J144)</f>
        <v>0</v>
      </c>
    </row>
    <row r="145" spans="4:11" ht="20.100000000000001" customHeight="1" x14ac:dyDescent="0.25">
      <c r="D145" s="154" t="str">
        <v>Anaerobic digestion</v>
      </c>
      <c r="E145" s="162" t="str">
        <v>Food waste (including animal carcasses, spoiled animal feed or crop)</v>
      </c>
      <c r="F145" s="164"/>
      <c r="G145" s="2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25">
        <f t="shared" si="0"/>
        <v>0</v>
      </c>
      <c r="I145" s="25" t="s">
        <v>592</v>
      </c>
      <c r="J145" s="25" t="s">
        <v>296</v>
      </c>
      <c r="K145" s="25" t="s">
        <v>296</v>
      </c>
    </row>
    <row r="146" spans="4:11" ht="20.100000000000001" customHeight="1" x14ac:dyDescent="0.25">
      <c r="D146" s="154" t="str">
        <v>Anaerobic digestion</v>
      </c>
      <c r="E146" s="162" t="str">
        <v>Green waste (including crop residues or prunings)</v>
      </c>
      <c r="F146" s="164"/>
      <c r="G146" s="2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25">
        <f t="shared" si="0"/>
        <v>0</v>
      </c>
      <c r="I146" s="25" t="s">
        <v>592</v>
      </c>
      <c r="J146" s="25" t="s">
        <v>296</v>
      </c>
      <c r="K146" s="25" t="s">
        <v>296</v>
      </c>
    </row>
    <row r="147" spans="4:11" ht="20.100000000000001" customHeight="1" x14ac:dyDescent="0.25">
      <c r="D147" s="154" t="str">
        <v>Anaerobic digestion</v>
      </c>
      <c r="E147" s="162" t="str">
        <v>Wood</v>
      </c>
      <c r="F147" s="164"/>
      <c r="G147" s="2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25">
        <f t="shared" si="0"/>
        <v>0</v>
      </c>
      <c r="I147" s="25" t="s">
        <v>592</v>
      </c>
      <c r="J147" s="25" t="s">
        <v>296</v>
      </c>
      <c r="K147" s="25" t="s">
        <v>296</v>
      </c>
    </row>
    <row r="148" spans="4:11" ht="20.100000000000001" customHeight="1" x14ac:dyDescent="0.25">
      <c r="D148" s="154" t="str">
        <v>Anaerobic digestion</v>
      </c>
      <c r="E148" s="162" t="str">
        <v>Sludge</v>
      </c>
      <c r="F148" s="164"/>
      <c r="G148" s="2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25">
        <f t="shared" si="0"/>
        <v>0</v>
      </c>
      <c r="I148" s="25" t="s">
        <v>592</v>
      </c>
      <c r="J148" s="25" t="s">
        <v>296</v>
      </c>
      <c r="K148" s="25" t="s">
        <v>296</v>
      </c>
    </row>
    <row r="149" spans="4:11" ht="20.100000000000001" customHeight="1" x14ac:dyDescent="0.25">
      <c r="D149" s="154" t="str">
        <v>Anaerobic digestion</v>
      </c>
      <c r="E149" s="162" t="str">
        <v>Paper and cardboard</v>
      </c>
      <c r="F149" s="164"/>
      <c r="G149" s="2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25">
        <f t="shared" si="0"/>
        <v>0</v>
      </c>
      <c r="I149" s="25" t="s">
        <v>592</v>
      </c>
      <c r="J149" s="25" t="s">
        <v>296</v>
      </c>
      <c r="K149" s="25" t="s">
        <v>296</v>
      </c>
    </row>
    <row r="150" spans="4:11" ht="20.100000000000001" customHeight="1" x14ac:dyDescent="0.25"/>
    <row r="151" spans="4:11" ht="20.100000000000001" customHeight="1" x14ac:dyDescent="0.25">
      <c r="D151" s="149" t="s">
        <v>593</v>
      </c>
      <c r="E151" s="150">
        <f>SUM(K116:K149)</f>
        <v>438.82805000000002</v>
      </c>
      <c r="F151" s="151" t="str">
        <f>$E$103</f>
        <v>t CO2e</v>
      </c>
    </row>
    <row r="152" spans="4:11" ht="20.100000000000001" customHeight="1" x14ac:dyDescent="0.25"/>
    <row r="153" spans="4:11" ht="20.100000000000001" customHeight="1" x14ac:dyDescent="0.25"/>
    <row r="154" spans="4:11" ht="20.100000000000001" customHeight="1" x14ac:dyDescent="0.25">
      <c r="D154" s="143" t="s">
        <v>594</v>
      </c>
    </row>
    <row r="155" spans="4:11" ht="20.100000000000001" customHeight="1" x14ac:dyDescent="0.25">
      <c r="D155" s="144" t="s">
        <v>595</v>
      </c>
    </row>
    <row r="156" spans="4:11" ht="20.100000000000001" customHeight="1" x14ac:dyDescent="0.25">
      <c r="D156" s="92" t="s">
        <v>579</v>
      </c>
      <c r="E156" s="92" t="s">
        <v>580</v>
      </c>
      <c r="F156" s="92"/>
      <c r="G156" s="92" t="s">
        <v>588</v>
      </c>
      <c r="H156" s="145" t="s">
        <v>589</v>
      </c>
      <c r="I156" s="145" t="s">
        <v>583</v>
      </c>
      <c r="J156" s="145" t="s">
        <v>590</v>
      </c>
      <c r="K156" s="145" t="s">
        <v>591</v>
      </c>
    </row>
    <row r="157" spans="4:11" ht="20.100000000000001" customHeight="1" x14ac:dyDescent="0.25">
      <c r="D157" s="154" t="str" cm="1">
        <f t="array" ref="D157:D190">Table_SourceData_WasteSolid_WasteTreatmentEFs[Treatment type t]</f>
        <v>Landfill</v>
      </c>
      <c r="E157" s="162" t="str" cm="1">
        <f t="array" ref="E157:E190">Table_SourceData_WasteSolid_WasteTreatmentEFs[Waste type w]</f>
        <v>Food waste (including animal carcasses, spoiled animal feed or crop)</v>
      </c>
      <c r="F157" s="139"/>
      <c r="G157" s="2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25">
        <f t="shared" ref="H157:H190" si="3">I59</f>
        <v>25</v>
      </c>
      <c r="I157" s="25">
        <f>G157+H157</f>
        <v>75</v>
      </c>
      <c r="J157" s="25" cm="1">
        <f t="array" ref="J157">Common_InputFunctions.Utility_LookupValueInTableTwoColumns(D157,E157,Table_SourceData_WasteSolid_WasteTreatmentEFs[Treatment type t],Table_SourceData_WasteSolid_WasteTreatmentEFs[Waste type w],Table_SourceData_WasteSolid_WasteTreatmentEFs[EFwt])</f>
        <v>2.1</v>
      </c>
      <c r="K157" s="25" cm="1">
        <f t="array" ref="K157">WasteSolid_Equations.VEERG_10_1_1_1__1_EmissionsFromWasteManagement(I157, J157)</f>
        <v>157.5</v>
      </c>
    </row>
    <row r="158" spans="4:11" ht="20.100000000000001" customHeight="1" x14ac:dyDescent="0.25">
      <c r="D158" s="154" t="str">
        <v>Landfill</v>
      </c>
      <c r="E158" s="162" t="str">
        <v>Paper and cardboard</v>
      </c>
      <c r="F158" s="139"/>
      <c r="G158" s="2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25">
        <f t="shared" si="3"/>
        <v>4.5</v>
      </c>
      <c r="I158" s="25">
        <f t="shared" ref="I158:I167" si="4">G158+H158</f>
        <v>54.5</v>
      </c>
      <c r="J158" s="25" cm="1">
        <f t="array" ref="J158">Common_InputFunctions.Utility_LookupValueInTableTwoColumns(D158,E158,Table_SourceData_WasteSolid_WasteTreatmentEFs[Treatment type t],Table_SourceData_WasteSolid_WasteTreatmentEFs[Waste type w],Table_SourceData_WasteSolid_WasteTreatmentEFs[EFwt])</f>
        <v>3.3</v>
      </c>
      <c r="K158" s="25" cm="1">
        <f t="array" ref="K158">WasteSolid_Equations.VEERG_10_1_1_1__1_EmissionsFromWasteManagement(I158, J158)</f>
        <v>179.85</v>
      </c>
    </row>
    <row r="159" spans="4:11" ht="20.100000000000001" customHeight="1" x14ac:dyDescent="0.25">
      <c r="D159" s="154" t="str">
        <v>Landfill</v>
      </c>
      <c r="E159" s="162" t="str">
        <v>Green waste (including crop residues or prunings)</v>
      </c>
      <c r="F159" s="139"/>
      <c r="G159" s="2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25">
        <f t="shared" si="3"/>
        <v>12</v>
      </c>
      <c r="I159" s="25">
        <f t="shared" si="4"/>
        <v>62</v>
      </c>
      <c r="J159" s="25" cm="1">
        <f t="array" ref="J159">Common_InputFunctions.Utility_LookupValueInTableTwoColumns(D159,E159,Table_SourceData_WasteSolid_WasteTreatmentEFs[Treatment type t],Table_SourceData_WasteSolid_WasteTreatmentEFs[Waste type w],Table_SourceData_WasteSolid_WasteTreatmentEFs[EFwt])</f>
        <v>1.6</v>
      </c>
      <c r="K159" s="25" cm="1">
        <f t="array" ref="K159">WasteSolid_Equations.VEERG_10_1_1_1__1_EmissionsFromWasteManagement(I159, J159)</f>
        <v>99.2</v>
      </c>
    </row>
    <row r="160" spans="4:11" ht="20.100000000000001" customHeight="1" x14ac:dyDescent="0.25">
      <c r="D160" s="154" t="str">
        <v>Landfill</v>
      </c>
      <c r="E160" s="162" t="str">
        <v>Wood</v>
      </c>
      <c r="F160" s="139"/>
      <c r="G160" s="2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25">
        <f t="shared" si="3"/>
        <v>0</v>
      </c>
      <c r="I160" s="25">
        <f t="shared" si="4"/>
        <v>0</v>
      </c>
      <c r="J160" s="25" cm="1">
        <f t="array" ref="J160">Common_InputFunctions.Utility_LookupValueInTableTwoColumns(D160,E160,Table_SourceData_WasteSolid_WasteTreatmentEFs[Treatment type t],Table_SourceData_WasteSolid_WasteTreatmentEFs[Waste type w],Table_SourceData_WasteSolid_WasteTreatmentEFs[EFwt])</f>
        <v>0.7</v>
      </c>
      <c r="K160" s="25" cm="1">
        <f t="array" ref="K160">WasteSolid_Equations.VEERG_10_1_1_1__1_EmissionsFromWasteManagement(I160, J160)</f>
        <v>0</v>
      </c>
    </row>
    <row r="161" spans="4:11" ht="20.100000000000001" customHeight="1" x14ac:dyDescent="0.25">
      <c r="D161" s="154" t="str">
        <v>Landfill</v>
      </c>
      <c r="E161" s="162" t="str">
        <v>Textiles</v>
      </c>
      <c r="F161" s="139"/>
      <c r="G161" s="2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25">
        <f t="shared" si="3"/>
        <v>0</v>
      </c>
      <c r="I161" s="25">
        <f t="shared" si="4"/>
        <v>0</v>
      </c>
      <c r="J161" s="25" cm="1">
        <f t="array" ref="J161">Common_InputFunctions.Utility_LookupValueInTableTwoColumns(D161,E161,Table_SourceData_WasteSolid_WasteTreatmentEFs[Treatment type t],Table_SourceData_WasteSolid_WasteTreatmentEFs[Waste type w],Table_SourceData_WasteSolid_WasteTreatmentEFs[EFwt])</f>
        <v>2</v>
      </c>
      <c r="K161" s="25" cm="1">
        <f t="array" ref="K161">WasteSolid_Equations.VEERG_10_1_1_1__1_EmissionsFromWasteManagement(I161, J161)</f>
        <v>0</v>
      </c>
    </row>
    <row r="162" spans="4:11" ht="20.100000000000001" customHeight="1" x14ac:dyDescent="0.25">
      <c r="D162" s="154" t="str">
        <v>Landfill</v>
      </c>
      <c r="E162" s="162" t="str">
        <v>Sludge</v>
      </c>
      <c r="F162" s="139"/>
      <c r="G162" s="2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25">
        <f t="shared" si="3"/>
        <v>0</v>
      </c>
      <c r="I162" s="25">
        <f t="shared" si="4"/>
        <v>0</v>
      </c>
      <c r="J162" s="25" cm="1">
        <f t="array" ref="J162">Common_InputFunctions.Utility_LookupValueInTableTwoColumns(D162,E162,Table_SourceData_WasteSolid_WasteTreatmentEFs[Treatment type t],Table_SourceData_WasteSolid_WasteTreatmentEFs[Waste type w],Table_SourceData_WasteSolid_WasteTreatmentEFs[EFwt])</f>
        <v>0.4</v>
      </c>
      <c r="K162" s="25" cm="1">
        <f t="array" ref="K162">WasteSolid_Equations.VEERG_10_1_1_1__1_EmissionsFromWasteManagement(I162, J162)</f>
        <v>0</v>
      </c>
    </row>
    <row r="163" spans="4:11" ht="20.100000000000001" customHeight="1" x14ac:dyDescent="0.25">
      <c r="D163" s="154" t="str">
        <v>Landfill</v>
      </c>
      <c r="E163" s="162" t="str">
        <v>Rubber and leather</v>
      </c>
      <c r="F163" s="139"/>
      <c r="G163" s="2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25">
        <f t="shared" si="3"/>
        <v>0</v>
      </c>
      <c r="I163" s="25">
        <f t="shared" si="4"/>
        <v>0</v>
      </c>
      <c r="J163" s="25" cm="1">
        <f t="array" ref="J163">Common_InputFunctions.Utility_LookupValueInTableTwoColumns(D163,E163,Table_SourceData_WasteSolid_WasteTreatmentEFs[Treatment type t],Table_SourceData_WasteSolid_WasteTreatmentEFs[Waste type w],Table_SourceData_WasteSolid_WasteTreatmentEFs[EFwt])</f>
        <v>3.3</v>
      </c>
      <c r="K163" s="25" cm="1">
        <f t="array" ref="K163">WasteSolid_Equations.VEERG_10_1_1_1__1_EmissionsFromWasteManagement(I163, J163)</f>
        <v>0</v>
      </c>
    </row>
    <row r="164" spans="4:11" ht="20.100000000000001" customHeight="1" x14ac:dyDescent="0.25">
      <c r="D164" s="154" t="str">
        <v>Landfill</v>
      </c>
      <c r="E164" s="162" t="str">
        <v>Inert waste (including concrete, metal, plastic or glass)</v>
      </c>
      <c r="F164" s="139"/>
      <c r="G164" s="2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25">
        <f t="shared" si="3"/>
        <v>0</v>
      </c>
      <c r="I164" s="25">
        <f t="shared" si="4"/>
        <v>0</v>
      </c>
      <c r="J164" s="25" cm="1">
        <f t="array" ref="J164">Common_InputFunctions.Utility_LookupValueInTableTwoColumns(D164,E164,Table_SourceData_WasteSolid_WasteTreatmentEFs[Treatment type t],Table_SourceData_WasteSolid_WasteTreatmentEFs[Waste type w],Table_SourceData_WasteSolid_WasteTreatmentEFs[EFwt])</f>
        <v>0</v>
      </c>
      <c r="K164" s="25" cm="1">
        <f t="array" ref="K164">WasteSolid_Equations.VEERG_10_1_1_1__1_EmissionsFromWasteManagement(I164, J164)</f>
        <v>0</v>
      </c>
    </row>
    <row r="165" spans="4:11" ht="20.100000000000001" customHeight="1" x14ac:dyDescent="0.25">
      <c r="D165" s="154" t="str">
        <v>Landfill</v>
      </c>
      <c r="E165" s="162" t="str">
        <v>Municipal solid waste</v>
      </c>
      <c r="F165" s="139"/>
      <c r="G165" s="2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25">
        <f t="shared" si="3"/>
        <v>0</v>
      </c>
      <c r="I165" s="25">
        <f t="shared" si="4"/>
        <v>0</v>
      </c>
      <c r="J165" s="25" cm="1">
        <f t="array" ref="J165">Common_InputFunctions.Utility_LookupValueInTableTwoColumns(D165,E165,Table_SourceData_WasteSolid_WasteTreatmentEFs[Treatment type t],Table_SourceData_WasteSolid_WasteTreatmentEFs[Waste type w],Table_SourceData_WasteSolid_WasteTreatmentEFs[EFwt])</f>
        <v>1.6</v>
      </c>
      <c r="K165" s="25" cm="1">
        <f t="array" ref="K165">WasteSolid_Equations.VEERG_10_1_1_1__1_EmissionsFromWasteManagement(I165, J165)</f>
        <v>0</v>
      </c>
    </row>
    <row r="166" spans="4:11" ht="20.100000000000001" customHeight="1" x14ac:dyDescent="0.25">
      <c r="D166" s="154" t="str">
        <v>Landfill</v>
      </c>
      <c r="E166" s="162" t="str">
        <v>Commercial and industrial waste</v>
      </c>
      <c r="F166" s="139"/>
      <c r="G166" s="2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25">
        <f t="shared" si="3"/>
        <v>0</v>
      </c>
      <c r="I166" s="25">
        <f t="shared" si="4"/>
        <v>0</v>
      </c>
      <c r="J166" s="25" cm="1">
        <f t="array" ref="J166">Common_InputFunctions.Utility_LookupValueInTableTwoColumns(D166,E166,Table_SourceData_WasteSolid_WasteTreatmentEFs[Treatment type t],Table_SourceData_WasteSolid_WasteTreatmentEFs[Waste type w],Table_SourceData_WasteSolid_WasteTreatmentEFs[EFwt])</f>
        <v>1.3</v>
      </c>
      <c r="K166" s="25" cm="1">
        <f t="array" ref="K166">WasteSolid_Equations.VEERG_10_1_1_1__1_EmissionsFromWasteManagement(I166, J166)</f>
        <v>0</v>
      </c>
    </row>
    <row r="167" spans="4:11" ht="20.100000000000001" customHeight="1" x14ac:dyDescent="0.25">
      <c r="D167" s="154" t="str">
        <v>Landfill</v>
      </c>
      <c r="E167" s="162" t="str">
        <v>Construction and demolition waste</v>
      </c>
      <c r="F167" s="139"/>
      <c r="G167" s="2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25">
        <f t="shared" si="3"/>
        <v>0</v>
      </c>
      <c r="I167" s="25">
        <f t="shared" si="4"/>
        <v>0</v>
      </c>
      <c r="J167" s="25" cm="1">
        <f t="array" ref="J167">Common_InputFunctions.Utility_LookupValueInTableTwoColumns(D167,E167,Table_SourceData_WasteSolid_WasteTreatmentEFs[Treatment type t],Table_SourceData_WasteSolid_WasteTreatmentEFs[Waste type w],Table_SourceData_WasteSolid_WasteTreatmentEFs[EFwt])</f>
        <v>0.2</v>
      </c>
      <c r="K167" s="25" cm="1">
        <f t="array" ref="K167">WasteSolid_Equations.VEERG_10_1_1_1__1_EmissionsFromWasteManagement(I167, J167)</f>
        <v>0</v>
      </c>
    </row>
    <row r="168" spans="4:11" ht="20.100000000000001" customHeight="1" x14ac:dyDescent="0.25">
      <c r="D168" s="154" t="str">
        <v>Incineration</v>
      </c>
      <c r="E168" s="162" t="str">
        <v>Food waste, green waste, wood, sludge</v>
      </c>
      <c r="F168" s="139"/>
      <c r="G168" s="25" t="s">
        <v>296</v>
      </c>
      <c r="H168" s="25" t="str">
        <f t="shared" si="3"/>
        <v>Not used</v>
      </c>
      <c r="I168" s="25">
        <f>SUM(G169:G172)+SUM(H169:H172)</f>
        <v>62</v>
      </c>
      <c r="J168" s="25" cm="1">
        <f t="array" ref="J168">Common_InputFunctions.Utility_LookupValueInTableTwoColumns(D168,E168,Table_SourceData_WasteSolid_WasteTreatmentEFs[Treatment type t],Table_SourceData_WasteSolid_WasteTreatmentEFs[Waste type w],Table_SourceData_WasteSolid_WasteTreatmentEFs[EFwt])</f>
        <v>0</v>
      </c>
      <c r="K168" s="25" cm="1">
        <f t="array" ref="K168">WasteSolid_Equations.VEERG_10_1_1_1__1_EmissionsFromWasteManagement(I168, J168)</f>
        <v>0</v>
      </c>
    </row>
    <row r="169" spans="4:11" ht="20.100000000000001" customHeight="1" x14ac:dyDescent="0.25">
      <c r="D169" s="154" t="str">
        <v>Incineration</v>
      </c>
      <c r="E169" s="162" t="str">
        <v>Food waste (including animal carcasses, spoiled animal feed or crop)</v>
      </c>
      <c r="F169" s="139"/>
      <c r="G169" s="2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25">
        <f t="shared" si="3"/>
        <v>0</v>
      </c>
      <c r="I169" s="25" t="s">
        <v>592</v>
      </c>
      <c r="J169" s="25" t="s">
        <v>296</v>
      </c>
      <c r="K169" s="25" t="s">
        <v>296</v>
      </c>
    </row>
    <row r="170" spans="4:11" ht="20.100000000000001" customHeight="1" x14ac:dyDescent="0.25">
      <c r="D170" s="154" t="str">
        <v>Incineration</v>
      </c>
      <c r="E170" s="162" t="str">
        <v>Green waste (including crop residues or prunings)</v>
      </c>
      <c r="F170" s="139"/>
      <c r="G170" s="2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25">
        <f t="shared" si="3"/>
        <v>12</v>
      </c>
      <c r="I170" s="25" t="s">
        <v>592</v>
      </c>
      <c r="J170" s="25" t="s">
        <v>296</v>
      </c>
      <c r="K170" s="25" t="s">
        <v>296</v>
      </c>
    </row>
    <row r="171" spans="4:11" ht="20.100000000000001" customHeight="1" x14ac:dyDescent="0.25">
      <c r="D171" s="154" t="str">
        <v>Incineration</v>
      </c>
      <c r="E171" s="162" t="str">
        <v>Wood</v>
      </c>
      <c r="F171" s="139"/>
      <c r="G171" s="2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25">
        <f t="shared" si="3"/>
        <v>0</v>
      </c>
      <c r="I171" s="25" t="s">
        <v>592</v>
      </c>
      <c r="J171" s="25" t="s">
        <v>296</v>
      </c>
      <c r="K171" s="25" t="s">
        <v>296</v>
      </c>
    </row>
    <row r="172" spans="4:11" ht="20.100000000000001" customHeight="1" x14ac:dyDescent="0.25">
      <c r="D172" s="154" t="str">
        <v>Incineration</v>
      </c>
      <c r="E172" s="162" t="str">
        <v>Sludge</v>
      </c>
      <c r="F172" s="139"/>
      <c r="G172" s="2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25">
        <f t="shared" si="3"/>
        <v>0</v>
      </c>
      <c r="I172" s="25" t="s">
        <v>592</v>
      </c>
      <c r="J172" s="25" t="s">
        <v>296</v>
      </c>
      <c r="K172" s="25" t="s">
        <v>296</v>
      </c>
    </row>
    <row r="173" spans="4:11" ht="20.100000000000001" customHeight="1" x14ac:dyDescent="0.25">
      <c r="D173" s="154" t="str">
        <v>Incineration</v>
      </c>
      <c r="E173" s="162" t="str">
        <v>Paper and cardboard</v>
      </c>
      <c r="F173" s="139"/>
      <c r="G173" s="2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25">
        <f t="shared" si="3"/>
        <v>0</v>
      </c>
      <c r="I173" s="25">
        <f t="shared" ref="I173:I178" si="5">G173+H173</f>
        <v>0</v>
      </c>
      <c r="J173" s="2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25" cm="1">
        <f t="array" ref="K173">WasteSolid_Equations.VEERG_10_1_1_1__1_EmissionsFromWasteManagement(I173, J173)</f>
        <v>0</v>
      </c>
    </row>
    <row r="174" spans="4:11" ht="20.100000000000001" customHeight="1" x14ac:dyDescent="0.25">
      <c r="D174" s="154" t="str">
        <v>Incineration</v>
      </c>
      <c r="E174" s="162" t="str">
        <v>Textiles</v>
      </c>
      <c r="F174" s="139"/>
      <c r="G174" s="2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25">
        <f t="shared" si="3"/>
        <v>0</v>
      </c>
      <c r="I174" s="25">
        <f t="shared" si="5"/>
        <v>0</v>
      </c>
      <c r="J174" s="2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25" cm="1">
        <f t="array" ref="K174">WasteSolid_Equations.VEERG_10_1_1_1__1_EmissionsFromWasteManagement(I174, J174)</f>
        <v>0</v>
      </c>
    </row>
    <row r="175" spans="4:11" ht="20.100000000000001" customHeight="1" x14ac:dyDescent="0.25">
      <c r="D175" s="154" t="str">
        <v>Incineration</v>
      </c>
      <c r="E175" s="162" t="str">
        <v>Rubber and leather</v>
      </c>
      <c r="F175" s="139"/>
      <c r="G175" s="2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25">
        <f t="shared" si="3"/>
        <v>0</v>
      </c>
      <c r="I175" s="25">
        <f t="shared" si="5"/>
        <v>0</v>
      </c>
      <c r="J175" s="25" cm="1">
        <f t="array" ref="J175">Common_InputFunctions.Utility_LookupValueInTableTwoColumns(D175,E175,Table_SourceData_WasteSolid_WasteTreatmentEFs[Treatment type t],Table_SourceData_WasteSolid_WasteTreatmentEFs[Waste type w],Table_SourceData_WasteSolid_WasteTreatmentEFs[EFwt])</f>
        <v>0.4919</v>
      </c>
      <c r="K175" s="25" cm="1">
        <f t="array" ref="K175">WasteSolid_Equations.VEERG_10_1_1_1__1_EmissionsFromWasteManagement(I175, J175)</f>
        <v>0</v>
      </c>
    </row>
    <row r="176" spans="4:11" ht="20.100000000000001" customHeight="1" x14ac:dyDescent="0.25">
      <c r="D176" s="154" t="str">
        <v>Incineration</v>
      </c>
      <c r="E176" s="162" t="str">
        <v>Inert waste (including concrete, metal, plastic or glass)</v>
      </c>
      <c r="F176" s="139"/>
      <c r="G176" s="2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25">
        <f t="shared" si="3"/>
        <v>0</v>
      </c>
      <c r="I176" s="25">
        <f t="shared" si="5"/>
        <v>0</v>
      </c>
      <c r="J176" s="25" cm="1">
        <f t="array" ref="J176">Common_InputFunctions.Utility_LookupValueInTableTwoColumns(D176,E176,Table_SourceData_WasteSolid_WasteTreatmentEFs[Treatment type t],Table_SourceData_WasteSolid_WasteTreatmentEFs[Waste type w],Table_SourceData_WasteSolid_WasteTreatmentEFs[EFwt])</f>
        <v>0.11</v>
      </c>
      <c r="K176" s="25" cm="1">
        <f t="array" ref="K176">WasteSolid_Equations.VEERG_10_1_1_1__1_EmissionsFromWasteManagement(I176, J176)</f>
        <v>0</v>
      </c>
    </row>
    <row r="177" spans="4:11" ht="20.100000000000001" customHeight="1" x14ac:dyDescent="0.25">
      <c r="D177" s="154" t="str">
        <v>Incineration</v>
      </c>
      <c r="E177" s="162" t="str">
        <v>Municipal solid waste</v>
      </c>
      <c r="F177" s="164"/>
      <c r="G177" s="2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25">
        <f t="shared" si="3"/>
        <v>0</v>
      </c>
      <c r="I177" s="25">
        <f t="shared" si="5"/>
        <v>0</v>
      </c>
      <c r="J177" s="2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25" cm="1">
        <f t="array" ref="K177">WasteSolid_Equations.VEERG_10_1_1_1__1_EmissionsFromWasteManagement(I177, J177)</f>
        <v>0</v>
      </c>
    </row>
    <row r="178" spans="4:11" ht="20.100000000000001" customHeight="1" x14ac:dyDescent="0.25">
      <c r="D178" s="154" t="str">
        <v>Incineration</v>
      </c>
      <c r="E178" s="162" t="str">
        <v>Commercial and industrial waste</v>
      </c>
      <c r="F178" s="164"/>
      <c r="G178" s="2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25">
        <f t="shared" si="3"/>
        <v>0</v>
      </c>
      <c r="I178" s="25">
        <f t="shared" si="5"/>
        <v>0</v>
      </c>
      <c r="J178" s="25" cm="1">
        <f t="array" ref="J178">Common_InputFunctions.Utility_LookupValueInTableTwoColumns(D178,E178,Table_SourceData_WasteSolid_WasteTreatmentEFs[Treatment type t],Table_SourceData_WasteSolid_WasteTreatmentEFs[Waste type w],Table_SourceData_WasteSolid_WasteTreatmentEFs[EFwt])</f>
        <v>1.649</v>
      </c>
      <c r="K178" s="25" cm="1">
        <f t="array" ref="K178">WasteSolid_Equations.VEERG_10_1_1_1__1_EmissionsFromWasteManagement(I178, J178)</f>
        <v>0</v>
      </c>
    </row>
    <row r="179" spans="4:11" ht="20.100000000000001" customHeight="1" x14ac:dyDescent="0.25">
      <c r="D179" s="154" t="str">
        <v>Composting</v>
      </c>
      <c r="E179" s="162" t="str">
        <v>All organic waste</v>
      </c>
      <c r="F179" s="164"/>
      <c r="G179" s="25" t="s">
        <v>296</v>
      </c>
      <c r="H179" s="25" t="str">
        <f t="shared" si="3"/>
        <v>Not used</v>
      </c>
      <c r="I179" s="25">
        <f>SUM(G180:G184)+SUM(H180:H184)</f>
        <v>100</v>
      </c>
      <c r="J179" s="2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25" cm="1">
        <f t="array" ref="K179">WasteSolid_Equations.VEERG_10_1_1_1__1_EmissionsFromWasteManagement(I179, J179)</f>
        <v>4.5999999999999996</v>
      </c>
    </row>
    <row r="180" spans="4:11" ht="20.100000000000001" customHeight="1" x14ac:dyDescent="0.25">
      <c r="D180" s="154" t="str">
        <v>Composting</v>
      </c>
      <c r="E180" s="162" t="str">
        <v>Food waste (including animal carcasses, spoiled animal feed or crop)</v>
      </c>
      <c r="F180" s="164"/>
      <c r="G180" s="2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25">
        <f t="shared" si="3"/>
        <v>0</v>
      </c>
      <c r="I180" s="25" t="s">
        <v>592</v>
      </c>
      <c r="J180" s="25" t="s">
        <v>296</v>
      </c>
      <c r="K180" s="25" t="s">
        <v>296</v>
      </c>
    </row>
    <row r="181" spans="4:11" ht="20.100000000000001" customHeight="1" x14ac:dyDescent="0.25">
      <c r="D181" s="154" t="str">
        <v>Composting</v>
      </c>
      <c r="E181" s="162" t="str">
        <v>Green waste (including crop residues or prunings)</v>
      </c>
      <c r="F181" s="164"/>
      <c r="G181" s="2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25">
        <f t="shared" si="3"/>
        <v>0</v>
      </c>
      <c r="I181" s="25" t="s">
        <v>592</v>
      </c>
      <c r="J181" s="25" t="s">
        <v>296</v>
      </c>
      <c r="K181" s="25" t="s">
        <v>296</v>
      </c>
    </row>
    <row r="182" spans="4:11" ht="20.100000000000001" customHeight="1" x14ac:dyDescent="0.25">
      <c r="D182" s="154" t="str">
        <v>Composting</v>
      </c>
      <c r="E182" s="162" t="str">
        <v>Wood</v>
      </c>
      <c r="F182" s="164"/>
      <c r="G182" s="2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25">
        <f t="shared" si="3"/>
        <v>0</v>
      </c>
      <c r="I182" s="25" t="s">
        <v>592</v>
      </c>
      <c r="J182" s="25" t="s">
        <v>296</v>
      </c>
      <c r="K182" s="25" t="s">
        <v>296</v>
      </c>
    </row>
    <row r="183" spans="4:11" ht="20.100000000000001" customHeight="1" x14ac:dyDescent="0.25">
      <c r="D183" s="154" t="str">
        <v>Composting</v>
      </c>
      <c r="E183" s="162" t="str">
        <v>Sludge</v>
      </c>
      <c r="F183" s="164"/>
      <c r="G183" s="2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25">
        <f t="shared" si="3"/>
        <v>0</v>
      </c>
      <c r="I183" s="25" t="s">
        <v>592</v>
      </c>
      <c r="J183" s="25" t="s">
        <v>296</v>
      </c>
      <c r="K183" s="25" t="s">
        <v>296</v>
      </c>
    </row>
    <row r="184" spans="4:11" ht="20.100000000000001" customHeight="1" x14ac:dyDescent="0.25">
      <c r="D184" s="154" t="str">
        <v>Composting</v>
      </c>
      <c r="E184" s="162" t="str">
        <v>Paper and cardboard</v>
      </c>
      <c r="F184" s="164"/>
      <c r="G184" s="2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25">
        <f t="shared" si="3"/>
        <v>0</v>
      </c>
      <c r="I184" s="25" t="s">
        <v>592</v>
      </c>
      <c r="J184" s="25" t="s">
        <v>296</v>
      </c>
      <c r="K184" s="25" t="s">
        <v>296</v>
      </c>
    </row>
    <row r="185" spans="4:11" ht="20.100000000000001" customHeight="1" x14ac:dyDescent="0.25">
      <c r="D185" s="154" t="str">
        <v>Anaerobic digestion</v>
      </c>
      <c r="E185" s="162" t="str">
        <v>All organic waste</v>
      </c>
      <c r="F185" s="164"/>
      <c r="G185" s="25" t="s">
        <v>296</v>
      </c>
      <c r="H185" s="25" t="str">
        <f t="shared" si="3"/>
        <v>Not used</v>
      </c>
      <c r="I185" s="25">
        <f>SUM(G186:G190)+SUM(H186:H190)</f>
        <v>0</v>
      </c>
      <c r="J185" s="2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25" cm="1">
        <f t="array" ref="K185">WasteSolid_Equations.VEERG_10_1_1_1__1_EmissionsFromWasteManagement(I185, J185)</f>
        <v>0</v>
      </c>
    </row>
    <row r="186" spans="4:11" ht="20.100000000000001" customHeight="1" x14ac:dyDescent="0.25">
      <c r="D186" s="154" t="str">
        <v>Anaerobic digestion</v>
      </c>
      <c r="E186" s="162" t="str">
        <v>Food waste (including animal carcasses, spoiled animal feed or crop)</v>
      </c>
      <c r="F186" s="164"/>
      <c r="G186" s="2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25">
        <f t="shared" si="3"/>
        <v>0</v>
      </c>
      <c r="I186" s="25" t="s">
        <v>592</v>
      </c>
      <c r="J186" s="25" t="s">
        <v>296</v>
      </c>
      <c r="K186" s="25" t="s">
        <v>296</v>
      </c>
    </row>
    <row r="187" spans="4:11" ht="20.100000000000001" customHeight="1" x14ac:dyDescent="0.25">
      <c r="D187" s="154" t="str">
        <v>Anaerobic digestion</v>
      </c>
      <c r="E187" s="162" t="str">
        <v>Green waste (including crop residues or prunings)</v>
      </c>
      <c r="F187" s="164"/>
      <c r="G187" s="2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25">
        <f t="shared" si="3"/>
        <v>0</v>
      </c>
      <c r="I187" s="25" t="s">
        <v>592</v>
      </c>
      <c r="J187" s="25" t="s">
        <v>296</v>
      </c>
      <c r="K187" s="25" t="s">
        <v>296</v>
      </c>
    </row>
    <row r="188" spans="4:11" ht="20.100000000000001" customHeight="1" x14ac:dyDescent="0.25">
      <c r="D188" s="154" t="str">
        <v>Anaerobic digestion</v>
      </c>
      <c r="E188" s="162" t="str">
        <v>Wood</v>
      </c>
      <c r="F188" s="164"/>
      <c r="G188" s="2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25">
        <f t="shared" si="3"/>
        <v>0</v>
      </c>
      <c r="I188" s="25" t="s">
        <v>592</v>
      </c>
      <c r="J188" s="25" t="s">
        <v>296</v>
      </c>
      <c r="K188" s="25" t="s">
        <v>296</v>
      </c>
    </row>
    <row r="189" spans="4:11" ht="20.100000000000001" customHeight="1" x14ac:dyDescent="0.25">
      <c r="D189" s="154" t="str">
        <v>Anaerobic digestion</v>
      </c>
      <c r="E189" s="162" t="str">
        <v>Sludge</v>
      </c>
      <c r="F189" s="164"/>
      <c r="G189" s="2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25">
        <f t="shared" si="3"/>
        <v>0</v>
      </c>
      <c r="I189" s="25" t="s">
        <v>592</v>
      </c>
      <c r="J189" s="25" t="s">
        <v>296</v>
      </c>
      <c r="K189" s="25" t="s">
        <v>296</v>
      </c>
    </row>
    <row r="190" spans="4:11" ht="20.100000000000001" customHeight="1" x14ac:dyDescent="0.25">
      <c r="D190" s="154" t="str">
        <v>Anaerobic digestion</v>
      </c>
      <c r="E190" s="162" t="str">
        <v>Paper and cardboard</v>
      </c>
      <c r="F190" s="164"/>
      <c r="G190" s="2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25">
        <f t="shared" si="3"/>
        <v>0</v>
      </c>
      <c r="I190" s="25" t="s">
        <v>592</v>
      </c>
      <c r="J190" s="25" t="s">
        <v>296</v>
      </c>
      <c r="K190" s="25" t="s">
        <v>296</v>
      </c>
    </row>
    <row r="191" spans="4:11" ht="20.100000000000001" customHeight="1" x14ac:dyDescent="0.25"/>
    <row r="192" spans="4:11" ht="20.100000000000001" customHeight="1" x14ac:dyDescent="0.25">
      <c r="D192" s="149" t="s">
        <v>593</v>
      </c>
      <c r="E192" s="150">
        <f>SUM(K157:K190)</f>
        <v>441.15000000000003</v>
      </c>
      <c r="F192" s="151"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8"/>
    </row>
    <row r="342" spans="8:8" x14ac:dyDescent="0.25">
      <c r="H342" s="8"/>
    </row>
  </sheetData>
  <dataValidations count="1">
    <dataValidation operator="equal" allowBlank="1" showInputMessage="1" showErrorMessage="1" sqref="E269 E228" xr:uid="{BD617094-1870-498D-97FF-5C96A5175277}"/>
  </dataValidations>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F2AD-91AA-4ADB-9D96-9B380EA39242}">
  <sheetPr>
    <tabColor theme="2" tint="-0.499984740745262"/>
  </sheetPr>
  <dimension ref="A1:AI165"/>
  <sheetViews>
    <sheetView showGridLines="0" topLeftCell="A29"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31" customFormat="1" ht="30" customHeight="1" x14ac:dyDescent="0.35">
      <c r="A1" s="16" t="e" vm="1">
        <v>#VALUE!</v>
      </c>
      <c r="C1" s="31" t="s">
        <v>596</v>
      </c>
      <c r="AG1"/>
      <c r="AH1"/>
      <c r="AI1"/>
    </row>
    <row r="2" spans="1:35" s="3" customFormat="1" ht="20.100000000000001" customHeight="1" x14ac:dyDescent="0.25">
      <c r="A2"/>
      <c r="AG2"/>
      <c r="AH2"/>
      <c r="AI2"/>
    </row>
    <row r="3" spans="1:35" ht="20.100000000000001" customHeight="1" x14ac:dyDescent="0.25">
      <c r="A3" s="5" t="str">
        <f>HYPERLINK("#'Home'!A1", "Home")</f>
        <v>Home</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row>
    <row r="4" spans="1:35" ht="20.100000000000001" customHeight="1" x14ac:dyDescent="0.25">
      <c r="A4" s="5" t="str">
        <f>HYPERLINK("#'Overview'!A1", "Overview")</f>
        <v>Overview</v>
      </c>
    </row>
    <row r="5" spans="1:35" ht="20.100000000000001" customHeight="1" x14ac:dyDescent="0.25">
      <c r="A5" s="5" t="str">
        <f>HYPERLINK("#'Results'!A1", "Results")</f>
        <v>Results</v>
      </c>
      <c r="D5" s="2" t="str" cm="1">
        <f t="array" ref="D5">WasteSolid_SourceData.Waste_EmissionFactorsForWasteTreatment_Title()</f>
        <v>Emission factors for wastes disposed of at different treatment facilities</v>
      </c>
    </row>
    <row r="6" spans="1:35" ht="20.100000000000001" customHeight="1" x14ac:dyDescent="0.25">
      <c r="D6" s="27" t="str" cm="1">
        <f t="array" ref="D6">WasteSolid_SourceData.Waste_EmissionFactorsForWasteTreatment_Source()</f>
        <v>VEERG 2026: Table A.4.1.1</v>
      </c>
    </row>
    <row r="7" spans="1:35" ht="20.100000000000001" customHeight="1" x14ac:dyDescent="0.25">
      <c r="D7" s="36" t="str" cm="1">
        <f t="array" ref="D7:D13">WasteSolid_SourceData.Waste_EmissionFactorsForWasteTreatment_Variation()</f>
        <v>VARIATION ON SOURCE:</v>
      </c>
    </row>
    <row r="8" spans="1:35" ht="20.100000000000001" customHeight="1" x14ac:dyDescent="0.25">
      <c r="A8" s="7" t="s">
        <v>0</v>
      </c>
      <c r="D8" s="36" t="str">
        <v>Fixed typo 'paper and carboard' to 'paper and cardboard'</v>
      </c>
    </row>
    <row r="9" spans="1:35" ht="20.100000000000001" customHeight="1" x14ac:dyDescent="0.25">
      <c r="A9" s="5" t="str">
        <f>HYPERLINK("#'Input - Enterprise'!A1", "Enterprise")</f>
        <v>Enterprise</v>
      </c>
      <c r="D9" s="36" t="str">
        <v>Fixed typo 'prunnings' to 'prunings'</v>
      </c>
    </row>
    <row r="10" spans="1:35" ht="20.100000000000001" customHeight="1" x14ac:dyDescent="0.25">
      <c r="A10" s="5" t="str">
        <f>HYPERLINK("#'Input - Site'!A1", "Site")</f>
        <v>Site</v>
      </c>
      <c r="D10" s="36" t="str">
        <v>Added EF source column with specific references</v>
      </c>
    </row>
    <row r="11" spans="1:35" ht="20.100000000000001" customHeight="1" x14ac:dyDescent="0.25">
      <c r="A11" s="5" t="str">
        <f>HYPERLINK("#'Input - Crop'!A1", "Crop")</f>
        <v>Crop</v>
      </c>
      <c r="D11" s="36" t="str">
        <v>Added sub-categories for 'Incineration: Food waste, green waste, wood, sludge' in order to use volume to mass conversion factor values</v>
      </c>
    </row>
    <row r="12" spans="1:35" ht="20.100000000000001" customHeight="1" x14ac:dyDescent="0.25">
      <c r="A12" s="5" t="str">
        <f>HYPERLINK("#'Input - Fert Prod System'!A1", "Fert Prod System")</f>
        <v>Fert Prod System</v>
      </c>
      <c r="D12" s="36" t="str">
        <v>Added sub-categories for 'Composting: All organic waste' in order to use volume to mass conversion factor values</v>
      </c>
    </row>
    <row r="13" spans="1:35" ht="20.100000000000001" customHeight="1" x14ac:dyDescent="0.25">
      <c r="A13" s="5" t="str">
        <f>HYPERLINK("#'Input - Fertiliser'!A1", "Fertiliser")</f>
        <v>Fertiliser</v>
      </c>
      <c r="D13" s="36" t="str">
        <v>Added sub-categories for 'Anaerobic digestion: All organic waste' in order to use volume to mass conversion factor values</v>
      </c>
    </row>
    <row r="14" spans="1:35" ht="20.100000000000001" customHeight="1" x14ac:dyDescent="0.25">
      <c r="A14" s="5" t="str">
        <f>HYPERLINK("#'Input - Fuel'!A1", "Fuel")</f>
        <v>Fuel</v>
      </c>
      <c r="D14" s="1" t="str" cm="1">
        <f t="array" ref="D14">WasteSolid_SourceData.Waste_EmissionFactorsForWasteTreatment_Variable()</f>
        <v>EFwt</v>
      </c>
    </row>
    <row r="15" spans="1:35" ht="20.100000000000001" customHeight="1" x14ac:dyDescent="0.25">
      <c r="A15" s="5" t="str">
        <f>HYPERLINK("#'Input - Electricity'!A1", "Electricity")</f>
        <v>Electricity</v>
      </c>
      <c r="D15" s="15" t="str" cm="1">
        <f t="array" ref="D15">WasteSolid_SourceData.Waste_EmissionFactorsForWasteTreatment_Unit()</f>
        <v>t CO2e / t</v>
      </c>
      <c r="I15" s="1" t="s">
        <v>597</v>
      </c>
      <c r="K15" s="1" t="s">
        <v>598</v>
      </c>
      <c r="M15" s="1" t="s">
        <v>599</v>
      </c>
      <c r="O15" s="1" t="s">
        <v>600</v>
      </c>
    </row>
    <row r="16" spans="1:35" ht="20.100000000000001" customHeight="1" x14ac:dyDescent="0.25">
      <c r="A16" s="5" t="str">
        <f>HYPERLINK("#'Input - Farm Inputs'!A1", "Farm Inputs")</f>
        <v>Farm Inputs</v>
      </c>
      <c r="D16" s="30" t="s">
        <v>601</v>
      </c>
      <c r="E16" s="30" t="s">
        <v>602</v>
      </c>
      <c r="F16" s="30" t="s">
        <v>603</v>
      </c>
      <c r="G16" s="30" t="s">
        <v>604</v>
      </c>
      <c r="I16" s="30" t="s">
        <v>602</v>
      </c>
      <c r="K16" s="226" t="s">
        <v>602</v>
      </c>
      <c r="M16" s="226" t="s">
        <v>602</v>
      </c>
      <c r="O16" s="226" t="s">
        <v>602</v>
      </c>
    </row>
    <row r="17" spans="1:15" ht="20.100000000000001" customHeight="1" x14ac:dyDescent="0.25">
      <c r="A17" s="5" t="str">
        <f>HYPERLINK("#'Input - Freight'!A1", "Freight")</f>
        <v>Freight</v>
      </c>
      <c r="D17" s="30" t="str" cm="1">
        <f t="array" ref="D17">Common_InputFunctions.Utility_DisplayArrayInTable(WasteSolid_SourceData.Waste_EmissionFactorsForWasteTreatment_Data(), Table_SourceData_WasteSolid_WasteTreatmentEFs[[#Headers],[Treatment type t]], 0)</f>
        <v>Landfill</v>
      </c>
      <c r="E17" s="3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30" cm="1">
        <f t="array" ref="F17">Common_InputFunctions.Utility_DisplayArrayInTable(WasteSolid_SourceData.Waste_EmissionFactorsForWasteTreatment_Data(), Table_SourceData_WasteSolid_WasteTreatmentEFs[[#Headers],[Treatment type t]], 0)</f>
        <v>2.1</v>
      </c>
      <c r="G17" s="30" t="str" cm="1">
        <f t="array" ref="G17">Common_InputFunctions.Utility_DisplayArrayInTable(WasteSolid_SourceData.Waste_EmissionFactorsForWasteTreatment_Data(), Table_SourceData_WasteSolid_WasteTreatmentEFs[[#Headers],[Treatment type t]], 0)</f>
        <v>NGAF 2025 table 15</v>
      </c>
      <c r="I17" s="3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5">
      <c r="A18" s="5" t="str">
        <f>HYPERLINK("#'Input - Manure sent off-site'!A1", "Manure sent off-site")</f>
        <v>Manure sent off-site</v>
      </c>
      <c r="D18" s="1" t="str" cm="1">
        <f t="array" ref="D18">Common_InputFunctions.Utility_DisplayArrayInTable(WasteSolid_SourceData.Waste_EmissionFactorsForWasteTreatment_Data(), Table_SourceData_WasteSolid_WasteTreatmentEFs[[#Headers],[Treatment type t]], 0)</f>
        <v>Landfill</v>
      </c>
      <c r="E18" s="30" t="str" cm="1">
        <f t="array" ref="E18">Common_InputFunctions.Utility_DisplayArrayInTable(WasteSolid_SourceData.Waste_EmissionFactorsForWasteTreatment_Data(), Table_SourceData_WasteSolid_WasteTreatmentEFs[[#Headers],[Treatment type t]], 0)</f>
        <v>Paper and cardboard</v>
      </c>
      <c r="F18" s="30" cm="1">
        <f t="array" ref="F18">Common_InputFunctions.Utility_DisplayArrayInTable(WasteSolid_SourceData.Waste_EmissionFactorsForWasteTreatment_Data(), Table_SourceData_WasteSolid_WasteTreatmentEFs[[#Headers],[Treatment type t]], 0)</f>
        <v>3.3</v>
      </c>
      <c r="G18" s="30" t="str" cm="1">
        <f t="array" ref="G18">Common_InputFunctions.Utility_DisplayArrayInTable(WasteSolid_SourceData.Waste_EmissionFactorsForWasteTreatment_Data(), Table_SourceData_WasteSolid_WasteTreatmentEFs[[#Headers],[Treatment type t]], 0)</f>
        <v>NGAF 2025 table 15</v>
      </c>
      <c r="I18" s="3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5">
      <c r="A19" s="5" t="str">
        <f>HYPERLINK("#'Input - Solid waste'!A1", "Solid waste")</f>
        <v>Solid waste</v>
      </c>
      <c r="D19" s="1" t="str" cm="1">
        <f t="array" ref="D19">Common_InputFunctions.Utility_DisplayArrayInTable(WasteSolid_SourceData.Waste_EmissionFactorsForWasteTreatment_Data(), Table_SourceData_WasteSolid_WasteTreatmentEFs[[#Headers],[Treatment type t]], 0)</f>
        <v>Landfill</v>
      </c>
      <c r="E19" s="30" t="str" cm="1">
        <f t="array" ref="E19">Common_InputFunctions.Utility_DisplayArrayInTable(WasteSolid_SourceData.Waste_EmissionFactorsForWasteTreatment_Data(), Table_SourceData_WasteSolid_WasteTreatmentEFs[[#Headers],[Treatment type t]], 0)</f>
        <v>Green waste (including crop residues or prunings)</v>
      </c>
      <c r="F19" s="30" cm="1">
        <f t="array" ref="F19">Common_InputFunctions.Utility_DisplayArrayInTable(WasteSolid_SourceData.Waste_EmissionFactorsForWasteTreatment_Data(), Table_SourceData_WasteSolid_WasteTreatmentEFs[[#Headers],[Treatment type t]], 0)</f>
        <v>1.6</v>
      </c>
      <c r="G19" s="30" t="str" cm="1">
        <f t="array" ref="G19">Common_InputFunctions.Utility_DisplayArrayInTable(WasteSolid_SourceData.Waste_EmissionFactorsForWasteTreatment_Data(), Table_SourceData_WasteSolid_WasteTreatmentEFs[[#Headers],[Treatment type t]], 0)</f>
        <v>NGAF 2025 table 15</v>
      </c>
      <c r="I19" s="3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5">
      <c r="A20" s="5" t="str">
        <f>HYPERLINK("#'Input - Data quality'!A1", "Data quality")</f>
        <v>Data quality</v>
      </c>
      <c r="D20" s="1" t="str" cm="1">
        <f t="array" ref="D20">Common_InputFunctions.Utility_DisplayArrayInTable(WasteSolid_SourceData.Waste_EmissionFactorsForWasteTreatment_Data(), Table_SourceData_WasteSolid_WasteTreatmentEFs[[#Headers],[Treatment type t]], 0)</f>
        <v>Landfill</v>
      </c>
      <c r="E20" s="30" t="str" cm="1">
        <f t="array" ref="E20">Common_InputFunctions.Utility_DisplayArrayInTable(WasteSolid_SourceData.Waste_EmissionFactorsForWasteTreatment_Data(), Table_SourceData_WasteSolid_WasteTreatmentEFs[[#Headers],[Treatment type t]], 0)</f>
        <v>Wood</v>
      </c>
      <c r="F20" s="30" cm="1">
        <f t="array" ref="F20">Common_InputFunctions.Utility_DisplayArrayInTable(WasteSolid_SourceData.Waste_EmissionFactorsForWasteTreatment_Data(), Table_SourceData_WasteSolid_WasteTreatmentEFs[[#Headers],[Treatment type t]], 0)</f>
        <v>0.7</v>
      </c>
      <c r="G20" s="30" t="str" cm="1">
        <f t="array" ref="G20">Common_InputFunctions.Utility_DisplayArrayInTable(WasteSolid_SourceData.Waste_EmissionFactorsForWasteTreatment_Data(), Table_SourceData_WasteSolid_WasteTreatmentEFs[[#Headers],[Treatment type t]], 0)</f>
        <v>NGAF 2025 table 15</v>
      </c>
      <c r="I20" s="30" t="str">
        <f>Table_SourceData_WasteSolid_WasteTreatmentEFs[[#This Row],[Waste type w]]</f>
        <v>Wood</v>
      </c>
      <c r="K20" s="1" t="str">
        <f t="shared" si="0"/>
        <v>Sludge</v>
      </c>
      <c r="M20" s="1" t="str">
        <f>E43</f>
        <v>Sludge</v>
      </c>
      <c r="O20" s="1" t="str">
        <f>E49</f>
        <v>Sludge</v>
      </c>
    </row>
    <row r="21" spans="1:15" ht="20.100000000000001" customHeight="1" x14ac:dyDescent="0.25">
      <c r="D21" s="1" t="str" cm="1">
        <f t="array" ref="D21">Common_InputFunctions.Utility_DisplayArrayInTable(WasteSolid_SourceData.Waste_EmissionFactorsForWasteTreatment_Data(), Table_SourceData_WasteSolid_WasteTreatmentEFs[[#Headers],[Treatment type t]], 0)</f>
        <v>Landfill</v>
      </c>
      <c r="E21" s="30" t="str" cm="1">
        <f t="array" ref="E21">Common_InputFunctions.Utility_DisplayArrayInTable(WasteSolid_SourceData.Waste_EmissionFactorsForWasteTreatment_Data(), Table_SourceData_WasteSolid_WasteTreatmentEFs[[#Headers],[Treatment type t]], 0)</f>
        <v>Textiles</v>
      </c>
      <c r="F21" s="30" cm="1">
        <f t="array" ref="F21">Common_InputFunctions.Utility_DisplayArrayInTable(WasteSolid_SourceData.Waste_EmissionFactorsForWasteTreatment_Data(), Table_SourceData_WasteSolid_WasteTreatmentEFs[[#Headers],[Treatment type t]], 0)</f>
        <v>2</v>
      </c>
      <c r="G21" s="30" t="str" cm="1">
        <f t="array" ref="G21">Common_InputFunctions.Utility_DisplayArrayInTable(WasteSolid_SourceData.Waste_EmissionFactorsForWasteTreatment_Data(), Table_SourceData_WasteSolid_WasteTreatmentEFs[[#Headers],[Treatment type t]], 0)</f>
        <v>NGAF 2025 table 15</v>
      </c>
      <c r="I21" s="3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5">
      <c r="D22" s="1" t="str" cm="1">
        <f t="array" ref="D22">Common_InputFunctions.Utility_DisplayArrayInTable(WasteSolid_SourceData.Waste_EmissionFactorsForWasteTreatment_Data(), Table_SourceData_WasteSolid_WasteTreatmentEFs[[#Headers],[Treatment type t]], 0)</f>
        <v>Landfill</v>
      </c>
      <c r="E22" s="30" t="str" cm="1">
        <f t="array" ref="E22">Common_InputFunctions.Utility_DisplayArrayInTable(WasteSolid_SourceData.Waste_EmissionFactorsForWasteTreatment_Data(), Table_SourceData_WasteSolid_WasteTreatmentEFs[[#Headers],[Treatment type t]], 0)</f>
        <v>Sludge</v>
      </c>
      <c r="F22" s="30" cm="1">
        <f t="array" ref="F22">Common_InputFunctions.Utility_DisplayArrayInTable(WasteSolid_SourceData.Waste_EmissionFactorsForWasteTreatment_Data(), Table_SourceData_WasteSolid_WasteTreatmentEFs[[#Headers],[Treatment type t]], 0)</f>
        <v>0.4</v>
      </c>
      <c r="G22" s="30" t="str" cm="1">
        <f t="array" ref="G22">Common_InputFunctions.Utility_DisplayArrayInTable(WasteSolid_SourceData.Waste_EmissionFactorsForWasteTreatment_Data(), Table_SourceData_WasteSolid_WasteTreatmentEFs[[#Headers],[Treatment type t]], 0)</f>
        <v>NGAF 2025 table 15</v>
      </c>
      <c r="I22" s="30" t="str">
        <f>Table_SourceData_WasteSolid_WasteTreatmentEFs[[#This Row],[Waste type w]]</f>
        <v>Sludge</v>
      </c>
      <c r="K22" s="1" t="str">
        <f t="shared" si="0"/>
        <v>Textiles</v>
      </c>
    </row>
    <row r="23" spans="1:15" ht="20.100000000000001" customHeight="1" x14ac:dyDescent="0.25">
      <c r="A23" s="6" t="s">
        <v>2</v>
      </c>
      <c r="D23" s="1" t="str" cm="1">
        <f t="array" ref="D23">Common_InputFunctions.Utility_DisplayArrayInTable(WasteSolid_SourceData.Waste_EmissionFactorsForWasteTreatment_Data(), Table_SourceData_WasteSolid_WasteTreatmentEFs[[#Headers],[Treatment type t]], 0)</f>
        <v>Landfill</v>
      </c>
      <c r="E23" s="30" t="str" cm="1">
        <f t="array" ref="E23">Common_InputFunctions.Utility_DisplayArrayInTable(WasteSolid_SourceData.Waste_EmissionFactorsForWasteTreatment_Data(), Table_SourceData_WasteSolid_WasteTreatmentEFs[[#Headers],[Treatment type t]], 0)</f>
        <v>Rubber and leather</v>
      </c>
      <c r="F23" s="30" cm="1">
        <f t="array" ref="F23">Common_InputFunctions.Utility_DisplayArrayInTable(WasteSolid_SourceData.Waste_EmissionFactorsForWasteTreatment_Data(), Table_SourceData_WasteSolid_WasteTreatmentEFs[[#Headers],[Treatment type t]], 0)</f>
        <v>3.3</v>
      </c>
      <c r="G23" s="30" t="str" cm="1">
        <f t="array" ref="G23">Common_InputFunctions.Utility_DisplayArrayInTable(WasteSolid_SourceData.Waste_EmissionFactorsForWasteTreatment_Data(), Table_SourceData_WasteSolid_WasteTreatmentEFs[[#Headers],[Treatment type t]], 0)</f>
        <v>NGAF 2025 table 15</v>
      </c>
      <c r="I23" s="30" t="str">
        <f>Table_SourceData_WasteSolid_WasteTreatmentEFs[[#This Row],[Waste type w]]</f>
        <v>Rubber and leather</v>
      </c>
      <c r="K23" s="1" t="str">
        <f t="shared" si="0"/>
        <v>Rubber and leather</v>
      </c>
    </row>
    <row r="24" spans="1:15" ht="20.100000000000001" customHeight="1" x14ac:dyDescent="0.25">
      <c r="A24" s="5" t="str">
        <f>HYPERLINK("#'5.1.1.1-2 Inorganic fert N2O'!A1", "5.1.1.1-2 Inorganic fert N2O")</f>
        <v>5.1.1.1-2 Inorganic fert N2O</v>
      </c>
      <c r="D24" s="1" t="str" cm="1">
        <f t="array" ref="D24">Common_InputFunctions.Utility_DisplayArrayInTable(WasteSolid_SourceData.Waste_EmissionFactorsForWasteTreatment_Data(), Table_SourceData_WasteSolid_WasteTreatmentEFs[[#Headers],[Treatment type t]], 0)</f>
        <v>Landfill</v>
      </c>
      <c r="E24" s="30" t="str" cm="1">
        <f t="array" ref="E24">Common_InputFunctions.Utility_DisplayArrayInTable(WasteSolid_SourceData.Waste_EmissionFactorsForWasteTreatment_Data(), Table_SourceData_WasteSolid_WasteTreatmentEFs[[#Headers],[Treatment type t]], 0)</f>
        <v>Inert waste (including concrete, metal, plastic or glass)</v>
      </c>
      <c r="F24" s="30" cm="1">
        <f t="array" ref="F24">Common_InputFunctions.Utility_DisplayArrayInTable(WasteSolid_SourceData.Waste_EmissionFactorsForWasteTreatment_Data(), Table_SourceData_WasteSolid_WasteTreatmentEFs[[#Headers],[Treatment type t]], 0)</f>
        <v>0</v>
      </c>
      <c r="G24" s="30" t="str" cm="1">
        <f t="array" ref="G24">Common_InputFunctions.Utility_DisplayArrayInTable(WasteSolid_SourceData.Waste_EmissionFactorsForWasteTreatment_Data(), Table_SourceData_WasteSolid_WasteTreatmentEFs[[#Headers],[Treatment type t]], 0)</f>
        <v>NGAF 2025 table 15</v>
      </c>
      <c r="I24" s="3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5">
      <c r="A25" s="5" t="str">
        <f>HYPERLINK("#'5.1.1.3-4 Inorganic fert CO2'!A1", "5.1.1.3-4 Inorganic fert CO2")</f>
        <v>5.1.1.3-4 Inorganic fert CO2</v>
      </c>
      <c r="D25" s="1" t="str" cm="1">
        <f t="array" ref="D25">Common_InputFunctions.Utility_DisplayArrayInTable(WasteSolid_SourceData.Waste_EmissionFactorsForWasteTreatment_Data(), Table_SourceData_WasteSolid_WasteTreatmentEFs[[#Headers],[Treatment type t]], 0)</f>
        <v>Landfill</v>
      </c>
      <c r="E25" s="30" t="str" cm="1">
        <f t="array" ref="E25">Common_InputFunctions.Utility_DisplayArrayInTable(WasteSolid_SourceData.Waste_EmissionFactorsForWasteTreatment_Data(), Table_SourceData_WasteSolid_WasteTreatmentEFs[[#Headers],[Treatment type t]], 0)</f>
        <v>Municipal solid waste</v>
      </c>
      <c r="F25" s="30" cm="1">
        <f t="array" ref="F25">Common_InputFunctions.Utility_DisplayArrayInTable(WasteSolid_SourceData.Waste_EmissionFactorsForWasteTreatment_Data(), Table_SourceData_WasteSolid_WasteTreatmentEFs[[#Headers],[Treatment type t]], 0)</f>
        <v>1.6</v>
      </c>
      <c r="G25" s="30" t="str" cm="1">
        <f t="array" ref="G25">Common_InputFunctions.Utility_DisplayArrayInTable(WasteSolid_SourceData.Waste_EmissionFactorsForWasteTreatment_Data(), Table_SourceData_WasteSolid_WasteTreatmentEFs[[#Headers],[Treatment type t]], 0)</f>
        <v>NGAF 2025 table 15</v>
      </c>
      <c r="I25" s="30" t="str">
        <f>Table_SourceData_WasteSolid_WasteTreatmentEFs[[#This Row],[Waste type w]]</f>
        <v>Municipal solid waste</v>
      </c>
      <c r="K25" s="1" t="str">
        <f t="shared" si="0"/>
        <v>Municipal solid waste</v>
      </c>
    </row>
    <row r="26" spans="1:15" ht="20.100000000000001" customHeight="1" x14ac:dyDescent="0.25">
      <c r="A26" s="5" t="str">
        <f>HYPERLINK("#'5.2.1.1-2 Organic Fert N2O'!A1", "5.2.1.1-2 Organic fert N2O")</f>
        <v>5.2.1.1-2 Organic fert N2O</v>
      </c>
      <c r="D26" s="1" t="str" cm="1">
        <f t="array" ref="D26">Common_InputFunctions.Utility_DisplayArrayInTable(WasteSolid_SourceData.Waste_EmissionFactorsForWasteTreatment_Data(), Table_SourceData_WasteSolid_WasteTreatmentEFs[[#Headers],[Treatment type t]], 0)</f>
        <v>Landfill</v>
      </c>
      <c r="E26" s="30" t="str" cm="1">
        <f t="array" ref="E26">Common_InputFunctions.Utility_DisplayArrayInTable(WasteSolid_SourceData.Waste_EmissionFactorsForWasteTreatment_Data(), Table_SourceData_WasteSolid_WasteTreatmentEFs[[#Headers],[Treatment type t]], 0)</f>
        <v>Commercial and industrial waste</v>
      </c>
      <c r="F26" s="30" cm="1">
        <f t="array" ref="F26">Common_InputFunctions.Utility_DisplayArrayInTable(WasteSolid_SourceData.Waste_EmissionFactorsForWasteTreatment_Data(), Table_SourceData_WasteSolid_WasteTreatmentEFs[[#Headers],[Treatment type t]], 0)</f>
        <v>1.3</v>
      </c>
      <c r="G26" s="30" t="str" cm="1">
        <f t="array" ref="G26">Common_InputFunctions.Utility_DisplayArrayInTable(WasteSolid_SourceData.Waste_EmissionFactorsForWasteTreatment_Data(), Table_SourceData_WasteSolid_WasteTreatmentEFs[[#Headers],[Treatment type t]], 0)</f>
        <v>NGAF 2025 table 15</v>
      </c>
      <c r="I26" s="30" t="str">
        <f>Table_SourceData_WasteSolid_WasteTreatmentEFs[[#This Row],[Waste type w]]</f>
        <v>Commercial and industrial waste</v>
      </c>
      <c r="K26" s="1" t="str">
        <f t="shared" si="0"/>
        <v>Commercial and industrial waste</v>
      </c>
    </row>
    <row r="27" spans="1:15" ht="20.100000000000001" customHeight="1" x14ac:dyDescent="0.25">
      <c r="A27" s="5" t="str">
        <f>HYPERLINK("#'5.3.1.1-2 Lime CO2'!A1", "5.3.1.1-2 Lime CO2")</f>
        <v>5.3.1.1-2 Lime CO2</v>
      </c>
      <c r="D27" s="1" t="str" cm="1">
        <f t="array" ref="D27">Common_InputFunctions.Utility_DisplayArrayInTable(WasteSolid_SourceData.Waste_EmissionFactorsForWasteTreatment_Data(), Table_SourceData_WasteSolid_WasteTreatmentEFs[[#Headers],[Treatment type t]], 0)</f>
        <v>Landfill</v>
      </c>
      <c r="E27" s="30" t="str" cm="1">
        <f t="array" ref="E27">Common_InputFunctions.Utility_DisplayArrayInTable(WasteSolid_SourceData.Waste_EmissionFactorsForWasteTreatment_Data(), Table_SourceData_WasteSolid_WasteTreatmentEFs[[#Headers],[Treatment type t]], 0)</f>
        <v>Construction and demolition waste</v>
      </c>
      <c r="F27" s="30" cm="1">
        <f t="array" ref="F27">Common_InputFunctions.Utility_DisplayArrayInTable(WasteSolid_SourceData.Waste_EmissionFactorsForWasteTreatment_Data(), Table_SourceData_WasteSolid_WasteTreatmentEFs[[#Headers],[Treatment type t]], 0)</f>
        <v>0.2</v>
      </c>
      <c r="G27" s="30" t="str" cm="1">
        <f t="array" ref="G27">Common_InputFunctions.Utility_DisplayArrayInTable(WasteSolid_SourceData.Waste_EmissionFactorsForWasteTreatment_Data(), Table_SourceData_WasteSolid_WasteTreatmentEFs[[#Headers],[Treatment type t]], 0)</f>
        <v>NGAF 2025 table 15</v>
      </c>
      <c r="I27" s="30" t="str">
        <f>Table_SourceData_WasteSolid_WasteTreatmentEFs[[#This Row],[Waste type w]]</f>
        <v>Construction and demolition waste</v>
      </c>
    </row>
    <row r="28" spans="1:15" ht="20.100000000000001" customHeight="1" x14ac:dyDescent="0.25">
      <c r="A28" s="5" t="str">
        <f>HYPERLINK("#'5.4.1.1-4 Atmos deposition'!A1", "5.4.1.1-4 Atmos. deposition")</f>
        <v>5.4.1.1-4 Atmos. deposition</v>
      </c>
      <c r="D28" s="1" t="str" cm="1">
        <f t="array" ref="D28">Common_InputFunctions.Utility_DisplayArrayInTable(WasteSolid_SourceData.Waste_EmissionFactorsForWasteTreatment_Data(), Table_SourceData_WasteSolid_WasteTreatmentEFs[[#Headers],[Treatment type t]], 0)</f>
        <v>Incineration</v>
      </c>
      <c r="E28" s="30" t="str" cm="1">
        <f t="array" ref="E28">Common_InputFunctions.Utility_DisplayArrayInTable(WasteSolid_SourceData.Waste_EmissionFactorsForWasteTreatment_Data(), Table_SourceData_WasteSolid_WasteTreatmentEFs[[#Headers],[Treatment type t]], 0)</f>
        <v>Food waste, green waste, wood, sludge</v>
      </c>
      <c r="F28" s="30" cm="1">
        <f t="array" ref="F28">Common_InputFunctions.Utility_DisplayArrayInTable(WasteSolid_SourceData.Waste_EmissionFactorsForWasteTreatment_Data(), Table_SourceData_WasteSolid_WasteTreatmentEFs[[#Headers],[Treatment type t]], 0)</f>
        <v>0</v>
      </c>
      <c r="G28" s="3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s="5" t="str">
        <f>HYPERLINK("#'5.5.1.1-2 Leaching and runoff'!A1", "5.5.1.1-2 Leaching &amp; runoff")</f>
        <v>5.5.1.1-2 Leaching &amp; runoff</v>
      </c>
      <c r="D29" s="1" t="str" cm="1">
        <f t="array" ref="D29">Common_InputFunctions.Utility_DisplayArrayInTable(WasteSolid_SourceData.Waste_EmissionFactorsForWasteTreatment_Data(), Table_SourceData_WasteSolid_WasteTreatmentEFs[[#Headers],[Treatment type t]], 0)</f>
        <v>Incineration</v>
      </c>
      <c r="E29" s="3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30" cm="1">
        <f t="array" ref="F29">Common_InputFunctions.Utility_DisplayArrayInTable(WasteSolid_SourceData.Waste_EmissionFactorsForWasteTreatment_Data(), Table_SourceData_WasteSolid_WasteTreatmentEFs[[#Headers],[Treatment type t]], 0)</f>
        <v>0</v>
      </c>
      <c r="G29" s="3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5" t="str">
        <f>HYPERLINK("#'6.1.1.1-2 Crop residue N2O'!A1", "6.1.1.1-2 Crop residue N2O")</f>
        <v>6.1.1.1-2 Crop residue N2O</v>
      </c>
      <c r="D30" s="1" t="str" cm="1">
        <f t="array" ref="D30">Common_InputFunctions.Utility_DisplayArrayInTable(WasteSolid_SourceData.Waste_EmissionFactorsForWasteTreatment_Data(), Table_SourceData_WasteSolid_WasteTreatmentEFs[[#Headers],[Treatment type t]], 0)</f>
        <v>Incineration</v>
      </c>
      <c r="E30" s="30" t="str" cm="1">
        <f t="array" ref="E30">Common_InputFunctions.Utility_DisplayArrayInTable(WasteSolid_SourceData.Waste_EmissionFactorsForWasteTreatment_Data(), Table_SourceData_WasteSolid_WasteTreatmentEFs[[#Headers],[Treatment type t]], 0)</f>
        <v>Green waste (including crop residues or prunings)</v>
      </c>
      <c r="F30" s="30" cm="1">
        <f t="array" ref="F30">Common_InputFunctions.Utility_DisplayArrayInTable(WasteSolid_SourceData.Waste_EmissionFactorsForWasteTreatment_Data(), Table_SourceData_WasteSolid_WasteTreatmentEFs[[#Headers],[Treatment type t]], 0)</f>
        <v>0</v>
      </c>
      <c r="G30" s="3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5" t="str">
        <f>HYPERLINK("#'6.3.1.1-2 Leach runoff crop'!A1", "6.3.1.1-2 Leach &amp; runoff (crop)")</f>
        <v>6.3.1.1-2 Leach &amp; runoff (crop)</v>
      </c>
      <c r="D31" s="1" t="str" cm="1">
        <f t="array" ref="D31">Common_InputFunctions.Utility_DisplayArrayInTable(WasteSolid_SourceData.Waste_EmissionFactorsForWasteTreatment_Data(), Table_SourceData_WasteSolid_WasteTreatmentEFs[[#Headers],[Treatment type t]], 0)</f>
        <v>Incineration</v>
      </c>
      <c r="E31" s="30" t="str" cm="1">
        <f t="array" ref="E31">Common_InputFunctions.Utility_DisplayArrayInTable(WasteSolid_SourceData.Waste_EmissionFactorsForWasteTreatment_Data(), Table_SourceData_WasteSolid_WasteTreatmentEFs[[#Headers],[Treatment type t]], 0)</f>
        <v>Wood</v>
      </c>
      <c r="F31" s="30" cm="1">
        <f t="array" ref="F31">Common_InputFunctions.Utility_DisplayArrayInTable(WasteSolid_SourceData.Waste_EmissionFactorsForWasteTreatment_Data(), Table_SourceData_WasteSolid_WasteTreatmentEFs[[#Headers],[Treatment type t]], 0)</f>
        <v>0</v>
      </c>
      <c r="G31" s="3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5" t="str">
        <f>HYPERLINK("#'6.4.1.1-2 Residue burning'!A1", "6.4.1.1-2 Residue burning")</f>
        <v>6.4.1.1-2 Residue burning</v>
      </c>
      <c r="D32" s="1" t="str" cm="1">
        <f t="array" ref="D32">Common_InputFunctions.Utility_DisplayArrayInTable(WasteSolid_SourceData.Waste_EmissionFactorsForWasteTreatment_Data(), Table_SourceData_WasteSolid_WasteTreatmentEFs[[#Headers],[Treatment type t]], 0)</f>
        <v>Incineration</v>
      </c>
      <c r="E32" s="30" t="str" cm="1">
        <f t="array" ref="E32">Common_InputFunctions.Utility_DisplayArrayInTable(WasteSolid_SourceData.Waste_EmissionFactorsForWasteTreatment_Data(), Table_SourceData_WasteSolid_WasteTreatmentEFs[[#Headers],[Treatment type t]], 0)</f>
        <v>Sludge</v>
      </c>
      <c r="F32" s="30" cm="1">
        <f t="array" ref="F32">Common_InputFunctions.Utility_DisplayArrayInTable(WasteSolid_SourceData.Waste_EmissionFactorsForWasteTreatment_Data(), Table_SourceData_WasteSolid_WasteTreatmentEFs[[#Headers],[Treatment type t]], 0)</f>
        <v>0</v>
      </c>
      <c r="G32" s="3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5" t="str">
        <f>HYPERLINK("#'8.1.1.1-2 Transport fuel'!A1", "8.1.1.1-2 Transport fuel")</f>
        <v>8.1.1.1-2 Transport fuel</v>
      </c>
      <c r="D33" s="1" t="str" cm="1">
        <f t="array" ref="D33">Common_InputFunctions.Utility_DisplayArrayInTable(WasteSolid_SourceData.Waste_EmissionFactorsForWasteTreatment_Data(), Table_SourceData_WasteSolid_WasteTreatmentEFs[[#Headers],[Treatment type t]], 0)</f>
        <v>Incineration</v>
      </c>
      <c r="E33" s="30" t="str" cm="1">
        <f t="array" ref="E33">Common_InputFunctions.Utility_DisplayArrayInTable(WasteSolid_SourceData.Waste_EmissionFactorsForWasteTreatment_Data(), Table_SourceData_WasteSolid_WasteTreatmentEFs[[#Headers],[Treatment type t]], 0)</f>
        <v>Paper and cardboard</v>
      </c>
      <c r="F33" s="30" cm="1">
        <f t="array" ref="F33">Common_InputFunctions.Utility_DisplayArrayInTable(WasteSolid_SourceData.Waste_EmissionFactorsForWasteTreatment_Data(), Table_SourceData_WasteSolid_WasteTreatmentEFs[[#Headers],[Treatment type t]], 0)</f>
        <v>1.6899999999999998E-2</v>
      </c>
      <c r="G33" s="3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5" t="str">
        <f>HYPERLINK("#'8.2.1.1-2 Stationary fuel'!A1", "8.2.1.1-2 Stationary fuel")</f>
        <v>8.2.1.1-2 Stationary fuel</v>
      </c>
      <c r="D34" s="1" t="str" cm="1">
        <f t="array" ref="D34">Common_InputFunctions.Utility_DisplayArrayInTable(WasteSolid_SourceData.Waste_EmissionFactorsForWasteTreatment_Data(), Table_SourceData_WasteSolid_WasteTreatmentEFs[[#Headers],[Treatment type t]], 0)</f>
        <v>Incineration</v>
      </c>
      <c r="E34" s="30" t="str" cm="1">
        <f t="array" ref="E34">Common_InputFunctions.Utility_DisplayArrayInTable(WasteSolid_SourceData.Waste_EmissionFactorsForWasteTreatment_Data(), Table_SourceData_WasteSolid_WasteTreatmentEFs[[#Headers],[Treatment type t]], 0)</f>
        <v>Textiles</v>
      </c>
      <c r="F34" s="30" cm="1">
        <f t="array" ref="F34">Common_InputFunctions.Utility_DisplayArrayInTable(WasteSolid_SourceData.Waste_EmissionFactorsForWasteTreatment_Data(), Table_SourceData_WasteSolid_WasteTreatmentEFs[[#Headers],[Treatment type t]], 0)</f>
        <v>0.36670000000000003</v>
      </c>
      <c r="G34" s="3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5" t="str">
        <f>HYPERLINK("#'14.1.1-2 Purchased electricity'!A1", "14.1.1-2 Purchased electricity")</f>
        <v>14.1.1-2 Purchased electricity</v>
      </c>
      <c r="D35" s="1" t="str" cm="1">
        <f t="array" ref="D35">Common_InputFunctions.Utility_DisplayArrayInTable(WasteSolid_SourceData.Waste_EmissionFactorsForWasteTreatment_Data(), Table_SourceData_WasteSolid_WasteTreatmentEFs[[#Headers],[Treatment type t]], 0)</f>
        <v>Incineration</v>
      </c>
      <c r="E35" s="30" t="str" cm="1">
        <f t="array" ref="E35">Common_InputFunctions.Utility_DisplayArrayInTable(WasteSolid_SourceData.Waste_EmissionFactorsForWasteTreatment_Data(), Table_SourceData_WasteSolid_WasteTreatmentEFs[[#Headers],[Treatment type t]], 0)</f>
        <v>Rubber and leather</v>
      </c>
      <c r="F35" s="30" cm="1">
        <f t="array" ref="F35">Common_InputFunctions.Utility_DisplayArrayInTable(WasteSolid_SourceData.Waste_EmissionFactorsForWasteTreatment_Data(), Table_SourceData_WasteSolid_WasteTreatmentEFs[[#Headers],[Treatment type t]], 0)</f>
        <v>0.4919</v>
      </c>
      <c r="G35" s="3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5" t="str">
        <f>HYPERLINK("#'15 Scope 3'!A1", "15 Scope 3")</f>
        <v>15 Scope 3</v>
      </c>
      <c r="D36" s="1" t="str" cm="1">
        <f t="array" ref="D36">Common_InputFunctions.Utility_DisplayArrayInTable(WasteSolid_SourceData.Waste_EmissionFactorsForWasteTreatment_Data(), Table_SourceData_WasteSolid_WasteTreatmentEFs[[#Headers],[Treatment type t]], 0)</f>
        <v>Incineration</v>
      </c>
      <c r="E36" s="30" t="str" cm="1">
        <f t="array" ref="E36">Common_InputFunctions.Utility_DisplayArrayInTable(WasteSolid_SourceData.Waste_EmissionFactorsForWasteTreatment_Data(), Table_SourceData_WasteSolid_WasteTreatmentEFs[[#Headers],[Treatment type t]], 0)</f>
        <v>Inert waste (including concrete, metal, plastic or glass)</v>
      </c>
      <c r="F36" s="30" cm="1">
        <f t="array" ref="F36">Common_InputFunctions.Utility_DisplayArrayInTable(WasteSolid_SourceData.Waste_EmissionFactorsForWasteTreatment_Data(), Table_SourceData_WasteSolid_WasteTreatmentEFs[[#Headers],[Treatment type t]], 0)</f>
        <v>0.11</v>
      </c>
      <c r="G36" s="3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5" t="str">
        <f>HYPERLINK("#'Calcs - Manure sent off-site'!A1", "Calcs - Manure sent off-site")</f>
        <v>Calcs - Manure sent off-site</v>
      </c>
      <c r="D37" s="1" t="str" cm="1">
        <f t="array" ref="D37">Common_InputFunctions.Utility_DisplayArrayInTable(WasteSolid_SourceData.Waste_EmissionFactorsForWasteTreatment_Data(), Table_SourceData_WasteSolid_WasteTreatmentEFs[[#Headers],[Treatment type t]], 0)</f>
        <v>Incineration</v>
      </c>
      <c r="E37" s="30" t="str" cm="1">
        <f t="array" ref="E37">Common_InputFunctions.Utility_DisplayArrayInTable(WasteSolid_SourceData.Waste_EmissionFactorsForWasteTreatment_Data(), Table_SourceData_WasteSolid_WasteTreatmentEFs[[#Headers],[Treatment type t]], 0)</f>
        <v>Municipal solid waste</v>
      </c>
      <c r="F37" s="30" cm="1">
        <f t="array" ref="F37">Common_InputFunctions.Utility_DisplayArrayInTable(WasteSolid_SourceData.Waste_EmissionFactorsForWasteTreatment_Data(), Table_SourceData_WasteSolid_WasteTreatmentEFs[[#Headers],[Treatment type t]], 0)</f>
        <v>5.3699999999999998E-2</v>
      </c>
      <c r="G37" s="227"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5" t="str">
        <f>HYPERLINK("#'10.1.1-2 Solid waste treatment'!A1", "10.1.1-2 Solid waste treatment")</f>
        <v>10.1.1-2 Solid waste treatment</v>
      </c>
      <c r="D38" s="1" t="str" cm="1">
        <f t="array" ref="D38">Common_InputFunctions.Utility_DisplayArrayInTable(WasteSolid_SourceData.Waste_EmissionFactorsForWasteTreatment_Data(), Table_SourceData_WasteSolid_WasteTreatmentEFs[[#Headers],[Treatment type t]], 0)</f>
        <v>Incineration</v>
      </c>
      <c r="E38" s="30" t="str" cm="1">
        <f t="array" ref="E38">Common_InputFunctions.Utility_DisplayArrayInTable(WasteSolid_SourceData.Waste_EmissionFactorsForWasteTreatment_Data(), Table_SourceData_WasteSolid_WasteTreatmentEFs[[#Headers],[Treatment type t]], 0)</f>
        <v>Commercial and industrial waste</v>
      </c>
      <c r="F38" s="30" cm="1">
        <f t="array" ref="F38">Common_InputFunctions.Utility_DisplayArrayInTable(WasteSolid_SourceData.Waste_EmissionFactorsForWasteTreatment_Data(), Table_SourceData_WasteSolid_WasteTreatmentEFs[[#Headers],[Treatment type t]], 0)</f>
        <v>1.649</v>
      </c>
      <c r="G38" s="227"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D39" s="1" t="str" cm="1">
        <f t="array" ref="D39">Common_InputFunctions.Utility_DisplayArrayInTable(WasteSolid_SourceData.Waste_EmissionFactorsForWasteTreatment_Data(), Table_SourceData_WasteSolid_WasteTreatmentEFs[[#Headers],[Treatment type t]], 0)</f>
        <v>Composting</v>
      </c>
      <c r="E39" s="30" t="str" cm="1">
        <f t="array" ref="E39">Common_InputFunctions.Utility_DisplayArrayInTable(WasteSolid_SourceData.Waste_EmissionFactorsForWasteTreatment_Data(), Table_SourceData_WasteSolid_WasteTreatmentEFs[[#Headers],[Treatment type t]], 0)</f>
        <v>All organic waste</v>
      </c>
      <c r="F39" s="30" cm="1">
        <f t="array" ref="F39">Common_InputFunctions.Utility_DisplayArrayInTable(WasteSolid_SourceData.Waste_EmissionFactorsForWasteTreatment_Data(), Table_SourceData_WasteSolid_WasteTreatmentEFs[[#Headers],[Treatment type t]], 0)</f>
        <v>4.5999999999999999E-2</v>
      </c>
      <c r="G39" s="227"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D40" s="1" t="str" cm="1">
        <f t="array" ref="D40">Common_InputFunctions.Utility_DisplayArrayInTable(WasteSolid_SourceData.Waste_EmissionFactorsForWasteTreatment_Data(), Table_SourceData_WasteSolid_WasteTreatmentEFs[[#Headers],[Treatment type t]], 0)</f>
        <v>Composting</v>
      </c>
      <c r="E40" s="3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30" cm="1">
        <f t="array" ref="F40">Common_InputFunctions.Utility_DisplayArrayInTable(WasteSolid_SourceData.Waste_EmissionFactorsForWasteTreatment_Data(), Table_SourceData_WasteSolid_WasteTreatmentEFs[[#Headers],[Treatment type t]], 0)</f>
        <v>4.5999999999999999E-2</v>
      </c>
      <c r="G40" s="227"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121" t="s">
        <v>1</v>
      </c>
      <c r="D41" s="1" t="str" cm="1">
        <f t="array" ref="D41">Common_InputFunctions.Utility_DisplayArrayInTable(WasteSolid_SourceData.Waste_EmissionFactorsForWasteTreatment_Data(), Table_SourceData_WasteSolid_WasteTreatmentEFs[[#Headers],[Treatment type t]], 0)</f>
        <v>Composting</v>
      </c>
      <c r="E41" s="30" t="str" cm="1">
        <f t="array" ref="E41">Common_InputFunctions.Utility_DisplayArrayInTable(WasteSolid_SourceData.Waste_EmissionFactorsForWasteTreatment_Data(), Table_SourceData_WasteSolid_WasteTreatmentEFs[[#Headers],[Treatment type t]], 0)</f>
        <v>Green waste (including crop residues or prunings)</v>
      </c>
      <c r="F41" s="30" cm="1">
        <f t="array" ref="F41">Common_InputFunctions.Utility_DisplayArrayInTable(WasteSolid_SourceData.Waste_EmissionFactorsForWasteTreatment_Data(), Table_SourceData_WasteSolid_WasteTreatmentEFs[[#Headers],[Treatment type t]], 0)</f>
        <v>4.5999999999999999E-2</v>
      </c>
      <c r="G41" s="227"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s="5" t="str">
        <f>HYPERLINK("#'Constants - Ag Residue'!A1", "Constants - Ag residue")</f>
        <v>Constants - Ag residue</v>
      </c>
      <c r="D42" s="1" t="str" cm="1">
        <f t="array" ref="D42">Common_InputFunctions.Utility_DisplayArrayInTable(WasteSolid_SourceData.Waste_EmissionFactorsForWasteTreatment_Data(), Table_SourceData_WasteSolid_WasteTreatmentEFs[[#Headers],[Treatment type t]], 0)</f>
        <v>Composting</v>
      </c>
      <c r="E42" s="30" t="str" cm="1">
        <f t="array" ref="E42">Common_InputFunctions.Utility_DisplayArrayInTable(WasteSolid_SourceData.Waste_EmissionFactorsForWasteTreatment_Data(), Table_SourceData_WasteSolid_WasteTreatmentEFs[[#Headers],[Treatment type t]], 0)</f>
        <v>Wood</v>
      </c>
      <c r="F42" s="30" cm="1">
        <f t="array" ref="F42">Common_InputFunctions.Utility_DisplayArrayInTable(WasteSolid_SourceData.Waste_EmissionFactorsForWasteTreatment_Data(), Table_SourceData_WasteSolid_WasteTreatmentEFs[[#Headers],[Treatment type t]], 0)</f>
        <v>4.5999999999999999E-2</v>
      </c>
      <c r="G42" s="227"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s="5" t="str">
        <f>HYPERLINK("#'Constants - Common Livestock'!A1", "Constants - Common Livestock")</f>
        <v>Constants - Common Livestock</v>
      </c>
      <c r="D43" s="1" t="str" cm="1">
        <f t="array" ref="D43">Common_InputFunctions.Utility_DisplayArrayInTable(WasteSolid_SourceData.Waste_EmissionFactorsForWasteTreatment_Data(), Table_SourceData_WasteSolid_WasteTreatmentEFs[[#Headers],[Treatment type t]], 0)</f>
        <v>Composting</v>
      </c>
      <c r="E43" s="30" t="str" cm="1">
        <f t="array" ref="E43">Common_InputFunctions.Utility_DisplayArrayInTable(WasteSolid_SourceData.Waste_EmissionFactorsForWasteTreatment_Data(), Table_SourceData_WasteSolid_WasteTreatmentEFs[[#Headers],[Treatment type t]], 0)</f>
        <v>Sludge</v>
      </c>
      <c r="F43" s="30" cm="1">
        <f t="array" ref="F43">Common_InputFunctions.Utility_DisplayArrayInTable(WasteSolid_SourceData.Waste_EmissionFactorsForWasteTreatment_Data(), Table_SourceData_WasteSolid_WasteTreatmentEFs[[#Headers],[Treatment type t]], 0)</f>
        <v>4.5999999999999999E-2</v>
      </c>
      <c r="G43" s="227"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s="5" t="str">
        <f>HYPERLINK("#'Constants - Electricity'!A1", "Constants - Electricity")</f>
        <v>Constants - Electricity</v>
      </c>
      <c r="D44" s="1" t="str" cm="1">
        <f t="array" ref="D44">Common_InputFunctions.Utility_DisplayArrayInTable(WasteSolid_SourceData.Waste_EmissionFactorsForWasteTreatment_Data(), Table_SourceData_WasteSolid_WasteTreatmentEFs[[#Headers],[Treatment type t]], 0)</f>
        <v>Composting</v>
      </c>
      <c r="E44" s="30" t="str" cm="1">
        <f t="array" ref="E44">Common_InputFunctions.Utility_DisplayArrayInTable(WasteSolid_SourceData.Waste_EmissionFactorsForWasteTreatment_Data(), Table_SourceData_WasteSolid_WasteTreatmentEFs[[#Headers],[Treatment type t]], 0)</f>
        <v>Paper and cardboard</v>
      </c>
      <c r="F44" s="30" cm="1">
        <f t="array" ref="F44">Common_InputFunctions.Utility_DisplayArrayInTable(WasteSolid_SourceData.Waste_EmissionFactorsForWasteTreatment_Data(), Table_SourceData_WasteSolid_WasteTreatmentEFs[[#Headers],[Treatment type t]], 0)</f>
        <v>4.5999999999999999E-2</v>
      </c>
      <c r="G44" s="227"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s="5" t="str">
        <f>HYPERLINK("#'Constants - Fertiliser'!A1", "Constants - Fertiliser")</f>
        <v>Constants - Fertiliser</v>
      </c>
      <c r="D45" s="1" t="str" cm="1">
        <f t="array" ref="D45">Common_InputFunctions.Utility_DisplayArrayInTable(WasteSolid_SourceData.Waste_EmissionFactorsForWasteTreatment_Data(), Table_SourceData_WasteSolid_WasteTreatmentEFs[[#Headers],[Treatment type t]], 0)</f>
        <v>Anaerobic digestion</v>
      </c>
      <c r="E45" s="30" t="str" cm="1">
        <f t="array" ref="E45">Common_InputFunctions.Utility_DisplayArrayInTable(WasteSolid_SourceData.Waste_EmissionFactorsForWasteTreatment_Data(), Table_SourceData_WasteSolid_WasteTreatmentEFs[[#Headers],[Treatment type t]], 0)</f>
        <v>All organic waste</v>
      </c>
      <c r="F45" s="30" cm="1">
        <f t="array" ref="F45">Common_InputFunctions.Utility_DisplayArrayInTable(WasteSolid_SourceData.Waste_EmissionFactorsForWasteTreatment_Data(), Table_SourceData_WasteSolid_WasteTreatmentEFs[[#Headers],[Treatment type t]], 0)</f>
        <v>2.8000000000000001E-2</v>
      </c>
      <c r="G45" s="227"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s="5" t="str">
        <f>HYPERLINK("#'Constants - Fuel'!A1", "Constants - Fuel")</f>
        <v>Constants - Fuel</v>
      </c>
      <c r="D46" s="1" t="str" cm="1">
        <f t="array" ref="D46">Common_InputFunctions.Utility_DisplayArrayInTable(WasteSolid_SourceData.Waste_EmissionFactorsForWasteTreatment_Data(), Table_SourceData_WasteSolid_WasteTreatmentEFs[[#Headers],[Treatment type t]], 0)</f>
        <v>Anaerobic digestion</v>
      </c>
      <c r="E46" s="3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30" cm="1">
        <f t="array" ref="F46">Common_InputFunctions.Utility_DisplayArrayInTable(WasteSolid_SourceData.Waste_EmissionFactorsForWasteTreatment_Data(), Table_SourceData_WasteSolid_WasteTreatmentEFs[[#Headers],[Treatment type t]], 0)</f>
        <v>2.8000000000000001E-2</v>
      </c>
      <c r="G46" s="227"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s="5" t="str">
        <f>HYPERLINK("#'Constants - Scope 3'!A1", "Constants - Scope 3")</f>
        <v>Constants - Scope 3</v>
      </c>
      <c r="D47" s="1" t="str" cm="1">
        <f t="array" ref="D47">Common_InputFunctions.Utility_DisplayArrayInTable(WasteSolid_SourceData.Waste_EmissionFactorsForWasteTreatment_Data(), Table_SourceData_WasteSolid_WasteTreatmentEFs[[#Headers],[Treatment type t]], 0)</f>
        <v>Anaerobic digestion</v>
      </c>
      <c r="E47" s="30" t="str" cm="1">
        <f t="array" ref="E47">Common_InputFunctions.Utility_DisplayArrayInTable(WasteSolid_SourceData.Waste_EmissionFactorsForWasteTreatment_Data(), Table_SourceData_WasteSolid_WasteTreatmentEFs[[#Headers],[Treatment type t]], 0)</f>
        <v>Green waste (including crop residues or prunings)</v>
      </c>
      <c r="F47" s="30" cm="1">
        <f t="array" ref="F47">Common_InputFunctions.Utility_DisplayArrayInTable(WasteSolid_SourceData.Waste_EmissionFactorsForWasteTreatment_Data(), Table_SourceData_WasteSolid_WasteTreatmentEFs[[#Headers],[Treatment type t]], 0)</f>
        <v>2.8000000000000001E-2</v>
      </c>
      <c r="G47" s="227"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s="5" t="str">
        <f>HYPERLINK("#'Constants - Common'!A1", "Constants - Common")</f>
        <v>Constants - Common</v>
      </c>
      <c r="D48" s="1" t="str" cm="1">
        <f t="array" ref="D48">Common_InputFunctions.Utility_DisplayArrayInTable(WasteSolid_SourceData.Waste_EmissionFactorsForWasteTreatment_Data(), Table_SourceData_WasteSolid_WasteTreatmentEFs[[#Headers],[Treatment type t]], 0)</f>
        <v>Anaerobic digestion</v>
      </c>
      <c r="E48" s="30" t="str" cm="1">
        <f t="array" ref="E48">Common_InputFunctions.Utility_DisplayArrayInTable(WasteSolid_SourceData.Waste_EmissionFactorsForWasteTreatment_Data(), Table_SourceData_WasteSolid_WasteTreatmentEFs[[#Headers],[Treatment type t]], 0)</f>
        <v>Wood</v>
      </c>
      <c r="F48" s="30" cm="1">
        <f t="array" ref="F48">Common_InputFunctions.Utility_DisplayArrayInTable(WasteSolid_SourceData.Waste_EmissionFactorsForWasteTreatment_Data(), Table_SourceData_WasteSolid_WasteTreatmentEFs[[#Headers],[Treatment type t]], 0)</f>
        <v>2.8000000000000001E-2</v>
      </c>
      <c r="G48" s="227"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s="172" t="str">
        <f>HYPERLINK("#'Constants - Solid Waste'!A1", "Constants - Solid Waste")</f>
        <v>Constants - Solid Waste</v>
      </c>
      <c r="D49" s="1" t="str" cm="1">
        <f t="array" ref="D49">Common_InputFunctions.Utility_DisplayArrayInTable(WasteSolid_SourceData.Waste_EmissionFactorsForWasteTreatment_Data(), Table_SourceData_WasteSolid_WasteTreatmentEFs[[#Headers],[Treatment type t]], 0)</f>
        <v>Anaerobic digestion</v>
      </c>
      <c r="E49" s="30" t="str" cm="1">
        <f t="array" ref="E49">Common_InputFunctions.Utility_DisplayArrayInTable(WasteSolid_SourceData.Waste_EmissionFactorsForWasteTreatment_Data(), Table_SourceData_WasteSolid_WasteTreatmentEFs[[#Headers],[Treatment type t]], 0)</f>
        <v>Sludge</v>
      </c>
      <c r="F49" s="30" cm="1">
        <f t="array" ref="F49">Common_InputFunctions.Utility_DisplayArrayInTable(WasteSolid_SourceData.Waste_EmissionFactorsForWasteTreatment_Data(), Table_SourceData_WasteSolid_WasteTreatmentEFs[[#Headers],[Treatment type t]], 0)</f>
        <v>2.8000000000000001E-2</v>
      </c>
      <c r="G49" s="227"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D50" s="1" t="str" cm="1">
        <f t="array" ref="D50">Common_InputFunctions.Utility_DisplayArrayInTable(WasteSolid_SourceData.Waste_EmissionFactorsForWasteTreatment_Data(), Table_SourceData_WasteSolid_WasteTreatmentEFs[[#Headers],[Treatment type t]], 0)</f>
        <v>Anaerobic digestion</v>
      </c>
      <c r="E50" s="30" t="str" cm="1">
        <f t="array" ref="E50">Common_InputFunctions.Utility_DisplayArrayInTable(WasteSolid_SourceData.Waste_EmissionFactorsForWasteTreatment_Data(), Table_SourceData_WasteSolid_WasteTreatmentEFs[[#Headers],[Treatment type t]], 0)</f>
        <v>Paper and cardboard</v>
      </c>
      <c r="F50" s="30" cm="1">
        <f t="array" ref="F50">Common_InputFunctions.Utility_DisplayArrayInTable(WasteSolid_SourceData.Waste_EmissionFactorsForWasteTreatment_Data(), Table_SourceData_WasteSolid_WasteTreatmentEFs[[#Headers],[Treatment type t]], 0)</f>
        <v>2.8000000000000001E-2</v>
      </c>
      <c r="G50" s="227"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row r="52" spans="1:7" ht="20.100000000000001" customHeight="1" x14ac:dyDescent="0.25">
      <c r="D52" s="2" t="str" cm="1">
        <f t="array" ref="D52">WasteSolid_SourceData.Waste_WasteVolumeToMassConversion_Title()</f>
        <v>Volume to mass conversion factor for various waste types</v>
      </c>
    </row>
    <row r="53" spans="1:7" ht="20.100000000000001" customHeight="1" x14ac:dyDescent="0.25">
      <c r="D53" s="27" t="str" cm="1">
        <f t="array" ref="D53">WasteSolid_SourceData.Waste_WasteVolumeToMassConversion_Source()</f>
        <v>VEERG 2026: Table A.4.1.2</v>
      </c>
    </row>
    <row r="54" spans="1:7" ht="20.100000000000001" customHeight="1" x14ac:dyDescent="0.25">
      <c r="D54" s="36" t="str" cm="1">
        <f t="array" ref="D54">WasteSolid_SourceData.Waste_WasteVolumeToMassConversion_Variation()</f>
        <v>VARIATION OF SOURCE: Changed column header CFw to VTMw to match title variable.</v>
      </c>
    </row>
    <row r="55" spans="1:7" ht="20.100000000000001" customHeight="1" x14ac:dyDescent="0.25">
      <c r="D55" s="1" t="str" cm="1">
        <f t="array" ref="D55">WasteSolid_SourceData.Waste_WasteVolumeToMassConversion_Variable()</f>
        <v>VTMw</v>
      </c>
    </row>
    <row r="56" spans="1:7" ht="20.100000000000001" customHeight="1" x14ac:dyDescent="0.25">
      <c r="D56" s="15" t="str" cm="1">
        <f t="array" ref="D56">WasteSolid_SourceData.Waste_WasteVolumeToMassConversion_Unit()</f>
        <v>t/m3</v>
      </c>
    </row>
    <row r="57" spans="1:7" ht="20.100000000000001" customHeight="1" x14ac:dyDescent="0.25">
      <c r="D57" s="30" t="s">
        <v>602</v>
      </c>
      <c r="E57" s="30" t="s">
        <v>605</v>
      </c>
    </row>
    <row r="58" spans="1:7" ht="20.100000000000001" customHeight="1" x14ac:dyDescent="0.25">
      <c r="D58" s="3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3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D59" s="1" t="str" cm="1">
        <f t="array" ref="D59">Common_InputFunctions.Utility_DisplayArrayInTable(WasteSolid_SourceData.Waste_WasteVolumeToMassConversion_Data(), Table_SourceData_WasteSolid_VolumeToMassConversion[[#Headers],[Waste type w]], 0)</f>
        <v>Paper and cardboard</v>
      </c>
      <c r="E59" s="3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D60" s="1" t="str" cm="1">
        <f t="array" ref="D60">Common_InputFunctions.Utility_DisplayArrayInTable(WasteSolid_SourceData.Waste_WasteVolumeToMassConversion_Data(), Table_SourceData_WasteSolid_VolumeToMassConversion[[#Headers],[Waste type w]], 0)</f>
        <v>Green waste (including crop residues or prunings)</v>
      </c>
      <c r="E60" s="3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D61" s="1" t="str" cm="1">
        <f t="array" ref="D61">Common_InputFunctions.Utility_DisplayArrayInTable(WasteSolid_SourceData.Waste_WasteVolumeToMassConversion_Data(), Table_SourceData_WasteSolid_VolumeToMassConversion[[#Headers],[Waste type w]], 0)</f>
        <v>Wood</v>
      </c>
      <c r="E61" s="3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D62" s="1" t="str" cm="1">
        <f t="array" ref="D62">Common_InputFunctions.Utility_DisplayArrayInTable(WasteSolid_SourceData.Waste_WasteVolumeToMassConversion_Data(), Table_SourceData_WasteSolid_VolumeToMassConversion[[#Headers],[Waste type w]], 0)</f>
        <v>Textiles</v>
      </c>
      <c r="E62" s="3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D63" s="1" t="str" cm="1">
        <f t="array" ref="D63">Common_InputFunctions.Utility_DisplayArrayInTable(WasteSolid_SourceData.Waste_WasteVolumeToMassConversion_Data(), Table_SourceData_WasteSolid_VolumeToMassConversion[[#Headers],[Waste type w]], 0)</f>
        <v>Sludge</v>
      </c>
      <c r="E63" s="3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D64" s="1" t="str" cm="1">
        <f t="array" ref="D64">Common_InputFunctions.Utility_DisplayArrayInTable(WasteSolid_SourceData.Waste_WasteVolumeToMassConversion_Data(), Table_SourceData_WasteSolid_VolumeToMassConversion[[#Headers],[Waste type w]], 0)</f>
        <v>Rubber and leather</v>
      </c>
      <c r="E64" s="30" cm="1">
        <f t="array" ref="E64">Common_InputFunctions.Utility_DisplayArrayInTable(WasteSolid_SourceData.Waste_WasteVolumeToMassConversion_Data(), Table_SourceData_WasteSolid_VolumeToMassConversion[[#Headers],[Waste type w]], 0)</f>
        <v>0.14000000000000001</v>
      </c>
    </row>
    <row r="65" spans="4:5" ht="20.100000000000001" customHeight="1" x14ac:dyDescent="0.25">
      <c r="D65" s="1" t="str" cm="1">
        <f t="array" ref="D65">Common_InputFunctions.Utility_DisplayArrayInTable(WasteSolid_SourceData.Waste_WasteVolumeToMassConversion_Data(), Table_SourceData_WasteSolid_VolumeToMassConversion[[#Headers],[Waste type w]], 0)</f>
        <v>Inert waste (including concrete, metal, plastic or glass)</v>
      </c>
      <c r="E65" s="30" cm="1">
        <f t="array" ref="E65">Common_InputFunctions.Utility_DisplayArrayInTable(WasteSolid_SourceData.Waste_WasteVolumeToMassConversion_Data(), Table_SourceData_WasteSolid_VolumeToMassConversion[[#Headers],[Waste type w]], 0)</f>
        <v>0.42</v>
      </c>
    </row>
    <row r="66" spans="4:5" ht="20.100000000000001" customHeight="1" x14ac:dyDescent="0.25">
      <c r="D66" s="1" t="str" cm="1">
        <f t="array" ref="D66">Common_InputFunctions.Utility_DisplayArrayInTable(WasteSolid_SourceData.Waste_WasteVolumeToMassConversion_Data(), Table_SourceData_WasteSolid_VolumeToMassConversion[[#Headers],[Waste type w]], 0)</f>
        <v>Municipal solid waste</v>
      </c>
      <c r="E66" s="30" cm="1">
        <f t="array" ref="E66">Common_InputFunctions.Utility_DisplayArrayInTable(WasteSolid_SourceData.Waste_WasteVolumeToMassConversion_Data(), Table_SourceData_WasteSolid_VolumeToMassConversion[[#Headers],[Waste type w]], 0)</f>
        <v>0.36</v>
      </c>
    </row>
    <row r="67" spans="4:5" ht="20.100000000000001" customHeight="1" x14ac:dyDescent="0.25">
      <c r="D67" s="1" t="str" cm="1">
        <f t="array" ref="D67">Common_InputFunctions.Utility_DisplayArrayInTable(WasteSolid_SourceData.Waste_WasteVolumeToMassConversion_Data(), Table_SourceData_WasteSolid_VolumeToMassConversion[[#Headers],[Waste type w]], 0)</f>
        <v>Commercial and industrial waste</v>
      </c>
      <c r="E67" s="30" cm="1">
        <f t="array" ref="E67">Common_InputFunctions.Utility_DisplayArrayInTable(WasteSolid_SourceData.Waste_WasteVolumeToMassConversion_Data(), Table_SourceData_WasteSolid_VolumeToMassConversion[[#Headers],[Waste type w]], 0)</f>
        <v>0.33</v>
      </c>
    </row>
    <row r="68" spans="4:5" ht="20.100000000000001" customHeight="1" x14ac:dyDescent="0.25">
      <c r="D68" s="1" t="str" cm="1">
        <f t="array" ref="D68">Common_InputFunctions.Utility_DisplayArrayInTable(WasteSolid_SourceData.Waste_WasteVolumeToMassConversion_Data(), Table_SourceData_WasteSolid_VolumeToMassConversion[[#Headers],[Waste type w]], 0)</f>
        <v>Construction and demolition waste</v>
      </c>
      <c r="E68" s="30" cm="1">
        <f t="array" ref="E68">Common_InputFunctions.Utility_DisplayArrayInTable(WasteSolid_SourceData.Waste_WasteVolumeToMassConversion_Data(), Table_SourceData_WasteSolid_VolumeToMassConversion[[#Headers],[Waste type w]], 0)</f>
        <v>0.39</v>
      </c>
    </row>
    <row r="69" spans="4:5" ht="20.100000000000001" customHeight="1" x14ac:dyDescent="0.25"/>
    <row r="70" spans="4:5" ht="20.100000000000001" customHeight="1" x14ac:dyDescent="0.25"/>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BDAAE-AFAB-4A0E-98E2-CFC860C2F808}">
  <dimension ref="A1:AV49"/>
  <sheetViews>
    <sheetView showGridLines="0"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16" t="e" vm="1">
        <v>#VALUE!</v>
      </c>
      <c r="C1" s="259" t="s">
        <v>976</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row>
    <row r="2" spans="1:42" ht="20.100000000000001" customHeight="1" x14ac:dyDescent="0.25">
      <c r="C2" s="260"/>
      <c r="D2" s="260"/>
      <c r="E2" s="260"/>
      <c r="F2" s="260"/>
      <c r="G2" s="260"/>
      <c r="H2" s="260"/>
      <c r="I2" s="260"/>
      <c r="J2" s="260"/>
      <c r="K2" s="260"/>
      <c r="L2" s="260"/>
      <c r="M2" s="260"/>
      <c r="N2" s="260"/>
      <c r="O2" s="260"/>
      <c r="P2" s="260"/>
      <c r="Q2" s="260"/>
      <c r="R2" s="260"/>
      <c r="S2" s="260"/>
      <c r="T2" s="260"/>
      <c r="U2" s="260"/>
      <c r="V2" s="260"/>
      <c r="W2" s="260"/>
      <c r="X2" s="260"/>
      <c r="Y2" s="260"/>
      <c r="Z2" s="260"/>
      <c r="AA2" s="260"/>
      <c r="AB2" s="260"/>
      <c r="AC2" s="260"/>
      <c r="AD2" s="260"/>
      <c r="AE2" s="260"/>
      <c r="AF2" s="260"/>
      <c r="AG2" s="260"/>
      <c r="AH2" s="260"/>
      <c r="AI2" s="260"/>
      <c r="AJ2" s="260"/>
      <c r="AK2" s="260"/>
      <c r="AL2" s="260"/>
      <c r="AM2" s="260"/>
      <c r="AN2" s="260"/>
      <c r="AO2" s="260"/>
      <c r="AP2" s="261"/>
    </row>
    <row r="3" spans="1:42" ht="20.100000000000001" customHeight="1" x14ac:dyDescent="0.25">
      <c r="A3" s="5" t="str">
        <f>HYPERLINK("#'Home'!A1", "Home")</f>
        <v>Home</v>
      </c>
      <c r="C3" s="262"/>
      <c r="D3" s="262"/>
      <c r="E3" s="262"/>
      <c r="F3" s="262"/>
      <c r="G3" s="262"/>
      <c r="H3" s="262"/>
      <c r="I3" s="262"/>
      <c r="J3" s="262"/>
      <c r="K3" s="262"/>
      <c r="L3" s="262"/>
      <c r="M3" s="262"/>
      <c r="N3" s="262"/>
      <c r="O3" s="262"/>
      <c r="P3" s="262"/>
      <c r="Q3" s="262"/>
      <c r="R3" s="262"/>
      <c r="S3" s="262"/>
      <c r="T3" s="262"/>
      <c r="U3" s="262"/>
      <c r="V3" s="262"/>
      <c r="W3" s="262"/>
      <c r="X3" s="262"/>
      <c r="Y3" s="262"/>
      <c r="Z3" s="262"/>
      <c r="AA3" s="262"/>
      <c r="AB3" s="262"/>
      <c r="AC3" s="262"/>
      <c r="AD3" s="262"/>
      <c r="AE3" s="262"/>
      <c r="AF3" s="262"/>
      <c r="AG3" s="262"/>
      <c r="AH3" s="262"/>
      <c r="AI3" s="262"/>
      <c r="AJ3" s="262"/>
      <c r="AK3" s="262"/>
      <c r="AL3" s="262"/>
      <c r="AM3" s="262"/>
      <c r="AN3" s="262"/>
      <c r="AO3" s="262"/>
    </row>
    <row r="4" spans="1:42" ht="20.100000000000001" customHeight="1" x14ac:dyDescent="0.25">
      <c r="A4" s="263" t="str">
        <f>HYPERLINK("#'Overview'!A1", "Overview")</f>
        <v>Overview</v>
      </c>
    </row>
    <row r="5" spans="1:42" ht="20.100000000000001" customHeight="1" x14ac:dyDescent="0.25">
      <c r="A5" s="5" t="str">
        <f>HYPERLINK("#'Results'!A1", "Results")</f>
        <v>Results</v>
      </c>
      <c r="D5" s="94" t="s">
        <v>977</v>
      </c>
      <c r="E5" s="54"/>
      <c r="F5" s="54"/>
      <c r="G5" s="54"/>
      <c r="H5" s="54"/>
      <c r="I5" s="54"/>
      <c r="J5" s="54"/>
      <c r="K5" s="54"/>
      <c r="L5" s="54"/>
      <c r="M5" s="54"/>
      <c r="N5" s="54"/>
      <c r="O5" s="55"/>
    </row>
    <row r="6" spans="1:42" ht="20.100000000000001" customHeight="1" x14ac:dyDescent="0.25">
      <c r="D6" s="264" t="s">
        <v>978</v>
      </c>
      <c r="E6" s="57"/>
      <c r="F6" s="57"/>
      <c r="G6" s="57"/>
      <c r="H6" s="57"/>
      <c r="I6" s="57"/>
      <c r="J6" s="57"/>
      <c r="K6" s="57"/>
      <c r="L6" s="57"/>
      <c r="M6" s="57"/>
      <c r="N6" s="57"/>
      <c r="O6" s="58"/>
    </row>
    <row r="7" spans="1:42" ht="20.100000000000001" customHeight="1" x14ac:dyDescent="0.25"/>
    <row r="8" spans="1:42" ht="20.100000000000001" customHeight="1" x14ac:dyDescent="0.25">
      <c r="A8" s="7" t="s">
        <v>0</v>
      </c>
    </row>
    <row r="9" spans="1:42" ht="20.100000000000001" customHeight="1" x14ac:dyDescent="0.25">
      <c r="A9" s="5" t="str">
        <f>HYPERLINK("#'Input - Enterprise'!A1", "Enterprise")</f>
        <v>Enterprise</v>
      </c>
    </row>
    <row r="10" spans="1:42" ht="20.100000000000001" customHeight="1" x14ac:dyDescent="0.25">
      <c r="A10" s="5" t="str">
        <f>HYPERLINK("#'Input - Site'!A1", "Site")</f>
        <v>Site</v>
      </c>
    </row>
    <row r="11" spans="1:42" ht="20.100000000000001" customHeight="1" x14ac:dyDescent="0.25">
      <c r="A11" s="5" t="str">
        <f>HYPERLINK("#'Input - Crop'!A1", "Crop")</f>
        <v>Crop</v>
      </c>
    </row>
    <row r="12" spans="1:42" ht="20.100000000000001" customHeight="1" x14ac:dyDescent="0.25">
      <c r="A12" s="5" t="str">
        <f>HYPERLINK("#'Input - Fert Prod System'!A1", "Fert Prod System")</f>
        <v>Fert Prod System</v>
      </c>
    </row>
    <row r="13" spans="1:42" ht="20.100000000000001" customHeight="1" x14ac:dyDescent="0.25">
      <c r="A13" s="5" t="str">
        <f>HYPERLINK("#'Input - Fertiliser'!A1", "Fertiliser")</f>
        <v>Fertiliser</v>
      </c>
    </row>
    <row r="14" spans="1:42" ht="20.100000000000001" customHeight="1" x14ac:dyDescent="0.25">
      <c r="A14" s="5" t="str">
        <f>HYPERLINK("#'Input - Fuel'!A1", "Fuel")</f>
        <v>Fuel</v>
      </c>
    </row>
    <row r="15" spans="1:42" ht="20.100000000000001" customHeight="1" x14ac:dyDescent="0.25">
      <c r="A15" s="5" t="str">
        <f>HYPERLINK("#'Input - Electricity'!A1", "Electricity")</f>
        <v>Electricity</v>
      </c>
    </row>
    <row r="16" spans="1:42" ht="20.100000000000001" customHeight="1" x14ac:dyDescent="0.25">
      <c r="A16" s="5" t="str">
        <f>HYPERLINK("#'Input - Farm Inputs'!A1", "Farm Inputs")</f>
        <v>Farm Inputs</v>
      </c>
    </row>
    <row r="17" spans="1:1" ht="20.100000000000001" customHeight="1" x14ac:dyDescent="0.25">
      <c r="A17" s="5" t="str">
        <f>HYPERLINK("#'Input - Freight'!A1", "Freight")</f>
        <v>Freight</v>
      </c>
    </row>
    <row r="18" spans="1:1" ht="20.100000000000001" customHeight="1" x14ac:dyDescent="0.25">
      <c r="A18" s="5" t="str">
        <f>HYPERLINK("#'Input - Manure sent off-site'!A1", "Manure sent off-site")</f>
        <v>Manure sent off-site</v>
      </c>
    </row>
    <row r="19" spans="1:1" ht="20.100000000000001" customHeight="1" x14ac:dyDescent="0.25">
      <c r="A19" s="5" t="str">
        <f>HYPERLINK("#'Input - Solid waste'!A1", "Solid waste")</f>
        <v>Solid waste</v>
      </c>
    </row>
    <row r="20" spans="1:1" ht="20.100000000000001" customHeight="1" x14ac:dyDescent="0.25">
      <c r="A20" s="5" t="str">
        <f>HYPERLINK("#'Input - Data quality'!A1", "Data quality")</f>
        <v>Data quality</v>
      </c>
    </row>
    <row r="21" spans="1:1" ht="20.100000000000001" customHeight="1" x14ac:dyDescent="0.25"/>
    <row r="22" spans="1:1" ht="20.100000000000001" customHeight="1" x14ac:dyDescent="0.25"/>
    <row r="23" spans="1:1" ht="20.100000000000001" customHeight="1" x14ac:dyDescent="0.25">
      <c r="A23" s="6" t="s">
        <v>2</v>
      </c>
    </row>
    <row r="24" spans="1:1" ht="20.100000000000001" customHeight="1" x14ac:dyDescent="0.25">
      <c r="A24" s="5" t="str">
        <f>HYPERLINK("#'5.1.1.1-2 Inorganic fert N2O'!A1", "5.1.1.1-2 Inorganic fert N2O")</f>
        <v>5.1.1.1-2 Inorganic fert N2O</v>
      </c>
    </row>
    <row r="25" spans="1:1" ht="20.100000000000001" customHeight="1" x14ac:dyDescent="0.25">
      <c r="A25" s="5" t="str">
        <f>HYPERLINK("#'5.1.1.3-4 Inorganic fert CO2'!A1", "5.1.1.3-4 Inorganic fert CO2")</f>
        <v>5.1.1.3-4 Inorganic fert CO2</v>
      </c>
    </row>
    <row r="26" spans="1:1" ht="20.100000000000001" customHeight="1" x14ac:dyDescent="0.25">
      <c r="A26" s="5" t="str">
        <f>HYPERLINK("#'5.2.1.1-2 Organic Fert N2O'!A1", "5.2.1.1-2 Organic fert N2O")</f>
        <v>5.2.1.1-2 Organic fert N2O</v>
      </c>
    </row>
    <row r="27" spans="1:1" ht="20.100000000000001" customHeight="1" x14ac:dyDescent="0.25">
      <c r="A27" s="5" t="str">
        <f>HYPERLINK("#'5.3.1.1-2 Lime CO2'!A1", "5.3.1.1-2 Lime CO2")</f>
        <v>5.3.1.1-2 Lime CO2</v>
      </c>
    </row>
    <row r="28" spans="1:1" ht="20.100000000000001" customHeight="1" x14ac:dyDescent="0.25">
      <c r="A28" s="5" t="str">
        <f>HYPERLINK("#'5.4.1.1-4 Atmos deposition'!A1", "5.4.1.1-4 Atmos. deposition")</f>
        <v>5.4.1.1-4 Atmos. deposition</v>
      </c>
    </row>
    <row r="29" spans="1:1" ht="20.100000000000001" customHeight="1" x14ac:dyDescent="0.25">
      <c r="A29" s="5" t="str">
        <f>HYPERLINK("#'5.5.1.1-2 Leaching and runoff'!A1", "5.5.1.1-2 Leaching &amp; runoff")</f>
        <v>5.5.1.1-2 Leaching &amp; runoff</v>
      </c>
    </row>
    <row r="30" spans="1:1" ht="20.100000000000001" customHeight="1" x14ac:dyDescent="0.25">
      <c r="A30" s="5" t="str">
        <f>HYPERLINK("#'6.1.1.1-2 Crop residue N2O'!A1", "6.1.1.1-2 Crop residue N2O")</f>
        <v>6.1.1.1-2 Crop residue N2O</v>
      </c>
    </row>
    <row r="31" spans="1:1" ht="20.100000000000001" customHeight="1" x14ac:dyDescent="0.25">
      <c r="A31" s="5" t="str">
        <f>HYPERLINK("#'6.3.1.1-2 Leach runoff crop'!A1", "6.3.1.1-2 Leach &amp; runoff (crop)")</f>
        <v>6.3.1.1-2 Leach &amp; runoff (crop)</v>
      </c>
    </row>
    <row r="32" spans="1:1" ht="20.100000000000001" customHeight="1" x14ac:dyDescent="0.25">
      <c r="A32" s="5" t="str">
        <f>HYPERLINK("#'6.4.1.1-2 Residue burning'!A1", "6.4.1.1-2 Residue burning")</f>
        <v>6.4.1.1-2 Residue burning</v>
      </c>
    </row>
    <row r="33" spans="1:48" ht="20.100000000000001" customHeight="1" x14ac:dyDescent="0.25">
      <c r="A33" s="5" t="str">
        <f>HYPERLINK("#'8.1.1.1-2 Transport fuel'!A1", "8.1.1.1-2 Transport fuel")</f>
        <v>8.1.1.1-2 Transport fuel</v>
      </c>
    </row>
    <row r="34" spans="1:48" ht="20.100000000000001" customHeight="1" x14ac:dyDescent="0.25">
      <c r="A34" s="5" t="str">
        <f>HYPERLINK("#'8.2.1.1-2 Stationary fuel'!A1", "8.2.1.1-2 Stationary fuel")</f>
        <v>8.2.1.1-2 Stationary fuel</v>
      </c>
    </row>
    <row r="35" spans="1:48" ht="20.100000000000001" customHeight="1" x14ac:dyDescent="0.25">
      <c r="A35" s="5" t="str">
        <f>HYPERLINK("#'14.1.1-2 Purchased electricity'!A1", "14.1.1-2 Purchased electricity")</f>
        <v>14.1.1-2 Purchased electricity</v>
      </c>
    </row>
    <row r="36" spans="1:48" ht="20.100000000000001" customHeight="1" x14ac:dyDescent="0.25">
      <c r="A36" s="5" t="str">
        <f>HYPERLINK("#'15 Scope 3'!A1", "15 Scope 3")</f>
        <v>15 Scope 3</v>
      </c>
    </row>
    <row r="37" spans="1:48" ht="20.100000000000001" customHeight="1" x14ac:dyDescent="0.25">
      <c r="A37" s="5" t="str">
        <f>HYPERLINK("#'Calcs - Manure sent off-site'!A1", "Calcs - Manure sent off-site")</f>
        <v>Calcs - Manure sent off-site</v>
      </c>
      <c r="L37" s="1" t="s">
        <v>979</v>
      </c>
    </row>
    <row r="38" spans="1:48" ht="20.100000000000001" customHeight="1" x14ac:dyDescent="0.25">
      <c r="A38" s="5" t="str">
        <f>HYPERLINK("#'10.1.1-2 Solid waste treatment'!A1", "10.1.1-2 Solid waste treatment")</f>
        <v>10.1.1-2 Solid waste treatment</v>
      </c>
    </row>
    <row r="39" spans="1:48" ht="20.100000000000001" customHeight="1" x14ac:dyDescent="0.25"/>
    <row r="40" spans="1:48" ht="20.100000000000001" customHeight="1" x14ac:dyDescent="0.25"/>
    <row r="41" spans="1:48" ht="20.100000000000001" customHeight="1" x14ac:dyDescent="0.25">
      <c r="A41" s="121" t="s">
        <v>1</v>
      </c>
    </row>
    <row r="42" spans="1:48" ht="20.100000000000001" customHeight="1" x14ac:dyDescent="0.25">
      <c r="A42" s="5" t="str">
        <f>HYPERLINK("#'Constants - Ag Residue'!A1", "Constants - Ag residue")</f>
        <v>Constants - Ag residue</v>
      </c>
    </row>
    <row r="43" spans="1:48" x14ac:dyDescent="0.25">
      <c r="A43" s="5" t="str">
        <f>HYPERLINK("#'Constants - Common Livestock'!A1", "Constants - Common Livestock")</f>
        <v>Constants - Common Livestock</v>
      </c>
    </row>
    <row r="44" spans="1:48" x14ac:dyDescent="0.25">
      <c r="A44" s="5" t="str">
        <f>HYPERLINK("#'Constants - Electricity'!A1", "Constants - Electricity")</f>
        <v>Constants - Electricity</v>
      </c>
    </row>
    <row r="45" spans="1:48" x14ac:dyDescent="0.25">
      <c r="A45" s="5" t="str">
        <f>HYPERLINK("#'Constants - Fertiliser'!A1", "Constants - Fertiliser")</f>
        <v>Constants - Fertiliser</v>
      </c>
      <c r="AV45" t="s">
        <v>980</v>
      </c>
    </row>
    <row r="46" spans="1:48" x14ac:dyDescent="0.25">
      <c r="A46" s="5" t="str">
        <f>HYPERLINK("#'Constants - Fuel'!A1", "Constants - Fuel")</f>
        <v>Constants - Fuel</v>
      </c>
    </row>
    <row r="47" spans="1:48" x14ac:dyDescent="0.25">
      <c r="A47" s="5" t="str">
        <f>HYPERLINK("#'Constants - Scope 3'!A1", "Constants - Scope 3")</f>
        <v>Constants - Scope 3</v>
      </c>
    </row>
    <row r="48" spans="1:48" x14ac:dyDescent="0.25">
      <c r="A48" s="5" t="str">
        <f>HYPERLINK("#'Constants - Common'!A1", "Constants - Common")</f>
        <v>Constants - Common</v>
      </c>
    </row>
    <row r="49" spans="1:1" x14ac:dyDescent="0.25">
      <c r="A49" s="5" t="str">
        <f>HYPERLINK("#'Constants - Solid Waste'!A1", "Constants - Solid Waste")</f>
        <v>Constants - Solid Waste</v>
      </c>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49"/>
  <sheetViews>
    <sheetView showGridLines="0" zoomScaleNormal="100" workbookViewId="0">
      <selection activeCell="A5" sqref="A5"/>
    </sheetView>
  </sheetViews>
  <sheetFormatPr defaultRowHeight="15.75" x14ac:dyDescent="0.25"/>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6" customFormat="1" ht="25.5" x14ac:dyDescent="0.35">
      <c r="C1" s="16" t="s">
        <v>188</v>
      </c>
    </row>
    <row r="2" spans="1:13" s="3" customFormat="1" x14ac:dyDescent="0.25">
      <c r="A2"/>
    </row>
    <row r="3" spans="1:13" ht="20.25" x14ac:dyDescent="0.25">
      <c r="A3" s="5" t="str">
        <f>HYPERLINK("#'Home'!A1", "Home")</f>
        <v>Home</v>
      </c>
      <c r="C3" s="39"/>
      <c r="D3" s="39"/>
      <c r="E3" s="39"/>
      <c r="F3" s="39"/>
      <c r="G3" s="39"/>
      <c r="H3" s="39"/>
      <c r="I3" s="39"/>
      <c r="J3" s="39"/>
      <c r="K3" s="39"/>
      <c r="L3" s="39"/>
      <c r="M3" s="39"/>
    </row>
    <row r="4" spans="1:13" x14ac:dyDescent="0.25">
      <c r="A4" s="5" t="str">
        <f>HYPERLINK("#'Overview'!A1", "Overview")</f>
        <v>Overview</v>
      </c>
    </row>
    <row r="5" spans="1:13" x14ac:dyDescent="0.25">
      <c r="A5" s="5" t="str">
        <f>HYPERLINK("#'Results'!A1", "Results")</f>
        <v>Results</v>
      </c>
    </row>
    <row r="6" spans="1:13" x14ac:dyDescent="0.25">
      <c r="D6" s="92" t="s">
        <v>189</v>
      </c>
      <c r="E6" s="92" t="s">
        <v>190</v>
      </c>
      <c r="F6" s="92" t="s">
        <v>191</v>
      </c>
      <c r="G6" s="92" t="s">
        <v>192</v>
      </c>
      <c r="H6" s="92" t="s">
        <v>193</v>
      </c>
      <c r="I6" s="92" t="s">
        <v>194</v>
      </c>
      <c r="J6" s="92" t="s">
        <v>195</v>
      </c>
    </row>
    <row r="7" spans="1:13" x14ac:dyDescent="0.25">
      <c r="D7" s="93" t="s">
        <v>196</v>
      </c>
      <c r="E7" s="23" t="s">
        <v>197</v>
      </c>
      <c r="F7" s="23" t="s">
        <v>198</v>
      </c>
      <c r="G7" s="23" t="s">
        <v>199</v>
      </c>
      <c r="H7" s="93"/>
      <c r="I7" s="93"/>
      <c r="J7" s="25"/>
    </row>
    <row r="8" spans="1:13" x14ac:dyDescent="0.25">
      <c r="A8" s="7" t="s">
        <v>0</v>
      </c>
    </row>
    <row r="9" spans="1:13" x14ac:dyDescent="0.25">
      <c r="A9" s="5" t="str">
        <f>HYPERLINK("#'Input - Enterprise'!A1", "Enterprise")</f>
        <v>Enterprise</v>
      </c>
    </row>
    <row r="10" spans="1:13" x14ac:dyDescent="0.25">
      <c r="A10" s="5" t="str">
        <f>HYPERLINK("#'Input - Site'!A1", "Site")</f>
        <v>Site</v>
      </c>
    </row>
    <row r="11" spans="1:13" x14ac:dyDescent="0.25">
      <c r="A11" s="5" t="str">
        <f>HYPERLINK("#'Input - Crop'!A1", "Crop")</f>
        <v>Crop</v>
      </c>
    </row>
    <row r="12" spans="1:13" x14ac:dyDescent="0.25">
      <c r="A12" s="5" t="str">
        <f>HYPERLINK("#'Input - Fert Prod System'!A1", "Fert Prod System")</f>
        <v>Fert Prod System</v>
      </c>
    </row>
    <row r="13" spans="1:13" x14ac:dyDescent="0.25">
      <c r="A13" s="5" t="str">
        <f>HYPERLINK("#'Input - Fertiliser'!A1", "Fertiliser")</f>
        <v>Fertiliser</v>
      </c>
    </row>
    <row r="14" spans="1:13" x14ac:dyDescent="0.25">
      <c r="A14" s="5" t="str">
        <f>HYPERLINK("#'Input - Fuel'!A1", "Fuel")</f>
        <v>Fuel</v>
      </c>
    </row>
    <row r="15" spans="1:13" x14ac:dyDescent="0.25">
      <c r="A15" s="5" t="str">
        <f>HYPERLINK("#'Input - Electricity'!A1", "Electricity")</f>
        <v>Electricity</v>
      </c>
    </row>
    <row r="16" spans="1:13" x14ac:dyDescent="0.25">
      <c r="A16" s="5" t="str">
        <f>HYPERLINK("#'Input - Farm Inputs'!A1", "Farm Inputs")</f>
        <v>Farm Inputs</v>
      </c>
    </row>
    <row r="17" spans="1:1" x14ac:dyDescent="0.25">
      <c r="A17" s="5" t="str">
        <f>HYPERLINK("#'Input - Freight'!A1", "Freight")</f>
        <v>Freight</v>
      </c>
    </row>
    <row r="18" spans="1:1" x14ac:dyDescent="0.25">
      <c r="A18" s="5" t="str">
        <f>HYPERLINK("#'Input - Manure sent off-site'!A1", "Manure sent off-site")</f>
        <v>Manure sent off-site</v>
      </c>
    </row>
    <row r="19" spans="1:1" x14ac:dyDescent="0.25">
      <c r="A19" s="5" t="str">
        <f>HYPERLINK("#'Input - Solid waste'!A1", "Solid waste")</f>
        <v>Solid waste</v>
      </c>
    </row>
    <row r="20" spans="1:1" x14ac:dyDescent="0.25">
      <c r="A20" s="99" t="str">
        <f>HYPERLINK("#'Input - Data quality'!A1", "Data quality")</f>
        <v>Data quality</v>
      </c>
    </row>
    <row r="23" spans="1:1" x14ac:dyDescent="0.25">
      <c r="A23" s="6" t="s">
        <v>2</v>
      </c>
    </row>
    <row r="24" spans="1:1" x14ac:dyDescent="0.25">
      <c r="A24" s="5" t="str">
        <f>HYPERLINK("#'5.1.1.1-2 Inorganic fert N2O'!A1", "5.1.1.1-2 Inorganic fert N2O")</f>
        <v>5.1.1.1-2 Inorganic fert N2O</v>
      </c>
    </row>
    <row r="25" spans="1:1" x14ac:dyDescent="0.25">
      <c r="A25" s="5" t="str">
        <f>HYPERLINK("#'5.1.1.3-4 Inorganic fert CO2'!A1", "5.1.1.3-4 Inorganic fert CO2")</f>
        <v>5.1.1.3-4 Inorganic fert CO2</v>
      </c>
    </row>
    <row r="26" spans="1:1" x14ac:dyDescent="0.25">
      <c r="A26" s="5" t="str">
        <f>HYPERLINK("#'5.2.1.1-2 Organic Fert N2O'!A1", "5.2.1.1-2 Organic fert N2O")</f>
        <v>5.2.1.1-2 Organic fert N2O</v>
      </c>
    </row>
    <row r="27" spans="1:1" x14ac:dyDescent="0.25">
      <c r="A27" s="5" t="str">
        <f>HYPERLINK("#'5.3.1.1-2 Lime CO2'!A1", "5.3.1.1-2 Lime CO2")</f>
        <v>5.3.1.1-2 Lime CO2</v>
      </c>
    </row>
    <row r="28" spans="1:1" x14ac:dyDescent="0.25">
      <c r="A28" s="5" t="str">
        <f>HYPERLINK("#'5.4.1.1-4 Atmos deposition'!A1", "5.4.1.1-4 Atmos. deposition")</f>
        <v>5.4.1.1-4 Atmos. deposition</v>
      </c>
    </row>
    <row r="29" spans="1:1" x14ac:dyDescent="0.25">
      <c r="A29" s="5" t="str">
        <f>HYPERLINK("#'5.5.1.1-2 Leaching and runoff'!A1", "5.5.1.1-2 Leaching &amp; runoff")</f>
        <v>5.5.1.1-2 Leaching &amp; runoff</v>
      </c>
    </row>
    <row r="30" spans="1:1" x14ac:dyDescent="0.25">
      <c r="A30" s="5" t="str">
        <f>HYPERLINK("#'6.1.1.1-2 Crop residue N2O'!A1", "6.1.1.1-2 Crop residue N2O")</f>
        <v>6.1.1.1-2 Crop residue N2O</v>
      </c>
    </row>
    <row r="31" spans="1:1" x14ac:dyDescent="0.25">
      <c r="A31" s="5" t="str">
        <f>HYPERLINK("#'6.3.1.1-2 Leach runoff crop'!A1", "6.3.1.1-2 Leach &amp; runoff (crop)")</f>
        <v>6.3.1.1-2 Leach &amp; runoff (crop)</v>
      </c>
    </row>
    <row r="32" spans="1:1" x14ac:dyDescent="0.25">
      <c r="A32" s="5" t="str">
        <f>HYPERLINK("#'6.4.1.1-2 Residue burning'!A1", "6.4.1.1-2 Residue burning")</f>
        <v>6.4.1.1-2 Residue burning</v>
      </c>
    </row>
    <row r="33" spans="1:1" x14ac:dyDescent="0.25">
      <c r="A33" s="5" t="str">
        <f>HYPERLINK("#'8.1.1.1-2 Transport fuel'!A1", "8.1.1.1-2 Transport fuel")</f>
        <v>8.1.1.1-2 Transport fuel</v>
      </c>
    </row>
    <row r="34" spans="1:1" x14ac:dyDescent="0.25">
      <c r="A34" s="5" t="str">
        <f>HYPERLINK("#'8.2.1.1-2 Stationary fuel'!A1", "8.2.1.1-2 Stationary fuel")</f>
        <v>8.2.1.1-2 Stationary fuel</v>
      </c>
    </row>
    <row r="35" spans="1:1" x14ac:dyDescent="0.25">
      <c r="A35" s="5" t="str">
        <f>HYPERLINK("#'14.1.1-2 Purchased electricity'!A1", "14.1.1-2 Purchased electricity")</f>
        <v>14.1.1-2 Purchased electricity</v>
      </c>
    </row>
    <row r="36" spans="1:1" x14ac:dyDescent="0.25">
      <c r="A36" s="5" t="str">
        <f>HYPERLINK("#'15 Scope 3'!A1", "15 Scope 3")</f>
        <v>15 Scope 3</v>
      </c>
    </row>
    <row r="37" spans="1:1" x14ac:dyDescent="0.25">
      <c r="A37" s="5" t="str">
        <f>HYPERLINK("#'Calcs - Manure sent off-site'!A1", "Calcs - Manure sent off-site")</f>
        <v>Calcs - Manure sent off-site</v>
      </c>
    </row>
    <row r="38" spans="1:1" x14ac:dyDescent="0.25">
      <c r="A38" s="5" t="str">
        <f>HYPERLINK("#'10.1.1-2 Solid waste treatment'!A1", "10.1.1-2 Solid waste treatment")</f>
        <v>10.1.1-2 Solid waste treatment</v>
      </c>
    </row>
    <row r="41" spans="1:1" x14ac:dyDescent="0.25">
      <c r="A41" s="121" t="s">
        <v>1</v>
      </c>
    </row>
    <row r="42" spans="1:1" x14ac:dyDescent="0.25">
      <c r="A42" s="5" t="str">
        <f>HYPERLINK("#'Constants - Ag Residue'!A1", "Constants - Ag residue")</f>
        <v>Constants - Ag residue</v>
      </c>
    </row>
    <row r="43" spans="1:1" x14ac:dyDescent="0.25">
      <c r="A43" s="5" t="str">
        <f>HYPERLINK("#'Constants - Common Livestock'!A1", "Constants - Common Livestock")</f>
        <v>Constants - Common Livestock</v>
      </c>
    </row>
    <row r="44" spans="1:1" x14ac:dyDescent="0.25">
      <c r="A44" s="5" t="str">
        <f>HYPERLINK("#'Constants - Electricity'!A1", "Constants - Electricity")</f>
        <v>Constants - Electricity</v>
      </c>
    </row>
    <row r="45" spans="1:1" x14ac:dyDescent="0.25">
      <c r="A45" s="5" t="str">
        <f>HYPERLINK("#'Constants - Fertiliser'!A1", "Constants - Fertiliser")</f>
        <v>Constants - Fertiliser</v>
      </c>
    </row>
    <row r="46" spans="1:1" x14ac:dyDescent="0.25">
      <c r="A46" s="5" t="str">
        <f>HYPERLINK("#'Constants - Fuel'!A1", "Constants - Fuel")</f>
        <v>Constants - Fuel</v>
      </c>
    </row>
    <row r="47" spans="1:1" x14ac:dyDescent="0.25">
      <c r="A47" s="5" t="str">
        <f>HYPERLINK("#'Constants - Scope 3'!A1", "Constants - Scope 3")</f>
        <v>Constants - Scope 3</v>
      </c>
    </row>
    <row r="48" spans="1:1" x14ac:dyDescent="0.25">
      <c r="A48" s="5" t="str">
        <f>HYPERLINK("#'Constants - Common'!A1", "Constants - Common")</f>
        <v>Constants - Common</v>
      </c>
    </row>
    <row r="49" spans="1:1" x14ac:dyDescent="0.25">
      <c r="A49" s="5" t="str">
        <f>HYPERLINK("#'Constants - Solid Waste'!A1", "Constants - Solid Waste")</f>
        <v>Constants - Solid Waste</v>
      </c>
    </row>
  </sheetData>
  <dataValidations count="3">
    <dataValidation type="list" allowBlank="1" showInputMessage="1" showErrorMessage="1" sqref="G7" xr:uid="{F5DB6B0E-A4BE-4024-A1FE-2B3644D3D3A1}">
      <formula1>INDIRECT("Table_SourceData_DataQuality_SampleSize[ID]")</formula1>
    </dataValidation>
    <dataValidation type="list" allowBlank="1" showInputMessage="1" showErrorMessage="1" sqref="F7" xr:uid="{4C22B631-2653-4CEE-A32C-4E4557CE416C}">
      <formula1>INDIRECT("Table_SourceData_DataQuality_SpatialRepresentativeness[ID]")</formula1>
    </dataValidation>
    <dataValidation type="list" allowBlank="1" showInputMessage="1" showErrorMessage="1" sqref="E7" xr:uid="{2AEE63C7-12BA-4F45-8758-06C0290C2218}">
      <formula1>INDIRECT("Table_SourceData_DataQuality_TemporalRepresentativeness[ID]")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CIAfQAsAHsAIgBwAGEAdABoACIAOgAiAC8AcAByAG8AagBlAGMAdABzAC8AQwBvAG0AbQBvAG4AXwBFAHEAdQBhAHQAaQBvAG4AcwAiACwAIgB0AGUAeAB0ACIAOgAiAFwAbgAvACoAIABcAG4ALQAtAC0ALQAtAC0ALQAtAC0ALQAtAC0ALQAtAC0ALQAtAC0ALQAtAC0ALQAtAC0ALQAtAC0ALQAtAC0ALQAtAC0ALQAtAC0ALQAtAFwAbgBDAG8AbQBtAG8AbgBfAEMAbwBuAHYAZQByAHQATgAyAE8AVABvAEMATwAyAGUAXABuAEMAbwBuAHYAZQByAHQAIABuAGkAdAByAG8AdQBzACAAbwB4AGkAZABlACAAZQBtAGkAcwBzAGkAbwBuAHMAIAB0AG8AIABjAGEAcgBiAG8AbgAgAGQAaQBvAHgAaQBkAGUAIABlAHEAdQBpAHYAYQBsAGUAbgB0ACAAZQBtAGkAcwBzAGkAbwBuAHMAXABuAEUATgAyAE8AIABDAE8AMgBlAFwAbgB0ACAAQwBPADIAZQBcAG4ARQBOADIATwA6ACAAbgBpAHQAcgBvAHUAcwAgAG8AeABpAGQAZQAgAGUAbQBpAHMAcwBpAG8AbgBzACAAKAB0ACAATgAyAE8AKQBcAG4ARwBXAFAATgAyAE8AOgAgAGcAbABvAGIAYQBsACAAdwBhAHIAbQBpAG4AZwAgAHAAbwB0AGUAbgB0AGkAYQBsACAAZgBvAHIAIABuAGkAdAByAG8AdQBzACAAbwB4AGkAZABlACAAKAB0ACAAQwBPADIALQBlACAALwAgAHQAIABOADIATwApAFwAbgAtAC0ALQAtAC0ALQAtAC0ALQAtAC0ALQAtAC0ALQAtAC0ALQAtAC0ALQAtAC0ALQAtAC0ALQAtAC0ALQAtAC0ALQAtAC0ALQAtAC0AXABuACoALwBcAG4AXABuAFwAbgBDAG8AbQBtAG8AbgBfAEMAbwBuAHYAZQByAHQATgAyAE8AVABvAEMATwAyAGUAXABuACAAIAA9AEwAQQBNAEIARABBACgAXABuACAAIAAgACAARQBfAE4AMgBPACwAIABHAFcAUABfAE4AMgBPACwAXABuACAAIAAgACAARQBfAE4AMgBPACAAKgAgAEcAVwBQAF8ATgAyAE8AXABuACAAIAApAFwAbgA7AFwAbgBcAG4AQwBvAG0AbQBvAG4AXwBDAG8AbgB2AGUAcgB0AE4AMgBPAFQAbwBDAE8AMgBlAF8AVABpAHQAbABlAFwAbgAgACAAPQBMAEEATQBCAEQAQQAoAFwAIgBDAG8AbgB2AGUAcgB0ACAAbgBpAHQAcgBvAHUAcwAgAG8AeABpAGQAZQAgAGUAbQBpAHMAcwBpAG8AbgBzACAAdABvACAAYwBhAHIAYgBvAG4AIABkAGkAbwB4AGkAZABlACAAZQBxAHUAaQB2AGEAbABlAG4AdAAgAGUAbQBpAHMAcwBpAG8AbgBzAFwAIgApADsAXABuAFwAbgBDAG8AbQBtAG8AbgBfAEMAbwBuAHYAZQByAHQATgAyAE8AVABvAEMATwAyAGUAXwBWAGEAcgBpAGEAYgBsAGUAXABuACAAIAA9AEwAQQBNAEIARABBACgAXAAiAEUATgAyAE8AIABDAE8AMgBlAFwAIgApADsAXABuAFwAbgBDAG8AbQBtAG8AbgBfAEMAbwBuAHYAZQByAHQATgAyAE8AVABvAEMATwAyAGUAXwBVAG4AaQB0AFwAbgAgACAAPQBMAEEATQBCAEQAQQAoAFwAIgB0ACAAQwBPADIAZQBcACIAKQA7AFwAbgBcAG4AQwBvAG0AbQBvAG4AXwBDAG8AbgB2AGUAcgB0AE4AMgBPAFQAbwBDAE8AMgBlAF8ATgBJAFIAUgBlAGYAZQByAGUAbgBjAGUAXABuACAAIAA9AEwAQQBNAEIARABBACgAXAAiAFwAIgApADsAXABuAFwAbgBDAG8AbQBtAG8AbgBfAEMAbwBuAHYAZQByAHQATgAyAE8AVABvAEMATwAyAGUAXwBMAGEAdABlAHgARQBxAHUAYQB0AGkAbwBuAFwAbgAgACAAPQBMAEEATQBCAEQAQQAoAFwAIgBDAE8AMgBfAGUAIAA9ACAARQBfAHsATgAyAE8AfQAgAFwAXAB0AGkAbQBlAHMAIABHAFcAUABfAHsATgAyAE8AfQBcACIAKQA7AFwAbgBcAG4AQwBvAG0AbQBvAG4AXwBDAG8AbgB2AGUAcgB0AE4AMgBPAFQAbwBDAE8AMgBlAF8AQQByAGcAdQBtAGUAbgB0AHMAXABuACAAIAA9AEwAQQBNAEIARABBACgAXABuACAAIAAgACAATQBBAEsARQBBAFIAUgBBAFkAKAAyACwAIAAyACwAIABcAG4AIAAgACAAIAAgACAATABBAE0AQgBEAEEAKAByACwAYwAsACAAXABuACAAIAAgACAAIAAgACAAIABJAE4ARABFAFgAKAB7AFwAbgAgACAAIAAgACAAIAAgACAAIAAgAFwAIgBFAE4AMgBPAFwAIgAsAFwAIgBOAGkAdAByAG8AdQBzACAAbwB4AGkAZABlACAAZQBtAGkAcwBzAGkAbwBuAHMAIAAoAHQAIABOADIATwApAFwAIgA7AFwAbgAgACAAIAAgACAAIAAgACAAIAAgAFwAIgBHAFcAUABOADIATwBcACIALABcACIARwBsAG8AYgBhAGwAIAB3AGEAcgBtAGkAbgBnACAAcABvAHQAZQBuAHQAaQBhAGwAIABmAG8AcgAgAG4AaQB0AHIAbwB1AHMAIABvAHgAaQBkAGUAIAAoAHQAIABDAE8AMgAtAGUAIAAvACAAdAAgAE4AMgBPACkAXAAiAFwAbgAgACAAIAAgACAAIAAgACAAfQAsACAAcgAsACAAYwApAFwAbgAgACAAIAAgACAAIAApAFwAbgAgACAAIAAgACkAXABuACAAIAApADsAXABuAFwAbgAvACoAIABcAG4ALQAtAC0ALQAtAC0ALQAtAC0ALQAtAC0ALQAtAC0ALQAtAC0ALQAtAC0ALQAtAC0ALQAtAC0ALQAtAC0ALQAtAC0ALQAtAC0ALQAtAFwAbgBDAG8AbQBtAG8AbgBfAEMAbwBuAHYAZQByAHQAQwBIADQAVABvAEMATwAyAGUAXABuAEMAbwBuAHYAZQByAHQAIABtAGUAdABoAGEAbgBlACAAZQBtAGkAcwBzAGkAbwBuAHMAIAB0AG8AIABjAGEAcgBiAG8AbgAgAGQAaQBvAHgAaQBkAGUAIABlAHEAdQBpAHYAYQBsAGUAbgB0ACAAZQBtAGkAcwBzAGkAbwBuAHMAXABuAEUAQwBIADQAIABDAE8AMgBlAFwAbgB0ACAAQwBPADIAZQBcAG4ARQBDAEgANAA6ACAAbQBlAHQAaABhAG4AZQAgAGUAbQBpAHMAcwBpAG8AbgBzACAAKAB0ACAAQwBIADQAKQBcAG4ARwBXAFAAQwBIADQAOgAgAGcAbABvAGIAYQBsACAAdwBhAHIAbQBpAG4AZwAgAHAAbwB0AGUAbgB0AGkAYQBsACAAZgBvAHIAIABtAGUAdABoAGEAbgBlACAAKAB0ACAAQwBPADIALQBlACAALwAgAHQAIABDAEgANAApAFwAbgAtAC0ALQAtAC0ALQAtAC0ALQAtAC0ALQAtAC0ALQAtAC0ALQAtAC0ALQAtAC0ALQAtAC0ALQAtAC0ALQAtAC0ALQAtAC0ALQAtAC0AXABuACoALwBcAG4AXABuAFwAbgBDAG8AbQBtAG8AbgBfAEMAbwBuAHYAZQByAHQAQwBIADQAVABvAEMATwAyAGUAXABuACAAIAA9AEwAQQBNAEIARABBACgAXABuACAAIAAgACAARQBfAEMASAA0ACwAIABHAFcAUABfAEMASAA0ACwAXABuACAAIAAgACAARQBfAEMASAA0ACAAKgAgAEcAVwBQAF8AQwBIADQAXABuACAAIAApAFwAbg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QwBvAG0AbQBvAG4AXwBDAG8AbgB2AGUAcgB0AEMASAA0AFQAbwBDAE8AMgBlAF8AQQByAGcAdQBtAGUAbgB0AHMAXABuACAAIAA9AEwAQQBNAEIARABBACgAXABuACAAIAAgACAATQBBAEsARQBBAFIAUgBBAFkAKAAyACwAIAAyACwAIABcAG4AIAAgACAAIAAgACAATABBAE0AQgBEAEEAKAByACwAYwAsACAAXABuACAAIAAgACAAIAAgACAAIABJAE4ARABFAFgAKAB7AFwAbgAgACAAIAAgACAAIAAgACAAIAAgAFwAIgBFAEMASAA0AFwAIgAsAFwAIgBNAGUAdABoAGEAbgBlACAAZQBtAGkAcwBzAGkAbwBuAHMAIAAoAHQAIABDAEgANAApAFwAIgA7AFwAbgAgACAAIAAgACAAIAAgACAAIAAgAFwAIgBHAFcAUABDAEgANABcACIALABcACIARwBsAG8AYgBhAGwAIAB3AGEAcgBtAGkAbgBnACAAcABvAHQAZQBuAHQAaQBhAGwAIABmAG8AcgAgAG0AZQB0AGgAYQBuAGUAIAAoAHQAIABDAE8AMgAtAGUAIAAvACAAdAAgAEMASAA0ACkAXAAiAFwAbgAgACAAIAAgACAAIAAgACAAfQAsACAAcgAsACAAYwApAFwAbgAgACAAIAAgACAAIAApAFwAbgAgACAAIAAgACkAXABuACAAIA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XAB1ADAAMAAyADcARgByAHkAXAB1ADAAMAAyADcAIAB0AG8AIABcAHUAMAAwADIANwBEAHIAeQBcAHUAMAAwADIAN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BcAHUAMAAwADMAZQAgADEAOAAgAEMAXAAiACwAIABcACIAQQBuAHkAXAAiACwAIABcACIAZCIgADcAXAAiACwAIABcACIAXAB1ADAAMAAzAGU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BcAHUAMAAwADMAZQAgADEAOAAgAEMAXAAiACwAIABcACIAXAB1ADAAMAAzAGUAIAAyADAAMAAwACAAbQBtAFwAIgAsACAAXAAiAGQiIAA3AFwAIgAsACAAXAAiAGQiIAAxADAAMAAwACAAbQBcACIALAAgAFwAIgBBAG4AeQBcACIALAAgADEAOAAuADAAMAAxACwAIAA5ADkAOQA5ADkAOQAsACAAMgAwADAAMAAuADAAMAAxACwAIAA5ADkAOQA5ADkAOQAsACAALQA5ADkAOQA5ADkAOQAsACAANwAsACAALQA5ADkAOQA5ADkAOQAsACAAOQA5ADkALgA5ADkAOQAsACAAIAAtADkAOQA5ADkAOQA5ACwAIAA5ADkAOQA5ADkAOQA7AFwAbgAgACAAIAAgACAAIAAgACAAIAAgAFwAIgBUAHIAbwBwAGkAYwBhAGwAIABtAG8AaQBzAHQAXAAiACwAIABcACIAXAB1ADAAMAAzAGUAIAAxADgAIABDAFwAIgAsACAAXAAiAFwAdQAwADAAMwBl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BcAHUAMAAwADMAZQAgADEAOAAgAEMAXAAiACwAIABcACIAZCIgADEAMAAwADAAIABtAG0AXAAiACwAIABcACIAZCIgADcAXAAiACwAIABcACIAZCIgADEAMAAwADAAIABtAFwAIgAsACAAXAAiAEEAbgB5AFwAIgAsACAAMQA4AC4AMAAwADEALAAgADkAOQA5ADkAOQA5ACwAIAAtADkAOQA5ADkAOQA5ACwAIAAxADAAMAAwACwAIAAtADkAOQA5ADkAOQA5ACwAIAA3ACwAIAAtADkAOQA5ADkAOQA5ACwAIAA5ADkAOQAuADkAOQA5ACwAIAAgAC0AOQA5ADkAOQA5ADkALAAgADkAOQA5ADkAOQA5ADsAXABuACAAIAAgACAAIAAgACAAIAAgACAAXAAiAFcAYQByAG0AIAB0AGUAbQBwAGUAcgBhAHQAZQAgAG0AbwBpAHMAdABcACIALAAgAFwAIgBcAHUAMAAwADMAZQAgADEAMAAgAEMAXAAiACwAIABcACIAQQBuAHkAXAAiACwAIABcACIAQQBuAHkAXAAiACwAIABcACIAQQBuAHkAXAAiACwAIABcACIAXAB1ADAAMAAzAGU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FwAdQAwADAAMwBlACAAMQAwACAAQwBcACIALAAgAFwAIgBBAG4AeQBcACIALAAgAFwAIgBBAG4AeQBcACIALAAgAFwAIgBBAG4AeQBcACIALAAgAFwAIgBkIiAAMQBcACIALAAgADEAMAAuADAAMAAxACwAIAA5ADkAOQA5ADkAOQAsACAALQA5ADkAOQA5ADkAOQAsACAAOQA5ADkAOQA5ADkALAAgAC0AOQA5ADkAOQA5ADkALAAgADkAOQA5ADkAOQA5ACwAIAAtADkAOQA5ADkAOQA5ACwAIAA5ADkAOQA5ADkAOQAsACAAIAAtADkAOQA5ADkAOQA5ACwAIAAxADsAXABuACAAIAAgACAAIAAgACAAIAAgACAAXAAiAEMAbwBvAGwAIAB0AGUAbQBwAGUAcgBhAHQAZQAgAG0AbwBpAHMAdABcACIALAAgAFwAIgBcAHUAMAAwADMAZQAgADAAIABDACAALQAgAGQiIAAxADAAIABDAFwAIgAsACAAXAAiAEEAbgB5AFwAIgAsACAAXAAiAEEAbgB5AFwAIgAsACAAXAAiAEEAbgB5AFwAIgAsACAAXAAiAFwAdQAwADAAMwBl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BcAHUAMAAwADMAZQAgADAAIABDACAALQAgAGQiIAAxADAAIABDAFwAIgAsACAAXAAiAEEAbgB5AFwAIgAsACAAXAAiAEEAbgB5AFwAIgAsACAAXAAiAEEAbgB5AFwAIgAsACAAXAAiAGQiIAAxAFwAIgAsACAALQA5ADkAOQA5ADkAOQAsACAAMQAwACwAIAAtADkAOQA5ADkAOQA5ACwAIAA5ADkAOQA5ADkAOQAsACAALQA5ADkAOQA5ADkAOQAsACAAOQA5ADkAOQA5ADkALAAgAC0AOQA5ADkAOQA5ADkALAAgADkAOQA5ADkAOQA5ACwAIAAgAC0AOQA5ADkAOQA5ADkALAAgADEAXABuACAAIAAgACAAIAAgACAAIAB9ACwAIAByACwAIABjACkAXABuACAAIAAgACAAIAAgACkAXABuACAAIAAgACAAKQBcAG4AIAAgACkAOwBcAG4AXABuAEMAbwBtAG0AbwBuAF8AUwBvAHUAcgBjAGUARABhAHQAYQBfAEMAbABpAG0AYQB0AGUAWgBvAG4AZQBzAF8AQQBwAHAAZQBuAGQAaQBjAGUAcwBcAG4AIAAgACAAPQBMAEEATQBCAEQAQQAoAFwAbgAgACAAIAAgAE0AQQBLAEUAQQBSAFIAQQBZACgANAAsACAAMQAsACAAXABuACAAIAAgACAAIAAgAEwAQQBNAEIARABBACgAcgAsAGMALAAgAFwAbgAgACAAIAAgACAAIAAgACAASQBOAEQARQBYACgAewBcAG4AIAAgACAAIAAgACAAIAAgACAAIABcACIATgBvAHQAZQA6AFwAIgA7AFwAbgAgACAAIAAgACAAIAAgACAAIAAgAFwAIgBNAEEAVAAgAD0AIABtAGUAYQBuACAAYQBuAG4AdQBhAGwAIAB0AGUAbQBwAGUAcgBhAHQAdQByAGUAXAAiADsAXABuACAAIAAgACAAIAAgACAAIAAgACAAXAAiAE0AQQBQACAAPQAgAG0AZQBhAG4AIABhAG4AbgB1AGEAbAAgAHAAcgBlAGMAaQBwAGkAdABhAHQAaQBvAG4AXAAiADsAXABuACAAIAAgACAAIAAgACAAIAAgACAAXAAiAFAARQBUACAAPQAgAHAAbwB0AGUAbgB0AGkAYQBsACAAZQB2AGEAcABvAHQAcgBhAG4AcwBwAGkAcgBhAHQAaQBvAG4AXAAi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VABlAG0AcABlAHIAYQB0AHUAcgBlAFoAbwBuAGUAcwBcAG4ALQAtAC0ALQAtAC0ALQAtAC0ALQAtAC0ALQAtAC0ALQAtAC0ALQAtAC0ALQAtAC0ALQAtAC0ALQAtAC0ALQAtAC0ALQAtAC0ALQAtAFwAbgAqAC8AXABuAFwAbgBDAG8AbQBtAG8AbgBfAFMAbwB1AHIAYwBlAEQAYQB0AGEAXwBUAGUAbQBwAGUAcgBhAHQAdQByAGUAWgBvAG4AZQBzAF8AVABpAHQAbABlAFwAbgAgACAAPQBMAEEATQBCAEQAQQAoAFwAIgBWAEUARQBSAEcAIABBAHUAcwB0AHIAYQBsAGkAYQBuACAAdABlAG0AcABlAHIAYQB0AHUAcgBlACAAegBvAG4AZQBzAFwAIgApADsAXABuAFwAbgBDAG8AbQBtAG8AbgBfAFMAbwB1AHIAYwBlAEQAYQB0AGEAXwBUAGUAbQBwAGUAcgBhAHQAdQByAGUAWgBvAG4AZQBzAF8AVgBhAHIAaQBhAGIAbABlAFwAbgAgACAAPQBMAEEATQBCAEQAQQAoAFwAIgBcACIAKQA7AFwAbgBcAG4AQwBvAG0AbQBvAG4AXwBTAG8AdQByAGMAZQBEAGEAdABhAF8AVABlAG0AcABlAHIAYQB0AHUAcgBlAFoAbwBuAGUAcwBfAFUAbgBpAHQAXABuACAAIAA9AEwAQQBNAEIARABBACgAXAAiAFwAIgApADsAXABuAFwAbgBDAG8AbQBtAG8AbgBfAFMAbwB1AHIAYwBlAEQAYQB0AGEAXwBUAGUAbQBwAGUAcgBhAHQAdQBy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VABlAG0AcABlAHIAYQB0AHUAcgBlAFoAbwBuAGUAcwBfAFYAYQByAGkAYQB0AGkAbwBuAFwAbgAgACAAPQBMAEEATQBCAEQAQQAoAFwAIgBWAEEAUgBJAEEAVABJAE8ATgAgAE8ARgAgAFMATwBVAFIAQwBFACAARABBAFQAQQA6ACAAQQBkAGQAZQBkACAAZQB4AHQAcgBhACAATQBBAFQAIABtAGkAbgAgAGEAbgBkACAATQBBAFQAIABtAGEAeAAgAGMAbwBsAHUAbQBuAHMAIAB0AG8AIABjAGEAbABjAHUAbABhAHQAZQAgAHoAbwBuAGUAIABmAHIAbwBtACAAcgBlAGEAbAAgAHQAZQBtAHAAZQByAGEAdAB1AHIAZQAgAGQAYQB0AGEALgBcACIAKQA7AFwAbgBcAG4AQwBvAG0AbQBvAG4AXwBTAG8AdQByAGMAZQBEAGEAdABhAF8AVABlAG0AcABlAHIAYQB0AHUAcgBlAFoAbwBuAGUAcwBfAEQAYQB0AGEAXABuACAAIAAgAD0ATABBAE0AQgBEAEEAKABcAG4AIAAgACAAIABNAEEASwBFAEEAUgBSAEEAWQAoADQALAAgADQALAAgAFwAbgAgACAAIAAgACAAIABMAEEATQBCAEQAQQAoAHIALABjACwAIABcAG4AIAAgACAAIAAgACAAIAAgAEkATgBEAEUAWAAoAHsAXABuACAAIAAgACAAIAAgACAAIAAgACAAXAAiAFQAZQBtAHAAZQByAGEAdAB1AHIAZQAgAFoAbwBuAGUAXAAiACwAIABcACIATQBlAGQAaQBhAG4AIABBAG4AbgB1AGEAbAAgAFQAZQBtAHAAZQByAGEAdAB1AHIAZQAgACgATQBBAFQAKQBcACIALAAgAFwAIgBNAGkAbgAgAE0AQQBUAFwAIgAsACAAXAAiAE0AYQB4ACAATQBBAFQAXAAiADsAXABuACAAIAAgACAAIAAgACAAIAAgACAAXAAiAFcAYQByAG0AXAAiACwAIABcACIAZSIgADIANgAgAEMAXAAiACwAIAAyADYALAAgADkAOQA5ADkAOQA5ADsAXABuACAAIAAgACAAIAAgACAAIAAgACAAXAAiAFQAZQBtAHAAZQByAGEAdABlAFwAIgAsACAAXAAiADEANQAgAC0AIAAyADUAIABDAFwAIgAsACAAMQA1ACwAIAAyADUALgA5ADkAOQA7AFwAbgAgACAAIAAgACAAIAAgACAAIAAgAFwAIgBDAG8AbwBsAFwAIgAsACAAXAAiAGQiIAAxADQAIABDAFwAIgAsACAALQA5ADkAOQA5ADkAOQAsACAAMQA0AC4AOQA5ADk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IAYQBpAG4AZgBhAGwAbABaAG8AbgBlAHMAXABuAC0ALQAtAC0ALQAtAC0ALQAtAC0ALQAtAC0ALQAtAC0ALQAtAC0ALQAtAC0ALQAtAC0ALQAtAC0ALQAtAC0ALQAtAC0ALQAtAC0ALQBcAG4AKgAvAFwAbgBcAG4AQwBvAG0AbQBvAG4AXwBTAG8AdQByAGMAZQBEAGEAdABhAF8AUgBhAGkAbgBmAGEAbABsAFoAbwBuAGUAcwBfAFQAaQB0AGwAZQBcAG4AIAAgAD0ATABBAE0AQgBEAEEAKABcACIAVgBFAEUAUgBHACAAQQB1AHMAdAByAGEAbABpAGEAbgAgAHIAYQBpAG4AZgBhAGwAbAAgAHoAbwBuAGUAcwBcACIAKQA7AFwAbgBcAG4AQwBvAG0AbQBvAG4AXwBTAG8AdQByAGMAZQBEAGEAdABhAF8AUgBhAGkAbgBmAGEAbABsAFoAbwBuAGUAcwBfAFYAYQByAGkAYQBiAGwAZQBcAG4AIAAgAD0ATABBAE0AQgBEAEEAKABcACIAXAAiACkAOwBcAG4AXABuAEMAbwBtAG0AbwBuAF8AUwBvAHUAcgBjAGUARABhAHQAYQBfAFIAYQBpAG4AZgBhAGwAbABaAG8AbgBlAHMAXwBVAG4AaQB0AFwAbgAgACAAPQBMAEEATQBCAEQAQQAoAFwAIgBcACIAKQA7AFwAbgBcAG4AQwBvAG0AbQBvAG4AXwBTAG8AdQByAGMAZQBEAGEAdABhAF8AUgBhAGkAbgBmAGEAbABs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IAYQBpAG4AZgBhAGwAbABaAG8AbgBlAHMAXwBWAGEAcgBpAGEAdABpAG8AbgBcAG4AIAAgAD0ATABBAE0AQgBEAEEAKABcACIAVgBBAFIASQBBAFQASQBPAE4AIABPAEYAIABTAE8AVQBSAEMARQAgAEQAQQBUAEEAOgAgAEEAZABkAGUAZAAgAGUAeAB0AHIAYQAgAFIAYQBpAG4AZgBhAGwAbAAgAG0AaQBuACAAYQBuAGQAIABSAGEAaQBuAGYAYQBsAGwAIABtAGEAeAAgAGMAbwBsAHUAbQBuAHMAIAB0AG8AIABjAGEAbABjAHUAbABhAHQAZQAgAHoAbwBuAGUAIABmAHIAbwBtACAAcgBlAGEAbAAgAHIAYQBpAG4AZgBhAGwAbAAgAGQAYQB0AGEALgBcACIAKQA7AFwAbgBcAG4AQwBvAG0AbQBvAG4AXwBTAG8AdQByAGMAZQBEAGEAdABhAF8AUgBhAGkAbgBmAGEAbABsAFoAbwBuAGUAcwBfAEQAYQB0AGEAXABuACAAIAAgAD0ATABBAE0AQgBEAEEAKABcAG4AIAAgACAAIABNAEEASwBFAEEAUgBSAEEAWQAoADMALAAgADQALAAgAFwAbgAgACAAIAAgACAAIABMAEEATQBCAEQAQQAoAHIALABjACwAIABcAG4AIAAgACAAIAAgACAAIAAgAEkATgBEAEUAWAAoAHsAXABuACAAIAAgACAAIAAgACAAIAAgACAAXAAiAFIAYQBpAG4AZgBhAGwAbAAgAFoAbwBuAGUAXAAiACwAIABcACIAQQBuAG4AdQBhAGwAIAByAGEAaQBuAGYAYQBsAGwAXAAiACwAIABcACIAUgBhAGkAbgBmAGEAbABsACAAbQBpAG4AXAAiACwAIABcACIAUgBhAGkAbgBmAGEAbABsACAAbQBhAHgAXAAiADsAXABuACAAIAAgACAAIAAgACAAIAAgACAAXAAiAEgAaQBnAGgAIAByAGEAaQBuAGYAYQBsAGwAXAAiACwAIABcACIAQQBuAG4AdQBhAGwAIAByAGEAaQBuAGYAYQBsAGwAIABcAHUAMAAwADMAZQ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BcAHUAMAAwADMAZQ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XAB1ADAAMAAyADcAQQBxAHUAYQBjAHUAbAB0AHUAcgBlAFwAdQAwADAAMgA3ACAAcgBvAHcALgBcACIAOwBcAG4AIAAgACAAIAAgACAAIAAgACAAIABcACIAUgBlAG0AbwB2AGUAZAAgAGEAcwB0AGUAcgBpAHMAawBzACAAdABvACAAYQBpAGQAIABsAG8AbwBrAHUAcAAuAFwAIgA7AFwAbgAgACAAIAAgACAAIAAgACAAIAAgAFwAIgBBAGQAZABlAGQAIABcAHUAMAAwADIANwBwAHIAbwBkAHUAYwB0AGkAbwBuACAAcwB5AHMAdABlAG0AIABvAG4AbAB5AFwAdQAwADAAMgA3ACwAIABcAHUAMAAwADIANwByAGEAaQBuAGYAYQBsAGwAIAB6AG8AbgBlAFwAdQAwADAAMgA3ACAAYQBuAGQAIABcAHUAMAAwADIANwBpAHIAcgBpAGcAYQB0AGkAbwBuACAAbQBlAHQAaABvAGQAXAB1ADAAMAAyADcAIABjAG8AbAB1AG0AbgBzACAAdABvACAAYQBpAGQAIABsAG8AbwBrAHUAcAAuAFwAIgA7AFwAbgAgACAAIAAgACAAIAAgACAAIAAgAFwAIgBEAHUAcABsAGkAYwBhAHQAZQBkACAAXAB1ADAAMAAyADcAbgBvAG4ALQBpAHIAcgBpAGcAYQB0AGUAZAAgAHAAYQBzAHQAdQByAGUAXAB1ADAAMAAyAD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XAB1ADAAMAAyAD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XAB1ADAAMAAyAD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FwAdQAwADAAMgA3AEQAcgB5ACAAYwBsAGkAbQBhAHQAZQAgAHoAbwBuAGUAcwBcAHUAMAAwADIANwAgAHQAbwAgAHMAaQBuAGcAdQBsAGEAcgAgAFwAdQAwADAAMgA3AEQAcgB5ACAAYwBsAGkAbQBhAHQAZQAgAHoAbwBuAGUAXAB1ADAAMAAyADcAIAB0AG8AIABhAGkAZAAgAGwAbwBvAGsAdQBwAC4AXAAiACkAOwBcAG4AXABuAFwAbgAvACoAIABcAG4ALQAtAC0ALQAtAC0ALQAtAC0ALQAtAC0ALQAtAC0ALQAtAC0ALQAtAC0ALQAtAC0ALQAtAC0ALQAtAC0ALQAtAC0ALQAtAC0ALQAtAFwAbgBDAG8AbQBtAG8AbgBfAFMAbwB1AHIAYwBlAEQAYQB0AGEAXwBNAG8AbgB0AGgAcwBUAG8AUwBlAGEAcwBvAG4AcwBcAG4ALQAtAC0ALQAtAC0ALQAtAC0ALQAtAC0ALQAtAC0ALQAtAC0ALQAtAC0ALQAtAC0ALQAtAC0ALQAtAC0ALQAtAC0ALQAtAC0ALQAtAFwAbgAqAC8AXABuAFwAbgBDAG8AbQBtAG8AbgBfAFMAbwB1AHIAYwBlAEQAYQB0AGEAXwBNAG8AbgB0AGgAcwBUAG8AUwBlAGEAcwBvAG4AcwBfAFQAaQB0AGwAZQBcAG4AIAAgAD0ATABBAE0AQgBEAEEAKABcACIATQBvAG4AdABoAHMAIAB0AG8AIABTAGUAYQBzAG8AbgBzACAATQBhAHAAcABpAG4AZwBcACIAKQA7AFwAbgBcAG4AQwBvAG0AbQBvAG4AXwBTAG8AdQByAGMAZQBEAGEAdABhAF8ATQBvAG4AdABoAHMAVABvAFMAZQBhAHMAbwBuAHMAXwBVAG4AaQB0AFwAbgAgACAAPQBMAEEATQBCAEQAQQAoAFwAIgBcACIAKQA7AFwAbgBcAG4AQwBvAG0AbQBvAG4AXwBTAG8AdQByAGMAZQBEAGEAdABhAF8ATQBvAG4AdABoAHMAVABvAFMAZQBhAHMAbwBuAHMAXwBTAG8AdQByAGMAZQBcAG4AIAAgAD0ATABBAE0AQgBEAEEAKABcACIAXAAiACkAOwBcAG4AXABuAEMAbwBtAG0AbwBuAF8AUwBvAHUAcgBjAGUARABhAHQAYQBfAE0AbwBuAHQAaABzAFQAbwBTAGUAYQBzAG8AbgBzAF8ATgBJAFIAUgBlAGYAZQByAGUAbgBjAGUAXABuACAAIAA9AEwAQQBNAEIARABBACgAXAAiAFwAIgApADsAXABuAFwAbgBDAG8AbQBtAG8AbgBfAFMAbwB1AHIAYwBlAEQAYQB0AGEAXwBNAG8AbgB0AGgAcwBUAG8AUwBlAGEAcwBvAG4AcwBfAEQAYQB0AGEAXABuACAAIAA9AEwAQQBNAEIARABBACgAXABuACAAIAAgACAATQBBAEsARQBBAFIAUgBBAFkAKAAxADMALAAgADIALAAgAFwAbgAgACAAIAAgACAAIABMAEEATQBCAEQAQQAoAHIALABjACwAIABcAG4AIAAgACAAIAAgACAAIAAgAEkATgBEAEUAWAAoAHsAXABuACAAIAAgACAAIAAgACAAIAAgACAAXAAiAE0AbwBuAHQAaABcACIALAAgAFwAIgBTAGUAYQBzAG8AbgBcACIAOwBcAG4AIAAgACAAIAAgACAAIAAgACAAIABcACIASgBhAG4AdQBhAHIAeQBcACIALAAgAFwAIgBTAHUAbQBtAGUAcgBcACIAOwBcAG4AIAAgACAAIAAgACAAIAAgACAAIABcACIARgBlAGIAcgB1AGEAcgB5AFwAIgAsACAAXAAiAFMAdQBtAG0AZQByAFwAIgA7AFwAbgAgACAAIAAgACAAIAAgACAAIAAgAFwAIgBNAGEAcgBjAGgAXAAiACwAIABcACIAQQB1AHQAdQBtAG4AXAAiADsAXABuACAAIAAgACAAIAAgACAAIAAgACAAXAAiAEEAcAByAGkAbABcACIALAAgAFwAIgBBAHUAdAB1AG0AbgBcACIAOwBcAG4AIAAgACAAIAAgACAAIAAgACAAIABcACIATQBhAHkAXAAiACwAIABcACIAQQB1AHQAdQBtAG4AXAAiADsAXABuACAAIAAgACAAIAAgACAAIAAgACAAXAAiAEoAdQBuAGUAXAAiACwAIABcACIAVwBpAG4AdABlAHIAXAAiADsAXABuACAAIAAgACAAIAAgACAAIAAgACAAXAAiAEoAdQBsAHkAXAAiACwAIABcACIAVwBpAG4AdABlAHIAXAAiADsAXABuACAAIAAgACAAIAAgACAAIAAgACAAXAAiAEEAdQBnAHUAcwB0AFwAIgAsACAAXAAiAFcAaQBuAHQAZQByAFwAIgA7AFwAbgAgACAAIAAgACAAIAAgACAAIAAgAFwAIgBTAGUAcAB0AGUAbQBiAGUAcgBcACIALAAgAFwAIgBTAHAAcgBpAG4AZwBcACIAOwBcAG4AIAAgACAAIAAgACAAIAAgACAAIABcACIATwBjAHQAbwBiAGUAcgBcACIALAAgAFwAIgBTAHAAcgBpAG4AZwBcACIAOwBcAG4AIAAgACAAIAAgACAAIAAgACAAIABcACIATgBvAHYAZQBtAGIAZQByAFwAIgAsACAAXAAiAFMAcAByAGkAbgBnAFwAIgA7AFwAbgAgACAAIAAgACAAIAAgACAAIAAgAFwAIgBEAGUAYwBlAG0AYgBlAHIAXAAiACwAIABcACIAUwB1AG0AbQBlAHIAXAAiAFwAbgAgACAAIAAgACAAIAAgACAAfQAsACAAcgAsACAAYwApAFwAbgAgACAAIAAgACAAIAApAFwAbgAgACAAIAAgACkAXABuACAAIAApADsAXABuAFwAbgAgACAAQwBvAG0AbQBvAG4AXwBTAG8AdQByAGMAZQBEAGEAdABhAF8ATQBvAG4AdABoAHMAVABvAFMAZQBhAHMAbwBuAHMAXwBWAGEAcgBpAGEAdABpAG8AbgBcAG4AIAAgAD0ATABBAE0AQgBEAEEAKABcACIAXAAiACkAOwBcAG4AXABuAFwAbgBcAG4ALwAqACAAXABuAC0ALQAtAC0ALQAtAC0ALQAtAC0ALQAtAC0ALQAtAC0ALQAtAC0ALQAtAC0ALQAtAC0ALQAtAC0ALQAtAC0ALQAtAC0ALQAtAC0ALQBcAG4AQwBvAG0AbQBvAG4AXwBTAG8AdQByAGMAZQBEAGEAdABhAF8ATQBDAEYAVABlAG0AcABlAHIAYQB0AHUAcgBlAFoAbwBuAGUAXABuAC0ALQAtAC0ALQAtAC0ALQAtAC0ALQAtAC0ALQAtAC0ALQAtAC0ALQAtAC0ALQAtAC0ALQAtAC0ALQAtAC0ALQAtAC0ALQAtAC0ALQBcAG4AKgAvAFwAbgBcAG4AQwBvAG0AbQBvAG4AXwBTAG8AdQByAGMAZQBEAGEAdABhAF8ATQBDAEYAVABlAG0AcABlAHIAYQB0AHUAcgBlAFoAbwBuAGUAXwBUAGkAdABsAGUAXABuACAAIAA9AEwAQQBNAEIARABBACgAXAAiAE0AYQBuAHUAcgBlACAATQBhAG4AYQBnAGUAbQBlAG4AdAAgABMgIABNAGUAdABoAGEAbgBlACAAYwBvAG4AdgBlAHIAcwBpAG8AbgAgAGYAYQBjAHQAbwByACAAcABlAHIAIAB0AGUAbQBwAGUAcgBhAHQAdQByAGUAIAB6AG8AbgBlACAAKABmAHIAYQBjAHQAaQBvAG4AKQAgACgATQBDAEYAaQBtACkAXAAiACkAOwBcAG4AXABuAEMAbwBtAG0AbwBuAF8AUwBvAHUAcgBjAGUARABhAHQAYQBfAE0AQwBGAFQAZQBtAHAAZQByAGEAdAB1AHIAZQBaAG8AbgBlAF8AVQBuAGkAdABcAG4AIAAgAD0ATABBAE0AQgBEAEEAKABcACIAZgByAGEAYwB0AGkAbwBuAFwAIgApADsAXABuAFwAbgBDAG8AbQBtAG8AbgBfAFMAbwB1AHIAYwBlAEQAYQB0AGEAXwBNAEMARgBUAGUAbQBwAGUAcgBhAHQAdQByAGUAWgBvAG4AZQBfAFMAbwB1AHIAYwBlAFwAbgAgACAAPQBMAEEATQBCAEQAQQAoAFwAIgBWAEUARQBSAEcAIAAyADAAMgA2ADoAIABUAGEAYgBsAGUAIABBAC4AMQAuADgALgAxAFwAIgApADsAXABuAFwAbgBDAG8AbQBtAG8AbgBfAFMAbwB1AHIAYwBlAEQAYQB0AGEAXwBNAEMARgBUAGUAbQBwAGUAcgBhAHQAdQByAGUAWgBvAG4AZQBfAEQAYQB0AGEAXABuACAAIAA9AEwAQQBNAEIARABBACgAXABuACAAIAAgACAATQBBAEsARQBBAFIAUgBBAFkAKAAyADIALAAgADEANgAsACAAXABuACAAIAAgACAAIAAgAEwAQQBNAEIARABBACgAcgAsAGMALAAgAFwAbgAgACAAIAAgACAAIAAgACAASQBOAEQARQBYACgAewBcAG4AIAAgACAAIAAgACAAIAAgACAAIABcACIAVABlAG0AcABlAHIAYQB0AHUAcgBlACAAegBvAG4AZQBcACIALAAgAFwAIgBNAEEAVAAgACgAugBDACkAXAAiACwAIABcACIAVQBuAGMAbwB2AGUAcgBlAGQAIABhAG4AZQByAG8AYgBpAGMAIABsAGEAZwBvAG8AbgBcACIALAAgAFwAIgBDAG8AdgBlAHIAZQBkACAAbABhAGcAbwBvAG4AXAAiACwAIABcACIATABpAHEAdQBpAGQAIABTAGwAdQByAHIAeQAgACgAdwBpAHQAaABvAHUAdAAgAG4AYQB0AHUAcgBhAGwAIABjAHIAdQBzAHQAKQBcACIALAAgAFwAIgBEAGEAaQBsAHkAIABzAHAAcgBlAGEAZAAgACgAYgApAFwAIgAsACAAXAAiAEMAbwBtAHAAbwBzAHQAaQBuAGcAIAAoAHAAYQBzAHMAaQB2AGUAIAB3AGkAbgBkAHIAbwB3ACkAXAAiACwAIABcACIAUwBvAGwAaQBkACAAUwB0AG8AcgBhAGcAZQBcACIALAAgAFwAIgBQAGkAdAAgAFMAdABvAHIAYQBnAGUAIABcAHUAMAAwADMAYw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XAB1ADAAMAAyADcAUABvAHUAbAB0AHIAeQAgAHcAaQB0AGgAIABhAG4AZAAgAHcAaQB0AGgAbwB1AHQAIABsAGkAdAB0AGUAcgBcAHUAMAAwADIANwAgAGMAbwBsAHUAbQBuACAAdwBpAHQAaAAgAHMAZQBwAGEAcgBhAHQAZQAgAE4ASQBSACAAZABlAGYAaQBuAGkAdABpAG8AbgBzACAAdABvACAAYQBpAGQAIABsAG8AbwBrAHUAcAAuACAAQQBkAGQAZQBkACAAXAB1ADAAMAAyADcATQBBAFQAIAByAGEAdwBcAHUAMAAwADIAN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BcAHUAMAAwADIANgAgAEUARgBOADIATwBpAFwAIgApADsAXABuAFwAbgBDAG8AbQBtAG8AbgBfAFMAbwB1AHIAYwBlAEQAYQB0AGEAXwBFAEYATwByAGcAYQBuAGkAYwBGAGUAcgB0AGkAbABpAHMAZQByAEEAbgBkAEMAcgBvAHAAUgBlAHMAaQBkAHUAZQBzAF8AVQBuAGkAdABcAG4AIAAgAD0ATABBAE0AQgBEAEEAKABcACIAawBnACAATgAyAE8AIAAtACAATgAgAC8AIABrAGcAIABOAFwAIgApADsAXABuAFwAbgBDAG8AbQBtAG8AbgBfAFMAbwB1AHIAYwBlAEQAYQB0AGEAXwBFAEYATwByAGcAYQBuAGkAYwBGAGUAcgB0AGkAbABpAHMAZQByAEEAbgBkAEMAcgBvAHAAUgBlAHMAaQBkAHUAZQBzAF8AUwBvAHUAcgBjAGUAXABuACAAIAA9AEwAQQBNAEIARABBACgAXAAiAFYARQBFAFIARwAgADIAMAAyADYAOgAgAFQAYQBiAGwAZQAgAEEALgAyAC4AMQAuADQAXAAiACkAOwBcAG4AXABuAEMAbwBtAG0AbwBuAF8AUwBvAHUAcgBjAGUARABhAHQAYQBfAEUARgBPAHIAZwBhAG4AaQBjAEYAZQByAHQAaQBsAGkAcwBlAHIAQQBuAGQAQwByAG8AcABSAGUAcwBpAGQAdQBlAHMAXwBOAEkAUgBSAGUAZgBlAHIAZQBuAGMAZQBcAG4AIAAgAD0ATABBAE0AQgBEAEEAKABcACIAXAAiACkAOwBcAG4AXABuAEMAbwBtAG0AbwBuAF8AUwBvAHUAcgBjAGUARABhAHQAYQBfAEUARgBPAHIAZwBhAG4AaQBjAEYAZQByAHQAaQBsAGkAcwBlAHIAQQBuAGQAQwByAG8AcABSAGUAcwBpAGQAdQBlAHM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E4AaQAgAFwAdQAwADAAMgA2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FwAdQAwADAAMgA3AEIAYQBzAGkAcwBcAHUAMAAwADIANwAgAGMAbwBsAHUAbQBuACAAdABvACAAYQBsAGwAbwB3ACAAYwByAG8AcwBzAC0AcgBlAGYAZQByAGUAbgBjAGkAbgBnACAAdwBpAHQAaAAgAHQAYQBiAGwAZQAg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OwBcAG4AIAAgAFwAIgBBAGQAZABlAGQAIABlAHgAdAByAGEAIABmAGUAcgB0AGkAbABpAHMAZQByACAAdAB5AHAAZQBzACAAYQBuAGQAIABnAGUAbgBlAHIAaQBjACAAYwBoAGUAbQBpAGMAYQBsACAAYwBvAG0AcABvAHUAbgBkAHMAIAB0AG8AIABhAGwAbABvAHcAIABmAG8AcgAgAGMAdQBzAHQAbwBtACAATgBQAEsAUwAgAGIAbABlAG4AZABzAFwAIgA7AFwAbgAgACAAXAAiAEEAZABkAGUAZAAgAGUAeAB0AHIAYQAgAFwAdQAwADAAMgA3AFMAYwBvAHAAZQAgADMAIABkAGUAZgBpAG4AaQB0AGkAbwBuAFwAdQAwADAAMgA3ACAAYwBvAGwAdQBtAG4AIAB0AG8AIABhAGwAbABvAHcAIABtAGEAcABwAGkAbgBnACAAdwBpAHQAaAAgAHMAYwBvAHAAZQAgADMAIABkAGEAdABhAFwAIgA7AFwAbgAgACAAXAAiAEEAZABkAGUAZAAgAFwAdQAwADAAMgA3AFMAbwB1AHIAYwBlAFwAdQAwADAAMgA3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FwAdQAwADAAMgA3AFIAZQBmAGUAcgBlAG4AYwBlAHMAXAB1ADAAMAAyADcAIABjAG8AbAB1AG0AbgBcACIAOwBcAG4AIAAgAFwAIgBFAHgAYwBsAHUAZABlAGQAIABcAHUAMAAwADIANwBBAG0AbQBvAG4AaQB1AG0AIABzAHUAbABmAGEAdABlAFwAdQAwADAAMgA3ACAAYQBzACAAaQB0ACAAaQBzACAAYQAgAGQAdQBwAGwAaQBjAGEAdABlACAAbwBmACAAXAB1ADAAMAAyADcAUwB1AGwAcABoAGEAdABlACAAbwBmACAAYQBtAG0AbwBuAGkAYQAgACgAUwBPAEEAKQBcAHUAMAAwADIANwBcACIAOwBcAG4AIAAgAFwAIgBFAHgAYwBsAHUAZABlAGQAIABcAHUAMAAwADIANwBDAGEAbABjAGkAdQBtACAAbgBpAHQAcgBhAHQAZQBcAHUAMAAwADIANwAgAGEAcwAgAG4AbwAgAHMAYwBvAHAAZQAgADMAIAB2AGEAbAB1AGUAIABhAHYAYQBpAGwAYQBiAGwAZQAuAFwAIgA7AFwAbgAgACAAXAAiAFMAZQB0ACAAXAB1ADAAMAAyADcATgBpAHQAcgBvAGcAZQBuACAALQAgAEcAZQBuAGUAcgBpAGMAXAB1ADAAMAAyADcAIABiAGEAcwBpAHMAIABhAHMAIABcAHUAMAAwADIANwBVAHIAZQBhAC0AYgBhAHMAZQBkACAAZgBlAHIAdABpAGwAaQBzAGUAcgBzACwAIABhAHMAIAB1AHIAZQBhACAAaQBzACAAdABoAGUAIABtAG8AcwB0ACAAYwBvAG0AbQBvAG4AbAB5ACAAdQBzAGUAZAAgAGYAbwByAG0AIABvAGYAIABuAGkAdAByAG8AZwBlAG4AIABpAG4AIABBAHUAcwB0AHIAYQBsAGkAYQBuACAAZgBlAHIAdABpAGwAaQBzAGUAcgBzAFwAIgA7AFwAbgAgACAAXAAiAFMAZQB0ACAAXAB1ADAAMAAyADcAVQByAGUAYQAtAGEAbQBtAG8AbgBpAHUAbQAgAG4AaQB0AHIAYQB0AGUAXAB1ADAAMAAyADcAIABiAGEAcwBpAHMAIABhAHMAIABcAHUAMAAwADIANwBVAHIAZQBhAC0AYgBhAHMAZQBkACAAZgBlAHIAdABpAGwAaQBzAGUAcgBcAHUAMAAwADIAN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AvACoAXABuAEYAZQByAHQAaQBsAGkAcwBlAHIAXwBQAHIAbwBkAHUAYwB0AHMAXwBEAGEAdABhADIAXABuAD0ATABBAE0AQgBEAEEAKABcAG4AIABNAEEASwBFAEEAUgBSAEEAWQAoADIAMQAsACAAMgA4ACwAXABuACAATABBAE0AQgBEAEEAKAByACwAYwAsAFwAbgAgACAASQBOAEQARQBYACgAewBcAG4AXAAiAEkAbgBjAGwAdQBkAGUAXAAiACwAXAAiADUAMAAvADUAMAAgAG4AaQB0AHIAYQB0AGUAIABhAG4AZAAgAGEAbQBtAG8AbgBpAGEAYwBhAGwAIABuAGkAdAByAG8AZwBlAG4AIAAoAGEAbQBtAG8AbgBpAHUAbQAgAG4AaQB0AHIAYQB0AGUAKQBcACIALABcACIAQwBhAG0AcABiAGUAbABsAHMAIABmAGUAcgB0AGkAbABpAHMAZQByAHMAIABBAHUAcwB0AHIAYQBsAGkAYQBcACIALABcACIAQwBvAG0AcABhAHMAcwBcACIALABcACIAQwBvAG0AcABhAHMAcwAgAC0AIABDAGEAbQBwAGIAZQBsAGwAcwAgAEYAZQByAHQAaQBsAGkAcwBlAHIAcwAgAEEAdQBzAHQAcgBhAGwAYQBzAGkAYQBcACIALABcACIAXAAiACwAXAAiAFwAIgAsAFwAIgBrAGcAXAAiACwAMQAsAFwAIgBcACI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QBnAHMAdABhAFwAIgAsAFwAIgBBAGcAUwB0AGEAcgAgAE0AYQBuAGcAYQBuAGUAcwBlAFwAIgAsAFwAIgBBAGcAUwB0AGEAcgAgAE0AYQBuAGcAYQBuAGUAcwBlACAAfAAgAFcAZQBsAGMAbwBtAGUAIAB0AG8AIABBAGcAcwB0AGEAcgBcACIALABcACIATABhAGIAZQBsACAAUwBEAFMAXAAiACwAXAAiAFwAIgAsAFwAIgBMAFwAIgAsADEALgA0ADcALABcACIAXAAiACwAXAAiAFwAIgAsAFwAIgBNAGEAbgBnAGEAbgBlAHMAZQAgAG4AaQB0AHIAYQB0AGUAXAAiACwAMAAuADQANQ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MATAAgAFQAZQBjAFwAIgAsAFwAIgBDAHIAbwBwACAAQgBvAG8AcwB0AGUAcgAgAFAATABVAFMAXAAiACwAXAAiAGgAdAB0AHAAcwA6AC8ALwB3AHcAdwAuAHMAbAB0AGUAYwAuAGMAbwBtAC4AYQB1AC8AcwBsAHQAZQBjAC8AZgBhAGMAdABfAHMAaABlAGUAdABzAC8AUwBMAFQARQBDAF8AQwByAG8AcABCAG8AbwBzAHQAZQByAFAAbAB1AHMALgBwAGQAZgBcACIALABcACIAQgByAG8AYwBoAHUAcgBlACAAdwBlAGIAcwBpAHQAZQBcACIALABcACIAXAAiACwAXAAiAEwAXAAiACwAMQAuADMAMQA5ACwAXAAiAFwAIgAsAFwAIgBcACIALABcACIAUABoAG8AcwBwAGgAbwByAHUAcwAgAC0AIABHAGUAbgBlAHIAaQBjAFwAIgAsADAALgAxADUALABcACIAQwBhAGwAYwBpAHUAbQAgAC0AIABHAGUAbgBlAHIAaQBjAFwAIgAsADAALgAwADQALABcACIATgBpAHQAcgBvAGcAZQBuACAALQAgAEEAbQBtAG8AbgBpAGEAYwBhAGwAXAAiACwAMAAuADAAMgA5ACwAXAAiAE4AaQB0AHIAbwBnAGUAbgAgAC0AIABOAGkAdAByAGEAdABlAFwAIgAsADAALgAwADIAMQAsAFwAIgBQAG8AdABhAHMAcwBpAHUAbQAgAC0AIABHAGUAbgBlAHIAaQBjAFwAIgAsADAALgAwADIAMQAsAFwAIgBDAG8AbwBwAGUAcgBcACIALAAwAC4AMAAwADUALABcACIAWgBpAG4AYwBcACIALAAwAC4AMAAwADQALABcACIATQBhAG4AZwBhAG4AZQBzAGUAXAAiACwAMAAuADAAMAA0ACwAXAAiAE0AYQBnAG4AZQBzAGkAdQBtAFwAIgAsADAALgAwADAAMgAsAFwAIgBcACIALABcACIAXAAiACwAXAAiAEUATgBEACAAUgBPAFcAXAAiADsAXABuAFwAIgBJAG4AYwBsAHUAZABlAFwAIgAsAFwAIgBJAG4AZwByAGUAZABpAGUAbgB0ACAAaQBzACAAYQBjAHQAdQBhAGwAbAB5ACAAYQBtAG0AbwBuAGkAdQBtACAAYgBpAGMAYQByAGIAbwBuAGEAdABlACAAdABoAGUAIABlAGwAZQBtAGUAbgB0AGEAbAAgAGMAbwBtAHAAbwBzAGkAdABpAG8AbgAgAGgAYQBzACAAMQA3AC4ANwAlACAATgBpAHQAcgBvAGcAZQBuAFwAIgAsAFwAIgBSAGkAcwBzAG8ALQBDAGgAZQBtAGkAYwBhAGwAXAAiACwAXAAiAEEAbQBtAG8AbgBpAHUAbQAgAEIAaQBjAGEAcgBiAG8AbgBhAHQAZQBcACIALABcACIAQQBtAG0AbwBuAGkAdQBtACAAQgBpAGMAYQByAGIAbwBuAGEAdABlACAASABpAGcAaAAtAFEAdQBhAGwAaQB0AHkAIABGAGUAcgB0AGkAbABpAHoAZQByACAAXAB1ADAAMAAyADYAIABMAGUAYQB2AGUAbgBpAG4AZwAgAEEAZwBlAG4AdABcACIALABcACIAVwBlAGIAcwBpAHQAZQAgAFMARABTACAAIABoAHQAdABwAHMAOgAvAC8AbQBlAHIAYwBrAGkAbgBkAGUAeAAuAHIAcwBjAC4AbwByAGcALwBtAG8AbgBvAGcAcgBhAHAAaABzAC8AbQAxADcANgA0AD8AYQBjAGMAZQBzAHMAPQBmAHQAXAAiACwAXAAiAFwAIgAsAFwAIgBrAGcAXAAiACwAMQAsAFwAIgBcACIALABcACIAQwBoAGkAbgBh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kAcwBzAG8ALQBDAGgAZQBtAGkAYwBhAGwAXAAiACwAXAAiAEEAbQBtAG8AbgBpAHUAbQAgAFMAdQBsAGYAYQB0AGUAXAAiACwAXAAiAEEAbQBtAG8AbgBpAHUAbQAgAFMAdQBsAGYAYQB0AGUAIABGAGUAcgB0AGkAbABpAHoAZQByACAASABpAGcAaAAtAFEAdQBhAGwAaQB0AHkAIABOAGkAdAByAG8AZwBlAG4AIABhAG4AZAAgAFMAdQBsAGYAdQByACAAZgBvAHIAIABDAHIAbwBwAHMAXAAiACwAXAAiAFcAZQBiAHMAaQB0AGUAXAAiACwAXAAiAFwAIgAsAFwAIgBrAGcAXAAiACwAMQAsAFwAIgBcACIALABcACIAQwBoAGkAbgBhAFwAIgAsAFwAIgBTAHUAbABmAHUAcgAgAC0AIABHAGUAbgBlAHIAaQBjAFwAIgAsADAALgAyADQALABcACIATgBpAHQAcgBvAGcAZQBuACAALQAgAEEAbQBtAG8AbgBpAGEAYwBhAGwAXAAiACwAMAAuADIAMQ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SAGEAdgBlAG4AcwBkAG8AdwBuAFwAIgAsAFwAIgBBAG0AbQBvAG4AaQB1AG0AIABTAHUAbABwAGgAYQB0AGUAIAAtACAARwByAGEAbgB1AGwAYQByAFwAIgAsAFwAIgBSAGEAdgBlAG4AcwBkAG8AdwBuACAAfAAgAEcAcgBhAG4AdQBsAGEAcgAgAEEAbQBtAG8AbgBpAHUAbQAgAFMAdQBsAHAAaABhAHQAZQAgACgARwBBAFMALwBTAE8AQQApAFwAIgAsAFwAIgBXAGUAYgBzAGkAdABlACAAUwBEAFMAXAAiACwAXAAiAFwAIgAsAFwAIgBrAGcAXAAiACwAMQAsAFwAIgBcACIALABcACIAXAAiACwAXAAiAFMAdQBsAGYAdQByACAALQAgAEcAZQBuAGUAcgBpAGMAXAAiACwAMAAuADIAMwAsAFwAIgBOAGkAdAByAG8AZwBlAG4AIAAtACAAQQBtAG0AbwBuAGkAYQBjAGEAbABcACIALAAwAC4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JAG0AcABhAGMAdAAgAEYAZQByAHQAaQBsAGkAcwBlAHIAcwBcACIALABcACIARABpAC0AQQBtAG0AbwBuAGkAdQBtACAAUABoAG8AcwBwAGgAYQB0AGUAIAAoAEQAQQBQACkAXAAiACwAXAAiAEQAaQAtAEEAbQBtAG8AbgBpAHUAbQAgAFAAaABvAHMAcABoAGEAdABlACAAKABEAEEAUAApACAALQAgAEkAbQBwAGEAYwB0ACAARgBlAHIAdABpAGwAaQBzAGUAcgBzAFwAIgAsAFwAIgBXAGUAYgBzAGkAdABlAFwAIgAsAFwAIgBcACIALABcACIAawBnAFwAIgAsADEALABcACIAXAAiACwAXAAiAFwAIgAsAFwAIgBQAGgAbwBzAHAAaABvAHIAdQBzACAALQAgAEcAZQBuAGUAcgBpAGMAXAAiACwAMAAuADIAMAAyACwAXAAiAE4AaQB0AHIAbwBnAGUAbgAgAC0AIABHAGUAbgBlAHIAaQBjAFwAIgAsADAALgAxADgALABcACIAUwB1AGwAZgB1AHIAIAAtACAARwBlAG4AZQByAGkAYwBcACIALAAwAC4AMAAxADU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TAHUAbQBtAGkAdAAgAEYAZQByAHQAaQBsAGkAegBlAHIAcwBcACIALABcACIARABBAFAAUwBaAEMAXAAiACwAXAAiAE0AaQBjAHIAbwBzAG8AZgB0ACAAVwBvAHIAZAAgAC0AIABEAEEAUABTAFoAQwAgAFMAYQBmAGUAdAB5ACAARABhAHQAYQAgAFMAaABlAGUAdABcACIALABcACIAUwBEAFMAXAAiACwAXAAiAFwAIgAsAFwAIgBrAGcAXAAiACwAMQAsAFwAIgBcACIALABcACIAXAAiACwAXAAiAFAAaABvAHMAcABoAG8AcgB1AHMAIAAtACAARwBlAG4AZQByAGkAYwBcACIALAAwAC4AMQA4ADIALABcACIATgBpAHQAcgBvAGcAZQBuACAALQAgAEcAZQBuAGUAcgBpAGMAXAAiACwAMAAuADEANgA5ACwAXAAiAFMAdQBsAGYAdQByACAALQAgAEcAZQBuAGUAcgBpAGMAXAAiACwAMAAuADAAOAAsAFwAIgBaAGkAbgBjACAALQAgAEcAZQBuAGUAcgBpAGMAXAAiACwAMAAuADAAMAAyACwAXAAiAEMAbwBwAHAAZQByAFwAIgAsADAALgAwADAAMQAsAFwAIgBcACIALABcACIAXAAiACwAXAAiAFwAIgAsAFwAIgBcACIALABcACIAXAAiACwAXAAiAFwAIgAsAFwAIgBcACIALABcACIAXAAiACwAXAAiAFwAIgAsAFwAIgBcACIALABcACIARQBOAEQAIABSAE8AVwBcACIAOwBcAG4AXAAiAEkAbgBjAGwAdQBkAGUAXAAiACwAXAAiAEEAbQBvAHUAbgB0ACAAbwBmACAAdQByAGUAYQAgAGMAYQBsAGMAdQBsAGEAdABlAGQAIABmAHIAbwBtACAAdQByAGUAYQAgAG4AaQB0AHIAbwBnAGUAbgAgAGEAbQBvAHUAbgB0AFwAIgAsAFwAIgBJAG4AYwBpAHQAZQBjACAAUABpAHYAbwB0ACAARgBlAHIAdABpAGwAaQBzAGUAcgBzAFwAIgAsAFwAIgBFAGEAcwB5ACAATgBcACIALABcACIAaAB0AHQAcABzADoALwAvAHcAdwB3AC4AaQBuAGMAaQB0AGUAYwBwAGkAdgBvAHQAZgBlAHIAdABpAGwAaQBzAGUAcgBzAC4AYwBvAG0ALgBhAHUALwBwAHIAbwBkAHUAYwB0AHMALQBzAGUAcgB2AGkAYwBlAHMALwBvAHUAcgAtAHAAcgBvAGQAdQBjAHQAcwAvAGwAaQBxAHUAaQBkAHMALwBlAGEAcwB5AC0AbgAvAFwAIgAsAFwAIgBXAGUAYgBzAGkAdABlACAAYgByAG8AYwBoAHUAcgBlACAAQgBhAGcAIAB0AGEAZwBcACIALABcACIAXAAiACwAXAAiAEwAXAAiACwAMQAuADMAMgAsAFwAIgBcACIALABcACIAXAAiACwAXAAiAFUAcgBlAGEAXAAiACwAMAAuADQANgA3ADMAOQAxADMAMAA0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IAaQBzAHMAbwAtAEMAaABlAG0AaQBjAGEAbABcACIALABcACIAQwBhAGwAYwBpAHUAbQAgAEEAbQBtAG8AbgBpAHUAbQAgAE4AaQB0AHIAYQB0AGUAXAAiACwAXAAiAEMAYQBsAGMAaQB1AG0AIABBAG0AbQBvAG4AaQB1AG0AIABOAGkAdAByAGEAdABlACAAQgBhAGwAYQBuAGMAZQBkACAARgBlAHIAdABpAGwAaQB6AGUAcgAgAGYAbwByACAARQBuAGgAYQBuAGMAZQBkACAAQwByAG8AcAAgAEcAcgBvAHcAdABoACAAfAAgAFIAaQBzAHMAbwBcACIALABcACIAXAAiACwAXAAiAFwAIgAsAFwAIgBrAGcAXAAiACwAMQAsAFwAIgBcACIALABcACIAQwBoAGkAbgBhAFwAIgAsAFwAIgBOAGkAdAByAG8AZwBlAG4AIAAtACAAQQBtAG0AbwBuAGkAYQBjAGEAbABcACIALAAwAC4AMgA3ACwAXAAiAE4AaQB0AHIAbwBnAGUAbgAgAC0AIABOAGkAdAByAGEAdABlAFwAIgAsADAALgAxADMANQAsAFwAIgBDAGEAbABjAGkAdQBtACAALQAgAEcAZQBuAGUAcgBpAGMAXAAiACwAMAAuADEAM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FMATAAgAFQAZQBjAFwAIgAsAFwAIgBDAGUAbABsAEMAQQBMACAAUABsAHUAcwBcACIALABcACIAUwBMAFQARQBDAF8AQwBlAGwAbABDAEEATABQAEwAVQBTAC4AcABkAGYAXAAiACwAXAAiAEIAcgBvAGMAaAB1AHIAZQBcACIALABcACIAXAAiACwAXAAiAEwAXAAiACwAMQAuADEAMwA4ACwAXAAiAFwAIgAsAFwAIgBcACIALABcACIAQwBhAGwAYwBpAHUAbQAgAC0AIABHAGUAbgBlAHIAaQBj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UAcwBlACAAbQB1AHIAaQBhAHQAZQAgAG8AZgAgAHAAbwB0AGEAcwBoACAAKABNAE8AUAApACAAaQBuAHMAdABlAGEAZAAgAG8AZgAgAFwAdQAwADAAMgA3AHAAbwB0AGEAcwBzAGkAdQBtACAAYQBzACAAYwBoAGwAbwByAGkAZABlAFwAdQAwADAAMgA3AFwAIgAsAFwAIgBJAG4AYwBpAHQAZQBjACAAUABpAHYAbwB0ACAARgBlAHIAdABpAGwAaQBzAGUAcgBzAFwAIgAsAFwAIgBDAEsANQA1AFwAIgAsAFwAIgBCAGEAZwAgAFQAYQBnAHMAXAAiACwAXAAiAEIAYQBnACAAdABhAGcAXAAiACwAXAAiAFwAIgAsAFwAIgBrAGcAXAAiACwAMQAsAFwAIgBcACIALABcACIAXAAiACwAXAAiAFAAaABvAHMAcABoAG8AcgB1AHMAIAAtACAARwBlAG4AZQByAGkAYwBcACIALAAwAC4AMQA1ACwAXAAiAE4AaQB0AHIAbwBnAGUAbgAgAC0AIABBAG0AbQBvAG4AaQBhAGMAYQBsAFwAIgAsADAALgAxADMANQAsAFwAIgBNAHUAcgBpAGEAdABlACAAbwBmACAAUABvAHQAYQBzAGgAIAAoAE0ATwBQACkAXAAiACwAMAAuADEAMgA1ACwAXAAiAEYAbABvAHUAcgBpAGQAZQBcACIALAAwAC4AMAAyADMALABcACIAUwB1AGwAZgB1AHIAIAAtACAARwBlAG4AZQByAGkAYwBcACIALAAwAC4AMAAxADIALABcACIAXAAiACwAXAAiAFwAIgAsAFwAIgBcACIALABcACIAXAAiACwAXAAiAFwAIgAsAFwAIgBcACIALABcACIAXAAiACwAXAAiAFwAIgAsAFwAIgBcACIALABcACIAXAAiACwAXAAiAEUATgBEACAAUgBPAFcAXAAiADsAXABuACAAIAAgACAAXAAiAEUAeABjAGwAdQBkAGUAIAAtACAAQQBiAHMAZQBuAHQAIABpAG4AZwByAGUAZABpAGUAbgB0AHMAIABcAHUAMAAwADMAZQAgADIAJQBcACIALABcACIAXAAiACwAXAAiAEMAYQBtAHAAYgBlAGwAbABzACAAZgBlAHIAdABpAGwAaQBzAGUAcgBzACAAQQB1AHMAdAByAGEAbABpAGEAXAAiACwAXAAiAEIAdQBkAC0AVwBpAHMAZQByACAARAByAHkAXAAiACwAXAAiAGsAZw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iAGkAdAAgAEM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TgBvAHQAIAByAGUAbABlAHYAYQBuAHQAXAAiACwAXAAiAFwAIgAsAFwAIgBDAGEAbQBwAGIAZQBsAGwAcwAgAGYAZQByAHQAaQBsAGkAcwBlAHIAcwAgAEEAdQBzAHQAcgBhAGwAaQBhAFwAIgAsAFwAIgBDAGEAbABjAGkAdQBtACAAMQA3AD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EUAeABjAGwAdQBkAGUAIAAtACAAQQBiAHMAZQBuAHQAIABpAG4AZwByAGUAZABpAGUAbgB0AHMAIABcAHUAMAAwADMAZQ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FwAdQAwADAAMwBjACAAMgAlAFwAIgAsAFwAIgBDAG8AbgB0AHIAbwBsAGwAZQBkACAAcgBlAGwAZQBhAHMAZQAgAE4AIAB0AHIAZQBhAHQAZQBkACAAYQBzACAAZwBlAG4AZQByAGkAYwBcACIALABcACIAXAAiACwAXAAiAEMAYQBtAHAAYgBlAGwAbABzACAAZgBlAHIAdABpAGwAaQBzAGUAcgBzACAAQQB1AHMAdAByAGEAbABpAGEAXAAiACwAXAAiAEMAbwBSAG8ATgAgADEAMgAtADAALQAxADAAXAAiACwAXAAiAEwAXAAiACwAMQAuADIAMQA1ACwAXAAiAFwAIgAsAFwAIgBOAGkAdAByAG8AZwBlAG4AIAAtACAAVQByAGUAaQBjAFwAIgAsADAALgAwADk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XABuACAAIAB9ACwAIAByACwAIABjACkAXABuACkAKQApADsAXABuAFwAbgBcAG4ARgBlAHIAdABpAGwAaQBzAGUAcgBfAFAAcgBvAGQAdQBjAHQAcwBfAEQAYQB0AGEAMwBcAG4APQBMAEEATQBCAEQAQQAoAFwAbgAgAE0AQQBLAEUAQQBSAFIAQQBZACgAMgAwACwAIAAzADUALABcAG4AIABMAEEATQBCAEQAQQAoAHIALABjACwAXABuACAAIABJAE4ARABFAFgAKAB7AFwAbgBcACIAUgB1AHMAdABpAGMAYQAgAE4AZQByAGcAZQB0AGkAYwBcACIALABcACIAawBnAFwAIgAsADEALABcACIAUABvAHQAYQBzAHMAaQB1AG0AIAAtACAARwBlAG4AZQByAGkAYwBcACIALAAwAC4AMQA0ADEALABcACIATABvAGMAYQB0AGkAbwBuACAAbgBvAHQAIABzAHAAZQBjAGkAZgBpAGUAZABcACIALABcACIATgBpAHQAcgBvAGcAZQBuACAALQAgAEcAZQBuAGUAcgBpAGMAXAAiACwAMAAuADEAMgAsAFwAIgBMAG8AYwBhAHQAaQBvAG4AIABuAG8AdAAgAHMAcABlAGMAaQBmAGkAZQBkAFwAIgAsAFwAIgBTAHUAbABmAHUAcgAgAC0AIABHAGUAbgBlAHIAaQBjAFwAIgAsADAALgAwADkANgAsAFwAIgBMAG8AYwBhAHQAaQBvAG4AIABuAG8AdAAgAHMAcABlAGMAaQBmAGkAZQBkAFwAIgAsAFwAIgBQAGgAbwBzAHAAaABvAHIAdQBzACAALQAgAEcAZQBuAGUAcgBpAGMAXAAiACwAMAAuADAANQAyACwAXAAiAEwAbwBjAGEAdABpAG8AbgAgAG4AbwB0ACAAcwBwAGUAYwBpAGYAaQBlAGQAXAAiACwAXAAiAE0AYQBnAG4AZQBzAGkAdQBtACAALQAgAGcAZQBuAGUAcgBpAGMAXAAiACwAMAAuADAAMQAyACwAXAAiAEwAbwBjAGEAdABpAG8AbgAgAG4AbwB0ACAAcwBwAGUAYwBpAGYAaQBlAGQAXAAiACwAXAAiAFoAaQBuAGMAIAAtACAARwBlAG4AZQByAGkAYwBcACIALAAwAC4AMAAwADA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gAsAFwAIgBMAG8AYwBhAHQAaQBvAG4AIABuAG8AdAAgAHMAcABlAGMAaQBmAGkAZQBkAFwAIgAsAFwAIgBCAG8AcgBvAG4AIAAtACAAZwBlAG4AZQByAGkAYwBcACIALAAwAC4AMAAwADAAMgAsAFwAIgBMAG8AYwBhAHQAaQBvAG4AIABuAG8AdAAgAHMAcABlAGMAaQBmAGkAZQBkAFwAIgAsAFwAIgBcACIALABcACIAXAAiACwAXAAiAFwAIgA7AFwAbgBcACIAUwBFAFQAbgBTAEkAWgBFAFwAIgAsAFwAIgBMAFwAIgAsADEALgAzACwAXAAiAFAAbwB0AGEAcwBzAGkAdQBtACAALQAgAEcAZQBuAGUAcgBpAGMAXAAiACwAMAAuADAANwA5ADIALABcACIATABvAGMAYQB0AGkAbwBuACAAbgBvAHQAIABzAHAAZQBjAGkAZgBpAGUAZABcACIALABcACIAUABoAG8AcwBwAGgAbwByAHUAcwAgAC0AIABHAGUAbgBlAHIAaQBjAFwAIgAsADAALgAwADYAMAA1ACwAXAAiAEwAbwBjAGEAdABpAG8AbgAgAG4AbwB0ACAAcwBwAGUAYwBpAGYAaQBlAGQAXAAiACwAXAAiAE4AaQB0AHIAbwBnAGUAbgAgAC0AIABHAGUAbgBlAHIAaQBjAFwAIgAsADAALgAwADEAMAA4ACwAXAAiAEwAbwBjAGEAdABpAG8AbgAgAG4AbwB0ACAAcwBwAGUAYwBpAGYAaQBlAGQAXAAiACwAXAAiAFoAaQBuAGMAIAAtACAARwBlAG4AZQByAGkAYwBcACIALAAwAC4AMAAxADAANwAsAFwAIgBMAG8AYwBhAHQAaQBvAG4AIABuAG8AdAAgAHMAcABlAGMAaQBmAGkAZQBkAFwAIgAsAFwAIgBNAGEAZwBuAGUAcwBpAHUAbQAgAC0AIABnAGUAbgBlAHIAaQBjAFwAIgAsADAALgAwADEAMAA0ACwAXAAiAEwAbwBjAGEAdABpAG8AbgAgAG4AbwB0ACAAcwBwAGUAYwBpAGYAaQBlAGQAXAAiACwAXAAiAE0AYQBuAGcAYQBuAGUAcwBlACAALQAgAEcAZQBuAGUAcgBpAGMAXAAiACwAMAAuADAAMAA3ADUALABcACIATABvAGMAYQB0AGkAbwBuACAAbgBvAHQAIABzAHAAZQBjAGkAZgBpAGUAZABcACIALABcACIAUwB1AGwAZgB1AHIAIAAtACAARwBlAG4AZQByAGkAYwBcACIALAAwAC4AMAAwADUANAAsAFwAIgBMAG8AYwBhAHQAaQBvAG4AIABuAG8AdAAgAHMAcABlAGMAaQBmAGkAZQBkAFwAIgAsAFwAIgBDAG8AYgBhAGwAdAAgAC0AIABnAGUAbgBlAHIAaQBjAFwAIgAsADAALgAwADAAMQA4ACwAXAAiAEwAbwBjAGEAdABpAG8AbgAgAG4AbwB0ACAAcwBwAGUAYwBpAGYAaQBlAGQAXAAiACwAXAAiAEkAcgBvAG4AIAAtACAAZwBlAG4AZQByAGkAYwBcACIALAAwAC4AMAAwADEANQAsAFwAIgBMAG8AYwBhAHQAaQBvAG4AIABuAG8AdAAgAHMAcABlAGMAaQBmAGkAZQBkAFwAIgAsAFwAIgBDAG8AcABwAGUAcgAgAC0AIABnAGUAbgBlAHIAaQBjAFwAIgAsADAALgAwADAAMQAxACwAXAAiAEwAbwBjAGEAdABpAG8AbgAgAG4AbwB0ACAAcwBwAGUAYwBpAGYAaQBlAGQAXAAiADsAXABuAFwAIgBTAE8AQQBcACIALABcACIAawBnAFwAIgAsADEALABcACIATgBpAHQAcgBvAGcAZQBuACAALQAgAEEAbQBtAG8AbgBpAGEAYwBhAGwAXAAiACwAMAAuADIAMQAsAFwAIgBMAG8AYwBhAHQAaQBvAG4AIABuAG8AdAAgAHMAcABlAGMAaQBmAGkAZQBkAFwAIgAsAFwAIgBTAHUAbABmAHUAcgAgAC0AIABHAGUAbgBlAHIAaQBjAFwAIgAsADAALgAy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EAUABcACIALABcACIAawBnAFwAIgAsADEALABcACIAUABoAG8AcwBwAGgAbwByAHUAcwAgAC0AIABHAGUAbgBlAHIAaQBjAFwAIgAsADAALgAyADYANgAsAFwAIgBMAG8AYwBhAHQAaQBvAG4AIABuAG8AdAAgAHMAcABlAGMAaQBmAGkAZQBkAFwAIgAsAFwAIgBOAGkAdAByAG8AZwBlAG4AIAAtACAAQQBtAG0AbwBuAGkAYQBjAGEAbABcACIALAAwAC4AMQAy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TQBLAFAAXAAiACwAXAAiAGsAZwBcACIALAAxACwAXAAiAFAAaABvAHMAcABoAG8AcgB1AHMAIAAtACAARwBlAG4AZQByAGkAYwBcACIALAAwAC4AMgAyADcALABcACIATABvAGMAYQB0AGkAbwBuACAAbgBvAHQAIABzAHAAZQBjAGkAZgBpAGUAZABcACIALABcACIAUABvAHQAYQBzAHMAaQB1AG0AIAAtACAARwBlAG4AZQByAGkAYwBcACIALAAwAC4AMgA4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TAGEAbQBcACIALABcACIAawBnAFwAIgAsADEALABcACIATgBpAHQAcgBvAGcAZQBuACAALQAgAEEAbQBtAG8AbgBpAGEAYwBhAGwAXAAiACwAMAAuADIAMAA4ACwAXAAiAEwAbwBjAGEAdABpAG8AbgAgAG4AbwB0ACAAcwBwAGUAYwBpAGYAaQBlAGQAXAAiACwAXAAiAFMAdQBsAGYAdQByACAALQAgAEcAZQBuAGUAcgBpAGMAXAAiACwAMAAuADIAMw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TAG8AbAB1AC0AWgBpAG4AYwBcACIALABcACIAawBnAFwAIgAsADEALABcACIAWgBpAG4AYwAgAC0AIABHAGUAbgBlAHIAaQBjAFwAIgAsADAALgAyADEALABcACIATABvAGMAYQB0AGkAbwBuACAAbgBvAHQAIABzAHAAZQBjAGkAZgBpAGUAZABcACIALABcACIAUwB1AGwAZgB1AHIAIAAtACAARwBlAG4AZQByAGkAYwBcACIALAAwAC4AMQAw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LAFwAIgAsAFwAIgBMAFwAIgAsADEALgA0ADcALABcACIAUABvAHQAYQBzAHMAaQB1AG0AIAAtACAARwBlAG4AZQByAGkAYwBcACIALAAwAC4AMwAsAFwAIgBMAG8AYwBhAHQAaQBvAG4AIABuAG8AdAAgAHMAcABlAGMAaQBmAGkAZQBkAFwAIgAsAFwAIgBTAHUAbABmAHUAcgAgAC0AIABHAGUAbgBlAHIAaQBjAFwAIgAsADAALgAyADU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QAaABpAG8ALQBOAFwAIgAsAFwAIgBMAFwAIgAsADEALgAzADIALABcACIATgBpAHQAcgBvAGcAZQBuACAALQAgAEcAZQBuAGUAcgBpAGMAXAAiACwAMAAuADMANwAy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IABQAGwAdQBzAFwAIgAsAFwAIgBMAFwAIgAsADEALgAzADIALABcACIATgBpAHQAcgBvAGcAZQBuACAALQAgAEcAZQBuAGUAcgBpAGMAXAAiACwAMAAuADMANgA0ACwAXAAiAEwAbwBjAGEAdABpAG8AbgAgAG4AbwB0ACAAcwBwAGUAYwBpAGYAaQBlAGQAXAAiACwAXAAiAFMAdQBsAGYAdQByACAALQAgAEcAZQBuAGUAcgBpAGMAXAAiACwAMAAuADA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FMAdQBsAFwAIgAsAFwAIgBMAFwAIgAsADEALgAzADUALABcACIAUwB1AGwAZgB1AHIAIAAtACAARwBlAG4AZQByAGkAYwBcACIALAAwAC4AMwA1ACwAXAAiAEwAbwBjAGEAdABpAG8AbgAgAG4AbwB0ACAAcwBwAGUAYwBpAGYAaQBlAGQAXAAiACwAXAAiAE4AaQB0AHIAbwBnAGUAbgAgAC0AIABBAG0AbQBvAG4AaQBhAGMAYQBsAFwAIgAsADAALgAxADY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UAQQBTAFwAIgAsAFwAIgBMAFwAIgAsADEALgAyADMANQAsAFwAIgBOAGkAdAByAG8AZwBlAG4AIAAtACAARwBlAG4AZQByAGkAYwBcACIALAAwAC4AMgAwADkALABcACIATABvAGMAYQB0AGkAbwBuACAAbgBvAHQAIABzAHAAZQBjAGkAZgBpAGUAZABcACIALABcACIAUwB1AGwAZgB1AHIAIAAtACAARwBlAG4AZQByAGkAYwBcACIALAAwAC4AMAA2ADcALABcACIATABvAGMAYQB0AGkAbwBuACAAbgBvAHQAIABzAHAAZQBjAGkAZgBpAGUAZABcACIALABcACIATgBpAHQAcgBvAGcAZQBuACAALQAgAEEAbQBtAG8AbgBpAGEAYwBhAGwAXAAiACwAMAAuADAANQ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CAATABpAHEAdQBpAGQAcwAgAE4ALQBGAE8ATAAgADIANAArAFQARQBcACIALABcACIAawBnAFwAIgAsADEALABcACIATgBpAHQAcgBvAGcAZQBuACAALQAgAEcAZQBuAGUAcgBpAGMAXAAiACwAMAAuADEAOQAsAFwAIgBMAG8AYwBhAHQAaQBvAG4AIABuAG8AdAAgAHMAcABlAGMAaQBmAGkAZQBkAFwAIgAsAFwAIgBQAG8AdABhAHMAcwBpAHUAbQAgAC0AIABHAGUAbgBlAHIAaQBjAFwAIgAsADAALgAxADYANgAsAFwAIgBMAG8AYwBhAHQAaQBvAG4AIABuAG8AdAAgAHMAcABlAGMAaQBmAGkAZQBkAFwAIgAsAFwAIgBTAHUAbABmAHUAcgAgAC0AIABHAGUAbgBlAHIAaQBjAFwAIgAsADAALgAwADMALABcACIATABvAGMAYQB0AGkAbwBuACAAbgBvAHQAIABzAHAAZQBjAGkAZgBpAGUAZABcACIALABcACIAUABoAG8AcwBwAGgAbwByAHUAcwAgAC0AIABHAGUAbgBlAHIAaQBjAFwAIgAsADAALgAwADIAN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IABVAG4AaQBrAGEAIABQAGwAdQBzAFwAIgAsAFwAIgBrAGcAXAAiACwAMQAsAFwAIgBQAG8AdABhAHMAcwBpAHUAbQAgAC0AIABHAGUAbgBlAHIAaQBjAFwAIgAsADAALgAzADgAMg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E0AaQBsAGEAIAAyADEALQA3AC0AMwAoADQAKQBcACIALABcACIAawBnAFwAIgAsADEALABcACIATgBpAHQAcgBvAGcAZQBuACAALQAgAEcAZQBuAGUAcgBpAGMAXAAiACwAMAAuADIAMQAsAFwAIgBMAG8AYwBhAHQAaQBvAG4AIABuAG8AdAAgAHMAcABlAGMAaQBmAGkAZQBkAFwAIgAsAFwAIgBQAGgAbwBzAHAAaABvAHIAdQBzACAALQAgAEcAZQBuAGUAcgBpAGMAXAAiACwAMAAuADAANwA0ACwAXAAiAEwAbwBjAGEAdABpAG8AbgAgAG4AbwB0ACAAcwBwAGUAYwBpAGYAaQBlAGQAXAAiACwAXAAiAFMAdQBsAGYAdQByACAALQAgAEcAZQBuAGUAcgBpAGMAXAAiACwAMAAuADAANAAsAFwAIgBMAG8AYwBhAHQAaQBvAG4AIABuAG8AdAAgAHMAcABlAGMAaQBmAGkAZQBkAFwAIgAsAFwAIgBQAG8AdABhAHMAcwBpAHUAbQAgAC0AIABHAGUAbgBlAHIAaQBjAFwAIgAsADAALgAwADIANQAsAFwAIgBMAG8AYwBhAHQAaQBvAG4AIABuAG8AdAAgAHMAcABlAGMAaQBmAGkAZQBkAFwAIgAsAFwAIgBNAGEAZwBuAGUAcwBpAHUAbQAgAC0AIABnAGUAbgBlAHIAaQBjAFwAIgAsADAALgAwADAANAAsAFwAIgBMAG8AYwBhAHQAaQBvAG4AIABuAG8AdAAgAHMAcABlAGMAaQBmAGkAZQBkAFwAIgAsAFwAIgBaAGkAbgBjACAALQAgAEcAZQBuAGUAcgBpAGMAXAAiACwAMAAuADAAMAAxADUALABcACIATABvAGMAYQB0AGkAbwBuACAAbgBvAHQAIABzAHAAZQBjAGkAZgBpAGUAZABcACIALABcACIAXAAiACwAXAAiAFwAIgAsAFwAIgBcACIALABcACIAXAAiACwAXAAiAFwAIgAsAFwAIgBcACIALABcACIAXAAiACwAXAAiAFwAIgAsAFwAIgBcACIALABcACIAXAAiACwAXAAiAFwAIgAsAFwAIgBcACIAOwBcAG4AXAAiAFkAYQByAGEAUgBlAGcAYQAgADEAMwAtADIALQAyADEAXAAiACwAXAAiAGsAZwBcACIALAAxACwAXAAiAFAAbwB0AGEAcwBzAGkAdQBtACAALQAgAEcAZQBuAGUAcgBpAGMAXAAiACwAMAAuADIAMQAsAFwAIgBMAG8AYwBhAHQAaQBvAG4AIABuAG8AdAAgAHMAcABlAGMAaQBmAGkAZQBkAFwAIgAsAFwAIgBTAHUAbABmAHUAcgAgAC0AIABHAGUAbgBlAHIAaQBjAFwAIgAsADAALgAxADAAOAAsAFwAIgBMAG8AYwBhAHQAaQBvAG4AIABuAG8AdAAgAHMAcABlAGMAaQBmAGkAZQBkAFwAIgAsAFwAIgBOAGkAdAByAG8AZwBlAG4AIAAtACAAQQBtAG0AbwBuAGkAYQBjAGEAbABcACIALAAwAC4AMAA3ADcALABcACIATABvAGMAYQB0AGkAbwBuACAAbgBvAHQAIABzAHAAZQBjAGkAZgBpAGUAZABcACIALABcACIATgBpAHQAcgBvAGcAZQBuACAAZgByAG8AbQAgAE4AaQB0AHIAYQB0AGUAXAAiACwAMAAuADAANQAzACwAXAAiAEwAbwBjAGEAdABpAG8AbgAgAG4AbwB0ACAAcwBwAGUAYwBpAGYAaQBlAGQAXAAiACwAXAAiAFAAaABvAHMAcABoAG8AcgB1AHMAIAAtACAARwBlAG4AZQByAGkAYwBcACIALAAwAC4AMAAxADcANQAsAFwAIgBMAG8AYwBhAHQAaQBvAG4AIABuAG8AdAAgAHMAcABlAGMAaQBmAGkAZQBkAFwAIgAsAFwAIgBNAGEAZwBuAGUAcwBpAHUAbQAgAC0AIABnAGUAbgBlAHIAaQBjAFwAIgAsADAALgAwADAANAAsAFwAIgBMAG8AYwBhAHQAaQBvAG4AIABuAG8AdAAgAHMAcABlAGMAaQBmAGkAZQBkAFwAIgAsAFwAIgBCAG8AcgBvAG4AIAAtACAAZwBlAG4AZQByAGkAYwBcACIALAAwAC4AMAAwADAAOAAsAFwAIgBMAG8AYwBhAHQAaQBvAG4AIABuAG8AdAAgAHMAcABlAGMAaQBmAGkAZQBkAFwAIgAsAFwAIgBaAGkAbgBjACAALQAgAEcAZQBuAGUAcgBpAGMAXAAiACwAMAAuADAAMAAwADgALABcACIATABvAGMAYQB0AGkAbwBuACAAbgBvAHQAIABzAHAAZQBjAGkAZgBpAGUAZABcACIALABcACIAXAAiACwAXAAiAFwAIgAsAFwAIgBcACIALABcACIAXAAiACwAXAAiAFwAIgAsAFwAIgBcACIAOwBcAG4AXAAiAFkAYQByAGEAUgBlAGcAYQAgADkALQAwAC0AMwAwACAAKAAxADQAKQBcACIALABcACIAawBnAFwAIgAsADEALABcACIAUABvAHQAYQBzAHMAaQB1AG0AIAAtACAARwBlAG4AZQByAGkAYwBcACIALAAwAC4AMwAsAFwAIgBMAG8AYwBhAHQAaQBvAG4AIABuAG8AdAAgAHMAcABlAGMAaQBmAGkAZQBkAFwAIgAsAFwAIgBTAHUAbABmAHUAcgAgAC0AIABHAGUAbgBlAHIAaQBjAFwAIgAsADAALgAxADQALABcACIATABvAGMAYQB0AGkAbwBuACAAbgBvAHQAIABzAHAAZQBjAGkAZgBpAGUAZABcACIALABcACIATgBpAHQAcgBvAGcAZQBuACAALQAgAEEAbQBtAG8AbgBpAGEAYwBhAGwAXAAiACwAMAAuADAANAA1ACwAXAAiAEwAbwBjAGEAdABpAG8AbgAgAG4AbwB0ACAAcwBwAGUAYwBpAGYAaQBlAGQAXAAiACwAXAAiAE4AaQB0AHIAbwBnAGUAbgAgAGYAcgBvAG0AIABOAGkAdAByAGEAdABlAFwAIgAsADAALgAwADQ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LACAAUABMAFUAUwBcACIALABcACIAawBnAFwAIgAsADEALABcACIATgBpAHQAcgBvAGcAZQBuACAALQAgAEcAZQBuAGUAcgBpAGMAXAAiACwAMAAuADEAMwA3ACwAXAAiAEwAbwBjAGEAdABpAG8AbgAgAG4AbwB0ACAAcwBwAGUAYwBpAGYAaQBlAGQAXAAiACwAXAAiAFAAbwB0AGEAcwBzAGkAdQBtACAALQAgAEcAZQBuAGUAcgBpAGMAXAAiACwAMAAuADMAO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LAFAAXAAiACwAXAAiAGsAZwBcACIALAAxACwAXAAiAFAAbwB0AGEAcwBzAGkAdQBtACAALQAgAEcAZQBuAGUAcgBpAGMAXAAiACwAMAAuADIAOAAyACwAXAAiAEwAbwBjAGEAdABpAG8AbgAgAG4AbwB0ACAAcwBwAGUAYwBpAGYAaQBlAGQAXAAiACwAXAAiAFAAaABvAHMAcABoAG8AcgB1AHMAIAAtACAARwBlAG4AZQByAGkAYwBcACIALAAwAC4AMgAy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XABuACAAIAB9ACwAIAByACwAIABjACkAXABuACkAKQApADsAXABuAFwAbgBGAGUAcgB0AGkAbABpAHMAZQByAF8AUAByAG8AZAB1AGMAdABzAF8ARABhAHQAYQA0AFwAbgA9AEwAQQBNAEIARABBACgAXABuACAATQBBAEsARQBBAFIAUgBBAFkAKAA1ACwAIAAzADUALABcAG4AIABMAEEATQBCAEQAQQAoAHIALABjACwAXABuACAAIABJAE4ARABFAFgAKAB7AFwAbgBcACIAWQBhAHIAYQBUAGUAcgBhACAASwBSAEkAUwBUAEEATABPAE4AIABSAEUARABcACIALABcACIAawBnAFwAIgAsADEALABcACIAUABvAHQAYQBzAHMAaQB1AG0AIAAtACAARwBlAG4AZQByAGkAYwBcACIALAAwAC4AMgA5ADgAOAAsAFwAIgBMAG8AYwBhAHQAaQBvAG4AIABuAG8AdAAgAHMAcABlAGMAaQBmAGkAZQBkAFwAIgAsAFwAIgBOAGkAdAByAG8AZwBlAG4AIAAtACAARwBlAG4AZQByAGkAYwBcACIALAAwAC4AMQAyACwAXAAiAEwAbwBjAGEAdABpAG8AbgAgAG4AbwB0ACAAcwBwAGUAYwBpAGYAaQBlAGQAXAAiACwAXAAiAFAAaABvAHMAcABoAG8AcgB1AHMAIAAtACAARwBlAG4AZQByAGkAYwBcACIALAAwAC4AMAA1ADIANAA0ACwAXAAiAEwAbwBjAGEAdABpAG8AbgAgAG4AbwB0ACAAcwBwAGUAYwBpAGYAaQBlAGQAXAAiACwAXAAiAFMAdQBsAGYAdQByACAALQAgAEcAZQBuAGUAcgBpAGMAXAAiACwAMAAuADAAMQAsAFwAIgBMAG8AYwBhAHQAaQBvAG4AIABuAG8AdAAgAHMAcABlAGMAaQBmAGkAZQBkAFwAIgAsAFwAIgBNAGEAZwBuAGUAcwBpAHUAbQAgAC0AIABnAGUAbgBlAHIAaQBjAFwAIgAsADAALgAwADAANgAwADM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QAZQByAGEAIABLAFIASQBTAFQAQQBMAE8ATgAgAFMAUABFAEMASQBBAEwAXAAiACwAXAAiAGsAZwBcACIALAAxACwAXAAiAE4AaQB0AHIAbwBnAGUAbgAgAC0AIABHAGUAbgBlAHIAaQBjAFwAIgAsADAALgAxADgALABcACIATABvAGMAYQB0AGkAbwBuACAAbgBvAHQAIABzAHAAZQBjAGkAZgBpAGUAZABcACIALABcACIAUABvAHQAYQBzAHMAaQB1AG0AIAAtACAARwBlAG4AZQByAGkAYwBcACIALAAwAC4AMQA0ADkALABcACIATABvAGMAYQB0AGkAbwBuACAAbgBvAHQAIABzAHAAZQBjAGkAZgBpAGUAZABcACIALABcACIAUABoAG8AcwBwAGgAbwByAHUAcwAgAC0AIABHAGUAbgBlAHIAaQBjAFwAIgAsADAALgAwADcAOQAsAFwAIgBMAG8AYwBhAHQAaQBvAG4AIABuAG8AdAAgAHMAcABlAGMAaQBmAGkAZQBkAFwAIgAsAFwAIgBTAHUAbABmAHUAcgAgAC0AIABHAGUAbgBlAHIAaQBjAFwAIgAsADAALgAwADIALABcACIATABvAGMAYQB0AGkAbwBuACAAbgBvAHQAIABzAHAAZQBjAGkAZgBpAGUAZABcACIALABcACIATQBhAGcAbgBlAHMAaQB1AG0AIAAtACAAZwBlAG4AZQByAGkAYwBcACIALAAwAC4AMAAxADgALABcACIATABvAGMAYQB0AGkAbwBuACAAbgBvAHQAIABzAHAAZQBjAGkAZgBpAGUAZABcACIALABcACIASQByAG8AbgAgAC0AIABnAGUAbgBlAHIAaQBjAFwAIgAsADAALgAwADAAMAA3ACwAXAAiAEwAbwBjAGEAdABpAG8AbgAgAG4AbwB0ACAAcwBwAGUAYwBpAGYAaQBlAGQAXAAiACwAXAAiAE0AYQBuAGcAYQBuAGUAcwBlACAALQAgAEcAZQBuAGUAcgBpAGMAXAAiACwAMAAuADAAMAAwADQALABcACIATABvAGMAYQB0AGkAbwBuACAAbgBvAHQAIABzAHAAZQBjAGkAZgBpAGUAZABcACIALABcACIAQgBvAHIAbwBuACAALQAgAGcAZQBuAGUAcgBpAGMAXAAiACwAMAAuADAAMAAwADIANQAsAFwAIgBMAG8AYwBhAHQAaQBvAG4AIABuAG8AdAAgAHMAcABlAGMAaQBmAGkAZQBkAFwAIgAsAFwAIgBaAGkAbgBjACAALQAgAEcAZQBuAGUAcgBpAGMAXAAiACwAMAAuADAAMAAwADIANQAsAFwAIgBMAG8AYwBhAHQAaQBvAG4AIABuAG8AdAAgAHMAcABlAGMAaQBmAGkAZQBkAFwAIgAsAFwAIgBDAG8AcABwAGUAcgAgAC0AIABnAGUAbgBlAHIAaQBjAFwAIgAsADAALgAwADAAMAAxACwAXAAiAEwAbwBjAGEAdABpAG8AbgAgAG4AbwB0ACAAcwBwAGUAYwBpAGYAaQBlAGQAXAAiADsAXABuAFwAIgBZAGEAcgBhAFYAaQB0AGEAIABHAGwAeQB0AHIAZQBsACAAWgBuAFAAXAAiACwAXAAiAEwAXAAiACwAMQAuADMANQA0ACwAXAAiAFoAaQBuAGMAIAAtACAARwBlAG4AZQByAGkAYwBcACIALAAwAC4AMQAsAFwAIgBMAG8AYwBhAHQAaQBvAG4AIABuAG8AdAAgAHMAcABlAGMAaQBmAGkAZQBkAFwAIgAsAFwAIgBQAGgAbwBzAHAAaABvAHIAdQBzACAALQAgAEcAZQBuAGUAcgBpAGMAXAAiACwAMAAuADAANAA0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ZAGEAcgBhAFYAaQB0AGEAIABaAGkAbgB0AHIAYQBjAFwAIgAsAFwAIgBMAFwAIgAsADEALgA3ADMANAAsAFwAIgBaAGkAbgBjACAALQAgAEcAZQBuAGUAcgBpAGMAXAAiACwAMAAuADcALABcACIATABvAGMAYQB0AGkAbwBuACAAbgBvAHQAIABzAHAAZQBjAGkAZgBpAGUAZABcACIALABcACIATgBpAHQAcgBvAGcAZQBuACAALQAgAEcAZQBuAGUAcgBpAGMAXAAiACwAMAAuADAAMQA4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aAGkAbgBjAFMAdABhAHIAXAAiACwAXAAiAGsAZwBcACIALAAxACwAXAAiAE4AaQB0AHIAbwBnAGUAbgAgAC0AIABBAG0AbQBvAG4AaQBhAGMAYQBsAFwAIgAsADAALgAxACwAXAAiAEwAbwBjAGEAdABpAG8AbgAgAG4AbwB0ACAAcwBwAGUAYwBpAGYAaQBlAGQAXAAiACwAXAAiAFAAaABvAHMAcABoAG8AcgB1AHMAIAAtACAARwBlAG4AZQByAGkAYwBcACIALAAwAC4AMgAyACwAXAAiAEwAbwBjAGEAdABpAG8AbgAgAG4AbwB0ACAAcwBwAGUAYwBpAGYAaQBlAGQAXAAiACwAXAAiAFMAdQBsAGYAdQByACAALQAgAEcAZQBuAGUAcgBpAGMAXAAiACwAMAAuADAAMgAsAFwAIgBMAG8AYwBhAHQAaQBvAG4AIABuAG8AdAAgAHMAcABlAGMAaQBmAGkAZQBkAFwAIgAsAFwAIgBaAGkAbgBjACAALQAgAEcAZQBuAGUAcgBpAGMAXAAiACwAMAAuADAAM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KgAv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CwAewAiAHAAYQB0AGgAIgA6ACIALwBwAHIAbwBqAGUAYwB0AHMALwBXAGEAcwB0AGUAUwBvAGwAaQBkAF8AUwBvAHUAcgBjAGUARABhAHQAYQAiACwAIgB0AGUAeAB0ACIAOgAiAC8AKgBcAG4APQA9AD0APQA9AD0APQA9AD0APQA9AD0APQA9AD0APQA9AD0APQA9AD0APQA9AD0APQA9AD0APQA9AD0APQA9AD0APQA9AD0APQA9AD0APQA9AD0APQA9AD0APQA9AD0APQA9AD0APQA9AD0APQA9AD0APQA9AD0APQA9AD0APQA9AD0APQA9AD0APQA9AD0APQA9AD0APQBcAG4ARQBtAGkAcwBzAGkAbwBuACAAZgBhAGMAdABvAHIAcwAgAGYAbwByACAAdwBhAHMAdABlAHMAIABkAGkAcwBwAG8AcwBlAGQAIABvAGYAIABhAHQAIABkAGkAZgBmAGUAcgBlAG4AdAAgAHQAcgBlAGEAdABtAGUAbgB0ACAAZgBhAGMAaQBsAGkAdABpAGUAcwBcAG4APQA9AD0APQA9AD0APQA9AD0APQA9AD0APQA9AD0APQA9AD0APQA9AD0APQA9AD0APQA9AD0APQA9AD0APQA9AD0APQA9AD0APQA9AD0APQA9AD0APQA9AD0APQA9AD0APQA9AD0APQA9AD0APQA9AD0APQA9AD0APQA9AD0APQA9AD0APQA9AD0APQA9AD0APQA9AD0APQBcAG4AKgAvAFwAbgBcAG4AVwBhAHMAdABlAF8ARQBtAGkAcwBzAGkAbwBuAEYAYQBjAHQAbwByAHMARgBvAHIAVwBhAHMAdABlAFQAcgBlAGEAdABtAGUAbgB0AF8AVABpAHQAbABlAFwAbgA9AEwAQQBNAEIARABBACgAKABcACIARQBtAGkAcwBzAGkAbwBuACAAZgBhAGMAdABvAHIAcwAgAGYAbwByACAAdwBhAHMAdABlAHMAIABkAGkAcwBwAG8AcwBlAGQAIABvAGYAIABhAHQAIABkAGkAZgBmAGUAcgBlAG4AdAAgAHQAcgBlAGEAdABtAGUAbgB0ACAAZgBhAGMAaQBsAGkAdABpAGUAcwBcACIAKQApADsAXABuAFwAbgBXAGEAcwB0AGUAXwBFAG0AaQBzAHMAaQBvAG4ARgBhAGMAdABvAHIAcwBGAG8AcgBXAGEAcwB0AGUAVAByAGUAYQB0AG0AZQBuAHQAXwBWAGEAcgBpAGEAYgBsAGUAXABuAD0ATABBAE0AQgBEAEEAKAAoAFwAIgBFAEYAdwB0AFwAIgApACkAOwBcAG4AXABuAFcAYQBzAHQAZQBfAEUAbQBpAHMAcwBpAG8AbgBGAGEAYwB0AG8AcgBzAEYAbwByAFcAYQBzAHQAZQBUAHIAZQBhAHQAbQBlAG4AdABfAFUAbgBpAHQAXABuAD0ATABBAE0AQgBEAEEAKAAoAFwAIgB0ACAAQwBPADIAZQAgAC8AIAB0AFwAIgApACkAOwBcAG4AXABuAFcAYQBzAHQAZQBfAEUAbQBpAHMAcwBpAG8AbgBGAGEAYwB0AG8AcgBzAEYAbwByAFcAYQBzAHQAZQBUAHIAZQBhAHQAbQBlAG4AdABfAFMAbwB1AHIAYwBlAFwAbgA9AEwAQQBNAEIARABBACgAKABcACIAVgBFAEUAUgBHACAAMgAwADIANgA6ACAAVABhAGIAbABlACAAQQAuADQALgAxAC4AMQBcACIAKQApADsAXABuAFwAbgBXAGEAcwB0AGUAXwBFAG0AaQBzAHMAaQBvAG4ARgBhAGMAdABvAHIAcwBGAG8AcgBXAGEAcwB0AGUAVAByAGUAYQB0AG0AZQBuAHQAXwBEAGEAdABhAFwAbgA9AEwAQQBNAEIARABBACgAXABuACAAIABNAEEASwBFAEEAUgBSAEEAWQAoADMANQAsACAANAAsAFwAbgAgACAAIAAgAEwAQQBNAEIARABBACgAcgAsAGMALABcAG4AIAAgACAAIAAgACAASQBOAEQARQBYACgAewBcAG4AIAAgACAAIAAgACAAIAAgAFwAIgBUAHIAZQBhAHQAbQBlAG4AdAAgAHQAeQBwAGUAIAB0AFwAIgAsACAAXAAiAFcAYQBzAHQAZQAgAHQAeQBwAGUAIAB3AFwAIgAsACAAXAAiAEUARgB3AHQAXAAiACwAIABcACIARQBGACAAcwBvAHUAcgBjAGUAXAAiADsAXABuACAAIAAgACAAIAAgACAAIABcACIATABhAG4AZABmAGkAbABsAFwAIgAsACAAXAAiAEYAbwBvAGQAIAB3AGEAcwB0AGUAIAAoAGkAbgBjAGwAdQBkAGkAbgBnACAAYQBuAGkAbQBhAGwAIABjAGEAcgBjAGEAcwBzAGUAcwAsACAAcwBwAG8AaQBsAGUAZAAgAGEAbgBpAG0AYQBsACAAZgBlAGUAZAAgAG8AcgAgAGMAcgBvAHAAKQBcACIALAAgADIALgAxACwAIABcACIATgBHAEEARgAgADIAMAAyADUAIAB0AGEAYgBsAGUAIAAxADUAXAAiADsAXABuACAAIAAgACAAIAAgACAAIABcACIATABhAG4AZABmAGkAbABsAFwAIgAsACAAXAAiAFAAYQBwAGUAcgAgAGEAbgBkACAAYwBhAHIAZABiAG8AYQByAGQAXAAiACwAIAAzAC4AMwAsACAAXAAiAE4ARwBBAEYAIAAyADAAMgA1ACAAdABhAGIAbABlACAAMQA1AFwAIgA7AFwAbgAgACAAIAAgACAAIAAgACAAXAAiAEwAYQBuAGQAZgBpAGwAbABcACIALAAgAFwAIgBHAHIAZQBlAG4AIAB3AGEAcwB0AGUAIAAoAGkAbgBjAGwAdQBkAGkAbgBnACAAYwByAG8AcAAgAHIAZQBzAGkAZAB1AGUAcwAgAG8AcgAgAHAAcgB1AG4AaQBuAGcAcwApAFwAIgAsACAAMQAuADYALAAgAFwAIgBOAEcAQQBGACAAMgAwADIANQAgAHQAYQBiAGwAZQAgADEANQBcACIAOwBcAG4AIAAgACAAIAAgACAAIAAgAFwAIgBMAGEAbgBkAGYAaQBsAGwAXAAiACwAIABcACIAVwBvAG8AZABcACIALAAgADAALgA3ACwAIABcACIATgBHAEEARgAgADIAMAAyADUAIAB0AGEAYgBsAGUAIAAxADUAXAAiADsAXABuACAAIAAgACAAIAAgACAAIABcACIATABhAG4AZABmAGkAbABsAFwAIgAsACAAXAAiAFQAZQB4AHQAaQBsAGUAcwBcACIALAAgADIALgAwACwAIABcACIATgBHAEEARgAgADIAMAAyADUAIAB0AGEAYgBsAGUAIAAxADUAXAAiADsAXABuACAAIAAgACAAIAAgACAAIABcACIATABhAG4AZABmAGkAbABsAFwAIgAsACAAXAAiAFMAbAB1AGQAZwBlAFwAIgAsACAAMAAuADQALAAgAFwAIgBOAEcAQQBGACAAMgAwADIANQAgAHQAYQBiAGwAZQAgADEANQBcACIAOwBcAG4AIAAgACAAIAAgACAAIAAgAFwAIgBMAGEAbgBkAGYAaQBsAGwAXAAiACwAIABcACIAUgB1AGIAYgBlAHIAIABhAG4AZAAgAGwAZQBhAHQAaABlAHIAXAAiACwAIAAzAC4AMwAsACAAXAAiAE4ARwBBAEYAIAAyADAAMgA1ACAAdABhAGIAbABlACAAMQA1AFwAIgA7AFwAbgAgACAAIAAgACAAIAAgACAAXAAiAEwAYQBuAGQAZgBpAGwAbABcACIALAAgAFwAIgBJAG4AZQByAHQAIAB3AGEAcwB0AGUAIAAoAGkAbgBjAGwAdQBkAGkAbgBnACAAYwBvAG4AYwByAGUAdABlACwAIABtAGUAdABhAGwALAAgAHAAbABhAHMAdABpAGMAIABvAHIAIABnAGwAYQBzAHMAKQBcACIALAAgADAALAAgAFwAIgBOAEcAQQBGACAAMgAwADIANQAgAHQAYQBiAGwAZQAgADEANQBcACIAOwBcAG4AIAAgACAAIAAgACAAIAAgAFwAIgBMAGEAbgBkAGYAaQBsAGwAXAAiACwAIABcACIATQB1AG4AaQBjAGkAcABhAGwAIABzAG8AbABpAGQAIAB3AGEAcwB0AGUAXAAiACwAIAAxAC4ANgAsACAAXAAiAE4ARwBBAEYAIAAyADAAMgA1ACAAdABhAGIAbABlACAAMQA1AFwAIgA7AFwAbgAgACAAIAAgACAAIAAgACAAXAAiAEwAYQBuAGQAZgBpAGwAbABcACIALAAgAFwAIgBDAG8AbQBtAGUAcgBjAGkAYQBsACAAYQBuAGQAIABpAG4AZAB1AHMAdAByAGkAYQBsACAAdwBhAHMAdABlAFwAIgAsACAAMQAuADMALAAgAFwAIgBOAEcAQQBGACAAMgAwADIANQAgAHQAYQBiAGwAZQAgADEANQBcACIAOwBcAG4AIAAgACAAIAAgACAAIAAgAFwAIgBMAGEAbgBkAGYAaQBsAGwAXAAiACwAIABcACIAQwBvAG4AcwB0AHIAdQBjAHQAaQBvAG4AIABhAG4AZAAgAGQAZQBtAG8AbABpAHQAaQBvAG4AIAB3AGEAcwB0AGUAXAAiACwAIAAwAC4AMgAsACAAXAAiAE4ARwBBAEYAIAAyADAAMgA1ACAAdABhAGIAbABlACAAMQA1AFwAIgA7AFwAbgAgACAAIAAgACAAIAAgACAAXABuACAAIAAgACAAIAAgACAAIABcACIASQBuAGMAaQBuAGUAcgBhAHQAaQBvAG4AXAAiACwAIABcACIARgBvAG8AZAAgAHcAYQBzAHQAZQAsACAAZwByAGUAZQBuACAAdwBhAHMAdABlACwAIAB3AG8AbwBkACwAIABzAGwAdQBkAGcAZQBcACIALAAgADAALAAgAFwAIgBcACIAOwBcAG4AIAAgACAAIAAgACAAIAAgAFwAIgBJAG4AYwBpAG4AZQByAGEAdABpAG8AbgBcACIALAAgAFwAIgBGAG8AbwBkACAAdwBhAHMAdABlACAAKABpAG4AYwBsAHUAZABpAG4AZwAgAGEAbgBpAG0AYQBsACAAYwBhAHIAYwBhAHMAcwBlAHMALAAgAHMAcABvAGkAbABlAGQAIABhAG4AaQBtAGEAbAAgAGYAZQBlAGQAIABvAHIAIABjAHIAbwBwACkAXAAiACwAIAAwACwAIABcACIAXAAiADsAXABuACAAIAAgACAAIAAgACAAIABcACIASQBuAGMAaQBuAGUAcgBhAHQAaQBvAG4AXAAiACwAIABcACIARwByAGUAZQBuACAAdwBhAHMAdABlACAAKABpAG4AYwBsAHUAZABpAG4AZwAgAGMAcgBvAHAAIAByAGUAcwBpAGQAdQBlAHMAIABvAHIAIABwAHIAdQBuAGkAbgBnAHMAKQBcACIALAAgADAALAAgAFwAIgBcACIAOwBcAG4AIAAgACAAIAAgACAAIAAgAFwAIgBJAG4AYwBpAG4AZQByAGEAdABpAG8AbgBcACIALAAgAFwAIgBXAG8AbwBkAFwAIgAsACAAMAAsACAAXAAiAFwAIgA7AFwAbgAgACAAIAAgACAAIAAgACAAXAAiAEkAbgBjAGkAbgBlAHIAYQB0AGkAbwBuAFwAIgAsACAAXAAiAF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HcAYQBzAHQAZQAgACgAaQBuAGMAbAB1AGQAaQBuAGcAIABjAG8AbgBjAHIAZQB0AGUALAAgAG0AZQB0AGEAbAAsACAAcABsAGEAcwB0AGkAYwAgAG8AcgAgAGcAbABhAHMAcwApAFwAIgAsACAAMAAuADEAMQAwADAALAAgAFwAIgBcACIAOwBcAG4AIAAgACAAIAAgACAAIAAgAFwAIgBJAG4AYwBpAG4AZQByAGEAdABpAG8AbgBcACIALAAgAFwAIgBNAHUAbgBpAGMAaQBwAGEAbAAgAHMAbwBsAGkAZAAgAHcAYQBzAHQAZQBcACIALAAgADAALgAwADUAMwA3ACwAIABcACIATgBHAEEARgAgADIAMAAyADUAIABUAGEAYgBsAGUAIAAxADgAXAAiADsAXABuACAAIAAgACAAIAAgACAAIABcACIASQBuAGMAaQBuAGUAcgBhAHQAaQBvAG4AXAAiACwAIABcACIAQwBvAG0AbQBlAHIAYwBpAGEAbAAgAGEAbgBkACAAaQBuAGQAdQBzAHQAcgBpAGEAbAAgAHcAYQBzAHQAZQBcACIALAAgADEALgA2ADQAOQAsACAAXAAiAE4ARwBBAEYAIAAyADAAMgA1ACAAVABhAGIAbABlACAAMQA4AFwAIgA7AFwAbgBcAG4AIAAgACAAIAAgACAAIAAgAFwAIgBDAG8AbQBwAG8AcwB0AGkAbgBnAFwAIgAsACAAXAAiAEEAbABsACAAbwByAGcAYQBuAGkAYwAgAHcAYQBzAHQAZQBcACIALAAgADAALgAwADQANgAsACAAXAAiAE4ARwBBAEYAIAAyADAAMgA1ACAAVABhAGIAbABlACAAMQA5AFwAIgA7AFwAbgAgACAAIAAgACAAIAAgACAAXAAiAEMAbwBtAHAAbwBzAHQAaQBuAGcAXAAiACwAIABcACIARgBvAG8AZAAgAHcAYQBzAHQAZQAgACgAaQBuAGMAbAB1AGQAaQBuAGcAIABhAG4AaQBtAGEAbAAgAGMAYQByAGMAYQBzAHMAZQBzACwAIABzAHAAbwBpAGwAZQBkACAAYQBuAGkAbQBhAGwAIABmAGUAZQBkACAAbwByACAAYwByAG8AcAApAFwAIgAsACAAMAAuADAANAA2ACwAIABcACIAXAAiADsAXABuACAAIAAgACAAIAAgACAAIABcACIAQwBvAG0AcABvAHMAdABpAG4AZwBcACIALAAgAFwAIgBHAHIAZQBlAG4AIAB3AGEAcwB0AGUAIAAoAGkAbgBjAGwAdQBkAGkAbgBnACAAYwByAG8AcAAgAHIAZQBzAGkAZAB1AGUAcwAgAG8AcgAgAHAAcgB1AG4AaQBuAGcAcwApAFwAIgAsACAAMAAuADAANAA2ACwAIABcACIAXAAiADsAXABuACAAIAAgACAAIAAgACAAIABcACIAQwBvAG0AcABvAHMAdABpAG4AZwBcACIALAAgAFwAIgBXAG8AbwBkAFwAIgAsACAAMAAuADAANAA2ACwAIABcACIAXAAiADsAXABuACAAIAAgACAAIAAgACAAIABcACIAQwBvAG0AcABvAHMAdABpAG4AZwBcACIALAAgAFwAIgBTAGwAdQBkAGcAZQBcACIALAAgADAALgAwADQANgAsACAAXAAiAFwAIgA7AFwAbgAgACAAIAAgACAAIAAgACAAXAAiAEMAbwBtAHAAbwBzAHQAaQBuAGcAXAAiACwAIABcACIAUABhAHAAZQByACAAYQBuAGQAIABjAGEAcgBkAGIAbwBhAHIAZABcACIALAAgADAALgAwADQANgAsACAAXAAiAFwAIgA7AFwAbgBcAG4AIAAgACAAIAAgACAAIAAgAFwAIgBBAG4AYQBlAHIAbwBiAGkAYwAgAGQAaQBnAGUAcwB0AGkAbwBuAFwAIgAsACAAXAAiAEEAbABsACAAbwByAGcAYQBuAGkAYwAgAHcAYQBzAHQAZQBcACIALAAgADAALgAwADIAOAAsACAAXAAiAE4ARwBBAEYAIAAyADAAMgA1ACAAVABhAGIAbABlACAAMQA5AFwAIgA7AFwAbgAgACAAIAAgACAAIAAgACAAXAAiAEEAbgBhAGUAcgBvAGIAaQBjACAAZABpAGcAZQBzAHQAaQBvAG4AXAAiACwAIABcACIARgBvAG8AZAAgAHcAYQBzAHQAZQAgACgAaQBuAGMAbAB1AGQAaQBuAGcAIABhAG4AaQBtAGEAbAAgAGMAYQByAGMAYQBzAHMAZQBzACwAIABzAHAAbwBpAGwAZQBkACAAYQBuAGkAbQBhAGwAIABmAGUAZQBkACAAbwByACAAYwByAG8AcAApAFwAIgAsACAAMAAuADAAMgA4ACwAIABcACIAXAAiADsAXABuACAAIAAgACAAIAAgACAAIABcACIAQQBuAGEAZQByAG8AYgBpAGMAIABkAGkAZwBlAHMAdABpAG8AbgBcACIALAAgAFwAIgBHAHIAZQBlAG4AIAB3AGEAcwB0AGUAIAAoAGkAbgBjAGwAdQBkAGkAbgBnACAAYwByAG8AcAAgAHIAZQBzAGkAZAB1AGUAcwAgAG8AcgAgAHAAcgB1AG4AaQBuAGcAcwApAFwAIgAsACAAMAAuADAAMgA4ACwAIABcACIAXAAiADsAXABuACAAIAAgACAAIAAgACAAIABcACIAQQBuAGEAZQByAG8AYgBpAGMAIABkAGkAZwBlAHMAdABpAG8AbgBcACIALAAgAFwAIgBXAG8AbwBkAFwAIgAsACAAMAAuADAAMgA4ACwAIABcACIAXAAiADsAXABuACAAIAAgACAAIAAgACAAIABcACIAQQBuAGEAZQByAG8AYgBpAGMAIABkAGkAZwBlAHMAdABpAG8AbgBcACIALAAgAFwAIgBTAGwAdQBkAGcAZQBcACIALAAgADAALgAwADIAOAAsACAAXAAiAFwAIgA7AFwAbgAgACAAIAAgACAAIAAgACAAXAAiAEEAbgBhAGUAcgBvAGIAaQBjACAAZABpAGcAZQBzAHQAaQBvAG4AXAAiACwAIABcACIAUABhAHAAZQByACAAYQBuAGQAIABjAGEAcgBkAGIAbwBhAHIAZABcACIALAAgADAALgAwADIAOAAsACAAXAAiAFwAIgBcAG4AIAAgACAAIAAgACAAfQAsACAAcgAsACAAYwApAFwAbgApACkAKQA7AFwAbgBcAG4AVwBhAHMAdABlAF8ARQBtAGkAcwBzAGkAbwBuAEYAYQBjAHQAbwByAHMARgBvAHIAVwBhAHMAdABlAFQAcgBlAGEAdABtAGUAbgB0AF8AVgBhAHIAaQBhAHQAaQBvAG4AXABuAD0ATABBAE0AQgBEAEEAKABcAG4AIAAgAE0AQQBLAEUAQQBSAFIAQQBZACgANwAsACAAMQAsAFwAbgAgACAAIAAgAEwAQQBNAEIARABBACgAcgAsAGMALABcAG4AIAAgACAAIAAgACAASQBOAEQARQBYACgAewBcAG4AIAAgACAAIAAgACAAIAAgAFwAIgBWAEEAUgBJAEEAVABJAE8ATgAgAE8ATgAgAFMATwBVAFIAQwBFADoAXAAiADsAXABuACAAIAAgACAAIAAgACAAIABcACIARgBpAHgAZQBkACAAdAB5AHAAbwAgAFwAdQAwADAAMgA3AHAAYQBwAGUAcgAgAGEAbgBkACAAYwBhAHIAYgBvAGEAcgBkAFwAdQAwADAAMgA3ACAAdABvACAAXAB1ADAAMAAyADcAcABhAHAAZQByACAAYQBuAGQAIABjAGEAcgBkAGIAbwBhAHIAZABcAHUAMAAwADIANwBcACIAOwBcAG4AIAAgACAAIAAgACAAIAAgAFwAIgBGAGkAeABlAGQAIAB0AHkAcABvACAAXAB1ADAAMAAyADcAcAByAHUAbgBuAGkAbgBnAHMAXAB1ADAAMAAyADcAIAB0AG8AIABcAHUAMAAwADIANwBwAHIAdQBuAGkAbgBnAHMAXAB1ADAAMAAyADcAXAAiADsAXABuACAAIAAgACAAIAAgACAAIABcACIAQQBkAGQAZQBkACAARQBGACAAcwBvAHUAcgBjAGUAIABjAG8AbAB1AG0AbgAgAHcAaQB0AGgAIABzAHAAZQBjAGkAZgBpAGMAIAByAGUAZgBlAHIAZQBuAGMAZQBzAFwAIgA7AFwAbgAgACAAIAAgACAAIAAgACAAXAAiAEEAZABkAGUAZAAgAHMAdQBiAC0AYwBhAHQAZQBnAG8AcgBpAGUAcwAgAGYAbwByACAAXAB1ADAAMAAyADcASQBuAGMAaQBuAGUAcgBhAHQAaQBvAG4AOgAgAEYAbwBvAGQAIAB3AGEAcwB0AGUALAAgAGcAcgBlAGUAbgAgAHcAYQBzAHQAZQAsACAAdwBvAG8AZAAsACAAcwBsAHUAZABn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wBvAG0AcABvAHMAdABpAG4AZwA6ACAAQQBsAGwAIABvAHIAZwBhAG4AaQBjACAAdwBhAHMAdABlAFwAdQAwADAAMgA3ACAAaQBuACAAbwByAGQAZQByACAAdABvACAAdQBzAGUAIAB2AG8AbAB1AG0AZQAgAHQAbwAgAG0AYQBzAHMAIABjAG8AbgB2AGUAcgBzAGkAbwBuACAAZgBhAGMAdABvAHIAIAB2AGEAbAB1AGUAcwBcACIAOwBcAG4AIAAgACAAIAAgACAAIAAgAFwAIgBBAGQAZABlAGQAIABzAHUAYgAtAGMAYQB0AGUAZwBvAHIAaQBlAHMAIABmAG8AcgAgAFwAdQAwADAAMgA3AEEAbgBhAGUAcgBvAGIAaQBjACAAZABpAGcAZQBzAHQAaQBvAG4AOgAgAEEAbABsACAAbwByAGcAYQBuAGkAYwAgAHcAYQBzAHQAZQBcAHUAMAAwADIAN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YgBhAGwAZQBkAFwAbgBkAGkAbQBlAG4AcwBpAG8AbgBsAGUAcwBzAFwAbgBGAEYATwBEAF8AewBjAH0APQBcAFwAZgByAGEAYwB7AEIAXABcAHQAaQBtAGUAcwAgAE0AXwB7AEIAfQB9AHsAUABfAHsAYwB9AFwAXAB0AGkAbQBlAHMAIABSAF8AewBBAEcALABjAH0AfQBcAG4AQgAgAD0AIABuAHUAbQBiAGUAcgAgAG8AZgAgAGIAYQBsAGUAcwAgAGcAZQBuAGUAcgBhAHQAZQBkACAAKABkAGkAbQBlAG4AcwBpAG8AbgBsAGUAcwBz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ABpAG0AZQBuAHMAaQBvAG4AbABlAHMAcw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GIAYQBsAGUAZABcACIAKQA7AFwAbgBcAG4AVgBFAEUAUgBHAF8ANgBfADEAXwAxAF8AMgBfAF8AMQBfAF8ARgByAGEAYwB0AGkAbwBuAE8AZgBDAHIAbwBwAFIAZQBzAGkAZAB1AGUAUgBlAG0AbwB2AGUAZABCAGEAbABlAGQAXwBVAG4AaQB0AFwAbgAgACAAPQBMAEEATQBCAEQAQQAoAFwAIgBkAGkAbQBlAG4AcwBpAG8AbgBsAGUAcwBz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AsAGIAYQBsAGUAZA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WAEEAUgBJAEEAVABJAE8ATgAgAEYAUgBPAE0AIABTAE8AVQBSAEMARQA6ACAAQQBkAGQAZQBkACAAXAB1ADAAMAAyADcAYgBhAGwAZQBkAFwAdQAwADAAMgA3ACAAdABvACAAdgBhAHIAaQBhAGIAbABlACAAcwB1AGIAcwBjAHIAaQBwAHQ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BWAEUARQBSAEcAXwA2AF8AMQBfADEAXwAyAF8AXwAxAGEAXwBfAEYAcgBhAGMAdABpAG8AbgBPAGYAQwByAG8AcABSAGUAcwBpAGQAdQBlAFIAZQBtAG8AdgBlAGQAXABuACAAIAA9AEwAQQBNAEIARABBACgAXABuACAAIAAgACAARgBGAE8ARABfAGMAYgBhAGwAZQBkACwAIABGAEYATwBEAF8AYwBvAHQAaABlAHIALABcAG4AIAAgACAAIABGAEYATwBEAF8AYwBiAGEAbABlAGQAIAArACAARgBGAE8ARABfAGMAbwB0AGgAZQByAFwAbgAgACAAKQBcAG4AOwBcAG4AXABuAFYARQBFAFIARwBfADYAXwAxAF8AMQBfADIAXwBfADEAYQBfAF8ARgByAGEAYwB0AGkAbwBuAE8AZgBDAHIAbwBwAFIAZQBzAGkAZAB1AGUAUgBlAG0AbwB2AGUAZABfAFQAaQB0AGwAZQBcAG4AIAAgAD0ATABBAE0AQgBEAEEAKABcACIARgByAGEAYwB0AGkAbwBuACAAbwBmACAAYwByAG8AcAAgAHIAZQBzAGkAZAB1AGUAIAB0AGgAYQB0ACAAaQBzACAAcgBlAG0AbwB2AGUAZAAgAGYAbwByACAAYwByAG8AcAAgAGMAXAAiACkAOwBcAG4AXABuAFYARQBFAFIARwBfADYAXwAxAF8AMQBfADIAXwBfADEAYQBfAF8ARgByAGEAYwB0AGkAbwBuAE8AZgBDAHIAbwBwAFIAZQBzAGkAZAB1AGUAUgBlAG0AbwB2AGUAZABfAFYAYQByAGkAYQBiAGwAZQBcAG4AIAAgAD0ATABBAE0AQgBEAEEAKABcACIARgBGAE8ARABf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0ACwAIABcAG4AIAAgACAAIAAgACAATABBAE0AQgBEAEEAKAByACwAYwAsACAAXABuACAAIAAgACAAIAAgACAAIABJAE4ARABFAFgAKAB7AFwAbgAgACAAIAAgACAAIAAgACAAIAAgAFwAIgBGAEYATwBEAF8AYwBiAGEAbABlAGQAXAAiACwAXAAiAEYAcgBhAGMAdABpAG8AbgAgAG8AZgAgAGMAcgBvAHAAIAByAGUAcwBpAGQAdQBlACAAdABoAGEAdAAgAGkAcwAgAHIAZQBtAG8AdgBlAGQAIABmAG8AcgAgAGMAcgBvAHAAIABjACwAIABjAGEAbABjAHUAbABhAHQAZQBkACAAdwBoAGUAcgBlACAAcgBlAHMAaQBkAHUAZQBzACAAYQByAGUAIABiAGEAbABlAGQAXAAiACwAIABcACIAZgByAGEAYwB0AGkAbwBuAFwAIgAsACAAXAAiAEMAYQBsAGMAdQBsAGEAdABlAGQAIABmAHIAbwBtACAANgAuADEALgAxAC4AMgAsACAAKAAxACkAXAAiADsAXABuACAAIAAgACAAIAAgACAAIAAgACAAXAAiAEYARgBPAEQAXwBjAG8AdABoAGUAcgBcACIALABcACIARgByAGEAYwB0AGkAbwBuACAAbwBmACAAYwByAG8AcAAgAHIAZQBzAGkAZAB1AGUAIAB0AGgAYQB0ACAAaQBzACAAcgBlAG0AbwB2AGUAZAAgAGYAbwByACAAYwByAG8AcAAgAGMALAAgAGMAYQBsAGMAdQBsAGEAdABlAGQAIAB3AGgAZQByAGUAIAByAGUAcwBpAGQAdQBlAHMAIABhAHIAZQAgAHIAZQBtAG8AdgBlAGQAIABiAHkAIABvAHQAaABlAHIAIABtAGUAYQBuAHMAXAAiACwAIABcACIAZgByAGEAYwB0AGkAbwBuAFwAIgAsACAAXAAiAEkAbgBwAHUAdA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XwBFAHEAdQBhAHQAaQBvAG4AcwBfAFAAYQBzAHQAdQByAGUAUgBlAHMAaQBkAHUAZQAiACwAIgB0AGUAeAB0ACIAOgAiAC8AKgAgAFwAbgAtAC0ALQAtAC0ALQAtAC0ALQAtAC0ALQAtAC0ALQAtAC0ALQAtAC0ALQAtAC0ALQAtAC0ALQAtAC0ALQAtAC0ALQAtAC0ALQAtAC0AXABuAFYARQBFAFIARwBfADYAXwAyAF8AMQBfADEAXwBfADEAXwBfAE4AaQB0AHIAbwB1AHMATwB4AGkAZABlAEUAbQBpAHMAcwBpAG8AbgBzAEYAcgBvAG0AUABhAHMAdAB1AHIAZQBSAGUAcwBpAGQAdQBlAHMAXABuAE4AaQB0AHIAbwB1AHMAIABvAHgAaQBkAGUAIABlAG0AaQBzAHMAaQBvAG4AcwAgAGYAcgBvAG0AIAB0AGgAZQAgAHIAZQB0AHUAcgBuACAAbwBmACAAcABhAHMAdAB1AHIAZQAgAHIAZQBzAGkAZAB1AGUAcwAgAGYAcgBvAG0AIABhAGwAbAAgAHAAYQBzAHQAdQByAGUAIAB0AHkAcABlAHMAIAB0AG8AIAB0AGgAZQAgAHMAbwBpAGwAXABuAEUATgAyAE8AXABuAHQAIABOADIATwBcAG4ARQBfAHsATgAyAE8AfQA9AFwAXABzAHUAbQBfAHsAcAB9AFwAXABsAGUAZgB0ACgATQBfAHAAXABcAHQAaQBtAGUAcwAgAEUARgBfAHsATgBpAH0AXABcAHQAaQBtAGUAcwAgAEMAXwB7AE4AMgBPAH0AXABcAHQAaQBtAGUAcwB7ADEAMAB9AF4AewAtADMAfQBcAFwAcgBpAGcAaAB0ACkAXABuAE0AcAAgAD0AIABtAGEAcwBzACAAbwBmACAAbgBpAHQAcgBvAGcAZQBuACAAaQBuACAAcABhAHMAdAB1AHIAZQAgAHAAIAByAGUAcwBpAGQAdQBlAHMAIAByAGUAdAB1AHIAbgBlAGQAIAB0AG8AIAB0AGgAZQAgAHMAbwBpAGwAIAAoAGsAZwAgAE4AKQBcAG4ARQBGAE4AaQAgAD0AIABlAG0AaQBzAHMAaQBvAG4AIABmAGEAYwB0AG8AcgAgAGYAbwByACAAYwByAG8AcAAgAHIAZQBzAGkAZAB1AGUAcwAgAHIAZQB0AHUAcgBuAGUAZAAgAHQAbwAgAHQAaABlACAAcwBvAGkAbAAgAGkAbgAgAGMAbABpAG0AYQB0AGUAIAB6AG8AbgBlACAAaQ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cAAgAD0AIABQAGEAcwB0AHUAcgBlACAAdAB5AHAAZQBcAG4AaQAgAD0AIABDAGwAaQBtAGEAdABlACAAegBvAG4AZQBcAG4ALQAtAC0ALQAtAC0ALQAtAC0ALQAtAC0ALQAtAC0ALQAtAC0ALQAtAC0ALQAtAC0ALQAtAC0ALQAtAC0ALQAtAC0ALQAtAC0ALQAtAFwAbgAqAC8AXABuAFwAbgBWAEUARQBSAEcAXwA2AF8AMgBfADEAXwAxAF8AXwAxAF8AXwBOAGkAdAByAG8AdQBzAE8AeABpAGQAZQBFAG0AaQBzAHMAaQBvAG4AcwBGAHIAbwBtAFAAYQBzAHQAdQByAGUAUgBlAHMAaQBkAHUAZQBzAFwAbgAgACAAPQBMAEEATQBCAEQAQQAoAFwAbgAgACAAIAAgAE0AXwBwACwAIABFAEYAXwBOAGkALAAgAEMAXwBOADIATwAsAFwAbgAgACAAIAAgACgATQBfAHAAIAAqACAARQBGAF8ATgBpACkAIAAqACAAQwBfAE4AMgBPACAAKgAgADEAMABeACgALQAzACkAXABuACAAIA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cAFwAbgBvAGwAaQBtAGkAdABzAF8AcABcAFwAbABlAGYAdAAoAE0AXwBwAFwAXAB0AGkAbQBlAHMAIABFAEYAXwB7AE4AaQB9AFwAXAByAGkAZwBoAHQAKQBcAFwAdABpAG0AZQBzACAAQwBfAHsATgAyAE8AfQBcAFwAdABpAG0AZQBzAHsAMQAwAH0AXgB7AC0AMwB9AFwAIgApADsAXABuAFwAbgBWAEUARQBSAEcAXwA2AF8AMgBfADEAXwAxAF8AXwAxAF8AXwBOAGkAdAByAG8AdQBzAE8AeABpAGQAZQBFAG0AaQBzAHMAaQBvAG4AcwBGAHIAbwBtAFAAYQBzAHQAdQByAGU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cABcACIALABcACIAbQBhAHMAcwAgAG8AZgAgAG4AaQB0AHIAbwBnAGUAbgAgAGkAbgAgAHAAYQBzAHQAdQByAGUAIABwACAAcgBlAHMAaQBkAHUAZQBzACAAcgBlAHQAdQByAG4AZQBkACAAdABvACAAdABoAGUAIABzAG8AaQBsAFwAIgAsACAAXAAiAGsAZwAgAE4AXAAiACwAIABcACIAQwBhAGwAYwB1AGwAYQB0AGUAZAAgAGYAcgBvAG0AIAA2AC4AMgAuADEALgAxACAAKAAyACkAXAAiADsAXABuACAAIAAgACAAIAAgACAAIAAgACAAXAAiAEUARgBfAE4AaQBcACIALABcACIAZQBtAGkAcwBzAGkAbwBuACAAZgBhAGMAdABvAHIAIABmAG8AcgAgAGMAcgBvAHAAIAByAGUAcwBpAGQAdQBlAHMAIAByAGUAdAB1AHIAbgBlAGQAIAB0AG8AIAB0AGgAZQAgAHMAbwBpAGwAIABpAG4AIABjAGwAaQBtAGEAdABlACAAegBvAG4AZQAgAGk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cABcACIALABcACIAUABhAHMAdAB1AHIAZQ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IAXwAxAF8AMQBfAF8AMgBfAF8ATQBhAHMAcwBPAGYATgBpAHQAcgBvAGcAZQBuAEkAbgBQAGEAcwB0AHUAcgBlAFIAZQBzAGkAZAB1AGUAcwBcAG4ATQBhAHMAcwAgAG8AZgAgAG4AaQB0AHIAbwBnAGUAbgAgAGkAbgAgAHAAYQBzAHQAdQByAGUAIAByAGUAcwBpAGQAdQBlAHMAIAByAGUAdAB1AHIAbgBlAGQAIAB0AG8AIAB0AGgAZQAgAHMAbwBpAGwAXABuAE0AcABcAG4AawBnACAATgBcAG4ATQBfAHAAIAA9ACAAKABBAF8AcAAgANcAKABZAF8AcAAgAFwAXAB0AGkAbQBlAHMAIAAxADAAXgB7AC0AMwB9ACkAIABcAFwAdABpAG0AZQBzACAAKAAxAC0AIABGAEYATwBEAF8AcAApACAAXABcAHQAaQBtAGUAcwAgAE4AQwBfAHsAQQBHAHAAfQApACAAKwAgACgAQQBfAHAAIABcAFwAdABpAG0AZQBzACAAKABZAF8AcAAgAFwAXAB0AGkAbQBlAHMAIAAxADAAXgB7AC0AMwB9ACkAXABcAHQAaQBtAGUAcwAgAFIAXwB7AEIARwBwAH0AIABcAFwAdABpAG0AZQBzACAATgBDAF8AewBCAEcAcAB9ACkAXABuAEEAXw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fAEIARwBwACAAPQAgAGIAZQBsAG8AdwAtAGcAcgBvAHUAbgBkACAAcgBlAHMAaQBkAHUAZQAgAHQAbwAgAGEAYgBvAHYAZQAtAGcAcgBvAHUAbgBkACAAcgBlAHMAaQBkAHUAZQAgAHIAYQB0AGkAbwAgAGYAbwByACAAcABhAHMAdAB1AHIAZQAgAGMAcgBvAHAAIAAoAGQAaQBtAGUAbgBzAGkAbwBuAGwAZQBzAHMAKQBcAG4ATgBDAF8AQgBHAHAAIAA9ACAATgAgAGMAbwBuAHQAZQBuAHQAIABvAGYAIABiAGUAbABvAHcALQBnAHIAbwB1AG4AZAAgAHAAYQBzAHQAdQByAGUAIABjAHIAbwBwACAAcgBlAHMAaQBkAHUAZQAgACgAawBnACAATgAvAGsAZwAgAEQATQApAFwAbgBGAEYATwBEAHAAIAA9ACAAZgByAGEAYwB0AGkAbwBuACAAbwBmACAAcABhAHMAdAB1AHIAZQAgAHkAaQBlAGwAZAAgAHQAaABhAHQAIABpAHMAIAByAGUAbQBvAHYAZQBkACAAKABkAGkAbQBlAG4AcwBpAG8AbgBsAGUAcwBzACkAXABuAHAAIAA9ACAAUABhAHMAdAB1AHIAZQAgAHQAeQBwAGUAXABuAC0ALQAtAC0ALQAtAC0ALQAtAC0ALQAtAC0ALQAtAC0ALQAtAC0ALQAtAC0ALQAtAC0ALQAtAC0ALQAtAC0ALQAtAC0ALQAtAC0ALQBcAG4AKgAvAFwAbgBcAG4AVgBFAEUAUgBHAF8ANgBfADIAXwAxAF8AMQBfAF8AMgBfAF8ATQBhAHMAcwBPAGYATgBpAHQAcgBvAGcAZQBuAEkAbgBQAGEAcwB0AHUAcgBlAFIAZQBzAGkAZAB1AGUAcwBcAG4AIAAgAD0ATABBAE0AQgBEAEEAKABcAG4AIAAgACAAIABBAF8AcAAsACAAWQBfAHAALAAgAEYARgBPAEQAXwBwACwAIABOAEMAXwBBAEcAcAAsACAAUgBfAEIARwBwACwAIABOAEMAXwBCAEcAcAAsAFwAbgAgACAAIAAgACgAQQBfAHAAIAAqACAAKABZAF8AcAAgACoAIAAxADAAXgAoAC0AMwApACkAIAAqACAAKAAxACAALQAgAEYARgBPAEQAXwBwACkAIAAqACAATgBDAF8AQQBHAHAAKQAgACsAIAAoAEEAXwBwACAAKgAgACgAWQBfAHAAIAAqACAAMQAwAF4AKAAtADMAKQApACAAKgAgAFIAXwBCAEcAcAAgACoAIABOAEMAXwBCAEcAcAApAFwAbgAgACAAKQA7AFwAbgBcAG4AVgBFAEUAUgBHAF8ANgBfADIAXwAxAF8AMQBfAF8AMgBfAF8ATQBhAHMAcwBPAGYATgBpAHQAcgBvAGcAZQBuAEkAbgBQAGEAcwB0AHUAcgBlAFIAZQBzAGkAZAB1AGUAcwBfAFQAaQB0AGwAZQBcAG4AIAAgAD0ATABBAE0AQgBEAEEAKABcACIATQBhAHMAcwAgAG8AZgAgAG4AaQB0AHIAbwBnAGUAbgAgAGkAbgAgAHAAYQBzAHQAdQByAGUAIAByAGUAcwBpAGQAdQBlAHMAIAByAGUAdAB1AHIAbgBlAGQAIAB0AG8AIAB0AGgAZQAgAHMAbwBpAGwAXAAiACkAOwBcAG4AXABuAFYARQBFAFIARwBfADYAXwAyAF8AMQBfADEAXwBfADIAXwBfAE0AYQBzAHMATwBmAE4AaQB0AHIAbwBnAGUAbgBJAG4AUABhAHMAdAB1AHIAZQBSAGUAcwBpAGQAdQBlAHMAXwBWAGEAcgBpAGEAYgBsAGUAXABuACAAIAA9AEwAQQBNAEIARABBACgAXAAiAE0AcABcACIAKQA7AFwAbgBcAG4AVgBFAEUAUgBHAF8ANgBfADIAXwAxAF8AMQBfAF8AMgBfAF8ATQBhAHMAcwBPAGYATgBpAHQAcgBvAGcAZQBuAEkAbgBQAGEAcwB0AHUAcgBlAFIAZQBzAGkAZAB1AGUAcwBfAFUAbgBpAHQAXABuACAAIAA9AEwAQQBNAEIARABBACgAXAAiAGsAZwAgAE4AXAAiACkAOwBcAG4AXABuAFYARQBFAFIARwBfADYAXwAyAF8AMQBfADEAXwBfADIAXwBfAE0AYQBzAHMATwBmAE4AaQB0AHIAbwBnAGUAbgBJAG4AUABhAHMAdAB1AHIAZQBSAGUAcwBpAGQAdQBlAHMAXwBTAG8AdQByAGMAZQBcAG4AIAAgAD0ATABBAE0AQgBEAEEAKABcACIAVgBFAEUAUgBHACAAMgAwADIANgA6ACAANgAuADIALgAxAC4AMQAsACAARQBxAHUAYQB0AGkAbwBuACAAKAAyACkAXAAiACkAOwBcAG4AXABuAFYARQBFAFIARwBfADYAXwAyAF8AMQBfADEAXwBfADIAXwBfAE0AYQBzAHMATwBmAE4AaQB0AHIAbwBnAGUAbgBJAG4AUABhAHMAdAB1AHIAZQBSAGUAcwBpAGQAdQBlAHMAXwBOAEkAUgBSAGUAZgBlAHIAZQBuAGMAZQBcAG4AIAAgAD0ATABBAE0AQgBEAEEAKABcACIAXAAiACkAOwBcAG4AXABuAFYARQBFAFIARwBfADYAXwAyAF8AMQBfADEAXwBfADIAXwBfAE0AYQBzAHMATwBmAE4AaQB0AHIAbwBnAGUAbgBJAG4AUABhAHMAdAB1AHIAZQBSAGUAcwBpAGQAdQBlAHMAXwBMAGEAdABlAHgARQBxAHUAYQB0AGkAbwBuAFwAbgAgACAAPQBMAEEATQBCAEQAQQAoAFwAIgBNAF8AcAAgAD0AIAAoAEEAXwBwACAAXABcAHQAaQBtAGUAcwAg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IgApADsAXABuAFwAbgBWAEUARQBSAEcAXwA2AF8AMgBfADEAXwAxAF8AXwAyAF8AXwBNAGEAcwBzAE8AZgBOAGkAdAByAG8AZwBlAG4ASQBuAFAAYQBzAHQAdQByAGUAUgBlAHMAaQBkAHUAZQBzAF8AQQByAGcAdQBtAGUAbgB0AHM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QwBvAG4AcwB0AGEAbg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VgBFAEUAUgBHAF8ANgBfADIAXwAxAF8AMQBfAF8AMgBfAF8ATQBhAHMAcwBPAGYATgBpAHQAcgBvAGcAZQBuAEkAbgBQAGEAcwB0AHUAcgBlAFIAZQBzAGkAZAB1AGUAcwBfAEEAcgBnAHUAbQBlAG4AdABzAF8ATQBlAHQAaABvAGQAMgBcAG4AIAAgAD0ATABBAE0AQgBEAEEAKABcAG4AIAAgACAAIABNAEEASwBFAEEAUgBSAEEAWQAoADcALAAgADQALAAgAFwAbgAgACAAIAAgACAAIABMAEEATQBCAEQAQQAoAHIALABjACwAIABcAG4AIAAgACAAIAAgACAAIAAgAEkATgBEAEUAWAAoAHsAXABuACAAIAAgACAAIAAgACAAIAAgACAAXAAiAEEAXwBwAFwAIgAsAFwAIgBhAHIAZQBhACAAbwBmACAAcABhAHMAdAB1AHIAZQAgAHIAZQBuAGUAdwBlAGQAIABvAHIAIAByAGUAbQBvAHYAZQBkAFwAIgAsACAAXAAiAGgAYQBcACIALAAgAFwAIgBJAG4AcAB1AHQAXAAiADsAXABuACAAIAAgACAAIAAgACAAIAAgACAAXAAiAFkAXwBwAFwAIgAsAFwAIgBhAHYAZQByAGEAZwBlACAAeQBpAGUAbABkACAAbwBmACAAcABhAHMAdAB1AHIAZQAgAGMAcgBvAHAAXAAiACwAIABcACIAdAAgAEQATQAvAGgAYQBcACIALAAgAFwAIgBJAG4AcAB1AHQAXAAiADsAXABuACAAIAAgACAAIAAgACAAIAAgACAAXAAiAE4AQwBfAEEARwBwAFwAIgAsAFwAIgBOACAAYwBvAG4AdABlAG4AdAAgAG8AZgAgAGEAYgBvAHYAZQAtAGcAcgBvAHUAbgBkACAAcABhAHMAdAB1AHIAZQAgAHIAZQBzAGkAZAB1AGUAXAAiACwAIABcACIAawBnACAATgAvAGsAZwAgAEQATQBcACIALAAgAFwAIgBDAG8AbgBzAHQAYQBuAHQAXAAiADsAXABuACAAIAAgACAAIAAgACAAIAAgACAAXAAiAFIAXwBCAEcAcABcACIALABcACIAYgBlAGwAbwB3AC0AZwByAG8AdQBuAGQAIAByAGUAcwBpAGQAdQBlACAAdABvACAAYQBiAG8AdgBlAC0AZwByAG8AdQBuAGQAIAByAGUAcwBpAGQAdQBlACAAcgBhAHQAaQBvACAAZgBvAHIAIABwAGEAcwB0AHUAcgBlACAAYwByAG8AcABcACIALAAgAFwAIgBcACIALAAgAFwAIgBDAG8AbgBzAHQAYQBuAHQAXAAiADsAXABuACAAIAAgACAAIAAgACAAIAAgACAAXAAiAE4AQwBfAEIARwBwAFwAIgAsAFwAIgBOACAAYwBvAG4AdABlAG4AdAAgAG8AZgAgAGIAZQBsAG8AdwAtAGcAcgBvAHUAbgBkACAAcABhAHMAdAB1AHIAZQAgAGMAcgBvAHAAIAByAGUAcwBpAGQAdQBlAFwAIgAsACAAXAAiAGsAZwAgAE4ALwBrAGcAIABEAE0AXAAiACwAIABcACIAQwBvAG4AcwB0AGEAbgB0AFwAIgA7AFwAbgAgACAAIAAgACAAIAAgACAAIAAgAFwAIgBGAEYATwBEAF8AcABcACIALABcACIAZgByAGEAYwB0AGkAbwBuACAAbwBmACAAcABhAHMAdAB1AHIAZQAgAHkAaQBlAGwAZAAgAHQAaABhAHQAIABpAHMAIAByAGUAbQBvAHYAZQBkAFwAIgAsACAAXAAiAGYAcgBhAGMAdABpAG8AbgBcACIALAAgAFwAIgBDAG8AbgBzAHQAYQBuAHQAXAAiADsAXABuACAAIAAgACAAIAAgACAAIAAgACAAXAAiAHAAXAAiACwAXAAiAFAAYQBzAHQAdQByAGUAIAB0AHkAcABlAFwAIgAsACAAXAAiAFwAIgAsACAAXAAiAEkAbgBwAHUAdABcACIAXABuACAAIAAgACAAIAAgACAAIAB9ACwAIAByACwAIABjACkAXABuACAAIAAgACAAIAAgACkAXABuACAAIAAgACAAKQBcAG4AIAAgACkAOwBcAG4AXABuAFwAbgBcAG4AXABuACIAfQAsAHsAIgBwAGEAdABoACIAOgAiAC8AcAByAG8AagBlAGMAdABzAC8AQQBnAFIAZQBzAGkAZAB1AGU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XwBsAGUAYQBjAGgAYwBwACAAPQAgAG0AYQBzAHMAIABvAGYAIABuAGkAdAByAG8AZwBlAG4AIABsAG8AcwB0ACAAdABoAHIAbwB1AGcAaAAgAGwAZQBhAGMAaABpAG4AZwAgAGEAbgBkACAAcgB1AG4AbwBmAGYAIABmAHIAbwBtACAAdABoAGUAIABjAHIAbwBwACAAcgBlAHMAaQBkAHUAZQAgAGMAIABvAHIAIABwAGEAcwB0AHUAcgBlACAAcgBlAHMAaQBkAHUAZQAgAHAAIAAoAGsAZwAgAE4AKQBcAG4ARQBGAF8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XwBsAGUAYQBjAGgAYwBwACwAIABFAEYAXwBsAGUAYQBjAGgALAAgAEMAXwBOADIATwAsAFwAbgAgACAAIAAgACgATQBfAGwAZQBhAGMAaABjAHAAIAAqACAARQBGAF8AbABlAGEAYwBoACkAIAAqACAAQwBf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cAFwAbgBvAGwAaQBtAGkAdABzAF8AYwBcAFwAcwB1AG0AXABcAG4AbwBsAGkAbQBpAHQAcwBfAHAAKABNAF8AewBsAGUAYQBjAGgALABjAHAAfQBcAFwAdABpAG0AZQBzACAARQBGAF8AewBsAGUAYQBjAGgAfQBcAFwAdABpAG0AZQBzACAAQ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QALAAgAFwAbgAgACAAIAAgACAAIABMAEEATQBCAEQAQQAoAHIALABjACwAIABcAG4AIAAgACAAIAAgACAAIAAgAEkATgBEAEUAWAAoAHsAXABuACAAIAAgACAAIAAgACAAIAAgACAAXAAiAE0AXw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FwAIgAsACAAXAAiAGsAZwAgAE4AXAAiACwAIABcACIAQwBhAGwAYwB1AGwAYQB0AGUAZAAgAGYAcgBvAG0AIAA2AC4AMwAuADEALgAx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F8AbABlAGEAYwBoAGMAcABcAG4AawBnACAATgBcAG4ATQBfAHsAbABlAGEAYwBoACwAYwBwAH0APQBNAF8AewBjAHAAfQBcAFwAdABpAG0AZQBzACAARgByAGEAYwBXAEUAVABfAHsAagB9AFwAXAB0AGkAbQBlAHMAIABGAHIAYQBjAEwARQBBAEMASABcAG4ATQBf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F8AYwBwACwAIABGAHIAYQBjAFcARQBUAF8AagAsACAARgByAGEAYwBMAEUAQQBDAEgALABcAG4AIAAgACAAIABNAF8AYwBwACAAKgAgAEYAcgBhAGMAVwBFAFQAXwBq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f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Go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0ACwAIABcAG4AIAAgACAAIAAgACAATABBAE0AQgBEAEEAKAByACwAYwAsACAAXABuACAAIAAgACAAIAAgACAAIABJAE4ARABFAFgAKAB7AFwAbgAgACAAIAAgACAAIAAgACAAIAAgAFwAIgBNAF8AYwBwAFwAIgAsAFwAIgBtAGEAcwBzACAAbwBmACAAbgBpAHQAcgBvAGcAZQBuACAAaQBuACAAYwByAG8AcAAgAHIAZQBzAGkAZAB1AGUAcwAgAGMAIABvAHIAIABwAGEAcwB0AHUAcgBlACAAcgBlAHMAaQBkAHUAZQBzACAAcAAgAGEAcABwAGwAaQBlAGQAIAB0AG8AIABzAG8AaQBsAHMAXAAiACwAIABcACIAawBnACAATgBcACIALAAgAFwAIgBDAGEAbABjACAAZgByAG8AbQAgADYALgAxAC4AMQAuADEAIAAoADIAKQAgAGEAbgBkACAANgAuADIALgAxAC4AMQAgACgAMgApAFwAIgA7AFwAbgAgACAAIAAgACAAIAAgACAAIAAgAFwAIgBGAHIAYQBjAFcARQBUAF8AagBcACIAL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fAGIAdQByAG4AYwAgAD0AIABtAGEAcwBzACAAbwBmACAAcgBlAHMAaQBkAHUAZQAgAGIAdQByAG4AdAAgAGYAbwByACAAYwByAG8AcAAgAHQAeQBwAGUAIABjACAAKABrAGcAKQBcAG4AQwBDAF8AYwAgAD0AIABjAGEAcgBiAG8AbgAgAG0AYQBzAHMAIABmAHIAYQBjAHQAaQBvAG4AIABpAG4AIAB0AGgAZQAgAHIAZQBzAGkAZAB1AGUAcwAgAG8AZgAgAGMAcgBvAHAAIAB0AHkAcABlACAAYwAgACgAZABpAG0AZQBuAHMAaQBvAG4AbABlAHMAcwApAFwAbgBFAEYAXw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fAGIAdQByAG4AYwAsACAAQwBDAF8AYwAsACAARQBGAF8AQwBIADQALAAgAEMAXwBDAEgANAAsAFwAbgAgACAAIAAgACgATQBfAGIAdQByAG4AYwAgACoAIABDAEMAXwBjACkAIAAqACAARQBGAF8AQwBIADQAIAAqACAAQwBfAEMASAA0ACAAKgAgADEAMABeACgALQAzACkAXABuACAAIAApADsAXABuAFwAbgBWAEUARQBSAEcAXwA2AF8ANABfADEAXwAxAF8AXwAxAF8AXwBNAGUAdABoAGEAbgBlAEUAbQBpAHMAcwBpAG8AbgBzAEYAcgBvAG0AQgB1AHIAbgBpAG4AZwBPAGYAQwByAG8AcABSAGUAcwBpAGQAdQBlAHMAXwBGAHUAbgBjAHQAaQBvAG4ATgBhAG0AZQBcAG4AIAAgAD0ATABBAE0AQgBEAEEAKABcACIAVgBFAEUAUgBHAF8ANgBfADQAXwAxAF8AMQBfAF8AMQBfAF8ATQBlAHQAaABhAG4AZQBFAG0AaQBzAHMAaQBvAG4AcwBGAHIAbwBtAEIAdQByAG4AaQBuAGcATwBmAEMAcgBvAHAAUgBlAHMAaQBkAHUAZQBzAFwAIgApADsAXABuAFwAbgBWAEUARQBSAEcAXwA2AF8ANABfADEAXwAxAF8AXwAxAF8AXwBNAGUAdABoAGEAbgBlAEUAbQBpAHMAcwBpAG8AbgBzAEYAcgBvAG0AQgB1AHIAbgBpAG4AZwBPAGYAQwByAG8AcABSAGUAcwBpAGQAdQBlAHMAXwBUAGkAdABsAGUAXABuACAAIAA9AEwAQQBNAEIARABBACgAXAAiAE0AZQB0AGgAYQBuAGUAIABlAG0AaQBzAHMAaQBvAG4AcwAgAGYAcgBvAG0AIAB0AGgAZQAgAGIAdQByAG4AaQBuAGcAIABvAGYAIABjAHIAbwBwACAAcgBlAHMAaQBkAHUAZQBzAFwAIgApADsAXABuAFwAbgBWAEUARQBSAEcAXwA2AF8ANABfADEAXwAxAF8AXwAxAF8AXwBNAGUAdABoAGEAbgBlAEUAbQBpAHMAcwBpAG8AbgBzAEYAcgBvAG0AQgB1AHIAbgBpAG4AZwBPAGYAQwByAG8AcABSAGUAcwBpAGQAdQBlAHMAXwBWAGEAcgBpAGEAYgBsAGUAXABuACAAIAA9AEwAQQBNAEIARABBACgAXAAiAEUAQwBIADQAXAAiACkAOwBcAG4AXABuAFYARQBFAFIARwBfADYAXwA0AF8AMQBfADEAXwBfADEAXwBfAE0AZQB0AGgAYQBuAGUARQBtAGkAcwBzAGkAbwBuAHMARgByAG8AbQBCAHUAcgBuAGkAbgBnAE8AZgBDAHIAbwBwAFIAZQBzAGkAZAB1AGUAcwBfAFUAbgBpAHQAXABuACAAIAA9AEwAQQBNAEIARABBACgAXAAiAHQAIABDAEgANABcACIAKQA7AFwAbgBcAG4AVgBFAEUAUgBHAF8ANgBfADQAXwAxAF8AMQBfAF8AMQBfAF8ATQBlAHQAaABhAG4AZQBFAG0AaQBzAHMAaQBvAG4AcwBGAHIAbwBtAEIAdQByAG4AaQBuAGcATwBmAEMAcgBvAHAAUgBlAHMAaQBkAHUAZQBzAF8AUwBvAHUAcgBjAGUAXABuACAAIAA9AEwAQQBNAEIARABBACgAXAAiAFYARQBFAFIARwAgADIAMAAyADYAOgAgADYALgA0AC4AMQAuADEALAAgAEUAcQB1AGEAdABpAG8AbgAgACgAMQApAFwAIgApADsAXABuAFwAbgBWAEUARQBSAEcAXwA2AF8ANABfADEAXwAxAF8AXwAxAF8AXwBNAGUAdABoAGEAbgBlAEUAbQBpAHMAcwBpAG8AbgBzAEYAcgBvAG0AQgB1AHIAbgBpAG4AZwBPAGYAQwByAG8AcABSAGUAcwBpAGQAdQBlAHMAXwBOAEkAUgBSAGUAZgBlAHIAZQBuAGMAZQBcAG4AIAAgAD0ATABBAE0AQgBEAEEAKABcACIAXAAiACkAOwBcAG4AXABuAFYARQBFAFIARwBfADYAXwA0AF8AMQBfADEAXwBfADEAXwBfAE0AZQB0AGgAYQBuAGUARQBtAGkAcwBzAGkAbwBuAHMARgByAG8AbQBCAHUAcgBuAGkAbgBnAE8AZgBDAHIAbwBwAFIAZQBzAGkAZAB1AGUAcwBfAEwAYQB0AGUAeABFAHEAdQBhAHQAaQBvAG4AXABuACAAIAA9AEwAQQBNAEIARABBACgAXAAiAEUAXwB7AEMASAA0AH0APQBcAFwAcwB1AG0AXABcAG4AbwBsAGkAbQBpAHQAcwBfAGMAKABNAF8AewBiAHUAcgBuACwAYwB9AFwAXAB0AGkAbQBlAHMAIABDAEMAXwB7AGMAfQApAFwAXAB0AGkAbQBlAHMAIABFAEYAXwB7AEMASAA0AH0AXABcAHQAaQBtAGUAcwAgAEMAXwB7AEMASAA0AH0AXABcAHQAaQBtAGUAcwAgADEAMABeAHsALQAzAH0AXAAiACkAOwBcAG4AXABuAFYARQBFAFIARwBfADYAXwA0AF8AMQBfADEAXwBfADEAXwBfAE0AZQB0AGgAYQBu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QwBDAF8AYwBcACIALABcACIAYwBhAHIAYgBvAG4AIABtAGEAcwBzACAAZgByAGEAYwB0AGkAbwBuACAAaQBuACAAdABoAGUAIAByAGUAcwBpAGQAdQBlAHMAIABvAGYAIABjAHIAbwBwACAAdAB5AHAAZQAgAGMAXAAiACwAIABcACIAZgByAGEAYwB0AGkAbwBuAFwAIgAsACAAXAAiAEMAbwBuAHMAdABhAG4AdABcACIAOwBcAG4AIAAgACAAIAAgACAAIAAgACAAIABcACIARQBGAF8AQwBIADQAXAAiACwAXAAiAGUAbQBpAHMAcwBpAG8AbgAgAGYAYQBjAHQAbwByACAAZgBvAHIAIABtAGUAdABoAGEAbgBlACAAZgByAG8AbQAgAGIAdQByAG4AaQBuAGcAIABvAGYAIABjAHIAbwBwACAAcgBlAHMAaQBkAHUAZQBzAFwAIgAsACAAXAAiAGsAZwAgAEMASAA0ACAALwAgAGsAZwAgAEMASAA0ACAAYgB1AHIAbgB0AFwAIgAsACAAXAAiAEMAbwBuAHMAdABhAG4AdABcACIAOwBcAG4AIAAgACAAIAAgACAAIAAgACAAIABcACIAQwBfAEMASAA0AFwAIgAsAFwAIgBmAGEAYwB0AG8AcgAgAHQAbwAgAGMAbwBuAHYAZQByAHQAIABlAGwAZQBtAGUAbgB0AGEAbAAgAG0AYQBzAHMAIABvAGYAIABtAGUAdABoAGEAbg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yAF8AXwBOAGkAdAByAG8AdQBzAE8AeABpAGQAZQBFAG0AaQBzAHMAaQBvAG4AcwBGAHIAbwBtAEIAdQByAG4AaQBuAGcATwBmAEMAcgBvAHAAUgBlAHMAaQBkAHUAZQBzAFwAbgBOAGkAdAByAG8AdQBzACAAbwB4AGkAZABlACAAZQBtAGkAcwBzAGkAbwBuAHMAIABmAHIAbwBtACAAdABoAGUAIABiAHUAcgBuAGkAbgBnACAAbwBmACAAYwByAG8AcAAgAHIAZQBzAGkAZAB1AGUAcwBcAG4ARQBOADIATwBcAG4AdAAgAE4AMgBPAFwAbgBFAF8AewBOADIATwB9AD0AXABcAHMAdQBtAF8AewBjAH0AKABNAF8AewBiAHUAcgBuACwAYwB9AFwAXAB0AGkAbQBlAHMAIABOAEMAXwB7AEEARwBjAH0AXABcAHQAaQBtAGUAcwAgAEUARgBfAHsATgAyAE8AfQBcAFwAdABpAG0AZQBzACAAQwBfAHsATgAyAE8AfQBcAFwAdABpAG0AZQBzACAAMQAwAF4AewAtADMAfQApAFwAbgBNAF8AYgB1AHIAbgBjACAAPQAgAG0AYQBzAHMAIABvAGYAIAByAGUAcwBpAGQAdQBlACAAYgB1AHIAbgB0ACAAZgBvAHIAIABjAHIAbwBwACAAdAB5AHAAZQAgAGMAIAAoAGsAZwApAFwAbgBOAEMAXwBBAEcAYwAgAD0AIABuAGkAdAByAG8AZwBlAG4AIABjAG8AbgB0AGUAbgB0ACAAaQBuACAAdABoAGUAIABhAGIAbwB2AGUALQBnAHIAbwB1AG4AZAAgAHIAZQBzAGkAZAB1AGUAIABvAGYAIABjAHIAbwBwACAAdAB5AHAAZQAgAGMAIAAoAGsAZwAgAE4ALwBrAGcAIABEAE0AKQBcAG4ARQBGAF8ATgAyAE8AIAA9ACAAZQBtAGkAcwBzAGkAbwBuACAAZgBhAGMAdABvAHIAIABmAG8AcgAgAG4AaQB0AHIAbwB1AHMAIABvAHgAaQBkAGUAIABmAHIAbwBtACAAYgB1AHIAbgBpAG4AZwAgAG8AZgAgAGMAcgBvAHAAIAByAGUAcwBpAGQAdQBlAHMAIAAoAGsAZwAgAE4AMgBPAC8AawBnACAATgAyAE8AIABiAHUAcgBuAHQAKQBcAG4AQwBfAE4AMgBPACAAPQAgAGYAYQBjAHQAbwByACAAdABvACAAYwBvAG4AdgBlAHIAdAAgAGUAbABlAG0AZQBuAHQAYQBsACAAbQBhAHMAcwAgAG8AZgAgAG4AaQB0AHIAbwB1AHMAIABvAHgAaQBk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yAF8AXwBOAGkAdAByAG8AdQBzAE8AeABpAGQAZQBFAG0AaQBzAHMAaQBvAG4AcwBGAHIAbwBtAEIAdQByAG4AaQBuAGcATwBmAEMAcgBvAHAAUgBlAHMAaQBkAHUAZQBzAFwAbgAgACAAPQBMAEEATQBCAEQAQQAoAFwAbgAgACAAIAAgAE0AXwBiAHUAcgBuAGMALAAgAE4AQwBfAEEARwBjACwAIABFAEYAXwBOADIATwAsACAAQwBfAE4AMgBPACwAXABuACAAIAAgACAAKABNAF8AYgB1AHIAbgBjACAAKgAgAE4AQwBfAEEARwBjACkAIAAqACAARQBGAF8ATgAyAE8AIAAqACAAQwBf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cAFwAbgBvAGwAaQBtAGkAdABzAF8AYwAoAE0AXwB7AGIAdQByAG4ALABjAH0AXABcAHQAaQBtAGUAcwAgAE4AQwBfAHsAQQBHAGMAfQApAFwAXAB0AGkAbQBlAHMAIABFAEYAXwB7AE4AMgBPAH0AXABcAHQAaQBtAGUAcwAgAEMAXwB7AE4AMgBPAH0AXABcAHQAaQBtAGUAcwAgADEAMABeAHsALQAzAH0AXAAiACkAOwBcAG4AXABuAFYARQBFAFIARwBfADYAXwA0AF8AMQBfADEAXwBfADIAXwBfAE4AaQB0AHIAbwB1AHMATwB4AGkAZA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4AQwBfAEEARwBjAFwAIgAsAFwAIgBuAGkAdAByAG8AZwBlAG4AIABjAG8AbgB0AGUAbgB0ACAAaQBuACAAdABoAGUAIABhAGIAbwB2AGUALQBnAHIAbwB1AG4AZAAgAHIAZQBzAGkAZAB1AGUAIABvAGYAIABjAHIAbwBwACAAdAB5AHAAZQAgAGMAXAAiACwAIABcACIAawBnACAATgAvAGsAZwAgAEQATQBcACIALAAgAFwAIgBDAG8AbgBzAHQAYQBuAHQAXAAiADsAXABuACAAIAAgACAAIAAgACAAIAAgACAAXAAiAEUARgBfAE4AMgBPAFwAIgAsAFwAIgBlAG0AaQBzAHMAaQBvAG4AIABmAGEAYwB0AG8AcgAgAGYAbwByACAAbgBpAHQAcgBvAHUAcwAgAG8AeABpAGQAZQAgAGYAcgBvAG0AIABiAHUAcgBuAGkAbgBnACAAbwBmACAAYwByAG8AcAAgAHIAZQBzAGkAZAB1AGUAcwBcACIALAAgAFwAIgBrAGcAIABOADIATwAvAGsAZwAgAE4AMgBPACAAYgB1AHIAbgB0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GQAaQBtAGUAbgBzAGkAbwBuAGwAZQBzAHM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NABfADEAXwAxAF8AXwAzAF8AXwBNAGEAcwBzAE8AZgBDAHIAbwBwAFIAZQBzAGkAZAB1AGUAQgB1AHIAbgB0AFwAbgBNAGEAcwBzACAAbwBmACAAcgBlAHMAaQBkAHUAZQAgAG8AZgAgAGMAcgBvAHAAIABjACAAYgB1AHIAbgB0AFwAbgBNAF8AYgB1AHIAbgBjAFwAbgBrAGcAXABuAE0AXwB7AGIAdQByAG4ALABjAH0APQBQAF8AewBjAH0AXABcAHQAaQBtAGUAcwAgAFIAXwB7AEEARwBjAH0AXABcAHQAaQBtAGUAcwAgAFMAXwB7AGMAfQBcAFwAdABpAG0AZQBzACAARABNAF8AewBjAH0AXABcAHQAaQBtAGUAcwAgAFoAXwB7AGMAfQBcAFwAdABpAG0AZQBzACAARgBfAHsAYwB9AFwAbgBQAF8AYwAgAD0AIABhAG4AbgB1AGEAbAAgAHAAcgBvAGQAdQBjAHQAaQBvAG4AIABvAGYAIABjAHIAbwBwACAAdAB5AHAAZQAgAGMAIAAoAGsAZwApAFwAbgBSAF8AQQBHAGMAIAA9ACAAcgBlAHMAaQBkAHUAZQAgAHQAbwAgAGMAcgBvAHAAIAByAGEAdABpAG8AIABvAGYAIABjAHIAbwBwACAAdAB5AHAAZQAgAGMAIAAoAGsAZwAgAGMAcgBvAHAAIAByAGUAcwBpAGQAdQBlAC8AawBnACAAYwByAG8AcAApAFwAbgBTAF8AYwAgAD0AIABmAHIAYQBjAHQAaQBvAG4AIABvAGYAIAByAGUAcwBpAGQAdQBlAHMAIABvAGYAIABjAHIAbwBwACAAdAB5AHAAZQAgAGMAIAByAGUAbQBhAGkAbgBpAG4AZwAgAGEAdAAgAGIAdQByAG4AaQBuAGcAIAAoAGQAaQBtAGUAbgBzAGkAbwBuAGwAZQBzAHMAKQBcAG4ARABNAF8AYwAgAD0AIABkAHIAeQAgAG0AYQB0AHQAZQByACAAYwBvAG4AdABlAG4AdAAgAG8AZgAgAGMAcgBvAHAAIAB0AHkAcABlACAAYwAgACgAawBnACAAZAByAHkAIAB3AGUAaQBnAGgAdAAvAGsAZwAgAGMAcgBvAHAAIAByAGUAcwBpAGQAdQBlACkAXABuAFoAXwBjACAAPQAgAGIAdQByAG4AaQBuAGcAIABlAGYAZgBpAGMAaQBlAG4AYwB5ACAAKAByAGEAdABpAG8AIABvAGYAIABmAHUAZQBsACAAYgB1AHIAbgB0ACAAdABvACAAZgB1AGUAbAAgAGwAbwBhAGQAKQAgAG8AZgAgAGMAcgBvAHAAIAB0AHkAcABlACAAYwAgACgAZABpAG0AZQBuAHMAaQBvAG4AbABlAHMAcwApAFwAbgBGAF8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XwBjACwAIABSAF8AQQBHAGMALAAgAFMAXwBjACwAIABEAE0AXwBjACwAIABaAF8AYwAsACAARgBfAGMALABcAG4AIAAgACAAIABQAF8AYwAgACoAIABSAF8AQQBHAGMAIAAqACAAUwBfAGMAIAAqACAARABNAF8AYwAgACoAIABaAF8AYwAgACoAIABGAF8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fAGIAdQByAG4AYwBcACIAKQA7AFwAbgBcAG4AVgBFAEUAUgBHAF8ANgBfADQAXwAxAF8AMQBfAF8AMwBfAF8ATQBhAHMAcwBPAGYAQwByAG8AcABSAGUAcwBpAGQAdQBlAEIAdQByAG4AdABfAFUAbgBpAHQAXABuACAAIAA9AEwAQQBNAEIARABBACgAXAAiAGsAZwBcACIAKQA7AFwAbgBcAG4AVgBFAEUAUgBHAF8ANgBfADQAXwAxAF8AMQBfAF8AMwBfAF8ATQBhAHMAcwBPAGYAQwByAG8AcABSAGUAcwBpAGQAdQBlAEIAdQByAG4AdABfAFMAbwB1AHIAYwBlAFwAbgAgACAAPQBMAEEATQBCAEQAQQAoAFwAIgBWAEUARQBSAEcAIAAyADAAMgA2ADoAIAA2AC4ANAAuADEALgAxACwAIABFAHEAdQBhAHQAaQBvAG4AIAAoADMAKQBcACIAKQA7AFwAbgBcAG4AVgBFAEUAUgBHAF8ANgBfADQAXwAxAF8AMQBfAF8AMwBfAF8ATQBhAHMAcwBPAGYAQwByAG8AcABSAGUAcwBpAGQAdQBlAEIAdQByAG4AdABfAE4ASQBSAFIAZQBmAGUAcgBlAG4AYwBlAFwAbgAgACAAPQBMAEEATQBCAEQAQQAoAFwAIgBcACIAKQA7AFwAbgBcAG4AVgBFAEUAUgBHAF8ANgBfADQAXwAxAF8AMQBfAF8AMwBfAF8ATQBhAHMAcwBPAGYAQwByAG8AcABSAGUAcwBpAGQAdQBlAEIAdQByAG4AdABfAEwAYQB0AGUAeABFAHEAdQBhAHQAaQBvAG4AXABuACAAIAA9AEwAQQBNAEIARABBACgAXAAiAE0AXwB7AGIAdQByAG4ALABjAH0APQBQAF8AewBjAH0AXABcAHQAaQBtAGUAcwAgAFIAXwB7AEEARwBjAH0AXABcAHQAaQBtAGUAcwAgAFMAXwB7AGMAfQBcAFwAdABpAG0AZQBzACAARABNAF8AewBjAH0AXABcAHQAaQBtAGUAcwAgAFoAXwB7AGMAfQBcAFwAdABpAG0AZQBzACAARgBfAHsAYwB9AFwAIgApADsAXABuAFwAbgBWAEUARQBSAEcAXwA2AF8ANABfADEAXwAxAF8AXwAzAF8AXwBNAGEAcwBzAE8AZgBDAHIAbwBwAFIAZQBzAGkAZAB1AGUAQgB1AHIAbgB0AF8AQQByAGcAdQBtAGUAbgB0AHMAXABuACAAIAA9AEwAQQBNAEIARABBACgAXABuACAAIAAgACAATQBBAEsARQBBAFIAUgBBAFkAKAA3ACwAIAA0ACwAXABuACAAIAAgACAAIAAgAEwAQQBNAEIARABBACgAcgAsAGMALABcAG4AIAAgACAAIAAgACAAIAAgAEkATgBEAEUAWAAoAHsAXABuACAAIAAgACAAIAAgACAAIAAgACAAXAAiAFAAXwBjAFwAIgAsAFwAIgBhAG4AbgB1AGEAbAAgAHAAcgBvAGQAdQBjAHQAaQBvAG4AIABvAGYAIABjAHIAbwBwACAAdAB5AHAAZQAgAGMAXAAiACwAIABcACIAawBnAFwAIgAsACAAXAAiAEkAbgBwAHUAdABcACIAOwBcAG4AIAAgACAAIAAgACAAIAAgACAAIABcACIAUgBfAEEARwBjAFwAIgAsAFwAIgByAGUAcwBpAGQAdQBlACAAdABvACAAYwByAG8AcAAgAHIAYQB0AGkAbwAgAG8AZgAgAGMAcgBvAHAAIAB0AHkAcABlACAAYwBcACIALAAgAFwAIgBrAGcAIABjAHIAbwBwACAAcgBlAHMAaQBkAHUAZQAvAGsAZwAgAGMAcgBvAHAAXAAiACwAIABcACIAQwBvAG4AcwB0AGEAbgB0AFwAIgA7AFwAbgAgACAAIAAgACAAIAAgACAAIAAgAFwAIgBTAF8AYwBcACIALABcACIAZgByAGEAYwB0AGkAbwBuACAAbwBmACAAcgBlAHMAaQBkAHUAZQBzACAAbwBmACAAYwByAG8AcAAgAHQAeQBwAGUAIABjACAAcgBlAG0AYQBpAG4AaQBuAGcAIABhAHQAIABiAHUAcgBuAGkAbgBnAFwAIgAsACAAXAAiAGYAcgBhAGMAdABpAG8AbgBcACIALAAgAFwAIgBDAG8AbgBzAHQAYQBuAHQAXAAiADsAXABuACAAIAAgACAAIAAgACAAIAAgACAAXAAiAEQATQBfAGMAXAAiACwAXAAiAGQAcgB5ACAAbQBhAHQAdABlAHIAIABjAG8AbgB0AGUAbgB0ACAAbwBmACAAYwByAG8AcAAgAHQAeQBwAGUAIABjAFwAIgAsACAAXAAiAGsAZwAgAGQAcgB5ACAAdwBlAGkAZwBoAHQALwBrAGcAIABjAHIAbwBwACAAcgBlAHMAaQBkAHUAZQBcACIALAAgAFwAIgBDAG8AbgBzAHQAYQBuAHQAXAAiADsAXABuACAAIAAgACAAIAAgACAAIAAgACAAXAAiAFoAXwBjAFwAIgAsAFwAIgBiAHUAcgBuAGkAbgBnACAAZQBmAGYAaQBjAGkAZQBuAGMAeQAgACgAcgBhAHQAaQBvACAAbwBmACAAZgB1AGUAbAAgAGIAdQByAG4AdAAgAHQAbwAgAGYAdQBlAGwAIABsAG8AYQBkACkAIABvAGYAIABjAHIAbwBwACAAdAB5AHAAZQAgAGMAXAAiACwAIABcACIAXAAiACwAIABcACIAQwBvAG4AcwB0AGEAbgB0AFwAIgA7AFwAbgAgACAAIAAgACAAIAAgACAAIAAgAFwAIgBGAF8AYwBcACIALABcACIAZgByAGEAYwB0AGkAbwBuACAAbwBmACAAdABoAGUAIABhAG4AbgB1AGEAbAAgAHAAcgBvAGQAdQBjAHQAaQBvAG4AIABvAGYAIABjAHIAbwBwACAAdAB5AHAAZQAgAGMAIAB0AGgAYQB0ACAAaQBzACAAYgB1AHIAbgB0AFwAIgAsACAAXAAiAGYAcgBhAGMAdABpAG8Abg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AiAH0ALAB7ACIAcABhAHQAaAAiADoAIgAvAHAAcgBvAGoAZQBjAHQAcwAvAEEAZwByAGUAcwBpAGQAdQBlAF8AUwBvAHUAcgBjAGUARABhAHQAYQAiACwAIgB0AGUAeAB0ACIAOgAiAC8AKgBcAG4APQA9AD0APQA9AD0APQA9AD0APQA9AD0APQA9AD0APQA9AD0APQA9AD0APQA9AD0APQA9AD0APQA9AD0APQA9AD0APQA9AD0APQA9AD0APQA9AD0APQA9AD0APQA9AD0APQA9AD0APQA9AD0APQA9AD0APQA9AD0APQA9AD0APQA9AD0APQA9AD0APQA9AD0APQA9AD0APQBcAG4AQwByAG8AcAAgAHAAdQByAHAAbwBzAGUAIABhAG4AZAAgAHkAaQBlAGwAZABcAG4APQA9AD0APQA9AD0APQA9AD0APQA9AD0APQA9AD0APQA9AD0APQA9AD0APQA9AD0APQA9AD0APQA9AD0APQA9AD0APQA9AD0APQA9AD0APQA9AD0APQA9AD0APQA9AD0APQA9AD0APQA9AD0APQA9AD0APQA9AD0APQA9AD0APQA9AD0APQA9AD0APQA9AD0APQA9AD0APQBcAG4AKgAvAFwAbgBcAG4AQwByAG8AcABQAHUAcgBwAG8AcwBlAEEAbgBkAFkAaQBlAGwAZABfAFQAaQB0AGwAZQBcAG4APQBMAEEATQBCAEQAQQAoACgAXAAiAEMAcgBvAHAAIABwAHUAcgBwAG8AcwBlACAAYQBuAGQAIAB5AGkAZQBsAGQAXAAiACkAKQA7AFwAbgBcAG4AQwByAG8AcABQAHUAcgBwAG8AcwBlAEEAbgBkAFkAaQBlAGwAZABfAEQAYQB0AGEAXABuAD0ATABBAE0AQgBEAEEAKABcAG4AIAAgAE0AQQBLAEUAQQBSAFIAQQBZACgANAAsACAAOAAsAFwAbgAgACAAIAAgAEwAQQBNAEIARABBACgAcgAsAGMALABcAG4AIAAgACAAIAAgACAASQBOAEQARQBYACgAewBcAG4AIAAgACAAIAAgACAAIAAgAFwAIgBQAHUAcgBwAG8AcwBlAFwAIgAsACAAXAAiAFAAZQByACAAaABlAGMAdABhAHIAZQAgAHUAbgBpAHQAXAAiACwAIABcACIAaABhAHIAdgBlAHMAdAAgAHQAZQByAG0AXAAiACwAIABcACIAaABhAHIAdgBlAHMAdAAgAGUAbgBkAHAAbwBpAG4AdABcACIALAAgAFwAIgBIAGEAcgB2AGUAcwB0ACAAdQBpAHQAXAAiACwAIABcACIAWQBpAGUAbABkACAAbgBvAHQAZQBcACIALAAgAFwAIgBSAGUAcwBpAGQAdQBlACAAYwByAG8AcAAgAHIAYQB0AGkAbwAgAG4AbwB0AGUAXAAiACwAIABcACIAVABvAHQAYQBsACAAcAByAG8AZAB1AGMAdABpAG8AbgAgAG4AbwB0AGUAXAAiADsAXABuACAAIAAgACAAIAAgACAAIABcACIAQwBhAHMAaAAgAGcAcgBhAGkAbgAgAGMAcgBvAHAAXAAiACwAIABcACIAZwByAGEAaQBuAFwAIgAsACAAXAAiAHkAaQBlAGwAZABcACIALAAgAFwAIgBoAGEAcgB2AGUAcwB0AFwAIgAsACAAXAAiAGcAcgBhAGkAbgBcACIALAAgAFwAIgBZAGkAZQBsAGQAIABpAHMAIAB0AGgAZQAgAGcAcgBhAGkAbgAgAGgAYQByAHYAZQBzAHQAZQBkACAAZgByAG8AbQAgAHQAaABlACAAcABsAGEAbgB0AFwAIgAsACAAXAAiAFIAZQBzAGkAZAB1AGUAIAB0AG8AIABjAHIAbwBwACAAcgBhAHQAaQBvACAAaQBzACAAcAByAG8AdgBpAGQAZQBkACAAZgByAG8AbQAgAGQAZQBmAGEAdQBsAHQAIAB2AGEAbAB1AGUAcwBcACIALAAgAFwAIgBUAG8AdABhAGwAIABwAHIAbwBkAHUAYwB0AGkAbwBuACAAaQBzACAAdABoAGUAIAB0AG8AdABhAGwAIABnAHIAYQBpAG4AIABoAGEAcgB2AGUAcwB0AGUAZABcACIAOwBcAG4AIAAgACAAIAAgACAAIAAgAFwAIgBDAGEAcwBoACAAYwByAG8AcAAgAGYAbwByACAAaABhAHkALwBzAGkAbABhAGcAZQBcACIALAAgAFwAIgBhAGIAbwB2AGUAIABnAHIAbwB1AG4AZAAgAGIAaQBvAG0AYQBzAHMAXAAiACwAIABcACIAeQBpAGUAbABkAFwAIgAsACAAXAAiAGgAYQByAHYAZQBzAHQAXAAiACwAIABcACIAcABsAGEAbgB0ACAAYgBpAG8AbQBhAHMAcwBcACIALAAgAFwAIgBZAGkAZQBsAGQAIABpAHMAIAB0AGgAZQAgAHcAaABvAGwAZQAgAHAAbABhAG4AdAAgAGgAYQByAHYAZQBzAHQAZQBkACAAZgBvAHIAIABoAGEAeQAvAHMAaQBsAGEAZwBlAFwAIgAsACAAXAAiAFIAZQBzAGkAZAB1AGUAIAB0AG8AIABjAHIAbwBwACAAcgBhAHQAaQBvACAAaQBzACAAMAAgAGEAcwBzAHUAbQBpAG4AZwAgAHQAaABlACAAdwBoAG8AbABlACAAcABsAGEAbgB0ACAAaQBzACAAaABhAHIAdgBlAHMAdABlAGQAIABmAG8AcgAgAGgAYQB5AC8AcwBpAGwAYQBnAGUAXAAiACwAIABcACIAVABvAHQAYQBsACAAcAByAG8AZAB1AGMAdABpAG8AbgAgAGkAcwAgAHQAaABlACAAdABvAHQAYQBsACAAdwBoAG8AbABlACAAcABsAGEAbgB0ACAAYgBpAG8AbQBhAHMAcwAgAGgAYQByAHYAZQBzAHQAZQBkACAAYQBzACAAaABhAHkALwBzAGkAbABhAGcAZQBcACIAOwBcAG4AIAAgACAAIAAgACAAIAAgAFwAIgBDAG8AdgBlAHIAIABjAHIAbwBwAFwAIgAsACAAXAAiAGEAYgBvAHYAZQAgAGcAcgBvAHUAbgBkACAAYgBpAG8AbQBhAHMAcwBcACIALAAgAFwAIgBtAGEAcwBzAFwAIgAsACAAXAAiAGUAbgBkACAAbwBmACAAYwByAG8AcAAgAGMAeQBjAGwAZQBcACIALAAgAFwAIgBhAGIAbwB2AGUAIABnAHIAbwB1AG4AZAAgAGIAaQBvAG0AYQBzAHMAXAAiACwAIABcACIAWQBpAGUAbABkACAAaQBzACAAdABoAGUAIAB3AGgAbwBsAGUAIABwAGwAYQBuAHQAIABrAGUAcAB0ACAAYQBzACAAYwBvAHYAZQByACAAYwByAG8AcABcACIALAAgAFwAIgBSAGUAcwBpAGQAdQBlACAAdABvACAAYwByAG8AcAAgAHIAYQB0AGkAbwAgAGkAcwAgADEAIABhAHMAcwB1AG0AaQBuAGcAIAB0AGgAZQAgAHcAaABvAGwAZQAgAHAAbABhAG4AdAAgAGkAcwAgAGsAZQBwAHQAIABhAHMAIABjAG8AdgBlAHIAIABjAHIAbwBwAFwAIgAsACAAXAAiAFQAbwB0AGEAbAAgAHAAcgBvAGQAdQBjAHQAaQBvAG4AIABpAHMAIAB0AGgAZQAgAHQAbwB0AGEAbAAgAHcAaABvAGwAZQAgAHAAbABhAG4AdAAgAGIAaQBvAG0AYQBzAHMAIABrAGUAcAB0ACAAYQBzACAAYwBvAHYAZQByACAAYwByAG8Ac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yAG8AcAAgAGEAdAB0AHIAaQBiAHUAdABlAHMAXABuAD0APQA9AD0APQA9AD0APQA9AD0APQA9AD0APQA9AD0APQA9AD0APQA9AD0APQA9AD0APQA9AD0APQA9AD0APQA9AD0APQA9AD0APQA9AD0APQA9AD0APQA9AD0APQA9AD0APQA9AD0APQA9AD0APQA9AD0APQA9AD0APQA9AD0APQA9AD0APQA9AD0APQA9AD0APQA9AD0AXABuACoALwBcAG4AXABuAEMAcgBvAHAAQQB0AHQAcgBpAGIAdQB0AGUAcwBfAFQAaQB0AGwAZQBcAG4APQBMAEEATQBCAEQAQQAoACgAXAAiAFQAYQBiAGwAZQAgAEEALgAyAC4AMQAuADEAOgAgAEMAcgBvAHAAIABhAHQAdAByAGkAYgB1AHQAZQBzAFwAIgApACkAOwBcAG4AXABuAEMAcgBvAHAAQQB0AHQAcgBpAGIAdQB0AGUAcwBfAEQAZQBzAGMAcgBpAHAAdABpAG8AbgBcAG4APQBMAEEATQBCAEQAQQAoACgAXAAiAEMAcgBvAHAAIABhAHQAdAByAGkAYgB1AHQAZQBzAFwAIgApACkAOwBcAG4AXABuAEMAcgBvAHAAQQB0AHQAcgBpAGIAdQB0AGUAcwBfAFMAbwB1AHIAYwBlAFwAbgA9AEwAQQBNAEIARABBACgAKABcACIAVgBFAEUAUgBHACAAMgAwADIANgA6ACAAVABhAGIAbABlACAAQQAuADIALgAxAC4AMQA6ACAAQwByAG8AcAAgAGEAdAB0AHIAaQBiAHUAdABlAHMAXAAiACkAKQA7AFwAbgBcAG4AQwByAG8AcABBAHQAdAByAGkAYgB1AHQAZQBzAF8ARABhAHQAYQBcAG4APQBMAEEATQBCAEQAQQAoAFwAbgAgACAATQBBAEsARQBBAFIAUgBBAFkAKAAyADAALAAgADkALABcAG4AIAAgACAAIABMAEEATQBCAEQAQQAoAHIALABjACwAXABuACAAIAAgACAAIAAgAEkATgBEAEUAWAAoAHsAXABuACAAIAAgACAAIAAgACAAIABcACIAQwByAG8AcAAgAHQAeQBwAGUAXAAiACwAIABcACIAUgBlAHMAaQBkAHUAZQA6ACAAQwByAG8AcAAgAHIAYQB0AGkAbwBcACIALAAgAFwAIgBCAGUAbABvAHcALQBnAHIAbwB1AG4AZAA6ACAAYQBiAG8AdgBlAC0AZwByAG8AdQBuAGQAIAByAGUAcwBpAGQAdQBlACAAcgBhAHQAaQBvAFwAIgAsACAAXAAiAEQAcgB5ACAAbQBhAHQAdABlAHIAIABjAG8AbgB0AGUAbgB0AFwAIgAsACAAXAAiAEMAYQByAGIAbwBuACAAZgByAGEAYwB0AGkAbwBuACAAaQBuACAAZAByAHkAIABtAGEAdAB0AGUAcgBcACIALAAgAFwAIgBOACAAYwBvAG4AdABlAG4AdAAgAGEAYgBvAHYAZQAtAGcAcgBvAHUAbgBkAFwAIgAsACAAXAAiAE4AIABjAG8AbgB0AGUAbgB0ACAAYgBlAGwAbwB3AC0AZwByAG8AdQBuAGQAXAAiACwAIABcACIARgByAGEAYwB0AGkAbwBuACAAbwBmACAAcgBlAHMAaQBkAHUAZQAgAHIAZQBtAGEAaQBuAGkAbgBnACAAYQB0ACAAdABpAG0AZQAgAG8AZgAgAGIAdQByAG4AaQBuAGcAXAAiACwAIABcACIAQgB1AHIAbgBpAG4AZwAgAGUAZgBmAGkAYwBpAGUAbgBjAHkAdABcACIAOwBcAG4AIAAgACAAIAAgACAAIAAgAFwAIgBjAFwAIgAsACAAXAAiAFIAQQBHAGMAXAAiACwAIABcACIAUgBCAEcAYwBcACIALAAgAFwAIgBEAE0AYwBcACIALAAgAFwAIgBDAEMAYwBcACIALAAgAFwAIgBOAEMAQQBHAGMAXAAiACwAIABcACIATgBDAEIARwBjAFwAIgAsACAAXAAiAFMAYwBcACIALAAgAFwAIgBaAGMAXAAiADsAXABuACAAIAAgACAAIAAgACAAIABcACIAVwBoAGUAYQB0AFwAIgAsACAAMQAuADUAMAAsACAAMAAuADIAOQAsACAAMAAuADgAOAAsACAAMAAuADQAMAAsACAAMAAuADAAMAA2ACwAIAAwAC4AMAAxADAALAAgADAALgA1ACwAIAAwAC4AOQAwADsAXABuACAAIAAgACAAIAAgACAAIABcACIAQgBhAHIAbABlAHkAXAAiACwAIAAxAC4AMgA0ACwAIAAwAC4AMwAyACwAIAAwAC4AOAA4ACwAIAAwAC4ANAAwACwAIAAwAC4AMAAwADcALAAgADAALgAwADEAMAAsACAAMAAuADUALAAgADAALgA4ADUAOwBcAG4AIAAgACAAIAAgACAAIAAgAFwAIgBNAGEAaQB6AGUAXAAiACwAIAAwAC4AOAAxACwAIAAwAC4AMwA5ACwAIAAwAC4AOAA1ACwAIAAwAC4ANAAyACwAIAAwAC4AMAAwADUALAAgADAALgAwADAANwAsACAAMQAuADAALAAgADAALgA4ADAAOwBcAG4AIAAgACAAIAAgACAAIAAgAFwAIgBPAGEAdABzAFwAIgAsACAAMQAuADQAMgAsACAAMAAuADQAMwAsACAAMAAuADgAOAAsACAAMAAuADQAMAAsACAAMAAuADAAMAA2ACwAIAAwAC4AMAAxADAALAAgADAALgA1ACwAIAAwAC4AOAA1ADsAXABuACAAIAAgACAAIAAgACAAIABcACIAUgBpAGMAZQBcACIALAAgADEALgAzADEALAAgADAALgAxADYALAAgADAALgA4ADAALAAgADAALgA0ADIALAAgADAALgAwADAANwAsACAAMAAuADAAMQAwACwAIAAxAC4AMAAsACAAMAAuADgAMAA7AFwAbgAgACAAIAAgACAAIAAgACAAXAAiAFMAbwByAGcAaAB1AG0AXAAiACwAIAAxAC4ANQAwACwAIAAwAC4AMgAyACwAIAAwAC4AOAAwACwAIAAwAC4ANAAwACwAIAAwAC4AMAAwADgALAAgADAALgAwADAANwAsACAAMAAuADUALAAgADAALgA4ADUAOwBcAG4AIAAgACAAIAAgACAAIAAgAFwAIgBUAHIAaQB0AGkAYwBhAGwAZQBcACIALAAgADEALgA1ADAALAAgADAALgA0ADIALAAgADAALgA4ADgALAAgADAALgA0ADAALAAgADAALgAwADAANgAsACAAMAAuADAAMQAwACwAIAAwAC4ANQAsACAAMAAuADgANQA7AFwAbgAgACAAIAAgACAAIAAgACAAXAAiAE8AdABoAGUAcgAgAGMAZQByAGUAYQBsAHMAXAAiACwAIAAxAC4ANAA2ACwAIAAwAC4AMwA2ACwAIAAwAC4AOAA4ACwAIAAwAC4ANAAwACwAIAAwAC4AMAAwADYALAAgADAALgAwADEAMAAsACAAMAAuADUALAAgADAALgA4ADUAOwBcAG4AIAAgACAAIAAgACAAIAAgAFwAIgBQAHUAbABzAGUAcwBcACIALAAgADEALgAzADcALAAgADAALgA1ADEALAAgADAALgA4ADcALAAgADAALgA0ADAALAAgADAALgAwADAAOQAsACAAMAAuADAAMQAwACwAIAAwAC4ANQAsACAAMAAuADgANQA7AFwAbgAgACAAIAAgACAAIAAgACAAXAAiAFQAdQBiAGUAcgBzACAAYQBuAGQAIAByAG8AbwB0AHMAXAAiACwAIAAwAC4AMwA0ACwAIAAwAC4ANAAzACwAIAAwAC4AMgA1ACwAIAAwAC4ANAAwACwAIAAwAC4AMAAyADAALAAgADAALgAwADEAMAAsACAAXAAiAG4ALwBhAFwAIgAsACAAMAAuADgANQA7AFwAbgAgACAAIAAgACAAIAAgACAAXAAiAFAAZQBhAG4AdQB0AHMAXAAiACwAIAAxAC4AMAA3ACwAIAAwAC4AMgAwACwAIAAwAC4AOAAwACwAIAAwAC4ANAAyACwAIAAwAC4AMAAxADYALAAgADAALgAwADEANAAsACAAMAAuADUALAAgADAALgA4ADUAOwBcAG4AIAAgACAAIAAgACAAIAAgAFwAIgBTAHUAZwBhAHIAIABjAGEAbgBlAFwAIgAsACAAMAAuADIANQAsACAAMAAuADQANQAsACAAMAAuADIAMAAsACAAMAAuADQAMAAsACAAMAAuADAAMAA1ACwAIAAwAC4AMAAwADcALAAgADEALgAwACwAIAAwAC4AOAAwADsAXABuACAAIAAgACAAIAAgACAAIABcACIAQwBvAHQAdABvAG4AXAAiACwAIAAxAC4AOQAwACwAIAAwAC4AMwAwACwAIAAwAC4AOQAwACwAIAAwAC4ANAAwACwAIAAwAC4AMAAxACwAIAAwAC4AMAAxACwAIABcACIAbgAvAGEAXAAiACwAIAAwAC4AOAA1ADsAXABuACAAIAAgACAAIAAgACAAIABcACIASABvAHAAcwBcACIALAAgADEALgA1ADAALAAgADAALgAyADkALAAgADAALgA4ADgALAAgADAALgA0ADAALAAgADAALgAwADAANgAsACAAXAAiAG4ALwBhAFwAIgAsACAAXAAiAG4ALwBhAFwAIgAsACAAMAAuADgANQA7AFwAbgAgACAAIAAgACAAIAAgACAAXAAiAE8AaQBsAHMAZQBlAGQAcwBcACIALAAgADIALgAwADgALAAgADAALgAzADMALAAgADAALgA5ADYALAAgADAALgA0ADAALAAgADAALgAwADAAOQAsACAAMAAuADAAMQAwACwAIAAwAC4ANQAsACAAMAAuADgANQA7AFwAbgAgACAAIAAgACAAIAAgACAAXAAiAEYAbwByAGEAZwBlACAAYwByAG8AcABzAFwAIgAsACAAMQAuADMANAAsACAAMAAuADMANwAsACAAMAAuADgAOAAsACAAMAAuADQAMAAsACAAMAAuADAAMAA2ACwAIAAwAC4AMAAxADAALAAgAFwAIgBuAC8AYQBcACIALAAgADAALgA4ADUAOwBcAG4AIAAgACAAIAAgACAAIAAgAFwAIgBPAHQAaABlAHIAIABhAG4AbgB1AGEAbAAgAGMAcgBvAHAAcwBcACIALAAgADEALgAwADAALAAgADAALgAyADIALAAgADAALgA4ADUALAAgADAALgA0ADAALAAgADAALgAwADAAOAAsACAAMAAuADAAMAA5ACwAIABcACIAbgAvAGEAXAAiACwAIABcACIAbgAvAGEAXAAiADsAXABuACAAIAAgACAAIAAgACAAIABcACIATwB0AGgAZQByACAAcABlAHIAZQBuAG4AaQBhAGwAIABjAHIAbwBwAHMAXAAiACwAIAAxAC4ANQAsACAAMAAuADIAOQAsACAAMAAuADgAOAAsACAAMAAuADQALAAgADAALgAwADAANgAsACAAXAAiAG4ALwBhAFwAIgAsACAAXAAiAG4ALwBhAFwAIgAsACAAXAAiAG4ALwBhAFwAIgBcAG4AIAAgACAAIAAgACAAfQAsACAAcgAsACAAYwApAFwAbgApACkAKQA7AFwAbgBcAG4AQwByAG8AcABBAHQAdAByAGkAYgB1AHQAZQBzAF8AVgBhAHIAaQBhAHQAaQBvAG4AXABuAD0ATABBAE0AQgBEAEEAKAAoAFwAIgBWAEEAUgBJAEEAVABJAE8ATgAgAEYAUgBPAE0AIABTAE8AVQBSAEMARQA6ACAAXAB1ADAAMAAyADcATgAvAEEAXAB1ADAAMAAyAD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BcAHUAMAAwADIANwBBAGwAbAAgAG8AdABoAGUAcgAgAGMAcgBvAHAAIAB0AHkAcABlAHMAXAB1ADAAMAAyADcAIABpAG4AdABvACAAaQBuAGQAaQB2AGkAZAB1AGEAbAAgAGMAcgBvAHAAIAB0AHkAcABlAHMAIABmAG8AcgAgAGUAYQBjAGgAIABzAHQAYQB0AGUALgAgAEwAaQBzAHQAZQBkACAAYQBsAGwAIABzAHQAYQB0AGUAcwAgAGYAbwByACAAUwB1AGcAYQByACAAQwBhAG4AZQAsACAAdwBpAHQAaAAgAFwAdQAwADAAMgA3AE4ALwBBAFwAdQAwADAAMgA3ACAAZgBvAHIAIABzAHQAYQB0AGUAcwAgAHcAaABlAHIAZQAgAGkAdAAgAGkAcwAgAG4AbwB0ACAAZwByAG8AdwBuAC4AXAAiACkAKQA7AFwAbgBcAG4AXABuAC8AKgBcAG4APQA9AD0APQA9AD0APQA9AD0APQA9AD0APQA9AD0APQA9AD0APQA9AD0APQA9AD0APQA9AD0APQA9AD0APQA9AD0APQA9AD0APQA9AD0APQA9AD0APQA9AD0APQA9AD0APQA9AD0APQA9AD0APQA9AD0APQA9AD0APQA9AD0APQA9AD0APQA9AD0APQA9AD0APQA9AD0APQBcAG4AUABhAHMAdAB1AHIAZQAgAGEAdAB0AHIAaQBiAHUAdABlAHMAXABuAD0APQA9AD0APQA9AD0APQA9AD0APQA9AD0APQA9AD0APQA9AD0APQA9AD0APQA9AD0APQA9AD0APQA9AD0APQA9AD0APQA9AD0APQA9AD0APQA9AD0APQA9AD0APQA9AD0APQA9AD0APQA9AD0APQA9AD0APQA9AD0APQA9AD0APQA9AD0APQA9AD0APQA9AD0APQA9AD0AXABuACoALwBcAG4AXABuAFAAYQBzAHQAdQByAGUAQQB0AHQAcgBpAGIAdQB0AGUAcwBfAFQAaQB0AGwAZQBcAG4APQBMAEEATQBCAEQAQQAoACgAXAAiAFQAYQBiAGwAZQAgAEEALgAyAC4AMQAuADMAIABQAGEAcwB0AHUAcgBlACAAYQB0AHQAcgBpAGIAdQB0AGUAcwBcACIAKQApADsAXABuAFwAbgBQAGEAcwB0AHUAcgBlAEEAdAB0AHIAaQBiAHUAdABlAHMAXwBEAGUAcwBjAHIAaQBwAHQAaQBvAG4AXABuAD0ATABBAE0AQgBEAEEAKAAoAFwAIgBQAGEAcwB0AHUAcgBlACAAYQB0AHQAcgBpAGIAdQB0AGUAcwBcACIAKQApADsAXABuAFwAbgBQAGEAcwB0AHUAcgBlAEEAdAB0AHIAaQBiAHUAdABlAHMAXwBTAG8AdQByAGMAZQBcAG4APQBMAEEATQBCAEQAQQAoACgAXAAiAFYARQBFAFIARwAgADIAMAAyADYAOgAgAFQAYQBiAGwAZQAgAEEALgAyAC4AMQAuADMAOgAgAFAAYQBzAHQAdQByAGUAIABhAHQAdAByAGkAYgB1AHQAZQBzAFwAIgApACkAOwBcAG4AXABuAFAAYQBzAHQAdQByAGUAQQB0AHQAcgBpAGIAdQB0AGUAcwBfAEQAYQB0AGEAXABuAD0ATABBAE0AQgBEAEEAKABcAG4AIAAgAE0AQQBLAEUAQQBSAFIAQQBZACgANgAsACAANgAsAFwAbgAgACAAIAAgAEwAQQBNAEIARABBACgAcgAsAGMALABcAG4AIAAgACAAIAAgACAASQBOAEQARQBYACgAewBcAG4AIAAgACAAIAAgACAAIAAgAFwAIgBQAGEAcwB0AHUAcgBlACAAdAB5AHAAZQBcACIALAAgAFwAIgBBAHYAZQByAGEAZwBlACAAWQBpAGUAbABkACAAKAB0ACAARABNACAAaABhACkAIABZAHAAXAAiACwAIABcACIAQgBlAGwAbwB3AC0AZwByAG8AdQBuAGQAOgAgAGEAYgBvAHYAZQAtAGcAcgBvAHUAbgBkACAAcgBlAHMAaQBkAHUAZQAgAHIAYQB0AGkAbwAgAFIAQgBHAHAAXAAiACwAIABcACIATgAgAGMAbwBuAHQAZQBuAHQAIABBAGIAbwB2AGUALQBnAHIAbwB1AG4AZAAgAE4AQwBBAEcAcABcACIALAAgAFwAIgBOACAAYwBvAG4AdABlAG4AdAAgAEIAZQBsAG8AdwAtAGcAcgBvAHUAbgBkACAATgBDAEIARwBwAFwAIgAsACAAXAAiAEYAcgBhAGMAdABpAG8AbgAgAG8AZgAgAHAAYQBzAHQAdQByAGUAIAB5AGkAZQBsAGQAIAB0AGgAYQB0ACAAaQBzACAAcgBlAG0AbwB2AGUAZAAgAEYARgBPAEQAcABcACIAOwBcAG4AIAAgACAAIAAgACAAIAAgAFwAIgBBAG4AbgB1AGEAbAAgAGcAcgBhAHMAcwBcACIALAAgADQALgA0ADEALAAgADAALgA0ACwAIAAwAC4AMAAxADUALAAgADAALgAwADEAMgAsACAAMAAuADgAOwBcAG4AIAAgACAAIAAgACAAIAAgAFwAIgBHAHIAYQBzAHMAIABjAGwAbwB2AGUAcgAgAG0AaQB4AHQAdQByAGUAXAAiACwAIAA4AC4AMwA0ACwAIAAwAC4AOAAsACAAMAAuADAAMgA1ACwAIAAwAC4AMAAxADYALAAgADAALgA4ADsAXABuACAAIAAgACAAIAAgACAAIABcACIATAB1AGMAZQByAG4AZQBcACIALAAgADgALgA2ADIALAAgADAALgA0ACwAIAAwAC4AMAAyADcALAAgADAALgAwADEAOQAsACAAMAAuADgAOwBcAG4AIAAgACAAIAAgACAAIAAgAFwAIgBPAHQAaABlAHIAIABsAGUAZwB1AG0AZQBcACIALAAgADUALgA2ADIALAAgADAALgA0ACwAIAAwAC4AMAAyADcALAAgADAALgAwADIAMgAsACAAMAAuADgAOwBcAG4AIAAgACAAIAAgACAAIAAgAFwAIgBQAGUAcgBlAG4AbgBpAGEAbAAgAHAAYQBzAHQAdQByAGUAXAAiACwAIAA4AC4AMwA1ACwAIAAwAC4AOAAsACAAMAAuADAAMQA1ACwAIAAwAC4AMAAxADIALAAgADAALgA4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A1AC4AMwAxACAAQgB1AHIAbgBpAG4AZwAgAG8AZgAgAGEAZwByAGkAYwB1AGwAdAB1AHIAYQBsACAAcgBlAHMAaQBkAHUAZQBzACAALQAgAEUARgBzAFwAbgA9AD0APQA9AD0APQA9AD0APQA9AD0APQA9AD0APQA9AD0APQA9AD0APQA9AD0APQA9AD0APQA9AD0APQA9AD0APQA9AD0APQA9AD0APQA9AD0APQA9AD0APQA9AD0APQA9AD0APQA9AD0APQA9AD0APQA9AD0APQA9AD0APQA9AD0APQA9AD0APQA9AD0APQA9AD0APQA9AFwAbgAqAC8AXABuAFwAbgBCAHUAcgBuAGkAbgBnAE8AZgBBAGcAcgBpAGMAdQBsAHQAdQByAGEAbABSAGUAcwBpAGQAdQBlAHMARQBGAHMAXwBUAGkAdABsAGUAXABuAD0ATABBAE0AQgBEAEEAKAAoAFwAIgBUAGEAYgBsAGUAIAA1AC4AMwAxACAAQgB1AHIAbgBpAG4AZwAgAG8AZgAgAGEAZwByAGkAYwB1AGwAdAB1AHIAYQBsACAAcgBlAHMAaQBkAHUAZQBzACAALQAgAEUARgBzAFwAIgApACkAOwBcAG4AXABuAEIAdQByAG4AaQBuAGcATwBmAEEAZwByAGkAYwB1AGwAdAB1AHIAYQBsAFIAZQBzAGkAZAB1AGUAcwBFAEYAcwBfAEQAZQBzAGMAcgBpAHAAdABpAG8AbgBcAG4APQBMAEEATQBCAEQAQQAoACgAXAAiAEIAdQByAG4AaQBuAGcAIABvAGYAIABhAGcAcgBpAGMAdQBsAHQAdQByAGEAbAAgAHIAZQBzAGkAZAB1AGUAcwAgAC0AIABFAEYAcwBcACIAKQApADsAXABuAFwAbgBCAHUAcgBuAGkAbgBnAE8AZgBBAGcAcgBpAGMAdQBsAHQAdQByAGEAbABSAGUAcwBpAGQAdQBlAHMARQBGAHMAXwBTAG8AdQByAGMAZQBcAG4APQBMAEEATQBCAEQAQQAoACgAXAAiAE4AYQB0AGkAbwBuAGEAbAAgAEkAbgB2AGUAbgB0AG8AcgB5ACAAUgBlAHAAbwByAHQAIAAyADAAMgAzACAAdgBvAGwAdQBtAGUAIAAyADoAIABUAGEAYgBsAGUAIAA1AC4AMwAxADoAIABCAHUAcgBuAGkAbgBnACAAbwBmACAAYQBnAHIAaQBjAHUAbAB0AHUAcgBhAGwAIAByAGUAcwBpAGQAdQBlAHMAIAAtACAARQBGAHMAXAAiACkAKQA7AFwAbgBcAG4AQgB1AHIAbgBpAG4AZwBPAGYAQQBnAHIAaQBjAHUAbAB0AHUAcgBhAGwAUgBlAHMAaQBkAHUAZQBzAEUARgBzAF8ARABhAHQAYQBcAG4APQBMAEEATQBCAEQAQQAoAFwAbgAgACAATQBBAEsARQBBAFIAUgBBAFkAKAA2ACwAIAAzACwAXABuACAAIAAgACAATABBAE0AQgBEAEEAKAByACwAYwAsAFwAbgAgACAAIAAgACAAIABJAE4ARABFAFgAKAB7AFwAbgAgACAAIAAgACAAIAAgACAAXAAiAEcAYQBzACAAcwBwAGUAYwBpAGUAcwBcACIALAAgAFwAIgBFAG0AaQBzAHMAaQBvAG4AIABmAGEAYwB0AG8AcgAgAEUARgBnACAAKABHAGcAIABlAGwAZQBtAGUAbgB0ACAAaQBuACAAcwBwAGUAYwBpAGUAcwAvACAARwBnACAAZQBsAGUAbQBlAG4AdAAgAGkAbgAgAGYAdQBlAGwAIABiAHUAcgBuAHQAKQBcACIALAAgAFwAIgBFAGwAZQBtAGUAbgB0AGEAbAAgAHQAbwAgAG0AbwBsAGUAYwB1AGwAYQByACAAbQBhAHMAcwAgAGMAbwBuAHYAZQByAHMAaQBvAG4AIABmAGEAYwB0AG8AcgAgACgAQwBnACkAXAAiADsAXABuACAAIAAgACAAIAAgACAAIABcACIAQwBIADQAXAAiACwAIAAwAC4AMAAwADMANQAsACAAXAAiADEANgAvADEAMgBcACIAOwBcAG4AIAAgACAAIAAgACAAIAAgAFwAIgBOADIATwBcACIALAAgADAALgAwADAANwA2ACwAIABcACIANAA0AC8AMgA4AFwAIgA7AFwAbgAgACAAIAAgACAAIAAgACAAXAAiAE4ATwB4AFwAIgAsACAAMAAuADIAMQAwADAALAAgAFwAIgA0ADYALwAxADQAXAAiADsAXABuACAAIAAgACAAIAAgACAAIABcACIAQwBPAFwAIgAsACAAMAAuADAANwA4ADAALAAgAFwAIgAyADgALwAxADIAXAAiADsAXABuACAAIAAgACAAIAAgACAAIABcACIATgBNAFYATwBDAFwAIgAsACAAMAAuADAAMAA5ADEALAAgAFwAIgAxADQALwAxADIAXAAiAFwAbgAgACAAIAAgACAAIAB9ACwAIAByACwAIABjACkAXABuACkAKQApADsAXABuAFwAbgBcAG4ALwAqACAAXABuAC0ALQAtAC0ALQAtAC0ALQAtAC0ALQAtAC0ALQAtAC0ALQAtAC0ALQAtAC0ALQAtAC0ALQAtAC0ALQAtAC0ALQAtAC0ALQAtAC0ALQBcAG4ATgAyAE8ARQBGAE8AcgBnAGEAbgBpAGMARgBlAHIAdABpAGwAaQBzAGUAcgBcAG4AVgBFAEUAUgBHACAAMgAwADIANgA6ACAAVABhAGIAbABlACAAQQAuADIALgAxAC4ANAAgAEUAbQBpAHMAcwBpAG8AbgAgAGYAYQBjAHQAbwByACAAZgBvAHIAIABvAHIAZwBhAG4AaQBjACAAZgBlAHIAdABpAGwAaQBzAGUAcgAgAGEAbgBkACAAYwByAG8AcAAgAHIAZQBzAGkAZAB1AGUAcwAgAHIAZQB0AHUAcgBuAGUAZAAgAHQAbwAgAHQAaABlACAAcwBvAGkAbABcAG4ALQAtAC0ALQAtAC0ALQAtAC0ALQAtAC0ALQAtAC0ALQAtAC0ALQAtAC0ALQAtAC0ALQAtAC0ALQAtAC0ALQAtAC0ALQAtAC0ALQAtAFwAbgAqAC8AXABuAFwAbgBOADIATwBFAEYATwByAGcAYQBuAGkAYwBGAGUAcgB0AGkAbABpAHMAZQBy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4AMgBPAEUARgBPAHIAZwBhAG4AaQBjAEYAZQByAHQAaQBsAGkAcwBlAHIAXwBVAG4AaQB0AFwAbgAgACAAPQBMAEEATQBCAEQAQQAoAFwAIgBrAGcAIABOADIATwAgAC0AIABOACAALwAgAGsAZwAgAE4AXAAiACkAOwBcAG4AXABuAE4AMgBPAEUARgBPAHIAZwBhAG4AaQBjAEYAZQByAHQAaQBsAGkAcwBlAHIAXwBTAG8AdQByAGMAZQBcAG4AIAAgAD0ATABBAE0AQgBEAEEAKABcACIAVgBFAEUAUgBHACAAMgAwADIANgA6ACAAVABhAGIAbABlACAAQQAuADIALgAxAC4ANABcACIAKQA7AFwAbgBcAG4ATgAyAE8ARQBGAE8AcgBnAGEAbgBpAGMARgBlAHIAdABpAGwAaQBzAGUAcgBfAE4ASQBSAFIAZQBmAGUAcgBlAG4AYwBlAFwAbgAgACAAPQBMAEEATQBCAEQAQQAoAFwAIgBJAFAAQwBDACAAMgAwADEAOQAgAFIAZQBmAGkAbgBlAG0AZQBuAHQAIABWAG8AbAB1AG0AZQAgADQAIABUAGEAYgBsAGUAIAAxADEALgAxACAAWwAxACwAIABwAC4AIAAxADEAXQBcACIAKQA7AFwAbgBcAG4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XABuAFwAbgAiAH0ALAB7ACIAcABhAHQAaAAiADoAIgAvAHAAcgBvAGoAZQBjAHQAcwAvAFMAYwBvAHAAZQAzAF8ARQBxAHUAYQB0AGkAbwBuAHMAIgAsACIAdABlAHgAdAAiADoAIgAvACoAXABuAD0APQA9AD0APQA9AD0APQA9AD0APQA9AD0APQA9AD0APQA9AD0APQA9AD0APQA9AD0APQA9AD0APQA9AD0APQA9AD0APQA9AD0APQA9AD0APQA9AD0APQA9AD0APQA9AD0APQA9AD0APQA9AD0APQA9AD0APQA9AD0APQA9AD0APQA9AD0APQA9AD0APQA9AD0APQA9AD0AXABuADEANQA6ACAAUwBjAG8AcABlACAAMwAgAEUAbQBpAHMAcwBpAG8Abg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1AF8AMQBfADEAXwAxAF8AXwAxAF8ARQBtAGkAcwBzAGkAbwBuAHMARgByAG8AbQBQAHUAcgBjAGgAYQBzAGUAZABMAGkAdgBlAHMAdABvAGMAawBcAG4AVABvAHQAYQBsACAAZQBtAGkAcwBzAGkAbwBuAHMAIABmAHIAbwBtACAAcAB1AHIAYwBoAGEAcwBlAGQAIABsAGkAdgBlAHMAdABvAGMAawBcAG4ARQBcAG4AdAAgAEMATwAyAGUAXABuAEUAPQBcAFwAcwB1AG0AXABcAG4AbwBsAGkAbQBpAHQAcwBfAGMAXABcAHMAdQBtAFwAXABuAG8AbABpAG0AaQB0AHMAXwBvAFwAXABsAGUAZgB0ACgATgBfAHsAYwBvAH0AXABcAHQAaQBtAGUAcwAgAFcAXwB7AGMAbwB9AFwAXAB0AGkAbQBlAHMAIABFAEYAXwB7AGMAbwB9AFwAXAByAGkAZwBoAHQAKQBcAFwAdABpAG0AZQBzACAAMQAwAF4AewAtADMAfQBcAG4ATgBfAGMAbwAgAD0AIABuAHUAbQBiAGUAcgAgAG8AZgAgAGEAbgBpAG0AYQBsAHMAIABwAHUAcgBjAGgAYQBzAGUAZAAgAGkAbgAgAGwAaQB2AGUAcwB0AG8AYwBrACAAdAB5AHAAZQAgAGMAIABmAHIAbwBtACAAbwByAGkAZwBpAG4AIABvAFwAbgBXAF8AYwBvACAAPQAgAGEAdgBlAHIAYQBnAGUAIABsAGkAdgBlAHcAZQBpAGcAaAB0ACAAbwBmACAAcAB1AHIAYwBoAGEAcwBlAGQAIABsAGkAdgBlAHMAdABvAGMAawAgAGEAdAAgAHAAbwBpAG4AdAAgAG8AZgAgAHAAdQByAGMAaABhAHMAZQBcAG4ARQBGAF8AYwBvACAAPQAgAGUAbQBpAHMAcwBpAG8AbgAgAGYAYQBjAHQAbwByACAAcABlAHIAIABsAGkAdgBlAHMAdABvAGMAawAgAHQAeQBwAGUAIABhAG4AZAAgAG8AcgBpAGcAaQBuAFwAbgAtAC0ALQAtAC0ALQAtAC0ALQAtAC0ALQAtAC0ALQAtAC0ALQAtAC0ALQAtAC0ALQAtAC0ALQAtAC0ALQAtAC0ALQAtAC0ALQAtAC0AXABuACoALwBcAG4AXABuAFYARQBFAFIARwBfADEANQBfADEAXwAxAF8AMQBfAF8AMQBfAEUAbQBpAHMAcwBpAG8AbgBzAEYAcgBvAG0AUAB1AHIAYwBoAGEAcwBlAGQATABpAHYAZQBzAHQAbwBjAGsAXABuACAAIAA9AEwAQQBNAEIARABBACgAXABuACAAIAAgACAATgBfAGMAbwAsACAAVwBfAGMAbwAsACAARQBGAF8AYwBvACwAXABuACAAIAAgACAAKABOAF8AYwBvACAAKgAgAFcAXwBjAG8AIAAqACAARQBGAF8AYwBvACkAIAAqACAAMQAwACAAXgAgAC0AMwBcAG4AIAAgACkAOwBcAG4AXABuAFYARQBFAFIARwBfADEANQBfADEAXwAxAF8AMQBfAF8AMQBfAEUAbQBpAHMAcwBpAG8AbgBzAEYAcgBvAG0AUAB1AHIAYwBoAGEAcwBlAGQATABpAHYAZQBzAHQAbwBjAGsAXwBUAGkAdABsAGUAXABuACAAIAA9AEwAQQBNAEIARABBACgAXAAiAFQAbwB0AGEAbAAgAGUAbQBpAHMAcwBpAG8AbgBzACAAZgByAG8AbQAgAHAAdQByAGMAaABhAHMAZQBkACAAbABpAHYAZQBzAHQAbwBjAGsAXAAiACkAOwBcAG4AXABuAFYARQBFAFIARwBfADEANQBfADEAXwAxAF8AMQBfAF8AMQBfAEUAbQBpAHMAcwBpAG8AbgBzAEYAcgBvAG0AUAB1AHIAYwBoAGEAcwBlAGQATABpAHYAZQBzAHQAbwBjAGsAXwBWAGEAcgBpAGEAYgBsAGUAXABuACAAIAA9AEwAQQBNAEIARABBACgAXAAiAEUAXAAiACkAOwBcAG4AXABuAFYARQBFAFIARwBfADEANQBfADEAXwAxAF8AMQBfAF8AMQBfAEUAbQBpAHMAcwBpAG8AbgBzAEYAcgBvAG0AUAB1AHIAYwBoAGEAcwBlAGQATABpAHYAZQBzAHQAbwBjAGsAXwBVAG4AaQB0AFwAbgAgACAAPQBMAEEATQBCAEQAQQAoAFwAIgB0ACAAQwBPADIAZQBcACIAKQA7AFwAbgBcAG4AVgBFAEUAUgBHAF8AMQA1AF8AMQBfADEAXwAxAF8AXwAxAF8ARQBtAGkAcwBzAGkAbwBuAHMARgByAG8AbQBQAHUAcgBjAGgAYQBzAGUAZABMAGkAdgBlAHMAdABvAGMAawBfAFMAbwB1AHIAYwBlAFwAbgAgACAAPQBMAEEATQBCAEQAQQAoAFwAIgBWAEUARQBSAEcAIAAyADAAMgA2ADoAIAAxADUALgAxAC4AMQAuADEALAAgAEUAcQB1AGEAdABpAG8AbgAgACgAMQApAFwAIgApADsAXABuAFwAbgBWAEUARQBSAEcAXwAxADUAXwAxAF8AMQBfADEAXwBfADEAXwBFAG0AaQBzAHMAaQBvAG4AcwBGAHIAbwBtAFAAdQByAGMAaABhAHMAZQBkAEwAaQB2AGUAcwB0AG8AYwBrAF8ATgBJAFIAUgBlAGYAZQByAGUAbgBjAGUAXABuACAAIAA9AEwAQQBNAEIARABBACgAXAAiAFwAIgApADsAXABuAFwAbgBWAEUARQBSAEcAXwAxADUAXwAxAF8AMQBfADEAXwBfADEAXwBFAG0AaQBzAHMAaQBvAG4AcwBGAHIAbwBtAFAAdQByAGMAaABhAHMAZQBkAEwAaQB2AGUAcwB0AG8AYwBrAF8ATABhAHQAZQB4AEUAcQB1AGEAdABpAG8AbgBcAG4AIAAgAD0ATABBAE0AQgBEAEEAKABcACIARQA9AFwAXABzAHUAbQBcAFwAbgBvAGwAaQBtAGkAdABzAF8AYwBcAFwAcwB1AG0AXABcAG4AbwBsAGkAbQBpAHQAcwBfAG8AXABcAGwAZQBmAHQAKABOAF8AewBjAG8AfQBcAFwAdABpAG0AZQBzACAAVwBfAHsAYwBvAH0AXABcAHQAaQBtAGUAcwAgAEUARgBfAHsAYwBvAH0AXABcAHIAaQBnAGgAdAApAFwAXAB0AGkAbQBlAHMAIAAxADAAXgB7AC0AMwB9AFwAIgApADsAXABuAFwAbgBWAEUARQBSAEcAXwAxADUAXwAxAF8AMQBfADEAXwBfADEAXwBFAG0AaQBzAHMAaQBvAG4AcwBGAHIAbwBtAFAAdQByAGMAaABhAHMAZQBkAEwAaQB2AGUAcwB0AG8AYwBrAF8AQQByAGcAdQBtAGUAbgB0AHMAXABuACAAIAA9AEwAQQBNAEIARABBACgAXABuACAAIAAgACAATQBBAEsARQBBAFIAUgBBAFkAKAA1ACwAIAA0ACwAXABuACAAIAAgACAAIAAgAEwAQQBNAEIARABBACgAcgAsAGMALABcAG4AIAAgACAAIAAgACAAIAAgAEkATgBEAEUAWAAoAHsAXABuACAAIAAgACAAIAAgACAAIAAgACAAXAAiAE4AXwBjAG8AXAAiACwAIABcACIAbgB1AG0AYgBlAHIAIABvAGYAIABhAG4AaQBtAGEAbABzACAAcAB1AHIAYwBoAGEAcwBlAGQAIABpAG4AIABsAGkAdgBlAHMAdABvAGMAawAgAHQAeQBwAGUAIABjACAAZgByAG8AbQAgAG8AcgBpAGcAaQBuACAAbwBcACIALAAgAFwAIgBoAGUAYQBkAFwAIgAsACAAXAAiAEkAbgBwAHUAdABcACIAOwBcAG4AIAAgACAAIAAgACAAIAAgACAAIABcACIAVwBfAGMAbwBcACIALAAgAFwAIgBhAHYAZQByAGEAZwBlACAAbABpAHYAZQB3AGUAaQBnAGgAdAAgAG8AZgAgAHAAdQByAGMAaABhAHMAZQBkACAAbABpAHYAZQBzAHQAbwBjAGsAIABhAHQAIABwAG8AaQBuAHQAIABvAGYAIABwAHUAcgBjAGgAYQBzAGUAXAAiACwAIABcACIAawBnAC8AaABlAGEAZABcACIALAAgAFwAIgBJAG4AcAB1AHQAXAAiADsAXABuACAAIAAgACAAIAAgACAAIAAgACAAXAAiAEUARgBfAGMAbwBcACIALAAgAFwAIgBlAG0AaQBzAHMAaQBvAG4AIABmAGEAYwB0AG8AcgAgAHAAZQByACAAbABpAHYAZQBzAHQAbwBjAGsAIAB0AHkAcABlACAAYQBuAGQAIABvAHIAaQBnAGkAbgBcACIALAAgAFwAIgBrAGcAIABDAE8AMgBlAC8AawBnAFwAIgAsACAAXAAiAEMAbwBuAHMAdABhAG4AdABcACIAOwBcAG4AIAAgACAAIAAgACAAIAAgACAAIABcACIAYwBcACIALAAgAFwAIgBsAGkAdgBlAHMAdABvAGMAawAgAHQAeQBwAGUAXAAiACwAIABcACIAXAAiACwAIABcACIASQBuAHAAdQB0AFwAIgA7AFwAbgAgACAAIAAgACAAIAAgACAAIAAgAFwAIgBvAFwAIgAsACAAXAAiAG8AcgBpAGcAaQ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yAF8AMQBfADEAXwBfADEAXwBFAG0AaQBzAHMAaQBvAG4AcwBGAHIAbwBtAFAAdQByAGMAaABhAHMAZQBkAEYAZQBlAGQAXABuAEUAbQBpAHMAcwBpAG8AbgBzACAAZgByAG8AbQAgAHAAdQByAGMAaABhAHMAZQBkACAAZgBlAGUAZABcAG4ARQBcAG4AdAAgAEMATwAyAGUAXABuAEUAPQBcAFwAcwB1AG0AXABcAG4AbwBsAGkAbQBpAHQAcwBfAGoAXABcAGwAZQBmAHQAKABRAF8AagBcAFwAdABpAG0AZQBzACAARQBGAF8AagBcAFwAcgBpAGcAaAB0ACkAXABuAFEAXwBqACAAPQAgAHEAdQBhAG4AdABpAHQAeQAgAG8AZgAgAGYAZQBlAGQAIAB0AHkAcABlACAAagAgAHAAdQByAGMAaABhAHMAZQBkAFwAbgBFAEYAXwBqACAAPQAgAGUAbQBpAHMAcwBpAG8AbgAgAGYAYQBjAHQAbwByACAAbwBmACAAcAB1AHIAYwBoAGEAcwBlAGQAIABmAGUAZQBkAFwAbgAtAC0ALQAtAC0ALQAtAC0ALQAtAC0ALQAtAC0ALQAtAC0ALQAtAC0ALQAtAC0ALQAtAC0ALQAtAC0ALQAtAC0ALQAtAC0ALQAtAC0AXABuACoALwBcAG4AXABuAFYARQBFAFIARwBfADEANQBfADIAXwAxAF8AMQBfAF8AMQBfAEUAbQBpAHMAcwBpAG8AbgBzAEYAcgBvAG0AUAB1AHIAYwBoAGEAcwBlAGQARgBlAGUAZABcAG4AIAAgAD0ATABBAE0AQgBEAEEAKABcAG4AIAAgACAAIABRAF8AagAsACAARQBGAF8AagAsAFwAbgAgACAAIAAgAFEAXwBqACAAKgAgAEUARgBfAGoAXABuACAAIAApADsAXABuAFwAbgBWAEUARQBSAEcAXwAxADUAXwAyAF8AMQBfADEAXwBfADEAXwBFAG0AaQBzAHMAaQBvAG4AcwBGAHIAbwBtAFAAdQByAGMAaABhAHMAZQBkAEYAZQBlAGQAXwBUAGkAdABsAGUAXABuACAAIAA9AEwAQQBNAEIARABBACgAXAAiAEUAbQBpAHMAcwBpAG8AbgBzACAAZgByAG8AbQAgAHAAdQByAGMAaABhAHMAZQBkACAAZgBlAGUAZABcACIAKQA7AFwAbgBcAG4AVgBFAEUAUgBHAF8AMQA1AF8AMgBfADEAXwAxAF8AXwAxAF8ARQBtAGkAcwBzAGkAbwBuAHMARgByAG8AbQBQAHUAcgBjAGgAYQBzAGUAZABGAGUAZQBkAF8AVgBhAHIAaQBhAGIAbABlAFwAbgAgACAAPQBMAEEATQBCAEQAQQAoAFwAIgBFAFwAIgApADsAXABuAFwAbgBWAEUARQBSAEcAXwAxADUAXwAyAF8AMQBfADEAXwBfADEAXwBFAG0AaQBzAHMAaQBvAG4AcwBGAHIAbwBtAFAAdQByAGMAaABhAHMAZQBkAEYAZQBlAGQAXwBVAG4AaQB0AFwAbgAgACAAPQBMAEEATQBCAEQAQQAoAFwAIgB0ACAAQwBPADIAZQBcACIAKQA7AFwAbgBcAG4AVgBFAEUAUgBHAF8AMQA1AF8AMgBfADEAXwAxAF8AXwAxAF8ARQBtAGkAcwBzAGkAbwBuAHMARgByAG8AbQBQAHUAcgBjAGgAYQBzAGUAZABGAGUAZQBkAF8AUwBvAHUAcgBjAGUAXABuACAAIAA9AEwAQQBNAEIARABBACgAXAAiAFYARQBFAFIARwAgADIAMAAyADYAOgAgADEANQAuADIALgAxAC4AMQAsACAARQBxAHUAYQB0AGkAbwBuACAAKAAxACkAXAAiACkAOwBcAG4AXABuAFYARQBFAFIARwBfADEANQBfADIAXwAxAF8AMQBfAF8AMQBfAEUAbQBpAHMAcwBpAG8AbgBzAEYAcgBvAG0AUAB1AHIAYwBoAGEAcwBlAGQARgBlAGUAZABfAE4ASQBSAFIAZQBmAGUAcgBlAG4AYwBlAFwAbgAgACAAPQBMAEEATQBCAEQAQQAoAFwAIgBcACIAKQA7AFwAbgBcAG4AVgBFAEUAUgBHAF8AMQA1AF8AMgBfADEAXwAxAF8AXwAxAF8ARQBtAGkAcwBzAGkAbwBuAHMARgByAG8AbQBQAHUAcgBjAGgAYQBzAGUAZABGAGUAZQBkAF8ATABhAHQAZQB4AEUAcQB1AGEAdABpAG8AbgBcAG4AIAAgAD0ATABBAE0AQgBEAEEAKABcACIARQA9AFwAXABzAHUAbQBcAFwAbgBvAGwAaQBtAGkAdABzAF8AagBcAFwAbABlAGYAdAAoAFEAXwBqAFwAXAB0AGkAbQBlAHMAIABFAEYAXwBqAFwAXAByAGkAZwBoAHQAKQBcACIAKQA7AFwAbgBcAG4AVgBFAEUAUgBHAF8AMQA1AF8AMgBfADEAXwAxAF8AXwAxAF8ARQBtAGkAcwBzAGkAbwBuAHMARgByAG8AbQBQAHUAcgBjAGgAYQBzAGUAZABGAGUAZQBkAF8AQQByAGcAdQBtAGUAbgB0AHMAXABuACAAIAA9AEwAQQBNAEIARABBACgAXABuACAAIAAgACAATQBBAEsARQBBAFIAUgBBAFkAKAAzACwAIAA0ACwAXABuACAAIAAgACAAIAAgAEwAQQBNAEIARABBACgAcgAsAGMALABcAG4AIAAgACAAIAAgACAAIAAgAEkATgBEAEUAWAAoAHsAXABuACAAIAAgACAAIAAgACAAIAAgACAAXAAiAFEAXwBqAFwAIgAsACAAXAAiAHEAdQBhAG4AdABpAHQAeQAgAG8AZgAgAGYAZQBlAGQAIAB0AHkAcABlACAAagAgAHAAdQByAGMAaABhAHMAZQBkAFwAIgAsACAAXAAiAHQAXAAiACwAIABcACIASQBuAHAAdQB0AFwAIgA7AFwAbgAgACAAIAAgACAAIAAgACAAIAAgAFwAIgBFAEYAXwBqAFwAIgAsACAAXAAiAGUAbQBpAHMAcwBpAG8AbgAgAGYAYQBjAHQAbwByACAAbwBmACAAcAB1AHIAYwBoAGEAcwBlAGQAIABmAGUAZQBkAFwAIgAsACAAXAAiAGsAZwAgAEMATwAyAGUALwBrAGcAXAAiACwAIABcACIAQwBvAG4AcwB0AGEAbgB0AFwAIgA7AFwAbgAgACAAIAAgACAAIAAgACAAIAAgAFwAIgBqAFwAIgAsACAAXAAiAGYAZQBlAG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zAF8AMQBfADEAXwBfADEAXwBFAG0AaQBzAHMAaQBvAG4AcwBGAHIAbwBtAFAAdQByAGMAaABhAHMAZQBkAE0AaQBuAGUAcgBhAGwAUwB1AHAAcABsAGUAbQBlAG4AdABzAFwAbgBUAG8AdABhAGwAIABlAG0AaQBzAHMAaQBvAG4AcwAgAGYAcgBvAG0AIABwAHUAcgBjAGgAYQBzAGUAZAAgAG0AaQBuAGUAcgBhAGwAIABzAHUAcABwAGwAZQBtAGUAbgB0AHMAXABuAEUAXABuAHQAIABDAE8AMgBlAFwAbgBFAD0AXABcAHMAdQBtAFwAXABuAG8AbABpAG0AaQB0AHMAXwBtAFwAXABsAGUAZgB0ACgAUQBfAG0AXABcAHQAaQBtAGUAcwAgAEUARgBfAG0AXABcAHIAaQBnAGgAdAApAFwAbgBRAF8AbQAgAD0AIAB0AG8AdABhAGwAIABxAHUAYQBuAHQAaQB0AHkAIABvAGYAIABtAGkAbgBlAHIAYQBsACAAcwB1AHAAcABsAGUAbQBlAG4AdAAgAHQAeQBwAGUAIABtACAAdQBzAGUAZABcAG4ARQBGAF8AbQAgAD0AIABlAG0AaQBzAHMAaQBvAG4AIABmAGEAYwB0AG8AcgAgAG8AZgAgAHAAdQByAGMAaABhAHMAZQBkACAAbQBpAG4AZQByAGEAbAAgAHMAdQBwAHAAbABlAG0AZQBuAHQAXABuAC0ALQAtAC0ALQAtAC0ALQAtAC0ALQAtAC0ALQAtAC0ALQAtAC0ALQAtAC0ALQAtAC0ALQAtAC0ALQAtAC0ALQAtAC0ALQAtAC0ALQBcAG4AKgAvAFwAbgBcAG4AVgBFAEUAUgBHAF8AMQA1AF8AMwBfADEAXwAxAF8AXwAxAF8ARQBtAGkAcwBzAGkAbwBuAHMARgByAG8AbQBQAHUAcgBjAGgAYQBzAGUAZABNAGkAbgBlAHIAYQBsAFMAdQBwAHAAbABlAG0AZQBuAHQAcwBcAG4AIAAgAD0ATABBAE0AQgBEAEEAKABcAG4AIAAgACAAIABRAF8AbQAsACAARQBGAF8AbQAsAFwAbgAgACAAIAAgAFEAXwBtACAAKgAgAEUARgBfAG0AXABuACAAIAApADsAXABuAFwAbgBWAEUARQBSAEcAXwAxADUAXwAzAF8AMQBfADEAXwBfADEAXwBFAG0AaQBzAHMAaQBvAG4AcwBGAHIAbwBtAFAAdQByAGMAaABhAHMAZQBkAE0AaQBuAGUAcgBhAGwAUwB1AHAAcABsAGUAbQBlAG4AdABzAF8AVABpAHQAbABlAFwAbgAgACAAPQBMAEEATQBCAEQAQQAoAFwAIgBUAG8AdABhAGwAIABlAG0AaQBzAHMAaQBvAG4AcwAgAGYAcgBvAG0AIABwAHUAcgBjAGgAYQBzAGUAZAAgAG0AaQBuAGUAcgBhAGwAIABzAHUAcABwAGwAZQBtAGUAbgB0AHMAXAAiACkAOwBcAG4AXABuAFYARQBFAFIARwBfADEANQBfADMAXwAxAF8AMQBfAF8AMQBfAEUAbQBpAHMAcwBpAG8AbgBzAEYAcgBvAG0AUAB1AHIAYwBoAGEAcwBlAGQATQBpAG4AZQByAGEAbABTAHUAcABwAGwAZQBtAGUAbgB0AHMAXwBWAGEAcgBpAGEAYgBsAGUAXABuACAAIAA9AEwAQQBNAEIARABBACgAXAAiAEUAXAAiACkAOwBcAG4AXABuAFYARQBFAFIARwBfADEANQBfADMAXwAxAF8AMQBfAF8AMQBfAEUAbQBpAHMAcwBpAG8AbgBzAEYAcgBvAG0AUAB1AHIAYwBoAGEAcwBlAGQATQBpAG4AZQByAGEAbABTAHUAcABwAGwAZQBtAGUAbgB0AHMAXwBVAG4AaQB0AFwAbgAgACAAPQBMAEEATQBCAEQAQQAoAFwAIgB0ACAAQwBPADIAZQBcACIAKQA7AFwAbgBcAG4AVgBFAEUAUgBHAF8AMQA1AF8AMwBfADEAXwAxAF8AXwAxAF8ARQBtAGkAcwBzAGkAbwBuAHMARgByAG8AbQBQAHUAcgBjAGgAYQBzAGUAZABNAGkAbgBlAHIAYQBsAFMAdQBwAHAAbABlAG0AZQBuAHQAcwBfAFMAbwB1AHIAYwBlAFwAbgAgACAAPQBMAEEATQBCAEQAQQAoAFwAIgBWAEUARQBSAEcAIAAyADAAMgA2ADoAIAAxADUALgAzAC4AMQAuADEALAAgAEUAcQB1AGEAdABpAG8AbgAgACgAMQApAFwAIgApADsAXABuAFwAbgBWAEUARQBSAEcAXwAxADUAXwAzAF8AMQBfADEAXwBfADEAXwBFAG0AaQBzAHMAaQBvAG4AcwBGAHIAbwBtAFAAdQByAGMAaABhAHMAZQBkAE0AaQBuAGUAcgBhAGwAUwB1AHAAcABsAGUAbQBlAG4AdABzAF8ATgBJAFIAUgBlAGYAZQByAGUAbgBjAGUAXABuACAAIAA9AEwAQQBNAEIARABBACgAXAAiAFwAIgApADsAXABuAFwAbgBWAEUARQBSAEcAXwAxADUAXwAzAF8AMQBfADEAXwBfADEAXwBFAG0AaQBzAHMAaQBvAG4AcwBGAHIAbwBtAFAAdQByAGMAaABhAHMAZQBkAE0AaQBuAGUAcgBhAGwAUwB1AHAAcABsAGUAbQBlAG4AdABzAF8ATABhAHQAZQB4AEUAcQB1AGEAdABpAG8AbgBcAG4AIAAgAD0ATABBAE0AQgBEAEEAKABcACIARQA9AFwAXABzAHUAbQBcAFwAbgBvAGwAaQBtAGkAdABzAF8AbQBcAFwAbABlAGYAdAAoAFEAXwBtAFwAXAB0AGkAbQBlAHMAIABFAEYAXwBtAFwAXAByAGkAZwBoAHQAKQBcACIAKQA7AFwAbgBcAG4AVgBFAEUAUgBHAF8AMQA1AF8AMwBfADEAXwAxAF8AXwAxAF8ARQBtAGkAcwBzAGkAbwBuAHMARgByAG8AbQBQAHUAcgBjAGgAYQBzAGUAZABNAGkAbgBlAHIAYQBsAFMAdQBwAHAAbABlAG0AZQBuAHQAcwBfAEEAcgBnAHUAbQBlAG4AdABzAFwAbgAgACAAPQBMAEEATQBCAEQAQQAoAFwAbgAgACAAIAAgAE0AQQBLAEUAQQBSAFIAQQBZACgAMwAsACAANAAsAFwAbgAgACAAIAAgACAAIABMAEEATQBCAEQAQQAoAHIALABjACwAXABuACAAIAAgACAAIAAgACAAIABJAE4ARABFAFgAKAB7AFwAbgAgACAAIAAgACAAIAAgACAAIAAgAFwAIgBRAF8AbQBcACIALAAgAFwAIgB0AG8AdABhAGwAIABxAHUAYQBuAHQAaQB0AHkAIABvAGYAIABtAGkAbgBlAHIAYQBsACAAcwB1AHAAcABsAGUAbQBlAG4AdAAgAHQAeQBwAGUAIABtACAAdQBzAGUAZABcACIALAAgAFwAIgB0AFwAIgAsACAAXAAiAEkAbgBwAHUAdABcACIAOwBcAG4AIAAgACAAIAAgACAAIAAgACAAIABcACIARQBGAF8AbQBcACIALAAgAFwAIgBlAG0AaQBzAHMAaQBvAG4AIABmAGEAYwB0AG8AcgAgAG8AZgAgAHAAdQByAGMAaABhAHMAZQBkACAAbQBpAG4AZQByAGEAbAAgAHMAdQBwAHAAbABlAG0AZQBuAHQAXAAiACwAIABcACIAawBnACAAQwBPADIAZQAvAGsAZwBcACIALAAgAFwAIgBDAG8AbgBzAHQAYQBuAHQAXAAiADsAXABuACAAIAAgACAAIAAgACAAIAAgACAAXAAiAG0AXAAiACwAIABcACIAbQBpAG4AZQByAGEAbAAgAHMAdQBwAHAAbABlAG0AZQBuAHQ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EAXwBFAG0AaQBzAHMAaQBvAG4AcwBGAHIAbwBtAFAAdQByAGMAaABhAHMAZQBkAEYAZQByAHQAaQBsAGkAcwBlAHIAXABuAEUAbQBpAHMAcwBpAG8AbgBzACAAZgByAG8AbQAgAHAAdQByAGMAaABhAHMAZQBkACAAZgBlAHIAdABpAGwAaQBzAGUAcgBcAG4ARQBcAG4AdAAgAEMATwAyAGUAXABuAEUAPQBcAFwAcwB1AG0AXABcAG4AbwBsAGkAbQBpAHQAcwBfAGYAXABcAHMAdQBtAFwAXABuAG8AbABpAG0AaQB0AHMAXwBqAFwAXABsAGUAZgB0ACgAVABNAF8AewBqAGYAfQBcAFwAdABpAG0AZQBzACAARQBGAF8AZgBcAFwAcgBpAGcAaAB0ACkAXABcAHQAaQBtAGUAcwAgADEAMABeAHsALQAzAH0AXABuAFQATQBfAGoAZgAgAD0AIABxAHUAYQBuAHQAaQB0AHkAIABvAGYAIABpAG4AbwByAGcAYQBuAGkAYwAgAGYAZQByAHQAaQBsAGkAcwBlAHIAIAB0AHkAcABlACAAZgAgAHAAdQByAGMAaABhAHMAZQBkACAAYQBuAGQAIABhAHAAcABsAGkAZQBkACAAdABvACAAcAByAG8AZAB1AGMAdABpAG8AbgAgAHMAeQBzAHQAZQBtACAAagBcAG4ARQBGAF8AZgAgAD0AIABlAG0AaQBzAHMAaQBvAG4AIABmAGEAYwB0AG8AcgAgAG8AZgAgAHAAdQByAGMAaABhAHMAZQBkACAAaQBuAG8AcgBnAGEAbgBpAGMAIABmAGUAcgB0AGkAbABpAHMAZQByAFwAbgAtAC0ALQAtAC0ALQAtAC0ALQAtAC0ALQAtAC0ALQAtAC0ALQAtAC0ALQAtAC0ALQAtAC0ALQAtAC0ALQAtAC0ALQAtAC0ALQAtAC0AXABuACoALwBcAG4AXABuAFYARQBFAFIARwBfADEANQBfADQAXwAxAF8AMQBfAF8AMQBfAEUAbQBpAHMAcwBpAG8AbgBzAEYAcgBvAG0AUAB1AHIAYwBoAGEAcwBlAGQARgBlAHIAdABpAGwAaQBzAGUAcgBcAG4AIAAgAD0ATABBAE0AQgBEAEEAKABcAG4AIAAgACAAIABUAE0AXwBqAGYALAAgAEUARgBfAGYALABcAG4AIAAgACAAIAAoAFQATQBfAGoAZgAgACoAIABFAEYAXwBmACkAIAAqACAAMQAwACAAXgAgAC0AMwBcAG4AIAAgACkAOwBcAG4AXABuAFYARQBFAFIARwBfADEANQBfADQAXwAxAF8AMQBfAF8AMQBfAEUAbQBpAHMAcwBpAG8AbgBzAEYAcgBvAG0AUAB1AHIAYwBoAGEAcwBlAGQARgBlAHIAdABpAGwAaQBzAGUAcgBfAFQAaQB0AGwAZQBcAG4AIAAgAD0ATABBAE0AQgBEAEEAKABcACIARQBtAGkAcwBzAGkAbwBuAHMAIABmAHIAbwBtACAAcAB1AHIAYwBoAGEAcwBlAGQAIABmAGUAcgB0AGkAbABpAHMAZQByAFwAIgApADsAXABuAFwAbgBWAEUARQBSAEcAXwAxADUAXwA0AF8AMQBfADEAXwBfADEAXwBFAG0AaQBzAHMAaQBvAG4AcwBGAHIAbwBtAFAAdQByAGMAaABhAHMAZQBkAEYAZQByAHQAaQBsAGkAcwBlAHIAXwBWAGEAcgBpAGEAYgBsAGUAXABuACAAIAA9AEwAQQBNAEIARABBACgAXAAiAEUAXAAiACkAOwBcAG4AXABuAFYARQBFAFIARwBfADEANQBfADQAXwAxAF8AMQBfAF8AMQBfAEUAbQBpAHMAcwBpAG8AbgBzAEYAcgBvAG0AUAB1AHIAYwBoAGEAcwBlAGQARgBlAHIAdABpAGwAaQBzAGUAcgBfAFUAbgBpAHQAXABuACAAIAA9AEwAQQBNAEIARABBACgAXAAiAHQAIABDAE8AMgBlAFwAIgApADsAXABuAFwAbgBWAEUARQBSAEcAXwAxADUAXwA0AF8AMQBfADEAXwBfADEAXwBFAG0AaQBzAHMAaQBvAG4AcwBGAHIAbwBtAFAAdQByAGMAaABhAHMAZQBkAEYAZQByAHQAaQBsAGkAcwBlAHIAXwBTAG8AdQByAGMAZQBcAG4AIAAgAD0ATABBAE0AQgBEAEEAKABcACIAVgBFAEUAUgBHACAAMgAwADIANgA6ACAAMQA1AC4ANAAuADEALgAxACwAIABFAHEAdQBhAHQAaQBvAG4AIAAoADEAKQBcACIAKQA7AFwAbgBcAG4AVgBFAEUAUgBHAF8AMQA1AF8ANABfADEAXwAxAF8AXwAxAF8ARQBtAGkAcwBzAGkAbwBuAHMARgByAG8AbQBQAHUAcgBjAGgAYQBzAGUAZABGAGUAcgB0AGkAbABpAHMAZQByAF8ATgBJAFIAUgBlAGYAZQByAGUAbgBjAGUAXABuACAAIAA9AEwAQQBNAEIARABBACgAXAAiAFwAIgApADsAXABuAFwAbgBWAEUARQBSAEcAXwAxADUAXwA0AF8AMQBfADEAXwBfADEAXwBFAG0AaQBzAHMAaQBvAG4AcwBGAHIAbwBtAFAAdQByAGMAaABhAHMAZQBkAEYAZQByAHQAaQBsAGkAcwBlAHIAXwBMAGEAdABlAHgARQBxAHUAYQB0AGkAbwBuAFwAbgAgACAAPQBMAEEATQBCAEQAQQAoAFwAIgBFAD0AXABcAHMAdQBtAFwAXABuAG8AbABpAG0AaQB0AHMAXwBmAFwAXABzAHUAbQBcAFwAbgBvAGwAaQBtAGkAdABzAF8AagBcAFwAbABlAGYAdAAoAFQATQBfAHsAagBmAH0AXABcAHQAaQBtAGUAcwAgAEUARgBfAGYAXABcAHIAaQBnAGgAdAApAFwAXAB0AGkAbQBlAHMAIAAxADAAXgB7AC0AMwB9AFwAIgApADsAXABuAFwAbgBWAEUARQBSAEcAXwAxADUAXwA0AF8AMQBfADEAXwBfADEAXwBFAG0AaQBzAHMAaQBvAG4AcwBGAHIAbwBtAFAAdQByAGMAaABhAHMAZQBkAEYAZQByAHQAaQBsAGkAcwBlAHIAXwBBAHIAZwB1AG0AZQBuAHQAcwBcAG4AIAAgAD0ATABBAE0AQgBEAEEAKABcAG4AIAAgACAAIABNAEEASwBFAEEAUgBSAEEAWQAoADQALAAgADQALABcAG4AIAAgACAAIAAgACAATABBAE0AQgBEAEEAKAByACwAYwAsAFwAbgAgACAAIAAgACAAIAAgACAASQBOAEQARQBYACgAe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YAXAAiACwAIABcACIAZQBtAGkAcwBzAGkAbwBuACAAZgBhAGMAdABvAHIAIABvAGYAIABwAHUAcgBjAGgAYQBzAGUAZAAgAGkAbgBvAHIAZwBhAG4AaQBjACAAZgBlAHIAdABpAGwAaQBzAGUAcgBcACIALAAgAFwAIgBrAGcAIABDAE8AMgBlAC8AawBnAFwAIgAsACAAXAAiAEMAbwBuAHMAdABhAG4AdABcACIAOwBcAG4AIAAgACAAIAAgACAAIAAgACAAIABcACIAagBcACIALAAgAFwAIgBwAHIAbwBkAHUAYwB0AGkAbwBuACAAcwB5AHMAdABlAG0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QAXwAxAF8AMQBfAF8AMgBfAEUAbQBpAHMAcwBpAG8AbgBzAEYAcgBvAG0AUAB1AHIAYwBoAGEAcwBlAGQARgBlAHIAdABpAGwAaQBzAGUAcgBDAG8AbQBwAG8AbgBlAG4AdABzAFwAbgBFAG0AaQBzAHMAaQBvAG4AcwAgAGYAcgBvAG0AIABwAHUAcgBjAGgAYQBzAGUAZAAgAGYAZQByAHQAaQBsAGkAcwBlAHIAIABjAG8AbQBwAG8AbgBlAG4AdABzAFwAbgBFAFwAbgB0ACAAQwBPADIAZQBcAG4ARQA9AFwAXABzAHUAbQBcAFwAbgBvAGwAaQBtAGkAdABzAF8AZgBcAFwAcwB1AG0AXABcAG4AbwBsAGkAbQBpAHQAcwBfAGMAXABcAHMAdQBtAFwAXABuAG8AbABpAG0AaQB0AHMAXwBqAFwAXABsAGUAZgB0ACgAKABGAF8AewBjAGYAfQBcAFwAdABpAG0AZQBzACAAVABNAF8AewBqAGYAfQApAC8AMQAwADAAXABcAHQAaQBtAGUAcwAgAEUARgBfAGMAXABcAHIAaQBnAGgAdAApAFwAbgBGAF8AYwBmACAAPQAgAGYAcgBhAGMAdABpAG8AbgAgAG8AZgAgAGMAbwBtAHAAbwBuAGUAbgB0ACAAYwAgAGMAbwBuAHQAYQBpAG4AZQBkACAAdwBpAHQAaABpAG4AIAB0AGgAZQAgAGkAbgBvAHIAZwBhAG4AaQBjACAAZgBlAHIAdABpAGwAaQBzAGUAcgAgAGYAXABuAFQATQBfAGoAZgAgAD0AIABxAHUAYQBuAHQAaQB0AHkAIABvAGYAIABpAG4AbwByAGcAYQBuAGkAYwAgAGYAZQByAHQAaQBsAGkAcwBlAHIAIAB0AHkAcABlACAAZgAgAHAAdQByAGMAaABhAHMAZQBkACAAYQBuAGQAIABhAHAAcABsAGkAZQBkACAAdABvACAAcAByAG8AZAB1AGMAdABpAG8AbgAgAHMAeQBzAHQAZQBtACAAagBcAG4ARQBGAF8AYwAgAD0AIABlAG0AaQBzAHMAaQBvAG4AIABmAGEAYwB0AG8AcgAgAGYAbwByACAAdABoAGUAIABwAHIAbwBkAHUAYwB0AGkAbwBuACAAbwBmACAAYwBvAG0AcABvAG4AZQBuAHQAIABjAFwAbgAtAC0ALQAtAC0ALQAtAC0ALQAtAC0ALQAtAC0ALQAtAC0ALQAtAC0ALQAtAC0ALQAtAC0ALQAtAC0ALQAtAC0ALQAtAC0ALQAtAC0AXABuACoALwBcAG4AXABuAFYARQBFAFIARwBfADEANQBfADQAXwAxAF8AMQBfAF8AMgBfAEUAbQBpAHMAcwBpAG8AbgBzAEYAcgBvAG0AUAB1AHIAYwBoAGEAcwBlAGQARgBlAHIAdABpAGwAaQBzAGUAcgBDAG8AbQBwAG8AbgBlAG4AdABzAFwAbgAgACAAPQBMAEEATQBCAEQAQQAoAFwAbgAgACAAIAAgAEYAXwBjAGYALAAgAFQATQBfAGoAZgAsACAARQBGAF8AYwAsAFwAbgAgACAAIAAgACgAKABGAF8AYwBmACAAKgAgAFQATQBfAGoAZgApACAALwAgADEAMAAwACkAIAAqACAARQBGAF8AYwBcAG4AIAAgACkAOwBcAG4AXABuAFYARQBFAFIARwBfADEANQBfADQAXwAxAF8AMQBfAF8AMgBfAEUAbQBpAHMAcwBpAG8AbgBzAEYAcgBvAG0AUAB1AHIAYwBoAGEAcwBlAGQARgBlAHIAdABpAGwAaQBzAGUAcgBDAG8AbQBwAG8AbgBlAG4AdABzAFYAYQByAGkAYQB0AGkAbwBuAFwAbgAgACAAPQBMAEEATQBCAEQAQQAoAFwAbgAgACAAIAAgAEYAXwBjAGYALAAgAFQATQBfAGoAZgAsACAARQBGAF8AYwAsAFwAbgAgACAAIAAgACgARgBfAGMAZgAgACoAIABUAE0AXwBqAGYAKQAgACoAIABFAEYAXwBjACAAKgAgADEAMABeAC0AMwBcAG4AIAAgACkAOwBcAG4AXABuAFYARQBFAFIARwBfADEANQBfADQAXwAxAF8AMQBfAF8AMgBfAEUAbQBpAHMAcwBpAG8AbgBzAEYAcgBvAG0AUAB1AHIAYwBoAGEAcwBlAGQARgBlAHIAdABpAGwAaQBzAGUAcgBDAG8AbQBwAG8AbgBlAG4AdABzAF8AVABpAHQAbABlAFwAbgAgACAAPQBMAEEATQBCAEQAQQAoAFwAIgBFAG0AaQBzAHMAaQBvAG4AcwAgAGYAcgBvAG0AIABwAHUAcgBjAGgAYQBzAGUAZAAgAGYAZQByAHQAaQBsAGkAcwBlAHIAIABjAG8AbQBwAG8AbgBlAG4AdABzAFwAIgApADsAXABuAFwAbgBWAEUARQBSAEcAXwAxADUAXwA0AF8AMQBfADEAXwBfADIAXwBFAG0AaQBzAHMAaQBvAG4AcwBGAHIAbwBtAFAAdQByAGMAaABhAHMAZQBkAEYAZQByAHQAaQBsAGkAcwBlAHIAQwBvAG0AcABvAG4AZQBuAHQAcwBfAFYAYQByAGkAYQBiAGwAZQBcAG4AIAAgAD0ATABBAE0AQgBEAEEAKABcACIARQBcACIAKQA7AFwAbgBcAG4AVgBFAEUAUgBHAF8AMQA1AF8ANABfADEAXwAxAF8AXwAyAF8ARQBtAGkAcwBzAGkAbwBuAHMARgByAG8AbQBQAHUAcgBjAGgAYQBzAGUAZABGAGUAcgB0AGkAbABpAHMAZQByAEMAbwBtAHAAbwBuAGUAbgB0AHMAXwBVAG4AaQB0AFwAbgAgACAAPQBMAEEATQBCAEQAQQAoAFwAIgB0ACAAQwBPADIAZQBcACIAKQA7AFwAbgBcAG4AVgBFAEUAUgBHAF8AMQA1AF8ANABfADEAXwAxAF8AXwAyAF8ARQBtAGkAcwBzAGkAbwBuAHMARgByAG8AbQBQAHUAcgBjAGgAYQBzAGUAZABGAGUAcgB0AGkAbABpAHMAZQByAEMAbwBtAHAAbwBuAGUAbgB0AHMAXwBTAG8AdQByAGMAZQBcAG4AIAAgAD0ATABBAE0AQgBEAEEAKABcACIAVgBFAEUAUgBHACAAMgAwADIANgA6ACAAMQA1AC4ANAAuADEALgAxACwAIABFAHEAdQBhAHQAaQBvAG4AIAAoADIAKQBcACIAKQA7AFwAbgBcAG4AVgBFAEUAUgBHAF8AMQA1AF8ANABfADEAXwAxAF8AXwAyAF8ARQBtAGkAcwBzAGkAbwBuAHMARgByAG8AbQBQAHUAcgBjAGgAYQBzAGUAZABGAGUAcgB0AGkAbABpAHMAZQByAEMAbwBtAHAAbwBuAGUAbgB0AHMAXwBOAEkAUgBSAGUAZgBlAHIAZQBuAGMAZQBcAG4AIAAgAD0ATABBAE0AQgBEAEEAKABcACIAXAAiACkAOwBcAG4AXABuAFYARQBFAFIARwBfADEANQBfADQAXwAxAF8AMQBfAF8AMgBfAEUAbQBpAHMAcwBpAG8AbgBzAEYAcgBvAG0AUAB1AHIAYwBoAGEAcwBlAGQARgBlAHIAdABpAGwAaQBzAGUAcgBDAG8AbQBwAG8AbgBlAG4AdABzAF8ATABhAHQAZQB4AEUAcQB1AGEAdABpAG8AbgBcAG4AIAAgAD0ATABBAE0AQgBEAEEAKABcACIARQA9AFwAXABzAHUAbQBcAFwAbgBvAGwAaQBtAGkAdABzAF8AZgBcAFwAcwB1AG0AXABcAG4AbwBsAGkAbQBpAHQAcwBfAGMAXABcAHMAdQBtAFwAXABuAG8AbABpAG0AaQB0AHMAXwBqAFwAXABsAGUAZgB0ACgAXABcAGYAcgBhAGMAewBGAF8AewBjAGYAfQBcAFwAdABpAG0AZQBzACAAVABNAF8AewBqAGYAfQB9AHsAMQAwADAAfQBcAFwAdABpAG0AZQBzACAARQBGAF8AYwBcAFwAcgBpAGcAaAB0ACkAXAAiACkAOwBcAG4AXABuAFYARQBFAFIARwBfADEANQBfADQAXwAxAF8AMQBfAF8AMgBfAEUAbQBpAHMAcwBpAG8AbgBzAEYAcgBvAG0AUAB1AHIAYwBoAGEAcwBlAGQARgBlAHIAdABpAGwAaQBzAGUAcgBDAG8AbQBwAG8AbgBlAG4AdABzAF8ATABhAHQAZQB4AEUAcQB1AGEAdABpAG8AbgBWAGEAcgBpAGEAdABpAG8AbgBcAG4AIAAgAD0ATABBAE0AQgBEAEEAKABcACIARQA9AFwAXABzAHUAbQBcAFwAbgBvAGwAaQBtAGkAdABzAF8AZgBcAFwAcwB1AG0AXABcAG4AbwBsAGkAbQBpAHQAcwBfAGMAXABcAHMAdQBtAFwAXABuAG8AbABpAG0AaQB0AHMAXwBqAFwAXABsAGUAZgB0ACgARgBfAHsAYwBmAH0AXABcAHQAaQBtAGUAcwAgAFQATQBfAHsAagBmAH0AXABcAHQAaQBtAGUAcwAgAEUARgBfAGMAXABcAHIAaQBnAGgAdAApAFwAXAB0AGkAbQBlAHMAIAAxADAAXgB7AC0AMwB9AFwAIgApADsAXABuAFwAbgBWAEUARQBSAEcAXwAxADUAXwA0AF8AMQBfADEAXwBfADIAXwBFAG0AaQBzAHMAaQBvAG4AcwBGAHIAbwBtAFAAdQByAGMAaABhAHMAZQBkAEYAZQByAHQAaQBsAGkAcwBlAHIAQwBvAG0AcABvAG4AZQBuAHQAcwBfAEEAcgBnAHUAbQBlAG4AdABzAFwAbgAgACAAPQBMAEEATQBCAEQAQQAoAFwAbgAgACAAIAAgAE0AQQBLAEUAQQBSAFIAQQBZACgANg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UAE0AXwBqAGYAXAAiACwAIABcACIAcQB1AGEAbgB0AGkAdAB5ACAAbwBmACAAaQBuAG8AcgBnAGEAbgBpAGMAIABmAGUAcgB0AGkAbABpAHMAZQByACAAdAB5AHAAZQAgAGYAIABwAHUAcgBjAGgAYQBzAGUAZAAgAGEAbgBkACAAYQBwAHAAbABpAGUAZAAgAHQAbwAgAHAAcgBvAGQAdQBjAHQAaQBvAG4AIABzAHkAcwB0AGUAbQAgAGoAXAAiACwAIABcACIAawBn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OwBcAG4AIAAgACAAIAAgACAAIAAgACAAIABcACIAagBcACIALAAgAFwAIgBwAHIAbwBkAHUAYwB0AGkAbwBuACAAcwB5AHMAdABlAG0AXAAiACwAIABcACIAXAAiACwAIABcACIASQBuAHAAdQB0AFwAIgBcAG4AIAAgACAAIAAgACAAIAAgAH0ALAAgAHIALAAgAGMAKQBcAG4AIAAgACAAIAAgACAAKQBcAG4AIAAgACAAIAApAFwAbgAgACAAKQA7AFwAbgBcAG4AVgBFAEUAUgBHAF8AMQA1AF8ANABfADEAXwAxAF8AXwAyAF8ARQBtAGkAcwBzAGkAbwBuAHMARgByAG8AbQBQAHUAcgBjAGgAYQBzAGUAZABGAGUAcgB0AGkAbABpAHMAZQByAEMAbwBtAHAAbwBuAGUAbgB0AHMAXwBWAGEAcgBpAGEAdABpAG8AbgBcAG4AIAAgAD0ATABBAE0AQgBEAEEAKABcACIAVgBBAFIASQBBAFQASQBPAE4AIABPAE4AIABTAE8AVQBSAEMARQA6ACAAcgBlAG0AbwB2AGUAcwAgAGQAaQB2AGkAcwBpAG8AbgAgAGIAeQAgADEAMAAwACAAZgBvAHIAIABGAF8AYwBmACwAIAB0AHIAZQBhAHQAaQBuAGcAIABGAF8AYwBmACAAYQBzACAAZgByAGEAYwB0AGkAbwBuACAAaQBuAHMAdABlAGEAZAAgAG8AZgAgAHAAZQByAGMAZQBuAHQAIABiAGUAYwBhAHUAcwBlACAAaQB0ACAAaQBzACAAYQAgAGYAcgBhAGMAdABpAG8AbgAgAGkAbgAgAHMAYwBvAHAAZQAgADEAIABlAHEAdQBhAHQAaQBvAG4AcwAuACAAQwBvAG4AdgBlAHIAdAAgAGsAZwAgAHQAbwAgAHQAbwBuAG4AZQBzACAAYgB5ACAAbQB1AHQAaQBwAGwAeQBpAG4AZwAgAGIAeQAgADEAMABeAC0AMwAuAFwAIgApADsAXABuAFwAbgBcAG4AXABuAFwAbgAvACoAXABuAC0ALQAtAC0ALQAtAC0ALQAtAC0ALQAtAC0ALQAtAC0ALQAtAC0ALQAtAC0ALQAtAC0ALQAtAC0ALQAtAC0ALQAtAC0ALQAtAC0ALQBcAG4AVgBFAEUAUgBHAF8AMQA1AF8ANABfADEAXwAxAF8AXwBYAF8ARQBtAGkAcwBzAGkAbwBuAEYAYQBjAHQAbwByAEYAcgBvAG0AUAB1AHIAYwBoAGEAcwBlAGQARgBlAHIAdABpAGwAaQBzAGUAcgBDAG8AbQBwAG8AbgBlAG4AdABzAFwAbgBFAG0AaQBzAHMAaQBvAG4AIABmAGEAYwB0AG8AcgAgAGYAbwByACAAZgBlAHIAdABpAGwAaQBzAGUAcgAgAHAAcgBvAGQAdQBjAHQAIABkAGUAcgBpAHYAZQBkACAAZgByAG8AbQAgAGMAbwBtAHAAbwBuAGUAbgB0AHMAXABuAC0ALQAtAC0ALQAtAC0ALQAtAC0ALQAtAC0ALQAtAC0ALQAtAC0ALQAtAC0ALQAtAC0ALQAtAC0ALQAtAC0ALQAtAC0ALQAtAC0ALQBcAG4AKgAvAFwAbgBcAG4AVgBFAEUAUgBHAF8AMQA1AF8ANABfADEAXwAxAF8AXwBYAF8ARQBtAGkAcwBzAGkAbwBuAEYAYQBjAHQAbwByAEYAcgBvAG0AUAB1AHIAYwBoAGEAcwBlAGQARgBlAHIAdABpAGwAaQBzAGUAcgBDAG8AbQBwAG8AbgBlAG4AdABzAFwAbgAgACAAPQBMAEEATQBCAEQAQQAoAFwAbgAgACAAIAAgAEYAXwBjAGYALAAgAEUARgBfAGMALABcAG4AIAAgACAAIABGAF8AYwBmACAAKgAgAEUARgBfAGMAXABuACAAIAApADsAXABuAFwAbgBWAEUARQBSAEcAXwAxADUAXwA0AF8AMQBfADEAXwBfAFgAXwBFAG0AaQBzAHMAaQBvAG4ARgBhAGMAdABvAHIARgByAG8AbQBQAHUAcgBjAGgAYQBzAGUAZABGAGUAcgB0AGkAbABpAHMAZQByAEMAbwBtAHAAbwBuAGUAbgB0AHMAXwBUAGkAdABsAGUAXABuACAAIAA9AEwAQQBNAEIARABBACgAXAAiAEUAbQBpAHMAcwBpAG8AbgAgAGYAYQBjAHQAbwByACAAZgBvAHIAIABmAGUAcgB0AGkAbABpAHMAZQByACAAcAByAG8AZAB1AGMAdAAgAGQAZQByAGkAdgBlAGQAIABmAHIAbwBtACAAYwBvAG0AcABvAG4AZQBuAHQAcwBcACIAKQA7AFwAbgBcAG4AVgBFAEUAUgBHAF8AMQA1AF8ANABfADEAXwAxAF8AXwBYAF8ARQBtAGkAcwBzAGkAbwBuAEYAYQBjAHQAbwByAEYAcgBvAG0AUAB1AHIAYwBoAGEAcwBlAGQARgBlAHIAdABpAGwAaQBzAGUAcgBDAG8AbQBwAG8AbgBlAG4AdABzAF8AVgBhAHIAaQBhAGIAbABlAFwAbgAgACAAPQBMAEEATQBCAEQAQQAoAFwAIgBFAEYAXwBmAFwAIgApADsAXABuAFwAbgBWAEUARQBSAEcAXwAxADUAXwA0AF8AMQBfADEAXwBfAFgAXwBFAG0AaQBzAHMAaQBvAG4ARgBhAGMAdABvAHIARgByAG8AbQBQAHUAcgBjAGgAYQBzAGUAZABGAGUAcgB0AGkAbABpAHMAZQByAEMAbwBtAHAAbwBuAGUAbgB0AHMAXwBVAG4AaQB0AFwAbgAgACAAPQBMAEEATQBCAEQAQQAoAFwAIgBrAGcAIABDAE8AMgBlAC8AawBnACAAZgBlAHIAdABpAGwAaQBzAGUAcgBcACIAKQA7AFwAbgBcAG4AVgBFAEUAUgBHAF8AMQA1AF8ANABfADEAXwAxAF8AXwBYAF8ARQBtAGkAcwBzAGkAbwBuAEYAYQBjAHQAbwByAEYAcgBvAG0AUAB1AHIAYwBoAGEAcwBlAGQARgBlAHIAdABpAGwAaQBzAGUAcgBDAG8AbQBwAG8AbgBlAG4AdABzAF8AUwBvAHUAcgBjAGUAXABuACAAIAA9AEwAQQBNAEIARABBACgAXAAiAEcAQQBGAFwAIgApADsAXABuAFwAbgBWAEUARQBSAEcAXwAxADUAXwA0AF8AMQBfADEAXwBfAFgAXwBFAG0AaQBzAHMAaQBvAG4ARgBhAGMAdABvAHIARgByAG8AbQBQAHUAcgBjAGgAYQBzAGUAZABGAGUAcgB0AGkAbABpAHMAZQByAEMAbwBtAHAAbwBuAGUAbgB0AHMAXwBOAEkAUgBSAGUAZgBlAHIAZQBuAGMAZQBcAG4AIAAgAD0ATABBAE0AQgBEAEEAKABcACIAXAAiACkAOwBcAG4AXABuAFYARQBFAFIARwBfADEANQBfADQAXwAxAF8AMQBfAF8AWABfAEUAbQBpAHMAcwBpAG8AbgBGAGEAYwB0AG8AcgBGAHIAbwBtAFAAdQByAGMAaABhAHMAZQBkAEYAZQByAHQAaQBsAGkAcwBlAHIAQwBvAG0AcABvAG4AZQBuAHQAcwBfAEwAYQB0AGUAeABFAHEAdQBhAHQAaQBvAG4AXABuACAAIAA9AEwAQQBNAEIARABBACgAXAAiAEUARgBfAGYAPQBcAFwAcwB1AG0AXABcAG4AbwBsAGkAbQBpAHQAcwBfAGMAXABcAGwAZQBmAHQAKABGAF8AewBjAGYAfQBcAFwAdABpAG0AZQBzACAARQBGAF8AYwBcAFwAcgBpAGcAaAB0ACkAXAAiACkAOwBcAG4AXABuAFYARQBFAFIARwBfADEANQBfADQAXwAxAF8AMQBfAF8AWABfAEUAbQBpAHMAcwBpAG8AbgBGAGEAYwB0AG8AcgBGAHIAbwBtAFAAdQByAGMAaABhAHMAZQBkAEYAZQByAHQAaQBsAGkAcwBlAHIAQwBvAG0AcABvAG4AZQBuAHQAcwBfAEEAcgBnAHUAbQBlAG4AdABzAFwAbgAgACAAPQBMAEEATQBCAEQAQQAoAFwAbgAgACAAIAAgAE0AQQBLAEUAQQBSAFIAQQBZACgANAAsACAANAAsAFwAbgAgACAAIAAgACAAIABMAEEATQBCAEQAQQAoAHIALABjACwAXABuACAAIAAgACAAIAAgACAAIABJAE4ARABFAFgAKAB7AFwAbgAgACAAIAAgACAAIAAgACAAIAAgAFwAIgBGAF8AYwBmAFwAIgAsACAAXAAiAGYAcgBhAGMAdABpAG8AbgAgAG8AZgAgAGMAbwBtAHAAbwBuAGUAbgB0ACAAYwAgAGMAbwBuAHQAYQBpAG4AZQBkACAAdwBpAHQAaABpAG4AIAB0AGgAZQAgAGkAbgBvAHIAZwBhAG4AaQBjACAAZgBlAHIAdABpAGwAaQBzAGUAcgAgAGYAXAAiACwAIABcACIAdwB0ACUAXAAiACwAIABcACIASQBuAHAAdQB0AFwAIgA7AFwAbgAgACAAIAAgACAAIAAgACAAIAAgAFwAIgBFAEYAXwBjAFwAIgAsACAAXAAiAGUAbQBpAHMAcwBpAG8AbgAgAGYAYQBjAHQAbwByACAAZgBvAHIAIAB0AGgAZQAgAHAAcgBvAGQAdQBjAHQAaQBvAG4AIABvAGYAIABjAG8AbQBwAG8AbgBlAG4AdAAgAGMAXAAiACwAIABcACIAawBnACAAQwBPADIAZQAvAGsAZwAgAGMAbwBtAHAAbwBuAGUAbgB0AFwAIgAsACAAXAAiAEMAbwBuAHMAdABhAG4AdABcACIAOwBcAG4AIAAgACAAIAAgACAAIAAgACAAIABcACIAYwBcACIALAAgAFwAIgBmAGUAcgB0AGkAbABpAHMAZQByACAAYwBvAG0AcABvAG4AZQBuAHQAXAAiACwAIABcACIAXAAiACwAIABcACIASQBuAHAAdQB0AFwAIgA7AFwAbgAgACAAIAAgACAAIAAgACAAIAAgAFwAIgBmAFwAIgAsACAAXAAiAGkAbgBvAHIAZwBhAG4AaQBjACAAZgBlAHIAdABpAGwAaQBzAGUAcgAgAHQAeQBwAGUAXAAiACwAIABcACIAXAAiACwAIABcACIASQBuAHAAdQB0AFwAIgBcAG4AIAAgACAAIAAgACAAIAAgAH0ALAAgAHIALAAgAGMAKQBcAG4AIAAgACAAIAAgACAAKQBcAG4AIAAgACAAIAApAFwAbgAgACAAKQA7AFwAbgBcAG4AVgBFAEUAUgBHAF8AMQA1AF8ANABfADEAXwAxAF8AXwBYAF8ARQBtAGkAcwBzAGkAbwBuAEYAYQBjAHQAbwByAEYAcgBvAG0AUAB1AHIAYwBoAGEAcwBlAGQARgBlAHIAdABpAGwAaQBzAGUAcgBDAG8AbQBwAG8AbgBlAG4AdABzAF8AVgBhAHIAaQBhAHQAaQBvAG4AXABuACAAIAA9AEwAQQBNAEIARABBACgAXAAiAFYAQQBSAEkAQQBUAEkATwBOACAATwBOACAAUwBPAFUAUgBDAEUAOgAgAFQAaABpAHMAIABlAHEAdQBhAHQAaQBvAG4AIABpAHMAIABhAGQAZABlAGQAIAB0AG8AIABjAGEAbABjAHUAbABhAHQAZQAgAGEAbgAgAEUARgAgAHYAYQBsAHUAZQAgAGYAcgBvAG0AIABmAGUAcgB0AGkAbABpAHMAZQByACAAYwBvAG0AcABvAG4AZQBuAHQAcwAgAHQAaABhAHQAIABjAGEAbgAgAGIAZQAgAHUAcwBlAGQAIABpAG4AIAAxADUALgA0AC4AMQAuADEAIAAoADEAKQBcACIAKQA7AFwAbgBcAG4ALwAqAFwAbgAtAC0ALQAtAC0ALQAtAC0ALQAtAC0ALQAtAC0ALQAtAC0ALQAtAC0ALQAtAC0ALQAtAC0ALQAtAC0ALQAtAC0ALQAtAC0ALQAtAC0AXABuAFYARQBFAFIARwBfADEANQBfADUAXwAxAF8AMQBfAF8AMQBfAEUAbQBpAHMAcwBpAG8AbgBzAEYAcgBvAG0AUAB1AHIAYwBoAGEAcwBlAGQAQQBnAHIAaQBjAGgAZQBtAGkAYwBhAGwAcwBcAG4AVABvAHQAYQBsACAAZQBtAGkAcwBzAGkAbwBuAHMAIABmAHIAbwBtACAAcAB1AHIAYwBoAGEAcwBlAGQAIABhAGcAcgBpAGMAaABlAG0AaQBjAGEAbABzAFwAbgBFAFwAbgB0ACAAQwBPADIAZQBcAG4ARQA9AFwAXABzAHUAbQBcAFwAbgBvAGwAaQBtAGkAdABzAF8AaABcAFwAbABlAGYAdAAoAFEAXwBoAFwAXAB0AGkAbQBlAHMAIABFAEYAXwBoAFwAXAByAGkAZwBoAHQAKQBcAFwAdABpAG0AZQBzACAAMQAwAF4AewAtADMAfQBcAG4AUQBfAGgAIAA9ACAAcQB1AGEAbgB0AGkAdAB5ACAAbwBmACAAYQBjAHQAaQB2AGUAIABpAG4AZwByAGUAZABpAGUAbgB0AHMAIABpAG4AIABhAGcAcgBpAGMAaABlAG0AaQBjAGEAbAAgAHQAeQBwAGUAIABoACAAcAB1AHIAYwBoAGEAcwBlAGQAIABhAG4AZAAgAGEAcABwAGwAaQBlAGQAIAB0AG8AIABzAG8AaQBsAHMAXABuAEUARgBfAGgAIAA9ACAAZQBtAGkAcwBzAGkAbwBuACAAZgBhAGMAdABvAHIAIABmAG8AcgAgAHAAdQByAGMAaABhAHMAZQBkACAAYQBnAHIAaQBjAGgAZQBtAGkAYwBhAGwAIABhAGMAdABpAHYAZQAgAGkAbgBnAHIAZQBkAGkAZQBuAHQAXABuAC0ALQAtAC0ALQAtAC0ALQAtAC0ALQAtAC0ALQAtAC0ALQAtAC0ALQAtAC0ALQAtAC0ALQAtAC0ALQAtAC0ALQAtAC0ALQAtAC0ALQBcAG4AKgAvAFwAbgBcAG4AVgBFAEUAUgBHAF8AMQA1AF8ANQBfADEAXwAxAF8AXwAxAF8ARQBtAGkAcwBzAGkAbwBuAHMARgByAG8AbQBQAHUAcgBjAGgAYQBzAGUAZABBAGcAcgBpAGMAaABlAG0AaQBjAGEAbABzAFwAbgAgACAAPQBMAEEATQBCAEQAQQAoAFwAbgAgACAAIAAgAFEAXwBoACwAIABFAEYAXwBoACwAXABuACAAIAAgACAAKABRAF8AaAAgACoAIABFAEYAXwBoACkAIAAqACAAMQAwACAAXgAgAC0AMwBcAG4AIAAgACkAOwBcAG4AXABuAFYARQBFAFIARwBfADEANQBfADUAXwAxAF8AMQBfAF8AMQBfAEUAbQBpAHMAcwBpAG8AbgBzAEYAcgBvAG0AUAB1AHIAYwBoAGEAcwBlAGQAQQBnAHIAaQBjAGgAZQBtAGkAYwBhAGwAcwBfAFQAaQB0AGwAZQBcAG4AIAAgAD0ATABBAE0AQgBEAEEAKABcACIAVABvAHQAYQBsACAAZQBtAGkAcwBzAGkAbwBuAHMAIABmAHIAbwBtACAAcAB1AHIAYwBoAGEAcwBlAGQAIABhAGcAcgBpAGMAaABlAG0AaQBjAGEAbABzAFwAIgApADsAXABuAFwAbgBWAEUARQBSAEcAXwAxADUAXwA1AF8AMQBfADEAXwBfADEAXwBFAG0AaQBzAHMAaQBvAG4AcwBGAHIAbwBtAFAAdQByAGMAaABhAHMAZQBkAEEAZwByAGkAYwBoAGUAbQBpAGMAYQBsAHMAXwBWAGEAcgBpAGEAYgBsAGUAXABuACAAIAA9AEwAQQBNAEIARABBACgAXAAiAEUAXAAiACkAOwBcAG4AXABuAFYARQBFAFIARwBfADEANQBfADUAXwAxAF8AMQBfAF8AMQBfAEUAbQBpAHMAcwBpAG8AbgBzAEYAcgBvAG0AUAB1AHIAYwBoAGEAcwBlAGQAQQBnAHIAaQBjAGgAZQBtAGkAYwBhAGwAcwBfAFUAbgBpAHQAXABuACAAIAA9AEwAQQBNAEIARABBACgAXAAiAHQAIABDAE8AMgBlAFwAIgApADsAXABuAFwAbgBWAEUARQBSAEcAXwAxADUAXwA1AF8AMQBfADEAXwBfADEAXwBFAG0AaQBzAHMAaQBvAG4AcwBGAHIAbwBtAFAAdQByAGMAaABhAHMAZQBkAEEAZwByAGkAYwBoAGUAbQBpAGMAYQBsAHMAXwBTAG8AdQByAGMAZQBcAG4AIAAgAD0ATABBAE0AQgBEAEEAKABcACIAVgBFAEUAUgBHACAAMgAwADIANgA6ACAAMQA1AC4ANQAuADEALgAxACwAIABFAHEAdQBhAHQAaQBvAG4AIAAoADEAKQBcACIAKQA7AFwAbgBcAG4AVgBFAEUAUgBHAF8AMQA1AF8ANQBfADEAXwAxAF8AXwAxAF8ARQBtAGkAcwBzAGkAbwBuAHMARgByAG8AbQBQAHUAcgBjAGgAYQBzAGUAZABBAGcAcgBpAGMAaABlAG0AaQBjAGEAbABzAF8ATgBJAFIAUgBlAGYAZQByAGUAbgBjAGUAXABuACAAIAA9AEwAQQBNAEIARABBACgAXAAiAFwAIgApADsAXABuAFwAbgBWAEUARQBSAEcAXwAxADUAXwA1AF8AMQBfADEAXwBfADEAXwBFAG0AaQBzAHMAaQBvAG4AcwBGAHIAbwBtAFAAdQByAGMAaABhAHMAZQBkAEEAZwByAGkAYwBoAGUAbQBpAGMAYQBsAHMAXwBMAGEAdABlAHgARQBxAHUAYQB0AGkAbwBuAFwAbgAgACAAPQBMAEEATQBCAEQAQQAoAFwAIgBFAD0AXABcAHMAdQBtAFwAXABuAG8AbABpAG0AaQB0AHMAXwBoAFwAXABsAGUAZgB0ACgAUQBfAGgAXABcAHQAaQBtAGUAcwAgAEUARgBfAGgAXABcAHIAaQBnAGgAdAApAFwAXAB0AGkAbQBlAHMAIAAxADAAXgB7AC0AMwB9AFwAIgApADsAXABuAFwAbgBWAEUARQBSAEcAXwAxADUAXwA1AF8AMQBfADEAXwBfADEAXwBFAG0AaQBzAHMAaQBvAG4AcwBGAHIAbwBtAFAAdQByAGMAaABhAHMAZQBkAEEAZwByAGkAYwBoAGUAbQBpAGMAYQBsAHMAXwBBAHIAZwB1AG0AZQBuAHQAcwBcAG4AIAAgAD0ATABBAE0AQgBEAEEAKABcAG4AIAAgACAAIABNAEEASwBFAEEAUgBSAEEAWQAoADMALAAgADQALABcAG4AIAAgACAAIAAgACAATABBAE0AQgBEAEEAKAByACwAYwAsAFwAbgAgACAAIAAgACAAIAAgACAASQBOAEQARQBYACgAewBcAG4AIAAgACAAIAAgACAAIAAgACAAIABcACIAUQBfAGgAXAAiACwAIABcACIAcQB1AGEAbgB0AGkAdAB5ACAAbwBmACAAYQBjAHQAaQB2AGUAIABpAG4AZwByAGUAZABpAGUAbgB0AHMAIABpAG4AIABhAGcAcgBpAGMAaABlAG0AaQBjAGEAbAAgAHQAeQBwAGUAIABoACAAcAB1AHIAYwBoAGEAcwBlAGQAIABhAG4AZAAgAGEAcABwAGwAaQBlAGQAIAB0AG8AIABzAG8AaQBsAHMAXAAiACwAIABcACIAawBnACAAYQBpAFwAIgAsACAAXAAiAEkAbgBwAHUAdABcACIAOwBcAG4AIAAgACAAIAAgACAAIAAgACAAIABcACIARQBGAF8AaABcACIALAAgAFwAIgBlAG0AaQBzAHMAaQBvAG4AIABmAGEAYwB0AG8AcgAgAGYAbwByACAAcAB1AHIAYwBoAGEAcwBlAGQAIABhAGcAcgBpAGMAaABlAG0AaQBjAGEAbAAgAGEAYwB0AGkAdgBlACAAaQBuAGcAcgBlAGQAaQBlAG4AdABcACIALAAgAFwAIgBrAGcAIABDAE8AMgBlAC8AawBnACAAYQBpAFwAIgAsACAAXAAiAEMAbwBuAHMAdABhAG4AdABcACIAOwBcAG4AIAAgACAAIAAgACAAIAAgACAAIABcACIAaABcACIALAAgAFwAIgBhAGcAcgBpAGMAaABlAG0AaQBjAGEAbA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YAXwAxAF8AMQBfAF8AMQBfAEUAbQBpAHMAcwBpAG8AbgBzAEYAcgBvAG0AUAB1AHIAYwBoAGEAcwBlAGQATABpAG0AZQBcAG4ARQBtAGIAZQBkAGQAZQBkACAAZQBtAGkAcwBzAGkAbwBuAHMAIABmAG8AcgAgAHAAdQByAGMAaABhAHMAZQBkACAAbABpAG0AZQBcAG4ARQBcAG4AdAAgAEMATwAyAGUAXABuAEUAPQBNAF8AbABpAG0AZQBcAFwAdABpAG0AZQBzACAARQBGAF8AbABcAG4ATQBfAGwAaQBtAGUAIAA9ACAAdABvAHQAYQBsACAAcQB1AGEAbgB0AGkAdAB5ACAAbwBmACAAbABpAG0AZQAgAGEAcABwAGwAaQBlAGQAIAB0AG8AIABzAG8AaQBsAHMAXABuAEUARgBfAGwAIAA9ACAAZQBtAGkAcwBzAGkAbwBuACAAZgBhAGMAdABvAHIAIABmAG8AcgAgAHAAdQByAGMAaABhAHMAZQBkACAAbABpAG0AZQBcAG4ALQAtAC0ALQAtAC0ALQAtAC0ALQAtAC0ALQAtAC0ALQAtAC0ALQAtAC0ALQAtAC0ALQAtAC0ALQAtAC0ALQAtAC0ALQAtAC0ALQAtAFwAbgAqAC8AXABuAFwAbgBWAEUARQBSAEcAXwAxADUAXwA2AF8AMQBfADEAXwBfADEAXwBFAG0AaQBzAHMAaQBvAG4AcwBGAHIAbwBtAFAAdQByAGMAaABhAHMAZQBkAEwAaQBtAGUAXABuACAAIAA9AEwAQQBNAEIARABBACgAXABuACAAIAAgACAATQBfAGwAaQBtAGUALAAgAEUARgBfAGwALABcAG4AIAAgACAAIABNAF8AbABpAG0AZQAgACoAIABFAEYAXwBsAFwAbgAgACAAKQA7AFwAbgBcAG4AVgBFAEUAUgBHAF8AMQA1AF8ANgBfADEAXwAxAF8AXwAxAF8ARQBtAGkAcwBzAGkAbwBuAHMARgByAG8AbQBQAHUAcgBjAGgAYQBzAGUAZABMAGkAbQBlAF8AVABpAHQAbABlAFwAbgAgACAAPQBMAEEATQBCAEQAQQAoAFwAIgBFAG0AYgBlAGQAZABlAGQAIABlAG0AaQBzAHMAaQBvAG4AcwAgAGYAbwByACAAcAB1AHIAYwBoAGEAcwBlAGQAIABsAGkAbQBlAFwAIgApADsAXABuAFwAbgBWAEUARQBSAEcAXwAxADUAXwA2AF8AMQBfADEAXwBfADEAXwBFAG0AaQBzAHMAaQBvAG4AcwBGAHIAbwBtAFAAdQByAGMAaABhAHMAZQBkAEwAaQBtAGUAXwBWAGEAcgBpAGEAYgBsAGUAXABuACAAIAA9AEwAQQBNAEIARABBACgAXAAiAEUAXAAiACkAOwBcAG4AXABuAFYARQBFAFIARwBfADEANQBfADYAXwAxAF8AMQBfAF8AMQBfAEUAbQBpAHMAcwBpAG8AbgBzAEYAcgBvAG0AUAB1AHIAYwBoAGEAcwBlAGQATABpAG0AZQBfAFUAbgBpAHQAXABuACAAIAA9AEwAQQBNAEIARABBACgAXAAiAHQAIABDAE8AMgBlAFwAIgApADsAXABuAFwAbgBWAEUARQBSAEcAXwAxADUAXwA2AF8AMQBfADEAXwBfADEAXwBFAG0AaQBzAHMAaQBvAG4AcwBGAHIAbwBtAFAAdQByAGMAaABhAHMAZQBkAEwAaQBtAGUAXwBTAG8AdQByAGMAZQBcAG4AIAAgAD0ATABBAE0AQgBEAEEAKABcACIAVgBFAEUAUgBHACAAMgAwADIANgA6ACAAMQA1AC4ANgAuADEALgAxACwAIABFAHEAdQBhAHQAaQBvAG4AIAAoADEAKQBcACIAKQA7AFwAbgBcAG4AVgBFAEUAUgBHAF8AMQA1AF8ANgBfADEAXwAxAF8AXwAxAF8ARQBtAGkAcwBzAGkAbwBuAHMARgByAG8AbQBQAHUAcgBjAGgAYQBzAGUAZABMAGkAbQBlAF8ATgBJAFIAUgBlAGYAZQByAGUAbgBjAGUAXABuACAAIAA9AEwAQQBNAEIARABBACgAXAAiAFwAIgApADsAXABuAFwAbgBWAEUARQBSAEcAXwAxADUAXwA2AF8AMQBfADEAXwBfADEAXwBFAG0AaQBzAHMAaQBvAG4AcwBGAHIAbwBtAFAAdQByAGMAaABhAHMAZQBkAEwAaQBtAGUAXwBMAGEAdABlAHgARQBxAHUAYQB0AGkAbwBuAFwAbgAgACAAPQBMAEEATQBCAEQAQQAoAFwAIgBFAD0ATQBfAHsAbABpAG0AZQB9AFwAXAB0AGkAbQBlAHMAIABFAEYAXwBsAFwAIgApADsAXABuAFwAbgBWAEUARQBSAEcAXwAxADUAXwA2AF8AMQBfADEAXwBfADEAXwBFAG0AaQBzAHMAaQBvAG4AcwBGAHIAbwBtAFAAdQByAGMAaABhAHMAZQBkAEwAaQBtAGUAXwBBAHIAZwB1AG0AZQBuAHQAcwBcAG4AIAAgAD0ATABBAE0AQgBEAEEAKABcAG4AIAAgACAAIABNAEEASwBFAEEAUgBSAEEAWQAoADIALAAgADQALABcAG4AIAAgACAAIAAgACAATABBAE0AQgBEAEEAKAByACwAYwAsAFwAbgAgACAAIAAgACAAIAAgACAASQBOAEQARQBYACgAewBcAG4AIAAgACAAIAAgACAAIAAgACAAIABcACIATQBfAGwAaQBtAGUAXAAiACwAIABcACIAdABvAHQAYQBsACAAcQB1AGEAbgB0AGkAdAB5ACAAbwBmACAAbABpAG0AZQAgAGEAcABwAGwAaQBlAGQAIAB0AG8AIABzAG8AaQBsAHMAXAAiACwAIABcACIAdABcACIALAAgAFwAIgBJAG4AcAB1AHQAXAAiADsAXABuACAAIAAgACAAIAAgACAAIAAgACAAXAAiAEUARgBfAGwAXAAiACwAIABcACIAZQBtAGkAcwBzAGkAbwBuACAAZgBhAGMAdABvAHIAIABmAG8AcgAgAHAAdQByAGMAaABhAHMAZQBkACAAbABpAG0AZQBcACIALAAgAFwAIgB0ACAAQwBPADIAZQAvAHQ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cAXwAxAF8AMQBfAF8AMQBfAEUAbQBpAHMAcwBpAG8AbgBzAEYAcgBvAG0AUAB1AHIAYwBoAGEAcwBlAGQAUwBlAHIAdgBpAGMAZQBzAFwAbgBFAG0AaQBzAHMAaQBvAG4AcwAgAG8AZgAgAHAAdQByAGMAaABhAHMAZQBkACAAcwBlAHIAdgBpAGMAZQBzACAAYQBuAGQAIABjAG8AbgB0AHIAYQBjAHQAbwByACAAbwBwAGUAcgBhAHQAaQBvAG4AcwBcAG4ARQBcAG4AdAAgAEMATwAyAGUAXABuAEUAPQBcAFwAcwB1AG0AXABcAG4AbwBsAGkAbQBpAHQAcwBfAHAAXABcAGwAZQBmAHQAKABBAF8AcABcAFwAdABpAG0AZQBzACAARQBGAF8AcABcAFwAcgBpAGcAaAB0ACkAXABcAHQAaQBtAGUAcwAgADEAMABeAHsALQAzAH0AXABuAEEAXwBwACAAPQAgAGEAYwB0AGkAdgBpAHQAeQAgAGQAYQB0AGEAIABvAGYAIAB0AGgAZQAgAHMAZQByAHYAaQBjAGUAIAB0AGgAYQB0ACAAdwBhAHMAIABwAHUAcgBjAGgAYQBzAGUAZABcAG4ARQBGAF8AcAAgAD0AIABsAGkAZgBlACAAYwB5AGMAbABlACAAZQBtAGkAcwBzAGkAbwBuACAAZgBhAGMAdABvAHIAIABmAG8AcgAgAHQAaABlACAAcAB1AHIAYwBoAGEAcwBlAGQAIABzAGUAcgB2AGkAYwBlAFwAbgAtAC0ALQAtAC0ALQAtAC0ALQAtAC0ALQAtAC0ALQAtAC0ALQAtAC0ALQAtAC0ALQAtAC0ALQAtAC0ALQAtAC0ALQAtAC0ALQAtAC0AXABuACoALwBcAG4AXABuAFYARQBFAFIARwBfADEANQBfADcAXwAxAF8AMQBfAF8AMQBfAEUAbQBpAHMAcwBpAG8AbgBzAEYAcgBvAG0AUAB1AHIAYwBoAGEAcwBlAGQAUwBlAHIAdgBpAGMAZQBzAFwAbgAgACAAPQBMAEEATQBCAEQAQQAoAFwAbgAgACAAIAAgAEEAXwBwACwAIABFAEYAXwBwACwAXABuACAAIAAgACAAKABBAF8AcAAgACoAIABFAEYAXwBwACkAIAAqACAAMQAwACAAXgAgAC0AMwBcAG4AIAAgACkAOwBcAG4AXABuAFYARQBFAFIARwBfADEANQBfADcAXwAxAF8AMQBfAF8AMQBfAEUAbQBpAHMAcwBpAG8AbgBzAEYAcgBvAG0AUAB1AHIAYwBoAGEAcwBlAGQAUwBlAHIAdgBpAGMAZQBzAF8AVABpAHQAbABlAFwAbgAgACAAPQBMAEEATQBCAEQAQQAoAFwAIgBFAG0AaQBzAHMAaQBvAG4AcwAgAG8AZgAgAHAAdQByAGMAaABhAHMAZQBkACAAcwBlAHIAdgBpAGMAZQBzACAAYQBuAGQAIABjAG8AbgB0AHIAYQBjAHQAbwByACAAbwBwAGUAcgBhAHQAaQBvAG4AcwBcACIAKQA7AFwAbgBcAG4AVgBFAEUAUgBHAF8AMQA1AF8ANwBfADEAXwAxAF8AXwAxAF8ARQBtAGkAcwBzAGkAbwBuAHMARgByAG8AbQBQAHUAcgBjAGgAYQBzAGUAZABTAGUAcgB2AGkAYwBlAHMAXwBWAGEAcgBpAGEAYgBsAGUAXABuACAAIAA9AEwAQQBNAEIARABBACgAXAAiAEUAXAAiACkAOwBcAG4AXABuAFYARQBFAFIARwBfADEANQBfADcAXwAxAF8AMQBfAF8AMQBfAEUAbQBpAHMAcwBpAG8AbgBzAEYAcgBvAG0AUAB1AHIAYwBoAGEAcwBlAGQAUwBlAHIAdgBpAGMAZQBzAF8AVQBuAGkAdABcAG4AIAAgAD0ATABBAE0AQgBEAEEAKABcACIAdAAgAEMATwAyAGUAXAAiACkAOwBcAG4AXABuAFYARQBFAFIARwBfADEANQBfADcAXwAxAF8AMQBfAF8AMQBfAEUAbQBpAHMAcwBpAG8AbgBzAEYAcgBvAG0AUAB1AHIAYwBoAGEAcwBlAGQAUwBlAHIAdgBpAGMAZQBzAF8AUwBvAHUAcgBjAGUAXABuACAAIAA9AEwAQQBNAEIARABBACgAXAAiAFYARQBFAFIARwAgADIAMAAyADYAOgAgADEANQAuADcALgAxAC4AMQAsACAARQBxAHUAYQB0AGkAbwBuACAAKAAxACkAXAAiACkAOwBcAG4AXABuAFYARQBFAFIARwBfADEANQBfADcAXwAxAF8AMQBfAF8AMQBfAEUAbQBpAHMAcwBpAG8AbgBzAEYAcgBvAG0AUAB1AHIAYwBoAGEAcwBlAGQAUwBlAHIAdgBpAGMAZQBzAF8ATgBJAFIAUgBlAGYAZQByAGUAbgBjAGUAXABuACAAIAA9AEwAQQBNAEIARABBACgAXAAiAFwAIgApADsAXABuAFwAbgBWAEUARQBSAEcAXwAxADUAXwA3AF8AMQBfADEAXwBfADEAXwBFAG0AaQBzAHMAaQBvAG4AcwBGAHIAbwBtAFAAdQByAGMAaABhAHMAZQBkAFMAZQByAHYAaQBjAGUAcwBfAEwAYQB0AGUAeABFAHEAdQBhAHQAaQBvAG4AXABuACAAIAA9AEwAQQBNAEIARABBACgAXAAiAEUAPQBcAFwAcwB1AG0AXABcAG4AbwBsAGkAbQBpAHQAcwBfAHAAXABcAGwAZQBmAHQAKABBAF8AcABcAFwAdABpAG0AZQBzACAARQBGAF8AcABcAFwAcgBpAGcAaAB0ACkAXABcAHQAaQBtAGUAcwAgADEAMABeAHsALQAzAH0AXAAiACkAOwBcAG4AXABuAFYARQBFAFIARwBfADEANQBfADcAXwAxAF8AMQBfAF8AMQBfAEUAbQBpAHMAcwBpAG8AbgBzAEYAcgBvAG0AUAB1AHIAYwBoAGEAcwBlAGQAUwBlAHIAdgBpAGMAZQBzAF8AQQByAGcAdQBtAGUAbgB0AHMAXABuACAAIAA9AEwAQQBNAEIARABBACgAXABuACAAIAAgACAATQBBAEsARQBBAFIAUgBBAFkAKAAzACwAIAA0ACwAXABuACAAIAAgACAAIAAgAEwAQQBNAEIARABBACgAcgAsAGMALABcAG4AIAAgACAAIAAgACAAIAAgAEkATgBEAEUAWAAoAHsAXABuACAAIAAgACAAIAAgACAAIAAgACAAXAAiAEEAXwBwAFwAIgAsACAAXAAiAGEAYwB0AGkAdgBpAHQAeQAgAGQAYQB0AGEAIABvAGYAIAB0AGgAZQAgAHMAZQByAHYAaQBjAGUAIAB0AGgAYQB0ACAAdwBhAHMAIABwAHUAcgBjAGgAYQBzAGUAZABcACIALAAgAFwAIgBoAGEAIABvAHIAIABoAFwAIgAsACAAXAAiAEkAbgBwAHUAdABcACIAOwBcAG4AIAAgACAAIAAgACAAIAAgACAAIABcACIARQBGAF8AcABcACIALAAgAFwAIgBsAGkAZgBlACAAYwB5AGMAbABlACAAZQBtAGkAcwBzAGkAbwBuACAAZgBhAGMAdABvAHIAIABmAG8AcgAgAHQAaABlACAAcAB1AHIAYwBoAGEAcwBlAGQAIABzAGUAcgB2AGkAYwBlAFwAIgAsACAAXAAiAGsAZwAgAEMATwAyAGUALwBoAGEAIABvAHIAIABrAGcAIABDAE8AMgBlAC8AaABcACIALAAgAFwAIgBDAG8AbgBzAHQAYQBuAHQAXAAiADsAXABuACAAIAAgACAAIAAgACAAIAAgACAAXAAiAHAAXAAiACwAIABcACIAcwBlAHIAdgBpAGMAZ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gAXwAxAF8AMQBfAF8AMQBfAEUAbQBpAHMAcwBpAG8AbgBzAEYAcgBvAG0AUAB1AHIAYwBoAGEAcwBlAGQAUABhAGMAawBhAGcAaQBuAGcAXABuAEUAbQBiAGUAZABkAGUAZAAgAGUAbQBpAHMAcwBpAG8AbgBzACAAZgByAG8AbQAgAHUAcwBlACAAbwBmACAAcABhAGMAawBhAGcAaQBuAGcAIABtAGEAdABlAHIAaQBhAGwAcwBcAG4ARQBcAG4AdAAgAEMATwAyAGUAXABuAEUAPQBcAFwAcwB1AG0AXABcAG4AbwBsAGkAbQBpAHQAcwBfAHAAXABcAGwAZQBmAHQAKABRAF8AcABcAFwAdABpAG0AZQBzACAARQBGAF8AcABcAFwAcgBpAGcAaAB0ACkAXABcAHQAaQBtAGUAcwAgADEAMABeAHsALQAzAH0AXABuAFEAXwBwACAAPQAgAHUAbgBpAHQAcwAgAG8AZgAgAHAAYQBjAGsAYQBnAGkAbgBnACAAdAB5AHAAZQAgAHAAXABuAEUARgBfAHAAIAA9ACAAZQBtAGkAcwBzAGkAbwBuACAAZgBhAGMAdABvAHIAIABmAG8AcgAgAHAAYQBjAGsAYQBnAGkAbgBnACAAdAB5AHAAZQAgAHAAXABuAC0ALQAtAC0ALQAtAC0ALQAtAC0ALQAtAC0ALQAtAC0ALQAtAC0ALQAtAC0ALQAtAC0ALQAtAC0ALQAtAC0ALQAtAC0ALQAtAC0ALQBcAG4AKgAvAFwAbgBcAG4AVgBFAEUAUgBHAF8AMQA1AF8AOABfADEAXwAxAF8AXwAxAF8ARQBtAGkAcwBzAGkAbwBuAHMARgByAG8AbQBQAHUAcgBjAGgAYQBzAGUAZABQAGEAYwBrAGEAZwBpAG4AZwBcAG4AIAAgAD0ATABBAE0AQgBEAEEAKABcAG4AIAAgACAAIABRAF8AcAAsACAARQBGAF8AcAAsAFwAbgAgACAAIAAgACgAUQBfAHAAIAAqACAARQBGAF8AcAApACAAKgAgADEAMAAgAF4AIAAtADMAXABuACAAIAApADsAXABuAFwAbgBWAEUARQBSAEcAXwAxADUAXwA4AF8AMQBfADEAXwBfADEAXwBFAG0AaQBzAHMAaQBvAG4AcwBGAHIAbwBtAFAAdQByAGMAaABhAHMAZQBkAFAAYQBjAGsAYQBnAGkAbgBnAF8AVABpAHQAbABlAFwAbgAgACAAPQBMAEEATQBCAEQAQQAoAFwAIgBFAG0AYgBlAGQAZABlAGQAIABlAG0AaQBzAHMAaQBvAG4AcwAgAGYAcgBvAG0AIAB1AHMAZQAgAG8AZgAgAHAAYQBjAGsAYQBnAGkAbgBnACAAbQBhAHQAZQByAGkAYQBsAHMAXAAiACkAOwBcAG4AXABuAFYARQBFAFIARwBfADEANQBfADgAXwAxAF8AMQBfAF8AMQBfAEUAbQBpAHMAcwBpAG8AbgBzAEYAcgBvAG0AUAB1AHIAYwBoAGEAcwBlAGQAUABhAGMAawBhAGcAaQBuAGcAXwBWAGEAcgBpAGEAYgBsAGUAXABuACAAIAA9AEwAQQBNAEIARABBACgAXAAiAEUAXAAiACkAOwBcAG4AXABuAFYARQBFAFIARwBfADEANQBfADgAXwAxAF8AMQBfAF8AMQBfAEUAbQBpAHMAcwBpAG8AbgBzAEYAcgBvAG0AUAB1AHIAYwBoAGEAcwBlAGQAUABhAGMAawBhAGcAaQBuAGcAXwBVAG4AaQB0AFwAbgAgACAAPQBMAEEATQBCAEQAQQAoAFwAIgB0ACAAQwBPADIAZQBcACIAKQA7AFwAbgBcAG4AVgBFAEUAUgBHAF8AMQA1AF8AOABfADEAXwAxAF8AXwAxAF8ARQBtAGkAcwBzAGkAbwBuAHMARgByAG8AbQBQAHUAcgBjAGgAYQBzAGUAZABQAGEAYwBrAGEAZwBpAG4AZwBfAFMAbwB1AHIAYwBlAFwAbgAgACAAPQBMAEEATQBCAEQAQQAoAFwAIgBWAEUARQBSAEcAIAAyADAAMgA2ADoAIAAxADUALgA4AC4AMQAuADEALAAgAEUAcQB1AGEAdABpAG8AbgAgACgAMQApAFwAIgApADsAXABuAFwAbgBWAEUARQBSAEcAXwAxADUAXwA4AF8AMQBfADEAXwBfADEAXwBFAG0AaQBzAHMAaQBvAG4AcwBGAHIAbwBtAFAAdQByAGMAaABhAHMAZQBkAFAAYQBjAGsAYQBnAGkAbgBnAF8ATgBJAFIAUgBlAGYAZQByAGUAbgBjAGUAXABuACAAIAA9AEwAQQBNAEIARABBACgAXAAiAFwAIgApADsAXABuAFwAbgBWAEUARQBSAEcAXwAxADUAXwA4AF8AMQBfADEAXwBfADEAXwBFAG0AaQBzAHMAaQBvAG4AcwBGAHIAbwBtAFAAdQByAGMAaABhAHMAZQBkAFAAYQBjAGsAYQBnAGkAbgBnAF8ATABhAHQAZQB4AEUAcQB1AGEAdABpAG8AbgBcAG4AIAAgAD0ATABBAE0AQgBEAEEAKABcACIARQA9AFwAXABzAHUAbQBcAFwAbgBvAGwAaQBtAGkAdABzAF8AcABcAFwAbABlAGYAdAAoAFEAXwBwAFwAXAB0AGkAbQBlAHMAIABFAEYAXwBwAFwAXAByAGkAZwBoAHQAKQBcAFwAdABpAG0AZQBzACAAMQAwAF4AewAtADMAfQBcACIAKQA7AFwAbgBcAG4AVgBFAEUAUgBHAF8AMQA1AF8AOABfADEAXwAxAF8AXwAxAF8ARQBtAGkAcwBzAGkAbwBuAHMARgByAG8AbQBQAHUAcgBjAGgAYQBzAGUAZABQAGEAYwBrAGEAZwBpAG4AZwBfAEEAcgBnAHUAbQBlAG4AdABzAFwAbgAgACAAPQBMAEEATQBCAEQAQQAoAFwAbgAgACAAIAAgAE0AQQBLAEUAQQBSAFIAQQBZACgAMwAsACAANAAsAFwAbgAgACAAIAAgACAAIABMAEEATQBCAEQAQQAoAHIALABjACwAXABuACAAIAAgACAAIAAgACAAIABJAE4ARABFAFgAKAB7AFwAbgAgACAAIAAgACAAIAAgACAAIAAgAFwAIgBRAF8AcABcACIALAAgAFwAIgB1AG4AaQB0AHMAIABvAGYAIABwAGEAYwBrAGEAZwBpAG4AZwAgAHQAeQBwAGUAIABwAFwAIgAsACAAXAAiAHUAbgBpAHQAcwBcACIALAAgAFwAIgBJAG4AcAB1AHQAXAAiADsAXABuACAAIAAgACAAIAAgACAAIAAgACAAXAAiAEUARgBfAHAAXAAiACwAIABcACIAZQBtAGkAcwBzAGkAbwBuACAAZgBhAGMAdABvAHIAIABmAG8AcgAgAHAAYQBjAGsAYQBnAGkAbgBnACAAdAB5AHAAZQAgAHAAXAAiACwAIABcACIAawBnACAAQwBPADIAZQAvAHUAbgBpAHQAXAAiACwAIABcACIAQwBvAG4AcwB0AGEAbgB0AFwAIgA7AFwAbgAgACAAIAAgACAAIAAgACAAIAAgAFwAIgBwAFwAIgAsACAAXAAiAHAAYQBjAGsAYQBnAGkAbgBnACAAdAB5AHAAZQBcACIALAAgAFwAIgBcACIALAAgAFwAIgBJAG4AcAB1AHQAXAAiAFwAbgAgACAAIAAgACAAIAAgACAAfQAsACAAcgAsACAAYwApAFwAbgAgACAAIAAgACAAIAApAFwAbgAgACAAIAAgACkAXABuACAAIAApADsAXABuAFwAbgBWAEUARQBSAEcAXwAxADUAXwA4AF8AMQBfADEAXwBfADEAXwBFAG0AaQBzAHMAaQBvAG4AcwBGAHIAbwBtAFAAdQByAGMAaABhAHMAZQBkAFAAYQBjAGsAYQBnAGkAbgBnAF8AVgBhAHIAaQBhAHQAaQBvAG4AXABuACAAIAA9AEwAQQBNAEIARABBACgAXAAiAFYAQQBSAEkAQQBUAEkATwBOACAATwBOACAAUwBPAFUAUgBDAEUAOgAgAEMAaABhAG4AZwBlAGQAIAB1AG4AaQB0ACAAbwBmACAAUQAgAGYAcgBvAG0AIABcAHUAMAAwADIANwB1AG4AaQB0AHMAXAB1ADAAMAAyADcAIAB0AG8AIABcAHUAMAAwADIANwBrAGcAXAB1ADAAMAAyAD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XAB1ADAAMAAyADcAcwB0AGEAdABlAFwAdQAwADAAMgA3ACAAYQBuAGQAIABcAHUAMAAwADIANwBtAGUAdAByAG8ALwBuAG8AbgAtAG0AZQB0AHIAbwBcAHUAMAAwADIANwAgAGEAcgBnAHUAbQBlAG4AdABzACAAYQBzACAAZwBhAHMAZQBvAHUAcwAgAHMAYwBvAHAAZQAgADMAIABFAEYAcwAgAGEAcgBlACAAcwB0AGEAdABlACAAYQBuAGQAIABtAGUAdAByAG8ALwBuAG8AbgAtAG0AZQB0AHIAbwAgAGwAbwBjAGEAdABpAG8AbgAtAGIAYQBzAGUAZAAuAFwAIgApADsAXABuAFwAbgAvACoAXABuAC0ALQAtAC0ALQAtAC0ALQAtAC0ALQAtAC0ALQAtAC0ALQAtAC0ALQAtAC0ALQAtAC0ALQAtAC0ALQAtAC0ALQAtAC0ALQAtAC0ALQBcAG4AVgBFAEUAUgBHAF8AMQA1AF8AMQAyAF8AMQBfADEAXwBfADEAXwBVAHAAcwB0AHIAZQBhAG0AUAB1AHIAYwBoAGEAcwBlAGQARQBsAGUAYwB0AHIAaQBjAGkAdAB5AEwAbwBjAGEAdABpAG8AbgBCAGEAcwBlAGQAXABuAFMAYwBvAHAAZQAgADMAIABlAG0AaQBzAHMAaQBvAG4AcwAgAGYAcgBvAG0AIABwAHUAcgBjAGgAYQBzAGUAZAAgAGUAbABlAGMAdAByAGkAYwBpAHQAeQAgAGwAbwBjAGEAdABpAG8AbgAgAGIAYQBzAGUAZABcAG4ARQBfADMAZQBsAGUAYwBcAG4AdAAgAEMATwAyAGUAXABuAEUAXwB7ADMALABlAGwAZQBjAH0APQBRAF8AewBlAGwAZQBjAH0AXABcAHQAaQBtAGUAcwAgAEUARgBfAHsAMwAsAGUAbABlAGMAfQBcAFwAdABpAG0AZQBzACAAMQAwAF4AewAtADMAfQBcAG4AUQBfAGUAbABlAGMAIAA9ACAAYQBtAG8AdQBuAHQAIABvAGYAIABlAGwAZQBjAHQAcgBpAGMAaQB0AHkAIABwAHUAcgBjAGgAYQBzAGUAZAAgAGYAcgBvAG0AIAB0AGgAZQAgAGcAcgBpAGQAXABuAEUARgBfADMAZQBsAGUAYwAgAD0AIABzAGMAbwBwAGUAIAAzACAAZQBtAGkAcwBzAGkAbwBuACAAZgBhAGMAdABvAHIAIABmAG8AcgAgAHAAdQByAGMAaABhAHMAZQBkACAAZQBsAGUAYwB0AHIAaQBjAGkAdAB5AFwAbgAtAC0ALQAtAC0ALQAtAC0ALQAtAC0ALQAtAC0ALQAtAC0ALQAtAC0ALQAtAC0ALQAtAC0ALQAtAC0ALQAtAC0ALQAtAC0ALQAtAC0AXABuACoALwBcAG4AXABuAFYARQBFAFIARwBfADEANQBfADEAMgBfADEAXwAxAF8AXwAxAF8AVQBwAHMAdAByAGUAYQBtAFAAdQByAGMAaABhAHMAZQBkAEUAbABlAGMAdAByAGkAYwBpAHQAeQBMAG8AYwBhAHQAaQBvAG4AQgBhAHMAZQBkAFwAbgAgACAAPQBMAEEATQBCAEQAQQAoAFwAbgAgACAAIAAgAFEAXwBlAGwAZQBjACwAIABFAEYAXwAzAGUAbABlAGMALABcAG4AIAAgACAAIAAoAFEAXwBlAGwAZQBjACAAKgAgAEUARgBfADMAZQBsAGUAYwApACAAKgAgADEAMAAgAF4AIAAtADMAXABuACAAIAApADsAXABuAFwAbgBWAEUARQBSAEcAXwAxADUAXwAxADIAXwAxAF8AMQBfAF8AMQBfAFUAcABzAHQAcgBlAGEAbQBQAHUAcgBjAGgAYQBzAGUAZABFAGwAZQBjAHQAcgBpAGMAaQB0AHkATABvAGMAYQB0AGkAbwBuAEIAYQBzAGUAZABfAFQAaQB0AGwAZQBcAG4AIAAgAD0ATABBAE0AQgBEAEEAKABcACIAUwBjAG8AcABlACAAMwAgAGUAbQBpAHMAcwBpAG8AbgBzACAAZgByAG8AbQAgAHAAdQByAGMAaABhAHMAZQBkACAAZQBsAGUAYwB0AHIAaQBjAGkAdAB5ACAAbABvAGMAYQB0AGkAbwBuACAAYgBhAHMAZQBkAFwAIgApADsAXABuAFwAbgBWAEUARQBSAEcAXwAxADUAXwAxADIAXwAxAF8AMQBfAF8AMQBfAFUAcABzAHQAcgBlAGEAbQBQAHUAcgBjAGgAYQBzAGUAZABFAGwAZQBjAHQAcgBpAGMAaQB0AHkATABvAGMAYQB0AGkAbwBuAEIAYQBzAGUAZABfAFYAYQByAGkAYQBiAGwAZQBcAG4AIAAgAD0ATABBAE0AQgBEAEEAKABcACIARQBfADMAZQBsAGUAYwBcACIAKQA7AFwAbgBcAG4AVgBFAEUAUgBHAF8AMQA1AF8AMQAyAF8AMQBfADEAXwBfADEAXwBVAHAAcwB0AHIAZQBhAG0AUAB1AHIAYwBoAGEAcwBlAGQARQBsAGUAYwB0AHIAaQBjAGkAdAB5AEwAbwBjAGEAdABpAG8AbgBCAGEAcwBlAGQAXwBVAG4AaQB0AFwAbgAgACAAPQBMAEEATQBCAEQAQQAoAFwAIgB0ACAAQwBPADIAZQBcACIAKQA7AFwAbgBcAG4AVgBFAEUAUgBHAF8AMQA1AF8AMQAyAF8AMQBfADEAXwBfADEAXwBVAHAAcwB0AHIAZQBhAG0AUAB1AHIAYwBoAGEAcwBlAGQARQBsAGUAYwB0AHIAaQBjAGkAdAB5AEwAbwBjAGEAdABpAG8AbgBCAGEAcwBlAGQAXwBTAG8AdQByAGMAZQBcAG4AIAAgAD0ATABBAE0AQgBEAEEAKABcACIAVgBFAEUAUgBHACAAMgAwADIANgA6ACAAMQA1AC4AMQAyAC4AMQAuADEALAAgAEUAcQB1AGEAdABpAG8AbgAgACgAMQApAFwAIgApADsAXABuAFwAbgBWAEUARQBSAEcAXwAxADUAXwAxADIAXwAxAF8AMQBfAF8AMQBfAFUAcABzAHQAcgBlAGEAbQBQAHUAcgBjAGgAYQBzAGUAZABFAGwAZQBjAHQAcgBpAGMAaQB0AHkATABvAGMAYQB0AGkAbwBuAEIAYQBzAGUAZABfAE4ASQBSAFIAZQBmAGUAcgBlAG4AYwBlAFwAbgAgACAAPQBMAEEATQBCAEQAQQAoAFwAIgBcACIAKQA7AFwAbgBcAG4AVgBFAEUAUgBHAF8AMQA1AF8AMQAyAF8AMQBfADEAXwBfADEAXwBVAHAAcwB0AHIAZQBhAG0AUAB1AHIAYwBoAGEAcwBlAGQARQBsAGUAYwB0AHIAaQBjAGkAdAB5AEwAbwBjAGEAdABpAG8AbgBCAGEAcwBlAGQAXwBMAGEAdABlAHgARQBxAHUAYQB0AGkAbwBuAFwAbgAgACAAPQBMAEEATQBCAEQAQQAoAFwAIgBFAF8AewAzACwAZQBsAGUAYwB9AD0AUQBfAHsAZQBsAGUAYwB9AFwAXAB0AGkAbQBlAHMAIABFAEYAXwB7ADMALABlAGwAZQBjAH0AXABcAHQAaQBtAGUAcwAgADEAMABeAHsALQAzAH0AXAAiACkAOwBcAG4AXABuAFYARQBFAFIARwBfADEANQBfADEAMgBfADEAXwAxAF8AXwAxAF8AVQBwAHMAdAByAGUAYQBtAFAAdQByAGMAaABhAHMAZQBkAEUAbABlAGMAdAByAGkAYwBpAHQAeQBMAG8AYwBhAHQAaQBvAG4AQgBhAHMAZQBk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wBlAGwAZQBjAFwAIgAsACAAXAAiAHMAYwBvAHAAZQAgADMAIABlAG0AaQBzAHMAaQBvAG4AIABmAGEAYwB0AG8AcgAgAGYAbwByACAAcAB1AHIAYwBoAGEAcwBlAGQAIABlAGwAZQBjAHQAcgBpAGMAaQB0AHkAXAAiACwAIABcACIAawBnACAAQwBPADIAZQAvAGsAVwBoAFwAIgAsACAAXAAiAEMAbwBuAHMAdABhAG4AdABcACIAOwBcAG4AIAAgACAAIAAgACAAIAAgACAAIABcACIAZwBcACIALAAgAFwAIgBnAHIAaQBkACAAZQBsAGUAYwB0AHIAaQBjAGkAdAB5ACAAdwBhAHMAIABwAHUAcgBjAGgAYQBzAGUAZAAgAGYAcgBvAG0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gBfADEAXwAyAF8AXwAxAF8AVQBwAHMAdAByAGUAYQBtAFAAdQByAGMAaABhAHMAZQBkAEUAbABlAGMAdAByAGkAYwBpAHQAeQBNAGEAcgBrAGUAdABCAGEAcwBlAGQAXABuAFMAYwBvAHAAZQAgADMAIABlAG0AaQBzAHMAaQBvAG4AcwAgAGYAcgBvAG0AIABwAHUAcgBjAGgAYQBzAGUAZAAgAGUAbABlAGMAdAByAGkAYwBpAHQAeQAgAG0AYQByAGsAZQB0ACAAYgBhAHMAZQBkAFwAbgBFAF8AMwBlAGwAZQBjAFwAbgB0ACAAQwBPADIAZQBcAG4ARQBfAHsAMwAsAGUAbABlAGMAfQA9AFwAXABsAGUAZgB0AFsAUQBfAHsAZQBsAGUAYwB9AFwAXAB0AGkAbQBlAHMAXABcAGwAZQBmAHQAKAAxAC0AKABSAFAAUAArAEoAUgBQAFAAKQBcAFwAcgBpAGcAaAB0ACkALQBcAFwAbABlAGYAdAAoAFIARQBDAF8AewBzAHUAcgByAGUAbgBkAGUAcgBlAGQAfQAtAFIARQBDAF8AewBvAG4AcwBpAHQAZQB9AFwAXAByAGkAZwBoAHQAKQBcAFwAdABpAG0AZQBzACAAMQAwAF4AewAtADMAfQBcAFwAcgBpAGcAaAB0AF0AXABcAHQAaQBtAGUAcwAgAEUARgBfAHsAUgBNAEYAMwAsAGUAbABlAGMAfQBcAFwAdABpAG0AZQBzACAAMQAwAF4AewAtADMAfQBcAG4AUQBfAGUAbABlAGMAIAA9ACAAYQBtAG8AdQBuAHQAIABvAGYAIABlAGwAZQBjAHQAcgBpAGMAaQB0AHkAIABwAHUAcgBjAGgAYQBzAGUAZAAgAGYAcgBvAG0AIAB0AGgAZQAgAGcAcgBpAGQAXABuAFIAUABQACAAPQAgAHIAZQBuAGUAdwBhAGIAbABlACAAcABvAHcAZQByACAAcABlAHIAYwBlAG4AdABhAGcAZQAgAHUAbgBkAGUAcgAgAEwAUgBFAFQAIABmAG8AcgAgAHQAaABlACAAYQBwAHAAbABpAGMAYQBiAGwAZQAgAHAAZQByAGkAbwBkAFwAbgBKAFIAUABQACAAPQAgAGoAdQByAGkAcwBkAGkAYwB0AGkAbwBuAGEAbAAgAHIAZQBuAGUAdwBhAGIAbABlACAAcABvAHcAZQByACAAcABlAHIAYwBlAG4AdABhAGcAZQAgAGYAbwByACAAdABoAGUAIABhAHAAcABsAGkAYwBhAGIAbABlACAAcABlAHIAaQBvAGQAXABuAFIARQBDAF8AcwB1AHIAcgBlAG4AZABlAHIAZQBkACAAPQAgAGUAbABpAGcAaQBiAGwAZQAgAHIAZQBuAGUAdwBhAGIAbABlACAAZQBuAGUAcgBnAHkAIABjAGUAcgB0AGkAZgBpAGMAYQB0AGUAcwAgAHYAbwBsAHUAbgB0AGEAcgBpAGwAeQAgAHMAdQByAHIAZQBuAGQAZQByAGUAZABcAG4AUgBFAEMAXwBvAG4AcwBpAHQAZQAgAD0AIABlAGwAaQBnAGkAYgBsAGUAIAByAGUAbgBlAHcAYQBiAGwAZQAgAGUAbgBlAHIAZwB5ACAAYwBlAHIAdABpAGYAaQBjAGEAdABlAHMAIABpAHMAcwB1AGUAZAAgAGYAbwByACAAbwBuAHMAaQB0AGUAIABnAGUAbgBlAHIAYQB0AGUAZAAgAGUAbABlAGMAdAByAGkAYwBpAHQAeQBcAG4ARQBGAF8AUgBNAEYAMwBlAGwAZQBjACAAPQAgAHMAYwBvAHAAZQAgADMAIAByAGUAcwBpAGQAdQBhAGwAIABtAGkAeAAgAGUAbQBpAHMAcwBpAG8AbgAgAGYAYQBjAHQAbwByACAAZgBvAHIAIABlAGwAZQBjAHQAcgBpAGMAaQB0AHkAXABuAC0ALQAtAC0ALQAtAC0ALQAtAC0ALQAtAC0ALQAtAC0ALQAtAC0ALQAtAC0ALQAtAC0ALQAtAC0ALQAtAC0ALQAtAC0ALQAtAC0ALQBcAG4AKgAvAFwAbgBcAG4AVgBFAEUAUgBHAF8AMQA1AF8AMQAyAF8AMQBfADIAXwBfADEAXwBVAHAAcwB0AHIAZQBhAG0AUAB1AHIAYwBoAGEAcwBlAGQARQBsAGUAYwB0AHIAaQBjAGkAdAB5AE0AYQByAGsAZQB0AEIAYQBzAGUAZA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tADMAKQApACAAKgAgAEUARgBfAFIATQBGADMAZQBsAGUAYwAgACoAIAAxADAAIABeACAALQAzAFwAbgAgACAAKQA7AFwAbgBcAG4AVgBFAEUAUgBHAF8AMQA1AF8AMQAyAF8AMQBfADIAXwBfADEAXwBVAHAAcwB0AHIAZQBhAG0AUAB1AHIAYwBoAGEAcwBlAGQARQBsAGUAYwB0AHIAaQBjAGkAdAB5AE0AYQByAGsAZQB0AEIAYQBzAGUAZABWAGEAcgBpAGEAdABpAG8AbgBcAG4AIAAgAD0ATABBAE0AQgBEAEEAKABcAG4AIAAgACAAIABRAF8AZQBsAGUAYwAsACAAUgBQAFAALAAgAEoAUgBQAFAALAAgAFIARQBDAF8AcwB1AHIAcgBlAG4AZABlAHIAZQBkACwAIABSAEUAQwBfAG8AbgBzAGkAdABlACwAIABFAEYAXwBSAE0ARgAzAGUAbABlAGMALABcAG4AIAAgACAAIAAoACgAUQBfAGUAbABlAGMAIAAqACAAKAAxACAALQAgACgAUgBQAFAAIAArACAASgBSAFAAUAApACkAKQAgAC0AIAAoACgAUgBFAEMAXwBzAHUAcgByAGUAbgBkAGUAcgBlAGQAIAAtACAAUgBFAEMAXwBvAG4AcwBpAHQAZQApACAAKgAgADEAMAAgAF4AIAAzACkAKQAgACoAIABFAEYAXwBSAE0ARgAzAGUAbABlAGMAIAAqACAAMQAwACAAXgAgAC0AMwBcAG4AIAAgACkAOwBcAG4AXABuAFYARQBFAFIARwBfADEANQBfADEAMgBfADEAXwAyAF8AXwAxAF8AVQBwAHMAdAByAGUAYQBtAFAAdQByAGMAaABhAHMAZQBkAEUAbABlAGMAdAByAGkAYwBpAHQAeQBNAGEAcgBrAGUAdABCAGEAcwBlAGQAXwBUAGkAdABsAGUAXABuACAAIAA9AEwAQQBNAEIARABBACgAXAAiAFMAYwBvAHAAZQAgADMAIABlAG0AaQBzAHMAaQBvAG4AcwAgAGYAcgBvAG0AIABwAHUAcgBjAGgAYQBzAGUAZAAgAGUAbABlAGMAdAByAGkAYwBpAHQAeQAgAG0AYQByAGsAZQB0ACAAYgBhAHMAZQBkAFwAIgApADsAXABuAFwAbgBWAEUARQBSAEcAXwAxADUAXwAxADIAXwAxAF8AMgBfAF8AMQBfAFUAcABzAHQAcgBlAGEAbQBQAHUAcgBjAGgAYQBzAGUAZABFAGwAZQBjAHQAcgBpAGMAaQB0AHkATQBhAHIAawBlAHQAQgBhAHMAZQBkAF8AVgBhAHIAaQBhAGIAbABlAFwAbgAgACAAPQBMAEEATQBCAEQAQQAoAFwAIgBFAF8AMwBlAGwAZQBjAFwAIgApADsAXABuAFwAbgBWAEUARQBSAEcAXwAxADUAXwAxADIAXwAxAF8AMgBfAF8AMQBfAFUAcABzAHQAcgBlAGEAbQBQAHUAcgBjAGgAYQBzAGUAZABFAGwAZQBjAHQAcgBpAGMAaQB0AHkATQBhAHIAawBlAHQAQgBhAHMAZQBkAF8AVQBuAGkAdABcAG4AIAAgAD0ATABBAE0AQgBEAEEAKABcACIAdAAgAEMATwAyAGUAXAAiACkAOwBcAG4AXABuAFYARQBFAFIARwBfADEANQBfADEAMgBfADEAXwAyAF8AXwAxAF8AVQBwAHMAdAByAGUAYQBtAFAAdQByAGMAaABhAHMAZQBkAEUAbABlAGMAdAByAGkAYwBpAHQAeQBNAGEAcgBrAGUAdABCAGEAcwBlAGQAXwBTAG8AdQByAGMAZQBcAG4AIAAgAD0ATABBAE0AQgBEAEEAKABcACIAVgBFAEUAUgBHACAAMgAwADIANgA6ACAAMQA1AC4AMQAyAC4AMQAuADIALAAgAEUAcQB1AGEAdABpAG8AbgAgACgAMQApAFwAIgApADsAXABuAFwAbgBWAEUARQBSAEcAXwAxADUAXwAxADIAXwAxAF8AMgBfAF8AMQBfAFUAcABzAHQAcgBlAGEAbQBQAHUAcgBjAGgAYQBzAGUAZABFAGwAZQBjAHQAcgBpAGMAaQB0AHkATQBhAHIAawBlAHQAQgBhAHMAZQBkAF8ATgBJAFIAUgBlAGYAZQByAGUAbgBjAGUAXABuACAAIAA9AEwAQQBNAEIARABBACgAXAAiAFwAIgApADsAXABuAFwAbgBWAEUARQBSAEcAXwAxADUAXwAxADIAXwAxAF8AMgBfAF8AMQBfAFUAcABzAHQAcgBlAGEAbQBQAHUAcgBjAGgAYQBzAGUAZABFAGwAZQBjAHQAcgBpAGMAaQB0AHkATQBhAHIAawBlAHQAQgBhAHMAZQBkAF8ATABhAHQAZQB4AEUAcQB1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t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MAGEAdABlAHgARQBxAHUAYQB0AGkAbwBuAFYAYQByAGk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DMAfQBcAFwAcgBpAGcAaAB0ACkAXABcAHIAaQBnAGgAdABdAFwAXAB0AGkAbQBlAHMAIABFAEYAXwB7AFIATQBGADMALABlAGwAZQBjAH0AXABcAHQAaQBtAGUAcwAgADEAMABeAHsALQAzAH0AXAAiACkAOwBcAG4AXABuAFYARQBFAFIARwBfADEANQBfADEAMgBfADEAXwAyAF8AXwAxAF8AVQBwAHMAdAByAGUAYQBtAFAAdQByAGMAaABhAHMAZQBkAEUAbABlAGMAdAByAGkAYwBpAHQAeQBNAGEAcgBrAGUAdABCAGEAcwBlAGQ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yAGUAbgBlAHcAYQBiAGwAZQAgAHAAbwB3AGUAcgAgAHAAZQByAGMAZQBuAHQAYQBnAGUAIAB1AG4AZABlAHIAIABMAFIARQBUACAAZgBvAHIAIAB0AGgAZQAgAGEAcABwAGwAaQBjAGEAYgBsAGUAIABwAGUAcgBpAG8AZABcACIALAAgAFwAIgBmAHIAYQBjAHQAaQBvAG4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XAAiACwAIABcACIAZgByAGEAYwB0AGkAbwBuAFwAIgAsACAAXAAiAEkAbgBwAHUAdABcACIAOwBcAG4AIAAgACAAIAAgACAAIAAgACAAIABcACIAUgBFAEMAXwBzAHUAcgByAGUAbgBkAGUAcgBlAGQAXAAiACwAIABcACIAZQBsAGkAZwBpAGIAbABlACAAcgBlAG4AZQB3AGEAYgBsAGUAIABlAG4AZQByAGcAeQAgAGMAZQByAHQAaQBmAGkAYwBhAHQAZQBzACAAdgBvAGwAdQBuAHQAYQByAGkAbAB5ACAAcwB1AHIAcgBlAG4AZABlAHIAZQBkAFwAIgAsACAAXAAiAE0AVwBoAFwAIgAsACAAXAAiAEkAbgBwAHUAdABcACIAOwBcAG4AIAAgACAAIAAgACAAIAAgACAAIABcACIAUgBFAEMAXwBvAG4AcwBpAHQAZQBcACIALAAgAFwAIgBlAGwAaQBnAGkAYgBsAGUAIAByAGUAbgBlAHcAYQBiAGwAZQAgAGUAbgBlAHIAZwB5ACAAYwBlAHIAdABpAGYAaQBjAGEAdABlAHMAIABpAHMAcwB1AGUAZAAgAGYAbwByACAAbwBuAHMAaQB0AGUAIABnAGUAbgBlAHIAYQB0AGUAZAAgAGUAbABlAGMAdAByAGkAYwBpAHQAeQBcACIALAAgAFwAIgBNAFcAaABcACIALAAgAFwAIgBJAG4AcAB1AHQAXAAiADsAXABuACAAIAAgACAAIAAgACAAIAAgACAAXAAiAEUARgBfAFIATQBGADMAZQBsAGUAYwBcACIALAAgAFwAIgBzAGMAbwBwAGUAIAAzACAAcgBlAHMAaQBkAHUAYQBsACAAbQBpAHgAIABlAG0AaQBzAHMAaQBvAG4AIABmAGEAYwB0AG8AcgAgAGYAbwByACAAZQBsAGUAYwB0AHIAaQBjAGkAdAB5AFwAIgAsACAAXAAiAGsAZwAgAEMATwAyAGUALwBrAFcAaA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EANQBfADEAMgBfADEAXwAyAF8AXwAxAF8AVQBwAHMAdAByAGUAYQBtAFAAdQByAGMAaABhAHMAZQBkAEUAbABlAGMAdAByAGkAYwBpAHQAeQBNAGEAcgBrAGUAdABCAGEAcwBlAGQAXwBWAGEAcgBpAGEAdABpAG8AbgBcAG4AIAAgAD0ATABBAE0AQgBEAEEAKABcACIAVgBBAFIASQBBAFQASQBPAE4AIABPAE4AIABTAE8AVQBSAEMARQA6ACAASQBuACAAbwByAGQAZQByACAAdABvACAAYwBvAG4AdgBlAHIAdAAgAG0AZQBnAGEAdwBhAHQAdAAgAGgAbwB1AHIAcwAgAHQAbwAgAGsAaQBsAG8AdwBhAHQAdAAgAGgAbwB1AHIAcwAsACAAdABoAGUAIABSAEUAQwBfAHMAdQByAHIAZQBuAGQAZQByAGUAZAAgAGEAbgBkACAAUgBFAEMAXwBvAG4AcwBpAHQAZQAgAHYAYQByAGkAYQBiAGwAZQBzACAAYQByAGUAIABtAHUAbAB0AGkAcABsAGkAZQBkACAAYgB5ACAAMQAwAF4AMwAgAGkAbgBzAHQAZQBhAGQAIABvAGYAIAAxADAAXgAtADMALgBcACIAKQA7AFwAbgBcAG4ALwAqAFwAbgAtAC0ALQAtAC0ALQAtAC0ALQAtAC0ALQAtAC0ALQAtAC0ALQAtAC0ALQAtAC0ALQAtAC0ALQAtAC0ALQAtAC0ALQAtAC0ALQAtAC0AXABuAFYARQBFAFIARwBfADEANQBfADEAMwBfADEAXwAxAF8AXwAxAF8ARQBtAGkAcwBzAGkAbwBuAHMARgByAG8AbQBNAGEAbgB1AHIAZQBTAGUAbgB0AE8AZgBmAFMAaQB0AGUAXABuAEUAbQBpAHMAcwBpAG8AbgBzACAAZgByAG8AbQAgAG0AYQBuAHUAcgBlACAAcwBlAG4AdAAgAG8AZgBmACAAcwBpAHQAZQAgAGEAcABwAGwAaQBlAGQAIAB0AG8AIABzAG8AaQBsAHMAIABpAG4AIABhAG4AbwB0AGgAZQByACAAZgBhAHIAbQBpAG4AZwAgAHMAeQBzAHQAZQBtACAAbwByACAAZQBuAHQAZQByAHAAcgBpAHMAZQBcAG4ARQBcAG4AdAAgAE4AMgBPAFwAbgBFAD0ARQBfAHsATgAyAE8AfQArAEUAXwB7AGEAZAB9ACsARQBfAHsAbABlAGEAYwBoAH0AXABuAEUAXwBOADIATwAgAD0AIABkAGkAcgBlAGMAdAAgAG4AaQB0AHIAbwB1AHMAIABvAHgAaQBkAGUAIABlAG0AaQBzAHMAaQBvAG4AcwAgAGYAcgBvAG0AIABhAHAAcABsAGkAYwBhAHQAaQBvAG4AIABvAGYAIABtAGEAbgB1AHIAZQAgAHQAbwAgAHMAbwBpAGwAcwAgAG8AdQB0AHMAaQBkAGUAIABvAGYAIABzAGMAbwBwAGUAIAAxACAAYgBvAHUAbgBkAGEAcgB5AFwAbgBFAF8AYQBkACAAPQAgAG4AaQB0AHIAbwB1AHMAIABvAHgAaQBkAGUAIABlAG0AaQBzAHMAaQBvAG4AcwAgAGYAcgBvAG0AIABhAHQAbQBvAHMAcABoAGUAcgBpAGMAIABkAGUAcABvAHMAaQB0AGkAbwBuACAAbwBmACAAbQBhAG4AdQByAGUAIAB0AG8AIABzAG8AaQBsAHMAXABuAEUAXwBsAGUAYQBjAGgAIAA9ACAAbgBpAHQAcgBvAHUAcwAgAG8AeABpAGQAZQAgAGUAbQBpAHMAcwBpAG8AbgBzACAAZgByAG8AbQAgAG4AaQB0AHIAbwBnAGUAbgAgAGwAZQBhAGMAaABpAG4AZwAgAGEAbgBkACAAcgB1AG4AbwBmAGYAIABvAGYAIABtAGEAbgB1AHIAZQAgAHQAbwAgAHMAbwBpAGwAcwBcAG4ALQAtAC0ALQAtAC0ALQAtAC0ALQAtAC0ALQAtAC0ALQAtAC0ALQAtAC0ALQAtAC0ALQAtAC0ALQAtAC0ALQAtAC0ALQAtAC0ALQAtAFwAbgAqAC8AXABuAFwAbgBWAEUARQBSAEcAXwAxADUAXwAxADMAXwAxAF8AMQBfAF8AMQBfAEUAbQBpAHMAcwBpAG8AbgBzAEYAcgBvAG0ATQBhAG4AdQByAGUAUwBlAG4AdABPAGYAZgBTAGkAdABlAFwAbgAgACAAPQBMAEEATQBCAEQAQQAoAFwAbgAgACAAIAAgAEUAXwBOADIATwAsACAARQBfAGEAZAAsACAARQBfAGwAZQBhAGMAaAAsAFwAbgAgACAAIAAgAEUAXwBOADIATwAgACsAIABFAF8AYQBkACAAKwAgAEUAXwBsAGUAYQBjAGgAXABuACAAIAApADsAXABuAFwAbgBWAEUARQBSAEcAXwAxADUAXwAxADMAXwAxAF8AMQBfAF8AMQBfAEUAbQBpAHMAcwBpAG8AbgBzAEYAcgBvAG0ATQBhAG4AdQByAGUAUwBlAG4AdABPAGYAZgBTAGkAdABlAF8AVABpAHQAbABlAFwAbgAgACAAPQBMAEEATQBCAEQAQQAoAFwAIgBFAG0AaQBzAHMAaQBvAG4AcwAgAGYAcgBvAG0AIABtAGEAbgB1AHIAZQAgAHMAZQBuAHQAIABvAGYAZgAgAHMAaQB0AGUAIABhAHAAcABsAGkAZQBkACAAdABvACAAcwBvAGkAbABzACAAaQBuACAAYQBuAG8AdABoAGUAcgAgAGYAYQByAG0AaQBuAGcAIABzAHkAcwB0AGUAbQAgAG8AcgAgAGUAbgB0AGUAcgBwAHIAaQBzAGUAXAAiACkAOwBcAG4AXABuAFYARQBFAFIARwBfADEANQBfADEAMwBfADEAXwAxAF8AXwAxAF8ARQBtAGkAcwBzAGkAbwBuAHMARgByAG8AbQBNAGEAbgB1AHIAZQBTAGUAbgB0AE8AZgBmAFMAaQB0AGUAXwBWAGEAcgBpAGEAYgBsAGUAXABuACAAIAA9AEwAQQBNAEIARABBACgAXAAiAEUAXAAiACkAOwBcAG4AXABuAFYARQBFAFIARwBfADEANQBfADEAMwBfADEAXwAxAF8AXwAxAF8ARQBtAGkAcwBzAGkAbwBuAHMARgByAG8AbQBNAGEAbgB1AHIAZQBTAGUAbgB0AE8AZgBmAFMAaQB0AGUAXwBVAG4AaQB0AFwAbgAgACAAPQBMAEEATQBCAEQAQQAoAFwAIgB0ACAATgAyAE8AXAAiACkAOwBcAG4AXABuAFYARQBFAFIARwBfADEANQBfADEAMwBfADEAXwAxAF8AXwAxAF8ARQBtAGkAcwBzAGkAbwBuAHMARgByAG8AbQBNAGEAbgB1AHIAZQBTAGUAbgB0AE8AZgBmAFMAaQB0AGUAXwBTAG8AdQByAGMAZQBcAG4AIAAgAD0ATABBAE0AQgBEAEEAKABcACIAVgBFAEUAUgBHACAAMgAwADIANgA6ACAAMQA1AC4AMQAzAC4AMQAuADEALAAgAEUAcQB1AGEAdABpAG8AbgAgACgAMQApAFwAIgApADsAXABuAFwAbgBWAEUARQBSAEcAXwAxADUAXwAxADMAXwAxAF8AMQBfAF8AMQBfAEUAbQBpAHMAcwBpAG8AbgBzAEYAcgBvAG0ATQBhAG4AdQByAGUAUwBlAG4AdABPAGYAZgBTAGkAdABlAF8ATgBJAFIAUgBlAGYAZQByAGUAbgBjAGUAXABuACAAIAA9AEwAQQBNAEIARABBACgAXAAiAFwAIgApADsAXABuAFwAbgBWAEUARQBSAEcAXwAxADUAXwAxADMAXwAxAF8AMQBfAF8AMQBfAEUAbQBpAHMAcwBpAG8AbgBzAEYAcgBvAG0ATQBhAG4AdQByAGUAUwBlAG4AdABPAGYAZgBTAGkAdABlAF8ATABhAHQAZQB4AEUAcQB1AGEAdABpAG8AbgBcAG4AIAAgAD0ATABBAE0AQgBEAEEAKABcACIARQA9AEUAXwB7AE4AMgBPAH0AKwBFAF8AewBhAGQAfQArAEUAXwB7AGwAZQBhAGMAaAB9AFwAIgApADsAXABuAFwAbgBWAEUARQBSAEcAXwAxADUAXwAxADMAXwAxAF8AMQBfAF8AMQBfAEUAbQBpAHMAcwBpAG8AbgBzAEYAcgBvAG0ATQBhAG4AdQByAGUAUwBlAG4AdABPAGYAZgBTAGkAdABlAF8AQQByAGcAdQBtAGUAbgB0AHMAXABuACAAIAA9AEwAQQBNAEIARABBACgAXABuACAAIAAgACAATQBBAEsARQBBAFIAUgBBAFkAKAAzACwAIAA0ACwAXABuACAAIAAgACAAIAAgAEwAQQBNAEIARABBACgAcgAsAGMALABcAG4AIAAgACAAIAAgACAAIAAgAEkATgBEAEUAWAAoAHsAXABuACAAIAAgACAAIAAgACAAIAAgACAAXAAiAEUAXwBOADIATwBcACIALAAgAFwAIgBkAGkAcgBlAGMAdAAgAG4AaQB0AHIAbwB1AHMAIABvAHgAaQBkAGUAIABlAG0AaQBzAHMAaQBvAG4AcwAgAGYAcgBvAG0AIABhAHAAcABsAGkAYwBhAHQAaQBvAG4AIABvAGYAIABtAGEAbgB1AHIAZQAgAHQAbwAgAHMAbwBpAGwAcwAgAG8AdQB0AHMAaQBkAGUAIABvAGYAIABzAGMAbwBwAGUAIAAxACAAYgBvAHUAbgBkAGEAcgB5AFwAIgAsACAAXAAiAHQAIABOADIATwBcACIALAAgAFwAIgBDAGEAbABjAHUAbABhAHQAZQBkAFwAIgA7AFwAbgAgACAAIAAgACAAIAAgACAAIAAgAFwAIgBFAF8AYQBkAFwAIgAsACAAXAAiAG4AaQB0AHIAbwB1AHMAIABvAHgAaQBkAGUAIABlAG0AaQBzAHMAaQBvAG4AcwAgAGYAcgBvAG0AIABhAHQAbQBvAHMAcABoAGUAcgBpAGMAIABkAGUAcABvAHMAaQB0AGkAbwBuACAAbwBmACAAbQBhAG4AdQByAGUAIAB0AG8AIABzAG8AaQBsAHMAXAAiACwAIABcACIAdAAgAE4AMgBPAFwAIgAsACAAXAAiAEMAYQBsAGMAdQBsAGEAdABlAGQAXAAiADsAXABuACAAIAAgACAAIAAgACAAIAAgACAAXAAiAEUAXwBsAGUAYQBjAGgAXAAiACwAIABcACIAbgBpAHQAcgBvAHUAcwAgAG8AeABpAGQAZQAgAGUAbQBpAHMAcwBpAG8AbgBzACAAZgByAG8AbQAgAG4AaQB0AHIAbwBnAGUAbgAgAGwAZQBhAGMAaABpAG4AZwAgAGEAbgBkACAAcgB1AG4AbwBmAGYAIABvAGYAIABtAGEAbgB1AHIAZQAgAHQAbwAgAHMAbwBpAGwAcwBcACIALAAgAFwAIgB0ACAATgAyAE8AXAAiACwAIABcACIAQwBhAGwAYwB1AGwAYQB0AGUAZABcACIAXABuACAAIAAgACAAIAAgACAAIAB9ACwAIAByACwAIABjACkAXABuACAAIAAgACAAIAAgACkAXABuACAAIAAgACAAKQBcAG4AIAAgACkAOwBcAG4AXABuAFwAbgAvACoAXABuAC0ALQAtAC0ALQAtAC0ALQAtAC0ALQAtAC0ALQAtAC0ALQAtAC0ALQAtAC0ALQAtAC0ALQAtAC0ALQAtAC0ALQAtAC0ALQAtAC0ALQBcAG4AVgBFAEUAUgBHAF8AMQA1AF8AMQAzAF8AMQBfADMAXwBfADEAXwBFAG0AaQBzAHMAaQBvAG4AcwBGAHIAbwBtAFMAbwBsAGkAZABXAGEAcwB0AGUAVAByAGUAYQB0AG0AZQBuAHQARgBhAGMAaQBsAGkAdAB5AFwAbgAtAC0ALQAtAC0ALQAtAC0ALQAtAC0ALQAtAC0ALQAtAC0ALQAtAC0ALQAtAC0ALQAtAC0ALQAtAC0ALQAtAC0ALQAtAC0ALQAtAC0AXABuACoALwBcAG4AXABuAFYARQBFAFIARwBfADEANQBfADEAMwBfADEAXwAzAF8AXwAxAF8ARQBtAGkAcwBzAGkAbwBuAHMARgByAG8AbQBTAG8AbABpAGQAVwBhAHMAdABlAFQAcgBlAGEAdABtAGUAbgB0AEYAYQBjAGkAbABpAHQAeQBcAG4AIAAgAD0ATABBAE0AQgBEAEEAKABcAG4AIAAgACAAIABFAF8ATgAyAE8ALAAgAEUAXwBhAGQALAAgAEUAXwBsAGUAYQBjAGgALABcAG4AIAAgACAAIABFAF8ATgAyAE8AIAArACAARQBfAGEAZAAgACsAIABFAF8AbABlAGEAYwBoAFwAbgAgACAAKQA7AFwAbgBcAG4AVgBFAEUAUgBHAF8AMQA1AF8AMQAzAF8AMQBfADMAXwBfADEAXwBFAG0AaQBzAHMAaQBvAG4AcwBGAHIAbwBtAFMAbwBsAGkAZABXAGEAcwB0AGUAVAByAGUAYQB0AG0AZQBuAHQARgBhAGMAaQBsAGkAdAB5AF8AVABpAHQAbABlAFwAbgAgACAAPQBMAEEATQBCAEQAQQAoAFwAIgBFAG0AaQBzAHMAaQBvAG4AcwAgAGYAcgBvAG0AIABzAG8AbABpAGQAIAB3AGEAcwB0AGUAIABzAGUAbgB0ACAAdABvACAAYQAgAHQAcgBlAGEAdABtAGUAbgB0ACAAZgBhAGMAaQBsAGkAdAB5AFwAIgApADsAXABuAFwAbgBWAEUARQBSAEcAXwAxADUAXwAxADMAXwAxAF8AMwBfAF8AMQBfAEUAbQBpAHMAcwBpAG8AbgBzAEYAcgBvAG0AUwBvAGwAaQBkAFcAYQBzAHQAZQBUAHIAZQBhAHQAbQBlAG4AdABGAGEAYwBpAGwAaQB0AHkAXwBWAGEAcgBpAGEAYgBsAGUAXABuACAAIAA9AEwAQQBNAEIARABBACgAXAAiAEUAXAAiACkAOwBcAG4AXABuAFYARQBFAFIARwBfADEANQBfADEAMwBfADEAXwAzAF8AXwAxAF8ARQBtAGkAcwBzAGkAbwBuAHMARgByAG8AbQBTAG8AbABpAGQAVwBhAHMAdABlAFQAcgBlAGEAdABtAGUAbgB0AEYAYQBjAGkAbABpAHQAeQBfAFUAbgBpAHQAXABuACAAIAA9AEwAQQBNAEIARABBACgAXAAiAHQAIABDAE8AMgBlAFwAIgApADsAXABuAFwAbgBWAEUARQBSAEcAXwAxADUAXwAxADMAXwAxAF8AMwBfAF8AMQBfAEUAbQBpAHMAcwBpAG8AbgBzAEYAcgBvAG0AUwBvAGwAaQBkAFcAYQBzAHQAZQBUAHIAZQBhAHQAbQBlAG4AdABGAGEAYwBpAGwAaQB0AHkAXwBTAG8AdQByAGMAZQBcAG4AIAAgAD0ATABBAE0AQgBEAEEAKABcACIAVgBFAEUAUgBHACAAMgAwADIANgA6ACAAMQA1AC4AMQAzAC4AMQAuADMAXAAiACkAOwBcAG4AXABuAFYARQBFAFIARwBfADEANQBfADEAMwBfADEAXwAzAF8AXwAxAF8ARQBtAGkAcwBzAGkAbwBuAHMARgByAG8AbQBTAG8AbABpAGQAVwBhAHMAdABlAFQAcgBlAGEAdABtAGUAbgB0AEYAYQBjAGkAbABpAHQAeQBfAE4ASQBSAFIAZQBmAGUAcgBlAG4AYwBlAFwAbgAgACAAPQBMAEEATQBCAEQAQQAoAFwAIgBcACIAKQA7AFwAbgBcAG4AVgBFAEUAUgBHAF8AMQA1AF8AMQAzAF8AMQBfADMAXwBfADEAXwBFAG0AaQBzAHMAaQBvAG4AcwBGAHIAbwBtAFMAbwBsAGkAZABXAGEAcwB0AGUAVAByAGUAYQB0AG0AZQBuAHQARgBhAGMAaQBsAGkAdAB5AF8ATABhAHQAZQB4AEUAcQB1AGEAdABpAG8AbgBcAG4AIAAgAD0ATABBAE0AQgBEAEEAKABcACIAXAAiACkAOwBcAG4AXABuAFYARQBFAFIARwBfADEANQBfADEAMwBfADEAXwAzAF8AXwAxAF8ARQBtAGkAcwBzAGkAbwBuAHMARgByAG8AbQBTAG8AbABpAGQAVwBhAHMAdABlAFQAcgBlAGEAdABtAGUAbgB0AEYAYQBjAGkAbABpAHQAeQBfAEEAcgBnAHUAbQBlAG4AdABzAFwAbgAgACAAPQBMAEEATQBCAEQAQQAoAFwAIgBcACIAKQA7AFwAbgBcAG4AXABuAC8AKgBcAG4ALQAtAC0ALQAtAC0ALQAtAC0ALQAtAC0ALQAtAC0ALQAtAC0ALQAtAC0ALQAtAC0ALQAtAC0ALQAtAC0ALQAtAC0ALQAtAC0ALQAtAFwAbgBWAEUARQBSAEcAXwAxADUAXwAxADQAXwAxAF8AMQBfAF8AMQBfAEUAbQBiAGUAZABkAGUAZABFAG0AaQBzAHMAaQBvAG4AcwBGAHIAbwBtAFUAcABzAHQAcgBlAGEAbQBGAHIAZQBpAGcAaAB0AFwAbgBFAG0AYgBlAGQAZABlAGQAIABlAG0AaQBzAHMAaQBvAG4AcwAgAGYAcgBvAG0AIAB1AHAAcwB0AHIAZQBhAG0AIABmAHIAZQBpAGcAaAB0AFwAbgBFAFwAbgB0ACAAQwBPADIAZQBcAG4ARQA9AFwAXABzAHUAbQBcAFwAbgBvAGwAaQBtAGkAdABzAF8AZgBcAFwAbABlAGYAdAAoACgAVwBfAGYAXABcAHQAaQBtAGUAcwAgAEQAXwBmACkAXABcAHQAaQBtAGUAcwAgAEUARgBfAGYAXABcAHIAaQBnAGgAdAApAFwAbgBXAF8AZgAgAD0AIAB0AG8AdABhAGwAIABtAGEAcwBzACAAbwBmACAAZwBvAG8AZABzACAAdAByAGEAbgBzAHAAbwByAHQAZQBkACAAcABlAHIAIABmAHIAZQBpAGcAaAB0ACAAdAB5AHAAZQAgAGYAXABuAEQAXwBmACAAPQAgAHQAbwB0AGEAbAAgAGQAaQBzAHQAYQBuAGMAZQAgAHQAcgBhAG4AcwBwAG8AcgB0AGUAZAAgAHAAZQByACAAZgByAGUAaQBnAGgAdAAgAHQAeQBwAGUAIABmAFwAbgBFAEYAXwBmACAAPQAgAGUAbQBpAHMAcwBpAG8AbgAgAGYAYQBjAHQAbwByACAAZgBvAHIAIABmAHIAZQBpAGcAaAB0ACAAdAB5AHAAZQAgAGYAXABuAC0ALQAtAC0ALQAtAC0ALQAtAC0ALQAtAC0ALQAtAC0ALQAtAC0ALQAtAC0ALQAtAC0ALQAtAC0ALQAtAC0ALQAtAC0ALQAtAC0ALQBcAG4AKgAvAFwAbgBcAG4AVgBFAEUAUgBHAF8AMQA1AF8AMQA0AF8AMQBfADEAXwBfADEAXwBFAG0AYgBlAGQAZABlAGQARQBtAGkAcwBzAGkAbwBuAHMARgByAG8AbQBVAHAAcwB0AHIAZQBhAG0ARgByAGUAaQBnAGgAdABcAG4AIAAgAD0ATABBAE0AQgBEAEEAKABcAG4AIAAgACAAIABXAF8AZgAsACAARABfAGYALAAgAEUARgBfAGYALABcAG4AIAAgACAAIAAoAFcAXwBmACAAKgAgAEQAXwBmACkAIAAqACAARQBGAF8AZgBcAG4AIAAgACkAOwBcAG4AXABuAFYARQBFAFIARwBfADEANQBfADEANABfADEAXwAxAF8AXwAxAF8ARQBtAGIAZQBkAGQAZQBkAEUAbQBpAHMAcwBpAG8AbgBzAEYAcgBvAG0AVQBwAHMAdAByAGUAYQBtAEYAcgBlAGkAZwBoAHQAXwBUAGkAdABsAGUAXABuACAAIAA9AEwAQQBNAEIARABBACgAXAAiAEUAbQBiAGUAZABkAGUAZAAgAGUAbQBpAHMAcwBpAG8AbgBzACAAZgByAG8AbQAgAHUAcABzAHQAcgBlAGEAbQAgAGYAcgBlAGkAZwBoAHQAXAAiACkAOwBcAG4AXABuAFYARQBFAFIARwBfADEANQBfADEANABfADEAXwAxAF8AXwAxAF8ARQBtAGIAZQBkAGQAZQBkAEUAbQBpAHMAcwBpAG8AbgBzAEYAcgBvAG0AVQBwAHMAdAByAGUAYQBtAEYAcgBlAGkAZwBoAHQAXwBWAGEAcgBpAGEAYgBsAGUAXABuACAAIAA9AEwAQQBNAEIARABBACgAXAAiAEUAXAAiACkAOwBcAG4AXABuAFYARQBFAFIARwBfADEANQBfADEANABfADEAXwAxAF8AXwAxAF8ARQBtAGIAZQBkAGQAZQBkAEUAbQBpAHMAcwBpAG8AbgBzAEYAcgBvAG0AVQBwAHMAdAByAGUAYQBtAEYAcgBlAGkAZwBoAHQAXwBVAG4AaQB0AFwAbgAgACAAPQBMAEEATQBCAEQAQQAoAFwAIgB0ACAAQwBPADIAZQBcACIAKQA7AFwAbgBcAG4AVgBFAEUAUgBHAF8AMQA1AF8AMQA0AF8AMQBfADEAXwBfADEAXwBFAG0AYgBlAGQAZABlAGQARQBtAGkAcwBzAGkAbwBuAHMARgByAG8AbQBVAHAAcwB0AHIAZQBhAG0ARgByAGUAaQBnAGgAdABfAFMAbwB1AHIAYwBlAFwAbgAgACAAPQBMAEEATQBCAEQAQQAoAFwAIgBWAEUARQBSAEcAIAAyADAAMgA2ADoAIAAxADUALgAxADQALgAxAC4AMQAsACAARQBxAHUAYQB0AGkAbwBuACAAKAAxACkAXAAiACkAOwBcAG4AXABuAFYARQBFAFIARwBfADEANQBfADEANABfADEAXwAxAF8AXwAxAF8ARQBtAGIAZQBkAGQAZQBkAEUAbQBpAHMAcwBpAG8AbgBzAEYAcgBvAG0AVQBwAHMAdAByAGUAYQBtAEYAcgBlAGkAZwBoAHQAXwBOAEkAUgBSAGUAZgBlAHIAZQBuAGMAZQBcAG4AIAAgAD0ATABBAE0AQgBEAEEAKABcACIAXAAiACkAOwBcAG4AXABuAFYARQBFAFIARwBfADEANQBfADEANABfADEAXwAxAF8AXwAxAF8ARQBtAGIAZQBkAGQAZQBkAEUAbQBpAHMAcwBpAG8AbgBzAEYAcgBvAG0AVQBwAHMAdAByAGUAYQBtAEYAcgBlAGkAZwBoAHQAXwBMAGEAdABlAHgARQBxAHUAYQB0AGkAbwBuAFwAbgAgACAAPQBMAEEATQBCAEQAQQAoAFwAIgBFAD0AXABcAHMAdQBtAFwAXABuAG8AbABpAG0AaQB0AHMAXwBmAFwAXABsAGUAZgB0ACgAKABXAF8AZgBcAFwAdABpAG0AZQBzACAARABfAGYAKQBcAFwAdABpAG0AZQBzACAARQBGAF8AZgBcAFwAcgBpAGcAaAB0ACkAXAAiACkAOwBcAG4AXABuAFYARQBFAFIARwBfADEANQBfADEANABfADEAXwAxAF8AXwAxAF8ARQBtAGIAZQBkAGQAZQBkAEUAbQBpAHMAcwBpAG8AbgBzAEYAcgBvAG0AVQBwAHMAdAByAGUAYQBtAEYAcgBlAGkAZwBoAHQAXwBBAHIAZwB1AG0AZQBuAHQAcwBcAG4AIAAgAD0ATABBAE0AQgBEAEEAKABcAG4AIAAgACAAIABNAEEASwBFAEEAUgBSAEEAWQAoADQALAAgADQALABcAG4AIAAgACAAIAAgACAATABBAE0AQgBEAEEAKAByACwAYwAsAFwAbgAgACAAIAAgACAAIAAgACAASQBOAEQARQBYACgAewBcAG4AIAAgACAAIAAgACAAIAAgACAAIABcACIAVwBfAGYAXAAiACwAIABcACIAdABvAHQAYQBsACAAbQBhAHMAcwAgAG8AZgAgAGcAbwBvAGQAcwAgAHQAcgBhAG4AcwBwAG8AcgB0AGUAZAAgAHAAZQByACAAZgByAGUAaQBnAGgAdAAgAHQAeQBwAGUAIABmAFwAIgAsACAAXAAiAHQAXAAiACwAIABcACIASQBuAHAAdQB0AFwAIgA7AFwAbgAgACAAIAAgACAAIAAgACAAIAAgAFwAIgBEAF8AZgBcACIALAAgAFwAIgB0AG8AdABhAGwAIABkAGkAcwB0AGEAbgBjAGUAIAB0AHIAYQBuAHMAcABvAHIAdABlAGQAIABwAGUAcgAgAGYAcgBlAGkAZwBoAHQAIAB0AHkAcABlACAAZgBcACIALAAgAFwAIgBrAG0AXAAiACwAIABcACIASQBuAHAAdQB0AFwAIgA7AFwAbgAgACAAIAAgACAAIAAgACAAIAAgAFwAIgBFAEYAXwBmAFwAIgAsACAAXAAiAGUAbQBpAHMAcwBpAG8AbgAgAGYAYQBjAHQAbwByACAAZgBvAHIAIABmAHIAZQBpAGcAaAB0ACAAdAB5AHAAZQAgAGYAXAAiACwAIABcACIAdAAgAEMATwAyAGUALwAoAHQAIABrAG0AKQBcACIALAAgAFwAIgBDAG8AbgBzAHQAYQBuAHQAXAAiADsAXABuACAAIAAgACAAIAAgACAAIAAgACAAXAAiAGYAXAAiACwAIABcACIAZgByAGUAaQBnAGgAdAAgAHQAeQBwAGUAXAAiACwAIABcACIAXAAiACwAIABcACIASQBuAHAAdQB0AFwAIgBcAG4AIAAgACAAIAAgACAAIAAgAH0ALAAgAHIALAAgAGMAKQBcAG4AIAAgACAAIAAgACAAKQBcAG4AIAAgACAAIAApAFwAbgAgACA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IAZQBlAGYAQwBhAHQAdABsAGUAXABuAC0ALQAtAC0ALQAtAC0ALQAtAC0ALQAtAC0ALQAtAC0ALQAtAC0ALQAtAC0ALQAtAC0ALQAtAC0ALQAtAC0ALQAtAC0ALQAtAC0ALQBcAG4AKgAvAFwAbgBcAG4AUwBvAHUAcgBjAGUARABhAHQAYQBfAEwAaQB2AGUAcwB0AG8AYwBrAF8AUAByAG8AZAB1AGMAdABfAEIAZQBlAGYAQwBhAHQAdABsAGUAXwBUAGkAdABsAGUAXABuACAAIAA9AEwAQQBNAEIARABBACgAXAAiAEIAZQBlAGYAIABjAGEAdAB0AGwAZQAgAHAAcgBvAGQAdQBjAHQAcwAgAGYAbwByACAAcwBjAG8AcABlACAAMwBcACIAKQA7AFwAbgBcAG4AUwBvAHUAcgBjAGUARABhAHQAYQBfAEwAaQB2AGUAcwB0AG8AYwBrAF8AUAByAG8AZAB1AGMAdABfAEIAZQBlAGYAQwBhAHQAdABsAGUAXwBWAGEAaQByAGEAYgBsAGUAXABuACAAIAA9AEwAQQBNAEIARABBACgAXAAiAFwAIgApADsAXABuAFwAbgBTAG8AdQByAGMAZQBEAGEAdABhAF8ATABpAHYAZQBzAHQAbwBjAGsAXwBQAHIAbwBkAHUAYwB0AF8AQgBlAGUAZgBDAGEAdAB0AGwAZQBfAFUAbgBpAHQAXABuACAAIAA9AEwAQQBNAEIARABBACgAXAAiAFwAIgApADsAXABuAFwAbgBTAG8AdQByAGMAZQBEAGEAdABhAF8ATABpAHYAZQBzAHQAbwBjAGsAXwBQAHIAbwBkAHUAYwB0AF8AQgBlAGUAZgBD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gBlAGUAZgBDAGEAdAB0AGwAZQBfAEQAYQB0AGEAXABuACAAIAA9AEwAQQBNAEIARABBACgAXABuACAAIAAgACAATQBBAEsARQBBAFIAUgBBAFkAKAA5ACwAIAAyACwAIABcAG4AIAAgACAAIAAgACAATABBAE0AQgBEAEEAKAByACwAYwAsACAAXABuACAAIAAgACAAIAAgACAAIABJAE4ARABFAFgAKAB7AFwAbgAgACAAIAAgACAAIAAgACAAIAAgAFwAIgBQAHIAbwBkAHUAYwB0AFwAIgAsACAAXAAiAFMAbwB1AHIAYwBlACAAcgBlAGcAaQBvAG4AXAAiADsAXABuACAAIAAgACAAIAAgACAAIAAgACAAIAAgAFwAIgBDAGEAdAB0AGwAZQAsACAAZgBvAHIAIABtAGEAbgB1AGYAYQBjAHQAdQByAGkAbgBnACAAYgBlAGUAZgBcACIALAAgAFwAIgBBAHUAcwB0AHIAYQBsAGkAYQBcACIAOwBcAG4AIAAgACAAIAAgACAAIAAgACAAIAAgACAAXAAiAEMAYQB0AHQAbABlACwAIABmAG8AcgAgAHAAcgBpAG0AZQAgAGIAZQBlAGYAXAAiACwAIABcACIATgBTAFcAXAAiADsAXABuACAAIAAgACAAIAAgACAAIAAgACAAIAAgAFwAIgBDAGEAdAB0AGwAZQAsACAAdwBlAGEAbgBlAHIAcwBcACIALAAgAFwAIgBOAFQ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QwBoAGkAYwBrAGUAbgBzAFwAbgAtAC0ALQAtAC0ALQAtAC0ALQAtAC0ALQAtAC0ALQAtAC0ALQAtAC0ALQAtAC0ALQAtAC0ALQAtAC0ALQAtAC0ALQAtAC0ALQAtAC0AXABuACoALwBcAG4AXABuAFMAbwB1AHIAYwBlAEQAYQB0AGEAXwBMAGkAdgBlAHMAdABvAGMAawBfAFAAcgBvAGQAdQBjAHQAXwBDAGgAaQBjAGsAZQBuAHMAXwBUAGkAdABsAGUAXABuACAAIAA9AEwAQQBNAEIARABBACgAXAAiAEMAaABpAGMAawBlAG4AcwAgAHAAcgBvAGQAdQBjAHQAcwAgAGYAbwByACAAcwBjAG8AcABlACAAMwBcACIAKQA7AFwAbgBcAG4AUwBvAHUAcgBjAGUARABhAHQAYQBfAEwAaQB2AGUAcwB0AG8AYwBrAF8AUAByAG8AZAB1AGMAdABfAEMAaABpAGMAawBlAG4AcwBfAFYAYQBpAHIAYQBiAGwAZQBcAG4AIAAgAD0ATABBAE0AQgBEAEEAKABcACIAXAAiACkAOwBcAG4AXABuAFMAbwB1AHIAYwBlAEQAYQB0AGEAXwBMAGkAdgBlAHMAdABvAGMAawBfAFAAcgBvAGQAdQBjAHQAXwBDAGgAaQBjAGsAZQBuAHMAXwBVAG4AaQB0AFwAbgAgACAAPQBMAEEATQBCAEQAQQAoAFwAIgBcACIAKQA7AFwAbgBcAG4AUwBvAHUAcgBjAGUARABhAHQAYQBfAEwAaQB2AGUAcwB0AG8AYwBrAF8AUAByAG8AZAB1AGMAdABfAEMAaABpAGMAawBlAG4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QwBoAGkAYwBrAGUAbg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MAaABpAGMAawBlAG4AcwBcACIALAAgAFwAIgBBAHUAcwB0AHIAYQBsAGkAY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RABhAGkAcgB5AGMAYQB0AHQAbABlAFwAbgAtAC0ALQAtAC0ALQAtAC0ALQAtAC0ALQAtAC0ALQAtAC0ALQAtAC0ALQAtAC0ALQAtAC0ALQAtAC0ALQAtAC0ALQAtAC0ALQAtAC0AXABuACoALwBcAG4AXABuAFMAbwB1AHIAYwBlAEQAYQB0AGEAXwBMAGkAdgBlAHMAdABvAGMAawBfAFAAcgBvAGQAdQBjAHQAXwBEAGEAaQByAHkAYwBhAHQAdABsAGUAXwBUAGkAdABsAGUAXABuACAAIAA9AEwAQQBNAEIARABBACgAXAAiAEQAYQBpAHIAeQAgAGMAYQB0AHQAbABlACAAcAByAG8AZAB1AGMAdABzACAAZgBvAHIAIABzAGMAbwBwAGUAIAAzAFwAIgApADsAXABuAFwAbgBTAG8AdQByAGMAZQBEAGEAdABhAF8ATABpAHYAZQBzAHQAbwBjAGsAXwBQAHIAbwBkAHUAYwB0AF8ARABhAGkAcgB5AGMAYQB0AHQAbABlAF8AVgBhAGkAcgBhAGIAbABlAFwAbgAgACAAPQBMAEEATQBCAEQAQQAoAFwAIgBcACIAKQA7AFwAbgBcAG4AUwBvAHUAcgBjAGUARABhAHQAYQBfAEwAaQB2AGUAcwB0AG8AYwBrAF8AUAByAG8AZAB1AGMAdABfAEQAYQBpAHIAeQBjAGEAdAB0AGwAZQBfAFUAbgBpAHQAXABuACAAIAA9AEwAQQBNAEIARABBACgAXAAiAFwAIgApADsAXABuAFwAbgBTAG8AdQByAGMAZQBEAGEAdABhAF8ATABpAHYAZQBzAHQAbwBjAGsAXwBQAHIAbwBkAHUAYwB0AF8ARABhAGkAcgB5AG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EAGEAaQByAHkAYwBhAHQAdABsAGU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RABhAGkAcgB5ACAAYwBvAHcAcwBcACIALAAgAFwAIgBWAEkAQw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UABpAGcAcwBcAG4ALQAtAC0ALQAtAC0ALQAtAC0ALQAtAC0ALQAtAC0ALQAtAC0ALQAtAC0ALQAtAC0ALQAtAC0ALQAtAC0ALQAtAC0ALQAtAC0ALQAtAFwAbgAqAC8AXABuAFwAbgBTAG8AdQByAGMAZQBEAGEAdABhAF8ATABpAHYAZQBzAHQAbwBjAGsAXwBQAHIAbwBkAHUAYwB0AF8AUABpAGcAcwBfAFQAaQB0AGwAZQBcAG4AIAAgAD0ATABBAE0AQgBEAEEAKABcACIAUABpAGcAcwAgAHAAcgBvAGQAdQBjAHQAcwAgAGYAbwByACAAcwBjAG8AcABlACAAMwBcACIAKQA7AFwAbgBcAG4AUwBvAHUAcgBjAGUARABhAHQAYQBfAEwAaQB2AGUAcwB0AG8AYwBrAF8AUAByAG8AZAB1AGMAdABfAFAAaQBnAHMAXwBWAGEAaQByAGEAYgBsAGUAXABuACAAIAA9AEwAQQBNAEIARABBACgAXAAiAFwAIgApADsAXABuAFwAbgBTAG8AdQByAGMAZQBEAGEAdABhAF8ATABpAHYAZQBzAHQAbwBjAGsAXwBQAHIAbwBkAHUAYwB0AF8AUABpAGcAcwBfAFUAbgBpAHQAXABuACAAIAA9AEwAQQBNAEIARABBACgAXAAiAFwAIgApADsAXABuAFwAbgBTAG8AdQByAGMAZQBEAGEAdABhAF8ATABpAHYAZQBzAHQAbwBjAGsAXwBQAHIAbwBkAHUAYwB0AF8AUABpAGcAcw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ABpAGc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QAGkAZwBzAFwAIgAsACAAXAAiAEEAdQBzAHQAcgBhAGwAaQBh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FMAaABlAGUAcABcAG4ALQAtAC0ALQAtAC0ALQAtAC0ALQAtAC0ALQAtAC0ALQAtAC0ALQAtAC0ALQAtAC0ALQAtAC0ALQAtAC0ALQAtAC0ALQAtAC0ALQAtAFwAbgAqAC8AXABuAFwAbgBTAG8AdQByAGMAZQBEAGEAdABhAF8ATABpAHYAZQBzAHQAbwBjAGsAXwBQAHIAbwBkAHUAYwB0AF8AUwBoAGUAZQBwAF8AVABpAHQAbABlAFwAbgAgACAAPQBMAEEATQBCAEQAQQAoAFwAIgBTAGgAZQBlAHAAIABwAHIAbwBkAHUAYwB0AHMAIABmAG8AcgAgAHMAYwBvAHAAZQAgADMAXAAiACkAOwBcAG4AXABuAFMAbwB1AHIAYwBlAEQAYQB0AGEAXwBMAGkAdgBlAHMAdABvAGMAawBfAFAAcgBvAGQAdQBjAHQAXwBTAGgAZQBlAHAAXwBWAGEAaQByAGEAYgBsAGUAXABuACAAIAA9AEwAQQBNAEIARABBACgAXAAiAFwAIgApADsAXABuAFwAbgBTAG8AdQByAGMAZQBEAGEAdABhAF8ATABpAHYAZQBzAHQAbwBjAGsAXwBQAHIAbwBkAHUAYwB0AF8AUwBoAGUAZQBwAF8AVQBuAGkAdABcAG4AIAAgAD0ATABBAE0AQgBEAEEAKABcACIAXAAiACkAOwBcAG4AXABuAFMAbwB1AHIAYwBlAEQAYQB0AGEAXwBMAGkAdgBlAHMAdABvAGMAawBfAFAAcgBvAGQAdQBjAHQAXwBTAGgAZQBlAHA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MAaABlAGUAcABfAEQAYQB0AGEAXABuACAAIAA9AEwAQQBNAEIARABBACgAXABuACAAIAAgACAATQBBAEsARQBBAFIAUgBBAFkAKAA4ACwAIAAyACwAIABcAG4AIAAgACAAIAAgACAATABBAE0AQgBEAEEAKAByACwAYwAsACAAXABuACAAIAAgACAAIAAgACAAIABJAE4ARABFAFgAKAB7AFwAbgAgACAAIAAgACAAIAAgACAAIAAgAFwAIgBQAHIAbwBkAHUAYwB0AFwAIgAsACAAXAAiAFMAbwB1AHIAYwBlACAAcgBlAGcAaQBvAG4AXAAiADsAXABuACAAIAAgACAAIAAgACAAIAAgACAAIAAgAFwAIgBTAGgAZQBlAHAALAAgAGYAbwByACAAbQB1AHQAdABvAG4AXAAiACwAIABcACIAQQB1AHMAdAByAGEAbABpAGEAXAAiADsAXABuACAAIAAgACAAIAAgACAAIAAgACAAIAAgAFwAIgBTAGgAZQBlAHAALAAgAGYAbwByACAAcAByAGkAbQBlACAAbABhAG0AYgBcACIALAAgAFwAIgBOAFMAVw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fQ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196</vt:i4>
      </vt:variant>
    </vt:vector>
  </HeadingPairs>
  <TitlesOfParts>
    <vt:vector size="234" baseType="lpstr">
      <vt:lpstr>Home</vt:lpstr>
      <vt:lpstr>Results</vt:lpstr>
      <vt:lpstr>Input - Enterprise</vt:lpstr>
      <vt:lpstr>Input - Site</vt:lpstr>
      <vt:lpstr>Input - Crop</vt:lpstr>
      <vt:lpstr>Input - Fert Prod System</vt:lpstr>
      <vt:lpstr>Input - Fertiliser</vt:lpstr>
      <vt:lpstr>Input - Fuel</vt:lpstr>
      <vt:lpstr>Input - Electricity</vt:lpstr>
      <vt:lpstr>Input - Farm Inputs</vt:lpstr>
      <vt:lpstr>Input - Freight</vt:lpstr>
      <vt:lpstr>Input - Manure sent off-site</vt:lpstr>
      <vt:lpstr>5.1.1.1-2 Inorganic fert N2O</vt:lpstr>
      <vt:lpstr>5.1.1.3-4 Inorganic fert CO2</vt:lpstr>
      <vt:lpstr>5.2.1.1-2 Organic Fert N2O</vt:lpstr>
      <vt:lpstr>5.3.1.1-2 Lime CO2</vt:lpstr>
      <vt:lpstr>5.4.1.1-4 Atmos deposition</vt:lpstr>
      <vt:lpstr>5.5.1.1-2 Leaching and runoff</vt:lpstr>
      <vt:lpstr>6.1.1.1-2 Crop residue N2O</vt:lpstr>
      <vt:lpstr>6.3.1.1-2 Leach runoff crop</vt:lpstr>
      <vt:lpstr>6.4.1.1-2 Residue burning</vt:lpstr>
      <vt:lpstr>8.1.1.1-2 Transport fuel</vt:lpstr>
      <vt:lpstr>8.2.1.1-2 Stationary fuel</vt:lpstr>
      <vt:lpstr>14.1.1-2 Purchased electricity</vt:lpstr>
      <vt:lpstr>15 Scope 3</vt:lpstr>
      <vt:lpstr>Calcs - Manure sent off-site</vt:lpstr>
      <vt:lpstr>Constants - Ag Residue</vt:lpstr>
      <vt:lpstr>Constants - Common Livestock</vt:lpstr>
      <vt:lpstr>Constants - Electricity</vt:lpstr>
      <vt:lpstr>Constants - Fertiliser</vt:lpstr>
      <vt:lpstr>Constants - Fuel</vt:lpstr>
      <vt:lpstr>Constants - Scope 3</vt:lpstr>
      <vt:lpstr>Constants - Common</vt:lpstr>
      <vt:lpstr>Input - Solid waste</vt:lpstr>
      <vt:lpstr>10.1.1-2 Solid waste treatment</vt:lpstr>
      <vt:lpstr>Constants - Solid Waste</vt:lpstr>
      <vt:lpstr>Overview</vt:lpstr>
      <vt:lpstr>Input - Data quality</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'6.3.1.1-2 Leach runoff crop'!M1_Table_E_N2O</vt:lpstr>
      <vt:lpstr>M1_Table_E_N2O</vt:lpstr>
      <vt:lpstr>'6.3.1.1-2 Leach runoff crop'!M1_Table_E_N2O_Consumer_1</vt:lpstr>
      <vt:lpstr>'6.3.1.1-2 Leach runoff crop'!M1_Table_M_leach_cp</vt:lpstr>
      <vt:lpstr>M2_Table_FertApplications</vt:lpstr>
      <vt:lpstr>'6.3.1.1-2 Leach runoff crop'!M2_Table_M_leach_cp</vt:lpstr>
      <vt:lpstr>Result_CarbonRemovalsFromPlantings</vt:lpstr>
      <vt:lpstr>Result_EmissionsForWholeProductionCycle_Method1</vt:lpstr>
      <vt:lpstr>Result_EmissionsForWholeProductionCycle_Method2</vt:lpstr>
      <vt:lpstr>Result_Enterprise_Method1</vt:lpstr>
      <vt:lpstr>Result_Enterprise_Method2</vt:lpstr>
      <vt:lpstr>Result_NetEmissions_Method1</vt:lpstr>
      <vt:lpstr>Result_NetEmissions_Method2</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'15 Scope 3'!VEERG_5_4_1_3__1_OrganicFertiliserAtmosphericDepositionN2OEmissions_Result_Method1</vt:lpstr>
      <vt:lpstr>'Calcs - Manure sent off-site'!VEERG_5_4_1_3__1_OrganicFertiliserAtmosphericDepositionN2OEmissions_Result_Method1</vt:lpstr>
      <vt:lpstr>'Constants - Common Livestock'!VEERG_5_4_1_3__1_OrganicFertiliserAtmosphericDepositionN2OEmissions_Result_Method1</vt:lpstr>
      <vt:lpstr>'Constants - Scope 3'!VEERG_5_4_1_3__1_OrganicFertiliserAtmosphericDepositionN2OEmissions_Result_Method1</vt:lpstr>
      <vt:lpstr>'Input - Farm Inputs'!VEERG_5_4_1_3__1_OrganicFertiliserAtmosphericDepositionN2OEmissions_Result_Method1</vt:lpstr>
      <vt:lpstr>'Input - Freight'!VEERG_5_4_1_3__1_OrganicFertiliserAtmosphericDepositionN2OEmissions_Result_Method1</vt:lpstr>
      <vt:lpstr>'Input - Manure sent off-site'!VEERG_5_4_1_3__1_OrganicFertiliserAtmosphericDepositionN2OEmissions_Result_Method1</vt:lpstr>
      <vt:lpstr>VEERG_5_4_1_3__1_OrganicFertiliserAtmosphericDepositionN2OEmissions_Result_Method1</vt:lpstr>
      <vt:lpstr>VEERG_5_4_1_3__1_OrganicFertiliserAtmosphericDepositionN2OEmissions_Result_Method2</vt:lpstr>
      <vt:lpstr>'15 Scope 3'!VEERG_5_5_1_1__1_FertiliserLeachingAndRunoffN2OEmissions_Result_Method1</vt:lpstr>
      <vt:lpstr>'Calcs - Manure sent off-site'!VEERG_5_5_1_1__1_FertiliserLeachingAndRunoffN2OEmissions_Result_Method1</vt:lpstr>
      <vt:lpstr>'Constants - Common Livestock'!VEERG_5_5_1_1__1_FertiliserLeachingAndRunoffN2OEmissions_Result_Method1</vt:lpstr>
      <vt:lpstr>'Constants - Scope 3'!VEERG_5_5_1_1__1_FertiliserLeachingAndRunoffN2OEmissions_Result_Method1</vt:lpstr>
      <vt:lpstr>'Input - Farm Inputs'!VEERG_5_5_1_1__1_FertiliserLeachingAndRunoffN2OEmissions_Result_Method1</vt:lpstr>
      <vt:lpstr>'Input - Freight'!VEERG_5_5_1_1__1_FertiliserLeachingAndRunoffN2OEmissions_Result_Method1</vt:lpstr>
      <vt:lpstr>'Input - Manure sent off-site'!VEERG_5_5_1_1__1_FertiliserLeachingAndRunoffN2OEmissions_Result_Method1</vt:lpstr>
      <vt:lpstr>VEERG_5_5_1_1__1_FertiliserLeachingAndRunoffN2OEmissions_result_Method1</vt:lpstr>
      <vt:lpstr>VEERG_5_5_1_1__1_FertiliserLeachingAndRunoffN2OEmissions_Result_Method2</vt:lpstr>
      <vt:lpstr>VEERG_6_1_1_1__1__NitrousOxideEmissionsFromCropResidues_Result_Method1</vt:lpstr>
      <vt:lpstr>VEERG_6_1_1_1__1__NitrousOxideEmissionsFromCropResidues_Result_Method2</vt:lpstr>
      <vt:lpstr>VEERG_6_3_1_1__1__LeachingAndRunoffEmissionsCropAndPastureResidue_CropOnly_Result_Method1</vt:lpstr>
      <vt:lpstr>VEERG_6_3_1_1__1__LeachingAndRunoffEmissionsCropAndPastureResidue_CropOnly_Result_Method2</vt:lpstr>
      <vt:lpstr>'6.3.1.1-2 Leach runoff crop'!VEERG_6_3_1_1__1__LeachingAndRunoffEmissionsCropAndPastureResidue_Result_Method1</vt:lpstr>
      <vt:lpstr>'6.3.1.1-2 Leach runoff crop'!VEERG_6_3_1_1__1__LeachingAndRunoffEmissionsCropAndPastureResidue_Result_Method2</vt:lpstr>
      <vt:lpstr>VEERG_6_4_1_1__1__MethaneEmissionsFromBurningOfCropResidues_Result_Method1</vt:lpstr>
      <vt:lpstr>VEERG_6_4_1_1__2__NitrousOxideEmissionsFromBurningOfCropResidues_Result_Method1</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X_Cell_Crop_TotalProductionOfCrop</vt:lpstr>
      <vt:lpstr>X_Cell_Crop_TotalResidueBaled</vt:lpstr>
      <vt:lpstr>X_Cell_Crop_YieldPerHectare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X_Cell_Enterprise_PercentIncomeFromBaledHaySilage</vt:lpstr>
      <vt:lpstr>X_Cell_Enterprise_PercentIncomeFromGrain</vt:lpstr>
      <vt:lpstr>X_Cell_Enterprise_ProductionTimeframeEnd</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2026-08-06T07:31:50Z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