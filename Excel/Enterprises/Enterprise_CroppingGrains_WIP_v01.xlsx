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drawings/drawing16.xml" ContentType="application/vnd.openxmlformats-officedocument.drawing+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2CB00DE-8750-4500-88F6-5F6E3088B3B2}" xr6:coauthVersionLast="47" xr6:coauthVersionMax="47" xr10:uidLastSave="{00000000-0000-0000-0000-000000000000}"/>
  <bookViews>
    <workbookView xWindow="855" yWindow="330" windowWidth="36255" windowHeight="19140" firstSheet="2" activeTab="8" xr2:uid="{992023F3-CAB7-4E5B-A348-08D563A0EF40}"/>
  </bookViews>
  <sheets>
    <sheet name="Home" sheetId="71" r:id="rId1"/>
    <sheet name="Results" sheetId="13" r:id="rId2"/>
    <sheet name="Input - Enterprise" sheetId="72" r:id="rId3"/>
    <sheet name="Input - Site" sheetId="75" r:id="rId4"/>
    <sheet name="Input - Crop" sheetId="95" r:id="rId5"/>
    <sheet name="Input - Fert Prod System" sheetId="76" r:id="rId6"/>
    <sheet name="Input - Fertiliser" sheetId="77" r:id="rId7"/>
    <sheet name="Input - Fuel" sheetId="88" r:id="rId8"/>
    <sheet name="Input - Electricity" sheetId="85" r:id="rId9"/>
    <sheet name="Input - Farm Inputs" sheetId="100" r:id="rId10"/>
    <sheet name="Input - Freight" sheetId="101" r:id="rId11"/>
    <sheet name="Input - Manure sent off-site" sheetId="102" r:id="rId12"/>
    <sheet name="5.1.1.1-2 Inorganic fert N2O" sheetId="78" r:id="rId13"/>
    <sheet name="5.1.1.3-4 Inorganic fert CO2" sheetId="79" r:id="rId14"/>
    <sheet name="5.2.1.1-2 Organic Fert N2O" sheetId="80" r:id="rId15"/>
    <sheet name="5.3.1.1-2 Lime CO2" sheetId="81" r:id="rId16"/>
    <sheet name="5.4.1.1-4 Atmos deposition" sheetId="82" r:id="rId17"/>
    <sheet name="5.5.1.1-2 Leaching and runoff" sheetId="83" r:id="rId18"/>
    <sheet name="6.1.1.1-2 Crop residue N2O" sheetId="96" r:id="rId19"/>
    <sheet name="6.3.1.1-2 Leach runoff crop" sheetId="97" r:id="rId20"/>
    <sheet name="6.4.1.1-2 Residue burning" sheetId="98" r:id="rId21"/>
    <sheet name="8.1.1.1-2 Transport fuel" sheetId="89" r:id="rId22"/>
    <sheet name="8.2.1.1-2 Stationary fuel" sheetId="90" r:id="rId23"/>
    <sheet name="14.1.1-2 Purchased electricity" sheetId="86" r:id="rId24"/>
    <sheet name="15 Scope 3" sheetId="103" r:id="rId25"/>
    <sheet name="Calcs - Manure sent off-site" sheetId="104" r:id="rId26"/>
    <sheet name="Constants - Ag Residue" sheetId="99" r:id="rId27"/>
    <sheet name="Constants - Common Livestock" sheetId="106" r:id="rId28"/>
    <sheet name="Constants - Electricity" sheetId="87" r:id="rId29"/>
    <sheet name="Constants - Fertiliser" sheetId="84" r:id="rId30"/>
    <sheet name="Constants - Fuel" sheetId="91" r:id="rId31"/>
    <sheet name="Constants - Scope 3" sheetId="105" r:id="rId32"/>
    <sheet name="Constants - Common" sheetId="74" r:id="rId33"/>
    <sheet name="Input - Solid waste" sheetId="92" r:id="rId34"/>
    <sheet name="10.1.1-2 Solid waste treatment" sheetId="93" r:id="rId35"/>
    <sheet name="Constants - Solid Waste" sheetId="94" r:id="rId36"/>
    <sheet name="Overview" sheetId="107" r:id="rId37"/>
  </sheets>
  <definedNames>
    <definedName name="_Toc225350871" localSheetId="16">'5.4.1.1-4 Atmos deposition'!$C$1</definedName>
    <definedName name="_Toc225350871" localSheetId="1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_xlfn.LAMBDA(_xlpm.Mburnc,_xlpm.CCc,_xlpm.EFCH4,_xlpm.C_CH4, _xlpm.Mburnc * _xlpm.CCc * _xlpm.EFCH4 * _xlpm.C_CH4 * 10 ^ (-3))</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1">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_xlfn.LAMBDA("E_{CH4}=\sum_{c}(M_{burn,c}\times CC_{c}\times EF_{CH4}\times C_{CH4}\times 10^{-3})")</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1">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_xlfn.LAMBDA(_xlpm.Mburnc,_xlpm.NCAGc,_xlpm.EFN2O,_xlpm.CN2O, _xlpm.Mburnc * _xlpm.NCAGc * _xlpm.EFN2O * _xlpm.CN2O * 10 ^ (-3))</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1">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_xlfn.LAMBDA("E_{N2O}=\sum_{c}(M_{burn,c}\times NC_{AGc}\times EF_{N2O}\times C_{N2O}\times 10^{-3})")</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1">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_xlfn.LAMBDA(_xlpm.Pc,_xlpm.RAGc,_xlpm.Sc,_xlpm.DMc,_xlpm.Zc,_xlpm.Fc, _xlpm.Pc * _xlpm.RAGc * _xlpm.Sc * _xlpm.DMc * _xlpm.Zc * _xlpm.Fc)</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1">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_xlfn.LAMBDA("Mburnc")</definedName>
    <definedName name="AgResidue_Equations_FieldBurning.VEERG_6_4_1_1__3__MassOfCropResidueBurnt_Variable" localSheetId="25">_xlfn.LAMBDA("Mburnc")</definedName>
    <definedName name="AgResidue_Equations_FieldBurning.VEERG_6_4_1_1__3__MassOfCropResidueBurnt_Variable" localSheetId="27">_xlfn.LAMBDA("Mburnc")</definedName>
    <definedName name="AgResidue_Equations_FieldBurning.VEERG_6_4_1_1__3__MassOfCropResidueBurnt_Variable" localSheetId="31">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3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'6.1.1.1-2 Crop residue N2O'!CommonLivestock_InputFunctions.LivestockMovement_ProportionalAverageLiveweightAddedDuringMonth(_xlpm.Month, _xlpm.LivestockClass, _xlpm.HeadAtStart) + '6.1.1.1-2 Crop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'6.3.1.1-2 Leach runoff crop'!CommonLivestock_InputFunctions.LivestockMovement_ProportionalAverageLiveweightAddedDuringMonth(_xlpm.Month, _xlpm.LivestockClass, _xlpm.HeadAtStart) + '6.3.1.1-2 Leach runoff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'6.4.1.1-2 Residue burning'!CommonLivestock_InputFunctions.LivestockMovement_ProportionalAverageLiveweightAddedDuringMonth(_xlpm.Month, _xlpm.LivestockClass, _xlpm.HeadAtStart) + '6.4.1.1-2 Residue burning'!CommonLivestock_InputFunctions.LivestockMovement_ProportionalAverageLiveweightRemainingAtEndOfMonth(_xlpm.Month,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Crop'!CommonLivestock_InputFunctions.LivestockMovement_ProportionalAverageLiveweightAddedDuringMonth(_xlpm.Month, _xlpm.LivestockClass, _xlpm.HeadAtStart) + 'Input -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3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'6.1.1.1-2 Crop residue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'6.3.1.1-2 Leach runoff crop'!CommonLivestock_InputFunctions.LivestockMovement_LiveweightGrownDuringMonthPerHead(_xlpm.LivestockClass,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'6.4.1.1-2 Residue burning'!CommonLivestock_InputFunctions.LivestockMovement_LiveweightGrownDuringMonthPerHead(_xlpm.LivestockClass,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Crop'!CommonLivestock_InputFunctions.LivestockMovement_LiveweightGrownDuringMonthPerHead(_xlpm.LivestockClass,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3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'6.1.1.1-2 Crop residue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'6.3.1.1-2 Leach runoff crop'!CommonLivestock_InputFunctions.LivestockMovement_LiveweightGrownDuringMonthPerHead(_xlpm.LivestockClass,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'6.4.1.1-2 Residue burning'!CommonLivestock_InputFunctions.LivestockMovement_LiveweightGrownDuringMonthPerHead(_xlpm.LivestockClass,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Crop'!CommonLivestock_InputFunctions.LivestockMovement_LiveweightGrownDuringMonthPerHead(_xlpm.LivestockClass,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3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'6.1.1.1-2 Crop residue N2O'!CommonLivestock_InputFunctions.LivestockMovement_HeadRemainingAtMonthEnd(_xlpm.Month, _xlpm.LivestockClass, _xlpm.HeadAtStartOfMonth) * '6.1.1.1-2 Crop residue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'6.3.1.1-2 Leach runoff crop'!CommonLivestock_InputFunctions.LivestockMovement_HeadRemainingAtMonthEnd(_xlpm.Month, _xlpm.LivestockClass, _xlpm.HeadAtStartOfMonth) * '6.3.1.1-2 Leach runoff crop'!CommonLivestock_InputFunctions.LivestockMovement_LiveweightGrownFromMonthStartPerHead(_xlpm.LivestockClass,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'6.4.1.1-2 Residue burning'!CommonLivestock_InputFunctions.LivestockMovement_HeadRemainingAtMonthEnd(_xlpm.Month, _xlpm.LivestockClass, _xlpm.HeadAtStartOfMonth) * '6.4.1.1-2 Residue burning'!CommonLivestock_InputFunctions.LivestockMovement_LiveweightGrownFromMonthStartPerHead(_xlpm.LivestockClass,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Crop'!CommonLivestock_InputFunctions.LivestockMovement_HeadRemainingAtMonthEnd(_xlpm.Month, _xlpm.LivestockClass, _xlpm.HeadAtStartOfMonth) * 'Input - Crop'!CommonLivestock_InputFunctions.LivestockMovement_LiveweightGrownFromMonthStartPerHead(_xlpm.LivestockClass,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3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'6.1.1.1-2 Crop residue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'6.3.1.1-2 Leach runoff crop'!CommonLivestock_InputFunctions.LivestockMovement_LiveweightGrownDuringMonthPerHead(_xlpm.LivestockClass,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'6.4.1.1-2 Residue burning'!CommonLivestock_InputFunctions.LivestockMovement_LiveweightGrownDuringMonthPerHead(_xlpm.LivestockClass,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Crop'!CommonLivestock_InputFunctions.LivestockMovement_LiveweightGrownDuringMonthPerHead(_xlpm.LivestockClass,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3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'6.1.1.1-2 Crop residue N2O'!CommonLivestock_InputFunctions.LivestockMovement_ProportionHeadAddedDuringMonth(_xlpm.Month, _xlpm.LivestockClass, _xlpm.HeadAtStart) * '6.1.1.1-2 Crop residue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'6.3.1.1-2 Leach runoff crop'!CommonLivestock_InputFunctions.LivestockMovement_ProportionHeadAddedDuringMonth(_xlpm.Month, _xlpm.LivestockClass, _xlpm.HeadAtStart) * '6.3.1.1-2 Leach runoff crop'!CommonLivestock_InputFunctions.LivestockMovement_AverageLiveweightAddedDuringMonth(_xlpm.Month,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'6.4.1.1-2 Residue burning'!CommonLivestock_InputFunctions.LivestockMovement_ProportionHeadAddedDuringMonth(_xlpm.Month, _xlpm.LivestockClass, _xlpm.HeadAtStart) * '6.4.1.1-2 Residue burning'!CommonLivestock_InputFunctions.LivestockMovement_AverageLiveweightAddedDuringMonth(_xlpm.Month,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Crop'!CommonLivestock_InputFunctions.LivestockMovement_ProportionHeadAddedDuringMonth(_xlpm.Month, _xlpm.LivestockClass, _xlpm.HeadAtStart) * 'Input - Crop'!CommonLivestock_InputFunctions.LivestockMovement_AverageLiveweightAddedDuringMonth(_xlpm.Month,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3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'6.1.1.1-2 Crop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'6.3.1.1-2 Leach runoff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'6.4.1.1-2 Residue burning'!CommonLivestock_InputFunctions.LivestockMovement_ProportionHeadRemainingAtEndOfMonth(_xlpm.Month,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'6.1.1.1-2 Crop residue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'6.3.1.1-2 Leach runoff crop'!CommonLivestock_InputFunctions.LivestockMovement_HeadAtEndOfMonth(_xlpm.HeadAtStart,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'6.4.1.1-2 Residue burning'!CommonLivestock_InputFunctions.LivestockMovement_HeadAtEndOfMonth(_xlpm.HeadAtStart,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Crop'!CommonLivestock_InputFunctions.LivestockMovement_HeadAtEndOfMonth(_xlpm.HeadAtStart,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'6.1.1.1-2 Crop residue N2O'!CommonLivestock_InputFunctions.LivestockMovement_HeadRemainingAtMonthEnd(_xlpm.Month, _xlpm.LivestockClass, _xlpm.HeadAtStart) / '6.1.1.1-2 Crop residue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'6.3.1.1-2 Leach runoff crop'!CommonLivestock_InputFunctions.LivestockMovement_HeadRemainingAtMonthEnd(_xlpm.Month, _xlpm.LivestockClass, _xlpm.HeadAtStart) / '6.3.1.1-2 Leach runoff crop'!CommonLivestock_InputFunctions.LivestockMovement_HeadAtEndOfMonth(_xlpm.HeadAtStart,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'6.4.1.1-2 Residue burning'!CommonLivestock_InputFunctions.LivestockMovement_HeadRemainingAtMonthEnd(_xlpm.Month, _xlpm.LivestockClass, _xlpm.HeadAtStart) / '6.4.1.1-2 Residue burning'!CommonLivestock_InputFunctions.LivestockMovement_HeadAtEndOfMonth(_xlpm.HeadAtStart,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Crop'!CommonLivestock_InputFunctions.LivestockMovement_HeadRemainingAtMonthEnd(_xlpm.Month, _xlpm.LivestockClass, _xlpm.HeadAtStart) / 'Input - Crop'!CommonLivestock_InputFunctions.LivestockMovement_HeadAtEndOfMonth(_xlpm.HeadAtStart,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3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'6.1.1.1-2 Crop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'6.3.1.1-2 Leach runoff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'6.4.1.1-2 Residue burning'!CommonLivestock_InputFunctions.LivestockMovement_LiveweightGrownFromMonthStartTotal(_xlpm.LivestockClass,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4">_xlfn.LAMBDA(_xlpm.Cell, RIGHT(_xlpm.Cell, LEN(_xlpm.Cell) - FIND(", ", _xlpm.Cell)))</definedName>
    <definedName name="Fuel_InputFunctions.Fuel_GetStationaryFuelString" localSheetId="25">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1">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19">'6.3.1.1-2 Leach runoff crop'!$N$44:$O$46</definedName>
    <definedName name="M1_Table_E_N2O">'5.1.1.1-2 Inorganic fert N2O'!$D$59:$E$78</definedName>
    <definedName name="M1_Table_E_N2O_Consumer_1" localSheetId="19">'6.3.1.1-2 Leach runoff crop'!$D$44:$E$46</definedName>
    <definedName name="M1_Table_M_leach_cp" localSheetId="19">'6.3.1.1-2 Leach runoff crop'!$D$23:$I$25</definedName>
    <definedName name="M2_Table_FertApplications">'5.1.1.1-2 Inorganic fert N2O'!$M$44:$W$54</definedName>
    <definedName name="M2_Table_M_leach_cp" localSheetId="19">'6.3.1.1-2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4">_xlfn.LAMBDA(_xlpm.E_N2O,_xlpm.E_ad,_xlpm.E_leach, _xlpm.E_N2O + _xlpm.E_ad + _xlpm.E_leach)</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1">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4">'Calcs - Manure sent off-site'!$E$55</definedName>
    <definedName name="VEERG_5_4_1_3__1_OrganicFertiliserAtmosphericDepositionN2OEmissions_Result_Method1" localSheetId="25">'Calcs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1">'Calcs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4">'Calcs - Manure sent off-site'!$E$90</definedName>
    <definedName name="VEERG_5_5_1_1__1_FertiliserLeachingAndRunoffN2OEmissions_Result_Method1" localSheetId="25">'Calcs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1">'Calcs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19">'6.3.1.1-2 Leach runoff crop'!$E$48</definedName>
    <definedName name="VEERG_6_3_1_1__1__LeachingAndRunoffEmissionsCropAndPastureResidue_Result_Method2" localSheetId="19">'6.3.1.1-2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85" l="1"/>
  <c r="E30" i="85"/>
  <c r="A48" i="107" l="1"/>
  <c r="A47" i="107"/>
  <c r="A46" i="107"/>
  <c r="A45" i="107"/>
  <c r="A44" i="107"/>
  <c r="A43" i="107"/>
  <c r="A42" i="107"/>
  <c r="A41" i="107"/>
  <c r="A37" i="107"/>
  <c r="A36" i="107"/>
  <c r="A35" i="107"/>
  <c r="A34" i="107"/>
  <c r="A33" i="107"/>
  <c r="A32" i="107"/>
  <c r="A31" i="107"/>
  <c r="A30" i="107"/>
  <c r="A29" i="107"/>
  <c r="A28" i="107"/>
  <c r="A27" i="107"/>
  <c r="A26" i="107"/>
  <c r="A25" i="107"/>
  <c r="A24" i="107"/>
  <c r="A23" i="107"/>
  <c r="A19" i="107"/>
  <c r="A18" i="107"/>
  <c r="A17" i="107"/>
  <c r="A16" i="107"/>
  <c r="A15" i="107"/>
  <c r="A14" i="107"/>
  <c r="A13" i="107"/>
  <c r="A12" i="107"/>
  <c r="A11" i="107"/>
  <c r="A10" i="107"/>
  <c r="A9" i="107"/>
  <c r="A5" i="107"/>
  <c r="A4" i="107"/>
  <c r="A3" i="107"/>
  <c r="A48" i="94"/>
  <c r="A47" i="94"/>
  <c r="A46" i="94"/>
  <c r="A45" i="94"/>
  <c r="A44" i="94"/>
  <c r="A43" i="94"/>
  <c r="A42" i="94"/>
  <c r="A41" i="94"/>
  <c r="A37" i="94"/>
  <c r="A36" i="94"/>
  <c r="A35" i="94"/>
  <c r="A34" i="94"/>
  <c r="A33" i="94"/>
  <c r="A32" i="94"/>
  <c r="A31" i="94"/>
  <c r="A30" i="94"/>
  <c r="A29" i="94"/>
  <c r="A28" i="94"/>
  <c r="A27" i="94"/>
  <c r="A26" i="94"/>
  <c r="A25" i="94"/>
  <c r="A24" i="94"/>
  <c r="A23" i="94"/>
  <c r="A19" i="94"/>
  <c r="A18" i="94"/>
  <c r="A17" i="94"/>
  <c r="A16" i="94"/>
  <c r="A15" i="94"/>
  <c r="A14" i="94"/>
  <c r="A13" i="94"/>
  <c r="A12" i="94"/>
  <c r="A11" i="94"/>
  <c r="A10" i="94"/>
  <c r="A9" i="94"/>
  <c r="A5" i="94"/>
  <c r="A4" i="94"/>
  <c r="A3" i="94"/>
  <c r="A48" i="93"/>
  <c r="A47" i="93"/>
  <c r="A46" i="93"/>
  <c r="A45" i="93"/>
  <c r="A44" i="93"/>
  <c r="A43" i="93"/>
  <c r="A42" i="93"/>
  <c r="A41" i="93"/>
  <c r="A37" i="93"/>
  <c r="A36" i="93"/>
  <c r="A35" i="93"/>
  <c r="A34" i="93"/>
  <c r="A33" i="93"/>
  <c r="A32" i="93"/>
  <c r="A31" i="93"/>
  <c r="A30" i="93"/>
  <c r="A29" i="93"/>
  <c r="A28" i="93"/>
  <c r="A27" i="93"/>
  <c r="A26" i="93"/>
  <c r="A25" i="93"/>
  <c r="A24" i="93"/>
  <c r="A23" i="93"/>
  <c r="A19" i="93"/>
  <c r="A18" i="93"/>
  <c r="A17" i="93"/>
  <c r="A16" i="93"/>
  <c r="A15" i="93"/>
  <c r="A14" i="93"/>
  <c r="A13" i="93"/>
  <c r="A12" i="93"/>
  <c r="A11" i="93"/>
  <c r="A10" i="93"/>
  <c r="A9" i="93"/>
  <c r="A5" i="93"/>
  <c r="A4" i="93"/>
  <c r="A3" i="93"/>
  <c r="A48" i="92"/>
  <c r="A47" i="92"/>
  <c r="A46" i="92"/>
  <c r="A45" i="92"/>
  <c r="A44" i="92"/>
  <c r="A43" i="92"/>
  <c r="A42" i="92"/>
  <c r="A41" i="92"/>
  <c r="A37" i="92"/>
  <c r="A36" i="92"/>
  <c r="A35" i="92"/>
  <c r="A34" i="92"/>
  <c r="A33" i="92"/>
  <c r="A32" i="92"/>
  <c r="A31" i="92"/>
  <c r="A30" i="92"/>
  <c r="A29" i="92"/>
  <c r="A28" i="92"/>
  <c r="A27" i="92"/>
  <c r="A26" i="92"/>
  <c r="A25" i="92"/>
  <c r="A24" i="92"/>
  <c r="A23" i="92"/>
  <c r="A19" i="92"/>
  <c r="A18" i="92"/>
  <c r="A17" i="92"/>
  <c r="A16" i="92"/>
  <c r="A15" i="92"/>
  <c r="A14" i="92"/>
  <c r="A13" i="92"/>
  <c r="A12" i="92"/>
  <c r="A11" i="92"/>
  <c r="A10" i="92"/>
  <c r="A9" i="92"/>
  <c r="A5" i="92"/>
  <c r="A4" i="92"/>
  <c r="A3" i="92"/>
  <c r="A48" i="74"/>
  <c r="A47" i="74"/>
  <c r="A46" i="74"/>
  <c r="A45" i="74"/>
  <c r="A44" i="74"/>
  <c r="A43" i="74"/>
  <c r="A42" i="74"/>
  <c r="A41" i="74"/>
  <c r="A37" i="74"/>
  <c r="A36" i="74"/>
  <c r="A35" i="74"/>
  <c r="A34" i="74"/>
  <c r="A33" i="74"/>
  <c r="A32" i="74"/>
  <c r="A31" i="74"/>
  <c r="A30" i="74"/>
  <c r="A29" i="74"/>
  <c r="A28" i="74"/>
  <c r="A27" i="74"/>
  <c r="A26" i="74"/>
  <c r="A25" i="74"/>
  <c r="A24" i="74"/>
  <c r="A23" i="74"/>
  <c r="A19" i="74"/>
  <c r="A18" i="74"/>
  <c r="A17" i="74"/>
  <c r="A16" i="74"/>
  <c r="A15" i="74"/>
  <c r="A14" i="74"/>
  <c r="A13" i="74"/>
  <c r="A12" i="74"/>
  <c r="A11" i="74"/>
  <c r="A10" i="74"/>
  <c r="A9" i="74"/>
  <c r="A5" i="74"/>
  <c r="A4" i="74"/>
  <c r="A3" i="74"/>
  <c r="A48" i="105"/>
  <c r="A47" i="105"/>
  <c r="A46" i="105"/>
  <c r="A45" i="105"/>
  <c r="A44" i="105"/>
  <c r="A43" i="105"/>
  <c r="A42" i="105"/>
  <c r="A41" i="105"/>
  <c r="A37" i="105"/>
  <c r="A36" i="105"/>
  <c r="A35" i="105"/>
  <c r="A34" i="105"/>
  <c r="A33" i="105"/>
  <c r="A32" i="105"/>
  <c r="A31" i="105"/>
  <c r="A30" i="105"/>
  <c r="A29" i="105"/>
  <c r="A28" i="105"/>
  <c r="A27" i="105"/>
  <c r="A26" i="105"/>
  <c r="A25" i="105"/>
  <c r="A24" i="105"/>
  <c r="A23" i="105"/>
  <c r="A19" i="105"/>
  <c r="A18" i="105"/>
  <c r="A17" i="105"/>
  <c r="A16" i="105"/>
  <c r="A15" i="105"/>
  <c r="A14" i="105"/>
  <c r="A13" i="105"/>
  <c r="A12" i="105"/>
  <c r="A11" i="105"/>
  <c r="A10" i="105"/>
  <c r="A9" i="105"/>
  <c r="A5" i="105"/>
  <c r="A4" i="105"/>
  <c r="A3" i="105"/>
  <c r="A48" i="91"/>
  <c r="A47" i="91"/>
  <c r="A46" i="91"/>
  <c r="A45" i="91"/>
  <c r="A44" i="91"/>
  <c r="A43" i="91"/>
  <c r="A42" i="91"/>
  <c r="A41" i="91"/>
  <c r="A37" i="91"/>
  <c r="A36" i="91"/>
  <c r="A35" i="91"/>
  <c r="A34" i="91"/>
  <c r="A33" i="91"/>
  <c r="A32" i="91"/>
  <c r="A31" i="91"/>
  <c r="A30" i="91"/>
  <c r="A29" i="91"/>
  <c r="A28" i="91"/>
  <c r="A27" i="91"/>
  <c r="A26" i="91"/>
  <c r="A25" i="91"/>
  <c r="A24" i="91"/>
  <c r="A23" i="91"/>
  <c r="A19" i="91"/>
  <c r="A18" i="91"/>
  <c r="A17" i="91"/>
  <c r="A16" i="91"/>
  <c r="A15" i="91"/>
  <c r="A14" i="91"/>
  <c r="A13" i="91"/>
  <c r="A12" i="91"/>
  <c r="A11" i="91"/>
  <c r="A10" i="91"/>
  <c r="A9" i="91"/>
  <c r="A5" i="91"/>
  <c r="A4" i="91"/>
  <c r="A3" i="91"/>
  <c r="A48" i="84"/>
  <c r="A47" i="84"/>
  <c r="A46" i="84"/>
  <c r="A45" i="84"/>
  <c r="A44" i="84"/>
  <c r="A43" i="84"/>
  <c r="A42" i="84"/>
  <c r="A41" i="84"/>
  <c r="A37" i="84"/>
  <c r="A36" i="84"/>
  <c r="A35" i="84"/>
  <c r="A34" i="84"/>
  <c r="A33" i="84"/>
  <c r="A32" i="84"/>
  <c r="A31" i="84"/>
  <c r="A30" i="84"/>
  <c r="A29" i="84"/>
  <c r="A28" i="84"/>
  <c r="A27" i="84"/>
  <c r="A26" i="84"/>
  <c r="A25" i="84"/>
  <c r="A24" i="84"/>
  <c r="A23" i="84"/>
  <c r="A19" i="84"/>
  <c r="A18" i="84"/>
  <c r="A17" i="84"/>
  <c r="A16" i="84"/>
  <c r="A15" i="84"/>
  <c r="A14" i="84"/>
  <c r="A13" i="84"/>
  <c r="A12" i="84"/>
  <c r="A11" i="84"/>
  <c r="A10" i="84"/>
  <c r="A9" i="84"/>
  <c r="A5" i="84"/>
  <c r="A4" i="84"/>
  <c r="A3" i="84"/>
  <c r="A48" i="87"/>
  <c r="A47" i="87"/>
  <c r="A46" i="87"/>
  <c r="A45" i="87"/>
  <c r="A44" i="87"/>
  <c r="A43" i="87"/>
  <c r="A42" i="87"/>
  <c r="A41" i="87"/>
  <c r="A37" i="87"/>
  <c r="A36" i="87"/>
  <c r="A35" i="87"/>
  <c r="A34" i="87"/>
  <c r="A33" i="87"/>
  <c r="A32" i="87"/>
  <c r="A31" i="87"/>
  <c r="A30" i="87"/>
  <c r="A29" i="87"/>
  <c r="A28" i="87"/>
  <c r="A27" i="87"/>
  <c r="A26" i="87"/>
  <c r="A25" i="87"/>
  <c r="A24" i="87"/>
  <c r="A23" i="87"/>
  <c r="A19" i="87"/>
  <c r="A18" i="87"/>
  <c r="A17" i="87"/>
  <c r="A16" i="87"/>
  <c r="A15" i="87"/>
  <c r="A14" i="87"/>
  <c r="A13" i="87"/>
  <c r="A12" i="87"/>
  <c r="A11" i="87"/>
  <c r="A10" i="87"/>
  <c r="A9" i="87"/>
  <c r="A5" i="87"/>
  <c r="A4" i="87"/>
  <c r="A3" i="87"/>
  <c r="A48" i="106"/>
  <c r="A47" i="106"/>
  <c r="A46" i="106"/>
  <c r="A45" i="106"/>
  <c r="A44" i="106"/>
  <c r="A43" i="106"/>
  <c r="A42" i="106"/>
  <c r="A41" i="106"/>
  <c r="A37" i="106"/>
  <c r="A36" i="106"/>
  <c r="A35" i="106"/>
  <c r="A34" i="106"/>
  <c r="A33" i="106"/>
  <c r="A32" i="106"/>
  <c r="A31" i="106"/>
  <c r="A30" i="106"/>
  <c r="A29" i="106"/>
  <c r="A28" i="106"/>
  <c r="A27" i="106"/>
  <c r="A26" i="106"/>
  <c r="A25" i="106"/>
  <c r="A24" i="106"/>
  <c r="A23" i="106"/>
  <c r="A19" i="106"/>
  <c r="A18" i="106"/>
  <c r="A17" i="106"/>
  <c r="A16" i="106"/>
  <c r="A15" i="106"/>
  <c r="A14" i="106"/>
  <c r="A13" i="106"/>
  <c r="A12" i="106"/>
  <c r="A11" i="106"/>
  <c r="A10" i="106"/>
  <c r="A9" i="106"/>
  <c r="A5" i="106"/>
  <c r="A4" i="106"/>
  <c r="A3" i="106"/>
  <c r="A48" i="99"/>
  <c r="A47" i="99"/>
  <c r="A46" i="99"/>
  <c r="A45" i="99"/>
  <c r="A44" i="99"/>
  <c r="A43" i="99"/>
  <c r="A42" i="99"/>
  <c r="A41" i="99"/>
  <c r="A37" i="99"/>
  <c r="A36" i="99"/>
  <c r="A35" i="99"/>
  <c r="A34" i="99"/>
  <c r="A33" i="99"/>
  <c r="A32" i="99"/>
  <c r="A31" i="99"/>
  <c r="A30" i="99"/>
  <c r="A29" i="99"/>
  <c r="A28" i="99"/>
  <c r="A27" i="99"/>
  <c r="A26" i="99"/>
  <c r="A25" i="99"/>
  <c r="A24" i="99"/>
  <c r="A23" i="99"/>
  <c r="A19" i="99"/>
  <c r="A18" i="99"/>
  <c r="A17" i="99"/>
  <c r="A16" i="99"/>
  <c r="A15" i="99"/>
  <c r="A14" i="99"/>
  <c r="A13" i="99"/>
  <c r="A12" i="99"/>
  <c r="A11" i="99"/>
  <c r="A10" i="99"/>
  <c r="A9" i="99"/>
  <c r="A5" i="99"/>
  <c r="A4" i="99"/>
  <c r="A3" i="99"/>
  <c r="A48" i="104"/>
  <c r="A47" i="104"/>
  <c r="A46" i="104"/>
  <c r="A45" i="104"/>
  <c r="A44" i="104"/>
  <c r="A43" i="104"/>
  <c r="A42" i="104"/>
  <c r="A41" i="104"/>
  <c r="A37" i="104"/>
  <c r="A36" i="104"/>
  <c r="A35" i="104"/>
  <c r="A34" i="104"/>
  <c r="A33" i="104"/>
  <c r="A32" i="104"/>
  <c r="A31" i="104"/>
  <c r="A30" i="104"/>
  <c r="A29" i="104"/>
  <c r="A28" i="104"/>
  <c r="A27" i="104"/>
  <c r="A26" i="104"/>
  <c r="A25" i="104"/>
  <c r="A24" i="104"/>
  <c r="A23" i="104"/>
  <c r="A19" i="104"/>
  <c r="A18" i="104"/>
  <c r="A17" i="104"/>
  <c r="A16" i="104"/>
  <c r="A15" i="104"/>
  <c r="A14" i="104"/>
  <c r="A13" i="104"/>
  <c r="A12" i="104"/>
  <c r="A11" i="104"/>
  <c r="A10" i="104"/>
  <c r="A9" i="104"/>
  <c r="A5" i="104"/>
  <c r="A4" i="104"/>
  <c r="A3" i="104"/>
  <c r="A48" i="103"/>
  <c r="A47" i="103"/>
  <c r="A46" i="103"/>
  <c r="A45" i="103"/>
  <c r="A44" i="103"/>
  <c r="A43" i="103"/>
  <c r="A42" i="103"/>
  <c r="A41" i="103"/>
  <c r="A37" i="103"/>
  <c r="A36" i="103"/>
  <c r="A35" i="103"/>
  <c r="A34" i="103"/>
  <c r="A33" i="103"/>
  <c r="A32" i="103"/>
  <c r="A31" i="103"/>
  <c r="A30" i="103"/>
  <c r="A29" i="103"/>
  <c r="A28" i="103"/>
  <c r="A27" i="103"/>
  <c r="A26" i="103"/>
  <c r="A25" i="103"/>
  <c r="A24" i="103"/>
  <c r="A23" i="103"/>
  <c r="A19" i="103"/>
  <c r="A18" i="103"/>
  <c r="A17" i="103"/>
  <c r="A16" i="103"/>
  <c r="A15" i="103"/>
  <c r="A14" i="103"/>
  <c r="A13" i="103"/>
  <c r="A12" i="103"/>
  <c r="A11" i="103"/>
  <c r="A10" i="103"/>
  <c r="A9" i="103"/>
  <c r="A5" i="103"/>
  <c r="A4" i="103"/>
  <c r="A3" i="103"/>
  <c r="A48" i="86"/>
  <c r="A47" i="86"/>
  <c r="A46" i="86"/>
  <c r="A45" i="86"/>
  <c r="A44" i="86"/>
  <c r="A43" i="86"/>
  <c r="A42" i="86"/>
  <c r="A41" i="86"/>
  <c r="A37" i="86"/>
  <c r="A36" i="86"/>
  <c r="A35" i="86"/>
  <c r="A34" i="86"/>
  <c r="A33" i="86"/>
  <c r="A32" i="86"/>
  <c r="A31" i="86"/>
  <c r="A30" i="86"/>
  <c r="A29" i="86"/>
  <c r="A28" i="86"/>
  <c r="A27" i="86"/>
  <c r="A26" i="86"/>
  <c r="A25" i="86"/>
  <c r="A24" i="86"/>
  <c r="A23" i="86"/>
  <c r="A19" i="86"/>
  <c r="A18" i="86"/>
  <c r="A17" i="86"/>
  <c r="A16" i="86"/>
  <c r="A15" i="86"/>
  <c r="A14" i="86"/>
  <c r="A13" i="86"/>
  <c r="A12" i="86"/>
  <c r="A11" i="86"/>
  <c r="A10" i="86"/>
  <c r="A9" i="86"/>
  <c r="A5" i="86"/>
  <c r="A4" i="86"/>
  <c r="A3" i="86"/>
  <c r="A48" i="90"/>
  <c r="A47" i="90"/>
  <c r="A46" i="90"/>
  <c r="A45" i="90"/>
  <c r="A44" i="90"/>
  <c r="A43" i="90"/>
  <c r="A42" i="90"/>
  <c r="A41" i="90"/>
  <c r="A37" i="90"/>
  <c r="A36" i="90"/>
  <c r="A35" i="90"/>
  <c r="A34" i="90"/>
  <c r="A33" i="90"/>
  <c r="A32" i="90"/>
  <c r="A31" i="90"/>
  <c r="A30" i="90"/>
  <c r="A29" i="90"/>
  <c r="A28" i="90"/>
  <c r="A27" i="90"/>
  <c r="A26" i="90"/>
  <c r="A25" i="90"/>
  <c r="A24" i="90"/>
  <c r="A23" i="90"/>
  <c r="A19" i="90"/>
  <c r="A18" i="90"/>
  <c r="A17" i="90"/>
  <c r="A16" i="90"/>
  <c r="A15" i="90"/>
  <c r="A14" i="90"/>
  <c r="A13" i="90"/>
  <c r="A12" i="90"/>
  <c r="A11" i="90"/>
  <c r="A10" i="90"/>
  <c r="A9" i="90"/>
  <c r="A5" i="90"/>
  <c r="A4" i="90"/>
  <c r="A3" i="90"/>
  <c r="A48" i="89"/>
  <c r="A47" i="89"/>
  <c r="A46" i="89"/>
  <c r="A45" i="89"/>
  <c r="A44" i="89"/>
  <c r="A43" i="89"/>
  <c r="A42" i="89"/>
  <c r="A41" i="89"/>
  <c r="A37" i="89"/>
  <c r="A36" i="89"/>
  <c r="A35" i="89"/>
  <c r="A34" i="89"/>
  <c r="A33" i="89"/>
  <c r="A32" i="89"/>
  <c r="A31" i="89"/>
  <c r="A30" i="89"/>
  <c r="A29" i="89"/>
  <c r="A28" i="89"/>
  <c r="A27" i="89"/>
  <c r="A26" i="89"/>
  <c r="A25" i="89"/>
  <c r="A24" i="89"/>
  <c r="A23" i="89"/>
  <c r="A19" i="89"/>
  <c r="A18" i="89"/>
  <c r="A17" i="89"/>
  <c r="A16" i="89"/>
  <c r="A15" i="89"/>
  <c r="A14" i="89"/>
  <c r="A13" i="89"/>
  <c r="A12" i="89"/>
  <c r="A11" i="89"/>
  <c r="A10" i="89"/>
  <c r="A9" i="89"/>
  <c r="A5" i="89"/>
  <c r="A4" i="89"/>
  <c r="A3" i="89"/>
  <c r="A48" i="98"/>
  <c r="A47" i="98"/>
  <c r="A46" i="98"/>
  <c r="A45" i="98"/>
  <c r="A44" i="98"/>
  <c r="A43" i="98"/>
  <c r="A42" i="98"/>
  <c r="A41" i="98"/>
  <c r="A37" i="98"/>
  <c r="A36" i="98"/>
  <c r="A35" i="98"/>
  <c r="A34" i="98"/>
  <c r="A33" i="98"/>
  <c r="A32" i="98"/>
  <c r="A31" i="98"/>
  <c r="A30" i="98"/>
  <c r="A29" i="98"/>
  <c r="A28" i="98"/>
  <c r="A27" i="98"/>
  <c r="A26" i="98"/>
  <c r="A25" i="98"/>
  <c r="A24" i="98"/>
  <c r="A23" i="98"/>
  <c r="A19" i="98"/>
  <c r="A18" i="98"/>
  <c r="A17" i="98"/>
  <c r="A16" i="98"/>
  <c r="A15" i="98"/>
  <c r="A14" i="98"/>
  <c r="A13" i="98"/>
  <c r="A12" i="98"/>
  <c r="A11" i="98"/>
  <c r="A10" i="98"/>
  <c r="A9" i="98"/>
  <c r="A5" i="98"/>
  <c r="A4" i="98"/>
  <c r="A3" i="98"/>
  <c r="A48" i="97"/>
  <c r="A47" i="97"/>
  <c r="A46" i="97"/>
  <c r="A45" i="97"/>
  <c r="A44" i="97"/>
  <c r="A43" i="97"/>
  <c r="A42" i="97"/>
  <c r="A41" i="97"/>
  <c r="A37" i="97"/>
  <c r="A36" i="97"/>
  <c r="A35" i="97"/>
  <c r="A34" i="97"/>
  <c r="A33" i="97"/>
  <c r="A32" i="97"/>
  <c r="A31" i="97"/>
  <c r="A30" i="97"/>
  <c r="A29" i="97"/>
  <c r="A28" i="97"/>
  <c r="A27" i="97"/>
  <c r="A26" i="97"/>
  <c r="A25" i="97"/>
  <c r="A24" i="97"/>
  <c r="A23" i="97"/>
  <c r="A19" i="97"/>
  <c r="A18" i="97"/>
  <c r="A17" i="97"/>
  <c r="A16" i="97"/>
  <c r="A15" i="97"/>
  <c r="A14" i="97"/>
  <c r="A13" i="97"/>
  <c r="A12" i="97"/>
  <c r="A11" i="97"/>
  <c r="A10" i="97"/>
  <c r="A9" i="97"/>
  <c r="A5" i="97"/>
  <c r="A4" i="97"/>
  <c r="A3" i="97"/>
  <c r="A48" i="96"/>
  <c r="A47" i="96"/>
  <c r="A46" i="96"/>
  <c r="A45" i="96"/>
  <c r="A44" i="96"/>
  <c r="A43" i="96"/>
  <c r="A42" i="96"/>
  <c r="A41" i="96"/>
  <c r="A37" i="96"/>
  <c r="A36" i="96"/>
  <c r="A35" i="96"/>
  <c r="A34" i="96"/>
  <c r="A33" i="96"/>
  <c r="A32" i="96"/>
  <c r="A31" i="96"/>
  <c r="A30" i="96"/>
  <c r="A29" i="96"/>
  <c r="A28" i="96"/>
  <c r="A27" i="96"/>
  <c r="A26" i="96"/>
  <c r="A25" i="96"/>
  <c r="A24" i="96"/>
  <c r="A23" i="96"/>
  <c r="A19" i="96"/>
  <c r="A18" i="96"/>
  <c r="A17" i="96"/>
  <c r="A16" i="96"/>
  <c r="A15" i="96"/>
  <c r="A14" i="96"/>
  <c r="A13" i="96"/>
  <c r="A12" i="96"/>
  <c r="A11" i="96"/>
  <c r="A10" i="96"/>
  <c r="A9" i="96"/>
  <c r="A5" i="96"/>
  <c r="A4" i="96"/>
  <c r="A3" i="96"/>
  <c r="A48" i="83"/>
  <c r="A47" i="83"/>
  <c r="A46" i="83"/>
  <c r="A45" i="83"/>
  <c r="A44" i="83"/>
  <c r="A43" i="83"/>
  <c r="A42" i="83"/>
  <c r="A41" i="83"/>
  <c r="A37" i="83"/>
  <c r="A36" i="83"/>
  <c r="A35" i="83"/>
  <c r="A34" i="83"/>
  <c r="A33" i="83"/>
  <c r="A32" i="83"/>
  <c r="A31" i="83"/>
  <c r="A30" i="83"/>
  <c r="A29" i="83"/>
  <c r="A28" i="83"/>
  <c r="A27" i="83"/>
  <c r="A26" i="83"/>
  <c r="A25" i="83"/>
  <c r="A24" i="83"/>
  <c r="A23" i="83"/>
  <c r="A19" i="83"/>
  <c r="A18" i="83"/>
  <c r="A17" i="83"/>
  <c r="A16" i="83"/>
  <c r="A15" i="83"/>
  <c r="A14" i="83"/>
  <c r="A13" i="83"/>
  <c r="A12" i="83"/>
  <c r="A11" i="83"/>
  <c r="A10" i="83"/>
  <c r="A9" i="83"/>
  <c r="A5" i="83"/>
  <c r="A4" i="83"/>
  <c r="A3" i="83"/>
  <c r="A48" i="82"/>
  <c r="A47" i="82"/>
  <c r="A46" i="82"/>
  <c r="A45" i="82"/>
  <c r="A44" i="82"/>
  <c r="A43" i="82"/>
  <c r="A42" i="82"/>
  <c r="A41" i="82"/>
  <c r="A37" i="82"/>
  <c r="A36" i="82"/>
  <c r="A35" i="82"/>
  <c r="A34" i="82"/>
  <c r="A33" i="82"/>
  <c r="A32" i="82"/>
  <c r="A31" i="82"/>
  <c r="A30" i="82"/>
  <c r="A29" i="82"/>
  <c r="A28" i="82"/>
  <c r="A27" i="82"/>
  <c r="A26" i="82"/>
  <c r="A25" i="82"/>
  <c r="A24" i="82"/>
  <c r="A23" i="82"/>
  <c r="A19" i="82"/>
  <c r="A18" i="82"/>
  <c r="A17" i="82"/>
  <c r="A16" i="82"/>
  <c r="A15" i="82"/>
  <c r="A14" i="82"/>
  <c r="A13" i="82"/>
  <c r="A12" i="82"/>
  <c r="A11" i="82"/>
  <c r="A10" i="82"/>
  <c r="A9" i="82"/>
  <c r="A5" i="82"/>
  <c r="A4" i="82"/>
  <c r="A3" i="82"/>
  <c r="A48" i="81"/>
  <c r="A47" i="81"/>
  <c r="A46" i="81"/>
  <c r="A45" i="81"/>
  <c r="A44" i="81"/>
  <c r="A43" i="81"/>
  <c r="A42" i="81"/>
  <c r="A41" i="81"/>
  <c r="A37" i="81"/>
  <c r="A36" i="81"/>
  <c r="A35" i="81"/>
  <c r="A34" i="81"/>
  <c r="A33" i="81"/>
  <c r="A32" i="81"/>
  <c r="A31" i="81"/>
  <c r="A30" i="81"/>
  <c r="A29" i="81"/>
  <c r="A28" i="81"/>
  <c r="A27" i="81"/>
  <c r="A26" i="81"/>
  <c r="A25" i="81"/>
  <c r="A24" i="81"/>
  <c r="A23" i="81"/>
  <c r="A19" i="81"/>
  <c r="A18" i="81"/>
  <c r="A17" i="81"/>
  <c r="A16" i="81"/>
  <c r="A15" i="81"/>
  <c r="A14" i="81"/>
  <c r="A13" i="81"/>
  <c r="A12" i="81"/>
  <c r="A11" i="81"/>
  <c r="A10" i="81"/>
  <c r="A9" i="81"/>
  <c r="A5" i="81"/>
  <c r="A4" i="81"/>
  <c r="A3" i="81"/>
  <c r="A48" i="80"/>
  <c r="A47" i="80"/>
  <c r="A46" i="80"/>
  <c r="A45" i="80"/>
  <c r="A44" i="80"/>
  <c r="A43" i="80"/>
  <c r="A42" i="80"/>
  <c r="A41" i="80"/>
  <c r="A37" i="80"/>
  <c r="A36" i="80"/>
  <c r="A35" i="80"/>
  <c r="A34" i="80"/>
  <c r="A33" i="80"/>
  <c r="A32" i="80"/>
  <c r="A31" i="80"/>
  <c r="A30" i="80"/>
  <c r="A29" i="80"/>
  <c r="A28" i="80"/>
  <c r="A27" i="80"/>
  <c r="A26" i="80"/>
  <c r="A25" i="80"/>
  <c r="A24" i="80"/>
  <c r="A23" i="80"/>
  <c r="A19" i="80"/>
  <c r="A18" i="80"/>
  <c r="A17" i="80"/>
  <c r="A16" i="80"/>
  <c r="A15" i="80"/>
  <c r="A14" i="80"/>
  <c r="A13" i="80"/>
  <c r="A12" i="80"/>
  <c r="A11" i="80"/>
  <c r="A10" i="80"/>
  <c r="A9" i="80"/>
  <c r="A5" i="80"/>
  <c r="A4" i="80"/>
  <c r="A3" i="80"/>
  <c r="A48" i="79"/>
  <c r="A47" i="79"/>
  <c r="A46" i="79"/>
  <c r="A45" i="79"/>
  <c r="A44" i="79"/>
  <c r="A43" i="79"/>
  <c r="A42" i="79"/>
  <c r="A41" i="79"/>
  <c r="A37" i="79"/>
  <c r="A36" i="79"/>
  <c r="A35" i="79"/>
  <c r="A34" i="79"/>
  <c r="A33" i="79"/>
  <c r="A32" i="79"/>
  <c r="A31" i="79"/>
  <c r="A30" i="79"/>
  <c r="A29" i="79"/>
  <c r="A28" i="79"/>
  <c r="A27" i="79"/>
  <c r="A26" i="79"/>
  <c r="A25" i="79"/>
  <c r="A24" i="79"/>
  <c r="A23" i="79"/>
  <c r="A19" i="79"/>
  <c r="A18" i="79"/>
  <c r="A17" i="79"/>
  <c r="A16" i="79"/>
  <c r="A15" i="79"/>
  <c r="A14" i="79"/>
  <c r="A13" i="79"/>
  <c r="A12" i="79"/>
  <c r="A11" i="79"/>
  <c r="A10" i="79"/>
  <c r="A9" i="79"/>
  <c r="A5" i="79"/>
  <c r="A4" i="79"/>
  <c r="A3" i="79"/>
  <c r="A48" i="78"/>
  <c r="A47" i="78"/>
  <c r="A46" i="78"/>
  <c r="A45" i="78"/>
  <c r="A44" i="78"/>
  <c r="A43" i="78"/>
  <c r="A42" i="78"/>
  <c r="A41" i="78"/>
  <c r="A37" i="78"/>
  <c r="A36" i="78"/>
  <c r="A35" i="78"/>
  <c r="A34" i="78"/>
  <c r="A33" i="78"/>
  <c r="A32" i="78"/>
  <c r="A31" i="78"/>
  <c r="A30" i="78"/>
  <c r="A29" i="78"/>
  <c r="A28" i="78"/>
  <c r="A27" i="78"/>
  <c r="A26" i="78"/>
  <c r="A25" i="78"/>
  <c r="A24" i="78"/>
  <c r="A23" i="78"/>
  <c r="A19" i="78"/>
  <c r="A18" i="78"/>
  <c r="A17" i="78"/>
  <c r="A16" i="78"/>
  <c r="A15" i="78"/>
  <c r="A14" i="78"/>
  <c r="A13" i="78"/>
  <c r="A12" i="78"/>
  <c r="A11" i="78"/>
  <c r="A10" i="78"/>
  <c r="A9" i="78"/>
  <c r="A5" i="78"/>
  <c r="A4" i="78"/>
  <c r="A3" i="78"/>
  <c r="A48" i="102"/>
  <c r="A47" i="102"/>
  <c r="A46" i="102"/>
  <c r="A45" i="102"/>
  <c r="A44" i="102"/>
  <c r="A43" i="102"/>
  <c r="A42" i="102"/>
  <c r="A41" i="102"/>
  <c r="A37" i="102"/>
  <c r="A36" i="102"/>
  <c r="A35" i="102"/>
  <c r="A34" i="102"/>
  <c r="A33" i="102"/>
  <c r="A32" i="102"/>
  <c r="A31" i="102"/>
  <c r="A30" i="102"/>
  <c r="A29" i="102"/>
  <c r="A28" i="102"/>
  <c r="A27" i="102"/>
  <c r="A26" i="102"/>
  <c r="A25" i="102"/>
  <c r="A24" i="102"/>
  <c r="A23"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3" i="101"/>
  <c r="A19" i="101"/>
  <c r="A18" i="101"/>
  <c r="A17" i="101"/>
  <c r="A16" i="101"/>
  <c r="A15" i="101"/>
  <c r="A14" i="101"/>
  <c r="A13" i="101"/>
  <c r="A12" i="101"/>
  <c r="A11" i="101"/>
  <c r="A10" i="101"/>
  <c r="A9" i="101"/>
  <c r="A5" i="101"/>
  <c r="A4" i="101"/>
  <c r="A3" i="101"/>
  <c r="A48" i="100"/>
  <c r="A47" i="100"/>
  <c r="A46" i="100"/>
  <c r="A45" i="100"/>
  <c r="A44" i="100"/>
  <c r="A43" i="100"/>
  <c r="A42" i="100"/>
  <c r="A41" i="100"/>
  <c r="A37" i="100"/>
  <c r="A36" i="100"/>
  <c r="A35" i="100"/>
  <c r="A34" i="100"/>
  <c r="A33" i="100"/>
  <c r="A32" i="100"/>
  <c r="A31" i="100"/>
  <c r="A30" i="100"/>
  <c r="A29" i="100"/>
  <c r="A28" i="100"/>
  <c r="A27" i="100"/>
  <c r="A26" i="100"/>
  <c r="A25" i="100"/>
  <c r="A24" i="100"/>
  <c r="A23" i="100"/>
  <c r="A19" i="100"/>
  <c r="A18" i="100"/>
  <c r="A17" i="100"/>
  <c r="A16" i="100"/>
  <c r="A15" i="100"/>
  <c r="A14" i="100"/>
  <c r="A13" i="100"/>
  <c r="A12" i="100"/>
  <c r="A11" i="100"/>
  <c r="A10" i="100"/>
  <c r="A9" i="100"/>
  <c r="A5" i="100"/>
  <c r="A4" i="100"/>
  <c r="A3" i="100"/>
  <c r="A48" i="85"/>
  <c r="A47" i="85"/>
  <c r="A46" i="85"/>
  <c r="A45" i="85"/>
  <c r="A44" i="85"/>
  <c r="A43" i="85"/>
  <c r="A42" i="85"/>
  <c r="A41" i="85"/>
  <c r="A37" i="85"/>
  <c r="A36" i="85"/>
  <c r="A35" i="85"/>
  <c r="A34" i="85"/>
  <c r="A33" i="85"/>
  <c r="A32" i="85"/>
  <c r="A31" i="85"/>
  <c r="A30" i="85"/>
  <c r="A29" i="85"/>
  <c r="A28" i="85"/>
  <c r="A27" i="85"/>
  <c r="A26" i="85"/>
  <c r="A25" i="85"/>
  <c r="A24" i="85"/>
  <c r="A23" i="85"/>
  <c r="A19" i="85"/>
  <c r="A18" i="85"/>
  <c r="A17" i="85"/>
  <c r="A16" i="85"/>
  <c r="A15" i="85"/>
  <c r="A14" i="85"/>
  <c r="A13" i="85"/>
  <c r="A12" i="85"/>
  <c r="A11" i="85"/>
  <c r="A10" i="85"/>
  <c r="A9" i="85"/>
  <c r="A5" i="85"/>
  <c r="A4" i="85"/>
  <c r="A3" i="85"/>
  <c r="A48" i="88"/>
  <c r="A47" i="88"/>
  <c r="A46" i="88"/>
  <c r="A45" i="88"/>
  <c r="A44" i="88"/>
  <c r="A43" i="88"/>
  <c r="A42" i="88"/>
  <c r="A41" i="88"/>
  <c r="A37" i="88"/>
  <c r="A36" i="88"/>
  <c r="A35" i="88"/>
  <c r="A34" i="88"/>
  <c r="A33" i="88"/>
  <c r="A32" i="88"/>
  <c r="A31" i="88"/>
  <c r="A30" i="88"/>
  <c r="A29" i="88"/>
  <c r="A28" i="88"/>
  <c r="A27" i="88"/>
  <c r="A26" i="88"/>
  <c r="A25" i="88"/>
  <c r="A24" i="88"/>
  <c r="A23" i="88"/>
  <c r="A19" i="88"/>
  <c r="A18" i="88"/>
  <c r="A17" i="88"/>
  <c r="A16" i="88"/>
  <c r="A15" i="88"/>
  <c r="A14" i="88"/>
  <c r="A13" i="88"/>
  <c r="A12" i="88"/>
  <c r="A11" i="88"/>
  <c r="A10" i="88"/>
  <c r="A9" i="88"/>
  <c r="A5" i="88"/>
  <c r="A4" i="88"/>
  <c r="A3" i="88"/>
  <c r="A48" i="77"/>
  <c r="A47" i="77"/>
  <c r="A46" i="77"/>
  <c r="A45" i="77"/>
  <c r="A44" i="77"/>
  <c r="A43" i="77"/>
  <c r="A42" i="77"/>
  <c r="A41" i="77"/>
  <c r="A37" i="77"/>
  <c r="A36" i="77"/>
  <c r="A35" i="77"/>
  <c r="A34" i="77"/>
  <c r="A33" i="77"/>
  <c r="A32" i="77"/>
  <c r="A31" i="77"/>
  <c r="A30" i="77"/>
  <c r="A29" i="77"/>
  <c r="A28" i="77"/>
  <c r="A27" i="77"/>
  <c r="A26" i="77"/>
  <c r="A25" i="77"/>
  <c r="A24" i="77"/>
  <c r="A23" i="77"/>
  <c r="A19" i="77"/>
  <c r="A18" i="77"/>
  <c r="A17" i="77"/>
  <c r="A16" i="77"/>
  <c r="A15" i="77"/>
  <c r="A14" i="77"/>
  <c r="A13" i="77"/>
  <c r="A12" i="77"/>
  <c r="A11" i="77"/>
  <c r="A10" i="77"/>
  <c r="A9" i="77"/>
  <c r="A5" i="77"/>
  <c r="A4" i="77"/>
  <c r="A3" i="77"/>
  <c r="A48" i="76"/>
  <c r="A47" i="76"/>
  <c r="A46" i="76"/>
  <c r="A45" i="76"/>
  <c r="A44" i="76"/>
  <c r="A43" i="76"/>
  <c r="A42" i="76"/>
  <c r="A41" i="76"/>
  <c r="A37" i="76"/>
  <c r="A36" i="76"/>
  <c r="A35" i="76"/>
  <c r="A34" i="76"/>
  <c r="A33" i="76"/>
  <c r="A32" i="76"/>
  <c r="A31" i="76"/>
  <c r="A30" i="76"/>
  <c r="A29" i="76"/>
  <c r="A28" i="76"/>
  <c r="A27" i="76"/>
  <c r="A26" i="76"/>
  <c r="A25" i="76"/>
  <c r="A24" i="76"/>
  <c r="A23" i="76"/>
  <c r="A19" i="76"/>
  <c r="A18" i="76"/>
  <c r="A17" i="76"/>
  <c r="A16" i="76"/>
  <c r="A15" i="76"/>
  <c r="A14" i="76"/>
  <c r="A13" i="76"/>
  <c r="A12" i="76"/>
  <c r="A11" i="76"/>
  <c r="A10" i="76"/>
  <c r="A9" i="76"/>
  <c r="A5" i="76"/>
  <c r="A4" i="76"/>
  <c r="A3" i="76"/>
  <c r="A48" i="95"/>
  <c r="A47" i="95"/>
  <c r="A46" i="95"/>
  <c r="A45" i="95"/>
  <c r="A44" i="95"/>
  <c r="A43" i="95"/>
  <c r="A42" i="95"/>
  <c r="A41" i="95"/>
  <c r="A37" i="95"/>
  <c r="A36" i="95"/>
  <c r="A35" i="95"/>
  <c r="A34" i="95"/>
  <c r="A33" i="95"/>
  <c r="A32" i="95"/>
  <c r="A31" i="95"/>
  <c r="A30" i="95"/>
  <c r="A29" i="95"/>
  <c r="A28" i="95"/>
  <c r="A27" i="95"/>
  <c r="A26" i="95"/>
  <c r="A25" i="95"/>
  <c r="A24" i="95"/>
  <c r="A23" i="95"/>
  <c r="A19" i="95"/>
  <c r="A18" i="95"/>
  <c r="A17" i="95"/>
  <c r="A16" i="95"/>
  <c r="A15" i="95"/>
  <c r="A14" i="95"/>
  <c r="A13" i="95"/>
  <c r="A12" i="95"/>
  <c r="A11" i="95"/>
  <c r="A10" i="95"/>
  <c r="A9" i="95"/>
  <c r="A5" i="95"/>
  <c r="A4" i="95"/>
  <c r="A3" i="95"/>
  <c r="A48" i="75"/>
  <c r="A47" i="75"/>
  <c r="A46" i="75"/>
  <c r="A45" i="75"/>
  <c r="A44" i="75"/>
  <c r="A43" i="75"/>
  <c r="A42" i="75"/>
  <c r="A41" i="75"/>
  <c r="A37" i="75"/>
  <c r="A36" i="75"/>
  <c r="A35" i="75"/>
  <c r="A34" i="75"/>
  <c r="A33" i="75"/>
  <c r="A32" i="75"/>
  <c r="A31" i="75"/>
  <c r="A30" i="75"/>
  <c r="A29" i="75"/>
  <c r="A28" i="75"/>
  <c r="A27" i="75"/>
  <c r="A26" i="75"/>
  <c r="A25" i="75"/>
  <c r="A24" i="75"/>
  <c r="A23" i="75"/>
  <c r="A19" i="75"/>
  <c r="A18" i="75"/>
  <c r="A17" i="75"/>
  <c r="A16" i="75"/>
  <c r="A15" i="75"/>
  <c r="A14" i="75"/>
  <c r="A13" i="75"/>
  <c r="A12" i="75"/>
  <c r="A11" i="75"/>
  <c r="A10" i="75"/>
  <c r="A9" i="75"/>
  <c r="A5" i="75"/>
  <c r="A4" i="75"/>
  <c r="A3" i="75"/>
  <c r="A48" i="72"/>
  <c r="A47" i="72"/>
  <c r="A46" i="72"/>
  <c r="A45" i="72"/>
  <c r="A44" i="72"/>
  <c r="A43" i="72"/>
  <c r="A42" i="72"/>
  <c r="A41" i="72"/>
  <c r="A37" i="72"/>
  <c r="A36" i="72"/>
  <c r="A35" i="72"/>
  <c r="A34" i="72"/>
  <c r="A33" i="72"/>
  <c r="A32" i="72"/>
  <c r="A31" i="72"/>
  <c r="A30" i="72"/>
  <c r="A29" i="72"/>
  <c r="A28" i="72"/>
  <c r="A27" i="72"/>
  <c r="A26" i="72"/>
  <c r="A25" i="72"/>
  <c r="A24" i="72"/>
  <c r="A23" i="72"/>
  <c r="A19" i="72"/>
  <c r="A18" i="72"/>
  <c r="A17" i="72"/>
  <c r="A16" i="72"/>
  <c r="A15" i="72"/>
  <c r="A14" i="72"/>
  <c r="A13" i="72"/>
  <c r="A12" i="72"/>
  <c r="A11" i="72"/>
  <c r="A10" i="72"/>
  <c r="A9" i="72"/>
  <c r="A5" i="72"/>
  <c r="A4" i="72"/>
  <c r="A3" i="72"/>
  <c r="A48" i="13"/>
  <c r="A47" i="13"/>
  <c r="A46" i="13"/>
  <c r="A45" i="13"/>
  <c r="A44" i="13"/>
  <c r="A43" i="13"/>
  <c r="A42" i="13"/>
  <c r="A41" i="13"/>
  <c r="A37" i="13"/>
  <c r="A36" i="13"/>
  <c r="A35" i="13"/>
  <c r="A34" i="13"/>
  <c r="A33" i="13"/>
  <c r="A32" i="13"/>
  <c r="A31" i="13"/>
  <c r="A30" i="13"/>
  <c r="A29" i="13"/>
  <c r="A28" i="13"/>
  <c r="A27" i="13"/>
  <c r="A26" i="13"/>
  <c r="A25" i="13"/>
  <c r="A24" i="13"/>
  <c r="A23"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3" i="71"/>
  <c r="A19" i="71"/>
  <c r="A18" i="71"/>
  <c r="A17" i="71"/>
  <c r="A16" i="71"/>
  <c r="A15" i="71"/>
  <c r="A14" i="71"/>
  <c r="A13" i="71"/>
  <c r="A12" i="71"/>
  <c r="A11" i="71"/>
  <c r="A10" i="71"/>
  <c r="A9" i="71"/>
  <c r="A5" i="71"/>
  <c r="A4" i="71"/>
  <c r="A3" i="71"/>
  <c r="F627" i="103" a="1"/>
  <c r="F627" i="103" s="1"/>
  <c r="E627" i="103" a="1"/>
  <c r="E627" i="103" s="1"/>
  <c r="D627" i="103" a="1"/>
  <c r="D627" i="103" s="1"/>
  <c r="F609" i="103" a="1"/>
  <c r="F609" i="103" s="1"/>
  <c r="E609" i="103" a="1"/>
  <c r="E609" i="103" s="1"/>
  <c r="D609" i="103" a="1"/>
  <c r="D609" i="103" s="1"/>
  <c r="F490" i="103" a="1"/>
  <c r="F490" i="103" s="1"/>
  <c r="E490" i="103" a="1"/>
  <c r="E490" i="103" s="1"/>
  <c r="K490" i="103" s="1" a="1"/>
  <c r="K490" i="103" s="1"/>
  <c r="D490" i="103" a="1"/>
  <c r="D490" i="103" s="1"/>
  <c r="F448" i="103" a="1"/>
  <c r="F448" i="103" s="1"/>
  <c r="E448" i="103" a="1"/>
  <c r="E448" i="103" s="1"/>
  <c r="D448" i="103" a="1"/>
  <c r="D448" i="103" s="1"/>
  <c r="F430" i="103" a="1"/>
  <c r="F430" i="103" s="1"/>
  <c r="J430" i="103" s="1" a="1"/>
  <c r="J430" i="103" s="1"/>
  <c r="E430" i="103" a="1"/>
  <c r="E430" i="103" s="1"/>
  <c r="D430" i="103" a="1"/>
  <c r="D430" i="103" s="1"/>
  <c r="F399" i="103" a="1"/>
  <c r="F399" i="103" s="1"/>
  <c r="K399" i="103" s="1"/>
  <c r="E399" i="103" a="1"/>
  <c r="E399" i="103" s="1"/>
  <c r="J399" i="103" s="1" a="1"/>
  <c r="J399" i="103" s="1"/>
  <c r="D399" i="103" a="1"/>
  <c r="D399" i="103" s="1"/>
  <c r="E367" i="103" a="1"/>
  <c r="E367" i="103" s="1"/>
  <c r="D367" i="103" a="1"/>
  <c r="D367" i="103" s="1"/>
  <c r="G336" i="103" a="1"/>
  <c r="G336" i="103" s="1"/>
  <c r="F336" i="103" a="1"/>
  <c r="F336" i="103" s="1"/>
  <c r="E336" i="103" a="1"/>
  <c r="E336" i="103" s="1"/>
  <c r="D336" i="103" a="1"/>
  <c r="D336" i="103" s="1"/>
  <c r="D305" i="103" a="1"/>
  <c r="D305" i="103" s="1"/>
  <c r="AD237" i="103" a="1"/>
  <c r="AD237" i="103" s="1"/>
  <c r="AC237" i="103" a="1"/>
  <c r="AC237" i="103" s="1"/>
  <c r="Z237" i="103" a="1"/>
  <c r="Z237" i="103" s="1"/>
  <c r="Y237" i="103" a="1"/>
  <c r="Y237" i="103" s="1"/>
  <c r="V237" i="103" a="1"/>
  <c r="V237" i="103" s="1"/>
  <c r="U237" i="103" a="1"/>
  <c r="U237" i="103" s="1"/>
  <c r="R237" i="103" a="1"/>
  <c r="R237" i="103" s="1"/>
  <c r="Q237" i="103" a="1"/>
  <c r="Q237" i="103" s="1"/>
  <c r="D237" i="103" a="1"/>
  <c r="D237" i="103" s="1"/>
  <c r="D221" i="103" a="1"/>
  <c r="D221" i="103" s="1"/>
  <c r="AA119" i="103" a="1"/>
  <c r="AA119" i="103" s="1"/>
  <c r="Z119" i="103" a="1"/>
  <c r="Z119" i="103" s="1"/>
  <c r="Y119" i="103" a="1"/>
  <c r="Y119" i="103" s="1"/>
  <c r="W119" i="103" a="1"/>
  <c r="W119" i="103" s="1"/>
  <c r="V119" i="103" a="1"/>
  <c r="V119" i="103" s="1"/>
  <c r="U119" i="103" a="1"/>
  <c r="U119" i="103" s="1"/>
  <c r="S119" i="103" a="1"/>
  <c r="S119" i="103" s="1"/>
  <c r="R119" i="103" a="1"/>
  <c r="R119" i="103" s="1"/>
  <c r="Q119" i="103" a="1"/>
  <c r="Q119" i="103" s="1"/>
  <c r="O119" i="103" a="1"/>
  <c r="O119" i="103" s="1"/>
  <c r="N119" i="103" a="1"/>
  <c r="N119" i="103" s="1"/>
  <c r="M119" i="103" a="1"/>
  <c r="M119" i="103" s="1"/>
  <c r="E119" i="103" a="1"/>
  <c r="E119" i="103" s="1"/>
  <c r="D119" i="103" a="1"/>
  <c r="D119" i="103" s="1"/>
  <c r="D32" i="90"/>
  <c r="D25" i="90"/>
  <c r="F39" i="89"/>
  <c r="M39" i="89" s="1" a="1"/>
  <c r="M39" i="89" s="1"/>
  <c r="D37" i="89"/>
  <c r="D34" i="89"/>
  <c r="D33" i="89"/>
  <c r="D25" i="89"/>
  <c r="D75" i="83"/>
  <c r="D74" i="83"/>
  <c r="D73" i="83"/>
  <c r="D72" i="83"/>
  <c r="D71" i="83"/>
  <c r="D70" i="83"/>
  <c r="D69" i="83"/>
  <c r="D68" i="83"/>
  <c r="D134" i="82" a="1"/>
  <c r="D134" i="82" s="1"/>
  <c r="D102" i="82" a="1"/>
  <c r="D102" i="82" s="1"/>
  <c r="G25" i="81" a="1"/>
  <c r="G25" i="81" s="1"/>
  <c r="F25" i="81" a="1"/>
  <c r="F25" i="81" s="1"/>
  <c r="D25" i="81" a="1"/>
  <c r="D25" i="81" s="1"/>
  <c r="H20" i="80" a="1"/>
  <c r="H20" i="80" s="1"/>
  <c r="E20" i="80" a="1"/>
  <c r="E20" i="80" s="1"/>
  <c r="D20" i="80" a="1"/>
  <c r="D20" i="80" s="1"/>
  <c r="N82" i="78" a="1"/>
  <c r="N82" i="78" s="1"/>
  <c r="N77" i="78" a="1"/>
  <c r="N77" i="78" s="1"/>
  <c r="W54" i="78"/>
  <c r="W53" i="78"/>
  <c r="N50" i="78" a="1"/>
  <c r="N50" i="78" s="1"/>
  <c r="N45" i="78" a="1"/>
  <c r="N45" i="78" s="1"/>
  <c r="J21" i="88" a="1"/>
  <c r="J21" i="88" s="1"/>
  <c r="G21" i="88" a="1"/>
  <c r="G21" i="88" s="1"/>
  <c r="J20" i="88" a="1"/>
  <c r="J20" i="88" s="1"/>
  <c r="G20" i="88" a="1"/>
  <c r="G20" i="88" s="1"/>
  <c r="J19" i="88" a="1"/>
  <c r="J19" i="88" s="1"/>
  <c r="G19" i="88" a="1"/>
  <c r="G19" i="88" s="1"/>
  <c r="J18" i="88" a="1"/>
  <c r="J18" i="88" s="1"/>
  <c r="G18" i="88" a="1"/>
  <c r="G18" i="88" s="1"/>
  <c r="J17" i="88" a="1"/>
  <c r="J17" i="88" s="1"/>
  <c r="G17" i="88" a="1"/>
  <c r="G17" i="88" s="1"/>
  <c r="E65" i="106" a="1"/>
  <c r="E65" i="106" s="1"/>
  <c r="D65" i="106" a="1"/>
  <c r="D65" i="106" s="1"/>
  <c r="D63" i="106" a="1"/>
  <c r="D63" i="106" s="1"/>
  <c r="D62" i="106" a="1"/>
  <c r="D62" i="106" s="1"/>
  <c r="E60" i="106" a="1"/>
  <c r="E60" i="106" s="1"/>
  <c r="D60" i="106" a="1"/>
  <c r="D60" i="106" s="1"/>
  <c r="D58" i="106" a="1"/>
  <c r="D58" i="106" s="1"/>
  <c r="D57" i="106" a="1"/>
  <c r="D57" i="106" s="1"/>
  <c r="E55" i="106" a="1"/>
  <c r="E55" i="106" s="1"/>
  <c r="D55" i="106" a="1"/>
  <c r="D55" i="106" s="1"/>
  <c r="D53" i="106" a="1"/>
  <c r="D53" i="106" s="1"/>
  <c r="D52" i="106" a="1"/>
  <c r="D52" i="106" s="1"/>
  <c r="E50" i="106" a="1"/>
  <c r="E50" i="106" s="1"/>
  <c r="D50" i="106" a="1"/>
  <c r="D50" i="106" s="1"/>
  <c r="E49" i="106" a="1"/>
  <c r="E49" i="106" s="1"/>
  <c r="D49" i="106" a="1"/>
  <c r="D49" i="106" s="1"/>
  <c r="E48" i="106" a="1"/>
  <c r="E48" i="106" s="1"/>
  <c r="D48" i="106" a="1"/>
  <c r="D48" i="106" s="1"/>
  <c r="E47" i="106" a="1"/>
  <c r="E47" i="106" s="1"/>
  <c r="D47" i="106" a="1"/>
  <c r="D47" i="106" s="1"/>
  <c r="E46" i="106" a="1"/>
  <c r="E46" i="106" s="1"/>
  <c r="D46" i="106" a="1"/>
  <c r="D46" i="106" s="1"/>
  <c r="E45" i="106" a="1"/>
  <c r="E45" i="106" s="1"/>
  <c r="D45" i="106" a="1"/>
  <c r="D45" i="106" s="1"/>
  <c r="E44" i="106" a="1"/>
  <c r="E44" i="106" s="1"/>
  <c r="D44" i="106" a="1"/>
  <c r="D44" i="106" s="1"/>
  <c r="D42" i="106" a="1"/>
  <c r="D42" i="106" s="1"/>
  <c r="D41" i="106" a="1"/>
  <c r="D41" i="106" s="1"/>
  <c r="E39" i="106" a="1"/>
  <c r="E39" i="106" s="1"/>
  <c r="D39" i="106" a="1"/>
  <c r="D39" i="106" s="1"/>
  <c r="E38" i="106" a="1"/>
  <c r="E38" i="106" s="1"/>
  <c r="D38" i="106" a="1"/>
  <c r="D38" i="106" s="1"/>
  <c r="E37" i="106" a="1"/>
  <c r="E37" i="106" s="1"/>
  <c r="D37" i="106" a="1"/>
  <c r="D37" i="106" s="1"/>
  <c r="E36" i="106" a="1"/>
  <c r="E36" i="106" s="1"/>
  <c r="D36" i="106" a="1"/>
  <c r="D36" i="106" s="1"/>
  <c r="E35" i="106" a="1"/>
  <c r="E35" i="106" s="1"/>
  <c r="D35" i="106" a="1"/>
  <c r="D35" i="106" s="1"/>
  <c r="E34" i="106" a="1"/>
  <c r="E34" i="106" s="1"/>
  <c r="D34" i="106" a="1"/>
  <c r="D34" i="106" s="1"/>
  <c r="E33" i="106" a="1"/>
  <c r="E33" i="106" s="1"/>
  <c r="D33" i="106" a="1"/>
  <c r="D33" i="106" s="1"/>
  <c r="E32" i="106" a="1"/>
  <c r="E32" i="106" s="1"/>
  <c r="D32" i="106" a="1"/>
  <c r="D32" i="106" s="1"/>
  <c r="D30" i="106" a="1"/>
  <c r="D30" i="106" s="1"/>
  <c r="D29" i="106" a="1"/>
  <c r="D29" i="106" s="1"/>
  <c r="F27" i="106" a="1"/>
  <c r="F27" i="106" s="1"/>
  <c r="E27" i="106" a="1"/>
  <c r="E27" i="106" s="1"/>
  <c r="D27" i="106" a="1"/>
  <c r="D27" i="106" s="1"/>
  <c r="F26" i="106" a="1"/>
  <c r="F26" i="106" s="1"/>
  <c r="E26" i="106" a="1"/>
  <c r="E26" i="106" s="1"/>
  <c r="D26" i="106" a="1"/>
  <c r="D26" i="106" s="1"/>
  <c r="F25" i="106" a="1"/>
  <c r="F25" i="106" s="1"/>
  <c r="E25" i="106" a="1"/>
  <c r="E25" i="106" s="1"/>
  <c r="D25" i="106" a="1"/>
  <c r="D25" i="106" s="1"/>
  <c r="F24" i="106" a="1"/>
  <c r="F24" i="106" s="1"/>
  <c r="E24" i="106" a="1"/>
  <c r="E24" i="106" s="1"/>
  <c r="D24" i="106" a="1"/>
  <c r="D24" i="106" s="1"/>
  <c r="F23" i="106" a="1"/>
  <c r="F23" i="106" s="1"/>
  <c r="E23" i="106" a="1"/>
  <c r="E23" i="106" s="1"/>
  <c r="D23" i="106" a="1"/>
  <c r="D23" i="106" s="1"/>
  <c r="F22" i="106" a="1"/>
  <c r="F22" i="106" s="1"/>
  <c r="E22" i="106" a="1"/>
  <c r="E22" i="106" s="1"/>
  <c r="D22" i="106" a="1"/>
  <c r="D22" i="106" s="1"/>
  <c r="F21" i="106" a="1"/>
  <c r="F21" i="106" s="1"/>
  <c r="E21" i="106" a="1"/>
  <c r="E21" i="106" s="1"/>
  <c r="D21" i="106" a="1"/>
  <c r="D21" i="106" s="1"/>
  <c r="F20" i="106" a="1"/>
  <c r="F20" i="106" s="1"/>
  <c r="E20" i="106" a="1"/>
  <c r="E20" i="106" s="1"/>
  <c r="D20" i="106" a="1"/>
  <c r="D20" i="106" s="1"/>
  <c r="F19" i="106" a="1"/>
  <c r="F19" i="106" s="1"/>
  <c r="E19" i="106" a="1"/>
  <c r="E19" i="106" s="1"/>
  <c r="D19" i="106" a="1"/>
  <c r="D19" i="106" s="1"/>
  <c r="F18" i="106" a="1"/>
  <c r="F18" i="106" s="1"/>
  <c r="E18" i="106" a="1"/>
  <c r="E18" i="106" s="1"/>
  <c r="D18" i="106" a="1"/>
  <c r="D18" i="106" s="1"/>
  <c r="F17" i="106" a="1"/>
  <c r="F17" i="106" s="1"/>
  <c r="E17" i="106" a="1"/>
  <c r="E17" i="106" s="1"/>
  <c r="D17" i="106" a="1"/>
  <c r="D17" i="106" s="1"/>
  <c r="F16" i="106" a="1"/>
  <c r="F16" i="106" s="1"/>
  <c r="E16" i="106" a="1"/>
  <c r="E16" i="106" s="1"/>
  <c r="D16" i="106" a="1"/>
  <c r="D16" i="106" s="1"/>
  <c r="F15" i="106" a="1"/>
  <c r="F15" i="106" s="1"/>
  <c r="E15" i="106" a="1"/>
  <c r="E15" i="106" s="1"/>
  <c r="D15" i="106" a="1"/>
  <c r="D15"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D8" i="106" a="1"/>
  <c r="D8" i="106" s="1"/>
  <c r="D7" i="106" a="1"/>
  <c r="D7" i="106" s="1"/>
  <c r="D6" i="106" a="1"/>
  <c r="D6" i="106" s="1"/>
  <c r="I237" i="105" a="1"/>
  <c r="I237" i="105" s="1"/>
  <c r="H237" i="105" a="1"/>
  <c r="H237" i="105" s="1"/>
  <c r="G237" i="105" a="1"/>
  <c r="G237" i="105" s="1"/>
  <c r="F237" i="105" a="1"/>
  <c r="F237" i="105" s="1"/>
  <c r="E237" i="105" a="1"/>
  <c r="E237" i="105" s="1"/>
  <c r="D237" i="105" a="1"/>
  <c r="D237" i="105" s="1"/>
  <c r="I236" i="105" a="1"/>
  <c r="I236" i="105" s="1"/>
  <c r="H236" i="105" a="1"/>
  <c r="H236" i="105" s="1"/>
  <c r="G236" i="105" a="1"/>
  <c r="G236" i="105" s="1"/>
  <c r="F236" i="105" a="1"/>
  <c r="F236" i="105" s="1"/>
  <c r="E236" i="105" a="1"/>
  <c r="E236" i="105" s="1"/>
  <c r="D236" i="105" a="1"/>
  <c r="D236" i="105" s="1"/>
  <c r="I235" i="105" a="1"/>
  <c r="I235" i="105" s="1"/>
  <c r="H235" i="105" a="1"/>
  <c r="H235" i="105" s="1"/>
  <c r="G235" i="105" a="1"/>
  <c r="G235" i="105" s="1"/>
  <c r="F235" i="105" a="1"/>
  <c r="F235" i="105" s="1"/>
  <c r="E235" i="105" a="1"/>
  <c r="E235" i="105" s="1"/>
  <c r="E302" i="103" s="1" a="1"/>
  <c r="E302" i="103" s="1"/>
  <c r="D235" i="105" a="1"/>
  <c r="D235" i="105" s="1"/>
  <c r="I231" i="105" a="1"/>
  <c r="I231" i="105" s="1"/>
  <c r="H231" i="105" a="1"/>
  <c r="H231" i="105" s="1"/>
  <c r="G231" i="105" a="1"/>
  <c r="G231" i="105" s="1"/>
  <c r="F231" i="105" a="1"/>
  <c r="F231" i="105" s="1"/>
  <c r="E231" i="105" a="1"/>
  <c r="E231" i="105" s="1"/>
  <c r="D231" i="105" a="1"/>
  <c r="D231" i="105" s="1"/>
  <c r="I230" i="105" a="1"/>
  <c r="I230" i="105" s="1"/>
  <c r="H230" i="105" a="1"/>
  <c r="H230" i="105" s="1"/>
  <c r="G230" i="105" a="1"/>
  <c r="G230" i="105" s="1"/>
  <c r="F230" i="105" a="1"/>
  <c r="F230" i="105" s="1"/>
  <c r="E230" i="105" a="1"/>
  <c r="E230" i="105" s="1"/>
  <c r="D230" i="105" a="1"/>
  <c r="D230" i="105" s="1"/>
  <c r="I229" i="105" a="1"/>
  <c r="I229" i="105" s="1"/>
  <c r="H229" i="105" a="1"/>
  <c r="H229" i="105" s="1"/>
  <c r="G229" i="105" a="1"/>
  <c r="G229" i="105" s="1"/>
  <c r="F229" i="105" a="1"/>
  <c r="F229" i="105" s="1"/>
  <c r="E229" i="105" a="1"/>
  <c r="E229" i="105" s="1"/>
  <c r="D229" i="105" a="1"/>
  <c r="D229" i="105" s="1"/>
  <c r="I228" i="105" a="1"/>
  <c r="I228" i="105" s="1"/>
  <c r="H228" i="105" a="1"/>
  <c r="H228" i="105" s="1"/>
  <c r="G228" i="105" a="1"/>
  <c r="G228" i="105" s="1"/>
  <c r="F228" i="105" a="1"/>
  <c r="F228" i="105" s="1"/>
  <c r="E228" i="105" a="1"/>
  <c r="E228" i="105" s="1"/>
  <c r="D228" i="105" a="1"/>
  <c r="D228" i="105" s="1"/>
  <c r="I227" i="105" a="1"/>
  <c r="I227" i="105" s="1"/>
  <c r="H227" i="105" a="1"/>
  <c r="H227" i="105" s="1"/>
  <c r="G227" i="105" a="1"/>
  <c r="G227" i="105" s="1"/>
  <c r="F227" i="105" a="1"/>
  <c r="F227" i="105" s="1"/>
  <c r="E227" i="105" a="1"/>
  <c r="E227" i="105" s="1"/>
  <c r="D227" i="105" a="1"/>
  <c r="D227" i="105" s="1"/>
  <c r="I226" i="105" a="1"/>
  <c r="I226" i="105" s="1"/>
  <c r="H226" i="105" a="1"/>
  <c r="H226" i="105" s="1"/>
  <c r="G226" i="105" a="1"/>
  <c r="G226" i="105" s="1"/>
  <c r="F226" i="105" a="1"/>
  <c r="F226" i="105" s="1"/>
  <c r="E226" i="105" a="1"/>
  <c r="E226" i="105" s="1"/>
  <c r="D226" i="105" a="1"/>
  <c r="D226" i="105" s="1"/>
  <c r="I225" i="105" a="1"/>
  <c r="I225" i="105" s="1"/>
  <c r="H225" i="105" a="1"/>
  <c r="H225" i="105" s="1"/>
  <c r="G225" i="105" a="1"/>
  <c r="G225" i="105" s="1"/>
  <c r="F225" i="105" a="1"/>
  <c r="F225" i="105" s="1"/>
  <c r="E225" i="105" a="1"/>
  <c r="E225" i="105" s="1"/>
  <c r="D225" i="105" a="1"/>
  <c r="D225" i="105" s="1"/>
  <c r="I224" i="105" a="1"/>
  <c r="I224" i="105" s="1"/>
  <c r="H224" i="105" a="1"/>
  <c r="H224" i="105" s="1"/>
  <c r="G224" i="105" a="1"/>
  <c r="G224" i="105" s="1"/>
  <c r="F224" i="105" a="1"/>
  <c r="F224" i="105" s="1"/>
  <c r="E224" i="105" a="1"/>
  <c r="E224" i="105" s="1"/>
  <c r="D224" i="105" a="1"/>
  <c r="D224" i="105" s="1"/>
  <c r="I223" i="105" a="1"/>
  <c r="I223" i="105" s="1"/>
  <c r="H223" i="105" a="1"/>
  <c r="H223" i="105" s="1"/>
  <c r="G223" i="105" a="1"/>
  <c r="G223" i="105" s="1"/>
  <c r="F223" i="105" a="1"/>
  <c r="F223" i="105" s="1"/>
  <c r="E223" i="105" a="1"/>
  <c r="E223" i="105" s="1"/>
  <c r="D223" i="105" a="1"/>
  <c r="D223" i="105" s="1"/>
  <c r="I222" i="105" a="1"/>
  <c r="I222" i="105" s="1"/>
  <c r="H222" i="105" a="1"/>
  <c r="H222" i="105" s="1"/>
  <c r="G222" i="105" a="1"/>
  <c r="G222" i="105" s="1"/>
  <c r="F222" i="105" a="1"/>
  <c r="F222" i="105" s="1"/>
  <c r="E222" i="105" a="1"/>
  <c r="E222" i="105" s="1"/>
  <c r="D222" i="105" a="1"/>
  <c r="D222" i="105" s="1"/>
  <c r="I221" i="105" a="1"/>
  <c r="I221" i="105" s="1"/>
  <c r="H221" i="105" a="1"/>
  <c r="H221" i="105" s="1"/>
  <c r="G221" i="105" a="1"/>
  <c r="G221" i="105" s="1"/>
  <c r="F221" i="105" a="1"/>
  <c r="F221" i="105" s="1"/>
  <c r="E221" i="105" a="1"/>
  <c r="E221" i="105" s="1"/>
  <c r="D221" i="105" a="1"/>
  <c r="D221" i="105" s="1"/>
  <c r="I220" i="105" a="1"/>
  <c r="I220" i="105" s="1"/>
  <c r="H220" i="105" a="1"/>
  <c r="H220" i="105" s="1"/>
  <c r="G220" i="105" a="1"/>
  <c r="G220" i="105" s="1"/>
  <c r="F220" i="105" a="1"/>
  <c r="F220" i="105" s="1"/>
  <c r="E220" i="105" a="1"/>
  <c r="E220" i="105" s="1"/>
  <c r="D270" i="103" s="1" a="1"/>
  <c r="D220" i="105" a="1"/>
  <c r="D220" i="105" s="1"/>
  <c r="I216" i="105" a="1"/>
  <c r="I216" i="105" s="1"/>
  <c r="H216" i="105" a="1"/>
  <c r="H216" i="105" s="1"/>
  <c r="G216" i="105" a="1"/>
  <c r="G216" i="105" s="1"/>
  <c r="F216" i="105" a="1"/>
  <c r="F216" i="105" s="1"/>
  <c r="E216" i="105" a="1"/>
  <c r="E216" i="105" s="1"/>
  <c r="D216" i="105" a="1"/>
  <c r="D216" i="105" s="1"/>
  <c r="I215" i="105" a="1"/>
  <c r="I215" i="105" s="1"/>
  <c r="H215" i="105" a="1"/>
  <c r="H215" i="105" s="1"/>
  <c r="G215" i="105" a="1"/>
  <c r="G215" i="105" s="1"/>
  <c r="F215" i="105" a="1"/>
  <c r="F215" i="105" s="1"/>
  <c r="E215" i="105" a="1"/>
  <c r="E215" i="105" s="1"/>
  <c r="D215" i="105" a="1"/>
  <c r="D215" i="105" s="1"/>
  <c r="I214" i="105" a="1"/>
  <c r="I214" i="105" s="1"/>
  <c r="H214" i="105" a="1"/>
  <c r="H214" i="105" s="1"/>
  <c r="G214" i="105" a="1"/>
  <c r="G214" i="105" s="1"/>
  <c r="F214" i="105" a="1"/>
  <c r="F214" i="105" s="1"/>
  <c r="E214" i="105" a="1"/>
  <c r="E214" i="105" s="1"/>
  <c r="D214" i="105" a="1"/>
  <c r="D214" i="105" s="1"/>
  <c r="I213" i="105" a="1"/>
  <c r="I213" i="105" s="1"/>
  <c r="H213" i="105" a="1"/>
  <c r="H213" i="105" s="1"/>
  <c r="G213" i="105" a="1"/>
  <c r="G213" i="105" s="1"/>
  <c r="F213" i="105" a="1"/>
  <c r="F213" i="105" s="1"/>
  <c r="E213" i="105" a="1"/>
  <c r="E213" i="105" s="1"/>
  <c r="G369" i="103" s="1" a="1"/>
  <c r="G369" i="103" s="1"/>
  <c r="D213" i="105" a="1"/>
  <c r="D213" i="105" s="1"/>
  <c r="I209" i="105" a="1"/>
  <c r="I209" i="105" s="1"/>
  <c r="H209" i="105" a="1"/>
  <c r="H209" i="105" s="1"/>
  <c r="G209" i="105" a="1"/>
  <c r="G209" i="105" s="1"/>
  <c r="F209" i="105" a="1"/>
  <c r="F209" i="105" s="1"/>
  <c r="E209" i="105" a="1"/>
  <c r="E209" i="105" s="1"/>
  <c r="D125" i="100" s="1"/>
  <c r="D470" i="103" s="1"/>
  <c r="F470" i="103" s="1" a="1"/>
  <c r="F470" i="103" s="1"/>
  <c r="D209" i="105" a="1"/>
  <c r="D209" i="105" s="1"/>
  <c r="I208" i="105" a="1"/>
  <c r="I208" i="105" s="1"/>
  <c r="H208" i="105" a="1"/>
  <c r="H208" i="105" s="1"/>
  <c r="G208" i="105" a="1"/>
  <c r="G208" i="105" s="1"/>
  <c r="F208" i="105" a="1"/>
  <c r="F208" i="105" s="1"/>
  <c r="E208" i="105" a="1"/>
  <c r="E208" i="105" s="1"/>
  <c r="D124" i="100" s="1"/>
  <c r="D469" i="103" s="1"/>
  <c r="F469" i="103" s="1" a="1"/>
  <c r="F469" i="103" s="1"/>
  <c r="D208" i="105" a="1"/>
  <c r="D208" i="105" s="1"/>
  <c r="I207" i="105" a="1"/>
  <c r="I207" i="105" s="1"/>
  <c r="H207" i="105" a="1"/>
  <c r="H207" i="105" s="1"/>
  <c r="G207" i="105" a="1"/>
  <c r="G207" i="105" s="1"/>
  <c r="F207" i="105" a="1"/>
  <c r="F207" i="105" s="1"/>
  <c r="E207" i="105" a="1"/>
  <c r="E207" i="105" s="1"/>
  <c r="D123" i="100" s="1"/>
  <c r="D468" i="103" s="1"/>
  <c r="F468" i="103" s="1" a="1"/>
  <c r="F468" i="103" s="1"/>
  <c r="D207" i="105" a="1"/>
  <c r="D207" i="105" s="1"/>
  <c r="I206" i="105" a="1"/>
  <c r="I206" i="105" s="1"/>
  <c r="H206" i="105" a="1"/>
  <c r="H206" i="105" s="1"/>
  <c r="G206" i="105" a="1"/>
  <c r="G206" i="105" s="1"/>
  <c r="F206" i="105" a="1"/>
  <c r="F206" i="105" s="1"/>
  <c r="E206" i="105" a="1"/>
  <c r="E206" i="105" s="1"/>
  <c r="D130" i="100" s="1"/>
  <c r="D481" i="103" s="1"/>
  <c r="F481" i="103" s="1" a="1"/>
  <c r="F481" i="103" s="1"/>
  <c r="D206" i="105" a="1"/>
  <c r="D206" i="105" s="1"/>
  <c r="I205" i="105" a="1"/>
  <c r="I205" i="105" s="1"/>
  <c r="H205" i="105" a="1"/>
  <c r="H205" i="105" s="1"/>
  <c r="G205" i="105" a="1"/>
  <c r="G205" i="105" s="1"/>
  <c r="F205" i="105" a="1"/>
  <c r="F205" i="105" s="1"/>
  <c r="E205" i="105" a="1"/>
  <c r="E205" i="105" s="1"/>
  <c r="D122" i="100" s="1"/>
  <c r="D467" i="103" s="1"/>
  <c r="F467" i="103" s="1" a="1"/>
  <c r="F467" i="103" s="1"/>
  <c r="D205" i="105" a="1"/>
  <c r="D205" i="105" s="1"/>
  <c r="I204" i="105" a="1"/>
  <c r="I204" i="105" s="1"/>
  <c r="H204" i="105" a="1"/>
  <c r="H204" i="105" s="1"/>
  <c r="G204" i="105" a="1"/>
  <c r="G204" i="105" s="1"/>
  <c r="F204" i="105" a="1"/>
  <c r="F204" i="105" s="1"/>
  <c r="E204" i="105" a="1"/>
  <c r="E204" i="105" s="1"/>
  <c r="D121" i="100" s="1"/>
  <c r="D466" i="103" s="1"/>
  <c r="F466" i="103" s="1" a="1"/>
  <c r="F466" i="103" s="1"/>
  <c r="D204" i="105" a="1"/>
  <c r="D204" i="105" s="1"/>
  <c r="I203" i="105" a="1"/>
  <c r="I203" i="105" s="1"/>
  <c r="H203" i="105" a="1"/>
  <c r="H203" i="105" s="1"/>
  <c r="G203" i="105" a="1"/>
  <c r="G203" i="105" s="1"/>
  <c r="F203" i="105" a="1"/>
  <c r="F203" i="105" s="1"/>
  <c r="E203" i="105" a="1"/>
  <c r="E203" i="105" s="1"/>
  <c r="D129" i="100" s="1"/>
  <c r="D480" i="103" s="1"/>
  <c r="F480" i="103" s="1" a="1"/>
  <c r="F480" i="103" s="1"/>
  <c r="D203" i="105" a="1"/>
  <c r="D203" i="105" s="1"/>
  <c r="I202" i="105" a="1"/>
  <c r="I202" i="105" s="1"/>
  <c r="H202" i="105" a="1"/>
  <c r="H202" i="105" s="1"/>
  <c r="G202" i="105" a="1"/>
  <c r="G202" i="105" s="1"/>
  <c r="F202" i="105" a="1"/>
  <c r="F202" i="105" s="1"/>
  <c r="E202" i="105" a="1"/>
  <c r="E202" i="105" s="1"/>
  <c r="D128" i="100" s="1"/>
  <c r="D479" i="103" s="1"/>
  <c r="F479" i="103" s="1" a="1"/>
  <c r="F479" i="103" s="1"/>
  <c r="D202" i="105" a="1"/>
  <c r="D202" i="105" s="1"/>
  <c r="M198" i="105" a="1"/>
  <c r="M198" i="105" s="1"/>
  <c r="L198" i="105" a="1"/>
  <c r="L198" i="105" s="1"/>
  <c r="K198" i="105" a="1"/>
  <c r="K198" i="105" s="1"/>
  <c r="F198" i="105" a="1"/>
  <c r="F198" i="105" s="1"/>
  <c r="E198" i="105" a="1"/>
  <c r="E198" i="105" s="1"/>
  <c r="D198" i="105" a="1"/>
  <c r="D198" i="105" s="1"/>
  <c r="M197" i="105" a="1"/>
  <c r="M197" i="105" s="1"/>
  <c r="L197" i="105" a="1"/>
  <c r="L197" i="105" s="1"/>
  <c r="K197" i="105" a="1"/>
  <c r="K197" i="105" s="1"/>
  <c r="F197" i="105" a="1"/>
  <c r="F197" i="105" s="1"/>
  <c r="E197" i="105" a="1"/>
  <c r="E197" i="105" s="1"/>
  <c r="D197" i="105" a="1"/>
  <c r="D197" i="105" s="1"/>
  <c r="M196" i="105" a="1"/>
  <c r="M196" i="105" s="1"/>
  <c r="L196" i="105" a="1"/>
  <c r="L196" i="105" s="1"/>
  <c r="K196" i="105" a="1"/>
  <c r="K196" i="105" s="1"/>
  <c r="F196" i="105" a="1"/>
  <c r="F196" i="105" s="1"/>
  <c r="E196" i="105" a="1"/>
  <c r="E196" i="105" s="1"/>
  <c r="D196" i="105" a="1"/>
  <c r="D196" i="105" s="1"/>
  <c r="M195" i="105" a="1"/>
  <c r="M195" i="105" s="1"/>
  <c r="L195" i="105" a="1"/>
  <c r="L195" i="105" s="1"/>
  <c r="K195" i="105" a="1"/>
  <c r="K195" i="105" s="1"/>
  <c r="F195" i="105" a="1"/>
  <c r="F195" i="105" s="1"/>
  <c r="E195" i="105" a="1"/>
  <c r="E195" i="105" s="1"/>
  <c r="D195" i="105" a="1"/>
  <c r="D195" i="105" s="1"/>
  <c r="M194" i="105" a="1"/>
  <c r="M194" i="105" s="1"/>
  <c r="L194" i="105" a="1"/>
  <c r="L194" i="105" s="1"/>
  <c r="K194" i="105" a="1"/>
  <c r="K194" i="105" s="1"/>
  <c r="F194" i="105" a="1"/>
  <c r="F194" i="105" s="1"/>
  <c r="E194" i="105" a="1"/>
  <c r="E194" i="105" s="1"/>
  <c r="D194" i="105" a="1"/>
  <c r="D194" i="105" s="1"/>
  <c r="M193" i="105" a="1"/>
  <c r="M193" i="105" s="1"/>
  <c r="L193" i="105" a="1"/>
  <c r="L193" i="105" s="1"/>
  <c r="K193" i="105" a="1"/>
  <c r="K193" i="105" s="1"/>
  <c r="F193" i="105" a="1"/>
  <c r="F193" i="105" s="1"/>
  <c r="E193" i="105" a="1"/>
  <c r="E193" i="105" s="1"/>
  <c r="D193" i="105" a="1"/>
  <c r="D193" i="105" s="1"/>
  <c r="M192" i="105" a="1"/>
  <c r="M192" i="105" s="1"/>
  <c r="L192" i="105" a="1"/>
  <c r="L192" i="105" s="1"/>
  <c r="K192" i="105" a="1"/>
  <c r="K192" i="105" s="1"/>
  <c r="F192" i="105" a="1"/>
  <c r="F192" i="105" s="1"/>
  <c r="E192" i="105" a="1"/>
  <c r="E192" i="105" s="1"/>
  <c r="D192" i="105" a="1"/>
  <c r="D192" i="105" s="1"/>
  <c r="M191" i="105" a="1"/>
  <c r="M191" i="105" s="1"/>
  <c r="L191" i="105" a="1"/>
  <c r="L191" i="105" s="1"/>
  <c r="K191" i="105" a="1"/>
  <c r="K191" i="105" s="1"/>
  <c r="F191" i="105" a="1"/>
  <c r="F191" i="105" s="1"/>
  <c r="E191" i="105" a="1"/>
  <c r="E191" i="105" s="1"/>
  <c r="D191" i="105" a="1"/>
  <c r="D191" i="105" s="1"/>
  <c r="M190" i="105" a="1"/>
  <c r="M190" i="105" s="1"/>
  <c r="L190" i="105" a="1"/>
  <c r="L190" i="105" s="1"/>
  <c r="K190" i="105" a="1"/>
  <c r="K190" i="105" s="1"/>
  <c r="F190" i="105" a="1"/>
  <c r="F190" i="105" s="1"/>
  <c r="E190" i="105" a="1"/>
  <c r="E190" i="105" s="1"/>
  <c r="D190" i="105" a="1"/>
  <c r="D190" i="105" s="1"/>
  <c r="M189" i="105" a="1"/>
  <c r="M189" i="105" s="1"/>
  <c r="L189" i="105" a="1"/>
  <c r="L189" i="105" s="1"/>
  <c r="K189" i="105" a="1"/>
  <c r="K189" i="105" s="1"/>
  <c r="F189" i="105" a="1"/>
  <c r="F189" i="105" s="1"/>
  <c r="E189" i="105" a="1"/>
  <c r="E189" i="105" s="1"/>
  <c r="D189" i="105" a="1"/>
  <c r="D189" i="105" s="1"/>
  <c r="M188" i="105" a="1"/>
  <c r="M188" i="105" s="1"/>
  <c r="L188" i="105" a="1"/>
  <c r="L188" i="105" s="1"/>
  <c r="K188" i="105" a="1"/>
  <c r="K188" i="105" s="1"/>
  <c r="F188" i="105" a="1"/>
  <c r="F188" i="105" s="1"/>
  <c r="E188" i="105" a="1"/>
  <c r="E188" i="105" s="1"/>
  <c r="D188" i="105" a="1"/>
  <c r="D188" i="105" s="1"/>
  <c r="M187" i="105" a="1"/>
  <c r="M187" i="105" s="1"/>
  <c r="L187" i="105" a="1"/>
  <c r="L187" i="105" s="1"/>
  <c r="K187" i="105" a="1"/>
  <c r="K187" i="105" s="1"/>
  <c r="F187" i="105" a="1"/>
  <c r="F187" i="105" s="1"/>
  <c r="E187" i="105" a="1"/>
  <c r="E187" i="105" s="1"/>
  <c r="D187" i="105" a="1"/>
  <c r="D187" i="105" s="1"/>
  <c r="M186" i="105" a="1"/>
  <c r="M186" i="105" s="1"/>
  <c r="L186" i="105" a="1"/>
  <c r="L186" i="105" s="1"/>
  <c r="K186" i="105" a="1"/>
  <c r="K186" i="105" s="1"/>
  <c r="F186" i="105" a="1"/>
  <c r="F186" i="105" s="1"/>
  <c r="E186" i="105" a="1"/>
  <c r="E186" i="105" s="1"/>
  <c r="D186" i="105" a="1"/>
  <c r="D186" i="105" s="1"/>
  <c r="M185" i="105" a="1"/>
  <c r="M185" i="105" s="1"/>
  <c r="L185" i="105" a="1"/>
  <c r="L185" i="105" s="1"/>
  <c r="K185" i="105"/>
  <c r="K185" i="105" a="1"/>
  <c r="F185" i="105" a="1"/>
  <c r="F185" i="105" s="1"/>
  <c r="E185" i="105" a="1"/>
  <c r="E185" i="105" s="1"/>
  <c r="D185" i="105" a="1"/>
  <c r="D185" i="105" s="1"/>
  <c r="M184" i="105" a="1"/>
  <c r="M184" i="105" s="1"/>
  <c r="L184" i="105" a="1"/>
  <c r="L184" i="105" s="1"/>
  <c r="K184" i="105" a="1"/>
  <c r="K184" i="105" s="1"/>
  <c r="F184" i="105" a="1"/>
  <c r="F184" i="105" s="1"/>
  <c r="E184" i="105" a="1"/>
  <c r="E184" i="105" s="1"/>
  <c r="D184" i="105" a="1"/>
  <c r="D184" i="105" s="1"/>
  <c r="M183" i="105" a="1"/>
  <c r="M183" i="105" s="1"/>
  <c r="L183" i="105" a="1"/>
  <c r="L183" i="105" s="1"/>
  <c r="K183" i="105" a="1"/>
  <c r="K183" i="105" s="1"/>
  <c r="F183" i="105" a="1"/>
  <c r="F183" i="105" s="1"/>
  <c r="E183" i="105" a="1"/>
  <c r="E183" i="105" s="1"/>
  <c r="D183" i="105" a="1"/>
  <c r="D183" i="105" s="1"/>
  <c r="M182" i="105"/>
  <c r="M182" i="105" a="1"/>
  <c r="L182" i="105" a="1"/>
  <c r="L182" i="105" s="1"/>
  <c r="K182" i="105" a="1"/>
  <c r="K182" i="105" s="1"/>
  <c r="F182" i="105" a="1"/>
  <c r="F182" i="105" s="1"/>
  <c r="E182" i="105" a="1"/>
  <c r="E182" i="105" s="1"/>
  <c r="D182" i="105" a="1"/>
  <c r="D182" i="105" s="1"/>
  <c r="M181" i="105" a="1"/>
  <c r="M181" i="105" s="1"/>
  <c r="L181" i="105" a="1"/>
  <c r="L181" i="105" s="1"/>
  <c r="K181" i="105" a="1"/>
  <c r="K181" i="105" s="1"/>
  <c r="F181" i="105" a="1"/>
  <c r="F181" i="105" s="1"/>
  <c r="E181" i="105" a="1"/>
  <c r="E181" i="105" s="1"/>
  <c r="D181" i="105" a="1"/>
  <c r="D181" i="105" s="1"/>
  <c r="M180" i="105" a="1"/>
  <c r="M180" i="105" s="1"/>
  <c r="L180" i="105" a="1"/>
  <c r="L180" i="105" s="1"/>
  <c r="K180" i="105" a="1"/>
  <c r="K180" i="105" s="1"/>
  <c r="F180" i="105" a="1"/>
  <c r="F180" i="105" s="1"/>
  <c r="E180" i="105" a="1"/>
  <c r="E180" i="105" s="1"/>
  <c r="D180" i="105" a="1"/>
  <c r="D180" i="105" s="1"/>
  <c r="M179" i="105" a="1"/>
  <c r="M179" i="105" s="1"/>
  <c r="L179" i="105" a="1"/>
  <c r="L179" i="105" s="1"/>
  <c r="K179" i="105" a="1"/>
  <c r="K179" i="105" s="1"/>
  <c r="F179" i="105" a="1"/>
  <c r="F179" i="105" s="1"/>
  <c r="E179" i="105" a="1"/>
  <c r="E179" i="105" s="1"/>
  <c r="D179" i="105" a="1"/>
  <c r="D179" i="105" s="1"/>
  <c r="M178" i="105" a="1"/>
  <c r="M178" i="105" s="1"/>
  <c r="L178" i="105" a="1"/>
  <c r="L178" i="105" s="1"/>
  <c r="K178" i="105" a="1"/>
  <c r="K178" i="105" s="1"/>
  <c r="F178" i="105" a="1"/>
  <c r="F178" i="105" s="1"/>
  <c r="E178" i="105" a="1"/>
  <c r="E178" i="105" s="1"/>
  <c r="D178" i="105" a="1"/>
  <c r="D178" i="105" s="1"/>
  <c r="M177" i="105" a="1"/>
  <c r="M177" i="105" s="1"/>
  <c r="L177" i="105" a="1"/>
  <c r="L177" i="105" s="1"/>
  <c r="K177" i="105" a="1"/>
  <c r="K177" i="105" s="1"/>
  <c r="F177" i="105" a="1"/>
  <c r="F177" i="105" s="1"/>
  <c r="E177" i="105" a="1"/>
  <c r="E177" i="105" s="1"/>
  <c r="D177" i="105" a="1"/>
  <c r="D177" i="105" s="1"/>
  <c r="M176" i="105" a="1"/>
  <c r="M176" i="105" s="1"/>
  <c r="L176" i="105" a="1"/>
  <c r="L176" i="105" s="1"/>
  <c r="K176" i="105" a="1"/>
  <c r="K176" i="105" s="1"/>
  <c r="F176" i="105" a="1"/>
  <c r="F176" i="105" s="1"/>
  <c r="E176" i="105" a="1"/>
  <c r="E176" i="105" s="1"/>
  <c r="D176" i="105" a="1"/>
  <c r="D176" i="105" s="1"/>
  <c r="M175" i="105" a="1"/>
  <c r="M175" i="105" s="1"/>
  <c r="L175" i="105" a="1"/>
  <c r="L175" i="105" s="1"/>
  <c r="K175" i="105" a="1"/>
  <c r="K175" i="105" s="1"/>
  <c r="F175" i="105" a="1"/>
  <c r="F175" i="105" s="1"/>
  <c r="E175" i="105" a="1"/>
  <c r="E175" i="105" s="1"/>
  <c r="D175" i="105" a="1"/>
  <c r="D175" i="105" s="1"/>
  <c r="M174" i="105" a="1"/>
  <c r="M174" i="105" s="1"/>
  <c r="L174" i="105" a="1"/>
  <c r="L174" i="105" s="1"/>
  <c r="K174" i="105"/>
  <c r="K174" i="105" a="1"/>
  <c r="F174" i="105" a="1"/>
  <c r="F174" i="105" s="1"/>
  <c r="E174" i="105" a="1"/>
  <c r="E174" i="105" s="1"/>
  <c r="D174" i="105" a="1"/>
  <c r="D174" i="105" s="1"/>
  <c r="I170" i="105" a="1"/>
  <c r="I170" i="105" s="1"/>
  <c r="H170" i="105" a="1"/>
  <c r="H170" i="105" s="1"/>
  <c r="G170" i="105" a="1"/>
  <c r="G170" i="105" s="1"/>
  <c r="F170" i="105" a="1"/>
  <c r="F170" i="105" s="1"/>
  <c r="E170" i="105" a="1"/>
  <c r="E170" i="105" s="1"/>
  <c r="D170" i="105" a="1"/>
  <c r="D170" i="105" s="1"/>
  <c r="I169" i="105" a="1"/>
  <c r="I169" i="105" s="1"/>
  <c r="H169" i="105" a="1"/>
  <c r="H169" i="105" s="1"/>
  <c r="G169" i="105" a="1"/>
  <c r="G169" i="105" s="1"/>
  <c r="F169" i="105" a="1"/>
  <c r="F169" i="105" s="1"/>
  <c r="E169" i="105" a="1"/>
  <c r="E169" i="105" s="1"/>
  <c r="D169" i="105" a="1"/>
  <c r="D169" i="105" s="1"/>
  <c r="I168" i="105" a="1"/>
  <c r="I168" i="105" s="1"/>
  <c r="H168" i="105" a="1"/>
  <c r="H168" i="105" s="1"/>
  <c r="G168" i="105" a="1"/>
  <c r="G168" i="105" s="1"/>
  <c r="F168" i="105" a="1"/>
  <c r="F168" i="105" s="1"/>
  <c r="E168" i="105" a="1"/>
  <c r="E168" i="105" s="1"/>
  <c r="D51" i="100" s="1" a="1"/>
  <c r="D168" i="105" a="1"/>
  <c r="D168" i="105" s="1"/>
  <c r="I165" i="105" a="1"/>
  <c r="I165" i="105" s="1"/>
  <c r="H165" i="105" a="1"/>
  <c r="H165" i="105" s="1"/>
  <c r="G165" i="105" a="1"/>
  <c r="G165" i="105" s="1"/>
  <c r="F165" i="105" a="1"/>
  <c r="F165" i="105" s="1"/>
  <c r="E165" i="105" a="1"/>
  <c r="E165" i="105" s="1"/>
  <c r="D165" i="105" a="1"/>
  <c r="D165" i="105" s="1"/>
  <c r="I164" i="105" a="1"/>
  <c r="I164" i="105" s="1"/>
  <c r="H164" i="105" a="1"/>
  <c r="H164" i="105" s="1"/>
  <c r="G164" i="105" a="1"/>
  <c r="G164" i="105" s="1"/>
  <c r="F164" i="105" a="1"/>
  <c r="F164" i="105" s="1"/>
  <c r="E164" i="105" a="1"/>
  <c r="E164" i="105" s="1"/>
  <c r="D164" i="105" a="1"/>
  <c r="D164" i="105" s="1"/>
  <c r="I163" i="105" a="1"/>
  <c r="I163" i="105" s="1"/>
  <c r="H163" i="105" a="1"/>
  <c r="H163" i="105" s="1"/>
  <c r="G163" i="105" a="1"/>
  <c r="G163" i="105" s="1"/>
  <c r="F163" i="105" a="1"/>
  <c r="F163" i="105" s="1"/>
  <c r="E163" i="105" a="1"/>
  <c r="E163" i="105" s="1"/>
  <c r="D163" i="105" a="1"/>
  <c r="D163" i="105" s="1"/>
  <c r="I162" i="105" a="1"/>
  <c r="I162" i="105" s="1"/>
  <c r="H162" i="105" a="1"/>
  <c r="H162" i="105" s="1"/>
  <c r="G162" i="105" a="1"/>
  <c r="G162" i="105" s="1"/>
  <c r="F162" i="105" a="1"/>
  <c r="F162" i="105" s="1"/>
  <c r="E162" i="105" a="1"/>
  <c r="E162" i="105" s="1"/>
  <c r="D56" i="100" s="1" a="1"/>
  <c r="D162" i="105" a="1"/>
  <c r="D162" i="105" s="1"/>
  <c r="I159" i="105" a="1"/>
  <c r="I159" i="105" s="1"/>
  <c r="H159" i="105" a="1"/>
  <c r="H159" i="105" s="1"/>
  <c r="G159" i="105" a="1"/>
  <c r="G159" i="105" s="1"/>
  <c r="F159" i="105" a="1"/>
  <c r="F159" i="105" s="1"/>
  <c r="O159" i="105" s="1"/>
  <c r="E159" i="105" a="1"/>
  <c r="E159" i="105" s="1"/>
  <c r="N159" i="105" s="1"/>
  <c r="P158" i="105" s="1"/>
  <c r="D159" i="105" a="1"/>
  <c r="D159" i="105" s="1"/>
  <c r="I158" i="105" a="1"/>
  <c r="I158" i="105" s="1"/>
  <c r="H158" i="105" a="1"/>
  <c r="H158" i="105" s="1"/>
  <c r="G158" i="105" a="1"/>
  <c r="G158" i="105" s="1"/>
  <c r="F158" i="105" a="1"/>
  <c r="F158" i="105" s="1"/>
  <c r="L158" i="105" s="1"/>
  <c r="E158" i="105" a="1"/>
  <c r="E158" i="105" s="1"/>
  <c r="K158" i="105" s="1"/>
  <c r="M157" i="105" s="1"/>
  <c r="D158" i="105" a="1"/>
  <c r="D158" i="105" s="1"/>
  <c r="I157" i="105" a="1"/>
  <c r="I157" i="105" s="1"/>
  <c r="H157" i="105" a="1"/>
  <c r="H157" i="105" s="1"/>
  <c r="G157" i="105" a="1"/>
  <c r="G157" i="105" s="1"/>
  <c r="F157" i="105" a="1"/>
  <c r="F157" i="105" s="1"/>
  <c r="O157" i="105" s="1"/>
  <c r="E157" i="105" a="1"/>
  <c r="E157" i="105" s="1"/>
  <c r="N157" i="105" s="1"/>
  <c r="P156" i="105" s="1"/>
  <c r="D157" i="105" a="1"/>
  <c r="D157" i="105" s="1"/>
  <c r="I156" i="105" a="1"/>
  <c r="I156" i="105" s="1"/>
  <c r="H156" i="105" a="1"/>
  <c r="H156" i="105" s="1"/>
  <c r="G156" i="105" a="1"/>
  <c r="G156" i="105" s="1"/>
  <c r="F156" i="105" a="1"/>
  <c r="F156" i="105" s="1"/>
  <c r="L156" i="105" s="1"/>
  <c r="E156" i="105" a="1"/>
  <c r="E156" i="105" s="1"/>
  <c r="K156" i="105" s="1"/>
  <c r="M155" i="105" s="1"/>
  <c r="D156" i="105" a="1"/>
  <c r="D156" i="105" s="1"/>
  <c r="I155" i="105" a="1"/>
  <c r="I155" i="105" s="1"/>
  <c r="H155" i="105" a="1"/>
  <c r="H155" i="105" s="1"/>
  <c r="G155" i="105" a="1"/>
  <c r="G155" i="105" s="1"/>
  <c r="F155" i="105" a="1"/>
  <c r="F155" i="105" s="1"/>
  <c r="O155" i="105" s="1"/>
  <c r="E155" i="105" a="1"/>
  <c r="E155" i="105" s="1"/>
  <c r="N155" i="105" s="1"/>
  <c r="P154" i="105" s="1"/>
  <c r="D155" i="105" a="1"/>
  <c r="D155" i="105" s="1"/>
  <c r="I154" i="105" a="1"/>
  <c r="I154" i="105" s="1"/>
  <c r="H154" i="105" a="1"/>
  <c r="H154" i="105" s="1"/>
  <c r="G154" i="105" a="1"/>
  <c r="G154" i="105" s="1"/>
  <c r="F154" i="105" a="1"/>
  <c r="F154" i="105" s="1"/>
  <c r="L154" i="105" s="1"/>
  <c r="E154" i="105" a="1"/>
  <c r="E154" i="105" s="1"/>
  <c r="K154" i="105" s="1"/>
  <c r="M153" i="105" s="1"/>
  <c r="D154" i="105" a="1"/>
  <c r="D154" i="105" s="1"/>
  <c r="I153" i="105" a="1"/>
  <c r="I153" i="105" s="1"/>
  <c r="H153" i="105" a="1"/>
  <c r="H153" i="105" s="1"/>
  <c r="G153" i="105" a="1"/>
  <c r="G153" i="105" s="1"/>
  <c r="F153" i="105" a="1"/>
  <c r="F153" i="105" s="1"/>
  <c r="O153" i="105" s="1"/>
  <c r="E153" i="105" a="1"/>
  <c r="E153" i="105" s="1"/>
  <c r="N153" i="105" s="1"/>
  <c r="P152" i="105" s="1"/>
  <c r="D153" i="105" a="1"/>
  <c r="D153" i="105" s="1"/>
  <c r="I152" i="105" a="1"/>
  <c r="I152" i="105" s="1"/>
  <c r="H152" i="105" a="1"/>
  <c r="H152" i="105" s="1"/>
  <c r="G152" i="105" a="1"/>
  <c r="G152" i="105" s="1"/>
  <c r="F152" i="105" a="1"/>
  <c r="F152" i="105" s="1"/>
  <c r="L152" i="105" s="1"/>
  <c r="E152" i="105" a="1"/>
  <c r="E152" i="105" s="1"/>
  <c r="K152" i="105" s="1"/>
  <c r="M151" i="105" s="1"/>
  <c r="D152" i="105" a="1"/>
  <c r="D152" i="105" s="1"/>
  <c r="I151" i="105" a="1"/>
  <c r="I151" i="105" s="1"/>
  <c r="H151" i="105" a="1"/>
  <c r="H151" i="105" s="1"/>
  <c r="G151" i="105" a="1"/>
  <c r="G151" i="105" s="1"/>
  <c r="F151" i="105" a="1"/>
  <c r="F151" i="105" s="1"/>
  <c r="O151" i="105" s="1"/>
  <c r="E151" i="105" a="1"/>
  <c r="E151" i="105" s="1"/>
  <c r="N151" i="105" s="1"/>
  <c r="D151" i="105" a="1"/>
  <c r="D151" i="105" s="1"/>
  <c r="I150" i="105" a="1"/>
  <c r="I150" i="105" s="1"/>
  <c r="H150" i="105" a="1"/>
  <c r="H150" i="105" s="1"/>
  <c r="G150" i="105" a="1"/>
  <c r="G150" i="105" s="1"/>
  <c r="F150" i="105" a="1"/>
  <c r="F150" i="105" s="1"/>
  <c r="O150" i="105" s="1"/>
  <c r="E150" i="105" a="1"/>
  <c r="E150" i="105" s="1"/>
  <c r="N150" i="105" s="1"/>
  <c r="D150" i="105" a="1"/>
  <c r="D150" i="105" s="1"/>
  <c r="I149" i="105" a="1"/>
  <c r="I149" i="105" s="1"/>
  <c r="H149" i="105" a="1"/>
  <c r="H149" i="105" s="1"/>
  <c r="G149" i="105" a="1"/>
  <c r="G149" i="105" s="1"/>
  <c r="F149" i="105" a="1"/>
  <c r="F149" i="105" s="1"/>
  <c r="O149" i="105" s="1"/>
  <c r="E149" i="105" a="1"/>
  <c r="E149" i="105" s="1"/>
  <c r="N149" i="105" s="1"/>
  <c r="D149" i="105" a="1"/>
  <c r="D149" i="105" s="1"/>
  <c r="I148" i="105" a="1"/>
  <c r="I148" i="105" s="1"/>
  <c r="H148" i="105" a="1"/>
  <c r="H148" i="105" s="1"/>
  <c r="G148" i="105" a="1"/>
  <c r="G148" i="105" s="1"/>
  <c r="F148" i="105" a="1"/>
  <c r="F148" i="105" s="1"/>
  <c r="O148" i="105" s="1"/>
  <c r="E148" i="105" a="1"/>
  <c r="E148" i="105" s="1"/>
  <c r="N148" i="105" s="1"/>
  <c r="D148" i="105" a="1"/>
  <c r="D148" i="105" s="1"/>
  <c r="I147" i="105" a="1"/>
  <c r="I147" i="105" s="1"/>
  <c r="H147" i="105" a="1"/>
  <c r="H147" i="105" s="1"/>
  <c r="G147" i="105" a="1"/>
  <c r="G147" i="105" s="1"/>
  <c r="F147" i="105" a="1"/>
  <c r="F147" i="105" s="1"/>
  <c r="O147" i="105" s="1"/>
  <c r="E147" i="105" a="1"/>
  <c r="E147" i="105" s="1"/>
  <c r="N147" i="105" s="1"/>
  <c r="D147" i="105" a="1"/>
  <c r="D147" i="105" s="1"/>
  <c r="I146" i="105" a="1"/>
  <c r="I146" i="105" s="1"/>
  <c r="H146" i="105" a="1"/>
  <c r="H146" i="105" s="1"/>
  <c r="G146" i="105" a="1"/>
  <c r="G146" i="105" s="1"/>
  <c r="F146" i="105" a="1"/>
  <c r="F146" i="105" s="1"/>
  <c r="O146" i="105" s="1"/>
  <c r="E146" i="105" a="1"/>
  <c r="E146" i="105" s="1"/>
  <c r="N146" i="105" s="1"/>
  <c r="D146" i="105" a="1"/>
  <c r="D146" i="105" s="1"/>
  <c r="I145" i="105" a="1"/>
  <c r="I145" i="105" s="1"/>
  <c r="H145" i="105" a="1"/>
  <c r="H145" i="105" s="1"/>
  <c r="G145" i="105" a="1"/>
  <c r="G145" i="105" s="1"/>
  <c r="F145" i="105" a="1"/>
  <c r="F145" i="105" s="1"/>
  <c r="O145" i="105" s="1"/>
  <c r="E145" i="105" a="1"/>
  <c r="E145" i="105" s="1"/>
  <c r="N145" i="105" s="1"/>
  <c r="P144" i="105" s="1"/>
  <c r="D145" i="105" a="1"/>
  <c r="D145" i="105" s="1"/>
  <c r="I144" i="105" a="1"/>
  <c r="I144" i="105" s="1"/>
  <c r="H144" i="105" a="1"/>
  <c r="H144" i="105" s="1"/>
  <c r="G144" i="105" a="1"/>
  <c r="G144" i="105" s="1"/>
  <c r="F144" i="105" a="1"/>
  <c r="F144" i="105" s="1"/>
  <c r="L144" i="105" s="1"/>
  <c r="E144" i="105" a="1"/>
  <c r="E144" i="105" s="1"/>
  <c r="K144" i="105" s="1"/>
  <c r="D144" i="105" a="1"/>
  <c r="D144" i="105" s="1"/>
  <c r="I143" i="105" a="1"/>
  <c r="I143" i="105" s="1"/>
  <c r="H143" i="105" a="1"/>
  <c r="H143" i="105" s="1"/>
  <c r="G143" i="105" a="1"/>
  <c r="G143" i="105" s="1"/>
  <c r="F143" i="105" a="1"/>
  <c r="F143" i="105" s="1"/>
  <c r="L143" i="105" s="1"/>
  <c r="E143" i="105" a="1"/>
  <c r="E143" i="105" s="1"/>
  <c r="K143" i="105" s="1"/>
  <c r="D143" i="105" a="1"/>
  <c r="D143" i="105" s="1"/>
  <c r="I142" i="105" a="1"/>
  <c r="I142" i="105" s="1"/>
  <c r="H142" i="105" a="1"/>
  <c r="H142" i="105" s="1"/>
  <c r="G142" i="105" a="1"/>
  <c r="G142" i="105" s="1"/>
  <c r="F142" i="105" a="1"/>
  <c r="F142" i="105" s="1"/>
  <c r="L142" i="105" s="1"/>
  <c r="E142" i="105"/>
  <c r="K142" i="105" s="1"/>
  <c r="E142" i="105" a="1"/>
  <c r="D142" i="105" a="1"/>
  <c r="D142" i="105" s="1"/>
  <c r="I141" i="105" a="1"/>
  <c r="I141" i="105" s="1"/>
  <c r="H141" i="105" a="1"/>
  <c r="H141" i="105" s="1"/>
  <c r="G141" i="105" a="1"/>
  <c r="G141" i="105" s="1"/>
  <c r="F141" i="105" a="1"/>
  <c r="F141" i="105" s="1"/>
  <c r="L141" i="105" s="1"/>
  <c r="E141" i="105" a="1"/>
  <c r="E141" i="105" s="1"/>
  <c r="K141" i="105" s="1"/>
  <c r="D141" i="105" a="1"/>
  <c r="D141" i="105" s="1"/>
  <c r="I140" i="105" a="1"/>
  <c r="I140" i="105" s="1"/>
  <c r="H140" i="105" a="1"/>
  <c r="H140" i="105" s="1"/>
  <c r="G140" i="105" a="1"/>
  <c r="G140" i="105" s="1"/>
  <c r="F140" i="105" a="1"/>
  <c r="F140" i="105" s="1"/>
  <c r="L140" i="105" s="1"/>
  <c r="E140" i="105" a="1"/>
  <c r="E140" i="105" s="1"/>
  <c r="K140" i="105" s="1"/>
  <c r="D140" i="105" a="1"/>
  <c r="D140" i="105" s="1"/>
  <c r="I139" i="105" a="1"/>
  <c r="I139" i="105" s="1"/>
  <c r="H139" i="105" a="1"/>
  <c r="H139" i="105" s="1"/>
  <c r="G139" i="105" a="1"/>
  <c r="G139" i="105" s="1"/>
  <c r="F139" i="105" a="1"/>
  <c r="F139" i="105" s="1"/>
  <c r="L139" i="105" s="1"/>
  <c r="E139" i="105" a="1"/>
  <c r="E139" i="105" s="1"/>
  <c r="K139" i="105" s="1"/>
  <c r="M138" i="105" s="1"/>
  <c r="D139" i="105" a="1"/>
  <c r="D139" i="105" s="1"/>
  <c r="I138" i="105" a="1"/>
  <c r="I138" i="105" s="1"/>
  <c r="H138" i="105" a="1"/>
  <c r="H138" i="105" s="1"/>
  <c r="G138" i="105" a="1"/>
  <c r="G138" i="105" s="1"/>
  <c r="F138" i="105" a="1"/>
  <c r="F138" i="105" s="1"/>
  <c r="O138" i="105" s="1"/>
  <c r="E138" i="105" a="1"/>
  <c r="E138" i="105" s="1"/>
  <c r="N138" i="105" s="1"/>
  <c r="D138" i="105" a="1"/>
  <c r="D138" i="105" s="1"/>
  <c r="I137" i="105" a="1"/>
  <c r="I137" i="105" s="1"/>
  <c r="H137" i="105" a="1"/>
  <c r="H137" i="105" s="1"/>
  <c r="G137" i="105" a="1"/>
  <c r="G137" i="105" s="1"/>
  <c r="F137" i="105" a="1"/>
  <c r="F137" i="105" s="1"/>
  <c r="O137" i="105" s="1"/>
  <c r="E137" i="105" a="1"/>
  <c r="E137" i="105" s="1"/>
  <c r="N137" i="105" s="1"/>
  <c r="D137" i="105" a="1"/>
  <c r="D137" i="105" s="1"/>
  <c r="I136" i="105" a="1"/>
  <c r="I136" i="105" s="1"/>
  <c r="H136" i="105" a="1"/>
  <c r="H136" i="105" s="1"/>
  <c r="G136" i="105" a="1"/>
  <c r="G136" i="105" s="1"/>
  <c r="F136" i="105" a="1"/>
  <c r="F136" i="105" s="1"/>
  <c r="O136" i="105" s="1"/>
  <c r="E136" i="105" a="1"/>
  <c r="E136" i="105" s="1"/>
  <c r="N136" i="105" s="1"/>
  <c r="D136" i="105" a="1"/>
  <c r="D136" i="105" s="1"/>
  <c r="I135" i="105" a="1"/>
  <c r="I135" i="105" s="1"/>
  <c r="H135" i="105" a="1"/>
  <c r="H135" i="105" s="1"/>
  <c r="G135" i="105" a="1"/>
  <c r="G135" i="105" s="1"/>
  <c r="F135" i="105" a="1"/>
  <c r="F135" i="105" s="1"/>
  <c r="O135" i="105" s="1"/>
  <c r="E135" i="105" a="1"/>
  <c r="E135" i="105" s="1"/>
  <c r="N135" i="105" s="1"/>
  <c r="D135" i="105" a="1"/>
  <c r="D135" i="105" s="1"/>
  <c r="I134" i="105" a="1"/>
  <c r="I134" i="105" s="1"/>
  <c r="H134" i="105" a="1"/>
  <c r="H134" i="105" s="1"/>
  <c r="G134" i="105" a="1"/>
  <c r="G134" i="105" s="1"/>
  <c r="F134" i="105" a="1"/>
  <c r="F134" i="105" s="1"/>
  <c r="O134" i="105" s="1"/>
  <c r="E134" i="105" a="1"/>
  <c r="E134" i="105" s="1"/>
  <c r="N134" i="105" s="1"/>
  <c r="D134" i="105" a="1"/>
  <c r="D134" i="105" s="1"/>
  <c r="I133" i="105" a="1"/>
  <c r="I133" i="105" s="1"/>
  <c r="H133" i="105" a="1"/>
  <c r="H133" i="105" s="1"/>
  <c r="G133" i="105" a="1"/>
  <c r="G133" i="105" s="1"/>
  <c r="F133" i="105" a="1"/>
  <c r="F133" i="105" s="1"/>
  <c r="O133" i="105" s="1"/>
  <c r="E133" i="105" a="1"/>
  <c r="E133" i="105" s="1"/>
  <c r="N133" i="105" s="1"/>
  <c r="D133" i="105" a="1"/>
  <c r="D133" i="105" s="1"/>
  <c r="I132" i="105" a="1"/>
  <c r="I132" i="105" s="1"/>
  <c r="H132" i="105" a="1"/>
  <c r="H132" i="105" s="1"/>
  <c r="G132" i="105" a="1"/>
  <c r="G132" i="105" s="1"/>
  <c r="F132" i="105" a="1"/>
  <c r="F132" i="105" s="1"/>
  <c r="O132" i="105" s="1"/>
  <c r="E132" i="105" a="1"/>
  <c r="E132" i="105" s="1"/>
  <c r="N132" i="105" s="1"/>
  <c r="P131" i="105" s="1"/>
  <c r="D132" i="105" a="1"/>
  <c r="D132" i="105" s="1"/>
  <c r="I131" i="105" a="1"/>
  <c r="I131" i="105" s="1"/>
  <c r="H131" i="105" a="1"/>
  <c r="H131" i="105" s="1"/>
  <c r="G131" i="105" a="1"/>
  <c r="G131" i="105" s="1"/>
  <c r="F131" i="105" a="1"/>
  <c r="F131" i="105" s="1"/>
  <c r="L131" i="105" s="1"/>
  <c r="E131" i="105" a="1"/>
  <c r="E131" i="105" s="1"/>
  <c r="K131" i="105" s="1"/>
  <c r="D131" i="105" a="1"/>
  <c r="D131" i="105" s="1"/>
  <c r="I130" i="105" a="1"/>
  <c r="I130" i="105" s="1"/>
  <c r="H130" i="105" a="1"/>
  <c r="H130" i="105" s="1"/>
  <c r="G130" i="105" a="1"/>
  <c r="G130" i="105" s="1"/>
  <c r="F130" i="105" a="1"/>
  <c r="F130" i="105" s="1"/>
  <c r="L130" i="105" s="1"/>
  <c r="E130" i="105" a="1"/>
  <c r="E130" i="105" s="1"/>
  <c r="K130" i="105" s="1"/>
  <c r="D130" i="105" a="1"/>
  <c r="D130" i="105" s="1"/>
  <c r="I129" i="105" a="1"/>
  <c r="I129" i="105" s="1"/>
  <c r="H129" i="105" a="1"/>
  <c r="H129" i="105" s="1"/>
  <c r="G129" i="105" a="1"/>
  <c r="G129" i="105" s="1"/>
  <c r="F129" i="105" a="1"/>
  <c r="F129" i="105" s="1"/>
  <c r="L129" i="105" s="1"/>
  <c r="E129" i="105" a="1"/>
  <c r="E129" i="105" s="1"/>
  <c r="K129" i="105" s="1"/>
  <c r="D129" i="105" a="1"/>
  <c r="D129" i="105" s="1"/>
  <c r="I128" i="105" a="1"/>
  <c r="I128" i="105" s="1"/>
  <c r="H128" i="105" a="1"/>
  <c r="H128" i="105" s="1"/>
  <c r="G128" i="105" a="1"/>
  <c r="G128" i="105" s="1"/>
  <c r="F128" i="105" a="1"/>
  <c r="F128" i="105" s="1"/>
  <c r="L128" i="105" s="1"/>
  <c r="E128" i="105" a="1"/>
  <c r="E128" i="105" s="1"/>
  <c r="K128" i="105" s="1"/>
  <c r="D128" i="105" a="1"/>
  <c r="D128" i="105" s="1"/>
  <c r="I127" i="105" a="1"/>
  <c r="I127" i="105" s="1"/>
  <c r="H127" i="105" a="1"/>
  <c r="H127" i="105" s="1"/>
  <c r="G127" i="105" a="1"/>
  <c r="G127" i="105" s="1"/>
  <c r="F127" i="105" a="1"/>
  <c r="F127" i="105" s="1"/>
  <c r="L127" i="105" s="1"/>
  <c r="E127" i="105" a="1"/>
  <c r="E127" i="105" s="1"/>
  <c r="K127" i="105" s="1"/>
  <c r="D127" i="105" a="1"/>
  <c r="D127" i="105" s="1"/>
  <c r="I126" i="105" a="1"/>
  <c r="I126" i="105" s="1"/>
  <c r="H126" i="105" a="1"/>
  <c r="H126" i="105" s="1"/>
  <c r="G126" i="105" a="1"/>
  <c r="G126" i="105" s="1"/>
  <c r="F126" i="105" a="1"/>
  <c r="F126" i="105" s="1"/>
  <c r="L126" i="105" s="1"/>
  <c r="E126" i="105" a="1"/>
  <c r="E126" i="105" s="1"/>
  <c r="K126" i="105" s="1"/>
  <c r="M125" i="105" s="1"/>
  <c r="D126" i="105" a="1"/>
  <c r="D126" i="105" s="1"/>
  <c r="I125" i="105" a="1"/>
  <c r="I125" i="105" s="1"/>
  <c r="H125" i="105" a="1"/>
  <c r="H125" i="105" s="1"/>
  <c r="G125" i="105" a="1"/>
  <c r="G125" i="105" s="1"/>
  <c r="F125" i="105" a="1"/>
  <c r="F125" i="105" s="1"/>
  <c r="O125" i="105" s="1"/>
  <c r="E125" i="105" a="1"/>
  <c r="E125" i="105" s="1"/>
  <c r="N125" i="105" s="1"/>
  <c r="D125" i="105" a="1"/>
  <c r="D125" i="105" s="1"/>
  <c r="I124" i="105" a="1"/>
  <c r="I124" i="105" s="1"/>
  <c r="H124" i="105" a="1"/>
  <c r="H124" i="105" s="1"/>
  <c r="G124" i="105" a="1"/>
  <c r="G124" i="105" s="1"/>
  <c r="F124" i="105" a="1"/>
  <c r="F124" i="105" s="1"/>
  <c r="O124" i="105" s="1"/>
  <c r="E124" i="105" a="1"/>
  <c r="E124" i="105" s="1"/>
  <c r="N124" i="105" s="1"/>
  <c r="D124" i="105" a="1"/>
  <c r="D124" i="105" s="1"/>
  <c r="I123" i="105" a="1"/>
  <c r="I123" i="105" s="1"/>
  <c r="H123" i="105" a="1"/>
  <c r="H123" i="105" s="1"/>
  <c r="G123" i="105" a="1"/>
  <c r="G123" i="105" s="1"/>
  <c r="F123" i="105" a="1"/>
  <c r="F123" i="105" s="1"/>
  <c r="O123" i="105" s="1"/>
  <c r="E123" i="105" a="1"/>
  <c r="E123" i="105" s="1"/>
  <c r="N123" i="105" s="1"/>
  <c r="D123" i="105" a="1"/>
  <c r="D123" i="105" s="1"/>
  <c r="I122" i="105" a="1"/>
  <c r="I122" i="105" s="1"/>
  <c r="H122" i="105" a="1"/>
  <c r="H122" i="105" s="1"/>
  <c r="G122" i="105" a="1"/>
  <c r="G122" i="105" s="1"/>
  <c r="F122" i="105" a="1"/>
  <c r="F122" i="105" s="1"/>
  <c r="O122" i="105" s="1"/>
  <c r="E122" i="105" a="1"/>
  <c r="E122" i="105" s="1"/>
  <c r="N122" i="105" s="1"/>
  <c r="D122" i="105" a="1"/>
  <c r="D122" i="105" s="1"/>
  <c r="I121" i="105" a="1"/>
  <c r="I121" i="105" s="1"/>
  <c r="H121" i="105" a="1"/>
  <c r="H121" i="105" s="1"/>
  <c r="G121" i="105" a="1"/>
  <c r="G121" i="105" s="1"/>
  <c r="F121" i="105" a="1"/>
  <c r="F121" i="105" s="1"/>
  <c r="O121" i="105" s="1"/>
  <c r="E121" i="105" a="1"/>
  <c r="E121" i="105" s="1"/>
  <c r="N121" i="105" s="1"/>
  <c r="D121" i="105" a="1"/>
  <c r="D121" i="105" s="1"/>
  <c r="I120" i="105" a="1"/>
  <c r="I120" i="105" s="1"/>
  <c r="H120" i="105" a="1"/>
  <c r="H120" i="105" s="1"/>
  <c r="G120" i="105" a="1"/>
  <c r="G120" i="105" s="1"/>
  <c r="F120" i="105" a="1"/>
  <c r="F120" i="105" s="1"/>
  <c r="O120" i="105" s="1"/>
  <c r="E120" i="105" a="1"/>
  <c r="E120" i="105" s="1"/>
  <c r="N120" i="105" s="1"/>
  <c r="D120" i="105" a="1"/>
  <c r="D120" i="105" s="1"/>
  <c r="I119" i="105" a="1"/>
  <c r="I119" i="105" s="1"/>
  <c r="H119" i="105" a="1"/>
  <c r="H119" i="105" s="1"/>
  <c r="G119" i="105" a="1"/>
  <c r="G119" i="105" s="1"/>
  <c r="F119" i="105" a="1"/>
  <c r="F119" i="105" s="1"/>
  <c r="O119" i="105" s="1"/>
  <c r="E119" i="105" a="1"/>
  <c r="E119" i="105" s="1"/>
  <c r="N119" i="105" s="1"/>
  <c r="P118" i="105" s="1"/>
  <c r="D119" i="105" a="1"/>
  <c r="D119" i="105" s="1"/>
  <c r="I118" i="105" a="1"/>
  <c r="I118" i="105" s="1"/>
  <c r="H118" i="105" a="1"/>
  <c r="H118" i="105" s="1"/>
  <c r="G118" i="105" a="1"/>
  <c r="G118" i="105" s="1"/>
  <c r="F118" i="105" a="1"/>
  <c r="F118" i="105" s="1"/>
  <c r="L118" i="105" s="1"/>
  <c r="E118" i="105" a="1"/>
  <c r="E118" i="105" s="1"/>
  <c r="K118" i="105" s="1"/>
  <c r="D118" i="105" a="1"/>
  <c r="D118" i="105" s="1"/>
  <c r="I117" i="105" a="1"/>
  <c r="I117" i="105" s="1"/>
  <c r="H117" i="105" a="1"/>
  <c r="H117" i="105" s="1"/>
  <c r="G117" i="105" a="1"/>
  <c r="G117" i="105" s="1"/>
  <c r="F117" i="105" a="1"/>
  <c r="F117" i="105" s="1"/>
  <c r="L117" i="105" s="1"/>
  <c r="E117" i="105" a="1"/>
  <c r="E117" i="105" s="1"/>
  <c r="K117" i="105" s="1"/>
  <c r="D117" i="105" a="1"/>
  <c r="D117" i="105" s="1"/>
  <c r="I116" i="105" a="1"/>
  <c r="I116" i="105" s="1"/>
  <c r="H116" i="105" a="1"/>
  <c r="H116" i="105" s="1"/>
  <c r="G116" i="105" a="1"/>
  <c r="G116" i="105" s="1"/>
  <c r="F116" i="105" a="1"/>
  <c r="F116" i="105" s="1"/>
  <c r="L116" i="105" s="1"/>
  <c r="E116" i="105" a="1"/>
  <c r="E116" i="105" s="1"/>
  <c r="K116" i="105" s="1"/>
  <c r="D116" i="105" a="1"/>
  <c r="D116" i="105" s="1"/>
  <c r="I115" i="105" a="1"/>
  <c r="I115" i="105" s="1"/>
  <c r="H115" i="105" a="1"/>
  <c r="H115" i="105" s="1"/>
  <c r="G115" i="105" a="1"/>
  <c r="G115" i="105" s="1"/>
  <c r="F115" i="105" a="1"/>
  <c r="F115" i="105" s="1"/>
  <c r="L115" i="105" s="1"/>
  <c r="E115" i="105" a="1"/>
  <c r="E115" i="105" s="1"/>
  <c r="K115" i="105" s="1"/>
  <c r="D115" i="105" a="1"/>
  <c r="D115" i="105" s="1"/>
  <c r="I114" i="105" a="1"/>
  <c r="I114" i="105" s="1"/>
  <c r="H114" i="105" a="1"/>
  <c r="H114" i="105" s="1"/>
  <c r="G114" i="105" a="1"/>
  <c r="G114" i="105" s="1"/>
  <c r="F114" i="105" a="1"/>
  <c r="F114" i="105" s="1"/>
  <c r="L114" i="105" s="1"/>
  <c r="E114" i="105" a="1"/>
  <c r="E114" i="105" s="1"/>
  <c r="K114" i="105" s="1"/>
  <c r="D114" i="105" a="1"/>
  <c r="D114" i="105" s="1"/>
  <c r="I113" i="105" a="1"/>
  <c r="I113" i="105" s="1"/>
  <c r="H113" i="105" a="1"/>
  <c r="H113" i="105" s="1"/>
  <c r="G113" i="105" a="1"/>
  <c r="G113" i="105" s="1"/>
  <c r="F113" i="105" a="1"/>
  <c r="F113" i="105" s="1"/>
  <c r="L113" i="105" s="1"/>
  <c r="E113" i="105" a="1"/>
  <c r="E113" i="105" s="1"/>
  <c r="K113" i="105" s="1"/>
  <c r="D113" i="105"/>
  <c r="D113" i="105" a="1"/>
  <c r="I112" i="105" a="1"/>
  <c r="I112" i="105" s="1"/>
  <c r="H112" i="105" a="1"/>
  <c r="H112" i="105" s="1"/>
  <c r="G112" i="105" a="1"/>
  <c r="G112" i="105" s="1"/>
  <c r="F112" i="105" a="1"/>
  <c r="F112" i="105" s="1"/>
  <c r="L112" i="105" s="1"/>
  <c r="E112" i="105" a="1"/>
  <c r="E112" i="105" s="1"/>
  <c r="K112" i="105" s="1"/>
  <c r="D112" i="105" a="1"/>
  <c r="D112" i="105" s="1"/>
  <c r="I111" i="105" a="1"/>
  <c r="I111" i="105" s="1"/>
  <c r="H111" i="105" a="1"/>
  <c r="H111" i="105" s="1"/>
  <c r="G111" i="105" a="1"/>
  <c r="G111" i="105" s="1"/>
  <c r="F111" i="105" a="1"/>
  <c r="F111" i="105" s="1"/>
  <c r="L111" i="105" s="1"/>
  <c r="E111" i="105" a="1"/>
  <c r="E111" i="105" s="1"/>
  <c r="K111" i="105" s="1"/>
  <c r="M110" i="105" s="1"/>
  <c r="D111" i="105" a="1"/>
  <c r="D111" i="105" s="1"/>
  <c r="I110" i="105" a="1"/>
  <c r="I110" i="105" s="1"/>
  <c r="H110" i="105" a="1"/>
  <c r="H110" i="105" s="1"/>
  <c r="G110" i="105" a="1"/>
  <c r="G110" i="105" s="1"/>
  <c r="F110" i="105" a="1"/>
  <c r="F110" i="105" s="1"/>
  <c r="O110" i="105" s="1"/>
  <c r="E110" i="105" a="1"/>
  <c r="E110" i="105" s="1"/>
  <c r="N110" i="105" s="1"/>
  <c r="D110" i="105" a="1"/>
  <c r="D110" i="105" s="1"/>
  <c r="I109" i="105" a="1"/>
  <c r="I109" i="105" s="1"/>
  <c r="H109" i="105" a="1"/>
  <c r="H109" i="105" s="1"/>
  <c r="G109" i="105" a="1"/>
  <c r="G109" i="105" s="1"/>
  <c r="F109" i="105" a="1"/>
  <c r="F109" i="105" s="1"/>
  <c r="O109" i="105" s="1"/>
  <c r="E109" i="105" a="1"/>
  <c r="E109" i="105" s="1"/>
  <c r="N109" i="105" s="1"/>
  <c r="D109" i="105" a="1"/>
  <c r="D109" i="105" s="1"/>
  <c r="I108" i="105" a="1"/>
  <c r="I108" i="105" s="1"/>
  <c r="H108" i="105" a="1"/>
  <c r="H108" i="105" s="1"/>
  <c r="G108" i="105" a="1"/>
  <c r="G108" i="105" s="1"/>
  <c r="F108" i="105" a="1"/>
  <c r="F108" i="105" s="1"/>
  <c r="O108" i="105" s="1"/>
  <c r="E108" i="105" a="1"/>
  <c r="E108" i="105" s="1"/>
  <c r="N108" i="105" s="1"/>
  <c r="D108" i="105" a="1"/>
  <c r="D108" i="105" s="1"/>
  <c r="I107" i="105" a="1"/>
  <c r="I107" i="105" s="1"/>
  <c r="H107" i="105" a="1"/>
  <c r="H107" i="105" s="1"/>
  <c r="G107" i="105" a="1"/>
  <c r="G107" i="105" s="1"/>
  <c r="F107" i="105" a="1"/>
  <c r="F107" i="105" s="1"/>
  <c r="O107" i="105" s="1"/>
  <c r="E107" i="105" a="1"/>
  <c r="E107" i="105" s="1"/>
  <c r="N107" i="105" s="1"/>
  <c r="D107" i="105" a="1"/>
  <c r="D107" i="105" s="1"/>
  <c r="I106" i="105" a="1"/>
  <c r="I106" i="105" s="1"/>
  <c r="H106" i="105" a="1"/>
  <c r="H106" i="105" s="1"/>
  <c r="G106" i="105" a="1"/>
  <c r="G106" i="105" s="1"/>
  <c r="F106" i="105" a="1"/>
  <c r="F106" i="105" s="1"/>
  <c r="O106" i="105" s="1"/>
  <c r="E106" i="105" a="1"/>
  <c r="E106" i="105" s="1"/>
  <c r="N106" i="105" s="1"/>
  <c r="P105" i="105" s="1"/>
  <c r="D106" i="105" a="1"/>
  <c r="D106" i="105" s="1"/>
  <c r="I105" i="105" a="1"/>
  <c r="I105" i="105" s="1"/>
  <c r="H105" i="105" a="1"/>
  <c r="H105" i="105" s="1"/>
  <c r="G105" i="105" a="1"/>
  <c r="G105" i="105" s="1"/>
  <c r="F105" i="105" a="1"/>
  <c r="F105" i="105" s="1"/>
  <c r="L105" i="105" s="1"/>
  <c r="E105" i="105" a="1"/>
  <c r="E105" i="105" s="1"/>
  <c r="K105" i="105" s="1"/>
  <c r="D105" i="105" a="1"/>
  <c r="D105" i="105" s="1"/>
  <c r="I104" i="105" a="1"/>
  <c r="I104" i="105" s="1"/>
  <c r="H104" i="105" a="1"/>
  <c r="H104" i="105" s="1"/>
  <c r="G104" i="105" a="1"/>
  <c r="G104" i="105" s="1"/>
  <c r="F104" i="105" a="1"/>
  <c r="F104" i="105" s="1"/>
  <c r="L104" i="105" s="1"/>
  <c r="E104" i="105" a="1"/>
  <c r="E104" i="105" s="1"/>
  <c r="K104" i="105" s="1"/>
  <c r="D104" i="105" a="1"/>
  <c r="D104" i="105" s="1"/>
  <c r="I103" i="105" a="1"/>
  <c r="I103" i="105" s="1"/>
  <c r="H103" i="105" a="1"/>
  <c r="H103" i="105" s="1"/>
  <c r="G103" i="105" a="1"/>
  <c r="G103" i="105" s="1"/>
  <c r="F103" i="105" a="1"/>
  <c r="F103" i="105" s="1"/>
  <c r="L103" i="105" s="1"/>
  <c r="E103" i="105" a="1"/>
  <c r="E103" i="105" s="1"/>
  <c r="K103" i="105" s="1"/>
  <c r="D103" i="105" a="1"/>
  <c r="D103" i="105" s="1"/>
  <c r="I102" i="105" a="1"/>
  <c r="I102" i="105" s="1"/>
  <c r="H102" i="105" a="1"/>
  <c r="H102" i="105" s="1"/>
  <c r="G102" i="105" a="1"/>
  <c r="G102" i="105" s="1"/>
  <c r="F102" i="105" a="1"/>
  <c r="F102" i="105" s="1"/>
  <c r="L102" i="105" s="1"/>
  <c r="E102" i="105" a="1"/>
  <c r="E102" i="105" s="1"/>
  <c r="K102" i="105" s="1"/>
  <c r="D102" i="105" a="1"/>
  <c r="D102" i="105" s="1"/>
  <c r="I101" i="105" a="1"/>
  <c r="I101" i="105" s="1"/>
  <c r="H101" i="105" a="1"/>
  <c r="H101" i="105" s="1"/>
  <c r="G101" i="105" a="1"/>
  <c r="G101" i="105" s="1"/>
  <c r="F101" i="105" a="1"/>
  <c r="F101" i="105" s="1"/>
  <c r="L101" i="105" s="1"/>
  <c r="E101" i="105" a="1"/>
  <c r="E101" i="105" s="1"/>
  <c r="K101" i="105" s="1"/>
  <c r="D101" i="105" a="1"/>
  <c r="D101" i="105" s="1"/>
  <c r="I100" i="105" a="1"/>
  <c r="I100" i="105" s="1"/>
  <c r="H100" i="105" a="1"/>
  <c r="H100" i="105" s="1"/>
  <c r="G100" i="105" a="1"/>
  <c r="G100" i="105" s="1"/>
  <c r="F100" i="105" a="1"/>
  <c r="F100" i="105" s="1"/>
  <c r="L100" i="105" s="1"/>
  <c r="E100" i="105" a="1"/>
  <c r="E100" i="105" s="1"/>
  <c r="K100" i="105" s="1"/>
  <c r="D100" i="105" a="1"/>
  <c r="D100" i="105" s="1"/>
  <c r="I99" i="105" a="1"/>
  <c r="I99" i="105" s="1"/>
  <c r="H99" i="105" a="1"/>
  <c r="H99" i="105" s="1"/>
  <c r="G99" i="105" a="1"/>
  <c r="G99" i="105" s="1"/>
  <c r="F99" i="105" a="1"/>
  <c r="F99" i="105" s="1"/>
  <c r="L99" i="105" s="1"/>
  <c r="E99" i="105" a="1"/>
  <c r="E99" i="105" s="1"/>
  <c r="K99" i="105" s="1"/>
  <c r="M98" i="105" s="1"/>
  <c r="D99" i="105" a="1"/>
  <c r="D99" i="105" s="1"/>
  <c r="I98" i="105" a="1"/>
  <c r="I98" i="105" s="1"/>
  <c r="H98" i="105" a="1"/>
  <c r="H98" i="105" s="1"/>
  <c r="G98" i="105" a="1"/>
  <c r="G98" i="105" s="1"/>
  <c r="F98" i="105" a="1"/>
  <c r="F98" i="105" s="1"/>
  <c r="O98" i="105" s="1"/>
  <c r="E98" i="105" a="1"/>
  <c r="E98" i="105" s="1"/>
  <c r="N98" i="105" s="1"/>
  <c r="D98" i="105" a="1"/>
  <c r="D98" i="105" s="1"/>
  <c r="I97" i="105" a="1"/>
  <c r="I97" i="105" s="1"/>
  <c r="H97" i="105" a="1"/>
  <c r="H97" i="105" s="1"/>
  <c r="G97" i="105" a="1"/>
  <c r="G97" i="105" s="1"/>
  <c r="F97" i="105" a="1"/>
  <c r="F97" i="105" s="1"/>
  <c r="O97" i="105" s="1"/>
  <c r="E97" i="105" a="1"/>
  <c r="E97" i="105" s="1"/>
  <c r="N97" i="105" s="1"/>
  <c r="D97" i="105" a="1"/>
  <c r="D97" i="105" s="1"/>
  <c r="I96" i="105" a="1"/>
  <c r="I96" i="105" s="1"/>
  <c r="H96" i="105" a="1"/>
  <c r="H96" i="105" s="1"/>
  <c r="G96" i="105" a="1"/>
  <c r="G96" i="105" s="1"/>
  <c r="F96" i="105" a="1"/>
  <c r="F96" i="105" s="1"/>
  <c r="O96" i="105" s="1"/>
  <c r="E96" i="105" a="1"/>
  <c r="E96" i="105" s="1"/>
  <c r="N96" i="105" s="1"/>
  <c r="D96" i="105" a="1"/>
  <c r="D96" i="105" s="1"/>
  <c r="I95" i="105" a="1"/>
  <c r="I95" i="105" s="1"/>
  <c r="H95" i="105" a="1"/>
  <c r="H95" i="105" s="1"/>
  <c r="G95" i="105" a="1"/>
  <c r="G95" i="105" s="1"/>
  <c r="F95" i="105" a="1"/>
  <c r="F95" i="105" s="1"/>
  <c r="O95" i="105" s="1"/>
  <c r="E95" i="105" a="1"/>
  <c r="E95" i="105" s="1"/>
  <c r="N95" i="105" s="1"/>
  <c r="D95" i="105" a="1"/>
  <c r="D95" i="105" s="1"/>
  <c r="I94" i="105" a="1"/>
  <c r="I94" i="105" s="1"/>
  <c r="H94" i="105" a="1"/>
  <c r="H94" i="105" s="1"/>
  <c r="G94" i="105" a="1"/>
  <c r="G94" i="105" s="1"/>
  <c r="F94" i="105" a="1"/>
  <c r="F94" i="105" s="1"/>
  <c r="O94" i="105" s="1"/>
  <c r="E94" i="105" a="1"/>
  <c r="E94" i="105" s="1"/>
  <c r="N94" i="105" s="1"/>
  <c r="D94" i="105" a="1"/>
  <c r="D94" i="105" s="1"/>
  <c r="I93" i="105" a="1"/>
  <c r="I93" i="105" s="1"/>
  <c r="H93" i="105" a="1"/>
  <c r="H93" i="105" s="1"/>
  <c r="G93" i="105" a="1"/>
  <c r="G93" i="105" s="1"/>
  <c r="F93" i="105" a="1"/>
  <c r="F93" i="105" s="1"/>
  <c r="O93" i="105" s="1"/>
  <c r="E93" i="105" a="1"/>
  <c r="E93" i="105" s="1"/>
  <c r="N93" i="105" s="1"/>
  <c r="D93" i="105" a="1"/>
  <c r="D93" i="105" s="1"/>
  <c r="I92" i="105" a="1"/>
  <c r="I92" i="105" s="1"/>
  <c r="H92" i="105" a="1"/>
  <c r="H92" i="105" s="1"/>
  <c r="G92" i="105" a="1"/>
  <c r="G92" i="105" s="1"/>
  <c r="F92" i="105" a="1"/>
  <c r="F92" i="105" s="1"/>
  <c r="O92" i="105" s="1"/>
  <c r="E92" i="105" a="1"/>
  <c r="E92" i="105" s="1"/>
  <c r="N92" i="105" s="1"/>
  <c r="D92" i="105" a="1"/>
  <c r="D92" i="105" s="1"/>
  <c r="I91" i="105" a="1"/>
  <c r="I91" i="105" s="1"/>
  <c r="H91" i="105" a="1"/>
  <c r="H91" i="105" s="1"/>
  <c r="G91" i="105" a="1"/>
  <c r="G91" i="105" s="1"/>
  <c r="F91" i="105" a="1"/>
  <c r="F91" i="105" s="1"/>
  <c r="O91" i="105" s="1"/>
  <c r="E91" i="105" a="1"/>
  <c r="E91" i="105" s="1"/>
  <c r="N91" i="105" s="1"/>
  <c r="P90" i="105" s="1"/>
  <c r="D91" i="105" a="1"/>
  <c r="D91" i="105" s="1"/>
  <c r="I90" i="105" a="1"/>
  <c r="I90" i="105" s="1"/>
  <c r="H90" i="105" a="1"/>
  <c r="H90" i="105" s="1"/>
  <c r="G90" i="105" a="1"/>
  <c r="G90" i="105" s="1"/>
  <c r="F90" i="105" a="1"/>
  <c r="F90" i="105" s="1"/>
  <c r="L90" i="105" s="1"/>
  <c r="E90" i="105" a="1"/>
  <c r="E90" i="105" s="1"/>
  <c r="D90" i="105" a="1"/>
  <c r="D90" i="105" s="1"/>
  <c r="I86" i="105" a="1"/>
  <c r="I86" i="105" s="1"/>
  <c r="H86" i="105" a="1"/>
  <c r="H86" i="105" s="1"/>
  <c r="G86" i="105" a="1"/>
  <c r="G86" i="105" s="1"/>
  <c r="F86" i="105" a="1"/>
  <c r="F86" i="105" s="1"/>
  <c r="E86" i="105" a="1"/>
  <c r="E86" i="105" s="1"/>
  <c r="D86" i="105" a="1"/>
  <c r="D86" i="105" s="1"/>
  <c r="I85" i="105" a="1"/>
  <c r="I85" i="105" s="1"/>
  <c r="H85" i="105" a="1"/>
  <c r="H85" i="105" s="1"/>
  <c r="G85" i="105" a="1"/>
  <c r="G85" i="105" s="1"/>
  <c r="F85" i="105" a="1"/>
  <c r="F85" i="105" s="1"/>
  <c r="E85" i="105" a="1"/>
  <c r="E85" i="105" s="1"/>
  <c r="D85" i="105" a="1"/>
  <c r="D85" i="105" s="1"/>
  <c r="I84" i="105" a="1"/>
  <c r="I84" i="105" s="1"/>
  <c r="H84" i="105" a="1"/>
  <c r="H84" i="105" s="1"/>
  <c r="G84" i="105" a="1"/>
  <c r="G84" i="105" s="1"/>
  <c r="F84" i="105" a="1"/>
  <c r="F84" i="105" s="1"/>
  <c r="E84" i="105" a="1"/>
  <c r="E84" i="105" s="1"/>
  <c r="D84" i="105" a="1"/>
  <c r="D84" i="105" s="1"/>
  <c r="I83" i="105" a="1"/>
  <c r="I83" i="105" s="1"/>
  <c r="H83" i="105" a="1"/>
  <c r="H83" i="105" s="1"/>
  <c r="G83" i="105" a="1"/>
  <c r="G83" i="105" s="1"/>
  <c r="F83" i="105"/>
  <c r="F83" i="105" a="1"/>
  <c r="E83" i="105" a="1"/>
  <c r="E83" i="105" s="1"/>
  <c r="D83" i="105" a="1"/>
  <c r="D83" i="105" s="1"/>
  <c r="I80" i="105"/>
  <c r="I80" i="105" a="1"/>
  <c r="H80" i="105" a="1"/>
  <c r="H80" i="105" s="1"/>
  <c r="G80" i="105" a="1"/>
  <c r="G80" i="105" s="1"/>
  <c r="F80" i="105" a="1"/>
  <c r="F80" i="105" s="1"/>
  <c r="E80" i="105" a="1"/>
  <c r="E80" i="105" s="1"/>
  <c r="D80" i="105" a="1"/>
  <c r="D80" i="105" s="1"/>
  <c r="I79" i="105" a="1"/>
  <c r="I79" i="105" s="1"/>
  <c r="H79" i="105" a="1"/>
  <c r="H79" i="105" s="1"/>
  <c r="G79" i="105" a="1"/>
  <c r="G79" i="105" s="1"/>
  <c r="F79" i="105" a="1"/>
  <c r="F79" i="105" s="1"/>
  <c r="E79" i="105" a="1"/>
  <c r="E79" i="105" s="1"/>
  <c r="D79" i="105" a="1"/>
  <c r="D79" i="105" s="1"/>
  <c r="I78" i="105" a="1"/>
  <c r="I78" i="105" s="1"/>
  <c r="H78" i="105" a="1"/>
  <c r="H78" i="105" s="1"/>
  <c r="G78" i="105" a="1"/>
  <c r="G78" i="105" s="1"/>
  <c r="F78" i="105" a="1"/>
  <c r="F78" i="105" s="1"/>
  <c r="E78" i="105" a="1"/>
  <c r="E78" i="105" s="1"/>
  <c r="D78" i="105" a="1"/>
  <c r="D78" i="105" s="1"/>
  <c r="I74" i="105" a="1"/>
  <c r="I74" i="105" s="1"/>
  <c r="H74" i="105" a="1"/>
  <c r="H74" i="105" s="1"/>
  <c r="G74" i="105" a="1"/>
  <c r="G74" i="105" s="1"/>
  <c r="F74" i="105" a="1"/>
  <c r="F74" i="105" s="1"/>
  <c r="E74" i="105" a="1"/>
  <c r="E74" i="105" s="1"/>
  <c r="D74" i="105" a="1"/>
  <c r="D74" i="105" s="1"/>
  <c r="I73" i="105" a="1"/>
  <c r="I73" i="105" s="1"/>
  <c r="H73" i="105" a="1"/>
  <c r="H73" i="105" s="1"/>
  <c r="G73" i="105" a="1"/>
  <c r="G73" i="105" s="1"/>
  <c r="F73" i="105" a="1"/>
  <c r="F73" i="105" s="1"/>
  <c r="E73" i="105" a="1"/>
  <c r="E73" i="105" s="1"/>
  <c r="D73" i="105" a="1"/>
  <c r="D73" i="105" s="1"/>
  <c r="I72" i="105" a="1"/>
  <c r="I72" i="105" s="1"/>
  <c r="H72" i="105" a="1"/>
  <c r="H72" i="105" s="1"/>
  <c r="G72" i="105" a="1"/>
  <c r="G72" i="105" s="1"/>
  <c r="F72" i="105" a="1"/>
  <c r="F72" i="105" s="1"/>
  <c r="E72" i="105" a="1"/>
  <c r="E72" i="105" s="1"/>
  <c r="D72" i="105" a="1"/>
  <c r="D72" i="105" s="1"/>
  <c r="I71" i="105" a="1"/>
  <c r="I71" i="105" s="1"/>
  <c r="H71" i="105" a="1"/>
  <c r="H71" i="105" s="1"/>
  <c r="G71" i="105" a="1"/>
  <c r="G71" i="105" s="1"/>
  <c r="F71" i="105" a="1"/>
  <c r="F71" i="105" s="1"/>
  <c r="E71" i="105" a="1"/>
  <c r="E71" i="105" s="1"/>
  <c r="D71" i="105" a="1"/>
  <c r="D71" i="105" s="1"/>
  <c r="I70" i="105" a="1"/>
  <c r="I70" i="105" s="1"/>
  <c r="H70" i="105" a="1"/>
  <c r="H70" i="105" s="1"/>
  <c r="G70" i="105" a="1"/>
  <c r="G70" i="105" s="1"/>
  <c r="F70" i="105" a="1"/>
  <c r="F70" i="105" s="1"/>
  <c r="E70" i="105" a="1"/>
  <c r="E70" i="105" s="1"/>
  <c r="D70" i="105" a="1"/>
  <c r="D70" i="105" s="1"/>
  <c r="I69" i="105" a="1"/>
  <c r="I69" i="105" s="1"/>
  <c r="H69" i="105" a="1"/>
  <c r="H69" i="105" s="1"/>
  <c r="G69" i="105" a="1"/>
  <c r="G69" i="105" s="1"/>
  <c r="F69" i="105" a="1"/>
  <c r="F69" i="105" s="1"/>
  <c r="E69" i="105" a="1"/>
  <c r="E69" i="105" s="1"/>
  <c r="D69" i="105" a="1"/>
  <c r="D69" i="105" s="1"/>
  <c r="I68" i="105" a="1"/>
  <c r="I68" i="105" s="1"/>
  <c r="H68" i="105" a="1"/>
  <c r="H68" i="105" s="1"/>
  <c r="G68" i="105" a="1"/>
  <c r="G68" i="105" s="1"/>
  <c r="F68" i="105" a="1"/>
  <c r="F68" i="105" s="1"/>
  <c r="E68" i="105" a="1"/>
  <c r="E68" i="105" s="1"/>
  <c r="D68" i="105" a="1"/>
  <c r="D68" i="105" s="1"/>
  <c r="I67" i="105" a="1"/>
  <c r="I67" i="105" s="1"/>
  <c r="H67" i="105" a="1"/>
  <c r="H67" i="105" s="1"/>
  <c r="G67" i="105" a="1"/>
  <c r="G67" i="105" s="1"/>
  <c r="F67" i="105" a="1"/>
  <c r="F67" i="105" s="1"/>
  <c r="E67" i="105" a="1"/>
  <c r="E67" i="105" s="1"/>
  <c r="D67" i="105" a="1"/>
  <c r="D67" i="105" s="1"/>
  <c r="I66" i="105" a="1"/>
  <c r="I66" i="105" s="1"/>
  <c r="H66" i="105" a="1"/>
  <c r="H66" i="105" s="1"/>
  <c r="G66" i="105" a="1"/>
  <c r="G66" i="105" s="1"/>
  <c r="F66" i="105" a="1"/>
  <c r="F66" i="105" s="1"/>
  <c r="E66" i="105" a="1"/>
  <c r="E66" i="105" s="1"/>
  <c r="D66" i="105" a="1"/>
  <c r="D66" i="105" s="1"/>
  <c r="I65" i="105" a="1"/>
  <c r="I65" i="105" s="1"/>
  <c r="H65" i="105" a="1"/>
  <c r="H65" i="105" s="1"/>
  <c r="G65" i="105" a="1"/>
  <c r="G65" i="105" s="1"/>
  <c r="F65" i="105" a="1"/>
  <c r="F65" i="105" s="1"/>
  <c r="E65" i="105" a="1"/>
  <c r="E65" i="105" s="1"/>
  <c r="D65" i="105" a="1"/>
  <c r="D65" i="105" s="1"/>
  <c r="I64" i="105" a="1"/>
  <c r="I64" i="105" s="1"/>
  <c r="H64" i="105" a="1"/>
  <c r="H64" i="105" s="1"/>
  <c r="G64" i="105" a="1"/>
  <c r="G64" i="105" s="1"/>
  <c r="F64" i="105" a="1"/>
  <c r="F64" i="105" s="1"/>
  <c r="E64" i="105" a="1"/>
  <c r="E64" i="105" s="1"/>
  <c r="D64" i="105" a="1"/>
  <c r="D64" i="105" s="1"/>
  <c r="I63" i="105" a="1"/>
  <c r="I63" i="105" s="1"/>
  <c r="H63" i="105" a="1"/>
  <c r="H63" i="105" s="1"/>
  <c r="G63" i="105" a="1"/>
  <c r="G63" i="105" s="1"/>
  <c r="F63" i="105" a="1"/>
  <c r="F63" i="105" s="1"/>
  <c r="E63" i="105" a="1"/>
  <c r="E63" i="105" s="1"/>
  <c r="D63" i="105" a="1"/>
  <c r="D63" i="105" s="1"/>
  <c r="I62" i="105" a="1"/>
  <c r="I62" i="105" s="1"/>
  <c r="H62" i="105" a="1"/>
  <c r="H62" i="105" s="1"/>
  <c r="G62" i="105" a="1"/>
  <c r="G62" i="105" s="1"/>
  <c r="F62" i="105" a="1"/>
  <c r="F62" i="105" s="1"/>
  <c r="E62" i="105" a="1"/>
  <c r="E62" i="105" s="1"/>
  <c r="D62" i="105" a="1"/>
  <c r="D62" i="105" s="1"/>
  <c r="I61" i="105" a="1"/>
  <c r="I61" i="105" s="1"/>
  <c r="H61" i="105"/>
  <c r="H61" i="105" a="1"/>
  <c r="G61" i="105" a="1"/>
  <c r="G61" i="105" s="1"/>
  <c r="F61" i="105" a="1"/>
  <c r="F61" i="105" s="1"/>
  <c r="E61" i="105" a="1"/>
  <c r="E61" i="105" s="1"/>
  <c r="D61" i="105" a="1"/>
  <c r="D61" i="105" s="1"/>
  <c r="I60" i="105" a="1"/>
  <c r="I60" i="105" s="1"/>
  <c r="H60" i="105" a="1"/>
  <c r="H60" i="105" s="1"/>
  <c r="G60" i="105" a="1"/>
  <c r="G60" i="105" s="1"/>
  <c r="F60" i="105" a="1"/>
  <c r="F60" i="105" s="1"/>
  <c r="E60" i="105" a="1"/>
  <c r="E60" i="105" s="1"/>
  <c r="D60" i="105" a="1"/>
  <c r="D60" i="105" s="1"/>
  <c r="I59" i="105" a="1"/>
  <c r="I59" i="105" s="1"/>
  <c r="H59" i="105" a="1"/>
  <c r="H59" i="105" s="1"/>
  <c r="G59" i="105" a="1"/>
  <c r="G59" i="105" s="1"/>
  <c r="F59" i="105" a="1"/>
  <c r="F59" i="105" s="1"/>
  <c r="E59" i="105" a="1"/>
  <c r="E59" i="105" s="1"/>
  <c r="D59" i="105" a="1"/>
  <c r="D59" i="105" s="1"/>
  <c r="I58" i="105" a="1"/>
  <c r="I58" i="105" s="1"/>
  <c r="H58" i="105" a="1"/>
  <c r="H58" i="105" s="1"/>
  <c r="G58" i="105" a="1"/>
  <c r="G58" i="105" s="1"/>
  <c r="F58" i="105" a="1"/>
  <c r="F58" i="105" s="1"/>
  <c r="E58" i="105" a="1"/>
  <c r="E58" i="105" s="1"/>
  <c r="D58" i="105" a="1"/>
  <c r="D58" i="105" s="1"/>
  <c r="I57" i="105" a="1"/>
  <c r="I57" i="105" s="1"/>
  <c r="H57" i="105" a="1"/>
  <c r="H57" i="105" s="1"/>
  <c r="G57" i="105" a="1"/>
  <c r="G57" i="105" s="1"/>
  <c r="F57" i="105" a="1"/>
  <c r="F57" i="105" s="1"/>
  <c r="E57" i="105" a="1"/>
  <c r="E57" i="105" s="1"/>
  <c r="D57" i="105" a="1"/>
  <c r="D57" i="105" s="1"/>
  <c r="I56" i="105" a="1"/>
  <c r="I56" i="105" s="1"/>
  <c r="H56" i="105" a="1"/>
  <c r="H56" i="105" s="1"/>
  <c r="G56" i="105" a="1"/>
  <c r="G56" i="105" s="1"/>
  <c r="F56" i="105" a="1"/>
  <c r="F56" i="105" s="1"/>
  <c r="E56" i="105" a="1"/>
  <c r="E56" i="105" s="1"/>
  <c r="D56" i="105" a="1"/>
  <c r="D56" i="105" s="1"/>
  <c r="I55" i="105" a="1"/>
  <c r="I55" i="105" s="1"/>
  <c r="H55" i="105" a="1"/>
  <c r="H55" i="105" s="1"/>
  <c r="G55" i="105" a="1"/>
  <c r="G55" i="105" s="1"/>
  <c r="F55" i="105" a="1"/>
  <c r="F55" i="105" s="1"/>
  <c r="E55" i="105" a="1"/>
  <c r="E55" i="105" s="1"/>
  <c r="D55" i="105" a="1"/>
  <c r="D55" i="105" s="1"/>
  <c r="I54" i="105" a="1"/>
  <c r="I54" i="105" s="1"/>
  <c r="H54" i="105" a="1"/>
  <c r="H54" i="105" s="1"/>
  <c r="G54" i="105" a="1"/>
  <c r="G54" i="105" s="1"/>
  <c r="F54" i="105" a="1"/>
  <c r="F54" i="105" s="1"/>
  <c r="E54" i="105" a="1"/>
  <c r="E54" i="105" s="1"/>
  <c r="D54" i="105" a="1"/>
  <c r="D54" i="105" s="1"/>
  <c r="I53" i="105" a="1"/>
  <c r="I53" i="105" s="1"/>
  <c r="H53" i="105" a="1"/>
  <c r="H53" i="105" s="1"/>
  <c r="G53" i="105" a="1"/>
  <c r="G53" i="105" s="1"/>
  <c r="F53" i="105" a="1"/>
  <c r="F53" i="105" s="1"/>
  <c r="E53" i="105" a="1"/>
  <c r="E53" i="105" s="1"/>
  <c r="D53" i="105" a="1"/>
  <c r="D53" i="105" s="1"/>
  <c r="I52" i="105" a="1"/>
  <c r="I52" i="105" s="1"/>
  <c r="H52" i="105" a="1"/>
  <c r="H52" i="105" s="1"/>
  <c r="G52" i="105" a="1"/>
  <c r="G52" i="105" s="1"/>
  <c r="F52" i="105" a="1"/>
  <c r="F52" i="105" s="1"/>
  <c r="E52" i="105" a="1"/>
  <c r="E52" i="105" s="1"/>
  <c r="D52" i="105" a="1"/>
  <c r="D52" i="105" s="1"/>
  <c r="I51" i="105" a="1"/>
  <c r="I51" i="105" s="1"/>
  <c r="H51" i="105" a="1"/>
  <c r="H51" i="105" s="1"/>
  <c r="G51" i="105" a="1"/>
  <c r="G51" i="105" s="1"/>
  <c r="F51" i="105" a="1"/>
  <c r="F51" i="105" s="1"/>
  <c r="E51" i="105" a="1"/>
  <c r="E51" i="105" s="1"/>
  <c r="D51" i="105" a="1"/>
  <c r="D51" i="105" s="1"/>
  <c r="I50" i="105" a="1"/>
  <c r="I50" i="105" s="1"/>
  <c r="H50" i="105" a="1"/>
  <c r="H50" i="105" s="1"/>
  <c r="G50" i="105" a="1"/>
  <c r="G50" i="105" s="1"/>
  <c r="F50" i="105" a="1"/>
  <c r="F50" i="105" s="1"/>
  <c r="E50" i="105" a="1"/>
  <c r="E50" i="105" s="1"/>
  <c r="D50" i="105" a="1"/>
  <c r="D50" i="105" s="1"/>
  <c r="I49" i="105" a="1"/>
  <c r="I49" i="105" s="1"/>
  <c r="H49" i="105" a="1"/>
  <c r="H49" i="105" s="1"/>
  <c r="G49" i="105" a="1"/>
  <c r="G49" i="105" s="1"/>
  <c r="F49" i="105" a="1"/>
  <c r="F49" i="105" s="1"/>
  <c r="E49" i="105" a="1"/>
  <c r="E49" i="105" s="1"/>
  <c r="D49" i="105" a="1"/>
  <c r="D49" i="105" s="1"/>
  <c r="I48" i="105" a="1"/>
  <c r="I48" i="105" s="1"/>
  <c r="H48" i="105" a="1"/>
  <c r="H48" i="105" s="1"/>
  <c r="G48" i="105" a="1"/>
  <c r="G48" i="105" s="1"/>
  <c r="F48" i="105" a="1"/>
  <c r="F48" i="105" s="1"/>
  <c r="E48" i="105" a="1"/>
  <c r="E48" i="105" s="1"/>
  <c r="D48" i="105" a="1"/>
  <c r="D48" i="105" s="1"/>
  <c r="I47" i="105" a="1"/>
  <c r="I47" i="105" s="1"/>
  <c r="H47" i="105" a="1"/>
  <c r="H47" i="105" s="1"/>
  <c r="G47" i="105" a="1"/>
  <c r="G47" i="105" s="1"/>
  <c r="F47" i="105" a="1"/>
  <c r="F47" i="105" s="1"/>
  <c r="E47" i="105" a="1"/>
  <c r="E47" i="105" s="1"/>
  <c r="D47" i="105" a="1"/>
  <c r="D47" i="105" s="1"/>
  <c r="I46" i="105" a="1"/>
  <c r="I46" i="105" s="1"/>
  <c r="H46" i="105" a="1"/>
  <c r="H46" i="105" s="1"/>
  <c r="G46" i="105" a="1"/>
  <c r="G46" i="105" s="1"/>
  <c r="F46" i="105" a="1"/>
  <c r="F46" i="105" s="1"/>
  <c r="E46" i="105" a="1"/>
  <c r="E46" i="105" s="1"/>
  <c r="D46" i="105" a="1"/>
  <c r="D46" i="105" s="1"/>
  <c r="I45" i="105" a="1"/>
  <c r="I45" i="105" s="1"/>
  <c r="H45" i="105" a="1"/>
  <c r="H45" i="105" s="1"/>
  <c r="G45" i="105" a="1"/>
  <c r="G45" i="105" s="1"/>
  <c r="F45" i="105" a="1"/>
  <c r="F45" i="105" s="1"/>
  <c r="E45" i="105" a="1"/>
  <c r="E45" i="105" s="1"/>
  <c r="D45" i="105" a="1"/>
  <c r="D45" i="105" s="1"/>
  <c r="I44" i="105" a="1"/>
  <c r="I44" i="105" s="1"/>
  <c r="H44" i="105" a="1"/>
  <c r="H44" i="105" s="1"/>
  <c r="G44" i="105" a="1"/>
  <c r="G44" i="105" s="1"/>
  <c r="F44" i="105" a="1"/>
  <c r="F44" i="105" s="1"/>
  <c r="E44" i="105" a="1"/>
  <c r="E44" i="105" s="1"/>
  <c r="D44" i="105" a="1"/>
  <c r="D44" i="105" s="1"/>
  <c r="I43" i="105" a="1"/>
  <c r="I43" i="105" s="1"/>
  <c r="H43" i="105" a="1"/>
  <c r="H43" i="105" s="1"/>
  <c r="G43" i="105" a="1"/>
  <c r="G43" i="105" s="1"/>
  <c r="F43" i="105" a="1"/>
  <c r="F43" i="105" s="1"/>
  <c r="E43" i="105" a="1"/>
  <c r="E43" i="105" s="1"/>
  <c r="D43" i="105" a="1"/>
  <c r="D43" i="105" s="1"/>
  <c r="I42" i="105" a="1"/>
  <c r="I42" i="105" s="1"/>
  <c r="H42" i="105" a="1"/>
  <c r="H42" i="105" s="1"/>
  <c r="G42" i="105" a="1"/>
  <c r="G42" i="105" s="1"/>
  <c r="F42" i="105" a="1"/>
  <c r="F42" i="105" s="1"/>
  <c r="E42" i="105" a="1"/>
  <c r="E42" i="105" s="1"/>
  <c r="D42" i="105" a="1"/>
  <c r="D42" i="105" s="1"/>
  <c r="I41" i="105" a="1"/>
  <c r="I41" i="105" s="1"/>
  <c r="H41" i="105" a="1"/>
  <c r="H41" i="105" s="1"/>
  <c r="G41" i="105" a="1"/>
  <c r="G41" i="105" s="1"/>
  <c r="F41" i="105" a="1"/>
  <c r="F41" i="105" s="1"/>
  <c r="E41" i="105" a="1"/>
  <c r="E41" i="105" s="1"/>
  <c r="D41" i="105" a="1"/>
  <c r="D41" i="105" s="1"/>
  <c r="I40" i="105" a="1"/>
  <c r="I40" i="105" s="1"/>
  <c r="H40" i="105" a="1"/>
  <c r="H40" i="105" s="1"/>
  <c r="G40" i="105" a="1"/>
  <c r="G40" i="105" s="1"/>
  <c r="F40" i="105" a="1"/>
  <c r="F40" i="105" s="1"/>
  <c r="E40" i="105" a="1"/>
  <c r="E40" i="105" s="1"/>
  <c r="D40" i="105" a="1"/>
  <c r="D40" i="105" s="1"/>
  <c r="I39" i="105" a="1"/>
  <c r="I39" i="105" s="1"/>
  <c r="H39" i="105" a="1"/>
  <c r="H39" i="105" s="1"/>
  <c r="G39" i="105" a="1"/>
  <c r="G39" i="105" s="1"/>
  <c r="F39" i="105" a="1"/>
  <c r="F39" i="105" s="1"/>
  <c r="E39" i="105" a="1"/>
  <c r="E39" i="105" s="1"/>
  <c r="D39" i="105" a="1"/>
  <c r="D39" i="105" s="1"/>
  <c r="I38" i="105" a="1"/>
  <c r="I38" i="105" s="1"/>
  <c r="H38" i="105" a="1"/>
  <c r="H38" i="105" s="1"/>
  <c r="G38" i="105" a="1"/>
  <c r="G38" i="105" s="1"/>
  <c r="F38" i="105" a="1"/>
  <c r="F38" i="105" s="1"/>
  <c r="E38" i="105" a="1"/>
  <c r="E38" i="105" s="1"/>
  <c r="D38" i="105" a="1"/>
  <c r="D38" i="105"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c r="E36" i="105" a="1"/>
  <c r="D36" i="105" a="1"/>
  <c r="D36" i="105" s="1"/>
  <c r="I35" i="105" a="1"/>
  <c r="I35" i="105" s="1"/>
  <c r="H35" i="105" a="1"/>
  <c r="H35" i="105" s="1"/>
  <c r="G35" i="105" a="1"/>
  <c r="G35" i="105" s="1"/>
  <c r="F35" i="105" a="1"/>
  <c r="F35" i="105" s="1"/>
  <c r="E35" i="105" a="1"/>
  <c r="E35" i="105" s="1"/>
  <c r="D35" i="105" a="1"/>
  <c r="D35" i="105" s="1"/>
  <c r="I34" i="105" a="1"/>
  <c r="I34" i="105" s="1"/>
  <c r="H34" i="105" a="1"/>
  <c r="H34" i="105" s="1"/>
  <c r="G34" i="105" a="1"/>
  <c r="G34" i="105" s="1"/>
  <c r="F34" i="105" a="1"/>
  <c r="F34" i="105" s="1"/>
  <c r="E34" i="105" a="1"/>
  <c r="E34" i="105" s="1"/>
  <c r="D34" i="105" a="1"/>
  <c r="D34" i="105" s="1"/>
  <c r="R85" i="104" a="1"/>
  <c r="R85" i="104" s="1"/>
  <c r="N85" i="104" a="1"/>
  <c r="N85" i="104" s="1"/>
  <c r="H85" i="104" a="1"/>
  <c r="H85" i="104" s="1"/>
  <c r="D85" i="104" a="1"/>
  <c r="D85" i="104" s="1"/>
  <c r="O83" i="104" a="1"/>
  <c r="O83" i="104" s="1"/>
  <c r="E83" i="104" a="1"/>
  <c r="E83" i="104" s="1"/>
  <c r="P90" i="104" s="1"/>
  <c r="O82" i="104" a="1"/>
  <c r="O82" i="104" s="1"/>
  <c r="E82" i="104" a="1"/>
  <c r="E82" i="104" s="1"/>
  <c r="N78" i="104" a="1"/>
  <c r="N78" i="104" s="1"/>
  <c r="D78" i="104" a="1"/>
  <c r="D78" i="104" s="1"/>
  <c r="N77" i="104" a="1"/>
  <c r="N77" i="104" s="1"/>
  <c r="D77" i="104" a="1"/>
  <c r="D77" i="104" s="1"/>
  <c r="I72" i="104"/>
  <c r="I71" i="104"/>
  <c r="I70" i="104"/>
  <c r="S67" i="104"/>
  <c r="Q67" i="104" a="1"/>
  <c r="Q67" i="104" s="1"/>
  <c r="N67" i="104" a="1"/>
  <c r="N67" i="104" s="1"/>
  <c r="I67" i="104"/>
  <c r="G67" i="104" a="1"/>
  <c r="G67" i="104" s="1"/>
  <c r="D67" i="104" a="1"/>
  <c r="D67" i="104" s="1"/>
  <c r="O65" i="104" a="1"/>
  <c r="O65" i="104" s="1"/>
  <c r="E65" i="104" a="1"/>
  <c r="E65" i="104" s="1"/>
  <c r="O64" i="104" a="1"/>
  <c r="O64" i="104" s="1"/>
  <c r="E64" i="104" a="1"/>
  <c r="E64" i="104" s="1"/>
  <c r="N60" i="104" a="1"/>
  <c r="N60" i="104" s="1"/>
  <c r="D60" i="104" a="1"/>
  <c r="D60" i="104" s="1"/>
  <c r="N59" i="104" a="1"/>
  <c r="N59" i="104" s="1"/>
  <c r="D59" i="104" a="1"/>
  <c r="D59" i="104" s="1"/>
  <c r="I52" i="104"/>
  <c r="I51" i="104"/>
  <c r="Q48" i="104"/>
  <c r="Q48" i="104" a="1"/>
  <c r="N48" i="104" a="1"/>
  <c r="N48" i="104" s="1"/>
  <c r="G48" i="104" a="1"/>
  <c r="G48" i="104" s="1"/>
  <c r="D48" i="104" a="1"/>
  <c r="D48" i="104" s="1"/>
  <c r="O46" i="104" a="1"/>
  <c r="O46" i="104" s="1"/>
  <c r="E46" i="104" a="1"/>
  <c r="E46" i="104" s="1"/>
  <c r="O45" i="104" a="1"/>
  <c r="O45" i="104" s="1"/>
  <c r="E45" i="104"/>
  <c r="E45" i="104" a="1"/>
  <c r="N41" i="104" a="1"/>
  <c r="N41" i="104" s="1"/>
  <c r="D41" i="104" a="1"/>
  <c r="D41" i="104" s="1"/>
  <c r="N40" i="104" a="1"/>
  <c r="N40" i="104" s="1"/>
  <c r="D40" i="104" a="1"/>
  <c r="D40" i="104" s="1"/>
  <c r="S32" i="104"/>
  <c r="Q32" i="104" a="1"/>
  <c r="Q32" i="104" s="1"/>
  <c r="N32" i="104" a="1"/>
  <c r="N32" i="104" s="1"/>
  <c r="I32" i="104"/>
  <c r="G32" i="104" a="1"/>
  <c r="G32" i="104" s="1"/>
  <c r="D32" i="104" a="1"/>
  <c r="D32" i="104" s="1"/>
  <c r="O30" i="104" a="1"/>
  <c r="O30" i="104" s="1"/>
  <c r="P35" i="104" s="1"/>
  <c r="E30" i="104" a="1"/>
  <c r="E30" i="104" s="1"/>
  <c r="F35" i="104" s="1"/>
  <c r="O29" i="104" a="1"/>
  <c r="O29" i="104" s="1"/>
  <c r="E29" i="104" a="1"/>
  <c r="E29" i="104" s="1"/>
  <c r="N25" i="104" a="1"/>
  <c r="N25" i="104" s="1"/>
  <c r="D25" i="104" a="1"/>
  <c r="D25" i="104" s="1"/>
  <c r="N24" i="104" a="1"/>
  <c r="N24" i="104" s="1"/>
  <c r="D24" i="104" a="1"/>
  <c r="D24" i="104" s="1"/>
  <c r="J16" i="104"/>
  <c r="T13" i="104"/>
  <c r="R13" i="104" a="1"/>
  <c r="R13" i="104" s="1"/>
  <c r="N13" i="104" a="1"/>
  <c r="N13" i="104" s="1"/>
  <c r="J13" i="104"/>
  <c r="H13" i="104" a="1"/>
  <c r="H13" i="104" s="1"/>
  <c r="D13" i="104" a="1"/>
  <c r="D13" i="104" s="1"/>
  <c r="O11" i="104" a="1"/>
  <c r="O11" i="104" s="1"/>
  <c r="E11" i="104" a="1"/>
  <c r="E11" i="104" s="1"/>
  <c r="O10" i="104" a="1"/>
  <c r="O10" i="104" s="1"/>
  <c r="E10" i="104" a="1"/>
  <c r="E10" i="104" s="1"/>
  <c r="N6" i="104" a="1"/>
  <c r="N6" i="104" s="1"/>
  <c r="D6" i="104" a="1"/>
  <c r="D6" i="104" s="1"/>
  <c r="N5" i="104" a="1"/>
  <c r="N5" i="104" s="1"/>
  <c r="D5" i="104" a="1"/>
  <c r="D5" i="104" s="1"/>
  <c r="J634" i="103" a="1"/>
  <c r="J634" i="103" s="1"/>
  <c r="J633" i="103" a="1"/>
  <c r="J633" i="103" s="1"/>
  <c r="J631" i="103" a="1"/>
  <c r="J631" i="103" s="1"/>
  <c r="J629" i="103" a="1"/>
  <c r="J629" i="103" s="1"/>
  <c r="J614" i="103" a="1"/>
  <c r="J614" i="103" s="1"/>
  <c r="G601" i="103" a="1"/>
  <c r="G601" i="103" s="1"/>
  <c r="D601" i="103" a="1"/>
  <c r="D601" i="103" s="1"/>
  <c r="E599" i="103" a="1"/>
  <c r="E599" i="103" s="1"/>
  <c r="E598" i="103" a="1"/>
  <c r="E598" i="103" s="1"/>
  <c r="D593" i="103" a="1"/>
  <c r="D593" i="103" s="1"/>
  <c r="D592" i="103" a="1"/>
  <c r="D592" i="103" s="1"/>
  <c r="E586" i="103" a="1"/>
  <c r="E586" i="103" s="1"/>
  <c r="F588" i="103" s="1"/>
  <c r="E585" i="103" a="1"/>
  <c r="E585" i="103" s="1"/>
  <c r="D583" i="103" a="1"/>
  <c r="D583" i="103" s="1"/>
  <c r="D582" i="103" a="1"/>
  <c r="D582" i="103" s="1"/>
  <c r="N578" i="103" a="1"/>
  <c r="N578" i="103" s="1"/>
  <c r="F578" i="103" a="1"/>
  <c r="F578" i="103" s="1"/>
  <c r="L575" i="103" a="1"/>
  <c r="L575" i="103" s="1"/>
  <c r="D575" i="103" a="1"/>
  <c r="D575" i="103" s="1"/>
  <c r="P569" i="103" a="1"/>
  <c r="P569" i="103" s="1"/>
  <c r="L569" i="103" a="1"/>
  <c r="L569" i="103" s="1"/>
  <c r="H569" i="103" a="1"/>
  <c r="H569" i="103" s="1"/>
  <c r="D569" i="103" a="1"/>
  <c r="D569" i="103" s="1"/>
  <c r="E565" i="103" a="1"/>
  <c r="E565" i="103" s="1"/>
  <c r="F573" i="103" s="1"/>
  <c r="E564" i="103" a="1"/>
  <c r="E564" i="103" s="1"/>
  <c r="D560" i="103" a="1"/>
  <c r="D560" i="103" s="1"/>
  <c r="D559" i="103" a="1"/>
  <c r="D559" i="103" s="1"/>
  <c r="I553" i="103"/>
  <c r="I549" i="103"/>
  <c r="I548" i="103"/>
  <c r="I547" i="103"/>
  <c r="G547" i="103" a="1"/>
  <c r="G547" i="103" s="1"/>
  <c r="D547" i="103" a="1"/>
  <c r="D547" i="103" s="1"/>
  <c r="E545" i="103" a="1"/>
  <c r="E545" i="103" s="1"/>
  <c r="E544" i="103" a="1"/>
  <c r="E544" i="103" s="1"/>
  <c r="D539" i="103" a="1"/>
  <c r="D539" i="103" s="1"/>
  <c r="D538" i="103" a="1"/>
  <c r="D538" i="103" s="1"/>
  <c r="D537" i="103" a="1"/>
  <c r="D537" i="103" s="1"/>
  <c r="I531" i="103"/>
  <c r="I529" i="103"/>
  <c r="G529" i="103" a="1"/>
  <c r="G529" i="103" s="1"/>
  <c r="D529" i="103" a="1"/>
  <c r="D529" i="103" s="1"/>
  <c r="E527" i="103" a="1"/>
  <c r="E527" i="103" s="1"/>
  <c r="E526" i="103" a="1"/>
  <c r="E526" i="103" s="1"/>
  <c r="D522" i="103" a="1"/>
  <c r="D522" i="103" s="1"/>
  <c r="D521" i="103" a="1"/>
  <c r="D521" i="103" s="1"/>
  <c r="G515" i="103" a="1"/>
  <c r="G515" i="103" s="1"/>
  <c r="D515" i="103" a="1"/>
  <c r="D515" i="103" s="1"/>
  <c r="E513" i="103" a="1"/>
  <c r="E513" i="103" s="1"/>
  <c r="E512" i="103" a="1"/>
  <c r="E512" i="103" s="1"/>
  <c r="D507" i="103" a="1"/>
  <c r="D507" i="103" s="1"/>
  <c r="D506" i="103" a="1"/>
  <c r="D506" i="103" s="1"/>
  <c r="K499" i="103" a="1"/>
  <c r="K499" i="103" s="1"/>
  <c r="K498" i="103" a="1"/>
  <c r="K498" i="103" s="1"/>
  <c r="K497" i="103" a="1"/>
  <c r="K497" i="103" s="1"/>
  <c r="K496" i="103" a="1"/>
  <c r="K496" i="103" s="1"/>
  <c r="K495" i="103" a="1"/>
  <c r="K495" i="103" s="1"/>
  <c r="K493" i="103" a="1"/>
  <c r="K493" i="103" s="1"/>
  <c r="K492" i="103" a="1"/>
  <c r="K492" i="103" s="1"/>
  <c r="K491" i="103" a="1"/>
  <c r="K491" i="103" s="1"/>
  <c r="K494" i="103" a="1"/>
  <c r="K494" i="103" s="1"/>
  <c r="E481" i="103"/>
  <c r="I481" i="103" s="1" a="1"/>
  <c r="I481" i="103" s="1"/>
  <c r="E480" i="103"/>
  <c r="E479" i="103"/>
  <c r="I479" i="103" s="1" a="1"/>
  <c r="I479" i="103" s="1"/>
  <c r="E470" i="103"/>
  <c r="I470" i="103" s="1" a="1"/>
  <c r="I470" i="103" s="1"/>
  <c r="E469" i="103"/>
  <c r="E468" i="103"/>
  <c r="I468" i="103" s="1" a="1"/>
  <c r="I468" i="103" s="1"/>
  <c r="E467" i="103"/>
  <c r="E466" i="103"/>
  <c r="I466" i="103" s="1" a="1"/>
  <c r="I466" i="103" s="1"/>
  <c r="J452" i="103" a="1"/>
  <c r="J452" i="103" s="1"/>
  <c r="J435" i="103" a="1"/>
  <c r="J435" i="103" s="1"/>
  <c r="J434" i="103" a="1"/>
  <c r="J434" i="103" s="1"/>
  <c r="J433" i="103" a="1"/>
  <c r="J433" i="103" s="1"/>
  <c r="G424" i="103"/>
  <c r="G424" i="103" a="1"/>
  <c r="D424" i="103" a="1"/>
  <c r="D424" i="103" s="1"/>
  <c r="E422" i="103" a="1"/>
  <c r="E422" i="103" s="1"/>
  <c r="E421" i="103" a="1"/>
  <c r="E421" i="103" s="1"/>
  <c r="D416" i="103" a="1"/>
  <c r="D416" i="103" s="1"/>
  <c r="D415" i="103" a="1"/>
  <c r="D415" i="103" s="1"/>
  <c r="K408" i="103"/>
  <c r="J408" i="103" a="1"/>
  <c r="J408" i="103" s="1"/>
  <c r="J407" i="103" a="1"/>
  <c r="J407" i="103" s="1"/>
  <c r="K406" i="103"/>
  <c r="K405" i="103"/>
  <c r="J405" i="103" a="1"/>
  <c r="J405" i="103" s="1"/>
  <c r="K404" i="103"/>
  <c r="J404" i="103" a="1"/>
  <c r="J404" i="103" s="1"/>
  <c r="K403" i="103"/>
  <c r="J403" i="103" a="1"/>
  <c r="J403" i="103" s="1"/>
  <c r="J402" i="103" a="1"/>
  <c r="J402" i="103" s="1"/>
  <c r="K401" i="103"/>
  <c r="J401" i="103" a="1"/>
  <c r="J401" i="103" s="1"/>
  <c r="K400" i="103"/>
  <c r="J400" i="103" a="1"/>
  <c r="J400" i="103" s="1"/>
  <c r="K407" i="103"/>
  <c r="J406" i="103" a="1"/>
  <c r="J406" i="103" s="1"/>
  <c r="F392" i="103" a="1"/>
  <c r="F392" i="103" s="1"/>
  <c r="D392" i="103" a="1"/>
  <c r="D392" i="103" s="1"/>
  <c r="E390" i="103" a="1"/>
  <c r="E390" i="103" s="1"/>
  <c r="E389" i="103" a="1"/>
  <c r="E389" i="103" s="1"/>
  <c r="D384" i="103" a="1"/>
  <c r="D384" i="103" s="1"/>
  <c r="D383" i="103" a="1"/>
  <c r="D383" i="103" s="1"/>
  <c r="F362" i="103" a="1"/>
  <c r="F362" i="103" s="1"/>
  <c r="D362" i="103" a="1"/>
  <c r="D362" i="103" s="1"/>
  <c r="E360" i="103" a="1"/>
  <c r="E360" i="103" s="1"/>
  <c r="E359" i="103" a="1"/>
  <c r="E359" i="103" s="1"/>
  <c r="D354" i="103" a="1"/>
  <c r="D354" i="103" s="1"/>
  <c r="D353" i="103" a="1"/>
  <c r="D353" i="103" s="1"/>
  <c r="D352" i="103" a="1"/>
  <c r="D352" i="103" s="1"/>
  <c r="L344" i="103"/>
  <c r="L341" i="103"/>
  <c r="K341" i="103" a="1"/>
  <c r="K341" i="103" s="1"/>
  <c r="K340" i="103" a="1"/>
  <c r="K340" i="103" s="1"/>
  <c r="L339" i="103"/>
  <c r="L338" i="103"/>
  <c r="K344" i="103" a="1"/>
  <c r="K344" i="103" s="1"/>
  <c r="G329" i="103" a="1"/>
  <c r="G329" i="103" s="1"/>
  <c r="D329" i="103" a="1"/>
  <c r="D329" i="103" s="1"/>
  <c r="E327" i="103" a="1"/>
  <c r="E327" i="103" s="1"/>
  <c r="E326" i="103" a="1"/>
  <c r="E326" i="103" s="1"/>
  <c r="D322" i="103" a="1"/>
  <c r="D322" i="103" s="1"/>
  <c r="D321" i="103" a="1"/>
  <c r="D321" i="103" s="1"/>
  <c r="F296" i="103" a="1"/>
  <c r="G300" i="103" s="1"/>
  <c r="D296" i="103" a="1"/>
  <c r="D296" i="103" s="1"/>
  <c r="E294" i="103" a="1"/>
  <c r="E294" i="103" s="1"/>
  <c r="E293" i="103" a="1"/>
  <c r="E293" i="103" s="1"/>
  <c r="D289" i="103" a="1"/>
  <c r="D289" i="103" s="1"/>
  <c r="D288" i="103" a="1"/>
  <c r="D288" i="103" s="1"/>
  <c r="G265" i="103" a="1"/>
  <c r="G265" i="103" s="1"/>
  <c r="D265" i="103" a="1"/>
  <c r="D265" i="103" s="1"/>
  <c r="E263" i="103" a="1"/>
  <c r="E263" i="103" s="1"/>
  <c r="E262" i="103" a="1"/>
  <c r="E262" i="103" s="1"/>
  <c r="D257" i="103" a="1"/>
  <c r="D257" i="103" s="1"/>
  <c r="D256" i="103" a="1"/>
  <c r="D256" i="103" s="1"/>
  <c r="P237" i="103" a="1"/>
  <c r="P237" i="103" s="1"/>
  <c r="O237" i="103" a="1"/>
  <c r="G209" i="103" a="1"/>
  <c r="G209" i="103" s="1"/>
  <c r="D209" i="103" a="1"/>
  <c r="D209" i="103" s="1"/>
  <c r="E207" i="103" a="1"/>
  <c r="E207" i="103" s="1"/>
  <c r="E206" i="103" a="1"/>
  <c r="E206" i="103" s="1"/>
  <c r="D202" i="103" a="1"/>
  <c r="D202" i="103" s="1"/>
  <c r="D201" i="103" a="1"/>
  <c r="D201" i="103" s="1"/>
  <c r="D200" i="103" a="1"/>
  <c r="D200" i="103" s="1"/>
  <c r="G194" i="103" a="1"/>
  <c r="G194" i="103" s="1"/>
  <c r="D194" i="103" a="1"/>
  <c r="D194" i="103" s="1"/>
  <c r="E192" i="103" a="1"/>
  <c r="E192" i="103" s="1"/>
  <c r="E191" i="103" a="1"/>
  <c r="E191" i="103" s="1"/>
  <c r="D187" i="103" a="1"/>
  <c r="D187" i="103" s="1"/>
  <c r="D186" i="103" a="1"/>
  <c r="D186" i="103" s="1"/>
  <c r="G180" i="103" a="1"/>
  <c r="G180" i="103" s="1"/>
  <c r="D180" i="103" a="1"/>
  <c r="D180" i="103" s="1"/>
  <c r="E178" i="103" a="1"/>
  <c r="E178" i="103" s="1"/>
  <c r="E177" i="103" a="1"/>
  <c r="E177" i="103" s="1"/>
  <c r="D173" i="103" a="1"/>
  <c r="D173" i="103" s="1"/>
  <c r="D172" i="103" a="1"/>
  <c r="D172" i="103" s="1"/>
  <c r="D171" i="103" a="1"/>
  <c r="D171" i="103" s="1"/>
  <c r="E164" i="103"/>
  <c r="I164" i="103" s="1" a="1"/>
  <c r="I164" i="103" s="1"/>
  <c r="E163" i="103"/>
  <c r="E162" i="103"/>
  <c r="G157" i="103" a="1"/>
  <c r="G157" i="103" s="1"/>
  <c r="D157" i="103" a="1"/>
  <c r="D157" i="103" s="1"/>
  <c r="E155" i="103" a="1"/>
  <c r="E155" i="103" s="1"/>
  <c r="F252" i="103" s="1"/>
  <c r="E154" i="103" a="1"/>
  <c r="E154" i="103" s="1"/>
  <c r="D150" i="103" a="1"/>
  <c r="D150" i="103" s="1"/>
  <c r="D149" i="103" a="1"/>
  <c r="D149" i="103" s="1"/>
  <c r="E139" i="103"/>
  <c r="E138" i="103"/>
  <c r="E137" i="103"/>
  <c r="E136" i="103"/>
  <c r="I136" i="103" s="1" a="1"/>
  <c r="I136" i="103" s="1"/>
  <c r="I121" i="103" a="1"/>
  <c r="I121" i="103" s="1"/>
  <c r="G106" i="103" a="1"/>
  <c r="G106" i="103" s="1"/>
  <c r="D106" i="103" a="1"/>
  <c r="D106" i="103" s="1"/>
  <c r="E104" i="103" a="1"/>
  <c r="E104" i="103" s="1"/>
  <c r="E103" i="103" a="1"/>
  <c r="E103" i="103" s="1"/>
  <c r="D99" i="103" a="1"/>
  <c r="D99" i="103" s="1"/>
  <c r="D98" i="103" a="1"/>
  <c r="D98" i="103" s="1"/>
  <c r="J61" i="103" a="1"/>
  <c r="J61" i="103" s="1"/>
  <c r="J62" i="103" a="1"/>
  <c r="J62" i="103" s="1"/>
  <c r="G13" i="103" a="1"/>
  <c r="G13" i="103" s="1"/>
  <c r="D13" i="103" a="1"/>
  <c r="D13" i="103" s="1"/>
  <c r="E11" i="103" a="1"/>
  <c r="E11" i="103" s="1"/>
  <c r="E10" i="103" a="1"/>
  <c r="E10" i="103" s="1"/>
  <c r="D6" i="103" a="1"/>
  <c r="D6" i="103" s="1"/>
  <c r="D5" i="103" a="1"/>
  <c r="D5" i="103" s="1"/>
  <c r="H102" i="100"/>
  <c r="H101" i="100"/>
  <c r="H100" i="100"/>
  <c r="H99" i="100"/>
  <c r="H98" i="100"/>
  <c r="H97" i="100"/>
  <c r="H96" i="100"/>
  <c r="H95" i="100"/>
  <c r="H94" i="100"/>
  <c r="H93" i="100"/>
  <c r="F367" i="103" s="1" a="1"/>
  <c r="F367" i="103" s="1"/>
  <c r="H20" i="100"/>
  <c r="O20" i="100" s="1"/>
  <c r="R19" i="100"/>
  <c r="O19" i="100"/>
  <c r="L19" i="100"/>
  <c r="H19" i="100"/>
  <c r="H18" i="100"/>
  <c r="O18" i="100" s="1"/>
  <c r="R17" i="100"/>
  <c r="H17" i="100"/>
  <c r="O17" i="100" s="1"/>
  <c r="H16" i="100"/>
  <c r="L16" i="100" s="1"/>
  <c r="H15" i="100"/>
  <c r="R15" i="100" s="1"/>
  <c r="H14" i="100"/>
  <c r="R14" i="100" s="1"/>
  <c r="H13" i="100"/>
  <c r="O13" i="100" s="1"/>
  <c r="H12" i="100"/>
  <c r="R12" i="100" s="1"/>
  <c r="H11" i="100"/>
  <c r="L11" i="100" s="1"/>
  <c r="Q9" i="100" a="1"/>
  <c r="Q9" i="100" s="1"/>
  <c r="N9" i="100" a="1"/>
  <c r="N9" i="100" s="1"/>
  <c r="K9" i="100" a="1"/>
  <c r="K9" i="100" s="1"/>
  <c r="F235" i="99" a="1"/>
  <c r="F235" i="99" s="1"/>
  <c r="E235" i="99" a="1"/>
  <c r="E235" i="99" s="1"/>
  <c r="D235" i="99" a="1"/>
  <c r="D235" i="99" s="1"/>
  <c r="F234" i="99" a="1"/>
  <c r="F234" i="99" s="1"/>
  <c r="E234" i="99" a="1"/>
  <c r="E234" i="99" s="1"/>
  <c r="D234" i="99" a="1"/>
  <c r="D234" i="99" s="1"/>
  <c r="F233" i="99" a="1"/>
  <c r="F233" i="99" s="1"/>
  <c r="E233" i="99" a="1"/>
  <c r="E233" i="99" s="1"/>
  <c r="D233" i="99" a="1"/>
  <c r="D233" i="99" s="1"/>
  <c r="F232" i="99" a="1"/>
  <c r="F232" i="99" s="1"/>
  <c r="E232" i="99" a="1"/>
  <c r="E232" i="99" s="1"/>
  <c r="D232" i="99" a="1"/>
  <c r="D232" i="99" s="1"/>
  <c r="F231" i="99" a="1"/>
  <c r="F231" i="99" s="1"/>
  <c r="E231" i="99" a="1"/>
  <c r="E231" i="99" s="1"/>
  <c r="D231" i="99" a="1"/>
  <c r="D231" i="99" s="1"/>
  <c r="F230" i="99" a="1"/>
  <c r="F230" i="99" s="1"/>
  <c r="E230" i="99" a="1"/>
  <c r="E230" i="99" s="1"/>
  <c r="D230" i="99" a="1"/>
  <c r="D230" i="99" s="1"/>
  <c r="F229" i="99" a="1"/>
  <c r="F229" i="99" s="1"/>
  <c r="E229" i="99" a="1"/>
  <c r="E229" i="99" s="1"/>
  <c r="D229" i="99" a="1"/>
  <c r="D229" i="99" s="1"/>
  <c r="F228" i="99" a="1"/>
  <c r="F228" i="99" s="1"/>
  <c r="E228" i="99" a="1"/>
  <c r="E228" i="99" s="1"/>
  <c r="D228" i="99" a="1"/>
  <c r="D228" i="99" s="1"/>
  <c r="F227" i="99" a="1"/>
  <c r="F227" i="99" s="1"/>
  <c r="E227" i="99" a="1"/>
  <c r="E227" i="99" s="1"/>
  <c r="D227" i="99" a="1"/>
  <c r="D227" i="99" s="1"/>
  <c r="F226" i="99" a="1"/>
  <c r="F226" i="99" s="1"/>
  <c r="E226" i="99" a="1"/>
  <c r="E226" i="99" s="1"/>
  <c r="D226" i="99" a="1"/>
  <c r="D226" i="99" s="1"/>
  <c r="F225" i="99" a="1"/>
  <c r="F225" i="99" s="1"/>
  <c r="E225" i="99" a="1"/>
  <c r="E225" i="99" s="1"/>
  <c r="D225" i="99" a="1"/>
  <c r="D225" i="99" s="1"/>
  <c r="F224" i="99" a="1"/>
  <c r="F224" i="99" s="1"/>
  <c r="E224" i="99" a="1"/>
  <c r="E224" i="99" s="1"/>
  <c r="D224" i="99" a="1"/>
  <c r="D224" i="99" s="1"/>
  <c r="F223" i="99" a="1"/>
  <c r="F223" i="99" s="1"/>
  <c r="E223" i="99" a="1"/>
  <c r="E223" i="99" s="1"/>
  <c r="D223" i="99" a="1"/>
  <c r="D223" i="99" s="1"/>
  <c r="F222" i="99" a="1"/>
  <c r="F222" i="99" s="1"/>
  <c r="E222" i="99" a="1"/>
  <c r="E222" i="99" s="1"/>
  <c r="D222" i="99" a="1"/>
  <c r="D222" i="99" s="1"/>
  <c r="F221" i="99" a="1"/>
  <c r="F221" i="99" s="1"/>
  <c r="E221" i="99" a="1"/>
  <c r="E221" i="99" s="1"/>
  <c r="D221" i="99" a="1"/>
  <c r="D221" i="99" s="1"/>
  <c r="F220" i="99" a="1"/>
  <c r="F220" i="99" s="1"/>
  <c r="E220" i="99" a="1"/>
  <c r="E220" i="99" s="1"/>
  <c r="D220" i="99" a="1"/>
  <c r="D220" i="99" s="1"/>
  <c r="F219" i="99" a="1"/>
  <c r="F219" i="99" s="1"/>
  <c r="E219" i="99" a="1"/>
  <c r="E219" i="99" s="1"/>
  <c r="D219" i="99" a="1"/>
  <c r="D219" i="99" s="1"/>
  <c r="F218" i="99" a="1"/>
  <c r="F218" i="99" s="1"/>
  <c r="E218" i="99" a="1"/>
  <c r="E218" i="99" s="1"/>
  <c r="D218" i="99" a="1"/>
  <c r="D218" i="99" s="1"/>
  <c r="F217" i="99" a="1"/>
  <c r="F217" i="99" s="1"/>
  <c r="E217" i="99" a="1"/>
  <c r="E217" i="99" s="1"/>
  <c r="D217" i="99" a="1"/>
  <c r="D217" i="99" s="1"/>
  <c r="F216" i="99" a="1"/>
  <c r="F216" i="99" s="1"/>
  <c r="E216" i="99" a="1"/>
  <c r="E216" i="99" s="1"/>
  <c r="D216" i="99" a="1"/>
  <c r="D216" i="99" s="1"/>
  <c r="F215" i="99" a="1"/>
  <c r="F215" i="99" s="1"/>
  <c r="E215" i="99" a="1"/>
  <c r="E215" i="99" s="1"/>
  <c r="D215" i="99" a="1"/>
  <c r="D215" i="99" s="1"/>
  <c r="F214" i="99" a="1"/>
  <c r="F214" i="99" s="1"/>
  <c r="E214" i="99" a="1"/>
  <c r="E214" i="99" s="1"/>
  <c r="D214" i="99" a="1"/>
  <c r="D214" i="99" s="1"/>
  <c r="F213" i="99" a="1"/>
  <c r="F213" i="99" s="1"/>
  <c r="E213" i="99" a="1"/>
  <c r="E213" i="99" s="1"/>
  <c r="D213" i="99" a="1"/>
  <c r="D213" i="99" s="1"/>
  <c r="F212" i="99" a="1"/>
  <c r="F212" i="99" s="1"/>
  <c r="E212" i="99" a="1"/>
  <c r="E212" i="99" s="1"/>
  <c r="D212" i="99" a="1"/>
  <c r="D212" i="99" s="1"/>
  <c r="F211" i="99" a="1"/>
  <c r="F211" i="99" s="1"/>
  <c r="E211" i="99" a="1"/>
  <c r="E211" i="99" s="1"/>
  <c r="D211" i="99" a="1"/>
  <c r="D211" i="99" s="1"/>
  <c r="F210" i="99" a="1"/>
  <c r="F210" i="99" s="1"/>
  <c r="E210" i="99" a="1"/>
  <c r="E210" i="99" s="1"/>
  <c r="D210" i="99" a="1"/>
  <c r="D210" i="99" s="1"/>
  <c r="F209" i="99" a="1"/>
  <c r="F209" i="99" s="1"/>
  <c r="E209" i="99" a="1"/>
  <c r="E209" i="99" s="1"/>
  <c r="D209" i="99" a="1"/>
  <c r="D209" i="99" s="1"/>
  <c r="F208" i="99" a="1"/>
  <c r="F208" i="99" s="1"/>
  <c r="E208" i="99" a="1"/>
  <c r="E208" i="99" s="1"/>
  <c r="D208" i="99" a="1"/>
  <c r="D208" i="99" s="1"/>
  <c r="F207" i="99" a="1"/>
  <c r="F207" i="99" s="1"/>
  <c r="E207" i="99" a="1"/>
  <c r="E207" i="99" s="1"/>
  <c r="D207" i="99" a="1"/>
  <c r="D207" i="99" s="1"/>
  <c r="F206" i="99" a="1"/>
  <c r="F206" i="99" s="1"/>
  <c r="E206" i="99" a="1"/>
  <c r="E206" i="99" s="1"/>
  <c r="D206" i="99" a="1"/>
  <c r="D206" i="99" s="1"/>
  <c r="F205" i="99" a="1"/>
  <c r="F205" i="99" s="1"/>
  <c r="E205" i="99" a="1"/>
  <c r="E205" i="99" s="1"/>
  <c r="D205" i="99" a="1"/>
  <c r="D205" i="99" s="1"/>
  <c r="F204" i="99" a="1"/>
  <c r="F204" i="99" s="1"/>
  <c r="E204" i="99" a="1"/>
  <c r="E204" i="99" s="1"/>
  <c r="D204" i="99" a="1"/>
  <c r="D204" i="99" s="1"/>
  <c r="F203" i="99" a="1"/>
  <c r="F203" i="99" s="1"/>
  <c r="E203" i="99" a="1"/>
  <c r="E203" i="99" s="1"/>
  <c r="D203" i="99" a="1"/>
  <c r="D203" i="99" s="1"/>
  <c r="F202" i="99" a="1"/>
  <c r="F202" i="99" s="1"/>
  <c r="E202" i="99" a="1"/>
  <c r="E202" i="99" s="1"/>
  <c r="D202" i="99" a="1"/>
  <c r="D202" i="99" s="1"/>
  <c r="F201" i="99" a="1"/>
  <c r="F201" i="99" s="1"/>
  <c r="E201" i="99" a="1"/>
  <c r="E201" i="99" s="1"/>
  <c r="D201" i="99" a="1"/>
  <c r="D201" i="99" s="1"/>
  <c r="F200" i="99" a="1"/>
  <c r="F200" i="99" s="1"/>
  <c r="E200" i="99" a="1"/>
  <c r="E200" i="99" s="1"/>
  <c r="D200" i="99" a="1"/>
  <c r="D200" i="99" s="1"/>
  <c r="F199" i="99" a="1"/>
  <c r="F199" i="99" s="1"/>
  <c r="E199" i="99" a="1"/>
  <c r="E199" i="99" s="1"/>
  <c r="D199" i="99" a="1"/>
  <c r="D199" i="99" s="1"/>
  <c r="F198" i="99" a="1"/>
  <c r="F198" i="99" s="1"/>
  <c r="E198" i="99" a="1"/>
  <c r="E198" i="99" s="1"/>
  <c r="D198" i="99" a="1"/>
  <c r="D198" i="99" s="1"/>
  <c r="F197" i="99" a="1"/>
  <c r="F197" i="99" s="1"/>
  <c r="E197" i="99" a="1"/>
  <c r="E197" i="99" s="1"/>
  <c r="D197" i="99" a="1"/>
  <c r="D197" i="99" s="1"/>
  <c r="F196" i="99" a="1"/>
  <c r="F196" i="99" s="1"/>
  <c r="E196" i="99" a="1"/>
  <c r="E196" i="99" s="1"/>
  <c r="D196" i="99" a="1"/>
  <c r="D196" i="99" s="1"/>
  <c r="F195" i="99" a="1"/>
  <c r="F195" i="99" s="1"/>
  <c r="E195" i="99" a="1"/>
  <c r="E195" i="99" s="1"/>
  <c r="D195" i="99" a="1"/>
  <c r="D195" i="99" s="1"/>
  <c r="F194" i="99" a="1"/>
  <c r="F194" i="99" s="1"/>
  <c r="E194" i="99" a="1"/>
  <c r="E194" i="99" s="1"/>
  <c r="D194" i="99" a="1"/>
  <c r="D194" i="99" s="1"/>
  <c r="F193" i="99" a="1"/>
  <c r="F193" i="99" s="1"/>
  <c r="E193" i="99" a="1"/>
  <c r="E193" i="99" s="1"/>
  <c r="D193" i="99" a="1"/>
  <c r="D193" i="99" s="1"/>
  <c r="F192" i="99" a="1"/>
  <c r="F192" i="99" s="1"/>
  <c r="E192" i="99" a="1"/>
  <c r="E192" i="99" s="1"/>
  <c r="D192" i="99" a="1"/>
  <c r="D192" i="99" s="1"/>
  <c r="F191" i="99" a="1"/>
  <c r="F191" i="99" s="1"/>
  <c r="E191" i="99" a="1"/>
  <c r="E191" i="99" s="1"/>
  <c r="D191" i="99" a="1"/>
  <c r="D191" i="99" s="1"/>
  <c r="F190" i="99" a="1"/>
  <c r="F190" i="99" s="1"/>
  <c r="E190" i="99" a="1"/>
  <c r="E190" i="99" s="1"/>
  <c r="D190" i="99" a="1"/>
  <c r="D190" i="99" s="1"/>
  <c r="F189" i="99" a="1"/>
  <c r="F189" i="99" s="1"/>
  <c r="E189" i="99" a="1"/>
  <c r="E189" i="99" s="1"/>
  <c r="D189" i="99" a="1"/>
  <c r="D189" i="99" s="1"/>
  <c r="F188" i="99" a="1"/>
  <c r="F188" i="99" s="1"/>
  <c r="E188" i="99" a="1"/>
  <c r="E188" i="99" s="1"/>
  <c r="D188" i="99" a="1"/>
  <c r="D188" i="99" s="1"/>
  <c r="F187" i="99" a="1"/>
  <c r="F187" i="99" s="1"/>
  <c r="E187" i="99" a="1"/>
  <c r="E187" i="99" s="1"/>
  <c r="D187" i="99" a="1"/>
  <c r="D187" i="99" s="1"/>
  <c r="F186" i="99" a="1"/>
  <c r="F186" i="99" s="1"/>
  <c r="E186" i="99" a="1"/>
  <c r="E186" i="99" s="1"/>
  <c r="D186" i="99" a="1"/>
  <c r="D186" i="99" s="1"/>
  <c r="F185" i="99" a="1"/>
  <c r="F185" i="99" s="1"/>
  <c r="E185" i="99" a="1"/>
  <c r="E185" i="99" s="1"/>
  <c r="D185" i="99" a="1"/>
  <c r="D185" i="99" s="1"/>
  <c r="F184" i="99" a="1"/>
  <c r="F184" i="99" s="1"/>
  <c r="E184" i="99" a="1"/>
  <c r="E184" i="99" s="1"/>
  <c r="D184" i="99" a="1"/>
  <c r="D184" i="99" s="1"/>
  <c r="F183" i="99" a="1"/>
  <c r="F183" i="99" s="1"/>
  <c r="E183" i="99" a="1"/>
  <c r="E183" i="99" s="1"/>
  <c r="D183" i="99" a="1"/>
  <c r="D183" i="99" s="1"/>
  <c r="F182" i="99" a="1"/>
  <c r="F182" i="99" s="1"/>
  <c r="E182" i="99" a="1"/>
  <c r="E182" i="99" s="1"/>
  <c r="D182" i="99" a="1"/>
  <c r="D182" i="99" s="1"/>
  <c r="F181" i="99" a="1"/>
  <c r="F181" i="99" s="1"/>
  <c r="E181" i="99" a="1"/>
  <c r="E181" i="99" s="1"/>
  <c r="D181" i="99" a="1"/>
  <c r="D181" i="99" s="1"/>
  <c r="F180" i="99" a="1"/>
  <c r="F180" i="99" s="1"/>
  <c r="E180" i="99" a="1"/>
  <c r="E180" i="99" s="1"/>
  <c r="D180" i="99" a="1"/>
  <c r="D180" i="99" s="1"/>
  <c r="F179" i="99" a="1"/>
  <c r="F179" i="99" s="1"/>
  <c r="E179" i="99" a="1"/>
  <c r="E179" i="99" s="1"/>
  <c r="D179" i="99" a="1"/>
  <c r="D179" i="99" s="1"/>
  <c r="F178" i="99" a="1"/>
  <c r="F178" i="99" s="1"/>
  <c r="E178" i="99" a="1"/>
  <c r="E178" i="99" s="1"/>
  <c r="D178" i="99" a="1"/>
  <c r="D178" i="99" s="1"/>
  <c r="F177" i="99" a="1"/>
  <c r="F177" i="99" s="1"/>
  <c r="E177" i="99" a="1"/>
  <c r="E177" i="99" s="1"/>
  <c r="D177" i="99" a="1"/>
  <c r="D177" i="99" s="1"/>
  <c r="F176" i="99" a="1"/>
  <c r="F176" i="99" s="1"/>
  <c r="E176" i="99" a="1"/>
  <c r="E176" i="99" s="1"/>
  <c r="D176" i="99" a="1"/>
  <c r="D176" i="99" s="1"/>
  <c r="F175" i="99" a="1"/>
  <c r="F175" i="99" s="1"/>
  <c r="E175" i="99" a="1"/>
  <c r="E175" i="99" s="1"/>
  <c r="D175" i="99" a="1"/>
  <c r="D175" i="99" s="1"/>
  <c r="F174" i="99" a="1"/>
  <c r="F174" i="99" s="1"/>
  <c r="E174" i="99" a="1"/>
  <c r="E174" i="99" s="1"/>
  <c r="D174" i="99" a="1"/>
  <c r="D174" i="99" s="1"/>
  <c r="F173" i="99" a="1"/>
  <c r="F173" i="99" s="1"/>
  <c r="E173" i="99" a="1"/>
  <c r="E173" i="99" s="1"/>
  <c r="D173" i="99" a="1"/>
  <c r="D173" i="99" s="1"/>
  <c r="F172" i="99" a="1"/>
  <c r="F172" i="99" s="1"/>
  <c r="E172" i="99" a="1"/>
  <c r="E172" i="99" s="1"/>
  <c r="D172" i="99" a="1"/>
  <c r="D172" i="99" s="1"/>
  <c r="F171" i="99" a="1"/>
  <c r="F171" i="99" s="1"/>
  <c r="E171" i="99" a="1"/>
  <c r="E171" i="99" s="1"/>
  <c r="D171" i="99" a="1"/>
  <c r="D171" i="99" s="1"/>
  <c r="F170" i="99" a="1"/>
  <c r="F170" i="99" s="1"/>
  <c r="E170" i="99" a="1"/>
  <c r="E170" i="99" s="1"/>
  <c r="D170" i="99" a="1"/>
  <c r="D170" i="99" s="1"/>
  <c r="F169" i="99" a="1"/>
  <c r="F169" i="99" s="1"/>
  <c r="E169" i="99" a="1"/>
  <c r="E169" i="99" s="1"/>
  <c r="D169" i="99" a="1"/>
  <c r="D169" i="99" s="1"/>
  <c r="F168" i="99" a="1"/>
  <c r="F168" i="99" s="1"/>
  <c r="E168" i="99" a="1"/>
  <c r="E168" i="99" s="1"/>
  <c r="D168" i="99" a="1"/>
  <c r="D168" i="99" s="1"/>
  <c r="F167" i="99" a="1"/>
  <c r="F167" i="99" s="1"/>
  <c r="E167" i="99" a="1"/>
  <c r="E167" i="99" s="1"/>
  <c r="D167" i="99" a="1"/>
  <c r="D167" i="99" s="1"/>
  <c r="F166" i="99" a="1"/>
  <c r="F166" i="99" s="1"/>
  <c r="E166" i="99" a="1"/>
  <c r="E166" i="99" s="1"/>
  <c r="D166" i="99" a="1"/>
  <c r="D166" i="99" s="1"/>
  <c r="F165" i="99" a="1"/>
  <c r="F165" i="99" s="1"/>
  <c r="E165" i="99" a="1"/>
  <c r="E165" i="99" s="1"/>
  <c r="D165" i="99" a="1"/>
  <c r="D165" i="99" s="1"/>
  <c r="F164" i="99" a="1"/>
  <c r="F164" i="99" s="1"/>
  <c r="E164" i="99" a="1"/>
  <c r="E164" i="99" s="1"/>
  <c r="D164" i="99" a="1"/>
  <c r="D164" i="99" s="1"/>
  <c r="F163" i="99" a="1"/>
  <c r="F163" i="99" s="1"/>
  <c r="E163" i="99" a="1"/>
  <c r="E163" i="99" s="1"/>
  <c r="D163" i="99" a="1"/>
  <c r="D163" i="99" s="1"/>
  <c r="F162" i="99" a="1"/>
  <c r="F162" i="99" s="1"/>
  <c r="E162" i="99" a="1"/>
  <c r="E162" i="99" s="1"/>
  <c r="D162" i="99" a="1"/>
  <c r="D162" i="99" s="1"/>
  <c r="F161" i="99" a="1"/>
  <c r="F161" i="99" s="1"/>
  <c r="E161" i="99" a="1"/>
  <c r="E161" i="99" s="1"/>
  <c r="D161" i="99" a="1"/>
  <c r="D161" i="99" s="1"/>
  <c r="F160" i="99" a="1"/>
  <c r="F160" i="99" s="1"/>
  <c r="E160" i="99" a="1"/>
  <c r="E160" i="99" s="1"/>
  <c r="D160" i="99" a="1"/>
  <c r="D160" i="99" s="1"/>
  <c r="F159" i="99" a="1"/>
  <c r="F159" i="99" s="1"/>
  <c r="E159" i="99" a="1"/>
  <c r="E159" i="99" s="1"/>
  <c r="D159" i="99" a="1"/>
  <c r="D159" i="99" s="1"/>
  <c r="F158" i="99" a="1"/>
  <c r="F158" i="99" s="1"/>
  <c r="E158" i="99" a="1"/>
  <c r="E158" i="99" s="1"/>
  <c r="D158" i="99" a="1"/>
  <c r="D158" i="99" s="1"/>
  <c r="F157" i="99" a="1"/>
  <c r="F157" i="99" s="1"/>
  <c r="E157" i="99" a="1"/>
  <c r="E157" i="99" s="1"/>
  <c r="D157" i="99" a="1"/>
  <c r="D157" i="99" s="1"/>
  <c r="F156" i="99" a="1"/>
  <c r="F156" i="99" s="1"/>
  <c r="E156" i="99" a="1"/>
  <c r="E156" i="99" s="1"/>
  <c r="D156" i="99" a="1"/>
  <c r="D156" i="99" s="1"/>
  <c r="F155" i="99" a="1"/>
  <c r="F155" i="99" s="1"/>
  <c r="E155" i="99" a="1"/>
  <c r="E155" i="99" s="1"/>
  <c r="D155" i="99" a="1"/>
  <c r="D155" i="99" s="1"/>
  <c r="F154" i="99" a="1"/>
  <c r="F154" i="99" s="1"/>
  <c r="E154" i="99" a="1"/>
  <c r="E154" i="99" s="1"/>
  <c r="D154" i="99" a="1"/>
  <c r="D154" i="99" s="1"/>
  <c r="F153" i="99" a="1"/>
  <c r="F153" i="99" s="1"/>
  <c r="E153" i="99" a="1"/>
  <c r="E153" i="99" s="1"/>
  <c r="D153" i="99" a="1"/>
  <c r="D153" i="99" s="1"/>
  <c r="F152" i="99" a="1"/>
  <c r="F152" i="99" s="1"/>
  <c r="E152" i="99" a="1"/>
  <c r="E152" i="99" s="1"/>
  <c r="D152" i="99" a="1"/>
  <c r="D152" i="99" s="1"/>
  <c r="F151" i="99" a="1"/>
  <c r="F151" i="99" s="1"/>
  <c r="E151" i="99" a="1"/>
  <c r="E151" i="99" s="1"/>
  <c r="D151" i="99" a="1"/>
  <c r="D151" i="99" s="1"/>
  <c r="F150" i="99" a="1"/>
  <c r="F150" i="99" s="1"/>
  <c r="E150" i="99" a="1"/>
  <c r="E150" i="99" s="1"/>
  <c r="D150" i="99" a="1"/>
  <c r="D150" i="99" s="1"/>
  <c r="F149" i="99" a="1"/>
  <c r="F149" i="99" s="1"/>
  <c r="E149" i="99" a="1"/>
  <c r="E149" i="99" s="1"/>
  <c r="D149" i="99" a="1"/>
  <c r="D149" i="99" s="1"/>
  <c r="F148" i="99" a="1"/>
  <c r="F148" i="99" s="1"/>
  <c r="E148" i="99" a="1"/>
  <c r="E148" i="99" s="1"/>
  <c r="D148" i="99" a="1"/>
  <c r="D148" i="99" s="1"/>
  <c r="F147" i="99" a="1"/>
  <c r="F147" i="99" s="1"/>
  <c r="E147" i="99" a="1"/>
  <c r="E147" i="99" s="1"/>
  <c r="D147" i="99" a="1"/>
  <c r="D147" i="99" s="1"/>
  <c r="F146" i="99" a="1"/>
  <c r="F146" i="99" s="1"/>
  <c r="E146" i="99" a="1"/>
  <c r="E146" i="99" s="1"/>
  <c r="D146" i="99" a="1"/>
  <c r="D146" i="99" s="1"/>
  <c r="F145" i="99" a="1"/>
  <c r="F145" i="99" s="1"/>
  <c r="E145" i="99" a="1"/>
  <c r="E145" i="99" s="1"/>
  <c r="D145" i="99" a="1"/>
  <c r="D145" i="99" s="1"/>
  <c r="F144" i="99" a="1"/>
  <c r="F144" i="99" s="1"/>
  <c r="E144" i="99" a="1"/>
  <c r="E144" i="99" s="1"/>
  <c r="D144" i="99" a="1"/>
  <c r="D144" i="99" s="1"/>
  <c r="F143" i="99" a="1"/>
  <c r="F143" i="99" s="1"/>
  <c r="E143" i="99" a="1"/>
  <c r="E143" i="99" s="1"/>
  <c r="D143" i="99" a="1"/>
  <c r="D143" i="99" s="1"/>
  <c r="F142" i="99" a="1"/>
  <c r="F142" i="99" s="1"/>
  <c r="E142" i="99" a="1"/>
  <c r="E142" i="99" s="1"/>
  <c r="D142" i="99" a="1"/>
  <c r="D142" i="99" s="1"/>
  <c r="F141" i="99" a="1"/>
  <c r="F141" i="99" s="1"/>
  <c r="E141" i="99" a="1"/>
  <c r="E141" i="99" s="1"/>
  <c r="D141" i="99" a="1"/>
  <c r="D141" i="99" s="1"/>
  <c r="F140" i="99" a="1"/>
  <c r="F140" i="99" s="1"/>
  <c r="E140" i="99" a="1"/>
  <c r="E140" i="99" s="1"/>
  <c r="D140" i="99" a="1"/>
  <c r="D140" i="99" s="1"/>
  <c r="F139" i="99" a="1"/>
  <c r="F139" i="99" s="1"/>
  <c r="E139" i="99" a="1"/>
  <c r="E139" i="99" s="1"/>
  <c r="D139" i="99" a="1"/>
  <c r="D139" i="99" s="1"/>
  <c r="F138" i="99" a="1"/>
  <c r="F138" i="99" s="1"/>
  <c r="E138" i="99" a="1"/>
  <c r="E138" i="99" s="1"/>
  <c r="D138" i="99" a="1"/>
  <c r="D138" i="99" s="1"/>
  <c r="F137" i="99" a="1"/>
  <c r="F137" i="99" s="1"/>
  <c r="E137" i="99" a="1"/>
  <c r="E137" i="99" s="1"/>
  <c r="D137" i="99" a="1"/>
  <c r="D137" i="99" s="1"/>
  <c r="F136" i="99" a="1"/>
  <c r="F136" i="99" s="1"/>
  <c r="E136" i="99" a="1"/>
  <c r="E136" i="99" s="1"/>
  <c r="D136" i="99" a="1"/>
  <c r="D136" i="99" s="1"/>
  <c r="F135" i="99" a="1"/>
  <c r="F135" i="99" s="1"/>
  <c r="E135" i="99" a="1"/>
  <c r="E135" i="99" s="1"/>
  <c r="D135" i="99" a="1"/>
  <c r="D135" i="99" s="1"/>
  <c r="F134" i="99" a="1"/>
  <c r="F134" i="99" s="1"/>
  <c r="E134" i="99" a="1"/>
  <c r="E134" i="99" s="1"/>
  <c r="D134" i="99" a="1"/>
  <c r="D134" i="99" s="1"/>
  <c r="F133" i="99" a="1"/>
  <c r="F133" i="99" s="1"/>
  <c r="E133" i="99" a="1"/>
  <c r="E133" i="99" s="1"/>
  <c r="D133" i="99" a="1"/>
  <c r="D133" i="99" s="1"/>
  <c r="F132" i="99" a="1"/>
  <c r="F132" i="99" s="1"/>
  <c r="E132" i="99" a="1"/>
  <c r="E132" i="99" s="1"/>
  <c r="D132" i="99" a="1"/>
  <c r="D132" i="99" s="1"/>
  <c r="F131" i="99" a="1"/>
  <c r="F131" i="99" s="1"/>
  <c r="E131" i="99" a="1"/>
  <c r="E131" i="99" s="1"/>
  <c r="D131" i="99" a="1"/>
  <c r="D131" i="99" s="1"/>
  <c r="F130" i="99" a="1"/>
  <c r="F130" i="99" s="1"/>
  <c r="E130" i="99" a="1"/>
  <c r="E130" i="99" s="1"/>
  <c r="D130" i="99" a="1"/>
  <c r="D130" i="99" s="1"/>
  <c r="F129" i="99" a="1"/>
  <c r="F129" i="99" s="1"/>
  <c r="E129" i="99" a="1"/>
  <c r="E129" i="99" s="1"/>
  <c r="D129" i="99" a="1"/>
  <c r="D129" i="99" s="1"/>
  <c r="F128" i="99" a="1"/>
  <c r="F128" i="99" s="1"/>
  <c r="E128" i="99" a="1"/>
  <c r="E128" i="99" s="1"/>
  <c r="D128" i="99" a="1"/>
  <c r="D128" i="99" s="1"/>
  <c r="F127" i="99" a="1"/>
  <c r="F127" i="99" s="1"/>
  <c r="E127" i="99" a="1"/>
  <c r="E127" i="99" s="1"/>
  <c r="D127" i="99" a="1"/>
  <c r="D127" i="99" s="1"/>
  <c r="F126" i="99" a="1"/>
  <c r="F126" i="99" s="1"/>
  <c r="E126" i="99" a="1"/>
  <c r="E126" i="99" s="1"/>
  <c r="D126" i="99" a="1"/>
  <c r="D126" i="99" s="1"/>
  <c r="F125" i="99" a="1"/>
  <c r="F125" i="99" s="1"/>
  <c r="E125" i="99" a="1"/>
  <c r="E125" i="99" s="1"/>
  <c r="D125" i="99" a="1"/>
  <c r="D125" i="99" s="1"/>
  <c r="F124" i="99" a="1"/>
  <c r="F124" i="99" s="1"/>
  <c r="E124" i="99" a="1"/>
  <c r="E124" i="99" s="1"/>
  <c r="D124" i="99" a="1"/>
  <c r="D124" i="99" s="1"/>
  <c r="F123" i="99" a="1"/>
  <c r="F123" i="99" s="1"/>
  <c r="E123" i="99" a="1"/>
  <c r="E123" i="99" s="1"/>
  <c r="D123" i="99" a="1"/>
  <c r="D123" i="99" s="1"/>
  <c r="F122" i="99" a="1"/>
  <c r="F122" i="99" s="1"/>
  <c r="E122" i="99" a="1"/>
  <c r="E122" i="99" s="1"/>
  <c r="D122" i="99" a="1"/>
  <c r="D122" i="99" s="1"/>
  <c r="F121" i="99" a="1"/>
  <c r="F121" i="99" s="1"/>
  <c r="E121" i="99" a="1"/>
  <c r="E121" i="99" s="1"/>
  <c r="D121" i="99" a="1"/>
  <c r="D121" i="99"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F113" i="99" a="1"/>
  <c r="F113" i="99" s="1"/>
  <c r="E113" i="99" a="1"/>
  <c r="E113" i="99" s="1"/>
  <c r="D113" i="99" a="1"/>
  <c r="D113" i="99" s="1"/>
  <c r="F112" i="99" a="1"/>
  <c r="F112" i="99" s="1"/>
  <c r="E112" i="99" a="1"/>
  <c r="E112" i="99" s="1"/>
  <c r="D112" i="99" a="1"/>
  <c r="D112" i="99" s="1"/>
  <c r="F111" i="99" a="1"/>
  <c r="F111" i="99" s="1"/>
  <c r="E111" i="99" a="1"/>
  <c r="E111" i="99" s="1"/>
  <c r="D111" i="99" a="1"/>
  <c r="D111" i="99" s="1"/>
  <c r="F110" i="99" a="1"/>
  <c r="F110" i="99" s="1"/>
  <c r="E110" i="99" a="1"/>
  <c r="E110" i="99" s="1"/>
  <c r="D110" i="99" a="1"/>
  <c r="D110" i="99" s="1"/>
  <c r="F109" i="99" a="1"/>
  <c r="F109" i="99" s="1"/>
  <c r="E109" i="99" a="1"/>
  <c r="E109" i="99" s="1"/>
  <c r="D109" i="99" a="1"/>
  <c r="D109" i="99" s="1"/>
  <c r="F108" i="99" a="1"/>
  <c r="F108" i="99" s="1"/>
  <c r="E108" i="99" a="1"/>
  <c r="E108" i="99" s="1"/>
  <c r="D108" i="99" a="1"/>
  <c r="D108" i="99" s="1"/>
  <c r="F107" i="99" a="1"/>
  <c r="F107" i="99" s="1"/>
  <c r="E107" i="99" a="1"/>
  <c r="E107" i="99" s="1"/>
  <c r="D107" i="99" a="1"/>
  <c r="D107" i="99" s="1"/>
  <c r="F106" i="99" a="1"/>
  <c r="F106" i="99" s="1"/>
  <c r="E106" i="99" a="1"/>
  <c r="E106" i="99" s="1"/>
  <c r="D106" i="99" a="1"/>
  <c r="D106" i="99" s="1"/>
  <c r="F105" i="99" a="1"/>
  <c r="F105" i="99" s="1"/>
  <c r="E105" i="99" a="1"/>
  <c r="E105" i="99" s="1"/>
  <c r="D105" i="99" a="1"/>
  <c r="D105" i="99" s="1"/>
  <c r="F104" i="99" a="1"/>
  <c r="F104" i="99" s="1"/>
  <c r="E104" i="99" a="1"/>
  <c r="E104" i="99" s="1"/>
  <c r="D104" i="99" a="1"/>
  <c r="D104" i="99" s="1"/>
  <c r="F103" i="99" a="1"/>
  <c r="F103" i="99" s="1"/>
  <c r="E103" i="99" a="1"/>
  <c r="E103" i="99" s="1"/>
  <c r="D103" i="99" a="1"/>
  <c r="D103" i="99" s="1"/>
  <c r="F102" i="99" a="1"/>
  <c r="F102" i="99" s="1"/>
  <c r="E102" i="99" a="1"/>
  <c r="E102" i="99" s="1"/>
  <c r="D102" i="99" a="1"/>
  <c r="D102" i="99" s="1"/>
  <c r="F101" i="99" a="1"/>
  <c r="F101" i="99" s="1"/>
  <c r="E101" i="99" a="1"/>
  <c r="E101" i="99" s="1"/>
  <c r="D101" i="99" a="1"/>
  <c r="D101" i="99" s="1"/>
  <c r="F100" i="99" a="1"/>
  <c r="F100" i="99" s="1"/>
  <c r="E100" i="99" a="1"/>
  <c r="E100" i="99" s="1"/>
  <c r="D100" i="99" a="1"/>
  <c r="D100" i="99" s="1"/>
  <c r="F99" i="99" a="1"/>
  <c r="F99" i="99" s="1"/>
  <c r="E99" i="99" a="1"/>
  <c r="E99" i="99" s="1"/>
  <c r="D99" i="99" a="1"/>
  <c r="D99" i="99" s="1"/>
  <c r="F98" i="99" a="1"/>
  <c r="F98" i="99" s="1"/>
  <c r="E98" i="99" a="1"/>
  <c r="E98" i="99" s="1"/>
  <c r="D98" i="99" a="1"/>
  <c r="D98" i="99" s="1"/>
  <c r="F97" i="99" a="1"/>
  <c r="F97" i="99" s="1"/>
  <c r="E97" i="99" a="1"/>
  <c r="E97" i="99" s="1"/>
  <c r="D97" i="99" a="1"/>
  <c r="D97" i="99" s="1"/>
  <c r="F96" i="99" a="1"/>
  <c r="F96" i="99" s="1"/>
  <c r="E96" i="99" a="1"/>
  <c r="E96" i="99" s="1"/>
  <c r="D96" i="99" a="1"/>
  <c r="D96" i="99" s="1"/>
  <c r="F95" i="99" a="1"/>
  <c r="F95" i="99" s="1"/>
  <c r="E95" i="99" a="1"/>
  <c r="E95" i="99" s="1"/>
  <c r="D95" i="99" a="1"/>
  <c r="D95" i="99" s="1"/>
  <c r="F94" i="99" a="1"/>
  <c r="F94" i="99" s="1"/>
  <c r="E94" i="99" a="1"/>
  <c r="E94" i="99" s="1"/>
  <c r="D94" i="99" a="1"/>
  <c r="D94" i="99" s="1"/>
  <c r="F93" i="99" a="1"/>
  <c r="F93" i="99" s="1"/>
  <c r="E93" i="99" a="1"/>
  <c r="E93" i="99" s="1"/>
  <c r="D93" i="99" a="1"/>
  <c r="D93" i="99" s="1"/>
  <c r="D91" i="99" a="1"/>
  <c r="D91" i="99" s="1"/>
  <c r="F89" i="99" a="1"/>
  <c r="F89" i="99" s="1"/>
  <c r="E89" i="99" a="1"/>
  <c r="E89" i="99" s="1"/>
  <c r="D89" i="99" a="1"/>
  <c r="D89" i="99" s="1"/>
  <c r="F88" i="99" a="1"/>
  <c r="F88" i="99" s="1"/>
  <c r="E88" i="99" a="1"/>
  <c r="E88" i="99" s="1"/>
  <c r="D88" i="99" a="1"/>
  <c r="D88" i="99" s="1"/>
  <c r="F87" i="99" a="1"/>
  <c r="F87" i="99" s="1"/>
  <c r="E87" i="99" a="1"/>
  <c r="E87" i="99" s="1"/>
  <c r="D87" i="99" a="1"/>
  <c r="D87" i="99" s="1"/>
  <c r="F86" i="99" a="1"/>
  <c r="F86" i="99" s="1"/>
  <c r="E86" i="99" a="1"/>
  <c r="E86" i="99" s="1"/>
  <c r="D86" i="99" a="1"/>
  <c r="D86" i="99" s="1"/>
  <c r="F85" i="99" a="1"/>
  <c r="F85" i="99" s="1"/>
  <c r="E85" i="99" a="1"/>
  <c r="E85" i="99" s="1"/>
  <c r="D85" i="99" a="1"/>
  <c r="D85" i="99" s="1"/>
  <c r="F84" i="99" a="1"/>
  <c r="F84" i="99" s="1"/>
  <c r="E84" i="99" a="1"/>
  <c r="E84" i="99" s="1"/>
  <c r="D84" i="99" a="1"/>
  <c r="D84" i="99" s="1"/>
  <c r="F83" i="99" a="1"/>
  <c r="F83" i="99" s="1"/>
  <c r="E83" i="99" a="1"/>
  <c r="E83" i="99" s="1"/>
  <c r="D83" i="99" a="1"/>
  <c r="D83" i="99" s="1"/>
  <c r="F82" i="99" a="1"/>
  <c r="F82" i="99" s="1"/>
  <c r="E82" i="99" a="1"/>
  <c r="E82" i="99" s="1"/>
  <c r="D82" i="99" a="1"/>
  <c r="D82" i="99" s="1"/>
  <c r="F81" i="99" a="1"/>
  <c r="F81" i="99" s="1"/>
  <c r="E81" i="99" a="1"/>
  <c r="E81" i="99" s="1"/>
  <c r="D81" i="99" a="1"/>
  <c r="D81" i="99" s="1"/>
  <c r="F80" i="99" a="1"/>
  <c r="F80" i="99" s="1"/>
  <c r="E80" i="99" a="1"/>
  <c r="E80" i="99" s="1"/>
  <c r="D80" i="99" a="1"/>
  <c r="D80" i="99" s="1"/>
  <c r="F79" i="99" a="1"/>
  <c r="F79" i="99" s="1"/>
  <c r="E79" i="99" a="1"/>
  <c r="E79" i="99" s="1"/>
  <c r="D79" i="99" a="1"/>
  <c r="D79" i="99" s="1"/>
  <c r="F78" i="99" a="1"/>
  <c r="F78" i="99" s="1"/>
  <c r="E78" i="99" a="1"/>
  <c r="E78" i="99" s="1"/>
  <c r="D78" i="99" a="1"/>
  <c r="D78" i="99" s="1"/>
  <c r="F77" i="99" a="1"/>
  <c r="F77" i="99" s="1"/>
  <c r="E77" i="99" a="1"/>
  <c r="E77" i="99" s="1"/>
  <c r="D77" i="99" a="1"/>
  <c r="D77" i="99" s="1"/>
  <c r="F76" i="99" a="1"/>
  <c r="F76" i="99" s="1"/>
  <c r="E76" i="99" a="1"/>
  <c r="E76" i="99" s="1"/>
  <c r="D76" i="99" a="1"/>
  <c r="D76" i="99" s="1"/>
  <c r="F75" i="99" a="1"/>
  <c r="F75" i="99" s="1"/>
  <c r="E75" i="99" a="1"/>
  <c r="E75" i="99" s="1"/>
  <c r="D75" i="99" a="1"/>
  <c r="D75" i="99" s="1"/>
  <c r="F74" i="99" a="1"/>
  <c r="F74" i="99" s="1"/>
  <c r="E74" i="99" a="1"/>
  <c r="E74" i="99" s="1"/>
  <c r="D74" i="99" a="1"/>
  <c r="D74" i="99" s="1"/>
  <c r="D71" i="99" a="1"/>
  <c r="D71" i="99" s="1"/>
  <c r="D70" i="99" a="1"/>
  <c r="D70" i="99" s="1"/>
  <c r="F67" i="99" a="1"/>
  <c r="F67" i="99" s="1"/>
  <c r="E67" i="99" a="1"/>
  <c r="E67" i="99" s="1"/>
  <c r="D67" i="99" a="1"/>
  <c r="D67" i="99" s="1"/>
  <c r="F66" i="99" a="1"/>
  <c r="F66" i="99" s="1"/>
  <c r="E66" i="99" a="1"/>
  <c r="E66" i="99" s="1"/>
  <c r="D66" i="99" a="1"/>
  <c r="D66" i="99" s="1"/>
  <c r="F65" i="99" a="1"/>
  <c r="F65" i="99" s="1"/>
  <c r="E65" i="99" a="1"/>
  <c r="E65" i="99" s="1"/>
  <c r="D65" i="99" a="1"/>
  <c r="D65" i="99" s="1"/>
  <c r="F64" i="99" a="1"/>
  <c r="F64" i="99" s="1"/>
  <c r="E64" i="99" a="1"/>
  <c r="E64" i="99" s="1"/>
  <c r="D64" i="99" a="1"/>
  <c r="D64" i="99" s="1"/>
  <c r="F63" i="99" a="1"/>
  <c r="F63" i="99" s="1"/>
  <c r="E63" i="99" a="1"/>
  <c r="E63" i="99" s="1"/>
  <c r="D63" i="99" a="1"/>
  <c r="D63" i="99" s="1"/>
  <c r="D60" i="99" a="1"/>
  <c r="D60" i="99" s="1"/>
  <c r="D59" i="99" a="1"/>
  <c r="D59" i="99" s="1"/>
  <c r="I56" i="99" a="1"/>
  <c r="I56" i="99" s="1"/>
  <c r="H56" i="99" a="1"/>
  <c r="H56" i="99" s="1"/>
  <c r="G56" i="99" a="1"/>
  <c r="G56" i="99" s="1"/>
  <c r="F56" i="99" a="1"/>
  <c r="F56" i="99" s="1"/>
  <c r="E56" i="99" a="1"/>
  <c r="E56" i="99" s="1"/>
  <c r="D56" i="99" a="1"/>
  <c r="D56" i="99" s="1"/>
  <c r="I55" i="99" a="1"/>
  <c r="I55" i="99" s="1"/>
  <c r="H55" i="99" a="1"/>
  <c r="H55" i="99" s="1"/>
  <c r="G55" i="99" a="1"/>
  <c r="G55" i="99" s="1"/>
  <c r="F55" i="99" a="1"/>
  <c r="F55" i="99" s="1"/>
  <c r="E55" i="99" a="1"/>
  <c r="E55" i="99" s="1"/>
  <c r="D55" i="99" a="1"/>
  <c r="D55" i="99" s="1"/>
  <c r="I54" i="99" a="1"/>
  <c r="I54" i="99" s="1"/>
  <c r="H54" i="99" a="1"/>
  <c r="H54" i="99" s="1"/>
  <c r="G54" i="99" a="1"/>
  <c r="G54" i="99" s="1"/>
  <c r="F54" i="99" a="1"/>
  <c r="F54" i="99" s="1"/>
  <c r="E54" i="99" a="1"/>
  <c r="E54" i="99" s="1"/>
  <c r="D54" i="99" a="1"/>
  <c r="D54" i="99" s="1"/>
  <c r="I53" i="99" a="1"/>
  <c r="I53" i="99" s="1"/>
  <c r="H53" i="99" a="1"/>
  <c r="H53" i="99" s="1"/>
  <c r="G53" i="99" a="1"/>
  <c r="G53" i="99" s="1"/>
  <c r="F53" i="99" a="1"/>
  <c r="F53" i="99" s="1"/>
  <c r="E53" i="99" a="1"/>
  <c r="E53" i="99" s="1"/>
  <c r="D53" i="99" a="1"/>
  <c r="D53" i="99" s="1"/>
  <c r="I52" i="99" a="1"/>
  <c r="I52" i="99" s="1"/>
  <c r="H52" i="99" a="1"/>
  <c r="H52" i="99" s="1"/>
  <c r="G52" i="99" a="1"/>
  <c r="G52" i="99" s="1"/>
  <c r="F52" i="99" a="1"/>
  <c r="F52" i="99" s="1"/>
  <c r="E52" i="99" a="1"/>
  <c r="E52" i="99" s="1"/>
  <c r="D52" i="99" a="1"/>
  <c r="D52" i="99" s="1"/>
  <c r="D49" i="99" a="1"/>
  <c r="D49" i="99" s="1"/>
  <c r="D48" i="99" a="1"/>
  <c r="D48" i="99" s="1"/>
  <c r="E45" i="99" a="1"/>
  <c r="E45" i="99" s="1"/>
  <c r="D45" i="99" a="1"/>
  <c r="D45" i="99" s="1"/>
  <c r="E44" i="99" a="1"/>
  <c r="E44" i="99" s="1"/>
  <c r="D44" i="99" a="1"/>
  <c r="D44" i="99" s="1"/>
  <c r="D41" i="99" a="1"/>
  <c r="D41" i="99" s="1"/>
  <c r="D40" i="99" a="1"/>
  <c r="D40" i="99" s="1"/>
  <c r="L37" i="99" a="1"/>
  <c r="L37" i="99" s="1"/>
  <c r="K37" i="99" a="1"/>
  <c r="K37" i="99" s="1"/>
  <c r="J37" i="99" a="1"/>
  <c r="J37" i="99" s="1"/>
  <c r="I37" i="99" a="1"/>
  <c r="I37" i="99" s="1"/>
  <c r="H37" i="99" a="1"/>
  <c r="H37" i="99" s="1"/>
  <c r="G37" i="99" a="1"/>
  <c r="G37" i="99" s="1"/>
  <c r="F37" i="99" a="1"/>
  <c r="F37" i="99" s="1"/>
  <c r="E37" i="99" a="1"/>
  <c r="E37" i="99" s="1"/>
  <c r="D37" i="99" a="1"/>
  <c r="D37" i="99" s="1"/>
  <c r="L36" i="99" a="1"/>
  <c r="L36" i="99" s="1"/>
  <c r="K36" i="99" a="1"/>
  <c r="K36" i="99" s="1"/>
  <c r="J36" i="99" a="1"/>
  <c r="J36" i="99" s="1"/>
  <c r="I36" i="99" a="1"/>
  <c r="I36" i="99" s="1"/>
  <c r="H36" i="99" a="1"/>
  <c r="H36" i="99" s="1"/>
  <c r="G36" i="99" a="1"/>
  <c r="G36" i="99" s="1"/>
  <c r="F36" i="99" a="1"/>
  <c r="F36" i="99" s="1"/>
  <c r="E36" i="99" a="1"/>
  <c r="E36" i="99" s="1"/>
  <c r="D36" i="99" a="1"/>
  <c r="D36" i="99" s="1"/>
  <c r="L35" i="99" a="1"/>
  <c r="L35" i="99" s="1"/>
  <c r="K35" i="99" a="1"/>
  <c r="K35" i="99" s="1"/>
  <c r="J35" i="99" a="1"/>
  <c r="J35" i="99" s="1"/>
  <c r="I35" i="99" a="1"/>
  <c r="I35" i="99" s="1"/>
  <c r="H35" i="99" a="1"/>
  <c r="H35" i="99" s="1"/>
  <c r="G35" i="99" a="1"/>
  <c r="G35" i="99" s="1"/>
  <c r="F35" i="99" a="1"/>
  <c r="F35" i="99" s="1"/>
  <c r="E35" i="99" a="1"/>
  <c r="E35" i="99" s="1"/>
  <c r="D35" i="99" a="1"/>
  <c r="D35"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D30" i="99" a="1"/>
  <c r="D30" i="99" s="1"/>
  <c r="L29" i="99" a="1"/>
  <c r="L29" i="99" s="1"/>
  <c r="K29" i="99" a="1"/>
  <c r="K29" i="99" s="1"/>
  <c r="J29" i="99" a="1"/>
  <c r="J29" i="99" s="1"/>
  <c r="I29" i="99" a="1"/>
  <c r="I29" i="99" s="1"/>
  <c r="H29" i="99" a="1"/>
  <c r="H29" i="99" s="1"/>
  <c r="G29" i="99" a="1"/>
  <c r="G29" i="99" s="1"/>
  <c r="F29" i="99" a="1"/>
  <c r="F29" i="99" s="1"/>
  <c r="E29" i="99" a="1"/>
  <c r="E29" i="99" s="1"/>
  <c r="D29" i="99" a="1"/>
  <c r="D29" i="99" s="1"/>
  <c r="L28" i="99" a="1"/>
  <c r="L28" i="99" s="1"/>
  <c r="K28" i="99" a="1"/>
  <c r="K28" i="99" s="1"/>
  <c r="J28" i="99" a="1"/>
  <c r="J28" i="99" s="1"/>
  <c r="I28" i="99" a="1"/>
  <c r="I28" i="99" s="1"/>
  <c r="H28" i="99" a="1"/>
  <c r="H28" i="99" s="1"/>
  <c r="G28" i="99" a="1"/>
  <c r="G28" i="99" s="1"/>
  <c r="F28" i="99" a="1"/>
  <c r="F28" i="99" s="1"/>
  <c r="E28" i="99" a="1"/>
  <c r="E28" i="99"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E18" i="95" s="1" a="1"/>
  <c r="E18" i="95" s="1"/>
  <c r="D17" i="99" a="1"/>
  <c r="D17" i="99" s="1"/>
  <c r="D16" i="99" a="1"/>
  <c r="D16" i="99" s="1"/>
  <c r="D15" i="99" a="1"/>
  <c r="D15" i="99" s="1"/>
  <c r="K10" i="99" a="1"/>
  <c r="K10" i="99" s="1"/>
  <c r="J10" i="99" a="1"/>
  <c r="J10" i="99" s="1"/>
  <c r="I10" i="99" a="1"/>
  <c r="I10" i="99" s="1"/>
  <c r="H10" i="99" a="1"/>
  <c r="H10" i="99" s="1"/>
  <c r="G10" i="99" a="1"/>
  <c r="G10" i="99" s="1"/>
  <c r="F10" i="99" a="1"/>
  <c r="F10" i="99" s="1"/>
  <c r="E10" i="99" a="1"/>
  <c r="E10" i="99" s="1"/>
  <c r="D10" i="99" a="1"/>
  <c r="D10" i="99" s="1"/>
  <c r="K9" i="99" a="1"/>
  <c r="K9" i="99" s="1"/>
  <c r="J9" i="99" a="1"/>
  <c r="J9" i="99" s="1"/>
  <c r="I9" i="99" a="1"/>
  <c r="I9" i="99" s="1"/>
  <c r="H9" i="99" a="1"/>
  <c r="H9" i="99" s="1"/>
  <c r="G9" i="99" a="1"/>
  <c r="G9" i="99" s="1"/>
  <c r="F9" i="99" a="1"/>
  <c r="F9" i="99" s="1"/>
  <c r="E9" i="99" a="1"/>
  <c r="E9" i="99" s="1"/>
  <c r="D9" i="99" a="1"/>
  <c r="D9" i="99" s="1"/>
  <c r="K8" i="99" a="1"/>
  <c r="K8" i="99" s="1"/>
  <c r="J8" i="99" a="1"/>
  <c r="J8" i="99" s="1"/>
  <c r="I8" i="99" a="1"/>
  <c r="I8" i="99" s="1"/>
  <c r="H8" i="99" a="1"/>
  <c r="H8" i="99" s="1"/>
  <c r="G8" i="99" a="1"/>
  <c r="G8" i="99" s="1"/>
  <c r="F8" i="99" a="1"/>
  <c r="F8" i="99" s="1"/>
  <c r="E8" i="99" a="1"/>
  <c r="E8" i="99" s="1"/>
  <c r="D8" i="99" a="1"/>
  <c r="D8" i="99" s="1"/>
  <c r="D5" i="99" a="1"/>
  <c r="D5" i="99" s="1"/>
  <c r="F67" i="98" a="1"/>
  <c r="F67" i="98" s="1"/>
  <c r="D64" i="98" a="1"/>
  <c r="D64" i="98" s="1"/>
  <c r="F62" i="98" a="1"/>
  <c r="F62" i="98" s="1"/>
  <c r="I60" i="98"/>
  <c r="G56" i="98" a="1"/>
  <c r="G56" i="98" s="1"/>
  <c r="D56" i="98" a="1"/>
  <c r="D56" i="98" s="1"/>
  <c r="E54" i="98" a="1"/>
  <c r="E54" i="98" s="1"/>
  <c r="E53" i="98" a="1"/>
  <c r="E53" i="98" s="1"/>
  <c r="D49" i="98" a="1"/>
  <c r="D49" i="98" s="1"/>
  <c r="D48" i="98" a="1"/>
  <c r="D48" i="98" s="1"/>
  <c r="F44" i="98" a="1"/>
  <c r="F44" i="98" s="1"/>
  <c r="D41" i="98" a="1"/>
  <c r="D41" i="98" s="1"/>
  <c r="F39" i="98" a="1"/>
  <c r="F39" i="98" s="1"/>
  <c r="I37" i="98"/>
  <c r="I34" i="98" s="1" a="1"/>
  <c r="I34" i="98" s="1"/>
  <c r="G33" i="98" a="1"/>
  <c r="G33" i="98" s="1"/>
  <c r="D33" i="98" a="1"/>
  <c r="D33" i="98" s="1"/>
  <c r="E31" i="98" a="1"/>
  <c r="E31" i="98" s="1"/>
  <c r="E30" i="98" a="1"/>
  <c r="E30" i="98" s="1"/>
  <c r="D26" i="98" a="1"/>
  <c r="D26" i="98" s="1"/>
  <c r="D25" i="98" a="1"/>
  <c r="D25" i="98" s="1"/>
  <c r="F21" i="98" a="1"/>
  <c r="F21" i="98" s="1"/>
  <c r="I19" i="98"/>
  <c r="I18" i="98"/>
  <c r="I13" i="98"/>
  <c r="G13" i="98" a="1"/>
  <c r="G13" i="98" s="1"/>
  <c r="D13" i="98" a="1"/>
  <c r="D13" i="98" s="1"/>
  <c r="E11" i="98" a="1"/>
  <c r="E11" i="98" s="1"/>
  <c r="E10" i="98" a="1"/>
  <c r="E10" i="98" s="1"/>
  <c r="D6" i="98" a="1"/>
  <c r="D6" i="98" s="1"/>
  <c r="D5" i="98" a="1"/>
  <c r="D5" i="98" s="1"/>
  <c r="P53" i="97" a="1"/>
  <c r="P53" i="97" s="1"/>
  <c r="F53" i="97" a="1"/>
  <c r="F53" i="97" s="1"/>
  <c r="N50" i="97" a="1"/>
  <c r="N50" i="97" s="1"/>
  <c r="D50" i="97" a="1"/>
  <c r="D50" i="97" s="1"/>
  <c r="N46" i="97"/>
  <c r="D46" i="97"/>
  <c r="J39" i="97"/>
  <c r="J36" i="97" a="1"/>
  <c r="J36" i="97" s="1"/>
  <c r="H36" i="97" a="1"/>
  <c r="H36" i="97" s="1"/>
  <c r="D36" i="97" a="1"/>
  <c r="D36" i="97" s="1"/>
  <c r="E34" i="97" a="1"/>
  <c r="E34" i="97" s="1"/>
  <c r="E33" i="97" a="1"/>
  <c r="E33" i="97" s="1"/>
  <c r="D29" i="97" a="1"/>
  <c r="D29" i="97" s="1"/>
  <c r="D28" i="97" a="1"/>
  <c r="D28" i="97" s="1"/>
  <c r="G24" i="97"/>
  <c r="F24" i="97"/>
  <c r="J19" i="97" a="1"/>
  <c r="J19" i="97" s="1"/>
  <c r="J17" i="97"/>
  <c r="J16" i="97" a="1"/>
  <c r="J16" i="97" s="1"/>
  <c r="J14" i="97" a="1"/>
  <c r="J14" i="97" s="1"/>
  <c r="J13" i="97" a="1"/>
  <c r="J13" i="97" s="1"/>
  <c r="H13" i="97" a="1"/>
  <c r="H13" i="97" s="1"/>
  <c r="D13" i="97" a="1"/>
  <c r="D13" i="97" s="1"/>
  <c r="E11" i="97" a="1"/>
  <c r="E11" i="97" s="1"/>
  <c r="E10" i="97" a="1"/>
  <c r="E10" i="97" s="1"/>
  <c r="D6" i="97" a="1"/>
  <c r="D6" i="97" s="1"/>
  <c r="D5" i="97" a="1"/>
  <c r="D5" i="97" s="1"/>
  <c r="O82" i="96" a="1"/>
  <c r="O82" i="96" s="1"/>
  <c r="M79" i="96" a="1"/>
  <c r="M79" i="96" s="1"/>
  <c r="R74" i="96"/>
  <c r="P71" i="96" a="1"/>
  <c r="P71" i="96" s="1"/>
  <c r="M71" i="96" a="1"/>
  <c r="M71" i="96" s="1"/>
  <c r="N69" i="96" a="1"/>
  <c r="N69" i="96" s="1"/>
  <c r="N68" i="96" a="1"/>
  <c r="N68" i="96" s="1"/>
  <c r="M64" i="96" a="1"/>
  <c r="M64" i="96" s="1"/>
  <c r="M63" i="96" a="1"/>
  <c r="M63" i="96" s="1"/>
  <c r="P48" i="96" a="1"/>
  <c r="P48" i="96" s="1"/>
  <c r="M48" i="96" a="1"/>
  <c r="M48" i="96" s="1"/>
  <c r="F47" i="96" a="1"/>
  <c r="F47" i="96" s="1"/>
  <c r="N46" i="96" a="1"/>
  <c r="N46" i="96" s="1"/>
  <c r="N45" i="96" a="1"/>
  <c r="N45" i="96" s="1"/>
  <c r="D44" i="96" a="1"/>
  <c r="D44" i="96" s="1"/>
  <c r="M41" i="96" a="1"/>
  <c r="M41" i="96" s="1"/>
  <c r="M40" i="96" a="1"/>
  <c r="M40" i="96" s="1"/>
  <c r="I39" i="96"/>
  <c r="G36" i="96" a="1"/>
  <c r="G36" i="96" s="1"/>
  <c r="D36" i="96" a="1"/>
  <c r="D36" i="96" s="1"/>
  <c r="S34" i="96"/>
  <c r="E34" i="96" a="1"/>
  <c r="E34" i="96" s="1"/>
  <c r="Q33" i="96" a="1"/>
  <c r="Q33" i="96" s="1"/>
  <c r="M33" i="96" a="1"/>
  <c r="M33" i="96" s="1"/>
  <c r="E33" i="96" a="1"/>
  <c r="E33" i="96" s="1"/>
  <c r="N31" i="96" a="1"/>
  <c r="N31" i="96" s="1"/>
  <c r="N30" i="96" a="1"/>
  <c r="N30" i="96" s="1"/>
  <c r="D29" i="96" a="1"/>
  <c r="D29" i="96" s="1"/>
  <c r="D28" i="96" a="1"/>
  <c r="D28" i="96" s="1"/>
  <c r="M26" i="96" a="1"/>
  <c r="M26" i="96" s="1"/>
  <c r="M25" i="96" a="1"/>
  <c r="M25" i="96" s="1"/>
  <c r="M24" i="96" a="1"/>
  <c r="M24" i="96" s="1"/>
  <c r="I21" i="96"/>
  <c r="Q19" i="96"/>
  <c r="Q17" i="96"/>
  <c r="Q16" i="96"/>
  <c r="I16" i="96"/>
  <c r="O15" i="96" a="1"/>
  <c r="O15" i="96" s="1"/>
  <c r="M15" i="96" a="1"/>
  <c r="M15" i="96" s="1"/>
  <c r="N13" i="96" a="1"/>
  <c r="N13" i="96" s="1"/>
  <c r="G13" i="96" a="1"/>
  <c r="G13" i="96" s="1"/>
  <c r="D13" i="96" a="1"/>
  <c r="D13" i="96" s="1"/>
  <c r="N12" i="96" a="1"/>
  <c r="N12" i="96" s="1"/>
  <c r="E11" i="96" a="1"/>
  <c r="E11" i="96" s="1"/>
  <c r="E10" i="96" a="1"/>
  <c r="E10" i="96" s="1"/>
  <c r="M7" i="96" a="1"/>
  <c r="M7" i="96" s="1"/>
  <c r="M6" i="96" a="1"/>
  <c r="M6" i="96" s="1"/>
  <c r="D6" i="96" a="1"/>
  <c r="D6" i="96" s="1"/>
  <c r="M5" i="96" a="1"/>
  <c r="M5" i="96" s="1"/>
  <c r="D5" i="96" a="1"/>
  <c r="D5" i="96" s="1"/>
  <c r="E22" i="95"/>
  <c r="I13" i="96" s="1"/>
  <c r="E68" i="94" a="1"/>
  <c r="E68" i="94" s="1"/>
  <c r="D68" i="94" a="1"/>
  <c r="D68" i="94" s="1"/>
  <c r="E67" i="94" a="1"/>
  <c r="E67" i="94" s="1"/>
  <c r="D67" i="94" a="1"/>
  <c r="D67" i="94" s="1"/>
  <c r="E66" i="94" a="1"/>
  <c r="E66" i="94" s="1"/>
  <c r="D66" i="94" a="1"/>
  <c r="D66" i="94" s="1"/>
  <c r="E65" i="94" a="1"/>
  <c r="E65" i="94" s="1"/>
  <c r="D65" i="94" a="1"/>
  <c r="D65" i="94" s="1"/>
  <c r="E64" i="94" a="1"/>
  <c r="E64" i="94" s="1"/>
  <c r="D64" i="94" a="1"/>
  <c r="D64" i="94" s="1"/>
  <c r="E63" i="94" a="1"/>
  <c r="E63" i="94" s="1"/>
  <c r="D63" i="94" a="1"/>
  <c r="D63" i="94" s="1"/>
  <c r="E62" i="94" a="1"/>
  <c r="E62" i="94" s="1"/>
  <c r="D62" i="94" a="1"/>
  <c r="D62" i="94" s="1"/>
  <c r="E61" i="94" a="1"/>
  <c r="E61" i="94" s="1"/>
  <c r="D61" i="94" a="1"/>
  <c r="D61" i="94" s="1"/>
  <c r="E60" i="94" a="1"/>
  <c r="E60" i="94" s="1"/>
  <c r="D60" i="94" a="1"/>
  <c r="D60" i="94" s="1"/>
  <c r="E59" i="94" a="1"/>
  <c r="E59" i="94" s="1"/>
  <c r="D59" i="94" a="1"/>
  <c r="D59" i="94" s="1"/>
  <c r="E58" i="94" a="1"/>
  <c r="E58" i="94" s="1"/>
  <c r="D58" i="94" a="1"/>
  <c r="D58" i="94" s="1"/>
  <c r="D56" i="94" a="1"/>
  <c r="D56" i="94" s="1"/>
  <c r="D55" i="94" a="1"/>
  <c r="D55" i="94" s="1"/>
  <c r="D54" i="94" a="1"/>
  <c r="D54" i="94" s="1"/>
  <c r="D53" i="94" a="1"/>
  <c r="D53" i="94" s="1"/>
  <c r="D52" i="94" a="1"/>
  <c r="D52" i="94" s="1"/>
  <c r="G50" i="94" a="1"/>
  <c r="G50" i="94" s="1"/>
  <c r="F50" i="94" a="1"/>
  <c r="F50" i="94" s="1"/>
  <c r="E50" i="94" a="1"/>
  <c r="E50" i="94" s="1"/>
  <c r="O21" i="94" s="1"/>
  <c r="D50" i="94" a="1"/>
  <c r="D50" i="94" s="1"/>
  <c r="G49" i="94" a="1"/>
  <c r="G49" i="94" s="1"/>
  <c r="F49" i="94" a="1"/>
  <c r="F49" i="94" s="1"/>
  <c r="E49" i="94" a="1"/>
  <c r="E49" i="94" s="1"/>
  <c r="O20" i="94" s="1"/>
  <c r="D49" i="94" a="1"/>
  <c r="D49" i="94" s="1"/>
  <c r="G48" i="94" a="1"/>
  <c r="G48" i="94" s="1"/>
  <c r="F48" i="94" a="1"/>
  <c r="F48" i="94" s="1"/>
  <c r="E48" i="94" a="1"/>
  <c r="E48" i="94" s="1"/>
  <c r="O19" i="94" s="1"/>
  <c r="D48" i="94" a="1"/>
  <c r="D48" i="94" s="1"/>
  <c r="G47" i="94" a="1"/>
  <c r="G47" i="94" s="1"/>
  <c r="F47" i="94" a="1"/>
  <c r="F47" i="94" s="1"/>
  <c r="E47" i="94" a="1"/>
  <c r="E47" i="94" s="1"/>
  <c r="O18" i="94" s="1"/>
  <c r="D47" i="94" a="1"/>
  <c r="D47" i="94" s="1"/>
  <c r="G46" i="94" a="1"/>
  <c r="G46" i="94" s="1"/>
  <c r="F46" i="94" a="1"/>
  <c r="F46" i="94" s="1"/>
  <c r="E46" i="94" a="1"/>
  <c r="E46" i="94" s="1"/>
  <c r="O17" i="94" s="1"/>
  <c r="D46" i="94" a="1"/>
  <c r="D46" i="94" s="1"/>
  <c r="G45" i="94" a="1"/>
  <c r="G45" i="94" s="1"/>
  <c r="F45" i="94" a="1"/>
  <c r="F45" i="94" s="1"/>
  <c r="E45" i="94" a="1"/>
  <c r="E45" i="94" s="1"/>
  <c r="D45" i="94" a="1"/>
  <c r="D45" i="94" s="1"/>
  <c r="G44" i="94" a="1"/>
  <c r="G44" i="94" s="1"/>
  <c r="F44" i="94" a="1"/>
  <c r="F44" i="94" s="1"/>
  <c r="E44" i="94" a="1"/>
  <c r="E44" i="94" s="1"/>
  <c r="M21" i="94" s="1"/>
  <c r="D44" i="94" a="1"/>
  <c r="D44" i="94" s="1"/>
  <c r="G43" i="94" a="1"/>
  <c r="G43" i="94" s="1"/>
  <c r="F43" i="94" a="1"/>
  <c r="F43" i="94" s="1"/>
  <c r="E43" i="94" a="1"/>
  <c r="E43" i="94" s="1"/>
  <c r="M20" i="94" s="1"/>
  <c r="D43" i="94" a="1"/>
  <c r="D43" i="94" s="1"/>
  <c r="G42" i="94" a="1"/>
  <c r="G42" i="94" s="1"/>
  <c r="F42" i="94" a="1"/>
  <c r="F42" i="94" s="1"/>
  <c r="E42" i="94" a="1"/>
  <c r="E42" i="94" s="1"/>
  <c r="M19" i="94" s="1"/>
  <c r="D42" i="94" a="1"/>
  <c r="D42" i="94" s="1"/>
  <c r="G41" i="94" a="1"/>
  <c r="G41" i="94" s="1"/>
  <c r="F41" i="94" a="1"/>
  <c r="F41" i="94" s="1"/>
  <c r="E41" i="94" a="1"/>
  <c r="E41" i="94" s="1"/>
  <c r="M18" i="94" s="1"/>
  <c r="D41" i="94" a="1"/>
  <c r="D41" i="94" s="1"/>
  <c r="G40" i="94" a="1"/>
  <c r="G40" i="94" s="1"/>
  <c r="F40" i="94" a="1"/>
  <c r="F40" i="94" s="1"/>
  <c r="E40" i="94" a="1"/>
  <c r="E40" i="94" s="1"/>
  <c r="M17" i="94" s="1"/>
  <c r="D40" i="94" a="1"/>
  <c r="D40" i="94" s="1"/>
  <c r="G39" i="94" a="1"/>
  <c r="G39" i="94" s="1"/>
  <c r="F39" i="94" a="1"/>
  <c r="F39" i="94" s="1"/>
  <c r="E39" i="94" a="1"/>
  <c r="E39" i="94" s="1"/>
  <c r="D39" i="94" a="1"/>
  <c r="D39" i="94" s="1"/>
  <c r="G38" i="94" a="1"/>
  <c r="G38" i="94" s="1"/>
  <c r="F38" i="94" a="1"/>
  <c r="F38" i="94" s="1"/>
  <c r="E38" i="94" a="1"/>
  <c r="E38" i="94" s="1"/>
  <c r="K26" i="94" s="1"/>
  <c r="D38" i="94" a="1"/>
  <c r="D38" i="94" s="1"/>
  <c r="G37" i="94" a="1"/>
  <c r="G37" i="94" s="1"/>
  <c r="F37" i="94" a="1"/>
  <c r="F37" i="94" s="1"/>
  <c r="E37" i="94" a="1"/>
  <c r="E37" i="94" s="1"/>
  <c r="K25" i="94" s="1"/>
  <c r="D37" i="94" a="1"/>
  <c r="D37" i="94" s="1"/>
  <c r="G36" i="94" a="1"/>
  <c r="G36" i="94" s="1"/>
  <c r="F36" i="94" a="1"/>
  <c r="F36" i="94" s="1"/>
  <c r="E36" i="94" a="1"/>
  <c r="E36" i="94" s="1"/>
  <c r="K24" i="94" s="1"/>
  <c r="D36" i="94" a="1"/>
  <c r="D36" i="94" s="1"/>
  <c r="G35" i="94" a="1"/>
  <c r="G35" i="94" s="1"/>
  <c r="F35" i="94" a="1"/>
  <c r="F35" i="94" s="1"/>
  <c r="E35" i="94" a="1"/>
  <c r="E35" i="94" s="1"/>
  <c r="K23" i="94" s="1"/>
  <c r="D35" i="94" a="1"/>
  <c r="D35" i="94" s="1"/>
  <c r="G34" i="94" a="1"/>
  <c r="G34" i="94" s="1"/>
  <c r="F34" i="94" a="1"/>
  <c r="F34" i="94" s="1"/>
  <c r="E34" i="94" a="1"/>
  <c r="E34" i="94" s="1"/>
  <c r="K22" i="94" s="1"/>
  <c r="D34" i="94" a="1"/>
  <c r="D34" i="94" s="1"/>
  <c r="G33" i="94" a="1"/>
  <c r="G33" i="94" s="1"/>
  <c r="F33" i="94" a="1"/>
  <c r="F33" i="94" s="1"/>
  <c r="E33" i="94" a="1"/>
  <c r="E33" i="94" s="1"/>
  <c r="K21" i="94" s="1"/>
  <c r="D33" i="94" a="1"/>
  <c r="D33" i="94" s="1"/>
  <c r="G32" i="94" a="1"/>
  <c r="G32" i="94" s="1"/>
  <c r="F32" i="94" a="1"/>
  <c r="F32" i="94" s="1"/>
  <c r="E32" i="94" a="1"/>
  <c r="E32" i="94" s="1"/>
  <c r="K20" i="94" s="1"/>
  <c r="D32" i="94" a="1"/>
  <c r="D32" i="94" s="1"/>
  <c r="G31" i="94" a="1"/>
  <c r="G31" i="94" s="1"/>
  <c r="F31" i="94" a="1"/>
  <c r="F31" i="94" s="1"/>
  <c r="E31" i="94" a="1"/>
  <c r="E31" i="94" s="1"/>
  <c r="K19" i="94" s="1"/>
  <c r="D31" i="94" a="1"/>
  <c r="D31" i="94" s="1"/>
  <c r="G30" i="94" a="1"/>
  <c r="G30" i="94" s="1"/>
  <c r="F30" i="94" a="1"/>
  <c r="F30" i="94" s="1"/>
  <c r="E30" i="94" a="1"/>
  <c r="E30" i="94" s="1"/>
  <c r="K18" i="94" s="1"/>
  <c r="D30" i="94" a="1"/>
  <c r="D30" i="94" s="1"/>
  <c r="G29" i="94" a="1"/>
  <c r="G29" i="94" s="1"/>
  <c r="F29" i="94" a="1"/>
  <c r="F29" i="94" s="1"/>
  <c r="E29" i="94" a="1"/>
  <c r="E29" i="94" s="1"/>
  <c r="K17" i="94" s="1"/>
  <c r="D29" i="94" a="1"/>
  <c r="D29" i="94" s="1"/>
  <c r="G28" i="94" a="1"/>
  <c r="G28" i="94" s="1"/>
  <c r="F28" i="94" a="1"/>
  <c r="F28" i="94" s="1"/>
  <c r="E28" i="94" a="1"/>
  <c r="E28" i="94" s="1"/>
  <c r="D28" i="94" a="1"/>
  <c r="D28" i="94" s="1"/>
  <c r="G27" i="94" a="1"/>
  <c r="G27" i="94" s="1"/>
  <c r="F27" i="94" a="1"/>
  <c r="F27" i="94" s="1"/>
  <c r="E27" i="94" a="1"/>
  <c r="E27" i="94" s="1"/>
  <c r="I27" i="94" s="1"/>
  <c r="D27" i="94" a="1"/>
  <c r="D27" i="94" s="1"/>
  <c r="G26" i="94" a="1"/>
  <c r="G26" i="94" s="1"/>
  <c r="F26" i="94" a="1"/>
  <c r="F26" i="94" s="1"/>
  <c r="E26" i="94" a="1"/>
  <c r="E26" i="94" s="1"/>
  <c r="I26" i="94" s="1"/>
  <c r="D26" i="94" a="1"/>
  <c r="D26" i="94" s="1"/>
  <c r="G25" i="94" a="1"/>
  <c r="G25" i="94" s="1"/>
  <c r="F25" i="94" a="1"/>
  <c r="F25" i="94" s="1"/>
  <c r="E25" i="94" a="1"/>
  <c r="E25" i="94" s="1"/>
  <c r="I25" i="94" s="1"/>
  <c r="D25" i="94" a="1"/>
  <c r="D25" i="94" s="1"/>
  <c r="G24" i="94" a="1"/>
  <c r="G24" i="94" s="1"/>
  <c r="F24" i="94" a="1"/>
  <c r="F24" i="94" s="1"/>
  <c r="E24" i="94" a="1"/>
  <c r="E24" i="94" s="1"/>
  <c r="I24" i="94" s="1"/>
  <c r="D24" i="94" a="1"/>
  <c r="D24" i="94" s="1"/>
  <c r="G23" i="94" a="1"/>
  <c r="G23" i="94" s="1"/>
  <c r="F23" i="94" a="1"/>
  <c r="F23" i="94" s="1"/>
  <c r="E23" i="94" a="1"/>
  <c r="E23" i="94" s="1"/>
  <c r="I23" i="94" s="1"/>
  <c r="D23" i="94" a="1"/>
  <c r="D23" i="94" s="1"/>
  <c r="G22" i="94" a="1"/>
  <c r="G22" i="94" s="1"/>
  <c r="F22" i="94" a="1"/>
  <c r="F22" i="94" s="1"/>
  <c r="E22" i="94" a="1"/>
  <c r="E22" i="94" s="1"/>
  <c r="I22" i="94" s="1"/>
  <c r="D22" i="94" a="1"/>
  <c r="D22" i="94" s="1"/>
  <c r="G21" i="94" a="1"/>
  <c r="G21" i="94" s="1"/>
  <c r="F21" i="94" a="1"/>
  <c r="F21" i="94" s="1"/>
  <c r="E21" i="94" a="1"/>
  <c r="E21" i="94" s="1"/>
  <c r="I21" i="94" s="1"/>
  <c r="D21" i="94" a="1"/>
  <c r="D21" i="94" s="1"/>
  <c r="G20" i="94" a="1"/>
  <c r="G20" i="94" s="1"/>
  <c r="F20" i="94" a="1"/>
  <c r="F20" i="94" s="1"/>
  <c r="E20" i="94" a="1"/>
  <c r="E20" i="94" s="1"/>
  <c r="I20" i="94" s="1"/>
  <c r="D20" i="94" a="1"/>
  <c r="D20" i="94" s="1"/>
  <c r="G19" i="94" a="1"/>
  <c r="G19" i="94" s="1"/>
  <c r="F19" i="94" a="1"/>
  <c r="F19" i="94" s="1"/>
  <c r="E19" i="94" a="1"/>
  <c r="E19" i="94" s="1"/>
  <c r="I19" i="94" s="1"/>
  <c r="D19" i="94" a="1"/>
  <c r="D19" i="94" s="1"/>
  <c r="G18" i="94" a="1"/>
  <c r="G18" i="94" s="1"/>
  <c r="F18" i="94" a="1"/>
  <c r="F18" i="94" s="1"/>
  <c r="E18" i="94" a="1"/>
  <c r="E18" i="94" s="1"/>
  <c r="I18" i="94" s="1"/>
  <c r="D18" i="94" a="1"/>
  <c r="D18" i="94" s="1"/>
  <c r="G17" i="94" a="1"/>
  <c r="G17" i="94" s="1"/>
  <c r="F17" i="94" a="1"/>
  <c r="F17" i="94" s="1"/>
  <c r="E17" i="94" a="1"/>
  <c r="E17" i="94" s="1"/>
  <c r="D17" i="94" a="1"/>
  <c r="D17" i="94" s="1"/>
  <c r="D15" i="94" a="1"/>
  <c r="D15" i="94" s="1"/>
  <c r="D14" i="94" a="1"/>
  <c r="D14" i="94" s="1"/>
  <c r="D7" i="94" a="1"/>
  <c r="D7" i="94" s="1"/>
  <c r="D6" i="94" a="1"/>
  <c r="D6" i="94" s="1"/>
  <c r="D5" i="94" a="1"/>
  <c r="D5" i="94" s="1"/>
  <c r="H185" i="93"/>
  <c r="H179" i="93"/>
  <c r="H168" i="93"/>
  <c r="H144" i="93"/>
  <c r="H138" i="93"/>
  <c r="H127" i="93"/>
  <c r="H105" i="93" a="1"/>
  <c r="H105" i="93" s="1"/>
  <c r="D105" i="93" a="1"/>
  <c r="D105" i="93" s="1"/>
  <c r="E103" i="93" a="1"/>
  <c r="E103" i="93" s="1"/>
  <c r="E102" i="93" a="1"/>
  <c r="E102" i="93" s="1"/>
  <c r="D98" i="93" a="1"/>
  <c r="D98" i="93" s="1"/>
  <c r="D97" i="93" a="1"/>
  <c r="D97" i="93" s="1"/>
  <c r="D96" i="93" a="1"/>
  <c r="D96" i="93" s="1"/>
  <c r="J16" i="93" a="1"/>
  <c r="J16" i="93" s="1"/>
  <c r="I16" i="93" a="1"/>
  <c r="I16" i="93" s="1"/>
  <c r="J15" i="93" a="1"/>
  <c r="J15" i="93" s="1"/>
  <c r="I15" i="93" a="1"/>
  <c r="I15" i="93" s="1"/>
  <c r="J14" i="93" a="1"/>
  <c r="J14" i="93" s="1"/>
  <c r="I14" i="93" a="1"/>
  <c r="I14" i="93" s="1"/>
  <c r="J13" i="93" a="1"/>
  <c r="J13" i="93" s="1"/>
  <c r="I13" i="93" a="1"/>
  <c r="I13" i="93" s="1"/>
  <c r="G13" i="93" a="1"/>
  <c r="G13" i="93" s="1"/>
  <c r="D13" i="93" a="1"/>
  <c r="D13" i="93" s="1"/>
  <c r="E11" i="93" a="1"/>
  <c r="E11" i="93" s="1"/>
  <c r="E10" i="93" a="1"/>
  <c r="E10" i="93" s="1"/>
  <c r="D6" i="93" a="1"/>
  <c r="D6" i="93" s="1"/>
  <c r="D5" i="93" a="1"/>
  <c r="D5" i="93" s="1"/>
  <c r="E139" i="91"/>
  <c r="F40" i="90" s="1"/>
  <c r="G138" i="91"/>
  <c r="F32" i="89" s="1"/>
  <c r="E138" i="91"/>
  <c r="F39" i="90" s="1"/>
  <c r="G137" i="91"/>
  <c r="F31" i="89" s="1"/>
  <c r="E137" i="91"/>
  <c r="F38" i="90" s="1"/>
  <c r="D137" i="91"/>
  <c r="F31" i="90" s="1"/>
  <c r="G136" i="91"/>
  <c r="F30" i="89" s="1"/>
  <c r="E136" i="91"/>
  <c r="F37" i="90" s="1"/>
  <c r="D136" i="91"/>
  <c r="F30" i="90" s="1"/>
  <c r="G135" i="91"/>
  <c r="F29" i="89" s="1"/>
  <c r="E135" i="91"/>
  <c r="F36" i="90" s="1"/>
  <c r="D135" i="91"/>
  <c r="F29" i="90" s="1"/>
  <c r="G134" i="91"/>
  <c r="F28" i="89" s="1"/>
  <c r="E134" i="91"/>
  <c r="F35" i="90" s="1"/>
  <c r="D134" i="91"/>
  <c r="F28" i="90" s="1"/>
  <c r="G133" i="91"/>
  <c r="F27" i="89" s="1"/>
  <c r="F133" i="91"/>
  <c r="F36" i="89" s="1"/>
  <c r="E133" i="91"/>
  <c r="F34" i="90" s="1"/>
  <c r="D133" i="91"/>
  <c r="F27" i="90" s="1"/>
  <c r="I132" i="91"/>
  <c r="F38" i="89" s="1"/>
  <c r="G132" i="91"/>
  <c r="F26" i="89" s="1"/>
  <c r="F132" i="91"/>
  <c r="F35" i="89" s="1"/>
  <c r="E132" i="91"/>
  <c r="F33" i="90" s="1"/>
  <c r="D132" i="91"/>
  <c r="F26" i="90" s="1"/>
  <c r="I131" i="91"/>
  <c r="F37" i="89" s="1"/>
  <c r="H131" i="91"/>
  <c r="F33" i="89" s="1"/>
  <c r="G131" i="91"/>
  <c r="F25" i="89" s="1"/>
  <c r="F131" i="91"/>
  <c r="F34" i="89" s="1"/>
  <c r="E131" i="91"/>
  <c r="F32" i="90" s="1"/>
  <c r="D131" i="91"/>
  <c r="F25" i="90" s="1"/>
  <c r="F120" i="91" a="1"/>
  <c r="F120" i="91" s="1"/>
  <c r="E120" i="91" a="1"/>
  <c r="E120" i="91" s="1"/>
  <c r="D120" i="91" a="1"/>
  <c r="D120" i="91" s="1"/>
  <c r="F119" i="91" a="1"/>
  <c r="F119" i="91" s="1"/>
  <c r="E119" i="91" a="1"/>
  <c r="E119" i="91" s="1"/>
  <c r="D119" i="91" a="1"/>
  <c r="D119" i="91" s="1"/>
  <c r="F118" i="91" a="1"/>
  <c r="F118" i="91" s="1"/>
  <c r="E118" i="91" a="1"/>
  <c r="E118" i="91" s="1"/>
  <c r="D118" i="91" a="1"/>
  <c r="D118" i="91" s="1"/>
  <c r="F117" i="91" a="1"/>
  <c r="F117" i="91" s="1"/>
  <c r="E117" i="91" a="1"/>
  <c r="E117" i="91" s="1"/>
  <c r="D117" i="91" a="1"/>
  <c r="D117" i="91" s="1"/>
  <c r="F116" i="91" a="1"/>
  <c r="F116" i="91" s="1"/>
  <c r="E116" i="91" a="1"/>
  <c r="E116" i="91" s="1"/>
  <c r="D116" i="91" a="1"/>
  <c r="D116" i="91" s="1"/>
  <c r="F115" i="91" a="1"/>
  <c r="F115" i="91" s="1"/>
  <c r="E115" i="91" a="1"/>
  <c r="E115" i="91" s="1"/>
  <c r="D115" i="91" a="1"/>
  <c r="D115" i="91" s="1"/>
  <c r="F114" i="91" a="1"/>
  <c r="F114" i="91" s="1"/>
  <c r="E114" i="91" a="1"/>
  <c r="E114" i="91" s="1"/>
  <c r="D114" i="91" a="1"/>
  <c r="D114" i="91" s="1"/>
  <c r="G113" i="91" a="1"/>
  <c r="G113" i="91" s="1"/>
  <c r="F113" i="91" a="1"/>
  <c r="F113" i="91" s="1"/>
  <c r="E113" i="91" a="1"/>
  <c r="E113" i="91" s="1"/>
  <c r="D113" i="91" a="1"/>
  <c r="D113" i="91" s="1"/>
  <c r="D110" i="91" a="1"/>
  <c r="D110" i="91" s="1"/>
  <c r="D109" i="91" a="1"/>
  <c r="D109" i="91" s="1"/>
  <c r="D108" i="91" a="1"/>
  <c r="D108" i="91" s="1"/>
  <c r="D107" i="91" a="1"/>
  <c r="D107" i="91" s="1"/>
  <c r="J104" i="91" a="1"/>
  <c r="J104" i="91" s="1"/>
  <c r="I104" i="91" a="1"/>
  <c r="I104" i="91" s="1"/>
  <c r="H104" i="91" a="1"/>
  <c r="H104" i="91" s="1"/>
  <c r="G104" i="91" a="1"/>
  <c r="G104" i="91" s="1"/>
  <c r="F104" i="91" a="1"/>
  <c r="F104" i="91" s="1"/>
  <c r="E104" i="91" a="1"/>
  <c r="E104" i="91" s="1"/>
  <c r="D104" i="91" a="1"/>
  <c r="D104" i="91" s="1"/>
  <c r="E40" i="90" s="1"/>
  <c r="J103" i="91" a="1"/>
  <c r="J103" i="91" s="1"/>
  <c r="I103" i="91" a="1"/>
  <c r="I103" i="91" s="1"/>
  <c r="H103" i="91" a="1"/>
  <c r="H103" i="91" s="1"/>
  <c r="G103" i="91" a="1"/>
  <c r="G103" i="91" s="1"/>
  <c r="F103" i="91" a="1"/>
  <c r="F103" i="91" s="1"/>
  <c r="E103" i="91" a="1"/>
  <c r="E103" i="91" s="1"/>
  <c r="D103" i="91" a="1"/>
  <c r="D103" i="91" s="1"/>
  <c r="E39" i="90" s="1"/>
  <c r="J102" i="91" a="1"/>
  <c r="J102" i="91" s="1"/>
  <c r="I102" i="91" a="1"/>
  <c r="I102" i="91" s="1"/>
  <c r="H102" i="91" a="1"/>
  <c r="H102" i="91" s="1"/>
  <c r="G102" i="91" a="1"/>
  <c r="G102" i="91" s="1"/>
  <c r="F102" i="91" a="1"/>
  <c r="F102" i="91" s="1"/>
  <c r="E102" i="91" a="1"/>
  <c r="E102" i="91" s="1"/>
  <c r="D102" i="91" a="1"/>
  <c r="D102" i="91" s="1"/>
  <c r="J101" i="91" a="1"/>
  <c r="J101" i="91" s="1"/>
  <c r="I101" i="91" a="1"/>
  <c r="I101" i="91" s="1"/>
  <c r="H101" i="91" a="1"/>
  <c r="H101" i="91" s="1"/>
  <c r="G101" i="91" a="1"/>
  <c r="G101" i="91" s="1"/>
  <c r="F101" i="91" a="1"/>
  <c r="F101" i="91" s="1"/>
  <c r="E101" i="91" a="1"/>
  <c r="E101" i="91" s="1"/>
  <c r="D101" i="91" a="1"/>
  <c r="D101" i="91" s="1"/>
  <c r="J100" i="91" a="1"/>
  <c r="J100" i="91" s="1"/>
  <c r="I100" i="91" a="1"/>
  <c r="I100" i="91" s="1"/>
  <c r="H100" i="91" a="1"/>
  <c r="H100" i="91" s="1"/>
  <c r="G100" i="91" a="1"/>
  <c r="G100" i="91" s="1"/>
  <c r="F100" i="91" a="1"/>
  <c r="F100" i="91" s="1"/>
  <c r="E100" i="91" a="1"/>
  <c r="E100" i="91" s="1"/>
  <c r="D100" i="91" a="1"/>
  <c r="D100" i="91" s="1"/>
  <c r="J99" i="91" a="1"/>
  <c r="J99" i="91" s="1"/>
  <c r="I99" i="91" a="1"/>
  <c r="I99" i="91" s="1"/>
  <c r="H99" i="91" a="1"/>
  <c r="H99" i="91" s="1"/>
  <c r="G99" i="91" a="1"/>
  <c r="G99" i="91" s="1"/>
  <c r="F99" i="91" a="1"/>
  <c r="F99" i="91" s="1"/>
  <c r="E99" i="91" a="1"/>
  <c r="E99" i="91" s="1"/>
  <c r="D99" i="91" a="1"/>
  <c r="D99" i="91" s="1"/>
  <c r="J98" i="91" a="1"/>
  <c r="J98" i="91" s="1"/>
  <c r="I98" i="91" a="1"/>
  <c r="I98" i="91" s="1"/>
  <c r="H98" i="91" a="1"/>
  <c r="H98" i="91" s="1"/>
  <c r="G98" i="91" a="1"/>
  <c r="G98" i="91" s="1"/>
  <c r="F98" i="91" a="1"/>
  <c r="F98" i="91" s="1"/>
  <c r="E98" i="91" a="1"/>
  <c r="E98" i="91" s="1"/>
  <c r="D98" i="91" a="1"/>
  <c r="D98" i="91" s="1"/>
  <c r="J97" i="91" a="1"/>
  <c r="J97" i="91" s="1"/>
  <c r="I97" i="91" a="1"/>
  <c r="I97" i="91" s="1"/>
  <c r="H97" i="91" a="1"/>
  <c r="H97" i="91" s="1"/>
  <c r="G97" i="91" a="1"/>
  <c r="G97" i="91" s="1"/>
  <c r="F97" i="91" a="1"/>
  <c r="F97" i="91" s="1"/>
  <c r="E97" i="91" a="1"/>
  <c r="E97" i="91" s="1"/>
  <c r="D97" i="91" a="1"/>
  <c r="D97" i="91" s="1"/>
  <c r="J96" i="91" a="1"/>
  <c r="J96" i="91" s="1"/>
  <c r="I96" i="91" a="1"/>
  <c r="I96" i="91" s="1"/>
  <c r="H96" i="91" a="1"/>
  <c r="H96" i="91" s="1"/>
  <c r="G96" i="91" a="1"/>
  <c r="G96" i="91" s="1"/>
  <c r="F96" i="91" a="1"/>
  <c r="F96" i="91" s="1"/>
  <c r="E96" i="91" a="1"/>
  <c r="E96" i="91" s="1"/>
  <c r="D96" i="91" a="1"/>
  <c r="D96" i="91" s="1"/>
  <c r="J95" i="91" a="1"/>
  <c r="J95" i="91" s="1"/>
  <c r="I95" i="91" a="1"/>
  <c r="I95" i="91" s="1"/>
  <c r="H95" i="91" a="1"/>
  <c r="H95" i="91" s="1"/>
  <c r="G95" i="91" a="1"/>
  <c r="G95" i="91" s="1"/>
  <c r="F95" i="91" a="1"/>
  <c r="F95" i="91" s="1"/>
  <c r="E95" i="91" a="1"/>
  <c r="E95" i="91" s="1"/>
  <c r="D95" i="91" a="1"/>
  <c r="D95" i="91" s="1"/>
  <c r="J94" i="91" a="1"/>
  <c r="J94" i="91" s="1"/>
  <c r="I94" i="91" a="1"/>
  <c r="I94" i="91" s="1"/>
  <c r="H94" i="91" a="1"/>
  <c r="H94" i="91" s="1"/>
  <c r="G94" i="91" a="1"/>
  <c r="G94" i="91" s="1"/>
  <c r="F94" i="91" a="1"/>
  <c r="F94" i="91" s="1"/>
  <c r="E94" i="91" a="1"/>
  <c r="E94" i="91" s="1"/>
  <c r="D94" i="91" a="1"/>
  <c r="D94" i="91" s="1"/>
  <c r="J93" i="91" a="1"/>
  <c r="J93" i="91" s="1"/>
  <c r="I93" i="91" a="1"/>
  <c r="I93" i="91" s="1"/>
  <c r="H93" i="91" a="1"/>
  <c r="H93" i="91" s="1"/>
  <c r="G93" i="91" a="1"/>
  <c r="G93" i="91" s="1"/>
  <c r="F93" i="91" a="1"/>
  <c r="F93" i="91" s="1"/>
  <c r="E93" i="91" a="1"/>
  <c r="E93" i="91" s="1"/>
  <c r="D93" i="91" a="1"/>
  <c r="D93" i="91" s="1"/>
  <c r="J92" i="91" a="1"/>
  <c r="J92" i="91" s="1"/>
  <c r="I92" i="91" a="1"/>
  <c r="I92" i="91" s="1"/>
  <c r="H92" i="91" a="1"/>
  <c r="H92" i="91" s="1"/>
  <c r="G92" i="91" a="1"/>
  <c r="G92" i="91" s="1"/>
  <c r="F92" i="91" a="1"/>
  <c r="F92" i="91" s="1"/>
  <c r="E92" i="91" a="1"/>
  <c r="E92" i="91" s="1"/>
  <c r="D92" i="91" a="1"/>
  <c r="D92" i="91" s="1"/>
  <c r="J91" i="91" a="1"/>
  <c r="J91" i="91" s="1"/>
  <c r="I91" i="91" a="1"/>
  <c r="I91" i="91" s="1"/>
  <c r="H91" i="91" a="1"/>
  <c r="H91" i="91" s="1"/>
  <c r="G91" i="91" a="1"/>
  <c r="G91" i="91" s="1"/>
  <c r="F91" i="91" a="1"/>
  <c r="F91" i="91" s="1"/>
  <c r="E91" i="91" a="1"/>
  <c r="E91" i="91" s="1"/>
  <c r="D91" i="91" a="1"/>
  <c r="D91" i="91" s="1"/>
  <c r="J90" i="91" a="1"/>
  <c r="J90" i="91" s="1"/>
  <c r="I90" i="91" a="1"/>
  <c r="I90" i="91" s="1"/>
  <c r="H90" i="91" a="1"/>
  <c r="H90" i="91" s="1"/>
  <c r="G90" i="91" a="1"/>
  <c r="G90" i="91" s="1"/>
  <c r="F90" i="91" a="1"/>
  <c r="F90" i="91" s="1"/>
  <c r="E90" i="91" a="1"/>
  <c r="E90" i="91" s="1"/>
  <c r="D90" i="91" a="1"/>
  <c r="D90" i="91" s="1"/>
  <c r="J89" i="91" a="1"/>
  <c r="J89" i="91" s="1"/>
  <c r="I89" i="91" a="1"/>
  <c r="I89" i="91" s="1"/>
  <c r="H89" i="91" a="1"/>
  <c r="H89" i="91" s="1"/>
  <c r="G89" i="91" a="1"/>
  <c r="G89" i="91" s="1"/>
  <c r="F89" i="91" a="1"/>
  <c r="F89" i="91" s="1"/>
  <c r="E89" i="91" a="1"/>
  <c r="E89" i="91" s="1"/>
  <c r="D89" i="91" a="1"/>
  <c r="D89" i="91" s="1"/>
  <c r="J88" i="91" a="1"/>
  <c r="J88" i="91" s="1"/>
  <c r="I88" i="91" a="1"/>
  <c r="I88" i="91" s="1"/>
  <c r="H88" i="91" a="1"/>
  <c r="H88" i="91" s="1"/>
  <c r="G88" i="91" a="1"/>
  <c r="G88" i="91" s="1"/>
  <c r="F88" i="91" a="1"/>
  <c r="F88" i="91" s="1"/>
  <c r="E88" i="91" a="1"/>
  <c r="E88" i="91" s="1"/>
  <c r="D88" i="91" a="1"/>
  <c r="D88" i="91" s="1"/>
  <c r="J87" i="91" a="1"/>
  <c r="J87" i="91" s="1"/>
  <c r="I87" i="91" a="1"/>
  <c r="I87" i="91" s="1"/>
  <c r="H87" i="91" a="1"/>
  <c r="H87" i="91" s="1"/>
  <c r="G87" i="91" a="1"/>
  <c r="G87" i="91" s="1"/>
  <c r="F87" i="91" a="1"/>
  <c r="F87" i="91" s="1"/>
  <c r="E87" i="91" a="1"/>
  <c r="E87" i="91" s="1"/>
  <c r="D87" i="91" a="1"/>
  <c r="D87" i="91" s="1"/>
  <c r="D84" i="91" a="1"/>
  <c r="D84" i="91" s="1"/>
  <c r="D83" i="91" a="1"/>
  <c r="D83" i="91" s="1"/>
  <c r="D82" i="91" a="1"/>
  <c r="D82" i="91" s="1"/>
  <c r="D81" i="91" a="1"/>
  <c r="D81" i="91" s="1"/>
  <c r="K77" i="91" a="1"/>
  <c r="K77" i="91" s="1"/>
  <c r="J77" i="91" a="1"/>
  <c r="J77" i="91" s="1"/>
  <c r="I77" i="91" a="1"/>
  <c r="I77" i="91" s="1"/>
  <c r="H77" i="91" a="1"/>
  <c r="H77" i="91" s="1"/>
  <c r="G77" i="91" a="1"/>
  <c r="G77" i="91" s="1"/>
  <c r="F77" i="91" a="1"/>
  <c r="F77" i="91" s="1"/>
  <c r="E77" i="91" a="1"/>
  <c r="E77" i="91" s="1"/>
  <c r="D77" i="91" a="1"/>
  <c r="D77" i="91" s="1"/>
  <c r="K76" i="91" a="1"/>
  <c r="K76" i="91" s="1"/>
  <c r="J76" i="91" a="1"/>
  <c r="J76" i="91" s="1"/>
  <c r="I76" i="91" a="1"/>
  <c r="I76" i="91" s="1"/>
  <c r="H76" i="91" a="1"/>
  <c r="H76" i="91" s="1"/>
  <c r="G76" i="91" a="1"/>
  <c r="G76" i="91" s="1"/>
  <c r="F76" i="91" a="1"/>
  <c r="F76" i="91" s="1"/>
  <c r="E76" i="91" a="1"/>
  <c r="E76" i="91" s="1"/>
  <c r="D76" i="91" a="1"/>
  <c r="D76" i="91" s="1"/>
  <c r="K75" i="91" a="1"/>
  <c r="K75" i="91" s="1"/>
  <c r="J75" i="91" a="1"/>
  <c r="J75" i="91" s="1"/>
  <c r="I75" i="91" a="1"/>
  <c r="I75" i="91" s="1"/>
  <c r="H75" i="91" a="1"/>
  <c r="H75" i="91" s="1"/>
  <c r="G75" i="91" a="1"/>
  <c r="G75" i="91" s="1"/>
  <c r="F75" i="91" a="1"/>
  <c r="F75" i="91" s="1"/>
  <c r="E75" i="91" a="1"/>
  <c r="E75" i="91" s="1"/>
  <c r="D75" i="91" a="1"/>
  <c r="D75" i="91" s="1"/>
  <c r="K74" i="91" a="1"/>
  <c r="K74" i="91" s="1"/>
  <c r="J74" i="91" a="1"/>
  <c r="J74" i="91" s="1"/>
  <c r="I74" i="91" a="1"/>
  <c r="I74" i="91" s="1"/>
  <c r="H74" i="91" a="1"/>
  <c r="H74" i="91" s="1"/>
  <c r="G74" i="91" a="1"/>
  <c r="G74" i="91" s="1"/>
  <c r="F74" i="91" a="1"/>
  <c r="F74" i="91" s="1"/>
  <c r="E74" i="91" a="1"/>
  <c r="E74" i="91" s="1"/>
  <c r="D74" i="91" a="1"/>
  <c r="D74" i="91" s="1"/>
  <c r="K73" i="91" a="1"/>
  <c r="K73" i="91" s="1"/>
  <c r="J73" i="91" a="1"/>
  <c r="J73" i="91" s="1"/>
  <c r="I73" i="91" a="1"/>
  <c r="I73" i="91" s="1"/>
  <c r="H73" i="91" a="1"/>
  <c r="H73" i="91" s="1"/>
  <c r="G73" i="91" a="1"/>
  <c r="G73" i="91" s="1"/>
  <c r="F73" i="91" a="1"/>
  <c r="F73" i="91" s="1"/>
  <c r="E73" i="91" a="1"/>
  <c r="E73" i="91" s="1"/>
  <c r="D73" i="91" a="1"/>
  <c r="D73" i="91" s="1"/>
  <c r="K72" i="91" a="1"/>
  <c r="K72" i="91" s="1"/>
  <c r="J72" i="91" a="1"/>
  <c r="J72" i="91" s="1"/>
  <c r="I72" i="91" a="1"/>
  <c r="I72" i="91" s="1"/>
  <c r="H72" i="91" a="1"/>
  <c r="H72" i="91" s="1"/>
  <c r="G72" i="91" a="1"/>
  <c r="G72" i="91" s="1"/>
  <c r="F72" i="91" a="1"/>
  <c r="F72" i="91" s="1"/>
  <c r="E72" i="91" a="1"/>
  <c r="E72" i="91" s="1"/>
  <c r="D72" i="91" a="1"/>
  <c r="D72" i="91" s="1"/>
  <c r="K71" i="91" a="1"/>
  <c r="K71" i="91" s="1"/>
  <c r="J71" i="91" a="1"/>
  <c r="J71" i="91" s="1"/>
  <c r="I71" i="91" a="1"/>
  <c r="I71" i="91" s="1"/>
  <c r="H71" i="91" a="1"/>
  <c r="H71" i="91" s="1"/>
  <c r="G71" i="91" a="1"/>
  <c r="G71" i="91" s="1"/>
  <c r="F71" i="91" a="1"/>
  <c r="F71" i="91" s="1"/>
  <c r="E71" i="91" a="1"/>
  <c r="E71" i="91" s="1"/>
  <c r="D71" i="91" a="1"/>
  <c r="D71" i="91" s="1"/>
  <c r="K70" i="91" a="1"/>
  <c r="K70" i="91" s="1"/>
  <c r="J70" i="91" a="1"/>
  <c r="J70" i="91" s="1"/>
  <c r="I70" i="91" a="1"/>
  <c r="I70" i="91" s="1"/>
  <c r="H70" i="91" a="1"/>
  <c r="H70" i="91" s="1"/>
  <c r="G70" i="91" a="1"/>
  <c r="G70" i="91" s="1"/>
  <c r="F70" i="91" a="1"/>
  <c r="F70" i="91" s="1"/>
  <c r="E70" i="91" a="1"/>
  <c r="E70" i="91" s="1"/>
  <c r="D70" i="91" a="1"/>
  <c r="D70" i="91" s="1"/>
  <c r="K69" i="91" a="1"/>
  <c r="K69" i="91" s="1"/>
  <c r="J69" i="91" a="1"/>
  <c r="J69" i="91" s="1"/>
  <c r="I69" i="91" a="1"/>
  <c r="I69" i="91" s="1"/>
  <c r="H69" i="91" a="1"/>
  <c r="H69" i="91" s="1"/>
  <c r="G69" i="91" a="1"/>
  <c r="G69" i="91" s="1"/>
  <c r="F69" i="91" a="1"/>
  <c r="F69" i="91" s="1"/>
  <c r="E69" i="91" a="1"/>
  <c r="E69" i="91" s="1"/>
  <c r="D69" i="91" a="1"/>
  <c r="D69" i="91" s="1"/>
  <c r="K68" i="91" a="1"/>
  <c r="K68" i="91" s="1"/>
  <c r="J68" i="91" a="1"/>
  <c r="J68" i="91" s="1"/>
  <c r="I68" i="91" a="1"/>
  <c r="I68" i="91" s="1"/>
  <c r="H68" i="91" a="1"/>
  <c r="H68" i="91" s="1"/>
  <c r="G68" i="91" a="1"/>
  <c r="G68" i="91" s="1"/>
  <c r="F68" i="91" a="1"/>
  <c r="F68" i="91" s="1"/>
  <c r="E68" i="91" a="1"/>
  <c r="E68" i="91" s="1"/>
  <c r="D68" i="91" a="1"/>
  <c r="D68" i="91" s="1"/>
  <c r="K67" i="91" a="1"/>
  <c r="K67" i="91" s="1"/>
  <c r="J67" i="91" a="1"/>
  <c r="J67" i="91" s="1"/>
  <c r="I67" i="91" a="1"/>
  <c r="I67" i="91" s="1"/>
  <c r="H67" i="91" a="1"/>
  <c r="H67" i="91" s="1"/>
  <c r="G67" i="91" a="1"/>
  <c r="G67" i="91" s="1"/>
  <c r="F67" i="91" a="1"/>
  <c r="F67" i="91" s="1"/>
  <c r="E67" i="91" a="1"/>
  <c r="E67" i="91" s="1"/>
  <c r="D67" i="91" a="1"/>
  <c r="D67" i="91" s="1"/>
  <c r="K66" i="91" a="1"/>
  <c r="K66" i="91" s="1"/>
  <c r="J66" i="91" a="1"/>
  <c r="J66" i="91" s="1"/>
  <c r="I66" i="91" a="1"/>
  <c r="I66" i="91" s="1"/>
  <c r="H66" i="91" a="1"/>
  <c r="H66" i="91" s="1"/>
  <c r="G66" i="91" a="1"/>
  <c r="G66" i="91" s="1"/>
  <c r="F66" i="91" a="1"/>
  <c r="F66" i="91" s="1"/>
  <c r="E66" i="91" a="1"/>
  <c r="E66" i="91" s="1"/>
  <c r="D66" i="91" a="1"/>
  <c r="D66" i="91" s="1"/>
  <c r="K65" i="91" a="1"/>
  <c r="K65" i="91" s="1"/>
  <c r="J65" i="91" a="1"/>
  <c r="J65" i="91" s="1"/>
  <c r="I65" i="91" a="1"/>
  <c r="I65" i="91" s="1"/>
  <c r="H65" i="91" a="1"/>
  <c r="H65" i="91" s="1"/>
  <c r="G65" i="91" a="1"/>
  <c r="G65" i="91" s="1"/>
  <c r="F65" i="91" a="1"/>
  <c r="F65" i="91" s="1"/>
  <c r="E65" i="91" a="1"/>
  <c r="E65" i="91" s="1"/>
  <c r="D65" i="91" a="1"/>
  <c r="D65" i="91" s="1"/>
  <c r="K64" i="91" a="1"/>
  <c r="K64" i="91" s="1"/>
  <c r="J64" i="91" a="1"/>
  <c r="J64" i="91" s="1"/>
  <c r="I64" i="91" a="1"/>
  <c r="I64" i="91" s="1"/>
  <c r="H64" i="91" a="1"/>
  <c r="H64" i="91" s="1"/>
  <c r="G64" i="91" a="1"/>
  <c r="G64" i="91" s="1"/>
  <c r="F64" i="91" a="1"/>
  <c r="F64" i="91" s="1"/>
  <c r="E64" i="91" a="1"/>
  <c r="E64" i="91" s="1"/>
  <c r="D64" i="91" a="1"/>
  <c r="D64" i="91" s="1"/>
  <c r="K63" i="91" a="1"/>
  <c r="K63" i="91" s="1"/>
  <c r="J63" i="91" a="1"/>
  <c r="J63" i="91" s="1"/>
  <c r="I63" i="91" a="1"/>
  <c r="I63" i="91" s="1"/>
  <c r="H63" i="91" a="1"/>
  <c r="H63" i="91" s="1"/>
  <c r="G63" i="91" a="1"/>
  <c r="G63" i="91" s="1"/>
  <c r="F63" i="91" a="1"/>
  <c r="F63" i="91" s="1"/>
  <c r="E63" i="91" a="1"/>
  <c r="E63" i="91" s="1"/>
  <c r="D63" i="91" a="1"/>
  <c r="D63" i="91" s="1"/>
  <c r="K62" i="91" a="1"/>
  <c r="K62" i="91" s="1"/>
  <c r="J62" i="91" a="1"/>
  <c r="J62" i="91" s="1"/>
  <c r="I62" i="91" a="1"/>
  <c r="I62" i="91" s="1"/>
  <c r="H62" i="91" a="1"/>
  <c r="H62" i="91" s="1"/>
  <c r="G62" i="91" a="1"/>
  <c r="G62" i="91" s="1"/>
  <c r="F62" i="91" a="1"/>
  <c r="F62" i="91" s="1"/>
  <c r="E62" i="91" a="1"/>
  <c r="E62" i="91" s="1"/>
  <c r="D62" i="91" a="1"/>
  <c r="D62" i="91" s="1"/>
  <c r="K61" i="91" a="1"/>
  <c r="K61" i="91" s="1"/>
  <c r="J61" i="91" a="1"/>
  <c r="J61" i="91" s="1"/>
  <c r="I61" i="91" a="1"/>
  <c r="I61" i="91" s="1"/>
  <c r="H61" i="91" a="1"/>
  <c r="H61" i="91" s="1"/>
  <c r="G61" i="91" a="1"/>
  <c r="G61" i="91" s="1"/>
  <c r="F61" i="91" a="1"/>
  <c r="F61" i="91" s="1"/>
  <c r="E61" i="91" a="1"/>
  <c r="E61" i="91" s="1"/>
  <c r="D61" i="91" a="1"/>
  <c r="D61" i="91" s="1"/>
  <c r="K60" i="91" a="1"/>
  <c r="K60" i="91" s="1"/>
  <c r="J60" i="91" a="1"/>
  <c r="J60" i="91" s="1"/>
  <c r="I60" i="91" a="1"/>
  <c r="I60" i="91" s="1"/>
  <c r="H60" i="91" a="1"/>
  <c r="H60" i="91" s="1"/>
  <c r="G60" i="91" a="1"/>
  <c r="G60" i="91" s="1"/>
  <c r="F60" i="91" a="1"/>
  <c r="F60" i="91" s="1"/>
  <c r="E60" i="91" a="1"/>
  <c r="E60" i="91" s="1"/>
  <c r="D60" i="91" a="1"/>
  <c r="D60" i="91" s="1"/>
  <c r="K59" i="91" a="1"/>
  <c r="K59" i="91" s="1"/>
  <c r="J59" i="91" a="1"/>
  <c r="J59" i="91" s="1"/>
  <c r="I59" i="91" a="1"/>
  <c r="I59" i="91" s="1"/>
  <c r="H59" i="91" a="1"/>
  <c r="H59" i="91" s="1"/>
  <c r="G59" i="91" a="1"/>
  <c r="G59" i="91" s="1"/>
  <c r="F59" i="91" a="1"/>
  <c r="F59" i="91" s="1"/>
  <c r="E59" i="91" a="1"/>
  <c r="E59" i="91" s="1"/>
  <c r="D59" i="91" a="1"/>
  <c r="D59" i="91" s="1"/>
  <c r="K58" i="91" a="1"/>
  <c r="K58" i="91" s="1"/>
  <c r="J58" i="91" a="1"/>
  <c r="J58" i="91" s="1"/>
  <c r="I58" i="91" a="1"/>
  <c r="I58" i="91" s="1"/>
  <c r="H58" i="91" a="1"/>
  <c r="H58" i="91" s="1"/>
  <c r="G58" i="91" a="1"/>
  <c r="G58" i="91" s="1"/>
  <c r="F58" i="91" a="1"/>
  <c r="F58" i="91" s="1"/>
  <c r="E58" i="91" a="1"/>
  <c r="E58" i="91" s="1"/>
  <c r="D58" i="91" a="1"/>
  <c r="D58" i="91" s="1"/>
  <c r="K57" i="91" a="1"/>
  <c r="K57" i="91" s="1"/>
  <c r="J57" i="91" a="1"/>
  <c r="J57" i="91" s="1"/>
  <c r="I57" i="91" a="1"/>
  <c r="I57" i="91" s="1"/>
  <c r="H57" i="91" a="1"/>
  <c r="H57" i="91" s="1"/>
  <c r="G57" i="91" a="1"/>
  <c r="G57" i="91" s="1"/>
  <c r="F57" i="91" a="1"/>
  <c r="F57" i="91" s="1"/>
  <c r="E57" i="91" a="1"/>
  <c r="E57" i="91" s="1"/>
  <c r="D57" i="91" a="1"/>
  <c r="D57" i="91" s="1"/>
  <c r="K56" i="91" a="1"/>
  <c r="K56" i="91" s="1"/>
  <c r="J56" i="91" a="1"/>
  <c r="J56" i="91" s="1"/>
  <c r="I56" i="91" a="1"/>
  <c r="I56" i="91" s="1"/>
  <c r="H56" i="91" a="1"/>
  <c r="H56" i="91" s="1"/>
  <c r="G56" i="91" a="1"/>
  <c r="G56" i="91" s="1"/>
  <c r="F56" i="91" a="1"/>
  <c r="F56" i="91" s="1"/>
  <c r="E56" i="91" a="1"/>
  <c r="E56" i="91" s="1"/>
  <c r="D56" i="91" a="1"/>
  <c r="D56" i="91" s="1"/>
  <c r="K55" i="91" a="1"/>
  <c r="K55" i="91" s="1"/>
  <c r="J55" i="91" a="1"/>
  <c r="J55" i="91" s="1"/>
  <c r="I55" i="91" a="1"/>
  <c r="I55" i="91" s="1"/>
  <c r="H55" i="91" a="1"/>
  <c r="H55" i="91" s="1"/>
  <c r="G55" i="91" a="1"/>
  <c r="G55" i="91" s="1"/>
  <c r="F55" i="91" a="1"/>
  <c r="F55" i="91" s="1"/>
  <c r="E55" i="91" a="1"/>
  <c r="E55" i="91" s="1"/>
  <c r="D55" i="91" a="1"/>
  <c r="D55" i="91" s="1"/>
  <c r="K54" i="91" a="1"/>
  <c r="K54" i="91" s="1"/>
  <c r="J54" i="91" a="1"/>
  <c r="J54" i="91" s="1"/>
  <c r="I54" i="91" a="1"/>
  <c r="I54" i="91" s="1"/>
  <c r="H54" i="91" a="1"/>
  <c r="H54" i="91" s="1"/>
  <c r="G54" i="91" a="1"/>
  <c r="G54" i="91" s="1"/>
  <c r="F54" i="91" a="1"/>
  <c r="F54" i="91" s="1"/>
  <c r="E54" i="91" a="1"/>
  <c r="E54" i="91" s="1"/>
  <c r="D54" i="91" a="1"/>
  <c r="D54" i="91" s="1"/>
  <c r="D52" i="91" a="1"/>
  <c r="D52" i="91" s="1"/>
  <c r="D51" i="91" a="1"/>
  <c r="D51" i="91" s="1"/>
  <c r="D50" i="91" a="1"/>
  <c r="D50" i="91" s="1"/>
  <c r="D49" i="91" a="1"/>
  <c r="D49" i="91" s="1"/>
  <c r="J43" i="91" a="1"/>
  <c r="J43" i="91" s="1"/>
  <c r="I43" i="91" a="1"/>
  <c r="I43" i="91" s="1"/>
  <c r="H43" i="91" a="1"/>
  <c r="H43" i="91" s="1"/>
  <c r="G43" i="91" a="1"/>
  <c r="G43" i="91" s="1"/>
  <c r="F43" i="91" a="1"/>
  <c r="F43" i="91" s="1"/>
  <c r="E43" i="91" a="1"/>
  <c r="E43" i="91" s="1"/>
  <c r="D43" i="91" a="1"/>
  <c r="D43" i="91" s="1"/>
  <c r="J42" i="91" a="1"/>
  <c r="J42" i="91" s="1"/>
  <c r="I42" i="91" a="1"/>
  <c r="I42" i="91" s="1"/>
  <c r="H42" i="91" a="1"/>
  <c r="H42" i="91" s="1"/>
  <c r="G42" i="91" a="1"/>
  <c r="G42" i="91" s="1"/>
  <c r="F42" i="91" a="1"/>
  <c r="F42" i="91" s="1"/>
  <c r="E42" i="91" a="1"/>
  <c r="E42" i="91" s="1"/>
  <c r="D42" i="91" a="1"/>
  <c r="D42" i="91" s="1"/>
  <c r="J41" i="91" a="1"/>
  <c r="J41" i="91" s="1"/>
  <c r="I41" i="91" a="1"/>
  <c r="I41" i="91" s="1"/>
  <c r="H41" i="91" a="1"/>
  <c r="H41" i="91" s="1"/>
  <c r="G41" i="91" a="1"/>
  <c r="G41" i="91" s="1"/>
  <c r="F41" i="91" a="1"/>
  <c r="F41" i="91" s="1"/>
  <c r="E41" i="91" a="1"/>
  <c r="E41" i="91" s="1"/>
  <c r="D41" i="91" a="1"/>
  <c r="D41" i="91" s="1"/>
  <c r="J40" i="91" a="1"/>
  <c r="J40" i="91" s="1"/>
  <c r="I40" i="91" a="1"/>
  <c r="I40" i="91" s="1"/>
  <c r="H40" i="91" a="1"/>
  <c r="H40" i="91" s="1"/>
  <c r="G40" i="91" a="1"/>
  <c r="G40" i="91" s="1"/>
  <c r="F40" i="91" a="1"/>
  <c r="F40" i="91" s="1"/>
  <c r="E40" i="91" a="1"/>
  <c r="E40" i="91" s="1"/>
  <c r="D40" i="91" a="1"/>
  <c r="D40" i="91" s="1"/>
  <c r="D38" i="91" a="1"/>
  <c r="D38" i="91" s="1"/>
  <c r="D37" i="91" a="1"/>
  <c r="D37" i="91" s="1"/>
  <c r="L34" i="91" a="1"/>
  <c r="L34" i="91" s="1"/>
  <c r="K34" i="91" a="1"/>
  <c r="K34" i="91" s="1"/>
  <c r="J34" i="91" a="1"/>
  <c r="J34" i="91" s="1"/>
  <c r="I34" i="91" a="1"/>
  <c r="I34" i="91" s="1"/>
  <c r="H34" i="91" a="1"/>
  <c r="H34" i="91" s="1"/>
  <c r="G34" i="91" a="1"/>
  <c r="G34" i="91" s="1"/>
  <c r="F34" i="91" a="1"/>
  <c r="F34" i="91" s="1"/>
  <c r="E34" i="91" a="1"/>
  <c r="E34" i="91" s="1"/>
  <c r="D34" i="91" a="1"/>
  <c r="D34" i="91" s="1"/>
  <c r="L33" i="91" a="1"/>
  <c r="L33" i="91" s="1"/>
  <c r="K33" i="91" a="1"/>
  <c r="K33" i="91" s="1"/>
  <c r="J33" i="91" a="1"/>
  <c r="J33" i="91" s="1"/>
  <c r="I33" i="91" a="1"/>
  <c r="I33" i="91" s="1"/>
  <c r="H33" i="91" a="1"/>
  <c r="H33" i="91" s="1"/>
  <c r="G33" i="91" a="1"/>
  <c r="G33" i="91" s="1"/>
  <c r="F33" i="91" a="1"/>
  <c r="F33" i="91" s="1"/>
  <c r="E33" i="91" a="1"/>
  <c r="E33" i="91" s="1"/>
  <c r="E39" i="89" s="1"/>
  <c r="D33" i="91" a="1"/>
  <c r="D33" i="91" s="1"/>
  <c r="L32" i="91" a="1"/>
  <c r="L32" i="91" s="1"/>
  <c r="K32" i="91" a="1"/>
  <c r="K32" i="91" s="1"/>
  <c r="J32" i="91" a="1"/>
  <c r="J32" i="91" s="1"/>
  <c r="I32" i="91" a="1"/>
  <c r="I32" i="91" s="1"/>
  <c r="H32" i="91" a="1"/>
  <c r="H32" i="91" s="1"/>
  <c r="G32" i="91" a="1"/>
  <c r="G32" i="91" s="1"/>
  <c r="F32" i="91" a="1"/>
  <c r="F32" i="91" s="1"/>
  <c r="E32" i="91" a="1"/>
  <c r="E32" i="91" s="1"/>
  <c r="D32" i="91" a="1"/>
  <c r="D32" i="91" s="1"/>
  <c r="L31" i="91" a="1"/>
  <c r="L31" i="91" s="1"/>
  <c r="K31" i="91" a="1"/>
  <c r="K31" i="91" s="1"/>
  <c r="J31" i="91" a="1"/>
  <c r="J31" i="91" s="1"/>
  <c r="I31" i="91" a="1"/>
  <c r="I31" i="91" s="1"/>
  <c r="H31" i="91" a="1"/>
  <c r="H31" i="91" s="1"/>
  <c r="G31" i="91" a="1"/>
  <c r="G31" i="91" s="1"/>
  <c r="F31" i="91" a="1"/>
  <c r="F31" i="91" s="1"/>
  <c r="E31" i="91" a="1"/>
  <c r="E31" i="91" s="1"/>
  <c r="D31" i="91" a="1"/>
  <c r="D31" i="91" s="1"/>
  <c r="L30" i="91" a="1"/>
  <c r="L30" i="91" s="1"/>
  <c r="K30" i="91" a="1"/>
  <c r="K30" i="91" s="1"/>
  <c r="J30" i="91" a="1"/>
  <c r="J30" i="91" s="1"/>
  <c r="I30" i="91" a="1"/>
  <c r="I30" i="91" s="1"/>
  <c r="H30" i="91" a="1"/>
  <c r="H30" i="91" s="1"/>
  <c r="G30" i="91" a="1"/>
  <c r="G30" i="91" s="1"/>
  <c r="F30" i="91" a="1"/>
  <c r="F30" i="91" s="1"/>
  <c r="E30" i="91" a="1"/>
  <c r="E30" i="91" s="1"/>
  <c r="E36" i="89" s="1"/>
  <c r="D30" i="91" a="1"/>
  <c r="D30" i="91" s="1"/>
  <c r="L29" i="91" a="1"/>
  <c r="L29" i="91" s="1"/>
  <c r="K29" i="91" a="1"/>
  <c r="K29" i="91" s="1"/>
  <c r="J29" i="91" a="1"/>
  <c r="J29" i="91" s="1"/>
  <c r="I29" i="91" a="1"/>
  <c r="I29" i="91" s="1"/>
  <c r="H29" i="91" a="1"/>
  <c r="H29" i="91" s="1"/>
  <c r="G29" i="91" a="1"/>
  <c r="G29" i="91" s="1"/>
  <c r="F29" i="91" a="1"/>
  <c r="F29" i="91" s="1"/>
  <c r="E29" i="91" a="1"/>
  <c r="E29" i="91" s="1"/>
  <c r="E35" i="89" s="1"/>
  <c r="D29" i="91" a="1"/>
  <c r="D29" i="91" s="1"/>
  <c r="L28" i="91" a="1"/>
  <c r="L28" i="91" s="1"/>
  <c r="K28" i="91" a="1"/>
  <c r="K28" i="91" s="1"/>
  <c r="J28" i="91" a="1"/>
  <c r="J28" i="91" s="1"/>
  <c r="I28" i="91" a="1"/>
  <c r="I28" i="91" s="1"/>
  <c r="H28" i="91" a="1"/>
  <c r="H28" i="91" s="1"/>
  <c r="G28" i="91" a="1"/>
  <c r="G28" i="91" s="1"/>
  <c r="F28" i="91" a="1"/>
  <c r="F28" i="91" s="1"/>
  <c r="E28" i="91" a="1"/>
  <c r="E28" i="91" s="1"/>
  <c r="E34" i="89" s="1"/>
  <c r="D28" i="91" a="1"/>
  <c r="D28" i="91" s="1"/>
  <c r="L27" i="91" a="1"/>
  <c r="L27" i="91" s="1"/>
  <c r="K27" i="91" a="1"/>
  <c r="K27" i="91" s="1"/>
  <c r="J27" i="91" a="1"/>
  <c r="J27" i="91" s="1"/>
  <c r="I27" i="91" a="1"/>
  <c r="I27" i="91" s="1"/>
  <c r="H27" i="91" a="1"/>
  <c r="H27" i="91" s="1"/>
  <c r="G27" i="91" a="1"/>
  <c r="G27" i="91" s="1"/>
  <c r="F27" i="91" a="1"/>
  <c r="F27" i="91" s="1"/>
  <c r="E27" i="91" a="1"/>
  <c r="E27" i="91" s="1"/>
  <c r="D27" i="91" a="1"/>
  <c r="D27" i="91" s="1"/>
  <c r="L26" i="91" a="1"/>
  <c r="L26" i="91" s="1"/>
  <c r="K26" i="91" a="1"/>
  <c r="K26" i="91" s="1"/>
  <c r="J26" i="91" a="1"/>
  <c r="J26" i="91" s="1"/>
  <c r="I26" i="91" a="1"/>
  <c r="I26" i="91" s="1"/>
  <c r="H26" i="91" a="1"/>
  <c r="H26" i="91" s="1"/>
  <c r="G26" i="91" a="1"/>
  <c r="G26" i="91" s="1"/>
  <c r="F26" i="91" a="1"/>
  <c r="F26" i="91" s="1"/>
  <c r="E26" i="91" a="1"/>
  <c r="E26" i="91" s="1"/>
  <c r="D26" i="91" a="1"/>
  <c r="D26" i="91" s="1"/>
  <c r="L25" i="91" a="1"/>
  <c r="L25" i="91" s="1"/>
  <c r="K25" i="91" a="1"/>
  <c r="K25" i="91" s="1"/>
  <c r="J25" i="91" a="1"/>
  <c r="J25" i="91" s="1"/>
  <c r="I25" i="91" a="1"/>
  <c r="I25" i="91" s="1"/>
  <c r="H25" i="91" a="1"/>
  <c r="H25" i="91" s="1"/>
  <c r="G25" i="91" a="1"/>
  <c r="G25" i="91" s="1"/>
  <c r="F25" i="91" a="1"/>
  <c r="F25" i="91" s="1"/>
  <c r="E25" i="91" a="1"/>
  <c r="E25" i="91" s="1"/>
  <c r="D25" i="91" a="1"/>
  <c r="D25" i="91" s="1"/>
  <c r="L24" i="91" a="1"/>
  <c r="L24" i="91" s="1"/>
  <c r="K24" i="91" a="1"/>
  <c r="K24" i="91" s="1"/>
  <c r="J24" i="91" a="1"/>
  <c r="J24" i="91" s="1"/>
  <c r="I24" i="91" a="1"/>
  <c r="I24" i="91" s="1"/>
  <c r="H24" i="91" a="1"/>
  <c r="H24" i="91" s="1"/>
  <c r="G24" i="91" a="1"/>
  <c r="G24" i="91" s="1"/>
  <c r="F24" i="91" a="1"/>
  <c r="F24" i="91" s="1"/>
  <c r="E24" i="91" a="1"/>
  <c r="E24" i="91" s="1"/>
  <c r="D24" i="91" a="1"/>
  <c r="D24" i="91" s="1"/>
  <c r="L23" i="91" a="1"/>
  <c r="L23" i="91" s="1"/>
  <c r="K23" i="91" a="1"/>
  <c r="K23" i="91" s="1"/>
  <c r="J23" i="91" a="1"/>
  <c r="J23" i="91" s="1"/>
  <c r="I23" i="91" a="1"/>
  <c r="I23" i="91" s="1"/>
  <c r="H23" i="91" a="1"/>
  <c r="H23" i="91" s="1"/>
  <c r="G23" i="91" a="1"/>
  <c r="G23" i="91" s="1"/>
  <c r="F23" i="91" a="1"/>
  <c r="F23" i="91" s="1"/>
  <c r="E23" i="91" a="1"/>
  <c r="E23" i="91" s="1"/>
  <c r="D23" i="91" a="1"/>
  <c r="D23" i="91" s="1"/>
  <c r="L22" i="91" a="1"/>
  <c r="L22" i="91" s="1"/>
  <c r="K22" i="91" a="1"/>
  <c r="K22" i="91" s="1"/>
  <c r="J22" i="91" a="1"/>
  <c r="J22" i="91" s="1"/>
  <c r="I22" i="91" a="1"/>
  <c r="I22" i="91" s="1"/>
  <c r="H22" i="91" a="1"/>
  <c r="H22" i="91" s="1"/>
  <c r="G22" i="91" a="1"/>
  <c r="G22" i="91" s="1"/>
  <c r="F22" i="91" a="1"/>
  <c r="F22" i="91" s="1"/>
  <c r="E22" i="91" a="1"/>
  <c r="E22" i="91" s="1"/>
  <c r="D22" i="91" a="1"/>
  <c r="D22" i="91" s="1"/>
  <c r="L21" i="91" a="1"/>
  <c r="L21" i="91" s="1"/>
  <c r="K21" i="91" a="1"/>
  <c r="K21" i="91" s="1"/>
  <c r="J21" i="91" a="1"/>
  <c r="J21" i="91" s="1"/>
  <c r="I21" i="91" a="1"/>
  <c r="I21" i="91" s="1"/>
  <c r="H21" i="91" a="1"/>
  <c r="H21" i="91" s="1"/>
  <c r="G21" i="91" a="1"/>
  <c r="G21" i="91" s="1"/>
  <c r="F21" i="91" a="1"/>
  <c r="F21" i="91" s="1"/>
  <c r="E21" i="91" a="1"/>
  <c r="E21" i="91" s="1"/>
  <c r="D21" i="91" a="1"/>
  <c r="D21" i="91" s="1"/>
  <c r="L20" i="91" a="1"/>
  <c r="L20" i="91" s="1"/>
  <c r="K20" i="91" a="1"/>
  <c r="K20" i="91" s="1"/>
  <c r="J20" i="91" a="1"/>
  <c r="J20" i="91" s="1"/>
  <c r="I20" i="91" a="1"/>
  <c r="I20" i="91" s="1"/>
  <c r="H20" i="91" a="1"/>
  <c r="H20" i="91" s="1"/>
  <c r="G20" i="91" a="1"/>
  <c r="G20" i="91" s="1"/>
  <c r="F20" i="91" a="1"/>
  <c r="F20" i="91" s="1"/>
  <c r="E20" i="91" a="1"/>
  <c r="E20" i="91" s="1"/>
  <c r="D20" i="91" a="1"/>
  <c r="D20" i="91" s="1"/>
  <c r="L19" i="91" a="1"/>
  <c r="L19" i="91" s="1"/>
  <c r="K19" i="91" a="1"/>
  <c r="K19" i="91" s="1"/>
  <c r="J19" i="91" a="1"/>
  <c r="J19" i="91" s="1"/>
  <c r="I19" i="91" a="1"/>
  <c r="I19" i="91" s="1"/>
  <c r="H19" i="91" a="1"/>
  <c r="H19" i="91" s="1"/>
  <c r="G19" i="91" a="1"/>
  <c r="G19" i="91" s="1"/>
  <c r="F19" i="91" a="1"/>
  <c r="F19" i="91" s="1"/>
  <c r="E19" i="91" a="1"/>
  <c r="E19" i="91" s="1"/>
  <c r="D19" i="91" a="1"/>
  <c r="D19" i="91" s="1"/>
  <c r="L18" i="91" a="1"/>
  <c r="L18" i="91" s="1"/>
  <c r="K18" i="91" a="1"/>
  <c r="K18" i="91" s="1"/>
  <c r="J18" i="91" a="1"/>
  <c r="J18" i="91" s="1"/>
  <c r="I18" i="91" a="1"/>
  <c r="I18" i="91" s="1"/>
  <c r="H18" i="91" a="1"/>
  <c r="H18" i="91" s="1"/>
  <c r="G18" i="91" a="1"/>
  <c r="G18" i="91" s="1"/>
  <c r="F18" i="91" a="1"/>
  <c r="F18" i="91" s="1"/>
  <c r="E18" i="91" a="1"/>
  <c r="E18" i="91" s="1"/>
  <c r="D18" i="91" a="1"/>
  <c r="D18" i="91" s="1"/>
  <c r="L17" i="91" a="1"/>
  <c r="L17" i="91" s="1"/>
  <c r="K17" i="91" a="1"/>
  <c r="K17" i="91" s="1"/>
  <c r="J17" i="91" a="1"/>
  <c r="J17" i="91" s="1"/>
  <c r="I17" i="91" a="1"/>
  <c r="I17" i="91" s="1"/>
  <c r="H17" i="91" a="1"/>
  <c r="H17" i="91" s="1"/>
  <c r="G17" i="91" a="1"/>
  <c r="G17" i="91" s="1"/>
  <c r="F17" i="91" a="1"/>
  <c r="F17" i="91" s="1"/>
  <c r="E17" i="91" a="1"/>
  <c r="E17" i="91" s="1"/>
  <c r="E32" i="89" s="1"/>
  <c r="D17" i="91" a="1"/>
  <c r="D17" i="91" s="1"/>
  <c r="L16" i="91" a="1"/>
  <c r="L16" i="91" s="1"/>
  <c r="K16" i="91" a="1"/>
  <c r="K16" i="91" s="1"/>
  <c r="J16" i="91" a="1"/>
  <c r="J16" i="91" s="1"/>
  <c r="I16" i="91" a="1"/>
  <c r="I16" i="91" s="1"/>
  <c r="H16" i="91" a="1"/>
  <c r="H16" i="91" s="1"/>
  <c r="G16" i="91" a="1"/>
  <c r="G16" i="91" s="1"/>
  <c r="F16" i="91" a="1"/>
  <c r="F16" i="91" s="1"/>
  <c r="E16" i="91" a="1"/>
  <c r="E16" i="91" s="1"/>
  <c r="E31" i="89" s="1"/>
  <c r="D16" i="91" a="1"/>
  <c r="D16" i="91" s="1"/>
  <c r="L15" i="91" a="1"/>
  <c r="L15" i="91" s="1"/>
  <c r="K15" i="91" a="1"/>
  <c r="K15" i="91" s="1"/>
  <c r="J15" i="91" a="1"/>
  <c r="J15" i="91" s="1"/>
  <c r="I15" i="91" a="1"/>
  <c r="I15" i="91" s="1"/>
  <c r="H15" i="91" a="1"/>
  <c r="H15" i="91" s="1"/>
  <c r="G15" i="91" a="1"/>
  <c r="G15" i="91" s="1"/>
  <c r="F15" i="91" a="1"/>
  <c r="F15" i="91" s="1"/>
  <c r="E15" i="91" a="1"/>
  <c r="E15" i="91" s="1"/>
  <c r="E30" i="89" s="1"/>
  <c r="D15" i="91" a="1"/>
  <c r="D15" i="91" s="1"/>
  <c r="L14" i="91" a="1"/>
  <c r="L14" i="91" s="1"/>
  <c r="K14" i="91" a="1"/>
  <c r="K14" i="91" s="1"/>
  <c r="J14" i="91" a="1"/>
  <c r="J14" i="91" s="1"/>
  <c r="I14" i="91" a="1"/>
  <c r="I14" i="91" s="1"/>
  <c r="H14" i="91" a="1"/>
  <c r="H14" i="91" s="1"/>
  <c r="G14" i="91" a="1"/>
  <c r="G14" i="91" s="1"/>
  <c r="F14" i="91" a="1"/>
  <c r="F14" i="91" s="1"/>
  <c r="E14" i="91" a="1"/>
  <c r="E14" i="91" s="1"/>
  <c r="E29" i="89" s="1"/>
  <c r="D14" i="91" a="1"/>
  <c r="D14" i="91" s="1"/>
  <c r="L13" i="91" a="1"/>
  <c r="L13" i="91" s="1"/>
  <c r="K13" i="91" a="1"/>
  <c r="K13" i="91" s="1"/>
  <c r="J13" i="91" a="1"/>
  <c r="J13" i="91" s="1"/>
  <c r="I13" i="91" a="1"/>
  <c r="I13" i="91" s="1"/>
  <c r="H13" i="91" a="1"/>
  <c r="H13" i="91" s="1"/>
  <c r="G13" i="91" a="1"/>
  <c r="G13" i="91" s="1"/>
  <c r="F13" i="91" a="1"/>
  <c r="F13" i="91" s="1"/>
  <c r="E13" i="91" a="1"/>
  <c r="E13" i="91" s="1"/>
  <c r="E28" i="89" s="1"/>
  <c r="D13" i="91" a="1"/>
  <c r="D13" i="91" s="1"/>
  <c r="L12" i="91" a="1"/>
  <c r="L12" i="91" s="1"/>
  <c r="K12" i="91" a="1"/>
  <c r="K12" i="91" s="1"/>
  <c r="J12" i="91" a="1"/>
  <c r="J12" i="91" s="1"/>
  <c r="I12" i="91" a="1"/>
  <c r="I12" i="91" s="1"/>
  <c r="H12" i="91" a="1"/>
  <c r="H12" i="91" s="1"/>
  <c r="G12" i="91" a="1"/>
  <c r="G12" i="91" s="1"/>
  <c r="F12" i="91" a="1"/>
  <c r="F12" i="91" s="1"/>
  <c r="E12" i="91" a="1"/>
  <c r="E12" i="91" s="1"/>
  <c r="E27" i="89" s="1"/>
  <c r="D12" i="91" a="1"/>
  <c r="D12" i="91" s="1"/>
  <c r="L11" i="91" a="1"/>
  <c r="L11" i="91" s="1"/>
  <c r="K11" i="91" a="1"/>
  <c r="K11" i="91" s="1"/>
  <c r="J11" i="91" a="1"/>
  <c r="J11" i="91" s="1"/>
  <c r="I11" i="91" a="1"/>
  <c r="I11" i="91" s="1"/>
  <c r="H11" i="91" a="1"/>
  <c r="H11" i="91" s="1"/>
  <c r="G11" i="91" a="1"/>
  <c r="G11" i="91" s="1"/>
  <c r="F11" i="91" a="1"/>
  <c r="F11" i="91" s="1"/>
  <c r="E11" i="91" a="1"/>
  <c r="E11" i="91" s="1"/>
  <c r="D11" i="91" a="1"/>
  <c r="D11" i="91" s="1"/>
  <c r="L10" i="91" a="1"/>
  <c r="L10" i="91" s="1"/>
  <c r="K10" i="91" a="1"/>
  <c r="K10" i="91" s="1"/>
  <c r="J10" i="91" a="1"/>
  <c r="J10" i="91" s="1"/>
  <c r="I10" i="91" a="1"/>
  <c r="I10" i="91" s="1"/>
  <c r="H10" i="91" a="1"/>
  <c r="H10" i="91" s="1"/>
  <c r="G10" i="91" a="1"/>
  <c r="G10" i="91" s="1"/>
  <c r="F10" i="91" a="1"/>
  <c r="F10" i="91" s="1"/>
  <c r="E10" i="91" a="1"/>
  <c r="E10" i="91" s="1"/>
  <c r="D10" i="91" a="1"/>
  <c r="D10" i="91" s="1"/>
  <c r="D8" i="91" a="1"/>
  <c r="D8" i="91" s="1"/>
  <c r="D7" i="91" a="1"/>
  <c r="D7" i="91" s="1"/>
  <c r="D6" i="91" a="1"/>
  <c r="D6" i="91" s="1"/>
  <c r="D5" i="91" a="1"/>
  <c r="D5" i="91" s="1"/>
  <c r="D37" i="90"/>
  <c r="D34" i="90"/>
  <c r="D36" i="90"/>
  <c r="D30" i="90"/>
  <c r="D27" i="90"/>
  <c r="D29" i="90"/>
  <c r="P18" i="90"/>
  <c r="P17" i="90"/>
  <c r="P16" i="90" a="1"/>
  <c r="P16" i="90" s="1"/>
  <c r="I16" i="90" a="1"/>
  <c r="I16" i="90" s="1"/>
  <c r="P15" i="90" a="1"/>
  <c r="P15" i="90" s="1"/>
  <c r="I15" i="90" a="1"/>
  <c r="I15" i="90" s="1"/>
  <c r="P14" i="90" a="1"/>
  <c r="P14" i="90" s="1"/>
  <c r="N14" i="90" a="1"/>
  <c r="N14" i="90" s="1"/>
  <c r="K14" i="90" a="1"/>
  <c r="K14" i="90" s="1"/>
  <c r="I14" i="90" a="1"/>
  <c r="I14" i="90" s="1"/>
  <c r="G14" i="90" a="1"/>
  <c r="G14" i="90" s="1"/>
  <c r="D14" i="90" a="1"/>
  <c r="D14" i="90" s="1"/>
  <c r="L12" i="90" a="1"/>
  <c r="L12" i="90" s="1"/>
  <c r="E12" i="90" a="1"/>
  <c r="E12" i="90" s="1"/>
  <c r="L11" i="90" a="1"/>
  <c r="L11" i="90" s="1"/>
  <c r="E11" i="90" a="1"/>
  <c r="E11" i="90" s="1"/>
  <c r="K7" i="90" a="1"/>
  <c r="K7" i="90" s="1"/>
  <c r="K6" i="90" a="1"/>
  <c r="K6" i="90" s="1"/>
  <c r="D6" i="90" a="1"/>
  <c r="D6" i="90" s="1"/>
  <c r="K5" i="90" a="1"/>
  <c r="K5" i="90" s="1"/>
  <c r="D5" i="90" a="1"/>
  <c r="D5" i="90" s="1"/>
  <c r="D39" i="89"/>
  <c r="D60" i="89"/>
  <c r="D35" i="89"/>
  <c r="D48" i="89"/>
  <c r="D30" i="89"/>
  <c r="P16" i="89" a="1"/>
  <c r="P16" i="89" s="1"/>
  <c r="I16" i="89" a="1"/>
  <c r="I16" i="89" s="1"/>
  <c r="P15" i="89" a="1"/>
  <c r="P15" i="89" s="1"/>
  <c r="I15" i="89" a="1"/>
  <c r="I15" i="89" s="1"/>
  <c r="P14" i="89" a="1"/>
  <c r="P14" i="89" s="1"/>
  <c r="N14" i="89" a="1"/>
  <c r="N14" i="89" s="1"/>
  <c r="K14" i="89" a="1"/>
  <c r="K14" i="89" s="1"/>
  <c r="I14" i="89" a="1"/>
  <c r="I14" i="89" s="1"/>
  <c r="G14" i="89" a="1"/>
  <c r="G14" i="89" s="1"/>
  <c r="D14" i="89" a="1"/>
  <c r="D14" i="89" s="1"/>
  <c r="L12" i="89" a="1"/>
  <c r="L12" i="89" s="1"/>
  <c r="E12" i="89" a="1"/>
  <c r="E12" i="89" s="1"/>
  <c r="L11" i="89" a="1"/>
  <c r="L11" i="89" s="1"/>
  <c r="E11" i="89" a="1"/>
  <c r="E11" i="89" s="1"/>
  <c r="K6" i="89" a="1"/>
  <c r="K6" i="89" s="1"/>
  <c r="D6" i="89" a="1"/>
  <c r="D6" i="89" s="1"/>
  <c r="K5" i="89" a="1"/>
  <c r="K5" i="89" s="1"/>
  <c r="D5" i="89" a="1"/>
  <c r="D5" i="89" s="1"/>
  <c r="H21" i="88"/>
  <c r="H20" i="88"/>
  <c r="H19" i="88"/>
  <c r="H18" i="88"/>
  <c r="H17" i="88"/>
  <c r="H25" i="87" a="1"/>
  <c r="H25" i="87" s="1"/>
  <c r="G25" i="87" a="1"/>
  <c r="G25" i="87" s="1"/>
  <c r="I552" i="103" s="1" a="1"/>
  <c r="I552" i="103" s="1"/>
  <c r="F25" i="87" a="1"/>
  <c r="F25" i="87" s="1"/>
  <c r="E25" i="87" a="1"/>
  <c r="E25" i="87" s="1"/>
  <c r="J36" i="86" s="1" a="1"/>
  <c r="J36" i="86" s="1"/>
  <c r="D25" i="87" a="1"/>
  <c r="D25" i="87" s="1"/>
  <c r="D22" i="87" a="1"/>
  <c r="D22" i="87" s="1"/>
  <c r="D21" i="87" a="1"/>
  <c r="D21" i="87" s="1"/>
  <c r="F19" i="87" a="1"/>
  <c r="F19" i="87" s="1"/>
  <c r="E19" i="87" a="1"/>
  <c r="E19" i="87" s="1"/>
  <c r="D19" i="87" a="1"/>
  <c r="D19" i="87" s="1"/>
  <c r="F18" i="87" a="1"/>
  <c r="F18" i="87" s="1"/>
  <c r="E18" i="87" a="1"/>
  <c r="E18" i="87" s="1"/>
  <c r="D18" i="87" a="1"/>
  <c r="D18" i="87" s="1"/>
  <c r="F17" i="87" a="1"/>
  <c r="F17" i="87" s="1"/>
  <c r="E17" i="87" a="1"/>
  <c r="E17" i="87" s="1"/>
  <c r="D17" i="87" a="1"/>
  <c r="D17" i="87" s="1"/>
  <c r="F16" i="87" a="1"/>
  <c r="F16" i="87" s="1"/>
  <c r="E16" i="87" a="1"/>
  <c r="E16" i="87" s="1"/>
  <c r="D16" i="87" a="1"/>
  <c r="D16" i="87" s="1"/>
  <c r="F15" i="87" a="1"/>
  <c r="F15" i="87" s="1"/>
  <c r="E15" i="87" a="1"/>
  <c r="E15" i="87" s="1"/>
  <c r="D15" i="87" a="1"/>
  <c r="D15" i="87" s="1"/>
  <c r="F14" i="87" a="1"/>
  <c r="F14" i="87" s="1"/>
  <c r="E14" i="87" a="1"/>
  <c r="E14" i="87" s="1"/>
  <c r="D14" i="87" a="1"/>
  <c r="D14" i="87" s="1"/>
  <c r="F13" i="87" a="1"/>
  <c r="F13" i="87" s="1"/>
  <c r="E13" i="87" a="1"/>
  <c r="E13" i="87" s="1"/>
  <c r="D13" i="87" a="1"/>
  <c r="D13" i="87" s="1"/>
  <c r="F12" i="87" a="1"/>
  <c r="F12" i="87" s="1"/>
  <c r="E12" i="87" a="1"/>
  <c r="E12" i="87" s="1"/>
  <c r="D12" i="87" a="1"/>
  <c r="D12" i="87" s="1"/>
  <c r="F11" i="87" a="1"/>
  <c r="F11" i="87" s="1"/>
  <c r="E11" i="87" a="1"/>
  <c r="E11" i="87" s="1"/>
  <c r="D11" i="87" a="1"/>
  <c r="D11" i="87" s="1"/>
  <c r="F10" i="87" a="1"/>
  <c r="F10" i="87" s="1"/>
  <c r="E10" i="87" a="1"/>
  <c r="E10" i="87" s="1"/>
  <c r="D10" i="87" a="1"/>
  <c r="D10" i="87" s="1"/>
  <c r="D7" i="87" a="1"/>
  <c r="D7" i="87" s="1"/>
  <c r="D6" i="87" a="1"/>
  <c r="D6" i="87" s="1"/>
  <c r="D5" i="87" a="1"/>
  <c r="D5" i="87" s="1"/>
  <c r="J37" i="86"/>
  <c r="J33" i="86" s="1"/>
  <c r="J32" i="86"/>
  <c r="J31" i="86"/>
  <c r="H31" i="86" a="1"/>
  <c r="H31" i="86" s="1"/>
  <c r="D31" i="86" a="1"/>
  <c r="D31" i="86" s="1"/>
  <c r="E29" i="86" a="1"/>
  <c r="E29" i="86" s="1"/>
  <c r="F39" i="86" s="1"/>
  <c r="E28" i="86" a="1"/>
  <c r="E28" i="86" s="1"/>
  <c r="D24" i="86" a="1"/>
  <c r="D24" i="86" s="1"/>
  <c r="D23" i="86" a="1"/>
  <c r="D23" i="86" s="1"/>
  <c r="D22" i="86" a="1"/>
  <c r="D22" i="86" s="1"/>
  <c r="I16" i="86"/>
  <c r="I14" i="86"/>
  <c r="G14" i="86" a="1"/>
  <c r="G14" i="86" s="1"/>
  <c r="D14" i="86" a="1"/>
  <c r="D14" i="86" s="1"/>
  <c r="E12" i="86" a="1"/>
  <c r="E12" i="86" s="1"/>
  <c r="F18" i="86" s="1"/>
  <c r="E11" i="86" a="1"/>
  <c r="E11" i="86" s="1"/>
  <c r="D7" i="86" a="1"/>
  <c r="D7" i="86" s="1"/>
  <c r="D6" i="86" a="1"/>
  <c r="D6" i="86" s="1"/>
  <c r="D5" i="86" a="1"/>
  <c r="D5" i="86" s="1"/>
  <c r="H48" i="85"/>
  <c r="E48" i="85"/>
  <c r="H47" i="85"/>
  <c r="E47" i="85"/>
  <c r="H46" i="85"/>
  <c r="E46" i="85"/>
  <c r="I39" i="85"/>
  <c r="H39" i="85"/>
  <c r="I38" i="85"/>
  <c r="H38" i="85"/>
  <c r="H37" i="85"/>
  <c r="I37" i="85"/>
  <c r="I48" i="85"/>
  <c r="E16" i="85"/>
  <c r="E22" i="85" s="1"/>
  <c r="E6" i="85"/>
  <c r="AE153" i="84" a="1"/>
  <c r="AE153" i="84" s="1"/>
  <c r="AD153" i="84" a="1"/>
  <c r="AD153" i="84" s="1"/>
  <c r="AC153" i="84" a="1"/>
  <c r="AC153" i="84" s="1"/>
  <c r="AB153" i="84" a="1"/>
  <c r="AB153" i="84" s="1"/>
  <c r="AA153" i="84" a="1"/>
  <c r="AA153" i="84" s="1"/>
  <c r="Z153" i="84" a="1"/>
  <c r="Z153" i="84" s="1"/>
  <c r="Y153" i="84" a="1"/>
  <c r="Y153" i="84" s="1"/>
  <c r="X153" i="84" a="1"/>
  <c r="X153" i="84" s="1"/>
  <c r="W153" i="84" a="1"/>
  <c r="W153" i="84" s="1"/>
  <c r="V153" i="84" a="1"/>
  <c r="V153" i="84" s="1"/>
  <c r="U153" i="84" a="1"/>
  <c r="U153" i="84" s="1"/>
  <c r="T153" i="84" a="1"/>
  <c r="T153" i="84" s="1"/>
  <c r="S153" i="84" a="1"/>
  <c r="S153" i="84" s="1"/>
  <c r="R153" i="84" a="1"/>
  <c r="R153" i="84" s="1"/>
  <c r="Q153" i="84" a="1"/>
  <c r="Q153" i="84" s="1"/>
  <c r="P153" i="84" a="1"/>
  <c r="P153" i="84" s="1"/>
  <c r="O153" i="84" a="1"/>
  <c r="O153" i="84" s="1"/>
  <c r="N153" i="84" a="1"/>
  <c r="N153" i="84" s="1"/>
  <c r="M153" i="84" a="1"/>
  <c r="M153" i="84" s="1"/>
  <c r="L153" i="84" a="1"/>
  <c r="L153" i="84" s="1"/>
  <c r="K153" i="84" a="1"/>
  <c r="K153" i="84" s="1"/>
  <c r="J153" i="84" a="1"/>
  <c r="J153" i="84" s="1"/>
  <c r="I153" i="84" a="1"/>
  <c r="I153" i="84" s="1"/>
  <c r="H153" i="84" a="1"/>
  <c r="H153" i="84" s="1"/>
  <c r="G153" i="84" a="1"/>
  <c r="G153" i="84" s="1"/>
  <c r="F153" i="84" a="1"/>
  <c r="F153" i="84" s="1"/>
  <c r="E153" i="84" a="1"/>
  <c r="E153" i="84" s="1"/>
  <c r="D153" i="84" a="1"/>
  <c r="D153" i="84" s="1"/>
  <c r="AE152" i="84" a="1"/>
  <c r="AE152" i="84" s="1"/>
  <c r="AD152" i="84" a="1"/>
  <c r="AD152" i="84" s="1"/>
  <c r="AC152" i="84" a="1"/>
  <c r="AC152" i="84" s="1"/>
  <c r="AB152" i="84" a="1"/>
  <c r="AB152" i="84" s="1"/>
  <c r="AA152" i="84" a="1"/>
  <c r="AA152" i="84" s="1"/>
  <c r="Z152" i="84" a="1"/>
  <c r="Z152" i="84" s="1"/>
  <c r="Y152" i="84" a="1"/>
  <c r="Y152" i="84" s="1"/>
  <c r="X152" i="84" a="1"/>
  <c r="X152" i="84" s="1"/>
  <c r="W152" i="84" a="1"/>
  <c r="W152" i="84" s="1"/>
  <c r="V152" i="84" a="1"/>
  <c r="V152" i="84" s="1"/>
  <c r="U152" i="84" a="1"/>
  <c r="U152" i="84" s="1"/>
  <c r="T152" i="84" a="1"/>
  <c r="T152" i="84" s="1"/>
  <c r="S152" i="84" a="1"/>
  <c r="S152" i="84" s="1"/>
  <c r="R152" i="84" a="1"/>
  <c r="R152" i="84" s="1"/>
  <c r="Q152" i="84" a="1"/>
  <c r="Q152" i="84" s="1"/>
  <c r="P152" i="84" a="1"/>
  <c r="P152" i="84" s="1"/>
  <c r="O152" i="84" a="1"/>
  <c r="O152" i="84" s="1"/>
  <c r="N152" i="84" a="1"/>
  <c r="N152" i="84" s="1"/>
  <c r="M152" i="84" a="1"/>
  <c r="M152" i="84" s="1"/>
  <c r="L152" i="84" a="1"/>
  <c r="L152" i="84" s="1"/>
  <c r="K152" i="84" a="1"/>
  <c r="K152" i="84" s="1"/>
  <c r="J152" i="84" a="1"/>
  <c r="J152" i="84" s="1"/>
  <c r="I152" i="84" a="1"/>
  <c r="I152" i="84" s="1"/>
  <c r="H152" i="84" a="1"/>
  <c r="H152" i="84" s="1"/>
  <c r="G152" i="84" a="1"/>
  <c r="G152" i="84" s="1"/>
  <c r="F152" i="84" a="1"/>
  <c r="F152" i="84" s="1"/>
  <c r="E152" i="84" a="1"/>
  <c r="E152" i="84" s="1"/>
  <c r="D152" i="84" a="1"/>
  <c r="D152" i="84" s="1"/>
  <c r="AE151" i="84" a="1"/>
  <c r="AE151" i="84" s="1"/>
  <c r="AD151" i="84" a="1"/>
  <c r="AD151" i="84" s="1"/>
  <c r="AC151" i="84" a="1"/>
  <c r="AC151" i="84" s="1"/>
  <c r="AB151" i="84" a="1"/>
  <c r="AB151" i="84" s="1"/>
  <c r="AA151" i="84" a="1"/>
  <c r="AA151" i="84" s="1"/>
  <c r="Z151" i="84" a="1"/>
  <c r="Z151" i="84" s="1"/>
  <c r="Y151" i="84" a="1"/>
  <c r="Y151" i="84" s="1"/>
  <c r="X151" i="84" a="1"/>
  <c r="X151" i="84" s="1"/>
  <c r="W151" i="84" a="1"/>
  <c r="W151" i="84" s="1"/>
  <c r="V151" i="84" a="1"/>
  <c r="V151" i="84" s="1"/>
  <c r="U151" i="84" a="1"/>
  <c r="U151" i="84" s="1"/>
  <c r="T151" i="84" a="1"/>
  <c r="T151" i="84" s="1"/>
  <c r="S151" i="84" a="1"/>
  <c r="S151" i="84" s="1"/>
  <c r="R151" i="84" a="1"/>
  <c r="R151" i="84" s="1"/>
  <c r="Q151" i="84" a="1"/>
  <c r="Q151" i="84" s="1"/>
  <c r="P151" i="84" a="1"/>
  <c r="P151" i="84" s="1"/>
  <c r="O151" i="84" a="1"/>
  <c r="O151" i="84" s="1"/>
  <c r="N151" i="84" a="1"/>
  <c r="N151" i="84" s="1"/>
  <c r="M151" i="84" a="1"/>
  <c r="M151" i="84" s="1"/>
  <c r="L151" i="84" a="1"/>
  <c r="L151" i="84" s="1"/>
  <c r="K151" i="84" a="1"/>
  <c r="K151" i="84" s="1"/>
  <c r="J151" i="84" a="1"/>
  <c r="J151" i="84" s="1"/>
  <c r="I151" i="84" a="1"/>
  <c r="I151" i="84" s="1"/>
  <c r="H151" i="84" a="1"/>
  <c r="H151" i="84" s="1"/>
  <c r="G151" i="84" a="1"/>
  <c r="G151" i="84" s="1"/>
  <c r="F151" i="84" a="1"/>
  <c r="F151" i="84" s="1"/>
  <c r="E151" i="84" a="1"/>
  <c r="E151" i="84" s="1"/>
  <c r="D151" i="84" a="1"/>
  <c r="D151" i="84" s="1"/>
  <c r="AE150" i="84" a="1"/>
  <c r="AE150" i="84" s="1"/>
  <c r="AD150" i="84" a="1"/>
  <c r="AD150" i="84" s="1"/>
  <c r="AC150" i="84" a="1"/>
  <c r="AC150" i="84" s="1"/>
  <c r="AB150" i="84" a="1"/>
  <c r="AB150" i="84" s="1"/>
  <c r="AA150" i="84" a="1"/>
  <c r="AA150" i="84" s="1"/>
  <c r="Z150" i="84" a="1"/>
  <c r="Z150" i="84" s="1"/>
  <c r="Y150" i="84" a="1"/>
  <c r="Y150" i="84" s="1"/>
  <c r="X150" i="84" a="1"/>
  <c r="X150" i="84" s="1"/>
  <c r="W150" i="84" a="1"/>
  <c r="W150" i="84" s="1"/>
  <c r="V150" i="84" a="1"/>
  <c r="V150" i="84" s="1"/>
  <c r="U150" i="84" a="1"/>
  <c r="U150" i="84" s="1"/>
  <c r="T150" i="84" a="1"/>
  <c r="T150" i="84" s="1"/>
  <c r="S150" i="84" a="1"/>
  <c r="S150" i="84" s="1"/>
  <c r="R150" i="84" a="1"/>
  <c r="R150" i="84" s="1"/>
  <c r="Q150" i="84" a="1"/>
  <c r="Q150" i="84" s="1"/>
  <c r="P150" i="84" a="1"/>
  <c r="P150" i="84" s="1"/>
  <c r="O150" i="84" a="1"/>
  <c r="O150" i="84" s="1"/>
  <c r="N150" i="84" a="1"/>
  <c r="N150" i="84" s="1"/>
  <c r="M150" i="84" a="1"/>
  <c r="M150" i="84" s="1"/>
  <c r="L150" i="84" a="1"/>
  <c r="L150" i="84" s="1"/>
  <c r="K150" i="84" a="1"/>
  <c r="K150" i="84" s="1"/>
  <c r="J150" i="84" a="1"/>
  <c r="J150" i="84" s="1"/>
  <c r="I150" i="84" a="1"/>
  <c r="I150" i="84" s="1"/>
  <c r="H150" i="84" a="1"/>
  <c r="H150" i="84" s="1"/>
  <c r="G150" i="84" a="1"/>
  <c r="G150" i="84" s="1"/>
  <c r="F150" i="84" a="1"/>
  <c r="F150" i="84" s="1"/>
  <c r="E150" i="84" a="1"/>
  <c r="E150" i="84" s="1"/>
  <c r="D150" i="84" a="1"/>
  <c r="D150" i="84" s="1"/>
  <c r="AE149" i="84" a="1"/>
  <c r="AE149" i="84" s="1"/>
  <c r="AD149" i="84" a="1"/>
  <c r="AD149" i="84" s="1"/>
  <c r="AC149" i="84" a="1"/>
  <c r="AC149" i="84" s="1"/>
  <c r="AB149" i="84" a="1"/>
  <c r="AB149" i="84" s="1"/>
  <c r="AA149" i="84" a="1"/>
  <c r="AA149" i="84" s="1"/>
  <c r="Z149" i="84" a="1"/>
  <c r="Z149" i="84" s="1"/>
  <c r="Y149" i="84" a="1"/>
  <c r="Y149" i="84" s="1"/>
  <c r="X149" i="84" a="1"/>
  <c r="X149" i="84" s="1"/>
  <c r="W149" i="84" a="1"/>
  <c r="W149" i="84" s="1"/>
  <c r="V149" i="84" a="1"/>
  <c r="V149" i="84" s="1"/>
  <c r="U149" i="84" a="1"/>
  <c r="U149" i="84" s="1"/>
  <c r="T149" i="84" a="1"/>
  <c r="T149" i="84" s="1"/>
  <c r="S149" i="84" a="1"/>
  <c r="S149" i="84" s="1"/>
  <c r="R149" i="84" a="1"/>
  <c r="R149" i="84" s="1"/>
  <c r="Q149" i="84" a="1"/>
  <c r="Q149" i="84" s="1"/>
  <c r="P149" i="84" a="1"/>
  <c r="P149" i="84" s="1"/>
  <c r="O149" i="84" a="1"/>
  <c r="O149" i="84" s="1"/>
  <c r="N149" i="84" a="1"/>
  <c r="N149" i="84" s="1"/>
  <c r="M149" i="84" a="1"/>
  <c r="M149" i="84" s="1"/>
  <c r="L149" i="84" a="1"/>
  <c r="L149" i="84" s="1"/>
  <c r="K149" i="84" a="1"/>
  <c r="K149" i="84" s="1"/>
  <c r="J149" i="84" a="1"/>
  <c r="J149" i="84" s="1"/>
  <c r="I149" i="84" a="1"/>
  <c r="I149" i="84" s="1"/>
  <c r="H149" i="84" a="1"/>
  <c r="H149" i="84" s="1"/>
  <c r="G149" i="84" a="1"/>
  <c r="G149" i="84" s="1"/>
  <c r="F149" i="84" a="1"/>
  <c r="F149" i="84" s="1"/>
  <c r="E149" i="84" a="1"/>
  <c r="E149" i="84" s="1"/>
  <c r="D149" i="84" a="1"/>
  <c r="D149" i="84" s="1"/>
  <c r="AE148" i="84" a="1"/>
  <c r="AE148" i="84" s="1"/>
  <c r="AD148" i="84" a="1"/>
  <c r="AD148" i="84" s="1"/>
  <c r="AC148" i="84" a="1"/>
  <c r="AC148" i="84" s="1"/>
  <c r="AB148" i="84" a="1"/>
  <c r="AB148" i="84" s="1"/>
  <c r="AA148" i="84" a="1"/>
  <c r="AA148" i="84" s="1"/>
  <c r="Z148" i="84" a="1"/>
  <c r="Z148" i="84" s="1"/>
  <c r="Y148" i="84" a="1"/>
  <c r="Y148" i="84" s="1"/>
  <c r="X148" i="84" a="1"/>
  <c r="X148" i="84" s="1"/>
  <c r="W148" i="84" a="1"/>
  <c r="W148" i="84" s="1"/>
  <c r="V148" i="84" a="1"/>
  <c r="V148" i="84" s="1"/>
  <c r="U148" i="84" a="1"/>
  <c r="U148" i="84" s="1"/>
  <c r="T148" i="84" a="1"/>
  <c r="T148" i="84" s="1"/>
  <c r="S148" i="84" a="1"/>
  <c r="S148" i="84" s="1"/>
  <c r="R148" i="84" a="1"/>
  <c r="R148" i="84" s="1"/>
  <c r="Q148" i="84" a="1"/>
  <c r="Q148" i="84" s="1"/>
  <c r="P148" i="84" a="1"/>
  <c r="P148" i="84" s="1"/>
  <c r="O148" i="84" a="1"/>
  <c r="O148" i="84" s="1"/>
  <c r="N148" i="84" a="1"/>
  <c r="N148" i="84" s="1"/>
  <c r="M148" i="84" a="1"/>
  <c r="M148" i="84" s="1"/>
  <c r="L148" i="84" a="1"/>
  <c r="L148" i="84" s="1"/>
  <c r="K148" i="84" a="1"/>
  <c r="K148" i="84" s="1"/>
  <c r="J148" i="84" a="1"/>
  <c r="J148" i="84" s="1"/>
  <c r="I148" i="84" a="1"/>
  <c r="I148" i="84" s="1"/>
  <c r="H148" i="84" a="1"/>
  <c r="H148" i="84" s="1"/>
  <c r="G148" i="84" a="1"/>
  <c r="G148" i="84" s="1"/>
  <c r="F148" i="84" a="1"/>
  <c r="F148" i="84" s="1"/>
  <c r="E148" i="84" a="1"/>
  <c r="E148" i="84" s="1"/>
  <c r="D148" i="84" a="1"/>
  <c r="D148" i="84" s="1"/>
  <c r="AE147" i="84" a="1"/>
  <c r="AE147" i="84" s="1"/>
  <c r="AD147" i="84" a="1"/>
  <c r="AD147" i="84" s="1"/>
  <c r="AC147" i="84" a="1"/>
  <c r="AC147" i="84" s="1"/>
  <c r="AB147" i="84" a="1"/>
  <c r="AB147" i="84" s="1"/>
  <c r="AA147" i="84" a="1"/>
  <c r="AA147" i="84" s="1"/>
  <c r="Z147" i="84" a="1"/>
  <c r="Z147" i="84" s="1"/>
  <c r="Y147" i="84" a="1"/>
  <c r="Y147" i="84" s="1"/>
  <c r="X147" i="84" a="1"/>
  <c r="X147" i="84" s="1"/>
  <c r="W147" i="84" a="1"/>
  <c r="W147" i="84" s="1"/>
  <c r="V147" i="84" a="1"/>
  <c r="V147" i="84" s="1"/>
  <c r="U147" i="84" a="1"/>
  <c r="U147" i="84" s="1"/>
  <c r="T147" i="84" a="1"/>
  <c r="T147" i="84" s="1"/>
  <c r="S147" i="84" a="1"/>
  <c r="S147" i="84" s="1"/>
  <c r="R147" i="84" a="1"/>
  <c r="R147" i="84" s="1"/>
  <c r="Q147" i="84" a="1"/>
  <c r="Q147" i="84" s="1"/>
  <c r="P147" i="84" a="1"/>
  <c r="P147" i="84" s="1"/>
  <c r="O147" i="84" a="1"/>
  <c r="O147" i="84" s="1"/>
  <c r="N147" i="84" a="1"/>
  <c r="N147" i="84" s="1"/>
  <c r="M147" i="84" a="1"/>
  <c r="M147" i="84" s="1"/>
  <c r="L147" i="84" a="1"/>
  <c r="L147" i="84" s="1"/>
  <c r="K147" i="84" a="1"/>
  <c r="K147" i="84" s="1"/>
  <c r="J147" i="84" a="1"/>
  <c r="J147" i="84" s="1"/>
  <c r="I147" i="84" a="1"/>
  <c r="I147" i="84" s="1"/>
  <c r="H147" i="84" a="1"/>
  <c r="H147" i="84" s="1"/>
  <c r="G147" i="84" a="1"/>
  <c r="G147" i="84" s="1"/>
  <c r="F147" i="84" a="1"/>
  <c r="F147" i="84" s="1"/>
  <c r="E147" i="84" a="1"/>
  <c r="E147" i="84" s="1"/>
  <c r="D147" i="84" a="1"/>
  <c r="D147" i="84" s="1"/>
  <c r="AE146" i="84" a="1"/>
  <c r="AE146" i="84" s="1"/>
  <c r="AD146" i="84" a="1"/>
  <c r="AD146" i="84" s="1"/>
  <c r="AC146" i="84" a="1"/>
  <c r="AC146" i="84" s="1"/>
  <c r="AB146" i="84" a="1"/>
  <c r="AB146" i="84" s="1"/>
  <c r="AA146" i="84" a="1"/>
  <c r="AA146" i="84" s="1"/>
  <c r="Z146" i="84" a="1"/>
  <c r="Z146" i="84" s="1"/>
  <c r="Y146" i="84" a="1"/>
  <c r="Y146" i="84" s="1"/>
  <c r="X146" i="84" a="1"/>
  <c r="X146" i="84" s="1"/>
  <c r="W146" i="84" a="1"/>
  <c r="W146" i="84" s="1"/>
  <c r="V146" i="84" a="1"/>
  <c r="V146" i="84" s="1"/>
  <c r="U146" i="84" a="1"/>
  <c r="U146" i="84" s="1"/>
  <c r="T146" i="84" a="1"/>
  <c r="T146" i="84" s="1"/>
  <c r="S146" i="84" a="1"/>
  <c r="S146" i="84" s="1"/>
  <c r="R146" i="84" a="1"/>
  <c r="R146" i="84" s="1"/>
  <c r="Q146" i="84" a="1"/>
  <c r="Q146" i="84" s="1"/>
  <c r="P146" i="84" a="1"/>
  <c r="P146" i="84" s="1"/>
  <c r="O146" i="84" a="1"/>
  <c r="O146" i="84" s="1"/>
  <c r="N146" i="84" a="1"/>
  <c r="N146" i="84" s="1"/>
  <c r="M146" i="84" a="1"/>
  <c r="M146" i="84" s="1"/>
  <c r="L146" i="84" a="1"/>
  <c r="L146" i="84" s="1"/>
  <c r="K146" i="84" a="1"/>
  <c r="K146" i="84" s="1"/>
  <c r="J146" i="84" a="1"/>
  <c r="J146" i="84" s="1"/>
  <c r="I146" i="84" a="1"/>
  <c r="I146" i="84" s="1"/>
  <c r="H146" i="84" a="1"/>
  <c r="H146" i="84" s="1"/>
  <c r="G146" i="84" a="1"/>
  <c r="G146" i="84" s="1"/>
  <c r="F146" i="84" a="1"/>
  <c r="F146" i="84" s="1"/>
  <c r="E146" i="84" a="1"/>
  <c r="E146" i="84" s="1"/>
  <c r="D146" i="84" a="1"/>
  <c r="D146" i="84" s="1"/>
  <c r="AE145" i="84" a="1"/>
  <c r="AE145" i="84" s="1"/>
  <c r="AD145" i="84" a="1"/>
  <c r="AD145" i="84" s="1"/>
  <c r="AC145" i="84" a="1"/>
  <c r="AC145" i="84" s="1"/>
  <c r="AB145" i="84" a="1"/>
  <c r="AB145" i="84" s="1"/>
  <c r="AA145" i="84" a="1"/>
  <c r="AA145" i="84" s="1"/>
  <c r="Z145" i="84" a="1"/>
  <c r="Z145" i="84" s="1"/>
  <c r="Y145" i="84" a="1"/>
  <c r="Y145" i="84" s="1"/>
  <c r="X145" i="84" a="1"/>
  <c r="X145" i="84" s="1"/>
  <c r="W145" i="84" a="1"/>
  <c r="W145" i="84" s="1"/>
  <c r="V145" i="84" a="1"/>
  <c r="V145" i="84" s="1"/>
  <c r="U145" i="84" a="1"/>
  <c r="U145" i="84" s="1"/>
  <c r="T145" i="84" a="1"/>
  <c r="T145" i="84" s="1"/>
  <c r="S145" i="84" a="1"/>
  <c r="S145" i="84" s="1"/>
  <c r="R145" i="84" a="1"/>
  <c r="R145" i="84" s="1"/>
  <c r="Q145" i="84" a="1"/>
  <c r="Q145" i="84" s="1"/>
  <c r="P145" i="84" a="1"/>
  <c r="P145" i="84" s="1"/>
  <c r="O145" i="84" a="1"/>
  <c r="O145" i="84" s="1"/>
  <c r="N145" i="84" a="1"/>
  <c r="N145" i="84" s="1"/>
  <c r="M145" i="84" a="1"/>
  <c r="M145" i="84" s="1"/>
  <c r="L145" i="84" a="1"/>
  <c r="L145" i="84" s="1"/>
  <c r="K145" i="84" a="1"/>
  <c r="K145" i="84" s="1"/>
  <c r="J145" i="84" a="1"/>
  <c r="J145" i="84" s="1"/>
  <c r="I145" i="84" a="1"/>
  <c r="I145" i="84" s="1"/>
  <c r="H145" i="84" a="1"/>
  <c r="H145" i="84" s="1"/>
  <c r="G145" i="84" a="1"/>
  <c r="G145" i="84" s="1"/>
  <c r="F145" i="84" a="1"/>
  <c r="F145" i="84" s="1"/>
  <c r="E145" i="84" a="1"/>
  <c r="E145" i="84" s="1"/>
  <c r="D145" i="84" a="1"/>
  <c r="D145" i="84" s="1"/>
  <c r="AE144" i="84" a="1"/>
  <c r="AE144" i="84" s="1"/>
  <c r="AD144" i="84" a="1"/>
  <c r="AD144" i="84" s="1"/>
  <c r="AC144" i="84" a="1"/>
  <c r="AC144" i="84" s="1"/>
  <c r="AB144" i="84" a="1"/>
  <c r="AB144" i="84" s="1"/>
  <c r="AA144" i="84" a="1"/>
  <c r="AA144" i="84" s="1"/>
  <c r="Z144" i="84" a="1"/>
  <c r="Z144" i="84" s="1"/>
  <c r="Y144" i="84" a="1"/>
  <c r="Y144" i="84" s="1"/>
  <c r="X144" i="84" a="1"/>
  <c r="X144" i="84" s="1"/>
  <c r="W144" i="84" a="1"/>
  <c r="W144" i="84" s="1"/>
  <c r="V144" i="84" a="1"/>
  <c r="V144" i="84" s="1"/>
  <c r="U144" i="84" a="1"/>
  <c r="U144" i="84" s="1"/>
  <c r="T144" i="84" a="1"/>
  <c r="T144" i="84" s="1"/>
  <c r="S144" i="84" a="1"/>
  <c r="S144" i="84" s="1"/>
  <c r="R144" i="84" a="1"/>
  <c r="R144" i="84" s="1"/>
  <c r="Q144" i="84" a="1"/>
  <c r="Q144" i="84" s="1"/>
  <c r="P144" i="84" a="1"/>
  <c r="P144" i="84" s="1"/>
  <c r="O144" i="84" a="1"/>
  <c r="O144" i="84" s="1"/>
  <c r="N144" i="84" a="1"/>
  <c r="N144" i="84" s="1"/>
  <c r="M144" i="84" a="1"/>
  <c r="M144" i="84" s="1"/>
  <c r="L144" i="84" a="1"/>
  <c r="L144" i="84" s="1"/>
  <c r="K144" i="84" a="1"/>
  <c r="K144" i="84" s="1"/>
  <c r="J144" i="84" a="1"/>
  <c r="J144" i="84" s="1"/>
  <c r="I144" i="84" a="1"/>
  <c r="I144" i="84" s="1"/>
  <c r="H144" i="84" a="1"/>
  <c r="H144" i="84" s="1"/>
  <c r="G144" i="84" a="1"/>
  <c r="G144" i="84" s="1"/>
  <c r="F144" i="84" a="1"/>
  <c r="F144" i="84" s="1"/>
  <c r="E144" i="84" a="1"/>
  <c r="E144" i="84" s="1"/>
  <c r="D144" i="84" a="1"/>
  <c r="D144" i="84" s="1"/>
  <c r="AE143" i="84" a="1"/>
  <c r="AE143" i="84" s="1"/>
  <c r="AD143" i="84" a="1"/>
  <c r="AD143" i="84" s="1"/>
  <c r="AC143" i="84" a="1"/>
  <c r="AC143" i="84" s="1"/>
  <c r="AB143" i="84" a="1"/>
  <c r="AB143" i="84" s="1"/>
  <c r="AA143" i="84" a="1"/>
  <c r="AA143" i="84" s="1"/>
  <c r="Z143" i="84" a="1"/>
  <c r="Z143" i="84" s="1"/>
  <c r="Y143" i="84" a="1"/>
  <c r="Y143" i="84" s="1"/>
  <c r="X143" i="84" a="1"/>
  <c r="X143" i="84" s="1"/>
  <c r="W143" i="84" a="1"/>
  <c r="W143" i="84" s="1"/>
  <c r="V143" i="84" a="1"/>
  <c r="V143" i="84" s="1"/>
  <c r="U143" i="84" a="1"/>
  <c r="U143" i="84" s="1"/>
  <c r="T143" i="84" a="1"/>
  <c r="T143" i="84" s="1"/>
  <c r="S143" i="84" a="1"/>
  <c r="S143" i="84" s="1"/>
  <c r="R143" i="84" a="1"/>
  <c r="R143" i="84" s="1"/>
  <c r="Q143" i="84" a="1"/>
  <c r="Q143" i="84" s="1"/>
  <c r="P143" i="84" a="1"/>
  <c r="P143" i="84" s="1"/>
  <c r="O143" i="84" a="1"/>
  <c r="O143" i="84" s="1"/>
  <c r="N143" i="84" a="1"/>
  <c r="N143" i="84" s="1"/>
  <c r="M143" i="84" a="1"/>
  <c r="M143" i="84" s="1"/>
  <c r="L143" i="84" a="1"/>
  <c r="L143" i="84" s="1"/>
  <c r="K143" i="84" a="1"/>
  <c r="K143" i="84" s="1"/>
  <c r="J143" i="84" a="1"/>
  <c r="J143" i="84" s="1"/>
  <c r="I143" i="84" a="1"/>
  <c r="I143" i="84" s="1"/>
  <c r="H143" i="84" a="1"/>
  <c r="H143" i="84" s="1"/>
  <c r="G143" i="84" a="1"/>
  <c r="G143" i="84" s="1"/>
  <c r="F143" i="84" a="1"/>
  <c r="F143" i="84" s="1"/>
  <c r="E143" i="84" a="1"/>
  <c r="E143" i="84" s="1"/>
  <c r="D143" i="84" a="1"/>
  <c r="D143" i="84" s="1"/>
  <c r="AE142" i="84" a="1"/>
  <c r="AE142" i="84" s="1"/>
  <c r="AD142" i="84" a="1"/>
  <c r="AD142" i="84" s="1"/>
  <c r="AC142" i="84" a="1"/>
  <c r="AC142" i="84" s="1"/>
  <c r="AB142" i="84" a="1"/>
  <c r="AB142" i="84" s="1"/>
  <c r="AA142" i="84" a="1"/>
  <c r="AA142" i="84" s="1"/>
  <c r="Z142" i="84" a="1"/>
  <c r="Z142" i="84" s="1"/>
  <c r="Y142" i="84" a="1"/>
  <c r="Y142" i="84" s="1"/>
  <c r="X142" i="84" a="1"/>
  <c r="X142" i="84" s="1"/>
  <c r="W142" i="84" a="1"/>
  <c r="W142" i="84" s="1"/>
  <c r="V142" i="84" a="1"/>
  <c r="V142" i="84" s="1"/>
  <c r="U142" i="84" a="1"/>
  <c r="U142" i="84" s="1"/>
  <c r="T142" i="84" a="1"/>
  <c r="T142" i="84" s="1"/>
  <c r="S142" i="84" a="1"/>
  <c r="S142" i="84" s="1"/>
  <c r="R142" i="84" a="1"/>
  <c r="R142" i="84" s="1"/>
  <c r="Q142" i="84" a="1"/>
  <c r="Q142" i="84" s="1"/>
  <c r="P142" i="84" a="1"/>
  <c r="P142" i="84" s="1"/>
  <c r="O142" i="84" a="1"/>
  <c r="O142" i="84" s="1"/>
  <c r="N142" i="84" a="1"/>
  <c r="N142" i="84" s="1"/>
  <c r="M142" i="84" a="1"/>
  <c r="M142" i="84" s="1"/>
  <c r="L142" i="84" a="1"/>
  <c r="L142" i="84" s="1"/>
  <c r="K142" i="84" a="1"/>
  <c r="K142" i="84" s="1"/>
  <c r="J142" i="84" a="1"/>
  <c r="J142" i="84" s="1"/>
  <c r="I142" i="84" a="1"/>
  <c r="I142" i="84" s="1"/>
  <c r="H142" i="84" a="1"/>
  <c r="H142" i="84" s="1"/>
  <c r="G142" i="84" a="1"/>
  <c r="G142" i="84" s="1"/>
  <c r="F142" i="84" a="1"/>
  <c r="F142" i="84" s="1"/>
  <c r="E142" i="84" a="1"/>
  <c r="E142" i="84" s="1"/>
  <c r="D142" i="84" a="1"/>
  <c r="D142" i="84" s="1"/>
  <c r="AE141" i="84" a="1"/>
  <c r="AE141" i="84" s="1"/>
  <c r="AD141" i="84" a="1"/>
  <c r="AD141" i="84" s="1"/>
  <c r="AC141" i="84" a="1"/>
  <c r="AC141" i="84" s="1"/>
  <c r="AB141" i="84" a="1"/>
  <c r="AB141" i="84" s="1"/>
  <c r="AA141" i="84" a="1"/>
  <c r="AA141" i="84" s="1"/>
  <c r="Z141" i="84" a="1"/>
  <c r="Z141" i="84" s="1"/>
  <c r="Y141" i="84" a="1"/>
  <c r="Y141" i="84" s="1"/>
  <c r="X141" i="84" a="1"/>
  <c r="X141" i="84" s="1"/>
  <c r="W141" i="84" a="1"/>
  <c r="W141" i="84" s="1"/>
  <c r="V141" i="84" a="1"/>
  <c r="V141" i="84" s="1"/>
  <c r="U141" i="84" a="1"/>
  <c r="U141" i="84" s="1"/>
  <c r="T141" i="84" a="1"/>
  <c r="T141" i="84" s="1"/>
  <c r="S141" i="84" a="1"/>
  <c r="S141" i="84" s="1"/>
  <c r="R141" i="84" a="1"/>
  <c r="R141" i="84" s="1"/>
  <c r="Q141" i="84" a="1"/>
  <c r="Q141" i="84" s="1"/>
  <c r="P141" i="84" a="1"/>
  <c r="P141" i="84" s="1"/>
  <c r="O141" i="84" a="1"/>
  <c r="O141" i="84" s="1"/>
  <c r="N141" i="84" a="1"/>
  <c r="N141" i="84" s="1"/>
  <c r="M141" i="84" a="1"/>
  <c r="M141" i="84" s="1"/>
  <c r="L141" i="84" a="1"/>
  <c r="L141" i="84" s="1"/>
  <c r="K141" i="84" a="1"/>
  <c r="K141" i="84" s="1"/>
  <c r="J141" i="84" a="1"/>
  <c r="J141" i="84" s="1"/>
  <c r="I141" i="84" a="1"/>
  <c r="I141" i="84" s="1"/>
  <c r="H141" i="84" a="1"/>
  <c r="H141" i="84" s="1"/>
  <c r="G141" i="84" a="1"/>
  <c r="G141" i="84" s="1"/>
  <c r="F141" i="84" a="1"/>
  <c r="F141" i="84" s="1"/>
  <c r="E141" i="84" a="1"/>
  <c r="E141" i="84" s="1"/>
  <c r="D141" i="84" a="1"/>
  <c r="D141" i="84" s="1"/>
  <c r="AE140" i="84" a="1"/>
  <c r="AE140" i="84" s="1"/>
  <c r="AD140" i="84" a="1"/>
  <c r="AD140" i="84" s="1"/>
  <c r="AC140" i="84" a="1"/>
  <c r="AC140" i="84" s="1"/>
  <c r="AB140" i="84" a="1"/>
  <c r="AB140" i="84" s="1"/>
  <c r="AA140" i="84" a="1"/>
  <c r="AA140" i="84" s="1"/>
  <c r="Z140" i="84" a="1"/>
  <c r="Z140" i="84" s="1"/>
  <c r="Y140" i="84" a="1"/>
  <c r="Y140" i="84" s="1"/>
  <c r="X140" i="84" a="1"/>
  <c r="X140" i="84" s="1"/>
  <c r="W140" i="84" a="1"/>
  <c r="W140" i="84" s="1"/>
  <c r="V140" i="84" a="1"/>
  <c r="V140" i="84" s="1"/>
  <c r="U140" i="84" a="1"/>
  <c r="U140" i="84" s="1"/>
  <c r="T140" i="84" a="1"/>
  <c r="T140" i="84" s="1"/>
  <c r="S140" i="84" a="1"/>
  <c r="S140" i="84" s="1"/>
  <c r="R140" i="84" a="1"/>
  <c r="R140" i="84" s="1"/>
  <c r="Q140" i="84" a="1"/>
  <c r="Q140" i="84" s="1"/>
  <c r="P140" i="84" a="1"/>
  <c r="P140" i="84" s="1"/>
  <c r="O140" i="84" a="1"/>
  <c r="O140" i="84" s="1"/>
  <c r="N140" i="84" a="1"/>
  <c r="N140" i="84" s="1"/>
  <c r="M140" i="84" a="1"/>
  <c r="M140" i="84" s="1"/>
  <c r="L140" i="84" a="1"/>
  <c r="L140" i="84" s="1"/>
  <c r="K140" i="84" a="1"/>
  <c r="K140" i="84" s="1"/>
  <c r="J140" i="84" a="1"/>
  <c r="J140" i="84" s="1"/>
  <c r="I140" i="84" a="1"/>
  <c r="I140" i="84" s="1"/>
  <c r="H140" i="84" a="1"/>
  <c r="H140" i="84" s="1"/>
  <c r="G140" i="84" a="1"/>
  <c r="G140" i="84" s="1"/>
  <c r="F140" i="84" a="1"/>
  <c r="F140" i="84" s="1"/>
  <c r="E140" i="84" a="1"/>
  <c r="E140" i="84" s="1"/>
  <c r="D140" i="84" a="1"/>
  <c r="D140" i="84" s="1"/>
  <c r="AE139" i="84" a="1"/>
  <c r="AE139" i="84" s="1"/>
  <c r="AD139" i="84" a="1"/>
  <c r="AD139" i="84" s="1"/>
  <c r="AC139" i="84" a="1"/>
  <c r="AC139" i="84" s="1"/>
  <c r="AB139" i="84" a="1"/>
  <c r="AB139" i="84" s="1"/>
  <c r="AA139" i="84" a="1"/>
  <c r="AA139" i="84" s="1"/>
  <c r="Z139" i="84" a="1"/>
  <c r="Z139" i="84" s="1"/>
  <c r="Y139" i="84" a="1"/>
  <c r="Y139" i="84" s="1"/>
  <c r="X139" i="84" a="1"/>
  <c r="X139" i="84" s="1"/>
  <c r="W139" i="84" a="1"/>
  <c r="W139" i="84" s="1"/>
  <c r="V139" i="84" a="1"/>
  <c r="V139" i="84" s="1"/>
  <c r="U139" i="84" a="1"/>
  <c r="U139" i="84" s="1"/>
  <c r="T139" i="84" a="1"/>
  <c r="T139" i="84" s="1"/>
  <c r="S139" i="84" a="1"/>
  <c r="S139" i="84" s="1"/>
  <c r="R139" i="84" a="1"/>
  <c r="R139" i="84" s="1"/>
  <c r="Q139" i="84" a="1"/>
  <c r="Q139" i="84" s="1"/>
  <c r="P139" i="84" a="1"/>
  <c r="P139" i="84" s="1"/>
  <c r="O139" i="84" a="1"/>
  <c r="O139" i="84" s="1"/>
  <c r="N139" i="84" a="1"/>
  <c r="N139" i="84" s="1"/>
  <c r="M139" i="84" a="1"/>
  <c r="M139" i="84" s="1"/>
  <c r="L139" i="84" a="1"/>
  <c r="L139" i="84" s="1"/>
  <c r="K139" i="84" a="1"/>
  <c r="K139" i="84" s="1"/>
  <c r="J139" i="84" a="1"/>
  <c r="J139" i="84" s="1"/>
  <c r="I139" i="84" a="1"/>
  <c r="I139" i="84" s="1"/>
  <c r="H139" i="84" a="1"/>
  <c r="H139" i="84" s="1"/>
  <c r="G139" i="84" a="1"/>
  <c r="G139" i="84" s="1"/>
  <c r="F139" i="84" a="1"/>
  <c r="F139" i="84" s="1"/>
  <c r="E139" i="84" a="1"/>
  <c r="E139" i="84" s="1"/>
  <c r="D139" i="84" a="1"/>
  <c r="D139" i="84" s="1"/>
  <c r="AE138" i="84" a="1"/>
  <c r="AE138" i="84" s="1"/>
  <c r="AD138" i="84" a="1"/>
  <c r="AD138" i="84" s="1"/>
  <c r="AC138" i="84" a="1"/>
  <c r="AC138" i="84" s="1"/>
  <c r="AB138" i="84" a="1"/>
  <c r="AB138" i="84" s="1"/>
  <c r="AA138" i="84" a="1"/>
  <c r="AA138" i="84" s="1"/>
  <c r="Z138" i="84" a="1"/>
  <c r="Z138" i="84" s="1"/>
  <c r="Y138" i="84" a="1"/>
  <c r="Y138" i="84" s="1"/>
  <c r="X138" i="84" a="1"/>
  <c r="X138" i="84" s="1"/>
  <c r="W138" i="84" a="1"/>
  <c r="W138" i="84" s="1"/>
  <c r="V138" i="84" a="1"/>
  <c r="V138" i="84" s="1"/>
  <c r="U138" i="84" a="1"/>
  <c r="U138" i="84" s="1"/>
  <c r="T138" i="84" a="1"/>
  <c r="T138" i="84" s="1"/>
  <c r="S138" i="84" a="1"/>
  <c r="S138" i="84" s="1"/>
  <c r="R138" i="84" a="1"/>
  <c r="R138" i="84" s="1"/>
  <c r="Q138" i="84" a="1"/>
  <c r="Q138" i="84" s="1"/>
  <c r="P138" i="84" a="1"/>
  <c r="P138" i="84" s="1"/>
  <c r="O138" i="84" a="1"/>
  <c r="O138" i="84" s="1"/>
  <c r="N138" i="84" a="1"/>
  <c r="N138" i="84" s="1"/>
  <c r="M138" i="84" a="1"/>
  <c r="M138" i="84" s="1"/>
  <c r="L138" i="84" a="1"/>
  <c r="L138" i="84" s="1"/>
  <c r="K138" i="84" a="1"/>
  <c r="K138" i="84" s="1"/>
  <c r="J138" i="84" a="1"/>
  <c r="J138" i="84" s="1"/>
  <c r="I138" i="84" a="1"/>
  <c r="I138" i="84" s="1"/>
  <c r="H138" i="84" a="1"/>
  <c r="H138" i="84" s="1"/>
  <c r="G138" i="84" a="1"/>
  <c r="G138" i="84" s="1"/>
  <c r="F138" i="84" a="1"/>
  <c r="F138" i="84" s="1"/>
  <c r="E138" i="84" a="1"/>
  <c r="E138" i="84" s="1"/>
  <c r="D138" i="84" a="1"/>
  <c r="D138" i="84" s="1"/>
  <c r="AE137" i="84" a="1"/>
  <c r="AE137" i="84" s="1"/>
  <c r="AD137" i="84" a="1"/>
  <c r="AD137" i="84" s="1"/>
  <c r="AC137" i="84" a="1"/>
  <c r="AC137" i="84" s="1"/>
  <c r="AB137" i="84" a="1"/>
  <c r="AB137" i="84" s="1"/>
  <c r="AA137" i="84" a="1"/>
  <c r="AA137" i="84" s="1"/>
  <c r="Z137" i="84" a="1"/>
  <c r="Z137" i="84" s="1"/>
  <c r="Y137" i="84" a="1"/>
  <c r="Y137" i="84" s="1"/>
  <c r="X137" i="84" a="1"/>
  <c r="X137" i="84" s="1"/>
  <c r="W137" i="84" a="1"/>
  <c r="W137" i="84" s="1"/>
  <c r="V137" i="84" a="1"/>
  <c r="V137" i="84" s="1"/>
  <c r="U137" i="84" a="1"/>
  <c r="U137" i="84" s="1"/>
  <c r="T137" i="84" a="1"/>
  <c r="T137" i="84" s="1"/>
  <c r="S137" i="84" a="1"/>
  <c r="S137" i="84" s="1"/>
  <c r="R137" i="84" a="1"/>
  <c r="R137" i="84" s="1"/>
  <c r="Q137" i="84" a="1"/>
  <c r="Q137" i="84" s="1"/>
  <c r="P137" i="84" a="1"/>
  <c r="P137" i="84" s="1"/>
  <c r="O137" i="84" a="1"/>
  <c r="O137" i="84" s="1"/>
  <c r="N137" i="84" a="1"/>
  <c r="N137" i="84" s="1"/>
  <c r="M137" i="84" a="1"/>
  <c r="M137" i="84" s="1"/>
  <c r="L137" i="84" a="1"/>
  <c r="L137" i="84" s="1"/>
  <c r="K137" i="84" a="1"/>
  <c r="K137" i="84" s="1"/>
  <c r="J137" i="84" a="1"/>
  <c r="J137" i="84" s="1"/>
  <c r="I137" i="84" a="1"/>
  <c r="I137" i="84" s="1"/>
  <c r="H137" i="84" a="1"/>
  <c r="H137" i="84" s="1"/>
  <c r="G137" i="84" a="1"/>
  <c r="G137" i="84" s="1"/>
  <c r="F137" i="84" a="1"/>
  <c r="F137" i="84" s="1"/>
  <c r="E137" i="84" a="1"/>
  <c r="E137" i="84" s="1"/>
  <c r="D137" i="84" a="1"/>
  <c r="D137" i="84" s="1"/>
  <c r="AE136" i="84" a="1"/>
  <c r="AE136" i="84" s="1"/>
  <c r="AD136" i="84" a="1"/>
  <c r="AD136" i="84" s="1"/>
  <c r="AC136" i="84" a="1"/>
  <c r="AC136" i="84" s="1"/>
  <c r="AB136" i="84" a="1"/>
  <c r="AB136" i="84" s="1"/>
  <c r="AA136" i="84" a="1"/>
  <c r="AA136" i="84" s="1"/>
  <c r="Z136" i="84" a="1"/>
  <c r="Z136" i="84" s="1"/>
  <c r="Y136" i="84" a="1"/>
  <c r="Y136" i="84" s="1"/>
  <c r="X136" i="84" a="1"/>
  <c r="X136" i="84" s="1"/>
  <c r="W136" i="84" a="1"/>
  <c r="W136" i="84" s="1"/>
  <c r="V136" i="84" a="1"/>
  <c r="V136" i="84" s="1"/>
  <c r="U136" i="84" a="1"/>
  <c r="U136" i="84" s="1"/>
  <c r="T136" i="84" a="1"/>
  <c r="T136" i="84" s="1"/>
  <c r="S136" i="84" a="1"/>
  <c r="S136" i="84" s="1"/>
  <c r="R136" i="84" a="1"/>
  <c r="R136" i="84" s="1"/>
  <c r="Q136" i="84" a="1"/>
  <c r="Q136" i="84" s="1"/>
  <c r="P136" i="84" a="1"/>
  <c r="P136" i="84" s="1"/>
  <c r="O136" i="84" a="1"/>
  <c r="O136" i="84" s="1"/>
  <c r="N136" i="84" a="1"/>
  <c r="N136" i="84" s="1"/>
  <c r="M136" i="84" a="1"/>
  <c r="M136" i="84" s="1"/>
  <c r="L136" i="84" a="1"/>
  <c r="L136" i="84" s="1"/>
  <c r="K136" i="84" a="1"/>
  <c r="K136" i="84" s="1"/>
  <c r="J136" i="84" a="1"/>
  <c r="J136" i="84" s="1"/>
  <c r="I136" i="84" a="1"/>
  <c r="I136" i="84" s="1"/>
  <c r="H136" i="84" a="1"/>
  <c r="H136" i="84" s="1"/>
  <c r="G136" i="84" a="1"/>
  <c r="G136" i="84" s="1"/>
  <c r="F136" i="84" a="1"/>
  <c r="F136" i="84" s="1"/>
  <c r="E136" i="84" a="1"/>
  <c r="E136" i="84" s="1"/>
  <c r="D136" i="84" a="1"/>
  <c r="D136" i="84" s="1"/>
  <c r="AE135" i="84" a="1"/>
  <c r="AE135" i="84" s="1"/>
  <c r="AD135" i="84" a="1"/>
  <c r="AD135" i="84" s="1"/>
  <c r="AC135" i="84" a="1"/>
  <c r="AC135" i="84" s="1"/>
  <c r="AB135" i="84" a="1"/>
  <c r="AB135" i="84" s="1"/>
  <c r="AA135" i="84" a="1"/>
  <c r="AA135" i="84" s="1"/>
  <c r="Z135" i="84" a="1"/>
  <c r="Z135" i="84" s="1"/>
  <c r="Y135" i="84" a="1"/>
  <c r="Y135" i="84" s="1"/>
  <c r="X135" i="84" a="1"/>
  <c r="X135" i="84" s="1"/>
  <c r="W135" i="84" a="1"/>
  <c r="W135" i="84" s="1"/>
  <c r="V135" i="84" a="1"/>
  <c r="V135" i="84" s="1"/>
  <c r="U135" i="84" a="1"/>
  <c r="U135" i="84" s="1"/>
  <c r="T135" i="84" a="1"/>
  <c r="T135" i="84" s="1"/>
  <c r="S135" i="84" a="1"/>
  <c r="S135" i="84" s="1"/>
  <c r="R135" i="84" a="1"/>
  <c r="R135" i="84" s="1"/>
  <c r="Q135" i="84" a="1"/>
  <c r="Q135" i="84" s="1"/>
  <c r="P135" i="84" a="1"/>
  <c r="P135" i="84" s="1"/>
  <c r="O135" i="84" a="1"/>
  <c r="O135" i="84" s="1"/>
  <c r="N135" i="84" a="1"/>
  <c r="N135" i="84" s="1"/>
  <c r="M135" i="84" a="1"/>
  <c r="M135" i="84" s="1"/>
  <c r="L135" i="84" a="1"/>
  <c r="L135" i="84" s="1"/>
  <c r="K135" i="84" a="1"/>
  <c r="K135" i="84" s="1"/>
  <c r="J135" i="84" a="1"/>
  <c r="J135" i="84" s="1"/>
  <c r="I135" i="84" a="1"/>
  <c r="I135" i="84" s="1"/>
  <c r="H135" i="84" a="1"/>
  <c r="H135" i="84" s="1"/>
  <c r="G135" i="84" a="1"/>
  <c r="G135" i="84" s="1"/>
  <c r="F135" i="84" a="1"/>
  <c r="F135" i="84" s="1"/>
  <c r="E135" i="84" a="1"/>
  <c r="E135" i="84" s="1"/>
  <c r="D135" i="84" a="1"/>
  <c r="D135" i="84" s="1"/>
  <c r="AE134" i="84" a="1"/>
  <c r="AE134" i="84" s="1"/>
  <c r="AD134" i="84" a="1"/>
  <c r="AD134" i="84" s="1"/>
  <c r="AC134" i="84" a="1"/>
  <c r="AC134" i="84" s="1"/>
  <c r="AB134" i="84" a="1"/>
  <c r="AB134" i="84" s="1"/>
  <c r="AA134" i="84" a="1"/>
  <c r="AA134" i="84" s="1"/>
  <c r="Z134" i="84" a="1"/>
  <c r="Z134" i="84" s="1"/>
  <c r="Y134" i="84" a="1"/>
  <c r="Y134" i="84" s="1"/>
  <c r="X134" i="84" a="1"/>
  <c r="X134" i="84" s="1"/>
  <c r="W134" i="84" a="1"/>
  <c r="W134" i="84" s="1"/>
  <c r="V134" i="84" a="1"/>
  <c r="V134" i="84" s="1"/>
  <c r="U134" i="84" a="1"/>
  <c r="U134" i="84" s="1"/>
  <c r="T134" i="84" a="1"/>
  <c r="T134" i="84" s="1"/>
  <c r="S134" i="84" a="1"/>
  <c r="S134" i="84" s="1"/>
  <c r="R134" i="84" a="1"/>
  <c r="R134" i="84" s="1"/>
  <c r="Q134" i="84" a="1"/>
  <c r="Q134" i="84" s="1"/>
  <c r="P134" i="84" a="1"/>
  <c r="P134" i="84" s="1"/>
  <c r="O134" i="84" a="1"/>
  <c r="O134" i="84" s="1"/>
  <c r="N134" i="84" a="1"/>
  <c r="N134" i="84" s="1"/>
  <c r="M134" i="84" a="1"/>
  <c r="M134" i="84" s="1"/>
  <c r="L134" i="84" a="1"/>
  <c r="L134" i="84" s="1"/>
  <c r="K134" i="84" a="1"/>
  <c r="K134" i="84" s="1"/>
  <c r="J134" i="84" a="1"/>
  <c r="J134" i="84" s="1"/>
  <c r="I134" i="84" a="1"/>
  <c r="I134" i="84" s="1"/>
  <c r="H134" i="84" a="1"/>
  <c r="H134" i="84" s="1"/>
  <c r="G134" i="84" a="1"/>
  <c r="G134" i="84" s="1"/>
  <c r="F134" i="84" a="1"/>
  <c r="F134" i="84" s="1"/>
  <c r="E134" i="84" a="1"/>
  <c r="E134" i="84" s="1"/>
  <c r="D134" i="84" a="1"/>
  <c r="D134" i="84" s="1"/>
  <c r="AE133" i="84" a="1"/>
  <c r="AE133" i="84" s="1"/>
  <c r="AD133" i="84" a="1"/>
  <c r="AD133" i="84" s="1"/>
  <c r="AC133" i="84" a="1"/>
  <c r="AC133" i="84" s="1"/>
  <c r="AB133" i="84" a="1"/>
  <c r="AB133" i="84" s="1"/>
  <c r="AA133" i="84" a="1"/>
  <c r="AA133" i="84" s="1"/>
  <c r="Z133" i="84" a="1"/>
  <c r="Z133" i="84" s="1"/>
  <c r="Y133" i="84" a="1"/>
  <c r="Y133" i="84" s="1"/>
  <c r="X133" i="84" a="1"/>
  <c r="X133" i="84" s="1"/>
  <c r="W133" i="84" a="1"/>
  <c r="W133" i="84" s="1"/>
  <c r="V133" i="84" a="1"/>
  <c r="V133" i="84" s="1"/>
  <c r="U133" i="84" a="1"/>
  <c r="U133" i="84" s="1"/>
  <c r="T133" i="84" a="1"/>
  <c r="T133" i="84" s="1"/>
  <c r="S133" i="84" a="1"/>
  <c r="S133" i="84" s="1"/>
  <c r="R133" i="84" a="1"/>
  <c r="R133" i="84" s="1"/>
  <c r="Q133" i="84" a="1"/>
  <c r="Q133" i="84" s="1"/>
  <c r="P133" i="84" a="1"/>
  <c r="P133" i="84" s="1"/>
  <c r="O133" i="84" a="1"/>
  <c r="O133" i="84" s="1"/>
  <c r="N133" i="84" a="1"/>
  <c r="N133" i="84" s="1"/>
  <c r="M133" i="84" a="1"/>
  <c r="M133" i="84" s="1"/>
  <c r="L133" i="84" a="1"/>
  <c r="L133" i="84" s="1"/>
  <c r="K133" i="84" a="1"/>
  <c r="K133" i="84" s="1"/>
  <c r="J133" i="84" a="1"/>
  <c r="J133" i="84" s="1"/>
  <c r="I133" i="84" a="1"/>
  <c r="I133" i="84" s="1"/>
  <c r="H133" i="84" a="1"/>
  <c r="H133" i="84" s="1"/>
  <c r="G133" i="84" a="1"/>
  <c r="G133" i="84" s="1"/>
  <c r="F133" i="84" a="1"/>
  <c r="F133" i="84" s="1"/>
  <c r="E133" i="84" a="1"/>
  <c r="E133" i="84" s="1"/>
  <c r="D133" i="84" a="1"/>
  <c r="D133" i="84" s="1"/>
  <c r="AE132" i="84" a="1"/>
  <c r="AE132" i="84" s="1"/>
  <c r="AD132" i="84" a="1"/>
  <c r="AD132" i="84" s="1"/>
  <c r="AC132" i="84" a="1"/>
  <c r="AC132" i="84" s="1"/>
  <c r="AB132" i="84" a="1"/>
  <c r="AB132" i="84" s="1"/>
  <c r="AA132" i="84" a="1"/>
  <c r="AA132" i="84" s="1"/>
  <c r="Z132" i="84" a="1"/>
  <c r="Z132" i="84" s="1"/>
  <c r="Y132" i="84" a="1"/>
  <c r="Y132" i="84" s="1"/>
  <c r="X132" i="84" a="1"/>
  <c r="X132" i="84" s="1"/>
  <c r="W132" i="84" a="1"/>
  <c r="W132" i="84" s="1"/>
  <c r="V132" i="84" a="1"/>
  <c r="V132" i="84" s="1"/>
  <c r="U132" i="84" a="1"/>
  <c r="U132" i="84" s="1"/>
  <c r="T132" i="84" a="1"/>
  <c r="T132" i="84" s="1"/>
  <c r="S132" i="84" a="1"/>
  <c r="S132" i="84" s="1"/>
  <c r="R132" i="84" a="1"/>
  <c r="R132" i="84" s="1"/>
  <c r="Q132" i="84" a="1"/>
  <c r="Q132" i="84" s="1"/>
  <c r="P132" i="84" a="1"/>
  <c r="P132" i="84" s="1"/>
  <c r="O132" i="84" a="1"/>
  <c r="O132" i="84" s="1"/>
  <c r="N132" i="84" a="1"/>
  <c r="N132" i="84" s="1"/>
  <c r="M132" i="84" a="1"/>
  <c r="M132" i="84" s="1"/>
  <c r="L132" i="84" a="1"/>
  <c r="L132" i="84" s="1"/>
  <c r="K132" i="84" a="1"/>
  <c r="K132" i="84" s="1"/>
  <c r="J132" i="84" a="1"/>
  <c r="J132" i="84" s="1"/>
  <c r="I132" i="84" a="1"/>
  <c r="I132" i="84" s="1"/>
  <c r="H132" i="84" a="1"/>
  <c r="H132" i="84" s="1"/>
  <c r="G132" i="84" a="1"/>
  <c r="G132" i="84" s="1"/>
  <c r="F132" i="84" a="1"/>
  <c r="F132" i="84" s="1"/>
  <c r="E132" i="84" a="1"/>
  <c r="E132" i="84" s="1"/>
  <c r="D132" i="84" a="1"/>
  <c r="D132" i="84" s="1"/>
  <c r="AE131" i="84" a="1"/>
  <c r="AE131" i="84" s="1"/>
  <c r="AD131" i="84" a="1"/>
  <c r="AD131" i="84" s="1"/>
  <c r="AC131" i="84" a="1"/>
  <c r="AC131" i="84" s="1"/>
  <c r="AB131" i="84" a="1"/>
  <c r="AB131" i="84" s="1"/>
  <c r="AA131" i="84" a="1"/>
  <c r="AA131" i="84" s="1"/>
  <c r="Z131" i="84" a="1"/>
  <c r="Z131" i="84" s="1"/>
  <c r="Y131" i="84" a="1"/>
  <c r="Y131" i="84" s="1"/>
  <c r="X131" i="84" a="1"/>
  <c r="X131" i="84" s="1"/>
  <c r="W131" i="84" a="1"/>
  <c r="W131" i="84" s="1"/>
  <c r="V131" i="84" a="1"/>
  <c r="V131" i="84" s="1"/>
  <c r="U131" i="84" a="1"/>
  <c r="U131" i="84" s="1"/>
  <c r="T131" i="84" a="1"/>
  <c r="T131" i="84" s="1"/>
  <c r="S131" i="84" a="1"/>
  <c r="S131" i="84" s="1"/>
  <c r="R131" i="84" a="1"/>
  <c r="R131" i="84" s="1"/>
  <c r="Q131" i="84" a="1"/>
  <c r="Q131" i="84" s="1"/>
  <c r="P131" i="84" a="1"/>
  <c r="P131" i="84" s="1"/>
  <c r="O131" i="84" a="1"/>
  <c r="O131" i="84" s="1"/>
  <c r="N131" i="84" a="1"/>
  <c r="N131" i="84" s="1"/>
  <c r="M131" i="84" a="1"/>
  <c r="M131" i="84" s="1"/>
  <c r="L131" i="84" a="1"/>
  <c r="L131" i="84" s="1"/>
  <c r="K131" i="84" a="1"/>
  <c r="K131" i="84" s="1"/>
  <c r="J131" i="84" a="1"/>
  <c r="J131" i="84" s="1"/>
  <c r="I131" i="84" a="1"/>
  <c r="I131" i="84" s="1"/>
  <c r="H131" i="84" a="1"/>
  <c r="H131" i="84" s="1"/>
  <c r="G131" i="84" a="1"/>
  <c r="G131" i="84" s="1"/>
  <c r="F131" i="84" a="1"/>
  <c r="F131" i="84" s="1"/>
  <c r="E131" i="84" a="1"/>
  <c r="E131" i="84" s="1"/>
  <c r="D131" i="84" a="1"/>
  <c r="D131" i="84" s="1"/>
  <c r="AE130" i="84" a="1"/>
  <c r="AE130" i="84" s="1"/>
  <c r="AD130" i="84" a="1"/>
  <c r="AD130" i="84" s="1"/>
  <c r="AC130" i="84" a="1"/>
  <c r="AC130" i="84" s="1"/>
  <c r="AB130" i="84" a="1"/>
  <c r="AB130" i="84" s="1"/>
  <c r="AA130" i="84" a="1"/>
  <c r="AA130" i="84" s="1"/>
  <c r="Z130" i="84" a="1"/>
  <c r="Z130" i="84" s="1"/>
  <c r="Y130" i="84" a="1"/>
  <c r="Y130" i="84" s="1"/>
  <c r="X130" i="84" a="1"/>
  <c r="X130" i="84" s="1"/>
  <c r="W130" i="84" a="1"/>
  <c r="W130" i="84" s="1"/>
  <c r="V130" i="84" a="1"/>
  <c r="V130" i="84" s="1"/>
  <c r="U130" i="84" a="1"/>
  <c r="U130" i="84" s="1"/>
  <c r="T130" i="84" a="1"/>
  <c r="T130" i="84" s="1"/>
  <c r="S130" i="84" a="1"/>
  <c r="S130" i="84" s="1"/>
  <c r="R130" i="84" a="1"/>
  <c r="R130" i="84" s="1"/>
  <c r="Q130" i="84" a="1"/>
  <c r="Q130" i="84" s="1"/>
  <c r="P130" i="84" a="1"/>
  <c r="P130" i="84" s="1"/>
  <c r="O130" i="84" a="1"/>
  <c r="O130" i="84" s="1"/>
  <c r="N130" i="84" a="1"/>
  <c r="N130" i="84" s="1"/>
  <c r="M130" i="84" a="1"/>
  <c r="M130" i="84" s="1"/>
  <c r="L130" i="84" a="1"/>
  <c r="L130" i="84" s="1"/>
  <c r="K130" i="84" a="1"/>
  <c r="K130" i="84" s="1"/>
  <c r="J130" i="84" a="1"/>
  <c r="J130" i="84" s="1"/>
  <c r="I130" i="84" a="1"/>
  <c r="I130" i="84" s="1"/>
  <c r="H130" i="84" a="1"/>
  <c r="H130" i="84" s="1"/>
  <c r="G130" i="84" a="1"/>
  <c r="G130" i="84" s="1"/>
  <c r="F130" i="84" a="1"/>
  <c r="F130" i="84" s="1"/>
  <c r="E130" i="84" a="1"/>
  <c r="E130" i="84" s="1"/>
  <c r="D130" i="84" a="1"/>
  <c r="D130" i="84" s="1"/>
  <c r="AE129" i="84" a="1"/>
  <c r="AE129" i="84" s="1"/>
  <c r="AD129" i="84" a="1"/>
  <c r="AD129" i="84" s="1"/>
  <c r="AC129" i="84" a="1"/>
  <c r="AC129" i="84" s="1"/>
  <c r="AB129" i="84" a="1"/>
  <c r="AB129" i="84" s="1"/>
  <c r="AA129" i="84" a="1"/>
  <c r="AA129" i="84" s="1"/>
  <c r="Z129" i="84" a="1"/>
  <c r="Z129" i="84" s="1"/>
  <c r="Y129" i="84" a="1"/>
  <c r="Y129" i="84" s="1"/>
  <c r="X129" i="84" a="1"/>
  <c r="X129" i="84" s="1"/>
  <c r="W129" i="84" a="1"/>
  <c r="W129" i="84" s="1"/>
  <c r="V129" i="84" a="1"/>
  <c r="V129" i="84" s="1"/>
  <c r="U129" i="84" a="1"/>
  <c r="U129" i="84" s="1"/>
  <c r="T129" i="84" a="1"/>
  <c r="T129" i="84" s="1"/>
  <c r="S129" i="84" a="1"/>
  <c r="S129" i="84" s="1"/>
  <c r="R129" i="84" a="1"/>
  <c r="R129" i="84" s="1"/>
  <c r="Q129" i="84" a="1"/>
  <c r="Q129" i="84" s="1"/>
  <c r="P129" i="84" a="1"/>
  <c r="P129" i="84" s="1"/>
  <c r="O129" i="84" a="1"/>
  <c r="O129" i="84" s="1"/>
  <c r="N129" i="84" a="1"/>
  <c r="N129" i="84" s="1"/>
  <c r="M129" i="84" a="1"/>
  <c r="M129" i="84" s="1"/>
  <c r="L129" i="84" a="1"/>
  <c r="L129" i="84" s="1"/>
  <c r="K129" i="84" a="1"/>
  <c r="K129" i="84" s="1"/>
  <c r="J129" i="84" a="1"/>
  <c r="J129" i="84" s="1"/>
  <c r="I129" i="84" a="1"/>
  <c r="I129" i="84" s="1"/>
  <c r="H129" i="84" a="1"/>
  <c r="H129" i="84" s="1"/>
  <c r="G129" i="84" a="1"/>
  <c r="G129" i="84" s="1"/>
  <c r="F129" i="84" a="1"/>
  <c r="F129" i="84" s="1"/>
  <c r="E129" i="84" a="1"/>
  <c r="E129" i="84" s="1"/>
  <c r="D129" i="84" a="1"/>
  <c r="D129" i="84" s="1"/>
  <c r="AE128" i="84" a="1"/>
  <c r="AE128" i="84" s="1"/>
  <c r="AD128" i="84" a="1"/>
  <c r="AD128" i="84" s="1"/>
  <c r="AC128" i="84" a="1"/>
  <c r="AC128" i="84" s="1"/>
  <c r="AB128" i="84" a="1"/>
  <c r="AB128" i="84" s="1"/>
  <c r="AA128" i="84" a="1"/>
  <c r="AA128" i="84" s="1"/>
  <c r="Z128" i="84" a="1"/>
  <c r="Z128" i="84" s="1"/>
  <c r="Y128" i="84" a="1"/>
  <c r="Y128" i="84" s="1"/>
  <c r="X128" i="84" a="1"/>
  <c r="X128" i="84" s="1"/>
  <c r="W128" i="84" a="1"/>
  <c r="W128" i="84" s="1"/>
  <c r="V128" i="84" a="1"/>
  <c r="V128" i="84" s="1"/>
  <c r="U128" i="84" a="1"/>
  <c r="U128" i="84" s="1"/>
  <c r="T128" i="84" a="1"/>
  <c r="T128" i="84" s="1"/>
  <c r="S128" i="84" a="1"/>
  <c r="S128" i="84" s="1"/>
  <c r="R128" i="84" a="1"/>
  <c r="R128" i="84" s="1"/>
  <c r="Q128" i="84" a="1"/>
  <c r="Q128" i="84" s="1"/>
  <c r="P128" i="84" a="1"/>
  <c r="P128" i="84" s="1"/>
  <c r="O128" i="84" a="1"/>
  <c r="O128" i="84" s="1"/>
  <c r="N128" i="84" a="1"/>
  <c r="N128" i="84" s="1"/>
  <c r="M128" i="84" a="1"/>
  <c r="M128" i="84" s="1"/>
  <c r="L128" i="84" a="1"/>
  <c r="L128" i="84" s="1"/>
  <c r="K128" i="84" a="1"/>
  <c r="K128" i="84" s="1"/>
  <c r="J128" i="84" a="1"/>
  <c r="J128" i="84" s="1"/>
  <c r="I128" i="84" a="1"/>
  <c r="I128" i="84" s="1"/>
  <c r="H128" i="84" a="1"/>
  <c r="H128" i="84" s="1"/>
  <c r="G128" i="84" a="1"/>
  <c r="G128" i="84" s="1"/>
  <c r="F128" i="84" a="1"/>
  <c r="F128" i="84" s="1"/>
  <c r="E128" i="84" a="1"/>
  <c r="E128" i="84" s="1"/>
  <c r="D128" i="84" a="1"/>
  <c r="D128" i="84" s="1"/>
  <c r="AE127" i="84" a="1"/>
  <c r="AE127" i="84" s="1"/>
  <c r="AD127" i="84" a="1"/>
  <c r="AD127" i="84" s="1"/>
  <c r="AC127" i="84" a="1"/>
  <c r="AC127" i="84" s="1"/>
  <c r="AB127" i="84" a="1"/>
  <c r="AB127" i="84" s="1"/>
  <c r="AA127" i="84" a="1"/>
  <c r="AA127" i="84" s="1"/>
  <c r="Z127" i="84" a="1"/>
  <c r="Z127" i="84" s="1"/>
  <c r="Y127" i="84" a="1"/>
  <c r="Y127" i="84" s="1"/>
  <c r="X127" i="84" a="1"/>
  <c r="X127" i="84" s="1"/>
  <c r="W127" i="84" a="1"/>
  <c r="W127" i="84" s="1"/>
  <c r="V127" i="84" a="1"/>
  <c r="V127" i="84" s="1"/>
  <c r="U127" i="84" a="1"/>
  <c r="U127" i="84" s="1"/>
  <c r="T127" i="84" a="1"/>
  <c r="T127" i="84" s="1"/>
  <c r="S127" i="84" a="1"/>
  <c r="S127" i="84" s="1"/>
  <c r="R127" i="84" a="1"/>
  <c r="R127" i="84" s="1"/>
  <c r="Q127" i="84" a="1"/>
  <c r="Q127" i="84" s="1"/>
  <c r="P127" i="84" a="1"/>
  <c r="P127" i="84" s="1"/>
  <c r="O127" i="84" a="1"/>
  <c r="O127" i="84" s="1"/>
  <c r="N127" i="84" a="1"/>
  <c r="N127" i="84" s="1"/>
  <c r="M127" i="84" a="1"/>
  <c r="M127" i="84" s="1"/>
  <c r="L127" i="84" a="1"/>
  <c r="L127" i="84" s="1"/>
  <c r="K127" i="84" a="1"/>
  <c r="K127" i="84" s="1"/>
  <c r="J127" i="84" a="1"/>
  <c r="J127" i="84" s="1"/>
  <c r="I127" i="84" a="1"/>
  <c r="I127" i="84" s="1"/>
  <c r="H127" i="84" a="1"/>
  <c r="H127" i="84" s="1"/>
  <c r="G127" i="84" a="1"/>
  <c r="G127" i="84" s="1"/>
  <c r="F127" i="84" a="1"/>
  <c r="F127" i="84" s="1"/>
  <c r="E127" i="84" a="1"/>
  <c r="E127" i="84" s="1"/>
  <c r="D127" i="84" a="1"/>
  <c r="D127" i="84" s="1"/>
  <c r="AE126" i="84" a="1"/>
  <c r="AE126" i="84" s="1"/>
  <c r="AD126" i="84" a="1"/>
  <c r="AD126" i="84" s="1"/>
  <c r="AC126" i="84" a="1"/>
  <c r="AC126" i="84" s="1"/>
  <c r="AB126" i="84" a="1"/>
  <c r="AB126" i="84" s="1"/>
  <c r="AA126" i="84" a="1"/>
  <c r="AA126" i="84" s="1"/>
  <c r="Z126" i="84" a="1"/>
  <c r="Z126" i="84" s="1"/>
  <c r="Y126" i="84" a="1"/>
  <c r="Y126" i="84" s="1"/>
  <c r="X126" i="84" a="1"/>
  <c r="X126" i="84" s="1"/>
  <c r="W126" i="84" a="1"/>
  <c r="W126" i="84" s="1"/>
  <c r="V126" i="84" a="1"/>
  <c r="V126" i="84" s="1"/>
  <c r="U126" i="84" a="1"/>
  <c r="U126" i="84" s="1"/>
  <c r="T126" i="84" a="1"/>
  <c r="T126" i="84" s="1"/>
  <c r="S126" i="84" a="1"/>
  <c r="S126" i="84" s="1"/>
  <c r="R126" i="84" a="1"/>
  <c r="R126" i="84" s="1"/>
  <c r="Q126" i="84" a="1"/>
  <c r="Q126" i="84" s="1"/>
  <c r="P126" i="84" a="1"/>
  <c r="P126" i="84" s="1"/>
  <c r="O126" i="84" a="1"/>
  <c r="O126" i="84" s="1"/>
  <c r="N126" i="84" a="1"/>
  <c r="N126" i="84" s="1"/>
  <c r="M126" i="84" a="1"/>
  <c r="M126" i="84" s="1"/>
  <c r="L126" i="84" a="1"/>
  <c r="L126" i="84" s="1"/>
  <c r="K126" i="84" a="1"/>
  <c r="K126" i="84" s="1"/>
  <c r="J126" i="84" a="1"/>
  <c r="J126" i="84" s="1"/>
  <c r="I126" i="84" a="1"/>
  <c r="I126" i="84" s="1"/>
  <c r="H126" i="84" a="1"/>
  <c r="H126" i="84" s="1"/>
  <c r="G126" i="84" a="1"/>
  <c r="G126" i="84" s="1"/>
  <c r="F126" i="84" a="1"/>
  <c r="F126" i="84" s="1"/>
  <c r="E126" i="84" a="1"/>
  <c r="E126" i="84" s="1"/>
  <c r="D126" i="84" a="1"/>
  <c r="D126" i="84" s="1"/>
  <c r="AE125" i="84" a="1"/>
  <c r="AE125" i="84" s="1"/>
  <c r="AD125" i="84" a="1"/>
  <c r="AD125" i="84" s="1"/>
  <c r="AC125" i="84" a="1"/>
  <c r="AC125" i="84" s="1"/>
  <c r="AB125" i="84" a="1"/>
  <c r="AB125" i="84" s="1"/>
  <c r="AA125" i="84" a="1"/>
  <c r="AA125" i="84" s="1"/>
  <c r="Z125" i="84" a="1"/>
  <c r="Z125" i="84" s="1"/>
  <c r="Y125" i="84" a="1"/>
  <c r="Y125" i="84" s="1"/>
  <c r="X125" i="84" a="1"/>
  <c r="X125" i="84" s="1"/>
  <c r="W125" i="84" a="1"/>
  <c r="W125" i="84" s="1"/>
  <c r="V125" i="84" a="1"/>
  <c r="V125" i="84" s="1"/>
  <c r="U125" i="84" a="1"/>
  <c r="U125" i="84" s="1"/>
  <c r="T125" i="84" a="1"/>
  <c r="T125" i="84" s="1"/>
  <c r="S125" i="84" a="1"/>
  <c r="S125" i="84" s="1"/>
  <c r="R125" i="84" a="1"/>
  <c r="R125" i="84" s="1"/>
  <c r="Q125" i="84" a="1"/>
  <c r="Q125" i="84" s="1"/>
  <c r="P125" i="84" a="1"/>
  <c r="P125" i="84" s="1"/>
  <c r="O125" i="84" a="1"/>
  <c r="O125" i="84" s="1"/>
  <c r="N125" i="84" a="1"/>
  <c r="N125" i="84" s="1"/>
  <c r="M125" i="84" a="1"/>
  <c r="M125" i="84" s="1"/>
  <c r="L125" i="84" a="1"/>
  <c r="L125" i="84" s="1"/>
  <c r="K125" i="84" a="1"/>
  <c r="K125" i="84" s="1"/>
  <c r="J125" i="84" a="1"/>
  <c r="J125" i="84" s="1"/>
  <c r="I125" i="84" a="1"/>
  <c r="I125" i="84" s="1"/>
  <c r="H125" i="84" a="1"/>
  <c r="H125" i="84" s="1"/>
  <c r="G125" i="84" a="1"/>
  <c r="G125" i="84" s="1"/>
  <c r="F125" i="84" a="1"/>
  <c r="F125" i="84" s="1"/>
  <c r="E125" i="84" a="1"/>
  <c r="E125" i="84" s="1"/>
  <c r="D125" i="84" a="1"/>
  <c r="D125" i="84" s="1"/>
  <c r="AE124" i="84" a="1"/>
  <c r="AE124" i="84" s="1"/>
  <c r="AD124" i="84" a="1"/>
  <c r="AD124" i="84" s="1"/>
  <c r="AC124" i="84" a="1"/>
  <c r="AC124" i="84" s="1"/>
  <c r="AB124" i="84" a="1"/>
  <c r="AB124" i="84" s="1"/>
  <c r="AA124" i="84" a="1"/>
  <c r="AA124" i="84" s="1"/>
  <c r="Z124" i="84" a="1"/>
  <c r="Z124" i="84" s="1"/>
  <c r="Y124" i="84" a="1"/>
  <c r="Y124" i="84" s="1"/>
  <c r="X124" i="84" a="1"/>
  <c r="X124" i="84" s="1"/>
  <c r="W124" i="84" a="1"/>
  <c r="W124" i="84" s="1"/>
  <c r="V124" i="84" a="1"/>
  <c r="V124" i="84" s="1"/>
  <c r="U124" i="84" a="1"/>
  <c r="U124" i="84" s="1"/>
  <c r="T124" i="84" a="1"/>
  <c r="T124" i="84" s="1"/>
  <c r="S124" i="84" a="1"/>
  <c r="S124" i="84" s="1"/>
  <c r="R124" i="84" a="1"/>
  <c r="R124" i="84" s="1"/>
  <c r="Q124" i="84" a="1"/>
  <c r="Q124" i="84" s="1"/>
  <c r="P124" i="84" a="1"/>
  <c r="P124" i="84" s="1"/>
  <c r="O124" i="84" a="1"/>
  <c r="O124" i="84" s="1"/>
  <c r="N124" i="84" a="1"/>
  <c r="N124" i="84" s="1"/>
  <c r="M124" i="84" a="1"/>
  <c r="M124" i="84" s="1"/>
  <c r="L124" i="84" a="1"/>
  <c r="L124" i="84" s="1"/>
  <c r="K124" i="84" a="1"/>
  <c r="K124" i="84" s="1"/>
  <c r="J124" i="84" a="1"/>
  <c r="J124" i="84" s="1"/>
  <c r="I124" i="84" a="1"/>
  <c r="I124" i="84" s="1"/>
  <c r="H124" i="84" a="1"/>
  <c r="H124" i="84" s="1"/>
  <c r="G124" i="84" a="1"/>
  <c r="G124" i="84" s="1"/>
  <c r="F124" i="84" a="1"/>
  <c r="F124" i="84" s="1"/>
  <c r="E124" i="84" a="1"/>
  <c r="E124" i="84" s="1"/>
  <c r="D124" i="84" a="1"/>
  <c r="D124" i="84" s="1"/>
  <c r="AE123" i="84" a="1"/>
  <c r="AE123" i="84" s="1"/>
  <c r="AD123" i="84" a="1"/>
  <c r="AD123" i="84" s="1"/>
  <c r="AC123" i="84" a="1"/>
  <c r="AC123" i="84" s="1"/>
  <c r="AB123" i="84" a="1"/>
  <c r="AB123" i="84" s="1"/>
  <c r="AA123" i="84" a="1"/>
  <c r="AA123" i="84" s="1"/>
  <c r="Z123" i="84" a="1"/>
  <c r="Z123" i="84" s="1"/>
  <c r="Y123" i="84" a="1"/>
  <c r="Y123" i="84" s="1"/>
  <c r="X123" i="84" a="1"/>
  <c r="X123" i="84" s="1"/>
  <c r="W123" i="84" a="1"/>
  <c r="W123" i="84" s="1"/>
  <c r="V123" i="84" a="1"/>
  <c r="V123" i="84" s="1"/>
  <c r="U123" i="84" a="1"/>
  <c r="U123" i="84" s="1"/>
  <c r="T123" i="84" a="1"/>
  <c r="T123" i="84" s="1"/>
  <c r="S123" i="84" a="1"/>
  <c r="S123" i="84" s="1"/>
  <c r="R123" i="84" a="1"/>
  <c r="R123" i="84" s="1"/>
  <c r="Q123" i="84" a="1"/>
  <c r="Q123" i="84" s="1"/>
  <c r="P123" i="84" a="1"/>
  <c r="P123" i="84" s="1"/>
  <c r="O123" i="84" a="1"/>
  <c r="O123" i="84" s="1"/>
  <c r="N123" i="84" a="1"/>
  <c r="N123" i="84" s="1"/>
  <c r="M123" i="84" a="1"/>
  <c r="M123" i="84" s="1"/>
  <c r="L123" i="84" a="1"/>
  <c r="L123" i="84" s="1"/>
  <c r="K123" i="84" a="1"/>
  <c r="K123" i="84" s="1"/>
  <c r="J123" i="84" a="1"/>
  <c r="J123" i="84" s="1"/>
  <c r="I123" i="84" a="1"/>
  <c r="I123" i="84" s="1"/>
  <c r="H123" i="84" a="1"/>
  <c r="H123" i="84" s="1"/>
  <c r="G123" i="84" a="1"/>
  <c r="G123" i="84" s="1"/>
  <c r="F123" i="84" a="1"/>
  <c r="F123" i="84" s="1"/>
  <c r="E123" i="84" a="1"/>
  <c r="E123" i="84" s="1"/>
  <c r="D123" i="84" a="1"/>
  <c r="D123" i="84" s="1"/>
  <c r="AE122" i="84" a="1"/>
  <c r="AE122" i="84" s="1"/>
  <c r="AD122" i="84" a="1"/>
  <c r="AD122" i="84" s="1"/>
  <c r="AC122" i="84" a="1"/>
  <c r="AC122" i="84" s="1"/>
  <c r="AB122" i="84" a="1"/>
  <c r="AB122" i="84" s="1"/>
  <c r="AA122" i="84" a="1"/>
  <c r="AA122" i="84" s="1"/>
  <c r="Z122" i="84" a="1"/>
  <c r="Z122" i="84" s="1"/>
  <c r="Y122" i="84" a="1"/>
  <c r="Y122" i="84" s="1"/>
  <c r="X122" i="84" a="1"/>
  <c r="X122" i="84" s="1"/>
  <c r="W122" i="84" a="1"/>
  <c r="W122" i="84" s="1"/>
  <c r="V122" i="84" a="1"/>
  <c r="V122" i="84" s="1"/>
  <c r="U122" i="84" a="1"/>
  <c r="U122" i="84" s="1"/>
  <c r="T122" i="84" a="1"/>
  <c r="T122" i="84" s="1"/>
  <c r="S122" i="84" a="1"/>
  <c r="S122" i="84" s="1"/>
  <c r="R122" i="84" a="1"/>
  <c r="R122" i="84" s="1"/>
  <c r="Q122" i="84" a="1"/>
  <c r="Q122" i="84" s="1"/>
  <c r="P122" i="84" a="1"/>
  <c r="P122" i="84" s="1"/>
  <c r="O122" i="84" a="1"/>
  <c r="O122" i="84" s="1"/>
  <c r="N122" i="84" a="1"/>
  <c r="N122" i="84" s="1"/>
  <c r="M122" i="84" a="1"/>
  <c r="M122" i="84" s="1"/>
  <c r="L122" i="84" a="1"/>
  <c r="L122" i="84" s="1"/>
  <c r="K122" i="84" a="1"/>
  <c r="K122" i="84" s="1"/>
  <c r="J122" i="84" a="1"/>
  <c r="J122" i="84" s="1"/>
  <c r="I122" i="84" a="1"/>
  <c r="I122" i="84" s="1"/>
  <c r="H122" i="84" a="1"/>
  <c r="H122" i="84" s="1"/>
  <c r="G122" i="84" a="1"/>
  <c r="G122" i="84" s="1"/>
  <c r="F122" i="84" a="1"/>
  <c r="F122" i="84" s="1"/>
  <c r="E122" i="84" a="1"/>
  <c r="E122" i="84" s="1"/>
  <c r="D122" i="84" a="1"/>
  <c r="D122" i="84" s="1"/>
  <c r="AE121" i="84" a="1"/>
  <c r="AE121" i="84" s="1"/>
  <c r="AD121" i="84" a="1"/>
  <c r="AD121" i="84" s="1"/>
  <c r="AC121" i="84" a="1"/>
  <c r="AC121" i="84" s="1"/>
  <c r="AB121" i="84" a="1"/>
  <c r="AB121" i="84" s="1"/>
  <c r="AA121" i="84" a="1"/>
  <c r="AA121" i="84" s="1"/>
  <c r="Z121" i="84" a="1"/>
  <c r="Z121" i="84" s="1"/>
  <c r="Y121" i="84" a="1"/>
  <c r="Y121" i="84" s="1"/>
  <c r="X121" i="84" a="1"/>
  <c r="X121" i="84" s="1"/>
  <c r="W121" i="84" a="1"/>
  <c r="W121" i="84" s="1"/>
  <c r="V121" i="84" a="1"/>
  <c r="V121" i="84" s="1"/>
  <c r="U121" i="84" a="1"/>
  <c r="U121" i="84" s="1"/>
  <c r="T121" i="84" a="1"/>
  <c r="T121" i="84" s="1"/>
  <c r="S121" i="84" a="1"/>
  <c r="S121" i="84" s="1"/>
  <c r="R121" i="84" a="1"/>
  <c r="R121" i="84" s="1"/>
  <c r="Q121" i="84" a="1"/>
  <c r="Q121" i="84" s="1"/>
  <c r="P121" i="84" a="1"/>
  <c r="P121" i="84" s="1"/>
  <c r="O121" i="84" a="1"/>
  <c r="O121" i="84" s="1"/>
  <c r="N121" i="84" a="1"/>
  <c r="N121" i="84" s="1"/>
  <c r="M121" i="84" a="1"/>
  <c r="M121" i="84" s="1"/>
  <c r="L121" i="84" a="1"/>
  <c r="L121" i="84" s="1"/>
  <c r="K121" i="84" a="1"/>
  <c r="K121" i="84" s="1"/>
  <c r="J121" i="84" a="1"/>
  <c r="J121" i="84" s="1"/>
  <c r="I121" i="84" a="1"/>
  <c r="I121" i="84" s="1"/>
  <c r="H121" i="84" a="1"/>
  <c r="H121" i="84" s="1"/>
  <c r="G121" i="84" a="1"/>
  <c r="G121" i="84" s="1"/>
  <c r="F121" i="84" a="1"/>
  <c r="F121" i="84" s="1"/>
  <c r="E121" i="84" a="1"/>
  <c r="E121" i="84" s="1"/>
  <c r="D121" i="84" a="1"/>
  <c r="D121" i="84" s="1"/>
  <c r="AE120" i="84" a="1"/>
  <c r="AE120" i="84" s="1"/>
  <c r="AD120" i="84" a="1"/>
  <c r="AD120" i="84" s="1"/>
  <c r="AC120" i="84" a="1"/>
  <c r="AC120" i="84" s="1"/>
  <c r="AB120" i="84" a="1"/>
  <c r="AB120" i="84" s="1"/>
  <c r="AA120" i="84" a="1"/>
  <c r="AA120" i="84" s="1"/>
  <c r="Z120" i="84" a="1"/>
  <c r="Z120" i="84" s="1"/>
  <c r="Y120" i="84" a="1"/>
  <c r="Y120" i="84" s="1"/>
  <c r="X120" i="84" a="1"/>
  <c r="X120" i="84" s="1"/>
  <c r="W120" i="84" a="1"/>
  <c r="W120" i="84" s="1"/>
  <c r="V120" i="84" a="1"/>
  <c r="V120" i="84" s="1"/>
  <c r="U120" i="84" a="1"/>
  <c r="U120" i="84" s="1"/>
  <c r="T120" i="84" a="1"/>
  <c r="T120" i="84" s="1"/>
  <c r="S120" i="84" a="1"/>
  <c r="S120" i="84" s="1"/>
  <c r="R120" i="84" a="1"/>
  <c r="R120" i="84" s="1"/>
  <c r="Q120" i="84" a="1"/>
  <c r="Q120" i="84" s="1"/>
  <c r="P120" i="84" a="1"/>
  <c r="P120" i="84" s="1"/>
  <c r="O120" i="84" a="1"/>
  <c r="O120" i="84" s="1"/>
  <c r="N120" i="84" a="1"/>
  <c r="N120" i="84" s="1"/>
  <c r="M120" i="84" a="1"/>
  <c r="M120" i="84" s="1"/>
  <c r="L120" i="84" a="1"/>
  <c r="L120" i="84" s="1"/>
  <c r="K120" i="84" a="1"/>
  <c r="K120" i="84" s="1"/>
  <c r="J120" i="84" a="1"/>
  <c r="J120" i="84" s="1"/>
  <c r="I120" i="84" a="1"/>
  <c r="I120" i="84" s="1"/>
  <c r="H120" i="84" a="1"/>
  <c r="H120" i="84" s="1"/>
  <c r="G120" i="84" a="1"/>
  <c r="G120" i="84" s="1"/>
  <c r="F120" i="84" a="1"/>
  <c r="F120" i="84" s="1"/>
  <c r="E120" i="84" a="1"/>
  <c r="E120" i="84" s="1"/>
  <c r="D120" i="84" a="1"/>
  <c r="D120" i="84" s="1"/>
  <c r="AE119" i="84" a="1"/>
  <c r="AE119" i="84" s="1"/>
  <c r="AD119" i="84" a="1"/>
  <c r="AD119" i="84" s="1"/>
  <c r="AC119" i="84" a="1"/>
  <c r="AC119" i="84" s="1"/>
  <c r="AB119" i="84" a="1"/>
  <c r="AB119" i="84" s="1"/>
  <c r="AA119" i="84" a="1"/>
  <c r="AA119" i="84" s="1"/>
  <c r="Z119" i="84" a="1"/>
  <c r="Z119" i="84" s="1"/>
  <c r="Y119" i="84" a="1"/>
  <c r="Y119" i="84" s="1"/>
  <c r="X119" i="84" a="1"/>
  <c r="X119" i="84" s="1"/>
  <c r="W119" i="84" a="1"/>
  <c r="W119" i="84" s="1"/>
  <c r="V119" i="84" a="1"/>
  <c r="V119" i="84" s="1"/>
  <c r="U119" i="84" a="1"/>
  <c r="U119" i="84" s="1"/>
  <c r="T119" i="84" a="1"/>
  <c r="T119" i="84" s="1"/>
  <c r="S119" i="84" a="1"/>
  <c r="S119" i="84" s="1"/>
  <c r="R119" i="84" a="1"/>
  <c r="R119" i="84" s="1"/>
  <c r="Q119" i="84" a="1"/>
  <c r="Q119" i="84" s="1"/>
  <c r="P119" i="84" a="1"/>
  <c r="P119" i="84" s="1"/>
  <c r="O119" i="84" a="1"/>
  <c r="O119" i="84" s="1"/>
  <c r="N119" i="84" a="1"/>
  <c r="N119" i="84" s="1"/>
  <c r="M119" i="84" a="1"/>
  <c r="M119" i="84" s="1"/>
  <c r="L119" i="84" a="1"/>
  <c r="L119" i="84" s="1"/>
  <c r="K119" i="84" a="1"/>
  <c r="K119" i="84" s="1"/>
  <c r="J119" i="84" a="1"/>
  <c r="J119" i="84" s="1"/>
  <c r="I119" i="84" a="1"/>
  <c r="I119" i="84" s="1"/>
  <c r="H119" i="84" a="1"/>
  <c r="H119" i="84" s="1"/>
  <c r="G119" i="84" a="1"/>
  <c r="G119" i="84" s="1"/>
  <c r="F119" i="84" a="1"/>
  <c r="F119" i="84" s="1"/>
  <c r="E119" i="84" a="1"/>
  <c r="E119" i="84" s="1"/>
  <c r="D119" i="84" a="1"/>
  <c r="D119" i="84" s="1"/>
  <c r="AE118" i="84" a="1"/>
  <c r="AE118" i="84" s="1"/>
  <c r="AD118" i="84" a="1"/>
  <c r="AD118" i="84" s="1"/>
  <c r="AC118" i="84" a="1"/>
  <c r="AC118" i="84" s="1"/>
  <c r="AB118" i="84" a="1"/>
  <c r="AB118" i="84" s="1"/>
  <c r="AA118" i="84" a="1"/>
  <c r="AA118" i="84" s="1"/>
  <c r="Z118" i="84" a="1"/>
  <c r="Z118" i="84" s="1"/>
  <c r="Y118" i="84" a="1"/>
  <c r="Y118" i="84" s="1"/>
  <c r="X118" i="84" a="1"/>
  <c r="X118" i="84" s="1"/>
  <c r="W118" i="84" a="1"/>
  <c r="W118" i="84" s="1"/>
  <c r="V118" i="84" a="1"/>
  <c r="V118" i="84" s="1"/>
  <c r="U118" i="84" a="1"/>
  <c r="U118" i="84" s="1"/>
  <c r="T118" i="84" a="1"/>
  <c r="T118" i="84" s="1"/>
  <c r="S118" i="84" a="1"/>
  <c r="S118" i="84" s="1"/>
  <c r="R118" i="84" a="1"/>
  <c r="R118" i="84" s="1"/>
  <c r="Q118" i="84" a="1"/>
  <c r="Q118" i="84" s="1"/>
  <c r="P118" i="84" a="1"/>
  <c r="P118" i="84" s="1"/>
  <c r="O118" i="84" a="1"/>
  <c r="O118" i="84" s="1"/>
  <c r="N118" i="84" a="1"/>
  <c r="N118" i="84" s="1"/>
  <c r="M118" i="84" a="1"/>
  <c r="M118" i="84" s="1"/>
  <c r="L118" i="84" a="1"/>
  <c r="L118" i="84" s="1"/>
  <c r="K118" i="84" a="1"/>
  <c r="K118" i="84" s="1"/>
  <c r="J118" i="84" a="1"/>
  <c r="J118" i="84" s="1"/>
  <c r="I118" i="84" a="1"/>
  <c r="I118" i="84" s="1"/>
  <c r="H118" i="84" a="1"/>
  <c r="H118" i="84" s="1"/>
  <c r="G118" i="84" a="1"/>
  <c r="G118" i="84" s="1"/>
  <c r="F118" i="84" a="1"/>
  <c r="F118" i="84" s="1"/>
  <c r="E118" i="84" a="1"/>
  <c r="E118" i="84" s="1"/>
  <c r="D118" i="84" a="1"/>
  <c r="D118" i="84" s="1"/>
  <c r="AE117" i="84" a="1"/>
  <c r="AE117" i="84" s="1"/>
  <c r="AD117" i="84" a="1"/>
  <c r="AD117" i="84" s="1"/>
  <c r="AC117" i="84" a="1"/>
  <c r="AC117" i="84" s="1"/>
  <c r="AB117" i="84" a="1"/>
  <c r="AB117" i="84" s="1"/>
  <c r="AA117" i="84" a="1"/>
  <c r="AA117" i="84" s="1"/>
  <c r="Z117" i="84" a="1"/>
  <c r="Z117" i="84" s="1"/>
  <c r="Y117" i="84" a="1"/>
  <c r="Y117" i="84" s="1"/>
  <c r="X117" i="84" a="1"/>
  <c r="X117" i="84" s="1"/>
  <c r="W117" i="84" a="1"/>
  <c r="W117" i="84" s="1"/>
  <c r="V117" i="84" a="1"/>
  <c r="V117" i="84" s="1"/>
  <c r="U117" i="84" a="1"/>
  <c r="U117" i="84" s="1"/>
  <c r="T117" i="84" a="1"/>
  <c r="T117" i="84" s="1"/>
  <c r="S117" i="84" a="1"/>
  <c r="S117" i="84" s="1"/>
  <c r="R117" i="84" a="1"/>
  <c r="R117" i="84" s="1"/>
  <c r="Q117" i="84" a="1"/>
  <c r="Q117" i="84" s="1"/>
  <c r="P117" i="84" a="1"/>
  <c r="P117" i="84" s="1"/>
  <c r="O117" i="84" a="1"/>
  <c r="O117" i="84" s="1"/>
  <c r="N117" i="84" a="1"/>
  <c r="N117" i="84" s="1"/>
  <c r="M117" i="84" a="1"/>
  <c r="M117" i="84" s="1"/>
  <c r="L117" i="84" a="1"/>
  <c r="L117" i="84" s="1"/>
  <c r="K117" i="84" a="1"/>
  <c r="K117" i="84" s="1"/>
  <c r="J117" i="84" a="1"/>
  <c r="J117" i="84" s="1"/>
  <c r="I117" i="84" a="1"/>
  <c r="I117" i="84" s="1"/>
  <c r="H117" i="84" a="1"/>
  <c r="H117" i="84" s="1"/>
  <c r="G117" i="84" a="1"/>
  <c r="G117" i="84" s="1"/>
  <c r="F117" i="84" a="1"/>
  <c r="F117" i="84" s="1"/>
  <c r="E117" i="84" a="1"/>
  <c r="E117" i="84" s="1"/>
  <c r="D117" i="84" a="1"/>
  <c r="D117" i="84" s="1"/>
  <c r="AE116" i="84" a="1"/>
  <c r="AE116" i="84" s="1"/>
  <c r="AD116" i="84" a="1"/>
  <c r="AD116" i="84" s="1"/>
  <c r="AC116" i="84" a="1"/>
  <c r="AC116" i="84" s="1"/>
  <c r="AB116" i="84" a="1"/>
  <c r="AB116" i="84" s="1"/>
  <c r="AA116" i="84" a="1"/>
  <c r="AA116" i="84" s="1"/>
  <c r="Z116" i="84" a="1"/>
  <c r="Z116" i="84" s="1"/>
  <c r="Y116" i="84" a="1"/>
  <c r="Y116" i="84" s="1"/>
  <c r="X116" i="84" a="1"/>
  <c r="X116" i="84" s="1"/>
  <c r="W116" i="84" a="1"/>
  <c r="W116" i="84" s="1"/>
  <c r="V116" i="84" a="1"/>
  <c r="V116" i="84" s="1"/>
  <c r="U116" i="84" a="1"/>
  <c r="U116" i="84" s="1"/>
  <c r="T116" i="84" a="1"/>
  <c r="T116" i="84" s="1"/>
  <c r="S116" i="84" a="1"/>
  <c r="S116" i="84" s="1"/>
  <c r="R116" i="84" a="1"/>
  <c r="R116" i="84" s="1"/>
  <c r="Q116" i="84" a="1"/>
  <c r="Q116" i="84" s="1"/>
  <c r="P116" i="84" a="1"/>
  <c r="P116" i="84" s="1"/>
  <c r="O116" i="84" a="1"/>
  <c r="O116" i="84" s="1"/>
  <c r="N116" i="84" a="1"/>
  <c r="N116" i="84" s="1"/>
  <c r="M116" i="84" a="1"/>
  <c r="M116" i="84" s="1"/>
  <c r="L116" i="84" a="1"/>
  <c r="L116" i="84" s="1"/>
  <c r="K116" i="84" a="1"/>
  <c r="K116" i="84" s="1"/>
  <c r="J116" i="84" a="1"/>
  <c r="J116" i="84" s="1"/>
  <c r="I116" i="84" a="1"/>
  <c r="I116" i="84" s="1"/>
  <c r="H116" i="84" a="1"/>
  <c r="H116" i="84" s="1"/>
  <c r="G116" i="84" a="1"/>
  <c r="G116" i="84" s="1"/>
  <c r="F116" i="84" a="1"/>
  <c r="F116" i="84" s="1"/>
  <c r="E116" i="84" a="1"/>
  <c r="E116" i="84" s="1"/>
  <c r="D116" i="84" a="1"/>
  <c r="D116" i="84" s="1"/>
  <c r="AE115" i="84" a="1"/>
  <c r="AE115" i="84" s="1"/>
  <c r="AD115" i="84" a="1"/>
  <c r="AD115" i="84" s="1"/>
  <c r="AC115" i="84" a="1"/>
  <c r="AC115" i="84" s="1"/>
  <c r="AB115" i="84" a="1"/>
  <c r="AB115" i="84" s="1"/>
  <c r="AA115" i="84" a="1"/>
  <c r="AA115" i="84" s="1"/>
  <c r="Z115" i="84" a="1"/>
  <c r="Z115" i="84" s="1"/>
  <c r="Y115" i="84" a="1"/>
  <c r="Y115" i="84" s="1"/>
  <c r="X115" i="84" a="1"/>
  <c r="X115" i="84" s="1"/>
  <c r="W115" i="84" a="1"/>
  <c r="W115" i="84" s="1"/>
  <c r="V115" i="84" a="1"/>
  <c r="V115" i="84" s="1"/>
  <c r="U115" i="84" a="1"/>
  <c r="U115" i="84" s="1"/>
  <c r="T115" i="84" a="1"/>
  <c r="T115" i="84" s="1"/>
  <c r="S115" i="84" a="1"/>
  <c r="S115" i="84" s="1"/>
  <c r="R115" i="84" a="1"/>
  <c r="R115" i="84" s="1"/>
  <c r="Q115" i="84" a="1"/>
  <c r="Q115" i="84" s="1"/>
  <c r="P115" i="84" a="1"/>
  <c r="P115" i="84" s="1"/>
  <c r="O115" i="84" a="1"/>
  <c r="O115" i="84" s="1"/>
  <c r="N115" i="84" a="1"/>
  <c r="N115" i="84" s="1"/>
  <c r="M115" i="84" a="1"/>
  <c r="M115" i="84" s="1"/>
  <c r="L115" i="84" a="1"/>
  <c r="L115" i="84" s="1"/>
  <c r="K115" i="84" a="1"/>
  <c r="K115" i="84" s="1"/>
  <c r="J115" i="84" a="1"/>
  <c r="J115" i="84" s="1"/>
  <c r="I115" i="84" a="1"/>
  <c r="I115" i="84" s="1"/>
  <c r="H115" i="84" a="1"/>
  <c r="H115" i="84" s="1"/>
  <c r="G115" i="84" a="1"/>
  <c r="G115" i="84" s="1"/>
  <c r="F115" i="84" a="1"/>
  <c r="F115" i="84" s="1"/>
  <c r="E115" i="84" a="1"/>
  <c r="E115" i="84" s="1"/>
  <c r="D115" i="84" a="1"/>
  <c r="D115" i="84" s="1"/>
  <c r="AE114" i="84" a="1"/>
  <c r="AE114" i="84" s="1"/>
  <c r="AD114" i="84" a="1"/>
  <c r="AD114" i="84" s="1"/>
  <c r="AC114" i="84" a="1"/>
  <c r="AC114" i="84" s="1"/>
  <c r="AB114" i="84" a="1"/>
  <c r="AB114" i="84" s="1"/>
  <c r="AA114" i="84" a="1"/>
  <c r="AA114" i="84" s="1"/>
  <c r="Z114" i="84" a="1"/>
  <c r="Z114" i="84" s="1"/>
  <c r="Y114" i="84" a="1"/>
  <c r="Y114" i="84" s="1"/>
  <c r="X114" i="84" a="1"/>
  <c r="X114" i="84" s="1"/>
  <c r="W114" i="84" a="1"/>
  <c r="W114" i="84" s="1"/>
  <c r="V114" i="84" a="1"/>
  <c r="V114" i="84" s="1"/>
  <c r="U114" i="84" a="1"/>
  <c r="U114" i="84" s="1"/>
  <c r="T114" i="84" a="1"/>
  <c r="T114" i="84" s="1"/>
  <c r="S114" i="84" a="1"/>
  <c r="S114" i="84" s="1"/>
  <c r="R114" i="84" a="1"/>
  <c r="R114" i="84" s="1"/>
  <c r="Q114" i="84" a="1"/>
  <c r="Q114" i="84" s="1"/>
  <c r="P114" i="84" a="1"/>
  <c r="P114" i="84" s="1"/>
  <c r="O114" i="84" a="1"/>
  <c r="O114" i="84" s="1"/>
  <c r="N114" i="84" a="1"/>
  <c r="N114" i="84" s="1"/>
  <c r="M114" i="84" a="1"/>
  <c r="M114" i="84" s="1"/>
  <c r="L114" i="84" a="1"/>
  <c r="L114" i="84" s="1"/>
  <c r="K114" i="84" a="1"/>
  <c r="K114" i="84" s="1"/>
  <c r="J114" i="84" a="1"/>
  <c r="J114" i="84" s="1"/>
  <c r="I114" i="84" a="1"/>
  <c r="I114" i="84" s="1"/>
  <c r="H114" i="84" a="1"/>
  <c r="H114" i="84" s="1"/>
  <c r="G114" i="84" a="1"/>
  <c r="G114" i="84" s="1"/>
  <c r="F114" i="84" a="1"/>
  <c r="F114" i="84" s="1"/>
  <c r="E114" i="84" a="1"/>
  <c r="E114" i="84" s="1"/>
  <c r="D114" i="84" a="1"/>
  <c r="D114" i="84" s="1"/>
  <c r="AE113" i="84" a="1"/>
  <c r="AE113" i="84" s="1"/>
  <c r="AD113" i="84" a="1"/>
  <c r="AD113" i="84" s="1"/>
  <c r="AC113" i="84" a="1"/>
  <c r="AC113" i="84" s="1"/>
  <c r="AB113" i="84" a="1"/>
  <c r="AB113" i="84" s="1"/>
  <c r="AA113" i="84" a="1"/>
  <c r="AA113" i="84" s="1"/>
  <c r="Z113" i="84" a="1"/>
  <c r="Z113" i="84" s="1"/>
  <c r="Y113" i="84" a="1"/>
  <c r="Y113" i="84" s="1"/>
  <c r="X113" i="84" a="1"/>
  <c r="X113" i="84" s="1"/>
  <c r="W113" i="84" a="1"/>
  <c r="W113" i="84" s="1"/>
  <c r="V113" i="84" a="1"/>
  <c r="V113" i="84" s="1"/>
  <c r="U113" i="84" a="1"/>
  <c r="U113" i="84" s="1"/>
  <c r="T113" i="84" a="1"/>
  <c r="T113" i="84" s="1"/>
  <c r="S113" i="84" a="1"/>
  <c r="S113" i="84" s="1"/>
  <c r="R113" i="84" a="1"/>
  <c r="R113" i="84" s="1"/>
  <c r="Q113" i="84" a="1"/>
  <c r="Q113" i="84" s="1"/>
  <c r="P113" i="84" a="1"/>
  <c r="P113" i="84" s="1"/>
  <c r="O113" i="84" a="1"/>
  <c r="O113" i="84" s="1"/>
  <c r="N113" i="84" a="1"/>
  <c r="N113" i="84" s="1"/>
  <c r="M113" i="84" a="1"/>
  <c r="M113" i="84" s="1"/>
  <c r="L113" i="84" a="1"/>
  <c r="L113" i="84" s="1"/>
  <c r="K113" i="84" a="1"/>
  <c r="K113" i="84" s="1"/>
  <c r="J113" i="84" a="1"/>
  <c r="J113" i="84" s="1"/>
  <c r="I113" i="84" a="1"/>
  <c r="I113" i="84" s="1"/>
  <c r="H113" i="84" a="1"/>
  <c r="H113" i="84" s="1"/>
  <c r="G113" i="84" a="1"/>
  <c r="G113" i="84" s="1"/>
  <c r="F113" i="84" a="1"/>
  <c r="F113" i="84" s="1"/>
  <c r="E113" i="84" a="1"/>
  <c r="E113" i="84" s="1"/>
  <c r="D113" i="84" a="1"/>
  <c r="D113" i="84" s="1"/>
  <c r="AE112" i="84" a="1"/>
  <c r="AE112" i="84" s="1"/>
  <c r="AD112" i="84" a="1"/>
  <c r="AD112" i="84" s="1"/>
  <c r="AC112" i="84" a="1"/>
  <c r="AC112" i="84" s="1"/>
  <c r="AB112" i="84" a="1"/>
  <c r="AB112" i="84" s="1"/>
  <c r="AA112" i="84" a="1"/>
  <c r="AA112" i="84" s="1"/>
  <c r="Z112" i="84" a="1"/>
  <c r="Z112" i="84" s="1"/>
  <c r="Y112" i="84" a="1"/>
  <c r="Y112" i="84" s="1"/>
  <c r="X112" i="84" a="1"/>
  <c r="X112" i="84" s="1"/>
  <c r="W112" i="84" a="1"/>
  <c r="W112" i="84" s="1"/>
  <c r="V112" i="84" a="1"/>
  <c r="V112" i="84" s="1"/>
  <c r="U112" i="84" a="1"/>
  <c r="U112" i="84" s="1"/>
  <c r="T112" i="84" a="1"/>
  <c r="T112" i="84" s="1"/>
  <c r="S112" i="84" a="1"/>
  <c r="S112" i="84" s="1"/>
  <c r="R112" i="84" a="1"/>
  <c r="R112" i="84" s="1"/>
  <c r="Q112" i="84" a="1"/>
  <c r="Q112" i="84" s="1"/>
  <c r="P112" i="84" a="1"/>
  <c r="P112" i="84" s="1"/>
  <c r="O112" i="84" a="1"/>
  <c r="O112" i="84" s="1"/>
  <c r="N112" i="84" a="1"/>
  <c r="N112" i="84" s="1"/>
  <c r="M112" i="84" a="1"/>
  <c r="M112" i="84" s="1"/>
  <c r="L112" i="84" a="1"/>
  <c r="L112" i="84" s="1"/>
  <c r="K112" i="84" a="1"/>
  <c r="K112" i="84" s="1"/>
  <c r="J112" i="84" a="1"/>
  <c r="J112" i="84" s="1"/>
  <c r="I112" i="84" a="1"/>
  <c r="I112" i="84" s="1"/>
  <c r="H112" i="84" a="1"/>
  <c r="H112" i="84" s="1"/>
  <c r="G112" i="84" a="1"/>
  <c r="G112" i="84" s="1"/>
  <c r="F112" i="84" a="1"/>
  <c r="F112" i="84" s="1"/>
  <c r="E112" i="84" a="1"/>
  <c r="E112" i="84" s="1"/>
  <c r="D112" i="84" a="1"/>
  <c r="D112" i="84" s="1"/>
  <c r="AE111" i="84" a="1"/>
  <c r="AE111" i="84" s="1"/>
  <c r="AD111" i="84" a="1"/>
  <c r="AD111" i="84" s="1"/>
  <c r="AC111" i="84" a="1"/>
  <c r="AC111" i="84" s="1"/>
  <c r="AB111" i="84" a="1"/>
  <c r="AB111" i="84" s="1"/>
  <c r="AA111" i="84" a="1"/>
  <c r="AA111" i="84" s="1"/>
  <c r="Z111" i="84" a="1"/>
  <c r="Z111" i="84" s="1"/>
  <c r="Y111" i="84" a="1"/>
  <c r="Y111" i="84" s="1"/>
  <c r="X111" i="84" a="1"/>
  <c r="X111" i="84" s="1"/>
  <c r="W111" i="84" a="1"/>
  <c r="W111" i="84" s="1"/>
  <c r="V111" i="84" a="1"/>
  <c r="V111" i="84" s="1"/>
  <c r="U111" i="84" a="1"/>
  <c r="U111" i="84" s="1"/>
  <c r="T111" i="84" a="1"/>
  <c r="T111" i="84" s="1"/>
  <c r="S111" i="84" a="1"/>
  <c r="S111" i="84" s="1"/>
  <c r="R111" i="84" a="1"/>
  <c r="R111" i="84" s="1"/>
  <c r="Q111" i="84" a="1"/>
  <c r="Q111" i="84" s="1"/>
  <c r="P111" i="84" a="1"/>
  <c r="P111" i="84" s="1"/>
  <c r="O111" i="84" a="1"/>
  <c r="O111" i="84" s="1"/>
  <c r="N111" i="84" a="1"/>
  <c r="N111" i="84" s="1"/>
  <c r="M111" i="84" a="1"/>
  <c r="M111" i="84" s="1"/>
  <c r="L111" i="84" a="1"/>
  <c r="L111" i="84" s="1"/>
  <c r="K111" i="84" a="1"/>
  <c r="K111" i="84" s="1"/>
  <c r="J111" i="84" a="1"/>
  <c r="J111" i="84" s="1"/>
  <c r="I111" i="84" a="1"/>
  <c r="I111" i="84" s="1"/>
  <c r="H111" i="84" a="1"/>
  <c r="H111" i="84" s="1"/>
  <c r="G111" i="84" a="1"/>
  <c r="G111" i="84" s="1"/>
  <c r="F111" i="84" a="1"/>
  <c r="F111" i="84" s="1"/>
  <c r="E111" i="84" a="1"/>
  <c r="E111" i="84" s="1"/>
  <c r="D111" i="84" a="1"/>
  <c r="D111" i="84" s="1"/>
  <c r="AE110" i="84" a="1"/>
  <c r="AE110" i="84" s="1"/>
  <c r="AD110" i="84" a="1"/>
  <c r="AD110" i="84" s="1"/>
  <c r="AC110" i="84" a="1"/>
  <c r="AC110" i="84" s="1"/>
  <c r="AB110" i="84" a="1"/>
  <c r="AB110" i="84" s="1"/>
  <c r="AA110" i="84" a="1"/>
  <c r="AA110" i="84" s="1"/>
  <c r="Z110" i="84" a="1"/>
  <c r="Z110" i="84" s="1"/>
  <c r="Y110" i="84" a="1"/>
  <c r="Y110" i="84" s="1"/>
  <c r="X110" i="84" a="1"/>
  <c r="X110" i="84" s="1"/>
  <c r="W110" i="84" a="1"/>
  <c r="W110" i="84" s="1"/>
  <c r="V110" i="84" a="1"/>
  <c r="V110" i="84" s="1"/>
  <c r="U110" i="84" a="1"/>
  <c r="U110" i="84" s="1"/>
  <c r="T110" i="84" a="1"/>
  <c r="T110" i="84" s="1"/>
  <c r="S110" i="84" a="1"/>
  <c r="S110" i="84" s="1"/>
  <c r="R110" i="84" a="1"/>
  <c r="R110" i="84" s="1"/>
  <c r="Q110" i="84" a="1"/>
  <c r="Q110" i="84" s="1"/>
  <c r="P110" i="84" a="1"/>
  <c r="P110" i="84" s="1"/>
  <c r="O110" i="84" a="1"/>
  <c r="O110" i="84" s="1"/>
  <c r="N110" i="84" a="1"/>
  <c r="N110" i="84" s="1"/>
  <c r="M110" i="84" a="1"/>
  <c r="M110" i="84" s="1"/>
  <c r="L110" i="84" a="1"/>
  <c r="L110" i="84" s="1"/>
  <c r="K110" i="84" a="1"/>
  <c r="K110" i="84" s="1"/>
  <c r="J110" i="84" a="1"/>
  <c r="J110" i="84" s="1"/>
  <c r="I110" i="84" a="1"/>
  <c r="I110" i="84" s="1"/>
  <c r="H110" i="84" a="1"/>
  <c r="H110" i="84" s="1"/>
  <c r="G110" i="84" a="1"/>
  <c r="G110" i="84" s="1"/>
  <c r="F110" i="84" a="1"/>
  <c r="F110" i="84" s="1"/>
  <c r="E110" i="84" a="1"/>
  <c r="E110" i="84" s="1"/>
  <c r="D110" i="84" a="1"/>
  <c r="D110" i="84" s="1"/>
  <c r="AE109" i="84" a="1"/>
  <c r="AE109" i="84" s="1"/>
  <c r="AD109" i="84" a="1"/>
  <c r="AD109" i="84" s="1"/>
  <c r="AC109" i="84" a="1"/>
  <c r="AC109" i="84" s="1"/>
  <c r="AB109" i="84" a="1"/>
  <c r="AB109" i="84" s="1"/>
  <c r="AA109" i="84" a="1"/>
  <c r="AA109" i="84" s="1"/>
  <c r="Z109" i="84" a="1"/>
  <c r="Z109" i="84" s="1"/>
  <c r="Y109" i="84" a="1"/>
  <c r="Y109" i="84" s="1"/>
  <c r="X109" i="84" a="1"/>
  <c r="X109" i="84" s="1"/>
  <c r="W109" i="84" a="1"/>
  <c r="W109" i="84" s="1"/>
  <c r="V109" i="84" a="1"/>
  <c r="V109" i="84" s="1"/>
  <c r="U109" i="84" a="1"/>
  <c r="U109" i="84" s="1"/>
  <c r="T109" i="84" a="1"/>
  <c r="T109" i="84" s="1"/>
  <c r="S109" i="84" a="1"/>
  <c r="S109" i="84" s="1"/>
  <c r="R109" i="84" a="1"/>
  <c r="R109" i="84" s="1"/>
  <c r="Q109" i="84" a="1"/>
  <c r="Q109" i="84" s="1"/>
  <c r="P109" i="84" a="1"/>
  <c r="P109" i="84" s="1"/>
  <c r="O109" i="84" a="1"/>
  <c r="O109" i="84" s="1"/>
  <c r="N109" i="84" a="1"/>
  <c r="N109" i="84" s="1"/>
  <c r="M109" i="84" a="1"/>
  <c r="M109" i="84" s="1"/>
  <c r="L109" i="84" a="1"/>
  <c r="L109" i="84" s="1"/>
  <c r="K109" i="84" a="1"/>
  <c r="K109" i="84" s="1"/>
  <c r="J109" i="84" a="1"/>
  <c r="J109" i="84" s="1"/>
  <c r="I109" i="84" a="1"/>
  <c r="I109" i="84" s="1"/>
  <c r="H109" i="84" a="1"/>
  <c r="H109" i="84" s="1"/>
  <c r="G109" i="84" a="1"/>
  <c r="G109" i="84" s="1"/>
  <c r="F109" i="84" a="1"/>
  <c r="F109" i="84" s="1"/>
  <c r="E109" i="84" a="1"/>
  <c r="E109" i="84" s="1"/>
  <c r="D109" i="84" a="1"/>
  <c r="D109" i="84" s="1"/>
  <c r="AE108" i="84" a="1"/>
  <c r="AE108" i="84" s="1"/>
  <c r="AD108" i="84" a="1"/>
  <c r="AD108" i="84" s="1"/>
  <c r="AC108" i="84" a="1"/>
  <c r="AC108" i="84" s="1"/>
  <c r="AB108" i="84" a="1"/>
  <c r="AB108" i="84" s="1"/>
  <c r="AA108" i="84" a="1"/>
  <c r="AA108" i="84" s="1"/>
  <c r="Z108" i="84" a="1"/>
  <c r="Z108" i="84" s="1"/>
  <c r="Y108" i="84" a="1"/>
  <c r="Y108" i="84" s="1"/>
  <c r="X108" i="84" a="1"/>
  <c r="X108" i="84" s="1"/>
  <c r="W108" i="84" a="1"/>
  <c r="W108" i="84" s="1"/>
  <c r="V108" i="84" a="1"/>
  <c r="V108" i="84" s="1"/>
  <c r="U108" i="84" a="1"/>
  <c r="U108" i="84" s="1"/>
  <c r="T108" i="84" a="1"/>
  <c r="T108" i="84" s="1"/>
  <c r="S108" i="84" a="1"/>
  <c r="S108" i="84" s="1"/>
  <c r="R108" i="84" a="1"/>
  <c r="R108" i="84" s="1"/>
  <c r="Q108" i="84" a="1"/>
  <c r="Q108" i="84" s="1"/>
  <c r="P108" i="84" a="1"/>
  <c r="P108" i="84" s="1"/>
  <c r="O108" i="84" a="1"/>
  <c r="O108" i="84" s="1"/>
  <c r="N108" i="84" a="1"/>
  <c r="N108" i="84" s="1"/>
  <c r="M108" i="84" a="1"/>
  <c r="M108" i="84" s="1"/>
  <c r="L108" i="84" a="1"/>
  <c r="L108" i="84" s="1"/>
  <c r="K108" i="84" a="1"/>
  <c r="K108" i="84" s="1"/>
  <c r="J108" i="84" a="1"/>
  <c r="J108" i="84" s="1"/>
  <c r="I108" i="84" a="1"/>
  <c r="I108" i="84" s="1"/>
  <c r="H108" i="84" a="1"/>
  <c r="H108" i="84" s="1"/>
  <c r="G108" i="84" a="1"/>
  <c r="G108" i="84" s="1"/>
  <c r="F108" i="84" a="1"/>
  <c r="F108" i="84" s="1"/>
  <c r="E108" i="84" a="1"/>
  <c r="E108" i="84" s="1"/>
  <c r="D108" i="84" a="1"/>
  <c r="D108" i="84" s="1"/>
  <c r="AE107" i="84" a="1"/>
  <c r="AE107" i="84" s="1"/>
  <c r="AD107" i="84" a="1"/>
  <c r="AD107" i="84" s="1"/>
  <c r="AC107" i="84" a="1"/>
  <c r="AC107" i="84" s="1"/>
  <c r="AB107" i="84" a="1"/>
  <c r="AB107" i="84" s="1"/>
  <c r="AA107" i="84" a="1"/>
  <c r="AA107" i="84" s="1"/>
  <c r="Z107" i="84" a="1"/>
  <c r="Z107" i="84" s="1"/>
  <c r="Y107" i="84" a="1"/>
  <c r="Y107" i="84" s="1"/>
  <c r="X107" i="84" a="1"/>
  <c r="X107" i="84" s="1"/>
  <c r="W107" i="84" a="1"/>
  <c r="W107" i="84" s="1"/>
  <c r="V107" i="84" a="1"/>
  <c r="V107" i="84" s="1"/>
  <c r="U107" i="84" a="1"/>
  <c r="U107" i="84" s="1"/>
  <c r="T107" i="84" a="1"/>
  <c r="T107" i="84" s="1"/>
  <c r="S107" i="84" a="1"/>
  <c r="S107" i="84" s="1"/>
  <c r="R107" i="84" a="1"/>
  <c r="R107" i="84" s="1"/>
  <c r="Q107" i="84" a="1"/>
  <c r="Q107" i="84" s="1"/>
  <c r="P107" i="84" a="1"/>
  <c r="P107" i="84" s="1"/>
  <c r="O107" i="84" a="1"/>
  <c r="O107" i="84" s="1"/>
  <c r="N107" i="84" a="1"/>
  <c r="N107" i="84" s="1"/>
  <c r="M107" i="84" a="1"/>
  <c r="M107" i="84" s="1"/>
  <c r="L107" i="84" a="1"/>
  <c r="L107" i="84" s="1"/>
  <c r="K107" i="84" a="1"/>
  <c r="K107" i="84" s="1"/>
  <c r="J107" i="84" a="1"/>
  <c r="J107" i="84" s="1"/>
  <c r="I107" i="84" a="1"/>
  <c r="I107" i="84" s="1"/>
  <c r="H107" i="84" a="1"/>
  <c r="H107" i="84" s="1"/>
  <c r="G107" i="84" a="1"/>
  <c r="G107" i="84" s="1"/>
  <c r="F107" i="84" a="1"/>
  <c r="F107" i="84" s="1"/>
  <c r="E107" i="84" a="1"/>
  <c r="E107" i="84" s="1"/>
  <c r="D107" i="84" a="1"/>
  <c r="D107" i="84" s="1"/>
  <c r="AE106" i="84" a="1"/>
  <c r="AE106" i="84" s="1"/>
  <c r="AD106" i="84" a="1"/>
  <c r="AD106" i="84" s="1"/>
  <c r="AC106" i="84" a="1"/>
  <c r="AC106" i="84" s="1"/>
  <c r="AB106" i="84" a="1"/>
  <c r="AB106" i="84" s="1"/>
  <c r="AA106" i="84" a="1"/>
  <c r="AA106" i="84" s="1"/>
  <c r="Z106" i="84" a="1"/>
  <c r="Z106" i="84" s="1"/>
  <c r="Y106" i="84" a="1"/>
  <c r="Y106" i="84" s="1"/>
  <c r="X106" i="84" a="1"/>
  <c r="X106" i="84" s="1"/>
  <c r="W106" i="84" a="1"/>
  <c r="W106" i="84" s="1"/>
  <c r="V106" i="84" a="1"/>
  <c r="V106" i="84" s="1"/>
  <c r="U106" i="84" a="1"/>
  <c r="U106" i="84" s="1"/>
  <c r="T106" i="84" a="1"/>
  <c r="T106" i="84" s="1"/>
  <c r="S106" i="84" a="1"/>
  <c r="S106" i="84" s="1"/>
  <c r="R106" i="84" a="1"/>
  <c r="R106" i="84" s="1"/>
  <c r="Q106" i="84" a="1"/>
  <c r="Q106" i="84" s="1"/>
  <c r="P106" i="84" a="1"/>
  <c r="P106" i="84" s="1"/>
  <c r="O106" i="84" a="1"/>
  <c r="O106" i="84" s="1"/>
  <c r="N106" i="84" a="1"/>
  <c r="N106" i="84" s="1"/>
  <c r="M106" i="84" a="1"/>
  <c r="M106" i="84" s="1"/>
  <c r="L106" i="84" a="1"/>
  <c r="L106" i="84" s="1"/>
  <c r="K106" i="84" a="1"/>
  <c r="K106" i="84" s="1"/>
  <c r="J106" i="84" a="1"/>
  <c r="J106" i="84" s="1"/>
  <c r="I106" i="84" a="1"/>
  <c r="I106" i="84" s="1"/>
  <c r="H106" i="84" a="1"/>
  <c r="H106" i="84" s="1"/>
  <c r="G106" i="84" a="1"/>
  <c r="G106" i="84" s="1"/>
  <c r="F106" i="84" a="1"/>
  <c r="F106" i="84" s="1"/>
  <c r="E106" i="84" a="1"/>
  <c r="E106" i="84" s="1"/>
  <c r="D106" i="84" a="1"/>
  <c r="D106" i="84" s="1"/>
  <c r="AE105" i="84" a="1"/>
  <c r="AE105" i="84" s="1"/>
  <c r="AD105" i="84" a="1"/>
  <c r="AD105" i="84" s="1"/>
  <c r="AC105" i="84" a="1"/>
  <c r="AC105" i="84" s="1"/>
  <c r="AB105" i="84" a="1"/>
  <c r="AB105" i="84" s="1"/>
  <c r="AA105" i="84" a="1"/>
  <c r="AA105" i="84" s="1"/>
  <c r="Z105" i="84" a="1"/>
  <c r="Z105" i="84" s="1"/>
  <c r="Y105" i="84" a="1"/>
  <c r="Y105" i="84" s="1"/>
  <c r="X105" i="84" a="1"/>
  <c r="X105" i="84" s="1"/>
  <c r="W105" i="84" a="1"/>
  <c r="W105" i="84" s="1"/>
  <c r="V105" i="84" a="1"/>
  <c r="V105" i="84" s="1"/>
  <c r="U105" i="84" a="1"/>
  <c r="U105" i="84" s="1"/>
  <c r="T105" i="84" a="1"/>
  <c r="T105" i="84" s="1"/>
  <c r="S105" i="84" a="1"/>
  <c r="S105" i="84" s="1"/>
  <c r="R105" i="84" a="1"/>
  <c r="R105" i="84" s="1"/>
  <c r="Q105" i="84" a="1"/>
  <c r="Q105" i="84" s="1"/>
  <c r="P105" i="84" a="1"/>
  <c r="P105" i="84" s="1"/>
  <c r="O105" i="84" a="1"/>
  <c r="O105" i="84" s="1"/>
  <c r="N105" i="84" a="1"/>
  <c r="N105" i="84" s="1"/>
  <c r="M105" i="84" a="1"/>
  <c r="M105" i="84" s="1"/>
  <c r="L105" i="84" a="1"/>
  <c r="L105" i="84" s="1"/>
  <c r="K105" i="84" a="1"/>
  <c r="K105" i="84" s="1"/>
  <c r="J105" i="84" a="1"/>
  <c r="J105" i="84" s="1"/>
  <c r="I105" i="84" a="1"/>
  <c r="I105" i="84" s="1"/>
  <c r="H105" i="84" a="1"/>
  <c r="H105" i="84" s="1"/>
  <c r="G105" i="84" a="1"/>
  <c r="G105" i="84" s="1"/>
  <c r="F105" i="84" a="1"/>
  <c r="F105" i="84" s="1"/>
  <c r="E105" i="84" a="1"/>
  <c r="E105" i="84" s="1"/>
  <c r="D105" i="84" a="1"/>
  <c r="D105" i="84" s="1"/>
  <c r="AE104" i="84" a="1"/>
  <c r="AE104" i="84" s="1"/>
  <c r="AD104" i="84" a="1"/>
  <c r="AD104" i="84" s="1"/>
  <c r="AC104" i="84" a="1"/>
  <c r="AC104" i="84" s="1"/>
  <c r="AB104" i="84" a="1"/>
  <c r="AB104" i="84" s="1"/>
  <c r="AA104" i="84" a="1"/>
  <c r="AA104" i="84" s="1"/>
  <c r="Z104" i="84" a="1"/>
  <c r="Z104" i="84" s="1"/>
  <c r="Y104" i="84" a="1"/>
  <c r="Y104" i="84" s="1"/>
  <c r="X104" i="84" a="1"/>
  <c r="X104" i="84" s="1"/>
  <c r="W104" i="84" a="1"/>
  <c r="W104" i="84" s="1"/>
  <c r="V104" i="84" a="1"/>
  <c r="V104" i="84" s="1"/>
  <c r="U104" i="84" a="1"/>
  <c r="U104" i="84" s="1"/>
  <c r="T104" i="84" a="1"/>
  <c r="T104" i="84" s="1"/>
  <c r="S104" i="84" a="1"/>
  <c r="S104" i="84" s="1"/>
  <c r="R104" i="84" a="1"/>
  <c r="R104" i="84" s="1"/>
  <c r="Q104" i="84" a="1"/>
  <c r="Q104" i="84" s="1"/>
  <c r="P104" i="84" a="1"/>
  <c r="P104" i="84" s="1"/>
  <c r="O104" i="84" a="1"/>
  <c r="O104" i="84" s="1"/>
  <c r="N104" i="84" a="1"/>
  <c r="N104" i="84" s="1"/>
  <c r="M104" i="84" a="1"/>
  <c r="M104" i="84" s="1"/>
  <c r="L104" i="84" a="1"/>
  <c r="L104" i="84" s="1"/>
  <c r="K104" i="84" a="1"/>
  <c r="K104" i="84" s="1"/>
  <c r="J104" i="84" a="1"/>
  <c r="J104" i="84" s="1"/>
  <c r="I104" i="84" a="1"/>
  <c r="I104" i="84" s="1"/>
  <c r="H104" i="84" a="1"/>
  <c r="H104" i="84" s="1"/>
  <c r="G104" i="84" a="1"/>
  <c r="G104" i="84" s="1"/>
  <c r="F104" i="84" a="1"/>
  <c r="F104" i="84" s="1"/>
  <c r="E104" i="84" a="1"/>
  <c r="E104" i="84" s="1"/>
  <c r="D104" i="84" a="1"/>
  <c r="D104" i="84" s="1"/>
  <c r="AE103" i="84" a="1"/>
  <c r="AE103" i="84" s="1"/>
  <c r="AD103" i="84" a="1"/>
  <c r="AD103" i="84" s="1"/>
  <c r="AC103" i="84" a="1"/>
  <c r="AC103" i="84" s="1"/>
  <c r="AB103" i="84" a="1"/>
  <c r="AB103" i="84" s="1"/>
  <c r="AA103" i="84" a="1"/>
  <c r="AA103" i="84" s="1"/>
  <c r="Z103" i="84" a="1"/>
  <c r="Z103" i="84" s="1"/>
  <c r="Y103" i="84" a="1"/>
  <c r="Y103" i="84" s="1"/>
  <c r="X103" i="84" a="1"/>
  <c r="X103" i="84" s="1"/>
  <c r="W103" i="84" a="1"/>
  <c r="W103" i="84" s="1"/>
  <c r="V103" i="84" a="1"/>
  <c r="V103" i="84" s="1"/>
  <c r="U103" i="84" a="1"/>
  <c r="U103" i="84" s="1"/>
  <c r="T103" i="84" a="1"/>
  <c r="T103" i="84" s="1"/>
  <c r="S103" i="84" a="1"/>
  <c r="S103" i="84" s="1"/>
  <c r="R103" i="84" a="1"/>
  <c r="R103" i="84" s="1"/>
  <c r="Q103" i="84" a="1"/>
  <c r="Q103" i="84" s="1"/>
  <c r="P103" i="84" a="1"/>
  <c r="P103" i="84" s="1"/>
  <c r="O103" i="84" a="1"/>
  <c r="O103" i="84" s="1"/>
  <c r="N103" i="84" a="1"/>
  <c r="N103" i="84" s="1"/>
  <c r="M103" i="84" a="1"/>
  <c r="M103" i="84" s="1"/>
  <c r="L103" i="84" a="1"/>
  <c r="L103" i="84" s="1"/>
  <c r="K103" i="84" a="1"/>
  <c r="K103" i="84" s="1"/>
  <c r="J103" i="84" a="1"/>
  <c r="J103" i="84" s="1"/>
  <c r="I103" i="84" a="1"/>
  <c r="I103" i="84" s="1"/>
  <c r="H103" i="84" a="1"/>
  <c r="H103" i="84" s="1"/>
  <c r="G103" i="84" a="1"/>
  <c r="G103" i="84" s="1"/>
  <c r="F103" i="84" a="1"/>
  <c r="F103" i="84" s="1"/>
  <c r="E103" i="84" a="1"/>
  <c r="E103" i="84" s="1"/>
  <c r="D103" i="84" a="1"/>
  <c r="D103" i="84" s="1"/>
  <c r="AE102" i="84" a="1"/>
  <c r="AE102" i="84" s="1"/>
  <c r="AD102" i="84" a="1"/>
  <c r="AD102" i="84" s="1"/>
  <c r="AC102" i="84" a="1"/>
  <c r="AC102" i="84" s="1"/>
  <c r="AB102" i="84" a="1"/>
  <c r="AB102" i="84" s="1"/>
  <c r="AA102" i="84" a="1"/>
  <c r="AA102" i="84" s="1"/>
  <c r="Z102" i="84" a="1"/>
  <c r="Z102" i="84" s="1"/>
  <c r="Y102" i="84" a="1"/>
  <c r="Y102" i="84" s="1"/>
  <c r="X102" i="84" a="1"/>
  <c r="X102" i="84" s="1"/>
  <c r="W102" i="84" a="1"/>
  <c r="W102" i="84" s="1"/>
  <c r="V102" i="84" a="1"/>
  <c r="V102" i="84" s="1"/>
  <c r="U102" i="84" a="1"/>
  <c r="U102" i="84" s="1"/>
  <c r="T102" i="84" a="1"/>
  <c r="T102" i="84" s="1"/>
  <c r="S102" i="84" a="1"/>
  <c r="S102" i="84" s="1"/>
  <c r="R102" i="84" a="1"/>
  <c r="R102" i="84" s="1"/>
  <c r="Q102" i="84" a="1"/>
  <c r="Q102" i="84" s="1"/>
  <c r="P102" i="84" a="1"/>
  <c r="P102" i="84" s="1"/>
  <c r="O102" i="84" a="1"/>
  <c r="O102" i="84" s="1"/>
  <c r="N102" i="84" a="1"/>
  <c r="N102" i="84" s="1"/>
  <c r="M102" i="84" a="1"/>
  <c r="M102" i="84" s="1"/>
  <c r="L102" i="84" a="1"/>
  <c r="L102" i="84" s="1"/>
  <c r="K102" i="84" a="1"/>
  <c r="K102" i="84" s="1"/>
  <c r="J102" i="84" a="1"/>
  <c r="J102" i="84" s="1"/>
  <c r="I102" i="84" a="1"/>
  <c r="I102" i="84" s="1"/>
  <c r="H102" i="84" a="1"/>
  <c r="H102" i="84" s="1"/>
  <c r="G102" i="84" a="1"/>
  <c r="G102" i="84" s="1"/>
  <c r="F102" i="84" a="1"/>
  <c r="F102" i="84" s="1"/>
  <c r="E102" i="84" a="1"/>
  <c r="E102" i="84" s="1"/>
  <c r="D102" i="84" a="1"/>
  <c r="D102" i="84" s="1"/>
  <c r="AE101" i="84" a="1"/>
  <c r="AE101" i="84" s="1"/>
  <c r="AD101" i="84" a="1"/>
  <c r="AD101" i="84" s="1"/>
  <c r="AC101" i="84" a="1"/>
  <c r="AC101" i="84" s="1"/>
  <c r="AB101" i="84" a="1"/>
  <c r="AB101" i="84" s="1"/>
  <c r="AA101" i="84" a="1"/>
  <c r="AA101" i="84" s="1"/>
  <c r="Z101" i="84" a="1"/>
  <c r="Z101" i="84" s="1"/>
  <c r="Y101" i="84" a="1"/>
  <c r="Y101" i="84" s="1"/>
  <c r="X101" i="84" a="1"/>
  <c r="X101" i="84" s="1"/>
  <c r="W101" i="84" a="1"/>
  <c r="W101" i="84" s="1"/>
  <c r="V101" i="84" a="1"/>
  <c r="V101" i="84" s="1"/>
  <c r="U101" i="84" a="1"/>
  <c r="U101" i="84" s="1"/>
  <c r="T101" i="84" a="1"/>
  <c r="T101" i="84" s="1"/>
  <c r="S101" i="84" a="1"/>
  <c r="S101" i="84" s="1"/>
  <c r="R101" i="84" a="1"/>
  <c r="R101" i="84" s="1"/>
  <c r="Q101" i="84" a="1"/>
  <c r="Q101" i="84" s="1"/>
  <c r="P101" i="84" a="1"/>
  <c r="P101" i="84" s="1"/>
  <c r="O101" i="84" a="1"/>
  <c r="O101" i="84" s="1"/>
  <c r="N101" i="84" a="1"/>
  <c r="N101" i="84" s="1"/>
  <c r="M101" i="84" a="1"/>
  <c r="M101" i="84" s="1"/>
  <c r="L101" i="84" a="1"/>
  <c r="L101" i="84" s="1"/>
  <c r="K101" i="84" a="1"/>
  <c r="K101" i="84" s="1"/>
  <c r="J101" i="84" a="1"/>
  <c r="J101" i="84" s="1"/>
  <c r="I101" i="84" a="1"/>
  <c r="I101" i="84" s="1"/>
  <c r="H101" i="84" a="1"/>
  <c r="H101" i="84" s="1"/>
  <c r="G101" i="84" a="1"/>
  <c r="G101" i="84" s="1"/>
  <c r="F101" i="84" a="1"/>
  <c r="F101" i="84" s="1"/>
  <c r="E101" i="84" a="1"/>
  <c r="E101" i="84" s="1"/>
  <c r="D101" i="84" a="1"/>
  <c r="D101" i="84" s="1"/>
  <c r="AE100" i="84" a="1"/>
  <c r="AE100" i="84" s="1"/>
  <c r="AD100" i="84" a="1"/>
  <c r="AD100" i="84" s="1"/>
  <c r="AC100" i="84" a="1"/>
  <c r="AC100" i="84" s="1"/>
  <c r="AB100" i="84" a="1"/>
  <c r="AB100" i="84" s="1"/>
  <c r="AA100" i="84" a="1"/>
  <c r="AA100" i="84" s="1"/>
  <c r="Z100" i="84" a="1"/>
  <c r="Z100" i="84" s="1"/>
  <c r="Y100" i="84" a="1"/>
  <c r="Y100" i="84" s="1"/>
  <c r="X100" i="84" a="1"/>
  <c r="X100" i="84" s="1"/>
  <c r="W100" i="84" a="1"/>
  <c r="W100" i="84" s="1"/>
  <c r="V100" i="84" a="1"/>
  <c r="V100" i="84" s="1"/>
  <c r="U100" i="84" a="1"/>
  <c r="U100" i="84" s="1"/>
  <c r="T100" i="84" a="1"/>
  <c r="T100" i="84" s="1"/>
  <c r="S100" i="84" a="1"/>
  <c r="S100" i="84" s="1"/>
  <c r="R100" i="84" a="1"/>
  <c r="R100" i="84" s="1"/>
  <c r="Q100" i="84" a="1"/>
  <c r="Q100" i="84" s="1"/>
  <c r="P100" i="84" a="1"/>
  <c r="P100" i="84" s="1"/>
  <c r="O100" i="84" a="1"/>
  <c r="O100" i="84" s="1"/>
  <c r="N100" i="84" a="1"/>
  <c r="N100" i="84" s="1"/>
  <c r="M100" i="84" a="1"/>
  <c r="M100" i="84" s="1"/>
  <c r="L100" i="84" a="1"/>
  <c r="L100" i="84" s="1"/>
  <c r="K100" i="84" a="1"/>
  <c r="K100" i="84" s="1"/>
  <c r="J100" i="84" a="1"/>
  <c r="J100" i="84" s="1"/>
  <c r="I100" i="84" a="1"/>
  <c r="I100" i="84" s="1"/>
  <c r="H100" i="84" a="1"/>
  <c r="H100" i="84" s="1"/>
  <c r="G100" i="84" a="1"/>
  <c r="G100" i="84" s="1"/>
  <c r="F100" i="84" a="1"/>
  <c r="F100" i="84" s="1"/>
  <c r="E100" i="84" a="1"/>
  <c r="E100" i="84" s="1"/>
  <c r="D100" i="84" a="1"/>
  <c r="D100" i="84" s="1"/>
  <c r="AE99" i="84" a="1"/>
  <c r="AE99" i="84" s="1"/>
  <c r="AD99" i="84" a="1"/>
  <c r="AD99" i="84" s="1"/>
  <c r="AC99" i="84" a="1"/>
  <c r="AC99" i="84" s="1"/>
  <c r="AB99" i="84" a="1"/>
  <c r="AB99" i="84" s="1"/>
  <c r="AA99" i="84" a="1"/>
  <c r="AA99" i="84" s="1"/>
  <c r="Z99" i="84" a="1"/>
  <c r="Z99" i="84" s="1"/>
  <c r="Y99" i="84" a="1"/>
  <c r="Y99" i="84" s="1"/>
  <c r="X99" i="84" a="1"/>
  <c r="X99" i="84" s="1"/>
  <c r="W99" i="84" a="1"/>
  <c r="W99" i="84" s="1"/>
  <c r="V99" i="84" a="1"/>
  <c r="V99" i="84" s="1"/>
  <c r="U99" i="84" a="1"/>
  <c r="U99" i="84" s="1"/>
  <c r="T99" i="84" a="1"/>
  <c r="T99" i="84" s="1"/>
  <c r="S99" i="84" a="1"/>
  <c r="S99" i="84" s="1"/>
  <c r="R99" i="84" a="1"/>
  <c r="R99" i="84" s="1"/>
  <c r="Q99" i="84" a="1"/>
  <c r="Q99" i="84" s="1"/>
  <c r="P99" i="84" a="1"/>
  <c r="P99" i="84" s="1"/>
  <c r="O99" i="84" a="1"/>
  <c r="O99" i="84" s="1"/>
  <c r="N99" i="84" a="1"/>
  <c r="N99" i="84" s="1"/>
  <c r="M99" i="84" a="1"/>
  <c r="M99" i="84" s="1"/>
  <c r="L99" i="84" a="1"/>
  <c r="L99" i="84" s="1"/>
  <c r="K99" i="84" a="1"/>
  <c r="K99" i="84" s="1"/>
  <c r="J99" i="84" a="1"/>
  <c r="J99" i="84" s="1"/>
  <c r="I99" i="84" a="1"/>
  <c r="I99" i="84" s="1"/>
  <c r="H99" i="84" a="1"/>
  <c r="H99" i="84" s="1"/>
  <c r="G99" i="84" a="1"/>
  <c r="G99" i="84" s="1"/>
  <c r="F99" i="84" a="1"/>
  <c r="F99" i="84" s="1"/>
  <c r="E99" i="84" a="1"/>
  <c r="E99" i="84" s="1"/>
  <c r="D99" i="84" a="1"/>
  <c r="D99" i="84" s="1"/>
  <c r="AE98" i="84" a="1"/>
  <c r="AE98" i="84" s="1"/>
  <c r="AD98" i="84" a="1"/>
  <c r="AD98" i="84" s="1"/>
  <c r="AC98" i="84" a="1"/>
  <c r="AC98" i="84" s="1"/>
  <c r="AB98" i="84" a="1"/>
  <c r="AB98" i="84" s="1"/>
  <c r="AA98" i="84" a="1"/>
  <c r="AA98" i="84" s="1"/>
  <c r="Z98" i="84" a="1"/>
  <c r="Z98" i="84" s="1"/>
  <c r="Y98" i="84" a="1"/>
  <c r="Y98" i="84" s="1"/>
  <c r="X98" i="84" a="1"/>
  <c r="X98" i="84" s="1"/>
  <c r="W98" i="84" a="1"/>
  <c r="W98" i="84" s="1"/>
  <c r="V98" i="84" a="1"/>
  <c r="V98" i="84" s="1"/>
  <c r="U98" i="84" a="1"/>
  <c r="U98" i="84" s="1"/>
  <c r="T98" i="84" a="1"/>
  <c r="T98" i="84" s="1"/>
  <c r="S98" i="84" a="1"/>
  <c r="S98" i="84" s="1"/>
  <c r="R98" i="84" a="1"/>
  <c r="R98" i="84" s="1"/>
  <c r="Q98" i="84" a="1"/>
  <c r="Q98" i="84" s="1"/>
  <c r="P98" i="84" a="1"/>
  <c r="P98" i="84" s="1"/>
  <c r="O98" i="84" a="1"/>
  <c r="O98" i="84" s="1"/>
  <c r="N98" i="84" a="1"/>
  <c r="N98" i="84" s="1"/>
  <c r="M98" i="84" a="1"/>
  <c r="M98" i="84" s="1"/>
  <c r="L98" i="84" a="1"/>
  <c r="L98" i="84" s="1"/>
  <c r="K98" i="84" a="1"/>
  <c r="K98" i="84" s="1"/>
  <c r="J98" i="84" a="1"/>
  <c r="J98" i="84" s="1"/>
  <c r="I98" i="84" a="1"/>
  <c r="I98" i="84" s="1"/>
  <c r="H98" i="84" a="1"/>
  <c r="H98" i="84" s="1"/>
  <c r="G98" i="84" a="1"/>
  <c r="G98" i="84" s="1"/>
  <c r="F98" i="84" a="1"/>
  <c r="F98" i="84" s="1"/>
  <c r="E98" i="84" a="1"/>
  <c r="E98" i="84" s="1"/>
  <c r="D98" i="84" a="1"/>
  <c r="D98" i="84" s="1"/>
  <c r="AE97" i="84" a="1"/>
  <c r="AE97" i="84" s="1"/>
  <c r="AD97" i="84" a="1"/>
  <c r="AD97" i="84" s="1"/>
  <c r="AC97" i="84" a="1"/>
  <c r="AC97" i="84" s="1"/>
  <c r="AB97" i="84" a="1"/>
  <c r="AB97" i="84" s="1"/>
  <c r="AA97" i="84" a="1"/>
  <c r="AA97" i="84" s="1"/>
  <c r="Z97" i="84" a="1"/>
  <c r="Z97" i="84" s="1"/>
  <c r="Y97" i="84" a="1"/>
  <c r="Y97" i="84" s="1"/>
  <c r="X97" i="84" a="1"/>
  <c r="X97" i="84" s="1"/>
  <c r="W97" i="84" a="1"/>
  <c r="W97" i="84" s="1"/>
  <c r="V97" i="84" a="1"/>
  <c r="V97" i="84" s="1"/>
  <c r="U97" i="84" a="1"/>
  <c r="U97" i="84" s="1"/>
  <c r="T97" i="84" a="1"/>
  <c r="T97" i="84" s="1"/>
  <c r="S97" i="84" a="1"/>
  <c r="S97" i="84" s="1"/>
  <c r="R97" i="84" a="1"/>
  <c r="R97" i="84" s="1"/>
  <c r="Q97" i="84" a="1"/>
  <c r="Q97" i="84" s="1"/>
  <c r="P97" i="84" a="1"/>
  <c r="P97" i="84" s="1"/>
  <c r="O97" i="84" a="1"/>
  <c r="O97" i="84" s="1"/>
  <c r="N97" i="84" a="1"/>
  <c r="N97" i="84" s="1"/>
  <c r="M97" i="84" a="1"/>
  <c r="M97" i="84" s="1"/>
  <c r="L97" i="84" a="1"/>
  <c r="L97" i="84" s="1"/>
  <c r="K97" i="84" a="1"/>
  <c r="K97" i="84" s="1"/>
  <c r="J97" i="84" a="1"/>
  <c r="J97" i="84" s="1"/>
  <c r="I97" i="84" a="1"/>
  <c r="I97" i="84" s="1"/>
  <c r="H97" i="84" a="1"/>
  <c r="H97" i="84" s="1"/>
  <c r="G97" i="84" a="1"/>
  <c r="G97" i="84" s="1"/>
  <c r="F97" i="84" a="1"/>
  <c r="F97" i="84" s="1"/>
  <c r="E97" i="84" a="1"/>
  <c r="E97" i="84" s="1"/>
  <c r="D97" i="84" a="1"/>
  <c r="D97" i="84" s="1"/>
  <c r="AE96" i="84" a="1"/>
  <c r="AE96" i="84" s="1"/>
  <c r="AD96" i="84" a="1"/>
  <c r="AD96" i="84" s="1"/>
  <c r="AC96" i="84" a="1"/>
  <c r="AC96" i="84" s="1"/>
  <c r="AB96" i="84" a="1"/>
  <c r="AB96" i="84" s="1"/>
  <c r="AA96" i="84" a="1"/>
  <c r="AA96" i="84" s="1"/>
  <c r="Z96" i="84" a="1"/>
  <c r="Z96" i="84" s="1"/>
  <c r="Y96" i="84" a="1"/>
  <c r="Y96" i="84" s="1"/>
  <c r="X96" i="84" a="1"/>
  <c r="X96" i="84" s="1"/>
  <c r="W96" i="84" a="1"/>
  <c r="W96" i="84" s="1"/>
  <c r="V96" i="84" a="1"/>
  <c r="V96" i="84" s="1"/>
  <c r="U96" i="84" a="1"/>
  <c r="U96" i="84" s="1"/>
  <c r="T96" i="84" a="1"/>
  <c r="T96" i="84" s="1"/>
  <c r="S96" i="84" a="1"/>
  <c r="S96" i="84" s="1"/>
  <c r="R96" i="84" a="1"/>
  <c r="R96" i="84" s="1"/>
  <c r="Q96" i="84" a="1"/>
  <c r="Q96" i="84" s="1"/>
  <c r="P96" i="84" a="1"/>
  <c r="P96" i="84" s="1"/>
  <c r="O96" i="84" a="1"/>
  <c r="O96" i="84" s="1"/>
  <c r="N96" i="84" a="1"/>
  <c r="N96" i="84" s="1"/>
  <c r="M96" i="84" a="1"/>
  <c r="M96" i="84" s="1"/>
  <c r="L96" i="84" a="1"/>
  <c r="L96" i="84" s="1"/>
  <c r="K96" i="84" a="1"/>
  <c r="K96" i="84" s="1"/>
  <c r="J96" i="84" a="1"/>
  <c r="J96" i="84" s="1"/>
  <c r="I96" i="84" a="1"/>
  <c r="I96" i="84" s="1"/>
  <c r="H96" i="84" a="1"/>
  <c r="H96" i="84" s="1"/>
  <c r="G96" i="84" a="1"/>
  <c r="G96" i="84" s="1"/>
  <c r="F96" i="84" a="1"/>
  <c r="F96" i="84" s="1"/>
  <c r="E96" i="84" a="1"/>
  <c r="E96" i="84" s="1"/>
  <c r="D96" i="84" a="1"/>
  <c r="D96" i="84" s="1"/>
  <c r="AE95" i="84" a="1"/>
  <c r="AE95" i="84" s="1"/>
  <c r="AD95" i="84" a="1"/>
  <c r="AD95" i="84" s="1"/>
  <c r="AC95" i="84" a="1"/>
  <c r="AC95" i="84" s="1"/>
  <c r="AB95" i="84" a="1"/>
  <c r="AB95" i="84" s="1"/>
  <c r="AA95" i="84" a="1"/>
  <c r="AA95" i="84" s="1"/>
  <c r="Z95" i="84" a="1"/>
  <c r="Z95" i="84" s="1"/>
  <c r="Y95" i="84" a="1"/>
  <c r="Y95" i="84" s="1"/>
  <c r="X95" i="84" a="1"/>
  <c r="X95" i="84" s="1"/>
  <c r="W95" i="84" a="1"/>
  <c r="W95" i="84" s="1"/>
  <c r="V95" i="84" a="1"/>
  <c r="V95" i="84" s="1"/>
  <c r="U95" i="84" a="1"/>
  <c r="U95" i="84" s="1"/>
  <c r="T95" i="84" a="1"/>
  <c r="T95" i="84" s="1"/>
  <c r="S95" i="84" a="1"/>
  <c r="S95" i="84" s="1"/>
  <c r="R95" i="84" a="1"/>
  <c r="R95" i="84" s="1"/>
  <c r="Q95" i="84" a="1"/>
  <c r="Q95" i="84" s="1"/>
  <c r="P95" i="84" a="1"/>
  <c r="P95" i="84" s="1"/>
  <c r="O95" i="84" a="1"/>
  <c r="O95" i="84" s="1"/>
  <c r="N95" i="84" a="1"/>
  <c r="N95" i="84" s="1"/>
  <c r="M95" i="84" a="1"/>
  <c r="M95" i="84" s="1"/>
  <c r="L95" i="84" a="1"/>
  <c r="L95" i="84" s="1"/>
  <c r="K95" i="84" a="1"/>
  <c r="K95" i="84" s="1"/>
  <c r="J95" i="84" a="1"/>
  <c r="J95" i="84" s="1"/>
  <c r="I95" i="84" a="1"/>
  <c r="I95" i="84" s="1"/>
  <c r="H95" i="84" a="1"/>
  <c r="H95" i="84" s="1"/>
  <c r="G95" i="84" a="1"/>
  <c r="G95" i="84" s="1"/>
  <c r="F95" i="84" a="1"/>
  <c r="F95" i="84" s="1"/>
  <c r="E95" i="84" a="1"/>
  <c r="E95" i="84" s="1"/>
  <c r="D95" i="84" a="1"/>
  <c r="D95" i="84" s="1"/>
  <c r="AE94" i="84" a="1"/>
  <c r="AE94" i="84" s="1"/>
  <c r="AD94" i="84" a="1"/>
  <c r="AD94" i="84" s="1"/>
  <c r="AC94" i="84" a="1"/>
  <c r="AC94" i="84" s="1"/>
  <c r="AB94" i="84" a="1"/>
  <c r="AB94" i="84" s="1"/>
  <c r="AA94" i="84" a="1"/>
  <c r="AA94" i="84" s="1"/>
  <c r="Z94" i="84" a="1"/>
  <c r="Z94" i="84" s="1"/>
  <c r="Y94" i="84" a="1"/>
  <c r="Y94" i="84" s="1"/>
  <c r="X94" i="84" a="1"/>
  <c r="X94" i="84" s="1"/>
  <c r="W94" i="84" a="1"/>
  <c r="W94" i="84" s="1"/>
  <c r="V94" i="84" a="1"/>
  <c r="V94" i="84" s="1"/>
  <c r="U94" i="84" a="1"/>
  <c r="U94" i="84" s="1"/>
  <c r="T94" i="84" a="1"/>
  <c r="T94" i="84" s="1"/>
  <c r="S94" i="84" a="1"/>
  <c r="S94" i="84" s="1"/>
  <c r="R94" i="84" a="1"/>
  <c r="R94" i="84" s="1"/>
  <c r="Q94" i="84" a="1"/>
  <c r="Q94" i="84" s="1"/>
  <c r="P94" i="84" a="1"/>
  <c r="P94" i="84" s="1"/>
  <c r="O94" i="84" a="1"/>
  <c r="O94" i="84" s="1"/>
  <c r="N94" i="84" a="1"/>
  <c r="N94" i="84" s="1"/>
  <c r="M94" i="84" a="1"/>
  <c r="M94" i="84" s="1"/>
  <c r="L94" i="84" a="1"/>
  <c r="L94" i="84" s="1"/>
  <c r="K94" i="84" a="1"/>
  <c r="K94" i="84" s="1"/>
  <c r="J94" i="84" a="1"/>
  <c r="J94" i="84" s="1"/>
  <c r="I94" i="84" a="1"/>
  <c r="I94" i="84" s="1"/>
  <c r="H94" i="84" a="1"/>
  <c r="H94" i="84" s="1"/>
  <c r="G94" i="84" a="1"/>
  <c r="G94" i="84" s="1"/>
  <c r="F94" i="84" a="1"/>
  <c r="F94" i="84" s="1"/>
  <c r="E94" i="84" a="1"/>
  <c r="E94" i="84" s="1"/>
  <c r="D94" i="84" a="1"/>
  <c r="D94" i="84" s="1"/>
  <c r="AE93" i="84" a="1"/>
  <c r="AE93" i="84" s="1"/>
  <c r="AD93" i="84" a="1"/>
  <c r="AD93" i="84" s="1"/>
  <c r="AC93" i="84" a="1"/>
  <c r="AC93" i="84" s="1"/>
  <c r="AB93" i="84" a="1"/>
  <c r="AB93" i="84" s="1"/>
  <c r="AA93" i="84" a="1"/>
  <c r="AA93" i="84" s="1"/>
  <c r="Z93" i="84" a="1"/>
  <c r="Z93" i="84" s="1"/>
  <c r="Y93" i="84" a="1"/>
  <c r="Y93" i="84" s="1"/>
  <c r="X93" i="84" a="1"/>
  <c r="X93" i="84" s="1"/>
  <c r="W93" i="84" a="1"/>
  <c r="W93" i="84" s="1"/>
  <c r="V93" i="84" a="1"/>
  <c r="V93" i="84" s="1"/>
  <c r="U93" i="84" a="1"/>
  <c r="U93" i="84" s="1"/>
  <c r="T93" i="84" a="1"/>
  <c r="T93" i="84" s="1"/>
  <c r="S93" i="84" a="1"/>
  <c r="S93" i="84" s="1"/>
  <c r="R93" i="84" a="1"/>
  <c r="R93" i="84" s="1"/>
  <c r="Q93" i="84" a="1"/>
  <c r="Q93" i="84" s="1"/>
  <c r="P93" i="84" a="1"/>
  <c r="P93" i="84" s="1"/>
  <c r="O93" i="84" a="1"/>
  <c r="O93" i="84" s="1"/>
  <c r="N93" i="84" a="1"/>
  <c r="N93" i="84" s="1"/>
  <c r="M93" i="84" a="1"/>
  <c r="M93" i="84" s="1"/>
  <c r="L93" i="84" a="1"/>
  <c r="L93" i="84" s="1"/>
  <c r="K93" i="84" a="1"/>
  <c r="K93" i="84" s="1"/>
  <c r="J93" i="84" a="1"/>
  <c r="J93" i="84" s="1"/>
  <c r="I93" i="84" a="1"/>
  <c r="I93" i="84" s="1"/>
  <c r="H93" i="84" a="1"/>
  <c r="H93" i="84" s="1"/>
  <c r="G93" i="84" a="1"/>
  <c r="G93" i="84" s="1"/>
  <c r="F93" i="84" a="1"/>
  <c r="F93" i="84" s="1"/>
  <c r="E93" i="84" a="1"/>
  <c r="E93" i="84" s="1"/>
  <c r="D93" i="84" a="1"/>
  <c r="D93" i="84" s="1"/>
  <c r="AE92" i="84" a="1"/>
  <c r="AE92" i="84" s="1"/>
  <c r="AD92" i="84" a="1"/>
  <c r="AD92" i="84" s="1"/>
  <c r="AC92" i="84" a="1"/>
  <c r="AC92" i="84" s="1"/>
  <c r="AB92" i="84" a="1"/>
  <c r="AB92" i="84" s="1"/>
  <c r="AA92" i="84" a="1"/>
  <c r="AA92" i="84" s="1"/>
  <c r="Z92" i="84" a="1"/>
  <c r="Z92" i="84" s="1"/>
  <c r="Y92" i="84" a="1"/>
  <c r="Y92" i="84" s="1"/>
  <c r="X92" i="84" a="1"/>
  <c r="X92" i="84" s="1"/>
  <c r="W92" i="84" a="1"/>
  <c r="W92" i="84" s="1"/>
  <c r="V92" i="84" a="1"/>
  <c r="V92" i="84" s="1"/>
  <c r="U92" i="84" a="1"/>
  <c r="U92" i="84" s="1"/>
  <c r="T92" i="84" a="1"/>
  <c r="T92" i="84" s="1"/>
  <c r="S92" i="84" a="1"/>
  <c r="S92" i="84" s="1"/>
  <c r="R92" i="84" a="1"/>
  <c r="R92" i="84" s="1"/>
  <c r="Q92" i="84" a="1"/>
  <c r="Q92" i="84" s="1"/>
  <c r="P92" i="84" a="1"/>
  <c r="P92" i="84" s="1"/>
  <c r="O92" i="84" a="1"/>
  <c r="O92" i="84" s="1"/>
  <c r="N92" i="84" a="1"/>
  <c r="N92" i="84" s="1"/>
  <c r="M92" i="84" a="1"/>
  <c r="M92" i="84" s="1"/>
  <c r="L92" i="84" a="1"/>
  <c r="L92" i="84" s="1"/>
  <c r="K92" i="84" a="1"/>
  <c r="K92" i="84" s="1"/>
  <c r="J92" i="84" a="1"/>
  <c r="J92" i="84" s="1"/>
  <c r="I92" i="84" a="1"/>
  <c r="I92" i="84" s="1"/>
  <c r="H92" i="84" a="1"/>
  <c r="H92" i="84" s="1"/>
  <c r="G92" i="84" a="1"/>
  <c r="G92" i="84" s="1"/>
  <c r="F92" i="84" a="1"/>
  <c r="F92" i="84" s="1"/>
  <c r="E92" i="84" a="1"/>
  <c r="E92" i="84" s="1"/>
  <c r="D92" i="84" a="1"/>
  <c r="D92" i="84" s="1"/>
  <c r="AE91" i="84" a="1"/>
  <c r="AE91" i="84" s="1"/>
  <c r="AD91" i="84" a="1"/>
  <c r="AD91" i="84" s="1"/>
  <c r="AC91" i="84" a="1"/>
  <c r="AC91" i="84" s="1"/>
  <c r="AB91" i="84" a="1"/>
  <c r="AB91" i="84" s="1"/>
  <c r="AA91" i="84" a="1"/>
  <c r="AA91" i="84" s="1"/>
  <c r="Z91" i="84" a="1"/>
  <c r="Z91" i="84" s="1"/>
  <c r="Y91" i="84" a="1"/>
  <c r="Y91" i="84" s="1"/>
  <c r="X91" i="84" a="1"/>
  <c r="X91" i="84" s="1"/>
  <c r="W91" i="84" a="1"/>
  <c r="W91" i="84" s="1"/>
  <c r="V91" i="84" a="1"/>
  <c r="V91" i="84" s="1"/>
  <c r="U91" i="84" a="1"/>
  <c r="U91" i="84" s="1"/>
  <c r="T91" i="84" a="1"/>
  <c r="T91" i="84" s="1"/>
  <c r="S91" i="84" a="1"/>
  <c r="S91" i="84" s="1"/>
  <c r="R91" i="84" a="1"/>
  <c r="R91" i="84" s="1"/>
  <c r="Q91" i="84" a="1"/>
  <c r="Q91" i="84" s="1"/>
  <c r="P91" i="84" a="1"/>
  <c r="P91" i="84" s="1"/>
  <c r="O91" i="84" a="1"/>
  <c r="O91" i="84" s="1"/>
  <c r="N91" i="84" a="1"/>
  <c r="N91" i="84" s="1"/>
  <c r="M91" i="84" a="1"/>
  <c r="M91" i="84" s="1"/>
  <c r="L91" i="84" a="1"/>
  <c r="L91" i="84" s="1"/>
  <c r="K91" i="84" a="1"/>
  <c r="K91" i="84" s="1"/>
  <c r="J91" i="84" a="1"/>
  <c r="J91" i="84" s="1"/>
  <c r="I91" i="84" a="1"/>
  <c r="I91" i="84" s="1"/>
  <c r="H91" i="84" a="1"/>
  <c r="H91" i="84" s="1"/>
  <c r="G91" i="84" a="1"/>
  <c r="G91" i="84" s="1"/>
  <c r="F91" i="84" a="1"/>
  <c r="F91" i="84" s="1"/>
  <c r="E91" i="84" a="1"/>
  <c r="E91" i="84" s="1"/>
  <c r="D91" i="84" a="1"/>
  <c r="D91" i="84" s="1"/>
  <c r="AE90" i="84" a="1"/>
  <c r="AE90" i="84" s="1"/>
  <c r="AD90" i="84" a="1"/>
  <c r="AD90" i="84" s="1"/>
  <c r="AC90" i="84" a="1"/>
  <c r="AC90" i="84" s="1"/>
  <c r="AB90" i="84" a="1"/>
  <c r="AB90" i="84" s="1"/>
  <c r="AA90" i="84" a="1"/>
  <c r="AA90" i="84" s="1"/>
  <c r="Z90" i="84" a="1"/>
  <c r="Z90" i="84" s="1"/>
  <c r="Y90" i="84" a="1"/>
  <c r="Y90" i="84" s="1"/>
  <c r="X90" i="84" a="1"/>
  <c r="X90" i="84" s="1"/>
  <c r="W90" i="84" a="1"/>
  <c r="W90" i="84" s="1"/>
  <c r="V90" i="84" a="1"/>
  <c r="V90" i="84" s="1"/>
  <c r="U90" i="84" a="1"/>
  <c r="U90" i="84" s="1"/>
  <c r="T90" i="84" a="1"/>
  <c r="T90" i="84" s="1"/>
  <c r="S90" i="84" a="1"/>
  <c r="S90" i="84" s="1"/>
  <c r="R90" i="84" a="1"/>
  <c r="R90" i="84" s="1"/>
  <c r="Q90" i="84" a="1"/>
  <c r="Q90" i="84" s="1"/>
  <c r="P90" i="84" a="1"/>
  <c r="P90" i="84" s="1"/>
  <c r="O90" i="84" a="1"/>
  <c r="O90" i="84" s="1"/>
  <c r="N90" i="84" a="1"/>
  <c r="N90" i="84" s="1"/>
  <c r="M90" i="84" a="1"/>
  <c r="M90" i="84" s="1"/>
  <c r="L90" i="84" a="1"/>
  <c r="L90" i="84" s="1"/>
  <c r="K90" i="84" a="1"/>
  <c r="K90" i="84" s="1"/>
  <c r="J90" i="84" a="1"/>
  <c r="J90" i="84" s="1"/>
  <c r="I90" i="84" a="1"/>
  <c r="I90" i="84" s="1"/>
  <c r="H90" i="84" a="1"/>
  <c r="H90" i="84" s="1"/>
  <c r="G90" i="84" a="1"/>
  <c r="G90" i="84" s="1"/>
  <c r="F90" i="84" a="1"/>
  <c r="F90" i="84" s="1"/>
  <c r="E90" i="84" a="1"/>
  <c r="E90" i="84" s="1"/>
  <c r="D90" i="84" a="1"/>
  <c r="D90" i="84" s="1"/>
  <c r="F83" i="84" a="1"/>
  <c r="F83" i="84" s="1"/>
  <c r="E83" i="84" a="1"/>
  <c r="E83" i="84" s="1"/>
  <c r="D83" i="84" a="1"/>
  <c r="D83" i="84" s="1"/>
  <c r="D82" i="84" a="1"/>
  <c r="D82" i="84" s="1"/>
  <c r="D81" i="84" a="1"/>
  <c r="D81" i="84" s="1"/>
  <c r="F78" i="84" a="1"/>
  <c r="F78" i="84" s="1"/>
  <c r="E78" i="84" a="1"/>
  <c r="E78" i="84" s="1"/>
  <c r="D78" i="84" a="1"/>
  <c r="D78" i="84" s="1"/>
  <c r="D77" i="84" a="1"/>
  <c r="D77" i="84" s="1"/>
  <c r="D76" i="84" a="1"/>
  <c r="D76" i="84" s="1"/>
  <c r="F73" i="84" a="1"/>
  <c r="F73" i="84" s="1"/>
  <c r="E73" i="84" a="1"/>
  <c r="E73" i="84" s="1"/>
  <c r="D73" i="84" a="1"/>
  <c r="D73" i="84" s="1"/>
  <c r="D72" i="84" a="1"/>
  <c r="D72" i="84" s="1"/>
  <c r="D71" i="84" a="1"/>
  <c r="D71" i="84" s="1"/>
  <c r="F68" i="84" a="1"/>
  <c r="F68" i="84" s="1"/>
  <c r="E68" i="84" a="1"/>
  <c r="E68" i="84" s="1"/>
  <c r="D68" i="84" a="1"/>
  <c r="D68" i="84" s="1"/>
  <c r="F67" i="84" a="1"/>
  <c r="F67" i="84" s="1"/>
  <c r="I19" i="81" s="1"/>
  <c r="E67" i="84" a="1"/>
  <c r="E67" i="84" s="1"/>
  <c r="I18" i="81" s="1"/>
  <c r="D67" i="84" a="1"/>
  <c r="D67" i="84" s="1"/>
  <c r="F66" i="84" a="1"/>
  <c r="F66" i="84" s="1"/>
  <c r="I16" i="81" s="1"/>
  <c r="E66" i="84" a="1"/>
  <c r="E66" i="84" s="1"/>
  <c r="I15" i="81" s="1"/>
  <c r="D66" i="84" a="1"/>
  <c r="D66" i="84" s="1"/>
  <c r="D64" i="84" a="1"/>
  <c r="D64" i="84" s="1"/>
  <c r="D63" i="84" a="1"/>
  <c r="D63" i="84" s="1"/>
  <c r="F60" i="84" a="1"/>
  <c r="F60" i="84" s="1"/>
  <c r="E60" i="84" a="1"/>
  <c r="E60" i="84" s="1"/>
  <c r="I50" i="79" s="1"/>
  <c r="D60" i="84" a="1"/>
  <c r="D60" i="84" s="1"/>
  <c r="D59" i="84" a="1"/>
  <c r="D59" i="84" s="1"/>
  <c r="D58" i="84" a="1"/>
  <c r="D58" i="84" s="1"/>
  <c r="E55" i="84" a="1"/>
  <c r="E55" i="84" s="1"/>
  <c r="D55" i="84" a="1"/>
  <c r="D55" i="84" s="1"/>
  <c r="E54" i="84" a="1"/>
  <c r="E54" i="84" s="1"/>
  <c r="D54" i="84" a="1"/>
  <c r="D54" i="84" s="1"/>
  <c r="E53" i="84" a="1"/>
  <c r="E53" i="84" s="1"/>
  <c r="D53" i="84" a="1"/>
  <c r="D53" i="84" s="1"/>
  <c r="E52" i="84" a="1"/>
  <c r="E52" i="84" s="1"/>
  <c r="D52" i="84" a="1"/>
  <c r="D52" i="84" s="1"/>
  <c r="E51" i="84" a="1"/>
  <c r="E51" i="84" s="1"/>
  <c r="D51" i="84" a="1"/>
  <c r="D51" i="84" s="1"/>
  <c r="D49" i="84" a="1"/>
  <c r="D49" i="84" s="1"/>
  <c r="D48" i="84" a="1"/>
  <c r="D48" i="84" s="1"/>
  <c r="I38" i="84" a="1"/>
  <c r="I38" i="84" s="1"/>
  <c r="H38" i="84" a="1"/>
  <c r="H38" i="84" s="1"/>
  <c r="G38" i="84" a="1"/>
  <c r="G38" i="84" s="1"/>
  <c r="F38" i="84" a="1"/>
  <c r="F38" i="84" s="1"/>
  <c r="E38" i="84" a="1"/>
  <c r="E38" i="84" s="1"/>
  <c r="D38" i="84" a="1"/>
  <c r="D38" i="84" s="1"/>
  <c r="G180" i="105" s="1"/>
  <c r="I37" i="84" a="1"/>
  <c r="I37" i="84" s="1"/>
  <c r="H37" i="84" a="1"/>
  <c r="H37" i="84" s="1"/>
  <c r="G37" i="84" a="1"/>
  <c r="G37" i="84" s="1"/>
  <c r="F37" i="84" a="1"/>
  <c r="F37" i="84" s="1"/>
  <c r="E37" i="84" a="1"/>
  <c r="E37" i="84" s="1"/>
  <c r="D37" i="84" a="1"/>
  <c r="D37" i="84" s="1"/>
  <c r="I36" i="84" a="1"/>
  <c r="I36" i="84" s="1"/>
  <c r="H36" i="84" a="1"/>
  <c r="H36" i="84" s="1"/>
  <c r="G36" i="84" a="1"/>
  <c r="G36" i="84" s="1"/>
  <c r="F36" i="84" a="1"/>
  <c r="F36" i="84" s="1"/>
  <c r="E36" i="84" a="1"/>
  <c r="E36" i="84" s="1"/>
  <c r="D36" i="84" a="1"/>
  <c r="D36" i="84" s="1"/>
  <c r="G190" i="105" s="1"/>
  <c r="I35" i="84" a="1"/>
  <c r="I35" i="84" s="1"/>
  <c r="H35" i="84" a="1"/>
  <c r="H35" i="84" s="1"/>
  <c r="G35" i="84" a="1"/>
  <c r="G35" i="84" s="1"/>
  <c r="F35" i="84" a="1"/>
  <c r="F35" i="84" s="1"/>
  <c r="E35" i="84" a="1"/>
  <c r="E35" i="84" s="1"/>
  <c r="D35" i="84" a="1"/>
  <c r="D35" i="84" s="1"/>
  <c r="G182" i="105" s="1"/>
  <c r="I34" i="84" a="1"/>
  <c r="I34" i="84" s="1"/>
  <c r="H34" i="84" a="1"/>
  <c r="H34" i="84" s="1"/>
  <c r="G34" i="84" a="1"/>
  <c r="G34" i="84" s="1"/>
  <c r="F34" i="84" a="1"/>
  <c r="F34" i="84" s="1"/>
  <c r="E34" i="84" a="1"/>
  <c r="E34" i="84" s="1"/>
  <c r="D34" i="84" a="1"/>
  <c r="D34" i="84" s="1"/>
  <c r="G184" i="105" s="1"/>
  <c r="I33" i="84" a="1"/>
  <c r="I33" i="84" s="1"/>
  <c r="H33" i="84" a="1"/>
  <c r="H33" i="84" s="1"/>
  <c r="G33" i="84" a="1"/>
  <c r="G33" i="84" s="1"/>
  <c r="F33" i="84" a="1"/>
  <c r="F33" i="84" s="1"/>
  <c r="E33" i="84" a="1"/>
  <c r="E33" i="84" s="1"/>
  <c r="D33" i="84" a="1"/>
  <c r="D33" i="84" s="1"/>
  <c r="G198" i="105" s="1"/>
  <c r="I32" i="84" a="1"/>
  <c r="I32" i="84" s="1"/>
  <c r="H32" i="84" a="1"/>
  <c r="H32" i="84" s="1"/>
  <c r="G32" i="84" a="1"/>
  <c r="G32" i="84" s="1"/>
  <c r="F32" i="84" a="1"/>
  <c r="F32" i="84" s="1"/>
  <c r="E32" i="84" a="1"/>
  <c r="E32" i="84" s="1"/>
  <c r="D32" i="84" a="1"/>
  <c r="D32" i="84" s="1"/>
  <c r="G191" i="105" s="1"/>
  <c r="I31" i="84" a="1"/>
  <c r="I31" i="84" s="1"/>
  <c r="H31" i="84" a="1"/>
  <c r="H31" i="84" s="1"/>
  <c r="G31" i="84" a="1"/>
  <c r="G31" i="84" s="1"/>
  <c r="F31" i="84" a="1"/>
  <c r="F31" i="84" s="1"/>
  <c r="E31" i="84" a="1"/>
  <c r="E31" i="84" s="1"/>
  <c r="D31" i="84" a="1"/>
  <c r="D31" i="84" s="1"/>
  <c r="G189" i="105" s="1"/>
  <c r="I30" i="84" a="1"/>
  <c r="I30" i="84" s="1"/>
  <c r="H30" i="84" a="1"/>
  <c r="H30" i="84" s="1"/>
  <c r="G30" i="84" a="1"/>
  <c r="G30" i="84" s="1"/>
  <c r="F30" i="84" a="1"/>
  <c r="F30" i="84" s="1"/>
  <c r="E30" i="84" a="1"/>
  <c r="E30" i="84" s="1"/>
  <c r="D30" i="84" a="1"/>
  <c r="D30" i="84" s="1"/>
  <c r="G188" i="105" s="1"/>
  <c r="I29" i="84" a="1"/>
  <c r="I29" i="84" s="1"/>
  <c r="H29" i="84" a="1"/>
  <c r="H29" i="84" s="1"/>
  <c r="G29" i="84" a="1"/>
  <c r="G29" i="84" s="1"/>
  <c r="F29" i="84" a="1"/>
  <c r="F29" i="84" s="1"/>
  <c r="E29" i="84" a="1"/>
  <c r="E29" i="84" s="1"/>
  <c r="D29" i="84" a="1"/>
  <c r="D29" i="84" s="1"/>
  <c r="G186" i="105" s="1"/>
  <c r="R28" i="84" a="1"/>
  <c r="R28" i="84" s="1"/>
  <c r="Q28" i="84" a="1"/>
  <c r="Q28" i="84" s="1"/>
  <c r="L28" i="84" a="1"/>
  <c r="L28" i="84" s="1"/>
  <c r="K28" i="84" a="1"/>
  <c r="K28" i="84" s="1"/>
  <c r="I28" i="84" a="1"/>
  <c r="I28" i="84" s="1"/>
  <c r="H28" i="84" a="1"/>
  <c r="H28" i="84" s="1"/>
  <c r="G28" i="84" a="1"/>
  <c r="G28" i="84" s="1"/>
  <c r="F28" i="84" a="1"/>
  <c r="F28" i="84" s="1"/>
  <c r="E28" i="84" a="1"/>
  <c r="E28" i="84" s="1"/>
  <c r="D28" i="84" a="1"/>
  <c r="D28" i="84" s="1"/>
  <c r="G187" i="105" s="1"/>
  <c r="R27" i="84" a="1"/>
  <c r="R27" i="84" s="1"/>
  <c r="Q27" i="84" a="1"/>
  <c r="Q27" i="84" s="1"/>
  <c r="L27" i="84" a="1"/>
  <c r="L27" i="84" s="1"/>
  <c r="K27" i="84" a="1"/>
  <c r="K27" i="84" s="1"/>
  <c r="I27" i="84" a="1"/>
  <c r="I27" i="84" s="1"/>
  <c r="H27" i="84" a="1"/>
  <c r="H27" i="84" s="1"/>
  <c r="G27" i="84" a="1"/>
  <c r="G27" i="84" s="1"/>
  <c r="F27" i="84" a="1"/>
  <c r="F27" i="84" s="1"/>
  <c r="E27" i="84" a="1"/>
  <c r="E27" i="84" s="1"/>
  <c r="D27" i="84" a="1"/>
  <c r="D27" i="84" s="1"/>
  <c r="G185" i="105" s="1"/>
  <c r="R26" i="84" a="1"/>
  <c r="R26" i="84" s="1"/>
  <c r="Q26" i="84" a="1"/>
  <c r="Q26" i="84" s="1"/>
  <c r="L26" i="84" a="1"/>
  <c r="L26" i="84" s="1"/>
  <c r="K26" i="84" a="1"/>
  <c r="K26" i="84" s="1"/>
  <c r="I26" i="84" a="1"/>
  <c r="I26" i="84" s="1"/>
  <c r="H26" i="84" a="1"/>
  <c r="H26" i="84" s="1"/>
  <c r="G26" i="84" a="1"/>
  <c r="G26" i="84" s="1"/>
  <c r="F26" i="84" a="1"/>
  <c r="F26" i="84" s="1"/>
  <c r="E26" i="84" a="1"/>
  <c r="E26" i="84" s="1"/>
  <c r="D26" i="84" a="1"/>
  <c r="D26" i="84" s="1"/>
  <c r="G179" i="105" s="1"/>
  <c r="R25" i="84" a="1"/>
  <c r="R25" i="84" s="1"/>
  <c r="Q25" i="84" a="1"/>
  <c r="Q25" i="84" s="1"/>
  <c r="L25" i="84" a="1"/>
  <c r="L25" i="84" s="1"/>
  <c r="K25" i="84" a="1"/>
  <c r="K25" i="84" s="1"/>
  <c r="I25" i="84" a="1"/>
  <c r="I25" i="84" s="1"/>
  <c r="H25" i="84" a="1"/>
  <c r="H25" i="84" s="1"/>
  <c r="G25" i="84" a="1"/>
  <c r="G25" i="84" s="1"/>
  <c r="F25" i="84" a="1"/>
  <c r="F25" i="84" s="1"/>
  <c r="E25" i="84" a="1"/>
  <c r="E25" i="84" s="1"/>
  <c r="D25" i="84" a="1"/>
  <c r="D25" i="84" s="1"/>
  <c r="G178" i="105" s="1"/>
  <c r="R24" i="84" a="1"/>
  <c r="R24" i="84" s="1"/>
  <c r="Q24" i="84" a="1"/>
  <c r="Q24" i="84" s="1"/>
  <c r="L24" i="84" a="1"/>
  <c r="L24" i="84" s="1"/>
  <c r="K24" i="84" a="1"/>
  <c r="K24" i="84" s="1"/>
  <c r="I24" i="84" a="1"/>
  <c r="I24" i="84" s="1"/>
  <c r="H24" i="84" a="1"/>
  <c r="H24" i="84" s="1"/>
  <c r="G24" i="84" a="1"/>
  <c r="G24" i="84" s="1"/>
  <c r="F24" i="84" a="1"/>
  <c r="F24" i="84" s="1"/>
  <c r="E24" i="84" a="1"/>
  <c r="E24" i="84" s="1"/>
  <c r="D24" i="84" a="1"/>
  <c r="D24" i="84" s="1"/>
  <c r="G193" i="105" s="1"/>
  <c r="V23" i="84" a="1"/>
  <c r="V23" i="84" s="1"/>
  <c r="R23" i="84" a="1"/>
  <c r="R23" i="84" s="1"/>
  <c r="Q23" i="84" a="1"/>
  <c r="Q23" i="84" s="1"/>
  <c r="L23" i="84" a="1"/>
  <c r="L23" i="84" s="1"/>
  <c r="K23" i="84" a="1"/>
  <c r="K23" i="84" s="1"/>
  <c r="I23" i="84" a="1"/>
  <c r="I23" i="84" s="1"/>
  <c r="H23" i="84" a="1"/>
  <c r="H23" i="84" s="1"/>
  <c r="G23" i="84" a="1"/>
  <c r="G23" i="84" s="1"/>
  <c r="F23" i="84" a="1"/>
  <c r="F23" i="84" s="1"/>
  <c r="E23" i="84" a="1"/>
  <c r="E23" i="84" s="1"/>
  <c r="D23" i="84" a="1"/>
  <c r="D23" i="84" s="1"/>
  <c r="G192" i="105" s="1"/>
  <c r="V22" i="84" a="1"/>
  <c r="V22" i="84" s="1"/>
  <c r="R22" i="84" a="1"/>
  <c r="R22" i="84" s="1"/>
  <c r="Q22" i="84" a="1"/>
  <c r="Q22" i="84" s="1"/>
  <c r="L22" i="84" a="1"/>
  <c r="L22" i="84" s="1"/>
  <c r="K22" i="84" a="1"/>
  <c r="K22" i="84" s="1"/>
  <c r="I22" i="84" a="1"/>
  <c r="I22" i="84" s="1"/>
  <c r="H22" i="84" a="1"/>
  <c r="H22" i="84" s="1"/>
  <c r="G22" i="84" a="1"/>
  <c r="G22" i="84" s="1"/>
  <c r="F22" i="84" a="1"/>
  <c r="F22" i="84" s="1"/>
  <c r="E22" i="84" a="1"/>
  <c r="E22" i="84" s="1"/>
  <c r="D22" i="84" a="1"/>
  <c r="D22" i="84" s="1"/>
  <c r="V21" i="84" a="1"/>
  <c r="V21" i="84" s="1"/>
  <c r="R21" i="84" a="1"/>
  <c r="R21" i="84" s="1"/>
  <c r="Q21" i="84" a="1"/>
  <c r="Q21" i="84" s="1"/>
  <c r="L21" i="84" a="1"/>
  <c r="L21" i="84" s="1"/>
  <c r="K21" i="84" a="1"/>
  <c r="K21" i="84" s="1"/>
  <c r="I21" i="84" a="1"/>
  <c r="I21" i="84" s="1"/>
  <c r="H21" i="84" a="1"/>
  <c r="H21" i="84" s="1"/>
  <c r="G21" i="84" a="1"/>
  <c r="G21" i="84" s="1"/>
  <c r="F21" i="84" a="1"/>
  <c r="F21" i="84" s="1"/>
  <c r="E21" i="84" a="1"/>
  <c r="E21" i="84" s="1"/>
  <c r="D21" i="84" a="1"/>
  <c r="D21" i="84" s="1"/>
  <c r="G181" i="105" s="1"/>
  <c r="V20" i="84" a="1"/>
  <c r="V20" i="84" s="1"/>
  <c r="R20" i="84" a="1"/>
  <c r="R20" i="84" s="1"/>
  <c r="Q20" i="84" a="1"/>
  <c r="Q20" i="84" s="1"/>
  <c r="L20" i="84" a="1"/>
  <c r="L20" i="84" s="1"/>
  <c r="K20" i="84" a="1"/>
  <c r="K20" i="84" s="1"/>
  <c r="I20" i="84" a="1"/>
  <c r="I20" i="84" s="1"/>
  <c r="H20" i="84" a="1"/>
  <c r="H20" i="84" s="1"/>
  <c r="G20" i="84" a="1"/>
  <c r="G20" i="84" s="1"/>
  <c r="F20" i="84" a="1"/>
  <c r="F20" i="84" s="1"/>
  <c r="E20" i="84" a="1"/>
  <c r="E20" i="84" s="1"/>
  <c r="D20" i="84" a="1"/>
  <c r="D20" i="84" s="1"/>
  <c r="V18" i="84" a="1"/>
  <c r="V18" i="84" s="1"/>
  <c r="Q18" i="84" a="1"/>
  <c r="Q18" i="84" s="1"/>
  <c r="K18" i="84" a="1"/>
  <c r="K18" i="84" s="1"/>
  <c r="V17" i="84" a="1"/>
  <c r="V17" i="84" s="1"/>
  <c r="Q17" i="84" a="1"/>
  <c r="Q17" i="84" s="1"/>
  <c r="K17" i="84" a="1"/>
  <c r="K17" i="84" s="1"/>
  <c r="D7" i="84" a="1"/>
  <c r="D7" i="84" s="1"/>
  <c r="D6" i="84" a="1"/>
  <c r="D6" i="84" s="1"/>
  <c r="D5" i="84" a="1"/>
  <c r="D5" i="84" s="1"/>
  <c r="F99" i="83" a="1"/>
  <c r="F99" i="83" s="1"/>
  <c r="D96" i="83" a="1"/>
  <c r="D96" i="83" s="1"/>
  <c r="H89" i="83" a="1"/>
  <c r="H89" i="83" s="1"/>
  <c r="D89" i="83" a="1"/>
  <c r="D89" i="83" s="1"/>
  <c r="E87" i="83" a="1"/>
  <c r="E87" i="83" s="1"/>
  <c r="F94" i="83" s="1"/>
  <c r="E86" i="83" a="1"/>
  <c r="E86" i="83" s="1"/>
  <c r="D82" i="83" a="1"/>
  <c r="D82" i="83" s="1"/>
  <c r="D81" i="83" a="1"/>
  <c r="D81" i="83" s="1"/>
  <c r="D67" i="83"/>
  <c r="D66" i="83"/>
  <c r="D65" i="83"/>
  <c r="I59" i="83"/>
  <c r="I58" i="83"/>
  <c r="I55" i="83" a="1"/>
  <c r="I55" i="83" s="1"/>
  <c r="G55" i="83" a="1"/>
  <c r="G55" i="83" s="1"/>
  <c r="D55" i="83" a="1"/>
  <c r="D55" i="83" s="1"/>
  <c r="E53" i="83" a="1"/>
  <c r="E53" i="83" s="1"/>
  <c r="F77" i="83" s="1"/>
  <c r="E52" i="83" a="1"/>
  <c r="E52" i="83" s="1"/>
  <c r="D48" i="83" a="1"/>
  <c r="D48" i="83" s="1"/>
  <c r="D47" i="83" a="1"/>
  <c r="D47" i="83" s="1"/>
  <c r="I17" i="83"/>
  <c r="I16" i="83"/>
  <c r="I13" i="83" a="1"/>
  <c r="I13" i="83" s="1"/>
  <c r="G13" i="83" a="1"/>
  <c r="G13" i="83" s="1"/>
  <c r="D13" i="83" a="1"/>
  <c r="D13" i="83" s="1"/>
  <c r="E11" i="83" a="1"/>
  <c r="E11" i="83" s="1"/>
  <c r="F43" i="83" s="1"/>
  <c r="E10" i="83" a="1"/>
  <c r="E10" i="83" s="1"/>
  <c r="D6" i="83" a="1"/>
  <c r="D6" i="83" s="1"/>
  <c r="D5" i="83" a="1"/>
  <c r="D5" i="83" s="1"/>
  <c r="F151" i="82" a="1"/>
  <c r="F151" i="82" s="1"/>
  <c r="D148" i="82" a="1"/>
  <c r="D148" i="82" s="1"/>
  <c r="I127" i="82"/>
  <c r="I124" i="82" a="1"/>
  <c r="I124" i="82" s="1"/>
  <c r="G124" i="82" a="1"/>
  <c r="G124" i="82" s="1"/>
  <c r="D124" i="82" a="1"/>
  <c r="D124" i="82" s="1"/>
  <c r="E122" i="82" a="1"/>
  <c r="E122" i="82" s="1"/>
  <c r="F146" i="82" s="1"/>
  <c r="E121" i="82" a="1"/>
  <c r="E121" i="82" s="1"/>
  <c r="D117" i="82" a="1"/>
  <c r="D117" i="82" s="1"/>
  <c r="D116" i="82" a="1"/>
  <c r="D116" i="82" s="1"/>
  <c r="I96" i="82" a="1"/>
  <c r="I96" i="82" s="1"/>
  <c r="G96" i="82" a="1"/>
  <c r="G96" i="82" s="1"/>
  <c r="D96" i="82" a="1"/>
  <c r="D96" i="82" s="1"/>
  <c r="E94" i="82" a="1"/>
  <c r="E94" i="82" s="1"/>
  <c r="G102" i="82" s="1"/>
  <c r="E93" i="82" a="1"/>
  <c r="E93" i="82" s="1"/>
  <c r="D89" i="82" a="1"/>
  <c r="D89" i="82" s="1"/>
  <c r="D88" i="82" a="1"/>
  <c r="D88" i="82" s="1"/>
  <c r="F84" i="82" a="1"/>
  <c r="F84" i="82" s="1"/>
  <c r="D81" i="82" a="1"/>
  <c r="D81" i="82" s="1"/>
  <c r="J52" i="82"/>
  <c r="J49" i="82" a="1"/>
  <c r="J49" i="82" s="1"/>
  <c r="H49" i="82" a="1"/>
  <c r="H49" i="82" s="1"/>
  <c r="D49" i="82" a="1"/>
  <c r="D49" i="82" s="1"/>
  <c r="E47" i="82" a="1"/>
  <c r="E47" i="82" s="1"/>
  <c r="F79" i="82" s="1"/>
  <c r="E46" i="82" a="1"/>
  <c r="E46" i="82" s="1"/>
  <c r="D42" i="82" a="1"/>
  <c r="D42" i="82" s="1"/>
  <c r="D41" i="82" a="1"/>
  <c r="D41" i="82" s="1"/>
  <c r="I14" i="82" a="1"/>
  <c r="I14" i="82" s="1"/>
  <c r="I13" i="82" a="1"/>
  <c r="I13" i="82" s="1"/>
  <c r="G13" i="82" a="1"/>
  <c r="G13" i="82" s="1"/>
  <c r="D13" i="82" a="1"/>
  <c r="D13" i="82" s="1"/>
  <c r="E11" i="82" a="1"/>
  <c r="E11" i="82" s="1"/>
  <c r="E10" i="82" a="1"/>
  <c r="E10" i="82" s="1"/>
  <c r="D6" i="82" a="1"/>
  <c r="D6" i="82" s="1"/>
  <c r="D5" i="82" a="1"/>
  <c r="D5" i="82" s="1"/>
  <c r="I17" i="81" a="1"/>
  <c r="I17" i="81" s="1"/>
  <c r="I14" i="81" a="1"/>
  <c r="I14" i="81" s="1"/>
  <c r="I13" i="81" a="1"/>
  <c r="I13" i="81" s="1"/>
  <c r="G13" i="81" a="1"/>
  <c r="G13" i="81" s="1"/>
  <c r="D13" i="81" a="1"/>
  <c r="D13" i="81" s="1"/>
  <c r="E11" i="81" a="1"/>
  <c r="E11" i="81" s="1"/>
  <c r="E10" i="81" a="1"/>
  <c r="E10" i="81" s="1"/>
  <c r="D6" i="81" a="1"/>
  <c r="D6" i="81" s="1"/>
  <c r="D5" i="81" a="1"/>
  <c r="D5" i="81" s="1"/>
  <c r="F55" i="80" a="1"/>
  <c r="F55" i="80" s="1"/>
  <c r="D52" i="80" a="1"/>
  <c r="D52" i="80" s="1"/>
  <c r="K47" i="80"/>
  <c r="I44" i="80" a="1"/>
  <c r="I44" i="80" s="1"/>
  <c r="D44" i="80" a="1"/>
  <c r="D44" i="80" s="1"/>
  <c r="E42" i="80" a="1"/>
  <c r="E42" i="80" s="1"/>
  <c r="F50" i="80" s="1"/>
  <c r="E41" i="80" a="1"/>
  <c r="E41" i="80" s="1"/>
  <c r="D37" i="80" a="1"/>
  <c r="D37" i="80" s="1"/>
  <c r="D36" i="80" a="1"/>
  <c r="D36" i="80" s="1"/>
  <c r="I30" i="80" a="1"/>
  <c r="I30" i="80" s="1"/>
  <c r="I29" i="80" a="1"/>
  <c r="I29" i="80" s="1"/>
  <c r="I28" i="80" a="1"/>
  <c r="I28" i="80" s="1"/>
  <c r="I27" i="80" a="1"/>
  <c r="I27" i="80" s="1"/>
  <c r="I26" i="80" a="1"/>
  <c r="I26" i="80" s="1"/>
  <c r="I25" i="80" a="1"/>
  <c r="I25" i="80" s="1"/>
  <c r="I24" i="80" a="1"/>
  <c r="I24" i="80" s="1"/>
  <c r="I23" i="80" a="1"/>
  <c r="I23" i="80" s="1"/>
  <c r="I15" i="80" a="1"/>
  <c r="I15" i="80" s="1"/>
  <c r="I14" i="80" a="1"/>
  <c r="I14" i="80" s="1"/>
  <c r="I13" i="80" a="1"/>
  <c r="I13" i="80" s="1"/>
  <c r="G13" i="80" a="1"/>
  <c r="G13" i="80" s="1"/>
  <c r="D13" i="80" a="1"/>
  <c r="D13" i="80" s="1"/>
  <c r="E11" i="80" a="1"/>
  <c r="E11" i="80" s="1"/>
  <c r="F32" i="80" s="1"/>
  <c r="E10" i="80" a="1"/>
  <c r="E10" i="80" s="1"/>
  <c r="D6" i="80" a="1"/>
  <c r="D6" i="80" s="1"/>
  <c r="D5" i="80" a="1"/>
  <c r="D5" i="80" s="1"/>
  <c r="I53" i="79" a="1"/>
  <c r="I53" i="79" s="1"/>
  <c r="I52" i="79"/>
  <c r="I49" i="79" a="1"/>
  <c r="I49" i="79" s="1"/>
  <c r="G49" i="79" a="1"/>
  <c r="G49" i="79" s="1"/>
  <c r="D49" i="79" a="1"/>
  <c r="D49" i="79" s="1"/>
  <c r="E47" i="79" a="1"/>
  <c r="E47" i="79" s="1"/>
  <c r="E46" i="79" a="1"/>
  <c r="E46" i="79" s="1"/>
  <c r="D42" i="79" a="1"/>
  <c r="D42" i="79" s="1"/>
  <c r="D41" i="79" a="1"/>
  <c r="D41" i="79" s="1"/>
  <c r="I14" i="79" a="1"/>
  <c r="I14" i="79" s="1"/>
  <c r="I13" i="79" a="1"/>
  <c r="I13" i="79" s="1"/>
  <c r="G13" i="79" a="1"/>
  <c r="G13" i="79" s="1"/>
  <c r="D13" i="79" a="1"/>
  <c r="D13" i="79" s="1"/>
  <c r="E11" i="79" a="1"/>
  <c r="E11" i="79" s="1"/>
  <c r="E10" i="79" a="1"/>
  <c r="E10" i="79" s="1"/>
  <c r="D6" i="79" a="1"/>
  <c r="D6" i="79" s="1"/>
  <c r="D5" i="79" a="1"/>
  <c r="D5" i="79" s="1"/>
  <c r="O93" i="78" a="1"/>
  <c r="O93" i="78" s="1"/>
  <c r="M90" i="78" a="1"/>
  <c r="M90" i="78" s="1"/>
  <c r="F85" i="78" a="1"/>
  <c r="F85" i="78" s="1"/>
  <c r="D82" i="78" a="1"/>
  <c r="D82" i="78" s="1"/>
  <c r="S73" i="78"/>
  <c r="S71" i="78"/>
  <c r="S70" i="78"/>
  <c r="S67" i="78" a="1"/>
  <c r="S67" i="78" s="1"/>
  <c r="Q67" i="78" a="1"/>
  <c r="Q67" i="78" s="1"/>
  <c r="M67" i="78" a="1"/>
  <c r="M67" i="78" s="1"/>
  <c r="N65" i="78" a="1"/>
  <c r="N65" i="78" s="1"/>
  <c r="N64" i="78" a="1"/>
  <c r="N64" i="78" s="1"/>
  <c r="M59" i="78" a="1"/>
  <c r="M59" i="78" s="1"/>
  <c r="M58" i="78" a="1"/>
  <c r="M58" i="78" s="1"/>
  <c r="V54" i="78" a="1"/>
  <c r="V54" i="78" s="1"/>
  <c r="T54" i="78"/>
  <c r="U54" i="78" s="1"/>
  <c r="S54" i="78" a="1"/>
  <c r="S54" i="78" s="1"/>
  <c r="R54" i="78" a="1"/>
  <c r="R54" i="78" s="1"/>
  <c r="Q54" i="78"/>
  <c r="I54" i="78"/>
  <c r="V53" i="78" a="1"/>
  <c r="V53" i="78" s="1"/>
  <c r="T53" i="78"/>
  <c r="U53" i="78" s="1"/>
  <c r="S53" i="78" a="1"/>
  <c r="S53" i="78" s="1"/>
  <c r="R53" i="78" a="1"/>
  <c r="R53" i="78" s="1"/>
  <c r="Q53" i="78"/>
  <c r="I53" i="78"/>
  <c r="I52" i="78"/>
  <c r="I49" i="78" a="1"/>
  <c r="I49" i="78" s="1"/>
  <c r="G49" i="78" a="1"/>
  <c r="G49" i="78" s="1"/>
  <c r="D49" i="78" a="1"/>
  <c r="D49" i="78" s="1"/>
  <c r="E47" i="78" a="1"/>
  <c r="E47" i="78" s="1"/>
  <c r="F80" i="78" s="1"/>
  <c r="E46" i="78" a="1"/>
  <c r="E46" i="78" s="1"/>
  <c r="D41" i="78" a="1"/>
  <c r="D41" i="78" s="1"/>
  <c r="D40" i="78" a="1"/>
  <c r="D40" i="78" s="1"/>
  <c r="R35" i="78" a="1"/>
  <c r="R35" i="78" s="1"/>
  <c r="P35" i="78" a="1"/>
  <c r="P35" i="78" s="1"/>
  <c r="M35" i="78" a="1"/>
  <c r="M35" i="78" s="1"/>
  <c r="N33" i="78" a="1"/>
  <c r="N33" i="78" s="1"/>
  <c r="V43" i="78" s="1"/>
  <c r="N32" i="78" a="1"/>
  <c r="N32" i="78" s="1"/>
  <c r="V44" i="78" s="1"/>
  <c r="M28" i="78" a="1"/>
  <c r="M28" i="78" s="1"/>
  <c r="M27" i="78" a="1"/>
  <c r="M27" i="78" s="1"/>
  <c r="R23" i="78" a="1"/>
  <c r="R23" i="78" s="1"/>
  <c r="P23" i="78" a="1"/>
  <c r="P23" i="78" s="1"/>
  <c r="M23" i="78" a="1"/>
  <c r="M23" i="78" s="1"/>
  <c r="N21" i="78" a="1"/>
  <c r="N21" i="78" s="1"/>
  <c r="S43" i="78" s="1"/>
  <c r="N20" i="78" a="1"/>
  <c r="N20" i="78" s="1"/>
  <c r="S44" i="78" s="1"/>
  <c r="M17" i="78" a="1"/>
  <c r="M17" i="78" s="1"/>
  <c r="M16" i="78" a="1"/>
  <c r="M16" i="78" s="1"/>
  <c r="I14" i="78" a="1"/>
  <c r="I14" i="78" s="1"/>
  <c r="I13" i="78" a="1"/>
  <c r="I13" i="78" s="1"/>
  <c r="G13" i="78" a="1"/>
  <c r="G13" i="78" s="1"/>
  <c r="D13" i="78" a="1"/>
  <c r="D13" i="78" s="1"/>
  <c r="R12" i="78" a="1"/>
  <c r="R12" i="78" s="1"/>
  <c r="P12" i="78" a="1"/>
  <c r="P12" i="78" s="1"/>
  <c r="M12" i="78" a="1"/>
  <c r="M12" i="78" s="1"/>
  <c r="E11" i="78" a="1"/>
  <c r="E11" i="78" s="1"/>
  <c r="N10" i="78" a="1"/>
  <c r="N10" i="78" s="1"/>
  <c r="R43" i="78" s="1"/>
  <c r="E10" i="78" a="1"/>
  <c r="E10" i="78" s="1"/>
  <c r="N9" i="78" a="1"/>
  <c r="N9" i="78" s="1"/>
  <c r="R44" i="78" s="1"/>
  <c r="M6" i="78" a="1"/>
  <c r="M6" i="78" s="1"/>
  <c r="D6" i="78" a="1"/>
  <c r="D6" i="78" s="1"/>
  <c r="M5" i="78" a="1"/>
  <c r="M5" i="78" s="1"/>
  <c r="D5" i="78" a="1"/>
  <c r="D5" i="78" s="1"/>
  <c r="G44" i="77"/>
  <c r="G43" i="77"/>
  <c r="G42" i="77"/>
  <c r="K33" i="77"/>
  <c r="K32" i="77"/>
  <c r="F32" i="77"/>
  <c r="G32" i="77" s="1"/>
  <c r="K31" i="77"/>
  <c r="F31" i="77"/>
  <c r="G31" i="77" s="1"/>
  <c r="E8" i="76" a="1"/>
  <c r="E8" i="76" s="1"/>
  <c r="E10" i="76" a="1"/>
  <c r="E10" i="76" s="1"/>
  <c r="F22" i="77" s="1"/>
  <c r="G22" i="77" s="1"/>
  <c r="E9" i="76" a="1"/>
  <c r="E9" i="76" s="1"/>
  <c r="I60" i="83" s="1"/>
  <c r="E43" i="82" a="1"/>
  <c r="E188" i="103" a="1"/>
  <c r="E8" i="86" a="1"/>
  <c r="N8" i="96" a="1"/>
  <c r="E42" i="78" a="1"/>
  <c r="O42" i="104" a="1"/>
  <c r="E99" i="93" a="1"/>
  <c r="E203" i="103" a="1"/>
  <c r="E7" i="83" a="1"/>
  <c r="E418" i="103" a="1"/>
  <c r="N42" i="96" a="1"/>
  <c r="E42" i="104" a="1"/>
  <c r="E27" i="98" a="1"/>
  <c r="E7" i="97" a="1"/>
  <c r="E7" i="89" a="1"/>
  <c r="L7" i="89" a="1"/>
  <c r="E290" i="103" a="1"/>
  <c r="E83" i="83" a="1"/>
  <c r="E7" i="81" a="1"/>
  <c r="E50" i="98" a="1"/>
  <c r="E38" i="80" a="1"/>
  <c r="E258" i="103" a="1"/>
  <c r="L8" i="90" a="1"/>
  <c r="E7" i="93" a="1"/>
  <c r="E25" i="86" a="1"/>
  <c r="E174" i="103" a="1"/>
  <c r="E49" i="83" a="1"/>
  <c r="E7" i="98" a="1"/>
  <c r="E508" i="103" a="1"/>
  <c r="E30" i="96" a="1"/>
  <c r="E90" i="82" a="1"/>
  <c r="E151" i="103" a="1"/>
  <c r="E561" i="103" a="1"/>
  <c r="E523" i="103" a="1"/>
  <c r="O61" i="104" a="1"/>
  <c r="E7" i="80" a="1"/>
  <c r="E323" i="103" a="1"/>
  <c r="E594" i="103" a="1"/>
  <c r="E79" i="104" a="1"/>
  <c r="E355" i="103" a="1"/>
  <c r="E30" i="97" a="1"/>
  <c r="E540" i="103" a="1"/>
  <c r="E43" i="79" a="1"/>
  <c r="E100" i="103" a="1"/>
  <c r="O26" i="104" a="1"/>
  <c r="E7" i="90" a="1"/>
  <c r="N65" i="96" a="1"/>
  <c r="E7" i="103" a="1"/>
  <c r="E61" i="104" a="1"/>
  <c r="O79" i="104" a="1"/>
  <c r="E7" i="82" a="1"/>
  <c r="O7" i="104" a="1"/>
  <c r="E385" i="103" a="1"/>
  <c r="E7" i="79" a="1"/>
  <c r="E7" i="78" a="1"/>
  <c r="E26" i="104" a="1"/>
  <c r="E7" i="96" a="1"/>
  <c r="N60" i="78" a="1"/>
  <c r="E118" i="82" a="1"/>
  <c r="E7" i="104" a="1"/>
  <c r="M33" i="89" l="1" a="1"/>
  <c r="M33" i="89" s="1"/>
  <c r="M29" i="90" a="1"/>
  <c r="M29" i="90" s="1"/>
  <c r="L29" i="90" a="1"/>
  <c r="L29" i="90" s="1"/>
  <c r="R13" i="100"/>
  <c r="R20" i="100"/>
  <c r="D56" i="100"/>
  <c r="D136" i="103" s="1"/>
  <c r="F136" i="103" s="1" a="1"/>
  <c r="F136" i="103" s="1"/>
  <c r="D139" i="103"/>
  <c r="F139" i="103" s="1" a="1"/>
  <c r="F139" i="103" s="1"/>
  <c r="D138" i="103"/>
  <c r="F138" i="103" s="1" a="1"/>
  <c r="F138" i="103" s="1"/>
  <c r="D137" i="103"/>
  <c r="F137" i="103" s="1" a="1"/>
  <c r="F137" i="103" s="1"/>
  <c r="E27" i="90"/>
  <c r="E34" i="90"/>
  <c r="E36" i="90"/>
  <c r="E29" i="90"/>
  <c r="L37" i="89" a="1"/>
  <c r="L37" i="89" s="1"/>
  <c r="M37" i="89" a="1"/>
  <c r="M37" i="89" s="1"/>
  <c r="M36" i="90" a="1"/>
  <c r="M36" i="90" s="1"/>
  <c r="L36" i="90" a="1"/>
  <c r="L36" i="90" s="1"/>
  <c r="D270" i="103"/>
  <c r="F281" i="103" a="1"/>
  <c r="F281" i="103" s="1"/>
  <c r="F274" i="103" a="1"/>
  <c r="F274" i="103" s="1"/>
  <c r="E281" i="103"/>
  <c r="G281" i="103" s="1" a="1"/>
  <c r="G281" i="103" s="1"/>
  <c r="E274" i="103"/>
  <c r="F280" i="103" a="1"/>
  <c r="F280" i="103" s="1"/>
  <c r="F273" i="103" a="1"/>
  <c r="F273" i="103" s="1"/>
  <c r="E280" i="103"/>
  <c r="F279" i="103" a="1"/>
  <c r="F279" i="103" s="1"/>
  <c r="F272" i="103" a="1"/>
  <c r="F272" i="103" s="1"/>
  <c r="E279" i="103"/>
  <c r="G279" i="103" s="1" a="1"/>
  <c r="G279" i="103" s="1"/>
  <c r="E272" i="103"/>
  <c r="F278" i="103" a="1"/>
  <c r="F278" i="103" s="1"/>
  <c r="F271" i="103" a="1"/>
  <c r="F271" i="103" s="1"/>
  <c r="E271" i="103"/>
  <c r="I271" i="103" s="1" a="1"/>
  <c r="I271" i="103" s="1"/>
  <c r="F277" i="103" a="1"/>
  <c r="F277" i="103" s="1"/>
  <c r="E277" i="103"/>
  <c r="F276" i="103" a="1"/>
  <c r="F276" i="103" s="1"/>
  <c r="E276" i="103"/>
  <c r="F275" i="103" a="1"/>
  <c r="F275" i="103" s="1"/>
  <c r="E275" i="103"/>
  <c r="I15" i="86" a="1"/>
  <c r="I15" i="86" s="1"/>
  <c r="J40" i="90"/>
  <c r="I40" i="90"/>
  <c r="H40" i="90"/>
  <c r="G40" i="90"/>
  <c r="M26" i="90" a="1"/>
  <c r="M26" i="90" s="1"/>
  <c r="M29" i="89" a="1"/>
  <c r="M29" i="89" s="1"/>
  <c r="L29" i="89" a="1"/>
  <c r="L29" i="89" s="1"/>
  <c r="J124" i="93" a="1"/>
  <c r="J124" i="93" s="1"/>
  <c r="J165" i="93" a="1"/>
  <c r="J165" i="93" s="1"/>
  <c r="J132" i="93" a="1"/>
  <c r="J132" i="93" s="1"/>
  <c r="J173" i="93" a="1"/>
  <c r="J173" i="93" s="1"/>
  <c r="D116" i="93" a="1"/>
  <c r="D116" i="93" s="1"/>
  <c r="J116" i="93" s="1" a="1"/>
  <c r="J116" i="93" s="1"/>
  <c r="J121" i="93" a="1"/>
  <c r="J121" i="93" s="1"/>
  <c r="D157" i="93" a="1"/>
  <c r="D157" i="93" s="1"/>
  <c r="J157" i="93" s="1" a="1"/>
  <c r="J157" i="93" s="1"/>
  <c r="D21" i="93" a="1"/>
  <c r="J120" i="93" a="1"/>
  <c r="J120" i="93" s="1"/>
  <c r="J161" i="93" a="1"/>
  <c r="J161" i="93" s="1"/>
  <c r="J135" i="93" a="1"/>
  <c r="J135" i="93" s="1"/>
  <c r="J118" i="93" a="1"/>
  <c r="J118" i="93" s="1"/>
  <c r="J176" i="93" a="1"/>
  <c r="J176" i="93" s="1"/>
  <c r="D59" i="93" a="1"/>
  <c r="G195" i="105"/>
  <c r="G194" i="105"/>
  <c r="G197" i="105"/>
  <c r="G196" i="105"/>
  <c r="H194" i="105"/>
  <c r="I174" i="105"/>
  <c r="H39" i="89" a="1"/>
  <c r="H39" i="89" s="1"/>
  <c r="H36" i="89" a="1"/>
  <c r="H36" i="89" s="1"/>
  <c r="H30" i="89" a="1"/>
  <c r="H30" i="89" s="1"/>
  <c r="G27" i="89" a="1"/>
  <c r="G27" i="89" s="1"/>
  <c r="K25" i="89" a="1"/>
  <c r="K25" i="89" s="1"/>
  <c r="G39" i="89" a="1"/>
  <c r="G39" i="89" s="1"/>
  <c r="G36" i="89" a="1"/>
  <c r="G36" i="89" s="1"/>
  <c r="K34" i="89" a="1"/>
  <c r="K34" i="89" s="1"/>
  <c r="G30" i="89" a="1"/>
  <c r="G30" i="89" s="1"/>
  <c r="K28" i="89" a="1"/>
  <c r="K28" i="89" s="1"/>
  <c r="J25" i="89" a="1"/>
  <c r="J25" i="89" s="1"/>
  <c r="J37" i="89" a="1"/>
  <c r="J37" i="89" s="1"/>
  <c r="J34" i="89" a="1"/>
  <c r="J34" i="89" s="1"/>
  <c r="K31" i="89" a="1"/>
  <c r="K31" i="89" s="1"/>
  <c r="J28" i="89" a="1"/>
  <c r="J28" i="89" s="1"/>
  <c r="I25" i="89" a="1"/>
  <c r="I25" i="89" s="1"/>
  <c r="I37" i="89" a="1"/>
  <c r="I37" i="89" s="1"/>
  <c r="I34" i="89" a="1"/>
  <c r="I34" i="89" s="1"/>
  <c r="J31" i="89" a="1"/>
  <c r="J31" i="89" s="1"/>
  <c r="I28" i="89" a="1"/>
  <c r="I28" i="89" s="1"/>
  <c r="H25" i="89" a="1"/>
  <c r="H25" i="89" s="1"/>
  <c r="H34" i="89" a="1"/>
  <c r="H34" i="89" s="1"/>
  <c r="I31" i="89" a="1"/>
  <c r="I31" i="89" s="1"/>
  <c r="H28" i="89" a="1"/>
  <c r="H28" i="89" s="1"/>
  <c r="G25" i="89" a="1"/>
  <c r="G25" i="89" s="1"/>
  <c r="G34" i="89" a="1"/>
  <c r="G34" i="89" s="1"/>
  <c r="H31" i="89" a="1"/>
  <c r="H31" i="89" s="1"/>
  <c r="G28" i="89" a="1"/>
  <c r="G28" i="89" s="1"/>
  <c r="K26" i="89" a="1"/>
  <c r="K26" i="89" s="1"/>
  <c r="K35" i="89" a="1"/>
  <c r="K35" i="89" s="1"/>
  <c r="G31" i="89" a="1"/>
  <c r="G31" i="89" s="1"/>
  <c r="K29" i="89" a="1"/>
  <c r="K29" i="89" s="1"/>
  <c r="E25" i="89"/>
  <c r="E37" i="89"/>
  <c r="G37" i="89" s="1" a="1"/>
  <c r="G37" i="89" s="1"/>
  <c r="J35" i="89" a="1"/>
  <c r="J35" i="89" s="1"/>
  <c r="K32" i="89" a="1"/>
  <c r="K32" i="89" s="1"/>
  <c r="J29" i="89" a="1"/>
  <c r="J29" i="89" s="1"/>
  <c r="I38" i="89" a="1"/>
  <c r="I38" i="89" s="1"/>
  <c r="I35" i="89" a="1"/>
  <c r="I35" i="89" s="1"/>
  <c r="J32" i="89" a="1"/>
  <c r="J32" i="89" s="1"/>
  <c r="I29" i="89" a="1"/>
  <c r="I29" i="89" s="1"/>
  <c r="H38" i="89" a="1"/>
  <c r="H38" i="89" s="1"/>
  <c r="H35" i="89" a="1"/>
  <c r="H35" i="89" s="1"/>
  <c r="I32" i="89" a="1"/>
  <c r="I32" i="89" s="1"/>
  <c r="H29" i="89" a="1"/>
  <c r="H29" i="89" s="1"/>
  <c r="G26" i="89" a="1"/>
  <c r="G26" i="89" s="1"/>
  <c r="G38" i="89" a="1"/>
  <c r="G38" i="89" s="1"/>
  <c r="G35" i="89" a="1"/>
  <c r="G35" i="89" s="1"/>
  <c r="H32" i="89" a="1"/>
  <c r="H32" i="89" s="1"/>
  <c r="G29" i="89" a="1"/>
  <c r="G29" i="89" s="1"/>
  <c r="K27" i="89" a="1"/>
  <c r="K27" i="89" s="1"/>
  <c r="K39" i="89" a="1"/>
  <c r="K39" i="89" s="1"/>
  <c r="K36" i="89" a="1"/>
  <c r="K36" i="89" s="1"/>
  <c r="G32" i="89" a="1"/>
  <c r="G32" i="89" s="1"/>
  <c r="K30" i="89" a="1"/>
  <c r="K30" i="89" s="1"/>
  <c r="Q30" i="89" s="1" a="1"/>
  <c r="Q30" i="89" s="1"/>
  <c r="J27" i="89" a="1"/>
  <c r="J27" i="89" s="1"/>
  <c r="J39" i="89" a="1"/>
  <c r="J39" i="89" s="1"/>
  <c r="J36" i="89" a="1"/>
  <c r="J36" i="89" s="1"/>
  <c r="J33" i="89" a="1"/>
  <c r="J33" i="89" s="1"/>
  <c r="J30" i="89" a="1"/>
  <c r="J30" i="89" s="1"/>
  <c r="I27" i="89" a="1"/>
  <c r="I27" i="89" s="1"/>
  <c r="I39" i="89" a="1"/>
  <c r="I39" i="89" s="1"/>
  <c r="I36" i="89" a="1"/>
  <c r="I36" i="89" s="1"/>
  <c r="I33" i="89" a="1"/>
  <c r="I33" i="89" s="1"/>
  <c r="I30" i="89" a="1"/>
  <c r="I30" i="89" s="1"/>
  <c r="H27" i="89" a="1"/>
  <c r="H27" i="89" s="1"/>
  <c r="M33" i="90" a="1"/>
  <c r="M33" i="90" s="1"/>
  <c r="M30" i="90" a="1"/>
  <c r="M30" i="90" s="1"/>
  <c r="L30" i="90" a="1"/>
  <c r="L30" i="90" s="1"/>
  <c r="I17" i="94"/>
  <c r="E116" i="93" a="1"/>
  <c r="E116" i="93" s="1"/>
  <c r="E157" i="93" a="1"/>
  <c r="E157" i="93" s="1"/>
  <c r="E21" i="93" a="1"/>
  <c r="E59" i="93" a="1"/>
  <c r="I20" i="96" a="1"/>
  <c r="I20" i="96" s="1"/>
  <c r="I15" i="96" a="1"/>
  <c r="I15" i="96" s="1"/>
  <c r="I17" i="98" a="1"/>
  <c r="I17" i="98" s="1"/>
  <c r="I58" i="98" a="1"/>
  <c r="I58" i="98" s="1"/>
  <c r="I35" i="98" a="1"/>
  <c r="I35" i="98" s="1"/>
  <c r="O237" i="103"/>
  <c r="AA238" i="103" a="1"/>
  <c r="AA238" i="103" s="1"/>
  <c r="AA239" i="103" a="1"/>
  <c r="AA239" i="103" s="1"/>
  <c r="K39" i="90" a="1"/>
  <c r="K39" i="90" s="1"/>
  <c r="M35" i="89" a="1"/>
  <c r="M35" i="89" s="1"/>
  <c r="L35" i="89" a="1"/>
  <c r="L35" i="89" s="1"/>
  <c r="M37" i="90" a="1"/>
  <c r="M37" i="90" s="1"/>
  <c r="L37" i="90" a="1"/>
  <c r="L37" i="90" s="1"/>
  <c r="O16" i="100"/>
  <c r="I530" i="103" a="1"/>
  <c r="I530" i="103" s="1"/>
  <c r="K40" i="90" a="1"/>
  <c r="K40" i="90" s="1"/>
  <c r="M26" i="89" a="1"/>
  <c r="M26" i="89" s="1"/>
  <c r="M30" i="89" a="1"/>
  <c r="M30" i="89" s="1"/>
  <c r="L30" i="89" a="1"/>
  <c r="L30" i="89" s="1"/>
  <c r="R16" i="100"/>
  <c r="H369" i="103" a="1"/>
  <c r="H369" i="103" s="1"/>
  <c r="I69" i="104"/>
  <c r="I57" i="83"/>
  <c r="I15" i="83"/>
  <c r="M38" i="89" a="1"/>
  <c r="M38" i="89" s="1"/>
  <c r="L38" i="89" a="1"/>
  <c r="L38" i="89" s="1"/>
  <c r="M31" i="90" a="1"/>
  <c r="M31" i="90" s="1"/>
  <c r="E35" i="90"/>
  <c r="E28" i="90"/>
  <c r="M27" i="90" a="1"/>
  <c r="M27" i="90" s="1"/>
  <c r="L27" i="90" a="1"/>
  <c r="L27" i="90" s="1"/>
  <c r="M38" i="90" a="1"/>
  <c r="M38" i="90" s="1"/>
  <c r="I57" i="98" a="1"/>
  <c r="I57" i="98" s="1"/>
  <c r="O35" i="104" a="1"/>
  <c r="O35" i="104" s="1"/>
  <c r="S48" i="104" s="1"/>
  <c r="M34" i="90" a="1"/>
  <c r="M34" i="90" s="1"/>
  <c r="L34" i="90" a="1"/>
  <c r="L34" i="90" s="1"/>
  <c r="M31" i="89" a="1"/>
  <c r="M31" i="89" s="1"/>
  <c r="L31" i="89" a="1"/>
  <c r="L31" i="89" s="1"/>
  <c r="G430" i="103" a="1"/>
  <c r="G430" i="103" s="1"/>
  <c r="G438" i="103" a="1"/>
  <c r="G438" i="103" s="1"/>
  <c r="H438" i="103" s="1" a="1"/>
  <c r="H438" i="103" s="1"/>
  <c r="H12" i="77"/>
  <c r="I12" i="77" s="1"/>
  <c r="E28" i="78" s="1" a="1"/>
  <c r="E28" i="78" s="1"/>
  <c r="E68" i="83"/>
  <c r="E105" i="82"/>
  <c r="D19" i="79" a="1"/>
  <c r="P22" i="77"/>
  <c r="P21" i="77"/>
  <c r="P20" i="77"/>
  <c r="O50" i="78" s="1" a="1"/>
  <c r="D23" i="83" a="1"/>
  <c r="D23" i="83" s="1"/>
  <c r="D19" i="82" a="1"/>
  <c r="D58" i="79" a="1"/>
  <c r="D58" i="79" s="1"/>
  <c r="D60" i="78" a="1"/>
  <c r="D60" i="78" s="1"/>
  <c r="D59" i="82" a="1"/>
  <c r="D59" i="82" s="1"/>
  <c r="D19" i="78" a="1"/>
  <c r="G183" i="105"/>
  <c r="I177" i="105"/>
  <c r="H197" i="105"/>
  <c r="H14" i="77"/>
  <c r="E70" i="83"/>
  <c r="E107" i="82"/>
  <c r="I33" i="104"/>
  <c r="E35" i="104" s="1" a="1"/>
  <c r="E35" i="104" s="1"/>
  <c r="I48" i="104" s="1"/>
  <c r="I97" i="82"/>
  <c r="F109" i="82" s="1" a="1"/>
  <c r="F109" i="82" s="1"/>
  <c r="E141" i="82" s="1"/>
  <c r="E30" i="90"/>
  <c r="E37" i="90"/>
  <c r="J39" i="90"/>
  <c r="I39" i="90"/>
  <c r="H39" i="90"/>
  <c r="G39" i="90"/>
  <c r="M36" i="89" a="1"/>
  <c r="M36" i="89" s="1"/>
  <c r="M39" i="90" a="1"/>
  <c r="M39" i="90" s="1"/>
  <c r="J87" i="104"/>
  <c r="J91" i="83"/>
  <c r="G177" i="105"/>
  <c r="AE244" i="103" s="1" a="1"/>
  <c r="AE244" i="103" s="1"/>
  <c r="G176" i="105"/>
  <c r="G175" i="105"/>
  <c r="W244" i="103" s="1" a="1"/>
  <c r="W244" i="103" s="1"/>
  <c r="G174" i="105"/>
  <c r="W245" i="103" s="1" a="1"/>
  <c r="W245" i="103" s="1"/>
  <c r="H15" i="77"/>
  <c r="P45" i="78" s="1" a="1"/>
  <c r="H43" i="77"/>
  <c r="I43" i="77" s="1"/>
  <c r="E108" i="82"/>
  <c r="E71" i="83"/>
  <c r="L25" i="90" a="1"/>
  <c r="L25" i="90" s="1"/>
  <c r="M25" i="90" a="1"/>
  <c r="M25" i="90" s="1"/>
  <c r="M27" i="89" a="1"/>
  <c r="M27" i="89" s="1"/>
  <c r="M32" i="89" a="1"/>
  <c r="M32" i="89" s="1"/>
  <c r="L32" i="89" a="1"/>
  <c r="L32" i="89" s="1"/>
  <c r="K90" i="105"/>
  <c r="M89" i="105" s="1"/>
  <c r="P127" i="103" a="1"/>
  <c r="P127" i="103" s="1"/>
  <c r="P120" i="103" a="1"/>
  <c r="P120" i="103" s="1"/>
  <c r="P123" i="103" a="1"/>
  <c r="P123" i="103" s="1"/>
  <c r="P126" i="103" a="1"/>
  <c r="P126" i="103" s="1"/>
  <c r="P122" i="103" a="1"/>
  <c r="P122" i="103" s="1"/>
  <c r="P125" i="103" a="1"/>
  <c r="P125" i="103" s="1"/>
  <c r="P128" i="103" a="1"/>
  <c r="P128" i="103" s="1"/>
  <c r="P121" i="103" a="1"/>
  <c r="P121" i="103" s="1"/>
  <c r="P124" i="103" a="1"/>
  <c r="P124" i="103" s="1"/>
  <c r="P119" i="103" a="1"/>
  <c r="P119" i="103" s="1"/>
  <c r="D51" i="100"/>
  <c r="D162" i="103" s="1"/>
  <c r="F162" i="103" s="1" a="1"/>
  <c r="F162" i="103" s="1"/>
  <c r="D164" i="103"/>
  <c r="F164" i="103" s="1" a="1"/>
  <c r="F164" i="103" s="1"/>
  <c r="D163" i="103"/>
  <c r="F163" i="103" s="1" a="1"/>
  <c r="F163" i="103" s="1"/>
  <c r="F20" i="77"/>
  <c r="G20" i="77" s="1"/>
  <c r="E237" i="103" s="1" a="1"/>
  <c r="J245" i="103" s="1" a="1"/>
  <c r="J245" i="103" s="1"/>
  <c r="H44" i="77"/>
  <c r="J44" i="77" s="1"/>
  <c r="E110" i="82"/>
  <c r="E73" i="83"/>
  <c r="E33" i="90"/>
  <c r="E26" i="90"/>
  <c r="E38" i="90"/>
  <c r="E31" i="90"/>
  <c r="M32" i="90" a="1"/>
  <c r="M32" i="90" s="1"/>
  <c r="M28" i="90" a="1"/>
  <c r="M28" i="90" s="1"/>
  <c r="M40" i="90" a="1"/>
  <c r="M40" i="90" s="1"/>
  <c r="L40" i="90" a="1"/>
  <c r="L40" i="90" s="1"/>
  <c r="E19" i="95"/>
  <c r="E20" i="95" s="1"/>
  <c r="I14" i="98"/>
  <c r="I14" i="96"/>
  <c r="Q18" i="96"/>
  <c r="F33" i="77"/>
  <c r="G33" i="77" s="1"/>
  <c r="E305" i="103" s="1" a="1"/>
  <c r="E305" i="103" s="1"/>
  <c r="I128" i="82"/>
  <c r="H16" i="77"/>
  <c r="E109" i="82"/>
  <c r="E72" i="83"/>
  <c r="I176" i="105"/>
  <c r="H196" i="105"/>
  <c r="F21" i="77"/>
  <c r="G21" i="77" s="1"/>
  <c r="E111" i="82"/>
  <c r="E74" i="83"/>
  <c r="L39" i="89" a="1"/>
  <c r="L39" i="89" s="1"/>
  <c r="Q39" i="89" s="1" a="1"/>
  <c r="Q39" i="89" s="1"/>
  <c r="E33" i="89"/>
  <c r="H33" i="89" s="1" a="1"/>
  <c r="H33" i="89" s="1"/>
  <c r="E26" i="89"/>
  <c r="I26" i="89" s="1" a="1"/>
  <c r="I26" i="89" s="1"/>
  <c r="E38" i="89"/>
  <c r="J38" i="89" s="1" a="1"/>
  <c r="J38" i="89" s="1"/>
  <c r="L34" i="89" a="1"/>
  <c r="L34" i="89" s="1"/>
  <c r="Q34" i="89" s="1" a="1"/>
  <c r="Q34" i="89" s="1"/>
  <c r="M34" i="89" a="1"/>
  <c r="M34" i="89" s="1"/>
  <c r="M35" i="90" a="1"/>
  <c r="M35" i="90" s="1"/>
  <c r="F17" i="95"/>
  <c r="D17" i="95"/>
  <c r="D30" i="95"/>
  <c r="D26" i="95"/>
  <c r="D25" i="95"/>
  <c r="D24" i="95"/>
  <c r="F22" i="95"/>
  <c r="I26" i="103" a="1"/>
  <c r="I26" i="103" s="1"/>
  <c r="I25" i="103" a="1"/>
  <c r="I25" i="103" s="1"/>
  <c r="I24" i="103" a="1"/>
  <c r="I24" i="103" s="1"/>
  <c r="J24" i="103" s="1" a="1"/>
  <c r="J24" i="103" s="1"/>
  <c r="I23" i="103" a="1"/>
  <c r="I23" i="103" s="1"/>
  <c r="E76" i="103" a="1"/>
  <c r="E76" i="103" s="1"/>
  <c r="E58" i="103" a="1"/>
  <c r="E58" i="103" s="1"/>
  <c r="E39" i="103" a="1"/>
  <c r="E39" i="103" s="1"/>
  <c r="G48" i="103" s="1" a="1"/>
  <c r="G48" i="103" s="1"/>
  <c r="I32" i="103" a="1"/>
  <c r="I32" i="103" s="1"/>
  <c r="I31" i="103" a="1"/>
  <c r="I31" i="103" s="1"/>
  <c r="I30" i="103" a="1"/>
  <c r="I30" i="103" s="1"/>
  <c r="J30" i="103" s="1" a="1"/>
  <c r="J30" i="103" s="1"/>
  <c r="I29" i="103" a="1"/>
  <c r="I29" i="103" s="1"/>
  <c r="I28" i="103" a="1"/>
  <c r="I28" i="103" s="1"/>
  <c r="J28" i="103" s="1" a="1"/>
  <c r="J28" i="103" s="1"/>
  <c r="I27" i="103" a="1"/>
  <c r="I27" i="103" s="1"/>
  <c r="J27" i="103" s="1" a="1"/>
  <c r="J27" i="103" s="1"/>
  <c r="I18" i="83"/>
  <c r="H13" i="77"/>
  <c r="I13" i="77" s="1"/>
  <c r="H42" i="77"/>
  <c r="J42" i="77" s="1"/>
  <c r="E69" i="83"/>
  <c r="E106" i="82"/>
  <c r="J53" i="82"/>
  <c r="R16" i="77" a="1"/>
  <c r="R16" i="77" s="1"/>
  <c r="U15" i="77" a="1"/>
  <c r="U15" i="77" s="1"/>
  <c r="X14" i="77"/>
  <c r="J14" i="77" a="1"/>
  <c r="J14" i="77" s="1"/>
  <c r="M13" i="77" a="1"/>
  <c r="M13" i="77" s="1"/>
  <c r="P12" i="77" a="1"/>
  <c r="P12" i="77" s="1"/>
  <c r="AC221" i="103" s="1" a="1"/>
  <c r="Q16" i="77" a="1"/>
  <c r="Q16" i="77" s="1"/>
  <c r="T15" i="77" a="1"/>
  <c r="T15" i="77" s="1"/>
  <c r="W14" i="77"/>
  <c r="G14" i="77"/>
  <c r="L13" i="77" a="1"/>
  <c r="L13" i="77" s="1"/>
  <c r="O12" i="77" a="1"/>
  <c r="O12" i="77" s="1"/>
  <c r="P16" i="77" a="1"/>
  <c r="P16" i="77" s="1"/>
  <c r="S15" i="77" a="1"/>
  <c r="S15" i="77" s="1"/>
  <c r="F14" i="77"/>
  <c r="K13" i="77" a="1"/>
  <c r="K13" i="77" s="1"/>
  <c r="E30" i="78" s="1" a="1"/>
  <c r="E30" i="78" s="1"/>
  <c r="N12" i="77" a="1"/>
  <c r="N12" i="77" s="1"/>
  <c r="O16" i="77" a="1"/>
  <c r="O16" i="77" s="1"/>
  <c r="R15" i="77" a="1"/>
  <c r="R15" i="77" s="1"/>
  <c r="U14" i="77" a="1"/>
  <c r="U14" i="77" s="1"/>
  <c r="X13" i="77"/>
  <c r="J13" i="77" a="1"/>
  <c r="J13" i="77" s="1"/>
  <c r="M12" i="77" a="1"/>
  <c r="M12" i="77" s="1"/>
  <c r="N16" i="77" a="1"/>
  <c r="N16" i="77" s="1"/>
  <c r="Q15" i="77" a="1"/>
  <c r="Q15" i="77" s="1"/>
  <c r="T14" i="77" a="1"/>
  <c r="T14" i="77" s="1"/>
  <c r="W13" i="77"/>
  <c r="G13" i="77"/>
  <c r="L12" i="77" a="1"/>
  <c r="L12" i="77" s="1"/>
  <c r="M16" i="77" a="1"/>
  <c r="M16" i="77" s="1"/>
  <c r="P15" i="77" a="1"/>
  <c r="P15" i="77" s="1"/>
  <c r="S14" i="77" a="1"/>
  <c r="S14" i="77" s="1"/>
  <c r="F13" i="77"/>
  <c r="K12" i="77" a="1"/>
  <c r="K12" i="77" s="1"/>
  <c r="E22" i="79" s="1" a="1"/>
  <c r="E22" i="79" s="1"/>
  <c r="L16" i="77" a="1"/>
  <c r="L16" i="77" s="1"/>
  <c r="O15" i="77" a="1"/>
  <c r="O15" i="77" s="1"/>
  <c r="R14" i="77" a="1"/>
  <c r="R14" i="77" s="1"/>
  <c r="U13" i="77" a="1"/>
  <c r="U13" i="77" s="1"/>
  <c r="X12" i="77"/>
  <c r="P221" i="103" s="1" a="1"/>
  <c r="P221" i="103" s="1"/>
  <c r="J12" i="77" a="1"/>
  <c r="J12" i="77" s="1"/>
  <c r="K16" i="77" a="1"/>
  <c r="K16" i="77" s="1"/>
  <c r="N15" i="77" a="1"/>
  <c r="N15" i="77" s="1"/>
  <c r="Q14" i="77" a="1"/>
  <c r="Q14" i="77" s="1"/>
  <c r="T13" i="77" a="1"/>
  <c r="T13" i="77" s="1"/>
  <c r="W12" i="77"/>
  <c r="G12" i="77"/>
  <c r="X16" i="77"/>
  <c r="J16" i="77" a="1"/>
  <c r="J16" i="77" s="1"/>
  <c r="M15" i="77" a="1"/>
  <c r="M15" i="77" s="1"/>
  <c r="P14" i="77" a="1"/>
  <c r="P14" i="77" s="1"/>
  <c r="S13" i="77" a="1"/>
  <c r="S13" i="77" s="1"/>
  <c r="F12" i="77"/>
  <c r="W16" i="77"/>
  <c r="G16" i="77"/>
  <c r="L15" i="77" a="1"/>
  <c r="L15" i="77" s="1"/>
  <c r="O14" i="77" a="1"/>
  <c r="O14" i="77" s="1"/>
  <c r="R13" i="77" a="1"/>
  <c r="R13" i="77" s="1"/>
  <c r="U12" i="77" a="1"/>
  <c r="U12" i="77" s="1"/>
  <c r="AL221" i="103" s="1" a="1"/>
  <c r="AL221" i="103" s="1"/>
  <c r="F16" i="77"/>
  <c r="K15" i="77" a="1"/>
  <c r="K15" i="77" s="1"/>
  <c r="N14" i="77" a="1"/>
  <c r="N14" i="77" s="1"/>
  <c r="Q13" i="77" a="1"/>
  <c r="Q13" i="77" s="1"/>
  <c r="T12" i="77" a="1"/>
  <c r="T12" i="77" s="1"/>
  <c r="AK221" i="103" s="1" a="1"/>
  <c r="U16" i="77" a="1"/>
  <c r="U16" i="77" s="1"/>
  <c r="X15" i="77"/>
  <c r="J15" i="77" a="1"/>
  <c r="J15" i="77" s="1"/>
  <c r="M14" i="77" a="1"/>
  <c r="M14" i="77" s="1"/>
  <c r="P13" i="77" a="1"/>
  <c r="P13" i="77" s="1"/>
  <c r="S12" i="77" a="1"/>
  <c r="S12" i="77" s="1"/>
  <c r="T16" i="77" a="1"/>
  <c r="T16" i="77" s="1"/>
  <c r="W15" i="77"/>
  <c r="G15" i="77"/>
  <c r="L14" i="77" a="1"/>
  <c r="L14" i="77" s="1"/>
  <c r="O13" i="77" a="1"/>
  <c r="O13" i="77" s="1"/>
  <c r="R12" i="77" a="1"/>
  <c r="R12" i="77" s="1"/>
  <c r="S16" i="77" a="1"/>
  <c r="S16" i="77" s="1"/>
  <c r="F15" i="77"/>
  <c r="K14" i="77" a="1"/>
  <c r="K14" i="77" s="1"/>
  <c r="N13" i="77" a="1"/>
  <c r="N13" i="77" s="1"/>
  <c r="Q12" i="77" a="1"/>
  <c r="Q12" i="77" s="1"/>
  <c r="E75" i="83"/>
  <c r="E112" i="82"/>
  <c r="I175" i="105"/>
  <c r="H195" i="105"/>
  <c r="E25" i="90"/>
  <c r="E32" i="90"/>
  <c r="M25" i="89" a="1"/>
  <c r="M25" i="89" s="1"/>
  <c r="L25" i="89" a="1"/>
  <c r="L25" i="89" s="1"/>
  <c r="M28" i="89" a="1"/>
  <c r="M28" i="89" s="1"/>
  <c r="G449" i="103" a="1"/>
  <c r="G449" i="103" s="1"/>
  <c r="H449" i="103" s="1" a="1"/>
  <c r="H449" i="103" s="1"/>
  <c r="G448" i="103" a="1"/>
  <c r="G448" i="103" s="1"/>
  <c r="G457" i="103" a="1"/>
  <c r="G457" i="103" s="1"/>
  <c r="H457" i="103" s="1" a="1"/>
  <c r="H457" i="103" s="1"/>
  <c r="AB123" i="103" a="1"/>
  <c r="AB123" i="103" s="1"/>
  <c r="E300" i="103" a="1"/>
  <c r="E300" i="103" s="1"/>
  <c r="G370" i="103" a="1"/>
  <c r="G370" i="103" s="1"/>
  <c r="G431" i="103" a="1"/>
  <c r="G431" i="103" s="1"/>
  <c r="H431" i="103" s="1" a="1"/>
  <c r="H431" i="103" s="1"/>
  <c r="G450" i="103" a="1"/>
  <c r="G450" i="103" s="1"/>
  <c r="H450" i="103" s="1" a="1"/>
  <c r="H450" i="103" s="1"/>
  <c r="S239" i="103" a="1"/>
  <c r="S239" i="103" s="1"/>
  <c r="S246" i="103" a="1"/>
  <c r="S246" i="103" s="1"/>
  <c r="E301" i="103" a="1"/>
  <c r="E301" i="103" s="1"/>
  <c r="G371" i="103" a="1"/>
  <c r="G371" i="103" s="1"/>
  <c r="J371" i="103" s="1" a="1"/>
  <c r="J371" i="103" s="1"/>
  <c r="G432" i="103" a="1"/>
  <c r="G432" i="103" s="1"/>
  <c r="H432" i="103" s="1" a="1"/>
  <c r="H432" i="103" s="1"/>
  <c r="G451" i="103" a="1"/>
  <c r="G451" i="103" s="1"/>
  <c r="H451" i="103" s="1" a="1"/>
  <c r="H451" i="103" s="1"/>
  <c r="G372" i="103" a="1"/>
  <c r="G372" i="103" s="1"/>
  <c r="G433" i="103" a="1"/>
  <c r="G433" i="103" s="1"/>
  <c r="H433" i="103" s="1" a="1"/>
  <c r="H433" i="103" s="1"/>
  <c r="G452" i="103" a="1"/>
  <c r="G452" i="103" s="1"/>
  <c r="H452" i="103" s="1" a="1"/>
  <c r="H452" i="103" s="1"/>
  <c r="I21" i="88"/>
  <c r="G373" i="103" a="1"/>
  <c r="G373" i="103" s="1"/>
  <c r="G434" i="103" a="1"/>
  <c r="G434" i="103" s="1"/>
  <c r="H434" i="103" s="1" a="1"/>
  <c r="H434" i="103" s="1"/>
  <c r="G453" i="103" a="1"/>
  <c r="G453" i="103" s="1"/>
  <c r="H453" i="103" s="1" a="1"/>
  <c r="H453" i="103" s="1"/>
  <c r="G374" i="103" a="1"/>
  <c r="G374" i="103" s="1"/>
  <c r="G435" i="103" a="1"/>
  <c r="G435" i="103" s="1"/>
  <c r="H435" i="103" s="1" a="1"/>
  <c r="H435" i="103" s="1"/>
  <c r="G454" i="103" a="1"/>
  <c r="G454" i="103" s="1"/>
  <c r="H454" i="103" s="1" a="1"/>
  <c r="H454" i="103" s="1"/>
  <c r="G375" i="103" a="1"/>
  <c r="G375" i="103" s="1"/>
  <c r="J375" i="103" s="1" a="1"/>
  <c r="J375" i="103" s="1"/>
  <c r="G436" i="103" a="1"/>
  <c r="G436" i="103" s="1"/>
  <c r="H436" i="103" s="1" a="1"/>
  <c r="H436" i="103" s="1"/>
  <c r="G455" i="103" a="1"/>
  <c r="G455" i="103" s="1"/>
  <c r="G376" i="103" a="1"/>
  <c r="G376" i="103" s="1"/>
  <c r="J376" i="103" s="1" a="1"/>
  <c r="J376" i="103" s="1"/>
  <c r="G437" i="103" a="1"/>
  <c r="G437" i="103" s="1"/>
  <c r="J437" i="103" s="1" a="1"/>
  <c r="J437" i="103" s="1"/>
  <c r="G456" i="103" a="1"/>
  <c r="G456" i="103" s="1"/>
  <c r="AB125" i="103" a="1"/>
  <c r="AB125" i="103" s="1"/>
  <c r="G439" i="103" a="1"/>
  <c r="G439" i="103" s="1"/>
  <c r="J439" i="103" s="1" a="1"/>
  <c r="J439" i="103" s="1"/>
  <c r="S238" i="103" a="1"/>
  <c r="S238" i="103" s="1"/>
  <c r="G367" i="103" a="1"/>
  <c r="G367" i="103" s="1"/>
  <c r="G368" i="103" a="1"/>
  <c r="G368" i="103" s="1"/>
  <c r="I15" i="98" a="1"/>
  <c r="I15" i="98" s="1"/>
  <c r="I16" i="98" a="1"/>
  <c r="I16" i="98" s="1"/>
  <c r="I18" i="96" a="1"/>
  <c r="I18" i="96" s="1"/>
  <c r="I19" i="96" a="1"/>
  <c r="I19" i="96" s="1"/>
  <c r="J627" i="103" a="1"/>
  <c r="J627" i="103" s="1"/>
  <c r="H430" i="103" a="1"/>
  <c r="H430" i="103" s="1"/>
  <c r="E41" i="85"/>
  <c r="G468" i="103" a="1"/>
  <c r="G468" i="103" s="1"/>
  <c r="G481" i="103" a="1"/>
  <c r="G481" i="103" s="1"/>
  <c r="G61" i="103" a="1"/>
  <c r="G61" i="103" s="1"/>
  <c r="F19" i="104"/>
  <c r="P19" i="104"/>
  <c r="G479" i="103" a="1"/>
  <c r="G479" i="103" s="1"/>
  <c r="E533" i="103" a="1"/>
  <c r="E533" i="103" s="1"/>
  <c r="G50" i="103" a="1"/>
  <c r="G50" i="103" s="1"/>
  <c r="F459" i="103"/>
  <c r="I138" i="103" a="1"/>
  <c r="I138" i="103" s="1"/>
  <c r="G466" i="103" a="1"/>
  <c r="G466" i="103" s="1"/>
  <c r="G470" i="103" a="1"/>
  <c r="G470" i="103" s="1"/>
  <c r="E42" i="104"/>
  <c r="O79" i="104"/>
  <c r="O61" i="104"/>
  <c r="O42" i="104"/>
  <c r="E7" i="104"/>
  <c r="E26" i="104"/>
  <c r="O7" i="104"/>
  <c r="O26" i="104"/>
  <c r="E79" i="104"/>
  <c r="E61" i="104"/>
  <c r="P55" i="104"/>
  <c r="F55" i="104"/>
  <c r="F145" i="103"/>
  <c r="F621" i="103"/>
  <c r="P74" i="104"/>
  <c r="F74" i="104"/>
  <c r="J455" i="103" a="1"/>
  <c r="J455" i="103" s="1"/>
  <c r="H455" i="103" a="1"/>
  <c r="H455" i="103" s="1"/>
  <c r="G136" i="103" a="1"/>
  <c r="G136" i="103" s="1"/>
  <c r="J50" i="103" a="1"/>
  <c r="J50" i="103" s="1"/>
  <c r="F90" i="104"/>
  <c r="I139" i="103" a="1"/>
  <c r="I139" i="103" s="1"/>
  <c r="G164" i="103" a="1"/>
  <c r="G164" i="103" s="1"/>
  <c r="E174" i="103"/>
  <c r="E385" i="103"/>
  <c r="E258" i="103"/>
  <c r="E523" i="103"/>
  <c r="E7" i="103"/>
  <c r="E100" i="103"/>
  <c r="E203" i="103"/>
  <c r="E290" i="103"/>
  <c r="E594" i="103"/>
  <c r="E151" i="103"/>
  <c r="E323" i="103"/>
  <c r="E561" i="103"/>
  <c r="E540" i="103"/>
  <c r="E355" i="103"/>
  <c r="E418" i="103"/>
  <c r="E188" i="103"/>
  <c r="E508" i="103"/>
  <c r="F90" i="103"/>
  <c r="F73" i="103"/>
  <c r="F35" i="103"/>
  <c r="F72" i="103"/>
  <c r="F54" i="103"/>
  <c r="F34" i="103"/>
  <c r="F94" i="103"/>
  <c r="F53" i="103"/>
  <c r="F93" i="103"/>
  <c r="F91" i="103"/>
  <c r="G69" i="103" a="1"/>
  <c r="G69" i="103" s="1"/>
  <c r="G65" i="103" a="1"/>
  <c r="G65" i="103" s="1"/>
  <c r="J68" i="103" a="1"/>
  <c r="J68" i="103" s="1"/>
  <c r="J64" i="103" a="1"/>
  <c r="J64" i="103" s="1"/>
  <c r="J81" i="103" a="1"/>
  <c r="J81" i="103" s="1"/>
  <c r="J85" i="103" a="1"/>
  <c r="J85" i="103" s="1"/>
  <c r="G81" i="103" a="1"/>
  <c r="G81" i="103" s="1"/>
  <c r="G276" i="103" a="1"/>
  <c r="G276" i="103" s="1"/>
  <c r="I276" i="103" a="1"/>
  <c r="I276" i="103" s="1"/>
  <c r="G44" i="103" a="1"/>
  <c r="G44" i="103" s="1"/>
  <c r="J43" i="103" a="1"/>
  <c r="J43" i="103" s="1"/>
  <c r="G47" i="103" a="1"/>
  <c r="G47" i="103" s="1"/>
  <c r="G51" i="103" a="1"/>
  <c r="G51" i="103" s="1"/>
  <c r="J46" i="103" a="1"/>
  <c r="J46" i="103" s="1"/>
  <c r="H374" i="103" a="1"/>
  <c r="H374" i="103" s="1"/>
  <c r="J374" i="103" a="1"/>
  <c r="J374" i="103" s="1"/>
  <c r="I469" i="103" a="1"/>
  <c r="I469" i="103" s="1"/>
  <c r="G469" i="103" a="1"/>
  <c r="G469" i="103" s="1"/>
  <c r="I480" i="103" a="1"/>
  <c r="I480" i="103" s="1"/>
  <c r="E484" i="103" s="1"/>
  <c r="G480" i="103" a="1"/>
  <c r="G480" i="103" s="1"/>
  <c r="J79" i="103" a="1"/>
  <c r="J79" i="103" s="1"/>
  <c r="E411" i="103"/>
  <c r="I467" i="103" a="1"/>
  <c r="I467" i="103" s="1"/>
  <c r="G467" i="103" a="1"/>
  <c r="G467" i="103" s="1"/>
  <c r="F502" i="103"/>
  <c r="F379" i="103"/>
  <c r="F251" i="103"/>
  <c r="F442" i="103"/>
  <c r="F518" i="103"/>
  <c r="F441" i="103"/>
  <c r="F501" i="103"/>
  <c r="F284" i="103"/>
  <c r="F555" i="103"/>
  <c r="F167" i="103"/>
  <c r="F283" i="103"/>
  <c r="F249" i="103"/>
  <c r="F460" i="103"/>
  <c r="F473" i="103"/>
  <c r="F378" i="103"/>
  <c r="H439" i="103" a="1"/>
  <c r="H439" i="103" s="1"/>
  <c r="N573" i="103"/>
  <c r="G82" i="103" a="1"/>
  <c r="G82" i="103" s="1"/>
  <c r="G86" i="103" a="1"/>
  <c r="G86" i="103" s="1"/>
  <c r="I137" i="103" a="1"/>
  <c r="I137" i="103" s="1"/>
  <c r="G137" i="103" a="1"/>
  <c r="G137" i="103" s="1"/>
  <c r="G139" i="103" a="1"/>
  <c r="G139" i="103" s="1"/>
  <c r="I274" i="103" a="1"/>
  <c r="I274" i="103" s="1"/>
  <c r="G274" i="103" a="1"/>
  <c r="G274" i="103" s="1"/>
  <c r="F296" i="103"/>
  <c r="F410" i="103"/>
  <c r="J436" i="103" a="1"/>
  <c r="J436" i="103" s="1"/>
  <c r="F533" i="103"/>
  <c r="M30" i="103" a="1"/>
  <c r="M30" i="103" s="1"/>
  <c r="J65" i="103" a="1"/>
  <c r="J65" i="103" s="1"/>
  <c r="J69" i="103" a="1"/>
  <c r="J69" i="103" s="1"/>
  <c r="G79" i="103" a="1"/>
  <c r="G79" i="103" s="1"/>
  <c r="J82" i="103" a="1"/>
  <c r="J82" i="103" s="1"/>
  <c r="J86" i="103" a="1"/>
  <c r="J86" i="103" s="1"/>
  <c r="F411" i="103"/>
  <c r="F472" i="103"/>
  <c r="G70" i="103" a="1"/>
  <c r="G70" i="103" s="1"/>
  <c r="F316" i="103"/>
  <c r="E502" i="103"/>
  <c r="M26" i="103" a="1"/>
  <c r="M26" i="103" s="1"/>
  <c r="J44" i="103" a="1"/>
  <c r="J44" i="103" s="1"/>
  <c r="J48" i="103" a="1"/>
  <c r="J48" i="103" s="1"/>
  <c r="G62" i="103" a="1"/>
  <c r="G62" i="103" s="1"/>
  <c r="G66" i="103" a="1"/>
  <c r="G66" i="103" s="1"/>
  <c r="J70" i="103" a="1"/>
  <c r="J70" i="103" s="1"/>
  <c r="G83" i="103" a="1"/>
  <c r="G83" i="103" s="1"/>
  <c r="G87" i="103" a="1"/>
  <c r="G87" i="103" s="1"/>
  <c r="F144" i="103"/>
  <c r="I162" i="103" a="1"/>
  <c r="I162" i="103" s="1"/>
  <c r="G162" i="103" a="1"/>
  <c r="G162" i="103" s="1"/>
  <c r="J612" i="103" a="1"/>
  <c r="J612" i="103" s="1"/>
  <c r="J611" i="103" a="1"/>
  <c r="J611" i="103" s="1"/>
  <c r="J613" i="103" a="1"/>
  <c r="J613" i="103" s="1"/>
  <c r="J610" i="103" a="1"/>
  <c r="J610" i="103" s="1"/>
  <c r="J618" i="103" a="1"/>
  <c r="J618" i="103" s="1"/>
  <c r="J31" i="103" a="1"/>
  <c r="J31" i="103" s="1"/>
  <c r="J66" i="103" a="1"/>
  <c r="J66" i="103" s="1"/>
  <c r="F317" i="103"/>
  <c r="H437" i="103" a="1"/>
  <c r="H437" i="103" s="1"/>
  <c r="J609" i="103" a="1"/>
  <c r="J609" i="103" s="1"/>
  <c r="G67" i="103" a="1"/>
  <c r="G67" i="103" s="1"/>
  <c r="J83" i="103" a="1"/>
  <c r="J83" i="103" s="1"/>
  <c r="J87" i="103" a="1"/>
  <c r="J87" i="103" s="1"/>
  <c r="F166" i="103"/>
  <c r="K338" i="103" a="1"/>
  <c r="K338" i="103" s="1"/>
  <c r="K343" i="103" a="1"/>
  <c r="K343" i="103" s="1"/>
  <c r="K337" i="103" a="1"/>
  <c r="K337" i="103" s="1"/>
  <c r="K342" i="103" a="1"/>
  <c r="K342" i="103" s="1"/>
  <c r="G63" i="103" a="1"/>
  <c r="G63" i="103" s="1"/>
  <c r="G138" i="103" a="1"/>
  <c r="G138" i="103" s="1"/>
  <c r="K336" i="103" a="1"/>
  <c r="K336" i="103" s="1"/>
  <c r="K345" i="103" a="1"/>
  <c r="K345" i="103" s="1"/>
  <c r="H370" i="103" a="1"/>
  <c r="H370" i="103" s="1"/>
  <c r="H371" i="103" a="1"/>
  <c r="H371" i="103" s="1"/>
  <c r="M24" i="103" a="1"/>
  <c r="M24" i="103" s="1"/>
  <c r="J29" i="103" a="1"/>
  <c r="J29" i="103" s="1"/>
  <c r="J45" i="103" a="1"/>
  <c r="J45" i="103" s="1"/>
  <c r="J49" i="103" a="1"/>
  <c r="J49" i="103" s="1"/>
  <c r="J63" i="103" a="1"/>
  <c r="J63" i="103" s="1"/>
  <c r="J67" i="103" a="1"/>
  <c r="J67" i="103" s="1"/>
  <c r="G80" i="103" a="1"/>
  <c r="G80" i="103" s="1"/>
  <c r="G84" i="103" a="1"/>
  <c r="G84" i="103" s="1"/>
  <c r="G88" i="103" a="1"/>
  <c r="G88" i="103" s="1"/>
  <c r="L342" i="103"/>
  <c r="L345" i="103"/>
  <c r="L340" i="103"/>
  <c r="L336" i="103"/>
  <c r="L343" i="103"/>
  <c r="L337" i="103"/>
  <c r="F483" i="103"/>
  <c r="J615" i="103" a="1"/>
  <c r="J615" i="103" s="1"/>
  <c r="J88" i="103" a="1"/>
  <c r="J88" i="103" s="1"/>
  <c r="I163" i="103" a="1"/>
  <c r="I163" i="103" s="1"/>
  <c r="G163" i="103" a="1"/>
  <c r="G163" i="103" s="1"/>
  <c r="F347" i="103"/>
  <c r="M29" i="103" a="1"/>
  <c r="M29" i="103" s="1"/>
  <c r="G46" i="103" a="1"/>
  <c r="G46" i="103" s="1"/>
  <c r="G64" i="103" a="1"/>
  <c r="G64" i="103" s="1"/>
  <c r="G68" i="103" a="1"/>
  <c r="G68" i="103" s="1"/>
  <c r="J80" i="103" a="1"/>
  <c r="J80" i="103" s="1"/>
  <c r="J84" i="103" a="1"/>
  <c r="J84" i="103" s="1"/>
  <c r="F348" i="103"/>
  <c r="F484" i="103"/>
  <c r="J616" i="103" a="1"/>
  <c r="J616" i="103" s="1"/>
  <c r="G85" i="103" a="1"/>
  <c r="G85" i="103" s="1"/>
  <c r="F641" i="103"/>
  <c r="F642" i="103"/>
  <c r="F639" i="103"/>
  <c r="F620" i="103"/>
  <c r="F638" i="103"/>
  <c r="F142" i="103"/>
  <c r="F141" i="103"/>
  <c r="F131" i="103"/>
  <c r="F130" i="103"/>
  <c r="F248" i="103"/>
  <c r="K339" i="103" a="1"/>
  <c r="K339" i="103" s="1"/>
  <c r="J617" i="103" a="1"/>
  <c r="J617" i="103" s="1"/>
  <c r="J372" i="103" a="1"/>
  <c r="J372" i="103" s="1"/>
  <c r="H372" i="103" a="1"/>
  <c r="H372" i="103" s="1"/>
  <c r="I120" i="103" a="1"/>
  <c r="I120" i="103" s="1"/>
  <c r="J242" i="103" a="1"/>
  <c r="J242" i="103" s="1"/>
  <c r="J369" i="103" a="1"/>
  <c r="J369" i="103" s="1"/>
  <c r="J431" i="103" a="1"/>
  <c r="J431" i="103" s="1"/>
  <c r="J432" i="103" a="1"/>
  <c r="J432" i="103" s="1"/>
  <c r="J438" i="103" a="1"/>
  <c r="J438" i="103" s="1"/>
  <c r="J632" i="103" a="1"/>
  <c r="J632" i="103" s="1"/>
  <c r="J630" i="103" a="1"/>
  <c r="J630" i="103" s="1"/>
  <c r="J628" i="103" a="1"/>
  <c r="J628" i="103" s="1"/>
  <c r="J635" i="103" a="1"/>
  <c r="J635" i="103" s="1"/>
  <c r="J243" i="103" a="1"/>
  <c r="J243" i="103" s="1"/>
  <c r="J456" i="103" a="1"/>
  <c r="J456" i="103" s="1"/>
  <c r="H456" i="103" a="1"/>
  <c r="H456" i="103" s="1"/>
  <c r="J636" i="103" a="1"/>
  <c r="J636" i="103" s="1"/>
  <c r="J449" i="103" a="1"/>
  <c r="J449" i="103" s="1"/>
  <c r="J451" i="103" a="1"/>
  <c r="J451" i="103" s="1"/>
  <c r="J448" i="103" a="1"/>
  <c r="J448" i="103" s="1"/>
  <c r="J450" i="103" a="1"/>
  <c r="J450" i="103" s="1"/>
  <c r="J453" i="103" a="1"/>
  <c r="J453" i="103" s="1"/>
  <c r="K402" i="103"/>
  <c r="O11" i="100"/>
  <c r="L14" i="100"/>
  <c r="O15" i="100"/>
  <c r="R11" i="100"/>
  <c r="E273" i="103" s="1"/>
  <c r="O14" i="100"/>
  <c r="L17" i="100"/>
  <c r="L20" i="100"/>
  <c r="L15" i="100"/>
  <c r="L18" i="100"/>
  <c r="L12" i="100"/>
  <c r="E278" i="103" s="1"/>
  <c r="O12" i="100"/>
  <c r="R18" i="100"/>
  <c r="L13" i="100"/>
  <c r="E27" i="98"/>
  <c r="E7" i="98"/>
  <c r="E50" i="98"/>
  <c r="E7" i="97"/>
  <c r="E30" i="97"/>
  <c r="P48" i="97"/>
  <c r="F48" i="97"/>
  <c r="N65" i="96"/>
  <c r="N8" i="96"/>
  <c r="N42" i="96"/>
  <c r="E30" i="96"/>
  <c r="E7" i="96"/>
  <c r="F24" i="96"/>
  <c r="O59" i="96"/>
  <c r="O77" i="96"/>
  <c r="F42" i="96"/>
  <c r="E99" i="93"/>
  <c r="E7" i="93"/>
  <c r="F192" i="93"/>
  <c r="F151" i="93"/>
  <c r="E7" i="90"/>
  <c r="L8" i="90"/>
  <c r="F58" i="90"/>
  <c r="F49" i="90"/>
  <c r="F57" i="90"/>
  <c r="F46" i="90"/>
  <c r="F56" i="90"/>
  <c r="F45" i="90"/>
  <c r="F55" i="90"/>
  <c r="F44" i="90"/>
  <c r="F52" i="90"/>
  <c r="F43" i="90"/>
  <c r="F51" i="90"/>
  <c r="F50" i="90"/>
  <c r="D39" i="90"/>
  <c r="L39" i="90" s="1" a="1"/>
  <c r="L39" i="90" s="1"/>
  <c r="D42" i="90"/>
  <c r="D28" i="90"/>
  <c r="L28" i="90" s="1" a="1"/>
  <c r="L28" i="90" s="1"/>
  <c r="D35" i="90"/>
  <c r="D26" i="90"/>
  <c r="L26" i="90" s="1" a="1"/>
  <c r="L26" i="90" s="1"/>
  <c r="D33" i="90"/>
  <c r="L33" i="90" s="1" a="1"/>
  <c r="L33" i="90" s="1"/>
  <c r="D40" i="90"/>
  <c r="D31" i="90"/>
  <c r="L31" i="90" s="1" a="1"/>
  <c r="L31" i="90" s="1"/>
  <c r="D38" i="90"/>
  <c r="L38" i="90" s="1" a="1"/>
  <c r="L38" i="90" s="1"/>
  <c r="D48" i="90"/>
  <c r="E7" i="89"/>
  <c r="L7" i="89"/>
  <c r="F70" i="89"/>
  <c r="F61" i="89"/>
  <c r="F51" i="89"/>
  <c r="F69" i="89"/>
  <c r="F50" i="89"/>
  <c r="F58" i="89"/>
  <c r="F68" i="89"/>
  <c r="F49" i="89"/>
  <c r="F57" i="89"/>
  <c r="F67" i="89"/>
  <c r="F56" i="89"/>
  <c r="F46" i="89"/>
  <c r="F64" i="89"/>
  <c r="F55" i="89"/>
  <c r="F45" i="89"/>
  <c r="F63" i="89"/>
  <c r="F44" i="89"/>
  <c r="F62" i="89"/>
  <c r="F52" i="89"/>
  <c r="F43" i="89"/>
  <c r="Q35" i="89" a="1"/>
  <c r="Q35" i="89" s="1"/>
  <c r="D54" i="89"/>
  <c r="D29" i="89"/>
  <c r="Q25" i="89" a="1"/>
  <c r="Q25" i="89" s="1"/>
  <c r="D38" i="89"/>
  <c r="D28" i="89"/>
  <c r="L28" i="89" s="1" a="1"/>
  <c r="L28" i="89" s="1"/>
  <c r="I18" i="88"/>
  <c r="L32" i="90" s="1" a="1"/>
  <c r="L32" i="90" s="1"/>
  <c r="D32" i="89"/>
  <c r="D27" i="89"/>
  <c r="L27" i="89" s="1" a="1"/>
  <c r="L27" i="89" s="1"/>
  <c r="D36" i="89"/>
  <c r="L36" i="89" s="1" a="1"/>
  <c r="L36" i="89" s="1"/>
  <c r="D31" i="89"/>
  <c r="D26" i="89"/>
  <c r="L26" i="89" s="1" a="1"/>
  <c r="L26" i="89" s="1"/>
  <c r="D42" i="89"/>
  <c r="E18" i="86" a="1"/>
  <c r="E18" i="86" s="1"/>
  <c r="I17" i="88"/>
  <c r="I20" i="88"/>
  <c r="L33" i="89" s="1" a="1"/>
  <c r="L33" i="89" s="1"/>
  <c r="I19" i="88"/>
  <c r="E8" i="86"/>
  <c r="E25" i="86"/>
  <c r="I46" i="85"/>
  <c r="I47" i="85"/>
  <c r="E83" i="83"/>
  <c r="E49" i="83"/>
  <c r="E7" i="83"/>
  <c r="E43" i="82"/>
  <c r="E118" i="82"/>
  <c r="E7" i="82"/>
  <c r="E90" i="82"/>
  <c r="G59" i="82"/>
  <c r="E7" i="81"/>
  <c r="E38" i="80"/>
  <c r="E7" i="80"/>
  <c r="E7" i="79"/>
  <c r="E43" i="79"/>
  <c r="F78" i="79"/>
  <c r="F58" i="79"/>
  <c r="I16" i="77"/>
  <c r="E7" i="78"/>
  <c r="E42" i="78"/>
  <c r="N60" i="78"/>
  <c r="O88" i="78"/>
  <c r="F60" i="78"/>
  <c r="T52" i="78"/>
  <c r="I14" i="77"/>
  <c r="D29" i="77"/>
  <c r="I44" i="77"/>
  <c r="I15" i="77"/>
  <c r="E221" i="103" s="1" a="1"/>
  <c r="J43" i="77"/>
  <c r="E49" i="13"/>
  <c r="E48" i="13"/>
  <c r="E47" i="13"/>
  <c r="G278" i="103" l="1" a="1"/>
  <c r="G278" i="103" s="1"/>
  <c r="I278" i="103" a="1"/>
  <c r="I278" i="103" s="1"/>
  <c r="O37" i="89" a="1"/>
  <c r="O37" i="89" s="1"/>
  <c r="F124" i="103"/>
  <c r="N34" i="89" a="1"/>
  <c r="N34" i="89" s="1"/>
  <c r="J240" i="103" a="1"/>
  <c r="J240" i="103" s="1"/>
  <c r="I279" i="103" a="1"/>
  <c r="I279" i="103" s="1"/>
  <c r="E25" i="79" a="1"/>
  <c r="E25" i="79" s="1"/>
  <c r="AA243" i="103" a="1"/>
  <c r="AA243" i="103" s="1"/>
  <c r="U221" i="103" a="1"/>
  <c r="G271" i="103" a="1"/>
  <c r="G271" i="103" s="1"/>
  <c r="E21" i="78" a="1"/>
  <c r="E21" i="78" s="1"/>
  <c r="AE240" i="103" a="1"/>
  <c r="AE240" i="103" s="1"/>
  <c r="X121" i="103" a="1"/>
  <c r="X121" i="103" s="1"/>
  <c r="AB120" i="103" a="1"/>
  <c r="AB120" i="103" s="1"/>
  <c r="W242" i="103" a="1"/>
  <c r="W242" i="103" s="1"/>
  <c r="F242" i="103" s="1" a="1"/>
  <c r="F242" i="103" s="1"/>
  <c r="G242" i="103" s="1" a="1"/>
  <c r="G242" i="103" s="1"/>
  <c r="F112" i="82" a="1"/>
  <c r="F112" i="82" s="1"/>
  <c r="E144" i="82" s="1"/>
  <c r="V16" i="77"/>
  <c r="Q221" i="103" a="1"/>
  <c r="Z221" i="103" a="1"/>
  <c r="Z221" i="103" s="1"/>
  <c r="K26" i="90"/>
  <c r="J26" i="90"/>
  <c r="I26" i="90"/>
  <c r="H26" i="90"/>
  <c r="G26" i="90"/>
  <c r="AE246" i="103" a="1"/>
  <c r="AE246" i="103" s="1"/>
  <c r="J26" i="89" a="1"/>
  <c r="J26" i="89" s="1"/>
  <c r="H37" i="89" a="1"/>
  <c r="H37" i="89" s="1"/>
  <c r="N37" i="89" s="1" a="1"/>
  <c r="N37" i="89" s="1"/>
  <c r="G33" i="89" a="1"/>
  <c r="G33" i="89" s="1"/>
  <c r="N33" i="89" s="1" a="1"/>
  <c r="N33" i="89" s="1"/>
  <c r="E49" i="89" s="1"/>
  <c r="J126" i="93" a="1"/>
  <c r="J126" i="93" s="1"/>
  <c r="J117" i="93" a="1"/>
  <c r="J117" i="93" s="1"/>
  <c r="J36" i="90"/>
  <c r="I36" i="90"/>
  <c r="H36" i="90"/>
  <c r="G36" i="90"/>
  <c r="K36" i="90"/>
  <c r="Q36" i="90" s="1" a="1"/>
  <c r="Q36" i="90" s="1"/>
  <c r="K34" i="90"/>
  <c r="J34" i="90"/>
  <c r="I34" i="90"/>
  <c r="H34" i="90"/>
  <c r="G34" i="90"/>
  <c r="J239" i="103" a="1"/>
  <c r="J239" i="103" s="1"/>
  <c r="G20" i="80" a="1"/>
  <c r="I22" i="80" s="1" a="1"/>
  <c r="I22" i="80" s="1"/>
  <c r="E67" i="83" s="1"/>
  <c r="E36" i="79" a="1"/>
  <c r="E36" i="79" s="1"/>
  <c r="T122" i="103" a="1"/>
  <c r="T122" i="103" s="1"/>
  <c r="AD221" i="103" a="1"/>
  <c r="AD221" i="103" s="1"/>
  <c r="V14" i="77"/>
  <c r="X123" i="103" a="1"/>
  <c r="X123" i="103" s="1"/>
  <c r="AB126" i="103" a="1"/>
  <c r="AB126" i="103" s="1"/>
  <c r="T123" i="103" a="1"/>
  <c r="T123" i="103" s="1"/>
  <c r="AB119" i="103" a="1"/>
  <c r="AB119" i="103" s="1"/>
  <c r="X126" i="103" a="1"/>
  <c r="X126" i="103" s="1"/>
  <c r="T126" i="103" a="1"/>
  <c r="T126" i="103" s="1"/>
  <c r="AB122" i="103" a="1"/>
  <c r="AB122" i="103" s="1"/>
  <c r="X122" i="103" a="1"/>
  <c r="X122" i="103" s="1"/>
  <c r="X125" i="103" a="1"/>
  <c r="X125" i="103" s="1"/>
  <c r="T125" i="103" a="1"/>
  <c r="T125" i="103" s="1"/>
  <c r="F125" i="103" s="1"/>
  <c r="I125" i="103" s="1" a="1"/>
  <c r="I125" i="103" s="1"/>
  <c r="T128" i="103" a="1"/>
  <c r="T128" i="103" s="1"/>
  <c r="AB124" i="103" a="1"/>
  <c r="AB124" i="103" s="1"/>
  <c r="T121" i="103" a="1"/>
  <c r="T121" i="103" s="1"/>
  <c r="T119" i="103" a="1"/>
  <c r="T119" i="103" s="1"/>
  <c r="X124" i="103" a="1"/>
  <c r="X124" i="103" s="1"/>
  <c r="T124" i="103" a="1"/>
  <c r="T124" i="103" s="1"/>
  <c r="T127" i="103" a="1"/>
  <c r="T127" i="103" s="1"/>
  <c r="F127" i="103" s="1"/>
  <c r="I127" i="103" s="1" a="1"/>
  <c r="I127" i="103" s="1"/>
  <c r="T120" i="103" a="1"/>
  <c r="T120" i="103" s="1"/>
  <c r="X119" i="103" a="1"/>
  <c r="X119" i="103" s="1"/>
  <c r="AE239" i="103" a="1"/>
  <c r="AE239" i="103" s="1"/>
  <c r="AA245" i="103" a="1"/>
  <c r="AA245" i="103" s="1"/>
  <c r="H26" i="89" a="1"/>
  <c r="H26" i="89" s="1"/>
  <c r="J127" i="93" a="1"/>
  <c r="J127" i="93" s="1"/>
  <c r="J122" i="93" a="1"/>
  <c r="J122" i="93" s="1"/>
  <c r="J144" i="93" a="1"/>
  <c r="J144" i="93" s="1"/>
  <c r="H27" i="90"/>
  <c r="G27" i="90"/>
  <c r="K27" i="90"/>
  <c r="J27" i="90"/>
  <c r="I27" i="90"/>
  <c r="I33" i="90"/>
  <c r="O33" i="90" s="1" a="1"/>
  <c r="O33" i="90" s="1"/>
  <c r="H33" i="90"/>
  <c r="G33" i="90"/>
  <c r="K33" i="90"/>
  <c r="J33" i="90"/>
  <c r="E20" i="79" a="1"/>
  <c r="E20" i="79" s="1"/>
  <c r="E29" i="79" a="1"/>
  <c r="E29" i="79" s="1"/>
  <c r="G29" i="79" s="1" a="1"/>
  <c r="G29" i="79" s="1"/>
  <c r="V221" i="103" a="1"/>
  <c r="V221" i="103" s="1"/>
  <c r="F110" i="82" a="1"/>
  <c r="F110" i="82" s="1"/>
  <c r="E142" i="82" s="1"/>
  <c r="K37" i="90"/>
  <c r="J37" i="90"/>
  <c r="I37" i="90"/>
  <c r="H37" i="90"/>
  <c r="G37" i="90"/>
  <c r="D19" i="82"/>
  <c r="F19" i="82" s="1" a="1"/>
  <c r="F19" i="82" s="1"/>
  <c r="G19" i="82" s="1" a="1"/>
  <c r="G19" i="82" s="1"/>
  <c r="F36" i="82" a="1"/>
  <c r="F36" i="82" s="1"/>
  <c r="G36" i="82" s="1" a="1"/>
  <c r="G36" i="82" s="1"/>
  <c r="F29" i="82" a="1"/>
  <c r="F29" i="82" s="1"/>
  <c r="G29" i="82" s="1" a="1"/>
  <c r="G29" i="82" s="1"/>
  <c r="F22" i="82" a="1"/>
  <c r="F22" i="82" s="1"/>
  <c r="G22" i="82" s="1" a="1"/>
  <c r="G22" i="82" s="1"/>
  <c r="F35" i="82" a="1"/>
  <c r="F35" i="82" s="1"/>
  <c r="G35" i="82" s="1" a="1"/>
  <c r="G35" i="82" s="1"/>
  <c r="F28" i="82" a="1"/>
  <c r="F28" i="82" s="1"/>
  <c r="G28" i="82" s="1" a="1"/>
  <c r="G28" i="82" s="1"/>
  <c r="F21" i="82" a="1"/>
  <c r="F21" i="82" s="1"/>
  <c r="G21" i="82" s="1" a="1"/>
  <c r="G21" i="82" s="1"/>
  <c r="F34" i="82" a="1"/>
  <c r="F34" i="82" s="1"/>
  <c r="G34" i="82" s="1" a="1"/>
  <c r="G34" i="82" s="1"/>
  <c r="F27" i="82" a="1"/>
  <c r="F27" i="82" s="1"/>
  <c r="G27" i="82" s="1" a="1"/>
  <c r="G27" i="82" s="1"/>
  <c r="F20" i="82" a="1"/>
  <c r="F20" i="82" s="1"/>
  <c r="G20" i="82" s="1" a="1"/>
  <c r="G20" i="82" s="1"/>
  <c r="F33" i="82" a="1"/>
  <c r="F33" i="82" s="1"/>
  <c r="G33" i="82" s="1" a="1"/>
  <c r="G33" i="82" s="1"/>
  <c r="F26" i="82" a="1"/>
  <c r="F26" i="82" s="1"/>
  <c r="G26" i="82" s="1" a="1"/>
  <c r="G26" i="82" s="1"/>
  <c r="F32" i="82" a="1"/>
  <c r="F32" i="82" s="1"/>
  <c r="G32" i="82" s="1" a="1"/>
  <c r="G32" i="82" s="1"/>
  <c r="F25" i="82" a="1"/>
  <c r="F25" i="82" s="1"/>
  <c r="G25" i="82" s="1" a="1"/>
  <c r="G25" i="82" s="1"/>
  <c r="F31" i="82" a="1"/>
  <c r="F31" i="82" s="1"/>
  <c r="G31" i="82" s="1" a="1"/>
  <c r="G31" i="82" s="1"/>
  <c r="F24" i="82" a="1"/>
  <c r="F24" i="82" s="1"/>
  <c r="G24" i="82" s="1" a="1"/>
  <c r="G24" i="82" s="1"/>
  <c r="F37" i="82" a="1"/>
  <c r="F37" i="82" s="1"/>
  <c r="G37" i="82" s="1" a="1"/>
  <c r="G37" i="82" s="1"/>
  <c r="F30" i="82" a="1"/>
  <c r="F30" i="82" s="1"/>
  <c r="G30" i="82" s="1" a="1"/>
  <c r="G30" i="82" s="1"/>
  <c r="F23" i="82" a="1"/>
  <c r="F23" i="82" s="1"/>
  <c r="G23" i="82" s="1" a="1"/>
  <c r="G23" i="82" s="1"/>
  <c r="AA246" i="103" a="1"/>
  <c r="AA246" i="103" s="1"/>
  <c r="W243" i="103" a="1"/>
  <c r="W243" i="103" s="1"/>
  <c r="H243" i="103" s="1" a="1"/>
  <c r="H243" i="103" s="1"/>
  <c r="AE237" i="103" a="1"/>
  <c r="AE237" i="103" s="1"/>
  <c r="AA237" i="103" a="1"/>
  <c r="AA237" i="103" s="1"/>
  <c r="W237" i="103" a="1"/>
  <c r="W237" i="103" s="1"/>
  <c r="K33" i="89" a="1"/>
  <c r="K33" i="89" s="1"/>
  <c r="K37" i="89" a="1"/>
  <c r="K37" i="89" s="1"/>
  <c r="D59" i="93"/>
  <c r="G88" i="93" a="1"/>
  <c r="G88" i="93" s="1"/>
  <c r="G79" i="93" a="1"/>
  <c r="G79" i="93" s="1"/>
  <c r="I79" i="93" s="1" a="1"/>
  <c r="I79" i="93" s="1"/>
  <c r="H177" i="93" s="1"/>
  <c r="I177" i="93" s="1"/>
  <c r="K177" i="93" s="1" a="1"/>
  <c r="K177" i="93" s="1"/>
  <c r="G72" i="93" a="1"/>
  <c r="G72" i="93" s="1"/>
  <c r="G64" i="93" a="1"/>
  <c r="G64" i="93" s="1"/>
  <c r="G86" i="93" a="1"/>
  <c r="G86" i="93" s="1"/>
  <c r="G78" i="93" a="1"/>
  <c r="G78" i="93" s="1"/>
  <c r="G71" i="93" a="1"/>
  <c r="G71" i="93" s="1"/>
  <c r="G63" i="93" a="1"/>
  <c r="G63" i="93" s="1"/>
  <c r="I63" i="93" s="1" a="1"/>
  <c r="I63" i="93" s="1"/>
  <c r="H161" i="93" s="1"/>
  <c r="I161" i="93" s="1"/>
  <c r="K161" i="93" s="1" a="1"/>
  <c r="K161" i="93" s="1"/>
  <c r="G85" i="93" a="1"/>
  <c r="G85" i="93" s="1"/>
  <c r="I85" i="93" s="1" a="1"/>
  <c r="I85" i="93" s="1"/>
  <c r="H183" i="93" s="1"/>
  <c r="G77" i="93" a="1"/>
  <c r="G77" i="93" s="1"/>
  <c r="G69" i="93" a="1"/>
  <c r="G69" i="93" s="1"/>
  <c r="G62" i="93" a="1"/>
  <c r="G62" i="93" s="1"/>
  <c r="G92" i="93" a="1"/>
  <c r="G92" i="93" s="1"/>
  <c r="G84" i="93" a="1"/>
  <c r="G84" i="93" s="1"/>
  <c r="G76" i="93" a="1"/>
  <c r="G76" i="93" s="1"/>
  <c r="G68" i="93" a="1"/>
  <c r="G68" i="93" s="1"/>
  <c r="G61" i="93" a="1"/>
  <c r="G61" i="93" s="1"/>
  <c r="G91" i="93" a="1"/>
  <c r="G91" i="93" s="1"/>
  <c r="G83" i="93" a="1"/>
  <c r="G83" i="93" s="1"/>
  <c r="G75" i="93" a="1"/>
  <c r="G75" i="93" s="1"/>
  <c r="G67" i="93" a="1"/>
  <c r="G67" i="93" s="1"/>
  <c r="G60" i="93" a="1"/>
  <c r="G60" i="93" s="1"/>
  <c r="I60" i="93" s="1" a="1"/>
  <c r="I60" i="93" s="1"/>
  <c r="H158" i="93" s="1"/>
  <c r="I158" i="93" s="1"/>
  <c r="K158" i="93" s="1" a="1"/>
  <c r="K158" i="93" s="1"/>
  <c r="G90" i="93" a="1"/>
  <c r="G90" i="93" s="1"/>
  <c r="I90" i="93" s="1" a="1"/>
  <c r="I90" i="93" s="1"/>
  <c r="H188" i="93" s="1"/>
  <c r="G82" i="93" a="1"/>
  <c r="G82" i="93" s="1"/>
  <c r="G74" i="93" a="1"/>
  <c r="G74" i="93" s="1"/>
  <c r="G66" i="93" a="1"/>
  <c r="G66" i="93" s="1"/>
  <c r="G89" i="93" a="1"/>
  <c r="G89" i="93" s="1"/>
  <c r="G80" i="93" a="1"/>
  <c r="G80" i="93" s="1"/>
  <c r="G73" i="93" a="1"/>
  <c r="G73" i="93" s="1"/>
  <c r="G65" i="93" a="1"/>
  <c r="G65" i="93" s="1"/>
  <c r="I65" i="93" s="1" a="1"/>
  <c r="I65" i="93" s="1"/>
  <c r="H163" i="93" s="1"/>
  <c r="J136" i="93" a="1"/>
  <c r="J136" i="93" s="1"/>
  <c r="J159" i="93" a="1"/>
  <c r="J159" i="93" s="1"/>
  <c r="R52" i="78" a="1"/>
  <c r="R52" i="78" s="1"/>
  <c r="J244" i="103" a="1"/>
  <c r="J244" i="103" s="1"/>
  <c r="F20" i="80" a="1"/>
  <c r="F20" i="80" s="1"/>
  <c r="S237" i="103" a="1"/>
  <c r="S237" i="103" s="1"/>
  <c r="F237" i="103" s="1" a="1"/>
  <c r="F237" i="103" s="1"/>
  <c r="G237" i="103" s="1" a="1"/>
  <c r="G237" i="103" s="1"/>
  <c r="I30" i="90"/>
  <c r="H30" i="90"/>
  <c r="G30" i="90"/>
  <c r="K30" i="90"/>
  <c r="Q30" i="90" s="1" a="1"/>
  <c r="Q30" i="90" s="1"/>
  <c r="J30" i="90"/>
  <c r="W240" i="103" a="1"/>
  <c r="W240" i="103" s="1"/>
  <c r="K38" i="89" a="1"/>
  <c r="K38" i="89" s="1"/>
  <c r="J134" i="93" a="1"/>
  <c r="J134" i="93" s="1"/>
  <c r="J178" i="93" a="1"/>
  <c r="J178" i="93" s="1"/>
  <c r="J164" i="93" a="1"/>
  <c r="J164" i="93" s="1"/>
  <c r="J166" i="93" a="1"/>
  <c r="J166" i="93" s="1"/>
  <c r="E37" i="78" a="1"/>
  <c r="E37" i="78" s="1"/>
  <c r="AK221" i="103"/>
  <c r="AM221" i="103" s="1" a="1"/>
  <c r="AM221" i="103" s="1"/>
  <c r="AM228" i="103" a="1"/>
  <c r="AM228" i="103" s="1"/>
  <c r="AM230" i="103" a="1"/>
  <c r="AM230" i="103" s="1"/>
  <c r="AM227" i="103" a="1"/>
  <c r="AM227" i="103" s="1"/>
  <c r="AM224" i="103" a="1"/>
  <c r="AM224" i="103" s="1"/>
  <c r="AM226" i="103" a="1"/>
  <c r="AM226" i="103" s="1"/>
  <c r="O50" i="78"/>
  <c r="T51" i="78"/>
  <c r="V51" i="78" s="1" a="1"/>
  <c r="V51" i="78" s="1"/>
  <c r="S51" i="78" a="1"/>
  <c r="S51" i="78" s="1"/>
  <c r="H375" i="103" a="1"/>
  <c r="H375" i="103" s="1"/>
  <c r="J241" i="103" a="1"/>
  <c r="J241" i="103" s="1"/>
  <c r="AB128" i="103" a="1"/>
  <c r="AB128" i="103" s="1"/>
  <c r="R221" i="103" a="1"/>
  <c r="R221" i="103" s="1"/>
  <c r="AA240" i="103" a="1"/>
  <c r="AA240" i="103" s="1"/>
  <c r="J162" i="93" a="1"/>
  <c r="J162" i="93" s="1"/>
  <c r="J174" i="93" a="1"/>
  <c r="J174" i="93" s="1"/>
  <c r="F105" i="82" a="1"/>
  <c r="F105" i="82" s="1"/>
  <c r="E137" i="82" s="1"/>
  <c r="O39" i="89" a="1"/>
  <c r="O39" i="89" s="1"/>
  <c r="O34" i="89" a="1"/>
  <c r="O34" i="89" s="1"/>
  <c r="G43" i="103" a="1"/>
  <c r="G43" i="103" s="1"/>
  <c r="J457" i="103" a="1"/>
  <c r="J457" i="103" s="1"/>
  <c r="E23" i="78" a="1"/>
  <c r="E23" i="78" s="1"/>
  <c r="J246" i="103" a="1"/>
  <c r="J246" i="103" s="1"/>
  <c r="AB121" i="103" a="1"/>
  <c r="AB121" i="103" s="1"/>
  <c r="F121" i="103" s="1"/>
  <c r="G121" i="103" s="1" a="1"/>
  <c r="G121" i="103" s="1"/>
  <c r="S243" i="103" a="1"/>
  <c r="S243" i="103" s="1"/>
  <c r="AG221" i="103" a="1"/>
  <c r="F111" i="82" a="1"/>
  <c r="F111" i="82" s="1"/>
  <c r="E143" i="82" s="1"/>
  <c r="F107" i="82" a="1"/>
  <c r="F107" i="82" s="1"/>
  <c r="E139" i="82" s="1"/>
  <c r="S244" i="103" a="1"/>
  <c r="S244" i="103" s="1"/>
  <c r="J125" i="93" a="1"/>
  <c r="J125" i="93" s="1"/>
  <c r="J179" i="93" a="1"/>
  <c r="J179" i="93" s="1"/>
  <c r="I281" i="103" a="1"/>
  <c r="I281" i="103" s="1"/>
  <c r="AC221" i="103"/>
  <c r="AE221" i="103" s="1" a="1"/>
  <c r="AE221" i="103" s="1"/>
  <c r="AE226" i="103" a="1"/>
  <c r="AE226" i="103" s="1"/>
  <c r="AE228" i="103" a="1"/>
  <c r="AE228" i="103" s="1"/>
  <c r="AE230" i="103" a="1"/>
  <c r="AE230" i="103" s="1"/>
  <c r="AE223" i="103" a="1"/>
  <c r="AE223" i="103" s="1"/>
  <c r="AE225" i="103" a="1"/>
  <c r="AE225" i="103" s="1"/>
  <c r="AE227" i="103" a="1"/>
  <c r="AE227" i="103" s="1"/>
  <c r="AE224" i="103" a="1"/>
  <c r="AE224" i="103" s="1"/>
  <c r="P34" i="89" a="1"/>
  <c r="P34" i="89" s="1"/>
  <c r="X127" i="103" a="1"/>
  <c r="X127" i="103" s="1"/>
  <c r="V12" i="77"/>
  <c r="D19" i="79"/>
  <c r="F19" i="79" s="1" a="1"/>
  <c r="F19" i="79" s="1"/>
  <c r="F34" i="79" a="1"/>
  <c r="F34" i="79" s="1"/>
  <c r="F20" i="79" a="1"/>
  <c r="F20" i="79" s="1"/>
  <c r="F33" i="79" a="1"/>
  <c r="F33" i="79" s="1"/>
  <c r="F32" i="79" a="1"/>
  <c r="F32" i="79" s="1"/>
  <c r="F31" i="79" a="1"/>
  <c r="F31" i="79" s="1"/>
  <c r="F30" i="79" a="1"/>
  <c r="F30" i="79" s="1"/>
  <c r="F29" i="79" a="1"/>
  <c r="F29" i="79" s="1"/>
  <c r="F28" i="79" a="1"/>
  <c r="F28" i="79" s="1"/>
  <c r="F27" i="79" a="1"/>
  <c r="F27" i="79" s="1"/>
  <c r="F26" i="79" a="1"/>
  <c r="F26" i="79" s="1"/>
  <c r="F25" i="79" a="1"/>
  <c r="F25" i="79" s="1"/>
  <c r="F24" i="79" a="1"/>
  <c r="F24" i="79" s="1"/>
  <c r="F37" i="79" a="1"/>
  <c r="F37" i="79" s="1"/>
  <c r="F23" i="79" a="1"/>
  <c r="F23" i="79" s="1"/>
  <c r="F36" i="79" a="1"/>
  <c r="F36" i="79" s="1"/>
  <c r="F22" i="79" a="1"/>
  <c r="F22" i="79" s="1"/>
  <c r="G22" i="79" s="1" a="1"/>
  <c r="G22" i="79" s="1"/>
  <c r="F35" i="79" a="1"/>
  <c r="F35" i="79" s="1"/>
  <c r="F21" i="79" a="1"/>
  <c r="F21" i="79" s="1"/>
  <c r="E25" i="81" a="1"/>
  <c r="AA244" i="103" a="1"/>
  <c r="AA244" i="103" s="1"/>
  <c r="K244" i="103" s="1" a="1"/>
  <c r="K244" i="103" s="1"/>
  <c r="J160" i="93" a="1"/>
  <c r="J160" i="93" s="1"/>
  <c r="D21" i="93"/>
  <c r="G187" i="93" a="1"/>
  <c r="G187" i="93" s="1"/>
  <c r="G176" i="93" a="1"/>
  <c r="G176" i="93" s="1"/>
  <c r="G134" i="93" a="1"/>
  <c r="G134" i="93" s="1"/>
  <c r="G186" i="93" a="1"/>
  <c r="G186" i="93" s="1"/>
  <c r="G166" i="93" a="1"/>
  <c r="G166" i="93" s="1"/>
  <c r="G159" i="93" a="1"/>
  <c r="G159" i="93" s="1"/>
  <c r="G143" i="93" a="1"/>
  <c r="G143" i="93" s="1"/>
  <c r="G124" i="93" a="1"/>
  <c r="G124" i="93" s="1"/>
  <c r="G117" i="93" a="1"/>
  <c r="G117" i="93" s="1"/>
  <c r="G54" i="93" a="1"/>
  <c r="G54" i="93" s="1"/>
  <c r="G46" i="93" a="1"/>
  <c r="G46" i="93" s="1"/>
  <c r="G38" i="93" a="1"/>
  <c r="G38" i="93" s="1"/>
  <c r="I38" i="93" s="1" a="1"/>
  <c r="I38" i="93" s="1"/>
  <c r="H133" i="93" s="1"/>
  <c r="I133" i="93" s="1"/>
  <c r="K133" i="93" s="1" a="1"/>
  <c r="K133" i="93" s="1"/>
  <c r="G30" i="93" a="1"/>
  <c r="G30" i="93" s="1"/>
  <c r="G23" i="93" a="1"/>
  <c r="G23" i="93" s="1"/>
  <c r="G175" i="93" a="1"/>
  <c r="G175" i="93" s="1"/>
  <c r="G142" i="93" a="1"/>
  <c r="G142" i="93" s="1"/>
  <c r="G133" i="93" a="1"/>
  <c r="G133" i="93" s="1"/>
  <c r="G184" i="93" a="1"/>
  <c r="G184" i="93" s="1"/>
  <c r="G165" i="93" a="1"/>
  <c r="G165" i="93" s="1"/>
  <c r="G158" i="93" a="1"/>
  <c r="G158" i="93" s="1"/>
  <c r="G141" i="93" a="1"/>
  <c r="G141" i="93" s="1"/>
  <c r="G123" i="93" a="1"/>
  <c r="G123" i="93" s="1"/>
  <c r="G53" i="93" a="1"/>
  <c r="G53" i="93" s="1"/>
  <c r="G45" i="93" a="1"/>
  <c r="G45" i="93" s="1"/>
  <c r="I45" i="93" s="1" a="1"/>
  <c r="I45" i="93" s="1"/>
  <c r="H140" i="93" s="1"/>
  <c r="G37" i="93" a="1"/>
  <c r="G37" i="93" s="1"/>
  <c r="I37" i="93" s="1" a="1"/>
  <c r="I37" i="93" s="1"/>
  <c r="H132" i="93" s="1"/>
  <c r="I132" i="93" s="1"/>
  <c r="K132" i="93" s="1" a="1"/>
  <c r="K132" i="93" s="1"/>
  <c r="G29" i="93" a="1"/>
  <c r="G29" i="93" s="1"/>
  <c r="I29" i="93" s="1" a="1"/>
  <c r="I29" i="93" s="1"/>
  <c r="H124" i="93" s="1"/>
  <c r="I124" i="93" s="1"/>
  <c r="K124" i="93" s="1" a="1"/>
  <c r="K124" i="93" s="1"/>
  <c r="G22" i="93" a="1"/>
  <c r="G22" i="93" s="1"/>
  <c r="G183" i="93" a="1"/>
  <c r="G183" i="93" s="1"/>
  <c r="G174" i="93" a="1"/>
  <c r="G174" i="93" s="1"/>
  <c r="G140" i="93" a="1"/>
  <c r="G140" i="93" s="1"/>
  <c r="G132" i="93" a="1"/>
  <c r="G132" i="93" s="1"/>
  <c r="G182" i="93" a="1"/>
  <c r="G182" i="93" s="1"/>
  <c r="G164" i="93" a="1"/>
  <c r="G164" i="93" s="1"/>
  <c r="G139" i="93" a="1"/>
  <c r="G139" i="93" s="1"/>
  <c r="G131" i="93" a="1"/>
  <c r="G131" i="93" s="1"/>
  <c r="G122" i="93" a="1"/>
  <c r="G122" i="93" s="1"/>
  <c r="G52" i="93" a="1"/>
  <c r="G52" i="93" s="1"/>
  <c r="G44" i="93" a="1"/>
  <c r="G44" i="93" s="1"/>
  <c r="I44" i="93" s="1" a="1"/>
  <c r="I44" i="93" s="1"/>
  <c r="H139" i="93" s="1"/>
  <c r="G36" i="93" a="1"/>
  <c r="G36" i="93" s="1"/>
  <c r="I36" i="93" s="1" a="1"/>
  <c r="I36" i="93" s="1"/>
  <c r="H131" i="93" s="1"/>
  <c r="G28" i="93" a="1"/>
  <c r="G28" i="93" s="1"/>
  <c r="I28" i="93" s="1" a="1"/>
  <c r="I28" i="93" s="1"/>
  <c r="H123" i="93" s="1"/>
  <c r="I123" i="93" s="1"/>
  <c r="K123" i="93" s="1" a="1"/>
  <c r="K123" i="93" s="1"/>
  <c r="G181" i="93" a="1"/>
  <c r="G181" i="93" s="1"/>
  <c r="G173" i="93" a="1"/>
  <c r="G173" i="93" s="1"/>
  <c r="G130" i="93" a="1"/>
  <c r="G130" i="93" s="1"/>
  <c r="G180" i="93" a="1"/>
  <c r="G180" i="93" s="1"/>
  <c r="G172" i="93" a="1"/>
  <c r="G172" i="93" s="1"/>
  <c r="G163" i="93" a="1"/>
  <c r="G163" i="93" s="1"/>
  <c r="G129" i="93" a="1"/>
  <c r="G129" i="93" s="1"/>
  <c r="G121" i="93" a="1"/>
  <c r="G121" i="93" s="1"/>
  <c r="G51" i="93" a="1"/>
  <c r="G51" i="93" s="1"/>
  <c r="I51" i="93" s="1" a="1"/>
  <c r="I51" i="93" s="1"/>
  <c r="H146" i="93" s="1"/>
  <c r="G42" i="93" a="1"/>
  <c r="G42" i="93" s="1"/>
  <c r="G35" i="93" a="1"/>
  <c r="G35" i="93" s="1"/>
  <c r="G27" i="93" a="1"/>
  <c r="G27" i="93" s="1"/>
  <c r="G171" i="93" a="1"/>
  <c r="G171" i="93" s="1"/>
  <c r="G149" i="93" a="1"/>
  <c r="G149" i="93" s="1"/>
  <c r="G137" i="93" a="1"/>
  <c r="G137" i="93" s="1"/>
  <c r="G128" i="93" a="1"/>
  <c r="G128" i="93" s="1"/>
  <c r="G170" i="93" a="1"/>
  <c r="G170" i="93" s="1"/>
  <c r="G162" i="93" a="1"/>
  <c r="G162" i="93" s="1"/>
  <c r="G148" i="93" a="1"/>
  <c r="G148" i="93" s="1"/>
  <c r="G120" i="93" a="1"/>
  <c r="G120" i="93" s="1"/>
  <c r="G50" i="93" a="1"/>
  <c r="G50" i="93" s="1"/>
  <c r="I50" i="93" s="1" a="1"/>
  <c r="I50" i="93" s="1"/>
  <c r="H145" i="93" s="1"/>
  <c r="G41" i="93" a="1"/>
  <c r="G41" i="93" s="1"/>
  <c r="G34" i="93" a="1"/>
  <c r="G34" i="93" s="1"/>
  <c r="I34" i="93" s="1" a="1"/>
  <c r="I34" i="93" s="1"/>
  <c r="H129" i="93" s="1"/>
  <c r="G26" i="93" a="1"/>
  <c r="G26" i="93" s="1"/>
  <c r="G178" i="93" a="1"/>
  <c r="G178" i="93" s="1"/>
  <c r="G169" i="93" a="1"/>
  <c r="G169" i="93" s="1"/>
  <c r="G147" i="93" a="1"/>
  <c r="G147" i="93" s="1"/>
  <c r="G136" i="93" a="1"/>
  <c r="G136" i="93" s="1"/>
  <c r="G190" i="93" a="1"/>
  <c r="G190" i="93" s="1"/>
  <c r="G161" i="93" a="1"/>
  <c r="G161" i="93" s="1"/>
  <c r="G126" i="93" a="1"/>
  <c r="G126" i="93" s="1"/>
  <c r="G119" i="93" a="1"/>
  <c r="G119" i="93" s="1"/>
  <c r="G48" i="93" a="1"/>
  <c r="G48" i="93" s="1"/>
  <c r="G40" i="93" a="1"/>
  <c r="G40" i="93" s="1"/>
  <c r="G33" i="93" a="1"/>
  <c r="G33" i="93" s="1"/>
  <c r="I33" i="93" s="1" a="1"/>
  <c r="I33" i="93" s="1"/>
  <c r="H128" i="93" s="1"/>
  <c r="G25" i="93" a="1"/>
  <c r="G25" i="93" s="1"/>
  <c r="G189" i="93" a="1"/>
  <c r="G189" i="93" s="1"/>
  <c r="G177" i="93" a="1"/>
  <c r="G177" i="93" s="1"/>
  <c r="G146" i="93" a="1"/>
  <c r="G146" i="93" s="1"/>
  <c r="G135" i="93" a="1"/>
  <c r="G135" i="93" s="1"/>
  <c r="G188" i="93" a="1"/>
  <c r="G188" i="93" s="1"/>
  <c r="G167" i="93" a="1"/>
  <c r="G167" i="93" s="1"/>
  <c r="G160" i="93" a="1"/>
  <c r="G160" i="93" s="1"/>
  <c r="G145" i="93" a="1"/>
  <c r="G145" i="93" s="1"/>
  <c r="G125" i="93" a="1"/>
  <c r="G125" i="93" s="1"/>
  <c r="G118" i="93" a="1"/>
  <c r="G118" i="93" s="1"/>
  <c r="G47" i="93" a="1"/>
  <c r="G47" i="93" s="1"/>
  <c r="G39" i="93" a="1"/>
  <c r="G39" i="93" s="1"/>
  <c r="G31" i="93" a="1"/>
  <c r="G31" i="93" s="1"/>
  <c r="G24" i="93" a="1"/>
  <c r="G24" i="93" s="1"/>
  <c r="J123" i="93" a="1"/>
  <c r="J123" i="93" s="1"/>
  <c r="F270" i="103" a="1"/>
  <c r="F270" i="103" s="1"/>
  <c r="E270" i="103"/>
  <c r="E31" i="78" a="1"/>
  <c r="E31" i="78" s="1"/>
  <c r="G31" i="78" s="1" a="1"/>
  <c r="G31" i="78" s="1"/>
  <c r="AE243" i="103" a="1"/>
  <c r="AE243" i="103" s="1"/>
  <c r="S242" i="103" a="1"/>
  <c r="S242" i="103" s="1"/>
  <c r="AA242" i="103" a="1"/>
  <c r="AA242" i="103" s="1"/>
  <c r="E20" i="78" a="1"/>
  <c r="E20" i="78" s="1"/>
  <c r="G20" i="78" s="1" a="1"/>
  <c r="G20" i="78" s="1"/>
  <c r="E24" i="83" s="1"/>
  <c r="G49" i="103" a="1"/>
  <c r="G49" i="103" s="1"/>
  <c r="J47" i="103" a="1"/>
  <c r="J47" i="103" s="1"/>
  <c r="J34" i="86"/>
  <c r="I550" i="103"/>
  <c r="P50" i="78" a="1"/>
  <c r="J238" i="103" a="1"/>
  <c r="J238" i="103" s="1"/>
  <c r="I42" i="77"/>
  <c r="G45" i="103" a="1"/>
  <c r="G45" i="103" s="1"/>
  <c r="J51" i="103" a="1"/>
  <c r="J51" i="103" s="1"/>
  <c r="E237" i="103"/>
  <c r="S245" i="103" a="1"/>
  <c r="S245" i="103" s="1"/>
  <c r="X120" i="103" a="1"/>
  <c r="X120" i="103" s="1"/>
  <c r="O221" i="103" a="1"/>
  <c r="O221" i="103" s="1"/>
  <c r="Y221" i="103" a="1"/>
  <c r="W241" i="103" a="1"/>
  <c r="W241" i="103" s="1"/>
  <c r="E59" i="93"/>
  <c r="H59" i="93" s="1" a="1"/>
  <c r="H59" i="93" s="1"/>
  <c r="H88" i="93" a="1"/>
  <c r="H88" i="93" s="1"/>
  <c r="H79" i="93" a="1"/>
  <c r="H79" i="93" s="1"/>
  <c r="H72" i="93" a="1"/>
  <c r="H72" i="93" s="1"/>
  <c r="H64" i="93" a="1"/>
  <c r="H64" i="93" s="1"/>
  <c r="H86" i="93" a="1"/>
  <c r="H86" i="93" s="1"/>
  <c r="H78" i="93" a="1"/>
  <c r="H78" i="93" s="1"/>
  <c r="H71" i="93" a="1"/>
  <c r="H71" i="93" s="1"/>
  <c r="I71" i="93" s="1" a="1"/>
  <c r="I71" i="93" s="1"/>
  <c r="H169" i="93" s="1"/>
  <c r="H63" i="93" a="1"/>
  <c r="H63" i="93" s="1"/>
  <c r="H85" i="93" a="1"/>
  <c r="H85" i="93" s="1"/>
  <c r="H77" i="93" a="1"/>
  <c r="H77" i="93" s="1"/>
  <c r="H69" i="93" a="1"/>
  <c r="H69" i="93" s="1"/>
  <c r="H62" i="93" a="1"/>
  <c r="H62" i="93" s="1"/>
  <c r="H92" i="93" a="1"/>
  <c r="H92" i="93" s="1"/>
  <c r="I92" i="93" s="1" a="1"/>
  <c r="I92" i="93" s="1"/>
  <c r="H190" i="93" s="1"/>
  <c r="H84" i="93" a="1"/>
  <c r="H84" i="93" s="1"/>
  <c r="H76" i="93" a="1"/>
  <c r="H76" i="93" s="1"/>
  <c r="H68" i="93" a="1"/>
  <c r="H68" i="93" s="1"/>
  <c r="H61" i="93" a="1"/>
  <c r="H61" i="93" s="1"/>
  <c r="I61" i="93" s="1" a="1"/>
  <c r="I61" i="93" s="1"/>
  <c r="H159" i="93" s="1"/>
  <c r="I159" i="93" s="1"/>
  <c r="K159" i="93" s="1" a="1"/>
  <c r="K159" i="93" s="1"/>
  <c r="H91" i="93" a="1"/>
  <c r="H91" i="93" s="1"/>
  <c r="H83" i="93" a="1"/>
  <c r="H83" i="93" s="1"/>
  <c r="H75" i="93" a="1"/>
  <c r="H75" i="93" s="1"/>
  <c r="H67" i="93" a="1"/>
  <c r="H67" i="93" s="1"/>
  <c r="H60" i="93" a="1"/>
  <c r="H60" i="93" s="1"/>
  <c r="H90" i="93" a="1"/>
  <c r="H90" i="93" s="1"/>
  <c r="H82" i="93" a="1"/>
  <c r="H82" i="93" s="1"/>
  <c r="H74" i="93" a="1"/>
  <c r="H74" i="93" s="1"/>
  <c r="H66" i="93" a="1"/>
  <c r="H66" i="93" s="1"/>
  <c r="H89" i="93" a="1"/>
  <c r="H89" i="93" s="1"/>
  <c r="H80" i="93" a="1"/>
  <c r="H80" i="93" s="1"/>
  <c r="H73" i="93" a="1"/>
  <c r="H73" i="93" s="1"/>
  <c r="H65" i="93" a="1"/>
  <c r="H65" i="93" s="1"/>
  <c r="J167" i="93" a="1"/>
  <c r="J167" i="93" s="1"/>
  <c r="J137" i="93" a="1"/>
  <c r="J137" i="93" s="1"/>
  <c r="J158" i="93" a="1"/>
  <c r="J158" i="93" s="1"/>
  <c r="K32" i="90"/>
  <c r="J32" i="90"/>
  <c r="P32" i="90" s="1" a="1"/>
  <c r="P32" i="90" s="1"/>
  <c r="I32" i="90"/>
  <c r="O32" i="90" s="1" a="1"/>
  <c r="O32" i="90" s="1"/>
  <c r="H32" i="90"/>
  <c r="G32" i="90"/>
  <c r="E21" i="93"/>
  <c r="H21" i="93" s="1" a="1"/>
  <c r="H21" i="93" s="1"/>
  <c r="H54" i="93" a="1"/>
  <c r="H54" i="93" s="1"/>
  <c r="H46" i="93" a="1"/>
  <c r="H46" i="93" s="1"/>
  <c r="H38" i="93" a="1"/>
  <c r="H38" i="93" s="1"/>
  <c r="H30" i="93" a="1"/>
  <c r="H30" i="93" s="1"/>
  <c r="H23" i="93" a="1"/>
  <c r="H23" i="93" s="1"/>
  <c r="H53" i="93" a="1"/>
  <c r="H53" i="93" s="1"/>
  <c r="I53" i="93" s="1" a="1"/>
  <c r="I53" i="93" s="1"/>
  <c r="H148" i="93" s="1"/>
  <c r="H45" i="93" a="1"/>
  <c r="H45" i="93" s="1"/>
  <c r="H37" i="93" a="1"/>
  <c r="H37" i="93" s="1"/>
  <c r="H29" i="93" a="1"/>
  <c r="H29" i="93" s="1"/>
  <c r="H22" i="93" a="1"/>
  <c r="H22" i="93" s="1"/>
  <c r="I22" i="93" s="1" a="1"/>
  <c r="I22" i="93" s="1"/>
  <c r="H117" i="93" s="1"/>
  <c r="I117" i="93" s="1"/>
  <c r="K117" i="93" s="1" a="1"/>
  <c r="K117" i="93" s="1"/>
  <c r="H52" i="93" a="1"/>
  <c r="H52" i="93" s="1"/>
  <c r="I52" i="93" s="1" a="1"/>
  <c r="I52" i="93" s="1"/>
  <c r="H147" i="93" s="1"/>
  <c r="H44" i="93" a="1"/>
  <c r="H44" i="93" s="1"/>
  <c r="H36" i="93" a="1"/>
  <c r="H36" i="93" s="1"/>
  <c r="H28" i="93" a="1"/>
  <c r="H28" i="93" s="1"/>
  <c r="H51" i="93" a="1"/>
  <c r="H51" i="93" s="1"/>
  <c r="H42" i="93" a="1"/>
  <c r="H42" i="93" s="1"/>
  <c r="H35" i="93" a="1"/>
  <c r="H35" i="93" s="1"/>
  <c r="I35" i="93" s="1" a="1"/>
  <c r="I35" i="93" s="1"/>
  <c r="H130" i="93" s="1"/>
  <c r="H27" i="93" a="1"/>
  <c r="H27" i="93" s="1"/>
  <c r="H50" i="93" a="1"/>
  <c r="H50" i="93" s="1"/>
  <c r="H41" i="93" a="1"/>
  <c r="H41" i="93" s="1"/>
  <c r="H34" i="93" a="1"/>
  <c r="H34" i="93" s="1"/>
  <c r="H26" i="93" a="1"/>
  <c r="H26" i="93" s="1"/>
  <c r="H48" i="93" a="1"/>
  <c r="H48" i="93" s="1"/>
  <c r="I48" i="93" s="1" a="1"/>
  <c r="I48" i="93" s="1"/>
  <c r="H143" i="93" s="1"/>
  <c r="H40" i="93" a="1"/>
  <c r="H40" i="93" s="1"/>
  <c r="I40" i="93" s="1" a="1"/>
  <c r="I40" i="93" s="1"/>
  <c r="H135" i="93" s="1"/>
  <c r="I135" i="93" s="1"/>
  <c r="K135" i="93" s="1" a="1"/>
  <c r="K135" i="93" s="1"/>
  <c r="H33" i="93" a="1"/>
  <c r="H33" i="93" s="1"/>
  <c r="H25" i="93" a="1"/>
  <c r="H25" i="93" s="1"/>
  <c r="H47" i="93" a="1"/>
  <c r="H47" i="93" s="1"/>
  <c r="H39" i="93" a="1"/>
  <c r="H39" i="93" s="1"/>
  <c r="H31" i="93" a="1"/>
  <c r="H31" i="93" s="1"/>
  <c r="H24" i="93" a="1"/>
  <c r="H24" i="93" s="1"/>
  <c r="R51" i="78" a="1"/>
  <c r="R51" i="78" s="1"/>
  <c r="W246" i="103" a="1"/>
  <c r="W246" i="103" s="1"/>
  <c r="K246" i="103" s="1" a="1"/>
  <c r="K246" i="103" s="1"/>
  <c r="S241" i="103" a="1"/>
  <c r="S241" i="103" s="1"/>
  <c r="K241" i="103" s="1" a="1"/>
  <c r="K241" i="103" s="1"/>
  <c r="K25" i="90"/>
  <c r="J25" i="90"/>
  <c r="I25" i="90"/>
  <c r="H25" i="90"/>
  <c r="G25" i="90"/>
  <c r="Q25" i="90" s="1" a="1"/>
  <c r="Q25" i="90" s="1"/>
  <c r="K28" i="90"/>
  <c r="J28" i="90"/>
  <c r="I28" i="90"/>
  <c r="H28" i="90"/>
  <c r="G28" i="90"/>
  <c r="AE238" i="103" a="1"/>
  <c r="AE238" i="103" s="1"/>
  <c r="F238" i="103" s="1" a="1"/>
  <c r="F238" i="103" s="1"/>
  <c r="G238" i="103" s="1" a="1"/>
  <c r="G238" i="103" s="1"/>
  <c r="AA241" i="103" a="1"/>
  <c r="AA241" i="103" s="1"/>
  <c r="J168" i="93" a="1"/>
  <c r="J168" i="93" s="1"/>
  <c r="J185" i="93" a="1"/>
  <c r="J185" i="93" s="1"/>
  <c r="E30" i="95"/>
  <c r="J454" i="103" a="1"/>
  <c r="J454" i="103" s="1"/>
  <c r="E35" i="78" a="1"/>
  <c r="E35" i="78" s="1"/>
  <c r="G35" i="78" s="1" a="1"/>
  <c r="G35" i="78" s="1"/>
  <c r="E35" i="82" s="1"/>
  <c r="H35" i="82" s="1" a="1"/>
  <c r="H35" i="82" s="1"/>
  <c r="E75" i="82" s="1"/>
  <c r="P45" i="78"/>
  <c r="S240" i="103" a="1"/>
  <c r="S240" i="103" s="1"/>
  <c r="F240" i="103" s="1" a="1"/>
  <c r="F240" i="103" s="1"/>
  <c r="G240" i="103" s="1" a="1"/>
  <c r="G240" i="103" s="1"/>
  <c r="W239" i="103" a="1"/>
  <c r="W239" i="103" s="1"/>
  <c r="H239" i="103" s="1" a="1"/>
  <c r="H239" i="103" s="1"/>
  <c r="V13" i="77"/>
  <c r="L35" i="90" a="1"/>
  <c r="L35" i="90" s="1"/>
  <c r="O35" i="90" s="1" a="1"/>
  <c r="O35" i="90" s="1"/>
  <c r="K31" i="90"/>
  <c r="J31" i="90"/>
  <c r="I31" i="90"/>
  <c r="H31" i="90"/>
  <c r="G31" i="90"/>
  <c r="O31" i="90" s="1" a="1"/>
  <c r="O31" i="90" s="1"/>
  <c r="K35" i="90"/>
  <c r="Q35" i="90" s="1" a="1"/>
  <c r="Q35" i="90" s="1"/>
  <c r="J35" i="90"/>
  <c r="I35" i="90"/>
  <c r="H35" i="90"/>
  <c r="N35" i="90" s="1" a="1"/>
  <c r="N35" i="90" s="1"/>
  <c r="G35" i="90"/>
  <c r="AE245" i="103" a="1"/>
  <c r="AE245" i="103" s="1"/>
  <c r="F245" i="103" s="1" a="1"/>
  <c r="F245" i="103" s="1"/>
  <c r="G245" i="103" s="1" a="1"/>
  <c r="G245" i="103" s="1"/>
  <c r="W238" i="103" a="1"/>
  <c r="W238" i="103" s="1"/>
  <c r="J177" i="93" a="1"/>
  <c r="J177" i="93" s="1"/>
  <c r="J138" i="93" a="1"/>
  <c r="J138" i="93" s="1"/>
  <c r="J133" i="93" a="1"/>
  <c r="J133" i="93" s="1"/>
  <c r="E32" i="79" a="1"/>
  <c r="E32" i="79" s="1"/>
  <c r="G32" i="79" s="1" a="1"/>
  <c r="G32" i="79" s="1"/>
  <c r="V15" i="77"/>
  <c r="S52" i="78" a="1"/>
  <c r="S52" i="78" s="1"/>
  <c r="X128" i="103" a="1"/>
  <c r="X128" i="103" s="1"/>
  <c r="AB127" i="103" a="1"/>
  <c r="AB127" i="103" s="1"/>
  <c r="AH221" i="103" a="1"/>
  <c r="AH221" i="103" s="1"/>
  <c r="F106" i="82" a="1"/>
  <c r="F106" i="82" s="1"/>
  <c r="E138" i="82" s="1"/>
  <c r="K38" i="90"/>
  <c r="Q38" i="90" s="1" a="1"/>
  <c r="Q38" i="90" s="1"/>
  <c r="J38" i="90"/>
  <c r="I38" i="90"/>
  <c r="H38" i="90"/>
  <c r="G38" i="90"/>
  <c r="F108" i="82" a="1"/>
  <c r="F108" i="82" s="1"/>
  <c r="E140" i="82" s="1"/>
  <c r="D19" i="78"/>
  <c r="F19" i="78" s="1" a="1"/>
  <c r="F19" i="78" s="1"/>
  <c r="F28" i="78" a="1"/>
  <c r="F28" i="78" s="1"/>
  <c r="G28" i="78" s="1" a="1"/>
  <c r="G28" i="78" s="1"/>
  <c r="F27" i="78" a="1"/>
  <c r="F27" i="78" s="1"/>
  <c r="F26" i="78" a="1"/>
  <c r="F26" i="78" s="1"/>
  <c r="F25" i="78" a="1"/>
  <c r="F25" i="78" s="1"/>
  <c r="F24" i="78" a="1"/>
  <c r="F24" i="78" s="1"/>
  <c r="F37" i="78" a="1"/>
  <c r="F37" i="78" s="1"/>
  <c r="F23" i="78" a="1"/>
  <c r="F23" i="78" s="1"/>
  <c r="F36" i="78" a="1"/>
  <c r="F36" i="78" s="1"/>
  <c r="F22" i="78" a="1"/>
  <c r="F22" i="78" s="1"/>
  <c r="F35" i="78" a="1"/>
  <c r="F35" i="78" s="1"/>
  <c r="F21" i="78" a="1"/>
  <c r="F21" i="78" s="1"/>
  <c r="F34" i="78" a="1"/>
  <c r="F34" i="78" s="1"/>
  <c r="F20" i="78" a="1"/>
  <c r="F20" i="78" s="1"/>
  <c r="F33" i="78" a="1"/>
  <c r="F33" i="78" s="1"/>
  <c r="F32" i="78" a="1"/>
  <c r="F32" i="78" s="1"/>
  <c r="F31" i="78" a="1"/>
  <c r="F31" i="78" s="1"/>
  <c r="F30" i="78" a="1"/>
  <c r="F30" i="78" s="1"/>
  <c r="F29" i="78" a="1"/>
  <c r="F29" i="78" s="1"/>
  <c r="AE242" i="103" a="1"/>
  <c r="AE242" i="103" s="1"/>
  <c r="AE241" i="103" a="1"/>
  <c r="AE241" i="103" s="1"/>
  <c r="J119" i="93" a="1"/>
  <c r="J119" i="93" s="1"/>
  <c r="J163" i="93" a="1"/>
  <c r="J163" i="93" s="1"/>
  <c r="J175" i="93" a="1"/>
  <c r="J175" i="93" s="1"/>
  <c r="K29" i="90"/>
  <c r="J29" i="90"/>
  <c r="I29" i="90"/>
  <c r="H29" i="90"/>
  <c r="G29" i="90"/>
  <c r="P29" i="90" s="1" a="1"/>
  <c r="P29" i="90" s="1"/>
  <c r="E221" i="103"/>
  <c r="J221" i="103" s="1" a="1"/>
  <c r="J221" i="103" s="1"/>
  <c r="J224" i="103" a="1"/>
  <c r="J224" i="103" s="1"/>
  <c r="J223" i="103" a="1"/>
  <c r="J223" i="103" s="1"/>
  <c r="J222" i="103" a="1"/>
  <c r="J222" i="103" s="1"/>
  <c r="J229" i="103" a="1"/>
  <c r="J229" i="103" s="1"/>
  <c r="J228" i="103" a="1"/>
  <c r="J228" i="103" s="1"/>
  <c r="J227" i="103" a="1"/>
  <c r="J227" i="103" s="1"/>
  <c r="J230" i="103" a="1"/>
  <c r="J230" i="103" s="1"/>
  <c r="J225" i="103" a="1"/>
  <c r="J225" i="103" s="1"/>
  <c r="J226" i="103" a="1"/>
  <c r="J226" i="103" s="1"/>
  <c r="E20" i="82"/>
  <c r="H20" i="82" s="1" a="1"/>
  <c r="H20" i="82" s="1"/>
  <c r="E60" i="82" s="1"/>
  <c r="E27" i="79" a="1"/>
  <c r="E27" i="79" s="1"/>
  <c r="H305" i="103" a="1"/>
  <c r="H305" i="103" s="1"/>
  <c r="G305" i="103" a="1"/>
  <c r="G305" i="103" s="1"/>
  <c r="F305" i="103" a="1"/>
  <c r="F305" i="103" s="1"/>
  <c r="E23" i="79" a="1"/>
  <c r="E23" i="79" s="1"/>
  <c r="G23" i="79" s="1" a="1"/>
  <c r="G23" i="79" s="1"/>
  <c r="E24" i="79" a="1"/>
  <c r="E24" i="79" s="1"/>
  <c r="G24" i="79" s="1" a="1"/>
  <c r="G24" i="79" s="1"/>
  <c r="E19" i="79" a="1"/>
  <c r="E19" i="79" s="1"/>
  <c r="E34" i="78" a="1"/>
  <c r="E34" i="78" s="1"/>
  <c r="G34" i="78" s="1" a="1"/>
  <c r="G34" i="78" s="1"/>
  <c r="E31" i="79" a="1"/>
  <c r="E31" i="79" s="1"/>
  <c r="E27" i="78" a="1"/>
  <c r="E27" i="78" s="1"/>
  <c r="E36" i="78" a="1"/>
  <c r="E36" i="78" s="1"/>
  <c r="E33" i="79" a="1"/>
  <c r="E33" i="79" s="1"/>
  <c r="G33" i="79" s="1" a="1"/>
  <c r="G33" i="79" s="1"/>
  <c r="E26" i="79" a="1"/>
  <c r="E26" i="79" s="1"/>
  <c r="G26" i="79" s="1" a="1"/>
  <c r="G26" i="79" s="1"/>
  <c r="E26" i="78" a="1"/>
  <c r="E26" i="78" s="1"/>
  <c r="G26" i="78" s="1" a="1"/>
  <c r="G26" i="78" s="1"/>
  <c r="E19" i="78" a="1"/>
  <c r="E19" i="78" s="1"/>
  <c r="E28" i="79" a="1"/>
  <c r="E28" i="79" s="1"/>
  <c r="G28" i="79" s="1" a="1"/>
  <c r="G28" i="79" s="1"/>
  <c r="E21" i="79" a="1"/>
  <c r="E21" i="79" s="1"/>
  <c r="E33" i="78" a="1"/>
  <c r="E33" i="78" s="1"/>
  <c r="E35" i="79" a="1"/>
  <c r="E35" i="79" s="1"/>
  <c r="G35" i="79" s="1" a="1"/>
  <c r="G35" i="79" s="1"/>
  <c r="E32" i="78" a="1"/>
  <c r="E32" i="78" s="1"/>
  <c r="E25" i="78" a="1"/>
  <c r="E25" i="78" s="1"/>
  <c r="E29" i="78" a="1"/>
  <c r="E29" i="78" s="1"/>
  <c r="E37" i="79" a="1"/>
  <c r="E37" i="79" s="1"/>
  <c r="G37" i="79" s="1" a="1"/>
  <c r="G37" i="79" s="1"/>
  <c r="E34" i="79" a="1"/>
  <c r="E34" i="79" s="1"/>
  <c r="G34" i="79" s="1" a="1"/>
  <c r="G34" i="79" s="1"/>
  <c r="E22" i="78" a="1"/>
  <c r="E22" i="78" s="1"/>
  <c r="G22" i="78" s="1" a="1"/>
  <c r="G22" i="78" s="1"/>
  <c r="E30" i="79" a="1"/>
  <c r="E30" i="79" s="1"/>
  <c r="G30" i="79" s="1" a="1"/>
  <c r="G30" i="79" s="1"/>
  <c r="E24" i="78" a="1"/>
  <c r="E24" i="78" s="1"/>
  <c r="G24" i="78" s="1" a="1"/>
  <c r="G24" i="78" s="1"/>
  <c r="P30" i="90" a="1"/>
  <c r="P30" i="90" s="1"/>
  <c r="N39" i="89" a="1"/>
  <c r="N39" i="89" s="1"/>
  <c r="P39" i="89" a="1"/>
  <c r="P39" i="89" s="1"/>
  <c r="O35" i="89" a="1"/>
  <c r="O35" i="89" s="1"/>
  <c r="P35" i="89" a="1"/>
  <c r="P35" i="89" s="1"/>
  <c r="N35" i="89" a="1"/>
  <c r="N35" i="89" s="1"/>
  <c r="Q37" i="89" a="1"/>
  <c r="Q37" i="89" s="1"/>
  <c r="N25" i="89" a="1"/>
  <c r="N25" i="89" s="1"/>
  <c r="O25" i="89" a="1"/>
  <c r="O25" i="89" s="1"/>
  <c r="P25" i="89" a="1"/>
  <c r="P25" i="89" s="1"/>
  <c r="E483" i="103"/>
  <c r="K245" i="103" a="1"/>
  <c r="K245" i="103" s="1"/>
  <c r="M28" i="103" a="1"/>
  <c r="M28" i="103" s="1"/>
  <c r="E141" i="103"/>
  <c r="E473" i="103"/>
  <c r="E442" i="103"/>
  <c r="E472" i="103"/>
  <c r="E142" i="103"/>
  <c r="E166" i="103"/>
  <c r="E21" i="98" a="1"/>
  <c r="E21" i="98" s="1"/>
  <c r="I33" i="98" s="1"/>
  <c r="E73" i="103"/>
  <c r="E441" i="103"/>
  <c r="H246" i="103" a="1"/>
  <c r="H246" i="103" s="1"/>
  <c r="E639" i="103"/>
  <c r="F126" i="103"/>
  <c r="I126" i="103" s="1" a="1"/>
  <c r="I126" i="103" s="1"/>
  <c r="H245" i="103" a="1"/>
  <c r="H245" i="103" s="1"/>
  <c r="E72" i="103"/>
  <c r="F123" i="103"/>
  <c r="G123" i="103" s="1" a="1"/>
  <c r="G123" i="103" s="1"/>
  <c r="H238" i="103" a="1"/>
  <c r="H238" i="103" s="1"/>
  <c r="I275" i="103" a="1"/>
  <c r="I275" i="103" s="1"/>
  <c r="G275" i="103" a="1"/>
  <c r="G275" i="103" s="1"/>
  <c r="I277" i="103" a="1"/>
  <c r="I277" i="103" s="1"/>
  <c r="G277" i="103" a="1"/>
  <c r="G277" i="103" s="1"/>
  <c r="J370" i="103" a="1"/>
  <c r="J370" i="103" s="1"/>
  <c r="H448" i="103" a="1"/>
  <c r="H448" i="103" s="1"/>
  <c r="E459" i="103" s="1"/>
  <c r="G273" i="103" a="1"/>
  <c r="G273" i="103" s="1"/>
  <c r="I273" i="103" a="1"/>
  <c r="I273" i="103" s="1"/>
  <c r="F241" i="103" a="1"/>
  <c r="F241" i="103" s="1"/>
  <c r="G241" i="103" s="1" a="1"/>
  <c r="G241" i="103" s="1"/>
  <c r="E90" i="103"/>
  <c r="I119" i="103" a="1"/>
  <c r="I119" i="103" s="1"/>
  <c r="K240" i="103" a="1"/>
  <c r="K240" i="103" s="1"/>
  <c r="J368" i="103" a="1"/>
  <c r="J368" i="103" s="1"/>
  <c r="H368" i="103" a="1"/>
  <c r="H368" i="103" s="1"/>
  <c r="G42" i="103" a="1"/>
  <c r="G42" i="103" s="1"/>
  <c r="J42" i="103" a="1"/>
  <c r="J42" i="103" s="1"/>
  <c r="M27" i="103" a="1"/>
  <c r="M27" i="103" s="1"/>
  <c r="E91" i="103"/>
  <c r="E348" i="103"/>
  <c r="J26" i="103" a="1"/>
  <c r="J26" i="103" s="1"/>
  <c r="F239" i="103" a="1"/>
  <c r="F239" i="103" s="1"/>
  <c r="G239" i="103" s="1" a="1"/>
  <c r="G239" i="103" s="1"/>
  <c r="E167" i="103"/>
  <c r="I272" i="103" a="1"/>
  <c r="I272" i="103" s="1"/>
  <c r="G272" i="103" a="1"/>
  <c r="G272" i="103" s="1"/>
  <c r="M32" i="103" a="1"/>
  <c r="M32" i="103" s="1"/>
  <c r="J32" i="103" a="1"/>
  <c r="J32" i="103" s="1"/>
  <c r="E621" i="103"/>
  <c r="F244" i="103" a="1"/>
  <c r="F244" i="103" s="1"/>
  <c r="G244" i="103" s="1" a="1"/>
  <c r="G244" i="103" s="1"/>
  <c r="F246" i="103" a="1"/>
  <c r="F246" i="103" s="1"/>
  <c r="G246" i="103" s="1" a="1"/>
  <c r="G246" i="103" s="1"/>
  <c r="G280" i="103" a="1"/>
  <c r="G280" i="103" s="1"/>
  <c r="I280" i="103" a="1"/>
  <c r="I280" i="103" s="1"/>
  <c r="M25" i="103" a="1"/>
  <c r="M25" i="103" s="1"/>
  <c r="J25" i="103" a="1"/>
  <c r="J25" i="103" s="1"/>
  <c r="G124" i="103" a="1"/>
  <c r="G124" i="103" s="1"/>
  <c r="I124" i="103" a="1"/>
  <c r="I124" i="103" s="1"/>
  <c r="J309" i="103" a="1"/>
  <c r="J309" i="103" s="1"/>
  <c r="J308" i="103" a="1"/>
  <c r="J308" i="103" s="1"/>
  <c r="I308" i="103" a="1"/>
  <c r="I308" i="103" s="1"/>
  <c r="J307" i="103" a="1"/>
  <c r="J307" i="103" s="1"/>
  <c r="M23" i="103" a="1"/>
  <c r="M23" i="103" s="1"/>
  <c r="J23" i="103" a="1"/>
  <c r="J23" i="103" s="1"/>
  <c r="M31" i="103" a="1"/>
  <c r="M31" i="103" s="1"/>
  <c r="E460" i="103"/>
  <c r="K243" i="103" a="1"/>
  <c r="K243" i="103" s="1"/>
  <c r="H373" i="103" a="1"/>
  <c r="H373" i="103" s="1"/>
  <c r="J373" i="103" a="1"/>
  <c r="J373" i="103" s="1"/>
  <c r="H376" i="103" a="1"/>
  <c r="H376" i="103" s="1"/>
  <c r="K238" i="103" a="1"/>
  <c r="K238" i="103" s="1"/>
  <c r="K242" i="103" a="1"/>
  <c r="K242" i="103" s="1"/>
  <c r="H242" i="103" a="1"/>
  <c r="H242" i="103" s="1"/>
  <c r="J367" i="103" a="1"/>
  <c r="J367" i="103" s="1"/>
  <c r="H367" i="103" a="1"/>
  <c r="H367" i="103" s="1"/>
  <c r="I24" i="93" a="1"/>
  <c r="I24" i="93" s="1"/>
  <c r="H119" i="93" s="1"/>
  <c r="I119" i="93" s="1"/>
  <c r="N59" i="96" a="1"/>
  <c r="N59" i="96" s="1"/>
  <c r="I41" i="93" a="1"/>
  <c r="I41" i="93" s="1"/>
  <c r="H136" i="93" s="1"/>
  <c r="I136" i="93" s="1"/>
  <c r="K136" i="93" s="1" a="1"/>
  <c r="K136" i="93" s="1"/>
  <c r="I78" i="93" a="1"/>
  <c r="I78" i="93" s="1"/>
  <c r="H176" i="93" s="1"/>
  <c r="I176" i="93" s="1"/>
  <c r="K176" i="93" s="1" a="1"/>
  <c r="K176" i="93" s="1"/>
  <c r="E44" i="95"/>
  <c r="E40" i="95"/>
  <c r="E36" i="95"/>
  <c r="E35" i="95" s="1"/>
  <c r="Q15" i="96" s="1"/>
  <c r="N21" i="96" s="1" a="1"/>
  <c r="N21" i="96" s="1"/>
  <c r="S33" i="96" s="1"/>
  <c r="N36" i="96" s="1" a="1"/>
  <c r="N36" i="96" s="1"/>
  <c r="R52" i="96" s="1"/>
  <c r="I74" i="93" a="1"/>
  <c r="I74" i="93" s="1"/>
  <c r="H172" i="93" s="1"/>
  <c r="I84" i="93" a="1"/>
  <c r="I84" i="93" s="1"/>
  <c r="H182" i="93" s="1"/>
  <c r="I23" i="93" a="1"/>
  <c r="I23" i="93" s="1"/>
  <c r="H118" i="93" s="1"/>
  <c r="I118" i="93" s="1"/>
  <c r="K118" i="93" s="1" a="1"/>
  <c r="K118" i="93" s="1"/>
  <c r="I86" i="93" a="1"/>
  <c r="I86" i="93" s="1"/>
  <c r="H184" i="93" s="1"/>
  <c r="I163" i="93"/>
  <c r="K163" i="93" s="1" a="1"/>
  <c r="K163" i="93" s="1"/>
  <c r="I30" i="93" a="1"/>
  <c r="I30" i="93" s="1"/>
  <c r="H125" i="93" s="1"/>
  <c r="I125" i="93" s="1"/>
  <c r="K125" i="93" s="1" a="1"/>
  <c r="K125" i="93" s="1"/>
  <c r="I26" i="93" a="1"/>
  <c r="I26" i="93" s="1"/>
  <c r="H121" i="93" s="1"/>
  <c r="I121" i="93" s="1"/>
  <c r="K121" i="93" s="1" a="1"/>
  <c r="K121" i="93" s="1"/>
  <c r="I76" i="93" a="1"/>
  <c r="I76" i="93" s="1"/>
  <c r="H174" i="93" s="1"/>
  <c r="I174" i="93" s="1"/>
  <c r="K174" i="93" s="1" a="1"/>
  <c r="K174" i="93" s="1"/>
  <c r="I42" i="93" a="1"/>
  <c r="I42" i="93" s="1"/>
  <c r="H137" i="93" s="1"/>
  <c r="I137" i="93" s="1"/>
  <c r="K137" i="93" s="1" a="1"/>
  <c r="K137" i="93" s="1"/>
  <c r="I25" i="93" a="1"/>
  <c r="I25" i="93" s="1"/>
  <c r="H120" i="93" s="1"/>
  <c r="I120" i="93" s="1"/>
  <c r="K120" i="93" s="1" a="1"/>
  <c r="K120" i="93" s="1"/>
  <c r="I68" i="93" a="1"/>
  <c r="I68" i="93" s="1"/>
  <c r="H166" i="93" s="1"/>
  <c r="I166" i="93" s="1"/>
  <c r="K166" i="93" s="1" a="1"/>
  <c r="K166" i="93" s="1"/>
  <c r="I47" i="93" a="1"/>
  <c r="I47" i="93" s="1"/>
  <c r="H142" i="93" s="1"/>
  <c r="I66" i="93" a="1"/>
  <c r="I66" i="93" s="1"/>
  <c r="H164" i="93" s="1"/>
  <c r="I39" i="93" a="1"/>
  <c r="I39" i="93" s="1"/>
  <c r="H134" i="93" s="1"/>
  <c r="I134" i="93" s="1"/>
  <c r="K134" i="93" s="1" a="1"/>
  <c r="K134" i="93" s="1"/>
  <c r="I54" i="93" a="1"/>
  <c r="I54" i="93" s="1"/>
  <c r="H149" i="93" s="1"/>
  <c r="I27" i="93" a="1"/>
  <c r="I27" i="93" s="1"/>
  <c r="H122" i="93" s="1"/>
  <c r="I122" i="93" s="1"/>
  <c r="K122" i="93" s="1" a="1"/>
  <c r="K122" i="93" s="1"/>
  <c r="I82" i="93" a="1"/>
  <c r="I82" i="93" s="1"/>
  <c r="H180" i="93" s="1"/>
  <c r="I31" i="93" a="1"/>
  <c r="I31" i="93" s="1"/>
  <c r="H126" i="93" s="1"/>
  <c r="I126" i="93" s="1"/>
  <c r="K126" i="93" s="1" a="1"/>
  <c r="K126" i="93" s="1"/>
  <c r="I46" i="93" a="1"/>
  <c r="I46" i="93" s="1"/>
  <c r="H141" i="93" s="1"/>
  <c r="P39" i="90" a="1"/>
  <c r="P39" i="90" s="1"/>
  <c r="O39" i="90" a="1"/>
  <c r="O39" i="90" s="1"/>
  <c r="N39" i="90" a="1"/>
  <c r="N39" i="90" s="1"/>
  <c r="Q39" i="90" a="1"/>
  <c r="Q39" i="90" s="1"/>
  <c r="P26" i="90" a="1"/>
  <c r="P26" i="90" s="1"/>
  <c r="O26" i="90" a="1"/>
  <c r="O26" i="90" s="1"/>
  <c r="N26" i="90" a="1"/>
  <c r="N26" i="90" s="1"/>
  <c r="N27" i="90" a="1"/>
  <c r="N27" i="90" s="1"/>
  <c r="P27" i="90" a="1"/>
  <c r="P27" i="90" s="1"/>
  <c r="O27" i="90" a="1"/>
  <c r="O27" i="90" s="1"/>
  <c r="N32" i="90" a="1"/>
  <c r="N32" i="90" s="1"/>
  <c r="Q28" i="90" a="1"/>
  <c r="Q28" i="90" s="1"/>
  <c r="P28" i="90" a="1"/>
  <c r="P28" i="90" s="1"/>
  <c r="O28" i="90" a="1"/>
  <c r="O28" i="90" s="1"/>
  <c r="N28" i="90" a="1"/>
  <c r="N28" i="90" s="1"/>
  <c r="Q32" i="90" a="1"/>
  <c r="Q32" i="90" s="1"/>
  <c r="P25" i="90" a="1"/>
  <c r="P25" i="90" s="1"/>
  <c r="O25" i="90" a="1"/>
  <c r="O25" i="90" s="1"/>
  <c r="N37" i="90" a="1"/>
  <c r="N37" i="90" s="1"/>
  <c r="P40" i="90" a="1"/>
  <c r="P40" i="90" s="1"/>
  <c r="O40" i="90" a="1"/>
  <c r="O40" i="90" s="1"/>
  <c r="N40" i="90" a="1"/>
  <c r="N40" i="90" s="1"/>
  <c r="O37" i="90" a="1"/>
  <c r="O37" i="90" s="1"/>
  <c r="O36" i="90" a="1"/>
  <c r="O36" i="90" s="1"/>
  <c r="N36" i="90" a="1"/>
  <c r="N36" i="90" s="1"/>
  <c r="P36" i="90" a="1"/>
  <c r="P36" i="90" s="1"/>
  <c r="Q27" i="90" a="1"/>
  <c r="Q27" i="90" s="1"/>
  <c r="N34" i="90" a="1"/>
  <c r="N34" i="90" s="1"/>
  <c r="P34" i="90" a="1"/>
  <c r="P34" i="90" s="1"/>
  <c r="O34" i="90" a="1"/>
  <c r="O34" i="90" s="1"/>
  <c r="P35" i="90" a="1"/>
  <c r="P35" i="90" s="1"/>
  <c r="Q34" i="90" a="1"/>
  <c r="Q34" i="90" s="1"/>
  <c r="P38" i="90" a="1"/>
  <c r="P38" i="90" s="1"/>
  <c r="O38" i="90" a="1"/>
  <c r="O38" i="90" s="1"/>
  <c r="N38" i="90" a="1"/>
  <c r="N38" i="90" s="1"/>
  <c r="P33" i="90" a="1"/>
  <c r="P33" i="90" s="1"/>
  <c r="N33" i="90" a="1"/>
  <c r="N33" i="90" s="1"/>
  <c r="Q26" i="90" a="1"/>
  <c r="Q26" i="90" s="1"/>
  <c r="Q40" i="90" a="1"/>
  <c r="Q40" i="90" s="1"/>
  <c r="Q33" i="90" a="1"/>
  <c r="Q33" i="90" s="1"/>
  <c r="O29" i="90" a="1"/>
  <c r="O29" i="90" s="1"/>
  <c r="N29" i="90" a="1"/>
  <c r="N29" i="90" s="1"/>
  <c r="Q38" i="89" a="1"/>
  <c r="Q38" i="89" s="1"/>
  <c r="P38" i="89" a="1"/>
  <c r="P38" i="89" s="1"/>
  <c r="O38" i="89" a="1"/>
  <c r="O38" i="89" s="1"/>
  <c r="E62" i="89" s="1"/>
  <c r="N38" i="89" a="1"/>
  <c r="N38" i="89" s="1"/>
  <c r="P29" i="89" a="1"/>
  <c r="P29" i="89" s="1"/>
  <c r="O29" i="89" a="1"/>
  <c r="O29" i="89" s="1"/>
  <c r="N29" i="89" a="1"/>
  <c r="N29" i="89" s="1"/>
  <c r="Q29" i="89" a="1"/>
  <c r="Q29" i="89" s="1"/>
  <c r="N27" i="89" a="1"/>
  <c r="N27" i="89" s="1"/>
  <c r="Q27" i="89" a="1"/>
  <c r="Q27" i="89" s="1"/>
  <c r="P27" i="89" a="1"/>
  <c r="P27" i="89" s="1"/>
  <c r="O27" i="89" a="1"/>
  <c r="O27" i="89" s="1"/>
  <c r="P31" i="89" a="1"/>
  <c r="P31" i="89" s="1"/>
  <c r="O31" i="89" a="1"/>
  <c r="O31" i="89" s="1"/>
  <c r="N31" i="89" a="1"/>
  <c r="N31" i="89" s="1"/>
  <c r="O32" i="89" a="1"/>
  <c r="O32" i="89" s="1"/>
  <c r="N32" i="89" a="1"/>
  <c r="N32" i="89" s="1"/>
  <c r="P32" i="89" a="1"/>
  <c r="P32" i="89" s="1"/>
  <c r="Q32" i="89" a="1"/>
  <c r="Q32" i="89" s="1"/>
  <c r="Q26" i="89" a="1"/>
  <c r="Q26" i="89" s="1"/>
  <c r="P26" i="89" a="1"/>
  <c r="P26" i="89" s="1"/>
  <c r="O26" i="89" a="1"/>
  <c r="O26" i="89" s="1"/>
  <c r="N26" i="89" a="1"/>
  <c r="N26" i="89" s="1"/>
  <c r="P30" i="89" a="1"/>
  <c r="P30" i="89" s="1"/>
  <c r="O33" i="89" a="1"/>
  <c r="O33" i="89" s="1"/>
  <c r="E50" i="89" s="1"/>
  <c r="O30" i="89" a="1"/>
  <c r="O30" i="89" s="1"/>
  <c r="N30" i="89" a="1"/>
  <c r="N30" i="89" s="1"/>
  <c r="Q31" i="89" a="1"/>
  <c r="Q31" i="89" s="1"/>
  <c r="N36" i="89" a="1"/>
  <c r="N36" i="89" s="1"/>
  <c r="Q36" i="89" a="1"/>
  <c r="Q36" i="89" s="1"/>
  <c r="E58" i="89" s="1"/>
  <c r="P36" i="89" a="1"/>
  <c r="P36" i="89" s="1"/>
  <c r="O36" i="89" a="1"/>
  <c r="O36" i="89" s="1"/>
  <c r="P37" i="89" a="1"/>
  <c r="P37" i="89" s="1"/>
  <c r="P28" i="89" a="1"/>
  <c r="P28" i="89" s="1"/>
  <c r="O28" i="89" a="1"/>
  <c r="O28" i="89" s="1"/>
  <c r="N28" i="89" a="1"/>
  <c r="N28" i="89" s="1"/>
  <c r="Q28" i="89" a="1"/>
  <c r="Q28" i="89" s="1"/>
  <c r="Q33" i="89" a="1"/>
  <c r="Q33" i="89" s="1"/>
  <c r="E52" i="89" s="1"/>
  <c r="G30" i="78" a="1"/>
  <c r="G30" i="78" s="1"/>
  <c r="E50" i="85"/>
  <c r="G36" i="79" a="1"/>
  <c r="G36" i="79" s="1"/>
  <c r="G20" i="79" a="1"/>
  <c r="G20" i="79" s="1"/>
  <c r="G32" i="78" a="1"/>
  <c r="G32" i="78" s="1"/>
  <c r="G37" i="78" a="1"/>
  <c r="G37" i="78" s="1"/>
  <c r="G25" i="79" a="1"/>
  <c r="G25" i="79" s="1"/>
  <c r="G27" i="79" a="1"/>
  <c r="G27" i="79" s="1"/>
  <c r="U52" i="78"/>
  <c r="V52" i="78" a="1"/>
  <c r="V52" i="78" s="1"/>
  <c r="T50" i="78"/>
  <c r="R50" i="78" a="1"/>
  <c r="R50" i="78" s="1"/>
  <c r="H237" i="103" l="1" a="1"/>
  <c r="H237" i="103" s="1"/>
  <c r="I314" i="103" a="1"/>
  <c r="I314" i="103" s="1"/>
  <c r="I310" i="103" a="1"/>
  <c r="I310" i="103" s="1"/>
  <c r="E61" i="89"/>
  <c r="Q29" i="90" a="1"/>
  <c r="Q29" i="90" s="1"/>
  <c r="I77" i="93" a="1"/>
  <c r="I77" i="93" s="1"/>
  <c r="H175" i="93" s="1"/>
  <c r="I175" i="93" s="1"/>
  <c r="K175" i="93" s="1" a="1"/>
  <c r="K175" i="93" s="1"/>
  <c r="F128" i="103"/>
  <c r="J237" i="103" a="1"/>
  <c r="J237" i="103" s="1"/>
  <c r="K237" i="103" a="1"/>
  <c r="K237" i="103" s="1"/>
  <c r="G23" i="78" a="1"/>
  <c r="G23" i="78" s="1"/>
  <c r="I67" i="93" a="1"/>
  <c r="I67" i="93" s="1"/>
  <c r="H165" i="93" s="1"/>
  <c r="I165" i="93" s="1"/>
  <c r="K165" i="93" s="1" a="1"/>
  <c r="K165" i="93" s="1"/>
  <c r="N25" i="90" a="1"/>
  <c r="N25" i="90" s="1"/>
  <c r="E43" i="90" s="1"/>
  <c r="J311" i="103" a="1"/>
  <c r="J311" i="103" s="1"/>
  <c r="F243" i="103" a="1"/>
  <c r="F243" i="103" s="1"/>
  <c r="G243" i="103" s="1" a="1"/>
  <c r="G243" i="103" s="1"/>
  <c r="I21" i="80" a="1"/>
  <c r="I21" i="80" s="1"/>
  <c r="I75" i="93" a="1"/>
  <c r="I75" i="93" s="1"/>
  <c r="H173" i="93" s="1"/>
  <c r="I173" i="93" s="1"/>
  <c r="K173" i="93" s="1" a="1"/>
  <c r="K173" i="93" s="1"/>
  <c r="J313" i="103" a="1"/>
  <c r="J313" i="103" s="1"/>
  <c r="P33" i="89" a="1"/>
  <c r="P33" i="89" s="1"/>
  <c r="E51" i="89" s="1"/>
  <c r="G20" i="80"/>
  <c r="I20" i="80" s="1" a="1"/>
  <c r="I20" i="80" s="1"/>
  <c r="E35" i="83"/>
  <c r="I83" i="93" a="1"/>
  <c r="I83" i="93" s="1"/>
  <c r="H181" i="93" s="1"/>
  <c r="E31" i="82"/>
  <c r="H31" i="82" s="1" a="1"/>
  <c r="H31" i="82" s="1"/>
  <c r="E71" i="82" s="1"/>
  <c r="P50" i="78"/>
  <c r="Q50" i="78" s="1"/>
  <c r="U51" i="78"/>
  <c r="I91" i="93" a="1"/>
  <c r="I91" i="93" s="1"/>
  <c r="H189" i="93" s="1"/>
  <c r="I64" i="93" a="1"/>
  <c r="I64" i="93" s="1"/>
  <c r="H162" i="93" s="1"/>
  <c r="I162" i="93" s="1"/>
  <c r="K162" i="93" s="1" a="1"/>
  <c r="K162" i="93" s="1"/>
  <c r="G21" i="78" a="1"/>
  <c r="G21" i="78" s="1"/>
  <c r="E39" i="83"/>
  <c r="I72" i="93" a="1"/>
  <c r="I72" i="93" s="1"/>
  <c r="H170" i="93" s="1"/>
  <c r="F120" i="103"/>
  <c r="G120" i="103" s="1" a="1"/>
  <c r="G120" i="103" s="1"/>
  <c r="Q31" i="90" a="1"/>
  <c r="Q31" i="90" s="1"/>
  <c r="AM222" i="103" a="1"/>
  <c r="AM222" i="103" s="1"/>
  <c r="I73" i="93" a="1"/>
  <c r="I73" i="93" s="1"/>
  <c r="H171" i="93" s="1"/>
  <c r="I88" i="93" a="1"/>
  <c r="I88" i="93" s="1"/>
  <c r="H186" i="93" s="1"/>
  <c r="I185" i="93" s="1"/>
  <c r="K185" i="93" s="1" a="1"/>
  <c r="K185" i="93" s="1"/>
  <c r="P37" i="90" a="1"/>
  <c r="P37" i="90" s="1"/>
  <c r="Q51" i="78"/>
  <c r="J35" i="86"/>
  <c r="I551" i="103"/>
  <c r="E555" i="103" s="1" a="1"/>
  <c r="E555" i="103" s="1"/>
  <c r="G29" i="78" a="1"/>
  <c r="G29" i="78" s="1"/>
  <c r="E39" i="86" a="1"/>
  <c r="E39" i="86" s="1"/>
  <c r="O45" i="78" a="1"/>
  <c r="P31" i="90" a="1"/>
  <c r="P31" i="90" s="1"/>
  <c r="E54" i="103"/>
  <c r="AM229" i="103" a="1"/>
  <c r="AM229" i="103" s="1"/>
  <c r="I80" i="93" a="1"/>
  <c r="I80" i="93" s="1"/>
  <c r="H178" i="93" s="1"/>
  <c r="I178" i="93" s="1"/>
  <c r="K178" i="93" s="1" a="1"/>
  <c r="K178" i="93" s="1"/>
  <c r="G59" i="93" a="1"/>
  <c r="G59" i="93" s="1"/>
  <c r="I59" i="93" s="1" a="1"/>
  <c r="I59" i="93" s="1"/>
  <c r="H157" i="93" s="1"/>
  <c r="U221" i="103"/>
  <c r="W221" i="103" s="1" a="1"/>
  <c r="W221" i="103" s="1"/>
  <c r="W224" i="103" a="1"/>
  <c r="W224" i="103" s="1"/>
  <c r="W226" i="103" a="1"/>
  <c r="W226" i="103" s="1"/>
  <c r="W228" i="103" a="1"/>
  <c r="W228" i="103" s="1"/>
  <c r="W230" i="103" a="1"/>
  <c r="W230" i="103" s="1"/>
  <c r="W223" i="103" a="1"/>
  <c r="W223" i="103" s="1"/>
  <c r="W225" i="103" a="1"/>
  <c r="W225" i="103" s="1"/>
  <c r="W227" i="103" a="1"/>
  <c r="W227" i="103" s="1"/>
  <c r="W229" i="103" a="1"/>
  <c r="W229" i="103" s="1"/>
  <c r="W222" i="103" a="1"/>
  <c r="W222" i="103" s="1"/>
  <c r="K119" i="93" a="1"/>
  <c r="K119" i="93" s="1"/>
  <c r="H241" i="103" a="1"/>
  <c r="H241" i="103" s="1"/>
  <c r="N31" i="90" a="1"/>
  <c r="N31" i="90" s="1"/>
  <c r="H244" i="103" a="1"/>
  <c r="H244" i="103" s="1"/>
  <c r="I89" i="93" a="1"/>
  <c r="I89" i="93" s="1"/>
  <c r="H187" i="93" s="1"/>
  <c r="F119" i="103"/>
  <c r="G119" i="103" s="1" a="1"/>
  <c r="G119" i="103" s="1"/>
  <c r="E25" i="81"/>
  <c r="G25" i="78" a="1"/>
  <c r="G25" i="78" s="1"/>
  <c r="E104" i="82"/>
  <c r="F104" i="82" s="1" a="1"/>
  <c r="F104" i="82" s="1"/>
  <c r="E136" i="82" s="1"/>
  <c r="E53" i="103"/>
  <c r="G125" i="103" a="1"/>
  <c r="G125" i="103" s="1"/>
  <c r="Y221" i="103"/>
  <c r="AA221" i="103" s="1" a="1"/>
  <c r="AA221" i="103" s="1"/>
  <c r="AA226" i="103" a="1"/>
  <c r="AA226" i="103" s="1"/>
  <c r="AA228" i="103" a="1"/>
  <c r="AA228" i="103" s="1"/>
  <c r="AA230" i="103" a="1"/>
  <c r="AA230" i="103" s="1"/>
  <c r="AA223" i="103" a="1"/>
  <c r="AA223" i="103" s="1"/>
  <c r="AA225" i="103" a="1"/>
  <c r="AA225" i="103" s="1"/>
  <c r="AA227" i="103" a="1"/>
  <c r="AA227" i="103" s="1"/>
  <c r="AA229" i="103" a="1"/>
  <c r="AA229" i="103" s="1"/>
  <c r="AA222" i="103" a="1"/>
  <c r="AA222" i="103" s="1"/>
  <c r="AA224" i="103" a="1"/>
  <c r="AA224" i="103" s="1"/>
  <c r="S50" i="78" a="1"/>
  <c r="S50" i="78" s="1"/>
  <c r="H240" i="103" a="1"/>
  <c r="H240" i="103" s="1"/>
  <c r="K239" i="103" a="1"/>
  <c r="K239" i="103" s="1"/>
  <c r="G33" i="78" a="1"/>
  <c r="G33" i="78" s="1"/>
  <c r="E33" i="82" s="1"/>
  <c r="H33" i="82" s="1" a="1"/>
  <c r="H33" i="82" s="1"/>
  <c r="E73" i="82" s="1"/>
  <c r="G27" i="78" a="1"/>
  <c r="G27" i="78" s="1"/>
  <c r="AE222" i="103" a="1"/>
  <c r="AE222" i="103" s="1"/>
  <c r="AM225" i="103" a="1"/>
  <c r="AM225" i="103" s="1"/>
  <c r="I62" i="93" a="1"/>
  <c r="I62" i="93" s="1"/>
  <c r="H160" i="93" s="1"/>
  <c r="I160" i="93" s="1"/>
  <c r="K160" i="93" s="1" a="1"/>
  <c r="K160" i="93" s="1"/>
  <c r="Q52" i="78"/>
  <c r="J314" i="103" a="1"/>
  <c r="J314" i="103" s="1"/>
  <c r="G127" i="103" a="1"/>
  <c r="G127" i="103" s="1"/>
  <c r="I164" i="93"/>
  <c r="K164" i="93" s="1" a="1"/>
  <c r="K164" i="93" s="1"/>
  <c r="G36" i="78" a="1"/>
  <c r="G36" i="78" s="1"/>
  <c r="G21" i="79" a="1"/>
  <c r="G21" i="79" s="1"/>
  <c r="G31" i="79" a="1"/>
  <c r="G31" i="79" s="1"/>
  <c r="G116" i="93" a="1"/>
  <c r="G116" i="93" s="1"/>
  <c r="G157" i="93" a="1"/>
  <c r="G157" i="93" s="1"/>
  <c r="G21" i="93" a="1"/>
  <c r="G21" i="93" s="1"/>
  <c r="I21" i="93" s="1" a="1"/>
  <c r="I21" i="93" s="1"/>
  <c r="H116" i="93" s="1"/>
  <c r="I116" i="93" s="1"/>
  <c r="K116" i="93" s="1" a="1"/>
  <c r="K116" i="93" s="1"/>
  <c r="AE229" i="103" a="1"/>
  <c r="AE229" i="103" s="1"/>
  <c r="AG221" i="103"/>
  <c r="AI221" i="103" s="1" a="1"/>
  <c r="AI221" i="103" s="1"/>
  <c r="K221" i="103" s="1" a="1"/>
  <c r="K221" i="103" s="1"/>
  <c r="AI228" i="103" a="1"/>
  <c r="AI228" i="103" s="1"/>
  <c r="AI230" i="103" a="1"/>
  <c r="AI230" i="103" s="1"/>
  <c r="AI223" i="103" a="1"/>
  <c r="AI223" i="103" s="1"/>
  <c r="AI225" i="103" a="1"/>
  <c r="AI225" i="103" s="1"/>
  <c r="AI227" i="103" a="1"/>
  <c r="AI227" i="103" s="1"/>
  <c r="AI229" i="103" a="1"/>
  <c r="AI229" i="103" s="1"/>
  <c r="AI222" i="103" a="1"/>
  <c r="AI222" i="103" s="1"/>
  <c r="AI224" i="103" a="1"/>
  <c r="AI224" i="103" s="1"/>
  <c r="AI226" i="103" a="1"/>
  <c r="AI226" i="103" s="1"/>
  <c r="AM223" i="103" a="1"/>
  <c r="AM223" i="103" s="1"/>
  <c r="N30" i="90" a="1"/>
  <c r="N30" i="90" s="1"/>
  <c r="O30" i="90" a="1"/>
  <c r="O30" i="90" s="1"/>
  <c r="I69" i="93" a="1"/>
  <c r="I69" i="93" s="1"/>
  <c r="H167" i="93" s="1"/>
  <c r="I167" i="93" s="1"/>
  <c r="K167" i="93" s="1" a="1"/>
  <c r="K167" i="93" s="1"/>
  <c r="Q37" i="90" a="1"/>
  <c r="Q37" i="90" s="1"/>
  <c r="F122" i="103"/>
  <c r="Q221" i="103"/>
  <c r="S221" i="103" s="1" a="1"/>
  <c r="S221" i="103" s="1"/>
  <c r="S224" i="103" a="1"/>
  <c r="S224" i="103" s="1"/>
  <c r="S226" i="103" a="1"/>
  <c r="S226" i="103" s="1"/>
  <c r="S228" i="103" a="1"/>
  <c r="S228" i="103" s="1"/>
  <c r="S230" i="103" a="1"/>
  <c r="S230" i="103" s="1"/>
  <c r="S223" i="103" a="1"/>
  <c r="S223" i="103" s="1"/>
  <c r="S225" i="103" a="1"/>
  <c r="S225" i="103" s="1"/>
  <c r="S227" i="103" a="1"/>
  <c r="S227" i="103" s="1"/>
  <c r="S229" i="103" a="1"/>
  <c r="S229" i="103" s="1"/>
  <c r="S222" i="103" a="1"/>
  <c r="S222" i="103" s="1"/>
  <c r="E30" i="83"/>
  <c r="E26" i="82"/>
  <c r="H26" i="82" s="1" a="1"/>
  <c r="H26" i="82" s="1"/>
  <c r="E66" i="82" s="1"/>
  <c r="E24" i="82"/>
  <c r="H24" i="82" s="1" a="1"/>
  <c r="H24" i="82" s="1"/>
  <c r="E64" i="82" s="1"/>
  <c r="E28" i="83"/>
  <c r="E34" i="82"/>
  <c r="H34" i="82" s="1" a="1"/>
  <c r="H34" i="82" s="1"/>
  <c r="E74" i="82" s="1"/>
  <c r="E38" i="83"/>
  <c r="E26" i="83"/>
  <c r="E22" i="82"/>
  <c r="H22" i="82" s="1" a="1"/>
  <c r="H22" i="82" s="1"/>
  <c r="E62" i="82" s="1"/>
  <c r="E27" i="82"/>
  <c r="H27" i="82" s="1" a="1"/>
  <c r="H27" i="82" s="1"/>
  <c r="E67" i="82" s="1"/>
  <c r="E31" i="83"/>
  <c r="E66" i="83"/>
  <c r="E103" i="82"/>
  <c r="F103" i="82" s="1" a="1"/>
  <c r="F103" i="82" s="1"/>
  <c r="E135" i="82" s="1"/>
  <c r="E36" i="82"/>
  <c r="H36" i="82" s="1" a="1"/>
  <c r="H36" i="82" s="1"/>
  <c r="E76" i="82" s="1"/>
  <c r="E40" i="83"/>
  <c r="E28" i="82"/>
  <c r="H28" i="82" s="1" a="1"/>
  <c r="H28" i="82" s="1"/>
  <c r="E68" i="82" s="1"/>
  <c r="E32" i="83"/>
  <c r="E32" i="82"/>
  <c r="H32" i="82" s="1" a="1"/>
  <c r="H32" i="82" s="1"/>
  <c r="E72" i="82" s="1"/>
  <c r="E36" i="83"/>
  <c r="E65" i="83"/>
  <c r="E102" i="82"/>
  <c r="F102" i="82" s="1" a="1"/>
  <c r="F102" i="82" s="1"/>
  <c r="E134" i="82" s="1"/>
  <c r="E29" i="82"/>
  <c r="H29" i="82" s="1" a="1"/>
  <c r="H29" i="82" s="1"/>
  <c r="E69" i="82" s="1"/>
  <c r="E33" i="83"/>
  <c r="E249" i="103"/>
  <c r="I306" i="103" a="1"/>
  <c r="I306" i="103" s="1"/>
  <c r="J310" i="103" a="1"/>
  <c r="J310" i="103" s="1"/>
  <c r="I312" i="103" a="1"/>
  <c r="I312" i="103" s="1"/>
  <c r="I311" i="103" a="1"/>
  <c r="I311" i="103" s="1"/>
  <c r="J306" i="103" a="1"/>
  <c r="J306" i="103" s="1"/>
  <c r="I309" i="103" a="1"/>
  <c r="I309" i="103" s="1"/>
  <c r="J312" i="103" a="1"/>
  <c r="J312" i="103" s="1"/>
  <c r="E29" i="83"/>
  <c r="E25" i="82"/>
  <c r="H25" i="82" s="1" a="1"/>
  <c r="H25" i="82" s="1"/>
  <c r="E65" i="82" s="1"/>
  <c r="E30" i="82"/>
  <c r="H30" i="82" s="1" a="1"/>
  <c r="H30" i="82" s="1"/>
  <c r="E70" i="82" s="1"/>
  <c r="E34" i="83"/>
  <c r="I307" i="103" a="1"/>
  <c r="I307" i="103" s="1"/>
  <c r="E37" i="82"/>
  <c r="H37" i="82" s="1" a="1"/>
  <c r="H37" i="82" s="1"/>
  <c r="E77" i="82" s="1"/>
  <c r="E41" i="83"/>
  <c r="I313" i="103" a="1"/>
  <c r="I313" i="103" s="1"/>
  <c r="R71" i="96"/>
  <c r="O24" i="97"/>
  <c r="E64" i="89"/>
  <c r="E57" i="89"/>
  <c r="E55" i="89"/>
  <c r="E56" i="89"/>
  <c r="I56" i="98"/>
  <c r="I123" i="103" a="1"/>
  <c r="I123" i="103" s="1"/>
  <c r="G126" i="103" a="1"/>
  <c r="G126" i="103" s="1"/>
  <c r="E642" i="103"/>
  <c r="E379" i="103"/>
  <c r="E34" i="103"/>
  <c r="E93" i="103" s="1"/>
  <c r="E35" i="103"/>
  <c r="E94" i="103" s="1"/>
  <c r="I270" i="103" a="1"/>
  <c r="I270" i="103" s="1"/>
  <c r="E284" i="103" s="1"/>
  <c r="G270" i="103" a="1"/>
  <c r="G270" i="103" s="1"/>
  <c r="E283" i="103" s="1"/>
  <c r="E378" i="103"/>
  <c r="J305" i="103" a="1"/>
  <c r="J305" i="103" s="1"/>
  <c r="I305" i="103" a="1"/>
  <c r="I305" i="103" s="1"/>
  <c r="E316" i="103" s="1"/>
  <c r="I168" i="93"/>
  <c r="K168" i="93" s="1" a="1"/>
  <c r="K168" i="93" s="1"/>
  <c r="I144" i="93"/>
  <c r="K144" i="93" s="1" a="1"/>
  <c r="K144" i="93" s="1"/>
  <c r="I179" i="93"/>
  <c r="K179" i="93" s="1" a="1"/>
  <c r="K179" i="93" s="1"/>
  <c r="E46" i="95"/>
  <c r="I138" i="93"/>
  <c r="K138" i="93" s="1" a="1"/>
  <c r="K138" i="93" s="1"/>
  <c r="E63" i="89"/>
  <c r="I127" i="93"/>
  <c r="K127" i="93" s="1" a="1"/>
  <c r="K127" i="93" s="1"/>
  <c r="E46" i="90"/>
  <c r="G19" i="78" a="1"/>
  <c r="G19" i="78" s="1"/>
  <c r="I157" i="93"/>
  <c r="K157" i="93" s="1" a="1"/>
  <c r="K157" i="93" s="1"/>
  <c r="E52" i="90"/>
  <c r="E46" i="89"/>
  <c r="E43" i="89"/>
  <c r="E44" i="89"/>
  <c r="E44" i="90"/>
  <c r="E45" i="89"/>
  <c r="E45" i="90"/>
  <c r="E49" i="90"/>
  <c r="E50" i="90"/>
  <c r="E51" i="90"/>
  <c r="G19" i="79" a="1"/>
  <c r="G19" i="79" s="1"/>
  <c r="V50" i="78" a="1"/>
  <c r="V50" i="78" s="1"/>
  <c r="G73" i="13"/>
  <c r="G74" i="13" s="1"/>
  <c r="G70" i="13"/>
  <c r="G71" i="13" s="1"/>
  <c r="K229" i="103" l="1" a="1"/>
  <c r="K229" i="103" s="1"/>
  <c r="H229" i="103" a="1"/>
  <c r="H229" i="103" s="1"/>
  <c r="F229" i="103" a="1"/>
  <c r="F229" i="103" s="1"/>
  <c r="G229" i="103" s="1" a="1"/>
  <c r="G229" i="103" s="1"/>
  <c r="H227" i="103" a="1"/>
  <c r="H227" i="103" s="1"/>
  <c r="F227" i="103" a="1"/>
  <c r="F227" i="103" s="1"/>
  <c r="G227" i="103" s="1" a="1"/>
  <c r="G227" i="103" s="1"/>
  <c r="K227" i="103" a="1"/>
  <c r="K227" i="103" s="1"/>
  <c r="K230" i="103" a="1"/>
  <c r="K230" i="103" s="1"/>
  <c r="F230" i="103" a="1"/>
  <c r="F230" i="103" s="1"/>
  <c r="G230" i="103" s="1" a="1"/>
  <c r="G230" i="103" s="1"/>
  <c r="H230" i="103" a="1"/>
  <c r="H230" i="103" s="1"/>
  <c r="E23" i="82"/>
  <c r="H23" i="82" s="1" a="1"/>
  <c r="H23" i="82" s="1"/>
  <c r="E63" i="82" s="1"/>
  <c r="E27" i="83"/>
  <c r="H228" i="103" a="1"/>
  <c r="H228" i="103" s="1"/>
  <c r="K228" i="103" a="1"/>
  <c r="K228" i="103" s="1"/>
  <c r="F228" i="103" a="1"/>
  <c r="F228" i="103" s="1"/>
  <c r="G228" i="103" s="1" a="1"/>
  <c r="G228" i="103" s="1"/>
  <c r="E37" i="83"/>
  <c r="F226" i="103" a="1"/>
  <c r="F226" i="103" s="1"/>
  <c r="G226" i="103" s="1" a="1"/>
  <c r="G226" i="103" s="1"/>
  <c r="K226" i="103" a="1"/>
  <c r="K226" i="103" s="1"/>
  <c r="H226" i="103" a="1"/>
  <c r="H226" i="103" s="1"/>
  <c r="U50" i="78"/>
  <c r="F224" i="103" a="1"/>
  <c r="F224" i="103" s="1"/>
  <c r="G224" i="103" s="1" a="1"/>
  <c r="G224" i="103" s="1"/>
  <c r="H224" i="103" a="1"/>
  <c r="H224" i="103" s="1"/>
  <c r="K224" i="103" a="1"/>
  <c r="K224" i="103" s="1"/>
  <c r="G128" i="103" a="1"/>
  <c r="G128" i="103" s="1"/>
  <c r="I128" i="103" a="1"/>
  <c r="I128" i="103" s="1"/>
  <c r="E130" i="103"/>
  <c r="E144" i="103" s="1"/>
  <c r="F221" i="103" a="1"/>
  <c r="F221" i="103" s="1"/>
  <c r="G221" i="103" s="1" a="1"/>
  <c r="G221" i="103" s="1"/>
  <c r="H221" i="103" a="1"/>
  <c r="H221" i="103" s="1"/>
  <c r="O45" i="78"/>
  <c r="W47" i="78"/>
  <c r="W46" i="78"/>
  <c r="V47" i="78" a="1"/>
  <c r="V47" i="78" s="1"/>
  <c r="S47" i="78" a="1"/>
  <c r="S47" i="78" s="1"/>
  <c r="S46" i="78" a="1"/>
  <c r="S46" i="78" s="1"/>
  <c r="T48" i="78"/>
  <c r="R48" i="78" a="1"/>
  <c r="R48" i="78" s="1"/>
  <c r="T49" i="78"/>
  <c r="T46" i="78"/>
  <c r="U46" i="78" s="1"/>
  <c r="S49" i="78" a="1"/>
  <c r="S49" i="78" s="1"/>
  <c r="S48" i="78" a="1"/>
  <c r="S48" i="78" s="1"/>
  <c r="T47" i="78"/>
  <c r="U47" i="78" s="1"/>
  <c r="R47" i="78" a="1"/>
  <c r="R47" i="78" s="1"/>
  <c r="R49" i="78" a="1"/>
  <c r="R49" i="78" s="1"/>
  <c r="R46" i="78" a="1"/>
  <c r="R46" i="78" s="1"/>
  <c r="Q46" i="78"/>
  <c r="Q47" i="78"/>
  <c r="V46" i="78" a="1"/>
  <c r="V46" i="78" s="1"/>
  <c r="Q49" i="78"/>
  <c r="Q48" i="78"/>
  <c r="E32" i="80"/>
  <c r="K44" i="80" s="1"/>
  <c r="K223" i="103" a="1"/>
  <c r="K223" i="103" s="1"/>
  <c r="H223" i="103" a="1"/>
  <c r="H223" i="103" s="1"/>
  <c r="F223" i="103" a="1"/>
  <c r="F223" i="103" s="1"/>
  <c r="G223" i="103" s="1" a="1"/>
  <c r="G223" i="103" s="1"/>
  <c r="G122" i="103" a="1"/>
  <c r="G122" i="103" s="1"/>
  <c r="I122" i="103" a="1"/>
  <c r="I122" i="103" s="1"/>
  <c r="E131" i="103" s="1"/>
  <c r="E145" i="103" s="1"/>
  <c r="E25" i="83"/>
  <c r="E21" i="82"/>
  <c r="H21" i="82" s="1" a="1"/>
  <c r="H21" i="82" s="1"/>
  <c r="E61" i="82" s="1"/>
  <c r="F225" i="103" a="1"/>
  <c r="F225" i="103" s="1"/>
  <c r="G225" i="103" s="1" a="1"/>
  <c r="G225" i="103" s="1"/>
  <c r="K225" i="103" a="1"/>
  <c r="K225" i="103" s="1"/>
  <c r="H225" i="103" a="1"/>
  <c r="H225" i="103" s="1"/>
  <c r="F222" i="103" a="1"/>
  <c r="F222" i="103" s="1"/>
  <c r="G222" i="103" s="1" a="1"/>
  <c r="G222" i="103" s="1"/>
  <c r="K222" i="103" a="1"/>
  <c r="K222" i="103" s="1"/>
  <c r="E252" i="103" s="1"/>
  <c r="H222" i="103" a="1"/>
  <c r="H222" i="103" s="1"/>
  <c r="E317" i="103"/>
  <c r="E19" i="82"/>
  <c r="H19" i="82" s="1" a="1"/>
  <c r="H19" i="82" s="1"/>
  <c r="E59" i="82" s="1"/>
  <c r="E23" i="83"/>
  <c r="E70" i="89"/>
  <c r="I515" i="103" s="1"/>
  <c r="E67" i="89"/>
  <c r="E68" i="89"/>
  <c r="E192" i="93"/>
  <c r="E588" i="103" s="1"/>
  <c r="E58" i="90"/>
  <c r="I516" i="103" s="1"/>
  <c r="E69" i="89"/>
  <c r="E151" i="93"/>
  <c r="E57" i="90"/>
  <c r="E56" i="90"/>
  <c r="E55" i="90"/>
  <c r="E30" i="72"/>
  <c r="E25" i="72"/>
  <c r="E251" i="103" l="1"/>
  <c r="E248" i="103"/>
  <c r="V49" i="78" a="1"/>
  <c r="V49" i="78" s="1"/>
  <c r="U49" i="78"/>
  <c r="V48" i="78" a="1"/>
  <c r="V48" i="78" s="1"/>
  <c r="U48" i="78"/>
  <c r="Q45" i="78"/>
  <c r="S45" i="78" a="1"/>
  <c r="S45" i="78" s="1"/>
  <c r="T45" i="78"/>
  <c r="R45" i="78" a="1"/>
  <c r="R45" i="78" s="1"/>
  <c r="E518" i="103" a="1"/>
  <c r="E518" i="103" s="1"/>
  <c r="E27" i="72" a="1"/>
  <c r="E27" i="72" s="1"/>
  <c r="E22" i="72" a="1"/>
  <c r="E22" i="72" s="1"/>
  <c r="V45" i="78" l="1" a="1"/>
  <c r="V45" i="78" s="1"/>
  <c r="U45" i="78"/>
  <c r="F75" i="13"/>
  <c r="F73" i="13"/>
  <c r="F74" i="13" s="1"/>
  <c r="F64" i="13"/>
  <c r="F65" i="13" s="1"/>
  <c r="F66" i="13"/>
  <c r="F72" i="13"/>
  <c r="F63" i="13"/>
  <c r="F70" i="13"/>
  <c r="F71" i="13" s="1"/>
  <c r="F61" i="13"/>
  <c r="F62" i="13" s="1"/>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F38" i="13"/>
  <c r="F37" i="13"/>
  <c r="E38" i="13"/>
  <c r="E37" i="13"/>
  <c r="D34" i="13" a="1"/>
  <c r="D45" i="13" a="1"/>
  <c r="D30" i="13" a="1"/>
  <c r="D30"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I22" i="96" s="1"/>
  <c r="I17" i="96" s="1" a="1"/>
  <c r="I17" i="96" s="1"/>
  <c r="E24" i="96" s="1" a="1"/>
  <c r="E24" i="96" s="1"/>
  <c r="D7" i="74" a="1"/>
  <c r="D7" i="74" s="1"/>
  <c r="D5" i="74" a="1"/>
  <c r="D5" i="74" s="1"/>
  <c r="E20" i="72"/>
  <c r="I56" i="83" l="1"/>
  <c r="I14" i="83"/>
  <c r="I68" i="104"/>
  <c r="H24" i="97"/>
  <c r="I49" i="104"/>
  <c r="I50" i="78"/>
  <c r="J50" i="82"/>
  <c r="I125" i="82"/>
  <c r="W51" i="78"/>
  <c r="W52" i="78"/>
  <c r="W50" i="78"/>
  <c r="W49" i="78"/>
  <c r="W48" i="78"/>
  <c r="W45" i="78"/>
  <c r="Q51" i="97"/>
  <c r="G51" i="97"/>
  <c r="G97" i="83"/>
  <c r="G53" i="80"/>
  <c r="P91" i="78"/>
  <c r="G83" i="78"/>
  <c r="P80" i="96"/>
  <c r="H65" i="98"/>
  <c r="G45" i="96"/>
  <c r="G82" i="82"/>
  <c r="G149" i="82"/>
  <c r="H42" i="98"/>
  <c r="O576" i="103"/>
  <c r="G576" i="103"/>
  <c r="S69" i="78"/>
  <c r="I38" i="96"/>
  <c r="J51" i="82"/>
  <c r="I36" i="98"/>
  <c r="E39" i="98" s="1" a="1"/>
  <c r="E39" i="98" s="1"/>
  <c r="I126" i="82"/>
  <c r="I20" i="81"/>
  <c r="E24" i="97"/>
  <c r="I36" i="96"/>
  <c r="D164" i="74"/>
  <c r="J15" i="97"/>
  <c r="D170" i="74"/>
  <c r="J37" i="97"/>
  <c r="I19" i="13" a="1"/>
  <c r="I19" i="13" s="1"/>
  <c r="I21" i="13" a="1"/>
  <c r="I21" i="13" s="1"/>
  <c r="H22" i="13" a="1"/>
  <c r="H22" i="13" s="1"/>
  <c r="E22" i="75"/>
  <c r="H18" i="13" a="1"/>
  <c r="H18" i="13" s="1"/>
  <c r="D45" i="13"/>
  <c r="E45" i="13" s="1"/>
  <c r="E46" i="13"/>
  <c r="D34" i="13"/>
  <c r="F35" i="13"/>
  <c r="E35" i="13"/>
  <c r="F17" i="13"/>
  <c r="I17" i="13" s="1"/>
  <c r="F23" i="13"/>
  <c r="I23" i="13" s="1"/>
  <c r="F18" i="13"/>
  <c r="I18" i="13" s="1" a="1"/>
  <c r="I18" i="13" s="1"/>
  <c r="H24" i="13"/>
  <c r="F24" i="13"/>
  <c r="I24" i="13" s="1"/>
  <c r="H21" i="13" a="1"/>
  <c r="H21" i="13" s="1"/>
  <c r="F20" i="13"/>
  <c r="I20" i="13" s="1"/>
  <c r="F22" i="13"/>
  <c r="I22" i="13" s="1" a="1"/>
  <c r="I22" i="13" s="1"/>
  <c r="H19" i="13" a="1"/>
  <c r="H19" i="13" s="1"/>
  <c r="E19" i="75"/>
  <c r="E20" i="75"/>
  <c r="E21" i="75" s="1"/>
  <c r="E36" i="13"/>
  <c r="F36" i="13"/>
  <c r="H54" i="74"/>
  <c r="H51" i="74"/>
  <c r="H49" i="74"/>
  <c r="I59" i="98" s="1"/>
  <c r="E62" i="98" s="1" a="1"/>
  <c r="E62" i="98" s="1"/>
  <c r="G64" i="13"/>
  <c r="G65" i="13" s="1"/>
  <c r="H53" i="74"/>
  <c r="H48" i="74"/>
  <c r="I51" i="79" s="1"/>
  <c r="H52" i="74"/>
  <c r="H50" i="74"/>
  <c r="I50" i="104" s="1"/>
  <c r="H64" i="98" l="1"/>
  <c r="E67" i="98" s="1" a="1"/>
  <c r="E67" i="98" s="1"/>
  <c r="E16" i="13" a="1"/>
  <c r="E16" i="13" s="1"/>
  <c r="E68" i="79" a="1"/>
  <c r="E68" i="79" s="1"/>
  <c r="E62" i="79" a="1"/>
  <c r="E62" i="79" s="1"/>
  <c r="E72" i="79" a="1"/>
  <c r="E72" i="79" s="1"/>
  <c r="E74" i="79" a="1"/>
  <c r="E74" i="79" s="1"/>
  <c r="E71" i="79" a="1"/>
  <c r="E71" i="79" s="1"/>
  <c r="E73" i="79" a="1"/>
  <c r="E73" i="79" s="1"/>
  <c r="E67" i="79" a="1"/>
  <c r="E67" i="79" s="1"/>
  <c r="E76" i="79" a="1"/>
  <c r="E76" i="79" s="1"/>
  <c r="E66" i="79" a="1"/>
  <c r="E66" i="79" s="1"/>
  <c r="E75" i="79" a="1"/>
  <c r="E75" i="79" s="1"/>
  <c r="E64" i="79" a="1"/>
  <c r="E64" i="79" s="1"/>
  <c r="E59" i="79" a="1"/>
  <c r="E59" i="79" s="1"/>
  <c r="E61" i="79" a="1"/>
  <c r="E61" i="79" s="1"/>
  <c r="E69" i="79" a="1"/>
  <c r="E69" i="79" s="1"/>
  <c r="E65" i="79" a="1"/>
  <c r="E65" i="79" s="1"/>
  <c r="E63" i="79" a="1"/>
  <c r="E63" i="79" s="1"/>
  <c r="E60" i="79" a="1"/>
  <c r="E60" i="79" s="1"/>
  <c r="E58" i="79" a="1"/>
  <c r="E58" i="79" s="1"/>
  <c r="E70" i="79" a="1"/>
  <c r="E70" i="79" s="1"/>
  <c r="H41" i="98"/>
  <c r="E44" i="98" s="1" a="1"/>
  <c r="E44" i="98" s="1"/>
  <c r="E15" i="13" a="1"/>
  <c r="E15" i="13" s="1"/>
  <c r="K48" i="80"/>
  <c r="K45" i="80" s="1"/>
  <c r="E50" i="80" s="1" a="1"/>
  <c r="E50" i="80" s="1"/>
  <c r="R75" i="96"/>
  <c r="R72" i="96" s="1" a="1"/>
  <c r="R72" i="96" s="1"/>
  <c r="N77" i="96" s="1" a="1"/>
  <c r="N77" i="96" s="1"/>
  <c r="J17" i="104"/>
  <c r="J14" i="104" s="1"/>
  <c r="I40" i="96"/>
  <c r="I37" i="96" s="1" a="1"/>
  <c r="I37" i="96" s="1"/>
  <c r="R73" i="96"/>
  <c r="E63" i="78" a="1"/>
  <c r="E63" i="78" s="1"/>
  <c r="E77" i="78" a="1"/>
  <c r="E77" i="78" s="1"/>
  <c r="E73" i="78" a="1"/>
  <c r="E73" i="78" s="1"/>
  <c r="E75" i="78" a="1"/>
  <c r="E75" i="78" s="1"/>
  <c r="E60" i="78" a="1"/>
  <c r="E60" i="78" s="1"/>
  <c r="H28" i="81" a="1"/>
  <c r="H28" i="81" s="1"/>
  <c r="H29" i="81" a="1"/>
  <c r="H29" i="81" s="1"/>
  <c r="H27" i="81" a="1"/>
  <c r="H27" i="81" s="1"/>
  <c r="H26" i="81" a="1"/>
  <c r="H26" i="81" s="1"/>
  <c r="H25" i="81" a="1"/>
  <c r="H25" i="81" s="1"/>
  <c r="E31" i="81" s="1"/>
  <c r="E10" i="13" s="1" a="1"/>
  <c r="E10" i="13" s="1"/>
  <c r="I53" i="104"/>
  <c r="I129" i="82"/>
  <c r="S74" i="78"/>
  <c r="S68" i="78" s="1" a="1"/>
  <c r="S68" i="78" s="1"/>
  <c r="J54" i="82"/>
  <c r="I55" i="78"/>
  <c r="K46" i="80"/>
  <c r="O55" i="104" a="1"/>
  <c r="O55" i="104" s="1"/>
  <c r="R570" i="103" s="1"/>
  <c r="E55" i="104" a="1"/>
  <c r="E55" i="104" s="1"/>
  <c r="J570" i="103" s="1"/>
  <c r="F60" i="82" a="1"/>
  <c r="F60" i="82" s="1"/>
  <c r="F75" i="82" a="1"/>
  <c r="F75" i="82" s="1"/>
  <c r="F73" i="82" a="1"/>
  <c r="F73" i="82" s="1"/>
  <c r="F74" i="82" a="1"/>
  <c r="F74" i="82" s="1"/>
  <c r="F68" i="82" a="1"/>
  <c r="F68" i="82" s="1"/>
  <c r="F64" i="82" a="1"/>
  <c r="F64" i="82" s="1"/>
  <c r="F72" i="82" a="1"/>
  <c r="F72" i="82" s="1"/>
  <c r="F76" i="82" a="1"/>
  <c r="F76" i="82" s="1"/>
  <c r="F71" i="82" a="1"/>
  <c r="F71" i="82" s="1"/>
  <c r="F67" i="82" a="1"/>
  <c r="F67" i="82" s="1"/>
  <c r="F65" i="82" a="1"/>
  <c r="F65" i="82" s="1"/>
  <c r="F66" i="82" a="1"/>
  <c r="F66" i="82" s="1"/>
  <c r="F69" i="82" a="1"/>
  <c r="F69" i="82" s="1"/>
  <c r="F62" i="82" a="1"/>
  <c r="F62" i="82" s="1"/>
  <c r="F70" i="82" a="1"/>
  <c r="F70" i="82" s="1"/>
  <c r="F77" i="82" a="1"/>
  <c r="F77" i="82" s="1"/>
  <c r="F63" i="82" a="1"/>
  <c r="F63" i="82" s="1"/>
  <c r="F59" i="82" a="1"/>
  <c r="F59" i="82" s="1"/>
  <c r="F61" i="82" a="1"/>
  <c r="F61" i="82" s="1"/>
  <c r="E42" i="96" a="1"/>
  <c r="E42" i="96" s="1"/>
  <c r="J15" i="104"/>
  <c r="S24" i="97" a="1"/>
  <c r="S24" i="97" s="1"/>
  <c r="N45" i="97" s="1"/>
  <c r="O45" i="97" s="1" a="1"/>
  <c r="O45" i="97" s="1"/>
  <c r="O48" i="97" s="1"/>
  <c r="F139" i="82" a="1"/>
  <c r="F139" i="82" s="1"/>
  <c r="F144" i="82" a="1"/>
  <c r="F144" i="82" s="1"/>
  <c r="F142" i="82" a="1"/>
  <c r="F142" i="82" s="1"/>
  <c r="F141" i="82" a="1"/>
  <c r="F141" i="82" s="1"/>
  <c r="F138" i="82" a="1"/>
  <c r="F138" i="82" s="1"/>
  <c r="F143" i="82" a="1"/>
  <c r="F143" i="82" s="1"/>
  <c r="F140" i="82" a="1"/>
  <c r="F140" i="82" s="1"/>
  <c r="F137" i="82" a="1"/>
  <c r="F137" i="82" s="1"/>
  <c r="F136" i="82" a="1"/>
  <c r="F136" i="82" s="1"/>
  <c r="F134" i="82" a="1"/>
  <c r="F134" i="82" s="1"/>
  <c r="F135" i="82" a="1"/>
  <c r="F135" i="82" s="1"/>
  <c r="I24" i="97" a="1"/>
  <c r="I24" i="97" s="1"/>
  <c r="D45" i="97" s="1"/>
  <c r="E45" i="97" s="1" a="1"/>
  <c r="E45" i="97" s="1"/>
  <c r="E48" i="97" s="1"/>
  <c r="J92" i="83"/>
  <c r="E74" i="104" a="1"/>
  <c r="E74" i="104" s="1"/>
  <c r="J86" i="104" s="1"/>
  <c r="E90" i="104" s="1" a="1"/>
  <c r="E90" i="104" s="1"/>
  <c r="J571" i="103" s="1"/>
  <c r="O74" i="104" a="1"/>
  <c r="O74" i="104" s="1"/>
  <c r="T86" i="104" s="1"/>
  <c r="J88" i="104"/>
  <c r="J38" i="97"/>
  <c r="F24" i="83" a="1"/>
  <c r="F24" i="83" s="1"/>
  <c r="F31" i="83" a="1"/>
  <c r="F31" i="83" s="1"/>
  <c r="F40" i="83" a="1"/>
  <c r="F40" i="83" s="1"/>
  <c r="F30" i="83" a="1"/>
  <c r="F30" i="83" s="1"/>
  <c r="F32" i="83" a="1"/>
  <c r="F32" i="83" s="1"/>
  <c r="F41" i="83" a="1"/>
  <c r="F41" i="83" s="1"/>
  <c r="F35" i="83" a="1"/>
  <c r="F35" i="83" s="1"/>
  <c r="F39" i="83" a="1"/>
  <c r="F39" i="83" s="1"/>
  <c r="F34" i="83" a="1"/>
  <c r="F34" i="83" s="1"/>
  <c r="F33" i="83" a="1"/>
  <c r="F33" i="83" s="1"/>
  <c r="F26" i="83" a="1"/>
  <c r="F26" i="83" s="1"/>
  <c r="F38" i="83" a="1"/>
  <c r="F38" i="83" s="1"/>
  <c r="F36" i="83" a="1"/>
  <c r="F36" i="83" s="1"/>
  <c r="F28" i="83" a="1"/>
  <c r="F28" i="83" s="1"/>
  <c r="F29" i="83" a="1"/>
  <c r="F29" i="83" s="1"/>
  <c r="F27" i="83" a="1"/>
  <c r="F27" i="83" s="1"/>
  <c r="F23" i="83" a="1"/>
  <c r="F23" i="83" s="1"/>
  <c r="F37" i="83" a="1"/>
  <c r="F37" i="83" s="1"/>
  <c r="F25" i="83" a="1"/>
  <c r="F25" i="83" s="1"/>
  <c r="I51" i="78"/>
  <c r="E61" i="78" s="1" a="1"/>
  <c r="E61" i="78" s="1"/>
  <c r="F72" i="83" a="1"/>
  <c r="F72" i="83" s="1"/>
  <c r="F73" i="83" a="1"/>
  <c r="F73" i="83" s="1"/>
  <c r="F74" i="83" a="1"/>
  <c r="F74" i="83" s="1"/>
  <c r="F75" i="83" a="1"/>
  <c r="F75" i="83" s="1"/>
  <c r="F68" i="83" a="1"/>
  <c r="F68" i="83" s="1"/>
  <c r="F71" i="83" a="1"/>
  <c r="F71" i="83" s="1"/>
  <c r="F69" i="83" a="1"/>
  <c r="F69" i="83" s="1"/>
  <c r="F70" i="83" a="1"/>
  <c r="F70" i="83" s="1"/>
  <c r="F67" i="83" a="1"/>
  <c r="F67" i="83" s="1"/>
  <c r="F65" i="83" a="1"/>
  <c r="F65" i="83" s="1"/>
  <c r="F66" i="83" a="1"/>
  <c r="F66" i="83" s="1"/>
  <c r="E50" i="13"/>
  <c r="G61" i="13"/>
  <c r="G62" i="13" s="1"/>
  <c r="O90" i="104" l="1" a="1"/>
  <c r="O90" i="104" s="1"/>
  <c r="R571" i="103" s="1"/>
  <c r="O78" i="78" a="1"/>
  <c r="O78" i="78" s="1"/>
  <c r="P78" i="78" s="1" a="1"/>
  <c r="P78" i="78" s="1"/>
  <c r="O86" i="78" a="1"/>
  <c r="O86" i="78" s="1"/>
  <c r="P86" i="78" s="1" a="1"/>
  <c r="P86" i="78" s="1"/>
  <c r="O85" i="78" a="1"/>
  <c r="O85" i="78" s="1"/>
  <c r="P85" i="78" s="1" a="1"/>
  <c r="P85" i="78" s="1"/>
  <c r="O82" i="78" a="1"/>
  <c r="O82" i="78" s="1"/>
  <c r="P82" i="78" s="1" a="1"/>
  <c r="P82" i="78" s="1"/>
  <c r="O81" i="78" a="1"/>
  <c r="O81" i="78" s="1"/>
  <c r="P81" i="78" s="1" a="1"/>
  <c r="P81" i="78" s="1"/>
  <c r="O80" i="78" a="1"/>
  <c r="O80" i="78" s="1"/>
  <c r="P80" i="78" s="1" a="1"/>
  <c r="P80" i="78" s="1"/>
  <c r="O79" i="78" a="1"/>
  <c r="O79" i="78" s="1"/>
  <c r="P79" i="78" s="1" a="1"/>
  <c r="P79" i="78" s="1"/>
  <c r="O77" i="78" a="1"/>
  <c r="O77" i="78" s="1"/>
  <c r="P77" i="78" s="1" a="1"/>
  <c r="P77" i="78" s="1"/>
  <c r="O83" i="78" a="1"/>
  <c r="O83" i="78" s="1"/>
  <c r="P83" i="78" s="1" a="1"/>
  <c r="P83" i="78" s="1"/>
  <c r="O84" i="78" a="1"/>
  <c r="O84" i="78" s="1"/>
  <c r="P84" i="78" s="1" a="1"/>
  <c r="P84" i="78" s="1"/>
  <c r="E62" i="78" a="1"/>
  <c r="E62" i="78" s="1"/>
  <c r="E80" i="78" s="1"/>
  <c r="E72" i="78" a="1"/>
  <c r="E72" i="78" s="1"/>
  <c r="E19" i="104" a="1"/>
  <c r="E19" i="104" s="1"/>
  <c r="J569" i="103" s="1"/>
  <c r="O19" i="104" a="1"/>
  <c r="O19" i="104" s="1"/>
  <c r="R569" i="103" s="1"/>
  <c r="M573" i="103" s="1" a="1"/>
  <c r="M573" i="103" s="1"/>
  <c r="O575" i="103" s="1"/>
  <c r="M578" i="103" s="1" a="1"/>
  <c r="M578" i="103" s="1"/>
  <c r="G50" i="97"/>
  <c r="E53" i="97" s="1" a="1"/>
  <c r="E53" i="97" s="1"/>
  <c r="E14" i="13" a="1"/>
  <c r="E14" i="13" s="1"/>
  <c r="H14" i="13" s="1" a="1"/>
  <c r="H14" i="13" s="1"/>
  <c r="F15" i="13"/>
  <c r="I15" i="13" s="1" a="1"/>
  <c r="I15" i="13" s="1"/>
  <c r="H15" i="13" a="1"/>
  <c r="H15" i="13" s="1"/>
  <c r="E76" i="78" a="1"/>
  <c r="E76" i="78" s="1"/>
  <c r="E78" i="79"/>
  <c r="E8" i="13" s="1" a="1"/>
  <c r="E8" i="13" s="1"/>
  <c r="G52" i="80"/>
  <c r="E55" i="80" s="1" a="1"/>
  <c r="E55" i="80" s="1"/>
  <c r="E9" i="13" a="1"/>
  <c r="E9" i="13" s="1"/>
  <c r="E64" i="78" a="1"/>
  <c r="E64" i="78" s="1"/>
  <c r="E69" i="78" a="1"/>
  <c r="E69" i="78" s="1"/>
  <c r="F13" i="13" a="1"/>
  <c r="F13" i="13" s="1"/>
  <c r="I13" i="13" s="1" a="1"/>
  <c r="I13" i="13" s="1"/>
  <c r="P79" i="96"/>
  <c r="N82" i="96" s="1" a="1"/>
  <c r="N82" i="96" s="1"/>
  <c r="H10" i="13"/>
  <c r="F10" i="13"/>
  <c r="I10" i="13" s="1"/>
  <c r="E43" i="83"/>
  <c r="J89" i="83" s="1"/>
  <c r="E573" i="103" a="1"/>
  <c r="E573" i="103" s="1"/>
  <c r="G575" i="103" s="1"/>
  <c r="E578" i="103" s="1" a="1"/>
  <c r="E578" i="103" s="1"/>
  <c r="E66" i="78" a="1"/>
  <c r="E66" i="78" s="1"/>
  <c r="E71" i="78" a="1"/>
  <c r="E71" i="78" s="1"/>
  <c r="E79" i="82"/>
  <c r="G81" i="82" s="1"/>
  <c r="E84" i="82" s="1" a="1"/>
  <c r="E84" i="82" s="1"/>
  <c r="E70" i="78" a="1"/>
  <c r="E70" i="78" s="1"/>
  <c r="E65" i="78" a="1"/>
  <c r="E65" i="78" s="1"/>
  <c r="G44" i="96"/>
  <c r="E47" i="96" s="1" a="1"/>
  <c r="E47" i="96" s="1"/>
  <c r="E13" i="13" a="1"/>
  <c r="E13" i="13" s="1"/>
  <c r="H13" i="13" s="1" a="1"/>
  <c r="H13" i="13" s="1"/>
  <c r="E78" i="78" a="1"/>
  <c r="E78" i="78" s="1"/>
  <c r="E77" i="83"/>
  <c r="J90" i="83" s="1"/>
  <c r="E68" i="78" a="1"/>
  <c r="E68" i="78" s="1"/>
  <c r="E67" i="78" a="1"/>
  <c r="E67" i="78" s="1"/>
  <c r="F16" i="13"/>
  <c r="I16" i="13" s="1" a="1"/>
  <c r="I16" i="13" s="1"/>
  <c r="H16" i="13" a="1"/>
  <c r="H16" i="13" s="1"/>
  <c r="F14" i="13" a="1"/>
  <c r="F14" i="13" s="1"/>
  <c r="I14" i="13" s="1" a="1"/>
  <c r="I14" i="13" s="1"/>
  <c r="Q50" i="97"/>
  <c r="O53" i="97" s="1" a="1"/>
  <c r="O53" i="97" s="1"/>
  <c r="E146" i="82"/>
  <c r="E74" i="78" a="1"/>
  <c r="E74" i="78" s="1"/>
  <c r="G82" i="78" l="1"/>
  <c r="E85" i="78" s="1" a="1"/>
  <c r="E85" i="78" s="1"/>
  <c r="E7" i="13" a="1"/>
  <c r="E7" i="13" s="1"/>
  <c r="H7" i="13" s="1" a="1"/>
  <c r="H7" i="13" s="1"/>
  <c r="H9" i="13" a="1"/>
  <c r="H9" i="13" s="1"/>
  <c r="F9" i="13"/>
  <c r="I9" i="13" s="1" a="1"/>
  <c r="I9" i="13" s="1"/>
  <c r="F8" i="13"/>
  <c r="I8" i="13" s="1"/>
  <c r="H8" i="13"/>
  <c r="N88" i="78"/>
  <c r="G148" i="82"/>
  <c r="E151" i="82" s="1" a="1"/>
  <c r="E151" i="82" s="1"/>
  <c r="E11" i="13" a="1"/>
  <c r="E11" i="13" s="1"/>
  <c r="E94" i="83" a="1"/>
  <c r="E94" i="83" s="1"/>
  <c r="G96" i="83" l="1"/>
  <c r="E99" i="83" s="1" a="1"/>
  <c r="E99" i="83" s="1"/>
  <c r="E12" i="13" a="1"/>
  <c r="E12" i="13" s="1"/>
  <c r="P90" i="78"/>
  <c r="N93" i="78" s="1" a="1"/>
  <c r="N93" i="78" s="1"/>
  <c r="F7" i="13" a="1"/>
  <c r="F7" i="13" s="1"/>
  <c r="I7" i="13" s="1" a="1"/>
  <c r="I7" i="13" s="1"/>
  <c r="F11" i="13"/>
  <c r="I11" i="13" s="1" a="1"/>
  <c r="I11" i="13" s="1"/>
  <c r="H11" i="13" a="1"/>
  <c r="H11" i="13" s="1"/>
  <c r="H12" i="13" l="1" a="1"/>
  <c r="H12" i="13" s="1"/>
  <c r="H25" i="13" s="1"/>
  <c r="E34" i="13" s="1"/>
  <c r="E39" i="13" s="1"/>
  <c r="F12" i="13"/>
  <c r="I12" i="13" s="1" a="1"/>
  <c r="I12" i="13" s="1"/>
  <c r="I25" i="13" s="1"/>
  <c r="F34" i="13" s="1"/>
  <c r="F39" i="13" s="1"/>
  <c r="I71" i="13" l="1"/>
  <c r="I64" i="13"/>
  <c r="F56" i="13"/>
  <c r="I65" i="13" s="1"/>
  <c r="I61" i="13"/>
  <c r="I73" i="13"/>
  <c r="I70" i="13"/>
  <c r="I74" i="13"/>
  <c r="I62" i="13"/>
  <c r="H61" i="13"/>
  <c r="E56" i="13"/>
  <c r="H65" i="13" s="1"/>
  <c r="H70" i="13"/>
  <c r="H73" i="13"/>
  <c r="H74" i="13"/>
  <c r="H71" i="13"/>
  <c r="H62" i="13"/>
  <c r="H6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<sst xmlns="http://schemas.openxmlformats.org/spreadsheetml/2006/main" count="2456" uniqueCount="970">
  <si>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</si>
  <si>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</si>
  <si>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</si>
  <si>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</si>
  <si>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</si>
  <si>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</si>
  <si>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</si>
  <si>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</si>
  <si>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</si>
  <si>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</si>
  <si>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</si>
  <si>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</si>
  <si>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</si>
  <si>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</si>
  <si>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</si>
  <si>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</si>
  <si>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</si>
  <si>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</si>
  <si>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</si>
  <si>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</si>
  <si>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</si>
  <si>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</si>
  <si>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</si>
  <si>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</si>
  <si>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</si>
  <si>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</si>
  <si>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</si>
  <si>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</si>
  <si>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</si>
  <si>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</si>
  <si>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</si>
  <si>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</si>
  <si>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</si>
  <si>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</si>
  <si>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</si>
  <si>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</si>
  <si>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</si>
  <si>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</si>
  <si>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</si>
  <si>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</si>
  <si>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</si>
  <si>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</si>
  <si>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</si>
  <si>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</si>
  <si>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</si>
  <si>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</si>
  <si>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</si>
  <si>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</si>
  <si>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</si>
  <si>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</si>
  <si>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</si>
  <si>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</si>
  <si>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</si>
  <si>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</si>
  <si>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</si>
  <si>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</si>
  <si>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</si>
  <si>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</si>
  <si>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</si>
  <si>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</si>
  <si>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</si>
  <si>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</si>
  <si>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</si>
  <si>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</si>
  <si>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</si>
  <si>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</si>
  <si>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</si>
  <si>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</si>
  <si>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</si>
  <si>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</si>
  <si>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</si>
  <si>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</si>
  <si>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</si>
  <si>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</si>
  <si>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</si>
  <si>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</si>
  <si>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</si>
  <si>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</si>
  <si>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</si>
  <si>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</si>
  <si>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</si>
  <si>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</si>
  <si>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</si>
  <si>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</si>
  <si>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</si>
  <si>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</si>
  <si>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</si>
  <si>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</si>
  <si>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</si>
  <si>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</si>
  <si>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</si>
  <si>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</si>
  <si>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</si>
  <si>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</si>
  <si>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</si>
  <si>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</si>
  <si>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</si>
  <si>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</si>
  <si>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</si>
  <si>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</si>
  <si>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</si>
  <si>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</si>
  <si>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</si>
  <si>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</si>
  <si>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</si>
  <si>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</si>
  <si>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</si>
  <si>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</si>
  <si>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</si>
  <si>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</si>
  <si>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</si>
  <si>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</si>
  <si>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</si>
  <si>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</si>
  <si>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</si>
  <si>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</si>
  <si>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</si>
  <si>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</si>
  <si>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</si>
  <si>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</si>
  <si>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</si>
  <si>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</si>
  <si>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</si>
  <si>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</si>
  <si>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</si>
  <si>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</si>
  <si>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</si>
  <si>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</si>
  <si>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</si>
  <si>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</si>
  <si>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</si>
  <si>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</si>
  <si>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</si>
  <si>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</si>
  <si>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</si>
  <si>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</si>
  <si>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</si>
  <si>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</si>
  <si>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</si>
  <si>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</si>
  <si>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</si>
  <si>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</si>
  <si>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</si>
  <si>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</si>
  <si>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</si>
  <si>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</si>
  <si>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</si>
  <si>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</si>
  <si>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</si>
  <si>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</si>
  <si>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</si>
  <si>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</si>
  <si>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</si>
  <si>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</si>
  <si>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</si>
  <si>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</si>
  <si>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</si>
  <si>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</si>
  <si>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</si>
  <si>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</si>
  <si>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</si>
  <si>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</si>
  <si>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</si>
  <si>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</si>
  <si>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</si>
  <si>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</si>
  <si>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</si>
  <si>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</si>
  <si>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</si>
  <si>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</si>
  <si>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</si>
  <si>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</si>
  <si>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</si>
  <si>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</si>
  <si>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</si>
  <si>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</si>
  <si>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</si>
  <si>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</si>
  <si>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</si>
  <si>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</si>
  <si>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</si>
  <si>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</si>
  <si>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</si>
  <si>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</si>
  <si>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</si>
  <si>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</si>
  <si>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</si>
  <si>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</si>
  <si>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</si>
  <si>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</si>
  <si>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</si>
  <si>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</si>
  <si>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</si>
  <si>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</si>
  <si>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</si>
  <si>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</si>
  <si>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</si>
  <si>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</si>
  <si>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</si>
  <si>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</si>
  <si>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</si>
  <si>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</si>
  <si>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</si>
  <si>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</si>
  <si>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</si>
  <si>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</si>
  <si>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</si>
  <si>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</si>
  <si>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</si>
  <si>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</si>
  <si>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</si>
  <si>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</si>
  <si>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</si>
  <si>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</si>
  <si>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</si>
  <si>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</si>
  <si>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</si>
  <si>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</si>
  <si>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</si>
  <si>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</si>
  <si>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</si>
  <si>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</si>
  <si>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</si>
  <si>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</si>
  <si>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</si>
  <si>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</si>
  <si>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</si>
  <si>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</si>
  <si>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</si>
  <si>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</si>
  <si>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</si>
  <si>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</si>
  <si>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</si>
  <si>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</si>
  <si>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</si>
  <si>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</si>
  <si>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</si>
  <si>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</si>
  <si>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</si>
  <si>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</si>
  <si>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</si>
  <si>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</si>
  <si>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</si>
  <si>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</si>
  <si>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</si>
  <si>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</si>
  <si>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</si>
  <si>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</si>
  <si>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</si>
  <si>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</si>
  <si>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</si>
  <si>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</si>
  <si>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</si>
  <si>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</si>
  <si>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</si>
  <si>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</si>
  <si>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</si>
  <si>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</si>
  <si>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</si>
  <si>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</si>
  <si>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</si>
  <si>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</si>
  <si>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</si>
  <si>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</si>
  <si>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</si>
  <si>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</si>
  <si>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</si>
  <si>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</si>
  <si>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</si>
  <si>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</si>
  <si>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</si>
  <si>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</si>
  <si>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</si>
  <si>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</si>
  <si>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</si>
  <si>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</si>
  <si>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</si>
  <si>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</si>
  <si>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</si>
  <si>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</si>
  <si>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</si>
  <si>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</si>
  <si>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</si>
  <si>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</si>
  <si>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</si>
  <si>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</si>
  <si>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</si>
  <si>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</si>
  <si>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</si>
  <si>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</si>
  <si>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</si>
  <si>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</si>
  <si>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</si>
  <si>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</si>
  <si>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</si>
  <si>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</si>
  <si>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</si>
  <si>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</si>
  <si>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</si>
  <si>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</si>
  <si>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</si>
  <si>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</si>
  <si>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</si>
  <si>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</si>
  <si>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</si>
  <si>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</si>
  <si>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</si>
  <si>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</si>
  <si>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</si>
  <si>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</si>
  <si>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</si>
  <si>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</si>
  <si>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</si>
  <si>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</si>
  <si>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</si>
  <si>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</si>
  <si>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</si>
  <si>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</si>
  <si>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</si>
  <si>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</si>
  <si>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</si>
  <si>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</si>
  <si>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</si>
  <si>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</si>
  <si>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</si>
  <si>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</si>
  <si>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</si>
  <si>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</si>
  <si>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</si>
  <si>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</si>
  <si>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</si>
  <si>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</si>
  <si>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</si>
  <si>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</si>
  <si>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</si>
  <si>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</si>
  <si>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</si>
  <si>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</si>
  <si>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</si>
  <si>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</si>
  <si>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</si>
  <si>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</si>
  <si>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</si>
  <si>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</si>
  <si>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</si>
  <si>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</si>
  <si>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</si>
  <si>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</si>
  <si>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</si>
  <si>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</si>
  <si>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</si>
  <si>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</si>
  <si>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</si>
  <si>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</si>
  <si>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</si>
  <si>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</si>
  <si>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</si>
  <si>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</si>
  <si>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</si>
  <si>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</si>
  <si>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</si>
  <si>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</si>
  <si>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</si>
  <si>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</si>
  <si>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</si>
  <si>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</si>
  <si>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</si>
  <si>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</si>
  <si>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</si>
  <si>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</si>
  <si>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</si>
  <si>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</si>
  <si>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</si>
  <si>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</si>
  <si>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</si>
  <si>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</si>
  <si>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</si>
  <si>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</si>
  <si>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</si>
  <si>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</si>
  <si>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</si>
  <si>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</si>
  <si>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</si>
  <si>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</si>
  <si>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</si>
  <si>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</si>
  <si>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</si>
  <si>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</si>
  <si>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</si>
  <si>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</si>
  <si>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</si>
  <si>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</si>
  <si>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</si>
  <si>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</si>
  <si>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</si>
  <si>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</si>
  <si>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</si>
  <si>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</si>
  <si>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</si>
  <si>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</si>
  <si>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</si>
  <si>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</si>
  <si>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</si>
  <si>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</si>
  <si>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</si>
  <si>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</si>
  <si>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</si>
  <si>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</si>
  <si>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</si>
  <si>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</si>
  <si>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</si>
  <si>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</si>
  <si>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</si>
  <si>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</si>
  <si>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</si>
  <si>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</si>
  <si>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</si>
  <si>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</si>
  <si>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</si>
  <si>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</si>
  <si>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</si>
  <si>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</si>
  <si>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</si>
  <si>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</si>
  <si>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</si>
  <si>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</si>
  <si>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</si>
  <si>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</si>
  <si>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</si>
  <si>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</si>
  <si>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</si>
  <si>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</si>
  <si>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</si>
  <si>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</si>
  <si>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</si>
  <si>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</si>
  <si>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</si>
  <si>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</si>
  <si>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</si>
  <si>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</si>
  <si>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</si>
  <si>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</si>
  <si>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</si>
  <si>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</si>
  <si>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</si>
  <si>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</si>
  <si>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</si>
  <si>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</si>
  <si>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</si>
  <si>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</si>
  <si>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</si>
  <si>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</si>
  <si>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</si>
  <si>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</si>
  <si>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</si>
  <si>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</si>
  <si>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</si>
  <si>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</si>
  <si>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</si>
  <si>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</si>
  <si>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</si>
  <si>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</si>
  <si>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</si>
  <si>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</si>
  <si>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</si>
  <si>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</si>
  <si>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</si>
  <si>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</si>
  <si>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</si>
  <si>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</si>
  <si>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</si>
  <si>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</si>
  <si>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</si>
  <si>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</si>
  <si>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</si>
  <si>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</si>
  <si>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</si>
  <si>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</si>
  <si>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</si>
  <si>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</si>
  <si>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</si>
  <si>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</si>
  <si>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</si>
  <si>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</si>
  <si>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</si>
  <si>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</si>
  <si>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</si>
  <si>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</si>
  <si>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</si>
  <si>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</si>
  <si>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</si>
  <si>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</si>
  <si>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</si>
  <si>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</si>
  <si>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</si>
  <si>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</si>
  <si>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</si>
  <si>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</si>
  <si>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</si>
  <si>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</si>
  <si>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</si>
  <si>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</si>
  <si>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</si>
  <si>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</si>
  <si>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</si>
  <si>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</si>
  <si>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</si>
  <si>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</si>
  <si>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</si>
  <si>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</si>
  <si>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</si>
  <si>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</si>
  <si>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</si>
  <si>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</si>
  <si>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</si>
  <si>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</si>
  <si>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</si>
  <si>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</si>
  <si>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</si>
  <si>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</si>
  <si>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</si>
  <si>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</si>
  <si>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</si>
  <si>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</si>
  <si>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</si>
  <si>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</si>
  <si>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</si>
  <si>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</si>
  <si>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</si>
  <si>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</si>
  <si>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</si>
  <si>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</si>
  <si>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</si>
  <si>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</si>
  <si>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</si>
  <si>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</si>
  <si>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</si>
  <si>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</si>
  <si>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</si>
  <si>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</si>
  <si>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</si>
  <si>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</si>
  <si>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</si>
  <si>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</si>
  <si>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</si>
  <si>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</si>
  <si>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</si>
  <si>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</si>
  <si>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</si>
  <si>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</si>
  <si>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</si>
  <si>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</si>
  <si>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</si>
  <si>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</si>
  <si>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</si>
  <si>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</si>
  <si>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</si>
  <si>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</si>
  <si>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</si>
  <si>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</si>
  <si>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</si>
  <si>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</si>
  <si>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</si>
  <si>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</si>
  <si>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</si>
  <si>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</si>
  <si>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</si>
  <si>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</si>
  <si>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</si>
  <si>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</si>
  <si>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</si>
  <si>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</si>
  <si>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</si>
  <si>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</si>
  <si>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</si>
  <si>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</si>
  <si>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</si>
  <si>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</si>
  <si>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</si>
  <si>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</si>
  <si>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</si>
  <si>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</si>
  <si>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</si>
  <si>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</si>
  <si>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</si>
  <si>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</si>
  <si>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</si>
  <si>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</si>
  <si>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</si>
  <si>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</si>
  <si>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</si>
  <si>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</si>
  <si>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</si>
  <si>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</si>
  <si>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</si>
  <si>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</si>
  <si>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</si>
  <si>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</si>
  <si>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</si>
  <si>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</si>
  <si>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</si>
  <si>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</si>
  <si>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</si>
  <si>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</si>
  <si>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</si>
  <si>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</si>
  <si>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</si>
  <si>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</si>
  <si>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</si>
  <si>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</si>
  <si>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</si>
  <si>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</si>
  <si>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</si>
  <si>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</si>
  <si>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</si>
  <si>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</si>
  <si>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</si>
  <si>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</si>
  <si>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</si>
  <si>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</si>
  <si>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</si>
  <si>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</si>
  <si>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</si>
  <si>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</si>
  <si>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</si>
  <si>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</si>
  <si>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</si>
  <si>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c,baled</t>
    </r>
  </si>
  <si>
    <r>
      <t>M</t>
    </r>
    <r>
      <rPr>
        <b/>
        <vertAlign val="subscript"/>
        <sz val="12"/>
        <color theme="1" tint="0.24994659260841701"/>
        <rFont val="Times New Roman"/>
        <family val="1"/>
      </rPr>
      <t>c</t>
    </r>
  </si>
  <si>
    <r>
      <t>FFOD</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</si>
  <si>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</si>
  <si>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</si>
  <si>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</si>
  <si>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</si>
  <si>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</si>
  <si>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</si>
  <si>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</si>
  <si>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</si>
  <si>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</si>
  <si>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</si>
  <si>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</si>
  <si>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</si>
  <si>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</si>
  <si>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</si>
  <si>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</si>
  <si>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</si>
  <si>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</si>
  <si>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</si>
  <si>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</si>
  <si>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</si>
  <si>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</si>
  <si>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</si>
  <si>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</si>
  <si>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</si>
  <si>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</si>
  <si>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</si>
  <si>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</si>
  <si>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</si>
  <si>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</si>
  <si>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</si>
  <si>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</si>
  <si>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</si>
  <si>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</si>
  <si>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</si>
  <si>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</si>
  <si>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</si>
  <si>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</si>
  <si>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</si>
  <si>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</si>
  <si>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</si>
  <si>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</si>
  <si>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</si>
  <si>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</si>
  <si>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</si>
  <si>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</si>
  <si>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</si>
  <si>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</si>
  <si>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</si>
  <si>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</si>
  <si>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</si>
  <si>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</si>
  <si>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</si>
  <si>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</si>
  <si>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</si>
  <si>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</si>
  <si>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</si>
  <si>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</si>
  <si>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</si>
  <si>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</si>
  <si>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</si>
  <si>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</si>
  <si>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</si>
  <si>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</si>
  <si>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</si>
  <si>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</si>
  <si>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</si>
  <si>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</si>
  <si>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</si>
  <si>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</si>
  <si>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</si>
  <si>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</si>
  <si>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</si>
  <si>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</si>
  <si>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</si>
  <si>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</si>
  <si>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</si>
  <si>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</si>
  <si>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</si>
  <si>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</si>
  <si>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</si>
  <si>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</si>
  <si>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</si>
  <si>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</si>
  <si>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</si>
  <si>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</si>
  <si>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</si>
  <si>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</si>
  <si>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</si>
  <si>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</si>
  <si>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</si>
  <si>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</si>
  <si>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</si>
  <si>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</si>
  <si>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</si>
  <si>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</si>
  <si>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</si>
  <si>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</si>
  <si>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</si>
  <si>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</si>
  <si>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</si>
  <si>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</si>
  <si>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</si>
  <si>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</si>
  <si>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</si>
  <si>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</si>
  <si>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</si>
  <si>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</si>
  <si>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SA</t>
  </si>
  <si>
    <t>Cereal hay</t>
  </si>
  <si>
    <t>Canola oil</t>
  </si>
  <si>
    <t>Australia</t>
  </si>
  <si>
    <t>Molasses</t>
  </si>
  <si>
    <t>QLD</t>
  </si>
  <si>
    <t>Lucerne hay</t>
  </si>
  <si>
    <t>WA</t>
  </si>
  <si>
    <t>NSW</t>
  </si>
  <si>
    <t>Hay bales in paddock</t>
  </si>
  <si>
    <t>Sardines (whole)</t>
  </si>
  <si>
    <t>VIC</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</si>
  <si>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</si>
  <si>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</si>
  <si>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</si>
  <si>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</si>
  <si>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</si>
  <si>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</si>
  <si>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</si>
  <si>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</si>
  <si>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</si>
  <si>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</si>
  <si>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</si>
  <si>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</si>
  <si>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</si>
  <si>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</si>
  <si>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</si>
  <si>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</si>
  <si>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</si>
  <si>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</si>
  <si>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</si>
  <si>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</si>
  <si>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</si>
  <si>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</si>
  <si>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</si>
  <si>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</si>
  <si>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</si>
  <si>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</si>
  <si>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</si>
  <si>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</si>
  <si>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</si>
  <si>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</si>
  <si>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</si>
  <si>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</si>
  <si>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</si>
  <si>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</si>
  <si>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</si>
  <si>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</si>
  <si>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</si>
  <si>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</si>
  <si>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</si>
  <si>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</si>
  <si>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</si>
  <si>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</si>
  <si>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</si>
  <si>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</si>
  <si>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</si>
  <si>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</si>
  <si>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</si>
  <si>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</si>
  <si>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</si>
  <si>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</si>
  <si>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</si>
  <si>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</si>
  <si>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</si>
  <si>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</si>
  <si>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</si>
  <si>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</si>
  <si>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</si>
  <si>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</si>
  <si>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</si>
  <si>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</si>
  <si>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</si>
  <si>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</si>
  <si>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</si>
  <si>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</si>
  <si>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</si>
  <si>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</si>
  <si>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</si>
  <si>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</si>
  <si>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</si>
  <si>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</si>
  <si>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</si>
  <si>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</si>
  <si>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</si>
  <si>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</si>
  <si>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</si>
  <si>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</si>
  <si>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</si>
  <si>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</si>
  <si>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</si>
  <si>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</si>
  <si>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</si>
  <si>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</si>
  <si>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</si>
  <si>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</si>
  <si>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</si>
  <si>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</si>
  <si>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</si>
  <si>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</si>
  <si>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</si>
  <si>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</si>
  <si>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</si>
  <si>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</si>
  <si>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</si>
  <si>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</si>
  <si>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</si>
  <si>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</si>
  <si>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</si>
  <si>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</si>
  <si>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</si>
  <si>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</si>
  <si>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</si>
  <si>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</si>
  <si>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</si>
  <si>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</si>
  <si>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</si>
  <si>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</si>
  <si>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</si>
  <si>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</si>
  <si>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</si>
  <si>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</si>
  <si>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</si>
  <si>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</si>
  <si>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</si>
  <si>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</si>
  <si>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</si>
  <si>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</si>
  <si>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</si>
  <si>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</si>
  <si>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</si>
  <si>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</si>
  <si>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</si>
  <si>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</si>
  <si>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</si>
  <si>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</si>
  <si>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</si>
  <si>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</si>
  <si>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</si>
  <si>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</si>
  <si>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</si>
  <si>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</si>
  <si>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</si>
  <si>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</si>
  <si>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</si>
  <si>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</si>
  <si>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</si>
  <si>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</si>
  <si>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</si>
  <si>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</si>
  <si>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</si>
  <si>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</si>
  <si>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</si>
  <si>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</si>
  <si>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</si>
  <si>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</si>
  <si>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</si>
  <si>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</si>
  <si>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</si>
  <si>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</si>
  <si>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</si>
  <si>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</si>
  <si>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</si>
  <si>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</si>
  <si>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</si>
  <si>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</si>
  <si>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</si>
  <si>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</si>
  <si>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</si>
  <si>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</si>
  <si>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</si>
  <si>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</si>
  <si>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</si>
  <si>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</si>
  <si>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</si>
  <si>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</si>
  <si>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</si>
  <si>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</si>
  <si>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</si>
  <si>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</si>
  <si>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</si>
  <si>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</si>
  <si>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</si>
  <si>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</si>
  <si>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</si>
  <si>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</si>
  <si>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</si>
  <si>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</si>
  <si>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</si>
  <si>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</si>
  <si>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</si>
  <si>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</si>
  <si>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</si>
  <si>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</si>
  <si>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</si>
  <si>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</si>
  <si>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</si>
  <si>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</si>
  <si>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</si>
  <si>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</si>
  <si>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</si>
  <si>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</si>
  <si>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TAS</t>
  </si>
  <si>
    <t>WA - South west</t>
  </si>
  <si>
    <t>WA - Pilbara</t>
  </si>
  <si>
    <t>WA - Kimberley</t>
  </si>
  <si>
    <t>NT - Alice Springs</t>
  </si>
  <si>
    <t>NT</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</si>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</sst>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name val="Times New Roman"/>
      <family val="1"/>
    </font>
    <font>
      <sz val="12"/>
      <name val="Times New Roman"/>
      <family val="1"/>
    </font>
    <font>
      <b/>
      <sz val="10"/>
      <color theme="1" tint="0.14999847407452621"/>
      <name val="Times New Roman"/>
      <family val="1"/>
    </font>
    <font>
      <sz val="9"/>
      <color rgb="FF404040"/>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42" fillId="17" borderId="2">
      <alignment horizontal="center" vertical="center"/>
    </xf>
  </cellStyleXfs>
  <cellXfs count="26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3"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56"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6"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5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7" fillId="12" borderId="2" xfId="15" applyFont="1">
      <alignment horizontal="center" vertical="center"/>
    </xf>
    <xf numFmtId="9" fontId="0" fillId="0" borderId="18" xfId="68" applyFont="1" applyFill="1" applyBorder="1" applyAlignment="1">
      <alignment horizontal="center" vertical="center" wrapText="1"/>
    </xf>
    <xf numFmtId="0" fontId="58" fillId="9" borderId="4" xfId="34" applyFont="1">
      <alignment horizontal="left" vertical="center" inden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2" fillId="4" borderId="1" xfId="8" applyFont="1" applyBorder="1">
      <alignment horizontal="left" vertical="center"/>
    </xf>
    <xf numFmtId="0" fontId="64" fillId="4" borderId="1" xfId="8" applyFont="1" applyBorder="1">
      <alignment horizontal="left" vertical="center"/>
    </xf>
    <xf numFmtId="0" fontId="65"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7"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5"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21" fillId="10" borderId="0" xfId="35">
      <alignment horizontal="left" vertical="center" indent="1"/>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69" fillId="2" borderId="0" xfId="8" applyFont="1" applyFill="1">
      <alignment horizontal="left" vertical="center"/>
    </xf>
    <xf numFmtId="0" fontId="75"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6" fillId="4" borderId="1" xfId="0" applyFont="1" applyFill="1" applyBorder="1"/>
    <xf numFmtId="0" fontId="78" fillId="4" borderId="1" xfId="0" applyFont="1" applyFill="1" applyBorder="1"/>
    <xf numFmtId="0" fontId="23" fillId="0" borderId="0" xfId="0" applyFont="1"/>
    <xf numFmtId="0" fontId="10" fillId="0" borderId="0" xfId="55"/>
    <xf numFmtId="0" fontId="1" fillId="0" borderId="0" xfId="69"/>
    <xf numFmtId="0" fontId="79"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55" fillId="4" borderId="0" xfId="55" applyFont="1" applyFill="1" applyAlignment="1" applyProtection="1">
      <alignment horizontal="center"/>
      <protection locked="0"/>
    </xf>
    <xf numFmtId="0" fontId="55"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1" fillId="4" borderId="2" xfId="52" applyFont="1">
      <alignment horizontal="center" vertical="center"/>
    </xf>
    <xf numFmtId="0" fontId="82"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9FF8110C-ED5E-4A8C-AB8F-80C12AA2032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6F33C1A0-378A-4842-8F1A-6CD21919EB40}"/>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08A6BF25-1AF2-434B-AA28-C103871A79A5}"/>
    <cellStyle name="Variable type other" xfId="64" xr:uid="{105BD9DE-B567-4DA0-87E6-C60A0ECC1C65}"/>
  </cellStyles>
  <dxfs count="44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3"/>
      <tableStyleElement type="headerRow" dxfId="442"/>
      <tableStyleElement type="totalRow" dxfId="441"/>
      <tableStyleElement type="firstColumn" dxfId="440"/>
      <tableStyleElement type="firstRowStripe" dxfId="439"/>
      <tableStyleElement type="secondRowStripe" dxfId="438"/>
    </tableStyle>
    <tableStyle name="Equation table" pivot="0" count="6" xr9:uid="{B247698E-E41D-4CCD-AA0A-C14817E9DE65}">
      <tableStyleElement type="wholeTable" dxfId="437"/>
      <tableStyleElement type="headerRow" dxfId="436"/>
      <tableStyleElement type="totalRow" dxfId="435"/>
      <tableStyleElement type="firstColumn" dxfId="434"/>
      <tableStyleElement type="firstRowStripe" dxfId="433"/>
      <tableStyleElement type="secondRowStripe" dxfId="432"/>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7574D59-699F-4B70-A651-A3DD95C1D6E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7574D59-699F-4B70-A651-A3DD95C1D6E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6255957-5FD4-4337-BE29-8ACCC545AF0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D6255957-5FD4-4337-BE29-8ACCC545AF0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FCA6332-D209-4C6A-B2E6-15700EF1B2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FCA6332-D209-4C6A-B2E6-15700EF1B2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DC1BA6-8F58-4CA0-8611-32F3E95865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7DC1BA6-8F58-4CA0-8611-32F3E95865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81B50E3-8B78-4E3C-BC89-E129EC94440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581B50E3-8B78-4E3C-BC89-E129EC94440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6304663-A24F-4618-BAD5-7E5C6DB9B94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6304663-A24F-4618-BAD5-7E5C6DB9B94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7EE5579-0198-4AE7-9F89-71ACB8CEBD49}"/>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7EE5579-0198-4AE7-9F89-71ACB8CEBD49}"/>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74481B-0199-46E4-BA60-4D85AE097CE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974481B-0199-46E4-BA60-4D85AE097CE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82530A-DF1C-48E9-9DE9-4B6B7AC44C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182530A-DF1C-48E9-9DE9-4B6B7AC44C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C98B6F-103C-4DE4-A02F-1320DB2A0F2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EC98B6F-103C-4DE4-A02F-1320DB2A0F2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B7945CE-CC79-4E4C-AB7D-B6E64776CF2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B7945CE-CC79-4E4C-AB7D-B6E64776CF2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F6A8E98-EC7D-4D5B-BAB2-1DB6955ACB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F6A8E98-EC7D-4D5B-BAB2-1DB6955ACB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4B0E1A-1CE0-40FD-B9C5-24BC491A8FC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F4B0E1A-1CE0-40FD-B9C5-24BC491A8FC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CC2A05-599D-49B0-85D2-9C1204B1E54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CC2A05-599D-49B0-85D2-9C1204B1E54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E9ED96-D120-493E-8C95-D4628A05488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0E9ED96-D120-493E-8C95-D4628A05488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5F7C773-B0C7-49A8-87CF-FAC5EE5A8D5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25F7C773-B0C7-49A8-87CF-FAC5EE5A8D5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FB5D23B-33AA-4B56-A57C-5DFA6FFB123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FB5D23B-33AA-4B56-A57C-5DFA6FFB123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404B49-CBDE-45EC-877C-3BB2664661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4404B49-CBDE-45EC-877C-3BB2664661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F7AD3EE-55DC-4AD7-89F4-62F555D1097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F7AD3EE-55DC-4AD7-89F4-62F555D1097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738D7A2-E196-4C59-A38B-C1E3FB9E5E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738D7A2-E196-4C59-A38B-C1E3FB9E5E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594E89-B743-4F77-82A9-E08A2D1EA5D4}"/>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7C594E89-B743-4F77-82A9-E08A2D1EA5D4}"/>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3B70FE-8C18-4E45-82C4-C3DED53ECC6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63B70FE-8C18-4E45-82C4-C3DED53ECC6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D1A2605-1145-491D-BA90-0884018CC067}"/>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D1A2605-1145-491D-BA90-0884018CC067}"/>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13D0113-DA5E-4442-A68C-CE2B98CBD532}"/>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6" name="TextBox 5">
              <a:extLst>
                <a:ext uri="{FF2B5EF4-FFF2-40B4-BE49-F238E27FC236}">
                  <a16:creationId xmlns:a16="http://schemas.microsoft.com/office/drawing/2014/main" id="{913D0113-DA5E-4442-A68C-CE2B98CBD532}"/>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A0DEA8-0B8C-4A3C-A168-3D6BB1C1D03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EBA0DEA8-0B8C-4A3C-A168-3D6BB1C1D03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840E793-77EC-40DF-B0F3-4ACDCC8FF646}"/>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840E793-77EC-40DF-B0F3-4ACDCC8FF646}"/>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DF8D1B-4D97-4F3F-B21A-86C8A04567E3}"/>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CADF8D1B-4D97-4F3F-B21A-86C8A04567E3}"/>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D3E35E8-CD48-4E2D-BF3A-B23E1B482B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D3E35E8-CD48-4E2D-BF3A-B23E1B482B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5B2A4B-A503-4276-8238-D0806973DD6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55B2A4B-A503-4276-8238-D0806973DD6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757A88-31D0-4FAE-A1E1-2A3FF04B648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9757A88-31D0-4FAE-A1E1-2A3FF04B648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50BC976-77D4-4182-8A30-F27A688A05E9}"/>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50BC976-77D4-4182-8A30-F27A688A05E9}"/>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85DE8CA-3ABB-48D9-B9CE-996FE90C73B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85DE8CA-3ABB-48D9-B9CE-996FE90C73B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088550B-3E2B-451A-8DD5-DD1A6B9A81E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088550B-3E2B-451A-8DD5-DD1A6B9A81E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F99A2C4-6221-42A4-A5EC-2077F8E8BB5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F99A2C4-6221-42A4-A5EC-2077F8E8BB5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0778AC-759B-4620-956B-474C2FA964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0778AC-759B-4620-956B-474C2FA964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11361B7-451B-49AE-9899-C4568A57A1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11361B7-451B-49AE-9899-C4568A57A1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17BE13F-06FA-478E-AA85-285EC10BC1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17BE13F-06FA-478E-AA85-285EC10BC1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5DE7898-B884-4E8F-8912-220E9BEDC40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5DE7898-B884-4E8F-8912-220E9BEDC40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61227-9CBA-4BD1-B7F6-F120001A82C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61227-9CBA-4BD1-B7F6-F120001A82C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18EE20C-1EF4-48FF-A95D-540D9FA9D4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18EE20C-1EF4-48FF-A95D-540D9FA9D4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EF28EC-D310-4BC6-92D6-D436C97FAC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4EF28EC-D310-4BC6-92D6-D436C97FAC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F075812-8666-4577-9260-82DE05568CAE}"/>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F075812-8666-4577-9260-82DE05568CAE}"/>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9D38569-EB13-4A95-91C1-7D1375AB4BA1}"/>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9D38569-EB13-4A95-91C1-7D1375AB4BA1}"/>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9AB48B2-8108-445D-9D8C-F5989AA8AED9}"/>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9AB48B2-8108-445D-9D8C-F5989AA8AED9}"/>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BC92274-CE65-40D2-AFE4-9B7B592A1EE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8BC92274-CE65-40D2-AFE4-9B7B592A1EE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F1D7BE8-08F4-46DB-84AB-73FC701CFC0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F1D7BE8-08F4-46DB-84AB-73FC701CFC0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C6558BA-9059-48C5-AF8E-870049D38922}"/>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BC6558BA-9059-48C5-AF8E-870049D38922}"/>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E5EE25F-6731-4251-AC92-077657C9020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E5EE25F-6731-4251-AC92-077657C9020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CBE3A7D-52E3-44EE-AFD9-2404AFA2F3D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3CBE3A7D-52E3-44EE-AFD9-2404AFA2F3D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ABB4C68-EC07-456B-BBBC-36258F135C8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6ABB4C68-EC07-456B-BBBC-36258F135C8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64621DD-B4B9-4B89-A6BD-8FFE1A60A65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664621DD-B4B9-4B89-A6BD-8FFE1A60A65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7F22D4A0-1AFF-45C8-B13F-4042E981926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7F22D4A0-1AFF-45C8-B13F-4042E981926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55F87C1-804D-4783-97B5-9681C759A1E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55F87C1-804D-4783-97B5-9681C759A1E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595CF31-56D6-437C-A0DB-85E287558B4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6595CF31-56D6-437C-A0DB-85E287558B4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BB45716-F515-41AD-8086-539F2203A2D7}"/>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7BB45716-F515-41AD-8086-539F2203A2D7}"/>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DBDD84B-4728-42BD-B6DB-74EDC7B49596}"/>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6DBDD84B-4728-42BD-B6DB-74EDC7B49596}"/>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E117FC1-E569-499C-A154-1219A291B33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4E117FC1-E569-499C-A154-1219A291B33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BEB1F8F1-5300-47B7-8384-19A59E13CB5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BEB1F8F1-5300-47B7-8384-19A59E13CB5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575FCAB6-3692-4D26-B9A2-06BB51E3230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575FCAB6-3692-4D26-B9A2-06BB51E3230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F615C5-C11B-4736-A1BA-E675F1DD2E4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EF615C5-C11B-4736-A1BA-E675F1DD2E4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A332CB-989D-4F67-B3AB-02E145BBA92C}"/>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BA332CB-989D-4F67-B3AB-02E145BBA92C}"/>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20BDDF-CEFB-406E-93E0-2CF42964E9E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820BDDF-CEFB-406E-93E0-2CF42964E9E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268D59-D143-4B0F-A33E-9F29CA10BD05}"/>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268D59-D143-4B0F-A33E-9F29CA10BD05}"/>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3D04904-B8A9-4EB8-91E6-58D8EA402F6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43D04904-B8A9-4EB8-91E6-58D8EA402F6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AB54CD6-86DD-4E50-A480-19DCB0C787CF}"/>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AB54CD6-86DD-4E50-A480-19DCB0C787CF}"/>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213C83E-A487-4BEB-AC17-BA6DB8A8A1B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213C83E-A487-4BEB-AC17-BA6DB8A8A1B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05E2499-D6FA-4F5E-8115-9B37FABC4198}"/>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505E2499-D6FA-4F5E-8115-9B37FABC4198}"/>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3A94372-1EF0-4570-B106-C9BBB7F357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3A94372-1EF0-4570-B106-C9BBB7F357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58BA06A-4568-40EB-86ED-2EF56C7EC21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458BA06A-4568-40EB-86ED-2EF56C7EC21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BF881CB-ED4A-4F31-BF38-A102D2D447D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BF881CB-ED4A-4F31-BF38-A102D2D447D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77D316-ABCC-4A22-BE56-723DA2E5FAE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577D316-ABCC-4A22-BE56-723DA2E5FAE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098BDCA2-35D7-44CC-9639-501591C29BB3}"/>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45084BE3-C2C8-4867-B2FC-4489F85B1132}"/>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BEE05391-32CA-481E-B4A1-498BD5BBACED}"/>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CFBE5E92-42D3-4298-B6FC-4BA1B31B6E81}"/>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5429C67-44D0-4C19-A771-6281E63AD41E}"/>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15E33E1-1604-41E7-AE88-8B265C21839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BE43EB2-0621-4C6F-BFC2-777217FECDC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94E05B89-7C43-4093-8A71-8A10A28FAC43}"/>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31DE36A-3306-4393-A2E4-A1219467E342}"/>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27E03D6-5036-42B8-9C89-1014B422E266}"/>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3F5414B6-4E2C-403F-B329-6B3FDA5F0080}"/>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AC6CBB0-815C-4D24-B8EC-4F56164B29E0}"/>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A6A03B1E-AAAB-47C1-89CD-4830FCE8E3EB}"/>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C25E5944-859A-49FE-853E-D721973ABB63}"/>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F6A09F87-2501-4FDB-AF8F-8F0D9CC9C010}"/>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200314D1-05CE-4006-961A-C26ED769B029}"/>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CEEE87C6-2489-48D7-9194-CBFC9ED8F8C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71BFB4A5-8E37-483A-9F7F-9F86A59541B2}"/>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1C7F32D-009A-4E9D-A4B2-4130FA3C887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C3688AC5-6FA6-4876-9602-CA34F1177F5E}"/>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E452581-5DE2-4F6C-BA06-644FB4C7BE94}"/>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FDC04B59-6ADE-46AC-AEEE-1C6E91BA57C2}"/>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07CFBE4C-E490-427B-9194-E6CCEC5BB59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944C7E63-8A45-47F4-BFD8-E42AD25D033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E1C1D138-701E-4285-83B8-9F2799A8F591}"/>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B52CD26-9A24-45C7-937C-10C0BA6AE01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D7F2454C-C12C-4DF4-83C5-77C0068FD98D}"/>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4034FD8-79BD-4A64-AD15-5A29C59CC302}"/>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89A64DA4-1ED9-4E4F-BF3B-5DD8FBA957A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CEF3B37D-987A-41C8-B068-7F2A4C289DD5}"/>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02AE82AD-D1BB-4FAD-86F9-5EDDE36BC3A9}"/>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6FACD0EA-B9A6-4C4C-A0CC-E8C89F823365}"/>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FFCB11B8-A702-48BF-8750-357A3534F32D}"/>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A2947618-D747-4430-81D6-ECACD1EB8B17}"/>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A339AC61-4388-451C-A1C1-69148DFB96B8}"/>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EAAEF8AE-0D96-46A7-908F-CA6368A9E1A7}"/>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64DEFD52-8283-469E-93C4-095D2853D299}"/>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FC389A-E301-4353-82E0-A582ADBA0496}" name="Table_Input_InorganicFertiliser_Brands" displayName="Table_Input_InorganicFertiliser_Brands" ref="D11:X16" headerRowDxfId="431" dataDxfId="430" totalsRowDxfId="42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BBA11C3-3EAB-4DEC-9B09-E45754AB1520}" name="Product (select)" dataDxfId="428" totalsRowDxfId="427" dataCellStyle="Input select"/>
    <tableColumn id="23" xr3:uid="{B8820E28-9F13-4C5F-AF92-964A2BFDD747}" name="Amount applied per hectare" totalsRowFunction="custom" dataDxfId="426" totalsRowDxfId="425">
      <totalsRowFormula>SUM(Table_Input_InorganicFertiliser_Brands[[#Headers],[#Data],[Amount applied per hectare]])</totalsRowFormula>
    </tableColumn>
    <tableColumn id="12" xr3:uid="{DEF1E8EF-E6B7-4588-AC10-9C2722B6FC9A}" name="Application unit" dataDxfId="424" totalsRowDxfId="423" dataCellStyle="Input number 2 decimal places"/>
    <tableColumn id="9" xr3:uid="{E911384A-433A-4A1A-9FC3-78A8D8FF3B0B}" name="Density" dataDxfId="422" totalsRowDxfId="421" dataCellStyle="Input number 2 decimal places"/>
    <tableColumn id="6" xr3:uid="{52AE18F0-2786-4D0F-9376-DFED2E3D3D78}" name="Application area (ha)" dataDxfId="420" totalsRowDxfId="419">
      <calculatedColumnFormula>X_Cell_Fertiliser_AreaUnderCropping</calculatedColumnFormula>
    </tableColumn>
    <tableColumn id="1" xr3:uid="{1C3D88FA-7FA6-418F-A131-F5CB01AE4B08}" name="Total applied (kg)" dataDxfId="418" totalsRowDxfId="41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A6C1C95-8E80-4A17-B03F-A02365EDBC7A}" name="Ingredient 1" dataDxfId="416" totalsRowDxfId="415" dataCellStyle="Input number general calculated"/>
    <tableColumn id="4" xr3:uid="{CCF7901B-350E-41D7-8100-665B74E00176}" name="Ingredient 1 percent" dataDxfId="414" totalsRowDxfId="413" dataCellStyle="Input number general calculated"/>
    <tableColumn id="7" xr3:uid="{EF565267-22EE-4B88-9FC7-71BD7BE59CB7}" name="Ingredient 2" dataDxfId="412" dataCellStyle="Input number general calculated"/>
    <tableColumn id="8" xr3:uid="{C7C87604-F27A-4EEA-BE1D-9FF9B6E40F65}" name="Ingredient 2 percent" dataDxfId="411" totalsRowDxfId="410" dataCellStyle="Input number general calculated"/>
    <tableColumn id="10" xr3:uid="{5416A1D1-4046-4CE8-99A4-AAB013790EB5}" name="Ingredient 3" dataDxfId="409" totalsRowDxfId="408" dataCellStyle="Input number general calculated"/>
    <tableColumn id="11" xr3:uid="{6AF6614F-8923-4010-8704-50D0D2DFD1D4}" name="Ingredient 3 percent" dataDxfId="407" totalsRowDxfId="406" dataCellStyle="Input number general calculated"/>
    <tableColumn id="13" xr3:uid="{B41A7313-1F5C-4333-BE62-444B08DCD8E9}" name="Ingredient 4" dataDxfId="405" totalsRowDxfId="404" dataCellStyle="Input number general calculated"/>
    <tableColumn id="14" xr3:uid="{A3AE1DCA-65A6-4C13-9BA2-94AFC6D05ECE}" name="Ingredient 4 percent" dataDxfId="403" dataCellStyle="Input number general calculated"/>
    <tableColumn id="16" xr3:uid="{4C6AB5A2-66EC-4E3F-BE1D-834DD7A62F55}" name="Ingredient 5" dataDxfId="402" dataCellStyle="Input number general calculated"/>
    <tableColumn id="17" xr3:uid="{65F94CA1-B29F-42BF-8451-120924B04462}" name="Ingredient 5 percent" dataDxfId="401" dataCellStyle="Input number general calculated"/>
    <tableColumn id="19" xr3:uid="{5D9DF784-2545-4009-885E-3131538AF855}" name="Ingredient 6" dataDxfId="400" dataCellStyle="Input number general calculated"/>
    <tableColumn id="20" xr3:uid="{2EE1CFF8-EC4A-44E1-B5E2-EF31B474AE4E}" name="Ingredient 6 percent" dataDxfId="399" dataCellStyle="Input number general calculated"/>
    <tableColumn id="5" xr3:uid="{84C42C23-A6F4-40EA-ADBF-D873D1A1C38F}" name="N application rate (kg/ha)" dataDxfId="398" totalsRowDxfId="397" dataCellStyle="Input number general calculated"/>
    <tableColumn id="15" xr3:uid="{2CD19680-8359-4342-AF96-EB7EFB7180E7}" name="Urea source" dataDxfId="396" totalsRowDxfId="395" dataCellStyle="Input number general calculated"/>
    <tableColumn id="18" xr3:uid="{5F3B1396-87D5-43E6-B2C4-35C949B034A4}" name="Ammonia source" dataDxfId="394" totalsRowDxfId="39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3239F9-EA83-4738-907D-38D981B7A531}" name="Table_Input_InorganicFertiliser_Custom" displayName="Table_Input_InorganicFertiliser_Custom" ref="D19:R22" totalsRowShown="0" headerRowDxfId="392" dataDxfId="39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9B614F0-5ECB-4E60-9524-0806A1201E3F}" name="Custom blend name" dataCellStyle="Input text"/>
    <tableColumn id="2" xr3:uid="{62AE30D0-C689-460A-BAB0-03560662DB1A}" name="Amount applied (kg / ha)" dataDxfId="390"/>
    <tableColumn id="3" xr3:uid="{22DE5423-76C8-4E59-9673-6A1484EA6987}" name="Application area (ha)" dataDxfId="389" dataCellStyle="Input number 2 decimal places">
      <calculatedColumnFormula>X_Cell_Fertiliser_AreaUnderCropping</calculatedColumnFormula>
    </tableColumn>
    <tableColumn id="4" xr3:uid="{C74FCD26-A759-44A3-ABF0-7CA0B38C3BE1}" name="Total applied (kg)" dataDxfId="388" dataCellStyle="Input number general calculated">
      <calculatedColumnFormula>Table_Input_InorganicFertiliser_Custom[[#This Row],[Amount applied (kg / ha)]]*Table_Input_InorganicFertiliser_Custom[[#This Row],[Application area (ha)]]</calculatedColumnFormula>
    </tableColumn>
    <tableColumn id="5" xr3:uid="{9C96C127-B021-40AF-B7F4-2169B4C811CD}" name="Ingredient 1 (select)" dataDxfId="387" dataCellStyle="Input select"/>
    <tableColumn id="6" xr3:uid="{FF93CF18-6E21-4802-8396-90DDCD9A4E3E}" name="Ingredient 1 percent" dataDxfId="386"/>
    <tableColumn id="8" xr3:uid="{B7FB3442-240A-427E-8722-9D159B69E52B}" name="Ingredient 2" dataDxfId="385" dataCellStyle="Input select"/>
    <tableColumn id="9" xr3:uid="{33B7F46D-62A8-4155-8CC7-51177B298199}" name="Ingredient 2 percent" dataDxfId="384"/>
    <tableColumn id="11" xr3:uid="{190D8D80-6CF9-451F-9AC4-80954F055E6C}" name="Ingredient 3" dataDxfId="383" dataCellStyle="Input select"/>
    <tableColumn id="12" xr3:uid="{AC58698C-7754-4F32-8CD8-A55E89CC2602}" name="Ingredient 3 percent" dataDxfId="382"/>
    <tableColumn id="14" xr3:uid="{647A65BB-6D83-4C3D-B001-2E4E856E8D07}" name="Ingredient 4" dataDxfId="381" dataCellStyle="Input select"/>
    <tableColumn id="15" xr3:uid="{36F2BD82-CCA1-4747-83FB-FD25B5F3C708}" name="Ingredient 4 percent" dataCellStyle="Input percent"/>
    <tableColumn id="7" xr3:uid="{A08B52D1-A51D-4D9D-88DD-E1666E6B253D}" name="N application rate (kg/ha)" dataDxfId="380" dataCellStyle="Input number general calculated"/>
    <tableColumn id="10" xr3:uid="{90DBC217-5D22-4FBA-B136-9AB69737CA5F}" name="Urea source (Select)" dataCellStyle="Input select"/>
    <tableColumn id="13" xr3:uid="{08B23D27-7E7C-482B-BAB1-DC0BBCCB11A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D5CB3C5-B4B0-4006-918C-03127A9658E7}" name="Table_Input_Lime" displayName="Table_Input_Lime" ref="D30:K33" totalsRowShown="0" headerRowDxfId="379" dataDxfId="37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660C888-441E-4F5F-BA76-55D0A1FB7375}" name="Product" dataDxfId="377"/>
    <tableColumn id="2" xr3:uid="{172C140F-0954-4E21-B07A-E1A79161056D}" name="Amount applied (t/hectare)" dataDxfId="376"/>
    <tableColumn id="4" xr3:uid="{1E0154A0-474B-400C-94DF-900906E8EA96}" name="Application area (ha)" dataDxfId="375" dataCellStyle="Input number 2 decimal places">
      <calculatedColumnFormula>X_Cell_Fertiliser_AreaUnderCropping</calculatedColumnFormula>
    </tableColumn>
    <tableColumn id="3" xr3:uid="{B51AFEBA-B371-4A87-884A-495C4A819F73}" name="Total amount applied (t)" dataDxfId="374" dataCellStyle="Input number general calculated">
      <calculatedColumnFormula>IFERROR(Table_Input_Lime[[#This Row],[Amount applied (t/hectare)]]*Table_Input_Lime[[#This Row],[Application area (ha)]], 0)</calculatedColumnFormula>
    </tableColumn>
    <tableColumn id="6" xr3:uid="{E1F0CC28-0635-42EF-86D0-93E8C18E9240}" name="Percent Lime CaCO3" dataDxfId="373"/>
    <tableColumn id="8" xr3:uid="{A0662314-B04C-4438-9646-B2651979D449}" name="Percent Dolomite CaMg(CO3)2" dataDxfId="372"/>
    <tableColumn id="7" xr3:uid="{BCAA75E0-62C7-4928-AC22-0F2A12F2472F}" name="Percent Gypsum" dataDxfId="371"/>
    <tableColumn id="10" xr3:uid="{B2B34736-0E0F-4041-9BA0-873B186D316C}" name="Total" dataDxfId="37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8B4CC8C-F7B0-4105-8A9F-956B9A9A79C2}" name="Table_Input_OrganicFertiliser" displayName="Table_Input_OrganicFertiliser" ref="D41:J44" totalsRowShown="0" headerRowDxfId="369" dataDxfId="36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FBBFD66-C9E4-4ED8-9A19-7B9948710EC7}" name="Organic fertiliser type (select)" dataDxfId="367" dataCellStyle="Input select"/>
    <tableColumn id="5" xr3:uid="{F0C41C68-B7CF-4DFC-B6ED-2C267DDDC8CD}" name="Percentage of N in fertiliser" dataDxfId="366"/>
    <tableColumn id="2" xr3:uid="{AB44988D-6353-47B2-B48E-6908CE6D7579}" name="Amount applied (kg/hectare)" dataDxfId="365"/>
    <tableColumn id="11" xr3:uid="{D10A6A9A-C1F1-40A1-B47B-915F81A15B12}" name="Amount N applied (kg/hectare)" dataDxfId="364" dataCellStyle="Input number general calculated">
      <calculatedColumnFormula>Table_Input_OrganicFertiliser[[#This Row],[Amount applied (kg/hectare)]]*Table_Input_OrganicFertiliser[[#This Row],[Percentage of N in fertiliser]]</calculatedColumnFormula>
    </tableColumn>
    <tableColumn id="4" xr3:uid="{DE6D4BAB-FE81-4135-B8E8-A96E9150CF44}" name="Application area (ha)" dataDxfId="363" dataCellStyle="Input number 2 decimal places">
      <calculatedColumnFormula>X_Cell_Fertiliser_AreaUnderCropping</calculatedColumnFormula>
    </tableColumn>
    <tableColumn id="7" xr3:uid="{E616F8B8-2FD8-4635-ACD2-1DC86C9E4F46}" name="Total organic fertliser applied" dataDxfId="362" dataCellStyle="Input number general calculated">
      <calculatedColumnFormula>Table_Input_OrganicFertiliser[[#This Row],[Amount applied (kg/hectare)]]*Table_Input_OrganicFertiliser[[#This Row],[Application area (ha)]]</calculatedColumnFormula>
    </tableColumn>
    <tableColumn id="3" xr3:uid="{D9CFBCB8-96DF-4425-9A27-2372A4AEE3BB}" name="Total nitrogen applied (kg)" dataDxfId="36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FF91A42-B4B8-4726-A59F-6D8597128870}" name="Table_Input_Fuel" displayName="Table_Input_Fuel" ref="D16:J21" totalsRowDxfId="36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2BDADD70-3414-4D9B-BD29-4AFC3CBE2BA9}" name="Fuel use (select)" totalsRowFunction="average" totalsRowDxfId="359" dataCellStyle="Input select" totalsRowCellStyle="Input select"/>
    <tableColumn id="3" xr3:uid="{634DAE25-1AA9-4AF0-8DA6-31EA110CAE7B}" name="Fuel type (select)" totalsRowDxfId="358" dataCellStyle="Input select" totalsRowCellStyle="Input select"/>
    <tableColumn id="4" xr3:uid="{E9525953-0C86-448A-BABA-DEEBCDF1EFFF}" name="Amount purchased" totalsRowDxfId="357" totalsRowCellStyle="Content bold"/>
    <tableColumn id="6" xr3:uid="{CC7E96CC-E2F3-4B7D-80B7-DCA966D436FF}" name="Amount unit" totalsRowDxfId="356" dataCellStyle="Input number general calculated" totalsRowCellStyle="Input text calculated"/>
    <tableColumn id="5" xr3:uid="{C5CFEA0C-8E68-411A-A2C9-3012E17567D7}" name="Percent consumed" totalsRowDxfId="355" totalsRowCellStyle="Input percent">
      <calculatedColumnFormula>1</calculatedColumnFormula>
    </tableColumn>
    <tableColumn id="1" xr3:uid="{F5C0213D-59EC-4D8C-BD9A-E66B7E9E5F66}" name="Amount consumed" totalsRowFunction="custom" totalsRowDxfId="35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4DEA51C-9050-4112-A8C2-DC8665018207}" name="Amount consumed unit" totalsRowDxfId="35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051456-E578-4B6D-B708-EA99020832D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89A5805-D7BD-40DA-801F-A46A08E366EF}" name="Description"/>
    <tableColumn id="5" xr3:uid="{DE8D4584-38D4-41DD-9051-FE0B2D96B42D}" name="Source (select)" dataCellStyle="Input select"/>
    <tableColumn id="2" xr3:uid="{CFBB5FBA-A04C-4FFD-9752-21BDCBAC1BB5}" name="Generation date" dataDxfId="352"/>
    <tableColumn id="3" xr3:uid="{3720D991-6206-4676-8E6A-F92819560B2C}" name="Number of certificates"/>
    <tableColumn id="4" xr3:uid="{07F58810-E930-4190-944C-797B8EC6F5FF}" name="MWh" dataCellStyle="Input number general calculated">
      <calculatedColumnFormula>Table_Input_RECSurrendered[[#This Row],[Number of certificates]]</calculatedColumnFormula>
    </tableColumn>
    <tableColumn id="7" xr3:uid="{BE1BA4F0-0B8E-4040-A5D0-280D5D903474}"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48C262A-B421-4CFB-AA64-90B9CB02843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B698690B-D1D3-4182-92A2-6C7A4407E289}" name="Description"/>
    <tableColumn id="5" xr3:uid="{E6FD7158-D48D-487A-958B-F6817A78F23A}" name="Source" dataCellStyle="Input text calculated">
      <calculatedColumnFormula>"Issued for generated electricity"</calculatedColumnFormula>
    </tableColumn>
    <tableColumn id="2" xr3:uid="{EB2BBC12-559B-469F-A063-75BF2D092AED}" name="Generation date" dataDxfId="351"/>
    <tableColumn id="3" xr3:uid="{7C0C731E-16E8-454C-87DC-E2198BEA1487}" name="Number of certificates"/>
    <tableColumn id="4" xr3:uid="{93343015-8F8C-4F65-BA2B-7FFB6784E8F2}" name="MWh" dataCellStyle="Input number general calculated">
      <calculatedColumnFormula>Table_Input_RECConsumedByEntity[[#This Row],[Number of certificates]]</calculatedColumnFormula>
    </tableColumn>
    <tableColumn id="7" xr3:uid="{AC619DC8-7B66-4EFF-A61C-B56A5EAF49A4}"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743B7A4-2EA6-4555-B47F-BDAF75D1419E}"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A4BA7DB6-367C-4DAF-A206-0F82E61DDDAE}" name="Product name" dataCellStyle="Input text"/>
    <tableColumn id="1" xr3:uid="{6D57CC2B-C3E6-4AF5-A1BC-05B849AE8DEB}" name="Type (select)" dataCellStyle="Input select"/>
    <tableColumn id="2" xr3:uid="{1CDE8C6C-3A04-4AB3-A024-D794892730C7}"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98153E0-C4AB-42D3-B858-ED79C9D8C5D4}" name="Table_Input_Packaging" displayName="Table_Input_Packaging" ref="D92:H102" totalsRowShown="0" headerRowDxfId="35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0BC7DC2E-878C-4E07-B294-F1467F0A2107}" name="Packaging name"/>
    <tableColumn id="3" xr3:uid="{0D6C3D6A-C82D-45E3-BDDB-A5D0944236B8}" name="Quantity purchased" dataDxfId="349" dataCellStyle="Input number general"/>
    <tableColumn id="2" xr3:uid="{B52AFBF3-B54B-4E70-8262-892D40A9C2FC}" name="Primary material" dataCellStyle="Input select"/>
    <tableColumn id="4" xr3:uid="{F7B9A83F-9077-4387-BAFA-F568B1542ED5}" name="Weight per unit (kg)" dataCellStyle="Input number general"/>
    <tableColumn id="6" xr3:uid="{2579CFD4-5D11-43B8-97A5-AC5BDC0E2E23}"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938C117-2B70-48A1-B352-F600C2DC2E70}" name="Table_Input_Pesticides" displayName="Table_Input_Pesticides" ref="D10:R20" totalsRowShown="0" headerRowDxfId="34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66E206F-F669-44C8-9E80-1317D80C0098}" name="Product name"/>
    <tableColumn id="2" xr3:uid="{837D13F1-B702-47BF-B100-45B4845AD65C}" name="Amount applied per ha"/>
    <tableColumn id="7" xr3:uid="{53B77658-061D-476C-8988-E1F052DAFC4F}" name="Application unit (select)" dataCellStyle="Input select"/>
    <tableColumn id="6" xr3:uid="{7EF134E1-371C-453F-B928-FED690AABB56}" name="Application area (ha)" dataCellStyle="Input number general"/>
    <tableColumn id="3" xr3:uid="{62C661D6-9F54-4775-A982-3E1AC5EFB172}" name="Total applied" dataCellStyle="Input number general calculated">
      <calculatedColumnFormula>Table_Input_Pesticides[[#This Row],[Amount applied per ha]]*Table_Input_Pesticides[[#This Row],[Application area (ha)]]</calculatedColumnFormula>
    </tableColumn>
    <tableColumn id="5" xr3:uid="{3ABB9C84-B157-45DA-9F43-8F80D2E8D2FC}" name="Constituent unit (select)" dataCellStyle="Input select"/>
    <tableColumn id="4" xr3:uid="{2C6D6DCB-C744-4084-8D1C-B15393127CFE}" name="Active ingredient 1 (select)" dataCellStyle="Input select"/>
    <tableColumn id="8" xr3:uid="{061329FD-3C3F-4987-9801-CD97D0152A94}" name="Active ingredient 1 amount" dataCellStyle="Input number general"/>
    <tableColumn id="16" xr3:uid="{6EB59D39-4203-4A7E-860D-DC8D8EB28553}"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CCA61E74-B2B3-4527-B4D8-12106B83B04F}" name="Active ingredient 2 (select)" dataCellStyle="Input select"/>
    <tableColumn id="11" xr3:uid="{DABD04AD-28D8-40DD-84F2-61EDC1DB069C}" name="Active ingredient 2 amount" dataCellStyle="Input number general"/>
    <tableColumn id="17" xr3:uid="{E48FBB14-C405-4CAA-A596-C3C9695948FC}"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BE064116-AC0A-4A3E-A4F1-2B808CC6C0C7}" name="Active ingredient 3 (select)" dataCellStyle="Input select"/>
    <tableColumn id="14" xr3:uid="{2F5E2729-FA50-4F8B-BB3D-A5D96BDD928B}" name="Active ingredient 3 amount" dataCellStyle="Input number general"/>
    <tableColumn id="18" xr3:uid="{C6FF16F3-65FA-44D3-804F-2CE214A4FC61}"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B4787E8-B9EF-429A-A724-AE4D95F7A734}"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0B5E3107-FDB6-41B4-9600-BB89711214DB}" name="Product name" dataCellStyle="Input text"/>
    <tableColumn id="1" xr3:uid="{DBC05FC9-09FD-4FDE-83B2-5A68D82E5B79}" name="Type (select)" dataDxfId="347" dataCellStyle="Input select"/>
    <tableColumn id="2" xr3:uid="{17082EE6-2067-4B59-8B16-A99D72FAE248}" name="Number of head treated" dataDxfId="346"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E6DA8A8-8BA8-48CC-9BB5-751C57A768A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4BCEE68D-0508-4EFE-9695-5622BB210B32}" name="Product / service name" dataCellStyle="Input text"/>
    <tableColumn id="2" xr3:uid="{A86253A7-3B3F-41A2-A44B-258B7D610BFC}" name="Amount" dataCellStyle="Input number general"/>
    <tableColumn id="3" xr3:uid="{E3293DFB-28BE-450A-BBDF-F4B06B56ADD0}"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5ED6427B-5E32-46BC-8A12-8AEB61CB5E06}"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1C5CD335-9FBA-44DE-BA4B-1766828BA92E}" name="Feed blend name"/>
    <tableColumn id="2" xr3:uid="{20837C14-09EC-489E-A4FB-63E377E6EE3C}" name="Amount fed (kg)"/>
    <tableColumn id="4" xr3:uid="{0865AF00-C869-404E-AB40-DDFE0F080A4F}" name="Ingredient 1 (select)" dataCellStyle="Input select"/>
    <tableColumn id="3" xr3:uid="{6BFE3690-64E0-4E0C-9941-18EC44184F33}" name="Ingredient 1 source region" dataCellStyle="Input select"/>
    <tableColumn id="5" xr3:uid="{168FE716-E681-442F-B045-2E9821514091}" name="Ingredient 1 percent"/>
    <tableColumn id="6" xr3:uid="{F3E866EA-D1FB-4AF5-9B40-080EA078C41D}" name="Ingredient 2 (select)" dataCellStyle="Input select"/>
    <tableColumn id="14" xr3:uid="{5023791C-2A50-4BB3-BE85-57C7D4171BC1}" name="Ingredient 2 source region" dataCellStyle="Input select"/>
    <tableColumn id="7" xr3:uid="{9B7D500F-BFFB-4896-B62C-4FB11C8A2505}" name="Ingredient 2 percent"/>
    <tableColumn id="8" xr3:uid="{AAFF8592-0FBC-4790-9B75-17B9CAAA34FA}" name="Ingredient 3 (select)" dataCellStyle="Input select"/>
    <tableColumn id="15" xr3:uid="{7D71E85F-9122-4F42-96FE-69221AB6364C}" name="Ingredient 3 source region" dataCellStyle="Input select"/>
    <tableColumn id="9" xr3:uid="{C8562BD5-8681-459A-8B62-3BE99666520B}" name="Ingredient 3 percent"/>
    <tableColumn id="10" xr3:uid="{1D1C2EBB-7E35-49EE-B35C-0627D8CAC77E}" name="Ingredient 4 (select)" dataCellStyle="Input select"/>
    <tableColumn id="16" xr3:uid="{42C2B61F-D1F8-4811-AF26-646D945683B0}" name="Ingredient 4 source region" dataCellStyle="Input select"/>
    <tableColumn id="11" xr3:uid="{01D7802F-87EA-4F0C-9E57-11B9DB77FAFD}" name="Ingredient 4 percen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DEF98CD-C60A-435D-8C00-165B59828418}"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F5A36D66-BA76-459F-A0BE-C4202EB428C0}" name="Service provider / contractor" dataCellStyle="Input text"/>
    <tableColumn id="4" xr3:uid="{8C27A5B3-1AF9-4619-97F7-00D2B6EC299B}" name="Activity" dataCellStyle="Input text"/>
    <tableColumn id="2" xr3:uid="{22275ABF-3F36-48D0-8823-7B883A84495E}" name="Total amount" dataCellStyle="Input number general"/>
    <tableColumn id="3" xr3:uid="{01989D55-406D-4976-9DD6-BF60FFBEAAF9}" name="Amount uni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38A82FF-0D70-4C85-AFD9-DCE3ED7E9A9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65A1D083-6217-42EB-B78D-EA8410BD54B3}" name="Grow media type" dataCellStyle="Input text"/>
    <tableColumn id="2" xr3:uid="{FDAEC1D3-3E94-47C0-A28F-8A3E4319176B}" name="Total amount" dataCellStyle="Input number general"/>
    <tableColumn id="3" xr3:uid="{422DA8A7-33E3-4111-817B-E902A266E56B}"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B286B03D-4E3A-4DA4-81FA-733236940058}"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1853EB9F-46F1-4640-AA06-5F0D900853C4}" name="Route name"/>
    <tableColumn id="2" xr3:uid="{C8D88B2C-5F39-4545-8B8A-A0AD4F3E54A1}" name="Freight type (select)" dataCellStyle="Input select"/>
    <tableColumn id="3" xr3:uid="{3754DECB-F875-49F9-927C-B65315BD6C51}" name="Route distance (km)"/>
    <tableColumn id="4" xr3:uid="{CB4C89FB-B582-4AF0-8AB8-F60F9CBF39E4}" name="Average weight of freight per trip (t)"/>
    <tableColumn id="5" xr3:uid="{3B9FF01B-15D2-4211-940B-315C2CC90E24}"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114CC37-4EA1-4120-895C-D6918BAC4700}"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119ED4AA-FD18-456D-9E72-86E6BB55CAC1}" name="Route name"/>
    <tableColumn id="2" xr3:uid="{4D57F933-982A-46DC-B17E-3C163385EDCE}" name="Freight type (select)" dataCellStyle="Input select"/>
    <tableColumn id="3" xr3:uid="{D50289BF-C4D2-4068-A5F4-980ED2750978}" name="Route distance (km)"/>
    <tableColumn id="4" xr3:uid="{3417021B-E1EC-4E64-9995-BEBE442F194C}" name="Average weight of freight per trip (t)"/>
    <tableColumn id="5" xr3:uid="{336F912A-EF07-4E53-B0EB-7F8D404F202D}"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B424354-15CF-4C44-AE1E-F5974F8C673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ECFF8B4-17DD-46C3-88F6-74556FAFE5FB}" name="Crop type">
      <calculatedColumnFormula array="1">Common_InputFunctions.Utility_DisplayArrayInTable(Agresidue_SourceData.CropAttributes_Data(),Table_SourceData_CropAttributes[[#Headers],[Crop type]], -1)</calculatedColumnFormula>
    </tableColumn>
    <tableColumn id="2" xr3:uid="{CE3F1599-7F61-453E-8AC5-05A6A2CA5F0F}" name="Residue: Crop ratio">
      <calculatedColumnFormula array="1">Common_InputFunctions.Utility_DisplayArrayInTable(Agresidue_SourceData.CropAttributes_Data(),Table_SourceData_CropAttributes[[#Headers],[Crop type]], -1)</calculatedColumnFormula>
    </tableColumn>
    <tableColumn id="3" xr3:uid="{7C2BF93A-E9AA-4B8C-8EBD-1744020600BE}" name="Below-ground: above-ground residue ratio">
      <calculatedColumnFormula array="1">Common_InputFunctions.Utility_DisplayArrayInTable(Agresidue_SourceData.CropAttributes_Data(),Table_SourceData_CropAttributes[[#Headers],[Crop type]], -1)</calculatedColumnFormula>
    </tableColumn>
    <tableColumn id="4" xr3:uid="{789BA8AB-D48B-412E-8E16-D4FB482187F5}" name="Dry matter content">
      <calculatedColumnFormula array="1">Common_InputFunctions.Utility_DisplayArrayInTable(Agresidue_SourceData.CropAttributes_Data(),Table_SourceData_CropAttributes[[#Headers],[Crop type]], -1)</calculatedColumnFormula>
    </tableColumn>
    <tableColumn id="5" xr3:uid="{3016651C-7273-4078-ADAE-8021FC92C158}" name="Carbon fraction in dry matter">
      <calculatedColumnFormula array="1">Common_InputFunctions.Utility_DisplayArrayInTable(Agresidue_SourceData.CropAttributes_Data(),Table_SourceData_CropAttributes[[#Headers],[Crop type]], -1)</calculatedColumnFormula>
    </tableColumn>
    <tableColumn id="6" xr3:uid="{C2F495CB-69E0-430E-9296-8873BADFB149}" name="N content above-ground">
      <calculatedColumnFormula array="1">Common_InputFunctions.Utility_DisplayArrayInTable(Agresidue_SourceData.CropAttributes_Data(),Table_SourceData_CropAttributes[[#Headers],[Crop type]], -1)</calculatedColumnFormula>
    </tableColumn>
    <tableColumn id="7" xr3:uid="{72CB7E76-0E96-40A7-AA52-561AFDDD628F}" name="N content below-ground">
      <calculatedColumnFormula array="1">Common_InputFunctions.Utility_DisplayArrayInTable(Agresidue_SourceData.CropAttributes_Data(),Table_SourceData_CropAttributes[[#Headers],[Crop type]], -1)</calculatedColumnFormula>
    </tableColumn>
    <tableColumn id="8" xr3:uid="{9927CD82-6FD6-452C-ABD7-9C30AC130DA6}"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CC91EACA-E811-4D3C-9FBF-B41C4AC7A061}"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D3BF5DD-BB43-40A4-95E2-BDF2A2B6B0A8}" name="Table76" displayName="Table76" ref="D73:F89" totalsRowShown="0">
  <autoFilter ref="D73:F89" xr:uid="{7CD0B032-9881-4EF1-81E3-483C7C16D9D0}">
    <filterColumn colId="0" hiddenButton="1"/>
    <filterColumn colId="1" hiddenButton="1"/>
    <filterColumn colId="2" hiddenButton="1"/>
  </autoFilter>
  <tableColumns count="3">
    <tableColumn id="1" xr3:uid="{9C659B75-1FE4-440A-8F56-D0498652B17E}" name="Crop type c">
      <calculatedColumnFormula array="1">Common_InputFunctions.Utility_DisplayArrayInTable(Agresidue_SourceData.CropFractionRemoved_Data(), Table76[[#Headers],[Crop type c]], 0)</calculatedColumnFormula>
    </tableColumn>
    <tableColumn id="2" xr3:uid="{C2F3EFBE-40FE-4653-A3A0-0BEA88AB0CB0}" name="State" dataDxfId="345">
      <calculatedColumnFormula array="1">Common_InputFunctions.Utility_DisplayArrayInTable(Agresidue_SourceData.CropFractionRemoved_Data(), Table76[[#Headers],[Crop type c]], 0)</calculatedColumnFormula>
    </tableColumn>
    <tableColumn id="3" xr3:uid="{0F037C4F-C854-48A1-93C8-AB049A435862}" name="Fraction removed" dataDxfId="34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A1D69DB-0B4A-494C-92D9-4A00193BC59E}" name="Table77" displayName="Table77" ref="D92:F235" totalsRowShown="0">
  <autoFilter ref="D92:F235" xr:uid="{1FA7CC86-1C1E-41FA-9AA1-AAD48AA2EEF0}">
    <filterColumn colId="0" hiddenButton="1"/>
    <filterColumn colId="1" hiddenButton="1"/>
    <filterColumn colId="2" hiddenButton="1"/>
  </autoFilter>
  <tableColumns count="3">
    <tableColumn id="1" xr3:uid="{54169F23-E43D-4FE6-A799-3DD7A80E8858}" name="Crop type c">
      <calculatedColumnFormula array="1">Common_InputFunctions.Utility_DisplayArrayInTable(Agresidue_SourceData.CropFractionRemoved_CustomisedData(), Table77[[#Headers],[Crop type c]], 0)</calculatedColumnFormula>
    </tableColumn>
    <tableColumn id="2" xr3:uid="{43A96F2E-DC54-4ED7-967E-4FED79447BE7}" name="State" dataDxfId="343">
      <calculatedColumnFormula array="1">Common_InputFunctions.Utility_DisplayArrayInTable(Agresidue_SourceData.CropFractionRemoved_CustomisedData(), Table77[[#Headers],[Crop type c]], 0)</calculatedColumnFormula>
    </tableColumn>
    <tableColumn id="3" xr3:uid="{2DBA7335-76D8-4D71-8D71-25794C738F3C}" name="Fraction removed" dataDxfId="34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9C9CBB6-87D6-44D6-8919-0D287A3542B4}" name="Table_SourceData_N2OEFOrganicFert" displayName="Table_SourceData_N2OEFOrganicFert" ref="D43:E45" totalsRowShown="0" dataDxfId="341" dataCellStyle="Content bold">
  <autoFilter ref="D43:E45" xr:uid="{2270AB6D-D03A-4D71-95C0-00BA6BB02732}">
    <filterColumn colId="0" hiddenButton="1"/>
    <filterColumn colId="1" hiddenButton="1"/>
  </autoFilter>
  <tableColumns count="2">
    <tableColumn id="1" xr3:uid="{51D7D98B-B505-414B-99BC-B21BB9BBC3BD}" name="Climate zone type i" dataDxfId="340" dataCellStyle="Content bold">
      <calculatedColumnFormula array="1">Common_InputFunctions.Utility_DisplayArrayInTable(Agresidue_SourceData.N2OEFOrganicFertiliser_Data(), Table_SourceData_N2OEFOrganicFert[[#Headers],[Climate zone type i]], 0)</calculatedColumnFormula>
    </tableColumn>
    <tableColumn id="2" xr3:uid="{28C966A0-A1AE-44EB-A7D0-1647F242B23B}" name="EF i N2O" dataDxfId="33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5E460F1-729E-4D46-8978-5B91663CC804}" name="Table_SourceData_PastureAttributes" displayName="Table_SourceData_PastureAttributes" ref="D51:I56" totalsRowShown="0" dataDxfId="33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26A03C73-241A-47B2-9B4B-39B429DE5A14}" name="Pasture type" dataDxfId="337" dataCellStyle="Content normal">
      <calculatedColumnFormula array="1">Common_InputFunctions.Utility_DisplayArrayInTable(Agresidue_SourceData.PastureAttributes_Data(), Table_SourceData_PastureAttributes[[#Headers],[Pasture type]], 0)</calculatedColumnFormula>
    </tableColumn>
    <tableColumn id="2" xr3:uid="{1163D079-5ABB-49DD-BBB7-329CC56FA5FC}" name="Average Yield (t DM ha) Yp" dataDxfId="336" dataCellStyle="Content normal">
      <calculatedColumnFormula array="1">Common_InputFunctions.Utility_DisplayArrayInTable(Agresidue_SourceData.PastureAttributes_Data(), Table_SourceData_PastureAttributes[[#Headers],[Pasture type]], 0)</calculatedColumnFormula>
    </tableColumn>
    <tableColumn id="3" xr3:uid="{137F5AED-8096-46F8-8B51-D2948BDFAA09}" name="Below-ground: above-ground residue ratio RBGp" dataDxfId="335" dataCellStyle="Content normal">
      <calculatedColumnFormula array="1">Common_InputFunctions.Utility_DisplayArrayInTable(Agresidue_SourceData.PastureAttributes_Data(), Table_SourceData_PastureAttributes[[#Headers],[Pasture type]], 0)</calculatedColumnFormula>
    </tableColumn>
    <tableColumn id="4" xr3:uid="{46E3193F-4819-46F7-94E5-5F89E2991221}" name="N content Above-ground NCAGp" dataDxfId="334" dataCellStyle="Content normal">
      <calculatedColumnFormula array="1">Common_InputFunctions.Utility_DisplayArrayInTable(Agresidue_SourceData.PastureAttributes_Data(), Table_SourceData_PastureAttributes[[#Headers],[Pasture type]], 0)</calculatedColumnFormula>
    </tableColumn>
    <tableColumn id="5" xr3:uid="{703623F2-0A30-4300-8D51-31B6846145D1}" name="N content Below-ground NCBGp" dataDxfId="333" dataCellStyle="Content normal">
      <calculatedColumnFormula array="1">Common_InputFunctions.Utility_DisplayArrayInTable(Agresidue_SourceData.PastureAttributes_Data(), Table_SourceData_PastureAttributes[[#Headers],[Pasture type]], 0)</calculatedColumnFormula>
    </tableColumn>
    <tableColumn id="6" xr3:uid="{D95EFC0A-2211-4662-B1DD-8FCC21D6504C}" name="Fraction of pasture yield that is removed FFODp" dataDxfId="33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4875C09-3263-468A-BDD1-684E0AE79D48}"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6AE7F4B5-C96C-4226-ABC2-98FBFE5BC07C}" name="Gas species">
      <calculatedColumnFormula array="1">Common_InputFunctions.Utility_DisplayArrayInTable(AgResidues_SourceData.BurningOfAgriculturalResiduesEFs_Data(), Table_SourceData_BurningResidueEFs[[#Headers],[Gas species]], 0)</calculatedColumnFormula>
    </tableColumn>
    <tableColumn id="2" xr3:uid="{DFD5E3B8-F9FA-4E7A-816C-D3569DDB8B90}" name="Emission factor EFg (Gg element in species/ Gg element in fuel burnt)" dataDxfId="331" dataCellStyle="Content normal">
      <calculatedColumnFormula array="1">Common_InputFunctions.Utility_DisplayArrayInTable(AgResidues_SourceData.BurningOfAgriculturalResiduesEFs_Data(), Table_SourceData_BurningResidueEFs[[#Headers],[Gas species]], 0)</calculatedColumnFormula>
    </tableColumn>
    <tableColumn id="3" xr3:uid="{47C705F2-7062-4B3B-9596-BAB381D74C36}" name="Elemental to molecular mass conversion factor (Cg)" dataDxfId="33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D7334DC-A2C6-425D-8390-0148D9094297}" name="Table_SourceData_CropPurposeAndYields" displayName="Table_SourceData_CropPurposeAndYields" ref="D7:K10" totalsRowShown="0" headerRowDxfId="32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D2B3996-7DC1-4FA3-8A06-EA03FCA24F1D}" name="Purpose">
      <calculatedColumnFormula array="1">Common_InputFunctions.Utility_DisplayArrayInTable(Agresidue_SourceData.CropPurposeAndYield_Data(), Table_SourceData_CropPurposeAndYields[[#Headers],[Purpose]], 0)</calculatedColumnFormula>
    </tableColumn>
    <tableColumn id="2" xr3:uid="{476E8BF2-FEAD-4000-B79A-C614141F0536}" name="Per hectare unit">
      <calculatedColumnFormula array="1">Common_InputFunctions.Utility_DisplayArrayInTable(Agresidue_SourceData.CropPurposeAndYield_Data(), Table_SourceData_CropPurposeAndYields[[#Headers],[Purpose]], 0)</calculatedColumnFormula>
    </tableColumn>
    <tableColumn id="3" xr3:uid="{B5C5B847-C54F-4BEC-8232-516360367CA2}" name="harvest term">
      <calculatedColumnFormula array="1">Common_InputFunctions.Utility_DisplayArrayInTable(Agresidue_SourceData.CropPurposeAndYield_Data(), Table_SourceData_CropPurposeAndYields[[#Headers],[Purpose]], 0)</calculatedColumnFormula>
    </tableColumn>
    <tableColumn id="4" xr3:uid="{22B49B2D-C8BE-4BA3-AA90-532EB72F39AA}" name="harvest endpoint">
      <calculatedColumnFormula array="1">Common_InputFunctions.Utility_DisplayArrayInTable(Agresidue_SourceData.CropPurposeAndYield_Data(), Table_SourceData_CropPurposeAndYields[[#Headers],[Purpose]], 0)</calculatedColumnFormula>
    </tableColumn>
    <tableColumn id="5" xr3:uid="{05DE711B-9B96-4EA9-BA18-85207F106D1E}" name="Harvest uit">
      <calculatedColumnFormula array="1">Common_InputFunctions.Utility_DisplayArrayInTable(Agresidue_SourceData.CropPurposeAndYield_Data(), Table_SourceData_CropPurposeAndYields[[#Headers],[Purpose]], 0)</calculatedColumnFormula>
    </tableColumn>
    <tableColumn id="6" xr3:uid="{0A310C2D-D48B-408A-91CE-58DF81E7A2D9}" name="Yield note">
      <calculatedColumnFormula array="1">Common_InputFunctions.Utility_DisplayArrayInTable(Agresidue_SourceData.CropPurposeAndYield_Data(), Table_SourceData_CropPurposeAndYields[[#Headers],[Purpose]], 0)</calculatedColumnFormula>
    </tableColumn>
    <tableColumn id="8" xr3:uid="{F56E31D8-98AB-4A14-8A9F-169EF4AD55CC}" name="Residue crop ratio note">
      <calculatedColumnFormula array="1">Common_InputFunctions.Utility_DisplayArrayInTable(Agresidue_SourceData.CropPurposeAndYield_Data(), Table_SourceData_CropPurposeAndYields[[#Headers],[Purpose]], 0)</calculatedColumnFormula>
    </tableColumn>
    <tableColumn id="9" xr3:uid="{4CC17B20-3BFC-4C1E-A769-247CC7C674C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3E450A2F-3564-4FBC-977D-40BE18E51AAD}" name="Table_SourceData_Fertiliser_IrrigationMethods60" displayName="Table_SourceData_Fertiliser_IrrigationMethods60" ref="N21:N26" totalsRowShown="0">
  <autoFilter ref="N21:N26" xr:uid="{1AC5909E-E06C-4A79-81E9-C25A0B6D9E90}">
    <filterColumn colId="0" hiddenButton="1"/>
  </autoFilter>
  <tableColumns count="1">
    <tableColumn id="1" xr3:uid="{6F452817-F4DC-403E-B834-A880BEB99A00}" name="Irrigation method"/>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8364B53-6E53-4C3C-9D62-CCAF9EB25744}"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5E94CF9-2370-4ACA-ADA2-55125B5B313E}" name="Symbol">
      <calculatedColumnFormula array="1">Common_InputFunctions.Utility_DisplayArrayInTable(CommonLivestock_SourceData.SourceData_Livestock_Common_SymbolsMMS_Data(), Table_Data_MMSSymbols[[#Headers],[Symbol]], 0)</calculatedColumnFormula>
    </tableColumn>
    <tableColumn id="2" xr3:uid="{DA8E8BBA-56F7-42AB-8A07-4EE94FFC52A8}" name="Manure management system">
      <calculatedColumnFormula array="1">Common_InputFunctions.Utility_DisplayArrayInTable(CommonLivestock_SourceData.SourceData_Livestock_Common_SymbolsMMS_Data(), Table_Data_MMSSymbols[[#Headers],[Symbol]], 0)</calculatedColumnFormula>
    </tableColumn>
    <tableColumn id="3" xr3:uid="{B2B080D3-E504-4133-B691-3B455FA165DB}"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D0C8C9A7-8C4A-4A9D-A2BA-AC29A3C7D5F6}" name="Table_SourceData_LivestockProduct_Beefcattle" displayName="Table_SourceData_LivestockProduct_Beefcattle" ref="D31:E39" totalsRowShown="0">
  <autoFilter ref="D31:E39" xr:uid="{953E8E36-CE90-4001-9CFA-9307A0C836A9}"/>
  <tableColumns count="2">
    <tableColumn id="1" xr3:uid="{1E4116A5-E66A-48AF-894B-F73D8E8C35C4}" name="Product">
      <calculatedColumnFormula array="1">Common_InputFunctions.Utility_DisplayArrayInTable(CommonLivestock_SourceData.SourceData_Livestock_Product_BeefCattle_Data(),Table_SourceData_LivestockProduct_Beefcattle[[#Headers],[Product]],0)</calculatedColumnFormula>
    </tableColumn>
    <tableColumn id="2" xr3:uid="{765E8F66-B9AE-4A82-9649-54BB445579C9}" name="Source region" dataDxfId="32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97602EC3-AFD7-47B0-BC0A-1371E6AD018D}" name="Table_SourceData_LivestockProduct_Sheep" displayName="Table_SourceData_LivestockProduct_Sheep" ref="D43:E50" totalsRowShown="0" dataDxfId="327" dataCellStyle="Content normal">
  <autoFilter ref="D43:E50" xr:uid="{995536B5-6CA5-4D7D-A704-9B6B595C2491}"/>
  <tableColumns count="2">
    <tableColumn id="1" xr3:uid="{AE17F077-35C0-4167-8ABA-4810A896CEF2}" name="Product" dataDxfId="32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9519901C-9487-4CDF-B037-F440D70D0D48}" name="Source region" dataDxfId="32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9F0140A9-E02B-4A5F-AFCB-11A7A9CFBD73}" name="Table_SourceData_LivestockProduct_Chickens" displayName="Table_SourceData_LivestockProduct_Chickens" ref="D54:E55" totalsRowShown="0" dataDxfId="324" dataCellStyle="Content normal">
  <autoFilter ref="D54:E55" xr:uid="{257D8456-031C-4EEF-A8C4-474F215C3208}"/>
  <tableColumns count="2">
    <tableColumn id="1" xr3:uid="{1A776BD7-7E58-4D2F-8E67-690B4BBF534D}" name="Product" dataDxfId="32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49FE0D2-BFF6-4432-B242-0FD5BDE0EB24}" name="Source region" dataDxfId="32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D6A14D1A-F0D7-4FEB-9D30-20BA5C555896}" name="Table_SourceData_LivestockProduct_Dairycattle" displayName="Table_SourceData_LivestockProduct_Dairycattle" ref="D59:E60" totalsRowShown="0" dataDxfId="321" dataCellStyle="Content normal">
  <autoFilter ref="D59:E60" xr:uid="{71833C62-BA2B-4519-92E0-B189E393D12F}"/>
  <tableColumns count="2">
    <tableColumn id="1" xr3:uid="{50C46383-C06B-4D51-B03C-7CD365BFE34E}" name="Product" dataDxfId="32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867B59A-27FD-47DA-B4CD-DB4C2CAE0DA0}" name="Source region" dataDxfId="31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49CA6C81-06F2-48AC-8C04-462E8C8B5FD2}" name="Table_SourceData_LivestockProduct_Pigs" displayName="Table_SourceData_LivestockProduct_Pigs" ref="D64:E65" totalsRowShown="0" dataDxfId="318" dataCellStyle="Content normal">
  <autoFilter ref="D64:E65" xr:uid="{65FF5EF6-2A75-4137-9345-8328E2DA8F9C}"/>
  <tableColumns count="2">
    <tableColumn id="1" xr3:uid="{88479515-BFCB-473A-8B1E-14EC57E99748}" name="Product" dataDxfId="31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4ADE082E-257C-47F0-ADD2-B5B5CB61D5DE}" name="Source region" dataDxfId="31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A298935-70AD-4A7A-AACB-1252E26F7143}" name="Table_SourceData_ElectricityEFs" displayName="Table_SourceData_ElectricityEFs" ref="D9:F19" totalsRowShown="0" headerRowDxfId="315">
  <autoFilter ref="D9:F19" xr:uid="{3144A982-7A4D-4CF2-8790-1A30DAE3E0A4}">
    <filterColumn colId="0" hiddenButton="1"/>
    <filterColumn colId="1" hiddenButton="1"/>
    <filterColumn colId="2" hiddenButton="1"/>
  </autoFilter>
  <tableColumns count="3">
    <tableColumn id="1" xr3:uid="{2AC8598C-A187-4355-95E0-E81A359B6889}"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66CFD31-8907-4FA4-98D3-B48774EF7E9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E48BFCA-EC01-48D2-B44F-9BEE66D19BE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8B94868-1D1F-48C2-8E58-B553215EE9C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0B3A95FE-8777-4734-A0B8-2B742570A0B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D47E568E-0971-4E73-9685-53D539CEA83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DFC2B4FF-846B-4609-914B-C54EB372A0BA}"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D55EE844-E865-47C2-9AD3-CEB1F4F575C3}"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F2D38E95-6059-4FDC-BAFF-261A5B3EF3B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E31A147-0670-44F8-B9AB-7FCF8E123BD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2977735-826E-40E9-9E1A-39F05F2D39D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8E15A8E-BB18-47D7-948C-054BFE021E46}" name="FNinorganic f">
      <calculatedColumnFormula array="1">Common_InputFunctions.Utility_DisplayArrayInTable(Fertiliser_SourceData.Fertiliser_ChemicalCompoundElements_Data(),Table_Fertiliser_ChemicalCompounds[[#Headers],[Fertiliser type f]], 0)</calculatedColumnFormula>
    </tableColumn>
    <tableColumn id="3" xr3:uid="{3061B76F-DE3E-424C-9C53-E9A46C211BB6}" name="FU f">
      <calculatedColumnFormula array="1">Common_InputFunctions.Utility_DisplayArrayInTable(Fertiliser_SourceData.Fertiliser_ChemicalCompoundElements_Data(),Table_Fertiliser_ChemicalCompounds[[#Headers],[Fertiliser type f]], 0)</calculatedColumnFormula>
    </tableColumn>
    <tableColumn id="4" xr3:uid="{E0B52743-7F83-4FF8-83CD-35B9D5806CA2}" name="Basis">
      <calculatedColumnFormula array="1">Common_InputFunctions.Utility_DisplayArrayInTable(Fertiliser_SourceData.Fertiliser_ChemicalCompoundElements_Data(),Table_Fertiliser_ChemicalCompounds[[#Headers],[Fertiliser type f]], 0)</calculatedColumnFormula>
    </tableColumn>
    <tableColumn id="5" xr3:uid="{B7B30804-120F-4060-B55E-FBB58D4C172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15A5040C-9C8B-4775-9072-6A9010D5BCB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CF541C-4929-40D7-B4DE-6BB0EFFC72B0}"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56C3C2A8-5CD3-4672-92B0-856CFDF6B393}" name="Include or Exclude" dataDxfId="314" totalsRowDxfId="313">
      <calculatedColumnFormula array="1">Common_InputFunctions.Utility_DisplayArrayInTable(Fertiliser_SourceData.Fertiliser_Products_Data1(),FertiliserProducts[[#Headers],[Include or Exclude]], -1)</calculatedColumnFormula>
    </tableColumn>
    <tableColumn id="2" xr3:uid="{DDF3A650-A0E8-41F7-AF64-780AFDA6D68B}" name="Notes" dataDxfId="312" totalsRowDxfId="311">
      <calculatedColumnFormula array="1">Common_InputFunctions.Utility_DisplayArrayInTable(Fertiliser_SourceData.Fertiliser_Products_Data1(),FertiliserProducts[[#Headers],[Include or Exclude]], 0)</calculatedColumnFormula>
    </tableColumn>
    <tableColumn id="3" xr3:uid="{5B6DAAC6-908C-40AC-86AF-5B24A190C175}" name="Company" dataDxfId="310" totalsRowDxfId="309">
      <calculatedColumnFormula array="1">Common_InputFunctions.Utility_DisplayArrayInTable(Fertiliser_SourceData.Fertiliser_Products_Data1(),FertiliserProducts[[#Headers],[Include or Exclude]], 0)</calculatedColumnFormula>
    </tableColumn>
    <tableColumn id="4" xr3:uid="{0EA3B44B-F3F5-4E08-BA5F-9A65C6B46CE3}" name="Product name" dataDxfId="308" totalsRowDxfId="307">
      <calculatedColumnFormula array="1">Common_InputFunctions.Utility_DisplayArrayInTable(Fertiliser_SourceData.Fertiliser_Products_Data1(),FertiliserProducts[[#Headers],[Include or Exclude]], 0)</calculatedColumnFormula>
    </tableColumn>
    <tableColumn id="5" xr3:uid="{07E89D45-0D17-4396-9DD4-F4AD15F26311}" name="Unit" dataDxfId="306" totalsRowDxfId="305">
      <calculatedColumnFormula array="1">Common_InputFunctions.Utility_DisplayArrayInTable(Fertiliser_SourceData.Fertiliser_Products_Data1(),FertiliserProducts[[#Headers],[Include or Exclude]], 0,4)</calculatedColumnFormula>
    </tableColumn>
    <tableColumn id="6" xr3:uid="{7B12BDF8-E794-4379-A750-6187E2675FCD}" name="Density / gravity" dataDxfId="304" totalsRowDxfId="303">
      <calculatedColumnFormula array="1">Common_InputFunctions.Utility_DisplayArrayInTable(Fertiliser_SourceData.Fertiliser_Products_Data1(),FertiliserProducts[[#Headers],[Include or Exclude]], 0,4)</calculatedColumnFormula>
    </tableColumn>
    <tableColumn id="7" xr3:uid="{8700AA3C-040F-4180-BD45-C48C9F99CC7F}" name="Urea source" dataDxfId="302" totalsRowDxfId="301">
      <calculatedColumnFormula array="1">Common_InputFunctions.Utility_DisplayArrayInTable(Fertiliser_SourceData.Fertiliser_Products_Data1(),FertiliserProducts[[#Headers],[Include or Exclude]], 0,4)</calculatedColumnFormula>
    </tableColumn>
    <tableColumn id="8" xr3:uid="{A33B843D-743F-4A3E-8553-0272BF83952D}" name="Ammonia source" dataDxfId="300" totalsRowDxfId="299">
      <calculatedColumnFormula array="1">Common_InputFunctions.Utility_DisplayArrayInTable(Fertiliser_SourceData.Fertiliser_Products_Data1(),FertiliserProducts[[#Headers],[Include or Exclude]], 0,4)</calculatedColumnFormula>
    </tableColumn>
    <tableColumn id="9" xr3:uid="{15068F47-1825-48DA-B89E-B07125F3D990}" name="Ingredient 1" dataDxfId="298" totalsRowDxfId="297">
      <calculatedColumnFormula array="1">Common_InputFunctions.Utility_DisplayArrayInTable(Fertiliser_SourceData.Fertiliser_Products_Data1(),FertiliserProducts[[#Headers],[Include or Exclude]], 0,4)</calculatedColumnFormula>
    </tableColumn>
    <tableColumn id="10" xr3:uid="{CFE7C511-11CA-433F-B436-A5E05A3E17C2}" name="Ingredient 1 percent" dataDxfId="296" totalsRowDxfId="295">
      <calculatedColumnFormula array="1">Common_InputFunctions.Utility_DisplayArrayInTable(Fertiliser_SourceData.Fertiliser_Products_Data1(),FertiliserProducts[[#Headers],[Include or Exclude]], 0,4)</calculatedColumnFormula>
    </tableColumn>
    <tableColumn id="11" xr3:uid="{C26E2763-6428-46D4-9105-21F63050A2DD}" name="Ingredient 2" dataDxfId="294" totalsRowDxfId="293">
      <calculatedColumnFormula array="1">Common_InputFunctions.Utility_DisplayArrayInTable(Fertiliser_SourceData.Fertiliser_Products_Data1(),FertiliserProducts[[#Headers],[Include or Exclude]], 0,4)</calculatedColumnFormula>
    </tableColumn>
    <tableColumn id="12" xr3:uid="{4D98621A-BE0B-4685-8D1A-F7BABF7955BB}" name="Ingredient 2 percent" dataDxfId="292" totalsRowDxfId="291">
      <calculatedColumnFormula array="1">Common_InputFunctions.Utility_DisplayArrayInTable(Fertiliser_SourceData.Fertiliser_Products_Data1(),FertiliserProducts[[#Headers],[Include or Exclude]], 0,4)</calculatedColumnFormula>
    </tableColumn>
    <tableColumn id="13" xr3:uid="{89CFA56A-93AA-4721-8878-AAF707AFE303}" name="Ingredient 3" dataDxfId="290" totalsRowDxfId="289">
      <calculatedColumnFormula array="1">Common_InputFunctions.Utility_DisplayArrayInTable(Fertiliser_SourceData.Fertiliser_Products_Data1(),FertiliserProducts[[#Headers],[Include or Exclude]], 0,4)</calculatedColumnFormula>
    </tableColumn>
    <tableColumn id="14" xr3:uid="{CBE3B990-845B-4DC9-81D5-83AD922920D6}" name="Ingredient 3 percent" dataDxfId="288" totalsRowDxfId="287">
      <calculatedColumnFormula array="1">Common_InputFunctions.Utility_DisplayArrayInTable(Fertiliser_SourceData.Fertiliser_Products_Data1(),FertiliserProducts[[#Headers],[Include or Exclude]], 0,4)</calculatedColumnFormula>
    </tableColumn>
    <tableColumn id="15" xr3:uid="{9B382F2D-7667-465D-8C78-3FE2A116A278}" name="Ingredient 4" dataDxfId="286" totalsRowDxfId="285">
      <calculatedColumnFormula array="1">Common_InputFunctions.Utility_DisplayArrayInTable(Fertiliser_SourceData.Fertiliser_Products_Data1(),FertiliserProducts[[#Headers],[Include or Exclude]], 0,4)</calculatedColumnFormula>
    </tableColumn>
    <tableColumn id="16" xr3:uid="{18A93D82-E745-4318-8EEC-1A9D2626EAFE}" name="Ingredient 4 percent" dataDxfId="284" totalsRowDxfId="283">
      <calculatedColumnFormula array="1">Common_InputFunctions.Utility_DisplayArrayInTable(Fertiliser_SourceData.Fertiliser_Products_Data1(),FertiliserProducts[[#Headers],[Include or Exclude]], 0,4)</calculatedColumnFormula>
    </tableColumn>
    <tableColumn id="17" xr3:uid="{89B944A0-34A7-4DFE-B057-35E5E1250251}" name="Ingredient 5" dataDxfId="282" totalsRowDxfId="281">
      <calculatedColumnFormula array="1">Common_InputFunctions.Utility_DisplayArrayInTable(Fertiliser_SourceData.Fertiliser_Products_Data1(),FertiliserProducts[[#Headers],[Include or Exclude]], 0,4)</calculatedColumnFormula>
    </tableColumn>
    <tableColumn id="18" xr3:uid="{50C91C21-D999-44A5-AA27-2F879F53003D}" name="Ingredient 5 percent" dataDxfId="280" totalsRowDxfId="279">
      <calculatedColumnFormula array="1">Common_InputFunctions.Utility_DisplayArrayInTable(Fertiliser_SourceData.Fertiliser_Products_Data1(),FertiliserProducts[[#Headers],[Include or Exclude]], 0,4)</calculatedColumnFormula>
    </tableColumn>
    <tableColumn id="19" xr3:uid="{71F39AFA-237C-4B7D-AEEA-A1F4A02F93F1}" name="Ingredient 6" dataDxfId="278" totalsRowDxfId="277">
      <calculatedColumnFormula array="1">Common_InputFunctions.Utility_DisplayArrayInTable(Fertiliser_SourceData.Fertiliser_Products_Data1(),FertiliserProducts[[#Headers],[Include or Exclude]], 0,4)</calculatedColumnFormula>
    </tableColumn>
    <tableColumn id="37" xr3:uid="{DA82EAC3-6607-4566-88F4-B2F1DFEFF9F9}" name="Ingredient 6 percent" dataDxfId="276" totalsRowDxfId="275">
      <calculatedColumnFormula array="1">Common_InputFunctions.Utility_DisplayArrayInTable(Fertiliser_SourceData.Fertiliser_Products_Data1(),FertiliserProducts[[#Headers],[Include or Exclude]], 0,4)</calculatedColumnFormula>
    </tableColumn>
    <tableColumn id="20" xr3:uid="{13268FDE-4109-4027-8651-2D21D03FFA98}" name="Ingredient 7" dataDxfId="274">
      <calculatedColumnFormula array="1">Common_InputFunctions.Utility_DisplayArrayInTable(Fertiliser_SourceData.Fertiliser_Products_Data1(),FertiliserProducts[[#Headers],[Include or Exclude]], 0,4)</calculatedColumnFormula>
    </tableColumn>
    <tableColumn id="24" xr3:uid="{7C14689E-AEB3-4E09-8E07-938A59C4DA0D}" name="Ingredient 7 percent" dataDxfId="273">
      <calculatedColumnFormula array="1">Common_InputFunctions.Utility_DisplayArrayInTable(Fertiliser_SourceData.Fertiliser_Products_Data1(),FertiliserProducts[[#Headers],[Include or Exclude]], 0,4)</calculatedColumnFormula>
    </tableColumn>
    <tableColumn id="23" xr3:uid="{7882F57D-E236-47DA-9D1B-8B5585642FC4}" name="Ingredient 8" dataDxfId="272">
      <calculatedColumnFormula array="1">Common_InputFunctions.Utility_DisplayArrayInTable(Fertiliser_SourceData.Fertiliser_Products_Data1(),FertiliserProducts[[#Headers],[Include or Exclude]], 0,4)</calculatedColumnFormula>
    </tableColumn>
    <tableColumn id="26" xr3:uid="{D268FBBA-4B74-4011-BED0-45A5D8B63D4F}" name="Ingredient 8 percent" dataDxfId="271">
      <calculatedColumnFormula array="1">Common_InputFunctions.Utility_DisplayArrayInTable(Fertiliser_SourceData.Fertiliser_Products_Data1(),FertiliserProducts[[#Headers],[Include or Exclude]], 0,4)</calculatedColumnFormula>
    </tableColumn>
    <tableColumn id="25" xr3:uid="{1F696BFE-1F8D-431B-A839-3993E8F1D251}" name="Ingredient 9" dataDxfId="270">
      <calculatedColumnFormula array="1">Common_InputFunctions.Utility_DisplayArrayInTable(Fertiliser_SourceData.Fertiliser_Products_Data1(),FertiliserProducts[[#Headers],[Include or Exclude]], 0,4)</calculatedColumnFormula>
    </tableColumn>
    <tableColumn id="30" xr3:uid="{0F9C41F8-997C-4B97-AB73-27980A3B2FF8}" name="Ingredient 9 percent" dataDxfId="269">
      <calculatedColumnFormula array="1">Common_InputFunctions.Utility_DisplayArrayInTable(Fertiliser_SourceData.Fertiliser_Products_Data1(),FertiliserProducts[[#Headers],[Include or Exclude]], 0,4)</calculatedColumnFormula>
    </tableColumn>
    <tableColumn id="29" xr3:uid="{CD6FEF74-5323-457B-AE7C-42ED4E5676AB}" name="Imngredient 10" dataDxfId="268">
      <calculatedColumnFormula array="1">Common_InputFunctions.Utility_DisplayArrayInTable(Fertiliser_SourceData.Fertiliser_Products_Data1(),FertiliserProducts[[#Headers],[Include or Exclude]], 0,4)</calculatedColumnFormula>
    </tableColumn>
    <tableColumn id="28" xr3:uid="{D8970B71-9D60-49CC-BC5F-92AC1911EB9E}" name="Ingredient 10 percent" dataDxfId="26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3A3289C-E87D-45AF-A1A0-6AA996B572A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72DD5527-F792-4AD0-9942-6B340B43C404}" name="Fertiliser type f">
      <calculatedColumnFormula array="1">Common_InputFunctions.Utility_DisplayArrayInTable(Fertiliser_SourceData.Fertiliser_FracGASF_Data(), Table_SourceData_Fertiliser_FracGASF[[#Headers],[Fertiliser type f]], 0)</calculatedColumnFormula>
    </tableColumn>
    <tableColumn id="2" xr3:uid="{7BDF2E5F-730D-428C-AB1F-1B6E7742292D}" name="FracGASF f" dataDxfId="26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AE665EA-46BB-4104-ABE4-ACCBD8CA052A}" name="Table_SourceData_Fertiliser_CropProdSystems" displayName="Table_SourceData_Fertiliser_CropProdSystems" ref="D41:D43" totalsRowShown="0">
  <autoFilter ref="D41:D43" xr:uid="{24F3A11E-40F5-4BB9-BFF4-A71FA2ADA0EF}">
    <filterColumn colId="0" hiddenButton="1"/>
  </autoFilter>
  <tableColumns count="1">
    <tableColumn id="1" xr3:uid="{7C4427CD-4F70-4C7D-9476-9842525B94F5}" name="Production system">
      <calculatedColumnFormula>#REF!</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434093-35FF-4A66-9CA4-998A9069D01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0CBE33B-EE62-433F-BB5D-222EDDA1C173}" name="Irrigation method"/>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6D80C1E-BE84-46AA-91C8-F373DA560EBF}" name="Table_SourceData_Fertiliser_CropTypes" displayName="Table_SourceData_Fertiliser_CropTypes" ref="F41:F45" totalsRowShown="0">
  <autoFilter ref="F41:F45" xr:uid="{CB5044B5-FA3C-4AA2-B1AB-72F7E61D072F}">
    <filterColumn colId="0" hiddenButton="1"/>
  </autoFilter>
  <tableColumns count="1">
    <tableColumn id="1" xr3:uid="{4E2D656D-B9DC-4DA7-BAB2-36B7147E0DA5}" name="Production system"/>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878533D-6250-4A5C-A5E4-51B82C62FB46}" name="Table_SourceData_OrganicFertiliserTypes" displayName="Table_SourceData_OrganicFertiliserTypes" ref="J41:J46" totalsRowShown="0">
  <autoFilter ref="J41:J46" xr:uid="{B44627B1-537E-4ABC-92C3-57282CEE5B40}">
    <filterColumn colId="0" hiddenButton="1"/>
  </autoFilter>
  <tableColumns count="1">
    <tableColumn id="1" xr3:uid="{C77BB7E1-8C33-4B28-BF3D-1647BB0E5B04}" name="Organic fertiliser typ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0312217-D61E-41EF-9C87-D7B64CA8E8D5}"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6D14B26-70C4-418C-B0D1-237C8DE9DD00}" name="Element">
      <calculatedColumnFormula array="1">Common_InputFunctions.Utility_DisplayArrayInTable(Fertiliser_SourceData.Fertiliser_LimeDolomiteGypsumConstants_Data(), Table_SourceData_Fertiliser_LimeDolomiteConstants[[#Headers],[Element]], 0)</calculatedColumnFormula>
    </tableColumn>
    <tableColumn id="2" xr3:uid="{97A1523A-B4F0-44C6-841A-FAAB4FD29CE8}" name="P"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033F2C3-7F63-4573-BE1A-1CEC6FD8B46E}" name="EF" dataDxfId="26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BF2BE59-1129-44AD-BBCD-F65DA20EC1C3}" name="Table2" displayName="Table2" ref="K19:L28" totalsRowShown="0" dataDxfId="263" dataCellStyle="Content normal">
  <autoFilter ref="K19:L28" xr:uid="{27B93029-EB1F-4C4A-A946-CD673A8A6C46}">
    <filterColumn colId="0" hiddenButton="1"/>
    <filterColumn colId="1" hiddenButton="1"/>
  </autoFilter>
  <tableColumns count="2">
    <tableColumn id="1" xr3:uid="{B7867C13-597C-4A8E-A2C0-416B4AEF96F3}" name="Fertiliser type f" dataDxfId="262" dataCellStyle="Content normal">
      <calculatedColumnFormula array="1">Common_InputFunctions.Utility_DisplayArrayInTable(Fertiliser_SourceData.Fertiliser_FractionNCommonFertilisers_Data(), Table2[[#Headers],[Fertiliser type f]], 0)</calculatedColumnFormula>
    </tableColumn>
    <tableColumn id="2" xr3:uid="{C15E47F1-13D8-40FF-AA0C-49E6ACBD08CE}" name="FNinorganic f" dataDxfId="26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1AB8D7F-3780-471D-84E8-578E23C4500D}" name="Table28" displayName="Table28" ref="Q19:R28" totalsRowShown="0" dataDxfId="260" dataCellStyle="Content normal">
  <autoFilter ref="Q19:R28" xr:uid="{791CEA59-796C-47AB-86BC-41E8F699030C}">
    <filterColumn colId="0" hiddenButton="1"/>
    <filterColumn colId="1" hiddenButton="1"/>
  </autoFilter>
  <tableColumns count="2">
    <tableColumn id="1" xr3:uid="{68C60B1D-61E3-4215-80BE-672533159691}" name="Fertiliser type f" dataDxfId="259" dataCellStyle="Content normal">
      <calculatedColumnFormula array="1">Common_InputFunctions.Utility_DisplayArrayInTable(Fertiliser_SourceData.Fertiliser_FractionUreaCommonFertilisers_Data(), Table28[[#Headers],[Fertiliser type f]], 0)</calculatedColumnFormula>
    </tableColumn>
    <tableColumn id="2" xr3:uid="{F7715847-EF44-4F06-B37C-1F46386AE59E}" name="FNinorganic f" dataDxfId="25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AD25503-9C4D-43B3-A156-B196BE44E09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DA21E5B-57D7-48B7-8B10-9F6E7E7BC21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66862A4-8BD2-45A0-B8D6-DAA7B3EC9013}" name="Table_Fuel_EFs_StationaryLiquid" displayName="Table_Fuel_EFs_StationaryLiquid" ref="D53:K77" totalsRowShown="0" headerRowDxfId="257" dataDxfId="25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A8F2115-2953-4AAB-B73C-A9EDBF373C96}" name="Fuel combusted" dataDxfId="255">
      <calculatedColumnFormula array="1">Common_InputFunctions.Utility_DisplayArrayInTable(Fuel_SourceData.Fuel_Scope1Scope3EmissionFactorsStationaryLiquid_Data(), Table_Fuel_EFs_StationaryLiquid[[#Headers],[Fuel combusted]],0)</calculatedColumnFormula>
    </tableColumn>
    <tableColumn id="2" xr3:uid="{4E22D74B-3DFA-4D9F-AB87-7C4491EFD275}" name="Energy Content Factor (GJ per unit of fuel)" dataDxfId="254">
      <calculatedColumnFormula array="1">Common_InputFunctions.Utility_DisplayArrayInTable(Fuel_SourceData.Fuel_Scope1Scope3EmissionFactorsStationaryLiquid_Data(), Table_Fuel_EFs_StationaryLiquid[[#Headers],[Fuel combusted]],0)</calculatedColumnFormula>
    </tableColumn>
    <tableColumn id="3" xr3:uid="{F76CBE81-FB48-4F09-9A57-64CEC264F452}" name="Fuel unit" dataDxfId="253">
      <calculatedColumnFormula array="1">Common_InputFunctions.Utility_DisplayArrayInTable(Fuel_SourceData.Fuel_Scope1Scope3EmissionFactorsStationaryLiquid_Data(), Table_Fuel_EFs_StationaryLiquid[[#Headers],[Fuel combusted]],0)</calculatedColumnFormula>
    </tableColumn>
    <tableColumn id="4" xr3:uid="{04805970-82B3-462A-836E-468A69C8E1A9}" name="Scope 1 Emission Factor (kg CO2 - e / GJ) CO2" dataDxfId="252">
      <calculatedColumnFormula array="1">Common_InputFunctions.Utility_DisplayArrayInTable(Fuel_SourceData.Fuel_Scope1Scope3EmissionFactorsStationaryLiquid_Data(), Table_Fuel_EFs_StationaryLiquid[[#Headers],[Fuel combusted]],0)</calculatedColumnFormula>
    </tableColumn>
    <tableColumn id="5" xr3:uid="{C4459873-10DC-4452-B706-D554659BC9CD}" name="Scope 1 Emission Factor (kg CO2 - e / GJ) CH4" dataDxfId="251">
      <calculatedColumnFormula array="1">Common_InputFunctions.Utility_DisplayArrayInTable(Fuel_SourceData.Fuel_Scope1Scope3EmissionFactorsStationaryLiquid_Data(), Table_Fuel_EFs_StationaryLiquid[[#Headers],[Fuel combusted]],0)</calculatedColumnFormula>
    </tableColumn>
    <tableColumn id="6" xr3:uid="{C458AC13-EE4A-467C-8581-14EB8D9C403E}" name="Scope 1 Emission Factor (kg CO2 - e / GJ) N2O" dataDxfId="250">
      <calculatedColumnFormula array="1">Common_InputFunctions.Utility_DisplayArrayInTable(Fuel_SourceData.Fuel_Scope1Scope3EmissionFactorsStationaryLiquid_Data(), Table_Fuel_EFs_StationaryLiquid[[#Headers],[Fuel combusted]],0)</calculatedColumnFormula>
    </tableColumn>
    <tableColumn id="7" xr3:uid="{A022D0AB-86DF-4839-94C9-CDAE1B247123}" name="Scope 1 Emission Factor (kg CO2 - e / GJ) Combined gases" dataDxfId="249">
      <calculatedColumnFormula array="1">Common_InputFunctions.Utility_DisplayArrayInTable(Fuel_SourceData.Fuel_Scope1Scope3EmissionFactorsStationaryLiquid_Data(), Table_Fuel_EFs_StationaryLiquid[[#Headers],[Fuel combusted]],0)</calculatedColumnFormula>
    </tableColumn>
    <tableColumn id="8" xr3:uid="{E0D2756F-6AB0-461E-B599-6916CC2C2E89}" name="Scope 3 Emission Factor (kg CO2 - e / GJ)" dataDxfId="24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84FAC49-3706-4928-A9FD-C5E6FB5B2F52}" name="Table_Fuel_EFs_Transport" displayName="Table_Fuel_EFs_Transport" ref="D9:L34" totalsRowShown="0" headerRowDxfId="247" dataDxfId="24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81E452A-32B7-4EF0-AC81-8B973B2BBD5F}" name="Transport type" dataDxfId="245">
      <calculatedColumnFormula array="1">Common_InputFunctions.Utility_DisplayArrayInTable(Fuel_SourceData.Fuel_Scope1Scope3EmissionFactorsTransport_Data(), Table_Fuel_EFs_Transport[[#Headers],[Transport type]], 0)</calculatedColumnFormula>
    </tableColumn>
    <tableColumn id="2" xr3:uid="{45F50994-E297-4690-9A3B-7AD8F14B1B85}" name="Fuel combusted" dataDxfId="244">
      <calculatedColumnFormula array="1">Common_InputFunctions.Utility_DisplayArrayInTable(Fuel_SourceData.Fuel_Scope1Scope3EmissionFactorsTransport_Data(), Table_Fuel_EFs_Transport[[#Headers],[Transport type]], 0)</calculatedColumnFormula>
    </tableColumn>
    <tableColumn id="3" xr3:uid="{D37B6707-9A9F-4EC2-832A-630F1492EC89}" name="Energy Content Factor (GJ per unit of fuel)" dataDxfId="243">
      <calculatedColumnFormula array="1">Common_InputFunctions.Utility_DisplayArrayInTable(Fuel_SourceData.Fuel_Scope1Scope3EmissionFactorsTransport_Data(), Table_Fuel_EFs_Transport[[#Headers],[Transport type]], 0)</calculatedColumnFormula>
    </tableColumn>
    <tableColumn id="4" xr3:uid="{E0AF5796-4C2B-49F3-89FF-8C8EAB1F07AF}" name="Fuel unit" dataDxfId="242">
      <calculatedColumnFormula array="1">Common_InputFunctions.Utility_DisplayArrayInTable(Fuel_SourceData.Fuel_Scope1Scope3EmissionFactorsTransport_Data(), Table_Fuel_EFs_Transport[[#Headers],[Transport type]], 0)</calculatedColumnFormula>
    </tableColumn>
    <tableColumn id="8" xr3:uid="{0C624187-BE51-4CAF-A65A-0D564DE6F920}" name="Scope 1 Emission Factor (kg CO2 - e / GJ) CO2" dataDxfId="241">
      <calculatedColumnFormula array="1">Common_InputFunctions.Utility_DisplayArrayInTable(Fuel_SourceData.Fuel_Scope1Scope3EmissionFactorsTransport_Data(), Table_Fuel_EFs_Transport[[#Headers],[Transport type]], 0)</calculatedColumnFormula>
    </tableColumn>
    <tableColumn id="9" xr3:uid="{7EDC4625-54CB-4484-8A83-A6D6FF5CFBA6}" name="Scope 1 Emission Factor (kg CO2 - e / GJ) CH4" dataDxfId="240">
      <calculatedColumnFormula array="1">Common_InputFunctions.Utility_DisplayArrayInTable(Fuel_SourceData.Fuel_Scope1Scope3EmissionFactorsTransport_Data(), Table_Fuel_EFs_Transport[[#Headers],[Transport type]], 0)</calculatedColumnFormula>
    </tableColumn>
    <tableColumn id="10" xr3:uid="{8EBB04EA-9A40-42BB-BE23-B61D30B8BB6F}" name="Scope 1 Emission Factor (kg CO2 - e / GJ) N2O" dataDxfId="239">
      <calculatedColumnFormula array="1">Common_InputFunctions.Utility_DisplayArrayInTable(Fuel_SourceData.Fuel_Scope1Scope3EmissionFactorsTransport_Data(), Table_Fuel_EFs_Transport[[#Headers],[Transport type]], 0)</calculatedColumnFormula>
    </tableColumn>
    <tableColumn id="11" xr3:uid="{4E7EC3E5-2072-4A75-A55B-DC3D8FD47DBA}" name="Scope 1 Emission Factor (kg CO2 - e / GJ) Combined gases" dataDxfId="238">
      <calculatedColumnFormula array="1">Common_InputFunctions.Utility_DisplayArrayInTable(Fuel_SourceData.Fuel_Scope1Scope3EmissionFactorsTransport_Data(), Table_Fuel_EFs_Transport[[#Headers],[Transport type]], 0)</calculatedColumnFormula>
    </tableColumn>
    <tableColumn id="12" xr3:uid="{2AE7BB9A-B298-4635-AABB-97E39E397E78}" name="Scope 3 Emission Factor (kg CO2 - e / GJ)" dataDxfId="23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38D3DF4-4957-4905-9E33-DA22D83EE562}" name="Table_FuelTypesPerUse" displayName="Table_FuelTypesPerUse" ref="D130:I139" totalsRowShown="0" headerRowDxfId="236" dataDxfId="23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2227B60-DE69-423F-8B22-AFE5970D6F4B}" name="Generators" dataDxfId="234"/>
    <tableColumn id="2" xr3:uid="{678EF86E-9C95-46B0-9304-524FFFCCAE43}" name="Power standalone machinery or heating" dataDxfId="233"/>
    <tableColumn id="3" xr3:uid="{B7AA4746-149A-4FCB-A0CE-868FBCD7A6E1}" name="Aviation" dataDxfId="232"/>
    <tableColumn id="5" xr3:uid="{05C28AF1-2A89-4B5D-8860-D5D8B0430A1A}" name="Cars and light commercial vehicles" dataDxfId="231"/>
    <tableColumn id="7" xr3:uid="{6C101B83-7977-4DBA-BF91-B6BEF91872BA}" name="Off-road Agriculture and forestry equipment" dataDxfId="230" dataCellStyle="Content bold"/>
    <tableColumn id="8" xr3:uid="{0247B072-EDD9-4CB7-935E-FD1B7A1295B4}" name="Vessels" dataDxfId="229" dataCellStyle="Content bold"/>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9BA253-3205-40E8-8920-F39E38D5BC7F}" name="Table_Fuel_EFs_StationaryGaseous" displayName="Table_Fuel_EFs_StationaryGaseous" ref="D86:J104" totalsRowShown="0" headerRowDxfId="228" dataDxfId="22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3F689C-3CA8-460E-9C28-FEE568C3E92D}" name="Fuel combusted" dataDxfId="226">
      <calculatedColumnFormula array="1">Common_InputFunctions.Utility_DisplayArrayInTable(Fuel_SourceData.Fuel_Scope1EmissionFactorsStationaryGaseous_Data(), Table_Fuel_EFs_StationaryGaseous[[#Headers],[Fuel combusted]],0)</calculatedColumnFormula>
    </tableColumn>
    <tableColumn id="2" xr3:uid="{4FDF994C-06F3-40B9-AC51-22D6B17CE812}" name="Energy Content Factor (GJ per unit of fuel)" dataDxfId="225">
      <calculatedColumnFormula array="1">Common_InputFunctions.Utility_DisplayArrayInTable(Fuel_SourceData.Fuel_Scope1EmissionFactorsStationaryGaseous_Data(), Table_Fuel_EFs_StationaryGaseous[[#Headers],[Fuel combusted]],0)</calculatedColumnFormula>
    </tableColumn>
    <tableColumn id="3" xr3:uid="{E39519C0-927B-4A84-86B7-F8A5C658B388}" name="Fuel unit" dataDxfId="224">
      <calculatedColumnFormula array="1">Common_InputFunctions.Utility_DisplayArrayInTable(Fuel_SourceData.Fuel_Scope1EmissionFactorsStationaryGaseous_Data(), Table_Fuel_EFs_StationaryGaseous[[#Headers],[Fuel combusted]],0)</calculatedColumnFormula>
    </tableColumn>
    <tableColumn id="4" xr3:uid="{4411E8EF-EAC6-4ADE-802A-3D407078D5A6}" name="Scope 1 Emission Factor (kg CO2 - e / GJ) CO2" dataDxfId="223">
      <calculatedColumnFormula array="1">Common_InputFunctions.Utility_DisplayArrayInTable(Fuel_SourceData.Fuel_Scope1EmissionFactorsStationaryGaseous_Data(), Table_Fuel_EFs_StationaryGaseous[[#Headers],[Fuel combusted]],0)</calculatedColumnFormula>
    </tableColumn>
    <tableColumn id="5" xr3:uid="{626F09F6-F258-47F3-A873-CA8D3888B74B}" name="Scope 1 Emission Factor (kg CO2 - e / GJ) CH4" dataDxfId="222">
      <calculatedColumnFormula array="1">Common_InputFunctions.Utility_DisplayArrayInTable(Fuel_SourceData.Fuel_Scope1EmissionFactorsStationaryGaseous_Data(), Table_Fuel_EFs_StationaryGaseous[[#Headers],[Fuel combusted]],0)</calculatedColumnFormula>
    </tableColumn>
    <tableColumn id="6" xr3:uid="{613EB79B-5418-4393-8A77-4E799EEAA32D}" name="Scope 1 Emission Factor (kg CO2 - e / GJ) N2O" dataDxfId="221">
      <calculatedColumnFormula array="1">Common_InputFunctions.Utility_DisplayArrayInTable(Fuel_SourceData.Fuel_Scope1EmissionFactorsStationaryGaseous_Data(), Table_Fuel_EFs_StationaryGaseous[[#Headers],[Fuel combusted]],0)</calculatedColumnFormula>
    </tableColumn>
    <tableColumn id="7" xr3:uid="{4AD7F956-C9FF-49C5-8924-EBD00F715A8F}" name="Scope 1 Emission Factor (kg CO2 - e / GJ) Combined gases" dataDxfId="22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3FF5D12-FBCB-4B28-BC71-8546E90DF6EA}" name="Table_Fuel_EFs_StationaryGaseous34" displayName="Table_Fuel_EFs_StationaryGaseous34" ref="D112:F120" headerRowDxfId="219" totalsRowDxfId="218">
  <autoFilter ref="D112:F120" xr:uid="{7D6CE29D-2354-4FAC-9965-9A66FFA42416}">
    <filterColumn colId="0" hiddenButton="1"/>
    <filterColumn colId="1" hiddenButton="1"/>
    <filterColumn colId="2" hiddenButton="1"/>
  </autoFilter>
  <tableColumns count="3">
    <tableColumn id="1" xr3:uid="{A515EF99-9A15-41AC-803A-FB1F349DE7EB}" name="State or territory" totalsRowDxfId="217">
      <calculatedColumnFormula array="1">Common_InputFunctions.Utility_DisplayArrayInTable(Fuel_SourceData.Fuel_Scope3EmissionFactorsStationaryGaseous_Data(), Table_Fuel_EFs_StationaryGaseous34[[#Headers],[State or territory]],0)</calculatedColumnFormula>
    </tableColumn>
    <tableColumn id="2" xr3:uid="{B186F50E-48FA-4044-9523-C66C4DDF5125}" name="Metro" totalsRowDxfId="216">
      <calculatedColumnFormula array="1">Common_InputFunctions.Utility_DisplayArrayInTable(Fuel_SourceData.Fuel_Scope3EmissionFactorsStationaryGaseous_Data(), Table_Fuel_EFs_StationaryGaseous34[[#Headers],[State or territory]],0)</calculatedColumnFormula>
    </tableColumn>
    <tableColumn id="3" xr3:uid="{5D387010-35E9-4EA8-93BC-1B1456DA1515}" name="Non-metro" totalsRowDxfId="21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8A8B323-685A-4C06-A6F1-BD2E68E2A6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3CEF855-4A21-410C-8F20-36274C15E83B}" name="Fuel type"/>
    <tableColumn id="2" xr3:uid="{3E4095F8-D4C4-41D1-8B25-15E232FCA83B}" name="Unit"/>
    <tableColumn id="3" xr3:uid="{029756B0-9005-4F0B-942C-5862990C0E80}" name="Input Unit" dataDxfId="214"/>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6593DB9-3DA9-4C7E-AC0D-3D2CA2AF059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A52CA48-0ADE-4DB6-A746-2654F3AE8E0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DDB2B41-EDFC-471F-8BEA-25A03396A8DF}" name="Fuel type q"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6BDABDB-EF62-4B77-BE0B-646FF14742E0}" name="ECTrans,q (GJ/kL)"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F21436A-CA2C-42B7-8366-8BC84D8833CD}" name="Scope 1 CO2 EFTran,1,tq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FD340D61-EC05-4418-A666-D89A3A6C24BC}" name="Scope 1 CH4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4D15D3D3-3212-43CB-BB4B-FB5009C0B9C1}" name="Scope 1 N2O EFTran,1,tgg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FF3466D-CAD9-4FB2-B421-982F3CCAEBBF}" name="Scope 3 EFTrans,3,q (kg CO2-e/GJ)" dataDxfId="2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7B1F165-BCAC-4565-B72C-D52CCECAEADF}"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4D9CE71C-BCF1-40F8-9554-46329D065475}" name="Category" dataDxfId="207" dataCellStyle="Content normal">
      <calculatedColumnFormula array="1">Common_InputFunctions.Utility_DisplayArrayInTable(Scope3_SourceData.Scope3_Livestock_Data(), Table_SourceData_Scope3_Animals[[#Headers],[Category]], 0, 2)</calculatedColumnFormula>
    </tableColumn>
    <tableColumn id="2" xr3:uid="{14ECEEC6-8BCD-4FD7-8B8E-BEF20205EDBF}" name="Product" dataDxfId="206" dataCellStyle="Content normal">
      <calculatedColumnFormula array="1">Common_InputFunctions.Utility_DisplayArrayInTable(Scope3_SourceData.Scope3_Livestock_Data(), Table_SourceData_Scope3_Animals[[#Headers],[Category]], 0, 2)</calculatedColumnFormula>
    </tableColumn>
    <tableColumn id="3" xr3:uid="{8989581F-D57B-44A2-BC00-310DEF75FA86}" name="Region of origin" dataDxfId="205" dataCellStyle="Content normal">
      <calculatedColumnFormula array="1">Common_InputFunctions.Utility_DisplayArrayInTable(Scope3_SourceData.Scope3_Livestock_Data(), Table_SourceData_Scope3_Animals[[#Headers],[Category]], 0, 2)</calculatedColumnFormula>
    </tableColumn>
    <tableColumn id="8" xr3:uid="{FE956DFF-6468-4F11-B5BB-89D6DD8D9CD3}" name="Quantity Unit" dataDxfId="204" dataCellStyle="Content normal">
      <calculatedColumnFormula array="1">Common_InputFunctions.Utility_DisplayArrayInTable(Scope3_SourceData.Scope3_Livestock_Data(), Table_SourceData_Scope3_Animals[[#Headers],[Category]], 0, 2)</calculatedColumnFormula>
    </tableColumn>
    <tableColumn id="9" xr3:uid="{D331C947-31C6-42F2-86F0-B6D97C10C1DF}" name="AusLCI Emissions intensity" dataDxfId="203" dataCellStyle="Content normal">
      <calculatedColumnFormula array="1">Common_InputFunctions.Utility_DisplayArrayInTable(Scope3_SourceData.Scope3_Livestock_Data(), Table_SourceData_Scope3_Animals[[#Headers],[Category]], 0, 2)</calculatedColumnFormula>
    </tableColumn>
    <tableColumn id="10" xr3:uid="{1B793444-068D-4701-8140-DCBC57E24CDC}" name="System boundary" dataDxfId="20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28E2E10-8E3C-4D19-A965-45E676275A53}"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FB015E83-8993-4E20-843F-8D9977BF7CCC}" name="Category" dataDxfId="201" dataCellStyle="Content normal">
      <calculatedColumnFormula array="1">Common_InputFunctions.Utility_DisplayArrayInTable(Scope3_SourceData.Scope3_Chemicals_Data(), Table_SourceData_Scope3_ChemicalsCleaning[[#Headers],[Category]], 0, 2)</calculatedColumnFormula>
    </tableColumn>
    <tableColumn id="2" xr3:uid="{35DCF960-B564-4F6E-95C5-D304C64B8A21}" name="Product" dataDxfId="200" dataCellStyle="Content normal">
      <calculatedColumnFormula array="1">Common_InputFunctions.Utility_DisplayArrayInTable(Scope3_SourceData.Scope3_Chemicals_Data(), Table_SourceData_Scope3_ChemicalsCleaning[[#Headers],[Category]], 0, 2)</calculatedColumnFormula>
    </tableColumn>
    <tableColumn id="3" xr3:uid="{BA84F19B-C139-49CA-8ADC-2BF90261312C}" name="Region of origin" dataDxfId="199" dataCellStyle="Content normal">
      <calculatedColumnFormula array="1">Common_InputFunctions.Utility_DisplayArrayInTable(Scope3_SourceData.Scope3_Chemicals_Data(), Table_SourceData_Scope3_ChemicalsCleaning[[#Headers],[Category]], 0, 2)</calculatedColumnFormula>
    </tableColumn>
    <tableColumn id="8" xr3:uid="{7DAAE630-F339-4DB1-A5AE-3567B0989D1E}" name="Quantity Unit" dataDxfId="198" dataCellStyle="Content normal">
      <calculatedColumnFormula array="1">Common_InputFunctions.Utility_DisplayArrayInTable(Scope3_SourceData.Scope3_Chemicals_Data(), Table_SourceData_Scope3_ChemicalsCleaning[[#Headers],[Category]], 0, 2)</calculatedColumnFormula>
    </tableColumn>
    <tableColumn id="9" xr3:uid="{133BFDF5-F88E-4C0A-A155-2DE0092CDF45}" name="AusLCI Emissions intensity" dataDxfId="197" dataCellStyle="Content normal">
      <calculatedColumnFormula array="1">Common_InputFunctions.Utility_DisplayArrayInTable(Scope3_SourceData.Scope3_Chemicals_Data(), Table_SourceData_Scope3_ChemicalsCleaning[[#Headers],[Category]], 0, 2)</calculatedColumnFormula>
    </tableColumn>
    <tableColumn id="10" xr3:uid="{B174418F-E384-4215-AD6C-FDFE68ADA7D4}" name="System boundary" dataDxfId="196"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F40E926-5EC5-41B1-8D26-FC20D8ADE5AA}" name="Table_SourceData_Scope3_Feed" displayName="Table_SourceData_Scope3_Feed" ref="D89:I159" totalsRowShown="0" dataDxfId="195"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6BB60AA3-354B-49B4-9D7B-C6DBDE0105BE}" name="Category" dataDxfId="194" dataCellStyle="Content normal">
      <calculatedColumnFormula array="1">Common_InputFunctions.Utility_DisplayArrayInTable(Scope3_SourceData.Scope3_Feed_Data(), Table_SourceData_Scope3_Feed[[#Headers],[Category]], 0, 2)</calculatedColumnFormula>
    </tableColumn>
    <tableColumn id="2" xr3:uid="{DBC69EC0-A7BE-40B4-B17B-A47DEF54CF99}" name="Product" dataDxfId="193" dataCellStyle="Content normal">
      <calculatedColumnFormula array="1">Common_InputFunctions.Utility_DisplayArrayInTable(Scope3_SourceData.Scope3_Feed_Data(), Table_SourceData_Scope3_Feed[[#Headers],[Category]], 0, 2)</calculatedColumnFormula>
    </tableColumn>
    <tableColumn id="3" xr3:uid="{13EB9282-A595-468A-9B9C-E9578F405AC4}" name="Region of origin" dataDxfId="192" dataCellStyle="Content normal">
      <calculatedColumnFormula array="1">Common_InputFunctions.Utility_DisplayArrayInTable(Scope3_SourceData.Scope3_Feed_Data(), Table_SourceData_Scope3_Feed[[#Headers],[Category]], 0, 2)</calculatedColumnFormula>
    </tableColumn>
    <tableColumn id="8" xr3:uid="{35E501CC-A557-4D49-B74D-0BE722187FDD}" name="Quantity Unit" dataDxfId="191" dataCellStyle="Content normal">
      <calculatedColumnFormula array="1">Common_InputFunctions.Utility_DisplayArrayInTable(Scope3_SourceData.Scope3_Feed_Data(), Table_SourceData_Scope3_Feed[[#Headers],[Category]], 0, 2)</calculatedColumnFormula>
    </tableColumn>
    <tableColumn id="9" xr3:uid="{2D9B9551-867C-4D44-9F76-A5AC71BD2622}" name="AusLCI Emissions intensity" dataDxfId="190" dataCellStyle="Content normal">
      <calculatedColumnFormula array="1">Common_InputFunctions.Utility_DisplayArrayInTable(Scope3_SourceData.Scope3_Feed_Data(), Table_SourceData_Scope3_Feed[[#Headers],[Category]], 0, 2)</calculatedColumnFormula>
    </tableColumn>
    <tableColumn id="10" xr3:uid="{6068FB7B-7730-4B6E-82F3-39FD549BB9D2}" name="System boundary" dataDxfId="189"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B084E675-EDF8-40DD-A411-6ECD8A67D6B0}"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7C9CEBC-C31F-4AF6-A82D-A81BF163784B}" name="Category">
      <calculatedColumnFormula array="1">Common_InputFunctions.Utility_DisplayArrayInTable(Scope3_SourceData.Scope3_InorganicFertilisers_Data(), Table_SourceData_Scope3_InorganicFertiliser[[#Headers],[Category]], 0, 2)</calculatedColumnFormula>
    </tableColumn>
    <tableColumn id="2" xr3:uid="{7139D220-1D31-42D3-AD64-50B99A09D5C7}" name="Product">
      <calculatedColumnFormula array="1">Common_InputFunctions.Utility_DisplayArrayInTable(Scope3_SourceData.Scope3_InorganicFertilisers_Data(), Table_SourceData_Scope3_InorganicFertiliser[[#Headers],[Category]], 0, 2)</calculatedColumnFormula>
    </tableColumn>
    <tableColumn id="3" xr3:uid="{54390D38-54DB-49BB-BCA1-00D68FA2AD75}" name="Region of origin">
      <calculatedColumnFormula array="1">Common_InputFunctions.Utility_DisplayArrayInTable(Scope3_SourceData.Scope3_InorganicFertilisers_Data(), Table_SourceData_Scope3_InorganicFertiliser[[#Headers],[Category]], 0, 2)</calculatedColumnFormula>
    </tableColumn>
    <tableColumn id="4" xr3:uid="{2F0039AE-0D37-4FF5-952C-F513CA89AAC9}" name="Chemical compound"/>
    <tableColumn id="5" xr3:uid="{D15815BE-5B28-43F1-8660-81E2D2A25B48}" name="Urea source"/>
    <tableColumn id="6" xr3:uid="{091B4A2C-696B-40E0-ADAC-FF2808D350B3}" name="Ammonia source"/>
    <tableColumn id="7" xr3:uid="{CFD517E3-C593-42DB-B380-D0C8D13F018A}" name="Quantity"/>
    <tableColumn id="8" xr3:uid="{C62B1D30-EC95-40BD-9D16-AC236157A484}" name="Quantity Unit">
      <calculatedColumnFormula array="1">Common_InputFunctions.Utility_DisplayArrayInTable(Scope3_SourceData.Scope3_InorganicFertilisers_Data(), Table_SourceData_Scope3_InorganicFertiliser[[#Headers],[Category]], 0, -2)</calculatedColumnFormula>
    </tableColumn>
    <tableColumn id="9" xr3:uid="{E82CB4B0-9DE5-420B-B23A-43993C0EF043}"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CF05E812-1C21-4517-846C-EB7C2B3DE357}" name="System boundary" dataDxfId="188"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3180A2F-88C3-4D11-82FC-B98F3D77D32B}" name="Table_SourceData_Scope3_Other" displayName="Table_SourceData_Scope3_Other" ref="D201:I209" totalsRowShown="0" dataDxfId="187"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3FF47F45-7712-4078-8D01-F3E8AA2F914F}" name="Category" dataDxfId="186" dataCellStyle="Content normal">
      <calculatedColumnFormula array="1">Common_InputFunctions.Utility_DisplayArrayInTable(Scope3_SourceData.Scope3_Other_Data(), Table_SourceData_Scope3_Other[[#Headers],[Category]], 0, 2)</calculatedColumnFormula>
    </tableColumn>
    <tableColumn id="2" xr3:uid="{A12614AC-C609-4670-BA95-E37FD0E1F88C}" name="Product" dataDxfId="185" dataCellStyle="Content normal">
      <calculatedColumnFormula array="1">Common_InputFunctions.Utility_DisplayArrayInTable(Scope3_SourceData.Scope3_Other_Data(), Table_SourceData_Scope3_Other[[#Headers],[Category]], 0, 2)</calculatedColumnFormula>
    </tableColumn>
    <tableColumn id="3" xr3:uid="{404434EE-500C-4058-B52E-C7BC7165DAE2}" name="Region of origin" dataDxfId="184" dataCellStyle="Content normal">
      <calculatedColumnFormula array="1">Common_InputFunctions.Utility_DisplayArrayInTable(Scope3_SourceData.Scope3_Other_Data(), Table_SourceData_Scope3_Other[[#Headers],[Category]], 0, 2)</calculatedColumnFormula>
    </tableColumn>
    <tableColumn id="8" xr3:uid="{F3AEAE5C-3A4A-45A3-9F09-77DCB3325439}" name="Quantity Unit" dataDxfId="183" dataCellStyle="Content normal">
      <calculatedColumnFormula array="1">Common_InputFunctions.Utility_DisplayArrayInTable(Scope3_SourceData.Scope3_Other_Data(), Table_SourceData_Scope3_Other[[#Headers],[Category]], 0, 2)</calculatedColumnFormula>
    </tableColumn>
    <tableColumn id="9" xr3:uid="{120BB4E5-DDF0-4A18-87E9-12E8C6D10511}" name="AusLCI Emissions intensity" dataDxfId="182" dataCellStyle="Content normal">
      <calculatedColumnFormula array="1">Common_InputFunctions.Utility_DisplayArrayInTable(Scope3_SourceData.Scope3_Other_Data(), Table_SourceData_Scope3_Other[[#Headers],[Category]], 0, 2)</calculatedColumnFormula>
    </tableColumn>
    <tableColumn id="10" xr3:uid="{A18178B3-2BC7-4FC5-B5DD-868AEC9EF84A}" name="System boundary" dataDxfId="181"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67DA3568-2D72-4F1C-AF61-60727F028BCA}" name="Table_SourceData_Scope3_Packaging" displayName="Table_SourceData_Scope3_Packaging" ref="D212:I216" totalsRowShown="0" dataDxfId="180"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F9CB6C-F9A0-44AC-BFBE-38F117E7222A}" name="Category" dataDxfId="179" dataCellStyle="Content normal">
      <calculatedColumnFormula array="1">Common_InputFunctions.Utility_DisplayArrayInTable(Scope3_SourceData.Scope3_Packaging_Data(), Table_SourceData_Scope3_Packaging[[#Headers],[Category]], 0, 2)</calculatedColumnFormula>
    </tableColumn>
    <tableColumn id="2" xr3:uid="{5A9FBB40-7624-4FAD-A241-79C7F6444052}" name="Product" dataDxfId="178" dataCellStyle="Content normal">
      <calculatedColumnFormula array="1">Common_InputFunctions.Utility_DisplayArrayInTable(Scope3_SourceData.Scope3_Packaging_Data(), Table_SourceData_Scope3_Packaging[[#Headers],[Category]], 0, 2)</calculatedColumnFormula>
    </tableColumn>
    <tableColumn id="3" xr3:uid="{6E6C172A-43B7-4EC1-A4F0-AE56DA40F211}" name="Region of origin" dataDxfId="177" dataCellStyle="Content normal">
      <calculatedColumnFormula array="1">Common_InputFunctions.Utility_DisplayArrayInTable(Scope3_SourceData.Scope3_Packaging_Data(), Table_SourceData_Scope3_Packaging[[#Headers],[Category]], 0, 2)</calculatedColumnFormula>
    </tableColumn>
    <tableColumn id="8" xr3:uid="{69E751AD-C996-47F3-B0EF-54366D22BC77}" name="Quantity Unit" dataDxfId="176" dataCellStyle="Content normal">
      <calculatedColumnFormula array="1">Common_InputFunctions.Utility_DisplayArrayInTable(Scope3_SourceData.Scope3_Packaging_Data(), Table_SourceData_Scope3_Packaging[[#Headers],[Category]], 0, 2)</calculatedColumnFormula>
    </tableColumn>
    <tableColumn id="9" xr3:uid="{99794E35-068B-4393-840F-7D23C55D4E9D}" name="AusLCI Emissions intensity" dataDxfId="175" dataCellStyle="Content normal">
      <calculatedColumnFormula array="1">Common_InputFunctions.Utility_DisplayArrayInTable(Scope3_SourceData.Scope3_Packaging_Data(), Table_SourceData_Scope3_Packaging[[#Headers],[Category]], 0, 2)</calculatedColumnFormula>
    </tableColumn>
    <tableColumn id="10" xr3:uid="{D6C97ACE-F786-430D-A37E-C7F68151D074}" name="System boundary" dataDxfId="174"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E5AEDD6-8242-46BA-BE19-9E18688BD08D}" name="Table_SourceData_Scope3_Pesticides" displayName="Table_SourceData_Scope3_Pesticides" ref="D219:I231" totalsRowShown="0" dataDxfId="173"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4B46005E-C15F-403A-A671-9016BDEAAED4}" name="Category" dataDxfId="172" dataCellStyle="Content normal">
      <calculatedColumnFormula array="1">Common_InputFunctions.Utility_DisplayArrayInTable(Scope3_SourceData.Scope3_Pesticides_Data(), Table_SourceData_Scope3_Pesticides[[#Headers],[Category]], 0, 2)</calculatedColumnFormula>
    </tableColumn>
    <tableColumn id="2" xr3:uid="{E2B93E83-972E-4E5E-AB5E-55F296E1A3FE}" name="Product" dataDxfId="171" dataCellStyle="Content normal">
      <calculatedColumnFormula array="1">Common_InputFunctions.Utility_DisplayArrayInTable(Scope3_SourceData.Scope3_Pesticides_Data(), Table_SourceData_Scope3_Pesticides[[#Headers],[Category]], 0, 2)</calculatedColumnFormula>
    </tableColumn>
    <tableColumn id="3" xr3:uid="{07301168-CCB3-434A-97B0-56D6C9A1DCB7}" name="Region of origin" dataDxfId="170" dataCellStyle="Content normal">
      <calculatedColumnFormula array="1">Common_InputFunctions.Utility_DisplayArrayInTable(Scope3_SourceData.Scope3_Pesticides_Data(), Table_SourceData_Scope3_Pesticides[[#Headers],[Category]], 0, 2)</calculatedColumnFormula>
    </tableColumn>
    <tableColumn id="8" xr3:uid="{11E0A45B-40D6-425E-BAF3-2AB3ED4AF5E4}" name="Quantity Unit" dataDxfId="169" dataCellStyle="Content normal">
      <calculatedColumnFormula array="1">Common_InputFunctions.Utility_DisplayArrayInTable(Scope3_SourceData.Scope3_Pesticides_Data(), Table_SourceData_Scope3_Pesticides[[#Headers],[Category]], 0, 2)</calculatedColumnFormula>
    </tableColumn>
    <tableColumn id="9" xr3:uid="{075533AB-A5AD-4AD9-A483-EDAA13F0FEFD}" name="AusLCI Emissions intensity" dataDxfId="168" dataCellStyle="Content normal">
      <calculatedColumnFormula array="1">Common_InputFunctions.Utility_DisplayArrayInTable(Scope3_SourceData.Scope3_Pesticides_Data(), Table_SourceData_Scope3_Pesticides[[#Headers],[Category]], 0, 2)</calculatedColumnFormula>
    </tableColumn>
    <tableColumn id="10" xr3:uid="{094D2702-8DAF-419E-8474-A4C7FDAEBE78}" name="System boundary" dataDxfId="167"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D17E85DF-CEAC-4ACD-8EF8-28E5BEE42581}" name="Table_SourceData_Scope3_SoilAmeliorants" displayName="Table_SourceData_Scope3_SoilAmeliorants" ref="D234:I237" totalsRowShown="0" dataDxfId="166"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2790F5FD-F6FB-4B51-A42C-855BACC14045}" name="Category" dataDxfId="165" dataCellStyle="Content normal">
      <calculatedColumnFormula array="1">Common_InputFunctions.Utility_DisplayArrayInTable(Scope3_SourceData.Scope3_SoilAmendments_Data(), Table_SourceData_Scope3_SoilAmeliorants[[#Headers],[Category]], 0, 2)</calculatedColumnFormula>
    </tableColumn>
    <tableColumn id="2" xr3:uid="{50852394-FE32-453A-AD95-F38E3C6F0217}" name="Product" dataDxfId="164" dataCellStyle="Content normal">
      <calculatedColumnFormula array="1">Common_InputFunctions.Utility_DisplayArrayInTable(Scope3_SourceData.Scope3_SoilAmendments_Data(), Table_SourceData_Scope3_SoilAmeliorants[[#Headers],[Category]], 0, 2)</calculatedColumnFormula>
    </tableColumn>
    <tableColumn id="3" xr3:uid="{79CDE58B-7814-486B-9D24-52056F5B3E7F}" name="Region of origin" dataDxfId="163" dataCellStyle="Content normal">
      <calculatedColumnFormula array="1">Common_InputFunctions.Utility_DisplayArrayInTable(Scope3_SourceData.Scope3_SoilAmendments_Data(), Table_SourceData_Scope3_SoilAmeliorants[[#Headers],[Category]], 0, 2)</calculatedColumnFormula>
    </tableColumn>
    <tableColumn id="8" xr3:uid="{E38FE57A-D564-4184-9664-A339A293ECD8}" name="Quantity Unit" dataDxfId="162" dataCellStyle="Content normal">
      <calculatedColumnFormula array="1">Common_InputFunctions.Utility_DisplayArrayInTable(Scope3_SourceData.Scope3_SoilAmendments_Data(), Table_SourceData_Scope3_SoilAmeliorants[[#Headers],[Category]], 0, 2)</calculatedColumnFormula>
    </tableColumn>
    <tableColumn id="9" xr3:uid="{8E5FF524-F9CA-4C50-A1C9-D8343514B536}" name="AusLCI Emissions intensity" dataDxfId="161" dataCellStyle="Content normal">
      <calculatedColumnFormula array="1">Common_InputFunctions.Utility_DisplayArrayInTable(Scope3_SourceData.Scope3_SoilAmendments_Data(), Table_SourceData_Scope3_SoilAmeliorants[[#Headers],[Category]], 0, 2)</calculatedColumnFormula>
    </tableColumn>
    <tableColumn id="10" xr3:uid="{15B9021C-F8C1-4B73-BDA9-051B674673AE}" name="System boundary" dataDxfId="160"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F1BCEF2-2548-4447-89B3-7F91694A1640}" name="Table_SourceData_Scope3_ChemicalsPharmacy" displayName="Table_SourceData_Scope3_ChemicalsPharmacy" ref="D82:I86" totalsRowShown="0" dataDxfId="159"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F45280C9-D3BA-41EA-9547-0AE40D212EEE}" name="Category" dataDxfId="158" dataCellStyle="Content normal">
      <calculatedColumnFormula array="1">Common_InputFunctions.Utility_DisplayArrayInTable(Scope3_SourceData.Scope3_Chemicals_Data(), Table_SourceData_Scope3_ChemicalsPharmacy[[#Headers],[Category]], -3, 2)</calculatedColumnFormula>
    </tableColumn>
    <tableColumn id="2" xr3:uid="{E38B3A9E-807C-4880-80AF-B5EB60F58517}" name="Product" dataDxfId="157" dataCellStyle="Content normal">
      <calculatedColumnFormula array="1">Common_InputFunctions.Utility_DisplayArrayInTable(Scope3_SourceData.Scope3_Chemicals_Data(), Table_SourceData_Scope3_ChemicalsPharmacy[[#Headers],[Category]], -3, 2)</calculatedColumnFormula>
    </tableColumn>
    <tableColumn id="3" xr3:uid="{D214C1B2-7421-49AB-8722-08E73F234478}" name="Region of origin" dataDxfId="156" dataCellStyle="Content normal">
      <calculatedColumnFormula array="1">Common_InputFunctions.Utility_DisplayArrayInTable(Scope3_SourceData.Scope3_Chemicals_Data(), Table_SourceData_Scope3_ChemicalsPharmacy[[#Headers],[Category]], -3, 2)</calculatedColumnFormula>
    </tableColumn>
    <tableColumn id="8" xr3:uid="{BDFDC91F-14CE-4926-8652-9308433FA41D}" name="Quantity Unit" dataDxfId="155" dataCellStyle="Content normal">
      <calculatedColumnFormula array="1">Common_InputFunctions.Utility_DisplayArrayInTable(Scope3_SourceData.Scope3_Chemicals_Data(), Table_SourceData_Scope3_ChemicalsPharmacy[[#Headers],[Category]], -3, 2)</calculatedColumnFormula>
    </tableColumn>
    <tableColumn id="9" xr3:uid="{B90E2B60-A7BC-428D-9437-4CF2762291DB}" name="AusLCI Emissions intensity" dataDxfId="154" dataCellStyle="Content normal">
      <calculatedColumnFormula array="1">Common_InputFunctions.Utility_DisplayArrayInTable(Scope3_SourceData.Scope3_Chemicals_Data(), Table_SourceData_Scope3_ChemicalsPharmacy[[#Headers],[Category]], -3, 2)</calculatedColumnFormula>
    </tableColumn>
    <tableColumn id="10" xr3:uid="{33F2FE22-E418-48B6-846B-00920B86A45D}" name="System boundary" dataDxfId="153"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4BFE08C-5E4C-4BA6-8BDC-589AB5221917}" name="Table_SourceData_Scope3_LickBlocks" displayName="Table_SourceData_Scope3_LickBlocks" ref="D167:I170" totalsRowShown="0" headerRowDxfId="152"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ECAE1F9A-34F8-4AB1-8C49-7F454CFA0475}" name="Category" dataDxfId="151" dataCellStyle="Content normal">
      <calculatedColumnFormula array="1">Common_InputFunctions.Utility_DisplayArrayInTable(Scope3_SourceData.Scope3_Feed_Data(), Table_SourceData_Scope3_LickBlocks[[#Headers],[Category]], -73, 2)</calculatedColumnFormula>
    </tableColumn>
    <tableColumn id="2" xr3:uid="{3A82C325-45AE-4017-8065-DE715259224A}" name="Product" dataDxfId="150" dataCellStyle="Content normal">
      <calculatedColumnFormula array="1">Common_InputFunctions.Utility_DisplayArrayInTable(Scope3_SourceData.Scope3_Feed_Data(), Table_SourceData_Scope3_LickBlocks[[#Headers],[Category]], -73, 2)</calculatedColumnFormula>
    </tableColumn>
    <tableColumn id="3" xr3:uid="{94A3D937-75D1-46B3-8712-2B3D1F5CCD2E}" name="Region of origin" dataDxfId="149" dataCellStyle="Content normal">
      <calculatedColumnFormula array="1">Common_InputFunctions.Utility_DisplayArrayInTable(Scope3_SourceData.Scope3_Feed_Data(), Table_SourceData_Scope3_LickBlocks[[#Headers],[Category]], -73, 2)</calculatedColumnFormula>
    </tableColumn>
    <tableColumn id="4" xr3:uid="{5836EE91-5776-416A-AE12-F6A88CDB725D}" name="Quantity Unit" dataDxfId="148" dataCellStyle="Content normal">
      <calculatedColumnFormula array="1">Common_InputFunctions.Utility_DisplayArrayInTable(Scope3_SourceData.Scope3_Feed_Data(), Table_SourceData_Scope3_LickBlocks[[#Headers],[Category]], -73, 2)</calculatedColumnFormula>
    </tableColumn>
    <tableColumn id="5" xr3:uid="{35FA573C-FF41-4C79-81ED-1237D7E07A39}" name="AusLCI Emissions intensity" dataDxfId="147" dataCellStyle="Content normal">
      <calculatedColumnFormula array="1">Common_InputFunctions.Utility_DisplayArrayInTable(Scope3_SourceData.Scope3_Feed_Data(), Table_SourceData_Scope3_LickBlocks[[#Headers],[Category]], -73, 2)</calculatedColumnFormula>
    </tableColumn>
    <tableColumn id="6" xr3:uid="{30BC1154-FE01-4431-9F16-90C1AFA23BF2}" name="System boundary" dataDxfId="146"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421D0B6-CE07-4EA2-A10F-D2A6A1BFB92A}" name="Table_SourceData_Scope3_MixedRations" displayName="Table_SourceData_Scope3_MixedRations" ref="D161:I165" totalsRowShown="0" headerRowDxfId="145"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AE58B0F1-8F5E-42EF-8054-96D3893418A9}" name="Category" dataDxfId="144" dataCellStyle="Content normal">
      <calculatedColumnFormula array="1">Common_InputFunctions.Utility_DisplayArrayInTable(Scope3_SourceData.Scope3_Feed_Data(), Table_SourceData_Scope3_MixedRations[[#Headers],[Category]], -66, 2)</calculatedColumnFormula>
    </tableColumn>
    <tableColumn id="2" xr3:uid="{1C5AAC61-9F79-4776-875F-3E03F0F399BC}" name="Product" dataDxfId="143" dataCellStyle="Content normal">
      <calculatedColumnFormula array="1">Common_InputFunctions.Utility_DisplayArrayInTable(Scope3_SourceData.Scope3_Feed_Data(), Table_SourceData_Scope3_MixedRations[[#Headers],[Category]], -66, 2)</calculatedColumnFormula>
    </tableColumn>
    <tableColumn id="3" xr3:uid="{68079ECD-103F-4C01-9164-257292391968}" name="Region of origin" dataDxfId="142" dataCellStyle="Content normal">
      <calculatedColumnFormula array="1">Common_InputFunctions.Utility_DisplayArrayInTable(Scope3_SourceData.Scope3_Feed_Data(), Table_SourceData_Scope3_MixedRations[[#Headers],[Category]], -66, 2)</calculatedColumnFormula>
    </tableColumn>
    <tableColumn id="4" xr3:uid="{8E5F2853-5874-4E61-A64C-EC6F74DA2CF1}" name="Quantity Unit" dataDxfId="141" dataCellStyle="Content normal">
      <calculatedColumnFormula array="1">Common_InputFunctions.Utility_DisplayArrayInTable(Scope3_SourceData.Scope3_Feed_Data(), Table_SourceData_Scope3_MixedRations[[#Headers],[Category]], -66, 2)</calculatedColumnFormula>
    </tableColumn>
    <tableColumn id="5" xr3:uid="{F42A8D46-4C45-493F-88C2-BE2D91C8B66F}" name="AusLCI Emissions intensity" dataDxfId="140" dataCellStyle="Content normal">
      <calculatedColumnFormula array="1">Common_InputFunctions.Utility_DisplayArrayInTable(Scope3_SourceData.Scope3_Feed_Data(), Table_SourceData_Scope3_MixedRations[[#Headers],[Category]], -66, 2)</calculatedColumnFormula>
    </tableColumn>
    <tableColumn id="6" xr3:uid="{750CBDA6-C04B-47C1-86E1-920A358A3B3E}" name="System boundary" dataDxfId="139"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1B02B98-4389-48A2-9A8C-E3D6C7F55D42}"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BD94C591-7B23-4E88-97EB-D9DF44509496}" name="Product">
      <calculatedColumnFormula>Table_SourceData_Scope3_Feed[[#This Row],[Product]]</calculatedColumnFormula>
    </tableColumn>
    <tableColumn id="2" xr3:uid="{3ADAE8D6-67DE-4DD1-84DF-459847D5CCEE}"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AA84F0C-A71E-47F6-95F9-161AE930A90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A2946712-DF26-4C87-AA52-7447F9ABBED7}" name="Product">
      <calculatedColumnFormula>Table_SourceData_Scope3_Feed[[#This Row],[Product]]</calculatedColumnFormula>
    </tableColumn>
    <tableColumn id="2" xr3:uid="{47A52D5B-CA42-4827-8DE4-71EA9FF782C2}"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7BEBBA0-67F6-429B-B499-0877811A0E3E}" name="Table_ProductRegions_Maizegrain" displayName="Table_ProductRegions_Maizegrain" ref="K98:L105" totalsRowShown="0" headerRowDxfId="138" headerRowCellStyle="Content normal">
  <autoFilter ref="K98:L105" xr:uid="{70F320A7-5DBE-4A83-91E4-C9B3BDA564BD}">
    <filterColumn colId="0" hiddenButton="1"/>
    <filterColumn colId="1" hiddenButton="1"/>
  </autoFilter>
  <tableColumns count="2">
    <tableColumn id="1" xr3:uid="{3A5BC642-CEF7-4182-9892-05E07EF7B204}" name="Product">
      <calculatedColumnFormula>Table_SourceData_Scope3_Feed[[#This Row],[Product]]</calculatedColumnFormula>
    </tableColumn>
    <tableColumn id="2" xr3:uid="{66542074-9894-467E-86CB-5DBF81C94DC4}"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C8310BB6-42EF-4E69-94A8-48D956C94A0A}" name="Table_ProductRegions_Sorghumgrain" displayName="Table_ProductRegions_Sorghumgrain" ref="N105:O110" totalsRowShown="0" headerRowDxfId="137" headerRowCellStyle="Content normal">
  <autoFilter ref="N105:O110" xr:uid="{90205417-8A77-41A3-A4E2-624BD92B7269}">
    <filterColumn colId="0" hiddenButton="1"/>
    <filterColumn colId="1" hiddenButton="1"/>
  </autoFilter>
  <tableColumns count="2">
    <tableColumn id="1" xr3:uid="{0A054E99-F690-4E31-86A3-42ACE3D320E0}" name="Product">
      <calculatedColumnFormula>Table_SourceData_Scope3_Feed[[#This Row],[Product]]</calculatedColumnFormula>
    </tableColumn>
    <tableColumn id="2" xr3:uid="{DE4A2EBE-DB16-4630-AECA-6F304414DF9D}"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193452E-C37C-4DD3-B94E-A475CD37EA70}" name="Table_ProductRegions_Wheatgrain" displayName="Table_ProductRegions_Wheatgrain" ref="K110:L118" totalsRowShown="0" headerRowDxfId="136" headerRowCellStyle="Content normal">
  <autoFilter ref="K110:L118" xr:uid="{9DD7D3AD-59A1-48FC-B80D-99C25A2A79F5}">
    <filterColumn colId="0" hiddenButton="1"/>
    <filterColumn colId="1" hiddenButton="1"/>
  </autoFilter>
  <tableColumns count="2">
    <tableColumn id="1" xr3:uid="{B80522B8-8133-4876-BD11-E4C20B18D6E9}" name="Product">
      <calculatedColumnFormula>Table_SourceData_Scope3_Feed[[#This Row],[Product]]</calculatedColumnFormula>
    </tableColumn>
    <tableColumn id="2" xr3:uid="{F06B2315-831E-42DA-8F5C-BAA12C1EEA4B}"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801DA9-8D84-462F-980C-55E62D027BD9}"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16F9B1DB-396D-401A-9513-B0A9C5B20762}" name="Product">
      <calculatedColumnFormula>Table_SourceData_Scope3_Feed[[#This Row],[Product]]</calculatedColumnFormula>
    </tableColumn>
    <tableColumn id="2" xr3:uid="{C8537E2C-D10D-40D0-8AA8-5FF448665250}"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0620400-8697-40ED-A65F-B5BDD48A842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0A7F554B-28E4-48C0-A419-6698D143DF41}" name="Product">
      <calculatedColumnFormula>Table_SourceData_Scope3_Feed[[#This Row],[Product]]</calculatedColumnFormula>
    </tableColumn>
    <tableColumn id="2" xr3:uid="{54E63889-EB7D-457E-BD5C-FFFD9372ADF0}"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AB5480-EA2F-414E-A931-F6E40120ECAF}"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E6B4D582-0515-4816-B803-C8EB9312F1CD}" name="Product">
      <calculatedColumnFormula>Table_SourceData_Scope3_Feed[[#This Row],[Product]]</calculatedColumnFormula>
    </tableColumn>
    <tableColumn id="2" xr3:uid="{BAD1B78F-51E3-4089-953B-14F3D07D476B}"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8A25030-3109-488A-9C0B-67AF1C657C1D}"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14F73F88-4364-4D91-B74C-22AA793A005A}" name="Product">
      <calculatedColumnFormula>Table_SourceData_Scope3_Feed[[#This Row],[Product]]</calculatedColumnFormula>
    </tableColumn>
    <tableColumn id="2" xr3:uid="{E3E4C697-D7B4-4877-8182-6198262E28F0}"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B3CA9AE-5BEA-41C4-9C83-DE24387F7044}"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742CDEC4-AE33-46B9-AC97-732F1EE16722}" name="Product">
      <calculatedColumnFormula>Table_SourceData_Scope3_Feed[[#This Row],[Product]]</calculatedColumnFormula>
    </tableColumn>
    <tableColumn id="2" xr3:uid="{3624143A-8685-4873-AD65-745C319E1C65}"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3FA5397-1AC1-4D09-B570-49E4832078FE}" name="Table_ProductRegions_Canolameal" displayName="Table_ProductRegions_Canolameal" ref="K151:L152" totalsRowShown="0" headerRowDxfId="135" headerRowCellStyle="Content normal" dataCellStyle="Content normal">
  <autoFilter ref="K151:L152" xr:uid="{58F78B6F-294E-4D4E-8E3B-BFE4FA85583E}">
    <filterColumn colId="0" hiddenButton="1"/>
    <filterColumn colId="1" hiddenButton="1"/>
  </autoFilter>
  <tableColumns count="2">
    <tableColumn id="1" xr3:uid="{631B52D0-E952-42F6-9353-F0BCCD32BBFE}" name="Product" dataCellStyle="Content normal">
      <calculatedColumnFormula>Table_SourceData_Scope3_Feed[[#This Row],[Product]]</calculatedColumnFormula>
    </tableColumn>
    <tableColumn id="2" xr3:uid="{D6C858E2-9AEB-49BD-A162-180A85A44F66}"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E8BD34B-C422-48CF-AB84-2DE02CFE09E1}"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065739D3-1E5F-4B82-8943-A1C70B832DE3}" name="Product">
      <calculatedColumnFormula>Table_SourceData_Scope3_Feed[[#This Row],[Product]]</calculatedColumnFormula>
    </tableColumn>
    <tableColumn id="2" xr3:uid="{F4B2A33E-263A-4C3E-96BA-E789B38F769D}"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F6B62A4F-AC5E-483C-98E4-69DB9D6015A8}"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C7EAFFAA-BC0F-4A6A-87C9-E7597C1B4779}" name="Product">
      <calculatedColumnFormula>Table_SourceData_Scope3_Feed[[#This Row],[Product]]</calculatedColumnFormula>
    </tableColumn>
    <tableColumn id="2" xr3:uid="{9F72C0F2-DC0C-452B-A348-0E0B3AC9D710}"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CA42E6D-9051-47D3-89CD-15D1621899AD}"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0008E51E-8E9A-4EF8-AB2F-8CD076E65094}" name="Product">
      <calculatedColumnFormula>Table_SourceData_Scope3_Feed[[#This Row],[Product]]</calculatedColumnFormula>
    </tableColumn>
    <tableColumn id="2" xr3:uid="{9F6AA76B-86F6-4949-A6B9-D81E50264A4A}"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01A1897-187B-4B58-AE19-5E8C8011B680}"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641FB97D-B0E3-466E-8EF2-A34711A68B47}" name="Product">
      <calculatedColumnFormula>Table_SourceData_Scope3_Feed[[#This Row],[Product]]</calculatedColumnFormula>
    </tableColumn>
    <tableColumn id="2" xr3:uid="{A142F7F4-950D-4932-B5E2-610D4C1E1ED3}"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2620617-D81D-478E-A64A-31F9EEE4FB2C}"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6D3602C4-87D0-47AB-B6BF-C52323A109F3}" name="Product">
      <calculatedColumnFormula>Table_SourceData_Scope3_Feed[[#This Row],[Product]]</calculatedColumnFormula>
    </tableColumn>
    <tableColumn id="2" xr3:uid="{756577A1-1B37-49E6-B693-F3C347B9F0AC}"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DDAE75BA-EABC-46F5-8802-D9024DFFB46A}"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18A0728-1CCE-4EA0-8A2C-84B09C02A8C9}" name="Product">
      <calculatedColumnFormula>Table_SourceData_Scope3_Feed[[#This Row],[Product]]</calculatedColumnFormula>
    </tableColumn>
    <tableColumn id="2" xr3:uid="{A956289A-2032-43C4-92DA-1DED6EA1EBEF}"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3CC172B8-FA07-43CA-8BB2-A701E0052D5F}"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0CAB433-5A5D-4B81-B395-CDABDFEE70A9}" name="Product">
      <calculatedColumnFormula>Table_SourceData_Scope3_Feed[[#This Row],[Product]]</calculatedColumnFormula>
    </tableColumn>
    <tableColumn id="2" xr3:uid="{56575A93-A6C8-4A62-A3C0-62542E569228}"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542FA43-C3F3-4752-89FF-7A08665FABD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24B4CD06-4CB8-4141-904C-1AB67E68370D}" name="Region"/>
    <tableColumn id="2" xr3:uid="{6B83C8C2-9679-4DB6-922A-9D54EAE250D5}" name="Scope3 regio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9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41452F5-7BDB-4E5B-87C2-1CB32BE0ED6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C6F056C0-7CED-4913-BA03-39947177AF59}" name="Description"/>
    <tableColumn id="5" xr3:uid="{C0DA9B7E-A6A5-4F97-B94B-5613ECAB625B}" name="Treatment type (select)" dataCellStyle="Input select"/>
    <tableColumn id="2" xr3:uid="{98DDFB63-0E1F-4E8B-B235-7BD05CDB0C1D}" name="Waste type (select)" dataCellStyle="Input select"/>
    <tableColumn id="3" xr3:uid="{70F9E9E9-690C-4E05-BD44-D11AD8EF88B3}" name="Treatment location (select)" dataCellStyle="Input select"/>
    <tableColumn id="4" xr3:uid="{B4294C80-C24B-49EE-9B2E-6708F4FEC3B1}" name="Amount" dataCellStyle="Input number general"/>
    <tableColumn id="7" xr3:uid="{E533222F-05AC-4710-9976-9610FF945355}" name="Amount unit (select)" dataCellStyle="Input select"/>
  </tableColumns>
  <tableStyleInfo name="Editable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12CDA0D-AA70-4DD8-80EF-CCE0F6A09A4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B63CD60E-6B23-4838-ACBB-7EA86E9DBD0B}"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69E30B6-35B2-4A2F-BC67-AB0A1A5D8BCD}"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01F00F5A-37BD-42DE-A0B1-133BAB13F447}"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0C5ED4B-22C4-406D-82B7-39A34CEF0719}"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42BC3B5-05BB-4579-B972-C551544EB279}"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3708A0-2FE6-4B96-99F5-A6D727A9A71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2672289-D615-4922-8DCB-52FD2A4BC1F7}"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59D44F5F-019F-4C6E-AC11-EE58939092BC}" name="Table_WasteTypes_Landfill" displayName="Table_WasteTypes_Landfill" ref="I16:I27" totalsRowShown="0">
  <autoFilter ref="I16:I27" xr:uid="{99B942E3-1D24-4166-921C-DCC10960718D}">
    <filterColumn colId="0" hiddenButton="1"/>
  </autoFilter>
  <tableColumns count="1">
    <tableColumn id="1" xr3:uid="{860FFB6F-3DCA-40D7-86E2-EBE644E1944B}"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57E211D-F84E-4748-9FA7-70AD65BD6437}"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2FD3A26D-15DF-4931-AC4F-89237C5AB9FF}" name="Waste type w" dataCellStyle="Content normal">
      <calculatedColumnFormula>E29</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61A540D-0B5C-4BCA-BE18-D4D651CB3840}"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EEF76E21-172A-4A46-A07C-ADCBF5582AA8}" name="Waste type w" totalsRowDxfId="92" dataCellStyle="Content normal">
      <calculatedColumnFormula>E40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EA82A4E3-EF36-462B-A69E-7235A1A448DC}"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740D159F-04BE-4376-8472-AB86083475AA}" name="Waste type w" totalsRowDxfId="90"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6.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 Id="rId9"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printerSettings" Target="../printerSettings/printerSettings19.bin"/><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20.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12" Type="http://schemas.openxmlformats.org/officeDocument/2006/relationships/table" Target="../tables/table44.xml"/><Relationship Id="rId2" Type="http://schemas.openxmlformats.org/officeDocument/2006/relationships/table" Target="../tables/table34.xml"/><Relationship Id="rId1" Type="http://schemas.openxmlformats.org/officeDocument/2006/relationships/printerSettings" Target="../printerSettings/printerSettings21.bin"/><Relationship Id="rId6" Type="http://schemas.openxmlformats.org/officeDocument/2006/relationships/table" Target="../tables/table38.xml"/><Relationship Id="rId11" Type="http://schemas.openxmlformats.org/officeDocument/2006/relationships/table" Target="../tables/table43.xml"/><Relationship Id="rId5" Type="http://schemas.openxmlformats.org/officeDocument/2006/relationships/table" Target="../tables/table37.xml"/><Relationship Id="rId10" Type="http://schemas.openxmlformats.org/officeDocument/2006/relationships/table" Target="../tables/table42.xml"/><Relationship Id="rId4" Type="http://schemas.openxmlformats.org/officeDocument/2006/relationships/table" Target="../tables/table36.xml"/><Relationship Id="rId9"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47.xml"/><Relationship Id="rId7" Type="http://schemas.openxmlformats.org/officeDocument/2006/relationships/table" Target="../tables/table51.xml"/><Relationship Id="rId2" Type="http://schemas.openxmlformats.org/officeDocument/2006/relationships/table" Target="../tables/table46.xml"/><Relationship Id="rId1" Type="http://schemas.openxmlformats.org/officeDocument/2006/relationships/table" Target="../tables/table45.xml"/><Relationship Id="rId6" Type="http://schemas.openxmlformats.org/officeDocument/2006/relationships/table" Target="../tables/table50.xml"/><Relationship Id="rId5" Type="http://schemas.openxmlformats.org/officeDocument/2006/relationships/table" Target="../tables/table49.xml"/><Relationship Id="rId4" Type="http://schemas.openxmlformats.org/officeDocument/2006/relationships/table" Target="../tables/table48.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59.xml"/><Relationship Id="rId13" Type="http://schemas.openxmlformats.org/officeDocument/2006/relationships/table" Target="../tables/table64.xml"/><Relationship Id="rId18" Type="http://schemas.openxmlformats.org/officeDocument/2006/relationships/table" Target="../tables/table69.xml"/><Relationship Id="rId26" Type="http://schemas.openxmlformats.org/officeDocument/2006/relationships/table" Target="../tables/table77.xml"/><Relationship Id="rId3" Type="http://schemas.openxmlformats.org/officeDocument/2006/relationships/table" Target="../tables/table54.xml"/><Relationship Id="rId21" Type="http://schemas.openxmlformats.org/officeDocument/2006/relationships/table" Target="../tables/table72.xml"/><Relationship Id="rId7" Type="http://schemas.openxmlformats.org/officeDocument/2006/relationships/table" Target="../tables/table58.xml"/><Relationship Id="rId12" Type="http://schemas.openxmlformats.org/officeDocument/2006/relationships/table" Target="../tables/table63.xml"/><Relationship Id="rId17" Type="http://schemas.openxmlformats.org/officeDocument/2006/relationships/table" Target="../tables/table68.xml"/><Relationship Id="rId25" Type="http://schemas.openxmlformats.org/officeDocument/2006/relationships/table" Target="../tables/table76.xml"/><Relationship Id="rId2" Type="http://schemas.openxmlformats.org/officeDocument/2006/relationships/table" Target="../tables/table53.xml"/><Relationship Id="rId16" Type="http://schemas.openxmlformats.org/officeDocument/2006/relationships/table" Target="../tables/table67.xml"/><Relationship Id="rId20" Type="http://schemas.openxmlformats.org/officeDocument/2006/relationships/table" Target="../tables/table71.xml"/><Relationship Id="rId29" Type="http://schemas.openxmlformats.org/officeDocument/2006/relationships/table" Target="../tables/table80.xml"/><Relationship Id="rId1" Type="http://schemas.openxmlformats.org/officeDocument/2006/relationships/table" Target="../tables/table52.xml"/><Relationship Id="rId6" Type="http://schemas.openxmlformats.org/officeDocument/2006/relationships/table" Target="../tables/table57.xml"/><Relationship Id="rId11" Type="http://schemas.openxmlformats.org/officeDocument/2006/relationships/table" Target="../tables/table62.xml"/><Relationship Id="rId24" Type="http://schemas.openxmlformats.org/officeDocument/2006/relationships/table" Target="../tables/table75.xml"/><Relationship Id="rId5" Type="http://schemas.openxmlformats.org/officeDocument/2006/relationships/table" Target="../tables/table56.xml"/><Relationship Id="rId15" Type="http://schemas.openxmlformats.org/officeDocument/2006/relationships/table" Target="../tables/table66.xml"/><Relationship Id="rId23" Type="http://schemas.openxmlformats.org/officeDocument/2006/relationships/table" Target="../tables/table74.xml"/><Relationship Id="rId28" Type="http://schemas.openxmlformats.org/officeDocument/2006/relationships/table" Target="../tables/table79.xml"/><Relationship Id="rId10" Type="http://schemas.openxmlformats.org/officeDocument/2006/relationships/table" Target="../tables/table61.xml"/><Relationship Id="rId19" Type="http://schemas.openxmlformats.org/officeDocument/2006/relationships/table" Target="../tables/table70.xml"/><Relationship Id="rId4" Type="http://schemas.openxmlformats.org/officeDocument/2006/relationships/table" Target="../tables/table55.xml"/><Relationship Id="rId9" Type="http://schemas.openxmlformats.org/officeDocument/2006/relationships/table" Target="../tables/table60.xml"/><Relationship Id="rId14" Type="http://schemas.openxmlformats.org/officeDocument/2006/relationships/table" Target="../tables/table65.xml"/><Relationship Id="rId22" Type="http://schemas.openxmlformats.org/officeDocument/2006/relationships/table" Target="../tables/table73.xml"/><Relationship Id="rId27" Type="http://schemas.openxmlformats.org/officeDocument/2006/relationships/table" Target="../tables/table78.xml"/><Relationship Id="rId30" Type="http://schemas.openxmlformats.org/officeDocument/2006/relationships/table" Target="../tables/table8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3" Type="http://schemas.openxmlformats.org/officeDocument/2006/relationships/table" Target="../tables/table83.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 Type="http://schemas.openxmlformats.org/officeDocument/2006/relationships/table" Target="../tables/table82.xml"/><Relationship Id="rId16" Type="http://schemas.openxmlformats.org/officeDocument/2006/relationships/table" Target="../tables/table96.xml"/><Relationship Id="rId1" Type="http://schemas.openxmlformats.org/officeDocument/2006/relationships/printerSettings" Target="../printerSettings/printerSettings22.bin"/><Relationship Id="rId6" Type="http://schemas.openxmlformats.org/officeDocument/2006/relationships/table" Target="../tables/table86.xml"/><Relationship Id="rId11" Type="http://schemas.openxmlformats.org/officeDocument/2006/relationships/table" Target="../tables/table91.xml"/><Relationship Id="rId5" Type="http://schemas.openxmlformats.org/officeDocument/2006/relationships/table" Target="../tables/table85.xml"/><Relationship Id="rId15" Type="http://schemas.openxmlformats.org/officeDocument/2006/relationships/table" Target="../tables/table95.xml"/><Relationship Id="rId10" Type="http://schemas.openxmlformats.org/officeDocument/2006/relationships/table" Target="../tables/table90.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99.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25.bin"/><Relationship Id="rId6" Type="http://schemas.openxmlformats.org/officeDocument/2006/relationships/table" Target="../tables/table104.xml"/><Relationship Id="rId5" Type="http://schemas.openxmlformats.org/officeDocument/2006/relationships/table" Target="../tables/table103.xml"/><Relationship Id="rId4" Type="http://schemas.openxmlformats.org/officeDocument/2006/relationships/table" Target="../tables/table10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8"/>
  <sheetViews>
    <sheetView zoomScaleNormal="100" workbookViewId="0">
      <selection activeCell="A48" sqref="A48"/>
    </sheetView>
  </sheetViews>
  <sheetFormatPr defaultRowHeight="15" x14ac:dyDescent="0.25"/>
  <sheetData>
    <row r="1" spans="1:1" ht="25.5" x14ac:dyDescent="0.35">
      <c r="A1" s="16" t="e" vm="1">
        <v>#VALUE!</v>
      </c>
    </row>
    <row r="3" spans="1:1" ht="15.75" x14ac:dyDescent="0.25">
      <c r="A3" s="26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Farm Inputs'!A1", "Farm Inputs")</f>
        <v>Farm Inputs</v>
      </c>
    </row>
    <row r="17" spans="1:1" ht="15.75" x14ac:dyDescent="0.25">
      <c r="A17" s="5" t="str">
        <f>HYPERLINK("#'Input - Freight'!A1", "Freight")</f>
        <v>Freight</v>
      </c>
    </row>
    <row r="18" spans="1:1" ht="15.75" x14ac:dyDescent="0.25">
      <c r="A18" s="5" t="str">
        <f>HYPERLINK("#'Input - Manure sent off-site'!A1", "Manure sent off-site")</f>
        <v>Manure sent off-site</v>
      </c>
    </row>
    <row r="19" spans="1:1" ht="15.75" x14ac:dyDescent="0.25">
      <c r="A19" s="5" t="str">
        <f>HYPERLINK("#'Input - Solid waste'!A1", "Solid waste")</f>
        <v>Solid waste</v>
      </c>
    </row>
    <row r="22" spans="1:1" x14ac:dyDescent="0.25">
      <c r="A22" s="6" t="s">
        <v>2</v>
      </c>
    </row>
    <row r="23" spans="1:1" ht="15.75" x14ac:dyDescent="0.25">
      <c r="A23" s="5" t="str">
        <f>HYPERLINK("#'5.1.1.1-2 Inorganic fert N2O'!A1", "5.1.1.1-2 Inorganic fert N2O")</f>
        <v>5.1.1.1-2 Inorganic fert N2O</v>
      </c>
    </row>
    <row r="24" spans="1:1" ht="15.75" x14ac:dyDescent="0.25">
      <c r="A24" s="5" t="str">
        <f>HYPERLINK("#'5.1.1.3-4 Inorganic fert CO2'!A1", "5.1.1.3-4 Inorganic fert CO2")</f>
        <v>5.1.1.3-4 Inorganic fert CO2</v>
      </c>
    </row>
    <row r="25" spans="1:1" ht="15.75" x14ac:dyDescent="0.25">
      <c r="A25" s="5" t="str">
        <f>HYPERLINK("#'5.2.1.1-2 Organic Fert N2O'!A1", "5.2.1.1-2 Organic fert N2O")</f>
        <v>5.2.1.1-2 Organic fert N2O</v>
      </c>
    </row>
    <row r="26" spans="1:1" ht="15.75" x14ac:dyDescent="0.25">
      <c r="A26" s="5" t="str">
        <f>HYPERLINK("#'5.3.1.1-2 Lime CO2'!A1", "5.3.1.1-2 Lime CO2")</f>
        <v>5.3.1.1-2 Lime CO2</v>
      </c>
    </row>
    <row r="27" spans="1:1" ht="15.75" x14ac:dyDescent="0.25">
      <c r="A27" s="5" t="str">
        <f>HYPERLINK("#'5.4.1.1-4 Atmos deposition'!A1", "5.4.1.1-4 Atmos. deposition")</f>
        <v>5.4.1.1-4 Atmos. deposition</v>
      </c>
    </row>
    <row r="28" spans="1:1" ht="15.75" x14ac:dyDescent="0.25">
      <c r="A28" s="5" t="str">
        <f>HYPERLINK("#'5.5.1.1-2 Leaching and runoff'!A1", "5.5.1.1-2 Leaching &amp; runoff")</f>
        <v>5.5.1.1-2 Leaching &amp; runoff</v>
      </c>
    </row>
    <row r="29" spans="1:1" ht="15.75" x14ac:dyDescent="0.25">
      <c r="A29" s="5" t="str">
        <f>HYPERLINK("#'6.1.1.1-2 Crop residue N2O'!A1", "6.1.1.1-2 Crop residue N2O")</f>
        <v>6.1.1.1-2 Crop residue N2O</v>
      </c>
    </row>
    <row r="30" spans="1:1" ht="15.75" x14ac:dyDescent="0.25">
      <c r="A30" s="5" t="str">
        <f>HYPERLINK("#'6.3.1.1-2 Leach runoff crop'!A1", "6.3.1.1-2 Leach &amp; runoff (crop)")</f>
        <v>6.3.1.1-2 Leach &amp; runoff (crop)</v>
      </c>
    </row>
    <row r="31" spans="1:1" ht="15.75" x14ac:dyDescent="0.25">
      <c r="A31" s="5" t="str">
        <f>HYPERLINK("#'6.4.1.1-2 Residue burning'!A1", "6.4.1.1-2 Residue burning")</f>
        <v>6.4.1.1-2 Residue burning</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5" spans="1:1" ht="15.75" x14ac:dyDescent="0.25">
      <c r="A35" s="5" t="str">
        <f>HYPERLINK("#'15 Scope 3'!A1", "15 Scope 3")</f>
        <v>15 Scope 3</v>
      </c>
    </row>
    <row r="36" spans="1:1" ht="15.75" x14ac:dyDescent="0.25">
      <c r="A36" s="5" t="str">
        <f>HYPERLINK("#'Calcs - Manure sent off-site'!A1", "Calcs - Manure sent off-site")</f>
        <v>Calcs - Manure sent off-site</v>
      </c>
    </row>
    <row r="37" spans="1:1" ht="15.75" x14ac:dyDescent="0.25">
      <c r="A37" s="5" t="str">
        <f>HYPERLINK("#'10.1.1-2 Solid waste treatment'!A1", "10.1.1-2 Solid waste treatment")</f>
        <v>10.1.1-2 Solid waste treatment</v>
      </c>
    </row>
    <row r="40" spans="1:1" x14ac:dyDescent="0.25">
      <c r="A40" s="119" t="s">
        <v>1</v>
      </c>
    </row>
    <row r="41" spans="1:1" ht="15.75" x14ac:dyDescent="0.25">
      <c r="A41" s="5" t="str">
        <f>HYPERLINK("#'Constants - Ag Residue'!A1", "Constants - Ag residue")</f>
        <v>Constants - Ag residue</v>
      </c>
    </row>
    <row r="42" spans="1:1" ht="15.75" x14ac:dyDescent="0.25">
      <c r="A42" s="5" t="str">
        <f>HYPERLINK("#'Constants - Common Livestock'!A1", "Constants - Common Livestock")</f>
        <v>Constants - Common Livestock</v>
      </c>
    </row>
    <row r="43" spans="1:1" ht="15.75" x14ac:dyDescent="0.25">
      <c r="A43" s="5" t="str">
        <f>HYPERLINK("#'Constants - Electricity'!A1", "Constants - Electricity")</f>
        <v>Constants - Electricity</v>
      </c>
    </row>
    <row r="44" spans="1:1" ht="15.75" x14ac:dyDescent="0.25">
      <c r="A44" s="5" t="str">
        <f>HYPERLINK("#'Constants - Fertiliser'!A1", "Constants - Fertiliser")</f>
        <v>Constants - Fertiliser</v>
      </c>
    </row>
    <row r="45" spans="1:1" ht="15.75" x14ac:dyDescent="0.25">
      <c r="A45" s="5" t="str">
        <f>HYPERLINK("#'Constants - Fuel'!A1", "Constants - Fuel")</f>
        <v>Constants - Fuel</v>
      </c>
    </row>
    <row r="46" spans="1:1" ht="15.75" x14ac:dyDescent="0.25">
      <c r="A46" s="5" t="str">
        <f>HYPERLINK("#'Constants - Scope 3'!A1", "Constants - Scope 3")</f>
        <v>Constants - Scope 3</v>
      </c>
    </row>
    <row r="47" spans="1:1" ht="15.75" x14ac:dyDescent="0.25">
      <c r="A47" s="5" t="str">
        <f>HYPERLINK("#'Constants - Common'!A1", "Constants - Common")</f>
        <v>Constants - Common</v>
      </c>
    </row>
    <row r="48" spans="1:1" ht="15.75" x14ac:dyDescent="0.25">
      <c r="A4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8" sqref="A4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6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0.1431067</v>
      </c>
      <c r="F7" s="18" cm="1">
        <f t="array" ref="F7">VEERG_5_1_1_1__1_InorganicFertiliserApplicationN2OEmissions_Result_Method2</f>
        <v>0.1431067</v>
      </c>
      <c r="G7" s="15" t="s">
        <v>12</v>
      </c>
      <c r="H7" s="18" cm="1">
        <f t="array" ref="H7">Common_Equations.Common_ConvertN2OToCO2e(E7,_xlfn.XLOOKUP("N2O", Table_GWPData[Gas],Table_GWPData[CO2-e factor]))</f>
        <v>37.923275500000003</v>
      </c>
      <c r="I7" s="18" cm="1">
        <f t="array" ref="I7">Common_Equations.Common_ConvertN2OToCO2e(F7,_xlfn.XLOOKUP("N2O", Table_GWPData[Gas],Table_GWPData[CO2-e factor]))</f>
        <v>37.923275500000003</v>
      </c>
      <c r="J7" s="15" t="s">
        <v>7</v>
      </c>
      <c r="K7" s="8"/>
    </row>
    <row r="8" spans="1:11" ht="20.100000000000001" customHeight="1" x14ac:dyDescent="0.25">
      <c r="A8" s="7" t="s">
        <v>0</v>
      </c>
      <c r="C8" s="8"/>
      <c r="D8" s="1" t="s">
        <v>139</v>
      </c>
      <c r="E8" s="18" cm="1">
        <f t="array" ref="E8">VEERG_5_1_1_3__1_InorganicFertiliserApplicationCO2Emissions_Result_Method1</f>
        <v>7.333333333333333</v>
      </c>
      <c r="F8" s="18">
        <f>E8</f>
        <v>7.333333333333333</v>
      </c>
      <c r="G8" s="15" t="s">
        <v>131</v>
      </c>
      <c r="H8" s="18">
        <f>E8</f>
        <v>7.333333333333333</v>
      </c>
      <c r="I8" s="18">
        <f>F8</f>
        <v>7.333333333333333</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5.5785714285714293E-3</v>
      </c>
      <c r="F9" s="18">
        <f>E9</f>
        <v>5.5785714285714293E-3</v>
      </c>
      <c r="G9" s="15" t="s">
        <v>12</v>
      </c>
      <c r="H9" s="18" cm="1">
        <f t="array" ref="H9">Common_Equations.Common_ConvertN2OToCO2e(E9,_xlfn.XLOOKUP("N2O", Table_GWPData[Gas],Table_GWPData[CO2-e factor]))</f>
        <v>1.4783214285714288</v>
      </c>
      <c r="I9" s="18" cm="1">
        <f t="array" ref="I9">Common_Equations.Common_ConvertN2OToCO2e(F9,_xlfn.XLOOKUP("N2O", Table_GWPData[Gas],Table_GWPData[CO2-e factor]))</f>
        <v>1.4783214285714288</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75.808333333333337</v>
      </c>
      <c r="F10" s="18">
        <f>E10</f>
        <v>75.808333333333337</v>
      </c>
      <c r="G10" s="15" t="s">
        <v>131</v>
      </c>
      <c r="H10" s="18">
        <f>E10</f>
        <v>75.808333333333337</v>
      </c>
      <c r="I10" s="18">
        <f>F10</f>
        <v>75.808333333333337</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1.6401E-3</v>
      </c>
      <c r="F11" s="18">
        <f>E11</f>
        <v>1.6401E-3</v>
      </c>
      <c r="G11" s="15" t="s">
        <v>12</v>
      </c>
      <c r="H11" s="18" cm="1">
        <f t="array" ref="H11">Common_Equations.Common_ConvertN2OToCO2e(E11,_xlfn.XLOOKUP("N2O", Table_GWPData[Gas],Table_GWPData[CO2-e factor]))</f>
        <v>0.43462650000000003</v>
      </c>
      <c r="I11" s="18" cm="1">
        <f t="array" ref="I11">Common_Equations.Common_ConvertN2OToCO2e(F11,_xlfn.XLOOKUP("N2O", Table_GWPData[Gas],Table_GWPData[CO2-e factor]))</f>
        <v>0.43462650000000003</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5.6917155428571425E-2</v>
      </c>
      <c r="F12" s="18">
        <f>E12</f>
        <v>5.6917155428571425E-2</v>
      </c>
      <c r="G12" s="15" t="s">
        <v>12</v>
      </c>
      <c r="H12" s="18" cm="1">
        <f t="array" ref="H12">Common_Equations.Common_ConvertN2OToCO2e(E12,_xlfn.XLOOKUP("N2O", Table_GWPData[Gas],Table_GWPData[CO2-e factor]))</f>
        <v>15.083046188571428</v>
      </c>
      <c r="I12" s="18" cm="1">
        <f t="array" ref="I12">Common_Equations.Common_ConvertN2OToCO2e(F12,_xlfn.XLOOKUP("N2O", Table_GWPData[Gas],Table_GWPData[CO2-e factor]))</f>
        <v>15.083046188571428</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2.3377199999999997E-2</v>
      </c>
      <c r="F13" s="18" cm="1">
        <f t="array" ref="F13">VEERG_6_1_1_1__1__NitrousOxideEmissionsFromCropResidues_Result_Method2</f>
        <v>2.3377199999999997E-2</v>
      </c>
      <c r="G13" s="15" t="s">
        <v>12</v>
      </c>
      <c r="H13" s="18" cm="1">
        <f t="array" ref="H13">Common_Equations.Common_ConvertN2OToCO2e(E13,_xlfn.XLOOKUP("N2O", Table_GWPData[Gas],Table_GWPData[CO2-e factor]))</f>
        <v>6.1949579999999989</v>
      </c>
      <c r="I13" s="18" cm="1">
        <f t="array" ref="I13">Common_Equations.Common_ConvertN2OToCO2e(F13,_xlfn.XLOOKUP("N2O", Table_GWPData[Gas],Table_GWPData[CO2-e factor]))</f>
        <v>6.1949579999999989</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1.2343161599999999E-2</v>
      </c>
      <c r="F14" s="18" cm="1">
        <f t="array" ref="F14">VEERG_6_3_1_1__1__LeachingAndRunoffEmissionsCropAndPastureResidue_CropOnly_Result_Method2</f>
        <v>1.2343161599999999E-2</v>
      </c>
      <c r="G14" s="15" t="s">
        <v>12</v>
      </c>
      <c r="H14" s="18" cm="1">
        <f t="array" ref="H14">Common_Equations.Common_ConvertN2OToCO2e(E14,_xlfn.XLOOKUP("N2O", Table_GWPData[Gas],Table_GWPData[CO2-e factor]))</f>
        <v>3.2709378239999998</v>
      </c>
      <c r="I14" s="18" cm="1">
        <f t="array" ref="I14">Common_Equations.Common_ConvertN2OToCO2e(F14,_xlfn.XLOOKUP("N2O", Table_GWPData[Gas],Table_GWPData[CO2-e factor]))</f>
        <v>3.2709378239999998</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4.4692560000000004E-3</v>
      </c>
      <c r="F15" s="18">
        <f t="shared" ref="F15:F20" si="0">E15</f>
        <v>4.4692560000000004E-3</v>
      </c>
      <c r="G15" s="15" t="s">
        <v>12</v>
      </c>
      <c r="H15" s="18" cm="1">
        <f t="array" ref="H15">Common_Equations.Common_ConvertN2OToCO2e(E15,_xlfn.XLOOKUP("N2O", Table_GWPData[Gas],Table_GWPData[CO2-e factor]))</f>
        <v>1.1843528400000001</v>
      </c>
      <c r="I15" s="18" cm="1">
        <f t="array" ref="I15">Common_Equations.Common_ConvertN2OToCO2e(F15,_xlfn.XLOOKUP("N2O", Table_GWPData[Gas],Table_GWPData[CO2-e factor]))</f>
        <v>1.1843528400000001</v>
      </c>
      <c r="J15" s="15" t="s">
        <v>7</v>
      </c>
      <c r="K15" s="8"/>
    </row>
    <row r="16" spans="1:11" ht="20.100000000000001" customHeight="1" x14ac:dyDescent="0.25">
      <c r="A16" s="5" t="str">
        <f>HYPERLINK("#'Input - Farm Inputs'!A1", "Farm Inputs")</f>
        <v>Farm Inputs</v>
      </c>
      <c r="C16" s="8"/>
      <c r="D16" s="1" t="s">
        <v>179</v>
      </c>
      <c r="E16" s="18" cm="1">
        <f t="array" ref="E16">VEERG_6_4_1_1__1__MethaneEmissionsFromBurningOfCropResidues_Result_Method1</f>
        <v>0.116424</v>
      </c>
      <c r="F16" s="18">
        <f t="shared" si="0"/>
        <v>0.116424</v>
      </c>
      <c r="G16" s="15" t="s">
        <v>6</v>
      </c>
      <c r="H16" s="18" cm="1">
        <f t="array" ref="H16">Common_Equations.Common_ConvertCH4ToCO2e(E16,_xlfn.XLOOKUP("CH4", Table_GWPData[Gas],Table_GWPData[CO2-e factor]))</f>
        <v>3.2598720000000001</v>
      </c>
      <c r="I16" s="18" cm="1">
        <f t="array" ref="I16">Common_Equations.Common_ConvertCH4ToCO2e(F16,_xlfn.XLOOKUP("CH4", Table_GWPData[Gas],Table_GWPData[CO2-e factor]))</f>
        <v>3.2598720000000001</v>
      </c>
      <c r="J16" s="15" t="s">
        <v>7</v>
      </c>
      <c r="K16" s="8"/>
    </row>
    <row r="17" spans="1:11" ht="20.100000000000001" customHeight="1" x14ac:dyDescent="0.25">
      <c r="A17" s="5" t="str">
        <f>HYPERLINK("#'Input - Freight'!A1", "Freight")</f>
        <v>Freight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Manure sent off-site'!A1", "Manure sent off-site")</f>
        <v>Manure sent off-site</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Solid waste'!A1", "Solid waste")</f>
        <v>Solid waste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A22" s="6" t="s">
        <v>2</v>
      </c>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A23" s="5" t="str">
        <f>HYPERLINK("#'5.1.1.1-2 Inorganic fert N2O'!A1", "5.1.1.1-2 Inorganic fert N2O")</f>
        <v>5.1.1.1-2 Inorganic fert N2O</v>
      </c>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5" t="str">
        <f>HYPERLINK("#'5.1.1.3-4 Inorganic fert CO2'!A1", "5.1.1.3-4 Inorganic fert CO2")</f>
        <v>5.1.1.3-4 Inorganic fert CO2</v>
      </c>
      <c r="C24" s="8"/>
      <c r="D24" s="1" t="s">
        <v>151</v>
      </c>
      <c r="E24" s="18" cm="1">
        <f t="array" ref="E24">VEERG_14_1_2__1_MarketBasedScopeElectricityEmissionsVariation_Result_Method1</f>
        <v>9.7200000000000006</v>
      </c>
      <c r="F24" s="18">
        <f t="shared" si="1"/>
        <v>9.7200000000000006</v>
      </c>
      <c r="G24" s="15" t="s">
        <v>7</v>
      </c>
      <c r="H24" s="18">
        <f>E24</f>
        <v>9.7200000000000006</v>
      </c>
      <c r="I24" s="18">
        <f>F24</f>
        <v>9.7200000000000006</v>
      </c>
      <c r="J24" s="15" t="s">
        <v>7</v>
      </c>
      <c r="K24" s="8"/>
    </row>
    <row r="25" spans="1:11" ht="20.100000000000001" customHeight="1" x14ac:dyDescent="0.3">
      <c r="A25" s="5" t="str">
        <f>HYPERLINK("#'5.2.1.1-2 Organic Fert N2O'!A1", "5.2.1.1-2 Organic fert N2O")</f>
        <v>5.2.1.1-2 Organic fert N2O</v>
      </c>
      <c r="C25" s="8"/>
      <c r="D25" s="14" t="s">
        <v>4</v>
      </c>
      <c r="E25" s="9"/>
      <c r="F25" s="9"/>
      <c r="G25" s="14"/>
      <c r="H25" s="19">
        <f>SUM(H7:H24)</f>
        <v>472.15823694780954</v>
      </c>
      <c r="I25" s="19">
        <f>SUM(I7:I24)</f>
        <v>472.15823694780954</v>
      </c>
      <c r="J25" s="15" t="s">
        <v>7</v>
      </c>
      <c r="K25" s="8"/>
    </row>
    <row r="26" spans="1:11" ht="20.100000000000001" customHeight="1" x14ac:dyDescent="0.3">
      <c r="A26" s="5" t="str">
        <f>HYPERLINK("#'5.3.1.1-2 Lime CO2'!A1", "5.3.1.1-2 Lime CO2")</f>
        <v>5.3.1.1-2 Lime CO2</v>
      </c>
      <c r="C26" s="8"/>
      <c r="D26" s="1"/>
      <c r="E26" s="1"/>
      <c r="F26" s="1"/>
      <c r="G26" s="1"/>
      <c r="H26" s="13"/>
      <c r="I26" s="8"/>
      <c r="J26" s="8"/>
      <c r="K26" s="8"/>
    </row>
    <row r="27" spans="1:11" ht="20.100000000000001" customHeight="1" x14ac:dyDescent="0.3">
      <c r="A27" s="5" t="str">
        <f>HYPERLINK("#'5.4.1.1-4 Atmos deposition'!A1", "5.4.1.1-4 Atmos. deposition")</f>
        <v>5.4.1.1-4 Atmos. deposition</v>
      </c>
      <c r="C27" s="8"/>
      <c r="D27" s="1"/>
      <c r="E27" s="1"/>
      <c r="F27" s="1"/>
      <c r="G27" s="1"/>
      <c r="H27" s="13"/>
      <c r="I27" s="8"/>
      <c r="J27" s="8"/>
      <c r="K27" s="8"/>
    </row>
    <row r="28" spans="1:11" ht="20.100000000000001" customHeight="1" x14ac:dyDescent="0.3">
      <c r="A28" s="5" t="str">
        <f>HYPERLINK("#'5.5.1.1-2 Leaching and runoff'!A1", "5.5.1.1-2 Leaching &amp; runoff")</f>
        <v>5.5.1.1-2 Leaching &amp; runoff</v>
      </c>
      <c r="C28" s="8"/>
      <c r="D28" s="1"/>
      <c r="E28" s="1"/>
      <c r="F28" s="1"/>
      <c r="G28" s="1"/>
      <c r="H28" s="13"/>
      <c r="I28" s="8"/>
      <c r="J28" s="8"/>
      <c r="K28" s="8"/>
    </row>
    <row r="29" spans="1:11" ht="20.100000000000001" customHeight="1" x14ac:dyDescent="0.3">
      <c r="A29" s="5" t="str">
        <f>HYPERLINK("#'6.1.1.1-2 Crop residue N2O'!A1", "6.1.1.1-2 Crop residue N2O")</f>
        <v>6.1.1.1-2 Crop residue N2O</v>
      </c>
      <c r="C29" s="8"/>
      <c r="D29" s="2" t="s">
        <v>115</v>
      </c>
      <c r="E29" s="1"/>
      <c r="F29" s="1"/>
      <c r="G29" s="1"/>
      <c r="H29" s="13"/>
      <c r="I29" s="8"/>
      <c r="J29" s="8"/>
      <c r="K29" s="8"/>
    </row>
    <row r="30" spans="1:11" ht="20.100000000000001" customHeight="1" x14ac:dyDescent="0.3">
      <c r="A30" s="5" t="str">
        <f>HYPERLINK("#'6.3.1.1-2 Leach runoff crop'!A1", "6.3.1.1-2 Leach &amp; runoff (crop)")</f>
        <v>6.3.1.1-2 Leach &amp; runoff (crop)</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HYPERLINK("#'6.4.1.1-2 Residue burning'!A1", "6.4.1.1-2 Residue burning")</f>
        <v>6.4.1.1-2 Residue burning</v>
      </c>
      <c r="C31" s="8"/>
      <c r="D31" s="1" t="s">
        <v>117</v>
      </c>
      <c r="E31" s="1"/>
      <c r="F31" s="1"/>
      <c r="G31" s="1"/>
      <c r="H31" s="13"/>
      <c r="I31" s="8"/>
      <c r="J31" s="8"/>
      <c r="K31" s="8"/>
    </row>
    <row r="32" spans="1:11" ht="20.100000000000001" customHeight="1" x14ac:dyDescent="0.3">
      <c r="A32" s="5" t="str">
        <f>HYPERLINK("#'8.1.1.1-2 Transport fuel'!A1", "8.1.1.1-2 Transport fuel")</f>
        <v>8.1.1.1-2 Transport fuel</v>
      </c>
      <c r="C32" s="8"/>
      <c r="D32" s="1"/>
      <c r="E32" s="1"/>
      <c r="F32" s="1"/>
      <c r="G32" s="1"/>
      <c r="H32" s="13"/>
      <c r="I32" s="8"/>
      <c r="J32" s="8"/>
      <c r="K32" s="8"/>
    </row>
    <row r="33" spans="1:11" ht="20.100000000000001" customHeight="1" x14ac:dyDescent="0.3">
      <c r="A33" s="5" t="str">
        <f>HYPERLINK("#'8.2.1.1-2 Stationary fuel'!A1", "8.2.1.1-2 Stationary fuel")</f>
        <v>8.2.1.1-2 Stationary fuel</v>
      </c>
      <c r="C33" s="8"/>
      <c r="D33" s="20" t="s">
        <v>116</v>
      </c>
      <c r="E33" s="20" t="s">
        <v>10</v>
      </c>
      <c r="F33" s="20" t="s">
        <v>11</v>
      </c>
      <c r="G33" s="1"/>
      <c r="H33" s="13"/>
      <c r="I33" s="8"/>
      <c r="J33" s="8"/>
      <c r="K33" s="8"/>
    </row>
    <row r="34" spans="1:11" ht="20.100000000000001" customHeight="1" x14ac:dyDescent="0.3">
      <c r="A34" s="5" t="str">
        <f>HYPERLINK("#'14.1.1-2 Purchased electricity'!A1", "14.1.1-2 Purchased electricity")</f>
        <v>14.1.1-2 Purchased electricity</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 IF(ISNUMBER(SEARCH("reporting", $D34)), Result_Enterprise_Method1, "Enter value"))</f>
        <v>472.15823694780954</v>
      </c>
      <c r="F34" s="86">
        <f>IF(ISBLANK($D34), "", IF(ISNUMBER(SEARCH("reporting", $D34)), Result_Enterprise_Method2, "Enter value"))</f>
        <v>472.15823694780954</v>
      </c>
      <c r="G34" s="15" t="s">
        <v>7</v>
      </c>
      <c r="H34" s="13"/>
      <c r="I34" s="8"/>
      <c r="J34" s="8"/>
      <c r="K34" s="8"/>
    </row>
    <row r="35" spans="1:11" ht="20.100000000000001" customHeight="1" x14ac:dyDescent="0.3">
      <c r="A35" s="5" t="str">
        <f>HYPERLINK("#'15 Scope 3'!A1", "15 Scope 3")</f>
        <v>15 Scope 3</v>
      </c>
      <c r="C35" s="8"/>
      <c r="D35" s="1" t="str">
        <v>01 Jan 2026 to 31 Dec 2026</v>
      </c>
      <c r="E35" s="86" t="str">
        <f>IF(ISBLANK($D35), "", IF(ISNUMBER(SEARCH("reporting", $D35)), Result_Enterprise_Method1, "Enter value"))</f>
        <v>Enter value</v>
      </c>
      <c r="F35" s="86" t="str">
        <f>IF(ISBLANK($D35), "", IF(ISNUMBER(SEARCH("reporting", $D35)), Result_Enterprise_Method2, "Enter value"))</f>
        <v>Enter value</v>
      </c>
      <c r="G35" s="15" t="s">
        <v>7</v>
      </c>
      <c r="H35" s="13"/>
      <c r="I35" s="8"/>
      <c r="J35" s="8"/>
      <c r="K35" s="8"/>
    </row>
    <row r="36" spans="1:11" ht="20.100000000000001" customHeight="1" x14ac:dyDescent="0.3">
      <c r="A36" s="5" t="str">
        <f>HYPERLINK("#'Calcs - Manure sent off-site'!A1", "Calcs - Manure sent off-site")</f>
        <v>Calcs - Manure sent off-site</v>
      </c>
      <c r="C36" s="8"/>
      <c r="D36" s="1"/>
      <c r="E36" s="86" t="str">
        <f>IF(ISBLANK($D36), "", IF(ISNUMBER(SEARCH("reporting", $D36)), Result_Enterprise_Method1, "Enter value"))</f>
        <v/>
      </c>
      <c r="F36" s="86" t="str">
        <f>IF(ISBLANK($D36), "", IF(ISNUMBER(SEARCH("reporting", $D36)), Result_Enterprise_Method2, "Enter value"))</f>
        <v/>
      </c>
      <c r="G36" s="15" t="s">
        <v>7</v>
      </c>
      <c r="H36" s="13"/>
      <c r="I36" s="8"/>
      <c r="J36" s="8"/>
      <c r="K36" s="8"/>
    </row>
    <row r="37" spans="1:11" ht="20.100000000000001" customHeight="1" x14ac:dyDescent="0.3">
      <c r="A37" s="5" t="str">
        <f>HYPERLINK("#'10.1.1-2 Solid waste treatment'!A1", "10.1.1-2 Solid waste treatment")</f>
        <v>10.1.1-2 Solid waste treatment</v>
      </c>
      <c r="C37" s="8"/>
      <c r="D37" s="1"/>
      <c r="E37" s="86" t="str">
        <f>IF(ISBLANK($D37), "", IF(ISNUMBER(SEARCH("reporting", $D37)), Result_Enterprise_Method1, "Enter value"))</f>
        <v/>
      </c>
      <c r="F37" s="86" t="str">
        <f>IF(ISBLANK($D37), "", IF(ISNUMBER(SEARCH("reporting", $D37)), Result_Enterprise_Method2, "Enter value"))</f>
        <v/>
      </c>
      <c r="G37" s="15" t="s">
        <v>7</v>
      </c>
      <c r="H37" s="13"/>
      <c r="I37" s="8"/>
      <c r="J37" s="8"/>
      <c r="K37" s="8"/>
    </row>
    <row r="38" spans="1:11" ht="20.100000000000001" customHeight="1" x14ac:dyDescent="0.3">
      <c r="C38" s="8"/>
      <c r="D38" s="88"/>
      <c r="E38" s="86" t="str">
        <f>IF(ISBLANK($D38), "", IF(ISNUMBER(SEARCH("reporting", $D38)), Result_Enterprise_Method1, "Enter value"))</f>
        <v/>
      </c>
      <c r="F38" s="86" t="str">
        <f>IF(ISBLANK($D38), "", IF(ISNUMBER(SEARCH("reporting", $D38)), Result_Enterprise_Method2, "Enter value"))</f>
        <v/>
      </c>
      <c r="G38" s="15" t="s">
        <v>7</v>
      </c>
      <c r="H38" s="13"/>
      <c r="I38" s="8"/>
      <c r="J38" s="8"/>
      <c r="K38" s="8"/>
    </row>
    <row r="39" spans="1:11" ht="20.100000000000001" customHeight="1" x14ac:dyDescent="0.3">
      <c r="C39" s="8"/>
      <c r="D39" s="14" t="s">
        <v>132</v>
      </c>
      <c r="E39" s="19">
        <f>SUM(E34:E38)</f>
        <v>472.15823694780954</v>
      </c>
      <c r="F39" s="19">
        <f>SUM(F34:F38)</f>
        <v>472.15823694780954</v>
      </c>
      <c r="G39" s="1"/>
      <c r="H39" s="1"/>
      <c r="I39" s="1"/>
      <c r="J39" s="8"/>
      <c r="K39" s="8"/>
    </row>
    <row r="40" spans="1:11" ht="20.100000000000001" customHeight="1" x14ac:dyDescent="0.25">
      <c r="A40" s="119" t="s">
        <v>1</v>
      </c>
      <c r="C40" s="8"/>
      <c r="D40" s="1"/>
      <c r="E40" s="1"/>
      <c r="F40" s="1"/>
      <c r="G40" s="1"/>
      <c r="H40" s="1"/>
      <c r="I40" s="1"/>
      <c r="J40" s="8"/>
      <c r="K40" s="8"/>
    </row>
    <row r="41" spans="1:11" ht="20.100000000000001" customHeight="1" x14ac:dyDescent="0.25">
      <c r="A41" s="5" t="str">
        <f>HYPERLINK("#'Constants - Ag Residue'!A1", "Constants - Ag residue")</f>
        <v>Constants - Ag residue</v>
      </c>
      <c r="C41" s="8"/>
      <c r="D41" s="1"/>
      <c r="E41" s="1"/>
      <c r="F41" s="1"/>
      <c r="G41" s="1"/>
      <c r="H41" s="1"/>
      <c r="I41" s="1"/>
      <c r="J41" s="8"/>
      <c r="K41" s="8"/>
    </row>
    <row r="42" spans="1:11" ht="20.100000000000001" customHeight="1" x14ac:dyDescent="0.25">
      <c r="A42" s="5" t="str">
        <f>HYPERLINK("#'Constants - Common Livestock'!A1", "Constants - Common Livestock")</f>
        <v>Constants - Common Livestock</v>
      </c>
      <c r="C42" s="8"/>
      <c r="D42" s="2" t="s">
        <v>129</v>
      </c>
      <c r="E42" s="1"/>
      <c r="F42" s="1"/>
      <c r="G42" s="1"/>
      <c r="H42" s="1"/>
      <c r="I42" s="1"/>
      <c r="J42" s="8"/>
      <c r="K42" s="8"/>
    </row>
    <row r="43" spans="1:11" ht="20.100000000000001" customHeight="1" x14ac:dyDescent="0.25">
      <c r="A43" s="5" t="str">
        <f>HYPERLINK("#'Constants - Electricity'!A1", "Constants - Electricity")</f>
        <v>Constants - Electricity</v>
      </c>
      <c r="C43" s="8"/>
      <c r="D43" s="1"/>
      <c r="E43" s="1"/>
      <c r="F43" s="1"/>
      <c r="G43" s="1"/>
      <c r="H43" s="1"/>
      <c r="I43" s="1"/>
      <c r="J43" s="1"/>
      <c r="K43" s="8"/>
    </row>
    <row r="44" spans="1:11" ht="20.100000000000001" customHeight="1" x14ac:dyDescent="0.25">
      <c r="A44" s="5" t="str">
        <f>HYPERLINK("#'Constants - Fertiliser'!A1", "Constants - Fertiliser")</f>
        <v>Constants - Fertiliser</v>
      </c>
      <c r="C44" s="8"/>
      <c r="D44" s="20" t="s">
        <v>116</v>
      </c>
      <c r="E44" s="20" t="s">
        <v>130</v>
      </c>
      <c r="F44" s="1"/>
      <c r="G44" s="1"/>
      <c r="H44" s="1"/>
      <c r="I44" s="1"/>
      <c r="J44" s="1"/>
      <c r="K44" s="8"/>
    </row>
    <row r="45" spans="1:11" ht="20.100000000000001" customHeight="1" x14ac:dyDescent="0.25">
      <c r="A45" s="5" t="str">
        <f>HYPERLINK("#'Constants - Fuel'!A1", "Constants - Fuel")</f>
        <v>Constants - Fuel</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 "Enter value")</f>
        <v>Enter value</v>
      </c>
      <c r="F45" s="15" t="s">
        <v>131</v>
      </c>
      <c r="G45" s="1"/>
      <c r="H45" s="1"/>
      <c r="I45" s="1"/>
      <c r="J45" s="1"/>
      <c r="K45" s="8"/>
    </row>
    <row r="46" spans="1:11" ht="20.100000000000001" customHeight="1" x14ac:dyDescent="0.25">
      <c r="A46" s="5" t="str">
        <f>HYPERLINK("#'Constants - Scope 3'!A1", "Constants - Scope 3")</f>
        <v>Constants - Scope 3</v>
      </c>
      <c r="C46" s="8"/>
      <c r="D46" s="1" t="str">
        <v>01 Jan 2026 to 31 Dec 2026</v>
      </c>
      <c r="E46" s="86" t="str">
        <f t="shared" ref="E46:E49" si="2">IF(ISBLANK(D46), "", "Enter value")</f>
        <v>Enter value</v>
      </c>
      <c r="F46" s="15" t="s">
        <v>131</v>
      </c>
      <c r="G46" s="1"/>
      <c r="H46" s="1"/>
      <c r="I46" s="1"/>
      <c r="J46" s="1"/>
      <c r="K46" s="8"/>
    </row>
    <row r="47" spans="1:11" ht="20.100000000000001" customHeight="1" x14ac:dyDescent="0.25">
      <c r="A47" s="5" t="str">
        <f>HYPERLINK("#'Constants - Common'!A1", "Constants - Common")</f>
        <v>Constants - Common</v>
      </c>
      <c r="C47" s="8"/>
      <c r="D47" s="1"/>
      <c r="E47" s="86" t="str">
        <f t="shared" si="2"/>
        <v/>
      </c>
      <c r="F47" s="15" t="s">
        <v>131</v>
      </c>
      <c r="G47" s="1"/>
      <c r="H47" s="1"/>
      <c r="I47" s="1"/>
      <c r="J47" s="1"/>
      <c r="K47" s="8"/>
    </row>
    <row r="48" spans="1:11" ht="20.100000000000001" customHeight="1" x14ac:dyDescent="0.25">
      <c r="A48" s="5" t="str">
        <f>HYPERLINK("#'Constants - Solid Waste'!A1", "Constants - Solid Waste")</f>
        <v>Constants - Solid Waste</v>
      </c>
      <c r="C48" s="8"/>
      <c r="D48" s="1"/>
      <c r="E48" s="86" t="str">
        <f t="shared" si="2"/>
        <v/>
      </c>
      <c r="F48" s="15" t="s">
        <v>131</v>
      </c>
      <c r="G48" s="1"/>
      <c r="H48" s="1"/>
      <c r="I48" s="1"/>
      <c r="J48" s="1"/>
      <c r="K48" s="8"/>
    </row>
    <row r="49" spans="3:11" ht="20.100000000000001" customHeight="1" x14ac:dyDescent="0.25">
      <c r="C49" s="8"/>
      <c r="D49" s="1"/>
      <c r="E49" s="86" t="str">
        <f t="shared" si="2"/>
        <v/>
      </c>
      <c r="F49" s="15" t="s">
        <v>131</v>
      </c>
      <c r="G49" s="1"/>
      <c r="H49" s="1"/>
      <c r="I49" s="8"/>
      <c r="J49" s="8"/>
      <c r="K49" s="8"/>
    </row>
    <row r="50" spans="3:11" ht="20.100000000000001" customHeight="1" x14ac:dyDescent="0.3">
      <c r="C50" s="8"/>
      <c r="D50" s="14" t="s">
        <v>133</v>
      </c>
      <c r="E50" s="19">
        <f>SUM(E45:E48)</f>
        <v>0</v>
      </c>
      <c r="F50" s="1"/>
      <c r="G50" s="1"/>
      <c r="H50" s="1"/>
      <c r="I50" s="1"/>
      <c r="J50" s="1"/>
      <c r="K50" s="8"/>
    </row>
    <row r="51" spans="3:11" ht="20.100000000000001" customHeight="1" x14ac:dyDescent="0.25">
      <c r="C51" s="8"/>
      <c r="D51" s="1"/>
      <c r="E51" s="1"/>
      <c r="F51" s="1"/>
      <c r="G51" s="1"/>
      <c r="H51" s="1"/>
      <c r="I51" s="1"/>
      <c r="J51" s="1"/>
      <c r="K51" s="8"/>
    </row>
    <row r="52" spans="3:11" ht="20.100000000000001" customHeight="1" x14ac:dyDescent="0.25">
      <c r="C52" s="8"/>
      <c r="D52" s="1"/>
      <c r="E52" s="1"/>
      <c r="F52" s="1"/>
      <c r="G52" s="1"/>
      <c r="H52" s="1"/>
      <c r="I52" s="1"/>
      <c r="J52" s="1"/>
      <c r="K52" s="8"/>
    </row>
    <row r="53" spans="3:11" ht="20.100000000000001" customHeight="1" x14ac:dyDescent="0.25">
      <c r="C53" s="8"/>
      <c r="D53" s="2" t="s">
        <v>119</v>
      </c>
      <c r="E53" s="1"/>
      <c r="F53" s="1"/>
      <c r="G53" s="1"/>
      <c r="H53" s="1"/>
      <c r="I53" s="1"/>
      <c r="J53" s="8"/>
      <c r="K53" s="8"/>
    </row>
    <row r="54" spans="3:11" ht="20.100000000000001" customHeight="1" x14ac:dyDescent="0.25">
      <c r="C54" s="8"/>
      <c r="D54" s="1"/>
      <c r="E54" s="1"/>
      <c r="F54" s="1"/>
      <c r="G54" s="1"/>
      <c r="H54" s="1"/>
      <c r="I54" s="1"/>
      <c r="J54" s="1"/>
      <c r="K54" s="8"/>
    </row>
    <row r="55" spans="3:11" ht="20.100000000000001" customHeight="1" x14ac:dyDescent="0.25">
      <c r="C55" s="8"/>
      <c r="D55" s="20"/>
      <c r="E55" s="20" t="s">
        <v>135</v>
      </c>
      <c r="F55" s="20" t="s">
        <v>136</v>
      </c>
      <c r="G55" s="1"/>
      <c r="H55" s="1"/>
      <c r="I55" s="1"/>
      <c r="J55" s="1"/>
      <c r="K55" s="8"/>
    </row>
    <row r="56" spans="3:11" ht="20.100000000000001" customHeight="1" x14ac:dyDescent="0.3">
      <c r="C56" s="8"/>
      <c r="D56" s="89" t="s">
        <v>134</v>
      </c>
      <c r="E56" s="87">
        <f>Result_EmissionsForWholeProductionCycle_Method1-Result_CarbonRemovalsFromPlantings</f>
        <v>472.15823694780954</v>
      </c>
      <c r="F56" s="87">
        <f>Result_EmissionsForWholeProductionCycle_Method2-Result_CarbonRemovalsFromPlantings</f>
        <v>472.15823694780954</v>
      </c>
      <c r="G56" s="1"/>
      <c r="H56" s="1"/>
      <c r="I56" s="1"/>
      <c r="J56" s="1"/>
      <c r="K56" s="8"/>
    </row>
    <row r="57" spans="3:11" ht="20.100000000000001" customHeight="1" x14ac:dyDescent="0.25">
      <c r="C57" s="8"/>
      <c r="D57" s="1"/>
      <c r="E57" s="1"/>
      <c r="F57" s="1"/>
      <c r="G57" s="1"/>
      <c r="H57" s="1"/>
      <c r="I57" s="1"/>
      <c r="J57" s="1"/>
      <c r="K57" s="8"/>
    </row>
    <row r="58" spans="3:11" ht="20.100000000000001" customHeight="1" x14ac:dyDescent="0.25">
      <c r="C58" s="8"/>
      <c r="D58" s="1"/>
      <c r="E58" s="1"/>
      <c r="F58" s="1"/>
      <c r="G58" s="1"/>
      <c r="H58" s="1"/>
      <c r="I58" s="1"/>
      <c r="J58" s="1"/>
      <c r="K58" s="8"/>
    </row>
    <row r="59" spans="3:11" ht="20.100000000000001" customHeight="1" x14ac:dyDescent="0.25">
      <c r="C59" s="8"/>
      <c r="D59" s="91" t="s">
        <v>171</v>
      </c>
      <c r="E59" s="1"/>
      <c r="F59" s="1"/>
      <c r="G59" s="1"/>
      <c r="H59" s="1"/>
      <c r="I59" s="1"/>
      <c r="J59" s="1"/>
      <c r="K59" s="8"/>
    </row>
    <row r="60" spans="3:11" ht="20.100000000000001" customHeight="1" x14ac:dyDescent="0.25">
      <c r="C60" s="8"/>
      <c r="D60" s="20" t="s">
        <v>137</v>
      </c>
      <c r="E60" s="20" t="s">
        <v>124</v>
      </c>
      <c r="F60" s="20" t="s">
        <v>120</v>
      </c>
      <c r="G60" s="20" t="s">
        <v>168</v>
      </c>
      <c r="H60" s="20" t="s">
        <v>122</v>
      </c>
      <c r="I60" s="20" t="s">
        <v>123</v>
      </c>
      <c r="J60" s="20" t="s">
        <v>121</v>
      </c>
      <c r="K60" s="8"/>
    </row>
    <row r="61" spans="3:11" ht="20.100000000000001" customHeight="1" x14ac:dyDescent="0.25">
      <c r="C61" s="8"/>
      <c r="D61" s="1" t="s">
        <v>173</v>
      </c>
      <c r="E61" s="1" t="s">
        <v>125</v>
      </c>
      <c r="F61" s="18">
        <f>'Input - Enterprise'!E22*'Input - Enterprise'!E23</f>
        <v>35</v>
      </c>
      <c r="G61" s="18">
        <f>F61/(F61+F64)</f>
        <v>0.76923076923076927</v>
      </c>
      <c r="H61" s="18">
        <f>(Result_EmissionsForWholeProductionCycle_Method1/F61)*G61</f>
        <v>10.377104108743067</v>
      </c>
      <c r="I61" s="18">
        <f>(Result_EmissionsForWholeProductionCycle_Method2/F61)*G61</f>
        <v>10.377104108743067</v>
      </c>
      <c r="J61" s="15" t="s">
        <v>165</v>
      </c>
      <c r="K61" s="8"/>
    </row>
    <row r="62" spans="3:11" ht="20.100000000000001" customHeight="1" x14ac:dyDescent="0.25">
      <c r="C62" s="8"/>
      <c r="D62" s="1" t="s">
        <v>174</v>
      </c>
      <c r="E62" s="1" t="s">
        <v>125</v>
      </c>
      <c r="F62" s="18">
        <f>F61</f>
        <v>35</v>
      </c>
      <c r="G62" s="18">
        <f>G61</f>
        <v>0.76923076923076927</v>
      </c>
      <c r="H62" s="18">
        <f>(Result_EmissionsForWholeProductionCycle_Method1/F62)*G62</f>
        <v>10.377104108743067</v>
      </c>
      <c r="I62" s="18">
        <f>(Result_EmissionsForWholeProductionCycle_Method2/F62)*G62</f>
        <v>10.377104108743067</v>
      </c>
      <c r="J62" s="15" t="s">
        <v>165</v>
      </c>
      <c r="K62" s="8"/>
    </row>
    <row r="63" spans="3:11" ht="20.100000000000001" customHeight="1" x14ac:dyDescent="0.25">
      <c r="C63" s="8"/>
      <c r="D63" s="1" t="s">
        <v>163</v>
      </c>
      <c r="E63" s="1" t="s">
        <v>128</v>
      </c>
      <c r="F63" s="18">
        <f>'Input - Enterprise'!E22*'Input - Enterprise'!E24</f>
        <v>35</v>
      </c>
      <c r="G63" s="18" t="s">
        <v>127</v>
      </c>
      <c r="H63" s="18" t="s">
        <v>127</v>
      </c>
      <c r="I63" s="18" t="s">
        <v>127</v>
      </c>
      <c r="J63" s="15"/>
      <c r="K63" s="17"/>
    </row>
    <row r="64" spans="3:11" ht="20.100000000000001" customHeight="1" x14ac:dyDescent="0.25">
      <c r="C64" s="8"/>
      <c r="D64" s="1" t="s">
        <v>175</v>
      </c>
      <c r="E64" s="1" t="s">
        <v>126</v>
      </c>
      <c r="F64" s="18">
        <f>'Input - Enterprise'!E27*'Input - Enterprise'!E28</f>
        <v>10.5</v>
      </c>
      <c r="G64" s="18">
        <f>F64/(F61+F64)</f>
        <v>0.23076923076923078</v>
      </c>
      <c r="H64" s="18">
        <f>(Result_EmissionsForWholeProductionCycle_Method1/F64)*G64</f>
        <v>10.377104108743067</v>
      </c>
      <c r="I64" s="18">
        <f>(Result_EmissionsForWholeProductionCycle_Method2/F64)*G64</f>
        <v>10.377104108743067</v>
      </c>
      <c r="J64" s="15" t="s">
        <v>166</v>
      </c>
      <c r="K64" s="17"/>
    </row>
    <row r="65" spans="3:11" ht="20.100000000000001" customHeight="1" x14ac:dyDescent="0.25">
      <c r="C65" s="8"/>
      <c r="D65" s="1" t="s">
        <v>176</v>
      </c>
      <c r="E65" s="1" t="s">
        <v>126</v>
      </c>
      <c r="F65" s="18">
        <f>F64</f>
        <v>10.5</v>
      </c>
      <c r="G65" s="18">
        <f>G64</f>
        <v>0.23076923076923078</v>
      </c>
      <c r="H65" s="18">
        <f>(Result_NetEmissions_Method1/F65)*G65</f>
        <v>10.377104108743067</v>
      </c>
      <c r="I65" s="18">
        <f>(Result_NetEmissions_Method2/F65)*G65</f>
        <v>10.377104108743067</v>
      </c>
      <c r="J65" s="15" t="s">
        <v>166</v>
      </c>
      <c r="K65" s="17"/>
    </row>
    <row r="66" spans="3:11" ht="20.100000000000001" customHeight="1" x14ac:dyDescent="0.25">
      <c r="C66" s="8"/>
      <c r="D66" s="1" t="s">
        <v>164</v>
      </c>
      <c r="E66" s="1" t="s">
        <v>128</v>
      </c>
      <c r="F66" s="18">
        <f>'Input - Enterprise'!E27*'Input - Enterprise'!E29</f>
        <v>5.25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35</v>
      </c>
      <c r="G70" s="18">
        <f>X_Cell_Enterprise_PercentIncomeFromGrain</f>
        <v>0.8</v>
      </c>
      <c r="H70" s="18">
        <f>Result_EmissionsForWholeProductionCycle_Method1*G70/F70</f>
        <v>10.79218827309279</v>
      </c>
      <c r="I70" s="18">
        <f>Result_EmissionsForWholeProductionCycle_Method2*G70/F70</f>
        <v>10.79218827309279</v>
      </c>
      <c r="J70" s="15" t="s">
        <v>165</v>
      </c>
      <c r="K70" s="17"/>
    </row>
    <row r="71" spans="3:11" ht="20.100000000000001" customHeight="1" x14ac:dyDescent="0.25">
      <c r="C71" s="8"/>
      <c r="D71" s="1" t="s">
        <v>174</v>
      </c>
      <c r="E71" s="1" t="s">
        <v>125</v>
      </c>
      <c r="F71" s="18">
        <f>F70</f>
        <v>35</v>
      </c>
      <c r="G71" s="18">
        <f>G70</f>
        <v>0.8</v>
      </c>
      <c r="H71" s="18">
        <f>Result_EmissionsForWholeProductionCycle_Method1*G71/F71</f>
        <v>10.79218827309279</v>
      </c>
      <c r="I71" s="18">
        <f>Result_EmissionsForWholeProductionCycle_Method2*G71/F71</f>
        <v>10.79218827309279</v>
      </c>
      <c r="J71" s="15" t="s">
        <v>165</v>
      </c>
      <c r="K71" s="17"/>
    </row>
    <row r="72" spans="3:11" ht="20.100000000000001" customHeight="1" x14ac:dyDescent="0.25">
      <c r="C72" s="8"/>
      <c r="D72" s="1" t="s">
        <v>163</v>
      </c>
      <c r="E72" s="1" t="s">
        <v>128</v>
      </c>
      <c r="F72" s="18">
        <f>'Input - Enterprise'!E22*'Input - Enterprise'!E24</f>
        <v>35</v>
      </c>
      <c r="G72" s="18" t="s">
        <v>127</v>
      </c>
      <c r="H72" s="18" t="s">
        <v>127</v>
      </c>
      <c r="I72" s="18" t="s">
        <v>127</v>
      </c>
      <c r="J72" s="15"/>
      <c r="K72" s="17"/>
    </row>
    <row r="73" spans="3:11" ht="20.100000000000001" customHeight="1" x14ac:dyDescent="0.25">
      <c r="C73" s="8"/>
      <c r="D73" s="1" t="s">
        <v>175</v>
      </c>
      <c r="E73" s="1" t="s">
        <v>126</v>
      </c>
      <c r="F73" s="18">
        <f>'Input - Enterprise'!E27*'Input - Enterprise'!E28</f>
        <v>10.5</v>
      </c>
      <c r="G73" s="18">
        <f>X_Cell_Enterprise_PercentIncomeFromGrain</f>
        <v>0.8</v>
      </c>
      <c r="H73" s="18">
        <f>Result_EmissionsForWholeProductionCycle_Method1*G73/F73</f>
        <v>35.973960910309302</v>
      </c>
      <c r="I73" s="18">
        <f>Result_EmissionsForWholeProductionCycle_Method2*G73/F73</f>
        <v>35.973960910309302</v>
      </c>
      <c r="J73" s="15" t="s">
        <v>166</v>
      </c>
      <c r="K73" s="17"/>
    </row>
    <row r="74" spans="3:11" ht="20.100000000000001" customHeight="1" x14ac:dyDescent="0.25">
      <c r="C74" s="8"/>
      <c r="D74" s="1" t="s">
        <v>176</v>
      </c>
      <c r="E74" s="1" t="s">
        <v>126</v>
      </c>
      <c r="F74" s="18">
        <f>F73</f>
        <v>10.5</v>
      </c>
      <c r="G74" s="18">
        <f>G73</f>
        <v>0.8</v>
      </c>
      <c r="H74" s="18">
        <f>Result_EmissionsForWholeProductionCycle_Method1*G74/F74</f>
        <v>35.973960910309302</v>
      </c>
      <c r="I74" s="18">
        <f>Result_EmissionsForWholeProductionCycle_Method2*G74/F74</f>
        <v>35.973960910309302</v>
      </c>
      <c r="J74" s="15" t="s">
        <v>166</v>
      </c>
      <c r="K74" s="17"/>
    </row>
    <row r="75" spans="3:11" ht="20.100000000000001" customHeight="1" x14ac:dyDescent="0.25">
      <c r="C75" s="8"/>
      <c r="D75" s="1" t="s">
        <v>164</v>
      </c>
      <c r="E75" s="1" t="s">
        <v>128</v>
      </c>
      <c r="F75" s="18">
        <f>'Input - Enterprise'!E27*'Input - Enterprise'!E29</f>
        <v>5.25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8"/>
  <sheetViews>
    <sheetView showGridLines="0" zoomScaleNormal="100" workbookViewId="0">
      <selection activeCell="A15" sqref="A1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Farm Inputs'!A1", "Farm Inputs")</f>
        <v>Farm Inputs</v>
      </c>
      <c r="D16" s="2" t="s">
        <v>18</v>
      </c>
    </row>
    <row r="17" spans="1:6" x14ac:dyDescent="0.25">
      <c r="A17" s="5" t="str">
        <f>HYPERLINK("#'Input - Freight'!A1", "Freight")</f>
        <v>Freight</v>
      </c>
    </row>
    <row r="18" spans="1:6" x14ac:dyDescent="0.25">
      <c r="A18" s="5" t="str">
        <f>HYPERLINK("#'Input - Manure sent off-site'!A1", "Manure sent off-site")</f>
        <v>Manure sent off-site</v>
      </c>
      <c r="D18" s="1" t="s">
        <v>13</v>
      </c>
      <c r="E18" s="24">
        <v>45962</v>
      </c>
      <c r="F18" s="26" t="s">
        <v>93</v>
      </c>
    </row>
    <row r="19" spans="1:6" x14ac:dyDescent="0.25">
      <c r="A19" s="5" t="str">
        <f>HYPERLINK("#'Input - Solid waste'!A1", "Solid waste")</f>
        <v>Solid waste</v>
      </c>
      <c r="D19" s="1" t="s">
        <v>14</v>
      </c>
      <c r="E19" s="24">
        <v>46112</v>
      </c>
      <c r="F19" s="26" t="s">
        <v>93</v>
      </c>
    </row>
    <row r="20" spans="1:6" x14ac:dyDescent="0.25">
      <c r="D20" s="1" t="s">
        <v>15</v>
      </c>
      <c r="E20" s="25">
        <f>DATEDIF(E18,E19+1,"m")</f>
        <v>5</v>
      </c>
      <c r="F20" s="26" t="s">
        <v>118</v>
      </c>
    </row>
    <row r="22" spans="1:6" x14ac:dyDescent="0.25">
      <c r="A22" s="6" t="s">
        <v>2</v>
      </c>
      <c r="D22" s="1" t="s">
        <v>154</v>
      </c>
      <c r="E22" s="90" cm="1">
        <f t="array" ref="E22">IF(X_Cell_Crop_CropPurpose = "Cash grain crop", X_Cell_Crop_TotalProductionOfCrop, 0)</f>
        <v>350</v>
      </c>
      <c r="F22" s="26" t="s">
        <v>19</v>
      </c>
    </row>
    <row r="23" spans="1:6" x14ac:dyDescent="0.25">
      <c r="A23" s="5" t="str">
        <f>HYPERLINK("#'5.1.1.1-2 Inorganic fert N2O'!A1", "5.1.1.1-2 Inorganic fert N2O")</f>
        <v>5.1.1.1-2 Inorganic fert N2O</v>
      </c>
      <c r="D23" s="1" t="s">
        <v>158</v>
      </c>
      <c r="E23" s="28">
        <v>0.1</v>
      </c>
      <c r="F23" s="26" t="s">
        <v>153</v>
      </c>
    </row>
    <row r="24" spans="1:6" x14ac:dyDescent="0.25">
      <c r="A24" s="5" t="str">
        <f>HYPERLINK("#'5.1.1.3-4 Inorganic fert CO2'!A1", "5.1.1.3-4 Inorganic fert CO2")</f>
        <v>5.1.1.3-4 Inorganic fert CO2</v>
      </c>
      <c r="D24" s="1" t="s">
        <v>159</v>
      </c>
      <c r="E24" s="28">
        <v>0.1</v>
      </c>
      <c r="F24" s="26" t="s">
        <v>153</v>
      </c>
    </row>
    <row r="25" spans="1:6" x14ac:dyDescent="0.25">
      <c r="A25" s="5" t="str">
        <f>HYPERLINK("#'5.2.1.1-2 Organic Fert N2O'!A1", "5.2.1.1-2 Organic fert N2O")</f>
        <v>5.2.1.1-2 Organic fert N2O</v>
      </c>
      <c r="D25" s="1" t="s">
        <v>160</v>
      </c>
      <c r="E25" s="29">
        <f>100%-E23-E24</f>
        <v>0.8</v>
      </c>
      <c r="F25" s="26" t="s">
        <v>153</v>
      </c>
    </row>
    <row r="26" spans="1:6" x14ac:dyDescent="0.25">
      <c r="A26" s="5" t="str">
        <f>HYPERLINK("#'5.3.1.1-2 Lime CO2'!A1", "5.3.1.1-2 Lime CO2")</f>
        <v>5.3.1.1-2 Lime CO2</v>
      </c>
    </row>
    <row r="27" spans="1:6" x14ac:dyDescent="0.25">
      <c r="A27" s="5" t="str">
        <f>HYPERLINK("#'5.4.1.1-4 Atmos deposition'!A1", "5.4.1.1-4 Atmos. deposition")</f>
        <v>5.4.1.1-4 Atmos. deposition</v>
      </c>
      <c r="D27" s="1" t="s">
        <v>156</v>
      </c>
      <c r="E27" s="90" cm="1">
        <f t="array" ref="E27">X_Cell_Crop_TotalResidueBaled</f>
        <v>52.5</v>
      </c>
      <c r="F27" s="26" t="s">
        <v>19</v>
      </c>
    </row>
    <row r="28" spans="1:6" x14ac:dyDescent="0.25">
      <c r="A28" s="5" t="str">
        <f>HYPERLINK("#'5.5.1.1-2 Leaching and runoff'!A1", "5.5.1.1-2 Leaching &amp; runoff")</f>
        <v>5.5.1.1-2 Leaching &amp; runoff</v>
      </c>
      <c r="D28" s="1" t="s">
        <v>161</v>
      </c>
      <c r="E28" s="28">
        <v>0.2</v>
      </c>
      <c r="F28" s="26" t="s">
        <v>153</v>
      </c>
    </row>
    <row r="29" spans="1:6" x14ac:dyDescent="0.25">
      <c r="A29" s="5" t="str">
        <f>HYPERLINK("#'6.1.1.1-2 Crop residue N2O'!A1", "6.1.1.1-2 Crop residue N2O")</f>
        <v>6.1.1.1-2 Crop residue N2O</v>
      </c>
      <c r="D29" s="1" t="s">
        <v>162</v>
      </c>
      <c r="E29" s="28">
        <v>0.1</v>
      </c>
      <c r="F29" s="26" t="s">
        <v>153</v>
      </c>
    </row>
    <row r="30" spans="1:6" x14ac:dyDescent="0.25">
      <c r="A30" s="5" t="str">
        <f>HYPERLINK("#'6.3.1.1-2 Leach runoff crop'!A1", "6.3.1.1-2 Leach &amp; runoff (crop)")</f>
        <v>6.3.1.1-2 Leach &amp; runoff (crop)</v>
      </c>
      <c r="D30" s="1" t="s">
        <v>160</v>
      </c>
      <c r="E30" s="29">
        <f>100%-E28-E29</f>
        <v>0.70000000000000007</v>
      </c>
      <c r="F30" s="26" t="s">
        <v>153</v>
      </c>
    </row>
    <row r="31" spans="1:6" x14ac:dyDescent="0.25">
      <c r="A31" s="5" t="str">
        <f>HYPERLINK("#'6.4.1.1-2 Residue burning'!A1", "6.4.1.1-2 Residue burning")</f>
        <v>6.4.1.1-2 Residue burning</v>
      </c>
    </row>
    <row r="32" spans="1:6" x14ac:dyDescent="0.25">
      <c r="A32" s="5" t="str">
        <f>HYPERLINK("#'8.1.1.1-2 Transport fuel'!A1", "8.1.1.1-2 Transport fuel")</f>
        <v>8.1.1.1-2 Transport fuel</v>
      </c>
      <c r="D32" s="1" t="s">
        <v>155</v>
      </c>
      <c r="E32" s="28">
        <v>0.8</v>
      </c>
      <c r="F32" s="26" t="s">
        <v>153</v>
      </c>
    </row>
    <row r="33" spans="1:6" x14ac:dyDescent="0.25">
      <c r="A33" s="5" t="str">
        <f>HYPERLINK("#'8.2.1.1-2 Stationary fuel'!A1", "8.2.1.1-2 Stationary fuel")</f>
        <v>8.2.1.1-2 Stationary fuel</v>
      </c>
      <c r="D33" s="1" t="s">
        <v>157</v>
      </c>
      <c r="E33" s="28">
        <v>0.2</v>
      </c>
      <c r="F33" s="26" t="s">
        <v>153</v>
      </c>
    </row>
    <row r="34" spans="1:6" x14ac:dyDescent="0.25">
      <c r="A34" s="5" t="str">
        <f>HYPERLINK("#'14.1.1-2 Purchased electricity'!A1", "14.1.1-2 Purchased electricity")</f>
        <v>14.1.1-2 Purchased electricity</v>
      </c>
    </row>
    <row r="35" spans="1:6" x14ac:dyDescent="0.25">
      <c r="A35" s="5" t="str">
        <f>HYPERLINK("#'15 Scope 3'!A1", "15 Scope 3")</f>
        <v>15 Scope 3</v>
      </c>
    </row>
    <row r="36" spans="1:6" x14ac:dyDescent="0.25">
      <c r="A36" s="5" t="str">
        <f>HYPERLINK("#'Calcs - Manure sent off-site'!A1", "Calcs - Manure sent off-site")</f>
        <v>Calcs - Manure sent off-site</v>
      </c>
    </row>
    <row r="37" spans="1:6" x14ac:dyDescent="0.25">
      <c r="A37" s="5" t="str">
        <f>HYPERLINK("#'10.1.1-2 Solid waste treatment'!A1", "10.1.1-2 Solid waste treatment")</f>
        <v>10.1.1-2 Solid waste treatment</v>
      </c>
    </row>
    <row r="40" spans="1:6" x14ac:dyDescent="0.25">
      <c r="A40" s="119" t="s">
        <v>1</v>
      </c>
    </row>
    <row r="41" spans="1:6" x14ac:dyDescent="0.25">
      <c r="A41" s="5" t="str">
        <f>HYPERLINK("#'Constants - Ag Residue'!A1", "Constants - Ag residue")</f>
        <v>Constants - Ag residue</v>
      </c>
    </row>
    <row r="42" spans="1:6" x14ac:dyDescent="0.25">
      <c r="A42" s="5" t="str">
        <f>HYPERLINK("#'Constants - Common Livestock'!A1", "Constants - Common Livestock")</f>
        <v>Constants - Common Livestock</v>
      </c>
    </row>
    <row r="43" spans="1:6" x14ac:dyDescent="0.25">
      <c r="A43" s="5" t="str">
        <f>HYPERLINK("#'Constants - Electricity'!A1", "Constants - Electricity")</f>
        <v>Constants - Electricity</v>
      </c>
    </row>
    <row r="44" spans="1:6" x14ac:dyDescent="0.25">
      <c r="A44" s="5" t="str">
        <f>HYPERLINK("#'Constants - Fertiliser'!A1", "Constants - Fertiliser")</f>
        <v>Constants - Fertiliser</v>
      </c>
    </row>
    <row r="45" spans="1:6" x14ac:dyDescent="0.25">
      <c r="A45" s="5" t="str">
        <f>HYPERLINK("#'Constants - Fuel'!A1", "Constants - Fuel")</f>
        <v>Constants - Fuel</v>
      </c>
    </row>
    <row r="46" spans="1:6" x14ac:dyDescent="0.25">
      <c r="A46" s="5" t="str">
        <f>HYPERLINK("#'Constants - Scope 3'!A1", "Constants - Scope 3")</f>
        <v>Constants - Scope 3</v>
      </c>
    </row>
    <row r="47" spans="1:6" x14ac:dyDescent="0.25">
      <c r="A47" s="5" t="str">
        <f>HYPERLINK("#'Constants - Common'!A1", "Constants - Common")</f>
        <v>Constants - Common</v>
      </c>
    </row>
    <row r="48" spans="1:6" x14ac:dyDescent="0.25">
      <c r="A4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9" sqref="A9"/>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Farm Inputs'!A1", "Farm Inputs")</f>
        <v>Farm Inputs</v>
      </c>
      <c r="D16" s="22" t="s">
        <v>110</v>
      </c>
      <c r="E16" s="44">
        <v>1326</v>
      </c>
      <c r="F16" s="26" t="s">
        <v>109</v>
      </c>
      <c r="N16" s="52"/>
      <c r="O16" s="52"/>
    </row>
    <row r="17" spans="1:25" ht="20.100000000000001" customHeight="1" x14ac:dyDescent="0.25">
      <c r="A17" s="5" t="str">
        <f>HYPERLINK("#'Input - Freight'!A1", "Freight")</f>
        <v>Freight</v>
      </c>
      <c r="D17" s="1" t="s">
        <v>111</v>
      </c>
      <c r="E17" s="44">
        <v>7</v>
      </c>
      <c r="F17" s="26" t="s">
        <v>112</v>
      </c>
    </row>
    <row r="18" spans="1:25" ht="20.100000000000001" customHeight="1" x14ac:dyDescent="0.25">
      <c r="A18" s="5" t="str">
        <f>HYPERLINK("#'Input - Manure sent off-site'!A1", "Manure sent off-site")</f>
        <v>Manure sent off-site</v>
      </c>
      <c r="D18" s="22" t="s">
        <v>113</v>
      </c>
      <c r="E18" s="25">
        <f>E15/E16</f>
        <v>0.45324283559577677</v>
      </c>
      <c r="F18" s="26"/>
    </row>
    <row r="19" spans="1:25" ht="20.100000000000001" customHeight="1" x14ac:dyDescent="0.25">
      <c r="A19" s="5" t="str">
        <f>HYPERLINK("#'Input - Solid waste'!A1", "Solid waste")</f>
        <v>Solid waste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6" t="s">
        <v>2</v>
      </c>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HYPERLINK("#'5.1.1.1-2 Inorganic fert N2O'!A1", "5.1.1.1-2 Inorganic fert N2O")</f>
        <v>5.1.1.1-2 Inorganic fert N2O</v>
      </c>
    </row>
    <row r="24" spans="1:25" ht="20.100000000000001" customHeight="1" x14ac:dyDescent="0.25">
      <c r="A24" s="5" t="str">
        <f>HYPERLINK("#'5.1.1.3-4 Inorganic fert CO2'!A1", "5.1.1.3-4 Inorganic fert CO2")</f>
        <v>5.1.1.3-4 Inorganic fert CO2</v>
      </c>
    </row>
    <row r="25" spans="1:25" ht="20.100000000000001" customHeight="1" x14ac:dyDescent="0.25">
      <c r="A25" s="5" t="str">
        <f>HYPERLINK("#'5.2.1.1-2 Organic Fert N2O'!A1", "5.2.1.1-2 Organic fert N2O")</f>
        <v>5.2.1.1-2 Organic fert N2O</v>
      </c>
      <c r="N25" s="43"/>
    </row>
    <row r="26" spans="1:25" ht="20.100000000000001" customHeight="1" x14ac:dyDescent="0.25">
      <c r="A26" s="5" t="str">
        <f>HYPERLINK("#'5.3.1.1-2 Lime CO2'!A1", "5.3.1.1-2 Lime CO2")</f>
        <v>5.3.1.1-2 Lime CO2</v>
      </c>
    </row>
    <row r="27" spans="1:25" ht="20.100000000000001" customHeight="1" x14ac:dyDescent="0.25">
      <c r="A27" s="5" t="str">
        <f>HYPERLINK("#'5.4.1.1-4 Atmos deposition'!A1", "5.4.1.1-4 Atmos. deposition")</f>
        <v>5.4.1.1-4 Atmos. deposition</v>
      </c>
    </row>
    <row r="28" spans="1:25" ht="20.100000000000001" customHeight="1" x14ac:dyDescent="0.25">
      <c r="A28" s="5" t="str">
        <f>HYPERLINK("#'5.5.1.1-2 Leaching and runoff'!A1", "5.5.1.1-2 Leaching &amp; runoff")</f>
        <v>5.5.1.1-2 Leaching &amp; runoff</v>
      </c>
    </row>
    <row r="29" spans="1:25" ht="20.100000000000001" customHeight="1" x14ac:dyDescent="0.25">
      <c r="A29" s="5" t="str">
        <f>HYPERLINK("#'6.1.1.1-2 Crop residue N2O'!A1", "6.1.1.1-2 Crop residue N2O")</f>
        <v>6.1.1.1-2 Crop residue N2O</v>
      </c>
    </row>
    <row r="30" spans="1:25" ht="20.100000000000001" customHeight="1" x14ac:dyDescent="0.25">
      <c r="A30" s="5" t="str">
        <f>HYPERLINK("#'6.3.1.1-2 Leach runoff crop'!A1", "6.3.1.1-2 Leach &amp; runoff (crop)")</f>
        <v>6.3.1.1-2 Leach &amp; runoff (crop)</v>
      </c>
      <c r="L30" s="61"/>
      <c r="M30" s="61"/>
      <c r="N30" s="61"/>
      <c r="O30" s="61"/>
      <c r="P30" s="61"/>
      <c r="Q30" s="61"/>
      <c r="R30" s="61"/>
      <c r="S30" s="61"/>
      <c r="T30" s="61"/>
      <c r="U30" s="61"/>
      <c r="V30" s="61"/>
      <c r="W30" s="61"/>
      <c r="X30" s="61"/>
      <c r="Y30" s="61"/>
    </row>
    <row r="31" spans="1:25" ht="20.100000000000001" customHeight="1" x14ac:dyDescent="0.25">
      <c r="A31" s="5" t="str">
        <f>HYPERLINK("#'6.4.1.1-2 Residue burning'!A1", "6.4.1.1-2 Residue burning")</f>
        <v>6.4.1.1-2 Residue burning</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s="5" t="str">
        <f>HYPERLINK("#'15 Scope 3'!A1", "15 Scope 3")</f>
        <v>15 Scope 3</v>
      </c>
      <c r="J35" s="64"/>
      <c r="K35" s="65"/>
      <c r="L35" s="62"/>
      <c r="M35" s="62"/>
      <c r="N35" s="62"/>
      <c r="O35" s="62"/>
      <c r="P35" s="62"/>
      <c r="Q35" s="62"/>
      <c r="R35" s="62"/>
      <c r="S35" s="62"/>
      <c r="T35" s="62"/>
      <c r="U35" s="62"/>
      <c r="V35" s="62"/>
      <c r="W35" s="62"/>
      <c r="X35" s="62"/>
      <c r="Y35" s="62"/>
    </row>
    <row r="36" spans="1:25" ht="20.100000000000001" customHeight="1" x14ac:dyDescent="0.25">
      <c r="A36" s="5" t="str">
        <f>HYPERLINK("#'Calcs - Manure sent off-site'!A1", "Calcs - Manure sent off-site")</f>
        <v>Calcs - Manure sent off-site</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HYPERLINK("#'10.1.1-2 Solid waste treatment'!A1", "10.1.1-2 Solid waste treatment")</f>
        <v>10.1.1-2 Solid waste treatment</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119" t="s">
        <v>1</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Ag Residue'!A1", "Constants - Ag residue")</f>
        <v>Constants - Ag residue</v>
      </c>
    </row>
    <row r="42" spans="1:25" ht="20.100000000000001" customHeight="1" x14ac:dyDescent="0.25">
      <c r="A42" s="5" t="str">
        <f>HYPERLINK("#'Constants - Common Livestock'!A1", "Constants - Common Livestock")</f>
        <v>Constants - Common Livestock</v>
      </c>
    </row>
    <row r="43" spans="1:25" ht="20.100000000000001" customHeight="1" x14ac:dyDescent="0.25">
      <c r="A43" s="5" t="str">
        <f>HYPERLINK("#'Constants - Electricity'!A1", "Constants - Electricity")</f>
        <v>Constants - Electricity</v>
      </c>
    </row>
    <row r="44" spans="1:25" ht="20.100000000000001" customHeight="1" x14ac:dyDescent="0.25">
      <c r="A44" s="5" t="str">
        <f>HYPERLINK("#'Constants - Fertiliser'!A1", "Constants - Fertiliser")</f>
        <v>Constants - Fertiliser</v>
      </c>
    </row>
    <row r="45" spans="1:25" ht="20.100000000000001" customHeight="1" x14ac:dyDescent="0.25">
      <c r="A45" s="5" t="str">
        <f>HYPERLINK("#'Constants - Fuel'!A1", "Constants - Fuel")</f>
        <v>Constants - Fuel</v>
      </c>
      <c r="D45" s="2"/>
    </row>
    <row r="46" spans="1:25" ht="20.100000000000001" customHeight="1" x14ac:dyDescent="0.25">
      <c r="A46" s="5" t="str">
        <f>HYPERLINK("#'Constants - Scope 3'!A1", "Constants - Scope 3")</f>
        <v>Constants - Scope 3</v>
      </c>
      <c r="D46" s="2"/>
    </row>
    <row r="47" spans="1:25" ht="20.100000000000001" customHeight="1" x14ac:dyDescent="0.25">
      <c r="A47" s="5" t="str">
        <f>HYPERLINK("#'Constants - Common'!A1", "Constants - Common")</f>
        <v>Constants - Common</v>
      </c>
      <c r="D47" s="73"/>
      <c r="E47" s="73"/>
      <c r="F47" s="73"/>
      <c r="G47" s="73"/>
      <c r="H47" s="73"/>
    </row>
    <row r="48" spans="1:25" ht="20.100000000000001" customHeight="1" x14ac:dyDescent="0.25">
      <c r="A48" s="5" t="str">
        <f>HYPERLINK("#'Constants - Solid Waste'!A1", "Constants - Solid Waste")</f>
        <v>Constants - Solid Waste</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C5157-A8AC-48FC-9D0C-1C9E2400CCA8}">
  <dimension ref="A1:H361"/>
  <sheetViews>
    <sheetView showGridLines="0" topLeftCell="A15"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595</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596</v>
      </c>
    </row>
    <row r="6" spans="1:8" ht="20.100000000000001" customHeight="1" x14ac:dyDescent="0.25"/>
    <row r="7" spans="1:8" ht="20.100000000000001" customHeight="1" x14ac:dyDescent="0.25">
      <c r="D7" s="46" t="s">
        <v>597</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598</v>
      </c>
      <c r="F9" s="26" t="s">
        <v>599</v>
      </c>
    </row>
    <row r="10" spans="1:8" ht="20.100000000000001" customHeight="1" x14ac:dyDescent="0.25">
      <c r="A10" s="5" t="str">
        <f>HYPERLINK("#'Input - Site'!A1", "Site")</f>
        <v>Site</v>
      </c>
      <c r="D10" s="1" t="s">
        <v>600</v>
      </c>
      <c r="E10" s="23" t="s">
        <v>601</v>
      </c>
      <c r="F10" s="26" t="s">
        <v>599</v>
      </c>
    </row>
    <row r="11" spans="1:8" ht="20.100000000000001" customHeight="1" x14ac:dyDescent="0.25">
      <c r="A11" s="97" t="str">
        <f>HYPERLINK("#'Input - Crop'!A1", "Crop")</f>
        <v>Crop</v>
      </c>
      <c r="D11" s="22" t="s">
        <v>63</v>
      </c>
      <c r="E11" s="23" t="s">
        <v>359</v>
      </c>
      <c r="F11" s="26" t="s">
        <v>599</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3">
        <v>100</v>
      </c>
      <c r="F13" s="26" t="s">
        <v>602</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603</v>
      </c>
    </row>
    <row r="16" spans="1:8" ht="20.100000000000001" customHeight="1" x14ac:dyDescent="0.25">
      <c r="A16" s="5" t="str">
        <f>HYPERLINK("#'Input - Farm Inputs'!A1", "Farm Inputs")</f>
        <v>Farm Inputs</v>
      </c>
    </row>
    <row r="17" spans="1:6" ht="20.100000000000001" customHeight="1" x14ac:dyDescent="0.25">
      <c r="A17" s="5" t="str">
        <f>HYPERLINK("#'Input - Freight'!A1", "Freight")</f>
        <v>Freight</v>
      </c>
      <c r="D17" s="1" t="str">
        <f>E10 &amp; " " &amp; _xlfn.XLOOKUP(E10,Table_SourceData_CropPurposeAndYields[Purpose], Table_SourceData_CropPurposeAndYields[harvest term]) &amp; " per hectare¹"</f>
        <v>Cash grain crop yield per hectare¹</v>
      </c>
      <c r="E17" s="86">
        <v>3.5</v>
      </c>
      <c r="F17" s="26" t="str">
        <f>"Tonnes " &amp; _xlfn.XLOOKUP(E10, Table_SourceData_CropPurposeAndYields[Purpose], Table_SourceData_CropPurposeAndYields[Per hectare unit], FALSE) &amp; " per hectare"</f>
        <v>Tonnes grain per hectare</v>
      </c>
    </row>
    <row r="18" spans="1:6" ht="20.100000000000001" customHeight="1" x14ac:dyDescent="0.25">
      <c r="A18" s="5" t="str">
        <f>HYPERLINK("#'Input - Manure sent off-site'!A1", "Manure sent off-site")</f>
        <v>Manure sent off-site</v>
      </c>
      <c r="D18" s="1" t="s">
        <v>604</v>
      </c>
      <c r="E18" s="25"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5" t="str">
        <f>HYPERLINK("#'Input - Solid waste'!A1", "Solid waste")</f>
        <v>Solid waste</v>
      </c>
      <c r="D19" s="1" t="s">
        <v>605</v>
      </c>
      <c r="E19" s="25">
        <f>E17*E18</f>
        <v>5.25</v>
      </c>
      <c r="F19" s="26" t="s">
        <v>606</v>
      </c>
    </row>
    <row r="20" spans="1:6" ht="20.100000000000001" customHeight="1" x14ac:dyDescent="0.25">
      <c r="D20" s="1" t="s">
        <v>607</v>
      </c>
      <c r="E20" s="25">
        <f>E17+E19</f>
        <v>8.75</v>
      </c>
      <c r="F20" s="26" t="s">
        <v>606</v>
      </c>
    </row>
    <row r="21" spans="1:6" ht="20.100000000000001" customHeight="1" x14ac:dyDescent="0.25"/>
    <row r="22" spans="1:6" ht="20.100000000000001" customHeight="1" x14ac:dyDescent="0.25">
      <c r="A22" s="6" t="s">
        <v>2</v>
      </c>
      <c r="D22" s="88" t="s">
        <v>608</v>
      </c>
      <c r="E22" s="25">
        <f>E17*E13</f>
        <v>350</v>
      </c>
      <c r="F22" s="26" t="str">
        <f>"Tonnes " &amp; _xlfn.XLOOKUP(E10, Table_SourceData_CropPurposeAndYields[Purpose], Table_SourceData_CropPurposeAndYields[Harvest uit], FALSE)</f>
        <v>Tonnes grain</v>
      </c>
    </row>
    <row r="23" spans="1:6" ht="20.100000000000001" customHeight="1" x14ac:dyDescent="0.25">
      <c r="A23" s="5" t="str">
        <f>HYPERLINK("#'5.1.1.1-2 Inorganic fert N2O'!A1", "5.1.1.1-2 Inorganic fert N2O")</f>
        <v>5.1.1.1-2 Inorganic fert N2O</v>
      </c>
    </row>
    <row r="24" spans="1:6" ht="20.100000000000001" customHeight="1" x14ac:dyDescent="0.25">
      <c r="A24" s="5" t="str">
        <f>HYPERLINK("#'5.1.1.3-4 Inorganic fert CO2'!A1", "5.1.1.3-4 Inorganic fert CO2")</f>
        <v>5.1.1.3-4 Inorganic fert CO2</v>
      </c>
      <c r="D24" s="123" t="str">
        <f>"¹ " &amp; _xlfn.XLOOKUP(E10, Table_SourceData_CropPurposeAndYields[Purpose],Table_SourceData_CropPurposeAndYields[Yield note])</f>
        <v>¹ Yield is the grain harvested from the plant</v>
      </c>
    </row>
    <row r="25" spans="1:6" ht="20.100000000000001" customHeight="1" x14ac:dyDescent="0.25">
      <c r="A25" s="5" t="str">
        <f>HYPERLINK("#'5.2.1.1-2 Organic Fert N2O'!A1", "5.2.1.1-2 Organic fert N2O")</f>
        <v>5.2.1.1-2 Organic fert N2O</v>
      </c>
      <c r="D25" s="123" t="str">
        <f>"² " &amp; _xlfn.XLOOKUP(E10, Table_SourceData_CropPurposeAndYields[Purpose],Table_SourceData_CropPurposeAndYields[Residue crop ratio note])</f>
        <v>² Residue to crop ratio is provided from default values</v>
      </c>
    </row>
    <row r="26" spans="1:6" ht="20.100000000000001" customHeight="1" x14ac:dyDescent="0.25">
      <c r="A26" s="5" t="str">
        <f>HYPERLINK("#'5.3.1.1-2 Lime CO2'!A1", "5.3.1.1-2 Lime CO2")</f>
        <v>5.3.1.1-2 Lime CO2</v>
      </c>
      <c r="D26" s="123" t="str">
        <f>"³ " &amp; _xlfn.XLOOKUP(E10,Table_SourceData_CropPurposeAndYields[Purpose],Table_SourceData_CropPurposeAndYields[Total production note])</f>
        <v>³ Total production is the total grain harvested</v>
      </c>
    </row>
    <row r="27" spans="1:6" ht="20.100000000000001" customHeight="1" x14ac:dyDescent="0.25">
      <c r="A27" s="5" t="str">
        <f>HYPERLINK("#'5.4.1.1-4 Atmos deposition'!A1", "5.4.1.1-4 Atmos. deposition")</f>
        <v>5.4.1.1-4 Atmos. deposition</v>
      </c>
    </row>
    <row r="28" spans="1:6" ht="20.100000000000001" customHeight="1" x14ac:dyDescent="0.25">
      <c r="A28" s="5" t="str">
        <f>HYPERLINK("#'5.5.1.1-2 Leaching and runoff'!A1", "5.5.1.1-2 Leaching &amp; runoff")</f>
        <v>5.5.1.1-2 Leaching &amp; runoff</v>
      </c>
      <c r="D28" s="2" t="s">
        <v>609</v>
      </c>
    </row>
    <row r="29" spans="1:6" ht="20.100000000000001" customHeight="1" x14ac:dyDescent="0.25">
      <c r="A29" s="5" t="str">
        <f>HYPERLINK("#'6.1.1.1-2 Crop residue N2O'!A1", "6.1.1.1-2 Crop residue N2O")</f>
        <v>6.1.1.1-2 Crop residue N2O</v>
      </c>
    </row>
    <row r="30" spans="1:6" ht="20.100000000000001" customHeight="1" x14ac:dyDescent="0.25">
      <c r="A30" s="5" t="str">
        <f>HYPERLINK("#'6.3.1.1-2 Leach runoff crop'!A1", "6.3.1.1-2 Leach &amp; runoff (crop)")</f>
        <v>6.3.1.1-2 Leach &amp; runoff (crop)</v>
      </c>
      <c r="D30" s="1" t="str">
        <f>"Residue after " &amp; VLOOKUP(E10,'Constants - Ag Residue'!D8:G10, 4, FALSE)</f>
        <v>Residue after harvest</v>
      </c>
      <c r="E30" s="25">
        <f>E19*E13</f>
        <v>525</v>
      </c>
      <c r="F30" s="26" t="s">
        <v>610</v>
      </c>
    </row>
    <row r="31" spans="1:6" ht="20.100000000000001" customHeight="1" x14ac:dyDescent="0.25">
      <c r="A31" s="5" t="str">
        <f>HYPERLINK("#'6.4.1.1-2 Residue burning'!A1", "6.4.1.1-2 Residue burning")</f>
        <v>6.4.1.1-2 Residue burning</v>
      </c>
    </row>
    <row r="32" spans="1:6" ht="20.100000000000001" customHeight="1" x14ac:dyDescent="0.25">
      <c r="A32" s="5" t="str">
        <f>HYPERLINK("#'8.1.1.1-2 Transport fuel'!A1", "8.1.1.1-2 Transport fuel")</f>
        <v>8.1.1.1-2 Transport fuel</v>
      </c>
      <c r="D32" s="91" t="s">
        <v>611</v>
      </c>
    </row>
    <row r="33" spans="1:8" ht="20.100000000000001" customHeight="1" x14ac:dyDescent="0.25">
      <c r="A33" s="5" t="str">
        <f>HYPERLINK("#'8.2.1.1-2 Stationary fuel'!A1", "8.2.1.1-2 Stationary fuel")</f>
        <v>8.2.1.1-2 Stationary fuel</v>
      </c>
      <c r="D33" s="1" t="s">
        <v>612</v>
      </c>
      <c r="E33" s="28">
        <v>0.1</v>
      </c>
      <c r="F33" s="26" t="s">
        <v>613</v>
      </c>
    </row>
    <row r="34" spans="1:8" ht="20.100000000000001" customHeight="1" x14ac:dyDescent="0.25">
      <c r="A34" s="5" t="str">
        <f>HYPERLINK("#'14.1.1-2 Purchased electricity'!A1", "14.1.1-2 Purchased electricity")</f>
        <v>14.1.1-2 Purchased electricity</v>
      </c>
      <c r="D34" s="1" t="s">
        <v>614</v>
      </c>
      <c r="E34" s="86">
        <v>60</v>
      </c>
      <c r="F34" s="26" t="s">
        <v>615</v>
      </c>
    </row>
    <row r="35" spans="1:8" ht="20.100000000000001" customHeight="1" x14ac:dyDescent="0.25">
      <c r="A35" s="5" t="str">
        <f>HYPERLINK("#'15 Scope 3'!A1", "15 Scope 3")</f>
        <v>15 Scope 3</v>
      </c>
      <c r="D35" s="88" t="s">
        <v>616</v>
      </c>
      <c r="E35" s="227">
        <f>IFERROR((E36*10^3)/E34, 0)</f>
        <v>875</v>
      </c>
      <c r="F35" s="26" t="s">
        <v>617</v>
      </c>
    </row>
    <row r="36" spans="1:8" ht="20.100000000000001" customHeight="1" x14ac:dyDescent="0.25">
      <c r="A36" s="5" t="str">
        <f>HYPERLINK("#'Calcs - Manure sent off-site'!A1", "Calcs - Manure sent off-site")</f>
        <v>Calcs - Manure sent off-site</v>
      </c>
      <c r="D36" s="88" t="s">
        <v>618</v>
      </c>
      <c r="E36" s="25">
        <f>E30*E33</f>
        <v>52.5</v>
      </c>
      <c r="F36" s="26" t="s">
        <v>610</v>
      </c>
    </row>
    <row r="37" spans="1:8" ht="20.100000000000001" customHeight="1" x14ac:dyDescent="0.25">
      <c r="A37" s="5" t="str">
        <f>HYPERLINK("#'10.1.1-2 Solid waste treatment'!A1", "10.1.1-2 Solid waste treatment")</f>
        <v>10.1.1-2 Solid waste treatment</v>
      </c>
      <c r="C37" s="112"/>
    </row>
    <row r="38" spans="1:8" ht="20.100000000000001" customHeight="1" x14ac:dyDescent="0.25">
      <c r="C38" s="112"/>
      <c r="D38" s="91" t="s">
        <v>619</v>
      </c>
    </row>
    <row r="39" spans="1:8" ht="20.100000000000001" customHeight="1" x14ac:dyDescent="0.25">
      <c r="D39" s="1" t="s">
        <v>620</v>
      </c>
      <c r="E39" s="28">
        <v>0.01</v>
      </c>
      <c r="F39" s="26" t="s">
        <v>613</v>
      </c>
    </row>
    <row r="40" spans="1:8" s="129" customFormat="1" ht="20.100000000000001" customHeight="1" x14ac:dyDescent="0.25">
      <c r="A40" s="119" t="s">
        <v>1</v>
      </c>
      <c r="C40" s="1"/>
      <c r="D40" s="1" t="s">
        <v>621</v>
      </c>
      <c r="E40" s="25">
        <f>E30*E39</f>
        <v>5.25</v>
      </c>
      <c r="F40" s="26" t="s">
        <v>610</v>
      </c>
      <c r="G40" s="1"/>
      <c r="H40" s="1"/>
    </row>
    <row r="41" spans="1:8" s="129" customFormat="1" ht="20.100000000000001" customHeight="1" x14ac:dyDescent="0.25">
      <c r="A41" s="5" t="str">
        <f>HYPERLINK("#'Constants - Ag Residue'!A1", "Constants - Ag residue")</f>
        <v>Constants - Ag residue</v>
      </c>
      <c r="C41" s="1"/>
      <c r="D41" s="1"/>
      <c r="E41" s="1"/>
      <c r="F41" s="1"/>
      <c r="G41" s="1"/>
      <c r="H41" s="1"/>
    </row>
    <row r="42" spans="1:8" ht="20.100000000000001" customHeight="1" x14ac:dyDescent="0.25">
      <c r="A42" s="5" t="str">
        <f>HYPERLINK("#'Constants - Common Livestock'!A1", "Constants - Common Livestock")</f>
        <v>Constants - Common Livestock</v>
      </c>
      <c r="D42" s="91" t="s">
        <v>622</v>
      </c>
    </row>
    <row r="43" spans="1:8" ht="20.100000000000001" customHeight="1" x14ac:dyDescent="0.25">
      <c r="A43" s="5" t="str">
        <f>HYPERLINK("#'Constants - Electricity'!A1", "Constants - Electricity")</f>
        <v>Constants - Electricity</v>
      </c>
      <c r="D43" s="1" t="s">
        <v>623</v>
      </c>
      <c r="E43" s="28">
        <v>0.3</v>
      </c>
      <c r="F43" s="26" t="s">
        <v>613</v>
      </c>
    </row>
    <row r="44" spans="1:8" ht="20.100000000000001" customHeight="1" x14ac:dyDescent="0.25">
      <c r="A44" s="5" t="str">
        <f>HYPERLINK("#'Constants - Fertiliser'!A1", "Constants - Fertiliser")</f>
        <v>Constants - Fertiliser</v>
      </c>
      <c r="D44" s="1" t="s">
        <v>624</v>
      </c>
      <c r="E44" s="25">
        <f>E30*E43</f>
        <v>157.5</v>
      </c>
      <c r="F44" s="26" t="s">
        <v>610</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c r="D46" s="1" t="s">
        <v>625</v>
      </c>
      <c r="E46" s="25">
        <f>E30-E36-E40-E44</f>
        <v>309.75</v>
      </c>
      <c r="F46" s="26" t="s">
        <v>610</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c r="D48" s="2"/>
    </row>
    <row r="49" spans="4:6" ht="20.100000000000001" customHeight="1" x14ac:dyDescent="0.25"/>
    <row r="50" spans="4:6" ht="20.100000000000001" customHeight="1" x14ac:dyDescent="0.25">
      <c r="D50" s="22"/>
      <c r="F50" s="26"/>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3"/>
    </row>
  </sheetData>
  <conditionalFormatting sqref="E210:G210">
    <cfRule type="cellIs" dxfId="89" priority="6" operator="lessThan">
      <formula>0</formula>
    </cfRule>
  </conditionalFormatting>
  <conditionalFormatting sqref="F46">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829F7475-752B-4806-BC41-4F0A16129AB9}">
      <formula1>INDIRECT("Table_SourceData_Fertiliser_IrrigationMethods[Irrigation method]")</formula1>
    </dataValidation>
    <dataValidation type="list" allowBlank="1" showInputMessage="1" showErrorMessage="1" sqref="E9" xr:uid="{A5ADE999-F00B-469D-AEE6-643CFADD81DE}">
      <formula1>INDIRECT("Table_SourceData_CropAttributes[Crop type]")</formula1>
    </dataValidation>
    <dataValidation type="list" allowBlank="1" showInputMessage="1" showErrorMessage="1" sqref="E10" xr:uid="{6FCF2216-B20A-40D2-9718-54E7CE4E4511}">
      <formula1>INDIRECT("Table_SourceData_CropPurposeAndYields[Purpose]")</formula1>
    </dataValidation>
    <dataValidation type="list" allowBlank="1" showInputMessage="1" showErrorMessage="1" sqref="E64" xr:uid="{76328405-D9B1-4335-ADA7-A1A19B029144}">
      <formula1>INDIRECT("Table_SourceData_Swine_CropProdSystems[Production system]")</formula1>
    </dataValidation>
    <dataValidation type="list" allowBlank="1" showInputMessage="1" showErrorMessage="1" sqref="E65" xr:uid="{12566852-6978-473A-ACB7-3B7614523D70}">
      <formula1>INDIRECT("Table_SourceData_Swine_IrrigationMethods[Irrigation method]")</formula1>
    </dataValidation>
    <dataValidation type="list" allowBlank="1" showInputMessage="1" showErrorMessage="1" sqref="E249 E254 E259 E293 E288 E283 E161 E149 E125 E137" xr:uid="{6FAD6559-87E3-4E97-9C1F-64224C2172B6}">
      <formula1>"Yes, No"</formula1>
    </dataValidation>
    <dataValidation type="list" allowBlank="1" showInputMessage="1" showErrorMessage="1" sqref="E225" xr:uid="{228E8D6B-A6FA-4088-9589-DE465C9CB779}">
      <formula1>INDIRECT("Table_SourceData_Dairy_ProductionSystemTemplates[Area]")</formula1>
    </dataValidation>
    <dataValidation type="list" allowBlank="1" showInputMessage="1" showErrorMessage="1" sqref="D277" xr:uid="{07BEAE04-9628-45A7-A34E-45F7E2FE33B2}">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dimension ref="A1:K48"/>
  <sheetViews>
    <sheetView showGridLines="0" zoomScaleNormal="100" workbookViewId="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v>
      </c>
    </row>
    <row r="11" spans="1:11" x14ac:dyDescent="0.25">
      <c r="A11" s="5" t="str">
        <f>HYPERLINK("#'Input - Crop'!A1", "Crop")</f>
        <v>Crop</v>
      </c>
    </row>
    <row r="12" spans="1:11" x14ac:dyDescent="0.25">
      <c r="A12" s="97"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5" t="str">
        <f>HYPERLINK("#'Input - Manure sent off-site'!A1", "Manure sent off-site")</f>
        <v>Manure sent off-site</v>
      </c>
    </row>
    <row r="19" spans="1:1" x14ac:dyDescent="0.25">
      <c r="A19" s="5" t="str">
        <f>HYPERLINK("#'Input - Solid waste'!A1", "Solid waste")</f>
        <v>Solid waste</v>
      </c>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BA63-AA1C-406F-B831-E49907A716A6}">
  <dimension ref="A1:Y366"/>
  <sheetViews>
    <sheetView showGridLines="0" topLeftCell="A23"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188</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189</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92" t="s">
        <v>190</v>
      </c>
      <c r="E7" s="54"/>
      <c r="F7" s="54"/>
      <c r="G7" s="54"/>
      <c r="H7" s="55"/>
      <c r="I7" s="93"/>
      <c r="J7" s="94"/>
      <c r="K7" s="95"/>
      <c r="L7" s="95"/>
      <c r="M7" s="95"/>
    </row>
    <row r="8" spans="1:25" ht="20.100000000000001" customHeight="1" x14ac:dyDescent="0.25">
      <c r="A8" s="7" t="s">
        <v>0</v>
      </c>
      <c r="D8" s="56" t="s">
        <v>191</v>
      </c>
      <c r="E8" s="57"/>
      <c r="F8" s="57"/>
      <c r="G8" s="58"/>
      <c r="H8" s="96"/>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192</v>
      </c>
      <c r="E10" s="8"/>
      <c r="F10" s="8"/>
      <c r="G10" s="8"/>
      <c r="H10" s="8"/>
      <c r="I10" s="8"/>
      <c r="J10" s="8"/>
      <c r="K10" s="8"/>
      <c r="L10" s="8"/>
      <c r="M10" s="8"/>
    </row>
    <row r="11" spans="1:25" ht="20.100000000000001" customHeight="1" x14ac:dyDescent="0.25">
      <c r="A11" s="5" t="str">
        <f>HYPERLINK("#'Input - Crop'!A1", "Crop")</f>
        <v>Crop</v>
      </c>
      <c r="D11" s="98" t="s">
        <v>193</v>
      </c>
      <c r="E11" s="99" t="s">
        <v>194</v>
      </c>
      <c r="F11" s="100" t="s">
        <v>195</v>
      </c>
      <c r="G11" s="100" t="s">
        <v>196</v>
      </c>
      <c r="H11" s="99" t="s">
        <v>197</v>
      </c>
      <c r="I11" s="99" t="s">
        <v>198</v>
      </c>
      <c r="J11" s="98" t="s">
        <v>199</v>
      </c>
      <c r="K11" s="98" t="s">
        <v>200</v>
      </c>
      <c r="L11" s="98" t="s">
        <v>201</v>
      </c>
      <c r="M11" s="98" t="s">
        <v>202</v>
      </c>
      <c r="N11" s="98" t="s">
        <v>203</v>
      </c>
      <c r="O11" s="98" t="s">
        <v>204</v>
      </c>
      <c r="P11" s="98" t="s">
        <v>205</v>
      </c>
      <c r="Q11" s="98" t="s">
        <v>206</v>
      </c>
      <c r="R11" s="98" t="s">
        <v>207</v>
      </c>
      <c r="S11" s="98" t="s">
        <v>208</v>
      </c>
      <c r="T11" s="98" t="s">
        <v>209</v>
      </c>
      <c r="U11" s="98" t="s">
        <v>210</v>
      </c>
      <c r="V11" s="98" t="s">
        <v>211</v>
      </c>
      <c r="W11" s="101" t="s">
        <v>212</v>
      </c>
      <c r="X11" s="101" t="s">
        <v>213</v>
      </c>
    </row>
    <row r="12" spans="1:25" ht="20.100000000000001" customHeight="1" x14ac:dyDescent="0.25">
      <c r="A12" s="5" t="str">
        <f>HYPERLINK("#'Input - Fert Prod System'!A1", "Fert Prod System")</f>
        <v>Fert Prod System</v>
      </c>
      <c r="D12" s="102" t="s">
        <v>214</v>
      </c>
      <c r="E12" s="103">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03">
        <f>X_Cell_Fertiliser_AreaUnderCropping</f>
        <v>100</v>
      </c>
      <c r="I12" s="104">
        <f>(Table_Input_InorganicFertiliser_Brands[[#This Row],[Amount applied per hectare]]*Table_Input_InorganicFertiliser_Brands[[#This Row],[Density]])*Table_Input_InorganicFertiliser_Brands[[#This Row],[Application area (ha)]]</f>
        <v>12600</v>
      </c>
      <c r="J12" s="10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0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0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0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0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0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0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0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0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0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0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0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97" t="str">
        <f>HYPERLINK("#'Input - Fertiliser'!A1", "Fertiliser")</f>
        <v>Fertiliser</v>
      </c>
      <c r="D13" s="105" t="s">
        <v>215</v>
      </c>
      <c r="E13" s="106">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06">
        <f>X_Cell_Fertiliser_AreaUnderCropping</f>
        <v>100</v>
      </c>
      <c r="I13" s="104">
        <f>(Table_Input_InorganicFertiliser_Brands[[#This Row],[Amount applied per hectare]]*Table_Input_InorganicFertiliser_Brands[[#This Row],[Density]])*Table_Input_InorganicFertiliser_Brands[[#This Row],[Application area (ha)]]</f>
        <v>12850</v>
      </c>
      <c r="J13" s="10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0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0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0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0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0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0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0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0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0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0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0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04" t="str">
        <f>_xlfn.XLOOKUP(Table_Input_InorganicFertiliser_Brands[[#This Row],[Product (select)]],FertiliserProducts[Product name],FertiliserProducts[Urea source])</f>
        <v/>
      </c>
      <c r="X13" s="104" t="str">
        <f>_xlfn.XLOOKUP(Table_Input_InorganicFertiliser_Brands[[#This Row],[Product (select)]],FertiliserProducts[Product name],FertiliserProducts[Ammonia source])</f>
        <v/>
      </c>
    </row>
    <row r="14" spans="1:25" ht="20.100000000000001" customHeight="1" x14ac:dyDescent="0.25">
      <c r="A14" s="5" t="str">
        <f>HYPERLINK("#'Input - Fuel'!A1", "Fuel")</f>
        <v>Fuel</v>
      </c>
      <c r="D14" s="105" t="s">
        <v>215</v>
      </c>
      <c r="E14" s="106">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06">
        <f>X_Cell_Fertiliser_AreaUnderCropping</f>
        <v>100</v>
      </c>
      <c r="I14" s="104">
        <f>(Table_Input_InorganicFertiliser_Brands[[#This Row],[Amount applied per hectare]]*Table_Input_InorganicFertiliser_Brands[[#This Row],[Density]])*Table_Input_InorganicFertiliser_Brands[[#This Row],[Application area (ha)]]</f>
        <v>12850</v>
      </c>
      <c r="J14" s="10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0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0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0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0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0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0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0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0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0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0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0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04" t="str">
        <f>_xlfn.XLOOKUP(Table_Input_InorganicFertiliser_Brands[[#This Row],[Product (select)]],FertiliserProducts[Product name],FertiliserProducts[Urea source])</f>
        <v/>
      </c>
      <c r="X14" s="104" t="str">
        <f>_xlfn.XLOOKUP(Table_Input_InorganicFertiliser_Brands[[#This Row],[Product (select)]],FertiliserProducts[Product name],FertiliserProducts[Ammonia source])</f>
        <v/>
      </c>
    </row>
    <row r="15" spans="1:25" ht="20.100000000000001" customHeight="1" x14ac:dyDescent="0.25">
      <c r="A15" s="5" t="str">
        <f>HYPERLINK("#'Input - Electricity'!A1", "Electricity")</f>
        <v>Electricity</v>
      </c>
      <c r="D15" s="105" t="s">
        <v>216</v>
      </c>
      <c r="E15" s="106">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06">
        <f>X_Cell_Fertiliser_AreaUnderCropping</f>
        <v>100</v>
      </c>
      <c r="I15" s="104">
        <f>(Table_Input_InorganicFertiliser_Brands[[#This Row],[Amount applied per hectare]]*Table_Input_InorganicFertiliser_Brands[[#This Row],[Density]])*Table_Input_InorganicFertiliser_Brands[[#This Row],[Application area (ha)]]</f>
        <v>12600</v>
      </c>
      <c r="J15" s="10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0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0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0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0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0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0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0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0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0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0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0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04" t="str">
        <f>_xlfn.XLOOKUP(Table_Input_InorganicFertiliser_Brands[[#This Row],[Product (select)]],FertiliserProducts[Product name],FertiliserProducts[Urea source])</f>
        <v/>
      </c>
      <c r="X15" s="104" t="str">
        <f>_xlfn.XLOOKUP(Table_Input_InorganicFertiliser_Brands[[#This Row],[Product (select)]],FertiliserProducts[Product name],FertiliserProducts[Ammonia source])</f>
        <v/>
      </c>
    </row>
    <row r="16" spans="1:25" ht="20.100000000000001" customHeight="1" x14ac:dyDescent="0.25">
      <c r="A16" s="5" t="str">
        <f>HYPERLINK("#'Input - Farm Inputs'!A1", "Farm Inputs")</f>
        <v>Farm Inputs</v>
      </c>
      <c r="D16" s="105" t="s">
        <v>217</v>
      </c>
      <c r="E16" s="106">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06">
        <f>X_Cell_Fertiliser_AreaUnderCropping</f>
        <v>100</v>
      </c>
      <c r="I16" s="104">
        <f>(Table_Input_InorganicFertiliser_Brands[[#This Row],[Amount applied per hectare]]*Table_Input_InorganicFertiliser_Brands[[#This Row],[Density]])*Table_Input_InorganicFertiliser_Brands[[#This Row],[Application area (ha)]]</f>
        <v>15000</v>
      </c>
      <c r="J16" s="10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0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0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0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0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0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0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0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0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0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0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0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04" t="str">
        <f>_xlfn.XLOOKUP(Table_Input_InorganicFertiliser_Brands[[#This Row],[Product (select)]],FertiliserProducts[Product name],FertiliserProducts[Urea source])</f>
        <v/>
      </c>
      <c r="X16" s="104" t="str">
        <f>_xlfn.XLOOKUP(Table_Input_InorganicFertiliser_Brands[[#This Row],[Product (select)]],FertiliserProducts[Product name],FertiliserProducts[Ammonia source])</f>
        <v/>
      </c>
    </row>
    <row r="17" spans="1:24" ht="36" customHeight="1" x14ac:dyDescent="0.25">
      <c r="A17" s="5" t="str">
        <f>HYPERLINK("#'Input - Freight'!A1", "Freight")</f>
        <v>Freight</v>
      </c>
      <c r="D17" s="107"/>
      <c r="E17" s="108"/>
      <c r="F17" s="109"/>
      <c r="G17" s="109"/>
      <c r="H17" s="109"/>
      <c r="I17" s="109"/>
      <c r="J17" s="110"/>
      <c r="K17" s="110"/>
      <c r="L17" s="111"/>
      <c r="M17" s="111"/>
      <c r="N17" s="112"/>
      <c r="O17" s="112"/>
      <c r="P17" s="112"/>
      <c r="Q17" s="112"/>
      <c r="R17" s="112"/>
      <c r="S17" s="112"/>
      <c r="T17" s="112"/>
      <c r="U17" s="112"/>
      <c r="V17" s="112"/>
      <c r="W17" s="112"/>
      <c r="X17" s="112"/>
    </row>
    <row r="18" spans="1:24" ht="36" customHeight="1" x14ac:dyDescent="0.25">
      <c r="A18" s="5" t="str">
        <f>HYPERLINK("#'Input - Manure sent off-site'!A1", "Manure sent off-site")</f>
        <v>Manure sent off-site</v>
      </c>
      <c r="D18" s="113" t="s">
        <v>218</v>
      </c>
      <c r="E18" s="114"/>
      <c r="F18" s="114"/>
      <c r="G18" s="114"/>
      <c r="H18" s="114"/>
      <c r="I18" s="114"/>
      <c r="J18" s="114"/>
      <c r="K18" s="114"/>
      <c r="L18" s="114"/>
      <c r="M18" s="114"/>
      <c r="N18" s="112"/>
      <c r="O18" s="112"/>
      <c r="P18" s="112"/>
      <c r="Q18" s="112"/>
      <c r="R18" s="112"/>
      <c r="S18" s="112"/>
      <c r="T18" s="112"/>
      <c r="V18" s="112"/>
      <c r="W18" s="112"/>
      <c r="X18" s="112"/>
    </row>
    <row r="19" spans="1:24" ht="36" customHeight="1" x14ac:dyDescent="0.25">
      <c r="A19" s="5" t="str">
        <f>HYPERLINK("#'Input - Solid waste'!A1", "Solid waste")</f>
        <v>Solid waste</v>
      </c>
      <c r="D19" s="99" t="s">
        <v>219</v>
      </c>
      <c r="E19" s="99" t="s">
        <v>220</v>
      </c>
      <c r="F19" s="99" t="s">
        <v>197</v>
      </c>
      <c r="G19" s="99" t="s">
        <v>198</v>
      </c>
      <c r="H19" s="99" t="s">
        <v>221</v>
      </c>
      <c r="I19" s="99" t="s">
        <v>200</v>
      </c>
      <c r="J19" s="99" t="s">
        <v>201</v>
      </c>
      <c r="K19" s="99" t="s">
        <v>202</v>
      </c>
      <c r="L19" s="99" t="s">
        <v>203</v>
      </c>
      <c r="M19" s="99" t="s">
        <v>204</v>
      </c>
      <c r="N19" s="99" t="s">
        <v>205</v>
      </c>
      <c r="O19" s="99" t="s">
        <v>206</v>
      </c>
      <c r="P19" s="99" t="s">
        <v>211</v>
      </c>
      <c r="Q19" s="101" t="s">
        <v>222</v>
      </c>
      <c r="R19" s="101" t="s">
        <v>223</v>
      </c>
      <c r="S19" s="112"/>
      <c r="T19" s="112"/>
      <c r="V19" s="112"/>
      <c r="W19" s="112"/>
      <c r="X19" s="112"/>
    </row>
    <row r="20" spans="1:24" ht="36" customHeight="1" x14ac:dyDescent="0.25">
      <c r="D20" s="44" t="s">
        <v>224</v>
      </c>
      <c r="E20" s="99">
        <v>100</v>
      </c>
      <c r="F20" s="103">
        <f>X_Cell_Fertiliser_AreaUnderCropping</f>
        <v>100</v>
      </c>
      <c r="G20" s="104">
        <f>Table_Input_InorganicFertiliser_Custom[[#This Row],[Amount applied (kg / ha)]]*Table_Input_InorganicFertiliser_Custom[[#This Row],[Application area (ha)]]</f>
        <v>10000</v>
      </c>
      <c r="H20" s="115" t="s">
        <v>225</v>
      </c>
      <c r="I20" s="116">
        <v>0.5</v>
      </c>
      <c r="J20" s="115" t="s">
        <v>226</v>
      </c>
      <c r="K20" s="116">
        <v>0.2</v>
      </c>
      <c r="L20" s="115" t="s">
        <v>227</v>
      </c>
      <c r="M20" s="116">
        <v>0.2</v>
      </c>
      <c r="N20" s="117" t="s">
        <v>228</v>
      </c>
      <c r="O20" s="28">
        <v>0.1</v>
      </c>
      <c r="P20"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D21" s="44" t="s">
        <v>229</v>
      </c>
      <c r="E21" s="99">
        <v>100</v>
      </c>
      <c r="F21" s="103">
        <f>X_Cell_Fertiliser_AreaUnderCropping</f>
        <v>100</v>
      </c>
      <c r="G21" s="104">
        <f>Table_Input_InorganicFertiliser_Custom[[#This Row],[Amount applied (kg / ha)]]*Table_Input_InorganicFertiliser_Custom[[#This Row],[Application area (ha)]]</f>
        <v>10000</v>
      </c>
      <c r="H21" s="115" t="s">
        <v>230</v>
      </c>
      <c r="I21" s="118">
        <v>1</v>
      </c>
      <c r="J21" s="115"/>
      <c r="K21" s="118"/>
      <c r="L21" s="115"/>
      <c r="M21" s="118"/>
      <c r="N21" s="117"/>
      <c r="O21" s="28"/>
      <c r="P21"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6" t="s">
        <v>2</v>
      </c>
      <c r="D22" s="44" t="s">
        <v>231</v>
      </c>
      <c r="E22" s="99">
        <v>100</v>
      </c>
      <c r="F22" s="103">
        <f>X_Cell_Fertiliser_AreaUnderCropping</f>
        <v>100</v>
      </c>
      <c r="G22" s="104">
        <f>Table_Input_InorganicFertiliser_Custom[[#This Row],[Amount applied (kg / ha)]]*Table_Input_InorganicFertiliser_Custom[[#This Row],[Application area (ha)]]</f>
        <v>10000</v>
      </c>
      <c r="H22" s="115" t="s">
        <v>232</v>
      </c>
      <c r="I22" s="118">
        <v>0.5</v>
      </c>
      <c r="J22" s="115"/>
      <c r="K22" s="118"/>
      <c r="L22" s="115"/>
      <c r="M22" s="118"/>
      <c r="N22" s="117"/>
      <c r="O22" s="28"/>
      <c r="P22"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HYPERLINK("#'5.1.1.1-2 Inorganic fert N2O'!A1", "5.1.1.1-2 Inorganic fert N2O")</f>
        <v>5.1.1.1-2 Inorganic fert N2O</v>
      </c>
      <c r="V23" s="88"/>
    </row>
    <row r="24" spans="1:24" ht="36" customHeight="1" x14ac:dyDescent="0.25">
      <c r="A24" s="5" t="str">
        <f>HYPERLINK("#'5.1.1.3-4 Inorganic fert CO2'!A1", "5.1.1.3-4 Inorganic fert CO2")</f>
        <v>5.1.1.3-4 Inorganic fert CO2</v>
      </c>
      <c r="D24" s="2" t="s">
        <v>233</v>
      </c>
      <c r="E24" s="35"/>
      <c r="F24" s="35"/>
      <c r="G24" s="35"/>
      <c r="H24" s="35"/>
      <c r="I24" s="35"/>
      <c r="J24" s="35"/>
      <c r="K24" s="8"/>
      <c r="L24" s="8"/>
      <c r="M24" s="8"/>
    </row>
    <row r="25" spans="1:24" ht="36" customHeight="1" x14ac:dyDescent="0.25">
      <c r="A25" s="5" t="str">
        <f>HYPERLINK("#'5.2.1.1-2 Organic Fert N2O'!A1", "5.2.1.1-2 Organic fert N2O")</f>
        <v>5.2.1.1-2 Organic fert N2O</v>
      </c>
      <c r="D25" s="8"/>
      <c r="E25" s="8"/>
      <c r="F25" s="8"/>
      <c r="G25" s="8"/>
      <c r="H25" s="8"/>
      <c r="I25" s="8"/>
      <c r="J25" s="8"/>
      <c r="K25" s="8"/>
      <c r="L25" s="8"/>
      <c r="M25" s="35"/>
    </row>
    <row r="26" spans="1:24" ht="36" customHeight="1" x14ac:dyDescent="0.25">
      <c r="A26" s="5" t="str">
        <f>HYPERLINK("#'5.3.1.1-2 Lime CO2'!A1", "5.3.1.1-2 Lime CO2")</f>
        <v>5.3.1.1-2 Lime CO2</v>
      </c>
      <c r="D26" s="92" t="s">
        <v>234</v>
      </c>
      <c r="E26" s="54"/>
      <c r="F26" s="55"/>
      <c r="G26" s="92"/>
      <c r="H26" s="55"/>
      <c r="I26" s="35"/>
      <c r="J26" s="35"/>
      <c r="K26" s="8"/>
      <c r="L26" s="8"/>
      <c r="M26" s="8"/>
    </row>
    <row r="27" spans="1:24" ht="20.100000000000001" customHeight="1" x14ac:dyDescent="0.25">
      <c r="A27" s="5" t="str">
        <f>HYPERLINK("#'5.4.1.1-4 Atmos deposition'!A1", "5.4.1.1-4 Atmos. deposition")</f>
        <v>5.4.1.1-4 Atmos. deposition</v>
      </c>
      <c r="D27" s="120" t="s">
        <v>235</v>
      </c>
      <c r="E27" s="121"/>
      <c r="F27" s="122"/>
      <c r="G27" s="120"/>
      <c r="H27" s="122"/>
      <c r="I27" s="8"/>
      <c r="J27" s="8"/>
      <c r="K27" s="8"/>
      <c r="L27" s="8"/>
      <c r="M27" s="35"/>
    </row>
    <row r="28" spans="1:24" ht="20.100000000000001" customHeight="1" x14ac:dyDescent="0.25">
      <c r="A28" s="5" t="str">
        <f>HYPERLINK("#'5.5.1.1-2 Leaching and runoff'!A1", "5.5.1.1-2 Leaching &amp; runoff")</f>
        <v>5.5.1.1-2 Leaching &amp; runoff</v>
      </c>
      <c r="D28" s="56" t="s">
        <v>191</v>
      </c>
      <c r="E28" s="57"/>
      <c r="F28" s="57"/>
      <c r="G28" s="57"/>
      <c r="H28" s="58"/>
      <c r="I28" s="8"/>
      <c r="J28" s="8"/>
      <c r="K28" s="8"/>
      <c r="L28" s="8"/>
      <c r="M28" s="35"/>
    </row>
    <row r="29" spans="1:24" ht="20.100000000000001" customHeight="1" x14ac:dyDescent="0.25">
      <c r="A29" s="5" t="str">
        <f>HYPERLINK("#'6.1.1.1-2 Crop residue N2O'!A1", "6.1.1.1-2 Crop residue N2O")</f>
        <v>6.1.1.1-2 Crop residue N2O</v>
      </c>
      <c r="D29" s="123" t="str">
        <f>IF(MAX(Table_Input_Lime[Total]) &gt; 1, "There can not be more than 100% ingredients in a product. Check the table below.", "")</f>
        <v/>
      </c>
    </row>
    <row r="30" spans="1:24" ht="20.100000000000001" customHeight="1" x14ac:dyDescent="0.25">
      <c r="A30" s="5" t="str">
        <f>HYPERLINK("#'6.3.1.1-2 Leach runoff crop'!A1", "6.3.1.1-2 Leach &amp; runoff (crop)")</f>
        <v>6.3.1.1-2 Leach &amp; runoff (crop)</v>
      </c>
      <c r="D30" s="124" t="s">
        <v>137</v>
      </c>
      <c r="E30" s="124" t="s">
        <v>236</v>
      </c>
      <c r="F30" s="124" t="s">
        <v>197</v>
      </c>
      <c r="G30" s="124" t="s">
        <v>237</v>
      </c>
      <c r="H30" s="124" t="s">
        <v>238</v>
      </c>
      <c r="I30" s="124" t="s">
        <v>239</v>
      </c>
      <c r="J30" s="124" t="s">
        <v>240</v>
      </c>
      <c r="K30" s="124" t="s">
        <v>4</v>
      </c>
    </row>
    <row r="31" spans="1:24" ht="20.100000000000001" customHeight="1" x14ac:dyDescent="0.25">
      <c r="A31" s="5" t="str">
        <f>HYPERLINK("#'6.4.1.1-2 Residue burning'!A1", "6.4.1.1-2 Residue burning")</f>
        <v>6.4.1.1-2 Residue burning</v>
      </c>
      <c r="D31" s="125" t="s">
        <v>241</v>
      </c>
      <c r="E31" s="103">
        <v>1</v>
      </c>
      <c r="F31" s="103">
        <f>X_Cell_Fertiliser_AreaUnderCropping</f>
        <v>100</v>
      </c>
      <c r="G31" s="104">
        <f>IFERROR(Table_Input_Lime[[#This Row],[Amount applied (t/hectare)]]*Table_Input_Lime[[#This Row],[Application area (ha)]], 0)</f>
        <v>100</v>
      </c>
      <c r="H31" s="126">
        <v>0.8</v>
      </c>
      <c r="I31" s="126">
        <v>0.1</v>
      </c>
      <c r="J31" s="126">
        <v>0.1</v>
      </c>
      <c r="K31" s="127">
        <f>SUM(Table_Input_Lime[[#This Row],[Percent Lime CaCO3]:[Percent Gypsum]])</f>
        <v>1</v>
      </c>
    </row>
    <row r="32" spans="1:24" ht="30" customHeight="1" x14ac:dyDescent="0.25">
      <c r="A32" s="5" t="str">
        <f>HYPERLINK("#'8.1.1.1-2 Transport fuel'!A1", "8.1.1.1-2 Transport fuel")</f>
        <v>8.1.1.1-2 Transport fuel</v>
      </c>
      <c r="D32" s="125" t="s">
        <v>242</v>
      </c>
      <c r="E32" s="103">
        <v>1</v>
      </c>
      <c r="F32" s="103">
        <f>X_Cell_Fertiliser_AreaUnderCropping</f>
        <v>100</v>
      </c>
      <c r="G32" s="104">
        <f>IFERROR(Table_Input_Lime[[#This Row],[Amount applied (t/hectare)]]*Table_Input_Lime[[#This Row],[Application area (ha)]], 0)</f>
        <v>100</v>
      </c>
      <c r="H32" s="126">
        <v>1</v>
      </c>
      <c r="I32" s="126"/>
      <c r="J32" s="126"/>
      <c r="K32" s="127">
        <f>SUM(Table_Input_Lime[[#This Row],[Percent Lime CaCO3]:[Percent Gypsum]])</f>
        <v>1</v>
      </c>
      <c r="L32" s="35"/>
    </row>
    <row r="33" spans="1:25" ht="36" customHeight="1" x14ac:dyDescent="0.25">
      <c r="A33" s="5" t="str">
        <f>HYPERLINK("#'8.2.1.1-2 Stationary fuel'!A1", "8.2.1.1-2 Stationary fuel")</f>
        <v>8.2.1.1-2 Stationary fuel</v>
      </c>
      <c r="D33" s="125" t="s">
        <v>243</v>
      </c>
      <c r="E33" s="103">
        <v>1</v>
      </c>
      <c r="F33" s="103">
        <f>X_Cell_Fertiliser_AreaUnderCropping</f>
        <v>100</v>
      </c>
      <c r="G33" s="104">
        <f>IFERROR(Table_Input_Lime[[#This Row],[Amount applied (t/hectare)]]*Table_Input_Lime[[#This Row],[Application area (ha)]], 0)</f>
        <v>100</v>
      </c>
      <c r="H33" s="126">
        <v>0</v>
      </c>
      <c r="I33" s="126"/>
      <c r="J33" s="126">
        <v>1</v>
      </c>
      <c r="K33" s="127">
        <f>SUM(Table_Input_Lime[[#This Row],[Percent Lime CaCO3]:[Percent Gypsum]])</f>
        <v>1</v>
      </c>
      <c r="L33" s="35"/>
      <c r="M33" s="35"/>
    </row>
    <row r="34" spans="1:25" ht="36" customHeight="1" x14ac:dyDescent="0.25">
      <c r="A34" s="5" t="str">
        <f>HYPERLINK("#'14.1.1-2 Purchased electricity'!A1", "14.1.1-2 Purchased electricity")</f>
        <v>14.1.1-2 Purchased electricity</v>
      </c>
      <c r="D34" s="8"/>
      <c r="E34" s="8"/>
      <c r="F34" s="8"/>
      <c r="G34" s="8"/>
      <c r="H34" s="8"/>
      <c r="I34" s="8"/>
      <c r="J34" s="8"/>
      <c r="L34" s="8"/>
      <c r="M34" s="35"/>
    </row>
    <row r="35" spans="1:25" ht="36" customHeight="1" x14ac:dyDescent="0.25">
      <c r="A35" s="5" t="str">
        <f>HYPERLINK("#'15 Scope 3'!A1", "15 Scope 3")</f>
        <v>15 Scope 3</v>
      </c>
      <c r="D35" s="8"/>
      <c r="E35" s="8"/>
      <c r="F35" s="8"/>
      <c r="G35" s="8"/>
      <c r="H35" s="8"/>
      <c r="I35" s="8"/>
      <c r="J35" s="128"/>
      <c r="K35" s="35"/>
      <c r="L35" s="8"/>
      <c r="M35" s="8"/>
    </row>
    <row r="36" spans="1:25" ht="36" customHeight="1" x14ac:dyDescent="0.25">
      <c r="A36" s="5" t="str">
        <f>HYPERLINK("#'Calcs - Manure sent off-site'!A1", "Calcs - Manure sent off-site")</f>
        <v>Calcs - Manure sent off-site</v>
      </c>
      <c r="D36" s="2" t="s">
        <v>244</v>
      </c>
      <c r="E36" s="35"/>
      <c r="F36" s="35"/>
      <c r="G36" s="35"/>
      <c r="H36" s="8"/>
      <c r="I36" s="8"/>
      <c r="J36" s="8"/>
      <c r="K36" s="8"/>
      <c r="L36" s="8"/>
      <c r="M36" s="8"/>
      <c r="S36" s="112"/>
    </row>
    <row r="37" spans="1:25" ht="20.100000000000001" customHeight="1" x14ac:dyDescent="0.25">
      <c r="A37" s="5" t="str">
        <f>HYPERLINK("#'10.1.1-2 Solid waste treatment'!A1", "10.1.1-2 Solid waste treatment")</f>
        <v>10.1.1-2 Solid waste treatment</v>
      </c>
      <c r="D37" s="8"/>
      <c r="E37" s="8"/>
      <c r="F37" s="8"/>
      <c r="G37" s="8"/>
      <c r="H37" s="8"/>
      <c r="I37" s="8"/>
      <c r="J37" s="8"/>
      <c r="K37" s="8"/>
      <c r="L37" s="8"/>
      <c r="M37" s="8"/>
      <c r="Q37" s="112"/>
      <c r="R37" s="112"/>
      <c r="S37" s="112"/>
    </row>
    <row r="38" spans="1:25" ht="20.100000000000001" customHeight="1" x14ac:dyDescent="0.25">
      <c r="C38" s="112"/>
      <c r="D38" s="92" t="s">
        <v>234</v>
      </c>
      <c r="E38" s="54"/>
      <c r="F38" s="54"/>
      <c r="G38" s="54"/>
      <c r="H38" s="55"/>
      <c r="I38" s="8"/>
      <c r="J38" s="8"/>
      <c r="K38" s="8"/>
      <c r="L38" s="8"/>
      <c r="M38" s="8"/>
      <c r="O38" s="112"/>
      <c r="P38" s="112"/>
      <c r="Q38" s="112"/>
      <c r="R38" s="112"/>
    </row>
    <row r="39" spans="1:25" ht="20.100000000000001" customHeight="1" x14ac:dyDescent="0.25">
      <c r="C39" s="112"/>
      <c r="D39" s="56" t="s">
        <v>191</v>
      </c>
      <c r="E39" s="57"/>
      <c r="F39" s="57"/>
      <c r="G39" s="57"/>
      <c r="H39" s="58"/>
      <c r="I39" s="8"/>
      <c r="J39" s="8"/>
      <c r="K39" s="8"/>
      <c r="L39" s="114"/>
      <c r="M39" s="112"/>
      <c r="N39" s="112"/>
      <c r="O39" s="112"/>
      <c r="P39" s="112"/>
    </row>
    <row r="40" spans="1:25" s="129" customFormat="1" ht="20.100000000000001" customHeight="1" x14ac:dyDescent="0.25">
      <c r="A40" s="119" t="s">
        <v>1</v>
      </c>
      <c r="C40" s="1"/>
      <c r="D40" s="8"/>
      <c r="E40" s="8"/>
      <c r="F40" s="8"/>
      <c r="G40" s="8"/>
      <c r="H40" s="8"/>
      <c r="I40" s="8"/>
      <c r="J40" s="8"/>
      <c r="K40" s="8"/>
      <c r="L40" s="114"/>
      <c r="M40" s="112"/>
      <c r="N40" s="112"/>
      <c r="O40" s="1"/>
      <c r="P40" s="1"/>
      <c r="Q40" s="1"/>
      <c r="R40" s="1"/>
      <c r="S40" s="1"/>
      <c r="T40" s="1"/>
      <c r="U40" s="1"/>
      <c r="V40" s="1"/>
      <c r="W40" s="1"/>
      <c r="X40" s="1"/>
      <c r="Y40" s="1"/>
    </row>
    <row r="41" spans="1:25" s="129" customFormat="1" ht="20.100000000000001" customHeight="1" x14ac:dyDescent="0.25">
      <c r="A41" s="5" t="str">
        <f>HYPERLINK("#'Constants - Ag Residue'!A1", "Constants - Ag residue")</f>
        <v>Constants - Ag residue</v>
      </c>
      <c r="C41" s="1"/>
      <c r="D41" s="124" t="s">
        <v>245</v>
      </c>
      <c r="E41" s="124" t="s">
        <v>246</v>
      </c>
      <c r="F41" s="124" t="s">
        <v>247</v>
      </c>
      <c r="G41" s="124" t="s">
        <v>248</v>
      </c>
      <c r="H41" s="124" t="s">
        <v>197</v>
      </c>
      <c r="I41" s="124" t="s">
        <v>249</v>
      </c>
      <c r="J41" s="124" t="s">
        <v>250</v>
      </c>
      <c r="K41" s="114"/>
      <c r="L41" s="1"/>
      <c r="M41" s="1"/>
      <c r="N41" s="1"/>
      <c r="O41" s="1"/>
      <c r="P41" s="1"/>
      <c r="Q41" s="1"/>
      <c r="R41" s="1"/>
      <c r="S41" s="1"/>
      <c r="T41" s="1"/>
      <c r="U41" s="1"/>
      <c r="V41" s="1"/>
      <c r="W41" s="1"/>
      <c r="X41" s="1"/>
      <c r="Y41" s="1"/>
    </row>
    <row r="42" spans="1:25" ht="30" customHeight="1" x14ac:dyDescent="0.25">
      <c r="A42" s="5" t="str">
        <f>HYPERLINK("#'Constants - Common Livestock'!A1", "Constants - Common Livestock")</f>
        <v>Constants - Common Livestock</v>
      </c>
      <c r="D42" s="102" t="s">
        <v>251</v>
      </c>
      <c r="E42" s="126">
        <v>0.3</v>
      </c>
      <c r="F42" s="103">
        <v>10</v>
      </c>
      <c r="G42" s="104">
        <f>Table_Input_OrganicFertiliser[[#This Row],[Amount applied (kg/hectare)]]*Table_Input_OrganicFertiliser[[#This Row],[Percentage of N in fertiliser]]</f>
        <v>3</v>
      </c>
      <c r="H42" s="103">
        <f>X_Cell_Fertiliser_AreaUnderCropping</f>
        <v>100</v>
      </c>
      <c r="I42" s="104">
        <f>Table_Input_OrganicFertiliser[[#This Row],[Amount applied (kg/hectare)]]*Table_Input_OrganicFertiliser[[#This Row],[Application area (ha)]]</f>
        <v>1000</v>
      </c>
      <c r="J42" s="104">
        <f>IFERROR(Table_Input_OrganicFertiliser[[#This Row],[Amount N applied (kg/hectare)]]*Table_Input_OrganicFertiliser[[#This Row],[Application area (ha)]], 0)</f>
        <v>300</v>
      </c>
      <c r="K42" s="114"/>
    </row>
    <row r="43" spans="1:25" ht="36" customHeight="1" x14ac:dyDescent="0.25">
      <c r="A43" s="5" t="str">
        <f>HYPERLINK("#'Constants - Electricity'!A1", "Constants - Electricity")</f>
        <v>Constants - Electricity</v>
      </c>
      <c r="D43" s="102" t="s">
        <v>252</v>
      </c>
      <c r="E43" s="126">
        <v>0.25</v>
      </c>
      <c r="F43" s="103">
        <v>10</v>
      </c>
      <c r="G43" s="104">
        <f>Table_Input_OrganicFertiliser[[#This Row],[Amount applied (kg/hectare)]]*Table_Input_OrganicFertiliser[[#This Row],[Percentage of N in fertiliser]]</f>
        <v>2.5</v>
      </c>
      <c r="H43" s="103">
        <f>X_Cell_Fertiliser_AreaUnderCropping</f>
        <v>100</v>
      </c>
      <c r="I43" s="104">
        <f>Table_Input_OrganicFertiliser[[#This Row],[Amount applied (kg/hectare)]]*Table_Input_OrganicFertiliser[[#This Row],[Application area (ha)]]</f>
        <v>1000</v>
      </c>
      <c r="J43" s="104">
        <f>IFERROR(Table_Input_OrganicFertiliser[[#This Row],[Amount N applied (kg/hectare)]]*Table_Input_OrganicFertiliser[[#This Row],[Application area (ha)]], 0)</f>
        <v>250</v>
      </c>
    </row>
    <row r="44" spans="1:25" ht="36" customHeight="1" x14ac:dyDescent="0.25">
      <c r="A44" s="5" t="str">
        <f>HYPERLINK("#'Constants - Fertiliser'!A1", "Constants - Fertiliser")</f>
        <v>Constants - Fertiliser</v>
      </c>
      <c r="D44" s="102" t="s">
        <v>253</v>
      </c>
      <c r="E44" s="126">
        <v>0.16</v>
      </c>
      <c r="F44" s="103">
        <v>10</v>
      </c>
      <c r="G44" s="104">
        <f>Table_Input_OrganicFertiliser[[#This Row],[Amount applied (kg/hectare)]]*Table_Input_OrganicFertiliser[[#This Row],[Percentage of N in fertiliser]]</f>
        <v>1.6</v>
      </c>
      <c r="H44" s="103">
        <f>X_Cell_Fertiliser_AreaUnderCropping</f>
        <v>100</v>
      </c>
      <c r="I44" s="104">
        <f>Table_Input_OrganicFertiliser[[#This Row],[Amount applied (kg/hectare)]]*Table_Input_OrganicFertiliser[[#This Row],[Application area (ha)]]</f>
        <v>1000</v>
      </c>
      <c r="J44" s="104">
        <f>IFERROR(Table_Input_OrganicFertiliser[[#This Row],[Amount N applied (kg/hectare)]]*Table_Input_OrganicFertiliser[[#This Row],[Application area (ha)]], 0)</f>
        <v>160</v>
      </c>
    </row>
    <row r="45" spans="1:25" ht="36" customHeight="1" x14ac:dyDescent="0.25">
      <c r="A45" s="5" t="str">
        <f>HYPERLINK("#'Constants - Fuel'!A1", "Constants - Fuel")</f>
        <v>Constants - Fuel</v>
      </c>
    </row>
    <row r="46" spans="1:25" ht="36" customHeight="1" x14ac:dyDescent="0.25">
      <c r="A46" s="5" t="str">
        <f>HYPERLINK("#'Constants - Scope 3'!A1", "Constants - Scope 3")</f>
        <v>Constants - Scope 3</v>
      </c>
    </row>
    <row r="47" spans="1:25" ht="20.100000000000001" customHeight="1" x14ac:dyDescent="0.25">
      <c r="A47" s="5" t="str">
        <f>HYPERLINK("#'Constants - Common'!A1", "Constants - Common")</f>
        <v>Constants - Common</v>
      </c>
    </row>
    <row r="48" spans="1:25"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123"/>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60452F68-E348-4DBA-AACB-F131480AFABE}">
      <formula1>INDIRECT("Table_SourceData_Fertiliser_UreaAmmoniaSources[Source]")</formula1>
    </dataValidation>
    <dataValidation type="list" allowBlank="1" showInputMessage="1" showErrorMessage="1" sqref="D12:D16" xr:uid="{56FE04D9-5DE5-4E55-85B7-6449541C23B3}">
      <formula1>INDIRECT("FertiliserProducts[Product Name]")</formula1>
    </dataValidation>
    <dataValidation type="list" allowBlank="1" showInputMessage="1" showErrorMessage="1" sqref="D42:D44" xr:uid="{2ECB992B-6E78-4208-9596-8EAC62EBD7C7}">
      <formula1>INDIRECT("Table_SourceData_OrganicFertiliserTypes[Organic fertiliser type]")</formula1>
    </dataValidation>
    <dataValidation type="list" allowBlank="1" showInputMessage="1" showErrorMessage="1" sqref="H20:H22 J20:J22 L20:L22 N20:N22" xr:uid="{B36EDB30-6D37-4BF9-838B-47FDC6E9003F}">
      <formula1>INDIRECT("Table_Fertiliser_ChemicalCompounds[Fertiliser type f]")</formula1>
    </dataValidation>
    <dataValidation type="list" allowBlank="1" showInputMessage="1" showErrorMessage="1" sqref="E69" xr:uid="{8664BB94-BF77-4B79-89D8-5B7D901F82F7}">
      <formula1>INDIRECT("Table_SourceData_Swine_CropProdSystems[Production system]")</formula1>
    </dataValidation>
    <dataValidation type="list" allowBlank="1" showInputMessage="1" showErrorMessage="1" sqref="E70" xr:uid="{09B53F6B-7898-408B-BDD2-BC5EF6DE7B39}">
      <formula1>INDIRECT("Table_SourceData_Swine_IrrigationMethods[Irrigation method]")</formula1>
    </dataValidation>
    <dataValidation type="list" allowBlank="1" showInputMessage="1" showErrorMessage="1" sqref="E254 E259 E264 E298 E293 E288 E166 E154 E130 E142" xr:uid="{D41A119F-B0A4-4BE4-91BF-C9F88D39DF0D}">
      <formula1>"Yes, No"</formula1>
    </dataValidation>
    <dataValidation type="list" allowBlank="1" showInputMessage="1" showErrorMessage="1" sqref="E230" xr:uid="{3497A2D5-F832-4993-B15D-F6DFED608872}">
      <formula1>INDIRECT("Table_SourceData_Dairy_ProductionSystemTemplates[Area]")</formula1>
    </dataValidation>
    <dataValidation type="list" allowBlank="1" showInputMessage="1" showErrorMessage="1" sqref="D282" xr:uid="{6E427A8D-5F45-4B12-A895-FCFE5A569EC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D2FE-9574-4AA4-9F37-7CFE5C1803E7}">
  <dimension ref="A1:K346"/>
  <sheetViews>
    <sheetView showGridLines="0" topLeftCell="A2"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429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430</v>
      </c>
      <c r="E5" s="35"/>
      <c r="F5" s="35"/>
      <c r="G5" s="35"/>
      <c r="H5" s="35"/>
    </row>
    <row r="6" spans="1:11" ht="20.100000000000001" customHeight="1" x14ac:dyDescent="0.25">
      <c r="D6" s="8"/>
      <c r="E6" s="8"/>
      <c r="F6" s="8"/>
      <c r="G6" s="8"/>
      <c r="H6" s="8"/>
      <c r="I6" s="8"/>
      <c r="J6" s="8"/>
    </row>
    <row r="7" spans="1:11" ht="20.100000000000001" customHeight="1" x14ac:dyDescent="0.25">
      <c r="D7" s="1" t="s">
        <v>431</v>
      </c>
    </row>
    <row r="8" spans="1:11" ht="20.100000000000001" customHeight="1" x14ac:dyDescent="0.25">
      <c r="A8" s="7" t="s">
        <v>0</v>
      </c>
      <c r="D8" s="1" t="s">
        <v>432</v>
      </c>
    </row>
    <row r="9" spans="1:11" ht="20.100000000000001" customHeight="1" x14ac:dyDescent="0.25">
      <c r="A9" s="5" t="str">
        <f>HYPERLINK("#'Input - Enterprise'!A1", "Enterprise")</f>
        <v>Enterprise</v>
      </c>
      <c r="D9" s="1" t="s">
        <v>433</v>
      </c>
    </row>
    <row r="10" spans="1:11" ht="20.100000000000001" customHeight="1" x14ac:dyDescent="0.25">
      <c r="A10" s="5" t="str">
        <f>HYPERLINK("#'Input - Site'!A1", "Site")</f>
        <v>Site</v>
      </c>
    </row>
    <row r="11" spans="1:11" ht="20.100000000000001" customHeight="1" x14ac:dyDescent="0.25">
      <c r="A11" s="5" t="str">
        <f>HYPERLINK("#'Input - Crop'!A1", "Crop")</f>
        <v>Crop</v>
      </c>
      <c r="D11" s="1" t="s">
        <v>434</v>
      </c>
      <c r="E11" s="23" t="s">
        <v>435</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2" t="s">
        <v>401</v>
      </c>
      <c r="E13" s="54"/>
      <c r="F13" s="54"/>
      <c r="G13" s="54"/>
      <c r="H13" s="55"/>
    </row>
    <row r="14" spans="1:11" ht="20.100000000000001" customHeight="1" x14ac:dyDescent="0.25">
      <c r="A14" s="97" t="str">
        <f>HYPERLINK("#'Input - Fuel'!A1", "Fuel")</f>
        <v>Fuel</v>
      </c>
      <c r="D14" s="56" t="s">
        <v>436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Farm Inputs'!A1", "Farm Inputs")</f>
        <v>Farm Inputs</v>
      </c>
      <c r="D16" s="144" t="s">
        <v>437</v>
      </c>
      <c r="E16" s="144" t="s">
        <v>438</v>
      </c>
      <c r="F16" s="144" t="s">
        <v>439</v>
      </c>
      <c r="G16" s="144" t="s">
        <v>440</v>
      </c>
      <c r="H16" s="144" t="s">
        <v>441</v>
      </c>
      <c r="I16" s="144" t="s">
        <v>442</v>
      </c>
      <c r="J16" s="144" t="s">
        <v>443</v>
      </c>
    </row>
    <row r="17" spans="1:10" ht="20.100000000000001" customHeight="1" x14ac:dyDescent="0.25">
      <c r="A17" s="5" t="str">
        <f>HYPERLINK("#'Input - Freight'!A1", "Freight")</f>
        <v>Freight</v>
      </c>
      <c r="D17" s="23" t="s">
        <v>444</v>
      </c>
      <c r="E17" s="23" t="s">
        <v>445</v>
      </c>
      <c r="F17" s="181">
        <v>100</v>
      </c>
      <c r="G17" s="25" t="str" cm="1">
        <f t="array" ref="G17">Common_InputFunctions.Utility_LookupValueInTable(Table_Input_Fuel[[#This Row],[Fuel type (select)]],Table_FuelTypes_Units[Fuel type], Table_FuelTypes_Units[Input Unit])</f>
        <v>GJ</v>
      </c>
      <c r="H17" s="182">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Manure sent off-site'!A1", "Manure sent off-site")</f>
        <v>Manure sent off-site</v>
      </c>
      <c r="D18" s="23" t="s">
        <v>444</v>
      </c>
      <c r="E18" s="23" t="s">
        <v>446</v>
      </c>
      <c r="F18" s="181">
        <v>10000</v>
      </c>
      <c r="G18" s="25" t="str" cm="1">
        <f t="array" ref="G18">Common_InputFunctions.Utility_LookupValueInTable(Table_Input_Fuel[[#This Row],[Fuel type (select)]],Table_FuelTypes_Units[Fuel type], Table_FuelTypes_Units[Input Unit])</f>
        <v>L</v>
      </c>
      <c r="H18" s="183">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23" t="s">
        <v>447</v>
      </c>
      <c r="E19" s="23" t="s">
        <v>448</v>
      </c>
      <c r="F19" s="181">
        <v>10000</v>
      </c>
      <c r="G19" s="25" t="str" cm="1">
        <f t="array" ref="G19">Common_InputFunctions.Utility_LookupValueInTable(Table_Input_Fuel[[#This Row],[Fuel type (select)]],Table_FuelTypes_Units[Fuel type], Table_FuelTypes_Units[Input Unit])</f>
        <v>L</v>
      </c>
      <c r="H19" s="183">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D20" s="23" t="s">
        <v>449</v>
      </c>
      <c r="E20" s="23" t="s">
        <v>448</v>
      </c>
      <c r="F20" s="181">
        <v>10000</v>
      </c>
      <c r="G20" s="25" t="str" cm="1">
        <f t="array" ref="G20">Common_InputFunctions.Utility_LookupValueInTable(Table_Input_Fuel[[#This Row],[Fuel type (select)]],Table_FuelTypes_Units[Fuel type], Table_FuelTypes_Units[Input Unit])</f>
        <v>L</v>
      </c>
      <c r="H20" s="183">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D21" s="184" t="s">
        <v>450</v>
      </c>
      <c r="E21" s="184" t="s">
        <v>451</v>
      </c>
      <c r="F21" s="181">
        <v>10000</v>
      </c>
      <c r="G21" s="185" t="str" cm="1">
        <f t="array" ref="G21">Common_InputFunctions.Utility_LookupValueInTable(Table_Input_Fuel[[#This Row],[Fuel type (select)]],Table_FuelTypes_Units[Fuel type], Table_FuelTypes_Units[Input Unit])</f>
        <v>L</v>
      </c>
      <c r="H21" s="186">
        <f>1</f>
        <v>1</v>
      </c>
      <c r="I21" s="185">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row>
    <row r="25" spans="1:10" ht="20.100000000000001" customHeight="1" x14ac:dyDescent="0.25">
      <c r="A25" s="5" t="str">
        <f>HYPERLINK("#'5.2.1.1-2 Organic Fert N2O'!A1", "5.2.1.1-2 Organic fert N2O")</f>
        <v>5.2.1.1-2 Organic fert N2O</v>
      </c>
    </row>
    <row r="26" spans="1:10" ht="20.100000000000001" customHeight="1" x14ac:dyDescent="0.25">
      <c r="A26" s="5" t="str">
        <f>HYPERLINK("#'5.3.1.1-2 Lime CO2'!A1", "5.3.1.1-2 Lime CO2")</f>
        <v>5.3.1.1-2 Lime CO2</v>
      </c>
    </row>
    <row r="27" spans="1:10" ht="20.100000000000001" customHeight="1" x14ac:dyDescent="0.25">
      <c r="A27" s="5" t="str">
        <f>HYPERLINK("#'5.4.1.1-4 Atmos deposition'!A1", "5.4.1.1-4 Atmos. deposition")</f>
        <v>5.4.1.1-4 Atmos. deposition</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row>
    <row r="31" spans="1:10" ht="20.100000000000001" customHeight="1" x14ac:dyDescent="0.25">
      <c r="A31" s="5" t="str">
        <f>HYPERLINK("#'6.4.1.1-2 Residue burning'!A1", "6.4.1.1-2 Residue burning")</f>
        <v>6.4.1.1-2 Residue burning</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c r="A35" s="5" t="str">
        <f>HYPERLINK("#'15 Scope 3'!A1", "15 Scope 3")</f>
        <v>15 Scope 3</v>
      </c>
    </row>
    <row r="36" spans="1:11" ht="20.100000000000001" customHeight="1" x14ac:dyDescent="0.25">
      <c r="A36" s="5" t="str">
        <f>HYPERLINK("#'Calcs - Manure sent off-site'!A1", "Calcs - Manure sent off-site")</f>
        <v>Calcs - Manure sent off-site</v>
      </c>
    </row>
    <row r="37" spans="1:11" ht="20.100000000000001" customHeight="1" x14ac:dyDescent="0.25">
      <c r="A37" s="5" t="str">
        <f>HYPERLINK("#'10.1.1-2 Solid waste treatment'!A1", "10.1.1-2 Solid waste treatment")</f>
        <v>10.1.1-2 Solid waste treatment</v>
      </c>
    </row>
    <row r="38" spans="1:11" ht="20.100000000000001" customHeight="1" x14ac:dyDescent="0.25">
      <c r="C38" s="112"/>
      <c r="K38" s="112"/>
    </row>
    <row r="39" spans="1:11" ht="20.100000000000001" customHeight="1" x14ac:dyDescent="0.25">
      <c r="C39" s="112"/>
      <c r="K39" s="112"/>
    </row>
    <row r="40" spans="1:11" s="129" customFormat="1" ht="20.100000000000001" customHeight="1" x14ac:dyDescent="0.25">
      <c r="A40" s="119" t="s">
        <v>1</v>
      </c>
      <c r="C40" s="1"/>
      <c r="D40" s="1"/>
      <c r="E40" s="1"/>
      <c r="F40" s="1"/>
      <c r="G40" s="1"/>
      <c r="H40" s="1"/>
      <c r="I40" s="1"/>
      <c r="J40" s="1"/>
      <c r="K40" s="1"/>
    </row>
    <row r="41" spans="1:11" s="129" customFormat="1" ht="20.100000000000001" customHeight="1" x14ac:dyDescent="0.25">
      <c r="A41" s="5" t="str">
        <f>HYPERLINK("#'Constants - Ag Residue'!A1", "Constants - Ag residue")</f>
        <v>Constants - Ag residue</v>
      </c>
      <c r="C41" s="1"/>
      <c r="D41" s="1"/>
      <c r="E41" s="1"/>
      <c r="F41" s="1"/>
      <c r="G41" s="1"/>
      <c r="H41" s="1"/>
      <c r="I41" s="1"/>
      <c r="J41" s="1"/>
      <c r="K41" s="1"/>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row>
    <row r="48" spans="1: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3"/>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FA31F848-B0CF-445A-A28C-CE2EFF302922}">
      <formula1>_xlfn.TRIMRANGE(INDIRECT("Table_FuelTypesPerUse["&amp;D17&amp;"]"))</formula1>
    </dataValidation>
    <dataValidation type="list" allowBlank="1" showInputMessage="1" showErrorMessage="1" sqref="D17:D21" xr:uid="{ECD9B0D7-AA9F-4F0D-A7BC-22B4E6864BAF}">
      <formula1>INDIRECT("Table_FuelTypesPerUse[#Headers]")</formula1>
    </dataValidation>
    <dataValidation type="list" allowBlank="1" showInputMessage="1" showErrorMessage="1" sqref="E11" xr:uid="{5A430088-A79B-4CD1-8C94-1121D5F53F39}">
      <formula1>"Metro, Non-metro"</formula1>
    </dataValidation>
    <dataValidation type="list" allowBlank="1" showInputMessage="1" showErrorMessage="1" sqref="D29:D30" xr:uid="{2433EEE0-9FBA-4394-A106-D5D33D046087}">
      <formula1>INDIRECT("Table_SourceData_OrganicFertiliserTypes[Organic fertiliser type]")</formula1>
    </dataValidation>
    <dataValidation type="list" allowBlank="1" showInputMessage="1" showErrorMessage="1" sqref="E49" xr:uid="{15CF03A9-6BB0-46E1-ACBC-8C0D55FCF82B}">
      <formula1>INDIRECT("Table_SourceData_Swine_CropProdSystems[Production system]")</formula1>
    </dataValidation>
    <dataValidation type="list" allowBlank="1" showInputMessage="1" showErrorMessage="1" sqref="E50" xr:uid="{7AC2DEE9-EFA6-4A96-BEED-BE745A961909}">
      <formula1>INDIRECT("Table_SourceData_Swine_IrrigationMethods[Irrigation method]")</formula1>
    </dataValidation>
    <dataValidation type="list" allowBlank="1" showInputMessage="1" showErrorMessage="1" sqref="E234 E239 E244 E278 E273 E268 E146 E134 E110 E122" xr:uid="{D7094535-F67B-4937-A07B-57A631E28A3B}">
      <formula1>"Yes, No"</formula1>
    </dataValidation>
    <dataValidation type="list" allowBlank="1" showInputMessage="1" showErrorMessage="1" sqref="E210" xr:uid="{BBC75EBF-5A0F-41E4-A3E7-1C84336701E4}">
      <formula1>INDIRECT("Table_SourceData_Dairy_ProductionSystemTemplates[Area]")</formula1>
    </dataValidation>
    <dataValidation type="list" allowBlank="1" showInputMessage="1" showErrorMessage="1" sqref="D262" xr:uid="{F96D948A-4D08-493C-9B60-0FB96121A4E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FEECE-FB47-4132-882B-6CFC69E594FB}">
  <dimension ref="A1:L365"/>
  <sheetViews>
    <sheetView showGridLines="0" tabSelected="1" topLeftCell="A19" zoomScaleNormal="100" workbookViewId="0">
      <selection activeCell="M32" sqref="M3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382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383</v>
      </c>
      <c r="E5" s="23" t="s">
        <v>384</v>
      </c>
      <c r="F5" s="26" t="s">
        <v>100</v>
      </c>
    </row>
    <row r="6" spans="1:10" ht="20.100000000000001" customHeight="1" x14ac:dyDescent="0.25">
      <c r="E6" s="123"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5"/>
      <c r="D8" s="145"/>
      <c r="E8" s="145"/>
      <c r="F8" s="145"/>
      <c r="G8" s="145"/>
      <c r="H8" s="145"/>
      <c r="I8" s="145"/>
      <c r="J8" s="145"/>
    </row>
    <row r="9" spans="1:10" ht="20.100000000000001" customHeight="1" x14ac:dyDescent="0.25">
      <c r="A9" s="5" t="str">
        <f>HYPERLINK("#'Input - Enterprise'!A1", "Enterprise")</f>
        <v>Enterprise</v>
      </c>
      <c r="D9" s="2" t="s">
        <v>385</v>
      </c>
    </row>
    <row r="10" spans="1:10" ht="20.100000000000001" customHeight="1" x14ac:dyDescent="0.25">
      <c r="A10" s="5" t="str">
        <f>HYPERLINK("#'Input - Site'!A1", "Site")</f>
        <v>Site</v>
      </c>
    </row>
    <row r="11" spans="1:10" ht="20.100000000000001" customHeight="1" x14ac:dyDescent="0.25">
      <c r="A11" s="5" t="str">
        <f>HYPERLINK("#'Input - Crop'!A1", "Crop")</f>
        <v>Crop</v>
      </c>
      <c r="D11" s="91" t="s">
        <v>386</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387</v>
      </c>
      <c r="E13" s="49"/>
      <c r="F13" s="8"/>
    </row>
    <row r="14" spans="1:10" ht="20.100000000000001" customHeight="1" x14ac:dyDescent="0.25">
      <c r="A14" s="5" t="str">
        <f>HYPERLINK("#'Input - Fuel'!A1", "Fuel")</f>
        <v>Fuel</v>
      </c>
      <c r="D14" s="8"/>
      <c r="E14" s="8"/>
      <c r="F14" s="8"/>
    </row>
    <row r="15" spans="1:10" ht="20.100000000000001" customHeight="1" x14ac:dyDescent="0.25">
      <c r="A15" s="97" t="str">
        <f>HYPERLINK("#'Input - Electricity'!A1", "Electricity")</f>
        <v>Electricity</v>
      </c>
      <c r="D15" s="1" t="s">
        <v>388</v>
      </c>
      <c r="E15" s="173">
        <v>30000</v>
      </c>
      <c r="F15" s="26" t="s">
        <v>389</v>
      </c>
    </row>
    <row r="16" spans="1:10" ht="20.100000000000001" customHeight="1" x14ac:dyDescent="0.25">
      <c r="A16" s="5" t="str">
        <f>HYPERLINK("#'Input - Farm Inputs'!A1", "Farm Inputs")</f>
        <v>Farm Inputs</v>
      </c>
      <c r="D16" s="1" t="s">
        <v>390</v>
      </c>
      <c r="E16" s="25" t="str">
        <f>IF(X_Cell_Site_State="Western Australia", X_Cell_Site_Region, X_Cell_Site_State)</f>
        <v>Western Australia - Outback (South)</v>
      </c>
      <c r="F16" s="8"/>
    </row>
    <row r="17" spans="1:11" ht="20.100000000000001" customHeight="1" x14ac:dyDescent="0.25">
      <c r="A17" s="5" t="str">
        <f>HYPERLINK("#'Input - Freight'!A1", "Freight")</f>
        <v>Freight</v>
      </c>
      <c r="D17" s="1" t="s">
        <v>391</v>
      </c>
      <c r="E17" s="23" t="s">
        <v>392</v>
      </c>
      <c r="F17" s="26" t="s">
        <v>100</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C20" s="145"/>
      <c r="D20" s="145"/>
      <c r="E20" s="145"/>
      <c r="F20" s="145"/>
      <c r="G20" s="145"/>
      <c r="H20" s="145"/>
      <c r="I20" s="145"/>
      <c r="J20" s="145"/>
    </row>
    <row r="21" spans="1:11" ht="20.100000000000001" customHeight="1" x14ac:dyDescent="0.25">
      <c r="D21" s="2" t="s">
        <v>393</v>
      </c>
    </row>
    <row r="22" spans="1:11" ht="20.100000000000001" customHeight="1" x14ac:dyDescent="0.25">
      <c r="A22" s="6" t="s">
        <v>2</v>
      </c>
      <c r="E22" s="123" t="str">
        <f>IF(E16="ACT", "", "ALERT: Your farm is not in the ACT, so the JRPP is not applicable")</f>
        <v>ALERT: Your farm is not in the ACT, so the JRPP is not applicable</v>
      </c>
    </row>
    <row r="23" spans="1:11" ht="20.100000000000001" customHeight="1" x14ac:dyDescent="0.25">
      <c r="A23" s="5" t="str">
        <f>HYPERLINK("#'5.1.1.1-2 Inorganic fert N2O'!A1", "5.1.1.1-2 Inorganic fert N2O")</f>
        <v>5.1.1.1-2 Inorganic fert N2O</v>
      </c>
      <c r="D23" s="1" t="s">
        <v>394</v>
      </c>
      <c r="E23" s="173">
        <v>30000</v>
      </c>
      <c r="F23" s="26" t="s">
        <v>389</v>
      </c>
    </row>
    <row r="24" spans="1:11" ht="20.100000000000001" customHeight="1" x14ac:dyDescent="0.25">
      <c r="A24" s="5" t="str">
        <f>HYPERLINK("#'5.1.1.3-4 Inorganic fert CO2'!A1", "5.1.1.3-4 Inorganic fert CO2")</f>
        <v>5.1.1.3-4 Inorganic fert CO2</v>
      </c>
      <c r="D24" s="1" t="s">
        <v>395</v>
      </c>
      <c r="E24" s="28">
        <v>0.1</v>
      </c>
      <c r="F24" s="26" t="s">
        <v>153</v>
      </c>
    </row>
    <row r="25" spans="1:11" ht="20.100000000000001" customHeight="1" x14ac:dyDescent="0.25">
      <c r="A25" s="5" t="str">
        <f>HYPERLINK("#'5.2.1.1-2 Organic Fert N2O'!A1", "5.2.1.1-2 Organic fert N2O")</f>
        <v>5.2.1.1-2 Organic fert N2O</v>
      </c>
      <c r="D25" s="1" t="s">
        <v>396</v>
      </c>
      <c r="E25" s="28">
        <v>0.1</v>
      </c>
      <c r="F25" s="26" t="s">
        <v>153</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c r="D27" s="1" t="s">
        <v>397</v>
      </c>
      <c r="E27" s="173">
        <v>10000</v>
      </c>
      <c r="F27" s="26" t="s">
        <v>389</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c r="D29" s="1" t="s">
        <v>398</v>
      </c>
      <c r="E29" s="174" t="str">
        <f>TEXT(X_Cell_Site_StartDate, "dd mmm yyyy")</f>
        <v>01 Jan 2025</v>
      </c>
      <c r="K29" s="129"/>
    </row>
    <row r="30" spans="1:11" ht="20.100000000000001" customHeight="1" x14ac:dyDescent="0.25">
      <c r="A30" s="5" t="str">
        <f>HYPERLINK("#'6.3.1.1-2 Leach runoff crop'!A1", "6.3.1.1-2 Leach &amp; runoff (crop)")</f>
        <v>6.3.1.1-2 Leach &amp; runoff (crop)</v>
      </c>
      <c r="D30" s="1" t="s">
        <v>399</v>
      </c>
      <c r="E30" s="174" t="str">
        <f>TEXT(X_Cell_Site_EndDate, "dd mmm yyyy")</f>
        <v>31 Dec 2025</v>
      </c>
      <c r="K30" s="129"/>
    </row>
    <row r="31" spans="1:11" ht="20.100000000000001" customHeight="1" x14ac:dyDescent="0.25">
      <c r="A31" s="5" t="str">
        <f>HYPERLINK("#'6.4.1.1-2 Residue burning'!A1", "6.4.1.1-2 Residue burning")</f>
        <v>6.4.1.1-2 Residue burning</v>
      </c>
      <c r="K31" s="129"/>
    </row>
    <row r="32" spans="1:11" ht="20.100000000000001" customHeight="1" x14ac:dyDescent="0.25">
      <c r="A32" s="5" t="str">
        <f>HYPERLINK("#'8.1.1.1-2 Transport fuel'!A1", "8.1.1.1-2 Transport fuel")</f>
        <v>8.1.1.1-2 Transport fuel</v>
      </c>
      <c r="D32" s="91" t="s">
        <v>400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D34" s="46" t="s">
        <v>401</v>
      </c>
      <c r="E34" s="49"/>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D36" s="144" t="s">
        <v>402</v>
      </c>
      <c r="E36" s="144" t="s">
        <v>403</v>
      </c>
      <c r="F36" s="144" t="s">
        <v>404</v>
      </c>
      <c r="G36" s="144" t="s">
        <v>405</v>
      </c>
      <c r="H36" s="144" t="s">
        <v>406</v>
      </c>
      <c r="I36" s="144" t="s">
        <v>407</v>
      </c>
      <c r="L36" s="129"/>
    </row>
    <row r="37" spans="1:12" ht="20.100000000000001" customHeight="1" x14ac:dyDescent="0.25">
      <c r="A37" s="5" t="str">
        <f>HYPERLINK("#'10.1.1-2 Solid waste treatment'!A1", "10.1.1-2 Solid waste treatment")</f>
        <v>10.1.1-2 Solid waste treatment</v>
      </c>
      <c r="D37" s="30" t="s">
        <v>408</v>
      </c>
      <c r="E37" s="23" t="s">
        <v>409</v>
      </c>
      <c r="F37" s="175">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29"/>
    </row>
    <row r="38" spans="1:12" ht="20.100000000000001" customHeight="1" x14ac:dyDescent="0.25">
      <c r="D38" s="30" t="s">
        <v>410</v>
      </c>
      <c r="E38" s="23" t="s">
        <v>411</v>
      </c>
      <c r="F38" s="175">
        <v>44575</v>
      </c>
      <c r="G38" s="30">
        <v>5</v>
      </c>
      <c r="H38" s="25">
        <f>Table_Input_RECSurrendered[[#This Row],[Number of certificates]]</f>
        <v>5</v>
      </c>
      <c r="I38" s="25" t="str">
        <f>IF(DATEDIF(Table_Input_RECSurrendered[[#This Row],[Generation date]],DATEVALUE($E$30),"M")&gt;36,"Ineligible - older than 36 months","Elegible")</f>
        <v>Ineligible - older than 36 months</v>
      </c>
    </row>
    <row r="39" spans="1:12" ht="20.100000000000001" customHeight="1" x14ac:dyDescent="0.25">
      <c r="D39" s="30" t="s">
        <v>412</v>
      </c>
      <c r="E39" s="23" t="s">
        <v>409</v>
      </c>
      <c r="F39" s="175">
        <v>45438</v>
      </c>
      <c r="G39" s="30">
        <v>5</v>
      </c>
      <c r="H39" s="25">
        <f>Table_Input_RECSurrendered[[#This Row],[Number of certificates]]</f>
        <v>5</v>
      </c>
      <c r="I39" s="25" t="str">
        <f>IF(DATEDIF(Table_Input_RECSurrendered[[#This Row],[Generation date]],DATEVALUE($E$30),"M")&gt;36,"Ineligible - older than 36 months","Elegible")</f>
        <v>Elegible</v>
      </c>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t="s">
        <v>413</v>
      </c>
      <c r="E41" s="25">
        <f>SUMIF(Table_Input_RECSurrendered[Elegibility], "Elegible", Table_Input_RECSurrendered[MWh])</f>
        <v>5</v>
      </c>
      <c r="F41" s="26" t="s">
        <v>406</v>
      </c>
      <c r="G41" s="1"/>
      <c r="H41" s="1"/>
      <c r="I41" s="1"/>
      <c r="J41" s="1"/>
      <c r="L41" s="129" t="s">
        <v>414</v>
      </c>
    </row>
    <row r="42" spans="1:12" ht="20.100000000000001" customHeight="1" x14ac:dyDescent="0.25">
      <c r="A42" s="5" t="str">
        <f>HYPERLINK("#'Constants - Common Livestock'!A1", "Constants - Common Livestock")</f>
        <v>Constants - Common Livestock</v>
      </c>
      <c r="C42" s="112"/>
    </row>
    <row r="43" spans="1:12" ht="20.100000000000001" customHeight="1" x14ac:dyDescent="0.25">
      <c r="A43" s="5" t="str">
        <f>HYPERLINK("#'Constants - Electricity'!A1", "Constants - Electricity")</f>
        <v>Constants - Electricity</v>
      </c>
      <c r="C43" s="112"/>
      <c r="D43" s="91" t="s">
        <v>415</v>
      </c>
      <c r="J43" s="112"/>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c r="D45" s="144" t="s">
        <v>402</v>
      </c>
      <c r="E45" s="144" t="s">
        <v>347</v>
      </c>
      <c r="F45" s="144" t="s">
        <v>404</v>
      </c>
      <c r="G45" s="144" t="s">
        <v>405</v>
      </c>
      <c r="H45" s="144" t="s">
        <v>406</v>
      </c>
      <c r="I45" s="144" t="s">
        <v>407</v>
      </c>
    </row>
    <row r="46" spans="1:12" ht="20.100000000000001" customHeight="1" x14ac:dyDescent="0.25">
      <c r="A46" s="5" t="str">
        <f>HYPERLINK("#'Constants - Scope 3'!A1", "Constants - Scope 3")</f>
        <v>Constants - Scope 3</v>
      </c>
      <c r="D46" s="30" t="s">
        <v>416</v>
      </c>
      <c r="E46" s="176" t="str">
        <f>"Issued for generated electricity"</f>
        <v>Issued for generated electricity</v>
      </c>
      <c r="F46" s="175">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Common'!A1", "Constants - Common")</f>
        <v>Constants - Common</v>
      </c>
      <c r="D47" s="30" t="s">
        <v>417</v>
      </c>
      <c r="E47" s="176" t="str">
        <f>"Issued for generated electricity"</f>
        <v>Issued for generated electricity</v>
      </c>
      <c r="F47" s="175">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Solid Waste'!A1", "Constants - Solid Waste")</f>
        <v>Constants - Solid Waste</v>
      </c>
      <c r="D48" s="177">
        <v>45597</v>
      </c>
      <c r="E48" s="176" t="str">
        <f>"Issued for generated electricity"</f>
        <v>Issued for generated electricity</v>
      </c>
      <c r="F48" s="175">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Ineligible - outside reporting year</v>
      </c>
    </row>
    <row r="49" spans="4:6" ht="20.100000000000001" customHeight="1" x14ac:dyDescent="0.25"/>
    <row r="50" spans="4:6" ht="20.100000000000001" customHeight="1" x14ac:dyDescent="0.25">
      <c r="D50" s="1" t="s">
        <v>418</v>
      </c>
      <c r="E50" s="25">
        <f>SUMIF(Table_Input_RECConsumedByEntity[Elegibility], "Elegible", Table_Input_RECConsumedByEntity[Number of certificates])</f>
        <v>0</v>
      </c>
      <c r="F50" s="26" t="s">
        <v>406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78"/>
    </row>
    <row r="56" spans="4:6" ht="20.100000000000001" customHeight="1" x14ac:dyDescent="0.25">
      <c r="D56" s="178"/>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3"/>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C3CF18CD-58A4-45B9-9EF1-95712ECBF6C6}">
      <formula1>"Location-based (simpler), Market-based (more complex)"</formula1>
    </dataValidation>
    <dataValidation type="list" allowBlank="1" showInputMessage="1" showErrorMessage="1" sqref="E37:E39" xr:uid="{EB6C1796-65E3-40F7-865F-E0408DC0CEEA}">
      <formula1>"Purchased certificate, Issued for generated electricity"</formula1>
    </dataValidation>
    <dataValidation type="list" allowBlank="1" showInputMessage="1" showErrorMessage="1" sqref="E17" xr:uid="{21D2F641-505F-43A1-AA77-B390B2BB6E8A}">
      <formula1>INDIRECT("Table_SourceData_ElectricityEFs[State, Territory or grid description]")</formula1>
    </dataValidation>
    <dataValidation type="list" allowBlank="1" showInputMessage="1" showErrorMessage="1" sqref="E69" xr:uid="{FE22FD5B-FA2A-45A0-9103-C209A830BBD0}">
      <formula1>INDIRECT("Table_SourceData_Swine_IrrigationMethods[Irrigation method]")</formula1>
    </dataValidation>
    <dataValidation type="list" allowBlank="1" showInputMessage="1" showErrorMessage="1" sqref="E253 E258 E263 E297 E292 E287 E165 E153 E129 E141" xr:uid="{EC2C1235-63EE-4581-B368-82F62E842754}">
      <formula1>"Yes, No"</formula1>
    </dataValidation>
    <dataValidation type="list" allowBlank="1" showInputMessage="1" showErrorMessage="1" sqref="E229" xr:uid="{E7D735FD-CB28-4641-8FED-6095FDAF1ECD}">
      <formula1>INDIRECT("Table_SourceData_Dairy_ProductionSystemTemplates[Area]")</formula1>
    </dataValidation>
    <dataValidation type="list" allowBlank="1" showInputMessage="1" showErrorMessage="1" sqref="D281" xr:uid="{C15CFFD4-68BA-4941-BF1C-6BF23EB258F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1DCDE-B074-4622-9E96-DCC412F1D26B}">
  <sheetPr>
    <tabColor theme="5" tint="-0.249977111117893"/>
  </sheetPr>
  <dimension ref="A1:S227"/>
  <sheetViews>
    <sheetView showGridLines="0" topLeftCell="A72" zoomScaleNormal="100" workbookViewId="0">
      <selection activeCell="A48" sqref="A48"/>
    </sheetView>
  </sheetViews>
  <sheetFormatPr defaultRowHeight="15.75" x14ac:dyDescent="0.25"/>
  <cols>
    <col min="1" max="1" width="30.7109375" style="236" customWidth="1"/>
    <col min="2" max="2" width="4.7109375" style="236" customWidth="1"/>
    <col min="3" max="3" width="4.7109375" style="241" customWidth="1"/>
    <col min="4" max="4" width="47.140625" style="241" customWidth="1"/>
    <col min="5" max="10" width="30.7109375" style="241" customWidth="1"/>
    <col min="11" max="18" width="35" style="1" customWidth="1"/>
    <col min="19" max="19" width="5.28515625" style="1" customWidth="1"/>
    <col min="20" max="16384" width="9.140625" style="236"/>
  </cols>
  <sheetData>
    <row r="1" spans="1:19" ht="30" customHeight="1" x14ac:dyDescent="0.35">
      <c r="A1" s="16" t="e" vm="1">
        <v>#VALUE!</v>
      </c>
      <c r="C1" s="38" t="s">
        <v>675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676</v>
      </c>
      <c r="E5" s="35"/>
      <c r="F5" s="35"/>
      <c r="G5" s="35"/>
      <c r="H5" s="35"/>
      <c r="I5" s="35"/>
      <c r="J5" s="35"/>
    </row>
    <row r="6" spans="1:19" ht="20.100000000000001" customHeight="1" x14ac:dyDescent="0.25">
      <c r="A6"/>
      <c r="C6" s="1"/>
      <c r="D6" s="238" t="s">
        <v>677</v>
      </c>
      <c r="E6" s="239"/>
      <c r="F6" s="239"/>
      <c r="G6" s="239"/>
      <c r="H6" s="239"/>
      <c r="I6" s="239"/>
      <c r="J6" s="239"/>
    </row>
    <row r="7" spans="1:19" ht="20.100000000000001" customHeight="1" x14ac:dyDescent="0.25">
      <c r="A7"/>
      <c r="C7" s="1"/>
      <c r="D7" s="240" t="s">
        <v>678</v>
      </c>
      <c r="E7" s="240"/>
      <c r="F7" s="92"/>
      <c r="G7" s="55"/>
      <c r="H7" s="35"/>
      <c r="I7" s="35"/>
      <c r="J7" s="35"/>
    </row>
    <row r="8" spans="1:19" ht="20.100000000000001" customHeight="1" x14ac:dyDescent="0.25">
      <c r="A8" s="7" t="s">
        <v>0</v>
      </c>
      <c r="C8" s="1"/>
      <c r="D8" s="56" t="s">
        <v>679</v>
      </c>
      <c r="E8" s="57"/>
      <c r="F8" s="57"/>
      <c r="G8" s="58"/>
      <c r="H8" s="35"/>
      <c r="I8" s="35"/>
      <c r="J8" s="35"/>
    </row>
    <row r="9" spans="1:19" ht="20.100000000000001" customHeight="1" x14ac:dyDescent="0.25">
      <c r="A9" s="5" t="str">
        <f>HYPERLINK("#'Input - Enterprise'!A1", "Enterprise")</f>
        <v>Enterprise</v>
      </c>
      <c r="C9" s="1"/>
      <c r="D9" s="239"/>
      <c r="E9" s="239"/>
      <c r="F9" s="239"/>
      <c r="G9" s="239"/>
      <c r="H9" s="239"/>
      <c r="I9" s="239"/>
      <c r="J9" s="239"/>
      <c r="K9" s="123"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123"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123"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42" t="s">
        <v>372</v>
      </c>
      <c r="E10" s="242" t="s">
        <v>680</v>
      </c>
      <c r="F10" s="242" t="s">
        <v>681</v>
      </c>
      <c r="G10" s="242" t="s">
        <v>197</v>
      </c>
      <c r="H10" s="242" t="s">
        <v>682</v>
      </c>
      <c r="I10" s="242" t="s">
        <v>683</v>
      </c>
      <c r="J10" s="242" t="s">
        <v>684</v>
      </c>
      <c r="K10" s="243" t="s">
        <v>685</v>
      </c>
      <c r="L10" s="243" t="s">
        <v>686</v>
      </c>
      <c r="M10" s="243" t="s">
        <v>687</v>
      </c>
      <c r="N10" s="243" t="s">
        <v>688</v>
      </c>
      <c r="O10" s="243" t="s">
        <v>689</v>
      </c>
      <c r="P10" s="243" t="s">
        <v>690</v>
      </c>
      <c r="Q10" s="243" t="s">
        <v>691</v>
      </c>
      <c r="R10" s="243" t="s">
        <v>692</v>
      </c>
    </row>
    <row r="11" spans="1:19" ht="20.100000000000001" customHeight="1" x14ac:dyDescent="0.25">
      <c r="A11" s="5" t="str">
        <f>HYPERLINK("#'Input - Crop'!A1", "Crop")</f>
        <v>Crop</v>
      </c>
      <c r="D11" s="244" t="s">
        <v>693</v>
      </c>
      <c r="E11" s="245">
        <v>10</v>
      </c>
      <c r="F11" s="23" t="s">
        <v>268</v>
      </c>
      <c r="G11" s="86">
        <v>100</v>
      </c>
      <c r="H11" s="25">
        <f>Table_Input_Pesticides[[#This Row],[Amount applied per ha]]*Table_Input_Pesticides[[#This Row],[Application area (ha)]]</f>
        <v>1000</v>
      </c>
      <c r="I11" s="23" t="s">
        <v>694</v>
      </c>
      <c r="J11" s="23" t="s">
        <v>695</v>
      </c>
      <c r="K11" s="86">
        <v>100</v>
      </c>
      <c r="L11" s="25">
        <f>Table_Input_Pesticides[[#This Row],[Total applied]]*Table_Input_Pesticides[[#This Row],[Active ingredient 1 amount]]*IF(Table_Input_Pesticides[[#This Row],[Constituent unit (select)]]="fraction of product", 1, 10^-3)</f>
        <v>100</v>
      </c>
      <c r="M11" s="23" t="s">
        <v>695</v>
      </c>
      <c r="N11" s="86">
        <v>100</v>
      </c>
      <c r="O11" s="25">
        <f>Table_Input_Pesticides[[#This Row],[Total applied]]*Table_Input_Pesticides[[#This Row],[Active ingredient 2 amount]]*IF(Table_Input_Pesticides[[#This Row],[Constituent unit (select)]]="fraction of product", 1, 10^-3)</f>
        <v>100</v>
      </c>
      <c r="P11" s="23" t="s">
        <v>696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Fert Prod System'!A1", "Fert Prod System")</f>
        <v>Fert Prod System</v>
      </c>
      <c r="C12" s="1"/>
      <c r="D12" s="244" t="s">
        <v>697</v>
      </c>
      <c r="E12" s="245">
        <v>10</v>
      </c>
      <c r="F12" s="23" t="s">
        <v>698</v>
      </c>
      <c r="G12" s="86">
        <v>100</v>
      </c>
      <c r="H12" s="25">
        <f>Table_Input_Pesticides[[#This Row],[Amount applied per ha]]*Table_Input_Pesticides[[#This Row],[Application area (ha)]]</f>
        <v>1000</v>
      </c>
      <c r="I12" s="23" t="s">
        <v>694</v>
      </c>
      <c r="J12" s="23" t="s">
        <v>695</v>
      </c>
      <c r="K12" s="86">
        <v>100</v>
      </c>
      <c r="L12" s="25">
        <f>Table_Input_Pesticides[[#This Row],[Total applied]]*Table_Input_Pesticides[[#This Row],[Active ingredient 1 amount]]*IF(Table_Input_Pesticides[[#This Row],[Constituent unit (select)]]="fraction of product", 1, 10^-3)</f>
        <v>100</v>
      </c>
      <c r="M12" s="23" t="s">
        <v>699</v>
      </c>
      <c r="N12" s="86">
        <v>100</v>
      </c>
      <c r="O12" s="25">
        <f>Table_Input_Pesticides[[#This Row],[Total applied]]*Table_Input_Pesticides[[#This Row],[Active ingredient 2 amount]]*IF(Table_Input_Pesticides[[#This Row],[Constituent unit (select)]]="fraction of product", 1, 10^-3)</f>
        <v>100</v>
      </c>
      <c r="P12" s="23" t="s">
        <v>700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Fertiliser'!A1", "Fertiliser")</f>
        <v>Fertiliser</v>
      </c>
      <c r="C13" s="1"/>
      <c r="D13" s="244" t="s">
        <v>701</v>
      </c>
      <c r="E13" s="245">
        <v>10</v>
      </c>
      <c r="F13" s="23" t="s">
        <v>268</v>
      </c>
      <c r="G13" s="86">
        <v>100</v>
      </c>
      <c r="H13" s="25">
        <f>Table_Input_Pesticides[[#This Row],[Amount applied per ha]]*Table_Input_Pesticides[[#This Row],[Application area (ha)]]</f>
        <v>1000</v>
      </c>
      <c r="I13" s="23" t="s">
        <v>694</v>
      </c>
      <c r="J13" s="23" t="s">
        <v>695</v>
      </c>
      <c r="K13" s="86">
        <v>100</v>
      </c>
      <c r="L13" s="25">
        <f>Table_Input_Pesticides[[#This Row],[Total applied]]*Table_Input_Pesticides[[#This Row],[Active ingredient 1 amount]]*IF(Table_Input_Pesticides[[#This Row],[Constituent unit (select)]]="fraction of product", 1, 10^-3)</f>
        <v>100</v>
      </c>
      <c r="M13" s="23" t="s">
        <v>702</v>
      </c>
      <c r="N13" s="86">
        <v>100</v>
      </c>
      <c r="O13" s="25">
        <f>Table_Input_Pesticides[[#This Row],[Total applied]]*Table_Input_Pesticides[[#This Row],[Active ingredient 2 amount]]*IF(Table_Input_Pesticides[[#This Row],[Constituent unit (select)]]="fraction of product", 1, 10^-3)</f>
        <v>100</v>
      </c>
      <c r="P13" s="23" t="s">
        <v>703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Fuel'!A1", "Fuel")</f>
        <v>Fuel</v>
      </c>
      <c r="D14" s="244"/>
      <c r="E14" s="245"/>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Electricity'!A1", "Electricity")</f>
        <v>Electricity</v>
      </c>
      <c r="D15" s="244"/>
      <c r="E15" s="245"/>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97" t="str">
        <f>HYPERLINK("#'Input - Farm Inputs'!A1", "Farm Inputs")</f>
        <v>Farm Inputs</v>
      </c>
      <c r="D16" s="244"/>
      <c r="E16" s="245"/>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Freight'!A1", "Freight")</f>
        <v>Freight</v>
      </c>
      <c r="C17" s="1"/>
      <c r="D17" s="244"/>
      <c r="E17" s="245"/>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Manure sent off-site'!A1", "Manure sent off-site")</f>
        <v>Manure sent off-site</v>
      </c>
      <c r="C18" s="1"/>
      <c r="D18" s="244"/>
      <c r="E18" s="245"/>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Solid waste'!A1", "Solid waste")</f>
        <v>Solid waste</v>
      </c>
      <c r="D19" s="244"/>
      <c r="E19" s="245"/>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c r="D20" s="244"/>
      <c r="E20" s="245"/>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c r="D21" s="35"/>
      <c r="E21" s="35"/>
      <c r="F21" s="35"/>
      <c r="G21" s="35"/>
      <c r="H21" s="35"/>
      <c r="I21" s="35"/>
      <c r="J21" s="35"/>
    </row>
    <row r="22" spans="1:18" ht="20.100000000000001" customHeight="1" x14ac:dyDescent="0.25">
      <c r="A22" s="6" t="s">
        <v>2</v>
      </c>
      <c r="D22" s="238" t="s">
        <v>704</v>
      </c>
      <c r="E22" s="1"/>
      <c r="F22" s="1"/>
    </row>
    <row r="23" spans="1:18" ht="20.100000000000001" customHeight="1" x14ac:dyDescent="0.25">
      <c r="A23" s="5" t="str">
        <f>HYPERLINK("#'5.1.1.1-2 Inorganic fert N2O'!A1", "5.1.1.1-2 Inorganic fert N2O")</f>
        <v>5.1.1.1-2 Inorganic fert N2O</v>
      </c>
      <c r="D23" s="144" t="s">
        <v>372</v>
      </c>
      <c r="E23" s="144" t="s">
        <v>705</v>
      </c>
      <c r="F23" s="144" t="s">
        <v>706</v>
      </c>
    </row>
    <row r="24" spans="1:18" ht="20.100000000000001" customHeight="1" x14ac:dyDescent="0.25">
      <c r="A24" s="5" t="str">
        <f>HYPERLINK("#'5.1.1.3-4 Inorganic fert CO2'!A1", "5.1.1.3-4 Inorganic fert CO2")</f>
        <v>5.1.1.3-4 Inorganic fert CO2</v>
      </c>
      <c r="D24" s="44" t="s">
        <v>707</v>
      </c>
      <c r="E24" s="23" t="s">
        <v>708</v>
      </c>
      <c r="F24" s="86">
        <v>100</v>
      </c>
    </row>
    <row r="25" spans="1:18" ht="20.100000000000001" customHeight="1" x14ac:dyDescent="0.25">
      <c r="A25" s="5" t="str">
        <f>HYPERLINK("#'5.2.1.1-2 Organic Fert N2O'!A1", "5.2.1.1-2 Organic fert N2O")</f>
        <v>5.2.1.1-2 Organic fert N2O</v>
      </c>
      <c r="C25" s="1"/>
      <c r="D25" s="44" t="s">
        <v>709</v>
      </c>
      <c r="E25" s="184" t="s">
        <v>710</v>
      </c>
      <c r="F25" s="246">
        <v>100</v>
      </c>
    </row>
    <row r="26" spans="1:18" ht="20.100000000000001" customHeight="1" x14ac:dyDescent="0.25">
      <c r="A26" s="5" t="str">
        <f>HYPERLINK("#'5.3.1.1-2 Lime CO2'!A1", "5.3.1.1-2 Lime CO2")</f>
        <v>5.3.1.1-2 Lime CO2</v>
      </c>
      <c r="C26" s="1"/>
      <c r="D26" s="44" t="s">
        <v>711</v>
      </c>
      <c r="E26" s="184" t="s">
        <v>712</v>
      </c>
      <c r="F26" s="246">
        <v>100</v>
      </c>
    </row>
    <row r="27" spans="1:18" ht="20.100000000000001" customHeight="1" x14ac:dyDescent="0.25">
      <c r="A27" s="5" t="str">
        <f>HYPERLINK("#'5.4.1.1-4 Atmos deposition'!A1", "5.4.1.1-4 Atmos. deposition")</f>
        <v>5.4.1.1-4 Atmos. deposition</v>
      </c>
      <c r="C27" s="1"/>
      <c r="D27" s="44" t="s">
        <v>711</v>
      </c>
      <c r="E27" s="184" t="s">
        <v>712</v>
      </c>
      <c r="F27" s="246">
        <v>100</v>
      </c>
    </row>
    <row r="28" spans="1:18" ht="20.100000000000001" customHeight="1" x14ac:dyDescent="0.25">
      <c r="A28" s="5" t="str">
        <f>HYPERLINK("#'5.5.1.1-2 Leaching and runoff'!A1", "5.5.1.1-2 Leaching &amp; runoff")</f>
        <v>5.5.1.1-2 Leaching &amp; runoff</v>
      </c>
      <c r="D28" s="44" t="s">
        <v>707</v>
      </c>
      <c r="E28" s="184" t="s">
        <v>708</v>
      </c>
      <c r="F28" s="246">
        <v>100</v>
      </c>
    </row>
    <row r="29" spans="1:18" ht="20.100000000000001" customHeight="1" x14ac:dyDescent="0.25">
      <c r="A29" s="5" t="str">
        <f>HYPERLINK("#'6.1.1.1-2 Crop residue N2O'!A1", "6.1.1.1-2 Crop residue N2O")</f>
        <v>6.1.1.1-2 Crop residue N2O</v>
      </c>
      <c r="D29" s="44" t="s">
        <v>707</v>
      </c>
      <c r="E29" s="184" t="s">
        <v>708</v>
      </c>
      <c r="F29" s="246">
        <v>100</v>
      </c>
    </row>
    <row r="30" spans="1:18" ht="20.100000000000001" customHeight="1" x14ac:dyDescent="0.25">
      <c r="A30" s="5" t="str">
        <f>HYPERLINK("#'6.3.1.1-2 Leach runoff crop'!A1", "6.3.1.1-2 Leach &amp; runoff (crop)")</f>
        <v>6.3.1.1-2 Leach &amp; runoff (crop)</v>
      </c>
      <c r="D30" s="44"/>
      <c r="E30" s="23"/>
      <c r="F30" s="86"/>
    </row>
    <row r="31" spans="1:18" ht="20.100000000000001" customHeight="1" x14ac:dyDescent="0.25">
      <c r="A31" s="5" t="str">
        <f>HYPERLINK("#'6.4.1.1-2 Residue burning'!A1", "6.4.1.1-2 Residue burning")</f>
        <v>6.4.1.1-2 Residue burning</v>
      </c>
      <c r="D31" s="44"/>
      <c r="E31" s="23"/>
      <c r="F31" s="86"/>
    </row>
    <row r="32" spans="1:18" ht="20.100000000000001" customHeight="1" x14ac:dyDescent="0.25">
      <c r="A32" s="5" t="str">
        <f>HYPERLINK("#'8.1.1.1-2 Transport fuel'!A1", "8.1.1.1-2 Transport fuel")</f>
        <v>8.1.1.1-2 Transport fuel</v>
      </c>
      <c r="D32" s="44"/>
      <c r="E32" s="23"/>
      <c r="F32" s="86"/>
    </row>
    <row r="33" spans="1:6" ht="20.100000000000001" customHeight="1" x14ac:dyDescent="0.25">
      <c r="A33" s="5" t="str">
        <f>HYPERLINK("#'8.2.1.1-2 Stationary fuel'!A1", "8.2.1.1-2 Stationary fuel")</f>
        <v>8.2.1.1-2 Stationary fuel</v>
      </c>
      <c r="D33" s="44"/>
      <c r="E33" s="23"/>
      <c r="F33" s="86"/>
    </row>
    <row r="34" spans="1:6" ht="20.100000000000001" customHeight="1" x14ac:dyDescent="0.25">
      <c r="A34" s="5" t="str">
        <f>HYPERLINK("#'14.1.1-2 Purchased electricity'!A1", "14.1.1-2 Purchased electricity")</f>
        <v>14.1.1-2 Purchased electricity</v>
      </c>
    </row>
    <row r="35" spans="1:6" ht="20.100000000000001" customHeight="1" x14ac:dyDescent="0.25">
      <c r="A35" s="5" t="str">
        <f>HYPERLINK("#'15 Scope 3'!A1", "15 Scope 3")</f>
        <v>15 Scope 3</v>
      </c>
      <c r="D35" s="238" t="s">
        <v>713</v>
      </c>
      <c r="E35" s="1"/>
      <c r="F35" s="1"/>
    </row>
    <row r="36" spans="1:6" ht="20.100000000000001" customHeight="1" x14ac:dyDescent="0.25">
      <c r="A36" s="5" t="str">
        <f>HYPERLINK("#'Calcs - Manure sent off-site'!A1", "Calcs - Manure sent off-site")</f>
        <v>Calcs - Manure sent off-site</v>
      </c>
      <c r="D36" s="144" t="s">
        <v>372</v>
      </c>
      <c r="E36" s="144" t="s">
        <v>705</v>
      </c>
      <c r="F36" s="144" t="s">
        <v>714</v>
      </c>
    </row>
    <row r="37" spans="1:6" ht="20.100000000000001" customHeight="1" x14ac:dyDescent="0.25">
      <c r="A37" s="5" t="str">
        <f>HYPERLINK("#'10.1.1-2 Solid waste treatment'!A1", "10.1.1-2 Solid waste treatment")</f>
        <v>10.1.1-2 Solid waste treatment</v>
      </c>
      <c r="D37" s="44" t="s">
        <v>715</v>
      </c>
      <c r="E37" s="102" t="s">
        <v>716</v>
      </c>
      <c r="F37" s="86">
        <v>100</v>
      </c>
    </row>
    <row r="38" spans="1:6" ht="20.100000000000001" customHeight="1" x14ac:dyDescent="0.25">
      <c r="A38"/>
      <c r="D38" s="44" t="s">
        <v>717</v>
      </c>
      <c r="E38" s="247" t="s">
        <v>718</v>
      </c>
      <c r="F38" s="246">
        <v>100</v>
      </c>
    </row>
    <row r="39" spans="1:6" ht="20.100000000000001" customHeight="1" x14ac:dyDescent="0.25">
      <c r="A39"/>
      <c r="D39" s="44" t="s">
        <v>719</v>
      </c>
      <c r="E39" s="247" t="s">
        <v>720</v>
      </c>
      <c r="F39" s="246">
        <v>100</v>
      </c>
    </row>
    <row r="40" spans="1:6" ht="20.100000000000001" customHeight="1" x14ac:dyDescent="0.25">
      <c r="A40" s="119" t="s">
        <v>1</v>
      </c>
      <c r="D40" s="44" t="s">
        <v>721</v>
      </c>
      <c r="E40" s="247" t="s">
        <v>722</v>
      </c>
      <c r="F40" s="246">
        <v>100</v>
      </c>
    </row>
    <row r="41" spans="1:6" ht="20.100000000000001" customHeight="1" x14ac:dyDescent="0.25">
      <c r="A41" s="5" t="str">
        <f>HYPERLINK("#'Constants - Ag Residue'!A1", "Constants - Ag residue")</f>
        <v>Constants - Ag residue</v>
      </c>
      <c r="D41" s="44" t="s">
        <v>715</v>
      </c>
      <c r="E41" s="247" t="s">
        <v>716</v>
      </c>
      <c r="F41" s="246">
        <v>100</v>
      </c>
    </row>
    <row r="42" spans="1:6" ht="20.100000000000001" customHeight="1" x14ac:dyDescent="0.25">
      <c r="A42" s="5" t="str">
        <f>HYPERLINK("#'Constants - Common Livestock'!A1", "Constants - Common Livestock")</f>
        <v>Constants - Common Livestock</v>
      </c>
      <c r="D42" s="44" t="s">
        <v>717</v>
      </c>
      <c r="E42" s="247" t="s">
        <v>718</v>
      </c>
      <c r="F42" s="246">
        <v>100</v>
      </c>
    </row>
    <row r="43" spans="1:6" ht="20.100000000000001" customHeight="1" x14ac:dyDescent="0.25">
      <c r="A43" s="5" t="str">
        <f>HYPERLINK("#'Constants - Electricity'!A1", "Constants - Electricity")</f>
        <v>Constants - Electricity</v>
      </c>
      <c r="D43" s="44"/>
      <c r="E43" s="102"/>
      <c r="F43" s="86"/>
    </row>
    <row r="44" spans="1:6" ht="20.100000000000001" customHeight="1" x14ac:dyDescent="0.25">
      <c r="A44" s="5" t="str">
        <f>HYPERLINK("#'Constants - Fertiliser'!A1", "Constants - Fertiliser")</f>
        <v>Constants - Fertiliser</v>
      </c>
      <c r="C44" s="1"/>
      <c r="D44" s="44"/>
      <c r="E44" s="102"/>
      <c r="F44" s="86"/>
    </row>
    <row r="45" spans="1:6" ht="20.100000000000001" customHeight="1" x14ac:dyDescent="0.25">
      <c r="A45" s="5" t="str">
        <f>HYPERLINK("#'Constants - Fuel'!A1", "Constants - Fuel")</f>
        <v>Constants - Fuel</v>
      </c>
      <c r="C45" s="1"/>
      <c r="D45" s="44"/>
      <c r="E45" s="102"/>
      <c r="F45" s="86"/>
    </row>
    <row r="46" spans="1:6" ht="20.100000000000001" customHeight="1" x14ac:dyDescent="0.25">
      <c r="A46" s="5" t="str">
        <f>HYPERLINK("#'Constants - Scope 3'!A1", "Constants - Scope 3")</f>
        <v>Constants - Scope 3</v>
      </c>
      <c r="C46" s="1"/>
      <c r="D46" s="44"/>
      <c r="E46" s="102"/>
      <c r="F46" s="86"/>
    </row>
    <row r="47" spans="1:6" ht="20.100000000000001" customHeight="1" x14ac:dyDescent="0.25">
      <c r="A47" s="5" t="str">
        <f>HYPERLINK("#'Constants - Common'!A1", "Constants - Common")</f>
        <v>Constants - Common</v>
      </c>
      <c r="C47" s="1"/>
    </row>
    <row r="48" spans="1:6" ht="20.100000000000001" customHeight="1" x14ac:dyDescent="0.25">
      <c r="A48" s="5" t="str">
        <f>HYPERLINK("#'Constants - Solid Waste'!A1", "Constants - Solid Waste")</f>
        <v>Constants - Solid Waste</v>
      </c>
      <c r="C48" s="1"/>
    </row>
    <row r="49" spans="1:17" ht="20.100000000000001" customHeight="1" x14ac:dyDescent="0.25">
      <c r="A49"/>
      <c r="C49" s="1"/>
      <c r="D49" s="2" t="s">
        <v>723</v>
      </c>
    </row>
    <row r="50" spans="1:17" ht="20.100000000000001" customHeight="1" x14ac:dyDescent="0.25">
      <c r="A50"/>
      <c r="D50" s="238" t="s">
        <v>724</v>
      </c>
      <c r="E50" s="248"/>
      <c r="F50" s="249"/>
    </row>
    <row r="51" spans="1:17" ht="20.100000000000001" customHeight="1" x14ac:dyDescent="0.25">
      <c r="A51"/>
      <c r="D51" s="1" t="str" cm="1">
        <f t="array" ref="D51:D53">Table_SourceData_Scope3_LickBlocks[Product]</f>
        <v>Lick block, dry season mix</v>
      </c>
      <c r="E51" s="86">
        <v>100</v>
      </c>
      <c r="F51" s="26" t="s">
        <v>270</v>
      </c>
    </row>
    <row r="52" spans="1:17" ht="20.100000000000001" customHeight="1" x14ac:dyDescent="0.25">
      <c r="A52"/>
      <c r="D52" s="1" t="str">
        <v>Lick block, mineral</v>
      </c>
      <c r="E52" s="86">
        <v>100</v>
      </c>
      <c r="F52" s="26" t="s">
        <v>270</v>
      </c>
    </row>
    <row r="53" spans="1:17" ht="20.100000000000001" customHeight="1" x14ac:dyDescent="0.25">
      <c r="A53"/>
      <c r="D53" s="1" t="str">
        <v>Lick block, weaner</v>
      </c>
      <c r="E53" s="86">
        <v>100</v>
      </c>
      <c r="F53" s="26" t="s">
        <v>270</v>
      </c>
    </row>
    <row r="54" spans="1:17" ht="20.100000000000001" customHeight="1" x14ac:dyDescent="0.25">
      <c r="A54"/>
      <c r="D54" s="1"/>
      <c r="E54" s="1"/>
      <c r="F54" s="1"/>
    </row>
    <row r="55" spans="1:17" ht="20.100000000000001" customHeight="1" x14ac:dyDescent="0.25">
      <c r="A55"/>
      <c r="D55" s="238" t="s">
        <v>725</v>
      </c>
      <c r="E55" s="35"/>
      <c r="F55" s="35"/>
    </row>
    <row r="56" spans="1:17" ht="20.100000000000001" customHeight="1" x14ac:dyDescent="0.25">
      <c r="A56"/>
      <c r="D56" s="1" t="str" cm="1">
        <f t="array" ref="D56:D59">Table_SourceData_Scope3_MixedRations[Product]</f>
        <v>Feed for chickens</v>
      </c>
      <c r="E56" s="86">
        <v>100</v>
      </c>
      <c r="F56" s="26" t="s">
        <v>270</v>
      </c>
    </row>
    <row r="57" spans="1:17" ht="20.100000000000001" customHeight="1" x14ac:dyDescent="0.25">
      <c r="A57"/>
      <c r="D57" s="1" t="str">
        <v>Feed for dairy calves</v>
      </c>
      <c r="E57" s="86">
        <v>100</v>
      </c>
      <c r="F57" s="26" t="s">
        <v>270</v>
      </c>
    </row>
    <row r="58" spans="1:17" ht="20.100000000000001" customHeight="1" x14ac:dyDescent="0.25">
      <c r="A58"/>
      <c r="D58" s="1" t="str">
        <v>Feed for dairy cows</v>
      </c>
      <c r="E58" s="86">
        <v>100</v>
      </c>
      <c r="F58" s="26" t="s">
        <v>270</v>
      </c>
    </row>
    <row r="59" spans="1:17" ht="20.100000000000001" customHeight="1" x14ac:dyDescent="0.25">
      <c r="A59"/>
      <c r="D59" s="1" t="str">
        <v>Feed for pigs</v>
      </c>
      <c r="E59" s="86">
        <v>100</v>
      </c>
      <c r="F59" s="26" t="s">
        <v>270</v>
      </c>
    </row>
    <row r="60" spans="1:17" ht="20.100000000000001" customHeight="1" x14ac:dyDescent="0.25">
      <c r="A60"/>
      <c r="D60" s="35"/>
      <c r="E60" s="35"/>
      <c r="F60" s="35"/>
    </row>
    <row r="61" spans="1:17" ht="20.100000000000001" customHeight="1" x14ac:dyDescent="0.25">
      <c r="A61"/>
      <c r="D61" s="238" t="s">
        <v>726</v>
      </c>
      <c r="E61" s="35"/>
      <c r="F61" s="35"/>
    </row>
    <row r="62" spans="1:17" ht="20.100000000000001" customHeight="1" x14ac:dyDescent="0.25">
      <c r="A62"/>
      <c r="D62" s="181" t="s">
        <v>727</v>
      </c>
      <c r="E62" s="181" t="s">
        <v>728</v>
      </c>
      <c r="F62" s="181" t="s">
        <v>221</v>
      </c>
      <c r="G62" s="181" t="s">
        <v>729</v>
      </c>
      <c r="H62" s="181" t="s">
        <v>200</v>
      </c>
      <c r="I62" s="181" t="s">
        <v>730</v>
      </c>
      <c r="J62" s="181" t="s">
        <v>731</v>
      </c>
      <c r="K62" s="181" t="s">
        <v>202</v>
      </c>
      <c r="L62" s="181" t="s">
        <v>732</v>
      </c>
      <c r="M62" s="181" t="s">
        <v>733</v>
      </c>
      <c r="N62" s="181" t="s">
        <v>204</v>
      </c>
      <c r="O62" s="181" t="s">
        <v>734</v>
      </c>
      <c r="P62" s="181" t="s">
        <v>735</v>
      </c>
      <c r="Q62" s="181" t="s">
        <v>206</v>
      </c>
    </row>
    <row r="63" spans="1:17" ht="20.100000000000001" customHeight="1" x14ac:dyDescent="0.25">
      <c r="A63"/>
      <c r="D63" s="37"/>
      <c r="E63" s="250">
        <v>1200</v>
      </c>
      <c r="F63" s="23" t="s">
        <v>736</v>
      </c>
      <c r="G63" s="23" t="s">
        <v>737</v>
      </c>
      <c r="H63" s="182">
        <v>0.35</v>
      </c>
      <c r="I63" s="23" t="s">
        <v>738</v>
      </c>
      <c r="J63" s="23" t="s">
        <v>737</v>
      </c>
      <c r="K63" s="182">
        <v>0.22</v>
      </c>
      <c r="L63" s="23" t="s">
        <v>739</v>
      </c>
      <c r="M63" s="23" t="s">
        <v>740</v>
      </c>
      <c r="N63" s="182">
        <v>0.12</v>
      </c>
      <c r="O63" s="23" t="s">
        <v>741</v>
      </c>
      <c r="P63" s="23" t="s">
        <v>742</v>
      </c>
      <c r="Q63" s="182">
        <v>0.05</v>
      </c>
    </row>
    <row r="64" spans="1:17" ht="20.100000000000001" customHeight="1" x14ac:dyDescent="0.25">
      <c r="A64"/>
      <c r="D64" s="37"/>
      <c r="E64" s="250">
        <v>3456</v>
      </c>
      <c r="F64" s="23" t="s">
        <v>743</v>
      </c>
      <c r="G64" s="23" t="s">
        <v>744</v>
      </c>
      <c r="H64" s="182">
        <v>0.2</v>
      </c>
      <c r="I64" s="23" t="s">
        <v>743</v>
      </c>
      <c r="J64" s="23" t="s">
        <v>745</v>
      </c>
      <c r="K64" s="182">
        <v>0.2</v>
      </c>
      <c r="L64" s="23"/>
      <c r="M64" s="23"/>
      <c r="N64" s="182"/>
      <c r="O64" s="23"/>
      <c r="P64" s="23"/>
      <c r="Q64" s="182"/>
    </row>
    <row r="65" spans="1:17" ht="20.100000000000001" customHeight="1" x14ac:dyDescent="0.25">
      <c r="A65"/>
      <c r="D65" s="37" t="s">
        <v>746</v>
      </c>
      <c r="E65" s="250">
        <v>300</v>
      </c>
      <c r="F65" s="23" t="s">
        <v>747</v>
      </c>
      <c r="G65" s="23" t="s">
        <v>748</v>
      </c>
      <c r="H65" s="182">
        <v>0.8</v>
      </c>
      <c r="I65" s="23" t="s">
        <v>749</v>
      </c>
      <c r="J65" s="23" t="s">
        <v>750</v>
      </c>
      <c r="K65" s="182">
        <v>0.2</v>
      </c>
      <c r="L65" s="23"/>
      <c r="M65" s="23"/>
      <c r="N65" s="182"/>
      <c r="O65" s="23"/>
      <c r="P65" s="23"/>
      <c r="Q65" s="182"/>
    </row>
    <row r="66" spans="1:17" ht="20.100000000000001" customHeight="1" x14ac:dyDescent="0.25">
      <c r="A66"/>
      <c r="D66" s="37"/>
      <c r="E66" s="250">
        <v>500</v>
      </c>
      <c r="F66" s="23" t="s">
        <v>751</v>
      </c>
      <c r="G66" s="23" t="s">
        <v>748</v>
      </c>
      <c r="H66" s="182">
        <v>1</v>
      </c>
      <c r="I66" s="23"/>
      <c r="J66" s="23"/>
      <c r="K66" s="182"/>
      <c r="L66" s="23"/>
      <c r="M66" s="23"/>
      <c r="N66" s="182"/>
      <c r="O66" s="23"/>
      <c r="P66" s="23"/>
      <c r="Q66" s="182"/>
    </row>
    <row r="67" spans="1:17" ht="20.100000000000001" customHeight="1" x14ac:dyDescent="0.25">
      <c r="A67"/>
      <c r="D67" s="37"/>
      <c r="E67" s="250"/>
      <c r="F67" s="23"/>
      <c r="G67" s="23"/>
      <c r="H67" s="182"/>
      <c r="I67" s="23"/>
      <c r="J67" s="23"/>
      <c r="K67" s="182"/>
      <c r="L67" s="23"/>
      <c r="M67" s="23"/>
      <c r="N67" s="182"/>
      <c r="O67" s="23"/>
      <c r="P67" s="23"/>
      <c r="Q67" s="182"/>
    </row>
    <row r="68" spans="1:17" ht="20.100000000000001" customHeight="1" x14ac:dyDescent="0.25">
      <c r="A68"/>
      <c r="D68" s="37"/>
      <c r="E68" s="250"/>
      <c r="F68" s="23"/>
      <c r="G68" s="23"/>
      <c r="H68" s="182"/>
      <c r="I68" s="23"/>
      <c r="J68" s="23"/>
      <c r="K68" s="182"/>
      <c r="L68" s="23"/>
      <c r="M68" s="23"/>
      <c r="N68" s="182"/>
      <c r="O68" s="23"/>
      <c r="P68" s="23"/>
      <c r="Q68" s="182"/>
    </row>
    <row r="69" spans="1:17" ht="20.100000000000001" customHeight="1" x14ac:dyDescent="0.25">
      <c r="A69"/>
      <c r="D69" s="37"/>
      <c r="E69" s="250"/>
      <c r="F69" s="23"/>
      <c r="G69" s="23"/>
      <c r="H69" s="182"/>
      <c r="I69" s="23"/>
      <c r="J69" s="23"/>
      <c r="K69" s="182"/>
      <c r="L69" s="23"/>
      <c r="M69" s="23"/>
      <c r="N69" s="182"/>
      <c r="O69" s="23"/>
      <c r="P69" s="23"/>
      <c r="Q69" s="182"/>
    </row>
    <row r="70" spans="1:17" ht="20.100000000000001" customHeight="1" x14ac:dyDescent="0.25">
      <c r="A70"/>
      <c r="D70" s="37"/>
      <c r="E70" s="250"/>
      <c r="F70" s="23"/>
      <c r="G70" s="23"/>
      <c r="H70" s="182"/>
      <c r="I70" s="23"/>
      <c r="J70" s="23"/>
      <c r="K70" s="182"/>
      <c r="L70" s="23"/>
      <c r="M70" s="23"/>
      <c r="N70" s="182"/>
      <c r="O70" s="23"/>
      <c r="P70" s="23"/>
      <c r="Q70" s="182"/>
    </row>
    <row r="71" spans="1:17" ht="20.100000000000001" customHeight="1" x14ac:dyDescent="0.25">
      <c r="A71"/>
      <c r="D71" s="37"/>
      <c r="E71" s="250"/>
      <c r="F71" s="23"/>
      <c r="G71" s="23"/>
      <c r="H71" s="182"/>
      <c r="I71" s="23"/>
      <c r="J71" s="23"/>
      <c r="K71" s="182"/>
      <c r="L71" s="23"/>
      <c r="M71" s="23"/>
      <c r="N71" s="182"/>
      <c r="O71" s="23"/>
      <c r="P71" s="23"/>
      <c r="Q71" s="182"/>
    </row>
    <row r="72" spans="1:17" ht="20.100000000000001" customHeight="1" x14ac:dyDescent="0.25">
      <c r="A72"/>
      <c r="D72" s="37"/>
      <c r="E72" s="250"/>
      <c r="F72" s="23"/>
      <c r="G72" s="23"/>
      <c r="H72" s="182"/>
      <c r="I72" s="23"/>
      <c r="J72" s="23"/>
      <c r="K72" s="182"/>
      <c r="L72" s="23"/>
      <c r="M72" s="23"/>
      <c r="N72" s="182"/>
      <c r="O72" s="23"/>
      <c r="P72" s="23"/>
      <c r="Q72" s="182"/>
    </row>
    <row r="73" spans="1:17" ht="20.100000000000001" customHeight="1" x14ac:dyDescent="0.25">
      <c r="A73"/>
    </row>
    <row r="74" spans="1:17" ht="20.100000000000001" customHeight="1" x14ac:dyDescent="0.25">
      <c r="A74"/>
      <c r="K74" s="241"/>
    </row>
    <row r="75" spans="1:17" ht="20.100000000000001" customHeight="1" x14ac:dyDescent="0.25">
      <c r="A75"/>
      <c r="D75" s="2" t="s">
        <v>752</v>
      </c>
    </row>
    <row r="76" spans="1:17" ht="20.100000000000001" customHeight="1" x14ac:dyDescent="0.25">
      <c r="A76"/>
      <c r="D76" s="36"/>
    </row>
    <row r="77" spans="1:17" ht="20.100000000000001" customHeight="1" x14ac:dyDescent="0.25">
      <c r="A77"/>
      <c r="D77" s="251" t="s">
        <v>753</v>
      </c>
      <c r="E77" s="251" t="s">
        <v>754</v>
      </c>
      <c r="F77" s="251" t="s">
        <v>755</v>
      </c>
      <c r="G77" s="251" t="s">
        <v>440</v>
      </c>
    </row>
    <row r="78" spans="1:17" ht="20.100000000000001" customHeight="1" x14ac:dyDescent="0.25">
      <c r="A78"/>
      <c r="D78" s="44" t="s">
        <v>756</v>
      </c>
      <c r="E78" s="44" t="s">
        <v>757</v>
      </c>
      <c r="F78" s="86">
        <v>10000</v>
      </c>
      <c r="G78" s="23" t="s">
        <v>758</v>
      </c>
    </row>
    <row r="79" spans="1:17" ht="20.100000000000001" customHeight="1" x14ac:dyDescent="0.25">
      <c r="A79"/>
      <c r="D79" s="44" t="s">
        <v>759</v>
      </c>
      <c r="E79" s="44" t="s">
        <v>760</v>
      </c>
      <c r="F79" s="86">
        <v>1000</v>
      </c>
      <c r="G79" s="23" t="s">
        <v>761</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762</v>
      </c>
    </row>
    <row r="91" spans="1:10" ht="20.100000000000001" customHeight="1" x14ac:dyDescent="0.25">
      <c r="A91"/>
    </row>
    <row r="92" spans="1:10" ht="20.100000000000001" customHeight="1" x14ac:dyDescent="0.25">
      <c r="A92"/>
      <c r="D92" s="124" t="s">
        <v>763</v>
      </c>
      <c r="E92" s="124" t="s">
        <v>764</v>
      </c>
      <c r="F92" s="124" t="s">
        <v>765</v>
      </c>
      <c r="G92" s="124" t="s">
        <v>766</v>
      </c>
      <c r="H92" s="124" t="s">
        <v>767</v>
      </c>
      <c r="J92" s="35"/>
    </row>
    <row r="93" spans="1:10" ht="20.100000000000001" customHeight="1" x14ac:dyDescent="0.25">
      <c r="A93"/>
      <c r="D93" s="244" t="s">
        <v>768</v>
      </c>
      <c r="E93" s="86">
        <v>100000</v>
      </c>
      <c r="F93" s="23" t="s">
        <v>769</v>
      </c>
      <c r="G93" s="86">
        <v>0.02</v>
      </c>
      <c r="H93" s="25">
        <f>Table_Input_Packaging[[#This Row],[Quantity purchased]]*Table_Input_Packaging[[#This Row],[Weight per unit (kg)]]</f>
        <v>2000</v>
      </c>
      <c r="J93" s="35"/>
    </row>
    <row r="94" spans="1:10" ht="20.100000000000001" customHeight="1" x14ac:dyDescent="0.25">
      <c r="A94"/>
      <c r="D94" s="244"/>
      <c r="E94" s="252"/>
      <c r="F94" s="23"/>
      <c r="G94" s="86"/>
      <c r="H94" s="25">
        <f>Table_Input_Packaging[[#This Row],[Quantity purchased]]*Table_Input_Packaging[[#This Row],[Weight per unit (kg)]]</f>
        <v>0</v>
      </c>
      <c r="J94" s="35"/>
    </row>
    <row r="95" spans="1:10" ht="20.100000000000001" customHeight="1" x14ac:dyDescent="0.25">
      <c r="A95"/>
      <c r="D95" s="244"/>
      <c r="E95" s="252"/>
      <c r="F95" s="23"/>
      <c r="G95" s="86"/>
      <c r="H95" s="25">
        <f>Table_Input_Packaging[[#This Row],[Quantity purchased]]*Table_Input_Packaging[[#This Row],[Weight per unit (kg)]]</f>
        <v>0</v>
      </c>
      <c r="J95" s="35"/>
    </row>
    <row r="96" spans="1:10" ht="20.100000000000001" customHeight="1" x14ac:dyDescent="0.25">
      <c r="A96"/>
      <c r="D96" s="244"/>
      <c r="E96" s="252"/>
      <c r="F96" s="23"/>
      <c r="G96" s="86"/>
      <c r="H96" s="25">
        <f>Table_Input_Packaging[[#This Row],[Quantity purchased]]*Table_Input_Packaging[[#This Row],[Weight per unit (kg)]]</f>
        <v>0</v>
      </c>
      <c r="J96" s="35"/>
    </row>
    <row r="97" spans="1:10" ht="20.100000000000001" customHeight="1" x14ac:dyDescent="0.25">
      <c r="A97"/>
      <c r="D97" s="244"/>
      <c r="E97" s="252"/>
      <c r="F97" s="23"/>
      <c r="G97" s="86"/>
      <c r="H97" s="25">
        <f>Table_Input_Packaging[[#This Row],[Quantity purchased]]*Table_Input_Packaging[[#This Row],[Weight per unit (kg)]]</f>
        <v>0</v>
      </c>
      <c r="J97" s="2"/>
    </row>
    <row r="98" spans="1:10" ht="20.100000000000001" customHeight="1" x14ac:dyDescent="0.25">
      <c r="A98"/>
      <c r="D98" s="244"/>
      <c r="E98" s="252"/>
      <c r="F98" s="23"/>
      <c r="G98" s="86"/>
      <c r="H98" s="25">
        <f>Table_Input_Packaging[[#This Row],[Quantity purchased]]*Table_Input_Packaging[[#This Row],[Weight per unit (kg)]]</f>
        <v>0</v>
      </c>
      <c r="J98" s="1"/>
    </row>
    <row r="99" spans="1:10" ht="20.100000000000001" customHeight="1" x14ac:dyDescent="0.25">
      <c r="A99"/>
      <c r="D99" s="244"/>
      <c r="E99" s="252"/>
      <c r="F99" s="23"/>
      <c r="G99" s="86"/>
      <c r="H99" s="25">
        <f>Table_Input_Packaging[[#This Row],[Quantity purchased]]*Table_Input_Packaging[[#This Row],[Weight per unit (kg)]]</f>
        <v>0</v>
      </c>
      <c r="J99" s="1"/>
    </row>
    <row r="100" spans="1:10" ht="20.100000000000001" customHeight="1" x14ac:dyDescent="0.25">
      <c r="A100"/>
      <c r="D100" s="244"/>
      <c r="E100" s="252"/>
      <c r="F100" s="23"/>
      <c r="G100" s="86"/>
      <c r="H100" s="25">
        <f>Table_Input_Packaging[[#This Row],[Quantity purchased]]*Table_Input_Packaging[[#This Row],[Weight per unit (kg)]]</f>
        <v>0</v>
      </c>
      <c r="J100" s="1"/>
    </row>
    <row r="101" spans="1:10" ht="20.100000000000001" customHeight="1" x14ac:dyDescent="0.25">
      <c r="A101"/>
      <c r="D101" s="244"/>
      <c r="E101" s="252"/>
      <c r="F101" s="23"/>
      <c r="G101" s="86"/>
      <c r="H101" s="25">
        <f>Table_Input_Packaging[[#This Row],[Quantity purchased]]*Table_Input_Packaging[[#This Row],[Weight per unit (kg)]]</f>
        <v>0</v>
      </c>
      <c r="J101" s="1"/>
    </row>
    <row r="102" spans="1:10" ht="20.100000000000001" customHeight="1" x14ac:dyDescent="0.25">
      <c r="A102"/>
      <c r="D102" s="244"/>
      <c r="E102" s="252"/>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770</v>
      </c>
    </row>
    <row r="106" spans="1:10" ht="20.100000000000001" customHeight="1" x14ac:dyDescent="0.25">
      <c r="A106"/>
      <c r="D106" s="36"/>
    </row>
    <row r="107" spans="1:10" ht="20.100000000000001" customHeight="1" x14ac:dyDescent="0.25">
      <c r="A107"/>
      <c r="D107" s="251" t="s">
        <v>771</v>
      </c>
      <c r="E107" s="251" t="s">
        <v>755</v>
      </c>
      <c r="F107" s="251" t="s">
        <v>440</v>
      </c>
      <c r="J107" s="1"/>
    </row>
    <row r="108" spans="1:10" ht="20.100000000000001" customHeight="1" x14ac:dyDescent="0.25">
      <c r="A108"/>
      <c r="D108" s="44" t="s">
        <v>772</v>
      </c>
      <c r="E108" s="86">
        <v>10000</v>
      </c>
      <c r="F108" s="23" t="s">
        <v>270</v>
      </c>
      <c r="J108" s="1"/>
    </row>
    <row r="109" spans="1:10" ht="20.100000000000001" customHeight="1" x14ac:dyDescent="0.25">
      <c r="A109"/>
      <c r="D109" s="44" t="s">
        <v>773</v>
      </c>
      <c r="E109" s="86">
        <v>100</v>
      </c>
      <c r="F109" s="23" t="s">
        <v>774</v>
      </c>
      <c r="J109" s="1"/>
    </row>
    <row r="110" spans="1:10" ht="20.100000000000001" customHeight="1" x14ac:dyDescent="0.25">
      <c r="A110"/>
      <c r="D110" s="44" t="s">
        <v>775</v>
      </c>
      <c r="E110" s="86">
        <v>10000</v>
      </c>
      <c r="F110" s="23" t="s">
        <v>270</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39"/>
    </row>
    <row r="120" spans="1:16" ht="20.100000000000001" customHeight="1" x14ac:dyDescent="0.25">
      <c r="A120"/>
      <c r="D120" s="2" t="s">
        <v>776</v>
      </c>
      <c r="J120" s="35"/>
      <c r="P120" s="239"/>
    </row>
    <row r="121" spans="1:16" ht="20.100000000000001" customHeight="1" x14ac:dyDescent="0.25">
      <c r="A121"/>
      <c r="D121" s="1" t="str">
        <f>'Constants - Scope 3'!E204</f>
        <v>Barley grain (for seed)</v>
      </c>
      <c r="E121" s="86">
        <v>500</v>
      </c>
      <c r="F121" s="26" t="s">
        <v>270</v>
      </c>
      <c r="J121" s="2"/>
      <c r="P121" s="239"/>
    </row>
    <row r="122" spans="1:16" ht="20.100000000000001" customHeight="1" x14ac:dyDescent="0.25">
      <c r="A122"/>
      <c r="D122" s="1" t="str">
        <f>'Constants - Scope 3'!E205</f>
        <v>Maize grain (for seed)</v>
      </c>
      <c r="E122" s="86">
        <v>600</v>
      </c>
      <c r="F122" s="26" t="s">
        <v>270</v>
      </c>
      <c r="G122" s="35"/>
      <c r="H122" s="1"/>
      <c r="J122" s="1"/>
      <c r="P122" s="239"/>
    </row>
    <row r="123" spans="1:16" ht="20.100000000000001" customHeight="1" x14ac:dyDescent="0.25">
      <c r="A123"/>
      <c r="D123" s="1" t="str">
        <f>'Constants - Scope 3'!E207</f>
        <v>Oat grain (for seed)</v>
      </c>
      <c r="E123" s="86">
        <v>700</v>
      </c>
      <c r="F123" s="26" t="s">
        <v>270</v>
      </c>
      <c r="G123" s="35"/>
      <c r="H123" s="1"/>
      <c r="J123" s="1"/>
      <c r="P123" s="239"/>
    </row>
    <row r="124" spans="1:16" ht="20.100000000000001" customHeight="1" x14ac:dyDescent="0.25">
      <c r="A124"/>
      <c r="D124" s="1" t="str">
        <f>'Constants - Scope 3'!E208</f>
        <v>Sorghum grain (for seed)</v>
      </c>
      <c r="E124" s="86">
        <v>800</v>
      </c>
      <c r="F124" s="26" t="s">
        <v>270</v>
      </c>
      <c r="G124" s="35"/>
      <c r="H124" s="35"/>
      <c r="J124" s="1"/>
      <c r="N124" s="35"/>
      <c r="O124" s="35"/>
      <c r="P124" s="35"/>
    </row>
    <row r="125" spans="1:16" ht="20.100000000000001" customHeight="1" x14ac:dyDescent="0.25">
      <c r="A125"/>
      <c r="D125" s="1" t="str">
        <f>'Constants - Scope 3'!E209</f>
        <v>Wheat grain (for seed)</v>
      </c>
      <c r="E125" s="86">
        <v>900</v>
      </c>
      <c r="F125" s="26" t="s">
        <v>270</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777</v>
      </c>
      <c r="G127" s="1"/>
      <c r="I127" s="35"/>
      <c r="J127" s="35"/>
    </row>
    <row r="128" spans="1:16" ht="20.100000000000001" customHeight="1" x14ac:dyDescent="0.25">
      <c r="A128"/>
      <c r="D128" s="1" t="str">
        <f>'Constants - Scope 3'!E202</f>
        <v>Animal ear tags (large)</v>
      </c>
      <c r="E128" s="86">
        <v>100</v>
      </c>
      <c r="F128" s="26" t="s">
        <v>778</v>
      </c>
      <c r="G128" s="1"/>
      <c r="I128" s="35"/>
      <c r="J128" s="35"/>
    </row>
    <row r="129" spans="1:13" ht="20.100000000000001" customHeight="1" x14ac:dyDescent="0.25">
      <c r="A129"/>
      <c r="D129" s="1" t="str">
        <f>'Constants - Scope 3'!E203</f>
        <v>Animal ear tags (small)</v>
      </c>
      <c r="E129" s="86">
        <v>200</v>
      </c>
      <c r="F129" s="26" t="s">
        <v>778</v>
      </c>
      <c r="G129" s="1"/>
      <c r="I129" s="35"/>
      <c r="L129" s="35"/>
      <c r="M129" s="35"/>
    </row>
    <row r="130" spans="1:13" ht="20.100000000000001" customHeight="1" x14ac:dyDescent="0.25">
      <c r="A130"/>
      <c r="D130" s="1" t="str">
        <f>'Constants - Scope 3'!E206</f>
        <v>Nylon netting</v>
      </c>
      <c r="E130" s="86">
        <v>300</v>
      </c>
      <c r="F130" s="26" t="s">
        <v>270</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779</v>
      </c>
      <c r="G133" s="35"/>
      <c r="I133" s="1"/>
    </row>
    <row r="134" spans="1:13" ht="20.100000000000001" customHeight="1" x14ac:dyDescent="0.25">
      <c r="A134"/>
      <c r="D134" s="36"/>
      <c r="I134" s="1"/>
    </row>
    <row r="135" spans="1:13" ht="20.100000000000001" customHeight="1" x14ac:dyDescent="0.25">
      <c r="A135"/>
      <c r="D135" s="144" t="s">
        <v>780</v>
      </c>
      <c r="E135" s="144" t="s">
        <v>532</v>
      </c>
      <c r="F135" s="144" t="s">
        <v>440</v>
      </c>
      <c r="I135" s="1"/>
    </row>
    <row r="136" spans="1:13" ht="20.100000000000001" customHeight="1" x14ac:dyDescent="0.25">
      <c r="A136"/>
      <c r="D136" s="44" t="s">
        <v>781</v>
      </c>
      <c r="E136" s="86">
        <v>1000</v>
      </c>
      <c r="F136" s="44" t="s">
        <v>270</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6"/>
    </row>
    <row r="166" spans="11:19" ht="20.100000000000001" customHeight="1" x14ac:dyDescent="0.25">
      <c r="S166" s="236"/>
    </row>
    <row r="167" spans="11:19" ht="20.100000000000001" customHeight="1" x14ac:dyDescent="0.25">
      <c r="S167" s="236"/>
    </row>
    <row r="168" spans="11:19" ht="20.100000000000001" customHeight="1" x14ac:dyDescent="0.25">
      <c r="S168" s="236"/>
    </row>
    <row r="169" spans="11:19" ht="20.100000000000001" customHeight="1" x14ac:dyDescent="0.25">
      <c r="S169" s="236"/>
    </row>
    <row r="170" spans="11:19" ht="20.100000000000001" customHeight="1" x14ac:dyDescent="0.25">
      <c r="S170" s="236"/>
    </row>
    <row r="171" spans="11:19" ht="20.100000000000001" customHeight="1" x14ac:dyDescent="0.25">
      <c r="S171" s="236"/>
    </row>
    <row r="172" spans="11:19" ht="20.100000000000001" customHeight="1" x14ac:dyDescent="0.25">
      <c r="S172" s="236"/>
    </row>
    <row r="173" spans="11:19" ht="20.100000000000001" customHeight="1" x14ac:dyDescent="0.25">
      <c r="S173" s="236"/>
    </row>
    <row r="174" spans="11:19" ht="20.100000000000001" customHeight="1" x14ac:dyDescent="0.25">
      <c r="S174" s="236"/>
    </row>
    <row r="175" spans="11:19" ht="20.100000000000001" customHeight="1" x14ac:dyDescent="0.25">
      <c r="S175" s="23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6"/>
    </row>
    <row r="181" spans="11:19" ht="20.100000000000001" customHeight="1" x14ac:dyDescent="0.25">
      <c r="S181" s="236"/>
    </row>
    <row r="182" spans="11:19" ht="20.100000000000001" customHeight="1" x14ac:dyDescent="0.25">
      <c r="S182" s="236"/>
    </row>
    <row r="183" spans="11:19" ht="20.100000000000001" customHeight="1" x14ac:dyDescent="0.25">
      <c r="S183" s="236"/>
    </row>
    <row r="184" spans="11:19" ht="20.100000000000001" customHeight="1" x14ac:dyDescent="0.25">
      <c r="S184" s="236"/>
    </row>
    <row r="185" spans="11:19" ht="20.100000000000001" customHeight="1" x14ac:dyDescent="0.25">
      <c r="S185" s="236"/>
    </row>
    <row r="186" spans="11:19" ht="20.100000000000001" customHeight="1" x14ac:dyDescent="0.25">
      <c r="S186" s="236"/>
    </row>
    <row r="187" spans="11:19" ht="20.100000000000001" customHeight="1" x14ac:dyDescent="0.25">
      <c r="S187" s="236"/>
    </row>
    <row r="188" spans="11:19" ht="20.100000000000001" customHeight="1" x14ac:dyDescent="0.25">
      <c r="S188" s="236"/>
    </row>
    <row r="189" spans="11:19" ht="20.100000000000001" customHeight="1" x14ac:dyDescent="0.25">
      <c r="S189" s="236"/>
    </row>
    <row r="190" spans="11:19" ht="20.100000000000001" customHeight="1" x14ac:dyDescent="0.25">
      <c r="S190" s="23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454B5565-7DF6-4E5C-8411-DFF81ED3C90B}">
      <formula1>"kg, m3"</formula1>
    </dataValidation>
    <dataValidation type="list" allowBlank="1" showInputMessage="1" showErrorMessage="1" sqref="N122:N123 H122:H123 J125:J126 L135:L136" xr:uid="{F8E43647-7292-4D17-AE2C-48A04220D5CD}">
      <formula1>INDIRECT("Table_Scope3_AquacultureFeedBait[Feed / Bait ingredient]")</formula1>
    </dataValidation>
    <dataValidation type="list" allowBlank="1" showInputMessage="1" showErrorMessage="1" sqref="F63:F72 I63:I72 L63:L72 O63:O72" xr:uid="{9AF2C365-D5FD-482C-8ED4-63B4CC7ED081}">
      <formula1>INDIRECT(_xlfn.UNIQUE("Table_SourceData_Scope3_Feed[Product]"))</formula1>
    </dataValidation>
    <dataValidation type="list" allowBlank="1" showInputMessage="1" showErrorMessage="1" sqref="M63:M72 P63:P72 J63:J72 G63:G72" xr:uid="{32FF5C67-19EC-4545-905A-510FFBC49AA0}">
      <formula1>INDIRECT("Table_ProductRegions_" &amp; SUBSTITUTE(SUBSTITUTE(SUBSTITUTE(SUBSTITUTE(F63, " ", ""), ",", ""), "(", ""), ")", "") &amp; "[Region]")</formula1>
    </dataValidation>
    <dataValidation type="list" allowBlank="1" showInputMessage="1" showErrorMessage="1" sqref="G78:G87" xr:uid="{92B01304-1D35-472F-8F2A-866683B39994}">
      <formula1>"Hour, Hectare"</formula1>
    </dataValidation>
    <dataValidation type="list" allowBlank="1" showInputMessage="1" showErrorMessage="1" sqref="E37:E46" xr:uid="{08E6504C-AFF5-469C-8DF8-B8CA4D6F9415}">
      <formula1>INDIRECT("Table_SourceData_Scope3_ChemicalsPharmacy[Product]")</formula1>
    </dataValidation>
    <dataValidation type="list" allowBlank="1" showInputMessage="1" showErrorMessage="1" sqref="F11:F20" xr:uid="{76353C30-759E-4399-B274-9B7559EC6DA0}">
      <formula1>"kg / hectare, litre / hectare"</formula1>
    </dataValidation>
    <dataValidation type="list" allowBlank="1" showInputMessage="1" showErrorMessage="1" sqref="I11:I20" xr:uid="{7ACFDF1C-AC01-4F09-B8F8-2E4A7DC272FE}">
      <formula1>"grams/litre or grams/kg, fraction of product"</formula1>
    </dataValidation>
    <dataValidation type="list" allowBlank="1" showInputMessage="1" showErrorMessage="1" sqref="J11:J20 M11:M20 P11:P20" xr:uid="{E17DB2B0-CFFF-4DE8-81A3-3A6812F32B9D}">
      <formula1>INDIRECT("Table_SourceData_Scope3_Pesticides[Product]")</formula1>
    </dataValidation>
    <dataValidation type="list" allowBlank="1" showInputMessage="1" showErrorMessage="1" sqref="F93:F102" xr:uid="{B2FB2D69-025E-4DF5-8CCB-FC09785468BD}">
      <formula1>INDIRECT("Table_SourceData_Scope3_Packaging[Product]")</formula1>
    </dataValidation>
    <dataValidation type="list" allowBlank="1" showInputMessage="1" showErrorMessage="1" sqref="E24:E33" xr:uid="{C52050A0-D1CC-4287-81D5-B1181B89A7AA}">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1D876-32F8-4E96-9FE2-1A2F03D1D47B}">
  <sheetPr>
    <tabColor theme="5" tint="-0.249977111117893"/>
  </sheetPr>
  <dimension ref="A1:J160"/>
  <sheetViews>
    <sheetView showGridLines="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4" width="46.5703125" style="1" customWidth="1"/>
    <col min="5" max="9" width="35" style="1" customWidth="1"/>
    <col min="10" max="10" width="5.28515625" style="1" customWidth="1"/>
    <col min="11" max="16384" width="9.140625" style="237"/>
  </cols>
  <sheetData>
    <row r="1" spans="1:10" s="16" customFormat="1" ht="30" customHeight="1" x14ac:dyDescent="0.35">
      <c r="C1" s="16" t="s">
        <v>782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783</v>
      </c>
    </row>
    <row r="7" spans="1:10" ht="20.100000000000001" customHeight="1" x14ac:dyDescent="0.25">
      <c r="A7"/>
    </row>
    <row r="8" spans="1:10" ht="20.100000000000001" customHeight="1" x14ac:dyDescent="0.25">
      <c r="A8" s="7" t="s">
        <v>0</v>
      </c>
      <c r="D8" s="30" t="s">
        <v>784</v>
      </c>
      <c r="E8" s="30" t="s">
        <v>785</v>
      </c>
      <c r="F8" s="30" t="s">
        <v>786</v>
      </c>
      <c r="G8" s="30" t="s">
        <v>787</v>
      </c>
      <c r="H8" s="30" t="s">
        <v>788</v>
      </c>
    </row>
    <row r="9" spans="1:10" ht="20.100000000000001" customHeight="1" x14ac:dyDescent="0.25">
      <c r="A9" s="5" t="str">
        <f>HYPERLINK("#'Input - Enterprise'!A1", "Enterprise")</f>
        <v>Enterprise</v>
      </c>
      <c r="D9" s="30" t="s">
        <v>789</v>
      </c>
      <c r="E9" s="23" t="s">
        <v>790</v>
      </c>
      <c r="F9" s="30">
        <v>986</v>
      </c>
      <c r="G9" s="30">
        <v>10</v>
      </c>
      <c r="H9" s="30">
        <v>52</v>
      </c>
    </row>
    <row r="10" spans="1:10" ht="20.100000000000001" customHeight="1" x14ac:dyDescent="0.25">
      <c r="A10" s="5" t="str">
        <f>HYPERLINK("#'Input - Site'!A1", "Site")</f>
        <v>Site</v>
      </c>
      <c r="D10" s="30" t="s">
        <v>791</v>
      </c>
      <c r="E10" s="23" t="s">
        <v>792</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Farm Inputs'!A1", "Farm Inputs")</f>
        <v>Farm Inputs</v>
      </c>
      <c r="D16" s="30"/>
      <c r="E16" s="23"/>
      <c r="F16" s="30"/>
      <c r="G16" s="30"/>
      <c r="H16" s="30"/>
    </row>
    <row r="17" spans="1:8" ht="20.100000000000001" customHeight="1" x14ac:dyDescent="0.25">
      <c r="A17" s="97" t="str">
        <f>HYPERLINK("#'Input - Freight'!A1", "Freight")</f>
        <v>Freight</v>
      </c>
      <c r="D17" s="30"/>
      <c r="E17" s="23"/>
      <c r="F17" s="30"/>
      <c r="G17" s="30"/>
      <c r="H17" s="30"/>
    </row>
    <row r="18" spans="1:8" ht="20.100000000000001" customHeight="1" x14ac:dyDescent="0.25">
      <c r="A18" s="5" t="str">
        <f>HYPERLINK("#'Input - Manure sent off-site'!A1", "Manure sent off-site")</f>
        <v>Manure sent off-site</v>
      </c>
      <c r="D18" s="30"/>
      <c r="E18" s="23"/>
      <c r="F18" s="30"/>
      <c r="G18" s="30"/>
      <c r="H18" s="30"/>
    </row>
    <row r="19" spans="1:8" ht="20.100000000000001" customHeight="1" x14ac:dyDescent="0.25">
      <c r="A19" s="5" t="str">
        <f>HYPERLINK("#'Input - Solid waste'!A1", "Solid waste")</f>
        <v>Solid waste</v>
      </c>
    </row>
    <row r="20" spans="1:8" ht="20.100000000000001" customHeight="1" x14ac:dyDescent="0.25">
      <c r="A20"/>
    </row>
    <row r="21" spans="1:8" ht="20.100000000000001" customHeight="1" x14ac:dyDescent="0.25">
      <c r="A21"/>
    </row>
    <row r="22" spans="1:8" ht="20.100000000000001" customHeight="1" x14ac:dyDescent="0.25">
      <c r="A22" s="6" t="s">
        <v>2</v>
      </c>
      <c r="D22" s="2" t="s">
        <v>793</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30" t="s">
        <v>784</v>
      </c>
      <c r="E24" s="30" t="s">
        <v>785</v>
      </c>
      <c r="F24" s="30" t="s">
        <v>786</v>
      </c>
      <c r="G24" s="30" t="s">
        <v>787</v>
      </c>
      <c r="H24" s="30" t="s">
        <v>788</v>
      </c>
    </row>
    <row r="25" spans="1:8" ht="20.100000000000001" customHeight="1" x14ac:dyDescent="0.25">
      <c r="A25" s="5" t="str">
        <f>HYPERLINK("#'5.2.1.1-2 Organic Fert N2O'!A1", "5.2.1.1-2 Organic fert N2O")</f>
        <v>5.2.1.1-2 Organic fert N2O</v>
      </c>
      <c r="D25" s="30" t="s">
        <v>794</v>
      </c>
      <c r="E25" s="23" t="s">
        <v>790</v>
      </c>
      <c r="F25" s="30">
        <v>65</v>
      </c>
      <c r="G25" s="30">
        <v>20</v>
      </c>
      <c r="H25" s="30">
        <v>52</v>
      </c>
    </row>
    <row r="26" spans="1:8" ht="20.100000000000001" customHeight="1" x14ac:dyDescent="0.25">
      <c r="A26" s="5" t="str">
        <f>HYPERLINK("#'5.3.1.1-2 Lime CO2'!A1", "5.3.1.1-2 Lime CO2")</f>
        <v>5.3.1.1-2 Lime CO2</v>
      </c>
      <c r="D26" s="30"/>
      <c r="E26" s="23"/>
      <c r="F26" s="30"/>
      <c r="G26" s="30"/>
      <c r="H26" s="30"/>
    </row>
    <row r="27" spans="1:8" ht="20.100000000000001" customHeight="1" x14ac:dyDescent="0.25">
      <c r="A27" s="5" t="str">
        <f>HYPERLINK("#'5.4.1.1-4 Atmos deposition'!A1", "5.4.1.1-4 Atmos. deposition")</f>
        <v>5.4.1.1-4 Atmos. deposition</v>
      </c>
      <c r="D27" s="30"/>
      <c r="E27" s="23"/>
      <c r="F27" s="30"/>
      <c r="G27" s="30"/>
      <c r="H27" s="30"/>
    </row>
    <row r="28" spans="1:8" ht="20.100000000000001" customHeight="1" x14ac:dyDescent="0.25">
      <c r="A28" s="5" t="str">
        <f>HYPERLINK("#'5.5.1.1-2 Leaching and runoff'!A1", "5.5.1.1-2 Leaching &amp; runoff")</f>
        <v>5.5.1.1-2 Leaching &amp; runoff</v>
      </c>
      <c r="D28" s="30"/>
      <c r="E28" s="23"/>
      <c r="F28" s="30"/>
      <c r="G28" s="30"/>
      <c r="H28" s="30"/>
    </row>
    <row r="29" spans="1:8" ht="20.100000000000001" customHeight="1" x14ac:dyDescent="0.25">
      <c r="A29" s="5" t="str">
        <f>HYPERLINK("#'6.1.1.1-2 Crop residue N2O'!A1", "6.1.1.1-2 Crop residue N2O")</f>
        <v>6.1.1.1-2 Crop residue N2O</v>
      </c>
      <c r="D29" s="30"/>
      <c r="E29" s="23"/>
      <c r="F29" s="30"/>
      <c r="G29" s="30"/>
      <c r="H29" s="30"/>
    </row>
    <row r="30" spans="1:8" ht="20.100000000000001" customHeight="1" x14ac:dyDescent="0.25">
      <c r="A30" s="5" t="str">
        <f>HYPERLINK("#'6.3.1.1-2 Leach runoff crop'!A1", "6.3.1.1-2 Leach &amp; runoff (crop)")</f>
        <v>6.3.1.1-2 Leach &amp; runoff (crop)</v>
      </c>
      <c r="D30" s="30"/>
      <c r="E30" s="23"/>
      <c r="F30" s="30"/>
      <c r="G30" s="30"/>
      <c r="H30" s="30"/>
    </row>
    <row r="31" spans="1:8" ht="20.100000000000001" customHeight="1" x14ac:dyDescent="0.25">
      <c r="A31" s="5" t="str">
        <f>HYPERLINK("#'6.4.1.1-2 Residue burning'!A1", "6.4.1.1-2 Residue burning")</f>
        <v>6.4.1.1-2 Residue burning</v>
      </c>
      <c r="D31" s="30"/>
      <c r="E31" s="23"/>
      <c r="F31" s="30"/>
      <c r="G31" s="30"/>
      <c r="H31" s="30"/>
    </row>
    <row r="32" spans="1:8" ht="20.100000000000001" customHeight="1" x14ac:dyDescent="0.25">
      <c r="A32" s="5" t="str">
        <f>HYPERLINK("#'8.1.1.1-2 Transport fuel'!A1", "8.1.1.1-2 Transport fuel")</f>
        <v>8.1.1.1-2 Transport fuel</v>
      </c>
      <c r="D32" s="30"/>
      <c r="E32" s="23"/>
      <c r="F32" s="30"/>
      <c r="G32" s="30"/>
      <c r="H32" s="30"/>
    </row>
    <row r="33" spans="1:8" ht="20.100000000000001" customHeight="1" x14ac:dyDescent="0.25">
      <c r="A33" s="5" t="str">
        <f>HYPERLINK("#'8.2.1.1-2 Stationary fuel'!A1", "8.2.1.1-2 Stationary fuel")</f>
        <v>8.2.1.1-2 Stationary fuel</v>
      </c>
      <c r="D33" s="30"/>
      <c r="E33" s="23"/>
      <c r="F33" s="30"/>
      <c r="G33" s="30"/>
      <c r="H33" s="30"/>
    </row>
    <row r="34" spans="1:8" ht="20.100000000000001" customHeight="1" x14ac:dyDescent="0.25">
      <c r="A34" s="5" t="str">
        <f>HYPERLINK("#'14.1.1-2 Purchased electricity'!A1", "14.1.1-2 Purchased electricity")</f>
        <v>14.1.1-2 Purchased electricity</v>
      </c>
      <c r="D34" s="30"/>
      <c r="E34" s="23"/>
      <c r="F34" s="30"/>
      <c r="G34" s="30"/>
      <c r="H34" s="30"/>
    </row>
    <row r="35" spans="1:8" ht="20.100000000000001" customHeight="1" x14ac:dyDescent="0.25">
      <c r="A35" s="5" t="str">
        <f>HYPERLINK("#'15 Scope 3'!A1", "15 Scope 3")</f>
        <v>15 Scope 3</v>
      </c>
    </row>
    <row r="36" spans="1:8" ht="20.100000000000001" customHeight="1" x14ac:dyDescent="0.25">
      <c r="A36" s="5" t="str">
        <f>HYPERLINK("#'Calcs - Manure sent off-site'!A1", "Calcs - Manure sent off-site")</f>
        <v>Calcs - Manure sent off-site</v>
      </c>
    </row>
    <row r="37" spans="1:8" ht="20.100000000000001" customHeight="1" x14ac:dyDescent="0.25">
      <c r="A37" s="5" t="str">
        <f>HYPERLINK("#'10.1.1-2 Solid waste treatment'!A1", "10.1.1-2 Solid waste treatment")</f>
        <v>10.1.1-2 Solid waste treatment</v>
      </c>
    </row>
    <row r="38" spans="1:8" ht="20.100000000000001" customHeight="1" x14ac:dyDescent="0.25">
      <c r="A38"/>
    </row>
    <row r="39" spans="1:8" ht="20.100000000000001" customHeight="1" x14ac:dyDescent="0.25">
      <c r="A39"/>
    </row>
    <row r="40" spans="1:8" ht="20.100000000000001" customHeight="1" x14ac:dyDescent="0.25">
      <c r="A40" s="119" t="s">
        <v>1</v>
      </c>
    </row>
    <row r="41" spans="1:8" ht="20.100000000000001" customHeight="1" x14ac:dyDescent="0.25">
      <c r="A41" s="5" t="str">
        <f>HYPERLINK("#'Constants - Ag Residue'!A1", "Constants - Ag residue")</f>
        <v>Constants - Ag residue</v>
      </c>
    </row>
    <row r="42" spans="1:8" ht="20.100000000000001" customHeight="1" x14ac:dyDescent="0.25">
      <c r="A42" s="5" t="str">
        <f>HYPERLINK("#'Constants - Common Livestock'!A1", "Constants - Common Livestock")</f>
        <v>Constants - Common Livestock</v>
      </c>
    </row>
    <row r="43" spans="1:8" ht="20.100000000000001" customHeight="1" x14ac:dyDescent="0.25">
      <c r="A43" s="5" t="str">
        <f>HYPERLINK("#'Constants - Electricity'!A1", "Constants - Electricity")</f>
        <v>Constants - Electricity</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row>
    <row r="49" spans="1:1" ht="20.100000000000001" customHeight="1" x14ac:dyDescent="0.25">
      <c r="A49"/>
    </row>
    <row r="50" spans="1:1" ht="20.100000000000001" customHeight="1" x14ac:dyDescent="0.25">
      <c r="A50"/>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C4FF78F7-D540-4E74-9F99-E02D7BF5B19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FD95-9FC0-4B6E-AEED-E63BD1B34193}">
  <sheetPr>
    <tabColor theme="5" tint="-0.249977111117893"/>
  </sheetPr>
  <dimension ref="A1:K160"/>
  <sheetViews>
    <sheetView showGridLines="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6384" width="9.140625" style="237"/>
  </cols>
  <sheetData>
    <row r="1" spans="1:11" ht="25.5" x14ac:dyDescent="0.35">
      <c r="A1" s="16" t="e" vm="1">
        <v>#VALUE!</v>
      </c>
      <c r="C1" s="16" t="s">
        <v>795</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796</v>
      </c>
    </row>
    <row r="6" spans="1:11" x14ac:dyDescent="0.25">
      <c r="A6"/>
    </row>
    <row r="7" spans="1:11" x14ac:dyDescent="0.25">
      <c r="A7"/>
      <c r="D7" s="1" t="s">
        <v>797</v>
      </c>
    </row>
    <row r="8" spans="1:11" ht="18.75" x14ac:dyDescent="0.25">
      <c r="A8" s="7" t="s">
        <v>0</v>
      </c>
      <c r="D8" s="1" t="s">
        <v>798</v>
      </c>
    </row>
    <row r="9" spans="1:11" x14ac:dyDescent="0.25">
      <c r="A9" s="5" t="str">
        <f>HYPERLINK("#'Input - Enterprise'!A1", "Enterprise")</f>
        <v>Enterprise</v>
      </c>
    </row>
    <row r="10" spans="1:11" x14ac:dyDescent="0.25">
      <c r="A10" s="5" t="str">
        <f>HYPERLINK("#'Input - Site'!A1", "Site")</f>
        <v>Site</v>
      </c>
      <c r="D10" s="1" t="s">
        <v>799</v>
      </c>
      <c r="F10" s="86">
        <v>1000</v>
      </c>
      <c r="G10" s="26" t="s">
        <v>800</v>
      </c>
    </row>
    <row r="11" spans="1:11" x14ac:dyDescent="0.25">
      <c r="A11" s="5" t="str">
        <f>HYPERLINK("#'Input - Crop'!A1", "Crop")</f>
        <v>Crop</v>
      </c>
      <c r="D11" s="1" t="s">
        <v>801</v>
      </c>
      <c r="F11" s="86">
        <v>2000</v>
      </c>
      <c r="G11" s="26" t="s">
        <v>800</v>
      </c>
    </row>
    <row r="12" spans="1:11" x14ac:dyDescent="0.25">
      <c r="A12" s="5" t="str">
        <f>HYPERLINK("#'Input - Fert Prod System'!A1", "Fert Prod System")</f>
        <v>Fert Prod System</v>
      </c>
    </row>
    <row r="13" spans="1:11" x14ac:dyDescent="0.25">
      <c r="A13" s="5" t="str">
        <f>HYPERLINK("#'Input - Fertiliser'!A1", "Fertiliser")</f>
        <v>Fertiliser</v>
      </c>
      <c r="D13" s="1" t="s">
        <v>802</v>
      </c>
      <c r="F13" s="23" t="s">
        <v>184</v>
      </c>
      <c r="G13" s="26" t="s">
        <v>100</v>
      </c>
    </row>
    <row r="14" spans="1:11" x14ac:dyDescent="0.25">
      <c r="A14" s="5" t="str">
        <f>HYPERLINK("#'Input - Fuel'!A1", "Fuel")</f>
        <v>Fuel</v>
      </c>
      <c r="D14" s="1" t="s">
        <v>803</v>
      </c>
      <c r="F14" s="23" t="s">
        <v>359</v>
      </c>
      <c r="G14" s="26" t="s">
        <v>100</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97" t="str">
        <f>HYPERLINK("#'Input - Manure sent off-site'!A1", "Manure sent off-site")</f>
        <v>Manure sent off-site</v>
      </c>
    </row>
    <row r="19" spans="1:1" x14ac:dyDescent="0.25">
      <c r="A19" s="5" t="str">
        <f>HYPERLINK("#'Input - Solid waste'!A1", "Solid waste")</f>
        <v>Solid waste</v>
      </c>
    </row>
    <row r="20" spans="1:1" x14ac:dyDescent="0.25">
      <c r="A20"/>
    </row>
    <row r="21" spans="1:1" x14ac:dyDescent="0.25">
      <c r="A21"/>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38" spans="1:1" x14ac:dyDescent="0.25">
      <c r="A38"/>
    </row>
    <row r="39" spans="1:1" x14ac:dyDescent="0.25">
      <c r="A39"/>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5219176-5139-4EDE-9FED-895C18FE1678}">
      <formula1>INDIRECT("Table_SourceData_Fertiliser_IrrigationMethods[Irrigation method]")</formula1>
    </dataValidation>
    <dataValidation type="list" allowBlank="1" showInputMessage="1" showErrorMessage="1" sqref="F13" xr:uid="{A1EA4C0B-4B4B-4A99-8A69-AC7A29F25567}">
      <formula1>INDIRECT("Table_SourceData_Fertiliser_CropProdSystems[Production system]")</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83EB3-F643-4743-B4A3-67C1A30676F1}">
  <dimension ref="A1:X342"/>
  <sheetViews>
    <sheetView showGridLines="0" topLeftCell="B4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254</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0" t="s">
        <v>255</v>
      </c>
      <c r="E7" s="13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256</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256</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1" t="str" cm="1">
        <f t="array" ref="M12:N13">_xlfn.CHOOSECOLS(Fertiliser_Equations_InorganicN2O.VEERG_5_1_1_2__1_EmissionFactorIrrigatedMaize_Arguments(), 1, 2)</f>
        <v>N_fjIrrigatedMaize</v>
      </c>
      <c r="N12" s="132" t="str">
        <v>application rate of inorganic fertiliser type f in the irrigated maize crop</v>
      </c>
      <c r="O12" s="133"/>
      <c r="P12" s="131" t="str" cm="1">
        <f t="array" ref="P12:Q13">_xlfn.CHOOSECOLS(Fertiliser_Equations_InorganicN2O.VEERG_5_1_1_2__1_EmissionFactorIrrigatedMaize_Arguments(), 3,4)</f>
        <v>kg N/ha</v>
      </c>
      <c r="Q12" s="134" t="str">
        <v>Input</v>
      </c>
      <c r="R12" s="136" t="str" cm="1">
        <f t="array" aca="1" ref="R12" ca="1">HYPERLINK(Common_InputFunctions.Utility_SourceHyperlink($M$41), $M$41)</f>
        <v>M2_Table_FertApplications</v>
      </c>
      <c r="S12" s="137"/>
    </row>
    <row r="13" spans="1:24" ht="20.100000000000001" customHeight="1" x14ac:dyDescent="0.25">
      <c r="A13" s="5" t="str">
        <f>HYPERLINK("#'Input - Fertiliser'!A1", "Fertiliser")</f>
        <v>Fertiliser</v>
      </c>
      <c r="D13" s="131" t="str" cm="1">
        <f t="array" ref="D13:E14">_xlfn.CHOOSECOLS(Fertiliser_Equations_InorganicN2O.VEERG_5_1_1_1__2_MassOfNitrogenInInorganicFertiliser_Arguments(), 1,2)</f>
        <v>TM_jf</v>
      </c>
      <c r="E13" s="131" t="str">
        <v>total mass of inorganic fertiliser type f applied to production system j</v>
      </c>
      <c r="F13" s="131"/>
      <c r="G13" s="131" t="str" cm="1">
        <f t="array" ref="G13:H14">_xlfn.CHOOSECOLS(Fertiliser_Equations_InorganicN2O.VEERG_5_1_1_1__2_MassOfNitrogenInInorganicFertiliser_Arguments(), 3,4)</f>
        <v>kg</v>
      </c>
      <c r="H13" s="134" t="str">
        <v>Input</v>
      </c>
      <c r="I13" s="138" t="str" cm="1">
        <f t="array" aca="1" ref="I13" ca="1">HYPERLINK(Common_InputFunctions.Utility_SourceHyperlink($D$16), $D$16)</f>
        <v>Table_MN_j_f</v>
      </c>
      <c r="M13" s="131" t="str">
        <v>f</v>
      </c>
      <c r="N13" s="132" t="str">
        <v>Inorganic fertiliser type</v>
      </c>
      <c r="O13" s="133"/>
      <c r="P13" s="131" t="str">
        <v/>
      </c>
      <c r="Q13" s="135" t="str">
        <v>Constant</v>
      </c>
      <c r="R13" s="132" t="s">
        <v>257</v>
      </c>
      <c r="S13" s="137"/>
    </row>
    <row r="14" spans="1:24" ht="20.100000000000001" customHeight="1" x14ac:dyDescent="0.25">
      <c r="A14" s="5" t="str">
        <f>HYPERLINK("#'Input - Fuel'!A1", "Fuel")</f>
        <v>Fuel</v>
      </c>
      <c r="D14" s="131" t="str">
        <v>FN_inorganicf</v>
      </c>
      <c r="E14" s="132" t="str">
        <v xml:space="preserve">fraction of nitrogen in inorganic fertiliser type f </v>
      </c>
      <c r="F14" s="140"/>
      <c r="G14" s="131" t="str">
        <v>kg N/kg</v>
      </c>
      <c r="H14" s="135" t="str">
        <v>Constant</v>
      </c>
      <c r="I14" s="138"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Farm Inputs'!A1", "Farm Inputs")</f>
        <v>Farm Inputs</v>
      </c>
      <c r="D16" s="141" t="s">
        <v>258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Freight'!A1", "Freight")</f>
        <v>Freight</v>
      </c>
      <c r="D17" s="142" t="s">
        <v>259</v>
      </c>
      <c r="M17" s="27" t="str" cm="1">
        <f t="array" ref="M17">Fertiliser_Equations_InorganicN2O.VEERG_5_1_1_2__2_EmissionFactorNonIrrigatedGrainsHighRainfall_Source()</f>
        <v>VEERG 2026: 5.1.1.2, Equation (2)</v>
      </c>
    </row>
    <row r="18" spans="1:19" ht="20.100000000000001" customHeight="1" x14ac:dyDescent="0.25">
      <c r="A18" s="5" t="str">
        <f>HYPERLINK("#'Input - Manure sent off-site'!A1", "Manure sent off-site")</f>
        <v>Manure sent off-site</v>
      </c>
      <c r="D18" s="143" t="s">
        <v>260</v>
      </c>
      <c r="E18" s="144" t="s">
        <v>261</v>
      </c>
      <c r="F18" s="143" t="s">
        <v>262</v>
      </c>
      <c r="G18" s="143" t="s">
        <v>263</v>
      </c>
    </row>
    <row r="19" spans="1:19"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256</v>
      </c>
      <c r="N20" s="1" t="str" cm="1">
        <f t="array" ref="N20">Fertiliser_Equations_InorganicN2O.VEERG_5_1_1_2__2_EmissionFactorNonIrrigatedGrainsHighRainfall_Variable()</f>
        <v>EF_fjNonIrrigatedGrainsN2O</v>
      </c>
    </row>
    <row r="21" spans="1:19"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121</v>
      </c>
      <c r="N21" s="15" t="str" cm="1">
        <f t="array" ref="N21">Fertiliser_Equations_InorganicN2O.VEERG_5_1_1_2__2_EmissionFactorNonIrrigatedGrainsHighRainfall_Unit()</f>
        <v>kg N2O-N/kg N applied</v>
      </c>
    </row>
    <row r="22" spans="1:19"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139"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1" t="str" cm="1">
        <f t="array" ref="M23:N24">_xlfn.CHOOSECOLS(Fertiliser_Equations_InorganicN2O.VEERG_5_1_1_2__2_EmissionFactorNonIrrigatedGrainsHighRainfall_Arguments(), 1, 2)</f>
        <v>N_fjNonIrrigatedGrains</v>
      </c>
      <c r="N23" s="132" t="str">
        <v>application rate of inorganic fertiliser type f in the grains crop</v>
      </c>
      <c r="O23" s="133"/>
      <c r="P23" s="131" t="str" cm="1">
        <f t="array" ref="P23:Q24">_xlfn.CHOOSECOLS(Fertiliser_Equations_InorganicN2O.VEERG_5_1_1_2__2_EmissionFactorNonIrrigatedGrainsHighRainfall_Arguments(), 3,4)</f>
        <v>kg N/ha</v>
      </c>
      <c r="Q23" s="134" t="str">
        <v>Input</v>
      </c>
      <c r="R23" s="136" t="str" cm="1">
        <f t="array" aca="1" ref="R23" ca="1">HYPERLINK(Common_InputFunctions.Utility_SourceHyperlink($M$41), $M$41)</f>
        <v>M2_Table_FertApplications</v>
      </c>
      <c r="S23" s="140"/>
    </row>
    <row r="24" spans="1:19" ht="20.100000000000001" customHeight="1" x14ac:dyDescent="0.25">
      <c r="A24" s="5"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1" t="str">
        <v>f</v>
      </c>
      <c r="N24" s="132" t="str">
        <v>Inorganic fertiliser type</v>
      </c>
      <c r="O24" s="133"/>
      <c r="P24" s="131" t="str">
        <v/>
      </c>
      <c r="Q24" s="135" t="str">
        <v>Constant</v>
      </c>
      <c r="R24" s="132" t="s">
        <v>257</v>
      </c>
      <c r="S24" s="140"/>
    </row>
    <row r="25" spans="1:19"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256</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121</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1" t="str" cm="1">
        <f t="array" ref="M35:N36">_xlfn.CHOOSECOLS(Fertiliser_Equations_InorganicN2O.VEERG_5_1_1_2__3_EmissionFactorCotton_Arguments(), 1, 2)</f>
        <v>N_fjCotton</v>
      </c>
      <c r="N35" s="132" t="str">
        <v>application rate of inorganic fertiliser type f in the cotton crop</v>
      </c>
      <c r="O35" s="133"/>
      <c r="P35" s="132" t="str" cm="1">
        <f t="array" ref="P35:Q36">_xlfn.CHOOSECOLS(Fertiliser_Equations_InorganicN2O.VEERG_5_1_1_2__3_EmissionFactorCotton_Arguments(), 3,4)</f>
        <v>kg N/ha</v>
      </c>
      <c r="Q35" s="134" t="str">
        <v>Input</v>
      </c>
      <c r="R35" s="136" t="str" cm="1">
        <f t="array" aca="1" ref="R35" ca="1">HYPERLINK(Common_InputFunctions.Utility_SourceHyperlink($M$41), $M$41)</f>
        <v>M2_Table_FertApplications</v>
      </c>
      <c r="S35" s="140"/>
    </row>
    <row r="36" spans="1:23"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1" t="str">
        <v>f</v>
      </c>
      <c r="N36" s="132" t="str">
        <v>Inorganic fertiliser type</v>
      </c>
      <c r="O36" s="133"/>
      <c r="P36" s="132" t="str">
        <v/>
      </c>
      <c r="Q36" s="135" t="str">
        <v>Constant</v>
      </c>
      <c r="R36" s="132" t="s">
        <v>257</v>
      </c>
      <c r="S36" s="140"/>
    </row>
    <row r="37" spans="1:23"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N38" s="123"/>
      <c r="O38" s="123"/>
      <c r="P38" s="123"/>
    </row>
    <row r="39" spans="1:23" ht="20.100000000000001" customHeight="1" x14ac:dyDescent="0.25">
      <c r="C39" s="145"/>
      <c r="D39" s="145"/>
      <c r="E39" s="145"/>
      <c r="F39" s="145"/>
      <c r="G39" s="145"/>
      <c r="H39" s="145"/>
      <c r="I39" s="145"/>
      <c r="J39" s="145"/>
      <c r="M39" s="123" t="s">
        <v>264</v>
      </c>
    </row>
    <row r="40" spans="1:23" ht="20.100000000000001" customHeight="1" x14ac:dyDescent="0.25">
      <c r="A40" s="119" t="s">
        <v>1</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Ag Residue'!A1", "Constants - Ag residue")</f>
        <v>Constants - Ag residue</v>
      </c>
      <c r="D41" s="27" t="str" cm="1">
        <f t="array" ref="D41">Fertiliser_Equations_InorganicN2O.VEERG_5_1_1_1__1_InorganicFertiliserApplicationN2OEmissions_Source()</f>
        <v>VEERG 2026: 5.1.1.1, Equation (1)</v>
      </c>
      <c r="M41" s="141" t="s">
        <v>265</v>
      </c>
      <c r="T41" s="146" t="s">
        <v>266</v>
      </c>
    </row>
    <row r="42" spans="1:23"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Common_InputFunctions.Utility_DisplayFunctionName($E$60)</f>
        <v>=Fertiliser_Equations_InorganicN2O.VEERG_5_1_1_1__1_InorganicFertiliserApplicationN2OEmissions</v>
      </c>
      <c r="F42" s="26"/>
      <c r="M42" s="142" t="s">
        <v>267</v>
      </c>
    </row>
    <row r="43" spans="1:23" ht="20.100000000000001" customHeight="1" x14ac:dyDescent="0.25">
      <c r="A43" s="5" t="str">
        <f>HYPERLINK("#'Constants - Electricity'!A1", "Constants - Electricity")</f>
        <v>Constants - Electricity</v>
      </c>
      <c r="F43" s="26"/>
      <c r="O43" s="147" t="s">
        <v>268</v>
      </c>
      <c r="P43" s="147" t="s">
        <v>269</v>
      </c>
      <c r="Q43" s="147" t="s">
        <v>270</v>
      </c>
      <c r="R43" s="147" t="str">
        <f>$N$10</f>
        <v>kg N2O-N/kg N applied</v>
      </c>
      <c r="S43" s="147" t="str">
        <f>$N$21</f>
        <v>kg N2O-N/kg N applied</v>
      </c>
      <c r="T43" s="147" t="s">
        <v>268</v>
      </c>
      <c r="U43" s="147" t="s">
        <v>270</v>
      </c>
      <c r="V43" s="147" t="str">
        <f>$N$33</f>
        <v>kg N2O-N/kg N applied</v>
      </c>
      <c r="W43" s="147" t="s">
        <v>271</v>
      </c>
    </row>
    <row r="44" spans="1:23" ht="20.100000000000001" customHeight="1" x14ac:dyDescent="0.25">
      <c r="A44" s="5" t="str">
        <f>HYPERLINK("#'Constants - Fertiliser'!A1", "Constants - Fertiliser")</f>
        <v>Constants - Fertiliser</v>
      </c>
      <c r="F44" s="26"/>
      <c r="M44" s="143" t="s">
        <v>272</v>
      </c>
      <c r="N44" s="144" t="s">
        <v>272</v>
      </c>
      <c r="O44" s="144" t="s">
        <v>273</v>
      </c>
      <c r="P44" s="144" t="s">
        <v>274</v>
      </c>
      <c r="Q44" s="143" t="s">
        <v>275</v>
      </c>
      <c r="R44" s="143" t="str">
        <f>N9</f>
        <v>EF_fjIrrigatedMaizeN2O</v>
      </c>
      <c r="S44" s="143" t="str">
        <f>N20</f>
        <v>EF_fjNonIrrigatedGrainsN2O</v>
      </c>
      <c r="T44" s="143" t="s">
        <v>276</v>
      </c>
      <c r="U44" s="143" t="s">
        <v>277</v>
      </c>
      <c r="V44" s="143" t="str">
        <f>N32</f>
        <v>EF_fjCottonN2O</v>
      </c>
      <c r="W44" s="143" t="s">
        <v>278</v>
      </c>
    </row>
    <row r="45" spans="1:23" ht="20.100000000000001" customHeight="1" x14ac:dyDescent="0.25">
      <c r="A45" s="5" t="str">
        <f>HYPERLINK("#'Constants - Fuel'!A1", "Constants - Fuel")</f>
        <v>Constants - Fuel</v>
      </c>
      <c r="F45" s="26"/>
      <c r="M45" s="25" t="s">
        <v>279</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Scope 3'!A1", "Constants - Scope 3")</f>
        <v>Constants - Scope 3</v>
      </c>
      <c r="D46" s="88" t="s">
        <v>256</v>
      </c>
      <c r="E46" s="1" t="str" cm="1">
        <f t="array" ref="E46">Fertiliser_Equations_InorganicN2O.VEERG_5_1_1_1__1_InorganicFertiliserApplicationN2OEmissions_Variable()</f>
        <v>E_N2O</v>
      </c>
      <c r="F46" s="26"/>
      <c r="M46" s="25" t="s">
        <v>279</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Common'!A1", "Constants - Common")</f>
        <v>Constants - Common</v>
      </c>
      <c r="D47" s="88" t="s">
        <v>121</v>
      </c>
      <c r="E47" s="15" t="str" cm="1">
        <f t="array" ref="E47">Fertiliser_Equations_InorganicN2O.VEERG_5_1_1_1__1_InorganicFertiliserApplicationN2OEmissions_Unit()</f>
        <v>t N2O</v>
      </c>
      <c r="F47" s="26"/>
      <c r="M47" s="25" t="s">
        <v>279</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Solid Waste'!A1", "Constants - Solid Waste")</f>
        <v>Constants - Solid Waste</v>
      </c>
      <c r="F48" s="26"/>
      <c r="M48" s="25" t="s">
        <v>279</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31" t="str" cm="1">
        <f t="array" ref="D49:E55">_xlfn.CHOOSECOLS(Fertiliser_Equations_InorganicN2O.VEERG_5_1_1_1__1_InorganicFertiliserApplicationN2OEmissions_Arguments(), 1, 2)</f>
        <v>MN_jf</v>
      </c>
      <c r="E49" s="132" t="str">
        <v>mass of nitrogen in inorganic fertiliser type f applied to production system j</v>
      </c>
      <c r="F49" s="133"/>
      <c r="G49" s="131" t="str" cm="1">
        <f t="array" ref="G49:H55">_xlfn.CHOOSECOLS(Fertiliser_Equations_InorganicN2O.VEERG_5_1_1_1__1_InorganicFertiliserApplicationN2OEmissions_Arguments(), 3,4)</f>
        <v>kg N</v>
      </c>
      <c r="H49" s="135" t="str">
        <v>Calculated from 5.1.1.1 (2)</v>
      </c>
      <c r="I49" s="138" t="str" cm="1">
        <f t="array" aca="1" ref="I49" ca="1">HYPERLINK(Common_InputFunctions.Utility_SourceHyperlink(D16), D16)</f>
        <v>Table_MN_j_f</v>
      </c>
      <c r="M49" s="25" t="s">
        <v>279</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31" t="str">
        <v>EF_jN2O</v>
      </c>
      <c r="E50" s="132" t="str">
        <v>emission factor for nitrous oxide for inorganic fertilisers</v>
      </c>
      <c r="F50" s="133"/>
      <c r="G50" s="131" t="str">
        <v>kg N2O-N/kg N applied</v>
      </c>
      <c r="H50" s="135" t="str">
        <v>Constant</v>
      </c>
      <c r="I50" s="131">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280</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31" t="str">
        <v>C_N2O</v>
      </c>
      <c r="E51" s="132" t="str">
        <v>factor to convert elemental mass of nitrous oxide to molecular mass</v>
      </c>
      <c r="F51" s="133"/>
      <c r="G51" s="131" t="str">
        <v/>
      </c>
      <c r="H51" s="135" t="str">
        <v>Constant</v>
      </c>
      <c r="I51" s="131">
        <f>Common_InputFunctions.Utility_LookupValueInTableNumber("N2O",Table_GasToMolecularConversionFactor[Gas],Table_GasToMolecularConversionFactor[Conversion factor combined])</f>
        <v>1.5714285714285714</v>
      </c>
      <c r="M51" s="25" t="s">
        <v>280</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31" t="str">
        <v>j</v>
      </c>
      <c r="E52" s="132" t="str">
        <v>Production system</v>
      </c>
      <c r="F52" s="133"/>
      <c r="G52" s="131" t="str">
        <v/>
      </c>
      <c r="H52" s="134" t="str">
        <v>Input</v>
      </c>
      <c r="I52" s="131" t="str">
        <f>X_Cell_Fertiliser_ProductionSystem</f>
        <v>Crop</v>
      </c>
      <c r="M52" s="25" t="s">
        <v>280</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31" t="str">
        <v>f</v>
      </c>
      <c r="E53" s="132" t="str">
        <v>Inorganic fertiliser type</v>
      </c>
      <c r="F53" s="133"/>
      <c r="G53" s="131" t="str">
        <v/>
      </c>
      <c r="H53" s="135" t="str">
        <v>Constant</v>
      </c>
      <c r="I53" s="131" t="str">
        <f>"See " &amp; D57</f>
        <v>See M1_Table_E_N2O</v>
      </c>
      <c r="M53" s="25" t="s">
        <v>280</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31" t="str">
        <v>ir</v>
      </c>
      <c r="E54" s="132" t="str">
        <v>irrigation method</v>
      </c>
      <c r="F54" s="133"/>
      <c r="G54" s="131" t="str">
        <v/>
      </c>
      <c r="H54" s="134" t="str">
        <v>Input</v>
      </c>
      <c r="I54" s="131" t="str">
        <f>X_Cell_Fertiliser_IrrigationMethod</f>
        <v>Sprinkler irrigation</v>
      </c>
      <c r="M54" s="25" t="s">
        <v>280</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31" t="str">
        <v>z</v>
      </c>
      <c r="E55" s="132" t="str">
        <v>rainfall zone</v>
      </c>
      <c r="F55" s="133"/>
      <c r="G55" s="131" t="str">
        <v/>
      </c>
      <c r="H55" s="134" t="str">
        <v>Input</v>
      </c>
      <c r="I55" s="131" t="str">
        <f>X_Cell_Site_RainfallZone</f>
        <v>High rainfall</v>
      </c>
    </row>
    <row r="56" spans="4:24" ht="20.100000000000001" customHeight="1" x14ac:dyDescent="0.25">
      <c r="F56" s="26"/>
    </row>
    <row r="57" spans="4:24" ht="20.100000000000001" customHeight="1" x14ac:dyDescent="0.25">
      <c r="D57" s="141" t="s">
        <v>281</v>
      </c>
      <c r="F57" s="26"/>
      <c r="L57" s="145"/>
      <c r="M57" s="145"/>
      <c r="N57" s="145"/>
      <c r="O57" s="145"/>
      <c r="P57" s="145"/>
      <c r="Q57" s="145"/>
      <c r="R57" s="145"/>
      <c r="S57" s="145"/>
      <c r="T57" s="145"/>
      <c r="U57" s="145"/>
      <c r="V57" s="145"/>
      <c r="W57" s="145"/>
      <c r="X57" s="145"/>
    </row>
    <row r="58" spans="4:24" ht="20.100000000000001" customHeight="1" x14ac:dyDescent="0.25">
      <c r="D58" s="142" t="s">
        <v>282</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43" t="s">
        <v>260</v>
      </c>
      <c r="E59" s="143" t="s">
        <v>283</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30" t="s">
        <v>255</v>
      </c>
      <c r="N60" s="130"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256</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1" t="str" cm="1">
        <f t="array" ref="M67:N74">_xlfn.CHOOSECOLS(Fertiliser_Equations_InorganicN2O.VEERG_5_1_1_1__1_InorganicFertiliserApplicationN2OEmissions_Arguments_Method2(), 1, 2)</f>
        <v>MN_jf</v>
      </c>
      <c r="N67" s="132" t="str">
        <v>mass of nitrogen in inorganic fertiliser type f applied to production system j</v>
      </c>
      <c r="O67" s="133"/>
      <c r="P67" s="140"/>
      <c r="Q67" s="131" t="str" cm="1">
        <f t="array" ref="Q67:R74">_xlfn.CHOOSECOLS(Fertiliser_Equations_InorganicN2O.VEERG_5_1_1_1__1_InorganicFertiliserApplicationN2OEmissions_Arguments_Method2(), 3,4)</f>
        <v>kg N</v>
      </c>
      <c r="R67" s="135" t="str">
        <v>Calculated from 5.1.1.1 (2)</v>
      </c>
      <c r="S67" s="13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31" t="str">
        <v>EF_jN2O</v>
      </c>
      <c r="N68" s="132" t="str">
        <v>emission factor for nitrous oxide for inorganic fertilisers</v>
      </c>
      <c r="O68" s="133"/>
      <c r="P68" s="140"/>
      <c r="Q68" s="131" t="str">
        <v>kg N2O-N/kg N applied</v>
      </c>
      <c r="R68" s="135" t="str">
        <v>Calculated from 5.1.1.2 (1)(2)(3)</v>
      </c>
      <c r="S68" s="131"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31" t="str">
        <v>C_N2O</v>
      </c>
      <c r="N69" s="132" t="str">
        <v>factor to convert elemental mass of nitrous oxide to molecular mass</v>
      </c>
      <c r="O69" s="133"/>
      <c r="P69" s="140"/>
      <c r="Q69" s="131" t="str">
        <v/>
      </c>
      <c r="R69" s="135" t="str">
        <v>Constant</v>
      </c>
      <c r="S69" s="131">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1" t="str">
        <v>j</v>
      </c>
      <c r="N70" s="132" t="str">
        <v>Production system</v>
      </c>
      <c r="O70" s="133"/>
      <c r="P70" s="140"/>
      <c r="Q70" s="131" t="str">
        <v/>
      </c>
      <c r="R70" s="134" t="str">
        <v>Input</v>
      </c>
      <c r="S70" s="131"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31" t="str">
        <v>c</v>
      </c>
      <c r="N71" s="132" t="str">
        <v>Crop type</v>
      </c>
      <c r="O71" s="133"/>
      <c r="P71" s="140"/>
      <c r="Q71" s="131" t="str">
        <v/>
      </c>
      <c r="R71" s="134" t="str">
        <v>Input</v>
      </c>
      <c r="S71" s="131"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31" t="str">
        <v>f</v>
      </c>
      <c r="N72" s="132" t="str">
        <v>Inorganic fertiliser type</v>
      </c>
      <c r="O72" s="133"/>
      <c r="P72" s="140"/>
      <c r="Q72" s="131" t="str">
        <v/>
      </c>
      <c r="R72" s="135" t="str">
        <v>Constant</v>
      </c>
      <c r="S72" s="131" t="s">
        <v>284</v>
      </c>
    </row>
    <row r="73" spans="4:19" ht="20.100000000000001" customHeight="1" x14ac:dyDescent="0.25">
      <c r="D73" s="25" t="str">
        <v>Zinc - Generic</v>
      </c>
      <c r="E73" s="25" cm="1">
        <f t="array" ref="E73">Fertiliser_Equations_InorganicN2O.VEERG_5_1_1_1__1_InorganicFertiliserApplicationN2OEmissions(G32,$I$50,$I$51)</f>
        <v>0</v>
      </c>
      <c r="M73" s="131" t="str">
        <v>ir</v>
      </c>
      <c r="N73" s="132" t="str">
        <v>irrigation method</v>
      </c>
      <c r="O73" s="133"/>
      <c r="P73" s="140"/>
      <c r="Q73" s="131" t="str">
        <v/>
      </c>
      <c r="R73" s="134" t="str">
        <v>Input</v>
      </c>
      <c r="S73" s="131"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32" t="str">
        <v>z</v>
      </c>
      <c r="N74" s="132" t="str">
        <v>rainfall zone</v>
      </c>
      <c r="O74" s="133"/>
      <c r="P74" s="133"/>
      <c r="Q74" s="131" t="str">
        <v/>
      </c>
      <c r="R74" s="134" t="str">
        <v>Input</v>
      </c>
      <c r="S74" s="131"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43" t="s">
        <v>272</v>
      </c>
      <c r="N76" s="143" t="s">
        <v>272</v>
      </c>
      <c r="O76" s="143" t="s">
        <v>285</v>
      </c>
      <c r="P76" s="143" t="s">
        <v>283</v>
      </c>
    </row>
    <row r="77" spans="4:19" ht="20.100000000000001" customHeight="1" x14ac:dyDescent="0.25">
      <c r="D77" s="25" t="str">
        <v>Ammonia</v>
      </c>
      <c r="E77" s="25" cm="1">
        <f t="array" ref="E77">Fertiliser_Equations_InorganicN2O.VEERG_5_1_1_1__1_InorganicFertiliserApplicationN2OEmissions(G36,$I$50,$I$51)</f>
        <v>4.5292500000000006E-2</v>
      </c>
      <c r="M77" s="25" t="s">
        <v>279</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279</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279</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48" t="s">
        <v>286</v>
      </c>
      <c r="E80" s="149">
        <f>SUM(E60:E78)</f>
        <v>0.1431067</v>
      </c>
      <c r="F80" s="150" t="str">
        <f>$E$47</f>
        <v>t N2O</v>
      </c>
      <c r="M80" s="25" t="s">
        <v>279</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279</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31" t="str" cm="1">
        <f t="array" ref="D82:E83">Common_Equations.Common_ConvertN2OToCO2e_Arguments()</f>
        <v>EN2O</v>
      </c>
      <c r="E82" s="132" t="str">
        <v>Nitrous oxide emissions (t N2O)</v>
      </c>
      <c r="F82" s="151"/>
      <c r="G82" s="25">
        <f>E80</f>
        <v>0.1431067</v>
      </c>
      <c r="M82" s="25" t="s">
        <v>280</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31" t="str">
        <v>GWPN2O</v>
      </c>
      <c r="E83" s="132" t="str">
        <v>Global warming potential for nitrous oxide (t CO2-e / t N2O)</v>
      </c>
      <c r="F83" s="151"/>
      <c r="G83" s="25">
        <f>Common_InputFunctions.Utility_LookupValueInTableNumber("N2O",Table_GWPData[Gas],Table_GWPData[CO2-e factor])</f>
        <v>265</v>
      </c>
      <c r="M83" s="25" t="s">
        <v>280</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280</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45" t="s">
        <v>287</v>
      </c>
      <c r="E85" s="145" cm="1">
        <f t="array" ref="E85">Common_Equations.Common_ConvertN2OToCO2e(G82,G83)</f>
        <v>37.923275500000003</v>
      </c>
      <c r="F85" s="152" t="str" cm="1">
        <f t="array" ref="F85">Common_Equations.Common_ConvertN2OToCO2e_Unit()</f>
        <v>t CO2e</v>
      </c>
      <c r="M85" s="25" t="s">
        <v>280</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280</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48" t="s">
        <v>286</v>
      </c>
      <c r="N88" s="149">
        <f>SUM(P77:P86)</f>
        <v>0.1431067</v>
      </c>
      <c r="O88" s="150" t="str">
        <f>$E$47</f>
        <v>t N2O</v>
      </c>
    </row>
    <row r="89" spans="4:16" ht="20.100000000000001" customHeight="1" x14ac:dyDescent="0.25"/>
    <row r="90" spans="4:16" ht="20.100000000000001" customHeight="1" x14ac:dyDescent="0.25">
      <c r="M90" s="131" t="str" cm="1">
        <f t="array" ref="M90:N91">Common_Equations.Common_ConvertN2OToCO2e_Arguments()</f>
        <v>EN2O</v>
      </c>
      <c r="N90" s="132" t="str">
        <v>Nitrous oxide emissions (t N2O)</v>
      </c>
      <c r="O90" s="151"/>
      <c r="P90" s="25">
        <f>N88</f>
        <v>0.1431067</v>
      </c>
    </row>
    <row r="91" spans="4:16" ht="20.100000000000001" customHeight="1" x14ac:dyDescent="0.25">
      <c r="M91" s="131" t="str">
        <v>GWPN2O</v>
      </c>
      <c r="N91" s="132" t="str">
        <v>Global warming potential for nitrous oxide (t CO2-e / t N2O)</v>
      </c>
      <c r="O91" s="151"/>
      <c r="P91" s="25">
        <f>Common_InputFunctions.Utility_LookupValueInTableNumber("N2O",Table_GWPData[Gas],Table_GWPData[CO2-e factor])</f>
        <v>265</v>
      </c>
    </row>
    <row r="92" spans="4:16" ht="20.100000000000001" customHeight="1" x14ac:dyDescent="0.25"/>
    <row r="93" spans="4:16" ht="20.100000000000001" customHeight="1" x14ac:dyDescent="0.25">
      <c r="M93" s="145" t="s">
        <v>287</v>
      </c>
      <c r="N93" s="145" cm="1">
        <f t="array" ref="N93">Common_Equations.Common_ConvertN2OToCO2e(P90,P91)</f>
        <v>37.923275500000003</v>
      </c>
      <c r="O93" s="15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01056243-F03A-41DA-BE7D-CABAFBFBBC41}"/>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F6AE3-C118-4170-9A73-7344986DA868}">
  <dimension ref="A1:U165"/>
  <sheetViews>
    <sheetView showGridLines="0" topLeftCell="A51"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288</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0" t="s">
        <v>255</v>
      </c>
      <c r="E7" s="13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4">_xlfn.CHOOSECOLS(Fertiliser_Equations_InorganicCO2.VEERG_5_1_1_3__2_MassOfUreaInInorganicFertiliser_Arguments(), 1, 2)</f>
        <v>TM_jf</v>
      </c>
      <c r="E13" s="132" t="str">
        <v>total mass of inorganic fertiliser type f applied to production system j</v>
      </c>
      <c r="F13" s="140"/>
      <c r="G13" s="131" t="str" cm="1">
        <f t="array" ref="G13:H14">_xlfn.CHOOSECOLS(Fertiliser_Equations_InorganicCO2.VEERG_5_1_1_3__2_MassOfUreaInInorganicFertiliser_Arguments(), 3, 4)</f>
        <v>kg</v>
      </c>
      <c r="H13" s="134" t="str">
        <v>Input</v>
      </c>
      <c r="I13" s="138" t="str" cm="1">
        <f t="array" aca="1" ref="I13" ca="1">HYPERLINK(Common_InputFunctions.Utility_SourceHyperlink($D$16), $D$16)</f>
        <v>Table_MU_j_f</v>
      </c>
    </row>
    <row r="14" spans="1:21" ht="20.100000000000001" customHeight="1" x14ac:dyDescent="0.25">
      <c r="A14" s="5" t="str">
        <f>HYPERLINK("#'Input - Fuel'!A1", "Fuel")</f>
        <v>Fuel</v>
      </c>
      <c r="D14" s="131" t="str">
        <v>FU_f</v>
      </c>
      <c r="E14" s="132" t="str">
        <v>fraction of urea in fertiliser type f</v>
      </c>
      <c r="F14" s="140"/>
      <c r="G14" s="131" t="str">
        <v>kg urea/kg</v>
      </c>
      <c r="H14" s="135" t="str">
        <v>Lookup</v>
      </c>
      <c r="I14" s="138"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289</v>
      </c>
    </row>
    <row r="17" spans="1:7" ht="20.100000000000001" customHeight="1" x14ac:dyDescent="0.25">
      <c r="A17" s="5" t="str">
        <f>HYPERLINK("#'Input - Freight'!A1", "Freight")</f>
        <v>Freight</v>
      </c>
      <c r="D17" s="142" t="s">
        <v>290</v>
      </c>
    </row>
    <row r="18" spans="1:7" ht="20.100000000000001" customHeight="1" x14ac:dyDescent="0.25">
      <c r="A18" s="5" t="str">
        <f>HYPERLINK("#'Input - Manure sent off-site'!A1", "Manure sent off-site")</f>
        <v>Manure sent off-site</v>
      </c>
      <c r="D18" s="143" t="s">
        <v>260</v>
      </c>
      <c r="E18" s="144" t="s">
        <v>261</v>
      </c>
      <c r="F18" s="143" t="s">
        <v>291</v>
      </c>
      <c r="G18" s="143" t="s">
        <v>292</v>
      </c>
    </row>
    <row r="19" spans="1:7"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139"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row r="39" spans="1:12" ht="20.100000000000001" customHeight="1" x14ac:dyDescent="0.25"/>
    <row r="40" spans="1:12" ht="20.100000000000001" customHeight="1" x14ac:dyDescent="0.25">
      <c r="A40" s="119" t="s">
        <v>1</v>
      </c>
      <c r="C40" s="145"/>
      <c r="D40" s="145"/>
      <c r="E40" s="145"/>
      <c r="F40" s="145"/>
      <c r="G40" s="145"/>
      <c r="H40" s="145"/>
      <c r="I40" s="145"/>
      <c r="J40" s="145"/>
      <c r="K40" s="145"/>
      <c r="L40" s="145"/>
    </row>
    <row r="41" spans="1:12" ht="20.100000000000001" customHeight="1" x14ac:dyDescent="0.25">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Common Livestock'!A1", "Constants - Common Livestock")</f>
        <v>Constants - Common Livestock</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Fertiliser_Equations_InorganicCO2.VEERG_5_1_1_3__1_InorganicFertiliserApplicationCO2Emissions_Variable()</f>
        <v>E_CO2</v>
      </c>
    </row>
    <row r="47" spans="1:12" ht="20.100000000000001" customHeight="1" x14ac:dyDescent="0.25">
      <c r="A47" s="5" t="str">
        <f>HYPERLINK("#'Constants - Common'!A1", "Constants - Common")</f>
        <v>Constants - Common</v>
      </c>
      <c r="D47" s="88" t="s">
        <v>121</v>
      </c>
      <c r="E47" s="15" t="str" cm="1">
        <f t="array" ref="E47">Fertiliser_Equations_InorganicCO2.VEERG_5_1_1_3__1_InorganicFertiliserApplicationCO2Emissions_Unit()</f>
        <v>t CO2</v>
      </c>
    </row>
    <row r="48" spans="1:12" ht="20.100000000000001" customHeight="1" x14ac:dyDescent="0.25">
      <c r="A48" s="5" t="str">
        <f>HYPERLINK("#'Constants - Solid Waste'!A1", "Constants - Solid Waste")</f>
        <v>Constants - Solid Waste</v>
      </c>
    </row>
    <row r="49" spans="4:9" ht="20.100000000000001" customHeight="1" x14ac:dyDescent="0.25">
      <c r="D49" s="131" t="str" cm="1">
        <f t="array" ref="D49:E53">_xlfn.CHOOSECOLS(Fertiliser_Equations_InorganicCO2.VEERG_5_1_1_3__1_InorganicFertiliserApplicationCO2Emissions_Arguments(), 1, 2)</f>
        <v>MU_jf</v>
      </c>
      <c r="E49" s="132" t="str">
        <v>mass of urea of inorganic fertiliser type f applied to production system j</v>
      </c>
      <c r="F49" s="140"/>
      <c r="G49" s="131" t="str" cm="1">
        <f t="array" ref="G49:H53">_xlfn.CHOOSECOLS(Fertiliser_Equations_InorganicCO2.VEERG_5_1_1_3__1_InorganicFertiliserApplicationCO2Emissions_Arguments(), 3,4)</f>
        <v>kg urea</v>
      </c>
      <c r="H49" s="135" t="str">
        <v>Calculated</v>
      </c>
      <c r="I49" s="138" t="str" cm="1">
        <f t="array" aca="1" ref="I49" ca="1">HYPERLINK(Common_InputFunctions.Utility_SourceHyperlink($D$16), $D$16)</f>
        <v>Table_MU_j_f</v>
      </c>
    </row>
    <row r="50" spans="4:9" ht="20.100000000000001" customHeight="1" x14ac:dyDescent="0.25">
      <c r="D50" s="131" t="str">
        <v>EF_ureaCO2</v>
      </c>
      <c r="E50" s="132" t="str">
        <v>emission factor for carbon emissions from urea-based fertilisers</v>
      </c>
      <c r="F50" s="140"/>
      <c r="G50" s="131" t="str">
        <v>kg C/kg urea</v>
      </c>
      <c r="H50" s="135" t="str">
        <v>Constant</v>
      </c>
      <c r="I50" s="131">
        <f>'Constants - Fertiliser'!$E$60</f>
        <v>0.2</v>
      </c>
    </row>
    <row r="51" spans="4:9" ht="20.100000000000001" customHeight="1" x14ac:dyDescent="0.25">
      <c r="D51" s="131" t="str">
        <v>C_CO2</v>
      </c>
      <c r="E51" s="132" t="str">
        <v>factor to convert elemental mass of carbon to molecular mass of carbon dioxide</v>
      </c>
      <c r="F51" s="140"/>
      <c r="G51" s="131" t="str">
        <v/>
      </c>
      <c r="H51" s="135" t="str">
        <v>Constant</v>
      </c>
      <c r="I51" s="131">
        <f>Common_InputFunctions.Utility_LookupValueInTableNumber("CO2",Table_GasToMolecularConversionFactor[Gas], Table_GasToMolecularConversionFactor[Conversion factor combined])</f>
        <v>3.6666666666666665</v>
      </c>
    </row>
    <row r="52" spans="4:9" ht="20.100000000000001" customHeight="1" x14ac:dyDescent="0.25">
      <c r="D52" s="131" t="str">
        <v>j</v>
      </c>
      <c r="E52" s="132" t="str">
        <v>Production system</v>
      </c>
      <c r="F52" s="140"/>
      <c r="G52" s="131" t="str">
        <v/>
      </c>
      <c r="H52" s="134" t="str">
        <v>Input</v>
      </c>
      <c r="I52" s="131" t="str">
        <f>X_Cell_Fertiliser_ProductionSystem</f>
        <v>Crop</v>
      </c>
    </row>
    <row r="53" spans="4:9" ht="20.100000000000001" customHeight="1" x14ac:dyDescent="0.25">
      <c r="D53" s="131" t="str">
        <v>f</v>
      </c>
      <c r="E53" s="132" t="str">
        <v>Inorganic fertiliser type</v>
      </c>
      <c r="F53" s="140"/>
      <c r="G53" s="131" t="str">
        <v/>
      </c>
      <c r="H53" s="135" t="str">
        <v>Lookup</v>
      </c>
      <c r="I53" s="138" t="str" cm="1">
        <f t="array" aca="1" ref="I53" ca="1">HYPERLINK(Common_InputFunctions.Utility_SourceHyperlink($D$16), $D$16)</f>
        <v>Table_MU_j_f</v>
      </c>
    </row>
    <row r="54" spans="4:9" ht="20.100000000000001" customHeight="1" x14ac:dyDescent="0.25"/>
    <row r="55" spans="4:9" ht="20.100000000000001" customHeight="1" x14ac:dyDescent="0.25">
      <c r="D55" s="141" t="s">
        <v>293</v>
      </c>
    </row>
    <row r="56" spans="4:9" ht="20.100000000000001" customHeight="1" x14ac:dyDescent="0.25">
      <c r="D56" s="142" t="s">
        <v>294</v>
      </c>
    </row>
    <row r="57" spans="4:9" ht="20.100000000000001" customHeight="1" x14ac:dyDescent="0.25">
      <c r="D57" s="143" t="s">
        <v>260</v>
      </c>
      <c r="E57" s="143" t="s">
        <v>283</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48" t="s">
        <v>295</v>
      </c>
      <c r="E78" s="149">
        <f>SUM(E58:E76)</f>
        <v>7.333333333333333</v>
      </c>
      <c r="F78" s="150"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5499F-963A-466C-90CD-631ED9A7ECC0}">
  <dimension ref="A1:U165"/>
  <sheetViews>
    <sheetView showGridLines="0" topLeftCell="A3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296</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0" t="s">
        <v>255</v>
      </c>
      <c r="E7" s="13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5">_xlfn.CHOOSECOLS(Fertiliser_Equations_OrganicN2O.VEERG_5_2_1_1__2_MassOfNitrogenInOrganicFertiliser_Arguments(), 1, 2)</f>
        <v>M_organicjf</v>
      </c>
      <c r="E13" s="132" t="str">
        <v>mass of organic fertiliser type f applied to production system j</v>
      </c>
      <c r="F13" s="140"/>
      <c r="G13" s="153" t="str" cm="1">
        <f t="array" ref="G13:H15">_xlfn.CHOOSECOLS(Fertiliser_Equations_OrganicN2O.VEERG_5_2_1_1__2_MassOfNitrogenInOrganicFertiliser_Arguments(), 3,4)</f>
        <v>kg</v>
      </c>
      <c r="H13" s="134" t="str">
        <v>Input</v>
      </c>
      <c r="I13" s="138" t="str" cm="1">
        <f t="array" aca="1" ref="I13" ca="1">HYPERLINK(Common_InputFunctions.Utility_SourceHyperlink($D$17), $D$17)</f>
        <v>Table_MNSoil_j_f</v>
      </c>
    </row>
    <row r="14" spans="1:21" ht="20.100000000000001" customHeight="1" x14ac:dyDescent="0.25">
      <c r="A14" s="5" t="str">
        <f>HYPERLINK("#'Input - Fuel'!A1", "Fuel")</f>
        <v>Fuel</v>
      </c>
      <c r="D14" s="131" t="str">
        <v>FN_organicf</v>
      </c>
      <c r="E14" s="132" t="str">
        <v>nitrogen fraction of organic fertiliser type f</v>
      </c>
      <c r="F14" s="140"/>
      <c r="G14" s="153" t="str">
        <v>kg N/kg</v>
      </c>
      <c r="H14" s="134" t="str">
        <v>Input</v>
      </c>
      <c r="I14" s="138" t="str" cm="1">
        <f t="array" aca="1" ref="I14" ca="1">HYPERLINK(Common_InputFunctions.Utility_SourceHyperlink($D$17), $D$17)</f>
        <v>Table_MNSoil_j_f</v>
      </c>
    </row>
    <row r="15" spans="1:21" ht="20.100000000000001" customHeight="1" x14ac:dyDescent="0.25">
      <c r="A15" s="5" t="str">
        <f>HYPERLINK("#'Input - Electricity'!A1", "Electricity")</f>
        <v>Electricity</v>
      </c>
      <c r="D15" s="131" t="str">
        <v>f</v>
      </c>
      <c r="E15" s="132" t="str">
        <v>Organic fertiliser type</v>
      </c>
      <c r="F15" s="140"/>
      <c r="G15" s="153" t="str">
        <v/>
      </c>
      <c r="H15" s="134" t="str">
        <v>Input</v>
      </c>
      <c r="I15" s="138" t="str" cm="1">
        <f t="array" aca="1" ref="I15" ca="1">HYPERLINK(Common_InputFunctions.Utility_SourceHyperlink($D$17), $D$17)</f>
        <v>Table_MNSoil_j_f</v>
      </c>
    </row>
    <row r="16" spans="1:21" ht="20.100000000000001" customHeight="1" x14ac:dyDescent="0.25">
      <c r="A16" s="5" t="str">
        <f>HYPERLINK("#'Input - Farm Inputs'!A1", "Farm Inputs")</f>
        <v>Farm Inputs</v>
      </c>
    </row>
    <row r="17" spans="1:10" ht="20.100000000000001" customHeight="1" x14ac:dyDescent="0.25">
      <c r="A17" s="5" t="str">
        <f>HYPERLINK("#'Input - Freight'!A1", "Freight")</f>
        <v>Freight</v>
      </c>
      <c r="D17" s="141" t="s">
        <v>297</v>
      </c>
    </row>
    <row r="18" spans="1:10" ht="20.100000000000001" customHeight="1" x14ac:dyDescent="0.25">
      <c r="A18" s="5" t="str">
        <f>HYPERLINK("#'Input - Manure sent off-site'!A1", "Manure sent off-site")</f>
        <v>Manure sent off-site</v>
      </c>
      <c r="D18" s="142" t="s">
        <v>298</v>
      </c>
    </row>
    <row r="19" spans="1:10" ht="20.100000000000001" customHeight="1" x14ac:dyDescent="0.25">
      <c r="A19" s="5" t="str">
        <f>HYPERLINK("#'Input - Solid waste'!A1", "Solid waste")</f>
        <v>Solid waste</v>
      </c>
      <c r="D19" s="144" t="s">
        <v>299</v>
      </c>
      <c r="E19" s="144" t="s">
        <v>300</v>
      </c>
      <c r="F19" s="144" t="s">
        <v>197</v>
      </c>
      <c r="G19" s="154" t="s">
        <v>301</v>
      </c>
      <c r="H19" s="154" t="s">
        <v>302</v>
      </c>
      <c r="I19" s="154" t="s">
        <v>303</v>
      </c>
    </row>
    <row r="20" spans="1:10" ht="20.100000000000001" customHeight="1" x14ac:dyDescent="0.25">
      <c r="D20" s="25" t="str" cm="1">
        <f t="array" ref="D20:D22">Table_Input_OrganicFertiliser[Organic fertiliser type (select)]</f>
        <v>Manure - Other</v>
      </c>
      <c r="E20" s="155" cm="1">
        <f t="array" ref="E20:E22">Table_Input_OrganicFertiliser[Amount applied (kg/hectare)]</f>
        <v>10</v>
      </c>
      <c r="F20" s="155" cm="1">
        <f t="array" ref="F20:F22">Table_Input_OrganicFertiliser[Application area (ha)]</f>
        <v>100</v>
      </c>
      <c r="G20" s="25" cm="1">
        <f t="array" ref="G20:G22">Table_Input_OrganicFertiliser[Amount applied (kg/hectare)]*Table_Input_OrganicFertiliser[Application area (ha)]</f>
        <v>1000</v>
      </c>
      <c r="H20" s="15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6" t="s">
        <v>2</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HYPERLINK("#'5.1.1.1-2 Inorganic fert N2O'!A1", "5.1.1.1-2 Inorganic fert N2O")</f>
        <v>5.1.1.1-2 Inorganic fert N2O</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HYPERLINK("#'5.1.1.3-4 Inorganic fert CO2'!A1", "5.1.1.3-4 Inorganic fert CO2")</f>
        <v>5.1.1.3-4 Inorganic fert CO2</v>
      </c>
      <c r="D24" s="25"/>
      <c r="E24" s="25"/>
      <c r="F24" s="25"/>
      <c r="G24" s="25"/>
      <c r="H24" s="25"/>
      <c r="I24" s="25" cm="1">
        <f t="array" ref="I24">Fertiliser_Equations_Organic.VEERG_5_2_1_1__2_MassOfNitrogenInOrganicFertiliser(G24,H24)</f>
        <v>0</v>
      </c>
    </row>
    <row r="25" spans="1:10" ht="20.100000000000001" customHeight="1" x14ac:dyDescent="0.25">
      <c r="A25" s="139" t="str">
        <f>HYPERLINK("#'5.2.1.1-2 Organic Fert N2O'!A1", "5.2.1.1-2 Organic fert N2O")</f>
        <v>5.2.1.1-2 Organic fert N2O</v>
      </c>
      <c r="D25" s="25"/>
      <c r="E25" s="25"/>
      <c r="F25" s="25"/>
      <c r="G25" s="25"/>
      <c r="H25" s="25"/>
      <c r="I25" s="25" cm="1">
        <f t="array" ref="I25">Fertiliser_Equations_Organic.VEERG_5_2_1_1__2_MassOfNitrogenInOrganicFertiliser(G25,H25)</f>
        <v>0</v>
      </c>
    </row>
    <row r="26" spans="1:10" ht="20.100000000000001" customHeight="1" x14ac:dyDescent="0.25">
      <c r="A26" s="5" t="str">
        <f>HYPERLINK("#'5.3.1.1-2 Lime CO2'!A1", "5.3.1.1-2 Lime CO2")</f>
        <v>5.3.1.1-2 Lime CO2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HYPERLINK("#'5.4.1.1-4 Atmos deposition'!A1", "5.4.1.1-4 Atmos. deposition")</f>
        <v>5.4.1.1-4 Atmos. deposition</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HYPERLINK("#'5.5.1.1-2 Leaching and runoff'!A1", "5.5.1.1-2 Leaching &amp; runoff")</f>
        <v>5.5.1.1-2 Leaching &amp; runoff</v>
      </c>
      <c r="D28" s="25"/>
      <c r="E28" s="25"/>
      <c r="F28" s="25"/>
      <c r="G28" s="25"/>
      <c r="H28" s="25"/>
      <c r="I28" s="25" cm="1">
        <f t="array" ref="I28">Fertiliser_Equations_Organic.VEERG_5_2_1_1__2_MassOfNitrogenInOrganicFertiliser(G28,H28)</f>
        <v>0</v>
      </c>
    </row>
    <row r="29" spans="1:10" ht="20.100000000000001" customHeight="1" x14ac:dyDescent="0.25">
      <c r="A29" s="5" t="str">
        <f>HYPERLINK("#'6.1.1.1-2 Crop residue N2O'!A1", "6.1.1.1-2 Crop residue N2O")</f>
        <v>6.1.1.1-2 Crop residue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HYPERLINK("#'6.3.1.1-2 Leach runoff crop'!A1", "6.3.1.1-2 Leach &amp; runoff (crop)")</f>
        <v>6.3.1.1-2 Leach &amp; runoff (crop)</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HYPERLINK("#'6.4.1.1-2 Residue burning'!A1", "6.4.1.1-2 Residue burning")</f>
        <v>6.4.1.1-2 Residue burning</v>
      </c>
      <c r="D31" s="157"/>
      <c r="E31" s="157"/>
      <c r="F31" s="157"/>
      <c r="G31" s="157"/>
      <c r="H31" s="157"/>
      <c r="I31" s="157"/>
      <c r="J31" s="157"/>
    </row>
    <row r="32" spans="1:10" ht="20.100000000000001" customHeight="1" x14ac:dyDescent="0.25">
      <c r="A32" s="5" t="str">
        <f>HYPERLINK("#'8.1.1.1-2 Transport fuel'!A1", "8.1.1.1-2 Transport fuel")</f>
        <v>8.1.1.1-2 Transport fuel</v>
      </c>
      <c r="D32" s="158" t="s">
        <v>304</v>
      </c>
      <c r="E32" s="158">
        <f>SUM(I20:I30)</f>
        <v>710</v>
      </c>
      <c r="F32" s="159" t="str">
        <f>$E$11</f>
        <v>kg N</v>
      </c>
      <c r="G32" s="157"/>
      <c r="H32" s="157"/>
      <c r="I32" s="157"/>
      <c r="J32" s="15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A35" s="5" t="str">
        <f>HYPERLINK("#'15 Scope 3'!A1", "15 Scope 3")</f>
        <v>15 Scope 3</v>
      </c>
      <c r="C35" s="160"/>
      <c r="D35" s="160"/>
      <c r="E35" s="160"/>
      <c r="F35" s="160"/>
      <c r="G35" s="160"/>
      <c r="H35" s="160"/>
      <c r="I35" s="160"/>
      <c r="J35" s="160"/>
      <c r="K35" s="160"/>
      <c r="L35" s="160"/>
    </row>
    <row r="36" spans="1:12" ht="20.100000000000001" customHeight="1" x14ac:dyDescent="0.25">
      <c r="A36" s="5" t="str">
        <f>HYPERLINK("#'Calcs - Manure sent off-site'!A1", "Calcs - Manure sent off-site")</f>
        <v>Calcs - Manure sent off-site</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HYPERLINK("#'10.1.1-2 Solid waste treatment'!A1", "10.1.1-2 Solid waste treatment")</f>
        <v>10.1.1-2 Solid waste treatment</v>
      </c>
      <c r="D37" s="27" t="str" cm="1">
        <f t="array" ref="D37">Fertiliser_Equations_OrganicN2O.VEERG_5_2_1_1__1_OrganicFertiliserApplicationN2OEmissions_Source()</f>
        <v>VEERG 2026: 5.2.1.1, Equation (1)</v>
      </c>
    </row>
    <row r="38" spans="1:12" ht="20.100000000000001" customHeight="1" x14ac:dyDescent="0.25">
      <c r="D38" s="130" t="s">
        <v>255</v>
      </c>
      <c r="E38" s="13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c r="A40" s="119" t="s">
        <v>1</v>
      </c>
    </row>
    <row r="41" spans="1:12" ht="20.100000000000001" customHeight="1" x14ac:dyDescent="0.25">
      <c r="A41" s="5" t="str">
        <f>HYPERLINK("#'Constants - Ag Residue'!A1", "Constants - Ag residue")</f>
        <v>Constants - Ag residue</v>
      </c>
      <c r="D41" s="88" t="s">
        <v>256</v>
      </c>
      <c r="E41" s="1" t="str" cm="1">
        <f t="array" ref="E41">Fertiliser_Equations_OrganicN2O.VEERG_5_2_1_1__1_OrganicFertiliserApplicationN2OEmissions_Variable()</f>
        <v>E_N2O</v>
      </c>
    </row>
    <row r="42" spans="1:12" ht="20.100000000000001" customHeight="1" x14ac:dyDescent="0.25">
      <c r="A42" s="5" t="str">
        <f>HYPERLINK("#'Constants - Common Livestock'!A1", "Constants - Common Livestock")</f>
        <v>Constants - Common Livestock</v>
      </c>
      <c r="D42" s="88" t="s">
        <v>121</v>
      </c>
      <c r="E42" s="15" t="str" cm="1">
        <f t="array" ref="E42">Fertiliser_Equations_OrganicN2O.VEERG_5_2_1_1__1_OrganicFertiliserApplicationN2OEmissions_Unit()</f>
        <v>t N2O</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c r="D44" s="153" t="str" cm="1">
        <f t="array" ref="D44:E48">_xlfn.CHOOSECOLS(Fertiliser_Equations_OrganicN2O.VEERG_5_2_1_1__1_OrganicFertiliserApplicationN2OEmissions_Arguments(), 1, 2)</f>
        <v>MNSoil_jf</v>
      </c>
      <c r="E44" s="161" t="str">
        <v>mass of nitrogen in organic fertiliser type f applied to production system j</v>
      </c>
      <c r="F44" s="162"/>
      <c r="G44" s="162"/>
      <c r="H44" s="163"/>
      <c r="I44" s="153" t="str" cm="1">
        <f t="array" ref="I44:J48">_xlfn.CHOOSECOLS(Fertiliser_Equations_OrganicN2O.VEERG_5_2_1_1__1_OrganicFertiliserApplicationN2OEmissions_Arguments(), 3,4)</f>
        <v>kg N</v>
      </c>
      <c r="J44" s="135" t="str">
        <v>Calculated from 5.2.1.1 (2)</v>
      </c>
      <c r="K44" s="153">
        <f>$E$32</f>
        <v>710</v>
      </c>
    </row>
    <row r="45" spans="1:12" ht="20.100000000000001" customHeight="1" x14ac:dyDescent="0.25">
      <c r="A45" s="5" t="str">
        <f>HYPERLINK("#'Constants - Fuel'!A1", "Constants - Fuel")</f>
        <v>Constants - Fuel</v>
      </c>
      <c r="D45" s="153" t="str">
        <v>EF_N2Oi</v>
      </c>
      <c r="E45" s="161" t="str">
        <v>emission factor for direct nitrous oxide emissions from organic fertiliser applied to soils and aquatic systems in climate zone i</v>
      </c>
      <c r="F45" s="162"/>
      <c r="G45" s="162"/>
      <c r="H45" s="163"/>
      <c r="I45" s="153" t="str">
        <v>kg N2O-N/kg N</v>
      </c>
      <c r="J45" s="135" t="str">
        <v>Lookup</v>
      </c>
      <c r="K45" s="15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Scope 3'!A1", "Constants - Scope 3")</f>
        <v>Constants - Scope 3</v>
      </c>
      <c r="D46" s="153" t="str">
        <v>C_N2O</v>
      </c>
      <c r="E46" s="161" t="str">
        <v>factor to convert elemental mass of nitrous oxide to molecular mass</v>
      </c>
      <c r="F46" s="162"/>
      <c r="G46" s="162"/>
      <c r="H46" s="163"/>
      <c r="I46" s="153" t="str">
        <v/>
      </c>
      <c r="J46" s="135" t="str">
        <v>Constant</v>
      </c>
      <c r="K46" s="131">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Common'!A1", "Constants - Common")</f>
        <v>Constants - Common</v>
      </c>
      <c r="D47" s="153" t="str">
        <v>j</v>
      </c>
      <c r="E47" s="161" t="str">
        <v>Production system</v>
      </c>
      <c r="F47" s="162"/>
      <c r="G47" s="162"/>
      <c r="H47" s="163"/>
      <c r="I47" s="153" t="str">
        <v/>
      </c>
      <c r="J47" s="134" t="str">
        <v>Input</v>
      </c>
      <c r="K47" s="153" t="str">
        <f>X_Cell_Fertiliser_ProductionSystem</f>
        <v>Crop</v>
      </c>
    </row>
    <row r="48" spans="1:12" ht="20.100000000000001" customHeight="1" x14ac:dyDescent="0.25">
      <c r="A48" s="5" t="str">
        <f>HYPERLINK("#'Constants - Solid Waste'!A1", "Constants - Solid Waste")</f>
        <v>Constants - Solid Waste</v>
      </c>
      <c r="D48" s="153" t="str">
        <v>i</v>
      </c>
      <c r="E48" s="161" t="str">
        <v>Wet or dry climate zone</v>
      </c>
      <c r="F48" s="162"/>
      <c r="G48" s="162"/>
      <c r="H48" s="163"/>
      <c r="I48" s="153" t="str">
        <v/>
      </c>
      <c r="J48" s="134" t="str">
        <v>Input</v>
      </c>
      <c r="K48" s="153" t="str">
        <f>X_Cell_Site_WetOrDryClimateZone</f>
        <v>Dry climate zone</v>
      </c>
    </row>
    <row r="49" spans="4:7" ht="20.100000000000001" customHeight="1" x14ac:dyDescent="0.25"/>
    <row r="50" spans="4:7" ht="20.100000000000001" customHeight="1" x14ac:dyDescent="0.25">
      <c r="D50" s="148" t="s">
        <v>286</v>
      </c>
      <c r="E50" s="149" cm="1">
        <f t="array" ref="E50">Fertiliser_Equations_OrganicN2O.VEERG_5_2_1_1__1_OrganicFertiliserApplicationN2OEmissions(K44,K45,K46)</f>
        <v>5.5785714285714293E-3</v>
      </c>
      <c r="F50" s="150" t="str">
        <f>$E$42</f>
        <v>t N2O</v>
      </c>
    </row>
    <row r="51" spans="4:7" ht="20.100000000000001" customHeight="1" x14ac:dyDescent="0.25"/>
    <row r="52" spans="4:7" ht="20.100000000000001" customHeight="1" x14ac:dyDescent="0.25">
      <c r="D52" s="131" t="str" cm="1">
        <f t="array" ref="D52:E53">Common_Equations.Common_ConvertN2OToCO2e_Arguments()</f>
        <v>EN2O</v>
      </c>
      <c r="E52" s="132" t="str">
        <v>Nitrous oxide emissions (t N2O)</v>
      </c>
      <c r="F52" s="151"/>
      <c r="G52" s="25">
        <f>E50</f>
        <v>5.5785714285714293E-3</v>
      </c>
    </row>
    <row r="53" spans="4:7" ht="20.100000000000001" customHeight="1" x14ac:dyDescent="0.25">
      <c r="D53" s="131" t="str">
        <v>GWPN2O</v>
      </c>
      <c r="E53" s="132" t="str">
        <v>Global warming potential for nitrous oxide (t CO2-e / t N2O)</v>
      </c>
      <c r="F53" s="151"/>
      <c r="G53" s="25">
        <f>Common_InputFunctions.Utility_LookupValueInTableNumber("N2O",Table_GWPData[Gas],Table_GWPData[CO2-e factor])</f>
        <v>265</v>
      </c>
    </row>
    <row r="54" spans="4:7" ht="20.100000000000001" customHeight="1" x14ac:dyDescent="0.25"/>
    <row r="55" spans="4:7" ht="20.100000000000001" customHeight="1" x14ac:dyDescent="0.25">
      <c r="D55" s="145" t="s">
        <v>287</v>
      </c>
      <c r="E55" s="145" cm="1">
        <f t="array" ref="E55">Common_Equations.Common_ConvertN2OToCO2e(G52,G53)</f>
        <v>1.4783214285714288</v>
      </c>
      <c r="F55" s="152"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9CFD-16E3-4BF6-AB9F-FEABAA772BC7}">
  <dimension ref="A1:U165"/>
  <sheetViews>
    <sheetView showGridLines="0" topLeftCell="A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305</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0" t="s">
        <v>255</v>
      </c>
      <c r="E7" s="13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20">_xlfn.CHOOSECOLS(Fertiliser_Equations_Lime.VEERG_5_3_1_1__1_LimeApplicationCO2Emissions_Arguments(), 1, 2)</f>
        <v>M_lime</v>
      </c>
      <c r="E13" s="161" t="str">
        <v>total mass of lime applied to production system</v>
      </c>
      <c r="F13" s="163"/>
      <c r="G13" s="153" t="str" cm="1">
        <f t="array" ref="G13:H20">_xlfn.CHOOSECOLS(Fertiliser_Equations_Lime.VEERG_5_3_1_1__1_LimeApplicationCO2Emissions_Arguments(), 3,4)</f>
        <v>kg</v>
      </c>
      <c r="H13" s="134" t="str">
        <v>Input</v>
      </c>
      <c r="I13" s="138" t="str" cm="1">
        <f t="array" aca="1" ref="I13" ca="1">HYPERLINK(Common_InputFunctions.Utility_SourceHyperlink($D$22), $D$22)</f>
        <v>Table_E_lime</v>
      </c>
    </row>
    <row r="14" spans="1:21" ht="20.100000000000001" customHeight="1" x14ac:dyDescent="0.25">
      <c r="A14" s="5" t="str">
        <f>HYPERLINK("#'Input - Fuel'!A1", "Fuel")</f>
        <v>Fuel</v>
      </c>
      <c r="D14" s="153" t="str">
        <v>FracLime</v>
      </c>
      <c r="E14" s="161" t="str">
        <v>fraction of lime as limestone (CaCO3)</v>
      </c>
      <c r="F14" s="163"/>
      <c r="G14" s="153" t="str">
        <v>fraction</v>
      </c>
      <c r="H14" s="134" t="str">
        <v>Input</v>
      </c>
      <c r="I14" s="138" t="str" cm="1">
        <f t="array" aca="1" ref="I14" ca="1">HYPERLINK(Common_InputFunctions.Utility_SourceHyperlink($D$22), $D$22)</f>
        <v>Table_E_lime</v>
      </c>
    </row>
    <row r="15" spans="1:21" ht="20.100000000000001" customHeight="1" x14ac:dyDescent="0.25">
      <c r="A15" s="5" t="str">
        <f>HYPERLINK("#'Input - Electricity'!A1", "Electricity")</f>
        <v>Electricity</v>
      </c>
      <c r="D15" s="153" t="str">
        <v>P_lime</v>
      </c>
      <c r="E15" s="161" t="str">
        <v>fractional purity of limestone</v>
      </c>
      <c r="F15" s="163"/>
      <c r="G15" s="153" t="str">
        <v>fraction</v>
      </c>
      <c r="H15" s="135" t="str">
        <v>Constant</v>
      </c>
      <c r="I15" s="153">
        <f>'Constants - Fertiliser'!$E$66</f>
        <v>0.9</v>
      </c>
    </row>
    <row r="16" spans="1:21" ht="20.100000000000001" customHeight="1" x14ac:dyDescent="0.25">
      <c r="A16" s="5" t="str">
        <f>HYPERLINK("#'Input - Farm Inputs'!A1", "Farm Inputs")</f>
        <v>Farm Inputs</v>
      </c>
      <c r="D16" s="153" t="str">
        <v>EF_lime</v>
      </c>
      <c r="E16" s="161" t="str">
        <v>emission factor for limestone fraction of lime</v>
      </c>
      <c r="F16" s="163"/>
      <c r="G16" s="153" t="str">
        <v>kg C/kg</v>
      </c>
      <c r="H16" s="135" t="str">
        <v>Constant</v>
      </c>
      <c r="I16" s="153">
        <f>'Constants - Fertiliser'!$F$66</f>
        <v>0.12</v>
      </c>
    </row>
    <row r="17" spans="1:9" ht="20.100000000000001" customHeight="1" x14ac:dyDescent="0.25">
      <c r="A17" s="5" t="str">
        <f>HYPERLINK("#'Input - Freight'!A1", "Freight")</f>
        <v>Freight</v>
      </c>
      <c r="D17" s="153" t="str">
        <v>FracDol</v>
      </c>
      <c r="E17" s="161" t="str">
        <v>fraction of lime as dolomite</v>
      </c>
      <c r="F17" s="163"/>
      <c r="G17" s="153" t="str">
        <v>fraction</v>
      </c>
      <c r="H17" s="134" t="str">
        <v>Input</v>
      </c>
      <c r="I17" s="138" t="str" cm="1">
        <f t="array" aca="1" ref="I17" ca="1">HYPERLINK(Common_InputFunctions.Utility_SourceHyperlink($D$22), $D$22)</f>
        <v>Table_E_lime</v>
      </c>
    </row>
    <row r="18" spans="1:9" ht="20.100000000000001" customHeight="1" x14ac:dyDescent="0.25">
      <c r="A18" s="5" t="str">
        <f>HYPERLINK("#'Input - Manure sent off-site'!A1", "Manure sent off-site")</f>
        <v>Manure sent off-site</v>
      </c>
      <c r="D18" s="153" t="str">
        <v>P_dol</v>
      </c>
      <c r="E18" s="161" t="str">
        <v>fractional purity of dolomite</v>
      </c>
      <c r="F18" s="163"/>
      <c r="G18" s="153" t="str">
        <v>fraction</v>
      </c>
      <c r="H18" s="135" t="str">
        <v>Constant</v>
      </c>
      <c r="I18" s="153">
        <f>'Constants - Fertiliser'!$E$67</f>
        <v>0.95</v>
      </c>
    </row>
    <row r="19" spans="1:9" ht="20.100000000000001" customHeight="1" x14ac:dyDescent="0.25">
      <c r="A19" s="5" t="str">
        <f>HYPERLINK("#'Input - Solid waste'!A1", "Solid waste")</f>
        <v>Solid waste</v>
      </c>
      <c r="D19" s="153" t="str">
        <v>EF_dol</v>
      </c>
      <c r="E19" s="161" t="str">
        <v>emission factor for dolomite fraction of lime</v>
      </c>
      <c r="F19" s="163"/>
      <c r="G19" s="153" t="str">
        <v>kg C/kg</v>
      </c>
      <c r="H19" s="135" t="str">
        <v>Constant</v>
      </c>
      <c r="I19" s="153">
        <f>'Constants - Fertiliser'!$F$67</f>
        <v>0.13</v>
      </c>
    </row>
    <row r="20" spans="1:9" ht="20.100000000000001" customHeight="1" x14ac:dyDescent="0.25">
      <c r="D20" s="153" t="str">
        <v>C_CO2</v>
      </c>
      <c r="E20" s="161" t="str">
        <v>factor to convert elemental mass of carbon dioxide to molecular mass</v>
      </c>
      <c r="F20" s="163"/>
      <c r="G20" s="153" t="str">
        <v/>
      </c>
      <c r="H20" s="135" t="str">
        <v>Constant</v>
      </c>
      <c r="I20" s="131">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6" t="s">
        <v>2</v>
      </c>
      <c r="D22" s="141" t="s">
        <v>306</v>
      </c>
    </row>
    <row r="23" spans="1:9" ht="20.100000000000001" customHeight="1" x14ac:dyDescent="0.25">
      <c r="A23" s="5" t="str">
        <f>HYPERLINK("#'5.1.1.1-2 Inorganic fert N2O'!A1", "5.1.1.1-2 Inorganic fert N2O")</f>
        <v>5.1.1.1-2 Inorganic fert N2O</v>
      </c>
      <c r="D23" s="142" t="s">
        <v>307</v>
      </c>
    </row>
    <row r="24" spans="1:9" ht="20.100000000000001" customHeight="1" x14ac:dyDescent="0.25">
      <c r="A24" s="5" t="str">
        <f>HYPERLINK("#'5.1.1.3-4 Inorganic fert CO2'!A1", "5.1.1.3-4 Inorganic fert CO2")</f>
        <v>5.1.1.3-4 Inorganic fert CO2</v>
      </c>
      <c r="D24" s="144" t="s">
        <v>308</v>
      </c>
      <c r="E24" s="144" t="s">
        <v>309</v>
      </c>
      <c r="F24" s="144" t="s">
        <v>310</v>
      </c>
      <c r="G24" s="144" t="s">
        <v>311</v>
      </c>
      <c r="H24" s="143" t="s">
        <v>312</v>
      </c>
    </row>
    <row r="25" spans="1:9" ht="20.100000000000001" customHeight="1" x14ac:dyDescent="0.25">
      <c r="A25" s="5" t="str">
        <f>HYPERLINK("#'5.2.1.1-2 Organic Fert N2O'!A1", "5.2.1.1-2 Organic fert N2O")</f>
        <v>5.2.1.1-2 Organic fert N2O</v>
      </c>
      <c r="D25" s="25" t="str" cm="1">
        <f t="array" ref="D25:D27">Table_Input_Lime[Product]</f>
        <v>Lime product 1</v>
      </c>
      <c r="E25" s="164" cm="1">
        <f t="array" ref="E25:E27">Table_Input_Lime[Total amount applied (t)]*10^3</f>
        <v>100000</v>
      </c>
      <c r="F25" s="165" cm="1">
        <f t="array" ref="F25:F27">Table_Input_Lime[Percent Lime CaCO3]</f>
        <v>0.8</v>
      </c>
      <c r="G25" s="165"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139" t="str">
        <f>HYPERLINK("#'5.3.1.1-2 Lime CO2'!A1", "5.3.1.1-2 Lime CO2")</f>
        <v>5.3.1.1-2 Lime CO2</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5" t="str">
        <f>HYPERLINK("#'5.4.1.1-4 Atmos deposition'!A1", "5.4.1.1-4 Atmos. deposition")</f>
        <v>5.4.1.1-4 Atmos. deposition</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HYPERLINK("#'5.5.1.1-2 Leaching and runoff'!A1", "5.5.1.1-2 Leaching &amp; runoff")</f>
        <v>5.5.1.1-2 Leaching &amp; runoff</v>
      </c>
      <c r="D28" s="25"/>
      <c r="E28" s="25"/>
      <c r="F28" s="25"/>
      <c r="G28" s="25"/>
      <c r="H28" s="25" cm="1">
        <f t="array" ref="H28">Fertiliser_Equations_Lime.VEERG_5_3_1_1__1_LimeApplicationCO2Emissions(E28,F28,$I$15,$I$16,G28,$I$18,$I$19,$I$20)</f>
        <v>0</v>
      </c>
    </row>
    <row r="29" spans="1:9" ht="20.100000000000001" customHeight="1" x14ac:dyDescent="0.25">
      <c r="A29" s="5" t="str">
        <f>HYPERLINK("#'6.1.1.1-2 Crop residue N2O'!A1", "6.1.1.1-2 Crop residue N2O")</f>
        <v>6.1.1.1-2 Crop residue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HYPERLINK("#'6.3.1.1-2 Leach runoff crop'!A1", "6.3.1.1-2 Leach &amp; runoff (crop)")</f>
        <v>6.3.1.1-2 Leach &amp; runoff (crop)</v>
      </c>
    </row>
    <row r="31" spans="1:9" ht="20.100000000000001" customHeight="1" x14ac:dyDescent="0.25">
      <c r="A31" s="5" t="str">
        <f>HYPERLINK("#'6.4.1.1-2 Residue burning'!A1", "6.4.1.1-2 Residue burning")</f>
        <v>6.4.1.1-2 Residue burning</v>
      </c>
      <c r="D31" s="148" t="s">
        <v>313</v>
      </c>
      <c r="E31" s="149">
        <f>SUM(H25:H29)</f>
        <v>75.808333333333337</v>
      </c>
      <c r="F31" s="166" t="s">
        <v>131</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5"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397AB-3277-41FE-ACD0-B53A70455748}">
  <dimension ref="A1:U165"/>
  <sheetViews>
    <sheetView showGridLines="0" topLeftCell="A10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314</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0" t="s">
        <v>255</v>
      </c>
      <c r="E7" s="13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4">_xlfn.CHOOSECOLS(Fertiliser_Equations_AtmosphericDeposition.VEERG_5_4_1_1__2_MassOfNitrogenVolatilisedFromInorganicFertiliser_Arguments(), 1, 2)</f>
        <v>MN_jf</v>
      </c>
      <c r="E13" s="161" t="str">
        <v>mass of nitrogen in inorganic fertiliser applied</v>
      </c>
      <c r="F13" s="163"/>
      <c r="G13" s="153" t="str" cm="1">
        <f t="array" ref="G13:H14">_xlfn.CHOOSECOLS(Fertiliser_Equations_AtmosphericDeposition.VEERG_5_4_1_1__2_MassOfNitrogenVolatilisedFromInorganicFertiliser_Arguments(), 3,4)</f>
        <v>kg N</v>
      </c>
      <c r="H13" s="135" t="str">
        <v>Calculated from 5.1.1.1 (2)</v>
      </c>
      <c r="I13" s="138" t="str" cm="1">
        <f t="array" aca="1" ref="I13" ca="1">HYPERLINK(Common_InputFunctions.Utility_SourceHyperlink($D$16),$D$16)</f>
        <v>Table_M_vol_inorganic_j_f</v>
      </c>
    </row>
    <row r="14" spans="1:21" ht="20.100000000000001" customHeight="1" x14ac:dyDescent="0.25">
      <c r="A14" s="5" t="str">
        <f>HYPERLINK("#'Input - Fuel'!A1", "Fuel")</f>
        <v>Fuel</v>
      </c>
      <c r="D14" s="153" t="str">
        <v>FracGASF_f</v>
      </c>
      <c r="E14" s="161" t="str">
        <v>fraction of inorganic fertiliser that volatilises</v>
      </c>
      <c r="F14" s="163"/>
      <c r="G14" s="153" t="str">
        <v>(kg NH3-N + NOx-N)/kg N</v>
      </c>
      <c r="H14" s="135" t="str">
        <v>Constant</v>
      </c>
      <c r="I14" s="138"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315</v>
      </c>
    </row>
    <row r="17" spans="1:8" ht="20.100000000000001" customHeight="1" x14ac:dyDescent="0.25">
      <c r="A17" s="5" t="str">
        <f>HYPERLINK("#'Input - Freight'!A1", "Freight")</f>
        <v>Freight</v>
      </c>
      <c r="D17" s="142" t="s">
        <v>316</v>
      </c>
    </row>
    <row r="18" spans="1:8" ht="20.100000000000001" customHeight="1" x14ac:dyDescent="0.25">
      <c r="A18" s="5" t="str">
        <f>HYPERLINK("#'Input - Manure sent off-site'!A1", "Manure sent off-site")</f>
        <v>Manure sent off-site</v>
      </c>
      <c r="D18" s="143" t="s">
        <v>317</v>
      </c>
      <c r="E18" s="143" t="s">
        <v>318</v>
      </c>
      <c r="F18" s="143" t="s">
        <v>319</v>
      </c>
      <c r="G18" s="167" t="s">
        <v>320</v>
      </c>
      <c r="H18" s="167" t="s">
        <v>321</v>
      </c>
    </row>
    <row r="19" spans="1:8" ht="20.100000000000001" customHeight="1" x14ac:dyDescent="0.25">
      <c r="A19" s="5" t="str">
        <f>HYPERLINK("#'Input - Solid waste'!A1", "Solid waste")</f>
        <v>Solid waste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6" t="s">
        <v>2</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HYPERLINK("#'5.1.1.1-2 Inorganic fert N2O'!A1", "5.1.1.1-2 Inorganic fert N2O")</f>
        <v>5.1.1.1-2 Inorganic fert N2O</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HYPERLINK("#'5.1.1.3-4 Inorganic fert CO2'!A1", "5.1.1.3-4 Inorganic fert CO2")</f>
        <v>5.1.1.3-4 Inorganic fert CO2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HYPERLINK("#'5.2.1.1-2 Organic Fert N2O'!A1", "5.2.1.1-2 Organic fert N2O")</f>
        <v>5.2.1.1-2 Organic fert N2O</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HYPERLINK("#'5.3.1.1-2 Lime CO2'!A1", "5.3.1.1-2 Lime CO2")</f>
        <v>5.3.1.1-2 Lime CO2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139" t="str">
        <f>HYPERLINK("#'5.4.1.1-4 Atmos deposition'!A1", "5.4.1.1-4 Atmos. deposition")</f>
        <v>5.4.1.1-4 Atmos. deposition</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HYPERLINK("#'5.5.1.1-2 Leaching and runoff'!A1", "5.5.1.1-2 Leaching &amp; runoff")</f>
        <v>5.5.1.1-2 Leaching &amp; runoff</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HYPERLINK("#'6.1.1.1-2 Crop residue N2O'!A1", "6.1.1.1-2 Crop residue N2O")</f>
        <v>6.1.1.1-2 Crop residue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HYPERLINK("#'6.3.1.1-2 Leach runoff crop'!A1", "6.3.1.1-2 Leach &amp; runoff (crop)")</f>
        <v>6.3.1.1-2 Leach &amp; runoff (crop)</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HYPERLINK("#'6.4.1.1-2 Residue burning'!A1", "6.4.1.1-2 Residue burning")</f>
        <v>6.4.1.1-2 Residue burning</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HYPERLINK("#'15 Scope 3'!A1", "15 Scope 3")</f>
        <v>15 Scope 3</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HYPERLINK("#'Calcs - Manure sent off-site'!A1", "Calcs - Manure sent off-site")</f>
        <v>Calcs - Manure sent off-site</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5" t="str">
        <f>HYPERLINK("#'10.1.1-2 Solid waste treatment'!A1", "10.1.1-2 Solid waste treatment")</f>
        <v>10.1.1-2 Solid waste treatment</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A40" s="119" t="s">
        <v>1</v>
      </c>
      <c r="C40" s="160"/>
      <c r="D40" s="160"/>
      <c r="E40" s="160"/>
      <c r="F40" s="160"/>
      <c r="G40" s="160"/>
      <c r="H40" s="160"/>
      <c r="I40" s="160"/>
      <c r="J40" s="160"/>
      <c r="K40" s="160"/>
      <c r="L40" s="160"/>
    </row>
    <row r="41" spans="1:12" ht="20.100000000000001" customHeight="1" x14ac:dyDescent="0.25">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Common Livestock'!A1", "Constants - Common Livestock")</f>
        <v>Constants - Common Livestock</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Common'!A1", "Constants - Common")</f>
        <v>Constants - Common</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Solid Waste'!A1", "Constants - Solid Waste")</f>
        <v>Constants - Solid Waste</v>
      </c>
    </row>
    <row r="49" spans="4:10" ht="20.100000000000001" customHeight="1" x14ac:dyDescent="0.25">
      <c r="D49" s="153" t="str" cm="1">
        <f t="array" ref="D49:E54">_xlfn.CHOOSECOLS(Fertiliser_Equations_AtmosphericDeposition.VEERG_5_4_1_1__1_InorganicFertiliserAtmosphericDepositionN2OEmissions_Arguments(), 1, 2)</f>
        <v>M_volinorganicjf</v>
      </c>
      <c r="E49" s="161" t="str">
        <v>mass of nitrogen volatilised from inorganic fertiliser applied to production system</v>
      </c>
      <c r="F49" s="162"/>
      <c r="G49" s="163"/>
      <c r="H49" s="153" t="str" cm="1">
        <f t="array" ref="H49:I54">_xlfn.CHOOSECOLS(Fertiliser_Equations_AtmosphericDeposition.VEERG_5_4_1_1__1_InorganicFertiliserAtmosphericDepositionN2OEmissions_Arguments(), 3,4)</f>
        <v>kg N</v>
      </c>
      <c r="I49" s="135" t="str">
        <v>Calculated from 5.4.1.1 (2)</v>
      </c>
      <c r="J49" s="138" t="str" cm="1">
        <f t="array" aca="1" ref="J49" ca="1">HYPERLINK(Common_InputFunctions.Utility_SourceHyperlink($D$16),$D$16)</f>
        <v>Table_M_vol_inorganic_j_f</v>
      </c>
    </row>
    <row r="50" spans="4:10" ht="20.100000000000001" customHeight="1" x14ac:dyDescent="0.25">
      <c r="D50" s="153" t="str">
        <v>EF_N2Oj</v>
      </c>
      <c r="E50" s="161" t="str">
        <v>emission factor for atmospheric deposition</v>
      </c>
      <c r="F50" s="162"/>
      <c r="G50" s="163"/>
      <c r="H50" s="153" t="str">
        <v>kg N2O-N/kg N</v>
      </c>
      <c r="I50" s="135" t="str">
        <v>Constant</v>
      </c>
      <c r="J50" s="1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53" t="str">
        <v>C_N2O</v>
      </c>
      <c r="E51" s="161" t="str">
        <v>factor to convert elemental mass of nitrous oxide to molecular mass</v>
      </c>
      <c r="F51" s="162"/>
      <c r="G51" s="163"/>
      <c r="H51" s="153" t="str">
        <v/>
      </c>
      <c r="I51" s="135" t="str">
        <v>Constant</v>
      </c>
      <c r="J51" s="131">
        <f>Common_InputFunctions.Utility_LookupValueInTableNumber("N2O",Table_GasToMolecularConversionFactor[Gas],Table_GasToMolecularConversionFactor[Conversion factor combined])</f>
        <v>1.5714285714285714</v>
      </c>
    </row>
    <row r="52" spans="4:10" ht="20.100000000000001" customHeight="1" x14ac:dyDescent="0.25">
      <c r="D52" s="153" t="str">
        <v>j</v>
      </c>
      <c r="E52" s="161" t="str">
        <v>Production system</v>
      </c>
      <c r="F52" s="162"/>
      <c r="G52" s="163"/>
      <c r="H52" s="153" t="str">
        <v/>
      </c>
      <c r="I52" s="134" t="str">
        <v>Input</v>
      </c>
      <c r="J52" s="153" t="str">
        <f>X_Cell_Fertiliser_ProductionSystem</f>
        <v>Crop</v>
      </c>
    </row>
    <row r="53" spans="4:10" ht="20.100000000000001" customHeight="1" x14ac:dyDescent="0.25">
      <c r="D53" s="153" t="str">
        <v>ir</v>
      </c>
      <c r="E53" s="161" t="str">
        <v>irrigation method</v>
      </c>
      <c r="F53" s="162"/>
      <c r="G53" s="163"/>
      <c r="H53" s="153" t="str">
        <v/>
      </c>
      <c r="I53" s="134" t="str">
        <v>Input</v>
      </c>
      <c r="J53" s="153" t="str">
        <f>X_Cell_Fertiliser_IrrigationMethod</f>
        <v>Sprinkler irrigation</v>
      </c>
    </row>
    <row r="54" spans="4:10" ht="20.100000000000001" customHeight="1" x14ac:dyDescent="0.25">
      <c r="D54" s="153" t="str">
        <v>r</v>
      </c>
      <c r="E54" s="161" t="str">
        <v>rainfall region</v>
      </c>
      <c r="F54" s="162"/>
      <c r="G54" s="163"/>
      <c r="H54" s="153" t="str">
        <v/>
      </c>
      <c r="I54" s="134" t="str">
        <v>Input</v>
      </c>
      <c r="J54" s="153" t="str">
        <f>X_Cell_Site_RainfallZone</f>
        <v>High rainfall</v>
      </c>
    </row>
    <row r="55" spans="4:10" ht="20.100000000000001" customHeight="1" x14ac:dyDescent="0.25"/>
    <row r="56" spans="4:10" ht="20.100000000000001" customHeight="1" x14ac:dyDescent="0.25">
      <c r="D56" s="141" t="s">
        <v>322</v>
      </c>
    </row>
    <row r="57" spans="4:10" ht="20.100000000000001" customHeight="1" x14ac:dyDescent="0.25">
      <c r="D57" s="142" t="s">
        <v>323</v>
      </c>
    </row>
    <row r="58" spans="4:10" ht="20.100000000000001" customHeight="1" x14ac:dyDescent="0.25">
      <c r="D58" s="143" t="s">
        <v>317</v>
      </c>
      <c r="E58" s="167" t="s">
        <v>321</v>
      </c>
      <c r="F58" s="167" t="s">
        <v>324</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48" t="s">
        <v>325</v>
      </c>
      <c r="E79" s="149">
        <f>SUM(F59:F77)</f>
        <v>1.4052830000000001E-2</v>
      </c>
      <c r="F79" s="150" t="str">
        <f>$E$47</f>
        <v>t N2O</v>
      </c>
    </row>
    <row r="80" spans="4:6" ht="20.100000000000001" customHeight="1" x14ac:dyDescent="0.25"/>
    <row r="81" spans="3:12" ht="20.100000000000001" customHeight="1" x14ac:dyDescent="0.25">
      <c r="D81" s="131" t="str" cm="1">
        <f t="array" ref="D81:E82">Common_Equations.Common_ConvertN2OToCO2e_Arguments()</f>
        <v>EN2O</v>
      </c>
      <c r="E81" s="132" t="str">
        <v>Nitrous oxide emissions (t N2O)</v>
      </c>
      <c r="F81" s="151"/>
      <c r="G81" s="25">
        <f>E79</f>
        <v>1.4052830000000001E-2</v>
      </c>
    </row>
    <row r="82" spans="3:12" ht="20.100000000000001" customHeight="1" x14ac:dyDescent="0.25">
      <c r="D82" s="131" t="str">
        <v>GWPN2O</v>
      </c>
      <c r="E82" s="132" t="str">
        <v>Global warming potential for nitrous oxide (t CO2-e / t N2O)</v>
      </c>
      <c r="F82" s="151"/>
      <c r="G82" s="25">
        <f>Common_InputFunctions.Utility_LookupValueInTableNumber("N2O",Table_GWPData[Gas],Table_GWPData[CO2-e factor])</f>
        <v>265</v>
      </c>
    </row>
    <row r="83" spans="3:12" ht="20.100000000000001" customHeight="1" x14ac:dyDescent="0.25"/>
    <row r="84" spans="3:12" ht="20.100000000000001" customHeight="1" x14ac:dyDescent="0.25">
      <c r="D84" s="145" t="s">
        <v>287</v>
      </c>
      <c r="E84" s="145" cm="1">
        <f t="array" ref="E84">Common_Equations.Common_ConvertN2OToCO2e(G81,G82)</f>
        <v>3.7239999500000001</v>
      </c>
      <c r="F84" s="15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0"/>
      <c r="D87" s="160"/>
      <c r="E87" s="160"/>
      <c r="F87" s="160"/>
      <c r="G87" s="160"/>
      <c r="H87" s="160"/>
      <c r="I87" s="160"/>
      <c r="J87" s="160"/>
      <c r="K87" s="160"/>
      <c r="L87" s="16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0" t="s">
        <v>255</v>
      </c>
      <c r="E90" s="13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256</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3" t="str" cm="1">
        <f t="array" ref="D96:E97">_xlfn.CHOOSECOLS(Fertiliser_Equations_AtmosphericDeposition.VEERG_5_4_1_3__2_MassOfNitrogenVolatilisedFromOrganicFertiliser_Arguments(), 1, 2)</f>
        <v>MNSoil_jf</v>
      </c>
      <c r="E96" s="153" t="str">
        <v>mass of nitrogen in organic fertiliser type f applied to production system j</v>
      </c>
      <c r="F96" s="153"/>
      <c r="G96" s="153" t="str" cm="1">
        <f t="array" ref="G96:H97">_xlfn.CHOOSECOLS(Fertiliser_Equations_AtmosphericDeposition.VEERG_5_4_1_3__2_MassOfNitrogenVolatilisedFromOrganicFertiliser_Arguments(), 3,4)</f>
        <v>kg N</v>
      </c>
      <c r="H96" s="135" t="str">
        <v>Calculated from 5.2.1.1 (2)</v>
      </c>
      <c r="I96" s="138" t="str" cm="1">
        <f t="array" aca="1" ref="I96" ca="1">HYPERLINK(Common_InputFunctions.Utility_SourceHyperlink($D$99), $D$99)</f>
        <v>Table_M_vol_organic_j_f</v>
      </c>
    </row>
    <row r="97" spans="4:9" ht="20.100000000000001" customHeight="1" x14ac:dyDescent="0.25">
      <c r="D97" s="153" t="str">
        <v>FracGASM_soil</v>
      </c>
      <c r="E97" s="153" t="str">
        <v>fraction of organic fertiliser N that volatilises</v>
      </c>
      <c r="F97" s="153"/>
      <c r="G97" s="153" t="str">
        <v>(kg NH3-N + NOx-N)/kg N</v>
      </c>
      <c r="H97" s="135" t="str">
        <v>Constant</v>
      </c>
      <c r="I97" s="153">
        <f>'Constants - Fertiliser'!$E$73</f>
        <v>0.21</v>
      </c>
    </row>
    <row r="98" spans="4:9" ht="20.100000000000001" customHeight="1" x14ac:dyDescent="0.25"/>
    <row r="99" spans="4:9" ht="20.100000000000001" customHeight="1" x14ac:dyDescent="0.25">
      <c r="D99" s="141" t="s">
        <v>326</v>
      </c>
    </row>
    <row r="100" spans="4:9" ht="20.100000000000001" customHeight="1" x14ac:dyDescent="0.25">
      <c r="D100" s="142" t="s">
        <v>327</v>
      </c>
    </row>
    <row r="101" spans="4:9" ht="20.100000000000001" customHeight="1" x14ac:dyDescent="0.25">
      <c r="D101" s="144" t="s">
        <v>299</v>
      </c>
      <c r="E101" s="154" t="s">
        <v>303</v>
      </c>
      <c r="F101" s="154" t="s">
        <v>328</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0"/>
      <c r="D115" s="160"/>
      <c r="E115" s="160"/>
      <c r="F115" s="160"/>
      <c r="G115" s="160"/>
      <c r="H115" s="160"/>
      <c r="I115" s="160"/>
      <c r="J115" s="160"/>
      <c r="K115" s="160"/>
      <c r="L115" s="16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0" t="s">
        <v>255</v>
      </c>
      <c r="E118" s="13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256</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3" t="str" cm="1">
        <f t="array" ref="D124:E129">_xlfn.CHOOSECOLS(Fertiliser_Equations_AtmosphericDeposition.VEERG_5_4_1_3__1_OrganicFertiliserAtmosphericDepositionN2OEmissions_Arguments(), 1, 2)</f>
        <v>M_volorganicjf</v>
      </c>
      <c r="E124" s="161" t="str">
        <v>mass of nitrogen volatilised from organic fertiliser applied to production system</v>
      </c>
      <c r="F124" s="163"/>
      <c r="G124" s="153" t="str" cm="1">
        <f t="array" ref="G124:H129">_xlfn.CHOOSECOLS(Fertiliser_Equations_AtmosphericDeposition.VEERG_5_4_1_3__1_OrganicFertiliserAtmosphericDepositionN2OEmissions_Arguments(), 3,4)</f>
        <v>kg N</v>
      </c>
      <c r="H124" s="135" t="str">
        <v>Calculated from 5.4.1.3 (2)</v>
      </c>
      <c r="I124" s="138" t="str" cm="1">
        <f t="array" aca="1" ref="I124" ca="1">HYPERLINK(Common_InputFunctions.Utility_SourceHyperlink($D$99), $D$99)</f>
        <v>Table_M_vol_organic_j_f</v>
      </c>
    </row>
    <row r="125" spans="3:12" ht="20.100000000000001" customHeight="1" x14ac:dyDescent="0.25">
      <c r="D125" s="153" t="str">
        <v>EF_N2Oj</v>
      </c>
      <c r="E125" s="161" t="str">
        <v>emission factor for atmospheric deposition in production system j</v>
      </c>
      <c r="F125" s="163"/>
      <c r="G125" s="153" t="str">
        <v>kg N2O-N/kg N</v>
      </c>
      <c r="H125" s="135" t="str">
        <v>Constant</v>
      </c>
      <c r="I125" s="1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3" t="str">
        <v>C_N2O</v>
      </c>
      <c r="E126" s="161" t="str">
        <v>factor to convert elemental mass of nitrous oxide to molecular mass</v>
      </c>
      <c r="F126" s="163"/>
      <c r="G126" s="153" t="str">
        <v/>
      </c>
      <c r="H126" s="135" t="str">
        <v>Constant</v>
      </c>
      <c r="I126" s="131">
        <f>Common_InputFunctions.Utility_LookupValueInTableNumber("N2O",Table_GasToMolecularConversionFactor[Gas],Table_GasToMolecularConversionFactor[Conversion factor combined])</f>
        <v>1.5714285714285714</v>
      </c>
    </row>
    <row r="127" spans="3:12" ht="20.100000000000001" customHeight="1" x14ac:dyDescent="0.25">
      <c r="D127" s="153" t="str">
        <v>j</v>
      </c>
      <c r="E127" s="161" t="str">
        <v>Production system</v>
      </c>
      <c r="F127" s="163"/>
      <c r="G127" s="153" t="str">
        <v/>
      </c>
      <c r="H127" s="134" t="str">
        <v>Input</v>
      </c>
      <c r="I127" s="153" t="str">
        <f>X_Cell_Fertiliser_ProductionSystem</f>
        <v>Crop</v>
      </c>
    </row>
    <row r="128" spans="3:12" ht="20.100000000000001" customHeight="1" x14ac:dyDescent="0.25">
      <c r="D128" s="153" t="str">
        <v>ir</v>
      </c>
      <c r="E128" s="161" t="str">
        <v>irrigation method</v>
      </c>
      <c r="F128" s="163"/>
      <c r="G128" s="153" t="str">
        <v/>
      </c>
      <c r="H128" s="134" t="str">
        <v>Input</v>
      </c>
      <c r="I128" s="153" t="str">
        <f>X_Cell_Fertiliser_IrrigationMethod</f>
        <v>Sprinkler irrigation</v>
      </c>
    </row>
    <row r="129" spans="4:9" ht="20.100000000000001" customHeight="1" x14ac:dyDescent="0.25">
      <c r="D129" s="153" t="str">
        <v>r</v>
      </c>
      <c r="E129" s="161" t="str">
        <v>rainfall region</v>
      </c>
      <c r="F129" s="163"/>
      <c r="G129" s="153" t="str">
        <v/>
      </c>
      <c r="H129" s="134" t="str">
        <v>Input</v>
      </c>
      <c r="I129" s="153" t="str">
        <f>X_Cell_Site_RainfallZone</f>
        <v>High rainfall</v>
      </c>
    </row>
    <row r="130" spans="4:9" ht="20.100000000000001" customHeight="1" x14ac:dyDescent="0.25"/>
    <row r="131" spans="4:9" ht="20.100000000000001" customHeight="1" x14ac:dyDescent="0.25">
      <c r="D131" s="141" t="s">
        <v>329</v>
      </c>
    </row>
    <row r="132" spans="4:9" ht="20.100000000000001" customHeight="1" x14ac:dyDescent="0.25">
      <c r="D132" s="142" t="s">
        <v>330</v>
      </c>
    </row>
    <row r="133" spans="4:9" ht="20.100000000000001" customHeight="1" x14ac:dyDescent="0.25">
      <c r="D133" s="144" t="s">
        <v>299</v>
      </c>
      <c r="E133" s="154" t="s">
        <v>328</v>
      </c>
      <c r="F133" s="154" t="s">
        <v>331</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48" t="s">
        <v>332</v>
      </c>
      <c r="E146" s="149">
        <f>SUM(F134:F144)</f>
        <v>1.6401E-3</v>
      </c>
      <c r="F146" s="150" t="str">
        <f>$E$122</f>
        <v>t N2O</v>
      </c>
    </row>
    <row r="147" spans="4:7" ht="20.100000000000001" customHeight="1" x14ac:dyDescent="0.25"/>
    <row r="148" spans="4:7" ht="20.100000000000001" customHeight="1" x14ac:dyDescent="0.25">
      <c r="D148" s="131" t="str" cm="1">
        <f t="array" ref="D148:E149">Common_Equations.Common_ConvertN2OToCO2e_Arguments()</f>
        <v>EN2O</v>
      </c>
      <c r="E148" s="132" t="str">
        <v>Nitrous oxide emissions (t N2O)</v>
      </c>
      <c r="F148" s="151"/>
      <c r="G148" s="25">
        <f>E146</f>
        <v>1.6401E-3</v>
      </c>
    </row>
    <row r="149" spans="4:7" ht="20.100000000000001" customHeight="1" x14ac:dyDescent="0.25">
      <c r="D149" s="131" t="str">
        <v>GWPN2O</v>
      </c>
      <c r="E149" s="132" t="str">
        <v>Global warming potential for nitrous oxide (t CO2-e / t N2O)</v>
      </c>
      <c r="F149" s="151"/>
      <c r="G149" s="25">
        <f>Common_InputFunctions.Utility_LookupValueInTableNumber("N2O",Table_GWPData[Gas],Table_GWPData[CO2-e factor])</f>
        <v>265</v>
      </c>
    </row>
    <row r="150" spans="4:7" ht="20.100000000000001" customHeight="1" x14ac:dyDescent="0.25"/>
    <row r="151" spans="4:7" ht="20.100000000000001" customHeight="1" x14ac:dyDescent="0.25">
      <c r="D151" s="145" t="s">
        <v>287</v>
      </c>
      <c r="E151" s="145" cm="1">
        <f t="array" ref="E151">Common_Equations.Common_ConvertN2OToCO2e(G148,G149)</f>
        <v>0.43462650000000003</v>
      </c>
      <c r="F151" s="15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3B6F-71CC-48A0-8B2A-55DA7105DCBB}">
  <dimension ref="A1:T165"/>
  <sheetViews>
    <sheetView showGridLines="0" topLeftCell="A75"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333</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0" t="s">
        <v>255</v>
      </c>
      <c r="E7" s="13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256</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3" t="str" cm="1">
        <f t="array" ref="D13:E18">_xlfn.CHOOSECOLS(Fertiliser_Equations_LeachingAndRunoff.VEERG_5_5_1_1__2_MassOfNitrogenLeachedFromInorganicFertiliser_Arguments(), 1, 2)</f>
        <v>MN_jf</v>
      </c>
      <c r="E13" s="161" t="str">
        <v>mass of nitrogen in inorganic fertiliser</v>
      </c>
      <c r="F13" s="163"/>
      <c r="G13" s="153" t="str" cm="1">
        <f t="array" ref="G13:H18">_xlfn.CHOOSECOLS(Fertiliser_Equations_LeachingAndRunoff.VEERG_5_5_1_1__2_MassOfNitrogenLeachedFromInorganicFertiliser_Arguments(), 3,4)</f>
        <v>kg N</v>
      </c>
      <c r="H13" s="135" t="str">
        <v>Calculated from 5.1.1.1 (2)</v>
      </c>
      <c r="I13" s="138" t="str" cm="1">
        <f t="array" aca="1" ref="I13" ca="1">HYPERLINK(Common_InputFunctions.Utility_SourceHyperlink(D20), D20)</f>
        <v>Table_M_leach_inorganic_j</v>
      </c>
    </row>
    <row r="14" spans="1:20" ht="20.100000000000001" customHeight="1" x14ac:dyDescent="0.25">
      <c r="A14" s="5" t="str">
        <f>HYPERLINK("#'Input - Fuel'!A1", "Fuel")</f>
        <v>Fuel</v>
      </c>
      <c r="D14" s="153" t="str">
        <v>FracWETj</v>
      </c>
      <c r="E14" s="161" t="str">
        <v>fraction of N available for leaching and runoff</v>
      </c>
      <c r="F14" s="163"/>
      <c r="G14" s="153" t="str">
        <v>fraction</v>
      </c>
      <c r="H14" s="135" t="str">
        <v>Constant</v>
      </c>
      <c r="I14" s="153">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53" t="str">
        <v>FracLEACH</v>
      </c>
      <c r="E15" s="161" t="str">
        <v>fraction of N that is lost through leaching and runoff</v>
      </c>
      <c r="F15" s="163"/>
      <c r="G15" s="153" t="str">
        <v>fraction</v>
      </c>
      <c r="H15" s="135" t="str">
        <v>Constant</v>
      </c>
      <c r="I15" s="153">
        <f>'Constants - Fertiliser'!$E$78</f>
        <v>0.24</v>
      </c>
    </row>
    <row r="16" spans="1:20" ht="20.100000000000001" customHeight="1" x14ac:dyDescent="0.25">
      <c r="A16" s="5" t="str">
        <f>HYPERLINK("#'Input - Farm Inputs'!A1", "Farm Inputs")</f>
        <v>Farm Inputs</v>
      </c>
      <c r="D16" s="153" t="str">
        <v>z</v>
      </c>
      <c r="E16" s="161" t="str">
        <v>location in leaching zone</v>
      </c>
      <c r="F16" s="163"/>
      <c r="G16" s="153" t="str">
        <v/>
      </c>
      <c r="H16" s="134" t="str">
        <v>Input</v>
      </c>
      <c r="I16" s="153" t="str">
        <f>X_Cell_Site_LeachingZone</f>
        <v>NO - Not in leaching zone</v>
      </c>
    </row>
    <row r="17" spans="1:9" ht="20.100000000000001" customHeight="1" x14ac:dyDescent="0.25">
      <c r="A17" s="5" t="str">
        <f>HYPERLINK("#'Input - Freight'!A1", "Freight")</f>
        <v>Freight</v>
      </c>
      <c r="D17" s="153" t="str">
        <v>j</v>
      </c>
      <c r="E17" s="161" t="str">
        <v>production system</v>
      </c>
      <c r="F17" s="163"/>
      <c r="G17" s="153" t="str">
        <v/>
      </c>
      <c r="H17" s="134" t="str">
        <v>Input</v>
      </c>
      <c r="I17" s="153" t="str">
        <f>X_Cell_Fertiliser_ProductionSystem</f>
        <v>Crop</v>
      </c>
    </row>
    <row r="18" spans="1:9" ht="20.100000000000001" customHeight="1" x14ac:dyDescent="0.25">
      <c r="A18" s="5" t="str">
        <f>HYPERLINK("#'Input - Manure sent off-site'!A1", "Manure sent off-site")</f>
        <v>Manure sent off-site</v>
      </c>
      <c r="D18" s="153" t="str">
        <v>ir</v>
      </c>
      <c r="E18" s="161" t="str">
        <v>irrigation method</v>
      </c>
      <c r="F18" s="163"/>
      <c r="G18" s="153" t="str">
        <v/>
      </c>
      <c r="H18" s="134" t="str">
        <v>Input</v>
      </c>
      <c r="I18" s="153" t="str">
        <f>X_Cell_Fertiliser_IrrigationMethod</f>
        <v>Sprinkler irrigation</v>
      </c>
    </row>
    <row r="19" spans="1:9" ht="20.100000000000001" customHeight="1" x14ac:dyDescent="0.25">
      <c r="A19" s="5" t="str">
        <f>HYPERLINK("#'Input - Solid waste'!A1", "Solid waste")</f>
        <v>Solid waste</v>
      </c>
    </row>
    <row r="20" spans="1:9" ht="20.100000000000001" customHeight="1" x14ac:dyDescent="0.25">
      <c r="D20" s="141" t="s">
        <v>334</v>
      </c>
    </row>
    <row r="21" spans="1:9" ht="20.100000000000001" customHeight="1" x14ac:dyDescent="0.25">
      <c r="D21" s="142" t="s">
        <v>335</v>
      </c>
    </row>
    <row r="22" spans="1:9" ht="20.100000000000001" customHeight="1" x14ac:dyDescent="0.25">
      <c r="A22" s="6" t="s">
        <v>2</v>
      </c>
      <c r="D22" s="143" t="s">
        <v>260</v>
      </c>
      <c r="E22" s="143" t="s">
        <v>318</v>
      </c>
      <c r="F22" s="143" t="s">
        <v>336</v>
      </c>
    </row>
    <row r="23" spans="1:9" ht="20.100000000000001" customHeight="1" x14ac:dyDescent="0.25">
      <c r="A23" s="5" t="str">
        <f>HYPERLINK("#'5.1.1.1-2 Inorganic fert N2O'!A1", "5.1.1.1-2 Inorganic fert N2O")</f>
        <v>5.1.1.1-2 Inorganic fert N2O</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HYPERLINK("#'5.1.1.3-4 Inorganic fert CO2'!A1", "5.1.1.3-4 Inorganic fert CO2")</f>
        <v>5.1.1.3-4 Inorganic fert CO2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HYPERLINK("#'5.2.1.1-2 Organic Fert N2O'!A1", "5.2.1.1-2 Organic fert N2O")</f>
        <v>5.2.1.1-2 Organic fert N2O</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HYPERLINK("#'5.3.1.1-2 Lime CO2'!A1", "5.3.1.1-2 Lime CO2")</f>
        <v>5.3.1.1-2 Lime CO2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HYPERLINK("#'5.4.1.1-4 Atmos deposition'!A1", "5.4.1.1-4 Atmos. deposition")</f>
        <v>5.4.1.1-4 Atmos. deposition</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139" t="str">
        <f>HYPERLINK("#'5.5.1.1-2 Leaching and runoff'!A1", "5.5.1.1-2 Leaching &amp; runoff")</f>
        <v>5.5.1.1-2 Leaching &amp; runoff</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HYPERLINK("#'6.1.1.1-2 Crop residue N2O'!A1", "6.1.1.1-2 Crop residue N2O")</f>
        <v>6.1.1.1-2 Crop residue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HYPERLINK("#'6.3.1.1-2 Leach runoff crop'!A1", "6.3.1.1-2 Leach &amp; runoff (crop)")</f>
        <v>6.3.1.1-2 Leach &amp; runoff (crop)</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HYPERLINK("#'6.4.1.1-2 Residue burning'!A1", "6.4.1.1-2 Residue burning")</f>
        <v>6.4.1.1-2 Residue burning</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HYPERLINK("#'15 Scope 3'!A1", "15 Scope 3")</f>
        <v>15 Scope 3</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HYPERLINK("#'Calcs - Manure sent off-site'!A1", "Calcs - Manure sent off-site")</f>
        <v>Calcs - Manure sent off-site</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HYPERLINK("#'10.1.1-2 Solid waste treatment'!A1", "10.1.1-2 Solid waste treatment")</f>
        <v>10.1.1-2 Solid waste treatment</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119" t="s">
        <v>1</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Ag Residue'!A1", "Constants - Ag residue")</f>
        <v>Constants - Ag residue</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c r="D43" s="158" t="s">
        <v>337</v>
      </c>
      <c r="E43" s="145">
        <f>SUM(F23:F41)</f>
        <v>3122.328</v>
      </c>
      <c r="F43" s="152" t="str">
        <f>$E$11</f>
        <v>kg N</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c r="C45" s="168"/>
      <c r="D45" s="168"/>
      <c r="E45" s="168"/>
      <c r="F45" s="168"/>
      <c r="G45" s="168"/>
      <c r="H45" s="168"/>
      <c r="I45" s="168"/>
      <c r="J45" s="168"/>
      <c r="K45" s="168"/>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Solid Waste'!A1", "Constants - Solid Waste")</f>
        <v>Constants - Solid Waste</v>
      </c>
      <c r="D48" s="27" t="str" cm="1">
        <f t="array" ref="D48">Fertiliser_Equations_LeachingAndRunoff.VEERG_5_5_1_1__3_MassOfNitrogenLeachedFromOrganicFertiliser_Source()</f>
        <v>VEERG 2026: 5.5, Equation (3)</v>
      </c>
    </row>
    <row r="49" spans="4:9" ht="20.100000000000001" customHeight="1" x14ac:dyDescent="0.25">
      <c r="D49" s="130" t="s">
        <v>255</v>
      </c>
      <c r="E49" s="13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256</v>
      </c>
      <c r="E52" s="1" t="str" cm="1">
        <f t="array" ref="E52">Fertiliser_Equations_LeachingAndRunoff.VEERG_5_5_1_1__3_MassOfNitrogenLeachedFromOrganicFertiliser_Variable()</f>
        <v>M_leachorganicj</v>
      </c>
    </row>
    <row r="53" spans="4:9" ht="20.100000000000001" customHeight="1" x14ac:dyDescent="0.25">
      <c r="D53" s="88" t="s">
        <v>121</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53" t="str" cm="1">
        <f t="array" ref="D55:E60">_xlfn.CHOOSECOLS(Fertiliser_Equations_LeachingAndRunoff.VEERG_5_5_1_1__3_MassOfNitrogenLeachedFromOrganicFertiliser_Arguments(), 1, 2)</f>
        <v>MNSoil_jf</v>
      </c>
      <c r="E55" s="161" t="str">
        <v>mass of nitrogen in organic fertiliser</v>
      </c>
      <c r="F55" s="163"/>
      <c r="G55" s="153" t="str" cm="1">
        <f t="array" ref="G55:H60">_xlfn.CHOOSECOLS(Fertiliser_Equations_LeachingAndRunoff.VEERG_5_5_1_1__3_MassOfNitrogenLeachedFromOrganicFertiliser_Arguments(), 3,4)</f>
        <v>kg N</v>
      </c>
      <c r="H55" s="135" t="str">
        <v>Calculated from 5.2.1.1 (2)</v>
      </c>
      <c r="I55" s="138" t="str" cm="1">
        <f t="array" aca="1" ref="I55" ca="1">HYPERLINK(Common_InputFunctions.Utility_SourceHyperlink(D62), D62)</f>
        <v>Table_M_leach_organic_j</v>
      </c>
    </row>
    <row r="56" spans="4:9" ht="20.100000000000001" customHeight="1" x14ac:dyDescent="0.25">
      <c r="D56" s="153" t="str">
        <v>FracWETj</v>
      </c>
      <c r="E56" s="161" t="str">
        <v>fraction of N available for leaching and runoff</v>
      </c>
      <c r="F56" s="163"/>
      <c r="G56" s="153" t="str">
        <v>fraction</v>
      </c>
      <c r="H56" s="135" t="str">
        <v>Constant</v>
      </c>
      <c r="I56" s="153">
        <f>Common_InputFunctions.CommonCropping_GetFracWET(I58,I60,#REF!,#REF!,Table_SourceData_FracWETIrrigation[Irrigation type i],Table_SourceData_FracWETIrrigation[FracWET])</f>
        <v>1</v>
      </c>
    </row>
    <row r="57" spans="4:9" ht="20.100000000000001" customHeight="1" x14ac:dyDescent="0.25">
      <c r="D57" s="153" t="str">
        <v>FracLEACH</v>
      </c>
      <c r="E57" s="161" t="str">
        <v>fraction of N that is lost through leaching and runoff</v>
      </c>
      <c r="F57" s="163"/>
      <c r="G57" s="153" t="str">
        <v>fraction</v>
      </c>
      <c r="H57" s="135" t="str">
        <v>Constant</v>
      </c>
      <c r="I57" s="153">
        <f>'Constants - Fertiliser'!$E$78</f>
        <v>0.24</v>
      </c>
    </row>
    <row r="58" spans="4:9" ht="20.100000000000001" customHeight="1" x14ac:dyDescent="0.25">
      <c r="D58" s="153" t="str">
        <v>z</v>
      </c>
      <c r="E58" s="161" t="str">
        <v>location in leaching zone</v>
      </c>
      <c r="F58" s="163"/>
      <c r="G58" s="153" t="str">
        <v/>
      </c>
      <c r="H58" s="134" t="str">
        <v>Input</v>
      </c>
      <c r="I58" s="153" t="str">
        <f>X_Cell_Site_LeachingZone</f>
        <v>NO - Not in leaching zone</v>
      </c>
    </row>
    <row r="59" spans="4:9" ht="20.100000000000001" customHeight="1" x14ac:dyDescent="0.25">
      <c r="D59" s="153" t="str">
        <v>j</v>
      </c>
      <c r="E59" s="161" t="str">
        <v>production system</v>
      </c>
      <c r="F59" s="163"/>
      <c r="G59" s="153" t="str">
        <v/>
      </c>
      <c r="H59" s="134" t="str">
        <v>Input</v>
      </c>
      <c r="I59" s="153" t="str">
        <f>X_Cell_Fertiliser_ProductionSystem</f>
        <v>Crop</v>
      </c>
    </row>
    <row r="60" spans="4:9" ht="20.100000000000001" customHeight="1" x14ac:dyDescent="0.25">
      <c r="D60" s="153" t="str">
        <v>ir</v>
      </c>
      <c r="E60" s="161" t="str">
        <v>irrigation method</v>
      </c>
      <c r="F60" s="163"/>
      <c r="G60" s="153" t="str">
        <v/>
      </c>
      <c r="H60" s="134" t="str">
        <v>Input</v>
      </c>
      <c r="I60" s="153" t="str">
        <f>X_Cell_Fertiliser_IrrigationMethod</f>
        <v>Sprinkler irrigation</v>
      </c>
    </row>
    <row r="61" spans="4:9" ht="20.100000000000001" customHeight="1" x14ac:dyDescent="0.25"/>
    <row r="62" spans="4:9" ht="20.100000000000001" customHeight="1" x14ac:dyDescent="0.25">
      <c r="D62" s="141" t="s">
        <v>338</v>
      </c>
    </row>
    <row r="63" spans="4:9" ht="20.100000000000001" customHeight="1" x14ac:dyDescent="0.25">
      <c r="D63" s="142" t="s">
        <v>339</v>
      </c>
    </row>
    <row r="64" spans="4:9" ht="20.100000000000001" customHeight="1" x14ac:dyDescent="0.25">
      <c r="D64" s="144" t="s">
        <v>299</v>
      </c>
      <c r="E64" s="169" t="s">
        <v>303</v>
      </c>
      <c r="F64" s="143" t="s">
        <v>340</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58" t="s">
        <v>341</v>
      </c>
      <c r="E77" s="145">
        <f>SUM(F65:F75)</f>
        <v>170.4</v>
      </c>
      <c r="F77" s="152" t="str">
        <f>$E$53</f>
        <v>kg N</v>
      </c>
    </row>
    <row r="78" spans="3:11" ht="20.100000000000001" customHeight="1" x14ac:dyDescent="0.25"/>
    <row r="79" spans="3:11" ht="20.100000000000001" customHeight="1" x14ac:dyDescent="0.25">
      <c r="C79" s="168"/>
      <c r="D79" s="168"/>
      <c r="E79" s="168"/>
      <c r="F79" s="168"/>
      <c r="G79" s="168"/>
      <c r="H79" s="168"/>
      <c r="I79" s="168"/>
      <c r="J79" s="168"/>
      <c r="K79" s="168"/>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0" t="s">
        <v>255</v>
      </c>
      <c r="E83" s="13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256</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3" t="str" cm="1">
        <f t="array" ref="D89:E92">_xlfn.CHOOSECOLS(Fertiliser_Equations_LeachingAndRunoff.VEERG_5_5_1_1__1_FertiliserLeachingAndRunoffN2OEmissions_Arguments(), 1, 2)</f>
        <v>M_leachinorganicj</v>
      </c>
      <c r="E89" s="161" t="str">
        <v>mass of nitrogen lost through leaching and runoff from inorganic fertiliser application in production system j</v>
      </c>
      <c r="F89" s="162"/>
      <c r="G89" s="163"/>
      <c r="H89" s="153" t="str" cm="1">
        <f t="array" ref="H89:I92">_xlfn.CHOOSECOLS(Fertiliser_Equations_LeachingAndRunoff.VEERG_5_5_1_1__1_FertiliserLeachingAndRunoffN2OEmissions_Arguments(), 3,4)</f>
        <v>kg N</v>
      </c>
      <c r="I89" s="135" t="str">
        <v>Calculated from 5.5.1.1 (2)</v>
      </c>
      <c r="J89" s="153">
        <f>$E$43</f>
        <v>3122.328</v>
      </c>
    </row>
    <row r="90" spans="4:10" ht="20.100000000000001" customHeight="1" x14ac:dyDescent="0.25">
      <c r="D90" s="153" t="str">
        <v>M_leachorganicj</v>
      </c>
      <c r="E90" s="161" t="str">
        <v>mass of nitrogen lost through leaching and runoff from organic fertiliser application</v>
      </c>
      <c r="F90" s="162"/>
      <c r="G90" s="163"/>
      <c r="H90" s="153" t="str">
        <v>kg N</v>
      </c>
      <c r="I90" s="135" t="str">
        <v>Calculated from 5.5.1.1 (3)</v>
      </c>
      <c r="J90" s="153">
        <f>$E$77</f>
        <v>170.4</v>
      </c>
    </row>
    <row r="91" spans="4:10" ht="20.100000000000001" customHeight="1" x14ac:dyDescent="0.25">
      <c r="D91" s="153" t="str">
        <v>EF_leach</v>
      </c>
      <c r="E91" s="161" t="str">
        <v>emission factor for nitrogen leaching and runoff</v>
      </c>
      <c r="F91" s="162"/>
      <c r="G91" s="163"/>
      <c r="H91" s="153" t="str">
        <v>kg N2O-N/kg N</v>
      </c>
      <c r="I91" s="135" t="str">
        <v>Constant</v>
      </c>
      <c r="J91" s="153">
        <f>'Constants - Fertiliser'!$E$83</f>
        <v>1.0999999999999999E-2</v>
      </c>
    </row>
    <row r="92" spans="4:10" ht="20.100000000000001" customHeight="1" x14ac:dyDescent="0.25">
      <c r="D92" s="153" t="str">
        <v>C_N2O</v>
      </c>
      <c r="E92" s="161" t="str">
        <v>factor to convert elemental mass of nitrous oxide to molecular mass</v>
      </c>
      <c r="F92" s="162"/>
      <c r="G92" s="163"/>
      <c r="H92" s="153" t="str">
        <v/>
      </c>
      <c r="I92" s="135" t="str">
        <v>Constant</v>
      </c>
      <c r="J92" s="13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48" t="s">
        <v>342</v>
      </c>
      <c r="E94" s="149" cm="1">
        <f t="array" ref="E94">Fertiliser_Equations_LeachingAndRunoff.VEERG_5_5_1_1__1_FertiliserLeachingAndRunoffN2OEmissions(J89,J90,J91,J92)</f>
        <v>5.6917155428571425E-2</v>
      </c>
      <c r="F94" s="150" t="str">
        <f>$E$87</f>
        <v>t N2O</v>
      </c>
    </row>
    <row r="95" spans="4:10" ht="20.100000000000001" customHeight="1" x14ac:dyDescent="0.25"/>
    <row r="96" spans="4:10" ht="20.100000000000001" customHeight="1" x14ac:dyDescent="0.25">
      <c r="D96" s="131" t="str" cm="1">
        <f t="array" ref="D96:E97">Common_Equations.Common_ConvertN2OToCO2e_Arguments()</f>
        <v>EN2O</v>
      </c>
      <c r="E96" s="132" t="str">
        <v>Nitrous oxide emissions (t N2O)</v>
      </c>
      <c r="F96" s="151"/>
      <c r="G96" s="25">
        <f>E94</f>
        <v>5.6917155428571425E-2</v>
      </c>
    </row>
    <row r="97" spans="4:7" ht="20.100000000000001" customHeight="1" x14ac:dyDescent="0.25">
      <c r="D97" s="131" t="str">
        <v>GWPN2O</v>
      </c>
      <c r="E97" s="132" t="str">
        <v>Global warming potential for nitrous oxide (t CO2-e / t N2O)</v>
      </c>
      <c r="F97" s="151"/>
      <c r="G97" s="25">
        <f>Common_InputFunctions.Utility_LookupValueInTableNumber("N2O",Table_GWPData[Gas],Table_GWPData[CO2-e factor])</f>
        <v>265</v>
      </c>
    </row>
    <row r="98" spans="4:7" ht="20.100000000000001" customHeight="1" x14ac:dyDescent="0.25"/>
    <row r="99" spans="4:7" ht="20.100000000000001" customHeight="1" x14ac:dyDescent="0.25">
      <c r="D99" s="145" t="s">
        <v>287</v>
      </c>
      <c r="E99" s="145" cm="1">
        <f t="array" ref="E99">Common_Equations.Common_ConvertN2OToCO2e(G96,G97)</f>
        <v>15.083046188571428</v>
      </c>
      <c r="F99" s="15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335E-FF31-424B-A1A2-491F5A553D0B}">
  <dimension ref="A1:T342"/>
  <sheetViews>
    <sheetView showGridLines="0" topLeftCell="H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626</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0" t="s">
        <v>255</v>
      </c>
      <c r="E7" s="130" t="str" cm="1">
        <f t="array" aca="1" ref="E7" ca="1">Common_InputFunctions.Utility_DisplayFunctionName(E24)</f>
        <v>=AgResidue_Equations_CropResidue.VEERG_6_1_1_1__2__MassOfNitrogenInCropResidues</v>
      </c>
      <c r="F7" s="8"/>
      <c r="G7" s="8"/>
      <c r="H7" s="8"/>
      <c r="J7" s="8"/>
      <c r="L7" s="8"/>
      <c r="M7" s="36" t="str" cm="1">
        <f t="array" ref="M7">"⚠️" &amp; AgResidue_Equations_CropResidue.VEERG_6_1_1_2__1__FractionOfCropResidueRemovedBaled_Variation()</f>
        <v>⚠️VARIATION FROM SOURCE: Added 'baled' to variable subscript</v>
      </c>
      <c r="N7" s="8"/>
      <c r="O7" s="8"/>
      <c r="P7" s="8"/>
      <c r="Q7" s="8"/>
    </row>
    <row r="8" spans="1:20" ht="20.100000000000001" customHeight="1" x14ac:dyDescent="0.25">
      <c r="A8" s="7" t="s">
        <v>0</v>
      </c>
      <c r="F8" s="8"/>
      <c r="G8" s="8"/>
      <c r="H8" s="8"/>
      <c r="J8" s="8"/>
      <c r="L8" s="8"/>
      <c r="M8" s="130" t="s">
        <v>255</v>
      </c>
      <c r="N8" s="130" t="str" cm="1">
        <f t="array" aca="1" ref="N8" ca="1">Common_InputFunctions.Utility_DisplayFunctionName(N21)</f>
        <v>=AgResidue_Equations_CropResidue.VEERG_6_1_1_2__1__FractionOfCropResidueRemovedBaled</v>
      </c>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256</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
      <c r="N11" s="8"/>
      <c r="O11" s="8"/>
      <c r="P11" s="8"/>
      <c r="Q11" s="8"/>
    </row>
    <row r="12" spans="1:20" ht="20.100000000000001" customHeight="1" x14ac:dyDescent="0.25">
      <c r="A12" s="5" t="str">
        <f>HYPERLINK("#'Input - Fert Prod System'!A1", "Fert Prod System")</f>
        <v>Fert Prod System</v>
      </c>
      <c r="D12" s="8"/>
      <c r="E12" s="8"/>
      <c r="F12" s="8"/>
      <c r="G12" s="8"/>
      <c r="J12" s="8"/>
      <c r="L12" s="8"/>
      <c r="M12" s="88" t="s">
        <v>256</v>
      </c>
      <c r="N12" s="1" t="str" cm="1">
        <f t="array" ref="N12">AgResidue_Equations_CropResidue.VEERG_6_1_1_2__1__FractionOfCropResidueRemovedBaled_Variable()</f>
        <v>FFOD_cbaled</v>
      </c>
      <c r="O12" s="8"/>
      <c r="P12" s="8"/>
      <c r="Q12" s="8"/>
    </row>
    <row r="13" spans="1:20" ht="20.100000000000001" customHeight="1" x14ac:dyDescent="0.25">
      <c r="A13" s="5" t="str">
        <f>HYPERLINK("#'Input - Fertiliser'!A1", "Fertiliser")</f>
        <v>Fertiliser</v>
      </c>
      <c r="D13" s="153" t="str" cm="1">
        <f t="array" ref="D13:E22">_xlfn.CHOOSECOLS(AgResidue_Equations_CropResidue.VEERG_6_1_1_1__2__MassOfNitrogenInCropResidues_Arguments(), 1, 2)</f>
        <v>P_c</v>
      </c>
      <c r="E13" s="161" t="str">
        <v>annual production of crop c</v>
      </c>
      <c r="F13" s="163"/>
      <c r="G13" s="153" t="str" cm="1">
        <f t="array" ref="G13:H22">_xlfn.CHOOSECOLS(AgResidue_Equations_CropResidue.VEERG_6_1_1_1__2__MassOfNitrogenInCropResidues_Arguments(), 3,4)</f>
        <v>kg</v>
      </c>
      <c r="H13" s="134" t="str">
        <v>Input</v>
      </c>
      <c r="I13" s="153">
        <f>X_Cell_Crop_TotalProductionOfCrop*10^3</f>
        <v>350000</v>
      </c>
      <c r="J13" s="8"/>
      <c r="L13" s="8"/>
      <c r="M13" s="88" t="s">
        <v>121</v>
      </c>
      <c r="N13" s="15" t="str" cm="1">
        <f t="array" ref="N13">AgResidue_Equations_CropResidue.VEERG_6_1_1_2__1__FractionOfCropResidueRemovedBaled_Unit()</f>
        <v>dimensionless</v>
      </c>
      <c r="O13" s="8"/>
      <c r="P13" s="8"/>
      <c r="Q13" s="8"/>
    </row>
    <row r="14" spans="1:20" ht="20.100000000000001" customHeight="1" x14ac:dyDescent="0.25">
      <c r="A14" s="5" t="str">
        <f>HYPERLINK("#'Input - Fuel'!A1", "Fuel")</f>
        <v>Fuel</v>
      </c>
      <c r="D14" s="153" t="str">
        <v>R_AGc</v>
      </c>
      <c r="E14" s="161" t="str">
        <v>residue to crop ratio for crop c</v>
      </c>
      <c r="F14" s="163"/>
      <c r="G14" s="153" t="str">
        <v/>
      </c>
      <c r="H14" s="135" t="str">
        <v>Constant</v>
      </c>
      <c r="I14" s="153">
        <f>'Input - Crop'!$E$18</f>
        <v>1.5</v>
      </c>
      <c r="J14" s="8"/>
      <c r="L14" s="8"/>
      <c r="M14" s="8"/>
      <c r="N14" s="8"/>
      <c r="O14" s="8"/>
      <c r="P14" s="8"/>
    </row>
    <row r="15" spans="1:20" ht="20.100000000000001" customHeight="1" x14ac:dyDescent="0.25">
      <c r="A15" s="5" t="str">
        <f>HYPERLINK("#'Input - Electricity'!A1", "Electricity")</f>
        <v>Electricity</v>
      </c>
      <c r="D15" s="153" t="str">
        <v>R_BGc</v>
      </c>
      <c r="E15" s="161" t="str">
        <v>below ground-residue to above ground residue ratio for crop c</v>
      </c>
      <c r="F15" s="163"/>
      <c r="G15" s="153" t="str">
        <v/>
      </c>
      <c r="H15" s="135" t="str">
        <v>Constant</v>
      </c>
      <c r="I15" s="153" cm="1">
        <f t="array" ref="I15">Common_InputFunctions.Utility_LookupValueInTableNumber($I$21,Table_SourceData_CropAttributes[Crop type],Table_SourceData_CropAttributes[Below-ground: above-ground residue ratio])</f>
        <v>0.28999999999999998</v>
      </c>
      <c r="L15" s="8"/>
      <c r="M15" s="153" t="str" cm="1">
        <f t="array" ref="M15:N19">_xlfn.CHOOSECOLS(AgResidue_Equations_CropResidue.VEERG_6_1_1_2__1__FractionOfCropResidueRemovedBaled_Arguments(), 1, 2)</f>
        <v>B</v>
      </c>
      <c r="N15" s="153" t="str">
        <v>number of bales generated</v>
      </c>
      <c r="O15" s="153" t="str" cm="1">
        <f t="array" ref="O15:P19">_xlfn.CHOOSECOLS(AgResidue_Equations_CropResidue.VEERG_6_1_1_2__1__FractionOfCropResidueRemovedBaled_Arguments(), 3,4)</f>
        <v/>
      </c>
      <c r="P15" s="134" t="str">
        <v>Input</v>
      </c>
      <c r="Q15" s="228">
        <f>X_Cell_Crop_NumberOfBales</f>
        <v>875</v>
      </c>
    </row>
    <row r="16" spans="1:20" ht="20.100000000000001" customHeight="1" x14ac:dyDescent="0.25">
      <c r="A16" s="5" t="str">
        <f>HYPERLINK("#'Input - Farm Inputs'!A1", "Farm Inputs")</f>
        <v>Farm Inputs</v>
      </c>
      <c r="D16" s="153" t="str">
        <v>F_c</v>
      </c>
      <c r="E16" s="161" t="str">
        <v>fraction of crop residue that is burnt for crop c</v>
      </c>
      <c r="F16" s="163"/>
      <c r="G16" s="153" t="str">
        <v>fraction</v>
      </c>
      <c r="H16" s="134" t="str">
        <v>Input</v>
      </c>
      <c r="I16" s="153">
        <f>X_Cell_Crop_PercentResidueBurned</f>
        <v>0.3</v>
      </c>
      <c r="L16" s="8"/>
      <c r="M16" s="153" t="str">
        <v>M_B</v>
      </c>
      <c r="N16" s="153" t="str">
        <v>mass of each bale</v>
      </c>
      <c r="O16" s="153" t="str">
        <v>kg</v>
      </c>
      <c r="P16" s="134" t="str">
        <v>Input</v>
      </c>
      <c r="Q16" s="153">
        <f>X_Cell_Crop_AverageWeightPerBale</f>
        <v>60</v>
      </c>
    </row>
    <row r="17" spans="1:17" ht="20.100000000000001" customHeight="1" x14ac:dyDescent="0.25">
      <c r="A17" s="5" t="str">
        <f>HYPERLINK("#'Input - Freight'!A1", "Freight")</f>
        <v>Freight</v>
      </c>
      <c r="D17" s="153" t="str">
        <v>FFOD_c</v>
      </c>
      <c r="E17" s="161" t="str">
        <v>fraction of the crop residue that is removed for crop c</v>
      </c>
      <c r="F17" s="163"/>
      <c r="G17" s="153" t="str">
        <v>fraction</v>
      </c>
      <c r="H17" s="135" t="str">
        <v>Constant</v>
      </c>
      <c r="I17" s="153" cm="1">
        <f t="array" ref="I17">IF(ISNUMBER(_xlfn.XLOOKUP(1, (Table77[Crop type c]=$I$21)*(Table77[State]=$I$22),Table77[Fraction removed])), _xlfn.XLOOKUP(1, (Table77[Crop type c]=$I$21)*(Table77[State]=$I$22),Table77[Fraction removed]), 0)</f>
        <v>0.11</v>
      </c>
      <c r="L17" s="8"/>
      <c r="M17" s="153" t="str">
        <v>P_c</v>
      </c>
      <c r="N17" s="153" t="str">
        <v>annual production of crop c</v>
      </c>
      <c r="O17" s="153" t="str">
        <v>kg</v>
      </c>
      <c r="P17" s="134" t="str">
        <v>Input</v>
      </c>
      <c r="Q17" s="153">
        <f>X_Cell_Crop_TotalProductionOfCrop*10^3</f>
        <v>350000</v>
      </c>
    </row>
    <row r="18" spans="1:17" ht="20.100000000000001" customHeight="1" x14ac:dyDescent="0.25">
      <c r="A18" s="5" t="str">
        <f>HYPERLINK("#'Input - Manure sent off-site'!A1", "Manure sent off-site")</f>
        <v>Manure sent off-site</v>
      </c>
      <c r="D18" s="153" t="str">
        <v>DM_c</v>
      </c>
      <c r="E18" s="161" t="str">
        <v>dry matter content of crop c</v>
      </c>
      <c r="F18" s="163"/>
      <c r="G18" s="153" t="str">
        <v>kg dry weight/kg crop residue</v>
      </c>
      <c r="H18" s="135" t="str">
        <v>Constant</v>
      </c>
      <c r="I18" s="153" cm="1">
        <f t="array" ref="I18">Common_InputFunctions.Utility_LookupValueInTableNumber($I$21,Table_SourceData_CropAttributes[Crop type],Table_SourceData_CropAttributes[Dry matter content])</f>
        <v>0.88</v>
      </c>
      <c r="L18" s="8"/>
      <c r="M18" s="153" t="str">
        <v>R_AGc</v>
      </c>
      <c r="N18" s="153" t="str">
        <v>residue to crop ratio for crop c</v>
      </c>
      <c r="O18" s="153" t="str">
        <v/>
      </c>
      <c r="P18" s="135" t="str">
        <v>Constant</v>
      </c>
      <c r="Q18" s="153">
        <f>'Input - Crop'!$E$18</f>
        <v>1.5</v>
      </c>
    </row>
    <row r="19" spans="1:17" ht="20.100000000000001" customHeight="1" x14ac:dyDescent="0.25">
      <c r="A19" s="5" t="str">
        <f>HYPERLINK("#'Input - Solid waste'!A1", "Solid waste")</f>
        <v>Solid waste</v>
      </c>
      <c r="D19" s="153" t="str">
        <v>NC_AGc</v>
      </c>
      <c r="E19" s="161" t="str">
        <v>nitrogen content of above-ground crop residue of crop c</v>
      </c>
      <c r="F19" s="163"/>
      <c r="G19" s="153" t="str">
        <v>kg N/kg DM</v>
      </c>
      <c r="H19" s="135" t="str">
        <v>Constant</v>
      </c>
      <c r="I19" s="153" cm="1">
        <f t="array" ref="I19">Common_InputFunctions.Utility_LookupValueInTableNumber($I$21,Table_SourceData_CropAttributes[Crop type],Table_SourceData_CropAttributes[N content above-ground])</f>
        <v>6.0000000000000001E-3</v>
      </c>
      <c r="L19" s="8"/>
      <c r="M19" s="153" t="str">
        <v>c</v>
      </c>
      <c r="N19" s="153" t="str">
        <v>Crop type</v>
      </c>
      <c r="O19" s="153" t="str">
        <v/>
      </c>
      <c r="P19" s="134" t="str">
        <v>Input</v>
      </c>
      <c r="Q19" s="153" t="str">
        <f>X_Cell_Crop_CropType</f>
        <v>Wheat</v>
      </c>
    </row>
    <row r="20" spans="1:17" ht="20.100000000000001" customHeight="1" x14ac:dyDescent="0.25">
      <c r="D20" s="153" t="str">
        <v>NC_BGc</v>
      </c>
      <c r="E20" s="161" t="str">
        <v>nitrogen content of below-ground crop residue of crop c</v>
      </c>
      <c r="F20" s="163"/>
      <c r="G20" s="153" t="str">
        <v>kg N/kg DM</v>
      </c>
      <c r="H20" s="135" t="str">
        <v>Constant</v>
      </c>
      <c r="I20" s="153" cm="1">
        <f t="array" ref="I20">Common_InputFunctions.Utility_LookupValueInTableNumber($I$21,Table_SourceData_CropAttributes[Crop type],Table_SourceData_CropAttributes[N content below-ground])</f>
        <v>0.01</v>
      </c>
      <c r="L20" s="8"/>
      <c r="M20" s="8"/>
      <c r="N20" s="8"/>
      <c r="O20" s="8"/>
      <c r="P20" s="8"/>
      <c r="Q20" s="8"/>
    </row>
    <row r="21" spans="1:17" ht="20.100000000000001" customHeight="1" x14ac:dyDescent="0.25">
      <c r="D21" s="153" t="str">
        <v>c</v>
      </c>
      <c r="E21" s="161" t="str">
        <v>Crop type</v>
      </c>
      <c r="F21" s="163"/>
      <c r="G21" s="153" t="str">
        <v/>
      </c>
      <c r="H21" s="134" t="str">
        <v>Input</v>
      </c>
      <c r="I21" s="153" t="str">
        <f>X_Cell_Crop_CropType</f>
        <v>Wheat</v>
      </c>
      <c r="L21" s="8"/>
      <c r="M21" s="158" t="s">
        <v>627</v>
      </c>
      <c r="N21" s="145" cm="1">
        <f t="array" ref="N21">AgResidue_Equations_CropResidue.VEERG_6_1_1_2__1__FractionOfCropResidueRemovedBaled(Q15,Q16,Q17,Q18)</f>
        <v>0.1</v>
      </c>
    </row>
    <row r="22" spans="1:17" ht="20.100000000000001" customHeight="1" x14ac:dyDescent="0.25">
      <c r="A22" s="6" t="s">
        <v>2</v>
      </c>
      <c r="D22" s="153" t="str">
        <v>State</v>
      </c>
      <c r="E22" s="161" t="str">
        <v>State or territory</v>
      </c>
      <c r="F22" s="163"/>
      <c r="G22" s="153" t="str">
        <v/>
      </c>
      <c r="H22" s="134" t="str">
        <v>Input</v>
      </c>
      <c r="I22" s="153" t="str">
        <f>Common_InputFunctions.Utility_ConvertStateCommonNameToAbbreviation(X_Cell_Site_State,Table_AustralianStates[Common Name],Table_AustralianStates[Abbreviation])</f>
        <v>WA</v>
      </c>
      <c r="L22" s="8"/>
      <c r="M22" s="8"/>
      <c r="N22" s="8"/>
      <c r="O22" s="8"/>
      <c r="P22" s="8"/>
      <c r="Q22" s="8"/>
    </row>
    <row r="23" spans="1:17" ht="20.100000000000001" customHeight="1" x14ac:dyDescent="0.25">
      <c r="A23" s="5" t="str">
        <f>HYPERLINK("#'5.1.1.1-2 Inorganic fert N2O'!A1", "5.1.1.1-2 Inorganic fert N2O")</f>
        <v>5.1.1.1-2 Inorganic fert N2O</v>
      </c>
      <c r="D23" s="8"/>
      <c r="E23" s="8"/>
      <c r="F23" s="8"/>
      <c r="G23" s="8"/>
      <c r="H23" s="8"/>
      <c r="L23" s="8"/>
      <c r="M23" s="8"/>
      <c r="N23" s="8"/>
      <c r="O23" s="8"/>
      <c r="P23" s="8"/>
      <c r="Q23" s="8"/>
    </row>
    <row r="24" spans="1:17" ht="20.100000000000001" customHeight="1" x14ac:dyDescent="0.25">
      <c r="A24" s="5" t="str">
        <f>HYPERLINK("#'5.1.1.3-4 Inorganic fert CO2'!A1", "5.1.1.3-4 Inorganic fert CO2")</f>
        <v>5.1.1.3-4 Inorganic fert CO2</v>
      </c>
      <c r="D24" s="158" t="s">
        <v>628</v>
      </c>
      <c r="E24" s="229" cm="1">
        <f t="array" ref="E24">AgResidue_Equations_CropResidue.VEERG_6_1_1_1__2__MassOfNitrogenInCropResidues(I13,I14,I16,I17,I18,I19,I15,I20)</f>
        <v>2975.2799999999997</v>
      </c>
      <c r="F24" s="159" t="str">
        <f>$E$11</f>
        <v>kg N</v>
      </c>
      <c r="L24" s="8"/>
      <c r="M24" s="2" t="str" cm="1">
        <f t="array" ref="M24">AgResidue_Equations_CropResidue.VEERG_6_1_1_2__1a__FractionOfCropResidueRemoved_Title()</f>
        <v>Fraction of crop residue that is removed for crop c</v>
      </c>
      <c r="N24" s="8"/>
      <c r="O24" s="8"/>
      <c r="P24" s="8"/>
      <c r="Q24" s="8"/>
    </row>
    <row r="25" spans="1:17" ht="20.100000000000001" customHeight="1" x14ac:dyDescent="0.25">
      <c r="A25" s="5" t="str">
        <f>HYPERLINK("#'5.2.1.1-2 Organic Fert N2O'!A1", "5.2.1.1-2 Organic fert N2O")</f>
        <v>5.2.1.1-2 Organic fert N2O</v>
      </c>
      <c r="D25" s="88"/>
      <c r="E25" s="8"/>
      <c r="F25" s="8"/>
      <c r="G25" s="8"/>
      <c r="H25" s="8"/>
      <c r="L25" s="8"/>
      <c r="M25" s="2" t="str" cm="1">
        <f t="array" ref="M25">AgResidue_Equations_CropResidue.VEERG_6_1_1_2__1a__FractionOfCropResidueRemoved_Source()</f>
        <v/>
      </c>
      <c r="N25" s="8"/>
      <c r="O25" s="8"/>
      <c r="P25" s="8"/>
      <c r="Q25" s="8"/>
    </row>
    <row r="26" spans="1:17" ht="20.100000000000001" customHeight="1" x14ac:dyDescent="0.25">
      <c r="A26" s="5" t="str">
        <f>HYPERLINK("#'5.3.1.1-2 Lime CO2'!A1", "5.3.1.1-2 Lime CO2")</f>
        <v>5.3.1.1-2 Lime CO2</v>
      </c>
      <c r="D26" s="8"/>
      <c r="E26" s="8"/>
      <c r="F26" s="8"/>
      <c r="G26" s="8"/>
      <c r="H26" s="8"/>
      <c r="L26" s="8"/>
      <c r="M26" s="36" t="str" cm="1">
        <f t="array" ref="M26">"⚠️" &amp; AgResidue_Equations_CropResidue.VEERG_6_1_1_2__1a__FractionOfCropResidueRemoved_Variation()</f>
        <v>⚠️VARIATION FROM SOURCE: Added this equation to accommodate user-defined residue removal other than baling.</v>
      </c>
      <c r="N26" s="8"/>
      <c r="O26" s="8"/>
      <c r="P26" s="8"/>
      <c r="Q26" s="8"/>
    </row>
    <row r="27" spans="1:17" ht="20.100000000000001" customHeight="1" x14ac:dyDescent="0.25">
      <c r="A27" s="5" t="str">
        <f>HYPERLINK("#'5.4.1.1-4 Atmos deposition'!A1", "5.4.1.1-4 Atmos. deposition")</f>
        <v>5.4.1.1-4 Atmos. deposition</v>
      </c>
      <c r="D27" s="230"/>
      <c r="E27" s="230"/>
      <c r="F27" s="230"/>
      <c r="G27" s="230"/>
      <c r="H27" s="230"/>
      <c r="I27" s="230"/>
      <c r="L27" s="8"/>
      <c r="M27" s="8"/>
      <c r="N27" s="8"/>
      <c r="O27" s="8"/>
      <c r="P27" s="8"/>
      <c r="Q27" s="8"/>
    </row>
    <row r="28" spans="1:17" ht="20.100000000000001" customHeight="1" x14ac:dyDescent="0.25">
      <c r="A28" s="5" t="str">
        <f>HYPERLINK("#'5.5.1.1-2 Leaching and runoff'!A1", "5.5.1.1-2 Leaching &amp; runoff")</f>
        <v>5.5.1.1-2 Leaching &amp; runoff</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17" ht="20.100000000000001" customHeight="1" x14ac:dyDescent="0.25">
      <c r="A29" s="139" t="str">
        <f>HYPERLINK("#'6.1.1.1-2 Crop residue N2O'!A1", "6.1.1.1-2 Crop residue N2O")</f>
        <v>6.1.1.1-2 Crop residue N2O</v>
      </c>
      <c r="D29" s="27" t="str" cm="1">
        <f t="array" ref="D29">AgResidue_Equations_CropResidue.VEERG_6_1_1_1__1__NitrousOxideEmissionsFromCropResidues_Source()</f>
        <v>VEERG 2026: 6.1.1.1, Equation (1)</v>
      </c>
      <c r="E29" s="8"/>
      <c r="F29" s="8"/>
      <c r="G29" s="8"/>
      <c r="H29" s="8"/>
      <c r="J29" s="8"/>
      <c r="L29" s="8"/>
      <c r="M29" s="8"/>
      <c r="N29" s="8"/>
      <c r="O29" s="8"/>
      <c r="P29" s="36"/>
      <c r="Q29" s="8"/>
    </row>
    <row r="30" spans="1:17" ht="20.100000000000001" customHeight="1" x14ac:dyDescent="0.25">
      <c r="A30" s="5" t="str">
        <f>HYPERLINK("#'6.3.1.1-2 Leach runoff crop'!A1", "6.3.1.1-2 Leach &amp; runoff (crop)")</f>
        <v>6.3.1.1-2 Leach &amp; runoff (crop)</v>
      </c>
      <c r="D30" s="130" t="s">
        <v>255</v>
      </c>
      <c r="E30" s="130" t="str" cm="1">
        <f t="array" aca="1" ref="E30" ca="1">Common_InputFunctions.Utility_DisplayFunctionName(E42)</f>
        <v>=AgResidue_Equations_CropResidue.VEERG_6_1_1_1__1__NitrousOxideEmissionsFromCropResidues</v>
      </c>
      <c r="F30" s="8"/>
      <c r="G30" s="8"/>
      <c r="H30" s="8"/>
      <c r="L30" s="8"/>
      <c r="M30" s="88" t="s">
        <v>256</v>
      </c>
      <c r="N30" s="1" t="str" cm="1">
        <f t="array" ref="N30">AgResidue_Equations_CropResidue.VEERG_6_1_1_2__1a__FractionOfCropResidueRemoved_Variable()</f>
        <v>FFOD_c</v>
      </c>
      <c r="O30" s="8"/>
      <c r="P30" s="8"/>
      <c r="Q30" s="8"/>
    </row>
    <row r="31" spans="1:17" ht="20.100000000000001" customHeight="1" x14ac:dyDescent="0.25">
      <c r="A31" s="5" t="str">
        <f>HYPERLINK("#'6.4.1.1-2 Residue burning'!A1", "6.4.1.1-2 Residue burning")</f>
        <v>6.4.1.1-2 Residue burning</v>
      </c>
      <c r="F31" s="8"/>
      <c r="G31" s="8"/>
      <c r="H31" s="8"/>
      <c r="J31" s="8"/>
      <c r="L31" s="8"/>
      <c r="M31" s="88" t="s">
        <v>121</v>
      </c>
      <c r="N31" s="15" t="str" cm="1">
        <f t="array" ref="N31">AgResidue_Equations_CropResidue.VEERG_6_1_1_2__1a__FractionOfCropResidueRemoved_Unit()</f>
        <v>dimensionless</v>
      </c>
      <c r="O31" s="8"/>
      <c r="P31" s="8"/>
      <c r="Q31" s="8"/>
    </row>
    <row r="32" spans="1:17" ht="20.100000000000001" customHeight="1" x14ac:dyDescent="0.25">
      <c r="A32" s="5" t="str">
        <f>HYPERLINK("#'8.1.1.1-2 Transport fuel'!A1", "8.1.1.1-2 Transport fuel")</f>
        <v>8.1.1.1-2 Transport fuel</v>
      </c>
      <c r="D32" s="8"/>
      <c r="E32" s="8"/>
      <c r="F32" s="8"/>
      <c r="G32" s="8"/>
      <c r="H32" s="8"/>
      <c r="J32" s="8"/>
      <c r="M32" s="8"/>
      <c r="N32" s="8"/>
      <c r="O32" s="8"/>
      <c r="P32" s="8"/>
      <c r="Q32" s="8"/>
    </row>
    <row r="33" spans="1:20" ht="20.100000000000001" customHeight="1" x14ac:dyDescent="0.25">
      <c r="A33" s="5" t="str">
        <f>HYPERLINK("#'8.2.1.1-2 Stationary fuel'!A1", "8.2.1.1-2 Stationary fuel")</f>
        <v>8.2.1.1-2 Stationary fuel</v>
      </c>
      <c r="D33" s="88" t="s">
        <v>256</v>
      </c>
      <c r="E33" s="1" t="str" cm="1">
        <f t="array" ref="E33">AgResidue_Equations_CropResidue.VEERG_6_1_1_1__1__NitrousOxideEmissionsFromCropResidues_Variable()</f>
        <v>E</v>
      </c>
      <c r="F33" s="8"/>
      <c r="G33" s="8"/>
      <c r="H33" s="8"/>
      <c r="J33" s="8"/>
      <c r="M33" s="153" t="str" cm="1">
        <f t="array" ref="M33:N34">_xlfn.CHOOSECOLS(AgResidue_Equations_CropResidue.VEERG_6_1_1_2__1a__FractionOfCropResidueRemoved_Arguments(), 1, 2)</f>
        <v>FFOD_cbaled</v>
      </c>
      <c r="N33" s="153" t="str">
        <v>Fraction of crop residue that is removed for crop c, calculated where residues are baled</v>
      </c>
      <c r="O33" s="153"/>
      <c r="P33" s="153"/>
      <c r="Q33" s="153" t="str" cm="1">
        <f t="array" ref="Q33:R34">_xlfn.CHOOSECOLS(AgResidue_Equations_CropResidue.VEERG_6_1_1_2__1a__FractionOfCropResidueRemoved_Arguments(), 3,4)</f>
        <v>fraction</v>
      </c>
      <c r="R33" s="135" t="str">
        <v>Calculated from 6.1.1.2, (1)</v>
      </c>
      <c r="S33" s="153">
        <f>$N$21</f>
        <v>0.1</v>
      </c>
    </row>
    <row r="34" spans="1:20" ht="20.100000000000001" customHeight="1" x14ac:dyDescent="0.25">
      <c r="A34" s="5" t="str">
        <f>HYPERLINK("#'14.1.1-2 Purchased electricity'!A1", "14.1.1-2 Purchased electricity")</f>
        <v>14.1.1-2 Purchased electricity</v>
      </c>
      <c r="D34" s="88" t="s">
        <v>121</v>
      </c>
      <c r="E34" s="15" t="str" cm="1">
        <f t="array" ref="E34">AgResidue_Equations_CropResidue.VEERG_6_1_1_1__1__NitrousOxideEmissionsFromCropResidues_Unit()</f>
        <v>t N2O</v>
      </c>
      <c r="F34" s="8"/>
      <c r="G34" s="8"/>
      <c r="H34" s="8"/>
      <c r="J34" s="8"/>
      <c r="M34" s="153" t="str">
        <v>FFOD_cother</v>
      </c>
      <c r="N34" s="153" t="str">
        <v>Fraction of crop residue that is removed for crop c, calculated where residues are removed by other means</v>
      </c>
      <c r="O34" s="153"/>
      <c r="P34" s="153"/>
      <c r="Q34" s="153" t="str">
        <v>fraction</v>
      </c>
      <c r="R34" s="134" t="str">
        <v>Input</v>
      </c>
      <c r="S34" s="153">
        <f>X_Cell_Crop_PercentResidueGrazed</f>
        <v>0.01</v>
      </c>
    </row>
    <row r="35" spans="1:20" ht="20.100000000000001" customHeight="1" x14ac:dyDescent="0.25">
      <c r="A35" s="5" t="str">
        <f>HYPERLINK("#'15 Scope 3'!A1", "15 Scope 3")</f>
        <v>15 Scope 3</v>
      </c>
      <c r="D35" s="8"/>
      <c r="E35" s="8"/>
      <c r="F35" s="8"/>
      <c r="G35" s="8"/>
      <c r="H35" s="8"/>
      <c r="J35" s="8"/>
      <c r="M35" s="8"/>
      <c r="N35" s="8"/>
      <c r="O35" s="8"/>
      <c r="P35" s="8"/>
      <c r="Q35" s="8"/>
    </row>
    <row r="36" spans="1:20" ht="20.100000000000001" customHeight="1" x14ac:dyDescent="0.25">
      <c r="A36" s="5" t="str">
        <f>HYPERLINK("#'Calcs - Manure sent off-site'!A1", "Calcs - Manure sent off-site")</f>
        <v>Calcs - Manure sent off-site</v>
      </c>
      <c r="D36" s="153" t="str" cm="1">
        <f t="array" ref="D36:E40">_xlfn.CHOOSECOLS(AgResidue_Equations_CropResidue.VEERG_6_1_1_1__1__NitrousOxideEmissionsFromCropResidues_Arguments(), 1, 2)</f>
        <v>M_c</v>
      </c>
      <c r="E36" s="161" t="str">
        <v>mass of nitrogen in crop c residues returned to the soil</v>
      </c>
      <c r="F36" s="163"/>
      <c r="G36" s="153" t="str" cm="1">
        <f t="array" ref="G36:H40">_xlfn.CHOOSECOLS(AgResidue_Equations_CropResidue.VEERG_6_1_1_1__1__NitrousOxideEmissionsFromCropResidues_Arguments(), 3,4)</f>
        <v>kg N</v>
      </c>
      <c r="H36" s="135" t="str">
        <v>Calculated from 6.1.1.1 (2)</v>
      </c>
      <c r="I36" s="153">
        <f>E24</f>
        <v>2975.2799999999997</v>
      </c>
      <c r="J36" s="8"/>
      <c r="M36" s="158" t="s">
        <v>629</v>
      </c>
      <c r="N36" s="145" cm="1">
        <f t="array" ref="N36">AgResidue_Equations_CropResidue.VEERG_6_1_1_2__1a__FractionOfCropResidueRemoved($S$33,$S$34)</f>
        <v>0.11</v>
      </c>
    </row>
    <row r="37" spans="1:20" ht="20.100000000000001" customHeight="1" x14ac:dyDescent="0.25">
      <c r="A37" s="5" t="str">
        <f>HYPERLINK("#'10.1.1-2 Solid waste treatment'!A1", "10.1.1-2 Solid waste treatment")</f>
        <v>10.1.1-2 Solid waste treatment</v>
      </c>
      <c r="D37" s="153" t="str">
        <v>EF_Ni</v>
      </c>
      <c r="E37" s="161" t="str">
        <v>emission factor for crop residues returned to the soil</v>
      </c>
      <c r="F37" s="163"/>
      <c r="G37" s="153" t="str">
        <v>kg N2O-N/kg N</v>
      </c>
      <c r="H37" s="135" t="str">
        <v>Constant</v>
      </c>
      <c r="I37" s="153" cm="1">
        <f t="array" ref="I37">Common_InputFunctions.Utility_LookupValueInTableNumber(I40,Table_SourceData_N2OEFOrganicFert[Climate zone type i],Table_SourceData_N2OEFOrganicFert[EF i N2O])</f>
        <v>5.0000000000000001E-3</v>
      </c>
      <c r="J37" s="8"/>
      <c r="L37" s="8"/>
      <c r="M37" s="8"/>
    </row>
    <row r="38" spans="1:20" ht="20.100000000000001" customHeight="1" x14ac:dyDescent="0.25">
      <c r="D38" s="153" t="str">
        <v>C_N2O</v>
      </c>
      <c r="E38" s="161" t="str">
        <v>factor to convert elemental mass of nitrous oxide to molecular mass</v>
      </c>
      <c r="F38" s="163"/>
      <c r="G38" s="153" t="str">
        <v>dimensionless</v>
      </c>
      <c r="H38" s="135" t="str">
        <v>Constant</v>
      </c>
      <c r="I38" s="153">
        <f>Common_InputFunctions.Utility_LookupValueInTableNumber("N2O",Table_GasToMolecularConversionFactor[Gas],Table_GasToMolecularConversionFactor[Conversion factor combined])</f>
        <v>1.5714285714285714</v>
      </c>
      <c r="J38" s="8"/>
      <c r="L38" s="8"/>
      <c r="M38" s="8"/>
    </row>
    <row r="39" spans="1:20" ht="20.100000000000001" customHeight="1" x14ac:dyDescent="0.25">
      <c r="D39" s="153" t="str">
        <v>c</v>
      </c>
      <c r="E39" s="161" t="str">
        <v>Crop type</v>
      </c>
      <c r="F39" s="163"/>
      <c r="G39" s="153" t="str">
        <v/>
      </c>
      <c r="H39" s="134" t="str">
        <v>Input</v>
      </c>
      <c r="I39" s="153" t="str">
        <f>X_Cell_Crop_CropType</f>
        <v>Wheat</v>
      </c>
      <c r="J39" s="8"/>
      <c r="L39" s="145"/>
      <c r="M39" s="145"/>
      <c r="N39" s="145"/>
      <c r="O39" s="145"/>
      <c r="P39" s="145"/>
      <c r="Q39" s="145"/>
      <c r="R39" s="145"/>
      <c r="S39" s="145"/>
      <c r="T39" s="145"/>
    </row>
    <row r="40" spans="1:20" ht="20.100000000000001" customHeight="1" x14ac:dyDescent="0.25">
      <c r="A40" s="119" t="s">
        <v>1</v>
      </c>
      <c r="D40" s="153" t="str">
        <v>i</v>
      </c>
      <c r="E40" s="161" t="str">
        <v>Wet or dry climate zone</v>
      </c>
      <c r="F40" s="163"/>
      <c r="G40" s="153" t="str">
        <v/>
      </c>
      <c r="H40" s="134" t="str">
        <v>Input</v>
      </c>
      <c r="I40" s="153" t="str">
        <f>X_Cell_Site_WetOrDryClimateZone</f>
        <v>Dry climate zone</v>
      </c>
      <c r="M40" s="2" t="str" cm="1">
        <f t="array" ref="M40">AgResidue_Equations_CropResidue.VEERG_6_1_1_1__2__MassOfNitrogenInCropResidues_Title()</f>
        <v>Mass of nitrogen in crop residues returned to the soil</v>
      </c>
      <c r="N40" s="8"/>
      <c r="O40" s="8"/>
      <c r="P40" s="8"/>
      <c r="Q40" s="8"/>
    </row>
    <row r="41" spans="1:20" ht="20.100000000000001" customHeight="1" x14ac:dyDescent="0.25">
      <c r="A41" s="5" t="str">
        <f>HYPERLINK("#'Constants - Ag Residue'!A1", "Constants - Ag residue")</f>
        <v>Constants - Ag residue</v>
      </c>
      <c r="D41" s="8"/>
      <c r="E41" s="8"/>
      <c r="F41" s="8"/>
      <c r="G41" s="8"/>
      <c r="H41" s="8"/>
      <c r="L41" s="8"/>
      <c r="M41" s="27" t="str" cm="1">
        <f t="array" ref="M41">AgResidue_Equations_CropResidue.VEERG_6_1_1_1__2__MassOfNitrogenInCropResidues_Source()</f>
        <v>VEERG 2026: 6.1.1.1, Equation (2)</v>
      </c>
      <c r="N41" s="8"/>
      <c r="O41" s="8"/>
      <c r="P41" s="8"/>
      <c r="Q41" s="8"/>
    </row>
    <row r="42" spans="1:20" ht="20.100000000000001" customHeight="1" x14ac:dyDescent="0.25">
      <c r="A42" s="5" t="str">
        <f>HYPERLINK("#'Constants - Common Livestock'!A1", "Constants - Common Livestock")</f>
        <v>Constants - Common Livestock</v>
      </c>
      <c r="D42" s="148" t="s">
        <v>286</v>
      </c>
      <c r="E42" s="149" cm="1">
        <f t="array" ref="E42">AgResidue_Equations_CropResidue.VEERG_6_1_1_1__1__NitrousOxideEmissionsFromCropResidues(I36,I37,I38)</f>
        <v>2.3377199999999997E-2</v>
      </c>
      <c r="F42" s="150" t="str">
        <f>$E$34</f>
        <v>t N2O</v>
      </c>
      <c r="H42" s="8"/>
      <c r="L42" s="8"/>
      <c r="M42" s="130" t="s">
        <v>255</v>
      </c>
      <c r="N42" s="130" t="str" cm="1">
        <f t="array" aca="1" ref="N42" ca="1">Common_InputFunctions.Utility_DisplayFunctionName(N59)</f>
        <v>=AgResidue_Equations_CropResidue.VEERG_6_1_1_1__2__MassOfNitrogenInCropResidues</v>
      </c>
      <c r="O42" s="8"/>
      <c r="P42" s="8"/>
      <c r="Q42" s="8"/>
    </row>
    <row r="43" spans="1:20" ht="20.100000000000001" customHeight="1" x14ac:dyDescent="0.25">
      <c r="A43" s="5" t="str">
        <f>HYPERLINK("#'Constants - Electricity'!A1", "Constants - Electricity")</f>
        <v>Constants - Electricity</v>
      </c>
      <c r="H43" s="8"/>
      <c r="L43" s="8"/>
      <c r="O43" s="8"/>
      <c r="P43" s="8"/>
      <c r="Q43" s="8"/>
    </row>
    <row r="44" spans="1:20" ht="20.100000000000001" customHeight="1" x14ac:dyDescent="0.25">
      <c r="A44" s="5" t="str">
        <f>HYPERLINK("#'Constants - Fertiliser'!A1", "Constants - Fertiliser")</f>
        <v>Constants - Fertiliser</v>
      </c>
      <c r="D44" s="131" t="str" cm="1">
        <f t="array" ref="D44:E45">Common_Equations.Common_ConvertN2OToCO2e_Arguments()</f>
        <v>EN2O</v>
      </c>
      <c r="E44" s="132" t="str">
        <v>Nitrous oxide emissions (t N2O)</v>
      </c>
      <c r="F44" s="151"/>
      <c r="G44" s="25">
        <f>E42</f>
        <v>2.3377199999999997E-2</v>
      </c>
      <c r="L44" s="8"/>
      <c r="M44" s="8"/>
      <c r="N44" s="8"/>
      <c r="O44" s="8"/>
      <c r="P44" s="8"/>
      <c r="Q44" s="8"/>
    </row>
    <row r="45" spans="1:20" ht="20.100000000000001" customHeight="1" x14ac:dyDescent="0.25">
      <c r="A45" s="5" t="str">
        <f>HYPERLINK("#'Constants - Fuel'!A1", "Constants - Fuel")</f>
        <v>Constants - Fuel</v>
      </c>
      <c r="D45" s="131" t="str">
        <v>GWPN2O</v>
      </c>
      <c r="E45" s="132" t="str">
        <v>Global warming potential for nitrous oxide (t CO2-e / t N2O)</v>
      </c>
      <c r="F45" s="151"/>
      <c r="G45" s="25">
        <f>Common_InputFunctions.Utility_LookupValueInTableNumber("N2O",Table_GWPData[Gas],Table_GWPData[CO2-e factor])</f>
        <v>265</v>
      </c>
      <c r="J45" s="8"/>
      <c r="L45" s="8"/>
      <c r="M45" s="88" t="s">
        <v>256</v>
      </c>
      <c r="N45" s="1" t="str" cm="1">
        <f t="array" ref="N45">AgResidue_Equations_CropResidue.VEERG_6_1_1_1__2__MassOfNitrogenInCropResidues_Variable()</f>
        <v>M_c</v>
      </c>
      <c r="O45" s="8"/>
      <c r="P45" s="8"/>
      <c r="Q45" s="8"/>
    </row>
    <row r="46" spans="1:20" ht="20.100000000000001" customHeight="1" x14ac:dyDescent="0.25">
      <c r="A46" s="5" t="str">
        <f>HYPERLINK("#'Constants - Scope 3'!A1", "Constants - Scope 3")</f>
        <v>Constants - Scope 3</v>
      </c>
      <c r="H46" s="8"/>
      <c r="J46" s="8"/>
      <c r="L46" s="8"/>
      <c r="M46" s="88" t="s">
        <v>121</v>
      </c>
      <c r="N46" s="15" t="str" cm="1">
        <f t="array" ref="N46">AgResidue_Equations_CropResidue.VEERG_6_1_1_1__2__MassOfNitrogenInCropResidues_Unit()</f>
        <v>kg N</v>
      </c>
      <c r="O46" s="8"/>
      <c r="P46" s="8"/>
      <c r="Q46" s="8"/>
    </row>
    <row r="47" spans="1:20" ht="20.100000000000001" customHeight="1" x14ac:dyDescent="0.25">
      <c r="A47" s="5" t="str">
        <f>HYPERLINK("#'Constants - Common'!A1", "Constants - Common")</f>
        <v>Constants - Common</v>
      </c>
      <c r="D47" s="145" t="s">
        <v>287</v>
      </c>
      <c r="E47" s="145" cm="1">
        <f t="array" ref="E47">Common_Equations.Common_ConvertN2OToCO2e(G44,G45)</f>
        <v>6.1949579999999989</v>
      </c>
      <c r="F47" s="152" t="str" cm="1">
        <f t="array" ref="F47">Common_Equations.Common_ConvertN2OToCO2e_Unit()</f>
        <v>t CO2e</v>
      </c>
      <c r="H47" s="8"/>
      <c r="J47" s="8"/>
      <c r="L47" s="8"/>
      <c r="M47" s="8"/>
      <c r="N47" s="8"/>
      <c r="O47" s="8"/>
      <c r="P47" s="8"/>
    </row>
    <row r="48" spans="1:20" ht="20.100000000000001" customHeight="1" x14ac:dyDescent="0.25">
      <c r="A48" s="5" t="str">
        <f>HYPERLINK("#'Constants - Solid Waste'!A1", "Constants - Solid Waste")</f>
        <v>Constants - Solid Waste</v>
      </c>
      <c r="D48" s="8"/>
      <c r="E48" s="8"/>
      <c r="F48" s="231"/>
      <c r="G48" s="8"/>
      <c r="H48" s="8"/>
      <c r="I48" s="8"/>
      <c r="J48" s="8"/>
      <c r="L48" s="8"/>
      <c r="M48" s="153" t="str" cm="1">
        <f t="array" ref="M48:N57">_xlfn.CHOOSECOLS(AgResidue_Equations_CropResidue.VEERG_6_1_1_1__2__MassOfNitrogenInCropResidues_Arguments_Method2(), 1, 2)</f>
        <v>P_c</v>
      </c>
      <c r="N48" s="161" t="str">
        <v>annual production of crop c</v>
      </c>
      <c r="O48" s="163"/>
      <c r="P48" s="153" t="str" cm="1">
        <f t="array" ref="P48:Q57">_xlfn.CHOOSECOLS(AgResidue_Equations_CropResidue.VEERG_6_1_1_1__2__MassOfNitrogenInCropResidues_Arguments_Method2(), 3,4)</f>
        <v>kg</v>
      </c>
      <c r="Q48" s="134" t="str">
        <v>Input</v>
      </c>
      <c r="R48" s="153"/>
    </row>
    <row r="49" spans="10:20" ht="20.100000000000001" customHeight="1" x14ac:dyDescent="0.25">
      <c r="J49" s="8"/>
      <c r="M49" s="153" t="str">
        <v>R_AGc</v>
      </c>
      <c r="N49" s="161" t="str">
        <v>residue to crop ratio for crop c</v>
      </c>
      <c r="O49" s="163"/>
      <c r="P49" s="153" t="str">
        <v/>
      </c>
      <c r="Q49" s="135" t="str">
        <v>Constant</v>
      </c>
      <c r="R49" s="153"/>
    </row>
    <row r="50" spans="10:20" ht="20.100000000000001" customHeight="1" x14ac:dyDescent="0.25">
      <c r="J50" s="8"/>
      <c r="M50" s="153" t="str">
        <v>R_BGc</v>
      </c>
      <c r="N50" s="161" t="str">
        <v>below ground-residue to above ground residue ratio for crop c</v>
      </c>
      <c r="O50" s="163"/>
      <c r="P50" s="153" t="str">
        <v/>
      </c>
      <c r="Q50" s="135" t="str">
        <v>Constant</v>
      </c>
      <c r="R50" s="153"/>
    </row>
    <row r="51" spans="10:20" ht="20.100000000000001" customHeight="1" x14ac:dyDescent="0.25">
      <c r="J51" s="8"/>
      <c r="M51" s="153" t="str">
        <v>F_c</v>
      </c>
      <c r="N51" s="161" t="str">
        <v>fraction of crop residue that is burnt for crop c</v>
      </c>
      <c r="O51" s="163"/>
      <c r="P51" s="153" t="str">
        <v>fraction</v>
      </c>
      <c r="Q51" s="134" t="str">
        <v>Input</v>
      </c>
      <c r="R51" s="153"/>
    </row>
    <row r="52" spans="10:20" ht="20.100000000000001" customHeight="1" x14ac:dyDescent="0.25">
      <c r="J52" s="8"/>
      <c r="M52" s="153" t="str">
        <v>FFOD_c</v>
      </c>
      <c r="N52" s="161" t="str">
        <v>fraction of the crop residue that is removed for crop c</v>
      </c>
      <c r="O52" s="163"/>
      <c r="P52" s="153" t="str">
        <v>fraction</v>
      </c>
      <c r="Q52" s="135" t="str">
        <v>Calculated from 6.1.1.2 (1)</v>
      </c>
      <c r="R52" s="153">
        <f>N36</f>
        <v>0.11</v>
      </c>
    </row>
    <row r="53" spans="10:20" ht="20.100000000000001" customHeight="1" x14ac:dyDescent="0.25">
      <c r="M53" s="153" t="str">
        <v>DM_c</v>
      </c>
      <c r="N53" s="161" t="str">
        <v>dry matter content of crop c</v>
      </c>
      <c r="O53" s="163"/>
      <c r="P53" s="153" t="str">
        <v>kg dry weight/kg crop residue</v>
      </c>
      <c r="Q53" s="135" t="str">
        <v>Constant</v>
      </c>
      <c r="R53" s="153"/>
    </row>
    <row r="54" spans="10:20" ht="20.100000000000001" customHeight="1" x14ac:dyDescent="0.25">
      <c r="M54" s="153" t="str">
        <v>NC_AGc</v>
      </c>
      <c r="N54" s="161" t="str">
        <v>nitrogen content of above-ground crop residue of crop c</v>
      </c>
      <c r="O54" s="163"/>
      <c r="P54" s="153" t="str">
        <v>kg N/kg DM</v>
      </c>
      <c r="Q54" s="135" t="str">
        <v>Constant</v>
      </c>
      <c r="R54" s="153"/>
    </row>
    <row r="55" spans="10:20" ht="20.100000000000001" customHeight="1" x14ac:dyDescent="0.25">
      <c r="M55" s="153" t="str">
        <v>NC_BGc</v>
      </c>
      <c r="N55" s="161" t="str">
        <v>nitrogen content of below-ground crop residue of crop c</v>
      </c>
      <c r="O55" s="163"/>
      <c r="P55" s="153" t="str">
        <v>kg N/kg DM</v>
      </c>
      <c r="Q55" s="135" t="str">
        <v>Constant</v>
      </c>
      <c r="R55" s="153"/>
    </row>
    <row r="56" spans="10:20" ht="20.100000000000001" customHeight="1" x14ac:dyDescent="0.25">
      <c r="M56" s="153" t="str">
        <v>c</v>
      </c>
      <c r="N56" s="161" t="str">
        <v>Crop type</v>
      </c>
      <c r="O56" s="163"/>
      <c r="P56" s="153" t="str">
        <v/>
      </c>
      <c r="Q56" s="134" t="str">
        <v>Input</v>
      </c>
      <c r="R56" s="153"/>
    </row>
    <row r="57" spans="10:20" ht="20.100000000000001" customHeight="1" x14ac:dyDescent="0.25">
      <c r="M57" s="153" t="str">
        <v>State</v>
      </c>
      <c r="N57" s="161" t="str">
        <v>State or territory</v>
      </c>
      <c r="O57" s="163"/>
      <c r="P57" s="153" t="str">
        <v/>
      </c>
      <c r="Q57" s="134" t="str">
        <v>Input</v>
      </c>
      <c r="R57" s="153"/>
    </row>
    <row r="58" spans="10:20" ht="20.100000000000001" customHeight="1" x14ac:dyDescent="0.25">
      <c r="M58" s="8"/>
      <c r="N58" s="8"/>
      <c r="O58" s="8"/>
      <c r="P58" s="8"/>
      <c r="Q58" s="8"/>
    </row>
    <row r="59" spans="10:20" ht="20.100000000000001" customHeight="1" x14ac:dyDescent="0.25">
      <c r="M59" s="158" t="s">
        <v>628</v>
      </c>
      <c r="N59" s="229" cm="1">
        <f t="array" ref="N59">AgResidue_Equations_CropResidue.VEERG_6_1_1_1__2__MassOfNitrogenInCropResidues(I13,I14,I16,R52,I18,I19,I15,I20)</f>
        <v>2975.2799999999997</v>
      </c>
      <c r="O59" s="159" t="str">
        <f>$E$11</f>
        <v>kg N</v>
      </c>
    </row>
    <row r="60" spans="10:20" ht="20.100000000000001" customHeight="1" x14ac:dyDescent="0.25">
      <c r="M60" s="88"/>
      <c r="N60" s="8"/>
      <c r="O60" s="8"/>
      <c r="P60" s="8"/>
      <c r="Q60" s="8"/>
    </row>
    <row r="61" spans="10:20" ht="20.100000000000001" customHeight="1" x14ac:dyDescent="0.25">
      <c r="M61" s="8"/>
      <c r="N61" s="8"/>
      <c r="O61" s="8"/>
      <c r="P61" s="8"/>
      <c r="Q61" s="8"/>
    </row>
    <row r="62" spans="10:20" ht="20.100000000000001" customHeight="1" x14ac:dyDescent="0.25">
      <c r="L62" s="230"/>
      <c r="M62" s="230"/>
      <c r="N62" s="230"/>
      <c r="O62" s="230"/>
      <c r="P62" s="230"/>
      <c r="Q62" s="230"/>
      <c r="R62" s="230"/>
      <c r="S62" s="230"/>
      <c r="T62" s="230"/>
    </row>
    <row r="63" spans="10:20" ht="20.100000000000001" customHeight="1" x14ac:dyDescent="0.25">
      <c r="L63" s="8"/>
      <c r="M63" s="2" t="str" cm="1">
        <f t="array" ref="M63">AgResidue_Equations_CropResidue.VEERG_6_1_1_1__1__NitrousOxideEmissionsFromCropResidues_Title()</f>
        <v>Nitrous oxide emissions from the return of crop residues across all crops c to the soil</v>
      </c>
      <c r="N63" s="8"/>
      <c r="O63" s="8"/>
      <c r="P63" s="8"/>
      <c r="Q63" s="8"/>
    </row>
    <row r="64" spans="10:20" ht="20.100000000000001" customHeight="1" x14ac:dyDescent="0.25">
      <c r="M64" s="27" t="str" cm="1">
        <f t="array" ref="M64">AgResidue_Equations_CropResidue.VEERG_6_1_1_1__1__NitrousOxideEmissionsFromCropResidues_Source()</f>
        <v>VEERG 2026: 6.1.1.1, Equation (1)</v>
      </c>
      <c r="N64" s="8"/>
      <c r="O64" s="8"/>
      <c r="P64" s="8"/>
      <c r="Q64" s="8"/>
    </row>
    <row r="65" spans="12:18" ht="20.100000000000001" customHeight="1" x14ac:dyDescent="0.25">
      <c r="L65" s="8"/>
      <c r="M65" s="130" t="s">
        <v>255</v>
      </c>
      <c r="N65" s="130" t="str" cm="1">
        <f t="array" aca="1" ref="N65" ca="1">Common_InputFunctions.Utility_DisplayFunctionName(N77)</f>
        <v>=AgResidue_Equations_CropResidue.VEERG_6_1_1_1__1__NitrousOxideEmissionsFromCropResidues</v>
      </c>
      <c r="O65" s="8"/>
      <c r="P65" s="8"/>
      <c r="Q65" s="8"/>
    </row>
    <row r="66" spans="12:18" ht="20.100000000000001" customHeight="1" x14ac:dyDescent="0.25">
      <c r="L66" s="8"/>
      <c r="O66" s="8"/>
      <c r="P66" s="8"/>
      <c r="Q66" s="8"/>
    </row>
    <row r="67" spans="12:18" ht="20.100000000000001" customHeight="1" x14ac:dyDescent="0.25">
      <c r="L67" s="8"/>
      <c r="M67" s="8"/>
      <c r="N67" s="8"/>
      <c r="O67" s="8"/>
      <c r="P67" s="8"/>
      <c r="Q67" s="8"/>
    </row>
    <row r="68" spans="12:18" ht="20.100000000000001" customHeight="1" x14ac:dyDescent="0.25">
      <c r="L68" s="8"/>
      <c r="M68" s="88" t="s">
        <v>256</v>
      </c>
      <c r="N68" s="1" t="str" cm="1">
        <f t="array" ref="N68">AgResidue_Equations_CropResidue.VEERG_6_1_1_1__1__NitrousOxideEmissionsFromCropResidues_Variable()</f>
        <v>E</v>
      </c>
      <c r="O68" s="8"/>
      <c r="P68" s="8"/>
      <c r="Q68" s="8"/>
    </row>
    <row r="69" spans="12:18" ht="20.100000000000001" customHeight="1" x14ac:dyDescent="0.25">
      <c r="L69" s="8"/>
      <c r="M69" s="88" t="s">
        <v>121</v>
      </c>
      <c r="N69" s="15" t="str" cm="1">
        <f t="array" ref="N69">AgResidue_Equations_CropResidue.VEERG_6_1_1_1__1__NitrousOxideEmissionsFromCropResidues_Unit()</f>
        <v>t N2O</v>
      </c>
      <c r="O69" s="8"/>
      <c r="P69" s="8"/>
      <c r="Q69" s="8"/>
    </row>
    <row r="70" spans="12:18" ht="20.100000000000001" customHeight="1" x14ac:dyDescent="0.25">
      <c r="L70" s="8"/>
      <c r="M70" s="8"/>
      <c r="N70" s="8"/>
      <c r="O70" s="8"/>
      <c r="P70" s="8"/>
      <c r="Q70" s="8"/>
    </row>
    <row r="71" spans="12:18" ht="20.100000000000001" customHeight="1" x14ac:dyDescent="0.25">
      <c r="L71" s="8"/>
      <c r="M71" s="153" t="str" cm="1">
        <f t="array" ref="M71:N75">_xlfn.CHOOSECOLS(AgResidue_Equations_CropResidue.VEERG_6_1_1_1__1__NitrousOxideEmissionsFromCropResidues_Arguments(), 1, 2)</f>
        <v>M_c</v>
      </c>
      <c r="N71" s="161" t="str">
        <v>mass of nitrogen in crop c residues returned to the soil</v>
      </c>
      <c r="O71" s="163"/>
      <c r="P71" s="153" t="str" cm="1">
        <f t="array" ref="P71:Q75">_xlfn.CHOOSECOLS(AgResidue_Equations_CropResidue.VEERG_6_1_1_1__1__NitrousOxideEmissionsFromCropResidues_Arguments(), 3,4)</f>
        <v>kg N</v>
      </c>
      <c r="Q71" s="135" t="str">
        <v>Calculated from 6.1.1.1 (2)</v>
      </c>
      <c r="R71" s="153">
        <f>N59</f>
        <v>2975.2799999999997</v>
      </c>
    </row>
    <row r="72" spans="12:18" ht="20.100000000000001" customHeight="1" x14ac:dyDescent="0.25">
      <c r="L72" s="8"/>
      <c r="M72" s="153" t="str">
        <v>EF_Ni</v>
      </c>
      <c r="N72" s="161" t="str">
        <v>emission factor for crop residues returned to the soil</v>
      </c>
      <c r="O72" s="163"/>
      <c r="P72" s="153" t="str">
        <v>kg N2O-N/kg N</v>
      </c>
      <c r="Q72" s="135" t="str">
        <v>Constant</v>
      </c>
      <c r="R72" s="153" cm="1">
        <f t="array" ref="R72">Common_InputFunctions.Utility_LookupValueInTableNumber(R75,Table_SourceData_N2OEFOrganicFert[Climate zone type i],Table_SourceData_N2OEFOrganicFert[EF i N2O])</f>
        <v>5.0000000000000001E-3</v>
      </c>
    </row>
    <row r="73" spans="12:18" ht="20.100000000000001" customHeight="1" x14ac:dyDescent="0.25">
      <c r="L73" s="8"/>
      <c r="M73" s="153" t="str">
        <v>C_N2O</v>
      </c>
      <c r="N73" s="161" t="str">
        <v>factor to convert elemental mass of nitrous oxide to molecular mass</v>
      </c>
      <c r="O73" s="163"/>
      <c r="P73" s="153" t="str">
        <v>dimensionless</v>
      </c>
      <c r="Q73" s="135" t="str">
        <v>Constant</v>
      </c>
      <c r="R73" s="153">
        <f>Common_InputFunctions.Utility_LookupValueInTableNumber("N2O",Table_GasToMolecularConversionFactor[Gas],Table_GasToMolecularConversionFactor[Conversion factor combined])</f>
        <v>1.5714285714285714</v>
      </c>
    </row>
    <row r="74" spans="12:18" ht="20.100000000000001" customHeight="1" x14ac:dyDescent="0.25">
      <c r="L74" s="8"/>
      <c r="M74" s="153" t="str">
        <v>c</v>
      </c>
      <c r="N74" s="161" t="str">
        <v>Crop type</v>
      </c>
      <c r="O74" s="163"/>
      <c r="P74" s="153" t="str">
        <v/>
      </c>
      <c r="Q74" s="134" t="str">
        <v>Input</v>
      </c>
      <c r="R74" s="153" t="str">
        <f>X_Cell_Crop_CropType</f>
        <v>Wheat</v>
      </c>
    </row>
    <row r="75" spans="12:18" ht="20.100000000000001" customHeight="1" x14ac:dyDescent="0.25">
      <c r="L75" s="8"/>
      <c r="M75" s="153" t="str">
        <v>i</v>
      </c>
      <c r="N75" s="161" t="str">
        <v>Wet or dry climate zone</v>
      </c>
      <c r="O75" s="163"/>
      <c r="P75" s="153" t="str">
        <v/>
      </c>
      <c r="Q75" s="134" t="str">
        <v>Input</v>
      </c>
      <c r="R75" s="153" t="str">
        <f>X_Cell_Site_WetOrDryClimateZone</f>
        <v>Dry climate zone</v>
      </c>
    </row>
    <row r="76" spans="12:18" ht="20.100000000000001" customHeight="1" x14ac:dyDescent="0.25">
      <c r="L76" s="8"/>
      <c r="M76" s="8"/>
      <c r="N76" s="8"/>
      <c r="O76" s="8"/>
      <c r="P76" s="8"/>
      <c r="Q76" s="8"/>
    </row>
    <row r="77" spans="12:18" ht="20.100000000000001" customHeight="1" x14ac:dyDescent="0.25">
      <c r="L77" s="8"/>
      <c r="M77" s="148" t="s">
        <v>286</v>
      </c>
      <c r="N77" s="149" cm="1">
        <f t="array" ref="N77">AgResidue_Equations_CropResidue.VEERG_6_1_1_1__1__NitrousOxideEmissionsFromCropResidues(R71,R72,R73)</f>
        <v>2.3377199999999997E-2</v>
      </c>
      <c r="O77" s="150" t="str">
        <f>$E$34</f>
        <v>t N2O</v>
      </c>
      <c r="Q77" s="8"/>
    </row>
    <row r="78" spans="12:18" ht="20.100000000000001" customHeight="1" x14ac:dyDescent="0.25">
      <c r="L78" s="8"/>
      <c r="Q78" s="8"/>
    </row>
    <row r="79" spans="12:18" ht="20.100000000000001" customHeight="1" x14ac:dyDescent="0.25">
      <c r="L79" s="8"/>
      <c r="M79" s="131" t="str" cm="1">
        <f t="array" ref="M79:N80">Common_Equations.Common_ConvertN2OToCO2e_Arguments()</f>
        <v>EN2O</v>
      </c>
      <c r="N79" s="132" t="str">
        <v>Nitrous oxide emissions (t N2O)</v>
      </c>
      <c r="O79" s="151"/>
      <c r="P79" s="25">
        <f>N77</f>
        <v>2.3377199999999997E-2</v>
      </c>
    </row>
    <row r="80" spans="12:18" ht="20.100000000000001" customHeight="1" x14ac:dyDescent="0.25">
      <c r="L80" s="8"/>
      <c r="M80" s="131" t="str">
        <v>GWPN2O</v>
      </c>
      <c r="N80" s="132" t="str">
        <v>Global warming potential for nitrous oxide (t CO2-e / t N2O)</v>
      </c>
      <c r="O80" s="151"/>
      <c r="P80" s="25">
        <f>Common_InputFunctions.Utility_LookupValueInTableNumber("N2O",Table_GWPData[Gas],Table_GWPData[CO2-e factor])</f>
        <v>265</v>
      </c>
    </row>
    <row r="81" spans="12:18" ht="20.100000000000001" customHeight="1" x14ac:dyDescent="0.25">
      <c r="L81" s="8"/>
      <c r="Q81" s="8"/>
    </row>
    <row r="82" spans="12:18" ht="20.100000000000001" customHeight="1" x14ac:dyDescent="0.25">
      <c r="L82" s="8"/>
      <c r="M82" s="145" t="s">
        <v>287</v>
      </c>
      <c r="N82" s="145" cm="1">
        <f t="array" ref="N82">Common_Equations.Common_ConvertN2OToCO2e(P79,P80)</f>
        <v>6.1949579999999989</v>
      </c>
      <c r="O82" s="152" t="str" cm="1">
        <f t="array" ref="O82">Common_Equations.Common_ConvertN2OToCO2e_Unit()</f>
        <v>t CO2e</v>
      </c>
      <c r="Q82" s="8"/>
    </row>
    <row r="83" spans="12:18" ht="20.100000000000001" customHeight="1" x14ac:dyDescent="0.25">
      <c r="L83" s="8"/>
      <c r="M83" s="8"/>
      <c r="N83" s="8"/>
      <c r="O83" s="231"/>
      <c r="P83" s="8"/>
      <c r="Q83" s="8"/>
      <c r="R83" s="8"/>
    </row>
    <row r="84" spans="12:18" ht="20.100000000000001" customHeight="1" x14ac:dyDescent="0.25">
      <c r="L84" s="8"/>
    </row>
    <row r="85" spans="12:18" ht="20.100000000000001" customHeight="1" x14ac:dyDescent="0.25">
      <c r="L85" s="8"/>
    </row>
    <row r="86" spans="12:18" ht="20.100000000000001" customHeight="1" x14ac:dyDescent="0.25">
      <c r="L86" s="8"/>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F6380A93-A25C-40DA-95B3-20C97EC19792}"/>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13EA2-0B30-4EFE-80E9-0C8E16760838}">
  <dimension ref="A1:T165"/>
  <sheetViews>
    <sheetView showGridLines="0" topLeftCell="A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630</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0" t="s">
        <v>255</v>
      </c>
      <c r="E7" s="130" t="str" cm="1">
        <f t="array" aca="1" ref="E7" ca="1">Common_InputFunctions.Utility_DisplayFunctionName(I24)</f>
        <v>=AgResidue_Equations_Leaching.VEERG_6_3_1_1__2__MassOfNitrogenLostThroughLeachingAndRunoff</v>
      </c>
      <c r="F7" s="13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256</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3" t="str" cm="1">
        <f t="array" ref="D13:E19">_xlfn.CHOOSECOLS(AgResidue_Equations_Leaching.VEERG_6_3_1_1__2__MassOfNitrogenLostThroughLeachingAndRunoff_Arguments(), 1,2)</f>
        <v>M_cp</v>
      </c>
      <c r="E13" s="161" t="str">
        <v>mass of nitrogen in crop residues c or pasture residues p applied to soils</v>
      </c>
      <c r="F13" s="162"/>
      <c r="G13" s="163"/>
      <c r="H13" s="153" t="str" cm="1">
        <f t="array" ref="H13:I19">_xlfn.CHOOSECOLS(AgResidue_Equations_Leaching.VEERG_6_3_1_1__2__MassOfNitrogenLostThroughLeachingAndRunoff_Arguments(), 3,4)</f>
        <v>kg N</v>
      </c>
      <c r="I13" s="135" t="str">
        <v>Calc from 6.1.1.1 (2) and 6.2.1.1 (2)</v>
      </c>
      <c r="J13" s="138" t="str" cm="1">
        <f t="array" aca="1" ref="J13" ca="1">HYPERLINK(Common_InputFunctions.Utility_SourceHyperlink($D$21), $D$21)</f>
        <v>M1_Table_M_leach_cp</v>
      </c>
      <c r="K13" s="8"/>
    </row>
    <row r="14" spans="1:20" ht="20.100000000000001" customHeight="1" x14ac:dyDescent="0.25">
      <c r="A14" s="5" t="str">
        <f>HYPERLINK("#'Input - Fuel'!A1", "Fuel")</f>
        <v>Fuel</v>
      </c>
      <c r="C14" s="8"/>
      <c r="D14" s="153" t="str">
        <v>FracWET_j</v>
      </c>
      <c r="E14" s="161" t="str">
        <v>fraction of N that is available for leaching and runoff from the leaching zone z and irrigation type ir</v>
      </c>
      <c r="F14" s="162"/>
      <c r="G14" s="163"/>
      <c r="H14" s="153" t="str">
        <v>fraction</v>
      </c>
      <c r="I14" s="135" t="str">
        <v>Constant</v>
      </c>
      <c r="J14" s="138"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3" t="str">
        <v>FracLEACH</v>
      </c>
      <c r="E15" s="161" t="str">
        <v>fraction of N that is lost through leaching and runoff</v>
      </c>
      <c r="F15" s="162"/>
      <c r="G15" s="163"/>
      <c r="H15" s="153" t="str">
        <v>fraction</v>
      </c>
      <c r="I15" s="135" t="str">
        <v>Constant</v>
      </c>
      <c r="J15" s="153">
        <f>'Constants - Common'!$E$164</f>
        <v>0.24</v>
      </c>
      <c r="K15" s="8"/>
    </row>
    <row r="16" spans="1:20" ht="20.100000000000001" customHeight="1" x14ac:dyDescent="0.25">
      <c r="A16" s="5" t="str">
        <f>HYPERLINK("#'Input - Farm Inputs'!A1", "Farm Inputs")</f>
        <v>Farm Inputs</v>
      </c>
      <c r="C16" s="8"/>
      <c r="D16" s="153" t="str">
        <v>z</v>
      </c>
      <c r="E16" s="161" t="str">
        <v>Location in leaching zone</v>
      </c>
      <c r="F16" s="162"/>
      <c r="G16" s="163"/>
      <c r="H16" s="153" t="str">
        <v/>
      </c>
      <c r="I16" s="134" t="str">
        <v>Input</v>
      </c>
      <c r="J16" s="138" t="str" cm="1">
        <f t="array" aca="1" ref="J16" ca="1">HYPERLINK(Common_InputFunctions.Utility_SourceHyperlink($D$21), $D$21)</f>
        <v>M1_Table_M_leach_cp</v>
      </c>
      <c r="K16" s="8"/>
    </row>
    <row r="17" spans="1:20" ht="20.100000000000001" customHeight="1" x14ac:dyDescent="0.25">
      <c r="A17" s="5" t="str">
        <f>HYPERLINK("#'Input - Freight'!A1", "Freight")</f>
        <v>Freight</v>
      </c>
      <c r="C17" s="8"/>
      <c r="D17" s="153" t="str">
        <v>c</v>
      </c>
      <c r="E17" s="161" t="str">
        <v>Crop residue type</v>
      </c>
      <c r="F17" s="162"/>
      <c r="G17" s="163"/>
      <c r="H17" s="153" t="str">
        <v/>
      </c>
      <c r="I17" s="134" t="str">
        <v>Input</v>
      </c>
      <c r="J17" s="153" t="str">
        <f>X_Cell_Crop_CropType</f>
        <v>Wheat</v>
      </c>
      <c r="K17" s="8"/>
    </row>
    <row r="18" spans="1:20" ht="20.100000000000001" customHeight="1" x14ac:dyDescent="0.25">
      <c r="A18" s="5" t="str">
        <f>HYPERLINK("#'Input - Manure sent off-site'!A1", "Manure sent off-site")</f>
        <v>Manure sent off-site</v>
      </c>
      <c r="C18" s="8"/>
      <c r="D18" s="153" t="str">
        <v>p</v>
      </c>
      <c r="E18" s="161" t="str">
        <v>Pasture residue type</v>
      </c>
      <c r="F18" s="162"/>
      <c r="G18" s="163"/>
      <c r="H18" s="153" t="str">
        <v/>
      </c>
      <c r="I18" s="134" t="str">
        <v>Input</v>
      </c>
      <c r="J18" s="153" t="s">
        <v>127</v>
      </c>
      <c r="K18" s="8"/>
    </row>
    <row r="19" spans="1:20" ht="20.100000000000001" customHeight="1" x14ac:dyDescent="0.25">
      <c r="A19" s="5" t="str">
        <f>HYPERLINK("#'Input - Solid waste'!A1", "Solid waste")</f>
        <v>Solid waste</v>
      </c>
      <c r="C19" s="8"/>
      <c r="D19" s="153" t="str">
        <v>ir</v>
      </c>
      <c r="E19" s="161" t="str">
        <v>Irrigation type</v>
      </c>
      <c r="F19" s="162"/>
      <c r="G19" s="163"/>
      <c r="H19" s="153" t="str">
        <v/>
      </c>
      <c r="I19" s="134" t="str">
        <v>Input</v>
      </c>
      <c r="J19" s="138" t="str" cm="1">
        <f t="array" aca="1" ref="J19" ca="1">HYPERLINK(Common_InputFunctions.Utility_SourceHyperlink($D$21), $D$21)</f>
        <v>M1_Table_M_leach_cp</v>
      </c>
      <c r="K19" s="8"/>
    </row>
    <row r="20" spans="1:20" ht="20.100000000000001" customHeight="1" x14ac:dyDescent="0.25">
      <c r="C20" s="8"/>
      <c r="D20" s="8"/>
      <c r="E20" s="8"/>
      <c r="F20" s="8"/>
      <c r="G20" s="8"/>
      <c r="H20" s="8"/>
      <c r="I20" s="8"/>
      <c r="J20" s="8"/>
      <c r="K20" s="8"/>
    </row>
    <row r="21" spans="1:20" ht="20.100000000000001" customHeight="1" x14ac:dyDescent="0.25">
      <c r="C21" s="8"/>
      <c r="D21" s="141" t="s">
        <v>631</v>
      </c>
      <c r="E21" s="8"/>
      <c r="F21" s="8"/>
      <c r="G21" s="8"/>
      <c r="H21" s="8"/>
      <c r="I21" s="8"/>
      <c r="J21" s="8"/>
      <c r="K21" s="8"/>
      <c r="N21" s="141" t="s">
        <v>632</v>
      </c>
      <c r="O21" s="8"/>
      <c r="P21" s="8"/>
      <c r="Q21" s="8"/>
      <c r="R21" s="8"/>
      <c r="S21" s="8"/>
    </row>
    <row r="22" spans="1:20" ht="20.100000000000001" customHeight="1" x14ac:dyDescent="0.25">
      <c r="A22" s="6" t="s">
        <v>2</v>
      </c>
      <c r="C22" s="8"/>
      <c r="D22" s="142" t="s">
        <v>633</v>
      </c>
      <c r="E22" s="8"/>
      <c r="F22" s="8"/>
      <c r="G22" s="8"/>
      <c r="H22" s="8"/>
      <c r="I22" s="8"/>
      <c r="J22" s="8"/>
      <c r="K22" s="8"/>
      <c r="N22" s="142" t="s">
        <v>634</v>
      </c>
      <c r="O22" s="8"/>
      <c r="P22" s="8"/>
      <c r="Q22" s="8"/>
      <c r="R22" s="8"/>
      <c r="S22" s="8"/>
    </row>
    <row r="23" spans="1:20" ht="20.100000000000001" customHeight="1" x14ac:dyDescent="0.25">
      <c r="A23" s="5" t="str">
        <f>HYPERLINK("#'5.1.1.1-2 Inorganic fert N2O'!A1", "5.1.1.1-2 Inorganic fert N2O")</f>
        <v>5.1.1.1-2 Inorganic fert N2O</v>
      </c>
      <c r="C23" s="8"/>
      <c r="D23" s="144" t="s">
        <v>635</v>
      </c>
      <c r="E23" s="143" t="s">
        <v>636</v>
      </c>
      <c r="F23" s="144" t="s">
        <v>637</v>
      </c>
      <c r="G23" s="144" t="s">
        <v>103</v>
      </c>
      <c r="H23" s="143" t="s">
        <v>638</v>
      </c>
      <c r="I23" s="143" t="s">
        <v>639</v>
      </c>
      <c r="J23" s="8"/>
      <c r="K23" s="8"/>
      <c r="N23" s="144" t="s">
        <v>635</v>
      </c>
      <c r="O23" s="143" t="s">
        <v>636</v>
      </c>
      <c r="P23" s="144" t="s">
        <v>637</v>
      </c>
      <c r="Q23" s="144" t="s">
        <v>103</v>
      </c>
      <c r="R23" s="143" t="s">
        <v>638</v>
      </c>
      <c r="S23" s="143" t="s">
        <v>639</v>
      </c>
    </row>
    <row r="24" spans="1:20" ht="20.100000000000001" customHeight="1" x14ac:dyDescent="0.25">
      <c r="A24" s="5" t="str">
        <f>HYPERLINK("#'5.1.1.3-4 Inorganic fert CO2'!A1", "5.1.1.3-4 Inorganic fert CO2")</f>
        <v>5.1.1.3-4 Inorganic fert CO2</v>
      </c>
      <c r="D24" s="25" t="s">
        <v>184</v>
      </c>
      <c r="E24" s="25">
        <f>'6.1.1.1-2 Crop residue N2O'!$E$24</f>
        <v>2975.2799999999997</v>
      </c>
      <c r="F24" s="25" t="str">
        <f>X_Cell_Crop_IrrigationMethod</f>
        <v>Sprinkler irrigation</v>
      </c>
      <c r="G24" s="25" t="str">
        <f>X_Cell_Site_LeachingZone</f>
        <v>NO - Not in leaching zone</v>
      </c>
      <c r="H24" s="25">
        <f>CommonCropping_InputFunctions.CommonCropping_GetFracWET(G24,F24,#REF!,#REF!, Table_SourceData_FracWETIrrigation[Irrigation type i],Table_SourceData_FracWETIrrigation[FracWET])</f>
        <v>1</v>
      </c>
      <c r="I24" s="25" cm="1">
        <f t="array" ref="I24">AgResidue_Equations_Leaching.VEERG_6_3_1_1__2__MassOfNitrogenLostThroughLeachingAndRunoff(E24,H24,$J$15)</f>
        <v>714.06719999999996</v>
      </c>
      <c r="N24" s="25"/>
      <c r="O24" s="25">
        <f>'6.1.1.1-2 Crop residue N2O'!$N$59</f>
        <v>2975.2799999999997</v>
      </c>
      <c r="P24" s="25"/>
      <c r="Q24" s="25"/>
      <c r="R24" s="25"/>
      <c r="S24" s="25" cm="1">
        <f t="array" ref="S24">AgResidue_Equations_Leaching.VEERG_6_3_1_1__2__MassOfNitrogenLostThroughLeachingAndRunoff(O24,H24,$J$15)</f>
        <v>714.06719999999996</v>
      </c>
    </row>
    <row r="25" spans="1:20" ht="20.100000000000001" customHeight="1" x14ac:dyDescent="0.25">
      <c r="A25" s="5" t="str">
        <f>HYPERLINK("#'5.2.1.1-2 Organic Fert N2O'!A1", "5.2.1.1-2 Organic fert N2O")</f>
        <v>5.2.1.1-2 Organic fert N2O</v>
      </c>
      <c r="D25" s="25" t="s">
        <v>353</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HYPERLINK("#'5.3.1.1-2 Lime CO2'!A1", "5.3.1.1-2 Lime CO2")</f>
        <v>5.3.1.1-2 Lime CO2</v>
      </c>
    </row>
    <row r="27" spans="1:20" ht="20.100000000000001" customHeight="1" x14ac:dyDescent="0.25">
      <c r="A27" s="5" t="str">
        <f>HYPERLINK("#'5.4.1.1-4 Atmos deposition'!A1", "5.4.1.1-4 Atmos. deposition")</f>
        <v>5.4.1.1-4 Atmos. deposition</v>
      </c>
      <c r="C27" s="230"/>
      <c r="D27" s="230"/>
      <c r="E27" s="230"/>
      <c r="F27" s="230"/>
      <c r="G27" s="230"/>
      <c r="H27" s="230"/>
      <c r="I27" s="230"/>
      <c r="J27" s="230"/>
      <c r="K27" s="230"/>
      <c r="M27" s="230"/>
      <c r="N27" s="230"/>
      <c r="O27" s="230"/>
      <c r="P27" s="230"/>
      <c r="Q27" s="230"/>
      <c r="R27" s="230"/>
      <c r="S27" s="230"/>
      <c r="T27" s="230"/>
    </row>
    <row r="28" spans="1:20" ht="20.100000000000001" customHeight="1" x14ac:dyDescent="0.25">
      <c r="A28" s="5" t="str">
        <f>HYPERLINK("#'5.5.1.1-2 Leaching and runoff'!A1", "5.5.1.1-2 Leaching &amp; runoff")</f>
        <v>5.5.1.1-2 Leaching &amp; runoff</v>
      </c>
      <c r="C28" s="8"/>
      <c r="D28" s="2" t="str" cm="1">
        <f t="array" ref="D28">AgResidue_Equations_Leaching.VEERG_6_3_1_1__1__LeachingAndRunoffEmissionsCropAndPastureResidue_Title()</f>
        <v>Nitrous oxide leaching and runoff emissions from crop and pasture residues returned to the soil</v>
      </c>
      <c r="E28" s="8"/>
      <c r="F28" s="232"/>
      <c r="G28" s="8"/>
      <c r="H28" s="8"/>
      <c r="I28" s="8"/>
      <c r="J28" s="8"/>
      <c r="K28" s="8"/>
    </row>
    <row r="29" spans="1:20" ht="20.100000000000001" customHeight="1" x14ac:dyDescent="0.25">
      <c r="A29" s="5" t="str">
        <f>HYPERLINK("#'6.1.1.1-2 Crop residue N2O'!A1", "6.1.1.1-2 Crop residue N2O")</f>
        <v>6.1.1.1-2 Crop residue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139" t="str">
        <f>HYPERLINK("#'6.3.1.1-2 Leach runoff crop'!A1", "6.3.1.1-2 Leach &amp; runoff (crop)")</f>
        <v>6.3.1.1-2 Leach &amp; runoff (crop)</v>
      </c>
      <c r="C30" s="8"/>
      <c r="D30" s="130" t="s">
        <v>255</v>
      </c>
      <c r="E30" s="130"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5" t="str">
        <f>HYPERLINK("#'6.4.1.1-2 Residue burning'!A1", "6.4.1.1-2 Residue burning")</f>
        <v>6.4.1.1-2 Residue burning</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256</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HYPERLINK("#'15 Scope 3'!A1", "15 Scope 3")</f>
        <v>15 Scope 3</v>
      </c>
      <c r="C35" s="8"/>
      <c r="D35" s="8"/>
      <c r="E35" s="8"/>
      <c r="F35" s="8"/>
      <c r="G35" s="8"/>
      <c r="H35" s="8"/>
      <c r="I35" s="8"/>
      <c r="J35" s="8"/>
      <c r="K35" s="8"/>
    </row>
    <row r="36" spans="1:17" ht="20.100000000000001" customHeight="1" x14ac:dyDescent="0.25">
      <c r="A36" s="5" t="str">
        <f>HYPERLINK("#'Calcs - Manure sent off-site'!A1", "Calcs - Manure sent off-site")</f>
        <v>Calcs - Manure sent off-site</v>
      </c>
      <c r="C36" s="8"/>
      <c r="D36" s="153" t="str" cm="1">
        <f t="array" ref="D36:E40">_xlfn.CHOOSECOLS(AgResidue_Equations_Leaching.VEERG_6_3_1_1__1__LeachingAndRunoffEmissionsCropAndPastureResidue_Arguments(),1,2)</f>
        <v>M_leachcp</v>
      </c>
      <c r="E36" s="161" t="str">
        <v>mass of nitrogen lost through leaching and runoff from the crop residue c or pasture residue p</v>
      </c>
      <c r="F36" s="162"/>
      <c r="G36" s="163"/>
      <c r="H36" s="153" t="str" cm="1">
        <f t="array" ref="H36:I40">_xlfn.CHOOSECOLS(AgResidue_Equations_Leaching.VEERG_6_3_1_1__1__LeachingAndRunoffEmissionsCropAndPastureResidue_Arguments(),3,4)</f>
        <v>kg N</v>
      </c>
      <c r="I36" s="135" t="str">
        <v>Calculated from 6.3.1.1 (2)</v>
      </c>
      <c r="J36" s="153" t="str" cm="1">
        <f t="array" aca="1" ref="J36" ca="1">HYPERLINK(Common_InputFunctions.Utility_SourceHyperlink($D$21), $D$21)</f>
        <v>M1_Table_M_leach_cp</v>
      </c>
      <c r="K36" s="8"/>
    </row>
    <row r="37" spans="1:17" ht="20.100000000000001" customHeight="1" x14ac:dyDescent="0.25">
      <c r="A37" s="5" t="str">
        <f>HYPERLINK("#'10.1.1-2 Solid waste treatment'!A1", "10.1.1-2 Solid waste treatment")</f>
        <v>10.1.1-2 Solid waste treatment</v>
      </c>
      <c r="C37" s="8"/>
      <c r="D37" s="153" t="str">
        <v>EF_leach</v>
      </c>
      <c r="E37" s="161" t="str">
        <v>emission factor for leaching and runoff</v>
      </c>
      <c r="F37" s="162"/>
      <c r="G37" s="163"/>
      <c r="H37" s="153" t="str">
        <v>kg N2O-N/kg N</v>
      </c>
      <c r="I37" s="135" t="str">
        <v>Constant</v>
      </c>
      <c r="J37" s="153">
        <f>'Constants - Common'!$E$170</f>
        <v>1.0999999999999999E-2</v>
      </c>
      <c r="K37" s="8"/>
    </row>
    <row r="38" spans="1:17" ht="20.100000000000001" customHeight="1" x14ac:dyDescent="0.25">
      <c r="C38" s="8"/>
      <c r="D38" s="153" t="str">
        <v>C_N2O</v>
      </c>
      <c r="E38" s="161" t="str">
        <v>factor to convert elemental mass of nitrous oxide to molecular mass</v>
      </c>
      <c r="F38" s="162"/>
      <c r="G38" s="163"/>
      <c r="H38" s="153" t="str">
        <v>dimensionless</v>
      </c>
      <c r="I38" s="135" t="str">
        <v>Constant</v>
      </c>
      <c r="J38" s="153">
        <f>Common_InputFunctions.Utility_LookupValueInTableNumber("N2O",Table_GasToMolecularConversionFactor[Gas],Table_GasToMolecularConversionFactor[Conversion factor combined])</f>
        <v>1.5714285714285714</v>
      </c>
      <c r="K38" s="8"/>
    </row>
    <row r="39" spans="1:17" ht="20.100000000000001" customHeight="1" x14ac:dyDescent="0.25">
      <c r="C39" s="8"/>
      <c r="D39" s="153" t="str">
        <v>c</v>
      </c>
      <c r="E39" s="161" t="str">
        <v>Crop residue type</v>
      </c>
      <c r="F39" s="162"/>
      <c r="G39" s="163"/>
      <c r="H39" s="153" t="str">
        <v/>
      </c>
      <c r="I39" s="134" t="str">
        <v>Input</v>
      </c>
      <c r="J39" s="153" t="str">
        <f>X_Cell_Crop_CropType</f>
        <v>Wheat</v>
      </c>
      <c r="K39" s="8"/>
    </row>
    <row r="40" spans="1:17" ht="20.100000000000001" customHeight="1" x14ac:dyDescent="0.25">
      <c r="A40" s="119" t="s">
        <v>1</v>
      </c>
      <c r="C40" s="8"/>
      <c r="D40" s="153" t="str">
        <v>p</v>
      </c>
      <c r="E40" s="161" t="str">
        <v>Pasture residue type</v>
      </c>
      <c r="F40" s="162"/>
      <c r="G40" s="163"/>
      <c r="H40" s="153" t="str">
        <v/>
      </c>
      <c r="I40" s="134" t="str">
        <v>Input</v>
      </c>
      <c r="J40" s="153" t="s">
        <v>127</v>
      </c>
      <c r="K40" s="8"/>
    </row>
    <row r="41" spans="1:17" ht="20.100000000000001" customHeight="1" x14ac:dyDescent="0.25">
      <c r="A41" s="5" t="str">
        <f>HYPERLINK("#'Constants - Ag Residue'!A1", "Constants - Ag residue")</f>
        <v>Constants - Ag residue</v>
      </c>
      <c r="C41" s="8"/>
      <c r="D41" s="8"/>
      <c r="E41" s="8"/>
      <c r="F41" s="8"/>
      <c r="G41" s="8"/>
      <c r="H41" s="8"/>
      <c r="I41" s="8"/>
      <c r="J41" s="8"/>
      <c r="K41" s="8"/>
    </row>
    <row r="42" spans="1:17" ht="20.100000000000001" customHeight="1" x14ac:dyDescent="0.25">
      <c r="A42" s="5" t="str">
        <f>HYPERLINK("#'Constants - Common Livestock'!A1", "Constants - Common Livestock")</f>
        <v>Constants - Common Livestock</v>
      </c>
      <c r="C42" s="8"/>
      <c r="D42" s="141" t="s">
        <v>281</v>
      </c>
      <c r="E42" s="8"/>
      <c r="F42" s="8"/>
      <c r="G42" s="8"/>
      <c r="H42" s="8"/>
      <c r="I42" s="8"/>
      <c r="J42" s="8"/>
      <c r="K42" s="8"/>
      <c r="N42" s="141" t="s">
        <v>281</v>
      </c>
      <c r="O42" s="8"/>
      <c r="P42" s="8"/>
      <c r="Q42" s="8"/>
    </row>
    <row r="43" spans="1:17" ht="20.100000000000001" customHeight="1" x14ac:dyDescent="0.25">
      <c r="A43" s="5" t="str">
        <f>HYPERLINK("#'Constants - Electricity'!A1", "Constants - Electricity")</f>
        <v>Constants - Electricity</v>
      </c>
      <c r="C43" s="8"/>
      <c r="D43" s="142" t="s">
        <v>640</v>
      </c>
      <c r="E43" s="8"/>
      <c r="F43" s="8"/>
      <c r="G43" s="8"/>
      <c r="H43" s="8"/>
      <c r="I43" s="8"/>
      <c r="J43" s="8"/>
      <c r="K43" s="8"/>
      <c r="N43" s="142" t="s">
        <v>640</v>
      </c>
      <c r="O43" s="8"/>
      <c r="P43" s="8"/>
      <c r="Q43" s="8"/>
    </row>
    <row r="44" spans="1:17" ht="20.100000000000001" customHeight="1" x14ac:dyDescent="0.25">
      <c r="A44" s="5" t="str">
        <f>HYPERLINK("#'Constants - Fertiliser'!A1", "Constants - Fertiliser")</f>
        <v>Constants - Fertiliser</v>
      </c>
      <c r="C44" s="8"/>
      <c r="D44" s="143" t="s">
        <v>639</v>
      </c>
      <c r="E44" s="143" t="s">
        <v>641</v>
      </c>
      <c r="F44" s="8"/>
      <c r="G44" s="8"/>
      <c r="H44" s="8"/>
      <c r="I44" s="8"/>
      <c r="J44" s="8"/>
      <c r="K44" s="8"/>
      <c r="N44" s="143" t="s">
        <v>639</v>
      </c>
      <c r="O44" s="143" t="s">
        <v>641</v>
      </c>
      <c r="P44" s="8"/>
      <c r="Q44" s="8"/>
    </row>
    <row r="45" spans="1:17" ht="20.100000000000001" customHeight="1" x14ac:dyDescent="0.25">
      <c r="A45" s="5" t="str">
        <f>HYPERLINK("#'Constants - Fuel'!A1", "Constants - Fuel")</f>
        <v>Constants - Fuel</v>
      </c>
      <c r="C45" s="8"/>
      <c r="D45" s="25">
        <f>I24</f>
        <v>714.06719999999996</v>
      </c>
      <c r="E45" s="25" cm="1">
        <f t="array" ref="E45">AgResidue_Equations_Leaching.VEERG_6_3_1_1__1__LeachingAndRunoffEmissionsCropAndPastureResidue(D45,$J$37,$J$38)</f>
        <v>1.2343161599999999E-2</v>
      </c>
      <c r="F45" s="8"/>
      <c r="G45" s="8"/>
      <c r="H45" s="8"/>
      <c r="I45" s="8"/>
      <c r="J45" s="8"/>
      <c r="K45" s="8"/>
      <c r="N45" s="25">
        <f>S24</f>
        <v>714.06719999999996</v>
      </c>
      <c r="O45" s="25" cm="1">
        <f t="array" ref="O45">AgResidue_Equations_Leaching.VEERG_6_3_1_1__1__LeachingAndRunoffEmissionsCropAndPastureResidue(N45,$J$37,$J$38)</f>
        <v>1.2343161599999999E-2</v>
      </c>
      <c r="P45" s="8"/>
      <c r="Q45" s="8"/>
    </row>
    <row r="46" spans="1:17" ht="20.100000000000001" customHeight="1" x14ac:dyDescent="0.25">
      <c r="A46" s="5" t="str">
        <f>HYPERLINK("#'Constants - Scope 3'!A1", "Constants - Scope 3")</f>
        <v>Constants - Scope 3</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Common'!A1", "Constants - Common")</f>
        <v>Constants - Common</v>
      </c>
      <c r="C47" s="8"/>
      <c r="F47" s="8"/>
      <c r="G47" s="8"/>
      <c r="H47" s="8"/>
      <c r="I47" s="8"/>
      <c r="J47" s="8"/>
      <c r="K47" s="8"/>
      <c r="P47" s="8"/>
      <c r="Q47" s="8"/>
    </row>
    <row r="48" spans="1:17" ht="20.100000000000001" customHeight="1" x14ac:dyDescent="0.4">
      <c r="A48" s="5" t="str">
        <f>HYPERLINK("#'Constants - Solid Waste'!A1", "Constants - Solid Waste")</f>
        <v>Constants - Solid Waste</v>
      </c>
      <c r="C48" s="8"/>
      <c r="D48" s="233" t="s">
        <v>642</v>
      </c>
      <c r="E48" s="234">
        <f>SUM(E45:E46)</f>
        <v>1.2343161599999999E-2</v>
      </c>
      <c r="F48" s="150" t="str">
        <f>$E$34</f>
        <v>t N2O</v>
      </c>
      <c r="G48" s="8"/>
      <c r="H48" s="8"/>
      <c r="I48" s="8"/>
      <c r="J48" s="8"/>
      <c r="K48" s="8"/>
      <c r="N48" s="233" t="s">
        <v>642</v>
      </c>
      <c r="O48" s="234">
        <f>SUM(O45:O46)</f>
        <v>1.2343161599999999E-2</v>
      </c>
      <c r="P48" s="150" t="str">
        <f>$E$34</f>
        <v>t N2O</v>
      </c>
      <c r="Q48" s="8"/>
    </row>
    <row r="49" spans="4:17" ht="20.100000000000001" customHeight="1" x14ac:dyDescent="0.25">
      <c r="D49" s="8"/>
      <c r="E49" s="8"/>
      <c r="F49" s="8"/>
      <c r="G49" s="8"/>
      <c r="N49" s="8"/>
      <c r="O49" s="8"/>
      <c r="P49" s="8"/>
      <c r="Q49" s="8"/>
    </row>
    <row r="50" spans="4:17" ht="20.100000000000001" customHeight="1" x14ac:dyDescent="0.25">
      <c r="D50" s="131" t="str" cm="1">
        <f t="array" ref="D50:E51">Common_Equations.Common_ConvertN2OToCO2e_Arguments()</f>
        <v>EN2O</v>
      </c>
      <c r="E50" s="132" t="str">
        <v>Nitrous oxide emissions (t N2O)</v>
      </c>
      <c r="F50" s="151"/>
      <c r="G50" s="25">
        <f>E48</f>
        <v>1.2343161599999999E-2</v>
      </c>
      <c r="N50" s="131" t="str" cm="1">
        <f t="array" ref="N50:O51">Common_Equations.Common_ConvertN2OToCO2e_Arguments()</f>
        <v>EN2O</v>
      </c>
      <c r="O50" s="132" t="str">
        <v>Nitrous oxide emissions (t N2O)</v>
      </c>
      <c r="P50" s="151"/>
      <c r="Q50" s="25">
        <f>O48</f>
        <v>1.2343161599999999E-2</v>
      </c>
    </row>
    <row r="51" spans="4:17" ht="20.100000000000001" customHeight="1" x14ac:dyDescent="0.25">
      <c r="D51" s="131" t="str">
        <v>GWPN2O</v>
      </c>
      <c r="E51" s="132" t="str">
        <v>Global warming potential for nitrous oxide (t CO2-e / t N2O)</v>
      </c>
      <c r="F51" s="151"/>
      <c r="G51" s="25">
        <f>Common_InputFunctions.Utility_LookupValueInTableNumber("N2O",Table_GWPData[Gas],Table_GWPData[CO2-e factor])</f>
        <v>265</v>
      </c>
      <c r="H51" s="8"/>
      <c r="I51" s="8"/>
      <c r="N51" s="131" t="str">
        <v>GWPN2O</v>
      </c>
      <c r="O51" s="132" t="str">
        <v>Global warming potential for nitrous oxide (t CO2-e / t N2O)</v>
      </c>
      <c r="P51" s="151"/>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45" t="s">
        <v>287</v>
      </c>
      <c r="E53" s="145" cm="1">
        <f t="array" ref="E53">Common_Equations.Common_ConvertN2OToCO2e(G50,G51)</f>
        <v>3.2709378239999998</v>
      </c>
      <c r="F53" s="152" t="str" cm="1">
        <f t="array" ref="F53">Common_Equations.Common_ConvertN2OToCO2e_Unit()</f>
        <v>t CO2e</v>
      </c>
      <c r="I53" s="8"/>
      <c r="N53" s="145" t="s">
        <v>287</v>
      </c>
      <c r="O53" s="145" cm="1">
        <f t="array" ref="O53">Common_Equations.Common_ConvertN2OToCO2e(Q50,Q51)</f>
        <v>3.2709378239999998</v>
      </c>
      <c r="P53" s="152"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E4978-4E20-4FA8-9747-78C11BCAA42D}">
  <dimension ref="A1:S165"/>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643</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0" t="s">
        <v>255</v>
      </c>
      <c r="E7" s="130"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256</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3" t="str" cm="1">
        <f t="array" ref="D13:E19">_xlfn.CHOOSECOLS(AgResidue_Equations_FieldBurning.VEERG_6_4_1_1__3__MassOfCropResidueBurnt_Arguments(), 1, 2)</f>
        <v>P_c</v>
      </c>
      <c r="E13" s="161" t="str">
        <v>annual production of crop type c</v>
      </c>
      <c r="F13" s="163"/>
      <c r="G13" s="153" t="str" cm="1">
        <f t="array" ref="G13:H19">_xlfn.CHOOSECOLS(AgResidue_Equations_FieldBurning.VEERG_6_4_1_1__3__MassOfCropResidueBurnt_Arguments(), 3,4)</f>
        <v>kg</v>
      </c>
      <c r="H13" s="134" t="str">
        <v>Input</v>
      </c>
      <c r="I13" s="153">
        <f>X_Cell_Crop_TotalProductionOfCrop*10^3</f>
        <v>350000</v>
      </c>
    </row>
    <row r="14" spans="1:19" ht="20.100000000000001" customHeight="1" x14ac:dyDescent="0.25">
      <c r="A14" s="5" t="str">
        <f>HYPERLINK("#'Input - Fuel'!A1", "Fuel")</f>
        <v>Fuel</v>
      </c>
      <c r="D14" s="153" t="str">
        <v>R_AGc</v>
      </c>
      <c r="E14" s="161" t="str">
        <v>residue to crop ratio of crop type c</v>
      </c>
      <c r="F14" s="163"/>
      <c r="G14" s="153" t="str">
        <v>kg crop residue/kg crop</v>
      </c>
      <c r="H14" s="135" t="str">
        <v>Constant</v>
      </c>
      <c r="I14" s="153">
        <f>'Input - Crop'!$E$18</f>
        <v>1.5</v>
      </c>
    </row>
    <row r="15" spans="1:19" ht="20.100000000000001" customHeight="1" x14ac:dyDescent="0.25">
      <c r="A15" s="5" t="str">
        <f>HYPERLINK("#'Input - Electricity'!A1", "Electricity")</f>
        <v>Electricity</v>
      </c>
      <c r="D15" s="153" t="str">
        <v>S_c</v>
      </c>
      <c r="E15" s="161" t="str">
        <v>fraction of residues of crop type c remaining at burning</v>
      </c>
      <c r="F15" s="163"/>
      <c r="G15" s="153" t="str">
        <v>fraction</v>
      </c>
      <c r="H15" s="135" t="str">
        <v>Constant</v>
      </c>
      <c r="I15" s="153"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Farm Inputs'!A1", "Farm Inputs")</f>
        <v>Farm Inputs</v>
      </c>
      <c r="D16" s="153" t="str">
        <v>DM_c</v>
      </c>
      <c r="E16" s="161" t="str">
        <v>dry matter content of crop type c</v>
      </c>
      <c r="F16" s="163"/>
      <c r="G16" s="153" t="str">
        <v>kg dry weight/kg crop residue</v>
      </c>
      <c r="H16" s="135" t="str">
        <v>Constant</v>
      </c>
      <c r="I16" s="153"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Freight'!A1", "Freight")</f>
        <v>Freight</v>
      </c>
      <c r="D17" s="153" t="str">
        <v>Z_c</v>
      </c>
      <c r="E17" s="161" t="str">
        <v>burning efficiency (ratio of fuel burnt to fuel load) of crop type c</v>
      </c>
      <c r="F17" s="163"/>
      <c r="G17" s="153" t="str">
        <v/>
      </c>
      <c r="H17" s="135" t="str">
        <v>Constant</v>
      </c>
      <c r="I17" s="153" cm="1">
        <f t="array" ref="I17">Common_InputFunctions.Utility_LookupValueInTableNumber($I$19,Table_SourceData_CropAttributes[Crop type],Table_SourceData_CropAttributes[Fraction burnt])</f>
        <v>0.9</v>
      </c>
    </row>
    <row r="18" spans="1:10" ht="20.100000000000001" customHeight="1" x14ac:dyDescent="0.25">
      <c r="A18" s="5" t="str">
        <f>HYPERLINK("#'Input - Manure sent off-site'!A1", "Manure sent off-site")</f>
        <v>Manure sent off-site</v>
      </c>
      <c r="D18" s="153" t="str">
        <v>F_c</v>
      </c>
      <c r="E18" s="161" t="str">
        <v>fraction of the annual production of crop type c that is burnt</v>
      </c>
      <c r="F18" s="163"/>
      <c r="G18" s="153" t="str">
        <v>fraction</v>
      </c>
      <c r="H18" s="135" t="str">
        <v>Constant</v>
      </c>
      <c r="I18" s="153">
        <f>X_Cell_Crop_PercentResidueBurned</f>
        <v>0.3</v>
      </c>
    </row>
    <row r="19" spans="1:10" ht="20.100000000000001" customHeight="1" x14ac:dyDescent="0.25">
      <c r="A19" s="5" t="str">
        <f>HYPERLINK("#'Input - Solid waste'!A1", "Solid waste")</f>
        <v>Solid waste</v>
      </c>
      <c r="D19" s="153" t="str">
        <v>c</v>
      </c>
      <c r="E19" s="161" t="str">
        <v>Crop type</v>
      </c>
      <c r="F19" s="163"/>
      <c r="G19" s="153" t="str">
        <v/>
      </c>
      <c r="H19" s="134" t="str">
        <v>Input</v>
      </c>
      <c r="I19" s="153" t="str">
        <f>X_Cell_Crop_CropType</f>
        <v>Wheat</v>
      </c>
    </row>
    <row r="20" spans="1:10" ht="20.100000000000001" customHeight="1" x14ac:dyDescent="0.25"/>
    <row r="21" spans="1:10" ht="20.100000000000001" customHeight="1" x14ac:dyDescent="0.25">
      <c r="D21" s="158" t="s">
        <v>644</v>
      </c>
      <c r="E21" s="145" cm="1">
        <f t="array" ref="E21">AgResidue_Equations_FieldBurning.VEERG_6_4_1_1__3__MassOfCropResidueBurnt(I13,I14,I15,I16,I17,I18)</f>
        <v>62370</v>
      </c>
      <c r="F21" s="152" t="str" cm="1">
        <f t="array" ref="F21">AgResidue_Equations_FieldBurning.VEERG_6_4_1_1__3__MassOfCropResidueBurnt_Unit()</f>
        <v>kg</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c r="C24" s="145"/>
      <c r="D24" s="145"/>
      <c r="E24" s="145"/>
      <c r="F24" s="145"/>
      <c r="G24" s="145"/>
      <c r="H24" s="145"/>
      <c r="I24" s="145"/>
      <c r="J24" s="145"/>
    </row>
    <row r="25" spans="1:10" ht="20.100000000000001" customHeight="1" x14ac:dyDescent="0.25">
      <c r="A25" s="5" t="str">
        <f>HYPERLINK("#'5.2.1.1-2 Organic Fert N2O'!A1", "5.2.1.1-2 Organic fert N2O")</f>
        <v>5.2.1.1-2 Organic fert N2O</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HYPERLINK("#'5.3.1.1-2 Lime CO2'!A1", "5.3.1.1-2 Lime CO2")</f>
        <v>5.3.1.1-2 Lime CO2</v>
      </c>
      <c r="D26" s="27" t="str" cm="1">
        <f t="array" ref="D26">AgResidue_Equations_FieldBurning.VEERG_6_4_1_1__2__NitrousOxideEmissionsFromBurningOfCropResidues_Source()</f>
        <v>VEERG 2026: 6.4.1.1, Equation (2)</v>
      </c>
    </row>
    <row r="27" spans="1:10" ht="20.100000000000001" customHeight="1" x14ac:dyDescent="0.25">
      <c r="A27" s="5" t="str">
        <f>HYPERLINK("#'5.4.1.1-4 Atmos deposition'!A1", "5.4.1.1-4 Atmos. deposition")</f>
        <v>5.4.1.1-4 Atmos. deposition</v>
      </c>
      <c r="D27" s="130" t="s">
        <v>255</v>
      </c>
      <c r="E27" s="130" t="str" cm="1">
        <f t="array" aca="1" ref="E27" ca="1">Common_InputFunctions.Utility_DisplayFunctionName(E39)</f>
        <v>=AgResidue_Equations_FieldBurning.VEERG_6_4_1_1__2__NitrousOxideEmissionsFromBurningOfCropResidues</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c r="D30" s="88" t="s">
        <v>256</v>
      </c>
      <c r="E30" s="1" t="str" cm="1">
        <f t="array" ref="E30">AgResidue_Equations_FieldBurning.VEERG_6_4_1_1__2__NitrousOxideEmissionsFromBurningOfCropResidues_Variable()</f>
        <v>EN2O</v>
      </c>
    </row>
    <row r="31" spans="1:10" ht="20.100000000000001" customHeight="1" x14ac:dyDescent="0.25">
      <c r="A31" s="139" t="str">
        <f>HYPERLINK("#'6.4.1.1-2 Residue burning'!A1", "6.4.1.1-2 Residue burning")</f>
        <v>6.4.1.1-2 Residue burning</v>
      </c>
      <c r="D31" s="88" t="s">
        <v>121</v>
      </c>
      <c r="E31" s="15" t="str" cm="1">
        <f t="array" ref="E31">AgResidue_Equations_FieldBurning.VEERG_6_4_1_1__2__NitrousOxideEmissionsFromBurningOfCropResidues_Unit()</f>
        <v>t N2O</v>
      </c>
    </row>
    <row r="32" spans="1:10" ht="20.100000000000001" customHeight="1" x14ac:dyDescent="0.25">
      <c r="A32" s="5" t="str">
        <f>HYPERLINK("#'8.1.1.1-2 Transport fuel'!A1", "8.1.1.1-2 Transport fuel")</f>
        <v>8.1.1.1-2 Transport fuel</v>
      </c>
    </row>
    <row r="33" spans="1:10" ht="20.100000000000001" customHeight="1" x14ac:dyDescent="0.25">
      <c r="A33" s="5" t="str">
        <f>HYPERLINK("#'8.2.1.1-2 Stationary fuel'!A1", "8.2.1.1-2 Stationary fuel")</f>
        <v>8.2.1.1-2 Stationary fuel</v>
      </c>
      <c r="D33" s="153" t="str" cm="1">
        <f t="array" ref="D33:E37">_xlfn.CHOOSECOLS(AgResidue_Equations_FieldBurning.VEERG_6_4_1_1__2__NitrousOxideEmissionsFromBurningOfCropResidues_Arguments(), 1, 2)</f>
        <v>M_burnc</v>
      </c>
      <c r="E33" s="161" t="str">
        <v>mass of residue burnt for crop type c</v>
      </c>
      <c r="F33" s="163"/>
      <c r="G33" s="153" t="str" cm="1">
        <f t="array" ref="G33:H37">_xlfn.CHOOSECOLS(AgResidue_Equations_FieldBurning.VEERG_6_4_1_1__2__NitrousOxideEmissionsFromBurningOfCropResidues_Arguments(), 3,4)</f>
        <v>kg</v>
      </c>
      <c r="H33" s="135" t="str">
        <v>Calculated from 6.4.1.1 (3)</v>
      </c>
      <c r="I33" s="153">
        <f>$E$21</f>
        <v>62370</v>
      </c>
    </row>
    <row r="34" spans="1:10" ht="20.100000000000001" customHeight="1" x14ac:dyDescent="0.25">
      <c r="A34" s="5" t="str">
        <f>HYPERLINK("#'14.1.1-2 Purchased electricity'!A1", "14.1.1-2 Purchased electricity")</f>
        <v>14.1.1-2 Purchased electricity</v>
      </c>
      <c r="D34" s="153" t="str">
        <v>NC_AGc</v>
      </c>
      <c r="E34" s="161" t="str">
        <v>nitrogen content in the above-ground residue of crop type c</v>
      </c>
      <c r="F34" s="163"/>
      <c r="G34" s="153" t="str">
        <v>kg N/kg DM</v>
      </c>
      <c r="H34" s="135" t="str">
        <v>Constant</v>
      </c>
      <c r="I34" s="153"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HYPERLINK("#'15 Scope 3'!A1", "15 Scope 3")</f>
        <v>15 Scope 3</v>
      </c>
      <c r="D35" s="153" t="str">
        <v>EF_N2O</v>
      </c>
      <c r="E35" s="161" t="str">
        <v>emission factor for nitrous oxide from burning of crop residues</v>
      </c>
      <c r="F35" s="163"/>
      <c r="G35" s="153" t="str">
        <v>kg N2O/kg N2O burnt</v>
      </c>
      <c r="H35" s="135" t="str">
        <v>Constant</v>
      </c>
      <c r="I35" s="153"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HYPERLINK("#'Calcs - Manure sent off-site'!A1", "Calcs - Manure sent off-site")</f>
        <v>Calcs - Manure sent off-site</v>
      </c>
      <c r="D36" s="153" t="str">
        <v>C_N2O</v>
      </c>
      <c r="E36" s="161" t="str">
        <v>factor to convert elemental mass of nitrous oxide to molecular mass</v>
      </c>
      <c r="F36" s="163"/>
      <c r="G36" s="153" t="str">
        <v>dimensionless</v>
      </c>
      <c r="H36" s="135" t="str">
        <v>Constant</v>
      </c>
      <c r="I36" s="153">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HYPERLINK("#'10.1.1-2 Solid waste treatment'!A1", "10.1.1-2 Solid waste treatment")</f>
        <v>10.1.1-2 Solid waste treatment</v>
      </c>
      <c r="D37" s="153" t="str">
        <v>c</v>
      </c>
      <c r="E37" s="161" t="str">
        <v>Crop type</v>
      </c>
      <c r="F37" s="163"/>
      <c r="G37" s="153" t="str">
        <v/>
      </c>
      <c r="H37" s="134" t="str">
        <v>Input</v>
      </c>
      <c r="I37" s="153" t="str">
        <f>X_Cell_Crop_CropType</f>
        <v>Wheat</v>
      </c>
    </row>
    <row r="38" spans="1:10" ht="20.100000000000001" customHeight="1" x14ac:dyDescent="0.25"/>
    <row r="39" spans="1:10" ht="20.100000000000001" customHeight="1" x14ac:dyDescent="0.25">
      <c r="D39" s="148" t="s">
        <v>286</v>
      </c>
      <c r="E39" s="149" cm="1">
        <f t="array" ref="E39">AgResidue_Equations_FieldBurning.VEERG_6_4_1_1__2__NitrousOxideEmissionsFromBurningOfCropResidues(I33,I34,I35,I36)</f>
        <v>4.4692560000000004E-3</v>
      </c>
      <c r="F39" s="150" t="str" cm="1">
        <f t="array" ref="F39">AgResidue_Equations_FieldBurning.VEERG_6_4_1_1__2__NitrousOxideEmissionsFromBurningOfCropResidues_Unit()</f>
        <v>t N2O</v>
      </c>
    </row>
    <row r="40" spans="1:10" ht="20.100000000000001" customHeight="1" x14ac:dyDescent="0.25">
      <c r="A40" s="119" t="s">
        <v>1</v>
      </c>
    </row>
    <row r="41" spans="1:10" ht="20.100000000000001" customHeight="1" x14ac:dyDescent="0.25">
      <c r="A41" s="5" t="str">
        <f>HYPERLINK("#'Constants - Ag Residue'!A1", "Constants - Ag residue")</f>
        <v>Constants - Ag residue</v>
      </c>
      <c r="D41" s="131" t="str" cm="1">
        <f t="array" ref="D41:E42">Common_Equations.Common_ConvertN2OToCO2e_Arguments()</f>
        <v>EN2O</v>
      </c>
      <c r="E41" s="132" t="str">
        <v>Nitrous oxide emissions (t N2O)</v>
      </c>
      <c r="F41" s="151"/>
      <c r="G41" s="137"/>
      <c r="H41" s="25">
        <f>E39</f>
        <v>4.4692560000000004E-3</v>
      </c>
    </row>
    <row r="42" spans="1:10" ht="20.100000000000001" customHeight="1" x14ac:dyDescent="0.25">
      <c r="A42" s="5" t="str">
        <f>HYPERLINK("#'Constants - Common Livestock'!A1", "Constants - Common Livestock")</f>
        <v>Constants - Common Livestock</v>
      </c>
      <c r="D42" s="131" t="str">
        <v>GWPN2O</v>
      </c>
      <c r="E42" s="132" t="str">
        <v>Global warming potential for nitrous oxide (t CO2-e / t N2O)</v>
      </c>
      <c r="F42" s="151"/>
      <c r="G42" s="137"/>
      <c r="H42" s="25">
        <f>Common_InputFunctions.Utility_LookupValueInTableNumber("N2O",Table_GWPData[Gas],Table_GWPData[CO2-e factor])</f>
        <v>265</v>
      </c>
    </row>
    <row r="43" spans="1:10" ht="20.100000000000001" customHeight="1" x14ac:dyDescent="0.25">
      <c r="A43" s="5" t="str">
        <f>HYPERLINK("#'Constants - Electricity'!A1", "Constants - Electricity")</f>
        <v>Constants - Electricity</v>
      </c>
      <c r="H43" s="8"/>
    </row>
    <row r="44" spans="1:10" ht="20.100000000000001" customHeight="1" x14ac:dyDescent="0.25">
      <c r="A44" s="5" t="str">
        <f>HYPERLINK("#'Constants - Fertiliser'!A1", "Constants - Fertiliser")</f>
        <v>Constants - Fertiliser</v>
      </c>
      <c r="D44" s="145" t="s">
        <v>287</v>
      </c>
      <c r="E44" s="145" cm="1">
        <f t="array" ref="E44">Common_Equations.Common_ConvertN2OToCO2e(H41,H42)</f>
        <v>1.1843528400000001</v>
      </c>
      <c r="F44" s="152" t="str" cm="1">
        <f t="array" ref="F44">Common_Equations.Common_ConvertN2OToCO2e_Unit()</f>
        <v>t CO2e</v>
      </c>
      <c r="H44" s="8"/>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c r="C47" s="145"/>
      <c r="D47" s="145"/>
      <c r="E47" s="145"/>
      <c r="F47" s="145"/>
      <c r="G47" s="145"/>
      <c r="H47" s="145"/>
      <c r="I47" s="145"/>
      <c r="J47" s="145"/>
    </row>
    <row r="48" spans="1:10" ht="20.100000000000001" customHeight="1" x14ac:dyDescent="0.25">
      <c r="A48" s="5" t="str">
        <f>HYPERLINK("#'Constants - Solid Waste'!A1", "Constants - Solid Waste")</f>
        <v>Constants - Solid Waste</v>
      </c>
      <c r="D48" s="2" t="str" cm="1">
        <f t="array" ref="D48">AgResidue_Equations_FieldBurning.VEERG_6_4_1_1__1__MethaneEmissionsFromBurningOfCropResidues_Title()</f>
        <v>Methane emissions from the burning of crop residues</v>
      </c>
    </row>
    <row r="49" spans="4:9" ht="20.100000000000001" customHeight="1" x14ac:dyDescent="0.25">
      <c r="D49" s="27" t="str" cm="1">
        <f t="array" ref="D49">AgResidue_Equations_FieldBurning.VEERG_6_4_1_1__1__MethaneEmissionsFromBurningOfCropResidues_Source()</f>
        <v>VEERG 2026: 6.4.1.1, Equation (1)</v>
      </c>
    </row>
    <row r="50" spans="4:9" ht="20.100000000000001" customHeight="1" x14ac:dyDescent="0.25">
      <c r="D50" s="130" t="s">
        <v>255</v>
      </c>
      <c r="E50" s="130"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88" t="s">
        <v>256</v>
      </c>
      <c r="E53" s="1" t="str" cm="1">
        <f t="array" ref="E53">AgResidue_Equations_FieldBurning.VEERG_6_4_1_1__1__MethaneEmissionsFromBurningOfCropResidues_Variable()</f>
        <v>ECH4</v>
      </c>
      <c r="F53" s="27"/>
    </row>
    <row r="54" spans="4:9" ht="20.100000000000001" customHeight="1" x14ac:dyDescent="0.25">
      <c r="D54" s="88" t="s">
        <v>121</v>
      </c>
      <c r="E54" s="15"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53" t="str" cm="1">
        <f t="array" ref="D56:E60">_xlfn.CHOOSECOLS(AgResidue_Equations_FieldBurning.VEERG_6_4_1_1__1__MethaneEmissionsFromBurningOfCropResidues_Arguments(), 1,2)</f>
        <v>M_burnc</v>
      </c>
      <c r="E56" s="161" t="str">
        <v>mass of residue burnt for crop type c</v>
      </c>
      <c r="F56" s="163"/>
      <c r="G56" s="153" t="str" cm="1">
        <f t="array" ref="G56:H60">_xlfn.CHOOSECOLS(AgResidue_Equations_FieldBurning.VEERG_6_4_1_1__1__MethaneEmissionsFromBurningOfCropResidues_Arguments(), 3,4)</f>
        <v>kg</v>
      </c>
      <c r="H56" s="135" t="str">
        <v>Calculated from 6.4.1.1 (3)</v>
      </c>
      <c r="I56" s="153">
        <f>$E$21</f>
        <v>62370</v>
      </c>
    </row>
    <row r="57" spans="4:9" ht="20.100000000000001" customHeight="1" x14ac:dyDescent="0.25">
      <c r="D57" s="153" t="str">
        <v>CC_c</v>
      </c>
      <c r="E57" s="161" t="str">
        <v>carbon mass fraction in the residues of crop type c</v>
      </c>
      <c r="F57" s="163"/>
      <c r="G57" s="153" t="str">
        <v>fraction</v>
      </c>
      <c r="H57" s="135" t="str">
        <v>Constant</v>
      </c>
      <c r="I57" s="153" cm="1">
        <f t="array" ref="I57">Common_InputFunctions.Utility_LookupValueInTableNumber($I$60,Table_SourceData_CropAttributes[Crop type],Table_SourceData_CropAttributes[Carbon fraction in dry matter])</f>
        <v>0.4</v>
      </c>
    </row>
    <row r="58" spans="4:9" ht="20.100000000000001" customHeight="1" x14ac:dyDescent="0.25">
      <c r="D58" s="153" t="str">
        <v>EF_CH4</v>
      </c>
      <c r="E58" s="161" t="str">
        <v>emission factor for methane from burning of crop residues</v>
      </c>
      <c r="F58" s="163"/>
      <c r="G58" s="153" t="str">
        <v>kg CH4 / kg CH4 burnt</v>
      </c>
      <c r="H58" s="135" t="str">
        <v>Constant</v>
      </c>
      <c r="I58" s="153"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53" t="str">
        <v>C_CH4</v>
      </c>
      <c r="E59" s="161" t="str">
        <v>factor to convert elemental mass of methane to molecular mass</v>
      </c>
      <c r="F59" s="163"/>
      <c r="G59" s="153" t="str">
        <v>dimensionless</v>
      </c>
      <c r="H59" s="135" t="str">
        <v>Constant</v>
      </c>
      <c r="I59" s="153">
        <f>Common_InputFunctions.Utility_LookupValueInTableNumber("CH4",Table_GasToMolecularConversionFactor[Gas],Table_GasToMolecularConversionFactor[Conversion factor combined])</f>
        <v>1.3333333333333333</v>
      </c>
    </row>
    <row r="60" spans="4:9" ht="20.100000000000001" customHeight="1" x14ac:dyDescent="0.25">
      <c r="D60" s="153" t="str">
        <v>c</v>
      </c>
      <c r="E60" s="161" t="str">
        <v>Crop type</v>
      </c>
      <c r="F60" s="163"/>
      <c r="G60" s="153" t="str">
        <v/>
      </c>
      <c r="H60" s="134" t="str">
        <v>Input</v>
      </c>
      <c r="I60" s="153" t="str">
        <f>X_Cell_Crop_CropType</f>
        <v>Wheat</v>
      </c>
    </row>
    <row r="61" spans="4:9" ht="20.100000000000001" customHeight="1" x14ac:dyDescent="0.25"/>
    <row r="62" spans="4:9" ht="20.100000000000001" customHeight="1" x14ac:dyDescent="0.25">
      <c r="D62" s="148" t="s">
        <v>286</v>
      </c>
      <c r="E62" s="149" cm="1">
        <f t="array" ref="E62">AgResidue_Equations_FieldBurning.VEERG_6_4_1_1__1__MethaneEmissionsFromBurningOfCropResidues(I56,I57,I58,I59)</f>
        <v>0.116424</v>
      </c>
      <c r="F62" s="150"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131" t="str" cm="1">
        <f t="array" ref="D64:E65">Common_Equations.Common_ConvertCH4ToCO2e_Arguments()</f>
        <v>ECH4</v>
      </c>
      <c r="E64" s="132" t="str">
        <v>Methane emissions (t CH4)</v>
      </c>
      <c r="F64" s="151"/>
      <c r="G64" s="137"/>
      <c r="H64" s="25">
        <f>E62</f>
        <v>0.116424</v>
      </c>
    </row>
    <row r="65" spans="4:8" ht="20.100000000000001" customHeight="1" x14ac:dyDescent="0.25">
      <c r="D65" s="131" t="str">
        <v>GWPCH4</v>
      </c>
      <c r="E65" s="132" t="str">
        <v>Global warming potential for methane (t CO2-e / t CH4)</v>
      </c>
      <c r="F65" s="151"/>
      <c r="G65" s="137"/>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5" t="s">
        <v>287</v>
      </c>
      <c r="E67" s="145" cm="1">
        <f t="array" ref="E67">Common_Equations.Common_ConvertCH4ToCO2e(H64,H65)</f>
        <v>3.2598720000000001</v>
      </c>
      <c r="F67" s="152"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873F6-A885-4A73-ACAB-60A286AEFDFF}">
  <dimension ref="A1:R342"/>
  <sheetViews>
    <sheetView showGridLines="0" topLeftCell="A42"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452</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7"/>
      <c r="P5" s="157"/>
      <c r="Q5" s="15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57"/>
      <c r="P6" s="157"/>
      <c r="Q6" s="157"/>
    </row>
    <row r="7" spans="1:18" ht="20.100000000000001" customHeight="1" x14ac:dyDescent="0.25">
      <c r="D7" s="130" t="s">
        <v>255</v>
      </c>
      <c r="E7" s="130" t="str" cm="1">
        <f t="array" aca="1" ref="E7" ca="1">Common_InputFunctions.Utility_DisplayFunctionName(N25)</f>
        <v>=Fuel_Equations.VEERG_8_1_1_1__1_FuelCombustionTransport</v>
      </c>
      <c r="K7" s="130" t="s">
        <v>255</v>
      </c>
      <c r="L7" s="130" t="str" cm="1">
        <f t="array" aca="1" ref="L7" ca="1">Common_InputFunctions.Utility_DisplayFunctionName(Q25)</f>
        <v>=Scope3_Equations.VEERG_15_11_1_1__2_UpstreamTransportFuelEmissions</v>
      </c>
      <c r="O7" s="157"/>
      <c r="P7" s="157"/>
      <c r="Q7" s="157"/>
    </row>
    <row r="8" spans="1:18" ht="20.100000000000001" customHeight="1" x14ac:dyDescent="0.25">
      <c r="A8" s="7" t="s">
        <v>0</v>
      </c>
      <c r="E8" s="130"/>
      <c r="L8" s="130"/>
      <c r="O8" s="157"/>
      <c r="P8" s="157"/>
      <c r="Q8" s="157"/>
    </row>
    <row r="9" spans="1:18" ht="20.100000000000001" customHeight="1" x14ac:dyDescent="0.25">
      <c r="A9" s="5" t="str">
        <f>HYPERLINK("#'Input - Enterprise'!A1", "Enterprise")</f>
        <v>Enterprise</v>
      </c>
      <c r="G9" s="27"/>
      <c r="O9" s="157"/>
      <c r="P9" s="157"/>
      <c r="Q9" s="157"/>
    </row>
    <row r="10" spans="1:18" ht="20.100000000000001" customHeight="1" x14ac:dyDescent="0.25">
      <c r="A10" s="5" t="str">
        <f>HYPERLINK("#'Input - Site'!A1", "Site")</f>
        <v>Site</v>
      </c>
      <c r="O10" s="157"/>
      <c r="P10" s="157"/>
      <c r="Q10" s="157"/>
    </row>
    <row r="11" spans="1:18" ht="20.100000000000001" customHeight="1" x14ac:dyDescent="0.25">
      <c r="A11" s="5" t="str">
        <f>HYPERLINK("#'Input - Crop'!A1", "Crop")</f>
        <v>Crop</v>
      </c>
      <c r="D11" s="88" t="s">
        <v>256</v>
      </c>
      <c r="E11" s="1" t="str" cm="1">
        <f t="array" ref="E11">Fuel_Equations.VEERG_8_1_1_1__1_FuelCombustionTransport_Variable()</f>
        <v>E_g</v>
      </c>
      <c r="K11" s="88" t="s">
        <v>256</v>
      </c>
      <c r="L11" s="1" t="str" cm="1">
        <f t="array" ref="L11">Scope3_Equations.VEERG_15_11_1_1__2_UpstreamTransportFuelEmissions_Variable()</f>
        <v>E_WTTtransq</v>
      </c>
      <c r="O11" s="157"/>
      <c r="P11" s="157"/>
      <c r="Q11" s="157"/>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_xlfn.CHOOSECOLS(Fuel_Equations.VEERG_8_1_1_1__1_FuelCombustionTransport_Arguments(), 1,2)</f>
        <v>Q_Transtq</v>
      </c>
      <c r="E14" s="161" t="str">
        <v>Amount of fuel type q combusted for transport energy purposes</v>
      </c>
      <c r="F14" s="163"/>
      <c r="G14" s="153" t="str" cm="1">
        <f t="array" ref="G14:H20">_xlfn.CHOOSECOLS(Fuel_Equations.VEERG_8_1_1_1__1_FuelCombustionTransport_Arguments(), 3,4)</f>
        <v>Varies based on fuel type: kL, m3, GJ</v>
      </c>
      <c r="H14" s="134" t="str">
        <v>Input</v>
      </c>
      <c r="I14" s="138" t="str" cm="1">
        <f t="array" aca="1" ref="I14" ca="1">HYPERLINK(Common_InputFunctions.Utility_SourceHyperlink($D$22), $D$22)</f>
        <v>Table_E_g</v>
      </c>
      <c r="K14" s="153" t="str" cm="1">
        <f t="array" ref="K14:L16">_xlfn.CHOOSECOLS(Scope3_Equations.VEERG_15_11_1_1__2_UpstreamTransportFuelEmissions_Arguments(),1,2)</f>
        <v>Q_Transq</v>
      </c>
      <c r="L14" s="153" t="str">
        <v>amount of fuel q combusted for transport energy purposes</v>
      </c>
      <c r="M14" s="153"/>
      <c r="N14" s="153" t="str" cm="1">
        <f t="array" ref="N14:O16">_xlfn.CHOOSECOLS(Scope3_Equations.VEERG_15_11_1_1__2_UpstreamTransportFuelEmissions_Arguments(),3,4)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EC_Transq</v>
      </c>
      <c r="E15" s="161" t="str">
        <v>Energy content factor for transport energy purposes</v>
      </c>
      <c r="F15" s="163"/>
      <c r="G15" s="153" t="str">
        <v>GJ / unit of fuel</v>
      </c>
      <c r="H15" s="135" t="str">
        <v>Constant</v>
      </c>
      <c r="I15" s="138" t="str" cm="1">
        <f t="array" aca="1" ref="I15" ca="1">HYPERLINK(Common_InputFunctions.Utility_SourceHyperlink($D$22), $D$22)</f>
        <v>Table_E_g</v>
      </c>
      <c r="K15" s="153" t="str">
        <v>EC_Transq</v>
      </c>
      <c r="L15" s="153" t="str">
        <v>energy content factor for transport energy purposes</v>
      </c>
      <c r="M15" s="153"/>
      <c r="N15" s="153" t="str">
        <v>GJ/kL or GJ/m3</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EF_Trans1tqg</v>
      </c>
      <c r="E16" s="161" t="str">
        <v>Scope 1 emission factor for transport energy purposes for each greenhouse gas</v>
      </c>
      <c r="F16" s="163"/>
      <c r="G16" s="153" t="str">
        <v>kg CO2e / GJ</v>
      </c>
      <c r="H16" s="135" t="str">
        <v>Constant</v>
      </c>
      <c r="I16" s="138" t="str" cm="1">
        <f t="array" aca="1" ref="I16" ca="1">HYPERLINK(Common_InputFunctions.Utility_SourceHyperlink($D$22), $D$22)</f>
        <v>Table_E_g</v>
      </c>
      <c r="K16" s="153" t="str">
        <v>EF_Trans3q</v>
      </c>
      <c r="L16" s="153" t="str">
        <v>scope 3 emission factor for transport energy purposes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P17" s="157"/>
      <c r="Q17" s="157"/>
    </row>
    <row r="18" spans="1:17" ht="20.100000000000001" customHeight="1" x14ac:dyDescent="0.25">
      <c r="A18" s="5" t="str">
        <f>HYPERLINK("#'Input - Manure sent off-site'!A1", "Manure sent off-site")</f>
        <v>Manure sent off-site</v>
      </c>
      <c r="D18" s="153" t="str">
        <v>Trans</v>
      </c>
      <c r="E18" s="161" t="str">
        <v>Transport combustion</v>
      </c>
      <c r="F18" s="163"/>
      <c r="G18" s="153" t="str">
        <v/>
      </c>
      <c r="H18" s="135" t="str">
        <v>Constant</v>
      </c>
      <c r="I18" s="138"/>
      <c r="J18" s="157"/>
      <c r="L18" s="157"/>
      <c r="M18" s="157"/>
      <c r="N18" s="157"/>
      <c r="O18" s="157"/>
      <c r="P18" s="157"/>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M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M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454</v>
      </c>
    </row>
    <row r="24" spans="1:17" ht="20.100000000000001" customHeight="1" x14ac:dyDescent="0.25">
      <c r="A24" s="5" t="str">
        <f>HYPERLINK("#'5.1.1.3-4 Inorganic fert CO2'!A1", "5.1.1.3-4 Inorganic fert CO2")</f>
        <v>5.1.1.3-4 Inorganic fert CO2</v>
      </c>
      <c r="D24" s="143" t="s">
        <v>455</v>
      </c>
      <c r="E24" s="143" t="s">
        <v>456</v>
      </c>
      <c r="F24" s="143" t="s">
        <v>457</v>
      </c>
      <c r="G24" s="143" t="s">
        <v>458</v>
      </c>
      <c r="H24" s="143" t="s">
        <v>459</v>
      </c>
      <c r="I24" s="143" t="s">
        <v>460</v>
      </c>
      <c r="J24" s="143" t="s">
        <v>461</v>
      </c>
      <c r="K24" s="143" t="s">
        <v>462</v>
      </c>
      <c r="L24" s="144" t="s">
        <v>463</v>
      </c>
      <c r="M24" s="143" t="s">
        <v>464</v>
      </c>
      <c r="N24" s="143" t="s">
        <v>465</v>
      </c>
      <c r="O24" s="143" t="s">
        <v>466</v>
      </c>
      <c r="P24" s="143" t="s">
        <v>467</v>
      </c>
      <c r="Q24" s="143" t="s">
        <v>468</v>
      </c>
    </row>
    <row r="25" spans="1:17" ht="20.100000000000001" customHeight="1" x14ac:dyDescent="0.25">
      <c r="A25" s="5" t="str">
        <f>HYPERLINK("#'5.2.1.1-2 Organic Fert N2O'!A1", "5.2.1.1-2 Organic fert N2O")</f>
        <v>5.2.1.1-2 Organic fert N2O</v>
      </c>
      <c r="D25" s="35" t="str">
        <f>Table_FuelTypesPerUse[[#Headers],[Cars and light commercial vehicles]]</f>
        <v>Cars and light commercial vehicles</v>
      </c>
      <c r="E25" s="187" t="str">
        <f>'Constants - Fuel'!$E$10</f>
        <v>Gasoline</v>
      </c>
      <c r="F25" s="187"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A26" s="5" t="str">
        <f>HYPERLINK("#'5.3.1.1-2 Lime CO2'!A1", "5.3.1.1-2 Lime CO2")</f>
        <v>5.3.1.1-2 Lime CO2</v>
      </c>
      <c r="D26" s="189" t="str">
        <f t="shared" ref="D26:D32" si="0">$D$25</f>
        <v>Cars and light commercial vehicles</v>
      </c>
      <c r="E26" s="187" t="str">
        <f>'Constants - Fuel'!$E$11</f>
        <v>Diesel oil</v>
      </c>
      <c r="F26" s="187"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5" cm="1">
        <f t="array" ref="L26">Fuel_InputFunctions.Fuel_TotalConsumption(Table_Input_Fuel[Amount consumed], Table_Input_Fuel[Fuel use (select)], D26, Table_Input_Fuel[Fuel type (select)],F26)</f>
        <v>10</v>
      </c>
      <c r="M26" s="165" t="str" cm="1">
        <f t="array" ref="M26">Common_InputFunctions.Utility_LookupValueInTable(F26,Table_FuelTypes_Units[Fuel type],Table_FuelTypes_Units[Unit])</f>
        <v>kL</v>
      </c>
      <c r="N26" s="188" cm="1">
        <f t="array" ref="N26">Fuel_Equations.VEERG_8_1_1_1__1_FuelCombustionTransport($L26,$G26,$H26)</f>
        <v>26.981400000000001</v>
      </c>
      <c r="O26" s="188" cm="1">
        <f t="array" ref="O26">Fuel_Equations.VEERG_8_1_1_1__1_FuelCombustionTransport($L26,$G26,$I26)</f>
        <v>3.8600000000000001E-3</v>
      </c>
      <c r="P26" s="188" cm="1">
        <f t="array" ref="P26">Fuel_Equations.VEERG_8_1_1_1__1_FuelCombustionTransport($L26,$G26,$J26)</f>
        <v>0.193</v>
      </c>
      <c r="Q26" s="188" cm="1">
        <f t="array" ref="Q26">Scope3_Equations.VEERG_15_11_1_1__2_UpstreamTransportFuelEmissions(L26,G26,K26)</f>
        <v>6.6778000000000004</v>
      </c>
    </row>
    <row r="27" spans="1:17" ht="20.100000000000001" customHeight="1" x14ac:dyDescent="0.25">
      <c r="A27" s="5" t="str">
        <f>HYPERLINK("#'5.4.1.1-4 Atmos deposition'!A1", "5.4.1.1-4 Atmos. deposition")</f>
        <v>5.4.1.1-4 Atmos. deposition</v>
      </c>
      <c r="D27" s="189" t="str">
        <f t="shared" si="0"/>
        <v>Cars and light commercial vehicles</v>
      </c>
      <c r="E27" s="187" t="str">
        <f>'Constants - Fuel'!$E$12</f>
        <v>Liquefied petroleum gas (LPG)</v>
      </c>
      <c r="F27" s="187"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A28" s="5" t="str">
        <f>HYPERLINK("#'5.5.1.1-2 Leaching and runoff'!A1", "5.5.1.1-2 Leaching &amp; runoff")</f>
        <v>5.5.1.1-2 Leaching &amp; runoff</v>
      </c>
      <c r="D28" s="189" t="str">
        <f t="shared" si="0"/>
        <v>Cars and light commercial vehicles</v>
      </c>
      <c r="E28" s="187" t="str">
        <f>'Constants - Fuel'!$E$13</f>
        <v>Fuel oil</v>
      </c>
      <c r="F28" s="187"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A29" s="5" t="str">
        <f>HYPERLINK("#'6.1.1.1-2 Crop residue N2O'!A1", "6.1.1.1-2 Crop residue N2O")</f>
        <v>6.1.1.1-2 Crop residue N2O</v>
      </c>
      <c r="D29" s="189" t="str">
        <f t="shared" si="0"/>
        <v>Cars and light commercial vehicles</v>
      </c>
      <c r="E29" s="187" t="str">
        <f>'Constants - Fuel'!$E$14</f>
        <v>Ethanol</v>
      </c>
      <c r="F29" s="187"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A30" s="5" t="str">
        <f>HYPERLINK("#'6.3.1.1-2 Leach runoff crop'!A1", "6.3.1.1-2 Leach &amp; runoff (crop)")</f>
        <v>6.3.1.1-2 Leach &amp; runoff (crop)</v>
      </c>
      <c r="D30" s="189" t="str">
        <f t="shared" si="0"/>
        <v>Cars and light commercial vehicles</v>
      </c>
      <c r="E30" s="187" t="str">
        <f>'Constants - Fuel'!$E$15</f>
        <v>Biodiesel</v>
      </c>
      <c r="F30" s="187"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A31" s="5" t="str">
        <f>HYPERLINK("#'6.4.1.1-2 Residue burning'!A1", "6.4.1.1-2 Residue burning")</f>
        <v>6.4.1.1-2 Residue burning</v>
      </c>
      <c r="D31" s="189" t="str">
        <f t="shared" si="0"/>
        <v>Cars and light commercial vehicles</v>
      </c>
      <c r="E31" s="187" t="str">
        <f>'Constants - Fuel'!$E$16</f>
        <v>Renewable diesel</v>
      </c>
      <c r="F31" s="187"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5" cm="1">
        <f t="array" ref="L31">Fuel_InputFunctions.Fuel_TotalConsumption(Table_Input_Fuel[Amount consumed], Table_Input_Fuel[Fuel use (select)], D31, Table_Input_Fuel[Fuel type (select)],F31)</f>
        <v>0</v>
      </c>
      <c r="M31" s="165"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A32" s="139" t="str">
        <f>HYPERLINK("#'8.1.1.1-2 Transport fuel'!A1", "8.1.1.1-2 Transport fuel")</f>
        <v>8.1.1.1-2 Transport fuel</v>
      </c>
      <c r="D32" s="189" t="str">
        <f t="shared" si="0"/>
        <v>Cars and light commercial vehicles</v>
      </c>
      <c r="E32" s="187" t="str">
        <f>'Constants - Fuel'!$E$17</f>
        <v>Other biofuels</v>
      </c>
      <c r="F32" s="187"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5" t="str" cm="1">
        <f t="array" ref="K32">IFERROR(_xlfn.XLOOKUP(1, (Table_Fuel_EFs_Transport[Fuel combusted]=$E32)*(Table_Fuel_EFs_Transport[Transport type]=$D$25), Table_Fuel_EFs_Transport[Scope 3 Emission Factor (kg CO2 - e / GJ)]), 0)</f>
        <v>NE</v>
      </c>
      <c r="L32" s="190" cm="1">
        <f t="array" ref="L32">Fuel_InputFunctions.Fuel_TotalConsumption(Table_Input_Fuel[Amount consumed], Table_Input_Fuel[Fuel use (select)], D32, Table_Input_Fuel[Fuel type (select)],F32)</f>
        <v>0</v>
      </c>
      <c r="M32" s="165" t="str" cm="1">
        <f t="array" ref="M32">Common_InputFunctions.Utility_LookupValueInTable(F32,Table_FuelTypes_Units[Fuel type],Table_FuelTypes_Units[Unit])</f>
        <v>kL</v>
      </c>
      <c r="N32" s="191" cm="1">
        <f t="array" ref="N32">Fuel_Equations.VEERG_8_1_1_1__1_FuelCombustionTransport($L32,$G32,$H32)</f>
        <v>0</v>
      </c>
      <c r="O32" s="191" cm="1">
        <f t="array" ref="O32">Fuel_Equations.VEERG_8_1_1_1__1_FuelCombustionTransport($L32,$G32,$I32)</f>
        <v>0</v>
      </c>
      <c r="P32" s="191"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92" t="str">
        <f>Table_FuelTypesPerUse[[#Headers],[Off-road Agriculture and forestry equipment]]</f>
        <v>Off-road Agriculture and forestry equipment</v>
      </c>
      <c r="E33" s="193" t="str">
        <f>'Constants - Fuel'!$E$11</f>
        <v>Diesel oil</v>
      </c>
      <c r="F33" s="193" t="str">
        <f>'Constants - Fuel'!H131</f>
        <v>Diesel</v>
      </c>
      <c r="G33" s="194" cm="1">
        <f t="array" ref="G33">IFERROR(_xlfn.XLOOKUP(1, (Table_Fuel_EFs_Transport[Fuel combusted]=$E33)*(Table_Fuel_EFs_Transport[Transport type]=$D$33), Table_Fuel_EFs_Transport[Energy Content Factor (GJ per unit of fuel)]), 0)</f>
        <v>38.6</v>
      </c>
      <c r="H33" s="194" cm="1">
        <f t="array" ref="H33">IFERROR(_xlfn.XLOOKUP(1, (Table_Fuel_EFs_Transport[Fuel combusted]=$E33)*(Table_Fuel_EFs_Transport[Transport type]=$D$33), Table_Fuel_EFs_Transport[Scope 1 Emission Factor (kg CO2 - e / GJ) CO2]), 0)</f>
        <v>69.900000000000006</v>
      </c>
      <c r="I33" s="194" cm="1">
        <f t="array" ref="I33">IFERROR(_xlfn.XLOOKUP(1, (Table_Fuel_EFs_Transport[Fuel combusted]=$E33)*(Table_Fuel_EFs_Transport[Transport type]=$D$33), Table_Fuel_EFs_Transport[Scope 1 Emission Factor (kg CO2 - e / GJ) CH4]), 0)</f>
        <v>0.3</v>
      </c>
      <c r="J33" s="194" cm="1">
        <f t="array" ref="J33">IFERROR(_xlfn.XLOOKUP(1, (Table_Fuel_EFs_Transport[Fuel combusted]=$E33)*(Table_Fuel_EFs_Transport[Transport type]=$D$33), Table_Fuel_EFs_Transport[Scope 1 Emission Factor (kg CO2 - e / GJ) N2O]), 0)</f>
        <v>0.5</v>
      </c>
      <c r="K33" s="195" cm="1">
        <f t="array" ref="K33">IFERROR(_xlfn.XLOOKUP(1, (Table_Fuel_EFs_Transport[Fuel combusted]=$E33)*(Table_Fuel_EFs_Transport[Transport type]=$D$25), Table_Fuel_EFs_Transport[Scope 3 Emission Factor (kg CO2 - e / GJ)]), 0)</f>
        <v>17.3</v>
      </c>
      <c r="L33" s="196" cm="1">
        <f t="array" ref="L33">Fuel_InputFunctions.Fuel_TotalConsumption(Table_Input_Fuel[Amount consumed], Table_Input_Fuel[Fuel use (select)], D33, Table_Input_Fuel[Fuel type (select)],F33)</f>
        <v>10</v>
      </c>
      <c r="M33" s="197" t="str" cm="1">
        <f t="array" ref="M33">Common_InputFunctions.Utility_LookupValueInTable(F33,Table_FuelTypes_Units[Fuel type],Table_FuelTypes_Units[Unit])</f>
        <v>kL</v>
      </c>
      <c r="N33" s="198" cm="1">
        <f t="array" ref="N33">Fuel_Equations.VEERG_8_1_1_1__1_FuelCombustionTransport($L33,$G33,$H33)</f>
        <v>26.981400000000001</v>
      </c>
      <c r="O33" s="198" cm="1">
        <f t="array" ref="O33">Fuel_Equations.VEERG_8_1_1_1__1_FuelCombustionTransport($L33,$G33,$I33)</f>
        <v>0.1158</v>
      </c>
      <c r="P33" s="198" cm="1">
        <f t="array" ref="P33">Fuel_Equations.VEERG_8_1_1_1__1_FuelCombustionTransport($L33,$G33,$J33)</f>
        <v>0.193</v>
      </c>
      <c r="Q33" s="199"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192" t="str">
        <f>Table_FuelTypesPerUse[[#Headers],[Aviation]]</f>
        <v>Aviation</v>
      </c>
      <c r="E34" s="193" t="str">
        <f>'Constants - Fuel'!$E$28</f>
        <v>Gasoline for use as fuel in an aircraft</v>
      </c>
      <c r="F34" s="193" t="str">
        <f>'Constants - Fuel'!$F$131</f>
        <v>Avgas</v>
      </c>
      <c r="G34" s="200" cm="1">
        <f t="array" ref="G34">IFERROR(_xlfn.XLOOKUP(1, (Table_Fuel_EFs_Transport[Fuel combusted]=$E34)*(Table_Fuel_EFs_Transport[Transport type]=$D$34), Table_Fuel_EFs_Transport[Energy Content Factor (GJ per unit of fuel)]), 0)</f>
        <v>33.1</v>
      </c>
      <c r="H34" s="200" cm="1">
        <f t="array" ref="H34">IFERROR(_xlfn.XLOOKUP(1, (Table_Fuel_EFs_Transport[Fuel combusted]=$E34)*(Table_Fuel_EFs_Transport[Transport type]=$D$34), Table_Fuel_EFs_Transport[Scope 1 Emission Factor (kg CO2 - e / GJ) CO2]), 0)</f>
        <v>67</v>
      </c>
      <c r="I34" s="200" cm="1">
        <f t="array" ref="I34">IFERROR(_xlfn.XLOOKUP(1, (Table_Fuel_EFs_Transport[Fuel combusted]=$E34)*(Table_Fuel_EFs_Transport[Transport type]=$D$34), Table_Fuel_EFs_Transport[Scope 1 Emission Factor (kg CO2 - e / GJ) CH4]), 0)</f>
        <v>0.06</v>
      </c>
      <c r="J34" s="200" cm="1">
        <f t="array" ref="J34">IFERROR(_xlfn.XLOOKUP(1, (Table_Fuel_EFs_Transport[Fuel combusted]=$E34)*(Table_Fuel_EFs_Transport[Transport type]=$D$34), Table_Fuel_EFs_Transport[Scope 1 Emission Factor (kg CO2 - e / GJ) N2O]), 0)</f>
        <v>0.6</v>
      </c>
      <c r="K34" s="200" cm="1">
        <f t="array" ref="K34">IFERROR(_xlfn.XLOOKUP(1, (Table_Fuel_EFs_Transport[Fuel combusted]=$E34)*(Table_Fuel_EFs_Transport[Transport type]=$D$25), Table_Fuel_EFs_Transport[Scope 3 Emission Factor (kg CO2 - e / GJ)]), 0)</f>
        <v>0</v>
      </c>
      <c r="L34" s="197" cm="1">
        <f t="array" ref="L34">Fuel_InputFunctions.Fuel_TotalConsumption(Table_Input_Fuel[Amount consumed], Table_Input_Fuel[Fuel use (select)], D34, Table_Input_Fuel[Fuel type (select)],F34)</f>
        <v>0</v>
      </c>
      <c r="M34" s="197" t="str" cm="1">
        <f t="array" ref="M34">Common_InputFunctions.Utility_LookupValueInTable(F34,Table_FuelTypes_Units[Fuel type],Table_FuelTypes_Units[Unit])</f>
        <v>kL</v>
      </c>
      <c r="N34" s="198" cm="1">
        <f t="array" ref="N34">Fuel_Equations.VEERG_8_1_1_1__1_FuelCombustionTransport($L34,$G34,$H34)</f>
        <v>0</v>
      </c>
      <c r="O34" s="198" cm="1">
        <f t="array" ref="O34">Fuel_Equations.VEERG_8_1_1_1__1_FuelCombustionTransport($L34,$G34,$I34)</f>
        <v>0</v>
      </c>
      <c r="P34" s="198" cm="1">
        <f t="array" ref="P34">Fuel_Equations.VEERG_8_1_1_1__1_FuelCombustionTransport($L34,$G34,$J34)</f>
        <v>0</v>
      </c>
      <c r="Q34" s="198" cm="1">
        <f t="array" ref="Q34">Scope3_Equations.VEERG_15_11_1_1__2_UpstreamTransportFuelEmissions(L34,G34,K34)</f>
        <v>0</v>
      </c>
    </row>
    <row r="35" spans="1:17" ht="20.100000000000001" customHeight="1" x14ac:dyDescent="0.25">
      <c r="A35" s="5" t="str">
        <f>HYPERLINK("#'15 Scope 3'!A1", "15 Scope 3")</f>
        <v>15 Scope 3</v>
      </c>
      <c r="D35" s="189" t="str">
        <f>$D$34</f>
        <v>Aviation</v>
      </c>
      <c r="E35" s="187" t="str">
        <f>'Constants - Fuel'!$E$29</f>
        <v>Kerosene for use as fuel in an aircraft</v>
      </c>
      <c r="F35" s="187"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5" cm="1">
        <f t="array" ref="L35">Fuel_InputFunctions.Fuel_TotalConsumption(Table_Input_Fuel[Amount consumed], Table_Input_Fuel[Fuel use (select)], D35, Table_Input_Fuel[Fuel type (select)],F35)</f>
        <v>0</v>
      </c>
      <c r="M35" s="165"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A36" s="5" t="str">
        <f>HYPERLINK("#'Calcs - Manure sent off-site'!A1", "Calcs - Manure sent off-site")</f>
        <v>Calcs - Manure sent off-site</v>
      </c>
      <c r="D36" s="189" t="str">
        <f>$D$34</f>
        <v>Aviation</v>
      </c>
      <c r="E36" s="187" t="str">
        <f>'Constants - Fuel'!$E$30</f>
        <v>Renewable aviation kerosene</v>
      </c>
      <c r="F36" s="187" t="str">
        <f>'Constants - Fuel'!$F$133</f>
        <v>Renewable aviation kerosene</v>
      </c>
      <c r="G36" s="185" cm="1">
        <f t="array" ref="G36">IFERROR(_xlfn.XLOOKUP(1, (Table_Fuel_EFs_Transport[Fuel combusted]=$E36)*(Table_Fuel_EFs_Transport[Transport type]=$D$34), Table_Fuel_EFs_Transport[Energy Content Factor (GJ per unit of fuel)]), 0)</f>
        <v>36.799999999999997</v>
      </c>
      <c r="H36" s="185" cm="1">
        <f t="array" ref="H36">IFERROR(_xlfn.XLOOKUP(1, (Table_Fuel_EFs_Transport[Fuel combusted]=$E36)*(Table_Fuel_EFs_Transport[Transport type]=$D$34), Table_Fuel_EFs_Transport[Scope 1 Emission Factor (kg CO2 - e / GJ) CO2]), 0)</f>
        <v>0</v>
      </c>
      <c r="I36" s="185" cm="1">
        <f t="array" ref="I36">IFERROR(_xlfn.XLOOKUP(1, (Table_Fuel_EFs_Transport[Fuel combusted]=$E36)*(Table_Fuel_EFs_Transport[Transport type]=$D$34), Table_Fuel_EFs_Transport[Scope 1 Emission Factor (kg CO2 - e / GJ) CH4]), 0)</f>
        <v>0.01</v>
      </c>
      <c r="J36" s="185" cm="1">
        <f t="array" ref="J36">IFERROR(_xlfn.XLOOKUP(1, (Table_Fuel_EFs_Transport[Fuel combusted]=$E36)*(Table_Fuel_EFs_Transport[Transport type]=$D$34), Table_Fuel_EFs_Transport[Scope 1 Emission Factor (kg CO2 - e / GJ) N2O]), 0)</f>
        <v>0.6</v>
      </c>
      <c r="K36" s="185" cm="1">
        <f t="array" ref="K36">IFERROR(_xlfn.XLOOKUP(1, (Table_Fuel_EFs_Transport[Fuel combusted]=$E36)*(Table_Fuel_EFs_Transport[Transport type]=$D$25), Table_Fuel_EFs_Transport[Scope 3 Emission Factor (kg CO2 - e / GJ)]), 0)</f>
        <v>0</v>
      </c>
      <c r="L36" s="190" cm="1">
        <f t="array" ref="L36">Fuel_InputFunctions.Fuel_TotalConsumption(Table_Input_Fuel[Amount consumed], Table_Input_Fuel[Fuel use (select)], D36, Table_Input_Fuel[Fuel type (select)],F36)</f>
        <v>0</v>
      </c>
      <c r="M36" s="165"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1" cm="1">
        <f t="array" ref="Q36">Scope3_Equations.VEERG_15_11_1_1__2_UpstreamTransportFuelEmissions(L36,G36,K36)</f>
        <v>0</v>
      </c>
    </row>
    <row r="37" spans="1:17" ht="20.100000000000001" customHeight="1" x14ac:dyDescent="0.25">
      <c r="A37" s="5" t="str">
        <f>HYPERLINK("#'10.1.1-2 Solid waste treatment'!A1", "10.1.1-2 Solid waste treatment")</f>
        <v>10.1.1-2 Solid waste treatment</v>
      </c>
      <c r="D37" s="192" t="str">
        <f>Table_FuelTypesPerUse[[#Headers],[Vessels]]</f>
        <v>Vessels</v>
      </c>
      <c r="E37" s="193" t="str">
        <f>'Constants - Fuel'!$E$10</f>
        <v>Gasoline</v>
      </c>
      <c r="F37" s="193" t="str">
        <f>'Constants - Fuel'!$I$131</f>
        <v>Petrol</v>
      </c>
      <c r="G37" s="200" cm="1">
        <f t="array" ref="G37">IFERROR(_xlfn.XLOOKUP(1, (Table_Fuel_EFs_Transport[Fuel combusted]=$E37)*(Table_Fuel_EFs_Transport[Transport type]=$D$37), Table_Fuel_EFs_Transport[Energy Content Factor (GJ per unit of fuel)]), 0)</f>
        <v>34.200000000000003</v>
      </c>
      <c r="H37" s="200" cm="1">
        <f t="array" ref="H37">IFERROR(_xlfn.XLOOKUP(1, (Table_Fuel_EFs_Transport[Fuel combusted]=$E37)*(Table_Fuel_EFs_Transport[Transport type]=$D$37), Table_Fuel_EFs_Transport[Scope 1 Emission Factor (kg CO2 - e / GJ) CO2]), 0)</f>
        <v>67.400000000000006</v>
      </c>
      <c r="I37" s="200" cm="1">
        <f t="array" ref="I37">IFERROR(_xlfn.XLOOKUP(1, (Table_Fuel_EFs_Transport[Fuel combusted]=$E37)*(Table_Fuel_EFs_Transport[Transport type]=$D$37), Table_Fuel_EFs_Transport[Scope 1 Emission Factor (kg CO2 - e / GJ) CH4]), 0)</f>
        <v>10.1</v>
      </c>
      <c r="J37" s="200" cm="1">
        <f t="array" ref="J37">IFERROR(_xlfn.XLOOKUP(1, (Table_Fuel_EFs_Transport[Fuel combusted]=$E37)*(Table_Fuel_EFs_Transport[Transport type]=$D$37), Table_Fuel_EFs_Transport[Scope 1 Emission Factor (kg CO2 - e / GJ) N2O]), 0)</f>
        <v>0.3</v>
      </c>
      <c r="K37" s="200" cm="1">
        <f t="array" ref="K37">IFERROR(_xlfn.XLOOKUP(1, (Table_Fuel_EFs_Transport[Fuel combusted]=$E37)*(Table_Fuel_EFs_Transport[Transport type]=$D$25), Table_Fuel_EFs_Transport[Scope 3 Emission Factor (kg CO2 - e / GJ)]), 0)</f>
        <v>17.2</v>
      </c>
      <c r="L37" s="197" cm="1">
        <f t="array" ref="L37">Fuel_InputFunctions.Fuel_TotalConsumption(Table_Input_Fuel[Amount consumed], Table_Input_Fuel[Fuel use (select)], D37, Table_Input_Fuel[Fuel type (select)],F37)</f>
        <v>0</v>
      </c>
      <c r="M37" s="201" t="str" cm="1">
        <f t="array" ref="M37">Common_InputFunctions.Utility_LookupValueInTable(F37,Table_FuelTypes_Units[Fuel type],Table_FuelTypes_Units[Unit])</f>
        <v>kL</v>
      </c>
      <c r="N37" s="198" cm="1">
        <f t="array" ref="N37">Fuel_Equations.VEERG_8_1_1_1__1_FuelCombustionTransport($L37,$G37,$H37)</f>
        <v>0</v>
      </c>
      <c r="O37" s="198" cm="1">
        <f t="array" ref="O37">Fuel_Equations.VEERG_8_1_1_1__1_FuelCombustionTransport($L37,$G37,$I37)</f>
        <v>0</v>
      </c>
      <c r="P37" s="198" cm="1">
        <f t="array" ref="P37">Fuel_Equations.VEERG_8_1_1_1__1_FuelCombustionTransport($L37,$G37,$J37)</f>
        <v>0</v>
      </c>
      <c r="Q37" s="198" cm="1">
        <f t="array" ref="Q37">Scope3_Equations.VEERG_15_11_1_1__2_UpstreamTransportFuelEmissions(L37,G37,K37)</f>
        <v>0</v>
      </c>
    </row>
    <row r="38" spans="1:17" ht="20.100000000000001" customHeight="1" x14ac:dyDescent="0.25">
      <c r="D38" s="189" t="str">
        <f>$D$37</f>
        <v>Vessels</v>
      </c>
      <c r="E38" s="187" t="str">
        <f>'Constants - Fuel'!$E$11</f>
        <v>Diesel oil</v>
      </c>
      <c r="F38" s="187"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5" cm="1">
        <f t="array" ref="L38">Fuel_InputFunctions.Fuel_TotalConsumption(Table_Input_Fuel[Amount consumed], Table_Input_Fuel[Fuel use (select)], D38, Table_Input_Fuel[Fuel type (select)],F38)</f>
        <v>0</v>
      </c>
      <c r="M38" s="165" t="str" cm="1">
        <f t="array" ref="M38">Common_InputFunctions.Utility_LookupValueInTable(F38,Table_FuelTypes_Units[Fuel type],Table_FuelTypes_Units[Unit])</f>
        <v>kL</v>
      </c>
      <c r="N38" s="188" cm="1">
        <f t="array" ref="N38">Fuel_Equations.VEERG_8_1_1_1__1_FuelCombustionTransport($L38,$G38,$H38)</f>
        <v>0</v>
      </c>
      <c r="O38" s="188" cm="1">
        <f t="array" ref="O38">Fuel_Equations.VEERG_8_1_1_1__1_FuelCombustionTransport($L38,$G38,$I38)</f>
        <v>0</v>
      </c>
      <c r="P38" s="188" cm="1">
        <f t="array" ref="P38">Fuel_Equations.VEERG_8_1_1_1__1_FuelCombustionTransport($L38,$G38,$J38)</f>
        <v>0</v>
      </c>
      <c r="Q38" s="188" cm="1">
        <f t="array" ref="Q38">Scope3_Equations.VEERG_15_11_1_1__2_UpstreamTransportFuelEmissions(L38,G38,K38)</f>
        <v>0</v>
      </c>
    </row>
    <row r="39" spans="1:17" ht="20.100000000000001" customHeight="1" x14ac:dyDescent="0.25">
      <c r="D39" s="189" t="str">
        <f>$D$37</f>
        <v>Vessels</v>
      </c>
      <c r="E39" s="187" t="str">
        <f>'Constants - Fuel'!E33</f>
        <v>Fuel Oil</v>
      </c>
      <c r="F39" s="187"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5" cm="1">
        <f t="array" ref="L39">Fuel_InputFunctions.Fuel_TotalConsumption(Table_Input_Fuel[Amount consumed], Table_Input_Fuel[Fuel use (select)], D39, Table_Input_Fuel[Fuel type (select)],F39)</f>
        <v>10</v>
      </c>
      <c r="M39" s="165" t="str" cm="1">
        <f t="array" ref="M39">Common_InputFunctions.Utility_LookupValueInTable(F39,Table_FuelTypes_Units[Fuel type],Table_FuelTypes_Units[Unit])</f>
        <v>kL</v>
      </c>
      <c r="N39" s="188" cm="1">
        <f t="array" ref="N39">Fuel_Equations.VEERG_8_1_1_1__1_FuelCombustionTransport($L39,$G39,$H39)</f>
        <v>29.219199999999997</v>
      </c>
      <c r="O39" s="188" cm="1">
        <f t="array" ref="O39">Fuel_Equations.VEERG_8_1_1_1__1_FuelCombustionTransport($L39,$G39,$I39)</f>
        <v>7.9400000000000012E-2</v>
      </c>
      <c r="P39" s="188" cm="1">
        <f t="array" ref="P39">Fuel_Equations.VEERG_8_1_1_1__1_FuelCombustionTransport($L39,$G39,$J39)</f>
        <v>0.19850000000000001</v>
      </c>
      <c r="Q39" s="188" cm="1">
        <f t="array" ref="Q39">Scope3_Equations.VEERG_15_11_1_1__2_UpstreamTransportFuelEmissions(L39,G39,K39)</f>
        <v>7.1459999999999999</v>
      </c>
    </row>
    <row r="40" spans="1:17" ht="20.100000000000001" customHeight="1" x14ac:dyDescent="0.25">
      <c r="A40" s="119" t="s">
        <v>1</v>
      </c>
      <c r="H40" s="157"/>
      <c r="I40" s="157"/>
      <c r="J40" s="157"/>
      <c r="L40" s="157"/>
      <c r="M40" s="157"/>
      <c r="N40" s="157"/>
      <c r="O40" s="157"/>
      <c r="P40" s="157"/>
      <c r="Q40" s="157"/>
    </row>
    <row r="41" spans="1:17" ht="20.100000000000001" customHeight="1" x14ac:dyDescent="0.25">
      <c r="A41" s="5" t="str">
        <f>HYPERLINK("#'Constants - Ag Residue'!A1", "Constants - Ag residue")</f>
        <v>Constants - Ag residue</v>
      </c>
      <c r="H41" s="157"/>
      <c r="I41" s="157"/>
      <c r="J41" s="157"/>
      <c r="L41" s="157"/>
      <c r="M41" s="157"/>
      <c r="N41" s="157"/>
      <c r="O41" s="157"/>
      <c r="P41" s="157"/>
      <c r="Q41" s="157"/>
    </row>
    <row r="42" spans="1:17" ht="20.100000000000001" customHeight="1" x14ac:dyDescent="0.25">
      <c r="A42" s="5" t="str">
        <f>HYPERLINK("#'Constants - Common Livestock'!A1", "Constants - Common Livestock")</f>
        <v>Constants - Common Livestock</v>
      </c>
      <c r="D42" s="202" t="str">
        <f>"Total scope 1 - " &amp; D25</f>
        <v>Total scope 1 - Cars and light commercial vehicles</v>
      </c>
      <c r="E42" s="203"/>
      <c r="F42" s="204"/>
    </row>
    <row r="43" spans="1:17" ht="20.100000000000001" customHeight="1" x14ac:dyDescent="0.25">
      <c r="A43" s="5" t="str">
        <f>HYPERLINK("#'Constants - Electricity'!A1", "Constants - Electricity")</f>
        <v>Constants - Electricity</v>
      </c>
      <c r="D43" s="35" t="s">
        <v>469</v>
      </c>
      <c r="E43" s="205">
        <f>SUM(N25:N32)</f>
        <v>26.981400000000001</v>
      </c>
      <c r="F43" s="26" t="str">
        <f>$E$12</f>
        <v>t CO2-e</v>
      </c>
    </row>
    <row r="44" spans="1:17" ht="20.100000000000001" customHeight="1" x14ac:dyDescent="0.25">
      <c r="A44" s="5" t="str">
        <f>HYPERLINK("#'Constants - Fertiliser'!A1", "Constants - Fertiliser")</f>
        <v>Constants - Fertiliser</v>
      </c>
      <c r="D44" s="35" t="s">
        <v>470</v>
      </c>
      <c r="E44" s="205">
        <f>SUM(O25:O32)</f>
        <v>3.8600000000000001E-3</v>
      </c>
      <c r="F44" s="26" t="str">
        <f t="shared" ref="F44:F46" si="1">$E$12</f>
        <v>t CO2-e</v>
      </c>
    </row>
    <row r="45" spans="1:17" ht="20.100000000000001" customHeight="1" x14ac:dyDescent="0.25">
      <c r="A45" s="5" t="str">
        <f>HYPERLINK("#'Constants - Fuel'!A1", "Constants - Fuel")</f>
        <v>Constants - Fuel</v>
      </c>
      <c r="D45" s="35" t="s">
        <v>471</v>
      </c>
      <c r="E45" s="205">
        <f>SUM(P25:P32)</f>
        <v>0.193</v>
      </c>
      <c r="F45" s="26" t="str">
        <f t="shared" si="1"/>
        <v>t CO2-e</v>
      </c>
    </row>
    <row r="46" spans="1:17" ht="20.100000000000001" customHeight="1" x14ac:dyDescent="0.25">
      <c r="A46" s="5" t="str">
        <f>HYPERLINK("#'Constants - Scope 3'!A1", "Constants - Scope 3")</f>
        <v>Constants - Scope 3</v>
      </c>
      <c r="D46" s="35" t="s">
        <v>472</v>
      </c>
      <c r="E46" s="205">
        <f>SUM(Q25:Q32)</f>
        <v>6.6778000000000004</v>
      </c>
      <c r="F46" s="26" t="str">
        <f t="shared" si="1"/>
        <v>t CO2-e</v>
      </c>
    </row>
    <row r="47" spans="1:17" ht="20.100000000000001" customHeight="1" x14ac:dyDescent="0.25">
      <c r="A47" s="5" t="str">
        <f>HYPERLINK("#'Constants - Common'!A1", "Constants - Common")</f>
        <v>Constants - Common</v>
      </c>
      <c r="D47" s="157"/>
      <c r="E47" s="157"/>
      <c r="F47" s="157"/>
    </row>
    <row r="48" spans="1:17" ht="20.100000000000001" customHeight="1" x14ac:dyDescent="0.25">
      <c r="A48" s="5" t="str">
        <f>HYPERLINK("#'Constants - Solid Waste'!A1", "Constants - Solid Waste")</f>
        <v>Constants - Solid Waste</v>
      </c>
      <c r="D48" s="202" t="str">
        <f>"Total scope 1 - " &amp; D33</f>
        <v>Total scope 1 - Off-road Agriculture and forestry equipment</v>
      </c>
      <c r="E48" s="206"/>
      <c r="F48" s="204"/>
      <c r="H48" s="157"/>
      <c r="I48" s="157"/>
      <c r="J48" s="157"/>
      <c r="L48" s="157"/>
      <c r="M48" s="157"/>
      <c r="N48" s="157"/>
      <c r="O48" s="157"/>
      <c r="P48" s="157"/>
      <c r="Q48" s="157"/>
    </row>
    <row r="49" spans="4:17" ht="20.100000000000001" customHeight="1" x14ac:dyDescent="0.25">
      <c r="D49" s="35" t="s">
        <v>469</v>
      </c>
      <c r="E49" s="205">
        <f>SUM(N33:N33)</f>
        <v>26.981400000000001</v>
      </c>
      <c r="F49" s="26" t="str">
        <f t="shared" ref="F49:F52" si="2">$E$12</f>
        <v>t CO2-e</v>
      </c>
      <c r="H49" s="157"/>
      <c r="I49" s="157"/>
      <c r="J49" s="157"/>
      <c r="L49" s="157"/>
      <c r="M49" s="157"/>
      <c r="N49" s="157"/>
      <c r="O49" s="157"/>
      <c r="P49" s="157"/>
      <c r="Q49" s="157"/>
    </row>
    <row r="50" spans="4:17" ht="20.100000000000001" customHeight="1" x14ac:dyDescent="0.25">
      <c r="D50" s="35" t="s">
        <v>470</v>
      </c>
      <c r="E50" s="205">
        <f>SUM(O33:O33)</f>
        <v>0.1158</v>
      </c>
      <c r="F50" s="26" t="str">
        <f t="shared" si="2"/>
        <v>t CO2-e</v>
      </c>
      <c r="H50" s="157"/>
      <c r="I50" s="157"/>
      <c r="J50" s="157"/>
      <c r="L50" s="157"/>
      <c r="M50" s="157"/>
      <c r="N50" s="157"/>
      <c r="O50" s="157"/>
      <c r="P50" s="157"/>
      <c r="Q50" s="157"/>
    </row>
    <row r="51" spans="4:17" ht="20.100000000000001" customHeight="1" x14ac:dyDescent="0.25">
      <c r="D51" s="35" t="s">
        <v>471</v>
      </c>
      <c r="E51" s="205">
        <f>SUM(P33:P33)</f>
        <v>0.193</v>
      </c>
      <c r="F51" s="26" t="str">
        <f t="shared" si="2"/>
        <v>t CO2-e</v>
      </c>
      <c r="H51" s="157"/>
      <c r="I51" s="157"/>
      <c r="J51" s="157"/>
      <c r="L51" s="157"/>
      <c r="M51" s="157"/>
      <c r="N51" s="157"/>
      <c r="O51" s="157"/>
      <c r="P51" s="157"/>
      <c r="Q51" s="157"/>
    </row>
    <row r="52" spans="4:17" ht="20.100000000000001" customHeight="1" x14ac:dyDescent="0.25">
      <c r="D52" s="35" t="s">
        <v>472</v>
      </c>
      <c r="E52" s="205">
        <f>SUM(Q33)</f>
        <v>6.6778000000000004</v>
      </c>
      <c r="F52" s="26" t="str">
        <f t="shared" si="2"/>
        <v>t CO2-e</v>
      </c>
      <c r="H52" s="157"/>
      <c r="I52" s="157"/>
      <c r="J52" s="157"/>
      <c r="L52" s="157"/>
      <c r="M52" s="157"/>
      <c r="N52" s="157"/>
      <c r="O52" s="157"/>
      <c r="P52" s="157"/>
      <c r="Q52" s="157"/>
    </row>
    <row r="53" spans="4:17" ht="20.100000000000001" customHeight="1" x14ac:dyDescent="0.25">
      <c r="D53" s="157"/>
      <c r="E53" s="207"/>
      <c r="F53" s="157"/>
      <c r="G53" s="157"/>
      <c r="H53" s="157"/>
      <c r="I53" s="157"/>
      <c r="J53" s="157"/>
      <c r="L53" s="157"/>
      <c r="M53" s="157"/>
      <c r="N53" s="157"/>
      <c r="O53" s="157"/>
      <c r="P53" s="157"/>
      <c r="Q53" s="157"/>
    </row>
    <row r="54" spans="4:17" ht="20.100000000000001" customHeight="1" x14ac:dyDescent="0.25">
      <c r="D54" s="202" t="str">
        <f>"Total scope 1 - " &amp; D34</f>
        <v>Total scope 1 - Aviation</v>
      </c>
      <c r="E54" s="206"/>
      <c r="F54" s="204"/>
      <c r="G54" s="157"/>
      <c r="H54" s="157"/>
      <c r="I54" s="157"/>
      <c r="J54" s="157"/>
      <c r="L54" s="157"/>
      <c r="M54" s="157"/>
      <c r="N54" s="157"/>
      <c r="O54" s="157"/>
      <c r="P54" s="157"/>
      <c r="Q54" s="157"/>
    </row>
    <row r="55" spans="4:17" ht="20.100000000000001" customHeight="1" x14ac:dyDescent="0.25">
      <c r="D55" s="35" t="s">
        <v>469</v>
      </c>
      <c r="E55" s="205">
        <f>SUM(N34:N36)</f>
        <v>0</v>
      </c>
      <c r="F55" s="26" t="str">
        <f t="shared" ref="F55:F58" si="3">$E$12</f>
        <v>t CO2-e</v>
      </c>
      <c r="G55" s="157"/>
      <c r="H55" s="157"/>
      <c r="I55" s="157"/>
      <c r="J55" s="157"/>
      <c r="L55" s="157"/>
      <c r="M55" s="157"/>
      <c r="N55" s="157"/>
      <c r="O55" s="157"/>
      <c r="P55" s="157"/>
      <c r="Q55" s="157"/>
    </row>
    <row r="56" spans="4:17" ht="20.100000000000001" customHeight="1" x14ac:dyDescent="0.25">
      <c r="D56" s="35" t="s">
        <v>470</v>
      </c>
      <c r="E56" s="205">
        <f>SUM(O34:O36)</f>
        <v>0</v>
      </c>
      <c r="F56" s="26" t="str">
        <f t="shared" si="3"/>
        <v>t CO2-e</v>
      </c>
      <c r="G56" s="157"/>
      <c r="H56" s="157"/>
      <c r="I56" s="157"/>
      <c r="J56" s="157"/>
      <c r="L56" s="157"/>
      <c r="M56" s="157"/>
      <c r="N56" s="157"/>
      <c r="O56" s="157"/>
      <c r="P56" s="157"/>
      <c r="Q56" s="157"/>
    </row>
    <row r="57" spans="4:17" ht="20.100000000000001" customHeight="1" x14ac:dyDescent="0.25">
      <c r="D57" s="35" t="s">
        <v>471</v>
      </c>
      <c r="E57" s="205">
        <f>SUM(P34:P36)</f>
        <v>0</v>
      </c>
      <c r="F57" s="26" t="str">
        <f t="shared" si="3"/>
        <v>t CO2-e</v>
      </c>
      <c r="G57" s="157"/>
      <c r="H57" s="157"/>
      <c r="I57" s="157"/>
      <c r="J57" s="157"/>
      <c r="L57" s="157"/>
      <c r="M57" s="157"/>
      <c r="N57" s="157"/>
      <c r="O57" s="157"/>
      <c r="P57" s="157"/>
      <c r="Q57" s="157"/>
    </row>
    <row r="58" spans="4:17" ht="20.100000000000001" customHeight="1" x14ac:dyDescent="0.25">
      <c r="D58" s="35" t="s">
        <v>472</v>
      </c>
      <c r="E58" s="205">
        <f>SUM(Q34:Q36)</f>
        <v>0</v>
      </c>
      <c r="F58" s="26" t="str">
        <f t="shared" si="3"/>
        <v>t CO2-e</v>
      </c>
      <c r="G58" s="157"/>
      <c r="H58" s="157"/>
      <c r="I58" s="157"/>
      <c r="J58" s="157"/>
      <c r="L58" s="157"/>
      <c r="M58" s="157"/>
      <c r="N58" s="157"/>
      <c r="O58" s="157"/>
      <c r="P58" s="157"/>
      <c r="Q58" s="157"/>
    </row>
    <row r="59" spans="4:17" ht="20.100000000000001" customHeight="1" x14ac:dyDescent="0.25">
      <c r="D59" s="157"/>
      <c r="E59" s="207"/>
      <c r="F59" s="157"/>
      <c r="G59" s="157"/>
      <c r="H59" s="157"/>
      <c r="I59" s="157"/>
      <c r="J59" s="157"/>
      <c r="L59" s="157"/>
      <c r="M59" s="157"/>
      <c r="N59" s="157"/>
      <c r="O59" s="157"/>
      <c r="P59" s="157"/>
      <c r="Q59" s="157"/>
    </row>
    <row r="60" spans="4:17" ht="20.100000000000001" customHeight="1" x14ac:dyDescent="0.25">
      <c r="D60" s="202" t="str">
        <f>"Total scope 1 - " &amp; D37</f>
        <v>Total scope 1 - Vessels</v>
      </c>
      <c r="E60" s="206"/>
      <c r="F60" s="204"/>
      <c r="G60" s="157"/>
      <c r="H60" s="157"/>
      <c r="I60" s="157"/>
      <c r="J60" s="157"/>
      <c r="L60" s="157"/>
      <c r="M60" s="157"/>
      <c r="N60" s="157"/>
      <c r="O60" s="157"/>
      <c r="P60" s="157"/>
      <c r="Q60" s="157"/>
    </row>
    <row r="61" spans="4:17" ht="20.100000000000001" customHeight="1" x14ac:dyDescent="0.25">
      <c r="D61" s="35" t="s">
        <v>469</v>
      </c>
      <c r="E61" s="205">
        <f>SUM(N37:N39)</f>
        <v>29.219199999999997</v>
      </c>
      <c r="F61" s="26" t="str">
        <f t="shared" ref="F61:F64" si="4">$E$12</f>
        <v>t CO2-e</v>
      </c>
      <c r="G61" s="157"/>
      <c r="H61" s="157"/>
      <c r="I61" s="157"/>
      <c r="J61" s="157"/>
      <c r="L61" s="157"/>
      <c r="M61" s="157"/>
      <c r="N61" s="157"/>
      <c r="O61" s="157"/>
      <c r="P61" s="157"/>
      <c r="Q61" s="157"/>
    </row>
    <row r="62" spans="4:17" ht="20.100000000000001" customHeight="1" x14ac:dyDescent="0.25">
      <c r="D62" s="35" t="s">
        <v>470</v>
      </c>
      <c r="E62" s="205">
        <f>SUM(O37:O39)</f>
        <v>7.9400000000000012E-2</v>
      </c>
      <c r="F62" s="26" t="str">
        <f t="shared" si="4"/>
        <v>t CO2-e</v>
      </c>
      <c r="G62" s="157"/>
      <c r="H62" s="157"/>
      <c r="I62" s="157"/>
      <c r="J62" s="157"/>
      <c r="L62" s="157"/>
      <c r="M62" s="157"/>
      <c r="N62" s="157"/>
      <c r="O62" s="157"/>
      <c r="P62" s="157"/>
      <c r="Q62" s="157"/>
    </row>
    <row r="63" spans="4:17" ht="20.100000000000001" customHeight="1" x14ac:dyDescent="0.25">
      <c r="D63" s="35" t="s">
        <v>471</v>
      </c>
      <c r="E63" s="205">
        <f>SUM(P37:P39)</f>
        <v>0.19850000000000001</v>
      </c>
      <c r="F63" s="26" t="str">
        <f t="shared" si="4"/>
        <v>t CO2-e</v>
      </c>
      <c r="G63" s="157"/>
      <c r="H63" s="157"/>
      <c r="I63" s="157"/>
      <c r="J63" s="157"/>
      <c r="L63" s="157"/>
      <c r="M63" s="157"/>
      <c r="N63" s="157"/>
      <c r="O63" s="157"/>
      <c r="P63" s="157"/>
      <c r="Q63" s="157"/>
    </row>
    <row r="64" spans="4:17" ht="20.100000000000001" customHeight="1" x14ac:dyDescent="0.25">
      <c r="D64" s="35" t="s">
        <v>472</v>
      </c>
      <c r="E64" s="205">
        <f>SUM(Q37:Q39)</f>
        <v>7.1459999999999999</v>
      </c>
      <c r="F64" s="26" t="str">
        <f t="shared" si="4"/>
        <v>t CO2-e</v>
      </c>
      <c r="G64" s="157"/>
      <c r="H64" s="157"/>
      <c r="I64" s="157"/>
      <c r="J64" s="157"/>
      <c r="L64" s="157"/>
      <c r="M64" s="157"/>
      <c r="N64" s="157"/>
      <c r="O64" s="157"/>
      <c r="P64" s="157"/>
      <c r="Q64" s="157"/>
    </row>
    <row r="65" spans="4:17" ht="20.100000000000001" customHeight="1" x14ac:dyDescent="0.25">
      <c r="G65" s="157"/>
      <c r="H65" s="157"/>
      <c r="I65" s="157"/>
      <c r="J65" s="157"/>
      <c r="L65" s="157"/>
      <c r="M65" s="157"/>
      <c r="N65" s="157"/>
      <c r="O65" s="157"/>
      <c r="P65" s="157"/>
      <c r="Q65" s="157"/>
    </row>
    <row r="66" spans="4:17" ht="20.100000000000001" customHeight="1" x14ac:dyDescent="0.25">
      <c r="D66" s="202" t="s">
        <v>473</v>
      </c>
      <c r="E66" s="208"/>
      <c r="F66" s="204"/>
      <c r="G66" s="157"/>
      <c r="H66" s="157"/>
      <c r="I66" s="157"/>
      <c r="J66" s="157"/>
      <c r="L66" s="157"/>
      <c r="M66" s="157"/>
      <c r="N66" s="157"/>
      <c r="O66" s="157"/>
      <c r="P66" s="157"/>
      <c r="Q66" s="157"/>
    </row>
    <row r="67" spans="4:17" ht="20.100000000000001" customHeight="1" x14ac:dyDescent="0.25">
      <c r="D67" s="35" t="s">
        <v>469</v>
      </c>
      <c r="E67" s="205">
        <f>E43+E49+E55+E61</f>
        <v>83.182000000000002</v>
      </c>
      <c r="F67" s="26" t="str">
        <f t="shared" ref="F67:F70" si="5">$E$12</f>
        <v>t CO2-e</v>
      </c>
      <c r="G67" s="157"/>
    </row>
    <row r="68" spans="4:17" ht="20.100000000000001" customHeight="1" x14ac:dyDescent="0.25">
      <c r="D68" s="35" t="s">
        <v>470</v>
      </c>
      <c r="E68" s="205">
        <f t="shared" ref="E68:E70" si="6">E44+E50+E56+E62</f>
        <v>0.19906000000000001</v>
      </c>
      <c r="F68" s="26" t="str">
        <f t="shared" si="5"/>
        <v>t CO2-e</v>
      </c>
      <c r="G68" s="157"/>
    </row>
    <row r="69" spans="4:17" ht="20.100000000000001" customHeight="1" x14ac:dyDescent="0.25">
      <c r="D69" s="35" t="s">
        <v>471</v>
      </c>
      <c r="E69" s="205">
        <f t="shared" si="6"/>
        <v>0.58450000000000002</v>
      </c>
      <c r="F69" s="26" t="str">
        <f t="shared" si="5"/>
        <v>t CO2-e</v>
      </c>
      <c r="G69" s="157"/>
    </row>
    <row r="70" spans="4:17" ht="20.100000000000001" customHeight="1" x14ac:dyDescent="0.25">
      <c r="D70" s="35" t="s">
        <v>472</v>
      </c>
      <c r="E70" s="205">
        <f t="shared" si="6"/>
        <v>20.5016</v>
      </c>
      <c r="F70" s="26" t="str">
        <f t="shared" si="5"/>
        <v>t CO2-e</v>
      </c>
      <c r="G70" s="157"/>
    </row>
    <row r="71" spans="4:17" ht="20.100000000000001" customHeight="1" x14ac:dyDescent="0.25">
      <c r="G71" s="15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71B186F2-2E3F-4ED8-A11A-8D0DB13A9469}"/>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29405-587C-4FB2-8798-052D471E5949}">
  <dimension ref="A1:R165"/>
  <sheetViews>
    <sheetView showGridLines="0" topLeftCell="A33"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474</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7"/>
      <c r="P5" s="157"/>
      <c r="Q5" s="157"/>
      <c r="R5" s="15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57"/>
      <c r="P6" s="157"/>
      <c r="Q6" s="157"/>
      <c r="R6" s="157"/>
    </row>
    <row r="7" spans="1:18" ht="20.100000000000001" customHeight="1" x14ac:dyDescent="0.25">
      <c r="D7" s="130" t="s">
        <v>255</v>
      </c>
      <c r="E7" s="13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57"/>
      <c r="P7" s="157"/>
      <c r="Q7" s="157"/>
      <c r="R7" s="157"/>
    </row>
    <row r="8" spans="1:18" ht="20.100000000000001" customHeight="1" x14ac:dyDescent="0.25">
      <c r="A8" s="7" t="s">
        <v>0</v>
      </c>
      <c r="K8" s="130" t="s">
        <v>255</v>
      </c>
      <c r="L8" s="130" t="str" cm="1">
        <f t="array" aca="1" ref="L8" ca="1">Common_InputFunctions.Utility_DisplayFunctionName(Q25)</f>
        <v>=Fuel_Equations.VEERG_8_2_1_1__1_FuelCombustionStationary</v>
      </c>
      <c r="O8" s="157"/>
      <c r="P8" s="157"/>
      <c r="Q8" s="157"/>
      <c r="R8" s="157"/>
    </row>
    <row r="9" spans="1:18" ht="20.100000000000001" customHeight="1" x14ac:dyDescent="0.25">
      <c r="A9" s="5" t="str">
        <f>HYPERLINK("#'Input - Enterprise'!A1", "Enterprise")</f>
        <v>Enterprise</v>
      </c>
      <c r="G9" s="27"/>
      <c r="O9" s="157"/>
      <c r="P9" s="157"/>
      <c r="Q9" s="157"/>
      <c r="R9" s="157"/>
    </row>
    <row r="10" spans="1:18" ht="20.100000000000001" customHeight="1" x14ac:dyDescent="0.25">
      <c r="A10" s="5" t="str">
        <f>HYPERLINK("#'Input - Site'!A1", "Site")</f>
        <v>Site</v>
      </c>
      <c r="O10" s="157"/>
      <c r="P10" s="157"/>
      <c r="Q10" s="157"/>
      <c r="R10" s="157"/>
    </row>
    <row r="11" spans="1:18" ht="20.100000000000001" customHeight="1" x14ac:dyDescent="0.25">
      <c r="A11" s="5" t="str">
        <f>HYPERLINK("#'Input - Crop'!A1", "Crop")</f>
        <v>Crop</v>
      </c>
      <c r="D11" s="88" t="s">
        <v>256</v>
      </c>
      <c r="E11" s="1" t="str" cm="1">
        <f t="array" ref="E11">Fuel_Equations.VEERG_8_2_1_1__1_FuelCombustionStationary_Variable()</f>
        <v>E_g</v>
      </c>
      <c r="K11" s="88" t="s">
        <v>256</v>
      </c>
      <c r="L11" s="1" t="str" cm="1">
        <f t="array" ref="L11">Scope3_Equations.VEERG_15_11_1_1__3_UpstreamStationaryFuelEmissions_Variable()</f>
        <v>E_WTTSCq</v>
      </c>
      <c r="O11" s="157"/>
      <c r="P11" s="157"/>
      <c r="Q11" s="157"/>
      <c r="R11" s="157"/>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_xlfn.CHOOSECOLS(Fuel_Equations.VEERG_8_2_1_1__1_FuelCombustionStationary_Arguments(), 1,2)</f>
        <v>Q_SCq</v>
      </c>
      <c r="E14" s="161" t="str">
        <v>Amount of fuel type q used for stationary combustion operations</v>
      </c>
      <c r="F14" s="163"/>
      <c r="G14" s="153" t="str" cm="1">
        <f t="array" ref="G14:H20">_xlfn.CHOOSECOLS(Fuel_Equations.VEERG_8_2_1_1__1_FuelCombustionStationary_Arguments(), 3,4)</f>
        <v>Varies based on fuel type: kL, m3, GJ</v>
      </c>
      <c r="H14" s="134" t="str">
        <v>Input</v>
      </c>
      <c r="I14" s="138" t="str" cm="1">
        <f t="array" aca="1" ref="I14" ca="1">HYPERLINK(Common_InputFunctions.Utility_SourceHyperlink($D$22), $D$22)</f>
        <v>Table_E_g</v>
      </c>
      <c r="K14" s="153" t="str" cm="1">
        <f t="array" ref="K14:L18">_xlfn.CHOOSECOLS(Scope3_Equations.VEERG_15_11_1_1__3_UpstreamStationaryFuelEmissions_Arguments(),1,2)</f>
        <v>Q_SCq</v>
      </c>
      <c r="L14" s="153" t="str">
        <v>amount of fuel q used for stationary combustion operations</v>
      </c>
      <c r="M14" s="153"/>
      <c r="N14" s="153" t="str" cm="1">
        <f t="array" ref="N14:O18">_xlfn.CHOOSECOLS(Scope3_Equations.VEERG_15_11_1_1__3_UpstreamStationaryFuelEmissions_Arguments(),3,4)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EC_SCq</v>
      </c>
      <c r="E15" s="161" t="str">
        <v>Energy content factor for stationary combustion operations</v>
      </c>
      <c r="F15" s="163"/>
      <c r="G15" s="153" t="str">
        <v>GJ / unit of fuel</v>
      </c>
      <c r="H15" s="135" t="str">
        <v>Constant</v>
      </c>
      <c r="I15" s="138" t="str" cm="1">
        <f t="array" aca="1" ref="I15" ca="1">HYPERLINK(Common_InputFunctions.Utility_SourceHyperlink($D$22), $D$22)</f>
        <v>Table_E_g</v>
      </c>
      <c r="K15" s="153" t="str">
        <v>EC_SCq</v>
      </c>
      <c r="L15" s="153" t="str">
        <v>energy content factor for stationary combustion operations</v>
      </c>
      <c r="M15" s="153"/>
      <c r="N15" s="153" t="str">
        <v>GJ/kL</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EF_SC1qg</v>
      </c>
      <c r="E16" s="161" t="str">
        <v>Scope 1 emission factor for stationary combustion for each greenhouse gas</v>
      </c>
      <c r="F16" s="163"/>
      <c r="G16" s="153" t="str">
        <v>kg CO2e / GJ</v>
      </c>
      <c r="H16" s="135" t="str">
        <v>Constant</v>
      </c>
      <c r="I16" s="138" t="str" cm="1">
        <f t="array" aca="1" ref="I16" ca="1">HYPERLINK(Common_InputFunctions.Utility_SourceHyperlink($D$22), $D$22)</f>
        <v>Table_E_g</v>
      </c>
      <c r="K16" s="153" t="str">
        <v>EF_SC3q</v>
      </c>
      <c r="L16" s="153" t="str">
        <v>scope 3 emission factor for stationary combustion operations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K17" s="153" t="str">
        <v>i</v>
      </c>
      <c r="L17" s="161" t="str">
        <v>state</v>
      </c>
      <c r="M17" s="163"/>
      <c r="N17" s="153" t="str">
        <v/>
      </c>
      <c r="O17" s="134" t="str">
        <v>Input</v>
      </c>
      <c r="P17" s="153" t="str">
        <f>X_Cell_Site_State</f>
        <v>Western Australia</v>
      </c>
      <c r="Q17" s="157"/>
    </row>
    <row r="18" spans="1:17" ht="20.100000000000001" customHeight="1" x14ac:dyDescent="0.25">
      <c r="A18" s="5" t="str">
        <f>HYPERLINK("#'Input - Manure sent off-site'!A1", "Manure sent off-site")</f>
        <v>Manure sent off-site</v>
      </c>
      <c r="D18" s="153" t="str">
        <v>SC</v>
      </c>
      <c r="E18" s="161" t="str">
        <v>Stationary combustion</v>
      </c>
      <c r="F18" s="163"/>
      <c r="G18" s="153" t="str">
        <v/>
      </c>
      <c r="H18" s="135" t="str">
        <v>Constant</v>
      </c>
      <c r="I18" s="138"/>
      <c r="J18" s="157"/>
      <c r="K18" s="153" t="str">
        <v>m</v>
      </c>
      <c r="L18" s="161" t="str">
        <v>metropolitan/non-metropolitan location</v>
      </c>
      <c r="M18" s="163"/>
      <c r="N18" s="153" t="str">
        <v/>
      </c>
      <c r="O18" s="134" t="str">
        <v>Input</v>
      </c>
      <c r="P18" s="153" t="str">
        <f>X_Cell_Fuel_IsMetroLocation</f>
        <v>Metro</v>
      </c>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475</v>
      </c>
    </row>
    <row r="24" spans="1:17" ht="20.100000000000001" customHeight="1" x14ac:dyDescent="0.25">
      <c r="A24" s="5" t="str">
        <f>HYPERLINK("#'5.1.1.3-4 Inorganic fert CO2'!A1", "5.1.1.3-4 Inorganic fert CO2")</f>
        <v>5.1.1.3-4 Inorganic fert CO2</v>
      </c>
      <c r="D24" s="143" t="s">
        <v>455</v>
      </c>
      <c r="E24" s="143" t="s">
        <v>456</v>
      </c>
      <c r="F24" s="143" t="s">
        <v>457</v>
      </c>
      <c r="G24" s="143" t="s">
        <v>476</v>
      </c>
      <c r="H24" s="143" t="s">
        <v>477</v>
      </c>
      <c r="I24" s="143" t="s">
        <v>478</v>
      </c>
      <c r="J24" s="143" t="s">
        <v>479</v>
      </c>
      <c r="K24" s="143" t="s">
        <v>480</v>
      </c>
      <c r="L24" s="144" t="s">
        <v>481</v>
      </c>
      <c r="M24" s="143" t="s">
        <v>464</v>
      </c>
      <c r="N24" s="143" t="s">
        <v>465</v>
      </c>
      <c r="O24" s="143" t="s">
        <v>466</v>
      </c>
      <c r="P24" s="143" t="s">
        <v>467</v>
      </c>
      <c r="Q24" s="143" t="s">
        <v>482</v>
      </c>
    </row>
    <row r="25" spans="1:17" ht="20.100000000000001" customHeight="1" x14ac:dyDescent="0.25">
      <c r="A25" s="5" t="str">
        <f>HYPERLINK("#'5.2.1.1-2 Organic Fert N2O'!A1", "5.2.1.1-2 Organic fert N2O")</f>
        <v>5.2.1.1-2 Organic fert N2O</v>
      </c>
      <c r="D25" s="35" t="str">
        <f>Table_FuelTypesPerUse[[#Headers],[Generators]]</f>
        <v>Generators</v>
      </c>
      <c r="E25" s="187" t="str">
        <f>'Constants - Fuel'!$D$58</f>
        <v>Automotive gasoline / petrol (other than for use as fuel in an aircraft)</v>
      </c>
      <c r="F25" s="187"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209" cm="1">
        <f t="array" ref="N25">Fuel_Equations.VEERG_8_2_1_1__1_FuelCombustionStationary($L25,$G25,H25)</f>
        <v>0</v>
      </c>
      <c r="O25" s="209" cm="1">
        <f t="array" ref="O25">Fuel_Equations.VEERG_8_2_1_1__1_FuelCombustionStationary($L25,$G25,I25)</f>
        <v>0</v>
      </c>
      <c r="P25" s="209" cm="1">
        <f t="array" ref="P25">Fuel_Equations.VEERG_8_2_1_1__1_FuelCombustionStationary($L25,$G25,J25)</f>
        <v>0</v>
      </c>
      <c r="Q25" s="209" cm="1">
        <f t="array" ref="Q25">Fuel_Equations.VEERG_8_2_1_1__1_FuelCombustionStationary($L25,$G25,IF(ISNUMBER(K25), K25, 0))</f>
        <v>0</v>
      </c>
    </row>
    <row r="26" spans="1:17" ht="20.100000000000001" customHeight="1" x14ac:dyDescent="0.25">
      <c r="A26" s="5" t="str">
        <f>HYPERLINK("#'5.3.1.1-2 Lime CO2'!A1", "5.3.1.1-2 Lime CO2")</f>
        <v>5.3.1.1-2 Lime CO2</v>
      </c>
      <c r="D26" s="189" t="str">
        <f t="shared" ref="D26:D31" si="0">$D$25</f>
        <v>Generators</v>
      </c>
      <c r="E26" s="187" t="str">
        <f>'Constants - Fuel'!$D$63</f>
        <v>Diesel oil</v>
      </c>
      <c r="F26" s="187"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5" cm="1">
        <f t="array" ref="L26">Fuel_InputFunctions.Fuel_TotalConsumption(Table_Input_Fuel[Amount consumed], Table_Input_Fuel[Fuel use (select)], D26, Table_Input_Fuel[Fuel type (select)],F26)</f>
        <v>0</v>
      </c>
      <c r="M26" s="165" t="str" cm="1">
        <f t="array" ref="M26">Common_InputFunctions.Utility_LookupValueInTable(F26,Table_FuelTypes_Units[Fuel type],Table_FuelTypes_Units[Unit])</f>
        <v>kL</v>
      </c>
      <c r="N26" s="209" cm="1">
        <f t="array" ref="N26">Fuel_Equations.VEERG_8_2_1_1__1_FuelCombustionStationary($L26,$G26,H26)</f>
        <v>0</v>
      </c>
      <c r="O26" s="209" cm="1">
        <f t="array" ref="O26">Fuel_Equations.VEERG_8_2_1_1__1_FuelCombustionStationary($L26,$G26,I26)</f>
        <v>0</v>
      </c>
      <c r="P26" s="209" cm="1">
        <f t="array" ref="P26">Fuel_Equations.VEERG_8_2_1_1__1_FuelCombustionStationary($L26,$G26,J26)</f>
        <v>0</v>
      </c>
      <c r="Q26" s="209" cm="1">
        <f t="array" ref="Q26">Fuel_Equations.VEERG_8_2_1_1__1_FuelCombustionStationary($L26,$G26,IF(ISNUMBER(K26), K26, 0))</f>
        <v>0</v>
      </c>
    </row>
    <row r="27" spans="1:17" ht="20.100000000000001" customHeight="1" x14ac:dyDescent="0.25">
      <c r="A27" s="5" t="str">
        <f>HYPERLINK("#'5.4.1.1-4 Atmos deposition'!A1", "5.4.1.1-4 Atmos. deposition")</f>
        <v>5.4.1.1-4 Atmos. deposition</v>
      </c>
      <c r="D27" s="189" t="str">
        <f t="shared" si="0"/>
        <v>Generators</v>
      </c>
      <c r="E27" s="187" t="str">
        <f>'Constants - Fuel'!$D$67</f>
        <v>Liquefied petroleum gas (LPG)</v>
      </c>
      <c r="F27" s="187"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209" cm="1">
        <f t="array" ref="N27">Fuel_Equations.VEERG_8_2_1_1__1_FuelCombustionStationary($L27,$G27,H27)</f>
        <v>0</v>
      </c>
      <c r="O27" s="209" cm="1">
        <f t="array" ref="O27">Fuel_Equations.VEERG_8_2_1_1__1_FuelCombustionStationary($L27,$G27,I27)</f>
        <v>0</v>
      </c>
      <c r="P27" s="209" cm="1">
        <f t="array" ref="P27">Fuel_Equations.VEERG_8_2_1_1__1_FuelCombustionStationary($L27,$G27,J27)</f>
        <v>0</v>
      </c>
      <c r="Q27" s="209" cm="1">
        <f t="array" ref="Q27">Fuel_Equations.VEERG_8_2_1_1__1_FuelCombustionStationary($L27,$G27,IF(ISNUMBER(K27), K27, 0))</f>
        <v>0</v>
      </c>
    </row>
    <row r="28" spans="1:17" ht="20.100000000000001" customHeight="1" x14ac:dyDescent="0.25">
      <c r="A28" s="5" t="str">
        <f>HYPERLINK("#'5.5.1.1-2 Leaching and runoff'!A1", "5.5.1.1-2 Leaching &amp; runoff")</f>
        <v>5.5.1.1-2 Leaching &amp; runoff</v>
      </c>
      <c r="D28" s="189" t="str">
        <f t="shared" si="0"/>
        <v>Generators</v>
      </c>
      <c r="E28" s="187" t="str">
        <f>'Constants - Fuel'!$D$73</f>
        <v>Biodiesel</v>
      </c>
      <c r="F28" s="187"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209" cm="1">
        <f t="array" ref="N28">Fuel_Equations.VEERG_8_2_1_1__1_FuelCombustionStationary($L28,$G28,H28)</f>
        <v>0</v>
      </c>
      <c r="O28" s="209" cm="1">
        <f t="array" ref="O28">Fuel_Equations.VEERG_8_2_1_1__1_FuelCombustionStationary($L28,$G28,I28)</f>
        <v>0</v>
      </c>
      <c r="P28" s="209" cm="1">
        <f t="array" ref="P28">Fuel_Equations.VEERG_8_2_1_1__1_FuelCombustionStationary($L28,$G28,J28)</f>
        <v>0</v>
      </c>
      <c r="Q28" s="209" cm="1">
        <f t="array" ref="Q28">Fuel_Equations.VEERG_8_2_1_1__1_FuelCombustionStationary($L28,$G28,IF(ISNUMBER(K28), K28, 0))</f>
        <v>0</v>
      </c>
    </row>
    <row r="29" spans="1:17" ht="20.100000000000001" customHeight="1" x14ac:dyDescent="0.25">
      <c r="A29" s="5" t="str">
        <f>HYPERLINK("#'6.1.1.1-2 Crop residue N2O'!A1", "6.1.1.1-2 Crop residue N2O")</f>
        <v>6.1.1.1-2 Crop residue N2O</v>
      </c>
      <c r="D29" s="189" t="str">
        <f t="shared" si="0"/>
        <v>Generators</v>
      </c>
      <c r="E29" s="187" t="str">
        <f>'Constants - Fuel'!$D$74</f>
        <v>Ethanol for use as a fuel in an internal combustion engine</v>
      </c>
      <c r="F29" s="187"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209" cm="1">
        <f t="array" ref="N29">Fuel_Equations.VEERG_8_2_1_1__1_FuelCombustionStationary($L29,$G29,H29)</f>
        <v>0</v>
      </c>
      <c r="O29" s="209" cm="1">
        <f t="array" ref="O29">Fuel_Equations.VEERG_8_2_1_1__1_FuelCombustionStationary($L29,$G29,I29)</f>
        <v>0</v>
      </c>
      <c r="P29" s="209" cm="1">
        <f t="array" ref="P29">Fuel_Equations.VEERG_8_2_1_1__1_FuelCombustionStationary($L29,$G29,J29)</f>
        <v>0</v>
      </c>
      <c r="Q29" s="209" cm="1">
        <f t="array" ref="Q29">Fuel_Equations.VEERG_8_2_1_1__1_FuelCombustionStationary($L29,$G29,IF(ISNUMBER(K29), K29, 0))</f>
        <v>0</v>
      </c>
    </row>
    <row r="30" spans="1:17" ht="20.100000000000001" customHeight="1" x14ac:dyDescent="0.25">
      <c r="A30" s="5" t="str">
        <f>HYPERLINK("#'6.3.1.1-2 Leach runoff crop'!A1", "6.3.1.1-2 Leach &amp; runoff (crop)")</f>
        <v>6.3.1.1-2 Leach &amp; runoff (crop)</v>
      </c>
      <c r="D30" s="189" t="str">
        <f t="shared" si="0"/>
        <v>Generators</v>
      </c>
      <c r="E30" s="187" t="str">
        <f>'Constants - Fuel'!$D$75</f>
        <v>Biofuels other than those mentioned in the items above and below</v>
      </c>
      <c r="F30" s="187"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209" cm="1">
        <f t="array" ref="N30">Fuel_Equations.VEERG_8_2_1_1__1_FuelCombustionStationary($L30,$G30,H30)</f>
        <v>0</v>
      </c>
      <c r="O30" s="209" cm="1">
        <f t="array" ref="O30">Fuel_Equations.VEERG_8_2_1_1__1_FuelCombustionStationary($L30,$G30,I30)</f>
        <v>0</v>
      </c>
      <c r="P30" s="209" cm="1">
        <f t="array" ref="P30">Fuel_Equations.VEERG_8_2_1_1__1_FuelCombustionStationary($L30,$G30,J30)</f>
        <v>0</v>
      </c>
      <c r="Q30" s="209" cm="1">
        <f t="array" ref="Q30">Fuel_Equations.VEERG_8_2_1_1__1_FuelCombustionStationary($L30,$G30,IF(ISNUMBER(K30), K30, 0))</f>
        <v>0</v>
      </c>
    </row>
    <row r="31" spans="1:17" ht="20.100000000000001" customHeight="1" x14ac:dyDescent="0.25">
      <c r="A31" s="5" t="str">
        <f>HYPERLINK("#'6.4.1.1-2 Residue burning'!A1", "6.4.1.1-2 Residue burning")</f>
        <v>6.4.1.1-2 Residue burning</v>
      </c>
      <c r="D31" s="189" t="str">
        <f t="shared" si="0"/>
        <v>Generators</v>
      </c>
      <c r="E31" s="187" t="str">
        <f>'Constants - Fuel'!$D$77</f>
        <v>Renewable diesel</v>
      </c>
      <c r="F31" s="187" t="str">
        <f>'Constants - Fuel'!D137</f>
        <v>Renewable diesel</v>
      </c>
      <c r="G31" s="185">
        <f>IFERROR(_xlfn.XLOOKUP($E31, Table_Fuel_EFs_StationaryLiquid[Fuel combusted], Table_Fuel_EFs_StationaryLiquid[Energy Content Factor (GJ per unit of fuel)]),0)</f>
        <v>38.6</v>
      </c>
      <c r="H31" s="185">
        <f>IFERROR(_xlfn.XLOOKUP($E31, Table_Fuel_EFs_StationaryLiquid[Fuel combusted], Table_Fuel_EFs_StationaryLiquid[Scope 1 Emission Factor (kg CO2 - e / GJ) CO2]),0)</f>
        <v>0</v>
      </c>
      <c r="I31" s="185">
        <f>IFERROR(_xlfn.XLOOKUP($E31, Table_Fuel_EFs_StationaryLiquid[Fuel combusted], Table_Fuel_EFs_StationaryLiquid[Scope 1 Emission Factor (kg CO2 - e / GJ) CH4]),0)</f>
        <v>0.1</v>
      </c>
      <c r="J31" s="185">
        <f>IFERROR(_xlfn.XLOOKUP($E31, Table_Fuel_EFs_StationaryLiquid[Fuel combusted], Table_Fuel_EFs_StationaryLiquid[Scope 1 Emission Factor (kg CO2 - e / GJ) N2O]),0)</f>
        <v>0.2</v>
      </c>
      <c r="K31" s="185" t="str">
        <f>IFERROR(_xlfn.XLOOKUP($E31, Table_Fuel_EFs_StationaryLiquid[Fuel combusted], Table_Fuel_EFs_StationaryLiquid[Scope 3 Emission Factor (kg CO2 - e / GJ)]),0)</f>
        <v>NE</v>
      </c>
      <c r="L31" s="190" cm="1">
        <f t="array" ref="L31">Fuel_InputFunctions.Fuel_TotalConsumption(Table_Input_Fuel[Amount consumed], Table_Input_Fuel[Fuel use (select)], D31, Table_Input_Fuel[Fuel type (select)],F31)</f>
        <v>0</v>
      </c>
      <c r="M31" s="190" t="str" cm="1">
        <f t="array" ref="M31">Common_InputFunctions.Utility_LookupValueInTable(F31,Table_FuelTypes_Units[Fuel type],Table_FuelTypes_Units[Unit])</f>
        <v>kL</v>
      </c>
      <c r="N31" s="210" cm="1">
        <f t="array" ref="N31">Fuel_Equations.VEERG_8_2_1_1__1_FuelCombustionStationary($L31,$G31,H31)</f>
        <v>0</v>
      </c>
      <c r="O31" s="210" cm="1">
        <f t="array" ref="O31">Fuel_Equations.VEERG_8_2_1_1__1_FuelCombustionStationary($L31,$G31,I31)</f>
        <v>0</v>
      </c>
      <c r="P31" s="210" cm="1">
        <f t="array" ref="P31">Fuel_Equations.VEERG_8_2_1_1__1_FuelCombustionStationary($L31,$G31,J31)</f>
        <v>0</v>
      </c>
      <c r="Q31" s="210"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92" t="str">
        <f>Table_FuelTypesPerUse[[#Headers],[Power standalone machinery or heating]]</f>
        <v>Power standalone machinery or heating</v>
      </c>
      <c r="E32" s="193" t="str">
        <f>'Constants - Fuel'!$D$58</f>
        <v>Automotive gasoline / petrol (other than for use as fuel in an aircraft)</v>
      </c>
      <c r="F32" s="193" t="str">
        <f>'Constants - Fuel'!E131</f>
        <v>Petrol</v>
      </c>
      <c r="G32" s="200">
        <f>IFERROR(_xlfn.XLOOKUP($E32, Table_Fuel_EFs_StationaryLiquid[Fuel combusted], Table_Fuel_EFs_StationaryLiquid[Energy Content Factor (GJ per unit of fuel)]),0)</f>
        <v>34.200000000000003</v>
      </c>
      <c r="H32" s="200">
        <f>IFERROR(_xlfn.XLOOKUP($E32, Table_Fuel_EFs_StationaryLiquid[Fuel combusted], Table_Fuel_EFs_StationaryLiquid[Scope 1 Emission Factor (kg CO2 - e / GJ) CO2]),0)</f>
        <v>67.400000000000006</v>
      </c>
      <c r="I32" s="200">
        <f>IFERROR(_xlfn.XLOOKUP($E32, Table_Fuel_EFs_StationaryLiquid[Fuel combusted], Table_Fuel_EFs_StationaryLiquid[Scope 1 Emission Factor (kg CO2 - e / GJ) CH4]),0)</f>
        <v>0.2</v>
      </c>
      <c r="J32" s="200">
        <f>IFERROR(_xlfn.XLOOKUP($E32, Table_Fuel_EFs_StationaryLiquid[Fuel combusted], Table_Fuel_EFs_StationaryLiquid[Scope 1 Emission Factor (kg CO2 - e / GJ) N2O]),0)</f>
        <v>0.2</v>
      </c>
      <c r="K32" s="200">
        <f>IFERROR(_xlfn.XLOOKUP($E32, Table_Fuel_EFs_StationaryLiquid[Fuel combusted], Table_Fuel_EFs_StationaryLiquid[Scope 3 Emission Factor (kg CO2 - e / GJ)]),0)</f>
        <v>17.2</v>
      </c>
      <c r="L32" s="196" cm="1">
        <f t="array" ref="L32">Fuel_InputFunctions.Fuel_TotalConsumption(Table_Input_Fuel[Amount consumed], Table_Input_Fuel[Fuel use (select)], D32, Table_Input_Fuel[Fuel type (select)],F32)</f>
        <v>10</v>
      </c>
      <c r="M32" s="197" t="str" cm="1">
        <f t="array" ref="M32">Common_InputFunctions.Utility_LookupValueInTable(F32,Table_FuelTypes_Units[Fuel type],Table_FuelTypes_Units[Unit])</f>
        <v>kL</v>
      </c>
      <c r="N32" s="211" cm="1">
        <f t="array" ref="N32">Fuel_Equations.VEERG_8_2_1_1__1_FuelCombustionStationary($L32,$G32,H32)</f>
        <v>23.050800000000002</v>
      </c>
      <c r="O32" s="211" cm="1">
        <f t="array" ref="O32">Fuel_Equations.VEERG_8_2_1_1__1_FuelCombustionStationary($L32,$G32,I32)</f>
        <v>6.8400000000000002E-2</v>
      </c>
      <c r="P32" s="211" cm="1">
        <f t="array" ref="P32">Fuel_Equations.VEERG_8_2_1_1__1_FuelCombustionStationary($L32,$G32,J32)</f>
        <v>6.8400000000000002E-2</v>
      </c>
      <c r="Q32" s="211" cm="1">
        <f t="array" ref="Q32">Fuel_Equations.VEERG_8_2_1_1__1_FuelCombustionStationary($L32,$G32,IF(ISNUMBER(K32), K32, 0))</f>
        <v>5.8823999999999996</v>
      </c>
    </row>
    <row r="33" spans="1:17" ht="20.100000000000001" customHeight="1" x14ac:dyDescent="0.25">
      <c r="A33" s="139" t="str">
        <f>HYPERLINK("#'8.2.1.1-2 Stationary fuel'!A1", "8.2.1.1-2 Stationary fuel")</f>
        <v>8.2.1.1-2 Stationary fuel</v>
      </c>
      <c r="D33" s="189" t="str">
        <f t="shared" ref="D33:D40" si="1">$D$32</f>
        <v>Power standalone machinery or heating</v>
      </c>
      <c r="E33" s="187" t="str">
        <f>'Constants - Fuel'!$D$63</f>
        <v>Diesel oil</v>
      </c>
      <c r="F33" s="187"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09" cm="1">
        <f t="array" ref="N33">Fuel_Equations.VEERG_8_2_1_1__1_FuelCombustionStationary($L33,$G33,H33)</f>
        <v>0</v>
      </c>
      <c r="O33" s="209" cm="1">
        <f t="array" ref="O33">Fuel_Equations.VEERG_8_2_1_1__1_FuelCombustionStationary($L33,$G33,I33)</f>
        <v>0</v>
      </c>
      <c r="P33" s="209" cm="1">
        <f t="array" ref="P33">Fuel_Equations.VEERG_8_2_1_1__1_FuelCombustionStationary($L33,$G33,J33)</f>
        <v>0</v>
      </c>
      <c r="Q33" s="209"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189" t="str">
        <f t="shared" si="1"/>
        <v>Power standalone machinery or heating</v>
      </c>
      <c r="E34" s="187" t="str">
        <f>'Constants - Fuel'!$D$67</f>
        <v>Liquefied petroleum gas (LPG)</v>
      </c>
      <c r="F34" s="187"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09" cm="1">
        <f t="array" ref="N34">Fuel_Equations.VEERG_8_2_1_1__1_FuelCombustionStationary($L34,$G34,H34)</f>
        <v>0</v>
      </c>
      <c r="O34" s="209" cm="1">
        <f t="array" ref="O34">Fuel_Equations.VEERG_8_2_1_1__1_FuelCombustionStationary($L34,$G34,I34)</f>
        <v>0</v>
      </c>
      <c r="P34" s="209" cm="1">
        <f t="array" ref="P34">Fuel_Equations.VEERG_8_2_1_1__1_FuelCombustionStationary($L34,$G34,J34)</f>
        <v>0</v>
      </c>
      <c r="Q34" s="209" cm="1">
        <f t="array" ref="Q34">Fuel_Equations.VEERG_8_2_1_1__1_FuelCombustionStationary($L34,$G34,IF(ISNUMBER(K34), K34, 0))</f>
        <v>0</v>
      </c>
    </row>
    <row r="35" spans="1:17" ht="20.100000000000001" customHeight="1" x14ac:dyDescent="0.25">
      <c r="A35" s="5" t="str">
        <f>HYPERLINK("#'15 Scope 3'!A1", "15 Scope 3")</f>
        <v>15 Scope 3</v>
      </c>
      <c r="D35" s="189" t="str">
        <f t="shared" si="1"/>
        <v>Power standalone machinery or heating</v>
      </c>
      <c r="E35" s="187" t="str">
        <f>'Constants - Fuel'!$D$73</f>
        <v>Biodiesel</v>
      </c>
      <c r="F35" s="187"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09" cm="1">
        <f t="array" ref="N35">Fuel_Equations.VEERG_8_2_1_1__1_FuelCombustionStationary($L35,$G35,H35)</f>
        <v>0</v>
      </c>
      <c r="O35" s="209" cm="1">
        <f t="array" ref="O35">Fuel_Equations.VEERG_8_2_1_1__1_FuelCombustionStationary($L35,$G35,I35)</f>
        <v>0</v>
      </c>
      <c r="P35" s="209" cm="1">
        <f t="array" ref="P35">Fuel_Equations.VEERG_8_2_1_1__1_FuelCombustionStationary($L35,$G35,J35)</f>
        <v>0</v>
      </c>
      <c r="Q35" s="209" cm="1">
        <f t="array" ref="Q35">Fuel_Equations.VEERG_8_2_1_1__1_FuelCombustionStationary($L35,$G35,IF(ISNUMBER(K35), K35, 0))</f>
        <v>0</v>
      </c>
    </row>
    <row r="36" spans="1:17" ht="20.100000000000001" customHeight="1" x14ac:dyDescent="0.25">
      <c r="A36" s="5" t="str">
        <f>HYPERLINK("#'Calcs - Manure sent off-site'!A1", "Calcs - Manure sent off-site")</f>
        <v>Calcs - Manure sent off-site</v>
      </c>
      <c r="D36" s="189" t="str">
        <f t="shared" si="1"/>
        <v>Power standalone machinery or heating</v>
      </c>
      <c r="E36" s="187" t="str">
        <f>'Constants - Fuel'!$D$74</f>
        <v>Ethanol for use as a fuel in an internal combustion engine</v>
      </c>
      <c r="F36" s="187"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09" cm="1">
        <f t="array" ref="N36">Fuel_Equations.VEERG_8_2_1_1__1_FuelCombustionStationary($L36,$G36,H36)</f>
        <v>0</v>
      </c>
      <c r="O36" s="209" cm="1">
        <f t="array" ref="O36">Fuel_Equations.VEERG_8_2_1_1__1_FuelCombustionStationary($L36,$G36,I36)</f>
        <v>0</v>
      </c>
      <c r="P36" s="209" cm="1">
        <f t="array" ref="P36">Fuel_Equations.VEERG_8_2_1_1__1_FuelCombustionStationary($L36,$G36,J36)</f>
        <v>0</v>
      </c>
      <c r="Q36" s="209" cm="1">
        <f t="array" ref="Q36">Fuel_Equations.VEERG_8_2_1_1__1_FuelCombustionStationary($L36,$G36,IF(ISNUMBER(K36), K36, 0))</f>
        <v>0</v>
      </c>
    </row>
    <row r="37" spans="1:17" ht="20.100000000000001" customHeight="1" x14ac:dyDescent="0.25">
      <c r="A37" s="5" t="str">
        <f>HYPERLINK("#'10.1.1-2 Solid waste treatment'!A1", "10.1.1-2 Solid waste treatment")</f>
        <v>10.1.1-2 Solid waste treatment</v>
      </c>
      <c r="D37" s="189" t="str">
        <f t="shared" si="1"/>
        <v>Power standalone machinery or heating</v>
      </c>
      <c r="E37" s="187" t="str">
        <f>'Constants - Fuel'!$D$75</f>
        <v>Biofuels other than those mentioned in the items above and below</v>
      </c>
      <c r="F37" s="187"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09" cm="1">
        <f t="array" ref="N37">Fuel_Equations.VEERG_8_2_1_1__1_FuelCombustionStationary($L37,$G37,H37)</f>
        <v>0</v>
      </c>
      <c r="O37" s="209" cm="1">
        <f t="array" ref="O37">Fuel_Equations.VEERG_8_2_1_1__1_FuelCombustionStationary($L37,$G37,I37)</f>
        <v>0</v>
      </c>
      <c r="P37" s="209" cm="1">
        <f t="array" ref="P37">Fuel_Equations.VEERG_8_2_1_1__1_FuelCombustionStationary($L37,$G37,J37)</f>
        <v>0</v>
      </c>
      <c r="Q37" s="209" cm="1">
        <f t="array" ref="Q37">Fuel_Equations.VEERG_8_2_1_1__1_FuelCombustionStationary($L37,$G37,IF(ISNUMBER(K37), K37, 0))</f>
        <v>0</v>
      </c>
    </row>
    <row r="38" spans="1:17" ht="20.100000000000001" customHeight="1" x14ac:dyDescent="0.25">
      <c r="D38" s="189" t="str">
        <f t="shared" si="1"/>
        <v>Power standalone machinery or heating</v>
      </c>
      <c r="E38" s="187" t="str">
        <f>'Constants - Fuel'!$D$77</f>
        <v>Renewable diesel</v>
      </c>
      <c r="F38" s="187"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09" cm="1">
        <f t="array" ref="N38">Fuel_Equations.VEERG_8_2_1_1__1_FuelCombustionStationary($L38,$G38,H38)</f>
        <v>0</v>
      </c>
      <c r="O38" s="209" cm="1">
        <f t="array" ref="O38">Fuel_Equations.VEERG_8_2_1_1__1_FuelCombustionStationary($L38,$G38,I38)</f>
        <v>0</v>
      </c>
      <c r="P38" s="209" cm="1">
        <f t="array" ref="P38">Fuel_Equations.VEERG_8_2_1_1__1_FuelCombustionStationary($L38,$G38,J38)</f>
        <v>0</v>
      </c>
      <c r="Q38" s="209" cm="1">
        <f t="array" ref="Q38">Fuel_Equations.VEERG_8_2_1_1__1_FuelCombustionStationary($L38,$G38,IF(ISNUMBER(K38), K38, 0))</f>
        <v>0</v>
      </c>
    </row>
    <row r="39" spans="1:17" ht="20.100000000000001" customHeight="1" x14ac:dyDescent="0.25">
      <c r="D39" s="189" t="str">
        <f t="shared" si="1"/>
        <v>Power standalone machinery or heating</v>
      </c>
      <c r="E39" s="187" t="str">
        <f>'Constants - Fuel'!$D$103</f>
        <v>Natural gas distributed in a pipeline - Gigajoules</v>
      </c>
      <c r="F39" s="187"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5" cm="1">
        <f t="array" ref="L39">Fuel_InputFunctions.Fuel_TotalConsumption(Table_Input_Fuel[Amount consumed], Table_Input_Fuel[Fuel use (select)], D39, Table_Input_Fuel[Fuel type (select)],F39)</f>
        <v>0</v>
      </c>
      <c r="M39" s="165" t="str" cm="1">
        <f t="array" ref="M39">Common_InputFunctions.Utility_LookupValueInTable(F39,Table_FuelTypes_Units[Fuel type],Table_FuelTypes_Units[Unit])</f>
        <v>GJ</v>
      </c>
      <c r="N39" s="209" cm="1">
        <f t="array" ref="N39">Fuel_Equations.VEERG_8_2_1_1__1_FuelCombustionStationary($L39,$G39,H39)</f>
        <v>0</v>
      </c>
      <c r="O39" s="209" cm="1">
        <f t="array" ref="O39">Fuel_Equations.VEERG_8_2_1_1__1_FuelCombustionStationary($L39,$G39,I39)</f>
        <v>0</v>
      </c>
      <c r="P39" s="209" cm="1">
        <f t="array" ref="P39">Fuel_Equations.VEERG_8_2_1_1__1_FuelCombustionStationary($L39,$G39,J39)</f>
        <v>0</v>
      </c>
      <c r="Q39" s="209" cm="1">
        <f t="array" ref="Q39">Fuel_Equations.VEERG_8_2_1_1__1_FuelCombustionStationary($L39,$G39,IF(ISNUMBER(K39), K39, 0))</f>
        <v>0</v>
      </c>
    </row>
    <row r="40" spans="1:17" ht="20.100000000000001" customHeight="1" x14ac:dyDescent="0.25">
      <c r="A40" s="119" t="s">
        <v>1</v>
      </c>
      <c r="D40" s="189" t="str">
        <f t="shared" si="1"/>
        <v>Power standalone machinery or heating</v>
      </c>
      <c r="E40" s="187" t="str">
        <f>'Constants - Fuel'!$D$104</f>
        <v>Town gas - Gigajoules</v>
      </c>
      <c r="F40" s="187"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5" cm="1">
        <f t="array" ref="L40">Fuel_InputFunctions.Fuel_TotalConsumption(Table_Input_Fuel[Amount consumed], Table_Input_Fuel[Fuel use (select)], D40, Table_Input_Fuel[Fuel type (select)],F40)</f>
        <v>100</v>
      </c>
      <c r="M40" s="165" t="str" cm="1">
        <f t="array" ref="M40">Common_InputFunctions.Utility_LookupValueInTable(F40,Table_FuelTypes_Units[Fuel type],Table_FuelTypes_Units[Unit])</f>
        <v>GJ</v>
      </c>
      <c r="N40" s="209" cm="1">
        <f t="array" ref="N40">Fuel_Equations.VEERG_8_2_1_1__1_FuelCombustionStationary($L40,$G40,H40)</f>
        <v>6.0200000000000005</v>
      </c>
      <c r="O40" s="209" cm="1">
        <f t="array" ref="O40">Fuel_Equations.VEERG_8_2_1_1__1_FuelCombustionStationary($L40,$G40,I40)</f>
        <v>4.0000000000000001E-3</v>
      </c>
      <c r="P40" s="209" cm="1">
        <f t="array" ref="P40">Fuel_Equations.VEERG_8_2_1_1__1_FuelCombustionStationary($L40,$G40,J40)</f>
        <v>3.0000000000000001E-3</v>
      </c>
      <c r="Q40" s="209" cm="1">
        <f t="array" ref="Q40">Fuel_Equations.VEERG_8_2_1_1__1_FuelCombustionStationary($L40,$G40,IF(ISNUMBER(K40), K40, 0))</f>
        <v>0.41</v>
      </c>
    </row>
    <row r="41" spans="1:17" ht="20.100000000000001" customHeight="1" x14ac:dyDescent="0.25">
      <c r="A41" s="5" t="str">
        <f>HYPERLINK("#'Constants - Ag Residue'!A1", "Constants - Ag residue")</f>
        <v>Constants - Ag residue</v>
      </c>
    </row>
    <row r="42" spans="1:17" ht="20.100000000000001" customHeight="1" x14ac:dyDescent="0.25">
      <c r="A42" s="5" t="str">
        <f>HYPERLINK("#'Constants - Common Livestock'!A1", "Constants - Common Livestock")</f>
        <v>Constants - Common Livestock</v>
      </c>
      <c r="D42" s="202" t="str">
        <f>"Total scope 1 - " &amp; D25</f>
        <v>Total scope 1 - Generators</v>
      </c>
      <c r="E42" s="203"/>
      <c r="F42" s="204"/>
    </row>
    <row r="43" spans="1:17" ht="20.100000000000001" customHeight="1" x14ac:dyDescent="0.25">
      <c r="A43" s="5" t="str">
        <f>HYPERLINK("#'Constants - Electricity'!A1", "Constants - Electricity")</f>
        <v>Constants - Electricity</v>
      </c>
      <c r="D43" s="35" t="s">
        <v>469</v>
      </c>
      <c r="E43" s="205">
        <f>SUM(N25:N31)</f>
        <v>0</v>
      </c>
      <c r="F43" s="26" t="str">
        <f>$E$12</f>
        <v>t CO2-e</v>
      </c>
    </row>
    <row r="44" spans="1:17" ht="20.100000000000001" customHeight="1" x14ac:dyDescent="0.25">
      <c r="A44" s="5" t="str">
        <f>HYPERLINK("#'Constants - Fertiliser'!A1", "Constants - Fertiliser")</f>
        <v>Constants - Fertiliser</v>
      </c>
      <c r="D44" s="35" t="s">
        <v>470</v>
      </c>
      <c r="E44" s="205">
        <f>SUM(O25:O31)</f>
        <v>0</v>
      </c>
      <c r="F44" s="26" t="str">
        <f t="shared" ref="F44:F46" si="2">$E$12</f>
        <v>t CO2-e</v>
      </c>
    </row>
    <row r="45" spans="1:17" ht="20.100000000000001" customHeight="1" x14ac:dyDescent="0.25">
      <c r="A45" s="5" t="str">
        <f>HYPERLINK("#'Constants - Fuel'!A1", "Constants - Fuel")</f>
        <v>Constants - Fuel</v>
      </c>
      <c r="D45" s="35" t="s">
        <v>471</v>
      </c>
      <c r="E45" s="205">
        <f>SUM(P25:P31)</f>
        <v>0</v>
      </c>
      <c r="F45" s="26" t="str">
        <f t="shared" si="2"/>
        <v>t CO2-e</v>
      </c>
    </row>
    <row r="46" spans="1:17" ht="20.100000000000001" customHeight="1" x14ac:dyDescent="0.25">
      <c r="A46" s="5" t="str">
        <f>HYPERLINK("#'Constants - Scope 3'!A1", "Constants - Scope 3")</f>
        <v>Constants - Scope 3</v>
      </c>
      <c r="D46" s="35" t="s">
        <v>472</v>
      </c>
      <c r="E46" s="205">
        <f>SUM(Q25:Q31)</f>
        <v>0</v>
      </c>
      <c r="F46" s="26" t="str">
        <f t="shared" si="2"/>
        <v>t CO2-e</v>
      </c>
    </row>
    <row r="47" spans="1:17" ht="20.100000000000001" customHeight="1" x14ac:dyDescent="0.25">
      <c r="A47" s="5" t="str">
        <f>HYPERLINK("#'Constants - Common'!A1", "Constants - Common")</f>
        <v>Constants - Common</v>
      </c>
      <c r="H47" s="157"/>
      <c r="I47" s="157"/>
      <c r="J47" s="157"/>
      <c r="L47" s="157"/>
      <c r="N47" s="157"/>
      <c r="O47" s="157"/>
      <c r="P47" s="157"/>
      <c r="Q47" s="157"/>
    </row>
    <row r="48" spans="1:17" ht="20.100000000000001" customHeight="1" x14ac:dyDescent="0.25">
      <c r="A48" s="5" t="str">
        <f>HYPERLINK("#'Constants - Solid Waste'!A1", "Constants - Solid Waste")</f>
        <v>Constants - Solid Waste</v>
      </c>
      <c r="D48" s="202" t="str">
        <f>"Total scope 1 - " &amp; D32</f>
        <v>Total scope 1 - Power standalone machinery or heating</v>
      </c>
      <c r="E48" s="206"/>
      <c r="F48" s="204"/>
      <c r="H48" s="157"/>
      <c r="I48" s="157"/>
      <c r="J48" s="157"/>
      <c r="L48" s="157"/>
      <c r="N48" s="157"/>
      <c r="O48" s="157"/>
      <c r="P48" s="157"/>
      <c r="Q48" s="157"/>
    </row>
    <row r="49" spans="4:17" ht="20.100000000000001" customHeight="1" x14ac:dyDescent="0.25">
      <c r="D49" s="35" t="s">
        <v>469</v>
      </c>
      <c r="E49" s="205">
        <f>SUM(N32:N40)</f>
        <v>29.070800000000002</v>
      </c>
      <c r="F49" s="26" t="str">
        <f t="shared" ref="F49:F52" si="3">$E$12</f>
        <v>t CO2-e</v>
      </c>
      <c r="H49" s="157"/>
      <c r="I49" s="157"/>
      <c r="J49" s="157"/>
      <c r="L49" s="157"/>
      <c r="N49" s="157"/>
      <c r="O49" s="157"/>
      <c r="P49" s="157"/>
      <c r="Q49" s="157"/>
    </row>
    <row r="50" spans="4:17" ht="20.100000000000001" customHeight="1" x14ac:dyDescent="0.25">
      <c r="D50" s="35" t="s">
        <v>470</v>
      </c>
      <c r="E50" s="205">
        <f>SUM(O32:O40)</f>
        <v>7.2400000000000006E-2</v>
      </c>
      <c r="F50" s="26" t="str">
        <f t="shared" si="3"/>
        <v>t CO2-e</v>
      </c>
      <c r="H50" s="157"/>
      <c r="I50" s="157"/>
      <c r="J50" s="157"/>
      <c r="L50" s="157"/>
      <c r="N50" s="157"/>
      <c r="O50" s="157"/>
      <c r="P50" s="157"/>
      <c r="Q50" s="157"/>
    </row>
    <row r="51" spans="4:17" ht="20.100000000000001" customHeight="1" x14ac:dyDescent="0.25">
      <c r="D51" s="35" t="s">
        <v>471</v>
      </c>
      <c r="E51" s="205">
        <f>SUM(P32:P40)</f>
        <v>7.1400000000000005E-2</v>
      </c>
      <c r="F51" s="26" t="str">
        <f t="shared" si="3"/>
        <v>t CO2-e</v>
      </c>
      <c r="H51" s="157"/>
      <c r="I51" s="157"/>
      <c r="J51" s="157"/>
      <c r="L51" s="157"/>
      <c r="N51" s="157"/>
      <c r="O51" s="157"/>
      <c r="P51" s="157"/>
      <c r="Q51" s="157"/>
    </row>
    <row r="52" spans="4:17" ht="20.100000000000001" customHeight="1" x14ac:dyDescent="0.25">
      <c r="D52" s="35" t="s">
        <v>472</v>
      </c>
      <c r="E52" s="205">
        <f>SUM(Q32:Q40)</f>
        <v>6.2923999999999998</v>
      </c>
      <c r="F52" s="26" t="str">
        <f t="shared" si="3"/>
        <v>t CO2-e</v>
      </c>
      <c r="G52" s="157"/>
      <c r="H52" s="157"/>
      <c r="I52" s="157"/>
      <c r="J52" s="157"/>
      <c r="L52" s="157"/>
      <c r="N52" s="157"/>
      <c r="O52" s="157"/>
      <c r="P52" s="157"/>
      <c r="Q52" s="157"/>
    </row>
    <row r="53" spans="4:17" ht="20.100000000000001" customHeight="1" x14ac:dyDescent="0.25">
      <c r="G53" s="157"/>
      <c r="H53" s="157"/>
      <c r="I53" s="157"/>
      <c r="J53" s="157"/>
      <c r="L53" s="157"/>
      <c r="N53" s="157"/>
      <c r="O53" s="157"/>
      <c r="P53" s="157"/>
      <c r="Q53" s="157"/>
    </row>
    <row r="54" spans="4:17" ht="20.100000000000001" customHeight="1" x14ac:dyDescent="0.25">
      <c r="D54" s="202" t="s">
        <v>483</v>
      </c>
      <c r="E54" s="206"/>
      <c r="F54" s="204"/>
      <c r="G54" s="157"/>
      <c r="H54" s="157"/>
      <c r="I54" s="157"/>
      <c r="J54" s="157"/>
      <c r="L54" s="157"/>
      <c r="N54" s="157"/>
      <c r="O54" s="157"/>
      <c r="P54" s="157"/>
      <c r="Q54" s="157"/>
    </row>
    <row r="55" spans="4:17" ht="20.100000000000001" customHeight="1" x14ac:dyDescent="0.25">
      <c r="D55" s="35" t="s">
        <v>469</v>
      </c>
      <c r="E55" s="205">
        <f>E43+E49</f>
        <v>29.070800000000002</v>
      </c>
      <c r="F55" s="26" t="str">
        <f t="shared" ref="F55:F58" si="4">$E$12</f>
        <v>t CO2-e</v>
      </c>
      <c r="G55" s="157"/>
      <c r="H55" s="157"/>
      <c r="I55" s="157"/>
      <c r="J55" s="157"/>
      <c r="L55" s="157"/>
      <c r="N55" s="157"/>
      <c r="O55" s="157"/>
      <c r="P55" s="157"/>
      <c r="Q55" s="157"/>
    </row>
    <row r="56" spans="4:17" ht="20.100000000000001" customHeight="1" x14ac:dyDescent="0.25">
      <c r="D56" s="35" t="s">
        <v>470</v>
      </c>
      <c r="E56" s="205">
        <f>E44+E50</f>
        <v>7.2400000000000006E-2</v>
      </c>
      <c r="F56" s="26" t="str">
        <f t="shared" si="4"/>
        <v>t CO2-e</v>
      </c>
      <c r="H56" s="157"/>
    </row>
    <row r="57" spans="4:17" ht="20.100000000000001" customHeight="1" x14ac:dyDescent="0.25">
      <c r="D57" s="35" t="s">
        <v>471</v>
      </c>
      <c r="E57" s="205">
        <f>E45+E51</f>
        <v>7.1400000000000005E-2</v>
      </c>
      <c r="F57" s="26" t="str">
        <f t="shared" si="4"/>
        <v>t CO2-e</v>
      </c>
      <c r="G57" s="157"/>
      <c r="H57" s="157"/>
      <c r="I57" s="157"/>
      <c r="J57" s="157"/>
      <c r="L57" s="157"/>
      <c r="N57" s="157"/>
      <c r="O57" s="157"/>
      <c r="P57" s="157"/>
      <c r="Q57" s="157"/>
    </row>
    <row r="58" spans="4:17" ht="20.100000000000001" customHeight="1" x14ac:dyDescent="0.25">
      <c r="D58" s="35" t="s">
        <v>472</v>
      </c>
      <c r="E58" s="205">
        <f>E46+E52</f>
        <v>6.2923999999999998</v>
      </c>
      <c r="F58" s="26" t="str">
        <f t="shared" si="4"/>
        <v>t CO2-e</v>
      </c>
      <c r="G58" s="157"/>
      <c r="H58" s="157"/>
      <c r="I58" s="157"/>
      <c r="J58" s="157"/>
      <c r="L58" s="157"/>
      <c r="N58" s="157"/>
      <c r="O58" s="157"/>
      <c r="P58" s="157"/>
      <c r="Q58" s="157"/>
    </row>
    <row r="59" spans="4:17" ht="20.100000000000001" customHeight="1" x14ac:dyDescent="0.25">
      <c r="G59" s="157"/>
      <c r="H59" s="157"/>
      <c r="I59" s="157"/>
      <c r="J59" s="157"/>
      <c r="L59" s="157"/>
      <c r="N59" s="157"/>
      <c r="O59" s="157"/>
      <c r="P59" s="157"/>
      <c r="Q59" s="157"/>
    </row>
    <row r="60" spans="4:17" ht="20.100000000000001" customHeight="1" x14ac:dyDescent="0.25">
      <c r="G60" s="157"/>
      <c r="H60" s="157"/>
      <c r="I60" s="157"/>
      <c r="J60" s="157"/>
      <c r="L60" s="157"/>
      <c r="N60" s="157"/>
      <c r="O60" s="157"/>
      <c r="P60" s="157"/>
      <c r="Q60" s="157"/>
    </row>
    <row r="61" spans="4:17" ht="20.100000000000001" customHeight="1" x14ac:dyDescent="0.25">
      <c r="G61" s="157"/>
      <c r="H61" s="157"/>
      <c r="I61" s="157"/>
      <c r="J61" s="157"/>
      <c r="L61" s="157"/>
      <c r="N61" s="157"/>
      <c r="O61" s="157"/>
      <c r="P61" s="157"/>
      <c r="Q61" s="157"/>
    </row>
    <row r="62" spans="4:17" ht="20.100000000000001" customHeight="1" x14ac:dyDescent="0.25">
      <c r="G62" s="157"/>
      <c r="H62" s="157"/>
      <c r="I62" s="157"/>
      <c r="J62" s="157"/>
      <c r="L62" s="157"/>
      <c r="N62" s="157"/>
      <c r="O62" s="157"/>
      <c r="P62" s="157"/>
      <c r="Q62" s="157"/>
    </row>
    <row r="63" spans="4:17" ht="20.100000000000001" customHeight="1" x14ac:dyDescent="0.25">
      <c r="G63" s="157"/>
      <c r="H63" s="157"/>
      <c r="I63" s="157"/>
      <c r="J63" s="157"/>
      <c r="L63" s="157"/>
      <c r="N63" s="157"/>
      <c r="O63" s="157"/>
      <c r="P63" s="157"/>
      <c r="Q63" s="157"/>
    </row>
    <row r="64" spans="4:17" ht="20.100000000000001" customHeight="1" x14ac:dyDescent="0.25">
      <c r="G64" s="157"/>
      <c r="H64" s="157"/>
      <c r="I64" s="157"/>
      <c r="J64" s="157"/>
      <c r="L64" s="157"/>
      <c r="N64" s="157"/>
      <c r="O64" s="157"/>
      <c r="P64" s="157"/>
      <c r="Q64" s="157"/>
    </row>
    <row r="65" spans="7:17" ht="20.100000000000001" customHeight="1" x14ac:dyDescent="0.25">
      <c r="G65" s="157"/>
      <c r="H65" s="157"/>
      <c r="I65" s="157"/>
      <c r="J65" s="157"/>
      <c r="L65" s="157"/>
      <c r="N65" s="157"/>
      <c r="O65" s="157"/>
      <c r="P65" s="157"/>
      <c r="Q65" s="157"/>
    </row>
    <row r="66" spans="7:17" ht="20.100000000000001" customHeight="1" x14ac:dyDescent="0.25">
      <c r="G66" s="157"/>
      <c r="H66" s="157"/>
      <c r="I66" s="157"/>
      <c r="J66" s="157"/>
      <c r="L66" s="157"/>
      <c r="N66" s="157"/>
      <c r="O66" s="157"/>
      <c r="P66" s="157"/>
      <c r="Q66" s="157"/>
    </row>
    <row r="67" spans="7:17" ht="20.100000000000001" customHeight="1" x14ac:dyDescent="0.25">
      <c r="G67" s="157"/>
    </row>
    <row r="68" spans="7:17" ht="20.100000000000001" customHeight="1" x14ac:dyDescent="0.25">
      <c r="G68" s="157"/>
    </row>
    <row r="69" spans="7:17" ht="20.100000000000001" customHeight="1" x14ac:dyDescent="0.25">
      <c r="G69" s="157"/>
    </row>
    <row r="70" spans="7:17" ht="20.100000000000001" customHeight="1" x14ac:dyDescent="0.25">
      <c r="G70" s="157"/>
    </row>
    <row r="71" spans="7:17" ht="20.100000000000001" customHeight="1" x14ac:dyDescent="0.25">
      <c r="G71" s="15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C08DA-F684-4706-A663-D5DEECC78057}">
  <dimension ref="A1:K342"/>
  <sheetViews>
    <sheetView showGridLines="0" topLeftCell="C1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419</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0" t="s">
        <v>255</v>
      </c>
      <c r="E8" s="130"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256</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3" t="str" cm="1">
        <f t="array" ref="D14:E16">_xlfn.CHOOSECOLS(Electricity_Equations.VEERG_14_1_1__1_LocationBasedScopeElectricityEmissions_Arguments(),1,2)</f>
        <v>Q_elec</v>
      </c>
      <c r="E14" s="161" t="str">
        <v>amount of electricity purchased from the grid</v>
      </c>
      <c r="F14" s="163"/>
      <c r="G14" s="153" t="str" cm="1">
        <f t="array" ref="G14:H16">_xlfn.CHOOSECOLS(Electricity_Equations.VEERG_14_1_1__1_LocationBasedScopeElectricityEmissions_Arguments(),3,4)</f>
        <v>kWh</v>
      </c>
      <c r="H14" s="134" t="str">
        <v>Input</v>
      </c>
      <c r="I14" s="161">
        <f>X_Cell_Electricity_Location_AmountPurchasedInkWh</f>
        <v>30000</v>
      </c>
      <c r="J14" s="163"/>
    </row>
    <row r="15" spans="1:11" ht="20.100000000000001" customHeight="1" x14ac:dyDescent="0.25">
      <c r="A15" s="5" t="str">
        <f>HYPERLINK("#'Input - Electricity'!A1", "Electricity")</f>
        <v>Electricity</v>
      </c>
      <c r="D15" s="153" t="str">
        <v>EF_2elec</v>
      </c>
      <c r="E15" s="161" t="str">
        <v>location-based Scope 2 emission factor for electricity</v>
      </c>
      <c r="F15" s="163"/>
      <c r="G15" s="153" t="str">
        <v>kg CO2e/kWh</v>
      </c>
      <c r="H15" s="135" t="str">
        <v>Constant</v>
      </c>
      <c r="I15" s="161" cm="1">
        <f t="array" ref="I15">Common_InputFunctions.Utility_LookupValueInTableNumber(I16,Table_SourceData_ElectricityEFs[State, Territory or grid description],Table_SourceData_ElectricityEFs[Scope 2 Emission Factors (kg CO2-e/kWh)])</f>
        <v>0.56000000000000005</v>
      </c>
      <c r="J15" s="163"/>
    </row>
    <row r="16" spans="1:11" ht="20.100000000000001" customHeight="1" x14ac:dyDescent="0.25">
      <c r="A16" s="5" t="str">
        <f>HYPERLINK("#'Input - Farm Inputs'!A1", "Farm Inputs")</f>
        <v>Farm Inputs</v>
      </c>
      <c r="D16" s="153" t="str">
        <v>g</v>
      </c>
      <c r="E16" s="161" t="str">
        <v>Grid electricity was purchased from</v>
      </c>
      <c r="F16" s="163"/>
      <c r="G16" s="153" t="str">
        <v/>
      </c>
      <c r="H16" s="134" t="str">
        <v>Input</v>
      </c>
      <c r="I16" s="161" t="str">
        <f>X_Cell_Electricity_Location_GridElectricityPurchasedFrom</f>
        <v>Western Australia - North Western Interconnected System (NWIS)</v>
      </c>
      <c r="J16" s="163"/>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c r="D18" s="148" t="s">
        <v>420</v>
      </c>
      <c r="E18" s="149" cm="1">
        <f t="array" ref="E18">Electricity_Equations.VEERG_14_1_1__1_LocationBasedScopeElectricityEmissions(I14,I15)</f>
        <v>16.8</v>
      </c>
      <c r="F18" s="150" t="str">
        <f>$E$12</f>
        <v>t CO2e</v>
      </c>
    </row>
    <row r="19" spans="1:11" ht="20.100000000000001" customHeight="1" x14ac:dyDescent="0.25">
      <c r="A19" s="5" t="str">
        <f>HYPERLINK("#'Input - Solid waste'!A1", "Solid waste")</f>
        <v>Solid waste</v>
      </c>
    </row>
    <row r="20" spans="1:11" ht="20.100000000000001" customHeight="1" x14ac:dyDescent="0.25"/>
    <row r="21" spans="1:11" ht="20.100000000000001" customHeight="1" x14ac:dyDescent="0.25">
      <c r="C21" s="145"/>
      <c r="D21" s="145"/>
      <c r="E21" s="145"/>
      <c r="F21" s="145"/>
      <c r="G21" s="145"/>
      <c r="H21" s="145"/>
      <c r="I21" s="145"/>
      <c r="J21" s="145"/>
      <c r="K21" s="145"/>
    </row>
    <row r="22" spans="1:11" ht="20.100000000000001" customHeight="1" x14ac:dyDescent="0.25">
      <c r="A22" s="6" t="s">
        <v>2</v>
      </c>
      <c r="D22" s="2" t="str" cm="1">
        <f t="array" ref="D22">Electricity_Equations.VEERG_14_1_2__1_MarketBasedScopeElectricityEmissions_Title()</f>
        <v>Market-based Scope 2 emissions from purchased electricity</v>
      </c>
    </row>
    <row r="23" spans="1:11" ht="20.100000000000001" customHeight="1" x14ac:dyDescent="0.25">
      <c r="A23" s="5" t="str">
        <f>HYPERLINK("#'5.1.1.1-2 Inorganic fert N2O'!A1", "5.1.1.1-2 Inorganic fert N2O")</f>
        <v>5.1.1.1-2 Inorganic fert N2O</v>
      </c>
      <c r="D23" s="27" t="str" cm="1">
        <f t="array" ref="D23">Electricity_Equations.VEERG_14_1_2__1_MarketBasedScopeElectricityEmissions_Source()</f>
        <v>VEERG 2026: 14.1.2, Equation (1)</v>
      </c>
    </row>
    <row r="24" spans="1:11" ht="20.100000000000001" customHeight="1" x14ac:dyDescent="0.25">
      <c r="A24" s="5" t="str">
        <f>HYPERLINK("#'5.1.1.3-4 Inorganic fert CO2'!A1", "5.1.1.3-4 Inorganic fert CO2")</f>
        <v>5.1.1.3-4 Inorganic fert CO2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HYPERLINK("#'5.2.1.1-2 Organic Fert N2O'!A1", "5.2.1.1-2 Organic fert N2O")</f>
        <v>5.2.1.1-2 Organic fert N2O</v>
      </c>
      <c r="D25" s="130" t="s">
        <v>255</v>
      </c>
      <c r="E25" s="130" t="str" cm="1">
        <f t="array" aca="1" ref="E25" ca="1">Common_InputFunctions.Utility_DisplayFunctionName(E39)</f>
        <v>=Electricity_Equations.VEERG_14_1_2__1_MarketBasedScopeElectricityEmissionsVariation</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c r="D28" s="88" t="s">
        <v>256</v>
      </c>
      <c r="E28" s="1" t="str" cm="1">
        <f t="array" ref="E28">Electricity_Equations.VEERG_14_1_2__1_MarketBasedScopeElectricityEmissions_Variable()</f>
        <v>E_2elec</v>
      </c>
    </row>
    <row r="29" spans="1:11" ht="20.100000000000001" customHeight="1" x14ac:dyDescent="0.25">
      <c r="A29" s="5" t="str">
        <f>HYPERLINK("#'6.1.1.1-2 Crop residue N2O'!A1", "6.1.1.1-2 Crop residue N2O")</f>
        <v>6.1.1.1-2 Crop residue N2O</v>
      </c>
      <c r="D29" s="88" t="s">
        <v>121</v>
      </c>
      <c r="E29" s="15" t="str" cm="1">
        <f t="array" ref="E29">Electricity_Equations.VEERG_14_1_2__1_MarketBasedScopeElectricityEmissions_Unit()</f>
        <v>t CO2e</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c r="D31" s="153" t="str" cm="1">
        <f t="array" ref="D31:E37">_xlfn.CHOOSECOLS(Electricity_Equations.VEERG_14_1_2__1_MarketBasedScopeElectricityEmissions_Arguments(),1,2)</f>
        <v>Q_elec</v>
      </c>
      <c r="E31" s="161" t="str">
        <v>amount of electricity purchased from the grid</v>
      </c>
      <c r="F31" s="162"/>
      <c r="G31" s="162"/>
      <c r="H31" s="153" t="str" cm="1">
        <f t="array" ref="H31:I37">_xlfn.CHOOSECOLS(Electricity_Equations.VEERG_14_1_2__1_MarketBasedScopeElectricityEmissions_Arguments(),3,4)</f>
        <v>kWh</v>
      </c>
      <c r="I31" s="134" t="str">
        <v>Input</v>
      </c>
      <c r="J31" s="153">
        <f>X_Cell_Electricity_Market_AmountPurchasedExcludingGreenPower</f>
        <v>30000</v>
      </c>
    </row>
    <row r="32" spans="1:11" ht="20.100000000000001" customHeight="1" x14ac:dyDescent="0.25">
      <c r="A32" s="5" t="str">
        <f>HYPERLINK("#'8.1.1.1-2 Transport fuel'!A1", "8.1.1.1-2 Transport fuel")</f>
        <v>8.1.1.1-2 Transport fuel</v>
      </c>
      <c r="D32" s="153" t="str">
        <v>RPP</v>
      </c>
      <c r="E32" s="161" t="str">
        <v>Renewable Power Percentage under the Large-scale Renewable Energy Target (LRET)</v>
      </c>
      <c r="F32" s="162"/>
      <c r="G32" s="162"/>
      <c r="H32" s="153" t="str">
        <v>per cent</v>
      </c>
      <c r="I32" s="134" t="str">
        <v>Input</v>
      </c>
      <c r="J32" s="179">
        <f>X_Cell_Electricity_Market_RenewablePowerPercentage</f>
        <v>0.1</v>
      </c>
    </row>
    <row r="33" spans="1:10" ht="20.100000000000001" customHeight="1" x14ac:dyDescent="0.25">
      <c r="A33" s="5" t="str">
        <f>HYPERLINK("#'8.2.1.1-2 Stationary fuel'!A1", "8.2.1.1-2 Stationary fuel")</f>
        <v>8.2.1.1-2 Stationary fuel</v>
      </c>
      <c r="D33" s="153" t="str">
        <v>JRPP</v>
      </c>
      <c r="E33" s="161" t="str">
        <v>jurisdictional renewable power percentage for the applicable period (ACT only)</v>
      </c>
      <c r="F33" s="162"/>
      <c r="G33" s="162"/>
      <c r="H33" s="153" t="str">
        <v>per cent</v>
      </c>
      <c r="I33" s="134" t="str">
        <v>Input</v>
      </c>
      <c r="J33" s="179" t="str">
        <f>IF(J37="ACT", X_Cell_Electricity_Market_JurisdictionalRenewablePowerPercentage, "N/A")</f>
        <v>N/A</v>
      </c>
    </row>
    <row r="34" spans="1:10" ht="20.100000000000001" customHeight="1" x14ac:dyDescent="0.25">
      <c r="A34" s="139" t="str">
        <f>HYPERLINK("#'14.1.1-2 Purchased electricity'!A1", "14.1.1-2 Purchased electricity")</f>
        <v>14.1.1-2 Purchased electricity</v>
      </c>
      <c r="D34" s="153" t="str">
        <v>REC_surrendered</v>
      </c>
      <c r="E34" s="161" t="str">
        <v>Renewable Energy Certificates voluntarily surrendered in the reporting year</v>
      </c>
      <c r="F34" s="162"/>
      <c r="G34" s="162"/>
      <c r="H34" s="153" t="str">
        <v>MWh</v>
      </c>
      <c r="I34" s="134" t="str">
        <v>Input</v>
      </c>
      <c r="J34" s="153">
        <f>(X_Cell_Electricity_Market_AmountPurchasedGreenPower*10^-3)+X_Cell_TotalElegibleVoluntarilySurrenderedRECs</f>
        <v>15</v>
      </c>
    </row>
    <row r="35" spans="1:10" ht="20.100000000000001" customHeight="1" x14ac:dyDescent="0.25">
      <c r="A35" s="5" t="str">
        <f>HYPERLINK("#'15 Scope 3'!A1", "15 Scope 3")</f>
        <v>15 Scope 3</v>
      </c>
      <c r="D35" s="153" t="str">
        <v>REC_onsite</v>
      </c>
      <c r="E35" s="161" t="str">
        <v>Renewable Energy Certificates issued for electricity produced on-site during the year and consumed by the entity</v>
      </c>
      <c r="F35" s="162"/>
      <c r="G35" s="162"/>
      <c r="H35" s="153" t="str">
        <v>MWh</v>
      </c>
      <c r="I35" s="134" t="str">
        <v>Input</v>
      </c>
      <c r="J35" s="153">
        <f>X_Cell_TotalElegibleRECsForElectricityProducedOnSite</f>
        <v>0</v>
      </c>
    </row>
    <row r="36" spans="1:10" ht="20.100000000000001" customHeight="1" x14ac:dyDescent="0.25">
      <c r="A36" s="5" t="str">
        <f>HYPERLINK("#'Calcs - Manure sent off-site'!A1", "Calcs - Manure sent off-site")</f>
        <v>Calcs - Manure sent off-site</v>
      </c>
      <c r="D36" s="153" t="str">
        <v>EF_RMF2elec</v>
      </c>
      <c r="E36" s="161" t="str">
        <v>Scope 2 residual mix emission factor for electricity</v>
      </c>
      <c r="F36" s="162"/>
      <c r="G36" s="162"/>
      <c r="H36" s="153" t="str">
        <v>kg CO2e/kWh</v>
      </c>
      <c r="I36" s="135" t="str">
        <v>Constant</v>
      </c>
      <c r="J36" s="153" cm="1">
        <f t="array" ref="J36">Table_SourceData_ElectricityEFsMarketBased[Scope 2 EF (kg CO2-e/kWh)]</f>
        <v>0.81</v>
      </c>
    </row>
    <row r="37" spans="1:10" ht="20.100000000000001" customHeight="1" x14ac:dyDescent="0.25">
      <c r="A37" s="5" t="str">
        <f>HYPERLINK("#'10.1.1-2 Solid waste treatment'!A1", "10.1.1-2 Solid waste treatment")</f>
        <v>10.1.1-2 Solid waste treatment</v>
      </c>
      <c r="D37" s="153" t="str">
        <v>i</v>
      </c>
      <c r="E37" s="161" t="str">
        <v>state</v>
      </c>
      <c r="F37" s="162"/>
      <c r="G37" s="163"/>
      <c r="H37" s="153" t="str">
        <v/>
      </c>
      <c r="I37" s="134" t="str">
        <v>Input</v>
      </c>
      <c r="J37" s="153" t="str">
        <f>X_Cell_Site_State</f>
        <v>Western Australia</v>
      </c>
    </row>
    <row r="38" spans="1:10" ht="20.100000000000001" customHeight="1" x14ac:dyDescent="0.25"/>
    <row r="39" spans="1:10" ht="20.100000000000001" customHeight="1" x14ac:dyDescent="0.25">
      <c r="D39" s="148" t="s">
        <v>420</v>
      </c>
      <c r="E39" s="149" cm="1">
        <f t="array" ref="E39">Electricity_Equations.VEERG_14_1_2__1_MarketBasedScopeElectricityEmissionsVariation(J31,J32,IF(ISNUMBER(J33), J33, 0),J34,J35,J36)</f>
        <v>9.7200000000000006</v>
      </c>
      <c r="F39" s="150" t="str">
        <f>E29</f>
        <v>t CO2e</v>
      </c>
    </row>
    <row r="40" spans="1:10" ht="20.100000000000001" customHeight="1" x14ac:dyDescent="0.25">
      <c r="A40" s="119" t="s">
        <v>1</v>
      </c>
      <c r="H40" s="1" t="s">
        <v>414</v>
      </c>
    </row>
    <row r="41" spans="1:10" ht="20.100000000000001" customHeight="1" x14ac:dyDescent="0.25">
      <c r="A41" s="5" t="str">
        <f>HYPERLINK("#'Constants - Ag Residue'!A1", "Constants - Ag residue")</f>
        <v>Constants - Ag residue</v>
      </c>
    </row>
    <row r="42" spans="1:10" ht="20.100000000000001" customHeight="1" x14ac:dyDescent="0.25">
      <c r="A42" s="5" t="str">
        <f>HYPERLINK("#'Constants - Common Livestock'!A1", "Constants - Common Livestock")</f>
        <v>Constants - Common Livestock</v>
      </c>
    </row>
    <row r="43" spans="1:10" ht="20.100000000000001" customHeight="1" x14ac:dyDescent="0.25">
      <c r="A43" s="5" t="str">
        <f>HYPERLINK("#'Constants - Electricity'!A1", "Constants - Electricity")</f>
        <v>Constants - Electricity</v>
      </c>
    </row>
    <row r="44" spans="1:10" ht="20.100000000000001" customHeight="1" x14ac:dyDescent="0.25">
      <c r="A44" s="5" t="str">
        <f>HYPERLINK("#'Constants - Fertiliser'!A1", "Constants - Fertiliser")</f>
        <v>Constants - Fertiliser</v>
      </c>
      <c r="E44" s="112"/>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FACB1801-838B-4C3B-A6C8-7590663D94E2}"/>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F0B20-ED58-48CA-97D5-56B005F491DB}">
  <sheetPr>
    <tabColor theme="9" tint="-0.249977111117893"/>
  </sheetPr>
  <dimension ref="A1:AO642"/>
  <sheetViews>
    <sheetView showGridLines="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40" width="35" style="1" customWidth="1"/>
    <col min="41" max="41" width="5.28515625" style="1" customWidth="1"/>
    <col min="42" max="16384" width="9.140625" style="237"/>
  </cols>
  <sheetData>
    <row r="1" spans="1:41" s="31" customFormat="1" ht="30" customHeight="1" x14ac:dyDescent="0.35">
      <c r="A1" s="16" t="e" vm="1">
        <v>#VALUE!</v>
      </c>
      <c r="C1" s="31" t="s">
        <v>804</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0" t="s">
        <v>255</v>
      </c>
      <c r="E7" s="13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0"/>
    </row>
    <row r="10" spans="1:41" ht="20.100000000000001" customHeight="1" x14ac:dyDescent="0.25">
      <c r="A10" s="5" t="str">
        <f>HYPERLINK("#'Input - Site'!A1", "Site")</f>
        <v>Site</v>
      </c>
      <c r="D10" s="88" t="s">
        <v>256</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3" t="str" cm="1">
        <f t="array" ref="D13:E17">_xlfn.CHOOSECOLS(Scope3_Equations.VEERG_15_1_1_1__1_EmissionsFromPurchasedLivestock_Arguments(),1,2)</f>
        <v>N_co</v>
      </c>
      <c r="E13" s="161" t="str">
        <v>number of animals purchased in livestock type c from origin o</v>
      </c>
      <c r="F13" s="163"/>
      <c r="G13" s="153" t="str" cm="1">
        <f t="array" ref="G13:H17">_xlfn.CHOOSECOLS(Scope3_Equations.VEERG_15_1_1_1__1_EmissionsFromPurchasedLivestock_Arguments(),3,4)</f>
        <v>head</v>
      </c>
      <c r="H13" s="253" t="str">
        <v>Input</v>
      </c>
    </row>
    <row r="14" spans="1:41" ht="20.100000000000001" customHeight="1" x14ac:dyDescent="0.25">
      <c r="A14" s="5" t="str">
        <f>HYPERLINK("#'Input - Fuel'!A1", "Fuel")</f>
        <v>Fuel</v>
      </c>
      <c r="D14" s="153" t="str">
        <v>W_co</v>
      </c>
      <c r="E14" s="161" t="str">
        <v>average liveweight of purchased livestock at point of purchase</v>
      </c>
      <c r="F14" s="163"/>
      <c r="G14" s="153" t="str">
        <v>kg/head</v>
      </c>
      <c r="H14" s="253" t="str">
        <v>Input</v>
      </c>
    </row>
    <row r="15" spans="1:41" ht="20.100000000000001" customHeight="1" x14ac:dyDescent="0.25">
      <c r="A15" s="5" t="str">
        <f>HYPERLINK("#'Input - Electricity'!A1", "Electricity")</f>
        <v>Electricity</v>
      </c>
      <c r="D15" s="153" t="str">
        <v>EF_co</v>
      </c>
      <c r="E15" s="161" t="str">
        <v>emission factor per livestock type and origin</v>
      </c>
      <c r="F15" s="163"/>
      <c r="G15" s="153" t="str">
        <v>kg CO2e/kg</v>
      </c>
      <c r="H15" s="135" t="str">
        <v>Constant</v>
      </c>
    </row>
    <row r="16" spans="1:41" ht="20.100000000000001" customHeight="1" x14ac:dyDescent="0.25">
      <c r="A16" s="5" t="str">
        <f>HYPERLINK("#'Input - Farm Inputs'!A1", "Farm Inputs")</f>
        <v>Farm Inputs</v>
      </c>
      <c r="D16" s="153" t="str">
        <v>c</v>
      </c>
      <c r="E16" s="161" t="str">
        <v>livestock type</v>
      </c>
      <c r="F16" s="163"/>
      <c r="G16" s="153" t="str">
        <v/>
      </c>
      <c r="H16" s="253" t="str">
        <v>Input</v>
      </c>
    </row>
    <row r="17" spans="1:16" ht="20.100000000000001" customHeight="1" x14ac:dyDescent="0.25">
      <c r="A17" s="5" t="str">
        <f>HYPERLINK("#'Input - Freight'!A1", "Freight")</f>
        <v>Freight</v>
      </c>
      <c r="D17" s="153" t="str">
        <v>o</v>
      </c>
      <c r="E17" s="161" t="str">
        <v>origin</v>
      </c>
      <c r="F17" s="163"/>
      <c r="G17" s="153" t="str">
        <v/>
      </c>
      <c r="H17" s="253" t="str">
        <v>Input</v>
      </c>
    </row>
    <row r="18" spans="1:16" ht="20.100000000000001" customHeight="1" x14ac:dyDescent="0.25">
      <c r="A18" s="5" t="str">
        <f>HYPERLINK("#'Input - Manure sent off-site'!A1", "Manure sent off-site")</f>
        <v>Manure sent off-site</v>
      </c>
    </row>
    <row r="19" spans="1:16" ht="20.100000000000001" customHeight="1" x14ac:dyDescent="0.25">
      <c r="A19" s="5" t="str">
        <f>HYPERLINK("#'Input - Solid waste'!A1", "Solid waste")</f>
        <v>Solid waste</v>
      </c>
      <c r="D19" s="46" t="s">
        <v>805</v>
      </c>
      <c r="E19" s="48"/>
      <c r="F19" s="49"/>
    </row>
    <row r="20" spans="1:16" ht="20.100000000000001" customHeight="1" x14ac:dyDescent="0.25">
      <c r="A20"/>
    </row>
    <row r="21" spans="1:16" ht="20.100000000000001" customHeight="1" x14ac:dyDescent="0.25">
      <c r="A21"/>
      <c r="D21" s="238" t="s">
        <v>806</v>
      </c>
    </row>
    <row r="22" spans="1:16" ht="20.100000000000001" customHeight="1" x14ac:dyDescent="0.25">
      <c r="A22" s="6" t="s">
        <v>2</v>
      </c>
      <c r="D22" s="144" t="s">
        <v>807</v>
      </c>
      <c r="E22" s="254" t="s">
        <v>808</v>
      </c>
      <c r="F22" s="254" t="s">
        <v>809</v>
      </c>
      <c r="G22" s="254" t="s">
        <v>810</v>
      </c>
      <c r="H22" s="254" t="s">
        <v>811</v>
      </c>
      <c r="I22" s="143" t="s">
        <v>812</v>
      </c>
      <c r="J22" s="143" t="s">
        <v>813</v>
      </c>
      <c r="K22" s="254" t="s">
        <v>814</v>
      </c>
      <c r="L22" s="144" t="s">
        <v>815</v>
      </c>
      <c r="M22" s="143" t="s">
        <v>816</v>
      </c>
      <c r="N22" s="144" t="s">
        <v>817</v>
      </c>
      <c r="O22" s="144" t="s">
        <v>818</v>
      </c>
      <c r="P22" s="144" t="s">
        <v>819</v>
      </c>
    </row>
    <row r="23" spans="1:16" ht="20.100000000000001" customHeight="1" x14ac:dyDescent="0.25">
      <c r="A23" s="5" t="str">
        <f>HYPERLINK("#'5.1.1.1-2 Inorganic fert N2O'!A1", "5.1.1.1-2 Inorganic fert N2O")</f>
        <v>5.1.1.1-2 Inorganic fert N2O</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5" cm="1">
        <f t="array" ref="J23">Scope3_Equations.VEERG_15_1_1_1__1_EmissionsFromPurchasedLivestock(G23,H23,I23)</f>
        <v>0</v>
      </c>
      <c r="K23" s="25"/>
      <c r="L23" s="86">
        <v>20</v>
      </c>
      <c r="M23" s="255" cm="1">
        <f t="array" ref="M23">Scope3_Equations.VEERG_15_1_1_1__1_EmissionsFromPurchasedLivestock(G23,K23,IF(L23, L23, I23))</f>
        <v>0</v>
      </c>
      <c r="N23" s="44" t="s">
        <v>820</v>
      </c>
      <c r="O23" s="23" t="s">
        <v>821</v>
      </c>
      <c r="P23" s="237" t="s">
        <v>822</v>
      </c>
    </row>
    <row r="24" spans="1:16" ht="20.100000000000001" customHeight="1" x14ac:dyDescent="0.25">
      <c r="A24" s="5" t="str">
        <f>HYPERLINK("#'5.1.1.3-4 Inorganic fert CO2'!A1", "5.1.1.3-4 Inorganic fert CO2")</f>
        <v>5.1.1.3-4 Inorganic fert CO2</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5" cm="1">
        <f t="array" ref="J24">Scope3_Equations.VEERG_15_1_1_1__1_EmissionsFromPurchasedLivestock(G24,H24,I24)</f>
        <v>0</v>
      </c>
      <c r="K24" s="25"/>
      <c r="L24" s="86">
        <v>13</v>
      </c>
      <c r="M24" s="255" cm="1">
        <f t="array" ref="M24">Scope3_Equations.VEERG_15_1_1_1__1_EmissionsFromPurchasedLivestock(G24,K24,IF(L24, L24, I24))</f>
        <v>0</v>
      </c>
      <c r="N24" s="44"/>
      <c r="O24" s="23"/>
      <c r="P24" s="44"/>
    </row>
    <row r="25" spans="1:16" ht="20.100000000000001" customHeight="1" x14ac:dyDescent="0.25">
      <c r="A25" s="5" t="str">
        <f>HYPERLINK("#'5.2.1.1-2 Organic Fert N2O'!A1", "5.2.1.1-2 Organic fert N2O")</f>
        <v>5.2.1.1-2 Organic fert N2O</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5" cm="1">
        <f t="array" ref="J25">Scope3_Equations.VEERG_15_1_1_1__1_EmissionsFromPurchasedLivestock(G25,H25,I25)</f>
        <v>0</v>
      </c>
      <c r="K25" s="25"/>
      <c r="L25" s="86"/>
      <c r="M25" s="255" cm="1">
        <f t="array" ref="M25">Scope3_Equations.VEERG_15_1_1_1__1_EmissionsFromPurchasedLivestock(G25,K25,IF(L25, L25, I25))</f>
        <v>0</v>
      </c>
      <c r="N25" s="44"/>
      <c r="O25" s="23"/>
      <c r="P25" s="44"/>
    </row>
    <row r="26" spans="1:16" ht="20.100000000000001" customHeight="1" x14ac:dyDescent="0.25">
      <c r="A26" s="5" t="str">
        <f>HYPERLINK("#'5.3.1.1-2 Lime CO2'!A1", "5.3.1.1-2 Lime CO2")</f>
        <v>5.3.1.1-2 Lime CO2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5" cm="1">
        <f t="array" ref="J26">Scope3_Equations.VEERG_15_1_1_1__1_EmissionsFromPurchasedLivestock(G26,H26,I26)</f>
        <v>0</v>
      </c>
      <c r="K26" s="25"/>
      <c r="L26" s="86"/>
      <c r="M26" s="255" cm="1">
        <f t="array" ref="M26">Scope3_Equations.VEERG_15_1_1_1__1_EmissionsFromPurchasedLivestock(G26,K26,IF(L26, L26, I26))</f>
        <v>0</v>
      </c>
      <c r="N26" s="44"/>
      <c r="O26" s="23"/>
      <c r="P26" s="44"/>
    </row>
    <row r="27" spans="1:16" ht="20.100000000000001" customHeight="1" x14ac:dyDescent="0.25">
      <c r="A27" s="5" t="str">
        <f>HYPERLINK("#'5.4.1.1-4 Atmos deposition'!A1", "5.4.1.1-4 Atmos. deposition")</f>
        <v>5.4.1.1-4 Atmos. deposition</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5" cm="1">
        <f t="array" ref="J27">Scope3_Equations.VEERG_15_1_1_1__1_EmissionsFromPurchasedLivestock(G27,H27,I27)</f>
        <v>0</v>
      </c>
      <c r="K27" s="25"/>
      <c r="L27" s="86"/>
      <c r="M27" s="255" cm="1">
        <f t="array" ref="M27">Scope3_Equations.VEERG_15_1_1_1__1_EmissionsFromPurchasedLivestock(G27,K27,IF(L27, L27, I27))</f>
        <v>0</v>
      </c>
      <c r="N27" s="44"/>
      <c r="O27" s="23"/>
      <c r="P27" s="44"/>
    </row>
    <row r="28" spans="1:16" ht="20.100000000000001" customHeight="1" x14ac:dyDescent="0.25">
      <c r="A28" s="5" t="str">
        <f>HYPERLINK("#'5.5.1.1-2 Leaching and runoff'!A1", "5.5.1.1-2 Leaching &amp; runoff")</f>
        <v>5.5.1.1-2 Leaching &amp; runoff</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5" cm="1">
        <f t="array" ref="J28">Scope3_Equations.VEERG_15_1_1_1__1_EmissionsFromPurchasedLivestock(G28,H28,I28)</f>
        <v>0</v>
      </c>
      <c r="K28" s="25"/>
      <c r="L28" s="86"/>
      <c r="M28" s="255" cm="1">
        <f t="array" ref="M28">Scope3_Equations.VEERG_15_1_1_1__1_EmissionsFromPurchasedLivestock(G28,K28,IF(L28, L28, I28))</f>
        <v>0</v>
      </c>
      <c r="N28" s="44"/>
      <c r="O28" s="23"/>
      <c r="P28" s="44"/>
    </row>
    <row r="29" spans="1:16" ht="20.100000000000001" customHeight="1" x14ac:dyDescent="0.25">
      <c r="A29" s="5" t="str">
        <f>HYPERLINK("#'6.1.1.1-2 Crop residue N2O'!A1", "6.1.1.1-2 Crop residue N2O")</f>
        <v>6.1.1.1-2 Crop residue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5" cm="1">
        <f t="array" ref="J29">Scope3_Equations.VEERG_15_1_1_1__1_EmissionsFromPurchasedLivestock(G29,H29,I29)</f>
        <v>0</v>
      </c>
      <c r="K29" s="25"/>
      <c r="L29" s="86"/>
      <c r="M29" s="255" cm="1">
        <f t="array" ref="M29">Scope3_Equations.VEERG_15_1_1_1__1_EmissionsFromPurchasedLivestock(G29,K29,IF(L29, L29, I29))</f>
        <v>0</v>
      </c>
      <c r="N29" s="44"/>
      <c r="O29" s="23"/>
      <c r="P29" s="44"/>
    </row>
    <row r="30" spans="1:16" ht="20.100000000000001" customHeight="1" x14ac:dyDescent="0.25">
      <c r="A30" s="5" t="str">
        <f>HYPERLINK("#'6.3.1.1-2 Leach runoff crop'!A1", "6.3.1.1-2 Leach &amp; runoff (crop)")</f>
        <v>6.3.1.1-2 Leach &amp; runoff (crop)</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5" cm="1">
        <f t="array" ref="J30">Scope3_Equations.VEERG_15_1_1_1__1_EmissionsFromPurchasedLivestock(G30,H30,I30)</f>
        <v>0</v>
      </c>
      <c r="K30" s="25"/>
      <c r="L30" s="86"/>
      <c r="M30" s="255" cm="1">
        <f t="array" ref="M30">Scope3_Equations.VEERG_15_1_1_1__1_EmissionsFromPurchasedLivestock(G30,K30,IF(L30, L30, I30))</f>
        <v>0</v>
      </c>
      <c r="N30" s="44"/>
      <c r="O30" s="23"/>
      <c r="P30" s="44"/>
    </row>
    <row r="31" spans="1:16" ht="20.100000000000001" customHeight="1" x14ac:dyDescent="0.25">
      <c r="A31" s="5" t="str">
        <f>HYPERLINK("#'6.4.1.1-2 Residue burning'!A1", "6.4.1.1-2 Residue burning")</f>
        <v>6.4.1.1-2 Residue burning</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5" cm="1">
        <f t="array" ref="J31">Scope3_Equations.VEERG_15_1_1_1__1_EmissionsFromPurchasedLivestock(G31,H31,I31)</f>
        <v>0</v>
      </c>
      <c r="K31" s="25"/>
      <c r="L31" s="86"/>
      <c r="M31" s="255" cm="1">
        <f t="array" ref="M31">Scope3_Equations.VEERG_15_1_1_1__1_EmissionsFromPurchasedLivestock(G31,K31,IF(L31, L31, I31))</f>
        <v>0</v>
      </c>
      <c r="N31" s="44"/>
      <c r="O31" s="23"/>
      <c r="P31" s="44"/>
    </row>
    <row r="32" spans="1:16" ht="20.100000000000001" customHeight="1" x14ac:dyDescent="0.25">
      <c r="A32" s="5" t="str">
        <f>HYPERLINK("#'8.1.1.1-2 Transport fuel'!A1", "8.1.1.1-2 Transport fuel")</f>
        <v>8.1.1.1-2 Transport fuel</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5" cm="1">
        <f t="array" ref="J32">Scope3_Equations.VEERG_15_1_1_1__1_EmissionsFromPurchasedLivestock(G32,H32,I32)</f>
        <v>0</v>
      </c>
      <c r="K32" s="25"/>
      <c r="L32" s="86"/>
      <c r="M32" s="255" cm="1">
        <f t="array" ref="M32">Scope3_Equations.VEERG_15_1_1_1__1_EmissionsFromPurchasedLivestock(G32,K32,IF(L32, L32, I32))</f>
        <v>0</v>
      </c>
      <c r="N32" s="44"/>
      <c r="O32" s="23"/>
      <c r="P32" s="44"/>
    </row>
    <row r="33" spans="1:13" ht="20.100000000000001" customHeight="1" x14ac:dyDescent="0.25">
      <c r="A33" s="5" t="str">
        <f>HYPERLINK("#'8.2.1.1-2 Stationary fuel'!A1", "8.2.1.1-2 Stationary fuel")</f>
        <v>8.2.1.1-2 Stationary fuel</v>
      </c>
    </row>
    <row r="34" spans="1:13" ht="20.100000000000001" customHeight="1" x14ac:dyDescent="0.25">
      <c r="A34" s="5" t="str">
        <f>HYPERLINK("#'14.1.1-2 Purchased electricity'!A1", "14.1.1-2 Purchased electricity")</f>
        <v>14.1.1-2 Purchased electricity</v>
      </c>
      <c r="D34" s="158" t="s">
        <v>823</v>
      </c>
      <c r="E34" s="145">
        <f>SUM(J23:J32)</f>
        <v>0</v>
      </c>
      <c r="F34" s="152" t="str">
        <f>$E$11</f>
        <v>t CO2e</v>
      </c>
    </row>
    <row r="35" spans="1:13" ht="20.100000000000001" customHeight="1" x14ac:dyDescent="0.25">
      <c r="A35" s="139" t="str">
        <f>HYPERLINK("#'15 Scope 3'!A1", "15 Scope 3")</f>
        <v>15 Scope 3</v>
      </c>
      <c r="D35" s="158" t="s">
        <v>824</v>
      </c>
      <c r="E35" s="145">
        <f>SUM(M23:M32)</f>
        <v>0</v>
      </c>
      <c r="F35" s="152" t="str">
        <f>$E$11</f>
        <v>t CO2e</v>
      </c>
    </row>
    <row r="36" spans="1:13" ht="20.100000000000001" customHeight="1" x14ac:dyDescent="0.25">
      <c r="A36" s="5" t="str">
        <f>HYPERLINK("#'Calcs - Manure sent off-site'!A1", "Calcs - Manure sent off-site")</f>
        <v>Calcs - Manure sent off-site</v>
      </c>
    </row>
    <row r="37" spans="1:13" ht="20.100000000000001" customHeight="1" x14ac:dyDescent="0.25">
      <c r="A37" s="5" t="str">
        <f>HYPERLINK("#'10.1.1-2 Solid waste treatment'!A1", "10.1.1-2 Solid waste treatment")</f>
        <v>10.1.1-2 Solid waste treatment</v>
      </c>
    </row>
    <row r="38" spans="1:13" ht="20.100000000000001" customHeight="1" x14ac:dyDescent="0.25">
      <c r="A38"/>
      <c r="D38" s="238" t="s">
        <v>825</v>
      </c>
    </row>
    <row r="39" spans="1:13" ht="20.100000000000001" customHeight="1" x14ac:dyDescent="0.25">
      <c r="A39"/>
      <c r="D39" s="153" t="s">
        <v>826</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119" t="s">
        <v>1</v>
      </c>
    </row>
    <row r="41" spans="1:13" ht="20.100000000000001" customHeight="1" x14ac:dyDescent="0.25">
      <c r="A41" s="5" t="str">
        <f>HYPERLINK("#'Constants - Ag Residue'!A1", "Constants - Ag residue")</f>
        <v>Constants - Ag residue</v>
      </c>
      <c r="D41" s="144" t="s">
        <v>807</v>
      </c>
      <c r="E41" s="254" t="s">
        <v>810</v>
      </c>
      <c r="F41" s="254" t="s">
        <v>811</v>
      </c>
      <c r="G41" s="143" t="s">
        <v>813</v>
      </c>
      <c r="H41" s="254" t="s">
        <v>814</v>
      </c>
      <c r="I41" s="144" t="s">
        <v>815</v>
      </c>
      <c r="J41" s="143" t="s">
        <v>816</v>
      </c>
      <c r="K41" s="144" t="s">
        <v>817</v>
      </c>
      <c r="L41" s="144" t="s">
        <v>818</v>
      </c>
      <c r="M41" s="144" t="s">
        <v>819</v>
      </c>
    </row>
    <row r="42" spans="1:13" ht="20.100000000000001" customHeight="1" x14ac:dyDescent="0.25">
      <c r="A42" s="5" t="str">
        <f>HYPERLINK("#'Constants - Common Livestock'!A1", "Constants - Common Livestock")</f>
        <v>Constants - Common Livestock</v>
      </c>
      <c r="D42" s="25"/>
      <c r="E42" s="25"/>
      <c r="F42" s="25"/>
      <c r="G42" s="255" cm="1">
        <f t="array" ref="G42">Scope3_Equations.VEERG_15_1_1_1__1_EmissionsFromPurchasedLivestock(E42,F42,$E$39)</f>
        <v>0</v>
      </c>
      <c r="H42" s="25"/>
      <c r="I42" s="86">
        <v>4</v>
      </c>
      <c r="J42" s="255" cm="1">
        <f t="array" ref="J42">Scope3_Equations.VEERG_15_1_1_1__1_EmissionsFromPurchasedLivestock(E42,H42,IF(I42,I42,$E$39))</f>
        <v>0</v>
      </c>
      <c r="K42" s="44" t="s">
        <v>820</v>
      </c>
      <c r="L42" s="23" t="s">
        <v>821</v>
      </c>
      <c r="M42" s="237" t="s">
        <v>822</v>
      </c>
    </row>
    <row r="43" spans="1:13" ht="20.100000000000001" customHeight="1" x14ac:dyDescent="0.25">
      <c r="A43" s="5" t="str">
        <f>HYPERLINK("#'Constants - Electricity'!A1", "Constants - Electricity")</f>
        <v>Constants - Electricity</v>
      </c>
      <c r="D43" s="25"/>
      <c r="E43" s="25"/>
      <c r="F43" s="25"/>
      <c r="G43" s="255" cm="1">
        <f t="array" ref="G43">Scope3_Equations.VEERG_15_1_1_1__1_EmissionsFromPurchasedLivestock(E43,F43,$E$39)</f>
        <v>0</v>
      </c>
      <c r="H43" s="25"/>
      <c r="I43" s="86"/>
      <c r="J43" s="255" cm="1">
        <f t="array" ref="J43">Scope3_Equations.VEERG_15_1_1_1__1_EmissionsFromPurchasedLivestock(E43,H43,IF(I43,I43,$E$39))</f>
        <v>0</v>
      </c>
      <c r="K43" s="44"/>
      <c r="L43" s="23"/>
      <c r="M43" s="44"/>
    </row>
    <row r="44" spans="1:13" ht="20.100000000000001" customHeight="1" x14ac:dyDescent="0.25">
      <c r="A44" s="5" t="str">
        <f>HYPERLINK("#'Constants - Fertiliser'!A1", "Constants - Fertiliser")</f>
        <v>Constants - Fertiliser</v>
      </c>
      <c r="D44" s="25"/>
      <c r="E44" s="25"/>
      <c r="F44" s="25"/>
      <c r="G44" s="255" cm="1">
        <f t="array" ref="G44">Scope3_Equations.VEERG_15_1_1_1__1_EmissionsFromPurchasedLivestock(E44,F44,$E$39)</f>
        <v>0</v>
      </c>
      <c r="H44" s="25"/>
      <c r="I44" s="86"/>
      <c r="J44" s="255" cm="1">
        <f t="array" ref="J44">Scope3_Equations.VEERG_15_1_1_1__1_EmissionsFromPurchasedLivestock(E44,H44,IF(I44,I44,$E$39))</f>
        <v>0</v>
      </c>
      <c r="K44" s="44"/>
      <c r="L44" s="23"/>
      <c r="M44" s="44"/>
    </row>
    <row r="45" spans="1:13" ht="20.100000000000001" customHeight="1" x14ac:dyDescent="0.25">
      <c r="A45" s="5" t="str">
        <f>HYPERLINK("#'Constants - Fuel'!A1", "Constants - Fuel")</f>
        <v>Constants - Fuel</v>
      </c>
      <c r="D45" s="25"/>
      <c r="E45" s="25"/>
      <c r="F45" s="25"/>
      <c r="G45" s="255" cm="1">
        <f t="array" ref="G45">Scope3_Equations.VEERG_15_1_1_1__1_EmissionsFromPurchasedLivestock(E45,F45,$E$39)</f>
        <v>0</v>
      </c>
      <c r="H45" s="25"/>
      <c r="I45" s="86"/>
      <c r="J45" s="255" cm="1">
        <f t="array" ref="J45">Scope3_Equations.VEERG_15_1_1_1__1_EmissionsFromPurchasedLivestock(E45,H45,IF(I45,I45,$E$39))</f>
        <v>0</v>
      </c>
      <c r="K45" s="44"/>
      <c r="L45" s="23"/>
      <c r="M45" s="44"/>
    </row>
    <row r="46" spans="1:13" ht="20.100000000000001" customHeight="1" x14ac:dyDescent="0.25">
      <c r="A46" s="5" t="str">
        <f>HYPERLINK("#'Constants - Scope 3'!A1", "Constants - Scope 3")</f>
        <v>Constants - Scope 3</v>
      </c>
      <c r="D46" s="25"/>
      <c r="E46" s="25"/>
      <c r="F46" s="25"/>
      <c r="G46" s="255" cm="1">
        <f t="array" ref="G46">Scope3_Equations.VEERG_15_1_1_1__1_EmissionsFromPurchasedLivestock(E46,F46,$E$39)</f>
        <v>0</v>
      </c>
      <c r="H46" s="25"/>
      <c r="I46" s="86"/>
      <c r="J46" s="255" cm="1">
        <f t="array" ref="J46">Scope3_Equations.VEERG_15_1_1_1__1_EmissionsFromPurchasedLivestock(E46,H46,IF(I46,I46,$E$39))</f>
        <v>0</v>
      </c>
      <c r="K46" s="44"/>
      <c r="L46" s="23"/>
      <c r="M46" s="44"/>
    </row>
    <row r="47" spans="1:13" ht="20.100000000000001" customHeight="1" x14ac:dyDescent="0.25">
      <c r="A47" s="5" t="str">
        <f>HYPERLINK("#'Constants - Common'!A1", "Constants - Common")</f>
        <v>Constants - Common</v>
      </c>
      <c r="D47" s="25"/>
      <c r="E47" s="25"/>
      <c r="F47" s="25"/>
      <c r="G47" s="255" cm="1">
        <f t="array" ref="G47">Scope3_Equations.VEERG_15_1_1_1__1_EmissionsFromPurchasedLivestock(E47,F47,$E$39)</f>
        <v>0</v>
      </c>
      <c r="H47" s="25"/>
      <c r="I47" s="86"/>
      <c r="J47" s="255" cm="1">
        <f t="array" ref="J47">Scope3_Equations.VEERG_15_1_1_1__1_EmissionsFromPurchasedLivestock(E47,H47,IF(I47,I47,$E$39))</f>
        <v>0</v>
      </c>
      <c r="K47" s="44"/>
      <c r="L47" s="23"/>
      <c r="M47" s="44"/>
    </row>
    <row r="48" spans="1:13" ht="20.100000000000001" customHeight="1" x14ac:dyDescent="0.25">
      <c r="A48" s="5" t="str">
        <f>HYPERLINK("#'Constants - Solid Waste'!A1", "Constants - Solid Waste")</f>
        <v>Constants - Solid Waste</v>
      </c>
      <c r="D48" s="25"/>
      <c r="E48" s="25"/>
      <c r="F48" s="25"/>
      <c r="G48" s="255" cm="1">
        <f t="array" ref="G48">Scope3_Equations.VEERG_15_1_1_1__1_EmissionsFromPurchasedLivestock(E48,F48,$E$39)</f>
        <v>0</v>
      </c>
      <c r="H48" s="25"/>
      <c r="I48" s="86"/>
      <c r="J48" s="255" cm="1">
        <f t="array" ref="J48">Scope3_Equations.VEERG_15_1_1_1__1_EmissionsFromPurchasedLivestock(E48,H48,IF(I48,I48,$E$39))</f>
        <v>0</v>
      </c>
      <c r="K48" s="44"/>
      <c r="L48" s="23"/>
      <c r="M48" s="44"/>
    </row>
    <row r="49" spans="1:13" ht="20.100000000000001" customHeight="1" x14ac:dyDescent="0.25">
      <c r="A49"/>
      <c r="D49" s="25"/>
      <c r="E49" s="25"/>
      <c r="F49" s="25"/>
      <c r="G49" s="255" cm="1">
        <f t="array" ref="G49">Scope3_Equations.VEERG_15_1_1_1__1_EmissionsFromPurchasedLivestock(E49,F49,$E$39)</f>
        <v>0</v>
      </c>
      <c r="H49" s="25"/>
      <c r="I49" s="86"/>
      <c r="J49" s="255" cm="1">
        <f t="array" ref="J49">Scope3_Equations.VEERG_15_1_1_1__1_EmissionsFromPurchasedLivestock(E49,H49,IF(I49,I49,$E$39))</f>
        <v>0</v>
      </c>
      <c r="K49" s="44"/>
      <c r="L49" s="23"/>
      <c r="M49" s="44"/>
    </row>
    <row r="50" spans="1:13" ht="20.100000000000001" customHeight="1" x14ac:dyDescent="0.25">
      <c r="A50"/>
      <c r="D50" s="25"/>
      <c r="E50" s="25"/>
      <c r="F50" s="25"/>
      <c r="G50" s="255" cm="1">
        <f t="array" ref="G50">Scope3_Equations.VEERG_15_1_1_1__1_EmissionsFromPurchasedLivestock(E50,F50,$E$39)</f>
        <v>0</v>
      </c>
      <c r="H50" s="25"/>
      <c r="I50" s="86"/>
      <c r="J50" s="255" cm="1">
        <f t="array" ref="J50">Scope3_Equations.VEERG_15_1_1_1__1_EmissionsFromPurchasedLivestock(E50,H50,IF(I50,I50,$E$39))</f>
        <v>0</v>
      </c>
      <c r="K50" s="44"/>
      <c r="L50" s="23"/>
      <c r="M50" s="44"/>
    </row>
    <row r="51" spans="1:13" ht="20.100000000000001" customHeight="1" x14ac:dyDescent="0.25">
      <c r="A51"/>
      <c r="D51" s="25"/>
      <c r="E51" s="25"/>
      <c r="F51" s="25"/>
      <c r="G51" s="255" cm="1">
        <f t="array" ref="G51">Scope3_Equations.VEERG_15_1_1_1__1_EmissionsFromPurchasedLivestock(E51,F51,$E$39)</f>
        <v>0</v>
      </c>
      <c r="H51" s="25"/>
      <c r="I51" s="86"/>
      <c r="J51" s="255"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58" t="s">
        <v>827</v>
      </c>
      <c r="E53" s="145">
        <f>SUM(G42:G51)</f>
        <v>0</v>
      </c>
      <c r="F53" s="152" t="str">
        <f>$E$11</f>
        <v>t CO2e</v>
      </c>
    </row>
    <row r="54" spans="1:13" ht="20.100000000000001" customHeight="1" x14ac:dyDescent="0.25">
      <c r="A54"/>
      <c r="D54" s="158" t="s">
        <v>828</v>
      </c>
      <c r="E54" s="145">
        <f>SUM(J42:J51)</f>
        <v>0</v>
      </c>
      <c r="F54" s="152" t="str">
        <f>$E$11</f>
        <v>t CO2e</v>
      </c>
    </row>
    <row r="55" spans="1:13" ht="20.100000000000001" customHeight="1" x14ac:dyDescent="0.25">
      <c r="A55"/>
    </row>
    <row r="56" spans="1:13" ht="20.100000000000001" customHeight="1" x14ac:dyDescent="0.25">
      <c r="A56"/>
    </row>
    <row r="57" spans="1:13" ht="20.100000000000001" customHeight="1" x14ac:dyDescent="0.25">
      <c r="A57"/>
      <c r="D57" s="238" t="s">
        <v>829</v>
      </c>
    </row>
    <row r="58" spans="1:13" ht="20.100000000000001" customHeight="1" x14ac:dyDescent="0.25">
      <c r="A58"/>
      <c r="D58" s="153" t="s">
        <v>826</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44" t="s">
        <v>807</v>
      </c>
      <c r="E60" s="254" t="s">
        <v>810</v>
      </c>
      <c r="F60" s="254" t="s">
        <v>811</v>
      </c>
      <c r="G60" s="143" t="s">
        <v>813</v>
      </c>
      <c r="H60" s="254" t="s">
        <v>814</v>
      </c>
      <c r="I60" s="144" t="s">
        <v>815</v>
      </c>
      <c r="J60" s="143" t="s">
        <v>816</v>
      </c>
      <c r="K60" s="144" t="s">
        <v>817</v>
      </c>
      <c r="L60" s="144" t="s">
        <v>818</v>
      </c>
      <c r="M60" s="144" t="s">
        <v>819</v>
      </c>
    </row>
    <row r="61" spans="1:13" ht="20.100000000000001" customHeight="1" x14ac:dyDescent="0.25">
      <c r="A61"/>
      <c r="D61" s="25"/>
      <c r="E61" s="25"/>
      <c r="F61" s="25"/>
      <c r="G61" s="255" cm="1">
        <f t="array" ref="G61">Scope3_Equations.VEERG_15_1_1_1__1_EmissionsFromPurchasedLivestock(E61,F61,$E$58)</f>
        <v>0</v>
      </c>
      <c r="H61" s="25"/>
      <c r="I61" s="86">
        <v>3.38</v>
      </c>
      <c r="J61" s="255" cm="1">
        <f t="array" ref="J61">Scope3_Equations.VEERG_15_1_1_1__1_EmissionsFromPurchasedLivestock(E61,H61,IF(I61, I61,$E$58))</f>
        <v>0</v>
      </c>
      <c r="K61" s="44"/>
      <c r="L61" s="23"/>
      <c r="M61" s="237"/>
    </row>
    <row r="62" spans="1:13" ht="20.100000000000001" customHeight="1" x14ac:dyDescent="0.25">
      <c r="A62"/>
      <c r="D62" s="25"/>
      <c r="E62" s="25"/>
      <c r="F62" s="25"/>
      <c r="G62" s="255" cm="1">
        <f t="array" ref="G62">Scope3_Equations.VEERG_15_1_1_1__1_EmissionsFromPurchasedLivestock(E62,F62,$E$58)</f>
        <v>0</v>
      </c>
      <c r="H62" s="25"/>
      <c r="I62" s="86">
        <v>3.3</v>
      </c>
      <c r="J62" s="255" cm="1">
        <f t="array" ref="J62">Scope3_Equations.VEERG_15_1_1_1__1_EmissionsFromPurchasedLivestock(E62,H62,IF(I62, I62,$E$58))</f>
        <v>0</v>
      </c>
      <c r="K62" s="44"/>
      <c r="L62" s="23"/>
      <c r="M62" s="44"/>
    </row>
    <row r="63" spans="1:13" ht="20.100000000000001" customHeight="1" x14ac:dyDescent="0.25">
      <c r="A63"/>
      <c r="D63" s="25"/>
      <c r="E63" s="25"/>
      <c r="F63" s="25"/>
      <c r="G63" s="255" cm="1">
        <f t="array" ref="G63">Scope3_Equations.VEERG_15_1_1_1__1_EmissionsFromPurchasedLivestock(E63,F63,$E$58)</f>
        <v>0</v>
      </c>
      <c r="H63" s="25"/>
      <c r="I63" s="86"/>
      <c r="J63" s="255" cm="1">
        <f t="array" ref="J63">Scope3_Equations.VEERG_15_1_1_1__1_EmissionsFromPurchasedLivestock(E63,H63,IF(I63, I63,$E$58))</f>
        <v>0</v>
      </c>
      <c r="K63" s="44"/>
      <c r="L63" s="23"/>
      <c r="M63" s="44"/>
    </row>
    <row r="64" spans="1:13" ht="20.100000000000001" customHeight="1" x14ac:dyDescent="0.25">
      <c r="A64"/>
      <c r="D64" s="25"/>
      <c r="E64" s="25"/>
      <c r="F64" s="25"/>
      <c r="G64" s="255" cm="1">
        <f t="array" ref="G64">Scope3_Equations.VEERG_15_1_1_1__1_EmissionsFromPurchasedLivestock(E64,F64,$E$58)</f>
        <v>0</v>
      </c>
      <c r="H64" s="25"/>
      <c r="I64" s="86"/>
      <c r="J64" s="255" cm="1">
        <f t="array" ref="J64">Scope3_Equations.VEERG_15_1_1_1__1_EmissionsFromPurchasedLivestock(E64,H64,IF(I64, I64,$E$58))</f>
        <v>0</v>
      </c>
      <c r="K64" s="44"/>
      <c r="L64" s="23"/>
      <c r="M64" s="44"/>
    </row>
    <row r="65" spans="1:13" ht="20.100000000000001" customHeight="1" x14ac:dyDescent="0.25">
      <c r="A65"/>
      <c r="D65" s="25"/>
      <c r="E65" s="25"/>
      <c r="F65" s="25"/>
      <c r="G65" s="255" cm="1">
        <f t="array" ref="G65">Scope3_Equations.VEERG_15_1_1_1__1_EmissionsFromPurchasedLivestock(E65,F65,$E$58)</f>
        <v>0</v>
      </c>
      <c r="H65" s="25"/>
      <c r="I65" s="86"/>
      <c r="J65" s="255" cm="1">
        <f t="array" ref="J65">Scope3_Equations.VEERG_15_1_1_1__1_EmissionsFromPurchasedLivestock(E65,H65,IF(I65, I65,$E$58))</f>
        <v>0</v>
      </c>
      <c r="K65" s="44"/>
      <c r="L65" s="23"/>
      <c r="M65" s="44"/>
    </row>
    <row r="66" spans="1:13" ht="20.100000000000001" customHeight="1" x14ac:dyDescent="0.25">
      <c r="A66"/>
      <c r="D66" s="25"/>
      <c r="E66" s="25"/>
      <c r="F66" s="25"/>
      <c r="G66" s="255" cm="1">
        <f t="array" ref="G66">Scope3_Equations.VEERG_15_1_1_1__1_EmissionsFromPurchasedLivestock(E66,F66,$E$58)</f>
        <v>0</v>
      </c>
      <c r="H66" s="25"/>
      <c r="I66" s="86"/>
      <c r="J66" s="255" cm="1">
        <f t="array" ref="J66">Scope3_Equations.VEERG_15_1_1_1__1_EmissionsFromPurchasedLivestock(E66,H66,IF(I66, I66,$E$58))</f>
        <v>0</v>
      </c>
      <c r="K66" s="44"/>
      <c r="L66" s="23"/>
      <c r="M66" s="44"/>
    </row>
    <row r="67" spans="1:13" ht="20.100000000000001" customHeight="1" x14ac:dyDescent="0.25">
      <c r="A67"/>
      <c r="D67" s="25"/>
      <c r="E67" s="25"/>
      <c r="F67" s="25"/>
      <c r="G67" s="255" cm="1">
        <f t="array" ref="G67">Scope3_Equations.VEERG_15_1_1_1__1_EmissionsFromPurchasedLivestock(E67,F67,$E$58)</f>
        <v>0</v>
      </c>
      <c r="H67" s="25"/>
      <c r="I67" s="86"/>
      <c r="J67" s="255" cm="1">
        <f t="array" ref="J67">Scope3_Equations.VEERG_15_1_1_1__1_EmissionsFromPurchasedLivestock(E67,H67,IF(I67, I67,$E$58))</f>
        <v>0</v>
      </c>
      <c r="K67" s="44"/>
      <c r="L67" s="23"/>
      <c r="M67" s="44"/>
    </row>
    <row r="68" spans="1:13" ht="20.100000000000001" customHeight="1" x14ac:dyDescent="0.25">
      <c r="A68"/>
      <c r="D68" s="25"/>
      <c r="E68" s="25"/>
      <c r="F68" s="25"/>
      <c r="G68" s="255" cm="1">
        <f t="array" ref="G68">Scope3_Equations.VEERG_15_1_1_1__1_EmissionsFromPurchasedLivestock(E68,F68,$E$58)</f>
        <v>0</v>
      </c>
      <c r="H68" s="25"/>
      <c r="I68" s="86"/>
      <c r="J68" s="255" cm="1">
        <f t="array" ref="J68">Scope3_Equations.VEERG_15_1_1_1__1_EmissionsFromPurchasedLivestock(E68,H68,IF(I68, I68,$E$58))</f>
        <v>0</v>
      </c>
      <c r="K68" s="44"/>
      <c r="L68" s="23"/>
      <c r="M68" s="44"/>
    </row>
    <row r="69" spans="1:13" ht="20.100000000000001" customHeight="1" x14ac:dyDescent="0.25">
      <c r="A69"/>
      <c r="D69" s="25"/>
      <c r="E69" s="25"/>
      <c r="F69" s="25"/>
      <c r="G69" s="255" cm="1">
        <f t="array" ref="G69">Scope3_Equations.VEERG_15_1_1_1__1_EmissionsFromPurchasedLivestock(E69,F69,$E$58)</f>
        <v>0</v>
      </c>
      <c r="H69" s="25"/>
      <c r="I69" s="86"/>
      <c r="J69" s="255" cm="1">
        <f t="array" ref="J69">Scope3_Equations.VEERG_15_1_1_1__1_EmissionsFromPurchasedLivestock(E69,H69,IF(I69, I69,$E$58))</f>
        <v>0</v>
      </c>
      <c r="K69" s="44"/>
      <c r="L69" s="23"/>
      <c r="M69" s="44"/>
    </row>
    <row r="70" spans="1:13" ht="20.100000000000001" customHeight="1" x14ac:dyDescent="0.25">
      <c r="A70"/>
      <c r="D70" s="25"/>
      <c r="E70" s="25"/>
      <c r="F70" s="25"/>
      <c r="G70" s="255" cm="1">
        <f t="array" ref="G70">Scope3_Equations.VEERG_15_1_1_1__1_EmissionsFromPurchasedLivestock(E70,F70,$E$58)</f>
        <v>0</v>
      </c>
      <c r="H70" s="25"/>
      <c r="I70" s="86"/>
      <c r="J70" s="255"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58" t="s">
        <v>830</v>
      </c>
      <c r="E72" s="145">
        <f>SUM(G61:G70)</f>
        <v>0</v>
      </c>
      <c r="F72" s="152" t="str">
        <f>$E$11</f>
        <v>t CO2e</v>
      </c>
    </row>
    <row r="73" spans="1:13" ht="20.100000000000001" customHeight="1" x14ac:dyDescent="0.25">
      <c r="A73"/>
      <c r="D73" s="158" t="s">
        <v>831</v>
      </c>
      <c r="E73" s="145">
        <f>SUM(J61:J70)</f>
        <v>0</v>
      </c>
      <c r="F73" s="152" t="str">
        <f>$E$11</f>
        <v>t CO2e</v>
      </c>
    </row>
    <row r="74" spans="1:13" ht="20.100000000000001" customHeight="1" x14ac:dyDescent="0.25">
      <c r="A74"/>
    </row>
    <row r="75" spans="1:13" ht="20.100000000000001" customHeight="1" x14ac:dyDescent="0.25">
      <c r="A75"/>
      <c r="D75" s="238" t="s">
        <v>832</v>
      </c>
    </row>
    <row r="76" spans="1:13" ht="20.100000000000001" customHeight="1" x14ac:dyDescent="0.25">
      <c r="A76"/>
      <c r="D76" s="153" t="s">
        <v>826</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44" t="s">
        <v>807</v>
      </c>
      <c r="E78" s="254" t="s">
        <v>810</v>
      </c>
      <c r="F78" s="254" t="s">
        <v>811</v>
      </c>
      <c r="G78" s="143" t="s">
        <v>813</v>
      </c>
      <c r="H78" s="254" t="s">
        <v>814</v>
      </c>
      <c r="I78" s="144" t="s">
        <v>815</v>
      </c>
      <c r="J78" s="143" t="s">
        <v>816</v>
      </c>
      <c r="K78" s="144" t="s">
        <v>817</v>
      </c>
      <c r="L78" s="144" t="s">
        <v>818</v>
      </c>
      <c r="M78" s="144" t="s">
        <v>819</v>
      </c>
    </row>
    <row r="79" spans="1:13" ht="20.100000000000001" customHeight="1" x14ac:dyDescent="0.25">
      <c r="A79"/>
      <c r="D79" s="25"/>
      <c r="E79" s="25"/>
      <c r="F79" s="25"/>
      <c r="G79" s="255" cm="1">
        <f t="array" ref="G79">Scope3_Equations.VEERG_15_1_1_1__1_EmissionsFromPurchasedLivestock(E79,F79,$E$76)</f>
        <v>0</v>
      </c>
      <c r="H79" s="25"/>
      <c r="I79" s="86">
        <v>1.3</v>
      </c>
      <c r="J79" s="255" cm="1">
        <f t="array" ref="J79">Scope3_Equations.VEERG_15_1_1_1__1_EmissionsFromPurchasedLivestock(E79,H79,IF(I79, I79,$E$76))</f>
        <v>0</v>
      </c>
      <c r="K79" s="44"/>
      <c r="L79" s="23"/>
      <c r="M79" s="237"/>
    </row>
    <row r="80" spans="1:13" ht="20.100000000000001" customHeight="1" x14ac:dyDescent="0.25">
      <c r="A80"/>
      <c r="D80" s="25"/>
      <c r="E80" s="25"/>
      <c r="F80" s="25"/>
      <c r="G80" s="255" cm="1">
        <f t="array" ref="G80">Scope3_Equations.VEERG_15_1_1_1__1_EmissionsFromPurchasedLivestock(E80,F80,$E$76)</f>
        <v>0</v>
      </c>
      <c r="H80" s="25"/>
      <c r="I80" s="86"/>
      <c r="J80" s="255" cm="1">
        <f t="array" ref="J80">Scope3_Equations.VEERG_15_1_1_1__1_EmissionsFromPurchasedLivestock(E80,H80,IF(I80, I80,$E$76))</f>
        <v>0</v>
      </c>
      <c r="K80" s="44"/>
      <c r="L80" s="23"/>
      <c r="M80" s="44"/>
    </row>
    <row r="81" spans="1:13" ht="20.100000000000001" customHeight="1" x14ac:dyDescent="0.25">
      <c r="A81"/>
      <c r="D81" s="25"/>
      <c r="E81" s="25"/>
      <c r="F81" s="25"/>
      <c r="G81" s="255" cm="1">
        <f t="array" ref="G81">Scope3_Equations.VEERG_15_1_1_1__1_EmissionsFromPurchasedLivestock(E81,F81,$E$76)</f>
        <v>0</v>
      </c>
      <c r="H81" s="25"/>
      <c r="I81" s="86"/>
      <c r="J81" s="255" cm="1">
        <f t="array" ref="J81">Scope3_Equations.VEERG_15_1_1_1__1_EmissionsFromPurchasedLivestock(E81,H81,IF(I81, I81,$E$76))</f>
        <v>0</v>
      </c>
      <c r="K81" s="44"/>
      <c r="L81" s="23"/>
      <c r="M81" s="44"/>
    </row>
    <row r="82" spans="1:13" ht="20.100000000000001" customHeight="1" x14ac:dyDescent="0.25">
      <c r="A82"/>
      <c r="D82" s="25"/>
      <c r="E82" s="25"/>
      <c r="F82" s="25"/>
      <c r="G82" s="255" cm="1">
        <f t="array" ref="G82">Scope3_Equations.VEERG_15_1_1_1__1_EmissionsFromPurchasedLivestock(E82,F82,$E$76)</f>
        <v>0</v>
      </c>
      <c r="H82" s="25"/>
      <c r="I82" s="86"/>
      <c r="J82" s="255" cm="1">
        <f t="array" ref="J82">Scope3_Equations.VEERG_15_1_1_1__1_EmissionsFromPurchasedLivestock(E82,H82,IF(I82, I82,$E$76))</f>
        <v>0</v>
      </c>
      <c r="K82" s="44"/>
      <c r="L82" s="23"/>
      <c r="M82" s="44"/>
    </row>
    <row r="83" spans="1:13" ht="20.100000000000001" customHeight="1" x14ac:dyDescent="0.25">
      <c r="A83"/>
      <c r="D83" s="25"/>
      <c r="E83" s="25"/>
      <c r="F83" s="25"/>
      <c r="G83" s="255" cm="1">
        <f t="array" ref="G83">Scope3_Equations.VEERG_15_1_1_1__1_EmissionsFromPurchasedLivestock(E83,F83,$E$76)</f>
        <v>0</v>
      </c>
      <c r="H83" s="25"/>
      <c r="I83" s="86"/>
      <c r="J83" s="255" cm="1">
        <f t="array" ref="J83">Scope3_Equations.VEERG_15_1_1_1__1_EmissionsFromPurchasedLivestock(E83,H83,IF(I83, I83,$E$76))</f>
        <v>0</v>
      </c>
      <c r="K83" s="44"/>
      <c r="L83" s="23"/>
      <c r="M83" s="44"/>
    </row>
    <row r="84" spans="1:13" ht="20.100000000000001" customHeight="1" x14ac:dyDescent="0.25">
      <c r="A84"/>
      <c r="D84" s="25"/>
      <c r="E84" s="25"/>
      <c r="F84" s="25"/>
      <c r="G84" s="255" cm="1">
        <f t="array" ref="G84">Scope3_Equations.VEERG_15_1_1_1__1_EmissionsFromPurchasedLivestock(E84,F84,$E$76)</f>
        <v>0</v>
      </c>
      <c r="H84" s="25"/>
      <c r="I84" s="86"/>
      <c r="J84" s="255" cm="1">
        <f t="array" ref="J84">Scope3_Equations.VEERG_15_1_1_1__1_EmissionsFromPurchasedLivestock(E84,H84,IF(I84, I84,$E$76))</f>
        <v>0</v>
      </c>
      <c r="K84" s="44"/>
      <c r="L84" s="23"/>
      <c r="M84" s="44"/>
    </row>
    <row r="85" spans="1:13" ht="20.100000000000001" customHeight="1" x14ac:dyDescent="0.25">
      <c r="A85"/>
      <c r="D85" s="25"/>
      <c r="E85" s="25"/>
      <c r="F85" s="25"/>
      <c r="G85" s="255" cm="1">
        <f t="array" ref="G85">Scope3_Equations.VEERG_15_1_1_1__1_EmissionsFromPurchasedLivestock(E85,F85,$E$76)</f>
        <v>0</v>
      </c>
      <c r="H85" s="25"/>
      <c r="I85" s="86"/>
      <c r="J85" s="255" cm="1">
        <f t="array" ref="J85">Scope3_Equations.VEERG_15_1_1_1__1_EmissionsFromPurchasedLivestock(E85,H85,IF(I85, I85,$E$76))</f>
        <v>0</v>
      </c>
      <c r="K85" s="44"/>
      <c r="L85" s="23"/>
      <c r="M85" s="44"/>
    </row>
    <row r="86" spans="1:13" ht="20.100000000000001" customHeight="1" x14ac:dyDescent="0.25">
      <c r="A86"/>
      <c r="D86" s="25"/>
      <c r="E86" s="25"/>
      <c r="F86" s="25"/>
      <c r="G86" s="255" cm="1">
        <f t="array" ref="G86">Scope3_Equations.VEERG_15_1_1_1__1_EmissionsFromPurchasedLivestock(E86,F86,$E$76)</f>
        <v>0</v>
      </c>
      <c r="H86" s="25"/>
      <c r="I86" s="86"/>
      <c r="J86" s="255" cm="1">
        <f t="array" ref="J86">Scope3_Equations.VEERG_15_1_1_1__1_EmissionsFromPurchasedLivestock(E86,H86,IF(I86, I86,$E$76))</f>
        <v>0</v>
      </c>
      <c r="K86" s="44"/>
      <c r="L86" s="23"/>
      <c r="M86" s="44"/>
    </row>
    <row r="87" spans="1:13" ht="20.100000000000001" customHeight="1" x14ac:dyDescent="0.25">
      <c r="A87"/>
      <c r="D87" s="25"/>
      <c r="E87" s="25"/>
      <c r="F87" s="25"/>
      <c r="G87" s="255" cm="1">
        <f t="array" ref="G87">Scope3_Equations.VEERG_15_1_1_1__1_EmissionsFromPurchasedLivestock(E87,F87,$E$76)</f>
        <v>0</v>
      </c>
      <c r="H87" s="25"/>
      <c r="I87" s="86"/>
      <c r="J87" s="255" cm="1">
        <f t="array" ref="J87">Scope3_Equations.VEERG_15_1_1_1__1_EmissionsFromPurchasedLivestock(E87,H87,IF(I87, I87,$E$76))</f>
        <v>0</v>
      </c>
      <c r="K87" s="44"/>
      <c r="L87" s="23"/>
      <c r="M87" s="44"/>
    </row>
    <row r="88" spans="1:13" ht="20.100000000000001" customHeight="1" x14ac:dyDescent="0.25">
      <c r="A88"/>
      <c r="D88" s="25"/>
      <c r="E88" s="25"/>
      <c r="F88" s="25"/>
      <c r="G88" s="255" cm="1">
        <f t="array" ref="G88">Scope3_Equations.VEERG_15_1_1_1__1_EmissionsFromPurchasedLivestock(E88,F88,$E$76)</f>
        <v>0</v>
      </c>
      <c r="H88" s="25"/>
      <c r="I88" s="86"/>
      <c r="J88" s="255"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58" t="s">
        <v>833</v>
      </c>
      <c r="E90" s="145">
        <f>SUM(G79:G88)</f>
        <v>0</v>
      </c>
      <c r="F90" s="152" t="str">
        <f>$E$11</f>
        <v>t CO2e</v>
      </c>
    </row>
    <row r="91" spans="1:13" ht="20.100000000000001" customHeight="1" x14ac:dyDescent="0.25">
      <c r="A91"/>
      <c r="D91" s="158" t="s">
        <v>834</v>
      </c>
      <c r="E91" s="145">
        <f>SUM(J79:J88)</f>
        <v>0</v>
      </c>
      <c r="F91" s="152" t="str">
        <f>$E$11</f>
        <v>t CO2e</v>
      </c>
    </row>
    <row r="92" spans="1:13" ht="20.100000000000001" customHeight="1" x14ac:dyDescent="0.25">
      <c r="A92"/>
    </row>
    <row r="93" spans="1:13" ht="20.100000000000001" customHeight="1" x14ac:dyDescent="0.25">
      <c r="A93"/>
      <c r="D93" s="148" t="s">
        <v>813</v>
      </c>
      <c r="E93" s="149">
        <f>E34+E53+E72+E90</f>
        <v>0</v>
      </c>
      <c r="F93" s="150" t="str">
        <f>$E$11</f>
        <v>t CO2e</v>
      </c>
    </row>
    <row r="94" spans="1:13" ht="20.100000000000001" customHeight="1" x14ac:dyDescent="0.25">
      <c r="A94"/>
      <c r="D94" s="148" t="s">
        <v>816</v>
      </c>
      <c r="E94" s="149">
        <f>E35+E54+E73+E91</f>
        <v>0</v>
      </c>
      <c r="F94" s="150" t="str">
        <f>$E$11</f>
        <v>t CO2e</v>
      </c>
    </row>
    <row r="95" spans="1:13" ht="20.100000000000001" customHeight="1" x14ac:dyDescent="0.25">
      <c r="A95"/>
    </row>
    <row r="96" spans="1:13" ht="20.100000000000001" customHeight="1" x14ac:dyDescent="0.25">
      <c r="A96"/>
    </row>
    <row r="97" spans="1:41" ht="20.100000000000001" customHeight="1" x14ac:dyDescent="0.25">
      <c r="A97"/>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c r="AH97" s="145"/>
      <c r="AI97" s="145"/>
      <c r="AJ97" s="145"/>
      <c r="AK97" s="145"/>
      <c r="AL97" s="145"/>
      <c r="AM97" s="145"/>
      <c r="AN97" s="145"/>
      <c r="AO97" s="14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0" t="s">
        <v>255</v>
      </c>
      <c r="E100" s="13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0"/>
    </row>
    <row r="103" spans="1:41" ht="20.100000000000001" customHeight="1" x14ac:dyDescent="0.25">
      <c r="A103"/>
      <c r="D103" s="88" t="s">
        <v>256</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3" t="str" cm="1">
        <f t="array" ref="D106:E108">_xlfn.CHOOSECOLS(Scope3_Equations.VEERG_15_2_1_1__1_EmissionsFromPurchasedFeed_Arguments(),1,2)</f>
        <v>Q_j</v>
      </c>
      <c r="E106" s="161" t="str">
        <v>quantity of feed type j purchased</v>
      </c>
      <c r="F106" s="163"/>
      <c r="G106" s="153" t="str" cm="1">
        <f t="array" ref="G106:H108">_xlfn.CHOOSECOLS(Scope3_Equations.VEERG_15_2_1_1__1_EmissionsFromPurchasedFeed_Arguments(),3,4)</f>
        <v>t</v>
      </c>
      <c r="H106" s="253" t="str">
        <v>Input</v>
      </c>
    </row>
    <row r="107" spans="1:41" ht="20.100000000000001" customHeight="1" x14ac:dyDescent="0.25">
      <c r="A107"/>
      <c r="D107" s="153" t="str">
        <v>EF_j</v>
      </c>
      <c r="E107" s="161" t="str">
        <v>emission factor of purchased feed</v>
      </c>
      <c r="F107" s="163"/>
      <c r="G107" s="153" t="str">
        <v>kg CO2e/kg</v>
      </c>
      <c r="H107" s="253" t="str">
        <v>Constant</v>
      </c>
    </row>
    <row r="108" spans="1:41" ht="20.100000000000001" customHeight="1" x14ac:dyDescent="0.25">
      <c r="A108"/>
      <c r="D108" s="153" t="str">
        <v>j</v>
      </c>
      <c r="E108" s="161" t="str">
        <v>feed type</v>
      </c>
      <c r="F108" s="163"/>
      <c r="G108" s="153" t="str">
        <v/>
      </c>
      <c r="H108" s="135" t="str">
        <v>Input</v>
      </c>
    </row>
    <row r="109" spans="1:41" ht="20.100000000000001" customHeight="1" x14ac:dyDescent="0.25">
      <c r="A109"/>
    </row>
    <row r="110" spans="1:41" ht="20.100000000000001" customHeight="1" x14ac:dyDescent="0.25">
      <c r="A110"/>
      <c r="D110" s="238" t="s">
        <v>835</v>
      </c>
    </row>
    <row r="111" spans="1:41" ht="20.100000000000001" customHeight="1" x14ac:dyDescent="0.25">
      <c r="A111"/>
    </row>
    <row r="112" spans="1:41" ht="20.100000000000001" customHeight="1" x14ac:dyDescent="0.25">
      <c r="A112"/>
      <c r="D112" s="92" t="s">
        <v>836</v>
      </c>
      <c r="E112" s="55"/>
      <c r="F112" s="92"/>
      <c r="G112" s="54"/>
      <c r="H112" s="55"/>
    </row>
    <row r="113" spans="1:28" ht="20.100000000000001" customHeight="1" x14ac:dyDescent="0.25">
      <c r="A113"/>
      <c r="D113" s="120" t="s">
        <v>837</v>
      </c>
      <c r="E113" s="122"/>
      <c r="F113" s="120"/>
      <c r="G113" s="121"/>
      <c r="H113" s="122"/>
    </row>
    <row r="114" spans="1:28" ht="20.100000000000001" customHeight="1" x14ac:dyDescent="0.25">
      <c r="A114"/>
      <c r="D114" s="56" t="s">
        <v>838</v>
      </c>
      <c r="E114" s="58"/>
      <c r="F114" s="56"/>
      <c r="G114" s="57"/>
      <c r="H114" s="58"/>
    </row>
    <row r="115" spans="1:28" ht="20.100000000000001" customHeight="1" x14ac:dyDescent="0.25">
      <c r="A115"/>
    </row>
    <row r="116" spans="1:28" ht="20.100000000000001" customHeight="1" x14ac:dyDescent="0.25">
      <c r="A116"/>
      <c r="D116" s="46" t="s">
        <v>839</v>
      </c>
      <c r="E116" s="48"/>
      <c r="F116" s="49"/>
    </row>
    <row r="117" spans="1:28" ht="20.100000000000001" customHeight="1" x14ac:dyDescent="0.25">
      <c r="A117"/>
    </row>
    <row r="118" spans="1:28" ht="20.100000000000001" customHeight="1" x14ac:dyDescent="0.25">
      <c r="A118"/>
      <c r="D118" s="144" t="s">
        <v>840</v>
      </c>
      <c r="E118" s="144" t="s">
        <v>841</v>
      </c>
      <c r="F118" s="143" t="s">
        <v>842</v>
      </c>
      <c r="G118" s="143" t="s">
        <v>813</v>
      </c>
      <c r="H118" s="144" t="s">
        <v>843</v>
      </c>
      <c r="I118" s="143" t="s">
        <v>816</v>
      </c>
      <c r="J118" s="144" t="s">
        <v>817</v>
      </c>
      <c r="K118" s="144" t="s">
        <v>818</v>
      </c>
      <c r="L118" s="144" t="s">
        <v>819</v>
      </c>
      <c r="M118" s="143" t="s">
        <v>199</v>
      </c>
      <c r="N118" s="143" t="s">
        <v>844</v>
      </c>
      <c r="O118" s="143" t="s">
        <v>200</v>
      </c>
      <c r="P118" s="143" t="s">
        <v>845</v>
      </c>
      <c r="Q118" s="143" t="s">
        <v>201</v>
      </c>
      <c r="R118" s="143" t="s">
        <v>846</v>
      </c>
      <c r="S118" s="143" t="s">
        <v>202</v>
      </c>
      <c r="T118" s="143" t="s">
        <v>847</v>
      </c>
      <c r="U118" s="143" t="s">
        <v>203</v>
      </c>
      <c r="V118" s="143" t="s">
        <v>848</v>
      </c>
      <c r="W118" s="143" t="s">
        <v>204</v>
      </c>
      <c r="X118" s="143" t="s">
        <v>849</v>
      </c>
      <c r="Y118" s="143" t="s">
        <v>205</v>
      </c>
      <c r="Z118" s="143" t="s">
        <v>850</v>
      </c>
      <c r="AA118" s="143" t="s">
        <v>206</v>
      </c>
      <c r="AB118" s="143" t="s">
        <v>851</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55" cm="1">
        <f t="array" ref="G119">Scope3_Equations.VEERG_15_2_1_1__1_EmissionsFromPurchasedFeed(E119,F119)</f>
        <v>29.651999999999994</v>
      </c>
      <c r="H119" s="86">
        <v>0.04</v>
      </c>
      <c r="I119" s="255" cm="1">
        <f t="array" ref="I119">Scope3_Equations.VEERG_15_2_1_1__1_EmissionsFromPurchasedFeed(E119,IF(H119,H119, F119))</f>
        <v>48</v>
      </c>
      <c r="J119" s="44"/>
      <c r="K119" s="23"/>
      <c r="L119" s="237"/>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55" cm="1">
        <f t="array" ref="G120">Scope3_Equations.VEERG_15_2_1_1__1_EmissionsFromPurchasedFeed(E120,F120)</f>
        <v>0</v>
      </c>
      <c r="H120" s="86">
        <v>0.03</v>
      </c>
      <c r="I120" s="255"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55" cm="1">
        <f t="array" ref="G121">Scope3_Equations.VEERG_15_2_1_1__1_EmissionsFromPurchasedFeed(E121,F121)</f>
        <v>0</v>
      </c>
      <c r="H121" s="86">
        <v>0.14000000000000001</v>
      </c>
      <c r="I121" s="255"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55" cm="1">
        <f t="array" ref="G122">Scope3_Equations.VEERG_15_2_1_1__1_EmissionsFromPurchasedFeed(E122,F122)</f>
        <v>172.5</v>
      </c>
      <c r="H122" s="86"/>
      <c r="I122" s="255"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55" cm="1">
        <f t="array" ref="G123">Scope3_Equations.VEERG_15_2_1_1__1_EmissionsFromPurchasedFeed(E123,F123)</f>
        <v>0</v>
      </c>
      <c r="H123" s="86"/>
      <c r="I123" s="255"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55" cm="1">
        <f t="array" ref="G124">Scope3_Equations.VEERG_15_2_1_1__1_EmissionsFromPurchasedFeed(E124,F124)</f>
        <v>0</v>
      </c>
      <c r="H124" s="86"/>
      <c r="I124" s="255"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55" cm="1">
        <f t="array" ref="G125">Scope3_Equations.VEERG_15_2_1_1__1_EmissionsFromPurchasedFeed(E125,F125)</f>
        <v>0</v>
      </c>
      <c r="H125" s="86"/>
      <c r="I125" s="255"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55" cm="1">
        <f t="array" ref="G126">Scope3_Equations.VEERG_15_2_1_1__1_EmissionsFromPurchasedFeed(E126,F126)</f>
        <v>0</v>
      </c>
      <c r="H126" s="86"/>
      <c r="I126" s="255"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55" cm="1">
        <f t="array" ref="G127">Scope3_Equations.VEERG_15_2_1_1__1_EmissionsFromPurchasedFeed(E127,F127)</f>
        <v>0</v>
      </c>
      <c r="H127" s="86"/>
      <c r="I127" s="255"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55" cm="1">
        <f t="array" ref="G128">Scope3_Equations.VEERG_15_2_1_1__1_EmissionsFromPurchasedFeed(E128,F128)</f>
        <v>0</v>
      </c>
      <c r="H128" s="86"/>
      <c r="I128" s="255"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58" t="s">
        <v>813</v>
      </c>
      <c r="E130" s="145">
        <f>SUM(G119:G128)</f>
        <v>202.15199999999999</v>
      </c>
      <c r="F130" s="152" t="str">
        <f>$E$104</f>
        <v>t CO2e</v>
      </c>
    </row>
    <row r="131" spans="1:12" ht="20.100000000000001" customHeight="1" x14ac:dyDescent="0.25">
      <c r="A131"/>
      <c r="D131" s="158" t="s">
        <v>816</v>
      </c>
      <c r="E131" s="145">
        <f>SUM(I119:I128)</f>
        <v>366.18</v>
      </c>
      <c r="F131" s="15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38" t="s">
        <v>725</v>
      </c>
    </row>
    <row r="135" spans="1:12" ht="20.100000000000001" customHeight="1" x14ac:dyDescent="0.25">
      <c r="A135"/>
      <c r="D135" s="144" t="s">
        <v>137</v>
      </c>
      <c r="E135" s="144" t="s">
        <v>841</v>
      </c>
      <c r="F135" s="143" t="s">
        <v>842</v>
      </c>
      <c r="G135" s="143" t="s">
        <v>813</v>
      </c>
      <c r="H135" s="144" t="s">
        <v>843</v>
      </c>
      <c r="I135" s="143" t="s">
        <v>816</v>
      </c>
      <c r="J135" s="144" t="s">
        <v>817</v>
      </c>
      <c r="K135" s="144" t="s">
        <v>818</v>
      </c>
      <c r="L135" s="144" t="s">
        <v>819</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55" cm="1">
        <f t="array" ref="G136">Scope3_Equations.VEERG_15_2_1_1__1_EmissionsFromPurchasedFeed(E136,F136)</f>
        <v>59.4</v>
      </c>
      <c r="H136" s="86">
        <v>0.5</v>
      </c>
      <c r="I136" s="255" cm="1">
        <f t="array" ref="I136">Scope3_Equations.VEERG_15_2_1_1__1_EmissionsFromPurchasedFeed(E136,IF(H136,H136, F136))</f>
        <v>50</v>
      </c>
      <c r="J136" s="44"/>
      <c r="K136" s="23"/>
      <c r="L136" s="237"/>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55" cm="1">
        <f t="array" ref="G137">Scope3_Equations.VEERG_15_2_1_1__1_EmissionsFromPurchasedFeed(E137,F137)</f>
        <v>41.9</v>
      </c>
      <c r="H137" s="86">
        <v>0.4</v>
      </c>
      <c r="I137" s="255"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55" cm="1">
        <f t="array" ref="G138">Scope3_Equations.VEERG_15_2_1_1__1_EmissionsFromPurchasedFeed(E138,F138)</f>
        <v>33.300000000000004</v>
      </c>
      <c r="H138" s="86">
        <v>0</v>
      </c>
      <c r="I138" s="255"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55" cm="1">
        <f t="array" ref="G139">Scope3_Equations.VEERG_15_2_1_1__1_EmissionsFromPurchasedFeed(E139,F139)</f>
        <v>40.300000000000004</v>
      </c>
      <c r="H139" s="86">
        <v>0</v>
      </c>
      <c r="I139" s="255"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58" t="s">
        <v>813</v>
      </c>
      <c r="E141" s="145">
        <f>SUM(G136:G139)</f>
        <v>174.9</v>
      </c>
      <c r="F141" s="152" t="str">
        <f>$E$104</f>
        <v>t CO2e</v>
      </c>
    </row>
    <row r="142" spans="1:12" ht="20.100000000000001" customHeight="1" x14ac:dyDescent="0.25">
      <c r="A142"/>
      <c r="D142" s="158" t="s">
        <v>816</v>
      </c>
      <c r="E142" s="145">
        <f>SUM(I136:I139)</f>
        <v>163.60000000000002</v>
      </c>
      <c r="F142" s="152" t="str">
        <f>$E$104</f>
        <v>t CO2e</v>
      </c>
    </row>
    <row r="143" spans="1:12" ht="20.100000000000001" customHeight="1" x14ac:dyDescent="0.25">
      <c r="A143"/>
    </row>
    <row r="144" spans="1:12" ht="20.100000000000001" customHeight="1" x14ac:dyDescent="0.25">
      <c r="A144"/>
      <c r="D144" s="148" t="s">
        <v>813</v>
      </c>
      <c r="E144" s="149">
        <f>E130+E141</f>
        <v>377.05200000000002</v>
      </c>
      <c r="F144" s="150" t="str">
        <f>$E$104</f>
        <v>t CO2e</v>
      </c>
    </row>
    <row r="145" spans="1:41" ht="20.100000000000001" customHeight="1" x14ac:dyDescent="0.25">
      <c r="A145"/>
      <c r="D145" s="148" t="s">
        <v>816</v>
      </c>
      <c r="E145" s="149">
        <f>E131+E142</f>
        <v>529.78</v>
      </c>
      <c r="F145" s="150"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5"/>
      <c r="AN148" s="145"/>
      <c r="AO148" s="14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0" t="s">
        <v>255</v>
      </c>
      <c r="E151" s="13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0"/>
    </row>
    <row r="154" spans="1:41" ht="20.100000000000001" customHeight="1" x14ac:dyDescent="0.25">
      <c r="A154"/>
      <c r="D154" s="88" t="s">
        <v>256</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3" t="str" cm="1">
        <f t="array" ref="D157:E159">_xlfn.CHOOSECOLS(Scope3_Equations.VEERG_15_3_1_1__1_EmissionsFromPurchasedMineralSupplements_Arguments(),1,2)</f>
        <v>Q_m</v>
      </c>
      <c r="E157" s="161" t="str">
        <v>total quantity of mineral supplement type m used</v>
      </c>
      <c r="F157" s="163"/>
      <c r="G157" s="153" t="str" cm="1">
        <f t="array" ref="G157:H159">_xlfn.CHOOSECOLS(Scope3_Equations.VEERG_15_3_1_1__1_EmissionsFromPurchasedMineralSupplements_Arguments(),3,4)</f>
        <v>t</v>
      </c>
      <c r="H157" s="253" t="str">
        <v>Input</v>
      </c>
    </row>
    <row r="158" spans="1:41" ht="20.100000000000001" customHeight="1" x14ac:dyDescent="0.25">
      <c r="A158"/>
      <c r="D158" s="153" t="str">
        <v>EF_m</v>
      </c>
      <c r="E158" s="161" t="str">
        <v>emission factor of purchased mineral supplement</v>
      </c>
      <c r="F158" s="163"/>
      <c r="G158" s="153" t="str">
        <v>kg CO2e/kg</v>
      </c>
      <c r="H158" s="253" t="str">
        <v>Constant</v>
      </c>
    </row>
    <row r="159" spans="1:41" ht="20.100000000000001" customHeight="1" x14ac:dyDescent="0.25">
      <c r="A159"/>
      <c r="D159" s="153" t="str">
        <v>m</v>
      </c>
      <c r="E159" s="161" t="str">
        <v>mineral supplement type</v>
      </c>
      <c r="F159" s="163"/>
      <c r="G159" s="153" t="str">
        <v/>
      </c>
      <c r="H159" s="135" t="str">
        <v>Input</v>
      </c>
    </row>
    <row r="160" spans="1:41" ht="20.100000000000001" customHeight="1" x14ac:dyDescent="0.25">
      <c r="A160"/>
    </row>
    <row r="161" spans="3:41" ht="20.100000000000001" customHeight="1" x14ac:dyDescent="0.25">
      <c r="D161" s="144" t="s">
        <v>137</v>
      </c>
      <c r="E161" s="144" t="s">
        <v>852</v>
      </c>
      <c r="F161" s="143" t="s">
        <v>853</v>
      </c>
      <c r="G161" s="143" t="s">
        <v>813</v>
      </c>
      <c r="H161" s="144" t="s">
        <v>854</v>
      </c>
      <c r="I161" s="143" t="s">
        <v>816</v>
      </c>
      <c r="J161" s="144" t="s">
        <v>817</v>
      </c>
      <c r="K161" s="144" t="s">
        <v>818</v>
      </c>
      <c r="L161" s="144" t="s">
        <v>819</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55" cm="1">
        <f t="array" ref="G162">Scope3_Equations.VEERG_15_3_1_1__1_EmissionsFromPurchasedMineralSupplements(E162,F162)</f>
        <v>88.1</v>
      </c>
      <c r="H162" s="86">
        <v>0.8</v>
      </c>
      <c r="I162" s="255" cm="1">
        <f t="array" ref="I162">Scope3_Equations.VEERG_15_3_1_1__1_EmissionsFromPurchasedMineralSupplements(E162,IF(H162, H162, F162))</f>
        <v>80</v>
      </c>
      <c r="J162" s="44"/>
      <c r="K162" s="23"/>
      <c r="L162" s="237"/>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55" cm="1">
        <f t="array" ref="G163">Scope3_Equations.VEERG_15_3_1_1__1_EmissionsFromPurchasedMineralSupplements(E163,F163)</f>
        <v>67.7</v>
      </c>
      <c r="H163" s="86">
        <v>0.6</v>
      </c>
      <c r="I163" s="255"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55" cm="1">
        <f t="array" ref="G164">Scope3_Equations.VEERG_15_3_1_1__1_EmissionsFromPurchasedMineralSupplements(E164,F164)</f>
        <v>23.1</v>
      </c>
      <c r="H164" s="86">
        <v>0.2</v>
      </c>
      <c r="I164" s="255"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48" t="s">
        <v>813</v>
      </c>
      <c r="E166" s="149">
        <f>SUM(G162:G164)</f>
        <v>178.9</v>
      </c>
      <c r="F166" s="150" t="str">
        <f>$E$155</f>
        <v>t CO2e</v>
      </c>
    </row>
    <row r="167" spans="3:41" ht="20.100000000000001" customHeight="1" x14ac:dyDescent="0.25">
      <c r="D167" s="148" t="s">
        <v>816</v>
      </c>
      <c r="E167" s="149">
        <f>SUM(I162:I164)</f>
        <v>160</v>
      </c>
      <c r="F167" s="150" t="str">
        <f>$E$155</f>
        <v>t CO2e</v>
      </c>
    </row>
    <row r="168" spans="3:41" ht="20.100000000000001" customHeight="1" x14ac:dyDescent="0.25"/>
    <row r="169" spans="3:41" ht="20.100000000000001" customHeight="1" x14ac:dyDescent="0.25"/>
    <row r="170" spans="3:41" ht="20.100000000000001" customHeight="1" x14ac:dyDescent="0.2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5"/>
      <c r="AN170" s="145"/>
      <c r="AO170" s="14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0" t="s">
        <v>255</v>
      </c>
      <c r="E174" s="13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256</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3" t="str" cm="1">
        <f t="array" ref="D180:E183">_xlfn.CHOOSECOLS(Scope3_Equations.VEERG_15_4_1_1__X_EmissionFactorFromPurchasedFertiliserComponents_Arguments(),1,2)</f>
        <v>F_cf</v>
      </c>
      <c r="E180" s="161" t="str">
        <v>fraction of component c contained within the inorganic fertiliser f</v>
      </c>
      <c r="F180" s="163"/>
      <c r="G180" s="153" t="str" cm="1">
        <f t="array" ref="G180:H183">_xlfn.CHOOSECOLS(Scope3_Equations.VEERG_15_4_1_1__X_EmissionFactorFromPurchasedFertiliserComponents_Arguments(),3,4)</f>
        <v>wt%</v>
      </c>
      <c r="H180" s="253" t="str">
        <v>Input</v>
      </c>
    </row>
    <row r="181" spans="4:8" ht="20.100000000000001" customHeight="1" x14ac:dyDescent="0.25">
      <c r="D181" s="153" t="str">
        <v>EF_c</v>
      </c>
      <c r="E181" s="161" t="str">
        <v>emission factor for the production of component c</v>
      </c>
      <c r="F181" s="163"/>
      <c r="G181" s="153" t="str">
        <v>kg CO2e/kg component</v>
      </c>
      <c r="H181" s="135" t="str">
        <v>Constant</v>
      </c>
    </row>
    <row r="182" spans="4:8" ht="20.100000000000001" customHeight="1" x14ac:dyDescent="0.25">
      <c r="D182" s="153" t="str">
        <v>c</v>
      </c>
      <c r="E182" s="161" t="str">
        <v>fertiliser component</v>
      </c>
      <c r="F182" s="163"/>
      <c r="G182" s="153" t="str">
        <v/>
      </c>
      <c r="H182" s="253" t="str">
        <v>Input</v>
      </c>
    </row>
    <row r="183" spans="4:8" ht="20.100000000000001" customHeight="1" x14ac:dyDescent="0.25">
      <c r="D183" s="153" t="str">
        <v>f</v>
      </c>
      <c r="E183" s="161" t="str">
        <v>inorganic fertiliser type</v>
      </c>
      <c r="F183" s="163"/>
      <c r="G183" s="153" t="str">
        <v/>
      </c>
      <c r="H183" s="253"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0" t="s">
        <v>255</v>
      </c>
      <c r="E188" s="13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256</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3" t="str" cm="1">
        <f t="array" ref="D194:E197">_xlfn.CHOOSECOLS(Scope3_Equations.VEERG_15_4_1_1__1_EmissionsFromPurchasedFertiliser_Arguments(),1,2)</f>
        <v>TM_jf</v>
      </c>
      <c r="E194" s="153" t="str">
        <v>quantity of inorganic fertiliser type f purchased and applied to production system j</v>
      </c>
      <c r="F194" s="153"/>
      <c r="G194" s="153" t="str" cm="1">
        <f t="array" ref="G194:H197">_xlfn.CHOOSECOLS(Scope3_Equations.VEERG_15_4_1_1__1_EmissionsFromPurchasedFertiliser_Arguments(),3,4)</f>
        <v>kg</v>
      </c>
      <c r="H194" s="253" t="str">
        <v>Input</v>
      </c>
    </row>
    <row r="195" spans="4:8" ht="20.100000000000001" customHeight="1" x14ac:dyDescent="0.25">
      <c r="D195" s="153" t="str">
        <v>EF_f</v>
      </c>
      <c r="E195" s="153" t="str">
        <v>emission factor of purchased inorganic fertiliser</v>
      </c>
      <c r="F195" s="153"/>
      <c r="G195" s="153" t="str">
        <v>kg CO2e/kg</v>
      </c>
      <c r="H195" s="135" t="str">
        <v>Constant</v>
      </c>
    </row>
    <row r="196" spans="4:8" ht="20.100000000000001" customHeight="1" x14ac:dyDescent="0.25">
      <c r="D196" s="153" t="str">
        <v>j</v>
      </c>
      <c r="E196" s="153" t="str">
        <v>production system</v>
      </c>
      <c r="F196" s="153"/>
      <c r="G196" s="153" t="str">
        <v/>
      </c>
      <c r="H196" s="253" t="str">
        <v>Input</v>
      </c>
    </row>
    <row r="197" spans="4:8" ht="20.100000000000001" customHeight="1" x14ac:dyDescent="0.25">
      <c r="D197" s="153" t="str">
        <v>f</v>
      </c>
      <c r="E197" s="153" t="str">
        <v>inorganic fertiliser type</v>
      </c>
      <c r="F197" s="153"/>
      <c r="G197" s="153" t="str">
        <v/>
      </c>
      <c r="H197" s="253"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0" t="s">
        <v>255</v>
      </c>
      <c r="E203" s="13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256</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3" t="str" cm="1">
        <f t="array" ref="D209:E214">_xlfn.CHOOSECOLS(Scope3_Equations.VEERG_15_4_1_1__2_EmissionsFromPurchasedFertiliserComponents_Arguments(),1,2)</f>
        <v>F_cf</v>
      </c>
      <c r="E209" s="161" t="str">
        <v>fraction of component c contained within the inorganic fertiliser f</v>
      </c>
      <c r="F209" s="163"/>
      <c r="G209" s="153" t="str" cm="1">
        <f t="array" ref="G209:H214">_xlfn.CHOOSECOLS(Scope3_Equations.VEERG_15_4_1_1__2_EmissionsFromPurchasedFertiliserComponents_Arguments(),3,4)</f>
        <v>wt%</v>
      </c>
      <c r="H209" s="253" t="str">
        <v>Input</v>
      </c>
    </row>
    <row r="210" spans="4:40" ht="20.100000000000001" customHeight="1" x14ac:dyDescent="0.25">
      <c r="D210" s="153" t="str">
        <v>TM_jf</v>
      </c>
      <c r="E210" s="161" t="str">
        <v>quantity of inorganic fertiliser type f purchased and applied to production system j</v>
      </c>
      <c r="F210" s="163"/>
      <c r="G210" s="153" t="str">
        <v>kg</v>
      </c>
      <c r="H210" s="135" t="str">
        <v>Input</v>
      </c>
    </row>
    <row r="211" spans="4:40" ht="20.100000000000001" customHeight="1" x14ac:dyDescent="0.25">
      <c r="D211" s="153" t="str">
        <v>EF_c</v>
      </c>
      <c r="E211" s="161" t="str">
        <v>emission factor for the production of component c</v>
      </c>
      <c r="F211" s="163"/>
      <c r="G211" s="153" t="str">
        <v>kg CO2e/kg component</v>
      </c>
      <c r="H211" s="135" t="str">
        <v>Constant</v>
      </c>
    </row>
    <row r="212" spans="4:40" ht="20.100000000000001" customHeight="1" x14ac:dyDescent="0.25">
      <c r="D212" s="153" t="str">
        <v>c</v>
      </c>
      <c r="E212" s="161" t="str">
        <v>fertiliser component</v>
      </c>
      <c r="F212" s="163"/>
      <c r="G212" s="153" t="str">
        <v/>
      </c>
      <c r="H212" s="253" t="str">
        <v>Input</v>
      </c>
    </row>
    <row r="213" spans="4:40" ht="20.100000000000001" customHeight="1" x14ac:dyDescent="0.25">
      <c r="D213" s="153" t="str">
        <v>f</v>
      </c>
      <c r="E213" s="161" t="str">
        <v>inorganic fertiliser type</v>
      </c>
      <c r="F213" s="163"/>
      <c r="G213" s="153" t="str">
        <v/>
      </c>
      <c r="H213" s="253" t="str">
        <v>Input</v>
      </c>
    </row>
    <row r="214" spans="4:40" ht="20.100000000000001" customHeight="1" x14ac:dyDescent="0.25">
      <c r="D214" s="153" t="str">
        <v>j</v>
      </c>
      <c r="E214" s="161" t="str">
        <v>production system</v>
      </c>
      <c r="F214" s="163"/>
      <c r="G214" s="153" t="str">
        <v/>
      </c>
      <c r="H214" s="253" t="str">
        <v>Input</v>
      </c>
    </row>
    <row r="215" spans="4:40" ht="20.100000000000001" customHeight="1" x14ac:dyDescent="0.25"/>
    <row r="216" spans="4:40" ht="20.100000000000001" customHeight="1" x14ac:dyDescent="0.25">
      <c r="D216" s="238" t="s">
        <v>855</v>
      </c>
    </row>
    <row r="217" spans="4:40" ht="20.100000000000001" customHeight="1" x14ac:dyDescent="0.25"/>
    <row r="218" spans="4:40" ht="20.100000000000001" customHeight="1" x14ac:dyDescent="0.25">
      <c r="D218" s="46" t="s">
        <v>856</v>
      </c>
      <c r="E218" s="48"/>
      <c r="F218" s="49"/>
    </row>
    <row r="219" spans="4:40" ht="20.100000000000001" customHeight="1" x14ac:dyDescent="0.25"/>
    <row r="220" spans="4:40" ht="20.100000000000001" customHeight="1" x14ac:dyDescent="0.25">
      <c r="D220" s="144" t="s">
        <v>137</v>
      </c>
      <c r="E220" s="144" t="s">
        <v>857</v>
      </c>
      <c r="F220" s="143" t="s">
        <v>858</v>
      </c>
      <c r="G220" s="143" t="s">
        <v>859</v>
      </c>
      <c r="H220" s="143" t="s">
        <v>860</v>
      </c>
      <c r="I220" s="144" t="s">
        <v>861</v>
      </c>
      <c r="J220" s="143" t="s">
        <v>862</v>
      </c>
      <c r="K220" s="143" t="s">
        <v>863</v>
      </c>
      <c r="L220" s="144" t="s">
        <v>817</v>
      </c>
      <c r="M220" s="144" t="s">
        <v>818</v>
      </c>
      <c r="N220" s="144" t="s">
        <v>819</v>
      </c>
      <c r="O220" s="143" t="s">
        <v>212</v>
      </c>
      <c r="P220" s="143" t="s">
        <v>213</v>
      </c>
      <c r="Q220" s="143" t="s">
        <v>199</v>
      </c>
      <c r="R220" s="143" t="s">
        <v>200</v>
      </c>
      <c r="S220" s="143" t="s">
        <v>864</v>
      </c>
      <c r="T220" s="144" t="s">
        <v>865</v>
      </c>
      <c r="U220" s="143" t="s">
        <v>201</v>
      </c>
      <c r="V220" s="143" t="s">
        <v>202</v>
      </c>
      <c r="W220" s="143" t="s">
        <v>866</v>
      </c>
      <c r="X220" s="144" t="s">
        <v>867</v>
      </c>
      <c r="Y220" s="143" t="s">
        <v>203</v>
      </c>
      <c r="Z220" s="143" t="s">
        <v>204</v>
      </c>
      <c r="AA220" s="143" t="s">
        <v>868</v>
      </c>
      <c r="AB220" s="144" t="s">
        <v>869</v>
      </c>
      <c r="AC220" s="143" t="s">
        <v>205</v>
      </c>
      <c r="AD220" s="143" t="s">
        <v>206</v>
      </c>
      <c r="AE220" s="143" t="s">
        <v>870</v>
      </c>
      <c r="AF220" s="144" t="s">
        <v>871</v>
      </c>
      <c r="AG220" s="143" t="s">
        <v>207</v>
      </c>
      <c r="AH220" s="143" t="s">
        <v>208</v>
      </c>
      <c r="AI220" s="143" t="s">
        <v>872</v>
      </c>
      <c r="AJ220" s="144" t="s">
        <v>873</v>
      </c>
      <c r="AK220" s="143" t="s">
        <v>209</v>
      </c>
      <c r="AL220" s="143" t="s">
        <v>210</v>
      </c>
      <c r="AM220" s="143" t="s">
        <v>874</v>
      </c>
      <c r="AN220" s="144" t="s">
        <v>875</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55" cm="1">
        <f t="array" ref="G221">Scope3_Equations.VEERG_15_4_1_1__1_EmissionsFromPurchasedFertiliser(E221,F221)</f>
        <v>5.9487750000000004</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86">
        <v>0.4</v>
      </c>
      <c r="J221" s="255" cm="1">
        <f t="array" ref="J221">Scope3_Equations.VEERG_15_4_1_1__1_EmissionsFromPurchasedFertiliser(E221,I221)</f>
        <v>5.04</v>
      </c>
      <c r="K221" s="2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37"/>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55" cm="1">
        <f t="array" ref="G222">Scope3_Equations.VEERG_15_4_1_1__1_EmissionsFromPurchasedFertiliser(E222,F222)</f>
        <v>6.8696100000000007</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86">
        <v>0.9</v>
      </c>
      <c r="J222" s="255" cm="1">
        <f t="array" ref="J222">Scope3_Equations.VEERG_15_4_1_1__1_EmissionsFromPurchasedFertiliser(E222,I222)</f>
        <v>11.565</v>
      </c>
      <c r="K222" s="2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55" cm="1">
        <f t="array" ref="G223">Scope3_Equations.VEERG_15_4_1_1__1_EmissionsFromPurchasedFertiliser(E223,F223)</f>
        <v>6.8696100000000007</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86">
        <v>0.4</v>
      </c>
      <c r="J223" s="255" cm="1">
        <f t="array" ref="J223">Scope3_Equations.VEERG_15_4_1_1__1_EmissionsFromPurchasedFertiliser(E223,I223)</f>
        <v>5.14</v>
      </c>
      <c r="K223" s="2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55"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86"/>
      <c r="J224" s="255" cm="1">
        <f t="array" ref="J224">Scope3_Equations.VEERG_15_4_1_1__1_EmissionsFromPurchasedFertiliser(E224,I224)</f>
        <v>0</v>
      </c>
      <c r="K224" s="2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55"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55" cm="1">
        <f t="array" ref="J225">Scope3_Equations.VEERG_15_4_1_1__1_EmissionsFromPurchasedFertiliser(E225,I225)</f>
        <v>0</v>
      </c>
      <c r="K225" s="2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5"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5" cm="1">
        <f t="array" ref="J226">Scope3_Equations.VEERG_15_4_1_1__1_EmissionsFromPurchasedFertiliser(E226,I226)</f>
        <v>0</v>
      </c>
      <c r="K226" s="2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5"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5" cm="1">
        <f t="array" ref="J227">Scope3_Equations.VEERG_15_4_1_1__1_EmissionsFromPurchasedFertiliser(E227,I227)</f>
        <v>0</v>
      </c>
      <c r="K227" s="2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5"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5" cm="1">
        <f t="array" ref="J228">Scope3_Equations.VEERG_15_4_1_1__1_EmissionsFromPurchasedFertiliser(E228,I228)</f>
        <v>0</v>
      </c>
      <c r="K228" s="2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5"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5" cm="1">
        <f t="array" ref="J229">Scope3_Equations.VEERG_15_4_1_1__1_EmissionsFromPurchasedFertiliser(E229,I229)</f>
        <v>0</v>
      </c>
      <c r="K229" s="2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5"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5" cm="1">
        <f t="array" ref="J230">Scope3_Equations.VEERG_15_4_1_1__1_EmissionsFromPurchasedFertiliser(E230,I230)</f>
        <v>0</v>
      </c>
      <c r="K230" s="2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38" t="s">
        <v>876</v>
      </c>
    </row>
    <row r="233" spans="4:40" ht="20.100000000000001" customHeight="1" x14ac:dyDescent="0.25"/>
    <row r="234" spans="4:40" ht="20.100000000000001" customHeight="1" x14ac:dyDescent="0.25">
      <c r="D234" s="46" t="s">
        <v>877</v>
      </c>
      <c r="E234" s="48"/>
      <c r="F234" s="49"/>
    </row>
    <row r="235" spans="4:40" ht="20.100000000000001" customHeight="1" x14ac:dyDescent="0.25"/>
    <row r="236" spans="4:40" ht="20.100000000000001" customHeight="1" x14ac:dyDescent="0.25">
      <c r="D236" s="144" t="s">
        <v>840</v>
      </c>
      <c r="E236" s="144" t="s">
        <v>857</v>
      </c>
      <c r="F236" s="143" t="s">
        <v>858</v>
      </c>
      <c r="G236" s="143" t="s">
        <v>859</v>
      </c>
      <c r="H236" s="143" t="s">
        <v>860</v>
      </c>
      <c r="I236" s="144" t="s">
        <v>861</v>
      </c>
      <c r="J236" s="143" t="s">
        <v>862</v>
      </c>
      <c r="K236" s="143" t="s">
        <v>863</v>
      </c>
      <c r="L236" s="144" t="s">
        <v>817</v>
      </c>
      <c r="M236" s="144" t="s">
        <v>818</v>
      </c>
      <c r="N236" s="144" t="s">
        <v>819</v>
      </c>
      <c r="O236" s="143" t="s">
        <v>212</v>
      </c>
      <c r="P236" s="143" t="s">
        <v>213</v>
      </c>
      <c r="Q236" s="143" t="s">
        <v>199</v>
      </c>
      <c r="R236" s="143" t="s">
        <v>200</v>
      </c>
      <c r="S236" s="143" t="s">
        <v>864</v>
      </c>
      <c r="T236" s="144" t="s">
        <v>865</v>
      </c>
      <c r="U236" s="143" t="s">
        <v>201</v>
      </c>
      <c r="V236" s="143" t="s">
        <v>202</v>
      </c>
      <c r="W236" s="143" t="s">
        <v>866</v>
      </c>
      <c r="X236" s="144" t="s">
        <v>867</v>
      </c>
      <c r="Y236" s="143" t="s">
        <v>203</v>
      </c>
      <c r="Z236" s="143" t="s">
        <v>204</v>
      </c>
      <c r="AA236" s="143" t="s">
        <v>868</v>
      </c>
      <c r="AB236" s="144" t="s">
        <v>869</v>
      </c>
      <c r="AC236" s="143" t="s">
        <v>205</v>
      </c>
      <c r="AD236" s="143" t="s">
        <v>206</v>
      </c>
      <c r="AE236" s="143" t="s">
        <v>870</v>
      </c>
      <c r="AF236" s="144" t="s">
        <v>871</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5" cm="1">
        <f t="array" ref="G237">Scope3_Equations.VEERG_15_4_1_1__1_EmissionsFromPurchasedFertiliser(E237,F237)</f>
        <v>17.708000000000002</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86">
        <v>0.4</v>
      </c>
      <c r="J237" s="255" cm="1">
        <f t="array" ref="J237">Scope3_Equations.VEERG_15_4_1_1__1_EmissionsFromPurchasedFertiliser(E237,I237)</f>
        <v>4</v>
      </c>
      <c r="K237" s="2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7"/>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55"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55" cm="1">
        <f t="array" ref="J238">Scope3_Equations.VEERG_15_4_1_1__1_EmissionsFromPurchasedFertiliser(E238,I238)</f>
        <v>9</v>
      </c>
      <c r="K238" s="2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55" cm="1">
        <f t="array" ref="G239">Scope3_Equations.VEERG_15_4_1_1__1_EmissionsFromPurchasedFertiliser(E239,F239)</f>
        <v>11.6</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86">
        <v>0.4</v>
      </c>
      <c r="J239" s="255" cm="1">
        <f t="array" ref="J239">Scope3_Equations.VEERG_15_4_1_1__1_EmissionsFromPurchasedFertiliser(E239,I239)</f>
        <v>4</v>
      </c>
      <c r="K239" s="2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5"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5" cm="1">
        <f t="array" ref="J240">Scope3_Equations.VEERG_15_4_1_1__1_EmissionsFromPurchasedFertiliser(E240,I240)</f>
        <v>0</v>
      </c>
      <c r="K240" s="2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5"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5" cm="1">
        <f t="array" ref="J241">Scope3_Equations.VEERG_15_4_1_1__1_EmissionsFromPurchasedFertiliser(E241,I241)</f>
        <v>0</v>
      </c>
      <c r="K241" s="2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5"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5" cm="1">
        <f t="array" ref="J242">Scope3_Equations.VEERG_15_4_1_1__1_EmissionsFromPurchasedFertiliser(E242,I242)</f>
        <v>0</v>
      </c>
      <c r="K242" s="2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5"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5" cm="1">
        <f t="array" ref="J243">Scope3_Equations.VEERG_15_4_1_1__1_EmissionsFromPurchasedFertiliser(E243,I243)</f>
        <v>0</v>
      </c>
      <c r="K243" s="2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5"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5" cm="1">
        <f t="array" ref="J244">Scope3_Equations.VEERG_15_4_1_1__1_EmissionsFromPurchasedFertiliser(E244,I244)</f>
        <v>0</v>
      </c>
      <c r="K244" s="2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5"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5" cm="1">
        <f t="array" ref="J245">Scope3_Equations.VEERG_15_4_1_1__1_EmissionsFromPurchasedFertiliser(E245,I245)</f>
        <v>0</v>
      </c>
      <c r="K245" s="2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5"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5" cm="1">
        <f t="array" ref="J246">Scope3_Equations.VEERG_15_4_1_1__1_EmissionsFromPurchasedFertiliser(E246,I246)</f>
        <v>0</v>
      </c>
      <c r="K246" s="2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6" t="s">
        <v>878</v>
      </c>
      <c r="E248" s="149">
        <f>SUM(G221:G230)+SUM(G237:G246)</f>
        <v>78.284322000000003</v>
      </c>
      <c r="F248" s="150" t="str">
        <f>$E$155</f>
        <v>t CO2e</v>
      </c>
    </row>
    <row r="249" spans="3:41" ht="20.100000000000001" customHeight="1" x14ac:dyDescent="0.25">
      <c r="D249" s="256" t="s">
        <v>879</v>
      </c>
      <c r="E249" s="149">
        <f>SUM(J221:J230)+SUM(J237:J246)</f>
        <v>38.745000000000005</v>
      </c>
      <c r="F249" s="150" t="str">
        <f>$E$155</f>
        <v>t CO2e</v>
      </c>
    </row>
    <row r="250" spans="3:41" ht="20.100000000000001" customHeight="1" x14ac:dyDescent="0.25"/>
    <row r="251" spans="3:41" ht="20.100000000000001" customHeight="1" x14ac:dyDescent="0.25">
      <c r="D251" s="256" t="s">
        <v>880</v>
      </c>
      <c r="E251" s="149">
        <f>SUM(H221:H230)+SUM(H237:H246)</f>
        <v>78.284322000000003</v>
      </c>
      <c r="F251" s="150" t="str">
        <f>$E$155</f>
        <v>t CO2e</v>
      </c>
    </row>
    <row r="252" spans="3:41" ht="20.100000000000001" customHeight="1" x14ac:dyDescent="0.25">
      <c r="D252" s="256" t="s">
        <v>881</v>
      </c>
      <c r="E252" s="149">
        <f>SUM(K221:K230)+SUM(K237:K246)</f>
        <v>75.743047000000004</v>
      </c>
      <c r="F252" s="150" t="str">
        <f>$E$155</f>
        <v>t CO2e</v>
      </c>
    </row>
    <row r="253" spans="3:41" ht="20.100000000000001" customHeight="1" x14ac:dyDescent="0.25"/>
    <row r="254" spans="3:41" ht="20.100000000000001" customHeight="1" x14ac:dyDescent="0.25"/>
    <row r="255" spans="3:41" ht="20.100000000000001" customHeight="1" x14ac:dyDescent="0.2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c r="AH255" s="145"/>
      <c r="AI255" s="145"/>
      <c r="AJ255" s="145"/>
      <c r="AK255" s="145"/>
      <c r="AL255" s="145"/>
      <c r="AM255" s="145"/>
      <c r="AN255" s="145"/>
      <c r="AO255" s="14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0" t="s">
        <v>255</v>
      </c>
      <c r="E258" s="13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256</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3" t="str" cm="1">
        <f t="array" ref="D265:E267">_xlfn.CHOOSECOLS(Scope3_Equations.VEERG_15_5_1_1__1_EmissionsFromPurchasedAgrichemicals_Arguments(),1,2)</f>
        <v>Q_h</v>
      </c>
      <c r="E265" s="161" t="str">
        <v>quantity of active ingredients in agrichemical type h purchased and applied to soils</v>
      </c>
      <c r="F265" s="163"/>
      <c r="G265" s="153" t="str" cm="1">
        <f t="array" ref="G265:H267">_xlfn.CHOOSECOLS(Scope3_Equations.VEERG_15_5_1_1__1_EmissionsFromPurchasedAgrichemicals_Arguments(),3,4)</f>
        <v>kg ai</v>
      </c>
      <c r="H265" s="253" t="str">
        <v>Input</v>
      </c>
    </row>
    <row r="266" spans="4:9" x14ac:dyDescent="0.25">
      <c r="D266" s="153" t="str">
        <v>EF_h</v>
      </c>
      <c r="E266" s="161" t="str">
        <v>emission factor for purchased agrichemical active ingredient</v>
      </c>
      <c r="F266" s="163"/>
      <c r="G266" s="153" t="str">
        <v>kg CO2e/kg ai</v>
      </c>
      <c r="H266" s="135" t="str">
        <v>Constant</v>
      </c>
    </row>
    <row r="267" spans="4:9" x14ac:dyDescent="0.25">
      <c r="D267" s="153" t="str">
        <v>h</v>
      </c>
      <c r="E267" s="161" t="str">
        <v>agrichemical type</v>
      </c>
      <c r="F267" s="163"/>
      <c r="G267" s="153" t="str">
        <v/>
      </c>
      <c r="H267" s="253" t="str">
        <v>Input</v>
      </c>
    </row>
    <row r="269" spans="4:9" ht="17.25" x14ac:dyDescent="0.25">
      <c r="D269" s="144" t="s">
        <v>882</v>
      </c>
      <c r="E269" s="144" t="s">
        <v>198</v>
      </c>
      <c r="F269" s="143" t="s">
        <v>883</v>
      </c>
      <c r="G269" s="143" t="s">
        <v>813</v>
      </c>
      <c r="H269" s="144" t="s">
        <v>884</v>
      </c>
      <c r="I269" s="143" t="s">
        <v>816</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6" t="s">
        <v>813</v>
      </c>
      <c r="E283" s="149">
        <f>SUM(G270:G281)</f>
        <v>7.5159999999999991</v>
      </c>
      <c r="F283" s="150" t="str">
        <f>$E$155</f>
        <v>t CO2e</v>
      </c>
    </row>
    <row r="284" spans="3:41" ht="20.25" x14ac:dyDescent="0.25">
      <c r="D284" s="256" t="s">
        <v>816</v>
      </c>
      <c r="E284" s="149">
        <f>SUM(I270:I281)</f>
        <v>7.4959999999999996</v>
      </c>
      <c r="F284" s="150" t="str">
        <f>$E$155</f>
        <v>t CO2e</v>
      </c>
    </row>
    <row r="287" spans="3:41" x14ac:dyDescent="0.2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c r="AH287" s="145"/>
      <c r="AI287" s="145"/>
      <c r="AJ287" s="145"/>
      <c r="AK287" s="145"/>
      <c r="AL287" s="145"/>
      <c r="AM287" s="145"/>
      <c r="AN287" s="145"/>
      <c r="AO287" s="14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0" t="s">
        <v>255</v>
      </c>
      <c r="E290" s="130" t="str" cm="1">
        <f t="array" aca="1" ref="E290" ca="1">Common_InputFunctions.Utility_DisplayFunctionName(I305)</f>
        <v>=Scope3_Equations.VEERG_15_6_1_1__1_EmissionsFromPurchasedLime</v>
      </c>
    </row>
    <row r="293" spans="4:13" x14ac:dyDescent="0.25">
      <c r="D293" s="88" t="s">
        <v>256</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3" t="str" cm="1">
        <f t="array" ref="D296:E297">_xlfn.CHOOSECOLS(Scope3_Equations.VEERG_15_6_1_1__1_EmissionsFromPurchasedLime_Arguments(),1,2)</f>
        <v>M_lime</v>
      </c>
      <c r="E296" s="153" t="str">
        <v>total quantity of lime applied to soils</v>
      </c>
      <c r="F296" s="153" t="str" cm="1">
        <f t="array" ref="F296:G297">_xlfn.CHOOSECOLS(Scope3_Equations.VEERG_15_6_1_1__1_EmissionsFromPurchasedLime_Arguments(),3,4)</f>
        <v>t</v>
      </c>
      <c r="G296" s="253" t="str">
        <v>Input</v>
      </c>
    </row>
    <row r="297" spans="4:13" x14ac:dyDescent="0.25">
      <c r="D297" s="153" t="str">
        <v>EF_l</v>
      </c>
      <c r="E297" s="153" t="str">
        <v>emission factor for purchased lime</v>
      </c>
      <c r="F297" s="153" t="str">
        <v>t CO2e/t</v>
      </c>
      <c r="G297" s="135" t="str">
        <v>Constant</v>
      </c>
    </row>
    <row r="299" spans="4:13" x14ac:dyDescent="0.25">
      <c r="E299" s="143" t="s">
        <v>135</v>
      </c>
      <c r="F299" s="144" t="s">
        <v>136</v>
      </c>
    </row>
    <row r="300" spans="4:13" ht="18.75" x14ac:dyDescent="0.25">
      <c r="D300" s="1" t="s">
        <v>885</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886</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887</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44" t="s">
        <v>372</v>
      </c>
      <c r="E304" s="254" t="s">
        <v>888</v>
      </c>
      <c r="F304" s="144" t="s">
        <v>889</v>
      </c>
      <c r="G304" s="144" t="s">
        <v>890</v>
      </c>
      <c r="H304" s="144" t="s">
        <v>891</v>
      </c>
      <c r="I304" s="143" t="s">
        <v>813</v>
      </c>
      <c r="J304" s="143" t="s">
        <v>892</v>
      </c>
      <c r="K304" s="144" t="s">
        <v>817</v>
      </c>
      <c r="L304" s="144" t="s">
        <v>818</v>
      </c>
      <c r="M304" s="144" t="s">
        <v>819</v>
      </c>
    </row>
    <row r="305" spans="3:41" x14ac:dyDescent="0.25">
      <c r="D305" s="25" t="str" cm="1">
        <f t="array" ref="D305:D314">IFERROR(INDEX(Table_Input_Lime[Product], _xlfn.SEQUENCE(10)), "")</f>
        <v>Lime product 1</v>
      </c>
      <c r="E305" s="25" cm="1">
        <f t="array" ref="E305:E314">IFERROR(INDEX(Table_Input_Lime[Total amount applied (t)], _xlfn.SEQUENCE(10)), 0)</f>
        <v>100</v>
      </c>
      <c r="F305" s="25" cm="1">
        <f t="array" ref="F305:F314">IFERROR(INDEX(Table_Input_Lime[Percent Lime CaCO3], _xlfn.SEQUENCE(10)), 0)*E305</f>
        <v>80</v>
      </c>
      <c r="G305" s="25" cm="1">
        <f t="array" ref="G305:G314">IFERROR(INDEX(Table_Input_Lime[Percent Dolomite CaMg(CO3)2], _xlfn.SEQUENCE(10)), 0)*E305</f>
        <v>10</v>
      </c>
      <c r="H305" s="25" cm="1">
        <f t="array" ref="H305:H314">IFERROR(INDEX(Table_Input_Lime[Percent Gypsum], _xlfn.SEQUENCE(10)), 0)*E305</f>
        <v>10</v>
      </c>
      <c r="I305" s="255" cm="1">
        <f t="array" ref="I305">Scope3_Equations.VEERG_15_6_1_1__1_EmissionsFromPurchasedLime(F305,$E$300)+
Scope3_Equations.VEERG_15_6_1_1__1_EmissionsFromPurchasedLime(G305,$E$301)+
Scope3_Equations.VEERG_15_6_1_1__1_EmissionsFromPurchasedLime(H305,$E$302)</f>
        <v>5.1839999999999994E-3</v>
      </c>
      <c r="J305" s="255"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44"/>
      <c r="L305" s="23"/>
      <c r="M305" s="44"/>
    </row>
    <row r="306" spans="3:41" x14ac:dyDescent="0.25">
      <c r="D306" s="25" t="str">
        <v>Lime product 2</v>
      </c>
      <c r="E306" s="25">
        <v>100</v>
      </c>
      <c r="F306" s="25">
        <v>100</v>
      </c>
      <c r="G306" s="25">
        <v>0</v>
      </c>
      <c r="H306" s="25">
        <v>0</v>
      </c>
      <c r="I306" s="255" cm="1">
        <f t="array" ref="I306">Scope3_Equations.VEERG_15_6_1_1__1_EmissionsFromPurchasedLime(F306,$E$300)+
Scope3_Equations.VEERG_15_6_1_1__1_EmissionsFromPurchasedLime(G306,$E$301)+
Scope3_Equations.VEERG_15_6_1_1__1_EmissionsFromPurchasedLime(H306,$E$302)</f>
        <v>4.8500000000000001E-3</v>
      </c>
      <c r="J306" s="255"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44"/>
      <c r="L306" s="23"/>
      <c r="M306" s="44"/>
    </row>
    <row r="307" spans="3:41" x14ac:dyDescent="0.25">
      <c r="D307" s="25" t="str">
        <v>Lime product 3</v>
      </c>
      <c r="E307" s="25">
        <v>100</v>
      </c>
      <c r="F307" s="25">
        <v>0</v>
      </c>
      <c r="G307" s="25">
        <v>0</v>
      </c>
      <c r="H307" s="25">
        <v>100</v>
      </c>
      <c r="I307" s="255" cm="1">
        <f t="array" ref="I307">Scope3_Equations.VEERG_15_6_1_1__1_EmissionsFromPurchasedLime(F307,$E$300)+
Scope3_Equations.VEERG_15_6_1_1__1_EmissionsFromPurchasedLime(G307,$E$301)+
Scope3_Equations.VEERG_15_6_1_1__1_EmissionsFromPurchasedLime(H307,$E$302)</f>
        <v>6.5199999999999998E-3</v>
      </c>
      <c r="J307" s="255"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44"/>
      <c r="L307" s="23"/>
      <c r="M307" s="44"/>
    </row>
    <row r="308" spans="3:41" x14ac:dyDescent="0.25">
      <c r="D308" s="25" t="str">
        <v/>
      </c>
      <c r="E308" s="25">
        <v>0</v>
      </c>
      <c r="F308" s="25">
        <v>0</v>
      </c>
      <c r="G308" s="25">
        <v>0</v>
      </c>
      <c r="H308" s="25">
        <v>0</v>
      </c>
      <c r="I308" s="255" cm="1">
        <f t="array" ref="I308">Scope3_Equations.VEERG_15_6_1_1__1_EmissionsFromPurchasedLime(F308,$E$300)+
Scope3_Equations.VEERG_15_6_1_1__1_EmissionsFromPurchasedLime(G308,$E$301)+
Scope3_Equations.VEERG_15_6_1_1__1_EmissionsFromPurchasedLime(H308,$E$302)</f>
        <v>0</v>
      </c>
      <c r="J308" s="255"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5" cm="1">
        <f t="array" ref="I309">Scope3_Equations.VEERG_15_6_1_1__1_EmissionsFromPurchasedLime(F309,$E$300)+
Scope3_Equations.VEERG_15_6_1_1__1_EmissionsFromPurchasedLime(G309,$E$301)+
Scope3_Equations.VEERG_15_6_1_1__1_EmissionsFromPurchasedLime(H309,$E$302)</f>
        <v>0</v>
      </c>
      <c r="J309" s="255"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5" cm="1">
        <f t="array" ref="I310">Scope3_Equations.VEERG_15_6_1_1__1_EmissionsFromPurchasedLime(F310,$E$300)+
Scope3_Equations.VEERG_15_6_1_1__1_EmissionsFromPurchasedLime(G310,$E$301)+
Scope3_Equations.VEERG_15_6_1_1__1_EmissionsFromPurchasedLime(H310,$E$302)</f>
        <v>0</v>
      </c>
      <c r="J310" s="255"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5" cm="1">
        <f t="array" ref="I311">Scope3_Equations.VEERG_15_6_1_1__1_EmissionsFromPurchasedLime(F311,$E$300)+
Scope3_Equations.VEERG_15_6_1_1__1_EmissionsFromPurchasedLime(G311,$E$301)+
Scope3_Equations.VEERG_15_6_1_1__1_EmissionsFromPurchasedLime(H311,$E$302)</f>
        <v>0</v>
      </c>
      <c r="J311" s="255"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5" cm="1">
        <f t="array" ref="I312">Scope3_Equations.VEERG_15_6_1_1__1_EmissionsFromPurchasedLime(F312,$E$300)+
Scope3_Equations.VEERG_15_6_1_1__1_EmissionsFromPurchasedLime(G312,$E$301)+
Scope3_Equations.VEERG_15_6_1_1__1_EmissionsFromPurchasedLime(H312,$E$302)</f>
        <v>0</v>
      </c>
      <c r="J312" s="255"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5" cm="1">
        <f t="array" ref="I313">Scope3_Equations.VEERG_15_6_1_1__1_EmissionsFromPurchasedLime(F313,$E$300)+
Scope3_Equations.VEERG_15_6_1_1__1_EmissionsFromPurchasedLime(G313,$E$301)+
Scope3_Equations.VEERG_15_6_1_1__1_EmissionsFromPurchasedLime(H313,$E$302)</f>
        <v>0</v>
      </c>
      <c r="J313" s="255"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5" cm="1">
        <f t="array" ref="I314">Scope3_Equations.VEERG_15_6_1_1__1_EmissionsFromPurchasedLime(F314,$E$300)+
Scope3_Equations.VEERG_15_6_1_1__1_EmissionsFromPurchasedLime(G314,$E$301)+
Scope3_Equations.VEERG_15_6_1_1__1_EmissionsFromPurchasedLime(H314,$E$302)</f>
        <v>0</v>
      </c>
      <c r="J314" s="255"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6" t="s">
        <v>813</v>
      </c>
      <c r="E316" s="149">
        <f>SUM(I305:I314)</f>
        <v>1.6553999999999999E-2</v>
      </c>
      <c r="F316" s="150" t="str">
        <f>$E$155</f>
        <v>t CO2e</v>
      </c>
    </row>
    <row r="317" spans="3:41" ht="20.25" x14ac:dyDescent="0.25">
      <c r="D317" s="256" t="s">
        <v>816</v>
      </c>
      <c r="E317" s="149">
        <f>SUM(J305:J314)</f>
        <v>1.4400000000000001E-2</v>
      </c>
      <c r="F317" s="150" t="str">
        <f>$E$155</f>
        <v>t CO2e</v>
      </c>
    </row>
    <row r="320" spans="3:41" x14ac:dyDescent="0.2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5"/>
      <c r="AN320" s="145"/>
      <c r="AO320" s="14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0" t="s">
        <v>255</v>
      </c>
      <c r="E323" s="130" t="str" cm="1">
        <f t="array" aca="1" ref="E323" ca="1">Common_InputFunctions.Utility_DisplayFunctionName(K336)</f>
        <v>=Scope3_Equations.VEERG_15_7_1_1__1_EmissionsFromPurchasedServices</v>
      </c>
    </row>
    <row r="325" spans="4:15" x14ac:dyDescent="0.25">
      <c r="H325" s="1" t="s">
        <v>893</v>
      </c>
    </row>
    <row r="326" spans="4:15" x14ac:dyDescent="0.25">
      <c r="D326" s="88" t="s">
        <v>256</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3" t="str" cm="1">
        <f t="array" ref="D329:E331">_xlfn.CHOOSECOLS(Scope3_Equations.VEERG_15_7_1_1__1_EmissionsFromPurchasedServices_Arguments(),1,2)</f>
        <v>A_p</v>
      </c>
      <c r="E329" s="161" t="str">
        <v>activity data of the service that was purchased</v>
      </c>
      <c r="F329" s="163"/>
      <c r="G329" s="153" t="str" cm="1">
        <f t="array" ref="G329:H331">_xlfn.CHOOSECOLS(Scope3_Equations.VEERG_15_7_1_1__1_EmissionsFromPurchasedServices_Arguments(),3,4)</f>
        <v>ha or h</v>
      </c>
      <c r="H329" s="253" t="str">
        <v>Input</v>
      </c>
    </row>
    <row r="330" spans="4:15" x14ac:dyDescent="0.25">
      <c r="D330" s="153" t="str">
        <v>EF_p</v>
      </c>
      <c r="E330" s="161" t="str">
        <v>life cycle emission factor for the purchased service</v>
      </c>
      <c r="F330" s="163"/>
      <c r="G330" s="153" t="str">
        <v>kg CO2e/ha or kg CO2e/h</v>
      </c>
      <c r="H330" s="135" t="str">
        <v>Constant</v>
      </c>
    </row>
    <row r="331" spans="4:15" x14ac:dyDescent="0.25">
      <c r="D331" s="153" t="str">
        <v>p</v>
      </c>
      <c r="E331" s="161" t="str">
        <v>service type</v>
      </c>
      <c r="F331" s="163"/>
      <c r="G331" s="153" t="str">
        <v/>
      </c>
      <c r="H331" s="253" t="str">
        <v>Input</v>
      </c>
    </row>
    <row r="333" spans="4:15" x14ac:dyDescent="0.25">
      <c r="D333" s="36" t="s">
        <v>894</v>
      </c>
    </row>
    <row r="335" spans="4:15" x14ac:dyDescent="0.25">
      <c r="D335" s="144" t="s">
        <v>753</v>
      </c>
      <c r="E335" s="144" t="s">
        <v>754</v>
      </c>
      <c r="F335" s="144" t="s">
        <v>755</v>
      </c>
      <c r="G335" s="144" t="s">
        <v>440</v>
      </c>
      <c r="H335" s="143" t="s">
        <v>895</v>
      </c>
      <c r="I335" s="143" t="s">
        <v>896</v>
      </c>
      <c r="J335" s="144" t="s">
        <v>897</v>
      </c>
      <c r="K335" s="143" t="s">
        <v>898</v>
      </c>
      <c r="L335" s="143" t="s">
        <v>899</v>
      </c>
      <c r="M335" s="144" t="s">
        <v>817</v>
      </c>
      <c r="N335" s="144" t="s">
        <v>818</v>
      </c>
      <c r="O335" s="144" t="s">
        <v>819</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900</v>
      </c>
      <c r="I336" s="25" t="s">
        <v>900</v>
      </c>
      <c r="J336" s="86">
        <v>4</v>
      </c>
      <c r="K336" s="255"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900</v>
      </c>
      <c r="I337" s="25" t="s">
        <v>900</v>
      </c>
      <c r="J337" s="86">
        <v>2</v>
      </c>
      <c r="K337" s="255"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900</v>
      </c>
      <c r="I338" s="25" t="s">
        <v>900</v>
      </c>
      <c r="J338" s="86"/>
      <c r="K338" s="255"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900</v>
      </c>
      <c r="I339" s="25" t="s">
        <v>900</v>
      </c>
      <c r="J339" s="86"/>
      <c r="K339" s="255"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900</v>
      </c>
      <c r="I340" s="25" t="s">
        <v>900</v>
      </c>
      <c r="J340" s="86"/>
      <c r="K340" s="255"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900</v>
      </c>
      <c r="I341" s="25" t="s">
        <v>900</v>
      </c>
      <c r="J341" s="86"/>
      <c r="K341" s="255"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900</v>
      </c>
      <c r="I342" s="25" t="s">
        <v>900</v>
      </c>
      <c r="J342" s="86"/>
      <c r="K342" s="255"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900</v>
      </c>
      <c r="I343" s="25" t="s">
        <v>900</v>
      </c>
      <c r="J343" s="86"/>
      <c r="K343" s="255"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900</v>
      </c>
      <c r="I344" s="25" t="s">
        <v>900</v>
      </c>
      <c r="J344" s="86"/>
      <c r="K344" s="255"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900</v>
      </c>
      <c r="I345" s="25" t="s">
        <v>900</v>
      </c>
      <c r="J345" s="86"/>
      <c r="K345" s="255" cm="1">
        <f t="array" ref="K345">Scope3_Equations.VEERG_15_7_1_1__1_EmissionsFromPurchasedServices(F345,J345)</f>
        <v>0</v>
      </c>
      <c r="L345" s="25" t="str">
        <f t="shared" si="1"/>
        <v>t CO2e / 0</v>
      </c>
      <c r="M345" s="44"/>
      <c r="N345" s="23"/>
      <c r="O345" s="44"/>
    </row>
    <row r="347" spans="3:41" ht="20.25" x14ac:dyDescent="0.25">
      <c r="D347" s="256" t="s">
        <v>813</v>
      </c>
      <c r="E347" s="149" t="s">
        <v>900</v>
      </c>
      <c r="F347" s="150" t="str">
        <f>$E$155</f>
        <v>t CO2e</v>
      </c>
    </row>
    <row r="348" spans="3:41" ht="20.25" x14ac:dyDescent="0.25">
      <c r="D348" s="256" t="s">
        <v>816</v>
      </c>
      <c r="E348" s="149">
        <f>SUM(K336:K345)</f>
        <v>42</v>
      </c>
      <c r="F348" s="150" t="str">
        <f>$E$155</f>
        <v>t CO2e</v>
      </c>
    </row>
    <row r="351" spans="3:41" x14ac:dyDescent="0.2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c r="AH351" s="145"/>
      <c r="AI351" s="145"/>
      <c r="AJ351" s="145"/>
      <c r="AK351" s="145"/>
      <c r="AL351" s="145"/>
      <c r="AM351" s="145"/>
      <c r="AN351" s="145"/>
      <c r="AO351" s="14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0" t="s">
        <v>255</v>
      </c>
      <c r="E355" s="130" t="str" cm="1">
        <f t="array" aca="1" ref="E355" ca="1">Common_InputFunctions.Utility_DisplayFunctionName(H367)</f>
        <v>=Scope3_Equations.VEERG_15_8_1_1__1_EmissionsFromPurchasedPackaging</v>
      </c>
    </row>
    <row r="359" spans="4:13" x14ac:dyDescent="0.25">
      <c r="D359" s="88" t="s">
        <v>256</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3" t="str" cm="1">
        <f t="array" ref="D362:E364">_xlfn.CHOOSECOLS(Scope3_Equations.VEERG_15_8_1_1__1_EmissionsFromPurchasedPackaging_Arguments(),1,2)</f>
        <v>Q_p</v>
      </c>
      <c r="E362" s="153" t="str">
        <v>units of packaging type p</v>
      </c>
      <c r="F362" s="153" t="str" cm="1">
        <f t="array" ref="F362:G364">_xlfn.CHOOSECOLS(Scope3_Equations.VEERG_15_8_1_1__1_EmissionsFromPurchasedPackaging_Arguments(),3,4)</f>
        <v>units</v>
      </c>
      <c r="G362" s="253" t="str">
        <v>Input</v>
      </c>
    </row>
    <row r="363" spans="4:13" x14ac:dyDescent="0.25">
      <c r="D363" s="153" t="str">
        <v>EF_p</v>
      </c>
      <c r="E363" s="153" t="str">
        <v>emission factor for packaging type p</v>
      </c>
      <c r="F363" s="153" t="str">
        <v>kg CO2e/unit</v>
      </c>
      <c r="G363" s="135" t="str">
        <v>Constant</v>
      </c>
    </row>
    <row r="364" spans="4:13" x14ac:dyDescent="0.25">
      <c r="D364" s="153" t="str">
        <v>p</v>
      </c>
      <c r="E364" s="153" t="str">
        <v>packaging type</v>
      </c>
      <c r="F364" s="153" t="str">
        <v/>
      </c>
      <c r="G364" s="253" t="str">
        <v>Input</v>
      </c>
    </row>
    <row r="366" spans="4:13" ht="17.25" x14ac:dyDescent="0.25">
      <c r="D366" s="144" t="s">
        <v>807</v>
      </c>
      <c r="E366" s="254" t="s">
        <v>765</v>
      </c>
      <c r="F366" s="254" t="s">
        <v>901</v>
      </c>
      <c r="G366" s="143" t="s">
        <v>902</v>
      </c>
      <c r="H366" s="143" t="s">
        <v>813</v>
      </c>
      <c r="I366" s="144" t="s">
        <v>903</v>
      </c>
      <c r="J366" s="143" t="s">
        <v>816</v>
      </c>
      <c r="K366" s="144" t="s">
        <v>817</v>
      </c>
      <c r="L366" s="144" t="s">
        <v>818</v>
      </c>
      <c r="M366" s="144" t="s">
        <v>819</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55" cm="1">
        <f t="array" ref="H367">Scope3_Equations.VEERG_15_8_1_1__1_EmissionsFromPurchasedPackaging(F367,G367)</f>
        <v>7.44</v>
      </c>
      <c r="I367" s="86">
        <v>3</v>
      </c>
      <c r="J367" s="255"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55" cm="1">
        <f t="array" ref="H368">Scope3_Equations.VEERG_15_8_1_1__1_EmissionsFromPurchasedPackaging(F368,G368)</f>
        <v>0</v>
      </c>
      <c r="I368" s="86"/>
      <c r="J368" s="255"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55" cm="1">
        <f t="array" ref="H369">Scope3_Equations.VEERG_15_8_1_1__1_EmissionsFromPurchasedPackaging(F369,G369)</f>
        <v>0</v>
      </c>
      <c r="I369" s="86"/>
      <c r="J369" s="255"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55" cm="1">
        <f t="array" ref="H370">Scope3_Equations.VEERG_15_8_1_1__1_EmissionsFromPurchasedPackaging(F370,G370)</f>
        <v>0</v>
      </c>
      <c r="I370" s="86"/>
      <c r="J370" s="255"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55" cm="1">
        <f t="array" ref="H371">Scope3_Equations.VEERG_15_8_1_1__1_EmissionsFromPurchasedPackaging(F371,G371)</f>
        <v>0</v>
      </c>
      <c r="I371" s="86"/>
      <c r="J371" s="255"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55" cm="1">
        <f t="array" ref="H372">Scope3_Equations.VEERG_15_8_1_1__1_EmissionsFromPurchasedPackaging(F372,G372)</f>
        <v>0</v>
      </c>
      <c r="I372" s="86"/>
      <c r="J372" s="255"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55" cm="1">
        <f t="array" ref="H373">Scope3_Equations.VEERG_15_8_1_1__1_EmissionsFromPurchasedPackaging(F373,G373)</f>
        <v>0</v>
      </c>
      <c r="I373" s="86"/>
      <c r="J373" s="255"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55" cm="1">
        <f t="array" ref="H374">Scope3_Equations.VEERG_15_8_1_1__1_EmissionsFromPurchasedPackaging(F374,G374)</f>
        <v>0</v>
      </c>
      <c r="I374" s="86"/>
      <c r="J374" s="255"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55" cm="1">
        <f t="array" ref="H375">Scope3_Equations.VEERG_15_8_1_1__1_EmissionsFromPurchasedPackaging(F375,G375)</f>
        <v>0</v>
      </c>
      <c r="I375" s="86"/>
      <c r="J375" s="255"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55" cm="1">
        <f t="array" ref="H376">Scope3_Equations.VEERG_15_8_1_1__1_EmissionsFromPurchasedPackaging(F376,G376)</f>
        <v>0</v>
      </c>
      <c r="I376" s="86"/>
      <c r="J376" s="255" cm="1">
        <f t="array" ref="J376">Scope3_Equations.VEERG_15_8_1_1__1_EmissionsFromPurchasedPackaging(F376,IF(I376,I376,G376))</f>
        <v>0</v>
      </c>
      <c r="K376" s="44"/>
      <c r="L376" s="23"/>
      <c r="M376" s="44"/>
    </row>
    <row r="378" spans="3:41" ht="20.25" x14ac:dyDescent="0.25">
      <c r="D378" s="256" t="s">
        <v>813</v>
      </c>
      <c r="E378" s="149">
        <f>SUM(H367:H376)</f>
        <v>7.44</v>
      </c>
      <c r="F378" s="150" t="str">
        <f>$E$155</f>
        <v>t CO2e</v>
      </c>
    </row>
    <row r="379" spans="3:41" ht="20.25" x14ac:dyDescent="0.25">
      <c r="D379" s="256" t="s">
        <v>816</v>
      </c>
      <c r="E379" s="149">
        <f>SUM(J367:J376)</f>
        <v>6</v>
      </c>
      <c r="F379" s="150" t="str">
        <f>$E$155</f>
        <v>t CO2e</v>
      </c>
    </row>
    <row r="382" spans="3:41" x14ac:dyDescent="0.2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5"/>
      <c r="AN382" s="145"/>
      <c r="AO382" s="14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0" t="s">
        <v>255</v>
      </c>
      <c r="E385" s="130" t="str" cm="1">
        <f t="array" aca="1" ref="E385" ca="1">Common_InputFunctions.Utility_DisplayFunctionName(J399)</f>
        <v>=Scope3_Equations.VEERG_15_9_1_1__1_EmissionsFromPurchasedGrowMedia</v>
      </c>
    </row>
    <row r="388" spans="4:14" x14ac:dyDescent="0.25">
      <c r="G388" s="130"/>
    </row>
    <row r="389" spans="4:14" x14ac:dyDescent="0.25">
      <c r="D389" s="88" t="s">
        <v>256</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3" t="str" cm="1">
        <f t="array" ref="D392:E394">_xlfn.CHOOSECOLS(Scope3_Equations.VEERG_15_9_1_1__1_EmissionsFromPurchasedGrowMedia_Arguments(),1,2)</f>
        <v>Q_g</v>
      </c>
      <c r="E392" s="153" t="str">
        <v>total quantity of grow media type g</v>
      </c>
      <c r="F392" s="153" t="str" cm="1">
        <f t="array" ref="F392:G394">_xlfn.CHOOSECOLS(Scope3_Equations.VEERG_15_9_1_1__1_EmissionsFromPurchasedGrowMedia_Arguments(),3,4)</f>
        <v>kg or m3</v>
      </c>
      <c r="G392" s="253" t="str">
        <v>Input</v>
      </c>
    </row>
    <row r="393" spans="4:14" x14ac:dyDescent="0.25">
      <c r="D393" s="153" t="str">
        <v>EF_g</v>
      </c>
      <c r="E393" s="153" t="str">
        <v>emission factor for grow media type g</v>
      </c>
      <c r="F393" s="153" t="str">
        <v>kg CO2e/kg or kg CO2e/m3</v>
      </c>
      <c r="G393" s="135" t="str">
        <v>Constant</v>
      </c>
    </row>
    <row r="394" spans="4:14" x14ac:dyDescent="0.25">
      <c r="D394" s="153" t="str">
        <v>g</v>
      </c>
      <c r="E394" s="153" t="str">
        <v>grow media type</v>
      </c>
      <c r="F394" s="153" t="str">
        <v/>
      </c>
      <c r="G394" s="253" t="str">
        <v>Input</v>
      </c>
    </row>
    <row r="396" spans="4:14" x14ac:dyDescent="0.25">
      <c r="D396" s="36" t="s">
        <v>894</v>
      </c>
    </row>
    <row r="398" spans="4:14" x14ac:dyDescent="0.25">
      <c r="D398" s="144" t="s">
        <v>771</v>
      </c>
      <c r="E398" s="144" t="s">
        <v>755</v>
      </c>
      <c r="F398" s="144" t="s">
        <v>440</v>
      </c>
      <c r="G398" s="143" t="s">
        <v>895</v>
      </c>
      <c r="H398" s="143" t="s">
        <v>896</v>
      </c>
      <c r="I398" s="144" t="s">
        <v>897</v>
      </c>
      <c r="J398" s="143" t="s">
        <v>898</v>
      </c>
      <c r="K398" s="143" t="s">
        <v>899</v>
      </c>
      <c r="L398" s="144" t="s">
        <v>817</v>
      </c>
      <c r="M398" s="144" t="s">
        <v>818</v>
      </c>
      <c r="N398" s="144" t="s">
        <v>819</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900</v>
      </c>
      <c r="H399" s="25" t="s">
        <v>900</v>
      </c>
      <c r="I399" s="86">
        <v>4</v>
      </c>
      <c r="J399" s="255"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900</v>
      </c>
      <c r="H400" s="25" t="s">
        <v>900</v>
      </c>
      <c r="I400" s="86">
        <v>2</v>
      </c>
      <c r="J400" s="255"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900</v>
      </c>
      <c r="H401" s="25" t="s">
        <v>900</v>
      </c>
      <c r="I401" s="86"/>
      <c r="J401" s="255"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900</v>
      </c>
      <c r="H402" s="25" t="s">
        <v>900</v>
      </c>
      <c r="I402" s="86"/>
      <c r="J402" s="255"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900</v>
      </c>
      <c r="H403" s="25" t="s">
        <v>900</v>
      </c>
      <c r="I403" s="86"/>
      <c r="J403" s="255"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900</v>
      </c>
      <c r="H404" s="25" t="s">
        <v>900</v>
      </c>
      <c r="I404" s="86"/>
      <c r="J404" s="255"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900</v>
      </c>
      <c r="H405" s="25" t="s">
        <v>900</v>
      </c>
      <c r="I405" s="86"/>
      <c r="J405" s="255"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900</v>
      </c>
      <c r="H406" s="25" t="s">
        <v>900</v>
      </c>
      <c r="I406" s="86"/>
      <c r="J406" s="255"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900</v>
      </c>
      <c r="H407" s="25" t="s">
        <v>900</v>
      </c>
      <c r="I407" s="86"/>
      <c r="J407" s="255"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900</v>
      </c>
      <c r="H408" s="25" t="s">
        <v>900</v>
      </c>
      <c r="I408" s="86"/>
      <c r="J408" s="255" cm="1">
        <f t="array" ref="J408">Scope3_Equations.VEERG_15_9_1_1__1_EmissionsFromPurchasedGrowMedia(E408,I408)</f>
        <v>0</v>
      </c>
      <c r="K408" s="25" t="str">
        <f t="shared" si="2"/>
        <v>t CO2e / 0</v>
      </c>
      <c r="L408" s="44"/>
      <c r="M408" s="23"/>
      <c r="N408" s="44"/>
    </row>
    <row r="410" spans="3:41" ht="20.25" x14ac:dyDescent="0.25">
      <c r="D410" s="256" t="s">
        <v>813</v>
      </c>
      <c r="E410" s="149" t="s">
        <v>900</v>
      </c>
      <c r="F410" s="150" t="str">
        <f>$E$155</f>
        <v>t CO2e</v>
      </c>
    </row>
    <row r="411" spans="3:41" ht="20.25" x14ac:dyDescent="0.25">
      <c r="D411" s="256" t="s">
        <v>816</v>
      </c>
      <c r="E411" s="149">
        <f>SUM(J399:J408)</f>
        <v>40.200000000000003</v>
      </c>
      <c r="F411" s="150" t="str">
        <f>$E$155</f>
        <v>t CO2e</v>
      </c>
    </row>
    <row r="414" spans="3:41" x14ac:dyDescent="0.2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5"/>
      <c r="AN414" s="145"/>
      <c r="AO414" s="14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904</v>
      </c>
    </row>
    <row r="418" spans="4:13" x14ac:dyDescent="0.25">
      <c r="D418" s="130" t="s">
        <v>255</v>
      </c>
      <c r="E418" s="130" t="str" cm="1">
        <f t="array" aca="1" ref="E418" ca="1">Common_InputFunctions.Utility_DisplayFunctionName(H430)</f>
        <v>=Scope3_Equations.VEERG_15_10_1_1__1_OtherPurchasedGoodsAndServices</v>
      </c>
    </row>
    <row r="421" spans="4:13" x14ac:dyDescent="0.25">
      <c r="D421" s="88" t="s">
        <v>256</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3" t="str" cm="1">
        <f t="array" ref="D424:E425">_xlfn.CHOOSECOLS(Scope3_Equations.VEERG_15_10_1_1__1_OtherPurchasedGoodsAndServices_Arguments(),1,2)</f>
        <v>activity_data</v>
      </c>
      <c r="E424" s="161" t="str">
        <v>measured activity for the purchased good or service</v>
      </c>
      <c r="F424" s="163"/>
      <c r="G424" s="153" t="str" cm="1">
        <f t="array" ref="G424:H425">_xlfn.CHOOSECOLS(Scope3_Equations.VEERG_15_10_1_1__1_OtherPurchasedGoodsAndServices_Arguments(),3,4)</f>
        <v>varies</v>
      </c>
      <c r="H424" s="253" t="str">
        <v>Input</v>
      </c>
    </row>
    <row r="425" spans="4:13" x14ac:dyDescent="0.25">
      <c r="D425" s="153" t="str">
        <v>emission_factor</v>
      </c>
      <c r="E425" s="161" t="str">
        <v>lifecycle emissions per unit of activity</v>
      </c>
      <c r="F425" s="163"/>
      <c r="G425" s="153" t="str">
        <v>varies</v>
      </c>
      <c r="H425" s="135" t="str">
        <v>Constant</v>
      </c>
    </row>
    <row r="427" spans="4:13" ht="18.75" x14ac:dyDescent="0.25">
      <c r="D427" s="238" t="s">
        <v>905</v>
      </c>
    </row>
    <row r="429" spans="4:13" x14ac:dyDescent="0.25">
      <c r="D429" s="144" t="s">
        <v>807</v>
      </c>
      <c r="E429" s="254" t="s">
        <v>906</v>
      </c>
      <c r="F429" s="254" t="s">
        <v>907</v>
      </c>
      <c r="G429" s="143" t="s">
        <v>122</v>
      </c>
      <c r="H429" s="143" t="s">
        <v>813</v>
      </c>
      <c r="I429" s="144" t="s">
        <v>123</v>
      </c>
      <c r="J429" s="143" t="s">
        <v>816</v>
      </c>
      <c r="K429" s="144" t="s">
        <v>817</v>
      </c>
      <c r="L429" s="144" t="s">
        <v>818</v>
      </c>
      <c r="M429" s="144" t="s">
        <v>819</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5" cm="1">
        <f t="array" ref="H430">Scope3_Equations.VEERG_15_10_1_1__1_OtherPurchasedGoodsAndServices(F430,G430*10^-3)</f>
        <v>9.0700000000000003E-2</v>
      </c>
      <c r="I430" s="86">
        <v>1.3</v>
      </c>
      <c r="J430" s="255"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5" cm="1">
        <f t="array" ref="H431">Scope3_Equations.VEERG_15_10_1_1__1_OtherPurchasedGoodsAndServices(F431,G431*10^-3)</f>
        <v>7.22E-2</v>
      </c>
      <c r="I431" s="86">
        <v>8</v>
      </c>
      <c r="J431" s="255"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5" cm="1">
        <f t="array" ref="H432">Scope3_Equations.VEERG_15_10_1_1__1_OtherPurchasedGoodsAndServices(F432,G432*10^-3)</f>
        <v>8.0399999999999999E-2</v>
      </c>
      <c r="I432" s="86">
        <v>4</v>
      </c>
      <c r="J432" s="255"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5" cm="1">
        <f t="array" ref="H433">Scope3_Equations.VEERG_15_10_1_1__1_OtherPurchasedGoodsAndServices(F433,G433*10^-3)</f>
        <v>8.0399999999999999E-2</v>
      </c>
      <c r="I433" s="86">
        <v>3</v>
      </c>
      <c r="J433" s="255"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5" cm="1">
        <f t="array" ref="H434">Scope3_Equations.VEERG_15_10_1_1__1_OtherPurchasedGoodsAndServices(F434,G434*10^-3)</f>
        <v>9.0700000000000003E-2</v>
      </c>
      <c r="I434" s="86">
        <v>6</v>
      </c>
      <c r="J434" s="255"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5" cm="1">
        <f t="array" ref="H435">Scope3_Equations.VEERG_15_10_1_1__1_OtherPurchasedGoodsAndServices(F435,G435*10^-3)</f>
        <v>9.0700000000000003E-2</v>
      </c>
      <c r="I435" s="86">
        <v>5</v>
      </c>
      <c r="J435" s="255"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5" cm="1">
        <f t="array" ref="H436">Scope3_Equations.VEERG_15_10_1_1__1_OtherPurchasedGoodsAndServices(F436,G436*10^-3)</f>
        <v>0</v>
      </c>
      <c r="I436" s="86"/>
      <c r="J436" s="255"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5" cm="1">
        <f t="array" ref="H437">Scope3_Equations.VEERG_15_10_1_1__1_OtherPurchasedGoodsAndServices(F437,G437*10^-3)</f>
        <v>0</v>
      </c>
      <c r="I437" s="86"/>
      <c r="J437" s="255"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5" cm="1">
        <f t="array" ref="H438">Scope3_Equations.VEERG_15_10_1_1__1_OtherPurchasedGoodsAndServices(F438,G438*10^-3)</f>
        <v>0</v>
      </c>
      <c r="I438" s="86"/>
      <c r="J438" s="255"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5" cm="1">
        <f t="array" ref="H439">Scope3_Equations.VEERG_15_10_1_1__1_OtherPurchasedGoodsAndServices(F439,G439*10^-3)</f>
        <v>0</v>
      </c>
      <c r="I439" s="86"/>
      <c r="J439" s="255" cm="1">
        <f t="array" ref="J439">Scope3_Equations.VEERG_15_10_1_1__1_OtherPurchasedGoodsAndServices(F439,IF(I439,I439,G439)*10^-3)</f>
        <v>0</v>
      </c>
      <c r="K439" s="44"/>
      <c r="L439" s="23"/>
      <c r="M439" s="44"/>
    </row>
    <row r="441" spans="4:13" ht="20.25" x14ac:dyDescent="0.25">
      <c r="D441" s="256" t="s">
        <v>813</v>
      </c>
      <c r="E441" s="149">
        <f>SUM(H430:H439)</f>
        <v>0.50509999999999999</v>
      </c>
      <c r="F441" s="150" t="str">
        <f>$E$155</f>
        <v>t CO2e</v>
      </c>
    </row>
    <row r="442" spans="4:13" ht="20.25" x14ac:dyDescent="0.25">
      <c r="D442" s="256" t="s">
        <v>816</v>
      </c>
      <c r="E442" s="149">
        <f>SUM(J430:J439)</f>
        <v>2.73</v>
      </c>
      <c r="F442" s="150" t="str">
        <f>$E$155</f>
        <v>t CO2e</v>
      </c>
    </row>
    <row r="445" spans="4:13" ht="18.75" x14ac:dyDescent="0.25">
      <c r="D445" s="238" t="s">
        <v>908</v>
      </c>
    </row>
    <row r="447" spans="4:13" x14ac:dyDescent="0.25">
      <c r="D447" s="144" t="s">
        <v>807</v>
      </c>
      <c r="E447" s="254" t="s">
        <v>906</v>
      </c>
      <c r="F447" s="254" t="s">
        <v>714</v>
      </c>
      <c r="G447" s="143" t="s">
        <v>909</v>
      </c>
      <c r="H447" s="143" t="s">
        <v>813</v>
      </c>
      <c r="I447" s="144" t="s">
        <v>910</v>
      </c>
      <c r="J447" s="143" t="s">
        <v>816</v>
      </c>
      <c r="K447" s="144" t="s">
        <v>817</v>
      </c>
      <c r="L447" s="144" t="s">
        <v>818</v>
      </c>
      <c r="M447" s="144" t="s">
        <v>819</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55" cm="1">
        <f t="array" ref="H448">Scope3_Equations.VEERG_15_10_1_1__1_OtherPurchasedGoodsAndServices(F448,G448*10^-3)</f>
        <v>5.47E-3</v>
      </c>
      <c r="I448" s="86">
        <v>0.05</v>
      </c>
      <c r="J448" s="255"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55" cm="1">
        <f t="array" ref="H449">Scope3_Equations.VEERG_15_10_1_1__1_OtherPurchasedGoodsAndServices(F449,G449*10^-3)</f>
        <v>1.42E-3</v>
      </c>
      <c r="I449" s="86">
        <v>0.01</v>
      </c>
      <c r="J449" s="255"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55" cm="1">
        <f t="array" ref="H450">Scope3_Equations.VEERG_15_10_1_1__1_OtherPurchasedGoodsAndServices(F450,G450*10^-3)</f>
        <v>1.4300000000000001E-3</v>
      </c>
      <c r="I450" s="86">
        <v>0.01</v>
      </c>
      <c r="J450" s="255"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55" cm="1">
        <f t="array" ref="H451">Scope3_Equations.VEERG_15_10_1_1__1_OtherPurchasedGoodsAndServices(F451,G451*10^-3)</f>
        <v>4.26E-4</v>
      </c>
      <c r="I451" s="86">
        <v>4.0000000000000001E-3</v>
      </c>
      <c r="J451" s="255"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55" cm="1">
        <f t="array" ref="H452">Scope3_Equations.VEERG_15_10_1_1__1_OtherPurchasedGoodsAndServices(F452,G452*10^-3)</f>
        <v>5.47E-3</v>
      </c>
      <c r="I452" s="86">
        <v>0.05</v>
      </c>
      <c r="J452" s="255"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55" cm="1">
        <f t="array" ref="H453">Scope3_Equations.VEERG_15_10_1_1__1_OtherPurchasedGoodsAndServices(F453,G453*10^-3)</f>
        <v>1.42E-3</v>
      </c>
      <c r="I453" s="86">
        <v>0.01</v>
      </c>
      <c r="J453" s="255"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55" cm="1">
        <f t="array" ref="H454">Scope3_Equations.VEERG_15_10_1_1__1_OtherPurchasedGoodsAndServices(F454,G454*10^-3)</f>
        <v>0</v>
      </c>
      <c r="I454" s="86"/>
      <c r="J454" s="255"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55" cm="1">
        <f t="array" ref="H455">Scope3_Equations.VEERG_15_10_1_1__1_OtherPurchasedGoodsAndServices(F455,G455*10^-3)</f>
        <v>0</v>
      </c>
      <c r="I455" s="86"/>
      <c r="J455" s="255"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55" cm="1">
        <f t="array" ref="H456">Scope3_Equations.VEERG_15_10_1_1__1_OtherPurchasedGoodsAndServices(F456,G456*10^-3)</f>
        <v>0</v>
      </c>
      <c r="I456" s="86"/>
      <c r="J456" s="255"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55" cm="1">
        <f t="array" ref="H457">Scope3_Equations.VEERG_15_10_1_1__1_OtherPurchasedGoodsAndServices(F457,G457*10^-3)</f>
        <v>0</v>
      </c>
      <c r="I457" s="86"/>
      <c r="J457" s="255" cm="1">
        <f t="array" ref="J457">Scope3_Equations.VEERG_15_10_1_1__1_OtherPurchasedGoodsAndServices(F457,IF(I457,I457,G457)*10^-3)</f>
        <v>0</v>
      </c>
      <c r="K457" s="44"/>
      <c r="L457" s="23"/>
      <c r="M457" s="44"/>
    </row>
    <row r="459" spans="4:13" ht="20.25" x14ac:dyDescent="0.25">
      <c r="D459" s="256" t="s">
        <v>813</v>
      </c>
      <c r="E459" s="149">
        <f>SUM(H448:H457)</f>
        <v>1.5636000000000001E-2</v>
      </c>
      <c r="F459" s="150" t="str">
        <f>$E$155</f>
        <v>t CO2e</v>
      </c>
    </row>
    <row r="460" spans="4:13" ht="20.25" x14ac:dyDescent="0.25">
      <c r="D460" s="256" t="s">
        <v>816</v>
      </c>
      <c r="E460" s="149">
        <f>SUM(J448:J457)</f>
        <v>1.3400000000000002E-2</v>
      </c>
      <c r="F460" s="150" t="str">
        <f>$E$155</f>
        <v>t CO2e</v>
      </c>
    </row>
    <row r="463" spans="4:13" ht="18.75" x14ac:dyDescent="0.25">
      <c r="D463" s="238" t="s">
        <v>776</v>
      </c>
    </row>
    <row r="465" spans="4:12" x14ac:dyDescent="0.25">
      <c r="D465" s="144" t="s">
        <v>372</v>
      </c>
      <c r="E465" s="144" t="s">
        <v>911</v>
      </c>
      <c r="F465" s="143" t="s">
        <v>909</v>
      </c>
      <c r="G465" s="143" t="s">
        <v>813</v>
      </c>
      <c r="H465" s="144" t="s">
        <v>910</v>
      </c>
      <c r="I465" s="143" t="s">
        <v>816</v>
      </c>
      <c r="J465" s="144" t="s">
        <v>817</v>
      </c>
      <c r="K465" s="144" t="s">
        <v>818</v>
      </c>
      <c r="L465" s="144" t="s">
        <v>819</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55" cm="1">
        <f t="array" ref="G466">Scope3_Equations.VEERG_15_10_1_1__1_OtherPurchasedGoodsAndServices(E466,F466*10^-3)</f>
        <v>0.1195</v>
      </c>
      <c r="H466" s="86">
        <v>0.2</v>
      </c>
      <c r="I466" s="255"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55" cm="1">
        <f t="array" ref="G467">Scope3_Equations.VEERG_15_10_1_1__1_OtherPurchasedGoodsAndServices(E467,F467*10^-3)</f>
        <v>0.1086</v>
      </c>
      <c r="H467" s="86"/>
      <c r="I467" s="255"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55" cm="1">
        <f t="array" ref="G468">Scope3_Equations.VEERG_15_10_1_1__1_OtherPurchasedGoodsAndServices(E468,F468*10^-3)</f>
        <v>0.189</v>
      </c>
      <c r="H468" s="86">
        <v>0.2</v>
      </c>
      <c r="I468" s="255"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55" cm="1">
        <f t="array" ref="G469">Scope3_Equations.VEERG_15_10_1_1__1_OtherPurchasedGoodsAndServices(E469,F469*10^-3)</f>
        <v>0.18560000000000001</v>
      </c>
      <c r="H469" s="86"/>
      <c r="I469" s="255"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55" cm="1">
        <f t="array" ref="G470">Scope3_Equations.VEERG_15_10_1_1__1_OtherPurchasedGoodsAndServices(E470,F470*10^-3)</f>
        <v>0.2412</v>
      </c>
      <c r="H470" s="86">
        <v>0.2</v>
      </c>
      <c r="I470" s="255" cm="1">
        <f t="array" ref="I470">Scope3_Equations.VEERG_15_10_1_1__1_OtherPurchasedGoodsAndServices(E470,IF(H470,H470,F470)*10^-3)</f>
        <v>0.18000000000000002</v>
      </c>
      <c r="J470" s="44"/>
      <c r="K470" s="23"/>
      <c r="L470" s="44"/>
    </row>
    <row r="472" spans="4:12" ht="20.25" x14ac:dyDescent="0.25">
      <c r="D472" s="256" t="s">
        <v>813</v>
      </c>
      <c r="E472" s="149">
        <f>SUM(G466:G470)</f>
        <v>0.84389999999999998</v>
      </c>
      <c r="F472" s="150" t="str">
        <f>$E$155</f>
        <v>t CO2e</v>
      </c>
    </row>
    <row r="473" spans="4:12" ht="20.25" x14ac:dyDescent="0.25">
      <c r="D473" s="256" t="s">
        <v>816</v>
      </c>
      <c r="E473" s="149">
        <f>SUM(I466:I470)</f>
        <v>0.71420000000000006</v>
      </c>
      <c r="F473" s="150" t="str">
        <f>$E$155</f>
        <v>t CO2e</v>
      </c>
    </row>
    <row r="476" spans="4:12" ht="18.75" x14ac:dyDescent="0.25">
      <c r="D476" s="238" t="s">
        <v>912</v>
      </c>
    </row>
    <row r="478" spans="4:12" x14ac:dyDescent="0.25">
      <c r="D478" s="144" t="s">
        <v>372</v>
      </c>
      <c r="E478" s="144" t="s">
        <v>911</v>
      </c>
      <c r="F478" s="143" t="s">
        <v>909</v>
      </c>
      <c r="G478" s="143" t="s">
        <v>813</v>
      </c>
      <c r="H478" s="144" t="s">
        <v>910</v>
      </c>
      <c r="I478" s="143" t="s">
        <v>816</v>
      </c>
      <c r="J478" s="144" t="s">
        <v>817</v>
      </c>
      <c r="K478" s="144" t="s">
        <v>818</v>
      </c>
      <c r="L478" s="144" t="s">
        <v>819</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55" cm="1">
        <f t="array" ref="G479">Scope3_Equations.VEERG_15_10_1_1__1_OtherPurchasedGoodsAndServices(E479,F479*10^-3)</f>
        <v>4.2399999999999998E-3</v>
      </c>
      <c r="H479" s="86">
        <v>0.2</v>
      </c>
      <c r="I479" s="255"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55" cm="1">
        <f t="array" ref="G480">Scope3_Equations.VEERG_15_10_1_1__1_OtherPurchasedGoodsAndServices(E480,F480*10^-3)</f>
        <v>5.8599999999999998E-3</v>
      </c>
      <c r="H480" s="86"/>
      <c r="I480" s="255"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55" cm="1">
        <f t="array" ref="G481">Scope3_Equations.VEERG_15_10_1_1__1_OtherPurchasedGoodsAndServices(E481,F481*10^-3)</f>
        <v>2.9430000000000005</v>
      </c>
      <c r="H481" s="86">
        <v>0.2</v>
      </c>
      <c r="I481" s="255" cm="1">
        <f t="array" ref="I481">Scope3_Equations.VEERG_15_10_1_1__1_OtherPurchasedGoodsAndServices(E481,IF(H481,H481,F481)*10^-3)</f>
        <v>6.0000000000000005E-2</v>
      </c>
      <c r="J481" s="44"/>
      <c r="K481" s="23"/>
      <c r="L481" s="44"/>
    </row>
    <row r="483" spans="4:14" ht="20.25" x14ac:dyDescent="0.25">
      <c r="D483" s="256" t="s">
        <v>813</v>
      </c>
      <c r="E483" s="149">
        <f>SUM(G479:G481)</f>
        <v>2.9531000000000005</v>
      </c>
      <c r="F483" s="150" t="str">
        <f>$E$155</f>
        <v>t CO2e</v>
      </c>
    </row>
    <row r="484" spans="4:14" ht="20.25" x14ac:dyDescent="0.25">
      <c r="D484" s="256" t="s">
        <v>816</v>
      </c>
      <c r="E484" s="149">
        <f>SUM(I479:I481)</f>
        <v>8.5860000000000006E-2</v>
      </c>
      <c r="F484" s="150" t="str">
        <f>$E$155</f>
        <v>t CO2e</v>
      </c>
    </row>
    <row r="487" spans="4:14" ht="18.75" x14ac:dyDescent="0.25">
      <c r="D487" s="238" t="s">
        <v>913</v>
      </c>
    </row>
    <row r="489" spans="4:14" x14ac:dyDescent="0.25">
      <c r="D489" s="144" t="s">
        <v>372</v>
      </c>
      <c r="E489" s="144" t="s">
        <v>532</v>
      </c>
      <c r="F489" s="144" t="s">
        <v>440</v>
      </c>
      <c r="G489" s="143" t="s">
        <v>895</v>
      </c>
      <c r="H489" s="143" t="s">
        <v>896</v>
      </c>
      <c r="I489" s="144" t="s">
        <v>897</v>
      </c>
      <c r="J489" s="144" t="s">
        <v>914</v>
      </c>
      <c r="K489" s="143" t="s">
        <v>898</v>
      </c>
      <c r="L489" s="144" t="s">
        <v>817</v>
      </c>
      <c r="M489" s="144" t="s">
        <v>818</v>
      </c>
      <c r="N489" s="144" t="s">
        <v>819</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900</v>
      </c>
      <c r="H490" s="25" t="s">
        <v>900</v>
      </c>
      <c r="I490" s="86">
        <v>4</v>
      </c>
      <c r="J490" s="23" t="s">
        <v>915</v>
      </c>
      <c r="K490" s="255"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900</v>
      </c>
      <c r="H491" s="25" t="s">
        <v>900</v>
      </c>
      <c r="I491" s="86">
        <v>2</v>
      </c>
      <c r="J491" s="23" t="s">
        <v>915</v>
      </c>
      <c r="K491" s="255" cm="1">
        <f t="array" ref="K491">Scope3_Equations.VEERG_15_10_1_1__1_OtherPurchasedGoodsAndServices(E491,IF(J491="kg / amount unit", I491*10^-3, I491))</f>
        <v>0</v>
      </c>
      <c r="L491" s="44"/>
      <c r="M491" s="23"/>
      <c r="N491" s="44"/>
    </row>
    <row r="492" spans="4:14" x14ac:dyDescent="0.25">
      <c r="D492" s="25">
        <v>0</v>
      </c>
      <c r="E492" s="25">
        <v>0</v>
      </c>
      <c r="F492" s="25">
        <v>0</v>
      </c>
      <c r="G492" s="25" t="s">
        <v>900</v>
      </c>
      <c r="H492" s="25" t="s">
        <v>900</v>
      </c>
      <c r="I492" s="86"/>
      <c r="J492" s="23"/>
      <c r="K492" s="255" cm="1">
        <f t="array" ref="K492">Scope3_Equations.VEERG_15_10_1_1__1_OtherPurchasedGoodsAndServices(E492,IF(J492="kg / amount unit", I492*10^-3, I492))</f>
        <v>0</v>
      </c>
      <c r="L492" s="44"/>
      <c r="M492" s="23"/>
      <c r="N492" s="44"/>
    </row>
    <row r="493" spans="4:14" x14ac:dyDescent="0.25">
      <c r="D493" s="25">
        <v>0</v>
      </c>
      <c r="E493" s="25">
        <v>0</v>
      </c>
      <c r="F493" s="25">
        <v>0</v>
      </c>
      <c r="G493" s="25" t="s">
        <v>900</v>
      </c>
      <c r="H493" s="25" t="s">
        <v>900</v>
      </c>
      <c r="I493" s="86"/>
      <c r="J493" s="23"/>
      <c r="K493" s="255" cm="1">
        <f t="array" ref="K493">Scope3_Equations.VEERG_15_10_1_1__1_OtherPurchasedGoodsAndServices(E493,IF(J493="kg / amount unit", I493*10^-3, I493))</f>
        <v>0</v>
      </c>
      <c r="L493" s="44"/>
      <c r="M493" s="23"/>
      <c r="N493" s="44"/>
    </row>
    <row r="494" spans="4:14" x14ac:dyDescent="0.25">
      <c r="D494" s="25">
        <v>0</v>
      </c>
      <c r="E494" s="25">
        <v>0</v>
      </c>
      <c r="F494" s="25">
        <v>0</v>
      </c>
      <c r="G494" s="25" t="s">
        <v>900</v>
      </c>
      <c r="H494" s="25" t="s">
        <v>900</v>
      </c>
      <c r="I494" s="86"/>
      <c r="J494" s="23"/>
      <c r="K494" s="255" cm="1">
        <f t="array" ref="K494">Scope3_Equations.VEERG_15_10_1_1__1_OtherPurchasedGoodsAndServices(E494,IF(J494="kg / amount unit", I494*10^-3, I494))</f>
        <v>0</v>
      </c>
      <c r="L494" s="44"/>
      <c r="M494" s="23"/>
      <c r="N494" s="44"/>
    </row>
    <row r="495" spans="4:14" x14ac:dyDescent="0.25">
      <c r="D495" s="25">
        <v>0</v>
      </c>
      <c r="E495" s="25">
        <v>0</v>
      </c>
      <c r="F495" s="25">
        <v>0</v>
      </c>
      <c r="G495" s="25" t="s">
        <v>900</v>
      </c>
      <c r="H495" s="25" t="s">
        <v>900</v>
      </c>
      <c r="I495" s="86"/>
      <c r="J495" s="23"/>
      <c r="K495" s="255" cm="1">
        <f t="array" ref="K495">Scope3_Equations.VEERG_15_10_1_1__1_OtherPurchasedGoodsAndServices(E495,IF(J495="kg / amount unit", I495*10^-3, I495))</f>
        <v>0</v>
      </c>
      <c r="L495" s="44"/>
      <c r="M495" s="23"/>
      <c r="N495" s="44"/>
    </row>
    <row r="496" spans="4:14" x14ac:dyDescent="0.25">
      <c r="D496" s="25">
        <v>0</v>
      </c>
      <c r="E496" s="25">
        <v>0</v>
      </c>
      <c r="F496" s="25">
        <v>0</v>
      </c>
      <c r="G496" s="25" t="s">
        <v>900</v>
      </c>
      <c r="H496" s="25" t="s">
        <v>900</v>
      </c>
      <c r="I496" s="86"/>
      <c r="J496" s="23"/>
      <c r="K496" s="255" cm="1">
        <f t="array" ref="K496">Scope3_Equations.VEERG_15_10_1_1__1_OtherPurchasedGoodsAndServices(E496,IF(J496="kg / amount unit", I496*10^-3, I496))</f>
        <v>0</v>
      </c>
      <c r="L496" s="44"/>
      <c r="M496" s="23"/>
      <c r="N496" s="44"/>
    </row>
    <row r="497" spans="3:41" x14ac:dyDescent="0.25">
      <c r="D497" s="25">
        <v>0</v>
      </c>
      <c r="E497" s="25">
        <v>0</v>
      </c>
      <c r="F497" s="25">
        <v>0</v>
      </c>
      <c r="G497" s="25" t="s">
        <v>900</v>
      </c>
      <c r="H497" s="25" t="s">
        <v>900</v>
      </c>
      <c r="I497" s="86"/>
      <c r="J497" s="23"/>
      <c r="K497" s="255" cm="1">
        <f t="array" ref="K497">Scope3_Equations.VEERG_15_10_1_1__1_OtherPurchasedGoodsAndServices(E497,IF(J497="kg / amount unit", I497*10^-3, I497))</f>
        <v>0</v>
      </c>
      <c r="L497" s="44"/>
      <c r="M497" s="23"/>
      <c r="N497" s="44"/>
    </row>
    <row r="498" spans="3:41" x14ac:dyDescent="0.25">
      <c r="D498" s="25">
        <v>0</v>
      </c>
      <c r="E498" s="25">
        <v>0</v>
      </c>
      <c r="F498" s="25">
        <v>0</v>
      </c>
      <c r="G498" s="25" t="s">
        <v>900</v>
      </c>
      <c r="H498" s="25" t="s">
        <v>900</v>
      </c>
      <c r="I498" s="86"/>
      <c r="J498" s="23"/>
      <c r="K498" s="255" cm="1">
        <f t="array" ref="K498">Scope3_Equations.VEERG_15_10_1_1__1_OtherPurchasedGoodsAndServices(E498,IF(J498="kg / amount unit", I498*10^-3, I498))</f>
        <v>0</v>
      </c>
      <c r="L498" s="44"/>
      <c r="M498" s="23"/>
      <c r="N498" s="44"/>
    </row>
    <row r="499" spans="3:41" x14ac:dyDescent="0.25">
      <c r="D499" s="25">
        <v>0</v>
      </c>
      <c r="E499" s="25">
        <v>0</v>
      </c>
      <c r="F499" s="25">
        <v>0</v>
      </c>
      <c r="G499" s="25" t="s">
        <v>900</v>
      </c>
      <c r="H499" s="25" t="s">
        <v>900</v>
      </c>
      <c r="I499" s="86"/>
      <c r="J499" s="23"/>
      <c r="K499" s="255" cm="1">
        <f t="array" ref="K499">Scope3_Equations.VEERG_15_10_1_1__1_OtherPurchasedGoodsAndServices(E499,IF(J499="kg / amount unit", I499*10^-3, I499))</f>
        <v>0</v>
      </c>
      <c r="L499" s="44"/>
      <c r="M499" s="23"/>
      <c r="N499" s="44"/>
    </row>
    <row r="501" spans="3:41" ht="20.25" x14ac:dyDescent="0.25">
      <c r="D501" s="256" t="s">
        <v>813</v>
      </c>
      <c r="E501" s="149" t="s">
        <v>900</v>
      </c>
      <c r="F501" s="150" t="str">
        <f>$E$155</f>
        <v>t CO2e</v>
      </c>
    </row>
    <row r="502" spans="3:41" ht="20.25" x14ac:dyDescent="0.25">
      <c r="D502" s="256" t="s">
        <v>816</v>
      </c>
      <c r="E502" s="149">
        <f>SUM(K490:K499)</f>
        <v>4000</v>
      </c>
      <c r="F502" s="150" t="str">
        <f>$E$155</f>
        <v>t CO2e</v>
      </c>
    </row>
    <row r="505" spans="3:41" x14ac:dyDescent="0.2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c r="AH505" s="145"/>
      <c r="AI505" s="145"/>
      <c r="AJ505" s="145"/>
      <c r="AK505" s="145"/>
      <c r="AL505" s="145"/>
      <c r="AM505" s="145"/>
      <c r="AN505" s="145"/>
      <c r="AO505" s="14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0" t="s">
        <v>255</v>
      </c>
      <c r="E508" s="130" t="str" cm="1">
        <f t="array" aca="1" ref="E508" ca="1">Common_InputFunctions.Utility_DisplayFunctionName(E518)</f>
        <v>=Scope3_Equations.VEERG_15_11_1_1__1_TotalUpstreamEmissionsFromFuel</v>
      </c>
    </row>
    <row r="512" spans="3:41" x14ac:dyDescent="0.25">
      <c r="D512" s="88" t="s">
        <v>256</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3" t="str" cm="1">
        <f t="array" ref="D515:E516">_xlfn.CHOOSECOLS(Scope3_Equations.VEERG_15_11_1_1__1_TotalUpstreamEmissionsFromFuel_Arguments(),1,2)</f>
        <v>E_WTTtransq</v>
      </c>
      <c r="E515" s="161" t="str">
        <v>upstream emissions from scope 1 transport fuel use</v>
      </c>
      <c r="F515" s="163"/>
      <c r="G515" s="153" t="str" cm="1">
        <f t="array" ref="G515:H516">_xlfn.CHOOSECOLS(Scope3_Equations.VEERG_15_11_1_1__1_TotalUpstreamEmissionsFromFuel_Arguments(),3,4)</f>
        <v>t CO2e</v>
      </c>
      <c r="H515" s="135" t="str">
        <v>Calculated by 15.11.1.1 (2)</v>
      </c>
      <c r="I515" s="153">
        <f>VEERG_8_1_1_1__1_FuelCombustionTransport_Result</f>
        <v>20.5016</v>
      </c>
    </row>
    <row r="516" spans="3:41" x14ac:dyDescent="0.25">
      <c r="D516" s="153" t="str">
        <v>E_WTTSCq</v>
      </c>
      <c r="E516" s="161" t="str">
        <v>upstream emissions from scope 1 stationary combustion fuel use</v>
      </c>
      <c r="F516" s="163"/>
      <c r="G516" s="153" t="str">
        <v>t CO2e</v>
      </c>
      <c r="H516" s="135" t="str">
        <v>Calculated by 15.11.1.1 (3)</v>
      </c>
      <c r="I516" s="153">
        <f>VEERG_8_2_1_1__1_FuelCombustionStationary_Result</f>
        <v>6.2923999999999998</v>
      </c>
    </row>
    <row r="518" spans="3:41" ht="20.25" x14ac:dyDescent="0.25">
      <c r="D518" s="256" t="s">
        <v>916</v>
      </c>
      <c r="E518" s="149" cm="1">
        <f t="array" ref="E518">Scope3_Equations.VEERG_15_11_1_1__1_TotalUpstreamEmissionsFromFuel(I515,I516)</f>
        <v>26.794</v>
      </c>
      <c r="F518" s="150" t="str">
        <f>$E$155</f>
        <v>t CO2e</v>
      </c>
    </row>
    <row r="520" spans="3:41" x14ac:dyDescent="0.2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5"/>
      <c r="AN520" s="145"/>
      <c r="AO520" s="14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0" t="s">
        <v>255</v>
      </c>
      <c r="E523" s="130" t="str" cm="1">
        <f t="array" aca="1" ref="E523" ca="1">Common_InputFunctions.Utility_DisplayFunctionName(E533)</f>
        <v>=Scope3_Equations.VEERG_15_12_1_1__1_UpstreamPurchasedElectricityLocationBased</v>
      </c>
    </row>
    <row r="526" spans="3:41" x14ac:dyDescent="0.25">
      <c r="D526" s="88" t="s">
        <v>256</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3" t="str" cm="1">
        <f t="array" ref="D529:E531">_xlfn.CHOOSECOLS(Scope3_Equations.VEERG_15_12_1_1__1_UpstreamPurchasedElectricityLocationBased_Arguments(),1,2)</f>
        <v>Q_elec</v>
      </c>
      <c r="E529" s="153" t="str">
        <v>amount of electricity purchased from the grid</v>
      </c>
      <c r="F529" s="153"/>
      <c r="G529" s="153" t="str" cm="1">
        <f t="array" ref="G529:H531">_xlfn.CHOOSECOLS(Scope3_Equations.VEERG_15_12_1_1__1_UpstreamPurchasedElectricityLocationBased_Arguments(),3,4)</f>
        <v>kWh</v>
      </c>
      <c r="H529" s="253" t="str">
        <v>Input</v>
      </c>
      <c r="I529" s="161">
        <f>X_Cell_Electricity_Location_AmountPurchasedInkWh</f>
        <v>30000</v>
      </c>
      <c r="J529" s="163"/>
    </row>
    <row r="530" spans="3:41" x14ac:dyDescent="0.25">
      <c r="D530" s="153" t="str">
        <v>EF_3elec</v>
      </c>
      <c r="E530" s="153" t="str">
        <v>scope 3 emission factor for purchased electricity</v>
      </c>
      <c r="F530" s="153"/>
      <c r="G530" s="153" t="str">
        <v>kg CO2e/kWh</v>
      </c>
      <c r="H530" s="135" t="str">
        <v>Constant</v>
      </c>
      <c r="I530" s="161" cm="1">
        <f t="array" ref="I530">Common_InputFunctions.Utility_LookupValueInTableNumber(I531,Table_SourceData_ElectricityEFs[State, Territory or grid description],Table_SourceData_ElectricityEFs[Scope 3 Emission Factors (kg CO2-e/kWh)])</f>
        <v>0.09</v>
      </c>
      <c r="J530" s="163"/>
    </row>
    <row r="531" spans="3:41" x14ac:dyDescent="0.25">
      <c r="D531" s="153" t="str">
        <v>g</v>
      </c>
      <c r="E531" s="161" t="str">
        <v>grid electricity was purchased from</v>
      </c>
      <c r="F531" s="163"/>
      <c r="G531" s="153" t="str">
        <v/>
      </c>
      <c r="H531" s="253" t="str">
        <v>Input</v>
      </c>
      <c r="I531" s="161" t="str">
        <f>X_Cell_Electricity_Location_GridElectricityPurchasedFrom</f>
        <v>Western Australia - North Western Interconnected System (NWIS)</v>
      </c>
      <c r="J531" s="163"/>
    </row>
    <row r="533" spans="3:41" ht="20.25" x14ac:dyDescent="0.25">
      <c r="D533" s="256" t="s">
        <v>917</v>
      </c>
      <c r="E533" s="149" cm="1">
        <f t="array" ref="E533">Scope3_Equations.VEERG_15_12_1_1__1_UpstreamPurchasedElectricityLocationBased(I529,I530)</f>
        <v>2.7</v>
      </c>
      <c r="F533" s="150" t="str">
        <f>$E$155</f>
        <v>t CO2e</v>
      </c>
    </row>
    <row r="536" spans="3:41" x14ac:dyDescent="0.2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5"/>
      <c r="AN536" s="145"/>
      <c r="AO536" s="14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0" t="s">
        <v>255</v>
      </c>
      <c r="E540" s="130" t="str" cm="1">
        <f t="array" aca="1" ref="E540" ca="1">Common_InputFunctions.Utility_DisplayFunctionName(E555)</f>
        <v>=Scope3_Equations.VEERG_15_12_1_2__1_UpstreamPurchasedElectricityMarketBasedVariation</v>
      </c>
    </row>
    <row r="544" spans="3:41" x14ac:dyDescent="0.25">
      <c r="D544" s="88" t="s">
        <v>256</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3" t="str" cm="1">
        <f t="array" ref="D547:E553">_xlfn.CHOOSECOLS(Scope3_Equations.VEERG_15_12_1_2__1_UpstreamPurchasedElectricityMarketBased_Arguments(),1,2)</f>
        <v>Q_elec</v>
      </c>
      <c r="E547" s="161" t="str">
        <v>amount of electricity purchased from the grid</v>
      </c>
      <c r="F547" s="163"/>
      <c r="G547" s="153" t="str" cm="1">
        <f t="array" ref="G547:H553">_xlfn.CHOOSECOLS(Scope3_Equations.VEERG_15_12_1_2__1_UpstreamPurchasedElectricityMarketBased_Arguments(),3,4)</f>
        <v>kWh</v>
      </c>
      <c r="H547" s="253" t="str">
        <v>Input</v>
      </c>
      <c r="I547" s="257">
        <f>X_Cell_Electricity_Market_AmountPurchasedExcludingGreenPower</f>
        <v>30000</v>
      </c>
    </row>
    <row r="548" spans="3:41" x14ac:dyDescent="0.25">
      <c r="D548" s="153" t="str">
        <v>RPP</v>
      </c>
      <c r="E548" s="161" t="str">
        <v>renewable power percentage under LRET for the applicable period</v>
      </c>
      <c r="F548" s="163"/>
      <c r="G548" s="153" t="str">
        <v>fraction</v>
      </c>
      <c r="H548" s="253" t="str">
        <v>Input</v>
      </c>
      <c r="I548" s="179">
        <f>X_Cell_Electricity_Market_RenewablePowerPercentage</f>
        <v>0.1</v>
      </c>
    </row>
    <row r="549" spans="3:41" x14ac:dyDescent="0.25">
      <c r="D549" s="153" t="str">
        <v>JRPP</v>
      </c>
      <c r="E549" s="161" t="str">
        <v>jurisdictional renewable power percentage for the applicable period</v>
      </c>
      <c r="F549" s="163"/>
      <c r="G549" s="153" t="str">
        <v>fraction</v>
      </c>
      <c r="H549" s="253" t="str">
        <v>Input</v>
      </c>
      <c r="I549" s="179">
        <f>X_Cell_Electricity_Market_JurisdictionalRenewablePowerPercentage</f>
        <v>0.1</v>
      </c>
    </row>
    <row r="550" spans="3:41" x14ac:dyDescent="0.25">
      <c r="D550" s="153" t="str">
        <v>REC_surrendered</v>
      </c>
      <c r="E550" s="161" t="str">
        <v>eligible renewable energy certificates voluntarily surrendered</v>
      </c>
      <c r="F550" s="163"/>
      <c r="G550" s="153" t="str">
        <v>MWh</v>
      </c>
      <c r="H550" s="253" t="str">
        <v>Input</v>
      </c>
      <c r="I550" s="153">
        <f>(X_Cell_Electricity_Market_AmountPurchasedGreenPower*10^-3)+X_Cell_TotalElegibleVoluntarilySurrenderedRECs</f>
        <v>15</v>
      </c>
    </row>
    <row r="551" spans="3:41" x14ac:dyDescent="0.25">
      <c r="D551" s="153" t="str">
        <v>REC_onsite</v>
      </c>
      <c r="E551" s="161" t="str">
        <v>eligible renewable energy certificates issued for onsite generated electricity</v>
      </c>
      <c r="F551" s="163"/>
      <c r="G551" s="153" t="str">
        <v>MWh</v>
      </c>
      <c r="H551" s="253" t="str">
        <v>Input</v>
      </c>
      <c r="I551" s="153">
        <f>X_Cell_TotalElegibleRECsForElectricityProducedOnSite</f>
        <v>0</v>
      </c>
    </row>
    <row r="552" spans="3:41" x14ac:dyDescent="0.25">
      <c r="D552" s="153" t="str">
        <v>EF_RMF3elec</v>
      </c>
      <c r="E552" s="161" t="str">
        <v>scope 3 residual mix emission factor for electricity</v>
      </c>
      <c r="F552" s="163"/>
      <c r="G552" s="153" t="str">
        <v>kg CO2e/kWh</v>
      </c>
      <c r="H552" s="135" t="str">
        <v>Constant</v>
      </c>
      <c r="I552" s="153" cm="1">
        <f t="array" ref="I552">Table_SourceData_ElectricityEFsMarketBased[Scope 3 EF (kg CO2-e/kWh)]</f>
        <v>0.1</v>
      </c>
    </row>
    <row r="553" spans="3:41" x14ac:dyDescent="0.25">
      <c r="D553" s="153" t="str">
        <v>i</v>
      </c>
      <c r="E553" s="161" t="str">
        <v>state</v>
      </c>
      <c r="F553" s="163"/>
      <c r="G553" s="153" t="str">
        <v/>
      </c>
      <c r="H553" s="253" t="str">
        <v>Input</v>
      </c>
      <c r="I553" s="153" t="str">
        <f>X_Cell_Site_State</f>
        <v>Western Australia</v>
      </c>
    </row>
    <row r="555" spans="3:41" ht="20.25" x14ac:dyDescent="0.25">
      <c r="D555" s="256" t="s">
        <v>917</v>
      </c>
      <c r="E555" s="149" cm="1">
        <f t="array" ref="E555">Scope3_Equations.VEERG_15_12_1_2__1_UpstreamPurchasedElectricityMarketBasedVariation(I547,I548,I549,I550,I551,I552)</f>
        <v>0.9</v>
      </c>
      <c r="F555" s="150" t="str">
        <f>$E$155</f>
        <v>t CO2e</v>
      </c>
    </row>
    <row r="558" spans="3:41" x14ac:dyDescent="0.2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5"/>
      <c r="AN558" s="145"/>
      <c r="AO558" s="14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0" t="s">
        <v>255</v>
      </c>
      <c r="E561" s="130" t="str" cm="1">
        <f t="array" aca="1" ref="E561" ca="1">Common_InputFunctions.Utility_DisplayFunctionName(E573)</f>
        <v>=Scope3_Equations.VEERG_15_13_1_1__1_EmissionsFromManureSentOffSite</v>
      </c>
    </row>
    <row r="564" spans="4:18" x14ac:dyDescent="0.25">
      <c r="D564" s="88" t="s">
        <v>256</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3" t="str" cm="1">
        <f t="array" ref="D569:E571">_xlfn.CHOOSECOLS(Scope3_Equations.VEERG_15_13_1_1__1_EmissionsFromManureSentOffSite_Arguments(),1,2)</f>
        <v>E_N2O</v>
      </c>
      <c r="E569" s="161" t="str">
        <v>direct nitrous oxide emissions from application of manure to soils outside of scope 1 boundary</v>
      </c>
      <c r="F569" s="162"/>
      <c r="G569" s="163"/>
      <c r="H569" s="153" t="str" cm="1">
        <f t="array" ref="H569:I571">_xlfn.CHOOSECOLS(Scope3_Equations.VEERG_15_13_1_1__1_EmissionsFromManureSentOffSite_Arguments(),3,4)</f>
        <v>t N2O</v>
      </c>
      <c r="I569" s="135" t="str">
        <v>Calculated</v>
      </c>
      <c r="J569" s="153">
        <f>VEERG_5_2_1_1__1_OrganicFertiliserApplicationN2OEmissions_Result_Method1</f>
        <v>7.8571428571428577E-3</v>
      </c>
      <c r="L569" s="153" t="str" cm="1">
        <f t="array" ref="L569:M571">_xlfn.CHOOSECOLS(Scope3_Equations.VEERG_15_13_1_1__1_EmissionsFromManureSentOffSite_Arguments(),1,2)</f>
        <v>E_N2O</v>
      </c>
      <c r="M569" s="161" t="str">
        <v>direct nitrous oxide emissions from application of manure to soils outside of scope 1 boundary</v>
      </c>
      <c r="N569" s="162"/>
      <c r="O569" s="163"/>
      <c r="P569" s="153" t="str" cm="1">
        <f t="array" ref="P569:Q571">_xlfn.CHOOSECOLS(Scope3_Equations.VEERG_15_13_1_1__1_EmissionsFromManureSentOffSite_Arguments(),3,4)</f>
        <v>t N2O</v>
      </c>
      <c r="Q569" s="135" t="str">
        <v>Calculated</v>
      </c>
      <c r="R569" s="153">
        <f>VEERG_5_2_1_1__1_OrganicFertiliserApplicationN2OEmissions_Result_Method2</f>
        <v>1.5714285714285715E-2</v>
      </c>
    </row>
    <row r="570" spans="4:18" x14ac:dyDescent="0.25">
      <c r="D570" s="153" t="str">
        <v>E_ad</v>
      </c>
      <c r="E570" s="161" t="str">
        <v>nitrous oxide emissions from atmospheric deposition of manure to soils</v>
      </c>
      <c r="F570" s="162"/>
      <c r="G570" s="163"/>
      <c r="H570" s="153" t="str">
        <v>t N2O</v>
      </c>
      <c r="I570" s="135" t="str">
        <v>Calculated</v>
      </c>
      <c r="J570" s="153">
        <f>VEERG_5_4_1_3__1_OrganicFertiliserAtmosphericDepositionN2OEmissions_Result_Method1</f>
        <v>2.31E-3</v>
      </c>
      <c r="L570" s="153" t="str">
        <v>E_ad</v>
      </c>
      <c r="M570" s="161" t="str">
        <v>nitrous oxide emissions from atmospheric deposition of manure to soils</v>
      </c>
      <c r="N570" s="162"/>
      <c r="O570" s="163"/>
      <c r="P570" s="153" t="str">
        <v>t N2O</v>
      </c>
      <c r="Q570" s="135" t="str">
        <v>Calculated</v>
      </c>
      <c r="R570" s="153">
        <f>VEERG_5_4_1_3__1_OrganicFertiliserAtmosphericDepositionN2OEmissions_Result_Method2</f>
        <v>4.62E-3</v>
      </c>
    </row>
    <row r="571" spans="4:18" x14ac:dyDescent="0.25">
      <c r="D571" s="153" t="str">
        <v>E_leach</v>
      </c>
      <c r="E571" s="161" t="str">
        <v>nitrous oxide emissions from nitrogen leaching and runoff of manure to soils</v>
      </c>
      <c r="F571" s="162"/>
      <c r="G571" s="163"/>
      <c r="H571" s="153" t="str">
        <v>t N2O</v>
      </c>
      <c r="I571" s="135" t="str">
        <v>Calculated</v>
      </c>
      <c r="J571" s="153">
        <f>VEERG_5_5_1_1__1_FertiliserLeachingAndRunoffN2OEmissions_Result_Method1</f>
        <v>4.1485714285714277E-3</v>
      </c>
      <c r="L571" s="153" t="str">
        <v>E_leach</v>
      </c>
      <c r="M571" s="161" t="str">
        <v>nitrous oxide emissions from nitrogen leaching and runoff of manure to soils</v>
      </c>
      <c r="N571" s="162"/>
      <c r="O571" s="163"/>
      <c r="P571" s="153" t="str">
        <v>t N2O</v>
      </c>
      <c r="Q571" s="135" t="str">
        <v>Calculated</v>
      </c>
      <c r="R571" s="153">
        <f>VEERG_5_5_1_1__1_FertiliserLeachingAndRunoffN2OEmissions_Result_Method2</f>
        <v>8.2971428571428554E-3</v>
      </c>
    </row>
    <row r="573" spans="4:18" ht="20.25" x14ac:dyDescent="0.25">
      <c r="D573" s="256" t="s">
        <v>917</v>
      </c>
      <c r="E573" s="149" cm="1">
        <f t="array" ref="E573">Scope3_Equations.VEERG_15_13_1_1__1_EmissionsFromManureSentOffSite(J569,J570,J571)</f>
        <v>1.4315714285714286E-2</v>
      </c>
      <c r="F573" s="150" t="str">
        <f>$E$565</f>
        <v>t N2O</v>
      </c>
      <c r="L573" s="256" t="s">
        <v>917</v>
      </c>
      <c r="M573" s="149" cm="1">
        <f t="array" ref="M573">Scope3_Equations.VEERG_15_13_1_1__1_EmissionsFromManureSentOffSite(R569,R570,R571)</f>
        <v>2.8631428571428572E-2</v>
      </c>
      <c r="N573" s="150" t="str">
        <f>$E$565</f>
        <v>t N2O</v>
      </c>
    </row>
    <row r="575" spans="4:18" x14ac:dyDescent="0.25">
      <c r="D575" s="131" t="str" cm="1">
        <f t="array" ref="D575:E576">Common_Equations.Common_ConvertN2OToCO2e_Arguments()</f>
        <v>EN2O</v>
      </c>
      <c r="E575" s="132" t="str">
        <v>Nitrous oxide emissions (t N2O)</v>
      </c>
      <c r="F575" s="151"/>
      <c r="G575" s="25">
        <f>E573</f>
        <v>1.4315714285714286E-2</v>
      </c>
      <c r="L575" s="131" t="str" cm="1">
        <f t="array" ref="L575:M576">Common_Equations.Common_ConvertN2OToCO2e_Arguments()</f>
        <v>EN2O</v>
      </c>
      <c r="M575" s="132" t="str">
        <v>Nitrous oxide emissions (t N2O)</v>
      </c>
      <c r="N575" s="151"/>
      <c r="O575" s="25">
        <f>M573</f>
        <v>2.8631428571428572E-2</v>
      </c>
    </row>
    <row r="576" spans="4:18" x14ac:dyDescent="0.25">
      <c r="D576" s="131" t="str">
        <v>GWPN2O</v>
      </c>
      <c r="E576" s="132" t="str">
        <v>Global warming potential for nitrous oxide (t CO2-e / t N2O)</v>
      </c>
      <c r="F576" s="151"/>
      <c r="G576" s="25">
        <f>Common_InputFunctions.Utility_LookupValueInTableNumber("N2O",Table_GWPData[Gas],Table_GWPData[CO2-e factor])</f>
        <v>265</v>
      </c>
      <c r="L576" s="131" t="str">
        <v>GWPN2O</v>
      </c>
      <c r="M576" s="132" t="str">
        <v>Global warming potential for nitrous oxide (t CO2-e / t N2O)</v>
      </c>
      <c r="N576" s="151"/>
      <c r="O576" s="25">
        <f>Common_InputFunctions.Utility_LookupValueInTableNumber("N2O",Table_GWPData[Gas],Table_GWPData[CO2-e factor])</f>
        <v>265</v>
      </c>
    </row>
    <row r="578" spans="3:41" ht="18.75" x14ac:dyDescent="0.25">
      <c r="D578" s="145" t="s">
        <v>287</v>
      </c>
      <c r="E578" s="145" cm="1">
        <f t="array" ref="E578">Common_Equations.Common_ConvertN2OToCO2e(G575,G576)</f>
        <v>3.7936642857142857</v>
      </c>
      <c r="F578" s="152" t="str" cm="1">
        <f t="array" ref="F578">Common_Equations.Common_ConvertN2OToCO2e_Unit()</f>
        <v>t CO2e</v>
      </c>
      <c r="L578" s="145" t="s">
        <v>287</v>
      </c>
      <c r="M578" s="145" cm="1">
        <f t="array" ref="M578">Common_Equations.Common_ConvertN2OToCO2e(O575,O576)</f>
        <v>7.5873285714285714</v>
      </c>
      <c r="N578" s="152" t="str" cm="1">
        <f t="array" ref="N578">Common_Equations.Common_ConvertN2OToCO2e_Unit()</f>
        <v>t CO2e</v>
      </c>
    </row>
    <row r="581" spans="3:41" x14ac:dyDescent="0.2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c r="AH581" s="145"/>
      <c r="AI581" s="145"/>
      <c r="AJ581" s="145"/>
      <c r="AK581" s="145"/>
      <c r="AL581" s="145"/>
      <c r="AM581" s="145"/>
      <c r="AN581" s="145"/>
      <c r="AO581" s="14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256</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6" t="s">
        <v>917</v>
      </c>
      <c r="E588" s="149">
        <f>VEERG_10_1_1_1__1_EmissionsFromWasteManagement_Scope3_Result_Method1</f>
        <v>441.15000000000003</v>
      </c>
      <c r="F588" s="150" t="str">
        <f>E586</f>
        <v>t CO2e</v>
      </c>
    </row>
    <row r="591" spans="3:41" x14ac:dyDescent="0.2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c r="AH591" s="145"/>
      <c r="AI591" s="145"/>
      <c r="AJ591" s="145"/>
      <c r="AK591" s="145"/>
      <c r="AL591" s="145"/>
      <c r="AM591" s="145"/>
      <c r="AN591" s="145"/>
      <c r="AO591" s="14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0" t="s">
        <v>255</v>
      </c>
      <c r="E594" s="130" t="str" cm="1">
        <f t="array" aca="1" ref="E594" ca="1">Common_InputFunctions.Utility_DisplayFunctionName(J609)</f>
        <v>=Scope3_Equations.VEERG_15_14_1_1__1_EmbeddedEmissionsFromUpstreamFreight</v>
      </c>
    </row>
    <row r="598" spans="4:13" x14ac:dyDescent="0.25">
      <c r="D598" s="88" t="s">
        <v>256</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3" t="str" cm="1">
        <f t="array" ref="D601:E604">_xlfn.CHOOSECOLS(Scope3_Equations.VEERG_15_14_1_1__1_EmbeddedEmissionsFromUpstreamFreight_Arguments(),1,2)</f>
        <v>W_f</v>
      </c>
      <c r="E601" s="161" t="str">
        <v>total mass of goods transported per freight type f</v>
      </c>
      <c r="F601" s="163"/>
      <c r="G601" s="153" t="str" cm="1">
        <f t="array" ref="G601:H604">_xlfn.CHOOSECOLS(Scope3_Equations.VEERG_15_14_1_1__1_EmbeddedEmissionsFromUpstreamFreight_Arguments(),3,4)</f>
        <v>t</v>
      </c>
      <c r="H601" s="253" t="str">
        <v>Input</v>
      </c>
    </row>
    <row r="602" spans="4:13" x14ac:dyDescent="0.25">
      <c r="D602" s="153" t="str">
        <v>D_f</v>
      </c>
      <c r="E602" s="161" t="str">
        <v>total distance transported per freight type f</v>
      </c>
      <c r="F602" s="163"/>
      <c r="G602" s="153" t="str">
        <v>km</v>
      </c>
      <c r="H602" s="253" t="str">
        <v>Input</v>
      </c>
    </row>
    <row r="603" spans="4:13" x14ac:dyDescent="0.25">
      <c r="D603" s="153" t="str">
        <v>EF_f</v>
      </c>
      <c r="E603" s="161" t="str">
        <v>emission factor for freight type f</v>
      </c>
      <c r="F603" s="163"/>
      <c r="G603" s="153" t="str">
        <v>t CO2e/(t km)</v>
      </c>
      <c r="H603" s="135" t="str">
        <v>Constant</v>
      </c>
    </row>
    <row r="604" spans="4:13" x14ac:dyDescent="0.25">
      <c r="D604" s="153" t="str">
        <v>f</v>
      </c>
      <c r="E604" s="161" t="str">
        <v>freight type</v>
      </c>
      <c r="F604" s="163"/>
      <c r="G604" s="153" t="str">
        <v/>
      </c>
      <c r="H604" s="253" t="str">
        <v>Input</v>
      </c>
    </row>
    <row r="606" spans="4:13" ht="18.75" x14ac:dyDescent="0.25">
      <c r="D606" s="238" t="s">
        <v>783</v>
      </c>
    </row>
    <row r="608" spans="4:13" ht="17.25" x14ac:dyDescent="0.25">
      <c r="D608" s="144" t="s">
        <v>918</v>
      </c>
      <c r="E608" s="144" t="s">
        <v>919</v>
      </c>
      <c r="F608" s="144" t="s">
        <v>920</v>
      </c>
      <c r="G608" s="143" t="s">
        <v>921</v>
      </c>
      <c r="H608" s="143" t="s">
        <v>813</v>
      </c>
      <c r="I608" s="144" t="s">
        <v>861</v>
      </c>
      <c r="J608" s="143" t="s">
        <v>816</v>
      </c>
      <c r="K608" s="144" t="s">
        <v>817</v>
      </c>
      <c r="L608" s="144" t="s">
        <v>818</v>
      </c>
      <c r="M608" s="144" t="s">
        <v>819</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900</v>
      </c>
      <c r="H609" s="25" t="s">
        <v>900</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900</v>
      </c>
      <c r="H610" s="25" t="s">
        <v>900</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900</v>
      </c>
      <c r="H611" s="25" t="s">
        <v>900</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900</v>
      </c>
      <c r="H612" s="25" t="s">
        <v>900</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900</v>
      </c>
      <c r="H613" s="25" t="s">
        <v>900</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900</v>
      </c>
      <c r="H614" s="25" t="s">
        <v>900</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900</v>
      </c>
      <c r="H615" s="25" t="s">
        <v>900</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900</v>
      </c>
      <c r="H616" s="25" t="s">
        <v>900</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900</v>
      </c>
      <c r="H617" s="25" t="s">
        <v>900</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900</v>
      </c>
      <c r="H618" s="25" t="s">
        <v>900</v>
      </c>
      <c r="I618" s="86"/>
      <c r="J618" s="25" cm="1">
        <f t="array" ref="J618">Scope3_Equations.VEERG_15_14_1_1__1_EmbeddedEmissionsFromUpstreamFreight(E618,F618,I618)</f>
        <v>0</v>
      </c>
      <c r="K618" s="44"/>
      <c r="L618" s="23"/>
      <c r="M618" s="44"/>
    </row>
    <row r="620" spans="4:13" x14ac:dyDescent="0.25">
      <c r="D620" s="158" t="s">
        <v>922</v>
      </c>
      <c r="E620" s="145" t="s">
        <v>900</v>
      </c>
      <c r="F620" s="152" t="str">
        <f>$E$104</f>
        <v>t CO2e</v>
      </c>
    </row>
    <row r="621" spans="4:13" x14ac:dyDescent="0.25">
      <c r="D621" s="158" t="s">
        <v>923</v>
      </c>
      <c r="E621" s="145">
        <f>SUM(J609:J618)</f>
        <v>5146700</v>
      </c>
      <c r="F621" s="152" t="str">
        <f>$E$104</f>
        <v>t CO2e</v>
      </c>
    </row>
    <row r="624" spans="4:13" ht="18.75" x14ac:dyDescent="0.25">
      <c r="D624" s="238" t="s">
        <v>793</v>
      </c>
    </row>
    <row r="626" spans="4:13" ht="17.25" x14ac:dyDescent="0.25">
      <c r="D626" s="144" t="s">
        <v>918</v>
      </c>
      <c r="E626" s="144" t="s">
        <v>919</v>
      </c>
      <c r="F626" s="144" t="s">
        <v>920</v>
      </c>
      <c r="G626" s="143" t="s">
        <v>921</v>
      </c>
      <c r="H626" s="143" t="s">
        <v>813</v>
      </c>
      <c r="I626" s="144" t="s">
        <v>861</v>
      </c>
      <c r="J626" s="143" t="s">
        <v>816</v>
      </c>
      <c r="K626" s="144" t="s">
        <v>817</v>
      </c>
      <c r="L626" s="144" t="s">
        <v>818</v>
      </c>
      <c r="M626" s="144" t="s">
        <v>819</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900</v>
      </c>
      <c r="H627" s="25" t="s">
        <v>900</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900</v>
      </c>
      <c r="H628" s="25" t="s">
        <v>900</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900</v>
      </c>
      <c r="H629" s="25" t="s">
        <v>900</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900</v>
      </c>
      <c r="H630" s="25" t="s">
        <v>900</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900</v>
      </c>
      <c r="H631" s="25" t="s">
        <v>900</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900</v>
      </c>
      <c r="H632" s="25" t="s">
        <v>900</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900</v>
      </c>
      <c r="H633" s="25" t="s">
        <v>900</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900</v>
      </c>
      <c r="H634" s="25" t="s">
        <v>900</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900</v>
      </c>
      <c r="H635" s="25" t="s">
        <v>900</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900</v>
      </c>
      <c r="H636" s="25" t="s">
        <v>900</v>
      </c>
      <c r="I636" s="86"/>
      <c r="J636" s="25" cm="1">
        <f t="array" ref="J636">Scope3_Equations.VEERG_15_14_1_1__1_EmbeddedEmissionsFromUpstreamFreight(E636,F636,I636)</f>
        <v>0</v>
      </c>
      <c r="K636" s="44"/>
      <c r="L636" s="23"/>
      <c r="M636" s="44"/>
    </row>
    <row r="638" spans="4:13" x14ac:dyDescent="0.25">
      <c r="D638" s="158" t="s">
        <v>924</v>
      </c>
      <c r="E638" s="145" t="s">
        <v>900</v>
      </c>
      <c r="F638" s="152" t="str">
        <f>$E$104</f>
        <v>t CO2e</v>
      </c>
    </row>
    <row r="639" spans="4:13" x14ac:dyDescent="0.25">
      <c r="D639" s="158" t="s">
        <v>925</v>
      </c>
      <c r="E639" s="145">
        <f>SUM(J627:J636)</f>
        <v>432640</v>
      </c>
      <c r="F639" s="152" t="str">
        <f>$E$104</f>
        <v>t CO2e</v>
      </c>
    </row>
    <row r="641" spans="4:6" ht="20.25" x14ac:dyDescent="0.25">
      <c r="D641" s="148" t="s">
        <v>813</v>
      </c>
      <c r="E641" s="149" t="s">
        <v>900</v>
      </c>
      <c r="F641" s="150" t="str">
        <f>$E$104</f>
        <v>t CO2e</v>
      </c>
    </row>
    <row r="642" spans="4:6" ht="20.25" x14ac:dyDescent="0.25">
      <c r="D642" s="148" t="s">
        <v>816</v>
      </c>
      <c r="E642" s="149">
        <f>E621+E639</f>
        <v>5579340</v>
      </c>
      <c r="F642" s="150" t="str">
        <f>$E$104</f>
        <v>t CO2e</v>
      </c>
    </row>
  </sheetData>
  <dataValidations count="2">
    <dataValidation type="list" allowBlank="1" showInputMessage="1" showErrorMessage="1" sqref="J490:J499" xr:uid="{7DD2A6B2-EC38-4C46-9FC6-C0C8C3A54C3B}">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0C8C1A35-FF1D-4240-A0DA-D9085DAC7E21}">
      <formula1>INDIRECT("Table_SourceData_DataScores_Scope3[Data source]")</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4102E-BC29-4160-B8E3-EF9A36E598F7}">
  <sheetPr>
    <tabColor theme="9" tint="-0.249977111117893"/>
  </sheetPr>
  <dimension ref="A1:U160"/>
  <sheetViews>
    <sheetView showGridLines="0" topLeftCell="C61"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2" width="5.28515625" style="237" customWidth="1"/>
    <col min="13" max="13" width="5.28515625" style="1" customWidth="1"/>
    <col min="14" max="20" width="35" style="1" customWidth="1"/>
    <col min="21" max="21" width="5.28515625" style="1" customWidth="1"/>
    <col min="22" max="16384" width="9.140625" style="237"/>
  </cols>
  <sheetData>
    <row r="1" spans="1:21" ht="30" customHeight="1" x14ac:dyDescent="0.35">
      <c r="A1" s="16" t="e" vm="1">
        <v>#VALUE!</v>
      </c>
      <c r="C1" s="31" t="s">
        <v>926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0" t="s">
        <v>255</v>
      </c>
      <c r="E7" s="130" t="str" cm="1">
        <f t="array" aca="1" ref="E7" ca="1">Common_InputFunctions.Utility_DisplayFunctionName(E19)</f>
        <v>=Fertiliser_Equations_OrganicN2O.VEERG_5_2_1_1__1_OrganicFertiliserApplicationN2OEmissions</v>
      </c>
      <c r="N7" s="130" t="s">
        <v>255</v>
      </c>
      <c r="O7" s="130"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Fertiliser_Equations_OrganicN2O.VEERG_5_2_1_1__1_OrganicFertiliserApplicationN2OEmissions_Variable()</f>
        <v>E_N2O</v>
      </c>
      <c r="N10" s="88" t="s">
        <v>256</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7">_xlfn.CHOOSECOLS(Fertiliser_Equations_OrganicN2O.VEERG_5_2_1_1__1_OrganicFertiliserApplicationN2OEmissions_Arguments(), 1, 2)</f>
        <v>MNSoil_jf</v>
      </c>
      <c r="E13" s="161" t="str">
        <v>mass of nitrogen in organic fertiliser type f applied to production system j</v>
      </c>
      <c r="F13" s="162"/>
      <c r="G13" s="163"/>
      <c r="H13" s="153" t="str" cm="1">
        <f t="array" ref="H13:I17">_xlfn.CHOOSECOLS(Fertiliser_Equations_OrganicN2O.VEERG_5_2_1_1__1_OrganicFertiliserApplicationN2OEmissions_Arguments(), 3,4)</f>
        <v>kg N</v>
      </c>
      <c r="I13" s="135" t="str">
        <v>Calculated from 5.2.1.1 (2)</v>
      </c>
      <c r="J13" s="153">
        <f>X_Cell_ManureSentOffsite_MassNitrogenManure_Method1</f>
        <v>1000</v>
      </c>
      <c r="N13" s="153" t="str" cm="1">
        <f t="array" ref="N13:O17">_xlfn.CHOOSECOLS(Fertiliser_Equations_OrganicN2O.VEERG_5_2_1_1__1_OrganicFertiliserApplicationN2OEmissions_Arguments(), 1, 2)</f>
        <v>MNSoil_jf</v>
      </c>
      <c r="O13" s="161" t="str">
        <v>mass of nitrogen in organic fertiliser type f applied to production system j</v>
      </c>
      <c r="P13" s="162"/>
      <c r="Q13" s="163"/>
      <c r="R13" s="153" t="str" cm="1">
        <f t="array" ref="R13:S17">_xlfn.CHOOSECOLS(Fertiliser_Equations_OrganicN2O.VEERG_5_2_1_1__1_OrganicFertiliserApplicationN2OEmissions_Arguments(), 3,4)</f>
        <v>kg N</v>
      </c>
      <c r="S13" s="135" t="str">
        <v>Calculated from 5.2.1.1 (2)</v>
      </c>
      <c r="T13" s="153">
        <f>X_Cell_ManureSentOffsite_MassNitrogenManure_Method2</f>
        <v>2000</v>
      </c>
    </row>
    <row r="14" spans="1:21" ht="20.100000000000001" customHeight="1" x14ac:dyDescent="0.25">
      <c r="A14" s="5" t="str">
        <f>HYPERLINK("#'Input - Fuel'!A1", "Fuel")</f>
        <v>Fuel</v>
      </c>
      <c r="D14" s="153" t="str">
        <v>EF_N2Oi</v>
      </c>
      <c r="E14" s="161" t="str">
        <v>emission factor for direct nitrous oxide emissions from organic fertiliser applied to soils and aquatic systems in climate zone i</v>
      </c>
      <c r="F14" s="162"/>
      <c r="G14" s="163"/>
      <c r="H14" s="153" t="str">
        <v>kg N2O-N/kg N</v>
      </c>
      <c r="I14" s="135" t="str">
        <v>Lookup</v>
      </c>
      <c r="J14" s="153">
        <f>Common_InputFunctions.Utility_LookupValueInTableNumber(J17, Table_SourceData_Common_EFOrganicFertCropResidues[Climate Zone],Table_SourceData_Common_EFOrganicFertCropResidues[EFNi &amp; EFN2Oi])</f>
        <v>5.0000000000000001E-3</v>
      </c>
      <c r="N14" s="153" t="str">
        <v>EF_N2Oi</v>
      </c>
      <c r="O14" s="161" t="str">
        <v>emission factor for direct nitrous oxide emissions from organic fertiliser applied to soils and aquatic systems in climate zone i</v>
      </c>
      <c r="P14" s="162"/>
      <c r="Q14" s="163"/>
      <c r="R14" s="153" t="str">
        <v>kg N2O-N/kg N</v>
      </c>
      <c r="S14" s="135" t="str">
        <v>Lookup</v>
      </c>
      <c r="T14" s="153"/>
    </row>
    <row r="15" spans="1:21" ht="20.100000000000001" customHeight="1" x14ac:dyDescent="0.25">
      <c r="A15" s="5" t="str">
        <f>HYPERLINK("#'Input - Electricity'!A1", "Electricity")</f>
        <v>Electricity</v>
      </c>
      <c r="D15" s="153" t="str">
        <v>C_N2O</v>
      </c>
      <c r="E15" s="161" t="str">
        <v>factor to convert elemental mass of nitrous oxide to molecular mass</v>
      </c>
      <c r="F15" s="162"/>
      <c r="G15" s="163"/>
      <c r="H15" s="153" t="str">
        <v/>
      </c>
      <c r="I15" s="135" t="str">
        <v>Constant</v>
      </c>
      <c r="J15" s="153">
        <f>Common_InputFunctions.Utility_LookupValueInTableNumber("N2O",Table_GasToMolecularConversionFactor[Gas],Table_GasToMolecularConversionFactor[Conversion factor combined])</f>
        <v>1.5714285714285714</v>
      </c>
      <c r="N15" s="153" t="str">
        <v>C_N2O</v>
      </c>
      <c r="O15" s="161" t="str">
        <v>factor to convert elemental mass of nitrous oxide to molecular mass</v>
      </c>
      <c r="P15" s="162"/>
      <c r="Q15" s="163"/>
      <c r="R15" s="153" t="str">
        <v/>
      </c>
      <c r="S15" s="135" t="str">
        <v>Constant</v>
      </c>
      <c r="T15" s="153"/>
    </row>
    <row r="16" spans="1:21" ht="20.100000000000001" customHeight="1" x14ac:dyDescent="0.25">
      <c r="A16" s="5" t="str">
        <f>HYPERLINK("#'Input - Farm Inputs'!A1", "Farm Inputs")</f>
        <v>Farm Inputs</v>
      </c>
      <c r="D16" s="153" t="str">
        <v>j</v>
      </c>
      <c r="E16" s="161" t="str">
        <v>Production system</v>
      </c>
      <c r="F16" s="162"/>
      <c r="G16" s="163"/>
      <c r="H16" s="153" t="str">
        <v/>
      </c>
      <c r="I16" s="253" t="str">
        <v>Input</v>
      </c>
      <c r="J16" s="153" t="str">
        <f>X_Cell_ManureSentOffsite_ManureProductionSystem</f>
        <v>Crop</v>
      </c>
      <c r="N16" s="153" t="str">
        <v>j</v>
      </c>
      <c r="O16" s="161" t="str">
        <v>Production system</v>
      </c>
      <c r="P16" s="162"/>
      <c r="Q16" s="163"/>
      <c r="R16" s="153" t="str">
        <v/>
      </c>
      <c r="S16" s="253" t="str">
        <v>Input</v>
      </c>
      <c r="T16" s="153"/>
    </row>
    <row r="17" spans="1:20" ht="20.100000000000001" customHeight="1" x14ac:dyDescent="0.25">
      <c r="A17" s="5" t="str">
        <f>HYPERLINK("#'Input - Freight'!A1", "Freight")</f>
        <v>Freight</v>
      </c>
      <c r="D17" s="153" t="str">
        <v>i</v>
      </c>
      <c r="E17" s="161" t="str">
        <v>Wet or dry climate zone</v>
      </c>
      <c r="F17" s="162"/>
      <c r="G17" s="163"/>
      <c r="H17" s="153" t="str">
        <v/>
      </c>
      <c r="I17" s="253" t="str">
        <v>Input</v>
      </c>
      <c r="J17" s="153" t="str">
        <f>X_Cell_Site_WetOrDryClimateZone</f>
        <v>Dry climate zone</v>
      </c>
      <c r="N17" s="153" t="str">
        <v>i</v>
      </c>
      <c r="O17" s="161" t="str">
        <v>Wet or dry climate zone</v>
      </c>
      <c r="P17" s="162"/>
      <c r="Q17" s="163"/>
      <c r="R17" s="153" t="str">
        <v/>
      </c>
      <c r="S17" s="253" t="str">
        <v>Input</v>
      </c>
      <c r="T17" s="153"/>
    </row>
    <row r="18" spans="1:20" ht="20.100000000000001" customHeight="1" x14ac:dyDescent="0.25">
      <c r="A18" s="5" t="str">
        <f>HYPERLINK("#'Input - Manure sent off-site'!A1", "Manure sent off-site")</f>
        <v>Manure sent off-site</v>
      </c>
    </row>
    <row r="19" spans="1:20" ht="20.100000000000001" customHeight="1" x14ac:dyDescent="0.25">
      <c r="A19" s="5" t="str">
        <f>HYPERLINK("#'Input - Solid waste'!A1", "Solid waste")</f>
        <v>Solid waste</v>
      </c>
      <c r="D19" s="148" t="s">
        <v>286</v>
      </c>
      <c r="E19" s="149" cm="1">
        <f t="array" ref="E19">Fertiliser_Equations_OrganicN2O.VEERG_5_2_1_1__1_OrganicFertiliserApplicationN2OEmissions(J13,J14,J15)</f>
        <v>7.8571428571428577E-3</v>
      </c>
      <c r="F19" s="150" t="str">
        <f>$E$11</f>
        <v>t N2O</v>
      </c>
      <c r="N19" s="148" t="s">
        <v>286</v>
      </c>
      <c r="O19" s="149" cm="1">
        <f t="array" ref="O19">Fertiliser_Equations_OrganicN2O.VEERG_5_2_1_1__1_OrganicFertiliserApplicationN2OEmissions(T13,J14,J15)</f>
        <v>1.5714285714285715E-2</v>
      </c>
      <c r="P19" s="150" t="str">
        <f>$E$11</f>
        <v>t N2O</v>
      </c>
    </row>
    <row r="20" spans="1:20" ht="20.100000000000001" customHeight="1" x14ac:dyDescent="0.25">
      <c r="A20"/>
    </row>
    <row r="21" spans="1:20" ht="20.100000000000001" customHeight="1" x14ac:dyDescent="0.25">
      <c r="A21"/>
    </row>
    <row r="22" spans="1:20" ht="20.100000000000001" customHeight="1" x14ac:dyDescent="0.25">
      <c r="A22" s="6" t="s">
        <v>2</v>
      </c>
    </row>
    <row r="23" spans="1:20" ht="20.100000000000001" customHeight="1" x14ac:dyDescent="0.25">
      <c r="A23" s="5" t="str">
        <f>HYPERLINK("#'5.1.1.1-2 Inorganic fert N2O'!A1", "5.1.1.1-2 Inorganic fert N2O")</f>
        <v>5.1.1.1-2 Inorganic fert N2O</v>
      </c>
    </row>
    <row r="24" spans="1:20" ht="20.100000000000001" customHeight="1" x14ac:dyDescent="0.25">
      <c r="A24" s="5" t="str">
        <f>HYPERLINK("#'5.1.1.3-4 Inorganic fert CO2'!A1", "5.1.1.3-4 Inorganic fert CO2")</f>
        <v>5.1.1.3-4 Inorganic fert CO2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HYPERLINK("#'5.2.1.1-2 Organic Fert N2O'!A1", "5.2.1.1-2 Organic fert N2O")</f>
        <v>5.2.1.1-2 Organic fert N2O</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HYPERLINK("#'5.3.1.1-2 Lime CO2'!A1", "5.3.1.1-2 Lime CO2")</f>
        <v>5.3.1.1-2 Lime CO2</v>
      </c>
      <c r="D26" s="130" t="s">
        <v>255</v>
      </c>
      <c r="E26" s="130" t="str" cm="1">
        <f t="array" aca="1" ref="E26" ca="1">Common_InputFunctions.Utility_DisplayFunctionName(E35)</f>
        <v>=Fertiliser_Equations_AtmosphericDeposition.VEERG_5_4_1_3__2_MassOfNitrogenVolatilisedFromOrganicFertiliser</v>
      </c>
      <c r="N26" s="130" t="s">
        <v>255</v>
      </c>
      <c r="O26" s="13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HYPERLINK("#'5.4.1.1-4 Atmos deposition'!A1", "5.4.1.1-4 Atmos. deposition")</f>
        <v>5.4.1.1-4 Atmos. deposition</v>
      </c>
    </row>
    <row r="28" spans="1:20" ht="20.100000000000001" customHeight="1" x14ac:dyDescent="0.25">
      <c r="A28" s="5" t="str">
        <f>HYPERLINK("#'5.5.1.1-2 Leaching and runoff'!A1", "5.5.1.1-2 Leaching &amp; runoff")</f>
        <v>5.5.1.1-2 Leaching &amp; runoff</v>
      </c>
    </row>
    <row r="29" spans="1:20" ht="20.100000000000001" customHeight="1" x14ac:dyDescent="0.25">
      <c r="A29" s="5" t="str">
        <f>HYPERLINK("#'6.1.1.1-2 Crop residue N2O'!A1", "6.1.1.1-2 Crop residue N2O")</f>
        <v>6.1.1.1-2 Crop residue N2O</v>
      </c>
      <c r="D29" s="88" t="s">
        <v>256</v>
      </c>
      <c r="E29" s="1" t="str" cm="1">
        <f t="array" ref="E29">Fertiliser_Equations_AtmosphericDeposition.VEERG_5_4_1_3__2_MassOfNitrogenVolatilisedFromOrganicFertiliser_Variable()</f>
        <v>M_volorganicjf</v>
      </c>
      <c r="N29" s="88" t="s">
        <v>256</v>
      </c>
      <c r="O29" s="1" t="str" cm="1">
        <f t="array" ref="O29">Fertiliser_Equations_AtmosphericDeposition.VEERG_5_4_1_3__2_MassOfNitrogenVolatilisedFromOrganicFertiliser_Variable()</f>
        <v>M_volorganicjf</v>
      </c>
    </row>
    <row r="30" spans="1:20" ht="20.100000000000001" customHeight="1" x14ac:dyDescent="0.25">
      <c r="A30" s="5" t="str">
        <f>HYPERLINK("#'6.3.1.1-2 Leach runoff crop'!A1", "6.3.1.1-2 Leach &amp; runoff (crop)")</f>
        <v>6.3.1.1-2 Leach &amp; runoff (crop)</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HYPERLINK("#'6.4.1.1-2 Residue burning'!A1", "6.4.1.1-2 Residue burning")</f>
        <v>6.4.1.1-2 Residue burning</v>
      </c>
    </row>
    <row r="32" spans="1:20" ht="20.100000000000001" customHeight="1" x14ac:dyDescent="0.25">
      <c r="A32" s="5" t="str">
        <f>HYPERLINK("#'8.1.1.1-2 Transport fuel'!A1", "8.1.1.1-2 Transport fuel")</f>
        <v>8.1.1.1-2 Transport fuel</v>
      </c>
      <c r="D32" s="153" t="str" cm="1">
        <f t="array" ref="D32:E33">_xlfn.CHOOSECOLS(Fertiliser_Equations_AtmosphericDeposition.VEERG_5_4_1_3__2_MassOfNitrogenVolatilisedFromOrganicFertiliser_Arguments(), 1, 2)</f>
        <v>MNSoil_jf</v>
      </c>
      <c r="E32" s="153" t="str">
        <v>mass of nitrogen in organic fertiliser type f applied to production system j</v>
      </c>
      <c r="F32" s="153"/>
      <c r="G32" s="153" t="str" cm="1">
        <f t="array" ref="G32:H33">_xlfn.CHOOSECOLS(Fertiliser_Equations_AtmosphericDeposition.VEERG_5_4_1_3__2_MassOfNitrogenVolatilisedFromOrganicFertiliser_Arguments(), 3,4)</f>
        <v>kg N</v>
      </c>
      <c r="H32" s="135" t="str">
        <v>Calculated from 5.2.1.1 (2)</v>
      </c>
      <c r="I32" s="153">
        <f>X_Cell_ManureSentOffsite_MassNitrogenManure_Method1</f>
        <v>1000</v>
      </c>
      <c r="N32" s="153" t="str" cm="1">
        <f t="array" ref="N32:O33">_xlfn.CHOOSECOLS(Fertiliser_Equations_AtmosphericDeposition.VEERG_5_4_1_3__2_MassOfNitrogenVolatilisedFromOrganicFertiliser_Arguments(), 1, 2)</f>
        <v>MNSoil_jf</v>
      </c>
      <c r="O32" s="153" t="str">
        <v>mass of nitrogen in organic fertiliser type f applied to production system j</v>
      </c>
      <c r="P32" s="153"/>
      <c r="Q32" s="153" t="str" cm="1">
        <f t="array" ref="Q32:R33">_xlfn.CHOOSECOLS(Fertiliser_Equations_AtmosphericDeposition.VEERG_5_4_1_3__2_MassOfNitrogenVolatilisedFromOrganicFertiliser_Arguments(), 3,4)</f>
        <v>kg N</v>
      </c>
      <c r="R32" s="135" t="str">
        <v>Calculated from 5.2.1.1 (2)</v>
      </c>
      <c r="S32" s="153">
        <f>X_Cell_ManureSentOffsite_MassNitrogenManure_Method2</f>
        <v>2000</v>
      </c>
    </row>
    <row r="33" spans="1:19" ht="20.100000000000001" customHeight="1" x14ac:dyDescent="0.25">
      <c r="A33" s="5" t="str">
        <f>HYPERLINK("#'8.2.1.1-2 Stationary fuel'!A1", "8.2.1.1-2 Stationary fuel")</f>
        <v>8.2.1.1-2 Stationary fuel</v>
      </c>
      <c r="D33" s="153" t="str">
        <v>FracGASM_soil</v>
      </c>
      <c r="E33" s="153" t="str">
        <v>fraction of organic fertiliser N that volatilises</v>
      </c>
      <c r="F33" s="153"/>
      <c r="G33" s="153" t="str">
        <v>(kg NH3-N + NOx-N)/kg N</v>
      </c>
      <c r="H33" s="135" t="str">
        <v>Constant</v>
      </c>
      <c r="I33" s="153">
        <f>'Constants - Fertiliser'!$E$73</f>
        <v>0.21</v>
      </c>
      <c r="N33" s="153" t="str">
        <v>FracGASM_soil</v>
      </c>
      <c r="O33" s="153" t="str">
        <v>fraction of organic fertiliser N that volatilises</v>
      </c>
      <c r="P33" s="153"/>
      <c r="Q33" s="153" t="str">
        <v>(kg NH3-N + NOx-N)/kg N</v>
      </c>
      <c r="R33" s="135" t="str">
        <v>Constant</v>
      </c>
      <c r="S33" s="153"/>
    </row>
    <row r="34" spans="1:19" ht="20.100000000000001" customHeight="1" x14ac:dyDescent="0.25">
      <c r="A34" s="5" t="str">
        <f>HYPERLINK("#'14.1.1-2 Purchased electricity'!A1", "14.1.1-2 Purchased electricity")</f>
        <v>14.1.1-2 Purchased electricity</v>
      </c>
    </row>
    <row r="35" spans="1:19" ht="20.100000000000001" customHeight="1" x14ac:dyDescent="0.25">
      <c r="A35" s="5" t="str">
        <f>HYPERLINK("#'15 Scope 3'!A1", "15 Scope 3")</f>
        <v>15 Scope 3</v>
      </c>
      <c r="D35" s="158" t="s">
        <v>927</v>
      </c>
      <c r="E35" s="145" cm="1">
        <f t="array" ref="E35">Fertiliser_Equations_AtmosphericDeposition.VEERG_5_4_1_3__2_MassOfNitrogenVolatilisedFromOrganicFertiliser(I32,I33)</f>
        <v>210</v>
      </c>
      <c r="F35" s="152" t="str">
        <f>E30</f>
        <v>kg N</v>
      </c>
      <c r="N35" s="158" t="s">
        <v>927</v>
      </c>
      <c r="O35" s="145" cm="1">
        <f t="array" ref="O35">Fertiliser_Equations_AtmosphericDeposition.VEERG_5_4_1_3__2_MassOfNitrogenVolatilisedFromOrganicFertiliser(S32,I33)</f>
        <v>420</v>
      </c>
      <c r="P35" s="152" t="str">
        <f>O30</f>
        <v>kg N</v>
      </c>
    </row>
    <row r="36" spans="1:19" ht="20.100000000000001" customHeight="1" x14ac:dyDescent="0.25">
      <c r="A36" s="139" t="str">
        <f>HYPERLINK("#'Calcs - Manure sent off-site'!A1", "Calcs - Manure sent off-site")</f>
        <v>Calcs - Manure sent off-site</v>
      </c>
    </row>
    <row r="37" spans="1:19" ht="20.100000000000001" customHeight="1" x14ac:dyDescent="0.25">
      <c r="A37" s="5" t="str">
        <f>HYPERLINK("#'10.1.1-2 Solid waste treatment'!A1", "10.1.1-2 Solid waste treatment")</f>
        <v>10.1.1-2 Solid waste treatment</v>
      </c>
    </row>
    <row r="38" spans="1:19" ht="20.100000000000001" customHeight="1" x14ac:dyDescent="0.25">
      <c r="A38"/>
    </row>
    <row r="39" spans="1:19" ht="20.100000000000001" customHeight="1" x14ac:dyDescent="0.25">
      <c r="A39"/>
    </row>
    <row r="40" spans="1:19" ht="20.100000000000001" customHeight="1" x14ac:dyDescent="0.25">
      <c r="A40" s="119" t="s">
        <v>1</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HYPERLINK("#'Constants - Ag Residue'!A1", "Constants - Ag residue")</f>
        <v>Constants - Ag residue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Common_InputFunctions.Utility_DisplayFunctionName(E55)</f>
        <v>=Fertiliser_Equations_AtmosphericDeposition.VEERG_5_4_1_3__1_OrganicFertiliserAtmosphericDepositionN2OEmissions</v>
      </c>
      <c r="N42" s="130" t="s">
        <v>255</v>
      </c>
      <c r="O42" s="130"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HYPERLINK("#'Constants - Electricity'!A1", "Constants - Electricity")</f>
        <v>Constants - Electricity</v>
      </c>
    </row>
    <row r="44" spans="1:19" ht="20.100000000000001" customHeight="1" x14ac:dyDescent="0.25">
      <c r="A44" s="5" t="str">
        <f>HYPERLINK("#'Constants - Fertiliser'!A1", "Constants - Fertiliser")</f>
        <v>Constants - Fertiliser</v>
      </c>
    </row>
    <row r="45" spans="1:19" ht="20.100000000000001" customHeight="1" x14ac:dyDescent="0.25">
      <c r="A45" s="5" t="str">
        <f>HYPERLINK("#'Constants - Fuel'!A1", "Constants - Fuel")</f>
        <v>Constants - Fuel</v>
      </c>
      <c r="D45" s="88" t="s">
        <v>256</v>
      </c>
      <c r="E45" s="1" t="str" cm="1">
        <f t="array" ref="E45">Fertiliser_Equations_AtmosphericDeposition.VEERG_5_4_1_3__1_OrganicFertiliserAtmosphericDepositionN2OEmissions_Variable()</f>
        <v>E_adorganic</v>
      </c>
      <c r="N45" s="88" t="s">
        <v>256</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Scope 3'!A1", "Constants - Scope 3")</f>
        <v>Constants - Scope 3</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Common'!A1", "Constants - Common")</f>
        <v>Constants - Common</v>
      </c>
    </row>
    <row r="48" spans="1:19" ht="20.100000000000001" customHeight="1" x14ac:dyDescent="0.25">
      <c r="A48" s="5" t="str">
        <f>HYPERLINK("#'Constants - Solid Waste'!A1", "Constants - Solid Waste")</f>
        <v>Constants - Solid Waste</v>
      </c>
      <c r="D48" s="153" t="str" cm="1">
        <f t="array" ref="D48:E53">_xlfn.CHOOSECOLS(Fertiliser_Equations_AtmosphericDeposition.VEERG_5_4_1_3__1_OrganicFertiliserAtmosphericDepositionN2OEmissions_Arguments(), 1, 2)</f>
        <v>M_volorganicjf</v>
      </c>
      <c r="E48" s="161" t="str">
        <v>mass of nitrogen volatilised from organic fertiliser applied to production system</v>
      </c>
      <c r="F48" s="163"/>
      <c r="G48" s="153" t="str" cm="1">
        <f t="array" ref="G48:H53">_xlfn.CHOOSECOLS(Fertiliser_Equations_AtmosphericDeposition.VEERG_5_4_1_3__1_OrganicFertiliserAtmosphericDepositionN2OEmissions_Arguments(), 3,4)</f>
        <v>kg N</v>
      </c>
      <c r="H48" s="135" t="str">
        <v>Calculated from 5.4.1.3 (2)</v>
      </c>
      <c r="I48" s="153">
        <f>E35</f>
        <v>210</v>
      </c>
      <c r="N48" s="153" t="str" cm="1">
        <f t="array" ref="N48:O53">_xlfn.CHOOSECOLS(Fertiliser_Equations_AtmosphericDeposition.VEERG_5_4_1_3__1_OrganicFertiliserAtmosphericDepositionN2OEmissions_Arguments(), 1, 2)</f>
        <v>M_volorganicjf</v>
      </c>
      <c r="O48" s="161" t="str">
        <v>mass of nitrogen volatilised from organic fertiliser applied to production system</v>
      </c>
      <c r="P48" s="163"/>
      <c r="Q48" s="153" t="str" cm="1">
        <f t="array" ref="Q48:R53">_xlfn.CHOOSECOLS(Fertiliser_Equations_AtmosphericDeposition.VEERG_5_4_1_3__1_OrganicFertiliserAtmosphericDepositionN2OEmissions_Arguments(), 3,4)</f>
        <v>kg N</v>
      </c>
      <c r="R48" s="135" t="str">
        <v>Calculated from 5.4.1.3 (2)</v>
      </c>
      <c r="S48" s="153">
        <f>O35</f>
        <v>420</v>
      </c>
    </row>
    <row r="49" spans="1:19" ht="20.100000000000001" customHeight="1" x14ac:dyDescent="0.25">
      <c r="A49"/>
      <c r="D49" s="153" t="str">
        <v>EF_N2Oj</v>
      </c>
      <c r="E49" s="161" t="str">
        <v>emission factor for atmospheric deposition in production system j</v>
      </c>
      <c r="F49" s="163"/>
      <c r="G49" s="153" t="str">
        <v>kg N2O-N/kg N</v>
      </c>
      <c r="H49" s="135" t="str">
        <v>Constant</v>
      </c>
      <c r="I49" s="15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3" t="str">
        <v>EF_N2Oj</v>
      </c>
      <c r="O49" s="161" t="str">
        <v>emission factor for atmospheric deposition in production system j</v>
      </c>
      <c r="P49" s="163"/>
      <c r="Q49" s="153" t="str">
        <v>kg N2O-N/kg N</v>
      </c>
      <c r="R49" s="135" t="str">
        <v>Constant</v>
      </c>
      <c r="S49" s="153"/>
    </row>
    <row r="50" spans="1:19" ht="20.100000000000001" customHeight="1" x14ac:dyDescent="0.25">
      <c r="A50"/>
      <c r="D50" s="153" t="str">
        <v>C_N2O</v>
      </c>
      <c r="E50" s="161" t="str">
        <v>factor to convert elemental mass of nitrous oxide to molecular mass</v>
      </c>
      <c r="F50" s="163"/>
      <c r="G50" s="153" t="str">
        <v/>
      </c>
      <c r="H50" s="135" t="str">
        <v>Constant</v>
      </c>
      <c r="I50" s="131">
        <f>Common_InputFunctions.Utility_LookupValueInTableNumber("N2O",Table_GasToMolecularConversionFactor[Gas],Table_GasToMolecularConversionFactor[Conversion factor combined])</f>
        <v>1.5714285714285714</v>
      </c>
      <c r="N50" s="153" t="str">
        <v>C_N2O</v>
      </c>
      <c r="O50" s="161" t="str">
        <v>factor to convert elemental mass of nitrous oxide to molecular mass</v>
      </c>
      <c r="P50" s="163"/>
      <c r="Q50" s="153" t="str">
        <v/>
      </c>
      <c r="R50" s="135" t="str">
        <v>Constant</v>
      </c>
      <c r="S50" s="131"/>
    </row>
    <row r="51" spans="1:19" ht="20.100000000000001" customHeight="1" x14ac:dyDescent="0.25">
      <c r="A51"/>
      <c r="D51" s="153" t="str">
        <v>j</v>
      </c>
      <c r="E51" s="161" t="str">
        <v>Production system</v>
      </c>
      <c r="F51" s="163"/>
      <c r="G51" s="153" t="str">
        <v/>
      </c>
      <c r="H51" s="253" t="str">
        <v>Input</v>
      </c>
      <c r="I51" s="153" t="str">
        <f>X_Cell_ManureSentOffsite_ManureProductionSystem</f>
        <v>Crop</v>
      </c>
      <c r="N51" s="153" t="str">
        <v>j</v>
      </c>
      <c r="O51" s="161" t="str">
        <v>Production system</v>
      </c>
      <c r="P51" s="163"/>
      <c r="Q51" s="153" t="str">
        <v/>
      </c>
      <c r="R51" s="253" t="str">
        <v>Input</v>
      </c>
      <c r="S51" s="153"/>
    </row>
    <row r="52" spans="1:19" ht="20.100000000000001" customHeight="1" x14ac:dyDescent="0.25">
      <c r="A52"/>
      <c r="D52" s="153" t="str">
        <v>ir</v>
      </c>
      <c r="E52" s="161" t="str">
        <v>irrigation method</v>
      </c>
      <c r="F52" s="163"/>
      <c r="G52" s="153" t="str">
        <v/>
      </c>
      <c r="H52" s="253" t="str">
        <v>Input</v>
      </c>
      <c r="I52" s="153" t="str">
        <f>X_Cell_ManureSentOffsite_ManureIrrigationMethod</f>
        <v>Sprinkler irrigation</v>
      </c>
      <c r="N52" s="153" t="str">
        <v>ir</v>
      </c>
      <c r="O52" s="161" t="str">
        <v>irrigation method</v>
      </c>
      <c r="P52" s="163"/>
      <c r="Q52" s="153" t="str">
        <v/>
      </c>
      <c r="R52" s="253" t="str">
        <v>Input</v>
      </c>
      <c r="S52" s="153"/>
    </row>
    <row r="53" spans="1:19" ht="20.100000000000001" customHeight="1" x14ac:dyDescent="0.25">
      <c r="A53"/>
      <c r="D53" s="153" t="str">
        <v>r</v>
      </c>
      <c r="E53" s="161" t="str">
        <v>rainfall region</v>
      </c>
      <c r="F53" s="163"/>
      <c r="G53" s="153" t="str">
        <v/>
      </c>
      <c r="H53" s="253" t="str">
        <v>Input</v>
      </c>
      <c r="I53" s="153" t="str">
        <f>X_Cell_Site_RainfallZone</f>
        <v>High rainfall</v>
      </c>
      <c r="N53" s="153" t="str">
        <v>r</v>
      </c>
      <c r="O53" s="161" t="str">
        <v>rainfall region</v>
      </c>
      <c r="P53" s="163"/>
      <c r="Q53" s="153" t="str">
        <v/>
      </c>
      <c r="R53" s="253" t="str">
        <v>Input</v>
      </c>
      <c r="S53" s="153"/>
    </row>
    <row r="54" spans="1:19" ht="20.100000000000001" customHeight="1" x14ac:dyDescent="0.25">
      <c r="A54"/>
    </row>
    <row r="55" spans="1:19" ht="20.100000000000001" customHeight="1" x14ac:dyDescent="0.25">
      <c r="A55"/>
      <c r="D55" s="148" t="s">
        <v>325</v>
      </c>
      <c r="E55" s="149" cm="1">
        <f t="array" ref="E55">Fertiliser_Equations_AtmosphericDeposition.VEERG_5_4_1_3__1_OrganicFertiliserAtmosphericDepositionN2OEmissions(I48,I49,I50)</f>
        <v>2.31E-3</v>
      </c>
      <c r="F55" s="150" t="str">
        <f>$E$46</f>
        <v>t N2O</v>
      </c>
      <c r="N55" s="148" t="s">
        <v>325</v>
      </c>
      <c r="O55" s="149" cm="1">
        <f t="array" ref="O55">Fertiliser_Equations_AtmosphericDeposition.VEERG_5_4_1_3__1_OrganicFertiliserAtmosphericDepositionN2OEmissions(S48,I49,I50)</f>
        <v>4.62E-3</v>
      </c>
      <c r="P55" s="150"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0" t="s">
        <v>255</v>
      </c>
      <c r="E61" s="130" t="str" cm="1">
        <f t="array" aca="1" ref="E61" ca="1">Common_InputFunctions.Utility_DisplayFunctionName(E74)</f>
        <v>=Fertiliser_Equations_LeachingAndRunoff.VEERG_5_5_1_1__3_MassOfNitrogenLeachedFromOrganicFertiliser</v>
      </c>
      <c r="N61" s="130" t="s">
        <v>255</v>
      </c>
      <c r="O61" s="13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256</v>
      </c>
      <c r="E64" s="1" t="str" cm="1">
        <f t="array" ref="E64">Fertiliser_Equations_LeachingAndRunoff.VEERG_5_5_1_1__3_MassOfNitrogenLeachedFromOrganicFertiliser_Variable()</f>
        <v>M_leachorganicj</v>
      </c>
      <c r="N64" s="88" t="s">
        <v>256</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3" t="str" cm="1">
        <f t="array" ref="D67:E72">_xlfn.CHOOSECOLS(Fertiliser_Equations_LeachingAndRunoff.VEERG_5_5_1_1__3_MassOfNitrogenLeachedFromOrganicFertiliser_Arguments(), 1, 2)</f>
        <v>MNSoil_jf</v>
      </c>
      <c r="E67" s="161" t="str">
        <v>mass of nitrogen in organic fertiliser</v>
      </c>
      <c r="F67" s="163"/>
      <c r="G67" s="153" t="str" cm="1">
        <f t="array" ref="G67:H72">_xlfn.CHOOSECOLS(Fertiliser_Equations_LeachingAndRunoff.VEERG_5_5_1_1__3_MassOfNitrogenLeachedFromOrganicFertiliser_Arguments(), 3,4)</f>
        <v>kg N</v>
      </c>
      <c r="H67" s="135" t="str">
        <v>Calculated from 5.2.1.1 (2)</v>
      </c>
      <c r="I67" s="153">
        <f>X_Cell_ManureSentOffsite_MassNitrogenManure_Method1</f>
        <v>1000</v>
      </c>
      <c r="N67" s="153" t="str" cm="1">
        <f t="array" ref="N67:O72">_xlfn.CHOOSECOLS(Fertiliser_Equations_LeachingAndRunoff.VEERG_5_5_1_1__3_MassOfNitrogenLeachedFromOrganicFertiliser_Arguments(), 1, 2)</f>
        <v>MNSoil_jf</v>
      </c>
      <c r="O67" s="161" t="str">
        <v>mass of nitrogen in organic fertiliser</v>
      </c>
      <c r="P67" s="163"/>
      <c r="Q67" s="153" t="str" cm="1">
        <f t="array" ref="Q67:R72">_xlfn.CHOOSECOLS(Fertiliser_Equations_LeachingAndRunoff.VEERG_5_5_1_1__3_MassOfNitrogenLeachedFromOrganicFertiliser_Arguments(), 3,4)</f>
        <v>kg N</v>
      </c>
      <c r="R67" s="135" t="str">
        <v>Calculated from 5.2.1.1 (2)</v>
      </c>
      <c r="S67" s="153">
        <f>X_Cell_ManureSentOffsite_MassNitrogenManure_Method2</f>
        <v>2000</v>
      </c>
    </row>
    <row r="68" spans="1:19" ht="20.100000000000001" customHeight="1" x14ac:dyDescent="0.25">
      <c r="A68"/>
      <c r="D68" s="153" t="str">
        <v>FracWETj</v>
      </c>
      <c r="E68" s="161" t="str">
        <v>fraction of N available for leaching and runoff</v>
      </c>
      <c r="F68" s="163"/>
      <c r="G68" s="153" t="str">
        <v>fraction</v>
      </c>
      <c r="H68" s="135" t="str">
        <v>Constant</v>
      </c>
      <c r="I68" s="153">
        <f>Common_InputFunctions.CommonCropping_GetFracWET(I70,I72,#REF!,#REF!,Table_SourceData_FracWETIrrigation[Irrigation type i],Table_SourceData_FracWETIrrigation[FracWET])</f>
        <v>1</v>
      </c>
      <c r="N68" s="153" t="str">
        <v>FracWETj</v>
      </c>
      <c r="O68" s="161" t="str">
        <v>fraction of N available for leaching and runoff</v>
      </c>
      <c r="P68" s="163"/>
      <c r="Q68" s="153" t="str">
        <v>fraction</v>
      </c>
      <c r="R68" s="135" t="str">
        <v>Constant</v>
      </c>
      <c r="S68" s="153"/>
    </row>
    <row r="69" spans="1:19" ht="20.100000000000001" customHeight="1" x14ac:dyDescent="0.25">
      <c r="A69"/>
      <c r="D69" s="153" t="str">
        <v>FracLEACH</v>
      </c>
      <c r="E69" s="161" t="str">
        <v>fraction of N that is lost through leaching and runoff</v>
      </c>
      <c r="F69" s="163"/>
      <c r="G69" s="153" t="str">
        <v>fraction</v>
      </c>
      <c r="H69" s="135" t="str">
        <v>Constant</v>
      </c>
      <c r="I69" s="153">
        <f>'Constants - Fertiliser'!$E$78</f>
        <v>0.24</v>
      </c>
      <c r="N69" s="153" t="str">
        <v>FracLEACH</v>
      </c>
      <c r="O69" s="161" t="str">
        <v>fraction of N that is lost through leaching and runoff</v>
      </c>
      <c r="P69" s="163"/>
      <c r="Q69" s="153" t="str">
        <v>fraction</v>
      </c>
      <c r="R69" s="135" t="str">
        <v>Constant</v>
      </c>
      <c r="S69" s="153"/>
    </row>
    <row r="70" spans="1:19" ht="20.100000000000001" customHeight="1" x14ac:dyDescent="0.25">
      <c r="A70"/>
      <c r="D70" s="153" t="str">
        <v>z</v>
      </c>
      <c r="E70" s="161" t="str">
        <v>location in leaching zone</v>
      </c>
      <c r="F70" s="163"/>
      <c r="G70" s="153" t="str">
        <v/>
      </c>
      <c r="H70" s="253" t="str">
        <v>Input</v>
      </c>
      <c r="I70" s="153" t="str">
        <f>X_Cell_Site_LeachingZone</f>
        <v>NO - Not in leaching zone</v>
      </c>
      <c r="N70" s="153" t="str">
        <v>z</v>
      </c>
      <c r="O70" s="161" t="str">
        <v>location in leaching zone</v>
      </c>
      <c r="P70" s="163"/>
      <c r="Q70" s="153" t="str">
        <v/>
      </c>
      <c r="R70" s="253" t="str">
        <v>Input</v>
      </c>
      <c r="S70" s="153"/>
    </row>
    <row r="71" spans="1:19" ht="20.100000000000001" customHeight="1" x14ac:dyDescent="0.25">
      <c r="A71"/>
      <c r="D71" s="153" t="str">
        <v>j</v>
      </c>
      <c r="E71" s="161" t="str">
        <v>production system</v>
      </c>
      <c r="F71" s="163"/>
      <c r="G71" s="153" t="str">
        <v/>
      </c>
      <c r="H71" s="253" t="str">
        <v>Input</v>
      </c>
      <c r="I71" s="153" t="str">
        <f>X_Cell_ManureSentOffsite_ManureProductionSystem</f>
        <v>Crop</v>
      </c>
      <c r="N71" s="153" t="str">
        <v>j</v>
      </c>
      <c r="O71" s="161" t="str">
        <v>production system</v>
      </c>
      <c r="P71" s="163"/>
      <c r="Q71" s="153" t="str">
        <v/>
      </c>
      <c r="R71" s="253" t="str">
        <v>Input</v>
      </c>
      <c r="S71" s="153"/>
    </row>
    <row r="72" spans="1:19" ht="20.100000000000001" customHeight="1" x14ac:dyDescent="0.25">
      <c r="A72"/>
      <c r="D72" s="153" t="str">
        <v>ir</v>
      </c>
      <c r="E72" s="161" t="str">
        <v>irrigation method</v>
      </c>
      <c r="F72" s="163"/>
      <c r="G72" s="153" t="str">
        <v/>
      </c>
      <c r="H72" s="253" t="str">
        <v>Input</v>
      </c>
      <c r="I72" s="153" t="str">
        <f>X_Cell_ManureSentOffsite_ManureIrrigationMethod</f>
        <v>Sprinkler irrigation</v>
      </c>
      <c r="N72" s="153" t="str">
        <v>ir</v>
      </c>
      <c r="O72" s="161" t="str">
        <v>irrigation method</v>
      </c>
      <c r="P72" s="163"/>
      <c r="Q72" s="153" t="str">
        <v/>
      </c>
      <c r="R72" s="253" t="str">
        <v>Input</v>
      </c>
      <c r="S72" s="153"/>
    </row>
    <row r="73" spans="1:19" ht="20.100000000000001" customHeight="1" x14ac:dyDescent="0.25">
      <c r="A73"/>
    </row>
    <row r="74" spans="1:19" ht="20.100000000000001" customHeight="1" x14ac:dyDescent="0.25">
      <c r="A74"/>
      <c r="D74" s="158" t="s">
        <v>928</v>
      </c>
      <c r="E74" s="145" cm="1">
        <f t="array" ref="E74">Fertiliser_Equations_LeachingAndRunoff.VEERG_5_5_1_1__3_MassOfNitrogenLeachedFromOrganicFertiliser(I67,I68,I69)</f>
        <v>240</v>
      </c>
      <c r="F74" s="152" t="str">
        <f>$E$65</f>
        <v>kg N</v>
      </c>
      <c r="N74" s="158" t="s">
        <v>928</v>
      </c>
      <c r="O74" s="145" cm="1">
        <f t="array" ref="O74">Fertiliser_Equations_LeachingAndRunoff.VEERG_5_5_1_1__3_MassOfNitrogenLeachedFromOrganicFertiliser(S67,I68,I69)</f>
        <v>480</v>
      </c>
      <c r="P74" s="15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0" t="s">
        <v>255</v>
      </c>
      <c r="E79" s="130" t="str" cm="1">
        <f t="array" aca="1" ref="E79" ca="1">Common_InputFunctions.Utility_DisplayFunctionName(E90)</f>
        <v>=Fertiliser_Equations_LeachingAndRunoff.VEERG_5_5_1_1__1_FertiliserLeachingAndRunoffN2OEmissions</v>
      </c>
      <c r="N79" s="130" t="s">
        <v>255</v>
      </c>
      <c r="O79" s="130"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256</v>
      </c>
      <c r="E82" s="1" t="str" cm="1">
        <f t="array" ref="E82">Fertiliser_Equations_LeachingAndRunoff.VEERG_5_5_1_1__1_FertiliserLeachingAndRunoffN2OEmissions_Variable()</f>
        <v>E_fertleach</v>
      </c>
      <c r="N82" s="88" t="s">
        <v>256</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3" t="str" cm="1">
        <f t="array" ref="D85:E88">_xlfn.CHOOSECOLS(Fertiliser_Equations_LeachingAndRunoff.VEERG_5_5_1_1__1_FertiliserLeachingAndRunoffN2OEmissions_Arguments(), 1, 2)</f>
        <v>M_leachinorganicj</v>
      </c>
      <c r="E85" s="161" t="str">
        <v>mass of nitrogen lost through leaching and runoff from inorganic fertiliser application in production system j</v>
      </c>
      <c r="F85" s="162"/>
      <c r="G85" s="163"/>
      <c r="H85" s="153" t="str" cm="1">
        <f t="array" ref="H85:I88">_xlfn.CHOOSECOLS(Fertiliser_Equations_LeachingAndRunoff.VEERG_5_5_1_1__1_FertiliserLeachingAndRunoffN2OEmissions_Arguments(), 3,4)</f>
        <v>kg N</v>
      </c>
      <c r="I85" s="135" t="str">
        <v>Calculated from 5.5.1.1 (2)</v>
      </c>
      <c r="J85" s="153">
        <v>0</v>
      </c>
      <c r="N85" s="153" t="str" cm="1">
        <f t="array" ref="N85:O88">_xlfn.CHOOSECOLS(Fertiliser_Equations_LeachingAndRunoff.VEERG_5_5_1_1__1_FertiliserLeachingAndRunoffN2OEmissions_Arguments(), 1, 2)</f>
        <v>M_leachinorganicj</v>
      </c>
      <c r="O85" s="161" t="str">
        <v>mass of nitrogen lost through leaching and runoff from inorganic fertiliser application in production system j</v>
      </c>
      <c r="P85" s="162"/>
      <c r="Q85" s="163"/>
      <c r="R85" s="153" t="str" cm="1">
        <f t="array" ref="R85:S88">_xlfn.CHOOSECOLS(Fertiliser_Equations_LeachingAndRunoff.VEERG_5_5_1_1__1_FertiliserLeachingAndRunoffN2OEmissions_Arguments(), 3,4)</f>
        <v>kg N</v>
      </c>
      <c r="S85" s="135" t="str">
        <v>Calculated from 5.5.1.1 (2)</v>
      </c>
      <c r="T85" s="153"/>
    </row>
    <row r="86" spans="1:20" x14ac:dyDescent="0.25">
      <c r="A86"/>
      <c r="D86" s="153" t="str">
        <v>M_leachorganicj</v>
      </c>
      <c r="E86" s="161" t="str">
        <v>mass of nitrogen lost through leaching and runoff from organic fertiliser application</v>
      </c>
      <c r="F86" s="162"/>
      <c r="G86" s="163"/>
      <c r="H86" s="153" t="str">
        <v>kg N</v>
      </c>
      <c r="I86" s="135" t="str">
        <v>Calculated from 5.5.1.1 (3)</v>
      </c>
      <c r="J86" s="153">
        <f>E74</f>
        <v>240</v>
      </c>
      <c r="N86" s="153" t="str">
        <v>M_leachorganicj</v>
      </c>
      <c r="O86" s="161" t="str">
        <v>mass of nitrogen lost through leaching and runoff from organic fertiliser application</v>
      </c>
      <c r="P86" s="162"/>
      <c r="Q86" s="163"/>
      <c r="R86" s="153" t="str">
        <v>kg N</v>
      </c>
      <c r="S86" s="135" t="str">
        <v>Calculated from 5.5.1.1 (3)</v>
      </c>
      <c r="T86" s="153">
        <f>O74</f>
        <v>480</v>
      </c>
    </row>
    <row r="87" spans="1:20" x14ac:dyDescent="0.25">
      <c r="A87"/>
      <c r="D87" s="153" t="str">
        <v>EF_leach</v>
      </c>
      <c r="E87" s="161" t="str">
        <v>emission factor for nitrogen leaching and runoff</v>
      </c>
      <c r="F87" s="162"/>
      <c r="G87" s="163"/>
      <c r="H87" s="153" t="str">
        <v>kg N2O-N/kg N</v>
      </c>
      <c r="I87" s="135" t="str">
        <v>Constant</v>
      </c>
      <c r="J87" s="153">
        <f>'Constants - Fertiliser'!$E$83</f>
        <v>1.0999999999999999E-2</v>
      </c>
      <c r="N87" s="153" t="str">
        <v>EF_leach</v>
      </c>
      <c r="O87" s="161" t="str">
        <v>emission factor for nitrogen leaching and runoff</v>
      </c>
      <c r="P87" s="162"/>
      <c r="Q87" s="163"/>
      <c r="R87" s="153" t="str">
        <v>kg N2O-N/kg N</v>
      </c>
      <c r="S87" s="135" t="str">
        <v>Constant</v>
      </c>
      <c r="T87" s="153"/>
    </row>
    <row r="88" spans="1:20" x14ac:dyDescent="0.25">
      <c r="A88"/>
      <c r="D88" s="153" t="str">
        <v>C_N2O</v>
      </c>
      <c r="E88" s="161" t="str">
        <v>factor to convert elemental mass of nitrous oxide to molecular mass</v>
      </c>
      <c r="F88" s="162"/>
      <c r="G88" s="163"/>
      <c r="H88" s="153" t="str">
        <v/>
      </c>
      <c r="I88" s="135" t="str">
        <v>Constant</v>
      </c>
      <c r="J88" s="131">
        <f>Common_InputFunctions.Utility_LookupValueInTableNumber("N2O",Table_GasToMolecularConversionFactor[Gas],Table_GasToMolecularConversionFactor[Conversion factor combined])</f>
        <v>1.5714285714285714</v>
      </c>
      <c r="N88" s="153" t="str">
        <v>C_N2O</v>
      </c>
      <c r="O88" s="161" t="str">
        <v>factor to convert elemental mass of nitrous oxide to molecular mass</v>
      </c>
      <c r="P88" s="162"/>
      <c r="Q88" s="163"/>
      <c r="R88" s="153" t="str">
        <v/>
      </c>
      <c r="S88" s="135" t="str">
        <v>Constant</v>
      </c>
      <c r="T88" s="131"/>
    </row>
    <row r="89" spans="1:20" x14ac:dyDescent="0.25">
      <c r="A89"/>
    </row>
    <row r="90" spans="1:20" ht="23.25" x14ac:dyDescent="0.25">
      <c r="A90"/>
      <c r="D90" s="148" t="s">
        <v>342</v>
      </c>
      <c r="E90" s="149" cm="1">
        <f t="array" ref="E90">Fertiliser_Equations_LeachingAndRunoff.VEERG_5_5_1_1__1_FertiliserLeachingAndRunoffN2OEmissions(J85,J86,J87,J88)</f>
        <v>4.1485714285714277E-3</v>
      </c>
      <c r="F90" s="150" t="str">
        <f>$E$83</f>
        <v>t N2O</v>
      </c>
      <c r="N90" s="148" t="s">
        <v>342</v>
      </c>
      <c r="O90" s="149" cm="1">
        <f t="array" ref="O90">Fertiliser_Equations_LeachingAndRunoff.VEERG_5_5_1_1__1_FertiliserLeachingAndRunoffN2OEmissions(J85,T86,J87,J88)</f>
        <v>8.2971428571428554E-3</v>
      </c>
      <c r="P90" s="150"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6EB57-93E5-4A17-8254-472045AD08A6}">
  <dimension ref="A1:AI235"/>
  <sheetViews>
    <sheetView showGridLines="0" topLeftCell="B1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645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5" t="s">
        <v>646</v>
      </c>
      <c r="E7" s="235" t="s">
        <v>647</v>
      </c>
      <c r="F7" s="235" t="s">
        <v>648</v>
      </c>
      <c r="G7" s="235" t="s">
        <v>649</v>
      </c>
      <c r="H7" s="235" t="s">
        <v>650</v>
      </c>
      <c r="I7" s="235" t="s">
        <v>651</v>
      </c>
      <c r="J7" s="235" t="s">
        <v>652</v>
      </c>
      <c r="K7" s="235" t="s">
        <v>653</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Farm Inputs'!A1", "Farm Inputs")</f>
        <v>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Freight'!A1", "Freight")</f>
        <v>Freight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Manure sent off-site'!A1", "Manure sent off-site")</f>
        <v>Manure sent off-site</v>
      </c>
      <c r="D18" s="8"/>
      <c r="E18" s="8"/>
      <c r="F18" s="8"/>
      <c r="G18" s="8"/>
      <c r="H18" s="8"/>
      <c r="I18" s="8"/>
      <c r="J18" s="8"/>
      <c r="K18" s="8"/>
      <c r="L18" s="8"/>
    </row>
    <row r="19" spans="1:14" ht="20.100000000000001" customHeight="1" x14ac:dyDescent="0.25">
      <c r="A19" s="5" t="str">
        <f>HYPERLINK("#'Input - Solid waste'!A1", "Solid waste")</f>
        <v>Solid waste</v>
      </c>
      <c r="D19" t="s">
        <v>185</v>
      </c>
      <c r="E19" t="s">
        <v>654</v>
      </c>
      <c r="F19" t="s">
        <v>655</v>
      </c>
      <c r="G19" t="s">
        <v>656</v>
      </c>
      <c r="H19" t="s">
        <v>657</v>
      </c>
      <c r="I19" t="s">
        <v>658</v>
      </c>
      <c r="J19" t="s">
        <v>659</v>
      </c>
      <c r="K19" t="s">
        <v>660</v>
      </c>
      <c r="L19" t="s">
        <v>661</v>
      </c>
      <c r="N19" s="2" t="s">
        <v>350</v>
      </c>
    </row>
    <row r="20" spans="1:14" ht="20.100000000000001" customHeight="1" x14ac:dyDescent="0.25">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A22" s="6" t="s">
        <v>2</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354</v>
      </c>
    </row>
    <row r="23" spans="1:14" ht="20.100000000000001" customHeight="1" x14ac:dyDescent="0.25">
      <c r="A23" s="5" t="str">
        <f>HYPERLINK("#'5.1.1.1-2 Inorganic fert N2O'!A1", "5.1.1.1-2 Inorganic fert N2O")</f>
        <v>5.1.1.1-2 Inorganic fert N2O</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357</v>
      </c>
    </row>
    <row r="24" spans="1:14" ht="20.100000000000001" customHeight="1" x14ac:dyDescent="0.25">
      <c r="A24" s="5" t="str">
        <f>HYPERLINK("#'5.1.1.3-4 Inorganic fert CO2'!A1", "5.1.1.3-4 Inorganic fert CO2")</f>
        <v>5.1.1.3-4 Inorganic fert CO2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359</v>
      </c>
    </row>
    <row r="25" spans="1:14" ht="20.100000000000001" customHeight="1" x14ac:dyDescent="0.25">
      <c r="A25" s="5" t="str">
        <f>HYPERLINK("#'5.2.1.1-2 Organic Fert N2O'!A1", "5.2.1.1-2 Organic fert N2O")</f>
        <v>5.2.1.1-2 Organic fert N2O</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362</v>
      </c>
    </row>
    <row r="26" spans="1:14" ht="20.100000000000001" customHeight="1" x14ac:dyDescent="0.25">
      <c r="A26" s="5" t="str">
        <f>HYPERLINK("#'5.3.1.1-2 Lime CO2'!A1", "5.3.1.1-2 Lime CO2")</f>
        <v>5.3.1.1-2 Lime CO2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363</v>
      </c>
    </row>
    <row r="27" spans="1:14" ht="20.100000000000001" customHeight="1" x14ac:dyDescent="0.25">
      <c r="A27" s="5" t="str">
        <f>HYPERLINK("#'5.4.1.1-4 Atmos deposition'!A1", "5.4.1.1-4 Atmos. deposition")</f>
        <v>5.4.1.1-4 Atmos. deposition</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HYPERLINK("#'5.5.1.1-2 Leaching and runoff'!A1", "5.5.1.1-2 Leaching &amp; runoff")</f>
        <v>5.5.1.1-2 Leaching &amp; runoff</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HYPERLINK("#'6.1.1.1-2 Crop residue N2O'!A1", "6.1.1.1-2 Crop residue N2O")</f>
        <v>6.1.1.1-2 Crop residue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HYPERLINK("#'6.3.1.1-2 Leach runoff crop'!A1", "6.3.1.1-2 Leach &amp; runoff (crop)")</f>
        <v>6.3.1.1-2 Leach &amp; runoff (crop)</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HYPERLINK("#'6.4.1.1-2 Residue burning'!A1", "6.4.1.1-2 Residue burning")</f>
        <v>6.4.1.1-2 Residue burning</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HYPERLINK("#'15 Scope 3'!A1", "15 Scope 3")</f>
        <v>15 Scope 3</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HYPERLINK("#'Calcs - Manure sent off-site'!A1", "Calcs - Manure sent off-site")</f>
        <v>Calcs - Manure sent off-site</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HYPERLINK("#'10.1.1-2 Solid waste treatment'!A1", "10.1.1-2 Solid waste treatment")</f>
        <v>10.1.1-2 Solid waste treatment</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D38" s="8"/>
      <c r="E38" s="8"/>
      <c r="F38" s="8"/>
      <c r="G38" s="8"/>
      <c r="H38" s="8"/>
      <c r="I38" s="8"/>
      <c r="J38" s="8"/>
      <c r="K38" s="8"/>
      <c r="L38" s="8"/>
    </row>
    <row r="39" spans="1:13" ht="20.100000000000001" customHeight="1" x14ac:dyDescent="0.25">
      <c r="D39" s="8"/>
      <c r="E39" s="8"/>
      <c r="F39" s="8"/>
      <c r="G39" s="8"/>
      <c r="H39" s="8"/>
      <c r="I39" s="8"/>
      <c r="J39" s="8"/>
      <c r="K39" s="8"/>
      <c r="L39" s="8"/>
    </row>
    <row r="40" spans="1:13" ht="20.100000000000001" customHeight="1" x14ac:dyDescent="0.25">
      <c r="A40" s="119" t="s">
        <v>1</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171" t="str">
        <f>HYPERLINK("#'Constants - Ag Residue'!A1", "Constants - Ag residue")</f>
        <v>Constants - Ag residue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Common Livestock'!A1", "Constants - Common Livestock")</f>
        <v>Constants - Common Livestock</v>
      </c>
      <c r="D42" s="27"/>
      <c r="E42" s="35"/>
      <c r="F42" s="35"/>
      <c r="H42" s="8"/>
      <c r="I42" s="8"/>
      <c r="M42" s="35"/>
    </row>
    <row r="43" spans="1:13" ht="20.100000000000001" customHeight="1" x14ac:dyDescent="0.25">
      <c r="A43" s="5" t="str">
        <f>HYPERLINK("#'Constants - Electricity'!A1", "Constants - Electricity")</f>
        <v>Constants - Electricity</v>
      </c>
      <c r="D43" s="170" t="s">
        <v>662</v>
      </c>
      <c r="E43" s="170" t="s">
        <v>663</v>
      </c>
      <c r="F43" s="35"/>
      <c r="H43" s="8"/>
      <c r="I43" s="8"/>
      <c r="M43" s="35"/>
    </row>
    <row r="44" spans="1:13" ht="20.100000000000001" customHeight="1" x14ac:dyDescent="0.25">
      <c r="A44" s="5" t="str">
        <f>HYPERLINK("#'Constants - Fertiliser'!A1", "Constants - Fertiliser")</f>
        <v>Constants - Fertiliser</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Fuel'!A1", "Constants - Fuel")</f>
        <v>Constants - Fuel</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Scope 3'!A1", "Constants - Scope 3")</f>
        <v>Constants - Scope 3</v>
      </c>
      <c r="H46" s="8"/>
      <c r="I46" s="8"/>
      <c r="M46" s="35"/>
    </row>
    <row r="47" spans="1:13" ht="20.100000000000001" customHeight="1" x14ac:dyDescent="0.25">
      <c r="A47" s="5" t="str">
        <f>HYPERLINK("#'Constants - Common'!A1", "Constants - Common")</f>
        <v>Constants - Common</v>
      </c>
      <c r="M47" s="35"/>
    </row>
    <row r="48" spans="1:13" ht="20.100000000000001" customHeight="1" x14ac:dyDescent="0.25">
      <c r="A48" s="5" t="str">
        <f>HYPERLINK("#'Constants - Solid Waste'!A1", "Constants - Solid Waste")</f>
        <v>Constants - Solid Waste</v>
      </c>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664</v>
      </c>
      <c r="E51" s="30" t="s">
        <v>665</v>
      </c>
      <c r="F51" s="30" t="s">
        <v>666</v>
      </c>
      <c r="G51" s="30" t="s">
        <v>667</v>
      </c>
      <c r="H51" s="30" t="s">
        <v>668</v>
      </c>
      <c r="I51" s="30" t="s">
        <v>669</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670</v>
      </c>
      <c r="E62" s="30" t="s">
        <v>671</v>
      </c>
      <c r="F62" s="30" t="s">
        <v>672</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673</v>
      </c>
      <c r="E73" t="s">
        <v>98</v>
      </c>
      <c r="F73" t="s">
        <v>674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673</v>
      </c>
      <c r="E92" t="s">
        <v>98</v>
      </c>
      <c r="F92" t="s">
        <v>674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A6D0-DCBB-44C8-AACF-9EEF9B433FF9}">
  <dimension ref="A1:M160"/>
  <sheetViews>
    <sheetView showGridLines="0" topLeftCell="A12" zoomScaleNormal="100" workbookViewId="0">
      <selection activeCell="A48" sqref="A48"/>
    </sheetView>
  </sheetViews>
  <sheetFormatPr defaultRowHeight="15.75" x14ac:dyDescent="0.25"/>
  <cols>
    <col min="1" max="1" width="30.7109375" style="236" customWidth="1"/>
    <col min="2" max="2" width="4.7109375" style="236" customWidth="1"/>
    <col min="3" max="3" width="4.7109375" style="1" customWidth="1"/>
    <col min="4" max="8" width="30.7109375" style="1" customWidth="1"/>
    <col min="9" max="9" width="30.85546875" style="1" customWidth="1"/>
    <col min="10" max="13" width="30.7109375" style="1" customWidth="1"/>
    <col min="14" max="16" width="30.7109375" style="236" customWidth="1"/>
    <col min="17" max="16384" width="9.140625" style="236"/>
  </cols>
  <sheetData>
    <row r="1" spans="1:13" ht="30" customHeight="1" x14ac:dyDescent="0.35">
      <c r="A1" s="16" t="e" vm="1">
        <v>#VALUE!</v>
      </c>
      <c r="C1" s="31" t="s">
        <v>955</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956</v>
      </c>
      <c r="E9" s="30" t="s">
        <v>957</v>
      </c>
      <c r="F9" s="30" t="s">
        <v>958</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Farm Inputs'!A1", "Farm Inputs")</f>
        <v>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Freight'!A1", "Freight")</f>
        <v>Freight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Manure sent off-site'!A1", "Manure sent off-site")</f>
        <v>Manure sent off-site</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Solid waste'!A1", "Solid waste")</f>
        <v>Solid waste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6" t="s">
        <v>2</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HYPERLINK("#'5.1.1.1-2 Inorganic fert N2O'!A1", "5.1.1.1-2 Inorganic fert N2O")</f>
        <v>5.1.1.1-2 Inorganic fert N2O</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HYPERLINK("#'5.1.1.3-4 Inorganic fert CO2'!A1", "5.1.1.3-4 Inorganic fert CO2")</f>
        <v>5.1.1.3-4 Inorganic fert CO2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HYPERLINK("#'5.2.1.1-2 Organic Fert N2O'!A1", "5.2.1.1-2 Organic fert N2O")</f>
        <v>5.2.1.1-2 Organic fert N2O</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HYPERLINK("#'5.3.1.1-2 Lime CO2'!A1", "5.3.1.1-2 Lime CO2")</f>
        <v>5.3.1.1-2 Lime CO2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HYPERLINK("#'5.4.1.1-4 Atmos deposition'!A1", "5.4.1.1-4 Atmos. deposition")</f>
        <v>5.4.1.1-4 Atmos. deposition</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HYPERLINK("#'5.5.1.1-2 Leaching and runoff'!A1", "5.5.1.1-2 Leaching &amp; runoff")</f>
        <v>5.5.1.1-2 Leaching &amp; runoff</v>
      </c>
      <c r="G28" s="35"/>
      <c r="H28" s="35"/>
    </row>
    <row r="29" spans="1:8" ht="20.100000000000001" customHeight="1" x14ac:dyDescent="0.25">
      <c r="A29" s="5" t="str">
        <f>HYPERLINK("#'6.1.1.1-2 Crop residue N2O'!A1", "6.1.1.1-2 Crop residue N2O")</f>
        <v>6.1.1.1-2 Crop residue N2O</v>
      </c>
      <c r="D29" s="2" t="str" cm="1">
        <f t="array" ref="D29">CommonLivestock_SourceData.SourceData_Livestock_Product_BeefCattle_Title()</f>
        <v>Beef cattle products for scope 3</v>
      </c>
    </row>
    <row r="30" spans="1:8" ht="20.100000000000001" customHeight="1" x14ac:dyDescent="0.25">
      <c r="A30" s="5" t="str">
        <f>HYPERLINK("#'6.3.1.1-2 Leach runoff crop'!A1", "6.3.1.1-2 Leach &amp; runoff (crop)")</f>
        <v>6.3.1.1-2 Leach &amp; runoff (crop)</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HYPERLINK("#'6.4.1.1-2 Residue burning'!A1", "6.4.1.1-2 Residue burning")</f>
        <v>6.4.1.1-2 Residue burning</v>
      </c>
      <c r="D31" s="30" t="s">
        <v>137</v>
      </c>
      <c r="E31" s="30" t="s">
        <v>959</v>
      </c>
      <c r="F31" s="1" t="s">
        <v>960</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HYPERLINK("#'15 Scope 3'!A1", "15 Scope 3")</f>
        <v>15 Scope 3</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HYPERLINK("#'Calcs - Manure sent off-site'!A1", "Calcs - Manure sent off-site")</f>
        <v>Calcs - Manure sent off-site</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HYPERLINK("#'10.1.1-2 Solid waste treatment'!A1", "10.1.1-2 Solid waste treatment")</f>
        <v>10.1.1-2 Solid waste treatment</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19" t="s">
        <v>1</v>
      </c>
    </row>
    <row r="41" spans="1:6" ht="20.100000000000001" customHeight="1" x14ac:dyDescent="0.25">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5">
      <c r="A42" s="171" t="str">
        <f>HYPERLINK("#'Constants - Common Livestock'!A1", "Constants - Common Livestock")</f>
        <v>Constants - Common Livestock</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Electricity'!A1", "Constants - Electricity")</f>
        <v>Constants - Electricity</v>
      </c>
      <c r="D43" s="30" t="s">
        <v>137</v>
      </c>
      <c r="E43" s="30" t="s">
        <v>959</v>
      </c>
      <c r="F43" s="1" t="s">
        <v>961</v>
      </c>
    </row>
    <row r="44" spans="1:6" ht="20.100000000000001" customHeight="1" x14ac:dyDescent="0.25">
      <c r="A44" s="5" t="str">
        <f>HYPERLINK("#'Constants - Fertiliser'!A1", "Constants - Fertiliser")</f>
        <v>Constants - Fertiliser</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Fuel'!A1", "Constants - Fuel")</f>
        <v>Constants - Fuel</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Scope 3'!A1", "Constants - Scope 3")</f>
        <v>Constants - Scope 3</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Common'!A1", "Constants - Common")</f>
        <v>Constants - Common</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Solid Waste'!A1", "Constants - Solid Waste")</f>
        <v>Constants - Solid Waste</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959</v>
      </c>
      <c r="F54" s="1" t="s">
        <v>962</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959</v>
      </c>
      <c r="F59" s="1" t="s">
        <v>963</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959</v>
      </c>
      <c r="F64" s="1" t="s">
        <v>964</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0B3A4-B938-4C82-AD99-0A3B950CBD4F}">
  <dimension ref="A1:AI165"/>
  <sheetViews>
    <sheetView showGridLines="0" topLeftCell="A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0" t="s">
        <v>422</v>
      </c>
      <c r="E9" s="180" t="s">
        <v>423</v>
      </c>
      <c r="F9" s="180" t="s">
        <v>424</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Farm Inputs'!A1", "Farm Inputs")</f>
        <v>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Freight'!A1", "Freight")</f>
        <v>Freight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Manure sent off-site'!A1", "Manure sent off-site")</f>
        <v>Manure sent off-site</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A22" s="6" t="s">
        <v>2</v>
      </c>
      <c r="D22" s="27" t="str" cm="1">
        <f t="array" ref="D22">Electricity_SourceData.Electricity_Scope2Scope3MarketBased_Source()</f>
        <v>Australian National Greenhouse Accounts Factors 2025 - Table 2a</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170" t="s">
        <v>422</v>
      </c>
      <c r="E24" s="170" t="s">
        <v>425</v>
      </c>
      <c r="F24" s="170" t="s">
        <v>426</v>
      </c>
      <c r="G24" s="170" t="s">
        <v>427</v>
      </c>
      <c r="H24" s="170" t="s">
        <v>428</v>
      </c>
    </row>
    <row r="25" spans="1:8" ht="20.100000000000001" customHeight="1" x14ac:dyDescent="0.25">
      <c r="A25" s="5" t="str">
        <f>HYPERLINK("#'5.2.1.1-2 Organic Fert N2O'!A1", "5.2.1.1-2 Organic fert N2O")</f>
        <v>5.2.1.1-2 Organic fert N2O</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HYPERLINK("#'5.3.1.1-2 Lime CO2'!A1", "5.3.1.1-2 Lime CO2")</f>
        <v>5.3.1.1-2 Lime CO2</v>
      </c>
    </row>
    <row r="27" spans="1:8" ht="20.100000000000001" customHeight="1" x14ac:dyDescent="0.25">
      <c r="A27" s="5" t="str">
        <f>HYPERLINK("#'5.4.1.1-4 Atmos deposition'!A1", "5.4.1.1-4 Atmos. deposition")</f>
        <v>5.4.1.1-4 Atmos. deposition</v>
      </c>
    </row>
    <row r="28" spans="1:8" ht="20.100000000000001" customHeight="1" x14ac:dyDescent="0.25">
      <c r="A28" s="5" t="str">
        <f>HYPERLINK("#'5.5.1.1-2 Leaching and runoff'!A1", "5.5.1.1-2 Leaching &amp; runoff")</f>
        <v>5.5.1.1-2 Leaching &amp; runoff</v>
      </c>
    </row>
    <row r="29" spans="1:8" ht="20.100000000000001" customHeight="1" x14ac:dyDescent="0.25">
      <c r="A29" s="5" t="str">
        <f>HYPERLINK("#'6.1.1.1-2 Crop residue N2O'!A1", "6.1.1.1-2 Crop residue N2O")</f>
        <v>6.1.1.1-2 Crop residue N2O</v>
      </c>
    </row>
    <row r="30" spans="1:8" ht="20.100000000000001" customHeight="1" x14ac:dyDescent="0.25">
      <c r="A30" s="5" t="str">
        <f>HYPERLINK("#'6.3.1.1-2 Leach runoff crop'!A1", "6.3.1.1-2 Leach &amp; runoff (crop)")</f>
        <v>6.3.1.1-2 Leach &amp; runoff (crop)</v>
      </c>
    </row>
    <row r="31" spans="1:8" ht="20.100000000000001" customHeight="1" x14ac:dyDescent="0.25">
      <c r="A31" s="5" t="str">
        <f>HYPERLINK("#'6.4.1.1-2 Residue burning'!A1", "6.4.1.1-2 Residue burning")</f>
        <v>6.4.1.1-2 Residue burning</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171"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224B8-58B0-4E56-AE6D-5E252BE44828}">
  <dimension ref="A1:AI165"/>
  <sheetViews>
    <sheetView showGridLines="0" topLeftCell="A1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343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57"/>
      <c r="F5" s="157"/>
      <c r="G5" s="157"/>
      <c r="H5" s="157"/>
      <c r="I5" s="157"/>
      <c r="J5" s="15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Crop'!A1", "Crop")</f>
        <v>Crop</v>
      </c>
      <c r="D11" s="36" t="str">
        <v>Added 'Source' column</v>
      </c>
    </row>
    <row r="12" spans="1:35" ht="20.100000000000001" customHeight="1" x14ac:dyDescent="0.25">
      <c r="A12" s="5" t="str">
        <f>HYPERLINK("#'Input - Fert Prod System'!A1", "Fert Prod System")</f>
        <v>Fert Prod System</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A16" s="5" t="str">
        <f>HYPERLINK("#'Input - Farm Inputs'!A1", "Farm Inputs")</f>
        <v>Farm Inputs</v>
      </c>
      <c r="D16" s="36" t="str">
        <v>Set 'Nitrogen - Generic' basis as 'Urea-based fertilisers, as urea is the most commonly used form of nitrogen in Australian fertilisers</v>
      </c>
    </row>
    <row r="17" spans="1:22" ht="20.100000000000001" customHeight="1" x14ac:dyDescent="0.25">
      <c r="A17" s="5" t="str">
        <f>HYPERLINK("#'Input - Freight'!A1", "Freight")</f>
        <v>Freight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Manure sent off-site'!A1", "Manure sent off-site")</f>
        <v>Manure sent off-site</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260</v>
      </c>
      <c r="E19" t="s">
        <v>344</v>
      </c>
      <c r="F19" t="s">
        <v>345</v>
      </c>
      <c r="G19" t="s">
        <v>319</v>
      </c>
      <c r="H19" t="s">
        <v>346</v>
      </c>
      <c r="I19" t="s">
        <v>347</v>
      </c>
      <c r="K19" s="30" t="s">
        <v>260</v>
      </c>
      <c r="L19" s="30" t="s">
        <v>344</v>
      </c>
      <c r="Q19" s="30" t="s">
        <v>260</v>
      </c>
      <c r="R19" s="30" t="s">
        <v>344</v>
      </c>
      <c r="V19" s="30" t="s">
        <v>347</v>
      </c>
    </row>
    <row r="20" spans="1:22" ht="20.100000000000001" customHeight="1" x14ac:dyDescent="0.25">
      <c r="D20" s="170" t="str" cm="1">
        <f t="array" ref="D20">Common_InputFunctions.Utility_DisplayArrayInTable(Fertiliser_SourceData.Fertiliser_ChemicalCompoundElements_Data(),Table_Fertiliser_ChemicalCompounds[[#Headers],[Fertiliser type f]], 0)</f>
        <v>Monoammonium phosphate (MAP)</v>
      </c>
      <c r="E20" s="170" cm="1">
        <f t="array" ref="E20">Common_InputFunctions.Utility_DisplayArrayInTable(Fertiliser_SourceData.Fertiliser_ChemicalCompoundElements_Data(),Table_Fertiliser_ChemicalCompounds[[#Headers],[Fertiliser type f]], 0)</f>
        <v>0.1</v>
      </c>
      <c r="F20" s="170" cm="1">
        <f t="array" ref="F20">Common_InputFunctions.Utility_DisplayArrayInTable(Fertiliser_SourceData.Fertiliser_ChemicalCompoundElements_Data(),Table_Fertiliser_ChemicalCompounds[[#Headers],[Fertiliser type f]], 0)</f>
        <v>0</v>
      </c>
      <c r="G20" s="170" t="str" cm="1">
        <f t="array" ref="G20">Common_InputFunctions.Utility_DisplayArrayInTable(Fertiliser_SourceData.Fertiliser_ChemicalCompoundElements_Data(),Table_Fertiliser_ChemicalCompounds[[#Headers],[Fertiliser type f]], 0)</f>
        <v>Ammonium-based fertilisers</v>
      </c>
      <c r="H20" s="170" t="str" cm="1">
        <f t="array" ref="H20">Common_InputFunctions.Utility_DisplayArrayInTable(Fertiliser_SourceData.Fertiliser_ChemicalCompoundElements_Data(),Table_Fertiliser_ChemicalCompounds[[#Headers],[Fertiliser type f]], 0)</f>
        <v>Monoammonium phosphate (MAP)</v>
      </c>
      <c r="I20" s="170"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70" t="str" cm="1">
        <f t="array" ref="D21">Common_InputFunctions.Utility_DisplayArrayInTable(Fertiliser_SourceData.Fertiliser_ChemicalCompoundElements_Data(),Table_Fertiliser_ChemicalCompounds[[#Headers],[Fertiliser type f]], 0)</f>
        <v>Diammonium phosphate (DAP)</v>
      </c>
      <c r="E21" s="170" cm="1">
        <f t="array" ref="E21">Common_InputFunctions.Utility_DisplayArrayInTable(Fertiliser_SourceData.Fertiliser_ChemicalCompoundElements_Data(),Table_Fertiliser_ChemicalCompounds[[#Headers],[Fertiliser type f]], 0)</f>
        <v>0.18</v>
      </c>
      <c r="F21" s="170" cm="1">
        <f t="array" ref="F21">Common_InputFunctions.Utility_DisplayArrayInTable(Fertiliser_SourceData.Fertiliser_ChemicalCompoundElements_Data(),Table_Fertiliser_ChemicalCompounds[[#Headers],[Fertiliser type f]], 0)</f>
        <v>0</v>
      </c>
      <c r="G21" s="170" t="str" cm="1">
        <f t="array" ref="G21">Common_InputFunctions.Utility_DisplayArrayInTable(Fertiliser_SourceData.Fertiliser_ChemicalCompoundElements_Data(),Table_Fertiliser_ChemicalCompounds[[#Headers],[Fertiliser type f]], 0)</f>
        <v>Ammonium-based fertilisers</v>
      </c>
      <c r="H21" s="170" t="str" cm="1">
        <f t="array" ref="H21">Common_InputFunctions.Utility_DisplayArrayInTable(Fertiliser_SourceData.Fertiliser_ChemicalCompoundElements_Data(),Table_Fertiliser_ChemicalCompounds[[#Headers],[Fertiliser type f]], 0)</f>
        <v>Diammonium phosphate (DAP)</v>
      </c>
      <c r="I21" s="170"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6" t="s">
        <v>2</v>
      </c>
      <c r="D22" s="170" t="str" cm="1">
        <f t="array" ref="D22">Common_InputFunctions.Utility_DisplayArrayInTable(Fertiliser_SourceData.Fertiliser_ChemicalCompoundElements_Data(),Table_Fertiliser_ChemicalCompounds[[#Headers],[Fertiliser type f]], 0)</f>
        <v>Urea</v>
      </c>
      <c r="E22" s="170" cm="1">
        <f t="array" ref="E22">Common_InputFunctions.Utility_DisplayArrayInTable(Fertiliser_SourceData.Fertiliser_ChemicalCompoundElements_Data(),Table_Fertiliser_ChemicalCompounds[[#Headers],[Fertiliser type f]], 0)</f>
        <v>0.46</v>
      </c>
      <c r="F22" s="170" cm="1">
        <f t="array" ref="F22">Common_InputFunctions.Utility_DisplayArrayInTable(Fertiliser_SourceData.Fertiliser_ChemicalCompoundElements_Data(),Table_Fertiliser_ChemicalCompounds[[#Headers],[Fertiliser type f]], 0)</f>
        <v>1</v>
      </c>
      <c r="G22" s="170" t="str" cm="1">
        <f t="array" ref="G22">Common_InputFunctions.Utility_DisplayArrayInTable(Fertiliser_SourceData.Fertiliser_ChemicalCompoundElements_Data(),Table_Fertiliser_ChemicalCompounds[[#Headers],[Fertiliser type f]], 0)</f>
        <v>Urea-based fertilisers</v>
      </c>
      <c r="H22" s="170" t="str" cm="1">
        <f t="array" ref="H22">Common_InputFunctions.Utility_DisplayArrayInTable(Fertiliser_SourceData.Fertiliser_ChemicalCompoundElements_Data(),Table_Fertiliser_ChemicalCompounds[[#Headers],[Fertiliser type f]], 0)</f>
        <v>Urea</v>
      </c>
      <c r="I22" s="170"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HYPERLINK("#'5.1.1.1-2 Inorganic fert N2O'!A1", "5.1.1.1-2 Inorganic fert N2O")</f>
        <v>5.1.1.1-2 Inorganic fert N2O</v>
      </c>
      <c r="D23" s="170" t="str" cm="1">
        <f t="array" ref="D23">Common_InputFunctions.Utility_DisplayArrayInTable(Fertiliser_SourceData.Fertiliser_ChemicalCompoundElements_Data(),Table_Fertiliser_ChemicalCompounds[[#Headers],[Fertiliser type f]], 0)</f>
        <v>Sulphate of ammonia (SOA)</v>
      </c>
      <c r="E23" s="170" cm="1">
        <f t="array" ref="E23">Common_InputFunctions.Utility_DisplayArrayInTable(Fertiliser_SourceData.Fertiliser_ChemicalCompoundElements_Data(),Table_Fertiliser_ChemicalCompounds[[#Headers],[Fertiliser type f]], 0)</f>
        <v>0.21</v>
      </c>
      <c r="F23" s="170" cm="1">
        <f t="array" ref="F23">Common_InputFunctions.Utility_DisplayArrayInTable(Fertiliser_SourceData.Fertiliser_ChemicalCompoundElements_Data(),Table_Fertiliser_ChemicalCompounds[[#Headers],[Fertiliser type f]], 0)</f>
        <v>0</v>
      </c>
      <c r="G23" s="170" t="str" cm="1">
        <f t="array" ref="G23">Common_InputFunctions.Utility_DisplayArrayInTable(Fertiliser_SourceData.Fertiliser_ChemicalCompoundElements_Data(),Table_Fertiliser_ChemicalCompounds[[#Headers],[Fertiliser type f]], 0)</f>
        <v>Ammonium-based fertilisers</v>
      </c>
      <c r="H23" s="170" t="str" cm="1">
        <f t="array" ref="H23">Common_InputFunctions.Utility_DisplayArrayInTable(Fertiliser_SourceData.Fertiliser_ChemicalCompoundElements_Data(),Table_Fertiliser_ChemicalCompounds[[#Headers],[Fertiliser type f]], 0)</f>
        <v>Sulphate of ammonia (SOA)</v>
      </c>
      <c r="I23" s="170"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HYPERLINK("#'5.1.1.3-4 Inorganic fert CO2'!A1", "5.1.1.3-4 Inorganic fert CO2")</f>
        <v>5.1.1.3-4 Inorganic fert CO2</v>
      </c>
      <c r="D24" s="170" t="str" cm="1">
        <f t="array" ref="D24">Common_InputFunctions.Utility_DisplayArrayInTable(Fertiliser_SourceData.Fertiliser_ChemicalCompoundElements_Data(),Table_Fertiliser_ChemicalCompounds[[#Headers],[Fertiliser type f]], 0)</f>
        <v>Urea-ammonium nitrate (UAN)</v>
      </c>
      <c r="E24" s="170" cm="1">
        <f t="array" ref="E24">Common_InputFunctions.Utility_DisplayArrayInTable(Fertiliser_SourceData.Fertiliser_ChemicalCompoundElements_Data(),Table_Fertiliser_ChemicalCompounds[[#Headers],[Fertiliser type f]], 0)</f>
        <v>0.32</v>
      </c>
      <c r="F24" s="170" cm="1">
        <f t="array" ref="F24">Common_InputFunctions.Utility_DisplayArrayInTable(Fertiliser_SourceData.Fertiliser_ChemicalCompoundElements_Data(),Table_Fertiliser_ChemicalCompounds[[#Headers],[Fertiliser type f]], 0)</f>
        <v>0.35</v>
      </c>
      <c r="G24" s="170" t="str" cm="1">
        <f t="array" ref="G24">Common_InputFunctions.Utility_DisplayArrayInTable(Fertiliser_SourceData.Fertiliser_ChemicalCompoundElements_Data(),Table_Fertiliser_ChemicalCompounds[[#Headers],[Fertiliser type f]], 0)</f>
        <v>Urea-based fertilisers</v>
      </c>
      <c r="H24" s="170" t="str" cm="1">
        <f t="array" ref="H24">Common_InputFunctions.Utility_DisplayArrayInTable(Fertiliser_SourceData.Fertiliser_ChemicalCompoundElements_Data(),Table_Fertiliser_ChemicalCompounds[[#Headers],[Fertiliser type f]], 0)</f>
        <v>Urea-ammonium nitrate (UAN)</v>
      </c>
      <c r="I24" s="170"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HYPERLINK("#'5.2.1.1-2 Organic Fert N2O'!A1", "5.2.1.1-2 Organic fert N2O")</f>
        <v>5.2.1.1-2 Organic fert N2O</v>
      </c>
      <c r="D25" s="170" t="str" cm="1">
        <f t="array" ref="D25">Common_InputFunctions.Utility_DisplayArrayInTable(Fertiliser_SourceData.Fertiliser_ChemicalCompoundElements_Data(),Table_Fertiliser_ChemicalCompounds[[#Headers],[Fertiliser type f]], 0)</f>
        <v>Ammonium nitrate (AN)</v>
      </c>
      <c r="E25" s="170" cm="1">
        <f t="array" ref="E25">Common_InputFunctions.Utility_DisplayArrayInTable(Fertiliser_SourceData.Fertiliser_ChemicalCompoundElements_Data(),Table_Fertiliser_ChemicalCompounds[[#Headers],[Fertiliser type f]], 0)</f>
        <v>0.33700000000000002</v>
      </c>
      <c r="F25" s="170" cm="1">
        <f t="array" ref="F25">Common_InputFunctions.Utility_DisplayArrayInTable(Fertiliser_SourceData.Fertiliser_ChemicalCompoundElements_Data(),Table_Fertiliser_ChemicalCompounds[[#Headers],[Fertiliser type f]], 0)</f>
        <v>0</v>
      </c>
      <c r="G25" s="170" t="str" cm="1">
        <f t="array" ref="G25">Common_InputFunctions.Utility_DisplayArrayInTable(Fertiliser_SourceData.Fertiliser_ChemicalCompoundElements_Data(),Table_Fertiliser_ChemicalCompounds[[#Headers],[Fertiliser type f]], 0)</f>
        <v>Ammonium-nitrate based fertilisers</v>
      </c>
      <c r="H25" s="170" t="str" cm="1">
        <f t="array" ref="H25">Common_InputFunctions.Utility_DisplayArrayInTable(Fertiliser_SourceData.Fertiliser_ChemicalCompoundElements_Data(),Table_Fertiliser_ChemicalCompounds[[#Headers],[Fertiliser type f]], 0)</f>
        <v>Ammonium nitrate (AN)</v>
      </c>
      <c r="I25" s="170"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HYPERLINK("#'5.3.1.1-2 Lime CO2'!A1", "5.3.1.1-2 Lime CO2")</f>
        <v>5.3.1.1-2 Lime CO2</v>
      </c>
      <c r="D26" s="170" t="str" cm="1">
        <f t="array" ref="D26">Common_InputFunctions.Utility_DisplayArrayInTable(Fertiliser_SourceData.Fertiliser_ChemicalCompoundElements_Data(),Table_Fertiliser_ChemicalCompounds[[#Headers],[Fertiliser type f]], 0)</f>
        <v>Calcium ammonium nitrate (CAN)</v>
      </c>
      <c r="E26" s="170" cm="1">
        <f t="array" ref="E26">Common_InputFunctions.Utility_DisplayArrayInTable(Fertiliser_SourceData.Fertiliser_ChemicalCompoundElements_Data(),Table_Fertiliser_ChemicalCompounds[[#Headers],[Fertiliser type f]], 0)</f>
        <v>0.27</v>
      </c>
      <c r="F26" s="170" cm="1">
        <f t="array" ref="F26">Common_InputFunctions.Utility_DisplayArrayInTable(Fertiliser_SourceData.Fertiliser_ChemicalCompoundElements_Data(),Table_Fertiliser_ChemicalCompounds[[#Headers],[Fertiliser type f]], 0)</f>
        <v>0</v>
      </c>
      <c r="G26" s="170" t="str" cm="1">
        <f t="array" ref="G26">Common_InputFunctions.Utility_DisplayArrayInTable(Fertiliser_SourceData.Fertiliser_ChemicalCompoundElements_Data(),Table_Fertiliser_ChemicalCompounds[[#Headers],[Fertiliser type f]], 0)</f>
        <v>Ammonium-nitrate based fertilisers</v>
      </c>
      <c r="H26" s="170" t="str" cm="1">
        <f t="array" ref="H26">Common_InputFunctions.Utility_DisplayArrayInTable(Fertiliser_SourceData.Fertiliser_ChemicalCompoundElements_Data(),Table_Fertiliser_ChemicalCompounds[[#Headers],[Fertiliser type f]], 0)</f>
        <v>Calcium ammonium nitrate (CAN)</v>
      </c>
      <c r="I26" s="170"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HYPERLINK("#'5.4.1.1-4 Atmos deposition'!A1", "5.4.1.1-4 Atmos. deposition")</f>
        <v>5.4.1.1-4 Atmos. deposition</v>
      </c>
      <c r="D27" s="170" t="str" cm="1">
        <f t="array" ref="D27">Common_InputFunctions.Utility_DisplayArrayInTable(Fertiliser_SourceData.Fertiliser_ChemicalCompoundElements_Data(),Table_Fertiliser_ChemicalCompounds[[#Headers],[Fertiliser type f]], 0)</f>
        <v>Nitrogen - Ammoniacal</v>
      </c>
      <c r="E27" s="170" cm="1">
        <f t="array" ref="E27">Common_InputFunctions.Utility_DisplayArrayInTable(Fertiliser_SourceData.Fertiliser_ChemicalCompoundElements_Data(),Table_Fertiliser_ChemicalCompounds[[#Headers],[Fertiliser type f]], 0)</f>
        <v>1</v>
      </c>
      <c r="F27" s="170" cm="1">
        <f t="array" ref="F27">Common_InputFunctions.Utility_DisplayArrayInTable(Fertiliser_SourceData.Fertiliser_ChemicalCompoundElements_Data(),Table_Fertiliser_ChemicalCompounds[[#Headers],[Fertiliser type f]], 0)</f>
        <v>0</v>
      </c>
      <c r="G27" s="170" t="str" cm="1">
        <f t="array" ref="G27">Common_InputFunctions.Utility_DisplayArrayInTable(Fertiliser_SourceData.Fertiliser_ChemicalCompoundElements_Data(),Table_Fertiliser_ChemicalCompounds[[#Headers],[Fertiliser type f]], 0)</f>
        <v>Ammonium-based fertilisers</v>
      </c>
      <c r="H27" s="170" t="str" cm="1">
        <f t="array" ref="H27">Common_InputFunctions.Utility_DisplayArrayInTable(Fertiliser_SourceData.Fertiliser_ChemicalCompoundElements_Data(),Table_Fertiliser_ChemicalCompounds[[#Headers],[Fertiliser type f]], 0)</f>
        <v>Nitrogen - Ammoniacal</v>
      </c>
      <c r="I27" s="170"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HYPERLINK("#'5.5.1.1-2 Leaching and runoff'!A1", "5.5.1.1-2 Leaching &amp; runoff")</f>
        <v>5.5.1.1-2 Leaching &amp; runoff</v>
      </c>
      <c r="D28" s="170" t="str" cm="1">
        <f t="array" ref="D28">Common_InputFunctions.Utility_DisplayArrayInTable(Fertiliser_SourceData.Fertiliser_ChemicalCompoundElements_Data(),Table_Fertiliser_ChemicalCompounds[[#Headers],[Fertiliser type f]], 0)</f>
        <v>Nitrogen - Nitrate</v>
      </c>
      <c r="E28" s="170" cm="1">
        <f t="array" ref="E28">Common_InputFunctions.Utility_DisplayArrayInTable(Fertiliser_SourceData.Fertiliser_ChemicalCompoundElements_Data(),Table_Fertiliser_ChemicalCompounds[[#Headers],[Fertiliser type f]], 0)</f>
        <v>1</v>
      </c>
      <c r="F28" s="170" cm="1">
        <f t="array" ref="F28">Common_InputFunctions.Utility_DisplayArrayInTable(Fertiliser_SourceData.Fertiliser_ChemicalCompoundElements_Data(),Table_Fertiliser_ChemicalCompounds[[#Headers],[Fertiliser type f]], 0)</f>
        <v>0</v>
      </c>
      <c r="G28" s="170" t="str" cm="1">
        <f t="array" ref="G28">Common_InputFunctions.Utility_DisplayArrayInTable(Fertiliser_SourceData.Fertiliser_ChemicalCompoundElements_Data(),Table_Fertiliser_ChemicalCompounds[[#Headers],[Fertiliser type f]], 0)</f>
        <v>Nitrate-based fertilisers</v>
      </c>
      <c r="H28" s="170" t="str" cm="1">
        <f t="array" ref="H28">Common_InputFunctions.Utility_DisplayArrayInTable(Fertiliser_SourceData.Fertiliser_ChemicalCompoundElements_Data(),Table_Fertiliser_ChemicalCompounds[[#Headers],[Fertiliser type f]], 0)</f>
        <v>Nitrogen from Nitrate</v>
      </c>
      <c r="I28" s="170"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HYPERLINK("#'6.1.1.1-2 Crop residue N2O'!A1", "6.1.1.1-2 Crop residue N2O")</f>
        <v>6.1.1.1-2 Crop residue N2O</v>
      </c>
      <c r="D29" s="170" t="str" cm="1">
        <f t="array" ref="D29">Common_InputFunctions.Utility_DisplayArrayInTable(Fertiliser_SourceData.Fertiliser_ChemicalCompoundElements_Data(),Table_Fertiliser_ChemicalCompounds[[#Headers],[Fertiliser type f]], 0)</f>
        <v>Nitrogen - Generic</v>
      </c>
      <c r="E29" s="170" cm="1">
        <f t="array" ref="E29">Common_InputFunctions.Utility_DisplayArrayInTable(Fertiliser_SourceData.Fertiliser_ChemicalCompoundElements_Data(),Table_Fertiliser_ChemicalCompounds[[#Headers],[Fertiliser type f]], 0)</f>
        <v>1</v>
      </c>
      <c r="F29" s="170" cm="1">
        <f t="array" ref="F29">Common_InputFunctions.Utility_DisplayArrayInTable(Fertiliser_SourceData.Fertiliser_ChemicalCompoundElements_Data(),Table_Fertiliser_ChemicalCompounds[[#Headers],[Fertiliser type f]], 0)</f>
        <v>0</v>
      </c>
      <c r="G29" s="170" t="str" cm="1">
        <f t="array" ref="G29">Common_InputFunctions.Utility_DisplayArrayInTable(Fertiliser_SourceData.Fertiliser_ChemicalCompoundElements_Data(),Table_Fertiliser_ChemicalCompounds[[#Headers],[Fertiliser type f]], 0)</f>
        <v>Urea-based fertilisers</v>
      </c>
      <c r="H29" s="170" t="str" cm="1">
        <f t="array" ref="H29">Common_InputFunctions.Utility_DisplayArrayInTable(Fertiliser_SourceData.Fertiliser_ChemicalCompoundElements_Data(),Table_Fertiliser_ChemicalCompounds[[#Headers],[Fertiliser type f]], 0)</f>
        <v>Nitrogen from fertiliser</v>
      </c>
      <c r="I29" s="17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HYPERLINK("#'6.3.1.1-2 Leach runoff crop'!A1", "6.3.1.1-2 Leach &amp; runoff (crop)")</f>
        <v>6.3.1.1-2 Leach &amp; runoff (crop)</v>
      </c>
      <c r="D30" s="170" t="str" cm="1">
        <f t="array" ref="D30">Common_InputFunctions.Utility_DisplayArrayInTable(Fertiliser_SourceData.Fertiliser_ChemicalCompoundElements_Data(),Table_Fertiliser_ChemicalCompounds[[#Headers],[Fertiliser type f]], 0)</f>
        <v>Phosphorus - Generic</v>
      </c>
      <c r="E30" s="170" cm="1">
        <f t="array" ref="E30">Common_InputFunctions.Utility_DisplayArrayInTable(Fertiliser_SourceData.Fertiliser_ChemicalCompoundElements_Data(),Table_Fertiliser_ChemicalCompounds[[#Headers],[Fertiliser type f]], 0)</f>
        <v>0</v>
      </c>
      <c r="F30" s="170" cm="1">
        <f t="array" ref="F30">Common_InputFunctions.Utility_DisplayArrayInTable(Fertiliser_SourceData.Fertiliser_ChemicalCompoundElements_Data(),Table_Fertiliser_ChemicalCompounds[[#Headers],[Fertiliser type f]], 0)</f>
        <v>0</v>
      </c>
      <c r="G30" s="170" t="str" cm="1">
        <f t="array" ref="G30">Common_InputFunctions.Utility_DisplayArrayInTable(Fertiliser_SourceData.Fertiliser_ChemicalCompoundElements_Data(),Table_Fertiliser_ChemicalCompounds[[#Headers],[Fertiliser type f]], 0)</f>
        <v>Other fertilisers</v>
      </c>
      <c r="H30" s="170" t="str" cm="1">
        <f t="array" ref="H30">Common_InputFunctions.Utility_DisplayArrayInTable(Fertiliser_SourceData.Fertiliser_ChemicalCompoundElements_Data(),Table_Fertiliser_ChemicalCompounds[[#Headers],[Fertiliser type f]], 0)</f>
        <v>Phosphorus from fertiliser</v>
      </c>
      <c r="I30" s="17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HYPERLINK("#'6.4.1.1-2 Residue burning'!A1", "6.4.1.1-2 Residue burning")</f>
        <v>6.4.1.1-2 Residue burning</v>
      </c>
      <c r="D31" s="170" t="str" cm="1">
        <f t="array" ref="D31">Common_InputFunctions.Utility_DisplayArrayInTable(Fertiliser_SourceData.Fertiliser_ChemicalCompoundElements_Data(),Table_Fertiliser_ChemicalCompounds[[#Headers],[Fertiliser type f]], 0)</f>
        <v>Potassium - Generic</v>
      </c>
      <c r="E31" s="170" cm="1">
        <f t="array" ref="E31">Common_InputFunctions.Utility_DisplayArrayInTable(Fertiliser_SourceData.Fertiliser_ChemicalCompoundElements_Data(),Table_Fertiliser_ChemicalCompounds[[#Headers],[Fertiliser type f]], 0)</f>
        <v>0</v>
      </c>
      <c r="F31" s="170" cm="1">
        <f t="array" ref="F31">Common_InputFunctions.Utility_DisplayArrayInTable(Fertiliser_SourceData.Fertiliser_ChemicalCompoundElements_Data(),Table_Fertiliser_ChemicalCompounds[[#Headers],[Fertiliser type f]], 0)</f>
        <v>0</v>
      </c>
      <c r="G31" s="170" t="str" cm="1">
        <f t="array" ref="G31">Common_InputFunctions.Utility_DisplayArrayInTable(Fertiliser_SourceData.Fertiliser_ChemicalCompoundElements_Data(),Table_Fertiliser_ChemicalCompounds[[#Headers],[Fertiliser type f]], 0)</f>
        <v>Other fertilisers</v>
      </c>
      <c r="H31" s="170" t="str" cm="1">
        <f t="array" ref="H31">Common_InputFunctions.Utility_DisplayArrayInTable(Fertiliser_SourceData.Fertiliser_ChemicalCompoundElements_Data(),Table_Fertiliser_ChemicalCompounds[[#Headers],[Fertiliser type f]], 0)</f>
        <v>Potassium from fertiliser</v>
      </c>
      <c r="I31" s="17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70" t="str" cm="1">
        <f t="array" ref="D32">Common_InputFunctions.Utility_DisplayArrayInTable(Fertiliser_SourceData.Fertiliser_ChemicalCompoundElements_Data(),Table_Fertiliser_ChemicalCompounds[[#Headers],[Fertiliser type f]], 0)</f>
        <v>Sulfur - Generic</v>
      </c>
      <c r="E32" s="170" cm="1">
        <f t="array" ref="E32">Common_InputFunctions.Utility_DisplayArrayInTable(Fertiliser_SourceData.Fertiliser_ChemicalCompoundElements_Data(),Table_Fertiliser_ChemicalCompounds[[#Headers],[Fertiliser type f]], 0)</f>
        <v>0</v>
      </c>
      <c r="F32" s="170" cm="1">
        <f t="array" ref="F32">Common_InputFunctions.Utility_DisplayArrayInTable(Fertiliser_SourceData.Fertiliser_ChemicalCompoundElements_Data(),Table_Fertiliser_ChemicalCompounds[[#Headers],[Fertiliser type f]], 0)</f>
        <v>0</v>
      </c>
      <c r="G32" s="170" t="str" cm="1">
        <f t="array" ref="G32">Common_InputFunctions.Utility_DisplayArrayInTable(Fertiliser_SourceData.Fertiliser_ChemicalCompoundElements_Data(),Table_Fertiliser_ChemicalCompounds[[#Headers],[Fertiliser type f]], 0)</f>
        <v>Other fertilisers</v>
      </c>
      <c r="H32" s="170" t="str" cm="1">
        <f t="array" ref="H32">Common_InputFunctions.Utility_DisplayArrayInTable(Fertiliser_SourceData.Fertiliser_ChemicalCompoundElements_Data(),Table_Fertiliser_ChemicalCompounds[[#Headers],[Fertiliser type f]], 0)</f>
        <v>Sulfur from fertiliser</v>
      </c>
      <c r="I32" s="17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70" t="str" cm="1">
        <f t="array" ref="D33">Common_InputFunctions.Utility_DisplayArrayInTable(Fertiliser_SourceData.Fertiliser_ChemicalCompoundElements_Data(),Table_Fertiliser_ChemicalCompounds[[#Headers],[Fertiliser type f]], 0)</f>
        <v>Zinc - Generic</v>
      </c>
      <c r="E33" s="170" cm="1">
        <f t="array" ref="E33">Common_InputFunctions.Utility_DisplayArrayInTable(Fertiliser_SourceData.Fertiliser_ChemicalCompoundElements_Data(),Table_Fertiliser_ChemicalCompounds[[#Headers],[Fertiliser type f]], 0)</f>
        <v>0</v>
      </c>
      <c r="F33" s="170" cm="1">
        <f t="array" ref="F33">Common_InputFunctions.Utility_DisplayArrayInTable(Fertiliser_SourceData.Fertiliser_ChemicalCompoundElements_Data(),Table_Fertiliser_ChemicalCompounds[[#Headers],[Fertiliser type f]], 0)</f>
        <v>0</v>
      </c>
      <c r="G33" s="170" t="str" cm="1">
        <f t="array" ref="G33">Common_InputFunctions.Utility_DisplayArrayInTable(Fertiliser_SourceData.Fertiliser_ChemicalCompoundElements_Data(),Table_Fertiliser_ChemicalCompounds[[#Headers],[Fertiliser type f]], 0)</f>
        <v>Other fertilisers</v>
      </c>
      <c r="H33" s="170" t="str" cm="1">
        <f t="array" ref="H33">Common_InputFunctions.Utility_DisplayArrayInTable(Fertiliser_SourceData.Fertiliser_ChemicalCompoundElements_Data(),Table_Fertiliser_ChemicalCompounds[[#Headers],[Fertiliser type f]], 0)</f>
        <v>Zinc from fertiliser</v>
      </c>
      <c r="I33" s="17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70" t="str" cm="1">
        <f t="array" ref="D34">Common_InputFunctions.Utility_DisplayArrayInTable(Fertiliser_SourceData.Fertiliser_ChemicalCompoundElements_Data(),Table_Fertiliser_ChemicalCompounds[[#Headers],[Fertiliser type f]], 0)</f>
        <v>Muriate of potash (MOP)</v>
      </c>
      <c r="E34" s="170" cm="1">
        <f t="array" ref="E34">Common_InputFunctions.Utility_DisplayArrayInTable(Fertiliser_SourceData.Fertiliser_ChemicalCompoundElements_Data(),Table_Fertiliser_ChemicalCompounds[[#Headers],[Fertiliser type f]], 0)</f>
        <v>0</v>
      </c>
      <c r="F34" s="170" cm="1">
        <f t="array" ref="F34">Common_InputFunctions.Utility_DisplayArrayInTable(Fertiliser_SourceData.Fertiliser_ChemicalCompoundElements_Data(),Table_Fertiliser_ChemicalCompounds[[#Headers],[Fertiliser type f]], 0)</f>
        <v>0</v>
      </c>
      <c r="G34" s="170" t="str" cm="1">
        <f t="array" ref="G34">Common_InputFunctions.Utility_DisplayArrayInTable(Fertiliser_SourceData.Fertiliser_ChemicalCompoundElements_Data(),Table_Fertiliser_ChemicalCompounds[[#Headers],[Fertiliser type f]], 0)</f>
        <v>Other fertilisers</v>
      </c>
      <c r="H34" s="170" t="str" cm="1">
        <f t="array" ref="H34">Common_InputFunctions.Utility_DisplayArrayInTable(Fertiliser_SourceData.Fertiliser_ChemicalCompoundElements_Data(),Table_Fertiliser_ChemicalCompounds[[#Headers],[Fertiliser type f]], 0)</f>
        <v>Muriate of potash (MOP)</v>
      </c>
      <c r="I34" s="17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HYPERLINK("#'15 Scope 3'!A1", "15 Scope 3")</f>
        <v>15 Scope 3</v>
      </c>
      <c r="D35" s="170" t="str" cm="1">
        <f t="array" ref="D35">Common_InputFunctions.Utility_DisplayArrayInTable(Fertiliser_SourceData.Fertiliser_ChemicalCompoundElements_Data(),Table_Fertiliser_ChemicalCompounds[[#Headers],[Fertiliser type f]], 0)</f>
        <v>Double superphosphate</v>
      </c>
      <c r="E35" s="170" cm="1">
        <f t="array" ref="E35">Common_InputFunctions.Utility_DisplayArrayInTable(Fertiliser_SourceData.Fertiliser_ChemicalCompoundElements_Data(),Table_Fertiliser_ChemicalCompounds[[#Headers],[Fertiliser type f]], 0)</f>
        <v>0</v>
      </c>
      <c r="F35" s="170" cm="1">
        <f t="array" ref="F35">Common_InputFunctions.Utility_DisplayArrayInTable(Fertiliser_SourceData.Fertiliser_ChemicalCompoundElements_Data(),Table_Fertiliser_ChemicalCompounds[[#Headers],[Fertiliser type f]], 0)</f>
        <v>0</v>
      </c>
      <c r="G35" s="170" t="str" cm="1">
        <f t="array" ref="G35">Common_InputFunctions.Utility_DisplayArrayInTable(Fertiliser_SourceData.Fertiliser_ChemicalCompoundElements_Data(),Table_Fertiliser_ChemicalCompounds[[#Headers],[Fertiliser type f]], 0)</f>
        <v>Other fertilisers</v>
      </c>
      <c r="H35" s="170" t="str" cm="1">
        <f t="array" ref="H35">Common_InputFunctions.Utility_DisplayArrayInTable(Fertiliser_SourceData.Fertiliser_ChemicalCompoundElements_Data(),Table_Fertiliser_ChemicalCompounds[[#Headers],[Fertiliser type f]], 0)</f>
        <v>Double superphosphate</v>
      </c>
      <c r="I35" s="17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HYPERLINK("#'Calcs - Manure sent off-site'!A1", "Calcs - Manure sent off-site")</f>
        <v>Calcs - Manure sent off-site</v>
      </c>
      <c r="D36" s="170" t="str" cm="1">
        <f t="array" ref="D36">Common_InputFunctions.Utility_DisplayArrayInTable(Fertiliser_SourceData.Fertiliser_ChemicalCompoundElements_Data(),Table_Fertiliser_ChemicalCompounds[[#Headers],[Fertiliser type f]], 0)</f>
        <v>Single superphosphate (SSP)</v>
      </c>
      <c r="E36" s="170" cm="1">
        <f t="array" ref="E36">Common_InputFunctions.Utility_DisplayArrayInTable(Fertiliser_SourceData.Fertiliser_ChemicalCompoundElements_Data(),Table_Fertiliser_ChemicalCompounds[[#Headers],[Fertiliser type f]], 0)</f>
        <v>0</v>
      </c>
      <c r="F36" s="170" cm="1">
        <f t="array" ref="F36">Common_InputFunctions.Utility_DisplayArrayInTable(Fertiliser_SourceData.Fertiliser_ChemicalCompoundElements_Data(),Table_Fertiliser_ChemicalCompounds[[#Headers],[Fertiliser type f]], 0)</f>
        <v>0</v>
      </c>
      <c r="G36" s="170" t="str" cm="1">
        <f t="array" ref="G36">Common_InputFunctions.Utility_DisplayArrayInTable(Fertiliser_SourceData.Fertiliser_ChemicalCompoundElements_Data(),Table_Fertiliser_ChemicalCompounds[[#Headers],[Fertiliser type f]], 0)</f>
        <v>Other fertilisers</v>
      </c>
      <c r="H36" s="170" t="str" cm="1">
        <f t="array" ref="H36">Common_InputFunctions.Utility_DisplayArrayInTable(Fertiliser_SourceData.Fertiliser_ChemicalCompoundElements_Data(),Table_Fertiliser_ChemicalCompounds[[#Headers],[Fertiliser type f]], 0)</f>
        <v>Single superphosphate (SSP)</v>
      </c>
      <c r="I36" s="17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HYPERLINK("#'10.1.1-2 Solid waste treatment'!A1", "10.1.1-2 Solid waste treatment")</f>
        <v>10.1.1-2 Solid waste treatment</v>
      </c>
      <c r="D37" s="170" t="str" cm="1">
        <f t="array" ref="D37">Common_InputFunctions.Utility_DisplayArrayInTable(Fertiliser_SourceData.Fertiliser_ChemicalCompoundElements_Data(),Table_Fertiliser_ChemicalCompounds[[#Headers],[Fertiliser type f]], 0)</f>
        <v>Ammonia</v>
      </c>
      <c r="E37" s="170" cm="1">
        <f t="array" ref="E37">Common_InputFunctions.Utility_DisplayArrayInTable(Fertiliser_SourceData.Fertiliser_ChemicalCompoundElements_Data(),Table_Fertiliser_ChemicalCompounds[[#Headers],[Fertiliser type f]], 0)</f>
        <v>0.82350000000000001</v>
      </c>
      <c r="F37" s="170" cm="1">
        <f t="array" ref="F37">Common_InputFunctions.Utility_DisplayArrayInTable(Fertiliser_SourceData.Fertiliser_ChemicalCompoundElements_Data(),Table_Fertiliser_ChemicalCompounds[[#Headers],[Fertiliser type f]], 0)</f>
        <v>0</v>
      </c>
      <c r="G37" s="170" t="str" cm="1">
        <f t="array" ref="G37">Common_InputFunctions.Utility_DisplayArrayInTable(Fertiliser_SourceData.Fertiliser_ChemicalCompoundElements_Data(),Table_Fertiliser_ChemicalCompounds[[#Headers],[Fertiliser type f]], 0)</f>
        <v>Ammonium-based fertilisers</v>
      </c>
      <c r="H37" s="170" t="str" cm="1">
        <f t="array" ref="H37">Common_InputFunctions.Utility_DisplayArrayInTable(Fertiliser_SourceData.Fertiliser_ChemicalCompoundElements_Data(),Table_Fertiliser_ChemicalCompounds[[#Headers],[Fertiliser type f]], 0)</f>
        <v>Ammonia</v>
      </c>
      <c r="I37" s="17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row r="40" spans="1:10" ht="20.100000000000001" customHeight="1" x14ac:dyDescent="0.25">
      <c r="A40" s="119" t="s">
        <v>1</v>
      </c>
      <c r="D40" s="2" t="s">
        <v>348</v>
      </c>
      <c r="F40" s="2" t="s">
        <v>349</v>
      </c>
      <c r="H40" s="2" t="s">
        <v>350</v>
      </c>
      <c r="J40" s="2" t="s">
        <v>351</v>
      </c>
    </row>
    <row r="41" spans="1:10" ht="20.100000000000001" customHeight="1" x14ac:dyDescent="0.25">
      <c r="A41" s="5" t="str">
        <f>HYPERLINK("#'Constants - Ag Residue'!A1", "Constants - Ag residue")</f>
        <v>Constants - Ag residue</v>
      </c>
      <c r="D41" s="30" t="s">
        <v>183</v>
      </c>
      <c r="F41" s="30" t="s">
        <v>183</v>
      </c>
      <c r="H41" s="30" t="s">
        <v>63</v>
      </c>
      <c r="J41" s="30" t="s">
        <v>352</v>
      </c>
    </row>
    <row r="42" spans="1:10" ht="20.100000000000001" customHeight="1" x14ac:dyDescent="0.25">
      <c r="A42" s="5" t="str">
        <f>HYPERLINK("#'Constants - Common Livestock'!A1", "Constants - Common Livestock")</f>
        <v>Constants - Common Livestock</v>
      </c>
      <c r="D42" s="30" t="s">
        <v>353</v>
      </c>
      <c r="F42" s="30" t="s">
        <v>353</v>
      </c>
      <c r="H42" s="30" t="s">
        <v>354</v>
      </c>
      <c r="J42" s="30" t="s">
        <v>355</v>
      </c>
    </row>
    <row r="43" spans="1:10" ht="20.100000000000001" customHeight="1" x14ac:dyDescent="0.25">
      <c r="A43" s="5" t="str">
        <f>HYPERLINK("#'Constants - Electricity'!A1", "Constants - Electricity")</f>
        <v>Constants - Electricity</v>
      </c>
      <c r="D43" s="1" t="s">
        <v>184</v>
      </c>
      <c r="F43" s="1" t="s">
        <v>356</v>
      </c>
      <c r="H43" s="30" t="s">
        <v>357</v>
      </c>
      <c r="J43" s="1" t="s">
        <v>252</v>
      </c>
    </row>
    <row r="44" spans="1:10" ht="20.100000000000001" customHeight="1" x14ac:dyDescent="0.25">
      <c r="A44" s="171" t="str">
        <f>HYPERLINK("#'Constants - Fertiliser'!A1", "Constants - Fertiliser")</f>
        <v>Constants - Fertiliser</v>
      </c>
      <c r="F44" s="1" t="s">
        <v>358</v>
      </c>
      <c r="H44" s="1" t="s">
        <v>359</v>
      </c>
      <c r="J44" s="1" t="s">
        <v>360</v>
      </c>
    </row>
    <row r="45" spans="1:10" ht="20.100000000000001" customHeight="1" x14ac:dyDescent="0.25">
      <c r="A45" s="5" t="str">
        <f>HYPERLINK("#'Constants - Fuel'!A1", "Constants - Fuel")</f>
        <v>Constants - Fuel</v>
      </c>
      <c r="F45" s="1" t="s">
        <v>361</v>
      </c>
      <c r="H45" s="1" t="s">
        <v>362</v>
      </c>
      <c r="J45" s="1" t="s">
        <v>251</v>
      </c>
    </row>
    <row r="46" spans="1:10" ht="20.100000000000001" customHeight="1" x14ac:dyDescent="0.25">
      <c r="A46" s="5" t="str">
        <f>HYPERLINK("#'Constants - Scope 3'!A1", "Constants - Scope 3")</f>
        <v>Constants - Scope 3</v>
      </c>
      <c r="H46" s="1" t="s">
        <v>363</v>
      </c>
      <c r="J46" s="1" t="s">
        <v>253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c r="D48" s="2" t="str" cm="1">
        <f t="array" ref="D48">Fertiliser_SourceData.Fertiliser_FracGASF_Title()</f>
        <v>Fraction of inorganic fertiliser that volatilises as NH3 and NOx</v>
      </c>
      <c r="G48" s="157"/>
    </row>
    <row r="49" spans="4:8" ht="20.100000000000001" customHeight="1" x14ac:dyDescent="0.25">
      <c r="D49" s="27" t="str" cm="1">
        <f t="array" ref="D49">Fertiliser_SourceData.Fertiliser_FracGASF_Source()</f>
        <v>Table A.2.2.6: Fraction of inorganic fertiliser f that volatilises as NH3 and NOx ((kg NH3-N + NOx-N)/kg N) (FracGASFf)</v>
      </c>
      <c r="G49" s="157"/>
    </row>
    <row r="50" spans="4:8" ht="20.100000000000001" customHeight="1" x14ac:dyDescent="0.25">
      <c r="D50" s="30" t="s">
        <v>260</v>
      </c>
      <c r="E50" s="30" t="s">
        <v>364</v>
      </c>
      <c r="G50" s="15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5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5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5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57"/>
      <c r="H54" s="15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57"/>
      <c r="H55" s="15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308</v>
      </c>
      <c r="E65" s="30" t="s">
        <v>365</v>
      </c>
      <c r="F65" s="30" t="s">
        <v>366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367</v>
      </c>
    </row>
    <row r="87" spans="4:31" ht="20.100000000000001" customHeight="1" x14ac:dyDescent="0.25">
      <c r="D87" s="2" t="s">
        <v>368</v>
      </c>
      <c r="E87" s="157"/>
      <c r="F87" s="157"/>
      <c r="G87" s="157"/>
      <c r="H87" s="157"/>
      <c r="I87" s="157"/>
      <c r="J87" s="157"/>
      <c r="K87" s="157"/>
      <c r="L87" s="157"/>
      <c r="N87" s="157" t="s">
        <v>367</v>
      </c>
      <c r="O87" s="157"/>
      <c r="P87" s="157"/>
      <c r="Q87" s="157"/>
      <c r="R87" s="157"/>
      <c r="S87" s="157"/>
      <c r="T87" s="157"/>
      <c r="U87" s="157"/>
    </row>
    <row r="88" spans="4:31" ht="20.100000000000001" customHeight="1" x14ac:dyDescent="0.25">
      <c r="D88" s="157"/>
    </row>
    <row r="89" spans="4:31" ht="20.100000000000001" customHeight="1" x14ac:dyDescent="0.25">
      <c r="D89" s="172" t="s">
        <v>369</v>
      </c>
      <c r="E89" s="30" t="s">
        <v>370</v>
      </c>
      <c r="F89" s="30" t="s">
        <v>371</v>
      </c>
      <c r="G89" s="99" t="s">
        <v>372</v>
      </c>
      <c r="H89" s="99" t="s">
        <v>121</v>
      </c>
      <c r="I89" s="99" t="s">
        <v>373</v>
      </c>
      <c r="J89" s="99" t="s">
        <v>212</v>
      </c>
      <c r="K89" s="99" t="s">
        <v>213</v>
      </c>
      <c r="L89" s="99" t="s">
        <v>199</v>
      </c>
      <c r="M89" s="99" t="s">
        <v>200</v>
      </c>
      <c r="N89" s="99" t="s">
        <v>201</v>
      </c>
      <c r="O89" s="30" t="s">
        <v>202</v>
      </c>
      <c r="P89" s="30" t="s">
        <v>203</v>
      </c>
      <c r="Q89" s="30" t="s">
        <v>204</v>
      </c>
      <c r="R89" s="99" t="s">
        <v>205</v>
      </c>
      <c r="S89" s="99" t="s">
        <v>206</v>
      </c>
      <c r="T89" s="30" t="s">
        <v>207</v>
      </c>
      <c r="U89" s="99" t="s">
        <v>208</v>
      </c>
      <c r="V89" s="99" t="s">
        <v>209</v>
      </c>
      <c r="W89" s="99" t="s">
        <v>210</v>
      </c>
      <c r="X89" s="99" t="s">
        <v>374</v>
      </c>
      <c r="Y89" s="99" t="s">
        <v>375</v>
      </c>
      <c r="Z89" s="30" t="s">
        <v>376</v>
      </c>
      <c r="AA89" s="30" t="s">
        <v>377</v>
      </c>
      <c r="AB89" s="30" t="s">
        <v>378</v>
      </c>
      <c r="AC89" s="30" t="s">
        <v>379</v>
      </c>
      <c r="AD89" s="30" t="s">
        <v>380</v>
      </c>
      <c r="AE89" s="30" t="s">
        <v>381</v>
      </c>
    </row>
    <row r="90" spans="4:31" ht="20.100000000000001" customHeight="1" x14ac:dyDescent="0.25">
      <c r="D90" s="170" t="str" cm="1">
        <f t="array" ref="D90">Common_InputFunctions.Utility_DisplayArrayInTable(Fertiliser_SourceData.Fertiliser_Products_Data1(),FertiliserProducts[[#Headers],[Include or Exclude]], -1)</f>
        <v>Include</v>
      </c>
      <c r="E90" s="170" t="str" cm="1">
        <f t="array" ref="E90">Common_InputFunctions.Utility_DisplayArrayInTable(Fertiliser_SourceData.Fertiliser_Products_Data1(),FertiliserProducts[[#Headers],[Include or Exclude]], 0)</f>
        <v/>
      </c>
      <c r="F90" s="170" t="str" cm="1">
        <f t="array" ref="F90">Common_InputFunctions.Utility_DisplayArrayInTable(Fertiliser_SourceData.Fertiliser_Products_Data1(),FertiliserProducts[[#Headers],[Include or Exclude]], 0)</f>
        <v>Campbells fertilisers Australia</v>
      </c>
      <c r="G90" s="170" t="str" cm="1">
        <f t="array" ref="G90">Common_InputFunctions.Utility_DisplayArrayInTable(Fertiliser_SourceData.Fertiliser_Products_Data1(),FertiliserProducts[[#Headers],[Include or Exclude]], 0)</f>
        <v>Aqua Finish</v>
      </c>
      <c r="H90" s="170" t="str" cm="1">
        <f t="array" ref="H90">Common_InputFunctions.Utility_DisplayArrayInTable(Fertiliser_SourceData.Fertiliser_Products_Data1(),FertiliserProducts[[#Headers],[Include or Exclude]], 0,4)</f>
        <v>L</v>
      </c>
      <c r="I90" s="170" cm="1">
        <f t="array" ref="I90">Common_InputFunctions.Utility_DisplayArrayInTable(Fertiliser_SourceData.Fertiliser_Products_Data1(),FertiliserProducts[[#Headers],[Include or Exclude]], 0,4)</f>
        <v>1.26</v>
      </c>
      <c r="J90" s="170" t="str" cm="1">
        <f t="array" ref="J90">Common_InputFunctions.Utility_DisplayArrayInTable(Fertiliser_SourceData.Fertiliser_Products_Data1(),FertiliserProducts[[#Headers],[Include or Exclude]], 0,4)</f>
        <v/>
      </c>
      <c r="K90" s="170" t="str" cm="1">
        <f t="array" ref="K90">Common_InputFunctions.Utility_DisplayArrayInTable(Fertiliser_SourceData.Fertiliser_Products_Data1(),FertiliserProducts[[#Headers],[Include or Exclude]], 0,4)</f>
        <v/>
      </c>
      <c r="L90" s="170" t="str" cm="1">
        <f t="array" ref="L90">Common_InputFunctions.Utility_DisplayArrayInTable(Fertiliser_SourceData.Fertiliser_Products_Data1(),FertiliserProducts[[#Headers],[Include or Exclude]], 0,4)</f>
        <v>Potassium - Generic</v>
      </c>
      <c r="M90" s="170" cm="1">
        <f t="array" ref="M90">Common_InputFunctions.Utility_DisplayArrayInTable(Fertiliser_SourceData.Fertiliser_Products_Data1(),FertiliserProducts[[#Headers],[Include or Exclude]], 0,4)</f>
        <v>0.22500000000000001</v>
      </c>
      <c r="N90" s="170" t="str" cm="1">
        <f t="array" ref="N90">Common_InputFunctions.Utility_DisplayArrayInTable(Fertiliser_SourceData.Fertiliser_Products_Data1(),FertiliserProducts[[#Headers],[Include or Exclude]], 0,4)</f>
        <v>Phosphorus - Generic</v>
      </c>
      <c r="O90" s="170" cm="1">
        <f t="array" ref="O90">Common_InputFunctions.Utility_DisplayArrayInTable(Fertiliser_SourceData.Fertiliser_Products_Data1(),FertiliserProducts[[#Headers],[Include or Exclude]], 0,4)</f>
        <v>0.04</v>
      </c>
      <c r="P90" s="170" t="str" cm="1">
        <f t="array" ref="P90">Common_InputFunctions.Utility_DisplayArrayInTable(Fertiliser_SourceData.Fertiliser_Products_Data1(),FertiliserProducts[[#Headers],[Include or Exclude]], 0,4)</f>
        <v>Nitrogen - Generic</v>
      </c>
      <c r="Q90" s="170" cm="1">
        <f t="array" ref="Q90">Common_InputFunctions.Utility_DisplayArrayInTable(Fertiliser_SourceData.Fertiliser_Products_Data1(),FertiliserProducts[[#Headers],[Include or Exclude]], 0,4)</f>
        <v>2.5999999999999999E-2</v>
      </c>
      <c r="R90" s="170" t="str" cm="1">
        <f t="array" ref="R90">Common_InputFunctions.Utility_DisplayArrayInTable(Fertiliser_SourceData.Fertiliser_Products_Data1(),FertiliserProducts[[#Headers],[Include or Exclude]], 0,4)</f>
        <v/>
      </c>
      <c r="S90" s="170" t="str" cm="1">
        <f t="array" ref="S90">Common_InputFunctions.Utility_DisplayArrayInTable(Fertiliser_SourceData.Fertiliser_Products_Data1(),FertiliserProducts[[#Headers],[Include or Exclude]], 0,4)</f>
        <v/>
      </c>
      <c r="T90" s="170" t="str" cm="1">
        <f t="array" ref="T90">Common_InputFunctions.Utility_DisplayArrayInTable(Fertiliser_SourceData.Fertiliser_Products_Data1(),FertiliserProducts[[#Headers],[Include or Exclude]], 0,4)</f>
        <v/>
      </c>
      <c r="U90" s="170" t="str" cm="1">
        <f t="array" ref="U90">Common_InputFunctions.Utility_DisplayArrayInTable(Fertiliser_SourceData.Fertiliser_Products_Data1(),FertiliserProducts[[#Headers],[Include or Exclude]], 0,4)</f>
        <v/>
      </c>
      <c r="V90" s="170" t="str" cm="1">
        <f t="array" ref="V90">Common_InputFunctions.Utility_DisplayArrayInTable(Fertiliser_SourceData.Fertiliser_Products_Data1(),FertiliserProducts[[#Headers],[Include or Exclude]], 0,4)</f>
        <v/>
      </c>
      <c r="W90" s="170" t="str" cm="1">
        <f t="array" ref="W90">Common_InputFunctions.Utility_DisplayArrayInTable(Fertiliser_SourceData.Fertiliser_Products_Data1(),FertiliserProducts[[#Headers],[Include or Exclude]], 0,4)</f>
        <v/>
      </c>
      <c r="X90" s="170" t="str" cm="1">
        <f t="array" ref="X90">Common_InputFunctions.Utility_DisplayArrayInTable(Fertiliser_SourceData.Fertiliser_Products_Data1(),FertiliserProducts[[#Headers],[Include or Exclude]], 0,4)</f>
        <v/>
      </c>
      <c r="Y90" s="170" t="str" cm="1">
        <f t="array" ref="Y90">Common_InputFunctions.Utility_DisplayArrayInTable(Fertiliser_SourceData.Fertiliser_Products_Data1(),FertiliserProducts[[#Headers],[Include or Exclude]], 0,4)</f>
        <v/>
      </c>
      <c r="Z90" s="170" t="str" cm="1">
        <f t="array" ref="Z90">Common_InputFunctions.Utility_DisplayArrayInTable(Fertiliser_SourceData.Fertiliser_Products_Data1(),FertiliserProducts[[#Headers],[Include or Exclude]], 0,4)</f>
        <v/>
      </c>
      <c r="AA90" s="170" t="str" cm="1">
        <f t="array" ref="AA90">Common_InputFunctions.Utility_DisplayArrayInTable(Fertiliser_SourceData.Fertiliser_Products_Data1(),FertiliserProducts[[#Headers],[Include or Exclude]], 0,4)</f>
        <v/>
      </c>
      <c r="AB90" s="170" t="str" cm="1">
        <f t="array" ref="AB90">Common_InputFunctions.Utility_DisplayArrayInTable(Fertiliser_SourceData.Fertiliser_Products_Data1(),FertiliserProducts[[#Headers],[Include or Exclude]], 0,4)</f>
        <v/>
      </c>
      <c r="AC90" s="170" t="str" cm="1">
        <f t="array" ref="AC90">Common_InputFunctions.Utility_DisplayArrayInTable(Fertiliser_SourceData.Fertiliser_Products_Data1(),FertiliserProducts[[#Headers],[Include or Exclude]], 0,4)</f>
        <v/>
      </c>
      <c r="AD90" s="170" t="str" cm="1">
        <f t="array" ref="AD90">Common_InputFunctions.Utility_DisplayArrayInTable(Fertiliser_SourceData.Fertiliser_Products_Data1(),FertiliserProducts[[#Headers],[Include or Exclude]], 0,4)</f>
        <v/>
      </c>
      <c r="AE90" s="170" t="str" cm="1">
        <f t="array" ref="AE90">Common_InputFunctions.Utility_DisplayArrayInTable(Fertiliser_SourceData.Fertiliser_Products_Data1(),FertiliserProducts[[#Headers],[Include or Exclude]], 0,4)</f>
        <v/>
      </c>
    </row>
    <row r="91" spans="4:31" ht="20.100000000000001" customHeight="1" x14ac:dyDescent="0.25">
      <c r="D91" s="170" t="str" cm="1">
        <f t="array" ref="D91">Common_InputFunctions.Utility_DisplayArrayInTable(Fertiliser_SourceData.Fertiliser_Products_Data1(),FertiliserProducts[[#Headers],[Include or Exclude]], -1)</f>
        <v>Include</v>
      </c>
      <c r="E91" s="170" t="str" cm="1">
        <f t="array" ref="E91">Common_InputFunctions.Utility_DisplayArrayInTable(Fertiliser_SourceData.Fertiliser_Products_Data1(),FertiliserProducts[[#Headers],[Include or Exclude]], 0)</f>
        <v/>
      </c>
      <c r="F91" s="170" t="str" cm="1">
        <f t="array" ref="F91">Common_InputFunctions.Utility_DisplayArrayInTable(Fertiliser_SourceData.Fertiliser_Products_Data1(),FertiliserProducts[[#Headers],[Include or Exclude]], 0)</f>
        <v>Campbells fertilisers Australia</v>
      </c>
      <c r="G91" s="170" t="str" cm="1">
        <f t="array" ref="G91">Common_InputFunctions.Utility_DisplayArrayInTable(Fertiliser_SourceData.Fertiliser_Products_Data1(),FertiliserProducts[[#Headers],[Include or Exclude]], 0)</f>
        <v>Aqua Grow</v>
      </c>
      <c r="H91" s="170" t="str" cm="1">
        <f t="array" ref="H91">Common_InputFunctions.Utility_DisplayArrayInTable(Fertiliser_SourceData.Fertiliser_Products_Data1(),FertiliserProducts[[#Headers],[Include or Exclude]], 0,4)</f>
        <v>L</v>
      </c>
      <c r="I91" s="170" cm="1">
        <f t="array" ref="I91">Common_InputFunctions.Utility_DisplayArrayInTable(Fertiliser_SourceData.Fertiliser_Products_Data1(),FertiliserProducts[[#Headers],[Include or Exclude]], 0,4)</f>
        <v>1.26</v>
      </c>
      <c r="J91" s="170" t="str" cm="1">
        <f t="array" ref="J91">Common_InputFunctions.Utility_DisplayArrayInTable(Fertiliser_SourceData.Fertiliser_Products_Data1(),FertiliserProducts[[#Headers],[Include or Exclude]], 0,4)</f>
        <v/>
      </c>
      <c r="K91" s="170" t="str" cm="1">
        <f t="array" ref="K91">Common_InputFunctions.Utility_DisplayArrayInTable(Fertiliser_SourceData.Fertiliser_Products_Data1(),FertiliserProducts[[#Headers],[Include or Exclude]], 0,4)</f>
        <v/>
      </c>
      <c r="L91" s="170" t="str" cm="1">
        <f t="array" ref="L91">Common_InputFunctions.Utility_DisplayArrayInTable(Fertiliser_SourceData.Fertiliser_Products_Data1(),FertiliserProducts[[#Headers],[Include or Exclude]], 0,4)</f>
        <v>Potassium - Generic</v>
      </c>
      <c r="M91" s="170" cm="1">
        <f t="array" ref="M91">Common_InputFunctions.Utility_DisplayArrayInTable(Fertiliser_SourceData.Fertiliser_Products_Data1(),FertiliserProducts[[#Headers],[Include or Exclude]], 0,4)</f>
        <v>0.105</v>
      </c>
      <c r="N91" s="170" t="str" cm="1">
        <f t="array" ref="N91">Common_InputFunctions.Utility_DisplayArrayInTable(Fertiliser_SourceData.Fertiliser_Products_Data1(),FertiliserProducts[[#Headers],[Include or Exclude]], 0,4)</f>
        <v>Nitrogen - Generic</v>
      </c>
      <c r="O91" s="170" cm="1">
        <f t="array" ref="O91">Common_InputFunctions.Utility_DisplayArrayInTable(Fertiliser_SourceData.Fertiliser_Products_Data1(),FertiliserProducts[[#Headers],[Include or Exclude]], 0,4)</f>
        <v>9.6000000000000002E-2</v>
      </c>
      <c r="P91" s="170" t="str" cm="1">
        <f t="array" ref="P91">Common_InputFunctions.Utility_DisplayArrayInTable(Fertiliser_SourceData.Fertiliser_Products_Data1(),FertiliserProducts[[#Headers],[Include or Exclude]], 0,4)</f>
        <v>Phosphorus - Generic</v>
      </c>
      <c r="Q91" s="170" cm="1">
        <f t="array" ref="Q91">Common_InputFunctions.Utility_DisplayArrayInTable(Fertiliser_SourceData.Fertiliser_Products_Data1(),FertiliserProducts[[#Headers],[Include or Exclude]], 0,4)</f>
        <v>0.05</v>
      </c>
      <c r="R91" s="170" t="str" cm="1">
        <f t="array" ref="R91">Common_InputFunctions.Utility_DisplayArrayInTable(Fertiliser_SourceData.Fertiliser_Products_Data1(),FertiliserProducts[[#Headers],[Include or Exclude]], 0,4)</f>
        <v/>
      </c>
      <c r="S91" s="170" t="str" cm="1">
        <f t="array" ref="S91">Common_InputFunctions.Utility_DisplayArrayInTable(Fertiliser_SourceData.Fertiliser_Products_Data1(),FertiliserProducts[[#Headers],[Include or Exclude]], 0,4)</f>
        <v/>
      </c>
      <c r="T91" s="170" t="str" cm="1">
        <f t="array" ref="T91">Common_InputFunctions.Utility_DisplayArrayInTable(Fertiliser_SourceData.Fertiliser_Products_Data1(),FertiliserProducts[[#Headers],[Include or Exclude]], 0,4)</f>
        <v/>
      </c>
      <c r="U91" s="170" t="str" cm="1">
        <f t="array" ref="U91">Common_InputFunctions.Utility_DisplayArrayInTable(Fertiliser_SourceData.Fertiliser_Products_Data1(),FertiliserProducts[[#Headers],[Include or Exclude]], 0,4)</f>
        <v/>
      </c>
      <c r="V91" s="170" t="str" cm="1">
        <f t="array" ref="V91">Common_InputFunctions.Utility_DisplayArrayInTable(Fertiliser_SourceData.Fertiliser_Products_Data1(),FertiliserProducts[[#Headers],[Include or Exclude]], 0,4)</f>
        <v/>
      </c>
      <c r="W91" s="170" t="str" cm="1">
        <f t="array" ref="W91">Common_InputFunctions.Utility_DisplayArrayInTable(Fertiliser_SourceData.Fertiliser_Products_Data1(),FertiliserProducts[[#Headers],[Include or Exclude]], 0,4)</f>
        <v/>
      </c>
      <c r="X91" s="170" t="str" cm="1">
        <f t="array" ref="X91">Common_InputFunctions.Utility_DisplayArrayInTable(Fertiliser_SourceData.Fertiliser_Products_Data1(),FertiliserProducts[[#Headers],[Include or Exclude]], 0,4)</f>
        <v/>
      </c>
      <c r="Y91" s="170" t="str" cm="1">
        <f t="array" ref="Y91">Common_InputFunctions.Utility_DisplayArrayInTable(Fertiliser_SourceData.Fertiliser_Products_Data1(),FertiliserProducts[[#Headers],[Include or Exclude]], 0,4)</f>
        <v/>
      </c>
      <c r="Z91" s="170" t="str" cm="1">
        <f t="array" ref="Z91">Common_InputFunctions.Utility_DisplayArrayInTable(Fertiliser_SourceData.Fertiliser_Products_Data1(),FertiliserProducts[[#Headers],[Include or Exclude]], 0,4)</f>
        <v/>
      </c>
      <c r="AA91" s="170" t="str" cm="1">
        <f t="array" ref="AA91">Common_InputFunctions.Utility_DisplayArrayInTable(Fertiliser_SourceData.Fertiliser_Products_Data1(),FertiliserProducts[[#Headers],[Include or Exclude]], 0,4)</f>
        <v/>
      </c>
      <c r="AB91" s="170" t="str" cm="1">
        <f t="array" ref="AB91">Common_InputFunctions.Utility_DisplayArrayInTable(Fertiliser_SourceData.Fertiliser_Products_Data1(),FertiliserProducts[[#Headers],[Include or Exclude]], 0,4)</f>
        <v/>
      </c>
      <c r="AC91" s="170" t="str" cm="1">
        <f t="array" ref="AC91">Common_InputFunctions.Utility_DisplayArrayInTable(Fertiliser_SourceData.Fertiliser_Products_Data1(),FertiliserProducts[[#Headers],[Include or Exclude]], 0,4)</f>
        <v/>
      </c>
      <c r="AD91" s="170" t="str" cm="1">
        <f t="array" ref="AD91">Common_InputFunctions.Utility_DisplayArrayInTable(Fertiliser_SourceData.Fertiliser_Products_Data1(),FertiliserProducts[[#Headers],[Include or Exclude]], 0,4)</f>
        <v/>
      </c>
      <c r="AE91" s="170" t="str" cm="1">
        <f t="array" ref="AE91">Common_InputFunctions.Utility_DisplayArrayInTable(Fertiliser_SourceData.Fertiliser_Products_Data1(),FertiliserProducts[[#Headers],[Include or Exclude]], 0,4)</f>
        <v/>
      </c>
    </row>
    <row r="92" spans="4:31" ht="20.100000000000001" customHeight="1" x14ac:dyDescent="0.25">
      <c r="D92" s="170" t="str" cm="1">
        <f t="array" ref="D92">Common_InputFunctions.Utility_DisplayArrayInTable(Fertiliser_SourceData.Fertiliser_Products_Data1(),FertiliserProducts[[#Headers],[Include or Exclude]], -1)</f>
        <v>Include</v>
      </c>
      <c r="E92" s="170" t="str" cm="1">
        <f t="array" ref="E92">Common_InputFunctions.Utility_DisplayArrayInTable(Fertiliser_SourceData.Fertiliser_Products_Data1(),FertiliserProducts[[#Headers],[Include or Exclude]], 0)</f>
        <v/>
      </c>
      <c r="F92" s="170" t="str" cm="1">
        <f t="array" ref="F92">Common_InputFunctions.Utility_DisplayArrayInTable(Fertiliser_SourceData.Fertiliser_Products_Data1(),FertiliserProducts[[#Headers],[Include or Exclude]], 0)</f>
        <v>Campbells fertilisers Australia</v>
      </c>
      <c r="G92" s="170" t="str" cm="1">
        <f t="array" ref="G92">Common_InputFunctions.Utility_DisplayArrayInTable(Fertiliser_SourceData.Fertiliser_Products_Data1(),FertiliserProducts[[#Headers],[Include or Exclude]], 0)</f>
        <v>Aqua Nitro AN</v>
      </c>
      <c r="H92" s="170" t="str" cm="1">
        <f t="array" ref="H92">Common_InputFunctions.Utility_DisplayArrayInTable(Fertiliser_SourceData.Fertiliser_Products_Data1(),FertiliserProducts[[#Headers],[Include or Exclude]], 0,4)</f>
        <v>L</v>
      </c>
      <c r="I92" s="170" cm="1">
        <f t="array" ref="I92">Common_InputFunctions.Utility_DisplayArrayInTable(Fertiliser_SourceData.Fertiliser_Products_Data1(),FertiliserProducts[[#Headers],[Include or Exclude]], 0,4)</f>
        <v>1.24</v>
      </c>
      <c r="J92" s="170" t="str" cm="1">
        <f t="array" ref="J92">Common_InputFunctions.Utility_DisplayArrayInTable(Fertiliser_SourceData.Fertiliser_Products_Data1(),FertiliserProducts[[#Headers],[Include or Exclude]], 0,4)</f>
        <v/>
      </c>
      <c r="K92" s="170" t="str" cm="1">
        <f t="array" ref="K92">Common_InputFunctions.Utility_DisplayArrayInTable(Fertiliser_SourceData.Fertiliser_Products_Data1(),FertiliserProducts[[#Headers],[Include or Exclude]], 0,4)</f>
        <v/>
      </c>
      <c r="L92" s="170" t="str" cm="1">
        <f t="array" ref="L92">Common_InputFunctions.Utility_DisplayArrayInTable(Fertiliser_SourceData.Fertiliser_Products_Data1(),FertiliserProducts[[#Headers],[Include or Exclude]], 0,4)</f>
        <v>Nitrogen - Ammoniacal</v>
      </c>
      <c r="M92" s="170" cm="1">
        <f t="array" ref="M92">Common_InputFunctions.Utility_DisplayArrayInTable(Fertiliser_SourceData.Fertiliser_Products_Data1(),FertiliserProducts[[#Headers],[Include or Exclude]], 0,4)</f>
        <v>0.223</v>
      </c>
      <c r="N92" s="170" t="str" cm="1">
        <f t="array" ref="N92">Common_InputFunctions.Utility_DisplayArrayInTable(Fertiliser_SourceData.Fertiliser_Products_Data1(),FertiliserProducts[[#Headers],[Include or Exclude]], 0,4)</f>
        <v/>
      </c>
      <c r="O92" s="170" t="str" cm="1">
        <f t="array" ref="O92">Common_InputFunctions.Utility_DisplayArrayInTable(Fertiliser_SourceData.Fertiliser_Products_Data1(),FertiliserProducts[[#Headers],[Include or Exclude]], 0,4)</f>
        <v/>
      </c>
      <c r="P92" s="170" t="str" cm="1">
        <f t="array" ref="P92">Common_InputFunctions.Utility_DisplayArrayInTable(Fertiliser_SourceData.Fertiliser_Products_Data1(),FertiliserProducts[[#Headers],[Include or Exclude]], 0,4)</f>
        <v/>
      </c>
      <c r="Q92" s="170" t="str" cm="1">
        <f t="array" ref="Q92">Common_InputFunctions.Utility_DisplayArrayInTable(Fertiliser_SourceData.Fertiliser_Products_Data1(),FertiliserProducts[[#Headers],[Include or Exclude]], 0,4)</f>
        <v/>
      </c>
      <c r="R92" s="170" t="str" cm="1">
        <f t="array" ref="R92">Common_InputFunctions.Utility_DisplayArrayInTable(Fertiliser_SourceData.Fertiliser_Products_Data1(),FertiliserProducts[[#Headers],[Include or Exclude]], 0,4)</f>
        <v/>
      </c>
      <c r="S92" s="170" t="str" cm="1">
        <f t="array" ref="S92">Common_InputFunctions.Utility_DisplayArrayInTable(Fertiliser_SourceData.Fertiliser_Products_Data1(),FertiliserProducts[[#Headers],[Include or Exclude]], 0,4)</f>
        <v/>
      </c>
      <c r="T92" s="170" t="str" cm="1">
        <f t="array" ref="T92">Common_InputFunctions.Utility_DisplayArrayInTable(Fertiliser_SourceData.Fertiliser_Products_Data1(),FertiliserProducts[[#Headers],[Include or Exclude]], 0,4)</f>
        <v/>
      </c>
      <c r="U92" s="170" t="str" cm="1">
        <f t="array" ref="U92">Common_InputFunctions.Utility_DisplayArrayInTable(Fertiliser_SourceData.Fertiliser_Products_Data1(),FertiliserProducts[[#Headers],[Include or Exclude]], 0,4)</f>
        <v/>
      </c>
      <c r="V92" s="170" t="str" cm="1">
        <f t="array" ref="V92">Common_InputFunctions.Utility_DisplayArrayInTable(Fertiliser_SourceData.Fertiliser_Products_Data1(),FertiliserProducts[[#Headers],[Include or Exclude]], 0,4)</f>
        <v/>
      </c>
      <c r="W92" s="170" t="str" cm="1">
        <f t="array" ref="W92">Common_InputFunctions.Utility_DisplayArrayInTable(Fertiliser_SourceData.Fertiliser_Products_Data1(),FertiliserProducts[[#Headers],[Include or Exclude]], 0,4)</f>
        <v/>
      </c>
      <c r="X92" s="170" t="str" cm="1">
        <f t="array" ref="X92">Common_InputFunctions.Utility_DisplayArrayInTable(Fertiliser_SourceData.Fertiliser_Products_Data1(),FertiliserProducts[[#Headers],[Include or Exclude]], 0,4)</f>
        <v/>
      </c>
      <c r="Y92" s="170" t="str" cm="1">
        <f t="array" ref="Y92">Common_InputFunctions.Utility_DisplayArrayInTable(Fertiliser_SourceData.Fertiliser_Products_Data1(),FertiliserProducts[[#Headers],[Include or Exclude]], 0,4)</f>
        <v/>
      </c>
      <c r="Z92" s="170" t="str" cm="1">
        <f t="array" ref="Z92">Common_InputFunctions.Utility_DisplayArrayInTable(Fertiliser_SourceData.Fertiliser_Products_Data1(),FertiliserProducts[[#Headers],[Include or Exclude]], 0,4)</f>
        <v/>
      </c>
      <c r="AA92" s="170" t="str" cm="1">
        <f t="array" ref="AA92">Common_InputFunctions.Utility_DisplayArrayInTable(Fertiliser_SourceData.Fertiliser_Products_Data1(),FertiliserProducts[[#Headers],[Include or Exclude]], 0,4)</f>
        <v/>
      </c>
      <c r="AB92" s="170" t="str" cm="1">
        <f t="array" ref="AB92">Common_InputFunctions.Utility_DisplayArrayInTable(Fertiliser_SourceData.Fertiliser_Products_Data1(),FertiliserProducts[[#Headers],[Include or Exclude]], 0,4)</f>
        <v/>
      </c>
      <c r="AC92" s="170" t="str" cm="1">
        <f t="array" ref="AC92">Common_InputFunctions.Utility_DisplayArrayInTable(Fertiliser_SourceData.Fertiliser_Products_Data1(),FertiliserProducts[[#Headers],[Include or Exclude]], 0,4)</f>
        <v/>
      </c>
      <c r="AD92" s="170" t="str" cm="1">
        <f t="array" ref="AD92">Common_InputFunctions.Utility_DisplayArrayInTable(Fertiliser_SourceData.Fertiliser_Products_Data1(),FertiliserProducts[[#Headers],[Include or Exclude]], 0,4)</f>
        <v/>
      </c>
      <c r="AE92" s="170" t="str" cm="1">
        <f t="array" ref="AE92">Common_InputFunctions.Utility_DisplayArrayInTable(Fertiliser_SourceData.Fertiliser_Products_Data1(),FertiliserProducts[[#Headers],[Include or Exclude]], 0,4)</f>
        <v/>
      </c>
    </row>
    <row r="93" spans="4:31" ht="20.100000000000001" customHeight="1" x14ac:dyDescent="0.25">
      <c r="D93" s="170" t="str" cm="1">
        <f t="array" ref="D93">Common_InputFunctions.Utility_DisplayArrayInTable(Fertiliser_SourceData.Fertiliser_Products_Data1(),FertiliserProducts[[#Headers],[Include or Exclude]], -1)</f>
        <v>Include</v>
      </c>
      <c r="E93" s="170" t="str" cm="1">
        <f t="array" ref="E93">Common_InputFunctions.Utility_DisplayArrayInTable(Fertiliser_SourceData.Fertiliser_Products_Data1(),FertiliserProducts[[#Headers],[Include or Exclude]], 0)</f>
        <v>Use Lime EF for calcium</v>
      </c>
      <c r="F93" s="170" t="str" cm="1">
        <f t="array" ref="F93">Common_InputFunctions.Utility_DisplayArrayInTable(Fertiliser_SourceData.Fertiliser_Products_Data1(),FertiliserProducts[[#Headers],[Include or Exclude]], 0)</f>
        <v>Campbells fertilisers Australia</v>
      </c>
      <c r="G93" s="170" t="str" cm="1">
        <f t="array" ref="G93">Common_InputFunctions.Utility_DisplayArrayInTable(Fertiliser_SourceData.Fertiliser_Products_Data1(),FertiliserProducts[[#Headers],[Include or Exclude]], 0)</f>
        <v>Aqua NitroCal</v>
      </c>
      <c r="H93" s="170" t="str" cm="1">
        <f t="array" ref="H93">Common_InputFunctions.Utility_DisplayArrayInTable(Fertiliser_SourceData.Fertiliser_Products_Data1(),FertiliserProducts[[#Headers],[Include or Exclude]], 0,4)</f>
        <v>L</v>
      </c>
      <c r="I93" s="170" cm="1">
        <f t="array" ref="I93">Common_InputFunctions.Utility_DisplayArrayInTable(Fertiliser_SourceData.Fertiliser_Products_Data1(),FertiliserProducts[[#Headers],[Include or Exclude]], 0,4)</f>
        <v>1.5</v>
      </c>
      <c r="J93" s="170" t="str" cm="1">
        <f t="array" ref="J93">Common_InputFunctions.Utility_DisplayArrayInTable(Fertiliser_SourceData.Fertiliser_Products_Data1(),FertiliserProducts[[#Headers],[Include or Exclude]], 0,4)</f>
        <v/>
      </c>
      <c r="K93" s="170" t="str" cm="1">
        <f t="array" ref="K93">Common_InputFunctions.Utility_DisplayArrayInTable(Fertiliser_SourceData.Fertiliser_Products_Data1(),FertiliserProducts[[#Headers],[Include or Exclude]], 0,4)</f>
        <v/>
      </c>
      <c r="L93" s="170" t="str" cm="1">
        <f t="array" ref="L93">Common_InputFunctions.Utility_DisplayArrayInTable(Fertiliser_SourceData.Fertiliser_Products_Data1(),FertiliserProducts[[#Headers],[Include or Exclude]], 0,4)</f>
        <v>Calcium - Generic</v>
      </c>
      <c r="M93" s="170" cm="1">
        <f t="array" ref="M93">Common_InputFunctions.Utility_DisplayArrayInTable(Fertiliser_SourceData.Fertiliser_Products_Data1(),FertiliserProducts[[#Headers],[Include or Exclude]], 0,4)</f>
        <v>0.16200000000000001</v>
      </c>
      <c r="N93" s="170" t="str" cm="1">
        <f t="array" ref="N93">Common_InputFunctions.Utility_DisplayArrayInTable(Fertiliser_SourceData.Fertiliser_Products_Data1(),FertiliserProducts[[#Headers],[Include or Exclude]], 0,4)</f>
        <v>Nitrogen - Nitrate</v>
      </c>
      <c r="O93" s="170" cm="1">
        <f t="array" ref="O93">Common_InputFunctions.Utility_DisplayArrayInTable(Fertiliser_SourceData.Fertiliser_Products_Data1(),FertiliserProducts[[#Headers],[Include or Exclude]], 0,4)</f>
        <v>0.13200000000000001</v>
      </c>
      <c r="P93" s="170" t="str" cm="1">
        <f t="array" ref="P93">Common_InputFunctions.Utility_DisplayArrayInTable(Fertiliser_SourceData.Fertiliser_Products_Data1(),FertiliserProducts[[#Headers],[Include or Exclude]], 0,4)</f>
        <v/>
      </c>
      <c r="Q93" s="170" t="str" cm="1">
        <f t="array" ref="Q93">Common_InputFunctions.Utility_DisplayArrayInTable(Fertiliser_SourceData.Fertiliser_Products_Data1(),FertiliserProducts[[#Headers],[Include or Exclude]], 0,4)</f>
        <v/>
      </c>
      <c r="R93" s="170" t="str" cm="1">
        <f t="array" ref="R93">Common_InputFunctions.Utility_DisplayArrayInTable(Fertiliser_SourceData.Fertiliser_Products_Data1(),FertiliserProducts[[#Headers],[Include or Exclude]], 0,4)</f>
        <v/>
      </c>
      <c r="S93" s="170" t="str" cm="1">
        <f t="array" ref="S93">Common_InputFunctions.Utility_DisplayArrayInTable(Fertiliser_SourceData.Fertiliser_Products_Data1(),FertiliserProducts[[#Headers],[Include or Exclude]], 0,4)</f>
        <v/>
      </c>
      <c r="T93" s="170" t="str" cm="1">
        <f t="array" ref="T93">Common_InputFunctions.Utility_DisplayArrayInTable(Fertiliser_SourceData.Fertiliser_Products_Data1(),FertiliserProducts[[#Headers],[Include or Exclude]], 0,4)</f>
        <v/>
      </c>
      <c r="U93" s="170" t="str" cm="1">
        <f t="array" ref="U93">Common_InputFunctions.Utility_DisplayArrayInTable(Fertiliser_SourceData.Fertiliser_Products_Data1(),FertiliserProducts[[#Headers],[Include or Exclude]], 0,4)</f>
        <v/>
      </c>
      <c r="V93" s="170" t="str" cm="1">
        <f t="array" ref="V93">Common_InputFunctions.Utility_DisplayArrayInTable(Fertiliser_SourceData.Fertiliser_Products_Data1(),FertiliserProducts[[#Headers],[Include or Exclude]], 0,4)</f>
        <v/>
      </c>
      <c r="W93" s="170" t="str" cm="1">
        <f t="array" ref="W93">Common_InputFunctions.Utility_DisplayArrayInTable(Fertiliser_SourceData.Fertiliser_Products_Data1(),FertiliserProducts[[#Headers],[Include or Exclude]], 0,4)</f>
        <v/>
      </c>
      <c r="X93" s="170" t="str" cm="1">
        <f t="array" ref="X93">Common_InputFunctions.Utility_DisplayArrayInTable(Fertiliser_SourceData.Fertiliser_Products_Data1(),FertiliserProducts[[#Headers],[Include or Exclude]], 0,4)</f>
        <v/>
      </c>
      <c r="Y93" s="170" t="str" cm="1">
        <f t="array" ref="Y93">Common_InputFunctions.Utility_DisplayArrayInTable(Fertiliser_SourceData.Fertiliser_Products_Data1(),FertiliserProducts[[#Headers],[Include or Exclude]], 0,4)</f>
        <v/>
      </c>
      <c r="Z93" s="170" t="str" cm="1">
        <f t="array" ref="Z93">Common_InputFunctions.Utility_DisplayArrayInTable(Fertiliser_SourceData.Fertiliser_Products_Data1(),FertiliserProducts[[#Headers],[Include or Exclude]], 0,4)</f>
        <v/>
      </c>
      <c r="AA93" s="170" t="str" cm="1">
        <f t="array" ref="AA93">Common_InputFunctions.Utility_DisplayArrayInTable(Fertiliser_SourceData.Fertiliser_Products_Data1(),FertiliserProducts[[#Headers],[Include or Exclude]], 0,4)</f>
        <v/>
      </c>
      <c r="AB93" s="170" t="str" cm="1">
        <f t="array" ref="AB93">Common_InputFunctions.Utility_DisplayArrayInTable(Fertiliser_SourceData.Fertiliser_Products_Data1(),FertiliserProducts[[#Headers],[Include or Exclude]], 0,4)</f>
        <v/>
      </c>
      <c r="AC93" s="170" t="str" cm="1">
        <f t="array" ref="AC93">Common_InputFunctions.Utility_DisplayArrayInTable(Fertiliser_SourceData.Fertiliser_Products_Data1(),FertiliserProducts[[#Headers],[Include or Exclude]], 0,4)</f>
        <v/>
      </c>
      <c r="AD93" s="170" t="str" cm="1">
        <f t="array" ref="AD93">Common_InputFunctions.Utility_DisplayArrayInTable(Fertiliser_SourceData.Fertiliser_Products_Data1(),FertiliserProducts[[#Headers],[Include or Exclude]], 0,4)</f>
        <v/>
      </c>
      <c r="AE93" s="170" t="str" cm="1">
        <f t="array" ref="AE93">Common_InputFunctions.Utility_DisplayArrayInTable(Fertiliser_SourceData.Fertiliser_Products_Data1(),FertiliserProducts[[#Headers],[Include or Exclude]], 0,4)</f>
        <v/>
      </c>
    </row>
    <row r="94" spans="4:31" ht="20.100000000000001" customHeight="1" x14ac:dyDescent="0.25">
      <c r="D94" s="170" t="str" cm="1">
        <f t="array" ref="D94">Common_InputFunctions.Utility_DisplayArrayInTable(Fertiliser_SourceData.Fertiliser_Products_Data1(),FertiliserProducts[[#Headers],[Include or Exclude]], -1)</f>
        <v>Include</v>
      </c>
      <c r="E94" s="170" t="str" cm="1">
        <f t="array" ref="E94">Common_InputFunctions.Utility_DisplayArrayInTable(Fertiliser_SourceData.Fertiliser_Products_Data1(),FertiliserProducts[[#Headers],[Include or Exclude]], 0)</f>
        <v>Use Lime EF for calcium</v>
      </c>
      <c r="F94" s="170" t="str" cm="1">
        <f t="array" ref="F94">Common_InputFunctions.Utility_DisplayArrayInTable(Fertiliser_SourceData.Fertiliser_Products_Data1(),FertiliserProducts[[#Headers],[Include or Exclude]], 0)</f>
        <v>Campbells fertilisers Australia</v>
      </c>
      <c r="G94" s="170" t="str" cm="1">
        <f t="array" ref="G94">Common_InputFunctions.Utility_DisplayArrayInTable(Fertiliser_SourceData.Fertiliser_Products_Data1(),FertiliserProducts[[#Headers],[Include or Exclude]], 0)</f>
        <v>Aqua NitroCal (VI)</v>
      </c>
      <c r="H94" s="170" t="str" cm="1">
        <f t="array" ref="H94">Common_InputFunctions.Utility_DisplayArrayInTable(Fertiliser_SourceData.Fertiliser_Products_Data1(),FertiliserProducts[[#Headers],[Include or Exclude]], 0,4)</f>
        <v>L</v>
      </c>
      <c r="I94" s="170" cm="1">
        <f t="array" ref="I94">Common_InputFunctions.Utility_DisplayArrayInTable(Fertiliser_SourceData.Fertiliser_Products_Data1(),FertiliserProducts[[#Headers],[Include or Exclude]], 0,4)</f>
        <v>1.5</v>
      </c>
      <c r="J94" s="170" t="str" cm="1">
        <f t="array" ref="J94">Common_InputFunctions.Utility_DisplayArrayInTable(Fertiliser_SourceData.Fertiliser_Products_Data1(),FertiliserProducts[[#Headers],[Include or Exclude]], 0,4)</f>
        <v/>
      </c>
      <c r="K94" s="170" t="str" cm="1">
        <f t="array" ref="K94">Common_InputFunctions.Utility_DisplayArrayInTable(Fertiliser_SourceData.Fertiliser_Products_Data1(),FertiliserProducts[[#Headers],[Include or Exclude]], 0,4)</f>
        <v/>
      </c>
      <c r="L94" s="170" t="str" cm="1">
        <f t="array" ref="L94">Common_InputFunctions.Utility_DisplayArrayInTable(Fertiliser_SourceData.Fertiliser_Products_Data1(),FertiliserProducts[[#Headers],[Include or Exclude]], 0,4)</f>
        <v>Calcium - Generic</v>
      </c>
      <c r="M94" s="170" cm="1">
        <f t="array" ref="M94">Common_InputFunctions.Utility_DisplayArrayInTable(Fertiliser_SourceData.Fertiliser_Products_Data1(),FertiliserProducts[[#Headers],[Include or Exclude]], 0,4)</f>
        <v>0.187</v>
      </c>
      <c r="N94" s="170" t="str" cm="1">
        <f t="array" ref="N94">Common_InputFunctions.Utility_DisplayArrayInTable(Fertiliser_SourceData.Fertiliser_Products_Data1(),FertiliserProducts[[#Headers],[Include or Exclude]], 0,4)</f>
        <v>Nitrogen - Nitrate</v>
      </c>
      <c r="O94" s="170" cm="1">
        <f t="array" ref="O94">Common_InputFunctions.Utility_DisplayArrayInTable(Fertiliser_SourceData.Fertiliser_Products_Data1(),FertiliserProducts[[#Headers],[Include or Exclude]], 0,4)</f>
        <v>0.13200000000000001</v>
      </c>
      <c r="P94" s="170" t="str" cm="1">
        <f t="array" ref="P94">Common_InputFunctions.Utility_DisplayArrayInTable(Fertiliser_SourceData.Fertiliser_Products_Data1(),FertiliserProducts[[#Headers],[Include or Exclude]], 0,4)</f>
        <v/>
      </c>
      <c r="Q94" s="170" t="str" cm="1">
        <f t="array" ref="Q94">Common_InputFunctions.Utility_DisplayArrayInTable(Fertiliser_SourceData.Fertiliser_Products_Data1(),FertiliserProducts[[#Headers],[Include or Exclude]], 0,4)</f>
        <v/>
      </c>
      <c r="R94" s="170" t="str" cm="1">
        <f t="array" ref="R94">Common_InputFunctions.Utility_DisplayArrayInTable(Fertiliser_SourceData.Fertiliser_Products_Data1(),FertiliserProducts[[#Headers],[Include or Exclude]], 0,4)</f>
        <v/>
      </c>
      <c r="S94" s="170" t="str" cm="1">
        <f t="array" ref="S94">Common_InputFunctions.Utility_DisplayArrayInTable(Fertiliser_SourceData.Fertiliser_Products_Data1(),FertiliserProducts[[#Headers],[Include or Exclude]], 0,4)</f>
        <v/>
      </c>
      <c r="T94" s="170" t="str" cm="1">
        <f t="array" ref="T94">Common_InputFunctions.Utility_DisplayArrayInTable(Fertiliser_SourceData.Fertiliser_Products_Data1(),FertiliserProducts[[#Headers],[Include or Exclude]], 0,4)</f>
        <v/>
      </c>
      <c r="U94" s="170" t="str" cm="1">
        <f t="array" ref="U94">Common_InputFunctions.Utility_DisplayArrayInTable(Fertiliser_SourceData.Fertiliser_Products_Data1(),FertiliserProducts[[#Headers],[Include or Exclude]], 0,4)</f>
        <v/>
      </c>
      <c r="V94" s="170" t="str" cm="1">
        <f t="array" ref="V94">Common_InputFunctions.Utility_DisplayArrayInTable(Fertiliser_SourceData.Fertiliser_Products_Data1(),FertiliserProducts[[#Headers],[Include or Exclude]], 0,4)</f>
        <v/>
      </c>
      <c r="W94" s="170" t="str" cm="1">
        <f t="array" ref="W94">Common_InputFunctions.Utility_DisplayArrayInTable(Fertiliser_SourceData.Fertiliser_Products_Data1(),FertiliserProducts[[#Headers],[Include or Exclude]], 0,4)</f>
        <v/>
      </c>
      <c r="X94" s="170" t="str" cm="1">
        <f t="array" ref="X94">Common_InputFunctions.Utility_DisplayArrayInTable(Fertiliser_SourceData.Fertiliser_Products_Data1(),FertiliserProducts[[#Headers],[Include or Exclude]], 0,4)</f>
        <v/>
      </c>
      <c r="Y94" s="170" t="str" cm="1">
        <f t="array" ref="Y94">Common_InputFunctions.Utility_DisplayArrayInTable(Fertiliser_SourceData.Fertiliser_Products_Data1(),FertiliserProducts[[#Headers],[Include or Exclude]], 0,4)</f>
        <v/>
      </c>
      <c r="Z94" s="170" t="str" cm="1">
        <f t="array" ref="Z94">Common_InputFunctions.Utility_DisplayArrayInTable(Fertiliser_SourceData.Fertiliser_Products_Data1(),FertiliserProducts[[#Headers],[Include or Exclude]], 0,4)</f>
        <v/>
      </c>
      <c r="AA94" s="170" t="str" cm="1">
        <f t="array" ref="AA94">Common_InputFunctions.Utility_DisplayArrayInTable(Fertiliser_SourceData.Fertiliser_Products_Data1(),FertiliserProducts[[#Headers],[Include or Exclude]], 0,4)</f>
        <v/>
      </c>
      <c r="AB94" s="170" t="str" cm="1">
        <f t="array" ref="AB94">Common_InputFunctions.Utility_DisplayArrayInTable(Fertiliser_SourceData.Fertiliser_Products_Data1(),FertiliserProducts[[#Headers],[Include or Exclude]], 0,4)</f>
        <v/>
      </c>
      <c r="AC94" s="170" t="str" cm="1">
        <f t="array" ref="AC94">Common_InputFunctions.Utility_DisplayArrayInTable(Fertiliser_SourceData.Fertiliser_Products_Data1(),FertiliserProducts[[#Headers],[Include or Exclude]], 0,4)</f>
        <v/>
      </c>
      <c r="AD94" s="170" t="str" cm="1">
        <f t="array" ref="AD94">Common_InputFunctions.Utility_DisplayArrayInTable(Fertiliser_SourceData.Fertiliser_Products_Data1(),FertiliserProducts[[#Headers],[Include or Exclude]], 0,4)</f>
        <v/>
      </c>
      <c r="AE94" s="170" t="str" cm="1">
        <f t="array" ref="AE94">Common_InputFunctions.Utility_DisplayArrayInTable(Fertiliser_SourceData.Fertiliser_Products_Data1(),FertiliserProducts[[#Headers],[Include or Exclude]], 0,4)</f>
        <v/>
      </c>
    </row>
    <row r="95" spans="4:31" ht="20.100000000000001" customHeight="1" x14ac:dyDescent="0.25">
      <c r="D95" s="170" t="str" cm="1">
        <f t="array" ref="D95">Common_InputFunctions.Utility_DisplayArrayInTable(Fertiliser_SourceData.Fertiliser_Products_Data1(),FertiliserProducts[[#Headers],[Include or Exclude]], -1)</f>
        <v>Include</v>
      </c>
      <c r="E95" s="170" t="str" cm="1">
        <f t="array" ref="E95">Common_InputFunctions.Utility_DisplayArrayInTable(Fertiliser_SourceData.Fertiliser_Products_Data1(),FertiliserProducts[[#Headers],[Include or Exclude]], 0)</f>
        <v>Use Lime EF for calcium</v>
      </c>
      <c r="F95" s="170" t="str" cm="1">
        <f t="array" ref="F95">Common_InputFunctions.Utility_DisplayArrayInTable(Fertiliser_SourceData.Fertiliser_Products_Data1(),FertiliserProducts[[#Headers],[Include or Exclude]], 0)</f>
        <v>Campbells fertilisers Australia</v>
      </c>
      <c r="G95" s="170" t="str" cm="1">
        <f t="array" ref="G95">Common_InputFunctions.Utility_DisplayArrayInTable(Fertiliser_SourceData.Fertiliser_Products_Data1(),FertiliserProducts[[#Headers],[Include or Exclude]], 0)</f>
        <v>Aqua NitroCal Ultimate</v>
      </c>
      <c r="H95" s="170" t="str" cm="1">
        <f t="array" ref="H95">Common_InputFunctions.Utility_DisplayArrayInTable(Fertiliser_SourceData.Fertiliser_Products_Data1(),FertiliserProducts[[#Headers],[Include or Exclude]], 0,4)</f>
        <v>L</v>
      </c>
      <c r="I95" s="170" cm="1">
        <f t="array" ref="I95">Common_InputFunctions.Utility_DisplayArrayInTable(Fertiliser_SourceData.Fertiliser_Products_Data1(),FertiliserProducts[[#Headers],[Include or Exclude]], 0,4)</f>
        <v>1.5</v>
      </c>
      <c r="J95" s="170" t="str" cm="1">
        <f t="array" ref="J95">Common_InputFunctions.Utility_DisplayArrayInTable(Fertiliser_SourceData.Fertiliser_Products_Data1(),FertiliserProducts[[#Headers],[Include or Exclude]], 0,4)</f>
        <v/>
      </c>
      <c r="K95" s="170" t="str" cm="1">
        <f t="array" ref="K95">Common_InputFunctions.Utility_DisplayArrayInTable(Fertiliser_SourceData.Fertiliser_Products_Data1(),FertiliserProducts[[#Headers],[Include or Exclude]], 0,4)</f>
        <v/>
      </c>
      <c r="L95" s="170" t="str" cm="1">
        <f t="array" ref="L95">Common_InputFunctions.Utility_DisplayArrayInTable(Fertiliser_SourceData.Fertiliser_Products_Data1(),FertiliserProducts[[#Headers],[Include or Exclude]], 0,4)</f>
        <v>Calcium - Generic</v>
      </c>
      <c r="M95" s="170" cm="1">
        <f t="array" ref="M95">Common_InputFunctions.Utility_DisplayArrayInTable(Fertiliser_SourceData.Fertiliser_Products_Data1(),FertiliserProducts[[#Headers],[Include or Exclude]], 0,4)</f>
        <v>0.183</v>
      </c>
      <c r="N95" s="170" t="str" cm="1">
        <f t="array" ref="N95">Common_InputFunctions.Utility_DisplayArrayInTable(Fertiliser_SourceData.Fertiliser_Products_Data1(),FertiliserProducts[[#Headers],[Include or Exclude]], 0,4)</f>
        <v>Nitrogen  - Nitrate</v>
      </c>
      <c r="O95" s="170" cm="1">
        <f t="array" ref="O95">Common_InputFunctions.Utility_DisplayArrayInTable(Fertiliser_SourceData.Fertiliser_Products_Data1(),FertiliserProducts[[#Headers],[Include or Exclude]], 0,4)</f>
        <v>0.13200000000000001</v>
      </c>
      <c r="P95" s="170" t="str" cm="1">
        <f t="array" ref="P95">Common_InputFunctions.Utility_DisplayArrayInTable(Fertiliser_SourceData.Fertiliser_Products_Data1(),FertiliserProducts[[#Headers],[Include or Exclude]], 0,4)</f>
        <v/>
      </c>
      <c r="Q95" s="170" t="str" cm="1">
        <f t="array" ref="Q95">Common_InputFunctions.Utility_DisplayArrayInTable(Fertiliser_SourceData.Fertiliser_Products_Data1(),FertiliserProducts[[#Headers],[Include or Exclude]], 0,4)</f>
        <v/>
      </c>
      <c r="R95" s="170" t="str" cm="1">
        <f t="array" ref="R95">Common_InputFunctions.Utility_DisplayArrayInTable(Fertiliser_SourceData.Fertiliser_Products_Data1(),FertiliserProducts[[#Headers],[Include or Exclude]], 0,4)</f>
        <v/>
      </c>
      <c r="S95" s="170" t="str" cm="1">
        <f t="array" ref="S95">Common_InputFunctions.Utility_DisplayArrayInTable(Fertiliser_SourceData.Fertiliser_Products_Data1(),FertiliserProducts[[#Headers],[Include or Exclude]], 0,4)</f>
        <v/>
      </c>
      <c r="T95" s="170" t="str" cm="1">
        <f t="array" ref="T95">Common_InputFunctions.Utility_DisplayArrayInTable(Fertiliser_SourceData.Fertiliser_Products_Data1(),FertiliserProducts[[#Headers],[Include or Exclude]], 0,4)</f>
        <v/>
      </c>
      <c r="U95" s="170" t="str" cm="1">
        <f t="array" ref="U95">Common_InputFunctions.Utility_DisplayArrayInTable(Fertiliser_SourceData.Fertiliser_Products_Data1(),FertiliserProducts[[#Headers],[Include or Exclude]], 0,4)</f>
        <v/>
      </c>
      <c r="V95" s="170" t="str" cm="1">
        <f t="array" ref="V95">Common_InputFunctions.Utility_DisplayArrayInTable(Fertiliser_SourceData.Fertiliser_Products_Data1(),FertiliserProducts[[#Headers],[Include or Exclude]], 0,4)</f>
        <v/>
      </c>
      <c r="W95" s="170" t="str" cm="1">
        <f t="array" ref="W95">Common_InputFunctions.Utility_DisplayArrayInTable(Fertiliser_SourceData.Fertiliser_Products_Data1(),FertiliserProducts[[#Headers],[Include or Exclude]], 0,4)</f>
        <v/>
      </c>
      <c r="X95" s="170" t="str" cm="1">
        <f t="array" ref="X95">Common_InputFunctions.Utility_DisplayArrayInTable(Fertiliser_SourceData.Fertiliser_Products_Data1(),FertiliserProducts[[#Headers],[Include or Exclude]], 0,4)</f>
        <v/>
      </c>
      <c r="Y95" s="170" t="str" cm="1">
        <f t="array" ref="Y95">Common_InputFunctions.Utility_DisplayArrayInTable(Fertiliser_SourceData.Fertiliser_Products_Data1(),FertiliserProducts[[#Headers],[Include or Exclude]], 0,4)</f>
        <v/>
      </c>
      <c r="Z95" s="170" t="str" cm="1">
        <f t="array" ref="Z95">Common_InputFunctions.Utility_DisplayArrayInTable(Fertiliser_SourceData.Fertiliser_Products_Data1(),FertiliserProducts[[#Headers],[Include or Exclude]], 0,4)</f>
        <v/>
      </c>
      <c r="AA95" s="170" t="str" cm="1">
        <f t="array" ref="AA95">Common_InputFunctions.Utility_DisplayArrayInTable(Fertiliser_SourceData.Fertiliser_Products_Data1(),FertiliserProducts[[#Headers],[Include or Exclude]], 0,4)</f>
        <v/>
      </c>
      <c r="AB95" s="170" t="str" cm="1">
        <f t="array" ref="AB95">Common_InputFunctions.Utility_DisplayArrayInTable(Fertiliser_SourceData.Fertiliser_Products_Data1(),FertiliserProducts[[#Headers],[Include or Exclude]], 0,4)</f>
        <v/>
      </c>
      <c r="AC95" s="170" t="str" cm="1">
        <f t="array" ref="AC95">Common_InputFunctions.Utility_DisplayArrayInTable(Fertiliser_SourceData.Fertiliser_Products_Data1(),FertiliserProducts[[#Headers],[Include or Exclude]], 0,4)</f>
        <v/>
      </c>
      <c r="AD95" s="170" t="str" cm="1">
        <f t="array" ref="AD95">Common_InputFunctions.Utility_DisplayArrayInTable(Fertiliser_SourceData.Fertiliser_Products_Data1(),FertiliserProducts[[#Headers],[Include or Exclude]], 0,4)</f>
        <v/>
      </c>
      <c r="AE95" s="170" t="str" cm="1">
        <f t="array" ref="AE95">Common_InputFunctions.Utility_DisplayArrayInTable(Fertiliser_SourceData.Fertiliser_Products_Data1(),FertiliserProducts[[#Headers],[Include or Exclude]], 0,4)</f>
        <v/>
      </c>
    </row>
    <row r="96" spans="4:31" ht="20.100000000000001" customHeight="1" x14ac:dyDescent="0.25">
      <c r="D96" s="170" t="str" cm="1">
        <f t="array" ref="D96">Common_InputFunctions.Utility_DisplayArrayInTable(Fertiliser_SourceData.Fertiliser_Products_Data1(),FertiliserProducts[[#Headers],[Include or Exclude]], -1)</f>
        <v>Include</v>
      </c>
      <c r="E96" s="170" t="str" cm="1">
        <f t="array" ref="E96">Common_InputFunctions.Utility_DisplayArrayInTable(Fertiliser_SourceData.Fertiliser_Products_Data1(),FertiliserProducts[[#Headers],[Include or Exclude]], 0)</f>
        <v/>
      </c>
      <c r="F96" s="170" t="str" cm="1">
        <f t="array" ref="F96">Common_InputFunctions.Utility_DisplayArrayInTable(Fertiliser_SourceData.Fertiliser_Products_Data1(),FertiliserProducts[[#Headers],[Include or Exclude]], 0)</f>
        <v>Campbells fertilisers Australia</v>
      </c>
      <c r="G96" s="170" t="str" cm="1">
        <f t="array" ref="G96">Common_InputFunctions.Utility_DisplayArrayInTable(Fertiliser_SourceData.Fertiliser_Products_Data1(),FertiliserProducts[[#Headers],[Include or Exclude]], 0)</f>
        <v>Aqua Start</v>
      </c>
      <c r="H96" s="170" t="str" cm="1">
        <f t="array" ref="H96">Common_InputFunctions.Utility_DisplayArrayInTable(Fertiliser_SourceData.Fertiliser_Products_Data1(),FertiliserProducts[[#Headers],[Include or Exclude]], 0,4)</f>
        <v>L</v>
      </c>
      <c r="I96" s="170" cm="1">
        <f t="array" ref="I96">Common_InputFunctions.Utility_DisplayArrayInTable(Fertiliser_SourceData.Fertiliser_Products_Data1(),FertiliserProducts[[#Headers],[Include or Exclude]], 0,4)</f>
        <v>1.25</v>
      </c>
      <c r="J96" s="170" t="str" cm="1">
        <f t="array" ref="J96">Common_InputFunctions.Utility_DisplayArrayInTable(Fertiliser_SourceData.Fertiliser_Products_Data1(),FertiliserProducts[[#Headers],[Include or Exclude]], 0,4)</f>
        <v/>
      </c>
      <c r="K96" s="170" t="str" cm="1">
        <f t="array" ref="K96">Common_InputFunctions.Utility_DisplayArrayInTable(Fertiliser_SourceData.Fertiliser_Products_Data1(),FertiliserProducts[[#Headers],[Include or Exclude]], 0,4)</f>
        <v/>
      </c>
      <c r="L96" s="170" t="str" cm="1">
        <f t="array" ref="L96">Common_InputFunctions.Utility_DisplayArrayInTable(Fertiliser_SourceData.Fertiliser_Products_Data1(),FertiliserProducts[[#Headers],[Include or Exclude]], 0,4)</f>
        <v>Nitrogen - Generic</v>
      </c>
      <c r="M96" s="170" cm="1">
        <f t="array" ref="M96">Common_InputFunctions.Utility_DisplayArrayInTable(Fertiliser_SourceData.Fertiliser_Products_Data1(),FertiliserProducts[[#Headers],[Include or Exclude]], 0,4)</f>
        <v>0.10299999999999999</v>
      </c>
      <c r="N96" s="170" t="str" cm="1">
        <f t="array" ref="N96">Common_InputFunctions.Utility_DisplayArrayInTable(Fertiliser_SourceData.Fertiliser_Products_Data1(),FertiliserProducts[[#Headers],[Include or Exclude]], 0,4)</f>
        <v>Phosphorus - Generic</v>
      </c>
      <c r="O96" s="170" cm="1">
        <f t="array" ref="O96">Common_InputFunctions.Utility_DisplayArrayInTable(Fertiliser_SourceData.Fertiliser_Products_Data1(),FertiliserProducts[[#Headers],[Include or Exclude]], 0,4)</f>
        <v>0.1</v>
      </c>
      <c r="P96" s="170" t="str" cm="1">
        <f t="array" ref="P96">Common_InputFunctions.Utility_DisplayArrayInTable(Fertiliser_SourceData.Fertiliser_Products_Data1(),FertiliserProducts[[#Headers],[Include or Exclude]], 0,4)</f>
        <v>Potassium - Generic</v>
      </c>
      <c r="Q96" s="170" cm="1">
        <f t="array" ref="Q96">Common_InputFunctions.Utility_DisplayArrayInTable(Fertiliser_SourceData.Fertiliser_Products_Data1(),FertiliserProducts[[#Headers],[Include or Exclude]], 0,4)</f>
        <v>3.4000000000000002E-2</v>
      </c>
      <c r="R96" s="170" t="str" cm="1">
        <f t="array" ref="R96">Common_InputFunctions.Utility_DisplayArrayInTable(Fertiliser_SourceData.Fertiliser_Products_Data1(),FertiliserProducts[[#Headers],[Include or Exclude]], 0,4)</f>
        <v/>
      </c>
      <c r="S96" s="170" t="str" cm="1">
        <f t="array" ref="S96">Common_InputFunctions.Utility_DisplayArrayInTable(Fertiliser_SourceData.Fertiliser_Products_Data1(),FertiliserProducts[[#Headers],[Include or Exclude]], 0,4)</f>
        <v/>
      </c>
      <c r="T96" s="170" t="str" cm="1">
        <f t="array" ref="T96">Common_InputFunctions.Utility_DisplayArrayInTable(Fertiliser_SourceData.Fertiliser_Products_Data1(),FertiliserProducts[[#Headers],[Include or Exclude]], 0,4)</f>
        <v/>
      </c>
      <c r="U96" s="170" t="str" cm="1">
        <f t="array" ref="U96">Common_InputFunctions.Utility_DisplayArrayInTable(Fertiliser_SourceData.Fertiliser_Products_Data1(),FertiliserProducts[[#Headers],[Include or Exclude]], 0,4)</f>
        <v/>
      </c>
      <c r="V96" s="170" t="str" cm="1">
        <f t="array" ref="V96">Common_InputFunctions.Utility_DisplayArrayInTable(Fertiliser_SourceData.Fertiliser_Products_Data1(),FertiliserProducts[[#Headers],[Include or Exclude]], 0,4)</f>
        <v/>
      </c>
      <c r="W96" s="170" t="str" cm="1">
        <f t="array" ref="W96">Common_InputFunctions.Utility_DisplayArrayInTable(Fertiliser_SourceData.Fertiliser_Products_Data1(),FertiliserProducts[[#Headers],[Include or Exclude]], 0,4)</f>
        <v/>
      </c>
      <c r="X96" s="170" t="str" cm="1">
        <f t="array" ref="X96">Common_InputFunctions.Utility_DisplayArrayInTable(Fertiliser_SourceData.Fertiliser_Products_Data1(),FertiliserProducts[[#Headers],[Include or Exclude]], 0,4)</f>
        <v/>
      </c>
      <c r="Y96" s="170" t="str" cm="1">
        <f t="array" ref="Y96">Common_InputFunctions.Utility_DisplayArrayInTable(Fertiliser_SourceData.Fertiliser_Products_Data1(),FertiliserProducts[[#Headers],[Include or Exclude]], 0,4)</f>
        <v/>
      </c>
      <c r="Z96" s="170" t="str" cm="1">
        <f t="array" ref="Z96">Common_InputFunctions.Utility_DisplayArrayInTable(Fertiliser_SourceData.Fertiliser_Products_Data1(),FertiliserProducts[[#Headers],[Include or Exclude]], 0,4)</f>
        <v/>
      </c>
      <c r="AA96" s="170" t="str" cm="1">
        <f t="array" ref="AA96">Common_InputFunctions.Utility_DisplayArrayInTable(Fertiliser_SourceData.Fertiliser_Products_Data1(),FertiliserProducts[[#Headers],[Include or Exclude]], 0,4)</f>
        <v/>
      </c>
      <c r="AB96" s="170" t="str" cm="1">
        <f t="array" ref="AB96">Common_InputFunctions.Utility_DisplayArrayInTable(Fertiliser_SourceData.Fertiliser_Products_Data1(),FertiliserProducts[[#Headers],[Include or Exclude]], 0,4)</f>
        <v/>
      </c>
      <c r="AC96" s="170" t="str" cm="1">
        <f t="array" ref="AC96">Common_InputFunctions.Utility_DisplayArrayInTable(Fertiliser_SourceData.Fertiliser_Products_Data1(),FertiliserProducts[[#Headers],[Include or Exclude]], 0,4)</f>
        <v/>
      </c>
      <c r="AD96" s="170" t="str" cm="1">
        <f t="array" ref="AD96">Common_InputFunctions.Utility_DisplayArrayInTable(Fertiliser_SourceData.Fertiliser_Products_Data1(),FertiliserProducts[[#Headers],[Include or Exclude]], 0,4)</f>
        <v/>
      </c>
      <c r="AE96" s="170" t="str" cm="1">
        <f t="array" ref="AE96">Common_InputFunctions.Utility_DisplayArrayInTable(Fertiliser_SourceData.Fertiliser_Products_Data1(),FertiliserProducts[[#Headers],[Include or Exclude]], 0,4)</f>
        <v/>
      </c>
    </row>
    <row r="97" spans="4:31" ht="20.100000000000001" customHeight="1" x14ac:dyDescent="0.25">
      <c r="D97" s="170" t="str" cm="1">
        <f t="array" ref="D97">Common_InputFunctions.Utility_DisplayArrayInTable(Fertiliser_SourceData.Fertiliser_Products_Data1(),FertiliserProducts[[#Headers],[Include or Exclude]], -1)</f>
        <v>Include</v>
      </c>
      <c r="E97" s="170" t="str" cm="1">
        <f t="array" ref="E97">Common_InputFunctions.Utility_DisplayArrayInTable(Fertiliser_SourceData.Fertiliser_Products_Data1(),FertiliserProducts[[#Headers],[Include or Exclude]], 0)</f>
        <v/>
      </c>
      <c r="F97" s="170" t="str" cm="1">
        <f t="array" ref="F97">Common_InputFunctions.Utility_DisplayArrayInTable(Fertiliser_SourceData.Fertiliser_Products_Data1(),FertiliserProducts[[#Headers],[Include or Exclude]], 0)</f>
        <v>Campbells fertilisers Australia</v>
      </c>
      <c r="G97" s="170" t="str" cm="1">
        <f t="array" ref="G97">Common_InputFunctions.Utility_DisplayArrayInTable(Fertiliser_SourceData.Fertiliser_Products_Data1(),FertiliserProducts[[#Headers],[Include or Exclude]], 0)</f>
        <v>Aqua Thio-Complete</v>
      </c>
      <c r="H97" s="170" t="str" cm="1">
        <f t="array" ref="H97">Common_InputFunctions.Utility_DisplayArrayInTable(Fertiliser_SourceData.Fertiliser_Products_Data1(),FertiliserProducts[[#Headers],[Include or Exclude]], 0,4)</f>
        <v>L</v>
      </c>
      <c r="I97" s="170" cm="1">
        <f t="array" ref="I97">Common_InputFunctions.Utility_DisplayArrayInTable(Fertiliser_SourceData.Fertiliser_Products_Data1(),FertiliserProducts[[#Headers],[Include or Exclude]], 0,4)</f>
        <v>1.43</v>
      </c>
      <c r="J97" s="170" t="str" cm="1">
        <f t="array" ref="J97">Common_InputFunctions.Utility_DisplayArrayInTable(Fertiliser_SourceData.Fertiliser_Products_Data1(),FertiliserProducts[[#Headers],[Include or Exclude]], 0,4)</f>
        <v/>
      </c>
      <c r="K97" s="170" t="str" cm="1">
        <f t="array" ref="K97">Common_InputFunctions.Utility_DisplayArrayInTable(Fertiliser_SourceData.Fertiliser_Products_Data1(),FertiliserProducts[[#Headers],[Include or Exclude]], 0,4)</f>
        <v/>
      </c>
      <c r="L97" s="170" t="str" cm="1">
        <f t="array" ref="L97">Common_InputFunctions.Utility_DisplayArrayInTable(Fertiliser_SourceData.Fertiliser_Products_Data1(),FertiliserProducts[[#Headers],[Include or Exclude]], 0,4)</f>
        <v>Potassium - Generic</v>
      </c>
      <c r="M97" s="170" cm="1">
        <f t="array" ref="M97">Common_InputFunctions.Utility_DisplayArrayInTable(Fertiliser_SourceData.Fertiliser_Products_Data1(),FertiliserProducts[[#Headers],[Include or Exclude]], 0,4)</f>
        <v>0.22500000000000001</v>
      </c>
      <c r="N97" s="170" t="str" cm="1">
        <f t="array" ref="N97">Common_InputFunctions.Utility_DisplayArrayInTable(Fertiliser_SourceData.Fertiliser_Products_Data1(),FertiliserProducts[[#Headers],[Include or Exclude]], 0,4)</f>
        <v>Phosphorus - Generic</v>
      </c>
      <c r="O97" s="170" cm="1">
        <f t="array" ref="O97">Common_InputFunctions.Utility_DisplayArrayInTable(Fertiliser_SourceData.Fertiliser_Products_Data1(),FertiliserProducts[[#Headers],[Include or Exclude]], 0,4)</f>
        <v>3.7999999999999999E-2</v>
      </c>
      <c r="P97" s="170" t="str" cm="1">
        <f t="array" ref="P97">Common_InputFunctions.Utility_DisplayArrayInTable(Fertiliser_SourceData.Fertiliser_Products_Data1(),FertiliserProducts[[#Headers],[Include or Exclude]], 0,4)</f>
        <v>Nitrogen - Generic</v>
      </c>
      <c r="Q97" s="170" cm="1">
        <f t="array" ref="Q97">Common_InputFunctions.Utility_DisplayArrayInTable(Fertiliser_SourceData.Fertiliser_Products_Data1(),FertiliserProducts[[#Headers],[Include or Exclude]], 0,4)</f>
        <v>2.5000000000000001E-2</v>
      </c>
      <c r="R97" s="170" t="str" cm="1">
        <f t="array" ref="R97">Common_InputFunctions.Utility_DisplayArrayInTable(Fertiliser_SourceData.Fertiliser_Products_Data1(),FertiliserProducts[[#Headers],[Include or Exclude]], 0,4)</f>
        <v/>
      </c>
      <c r="S97" s="170" t="str" cm="1">
        <f t="array" ref="S97">Common_InputFunctions.Utility_DisplayArrayInTable(Fertiliser_SourceData.Fertiliser_Products_Data1(),FertiliserProducts[[#Headers],[Include or Exclude]], 0,4)</f>
        <v/>
      </c>
      <c r="T97" s="170" t="str" cm="1">
        <f t="array" ref="T97">Common_InputFunctions.Utility_DisplayArrayInTable(Fertiliser_SourceData.Fertiliser_Products_Data1(),FertiliserProducts[[#Headers],[Include or Exclude]], 0,4)</f>
        <v/>
      </c>
      <c r="U97" s="170" t="str" cm="1">
        <f t="array" ref="U97">Common_InputFunctions.Utility_DisplayArrayInTable(Fertiliser_SourceData.Fertiliser_Products_Data1(),FertiliserProducts[[#Headers],[Include or Exclude]], 0,4)</f>
        <v/>
      </c>
      <c r="V97" s="170" t="str" cm="1">
        <f t="array" ref="V97">Common_InputFunctions.Utility_DisplayArrayInTable(Fertiliser_SourceData.Fertiliser_Products_Data1(),FertiliserProducts[[#Headers],[Include or Exclude]], 0,4)</f>
        <v/>
      </c>
      <c r="W97" s="170" t="str" cm="1">
        <f t="array" ref="W97">Common_InputFunctions.Utility_DisplayArrayInTable(Fertiliser_SourceData.Fertiliser_Products_Data1(),FertiliserProducts[[#Headers],[Include or Exclude]], 0,4)</f>
        <v/>
      </c>
      <c r="X97" s="170" t="str" cm="1">
        <f t="array" ref="X97">Common_InputFunctions.Utility_DisplayArrayInTable(Fertiliser_SourceData.Fertiliser_Products_Data1(),FertiliserProducts[[#Headers],[Include or Exclude]], 0,4)</f>
        <v/>
      </c>
      <c r="Y97" s="170" t="str" cm="1">
        <f t="array" ref="Y97">Common_InputFunctions.Utility_DisplayArrayInTable(Fertiliser_SourceData.Fertiliser_Products_Data1(),FertiliserProducts[[#Headers],[Include or Exclude]], 0,4)</f>
        <v/>
      </c>
      <c r="Z97" s="170" t="str" cm="1">
        <f t="array" ref="Z97">Common_InputFunctions.Utility_DisplayArrayInTable(Fertiliser_SourceData.Fertiliser_Products_Data1(),FertiliserProducts[[#Headers],[Include or Exclude]], 0,4)</f>
        <v/>
      </c>
      <c r="AA97" s="170" t="str" cm="1">
        <f t="array" ref="AA97">Common_InputFunctions.Utility_DisplayArrayInTable(Fertiliser_SourceData.Fertiliser_Products_Data1(),FertiliserProducts[[#Headers],[Include or Exclude]], 0,4)</f>
        <v/>
      </c>
      <c r="AB97" s="170" t="str" cm="1">
        <f t="array" ref="AB97">Common_InputFunctions.Utility_DisplayArrayInTable(Fertiliser_SourceData.Fertiliser_Products_Data1(),FertiliserProducts[[#Headers],[Include or Exclude]], 0,4)</f>
        <v/>
      </c>
      <c r="AC97" s="170" t="str" cm="1">
        <f t="array" ref="AC97">Common_InputFunctions.Utility_DisplayArrayInTable(Fertiliser_SourceData.Fertiliser_Products_Data1(),FertiliserProducts[[#Headers],[Include or Exclude]], 0,4)</f>
        <v/>
      </c>
      <c r="AD97" s="170" t="str" cm="1">
        <f t="array" ref="AD97">Common_InputFunctions.Utility_DisplayArrayInTable(Fertiliser_SourceData.Fertiliser_Products_Data1(),FertiliserProducts[[#Headers],[Include or Exclude]], 0,4)</f>
        <v/>
      </c>
      <c r="AE97" s="170" t="str" cm="1">
        <f t="array" ref="AE97">Common_InputFunctions.Utility_DisplayArrayInTable(Fertiliser_SourceData.Fertiliser_Products_Data1(),FertiliserProducts[[#Headers],[Include or Exclude]], 0,4)</f>
        <v/>
      </c>
    </row>
    <row r="98" spans="4:31" ht="20.100000000000001" customHeight="1" x14ac:dyDescent="0.25">
      <c r="D98" s="170" t="str" cm="1">
        <f t="array" ref="D98">Common_InputFunctions.Utility_DisplayArrayInTable(Fertiliser_SourceData.Fertiliser_Products_Data1(),FertiliserProducts[[#Headers],[Include or Exclude]], -1)</f>
        <v>Include</v>
      </c>
      <c r="E98" s="170" t="str" cm="1">
        <f t="array" ref="E98">Common_InputFunctions.Utility_DisplayArrayInTable(Fertiliser_SourceData.Fertiliser_Products_Data1(),FertiliserProducts[[#Headers],[Include or Exclude]], 0)</f>
        <v/>
      </c>
      <c r="F98" s="170" t="str" cm="1">
        <f t="array" ref="F98">Common_InputFunctions.Utility_DisplayArrayInTable(Fertiliser_SourceData.Fertiliser_Products_Data1(),FertiliserProducts[[#Headers],[Include or Exclude]], 0)</f>
        <v>Campbells fertilisers Australia</v>
      </c>
      <c r="G98" s="170" t="str" cm="1">
        <f t="array" ref="G98">Common_InputFunctions.Utility_DisplayArrayInTable(Fertiliser_SourceData.Fertiliser_Products_Data1(),FertiliserProducts[[#Headers],[Include or Exclude]], 0)</f>
        <v>Aqua Thio-Emerge</v>
      </c>
      <c r="H98" s="170" t="str" cm="1">
        <f t="array" ref="H98">Common_InputFunctions.Utility_DisplayArrayInTable(Fertiliser_SourceData.Fertiliser_Products_Data1(),FertiliserProducts[[#Headers],[Include or Exclude]], 0,4)</f>
        <v>L</v>
      </c>
      <c r="I98" s="170" cm="1">
        <f t="array" ref="I98">Common_InputFunctions.Utility_DisplayArrayInTable(Fertiliser_SourceData.Fertiliser_Products_Data1(),FertiliserProducts[[#Headers],[Include or Exclude]], 0,4)</f>
        <v>1.29</v>
      </c>
      <c r="J98" s="170" t="str" cm="1">
        <f t="array" ref="J98">Common_InputFunctions.Utility_DisplayArrayInTable(Fertiliser_SourceData.Fertiliser_Products_Data1(),FertiliserProducts[[#Headers],[Include or Exclude]], 0,4)</f>
        <v/>
      </c>
      <c r="K98" s="170" t="str" cm="1">
        <f t="array" ref="K98">Common_InputFunctions.Utility_DisplayArrayInTable(Fertiliser_SourceData.Fertiliser_Products_Data1(),FertiliserProducts[[#Headers],[Include or Exclude]], 0,4)</f>
        <v/>
      </c>
      <c r="L98" s="170" t="str" cm="1">
        <f t="array" ref="L98">Common_InputFunctions.Utility_DisplayArrayInTable(Fertiliser_SourceData.Fertiliser_Products_Data1(),FertiliserProducts[[#Headers],[Include or Exclude]], 0,4)</f>
        <v>Nitrogen - Generic</v>
      </c>
      <c r="M98" s="170" cm="1">
        <f t="array" ref="M98">Common_InputFunctions.Utility_DisplayArrayInTable(Fertiliser_SourceData.Fertiliser_Products_Data1(),FertiliserProducts[[#Headers],[Include or Exclude]], 0,4)</f>
        <v>0.105</v>
      </c>
      <c r="N98" s="170" t="str" cm="1">
        <f t="array" ref="N98">Common_InputFunctions.Utility_DisplayArrayInTable(Fertiliser_SourceData.Fertiliser_Products_Data1(),FertiliserProducts[[#Headers],[Include or Exclude]], 0,4)</f>
        <v>Phosphorus - Generic</v>
      </c>
      <c r="O98" s="170" cm="1">
        <f t="array" ref="O98">Common_InputFunctions.Utility_DisplayArrayInTable(Fertiliser_SourceData.Fertiliser_Products_Data1(),FertiliserProducts[[#Headers],[Include or Exclude]], 0,4)</f>
        <v>9.4E-2</v>
      </c>
      <c r="P98" s="170" t="str" cm="1">
        <f t="array" ref="P98">Common_InputFunctions.Utility_DisplayArrayInTable(Fertiliser_SourceData.Fertiliser_Products_Data1(),FertiliserProducts[[#Headers],[Include or Exclude]], 0,4)</f>
        <v>Potassium - Generic</v>
      </c>
      <c r="Q98" s="170" cm="1">
        <f t="array" ref="Q98">Common_InputFunctions.Utility_DisplayArrayInTable(Fertiliser_SourceData.Fertiliser_Products_Data1(),FertiliserProducts[[#Headers],[Include or Exclude]], 0,4)</f>
        <v>0.04</v>
      </c>
      <c r="R98" s="170" t="str" cm="1">
        <f t="array" ref="R98">Common_InputFunctions.Utility_DisplayArrayInTable(Fertiliser_SourceData.Fertiliser_Products_Data1(),FertiliserProducts[[#Headers],[Include or Exclude]], 0,4)</f>
        <v>Sulfur - Generic</v>
      </c>
      <c r="S98" s="170" cm="1">
        <f t="array" ref="S98">Common_InputFunctions.Utility_DisplayArrayInTable(Fertiliser_SourceData.Fertiliser_Products_Data1(),FertiliserProducts[[#Headers],[Include or Exclude]], 0,4)</f>
        <v>0.03</v>
      </c>
      <c r="T98" s="170" t="str" cm="1">
        <f t="array" ref="T98">Common_InputFunctions.Utility_DisplayArrayInTable(Fertiliser_SourceData.Fertiliser_Products_Data1(),FertiliserProducts[[#Headers],[Include or Exclude]], 0,4)</f>
        <v/>
      </c>
      <c r="U98" s="170" t="str" cm="1">
        <f t="array" ref="U98">Common_InputFunctions.Utility_DisplayArrayInTable(Fertiliser_SourceData.Fertiliser_Products_Data1(),FertiliserProducts[[#Headers],[Include or Exclude]], 0,4)</f>
        <v/>
      </c>
      <c r="V98" s="170" t="str" cm="1">
        <f t="array" ref="V98">Common_InputFunctions.Utility_DisplayArrayInTable(Fertiliser_SourceData.Fertiliser_Products_Data1(),FertiliserProducts[[#Headers],[Include or Exclude]], 0,4)</f>
        <v/>
      </c>
      <c r="W98" s="170" t="str" cm="1">
        <f t="array" ref="W98">Common_InputFunctions.Utility_DisplayArrayInTable(Fertiliser_SourceData.Fertiliser_Products_Data1(),FertiliserProducts[[#Headers],[Include or Exclude]], 0,4)</f>
        <v/>
      </c>
      <c r="X98" s="170" t="str" cm="1">
        <f t="array" ref="X98">Common_InputFunctions.Utility_DisplayArrayInTable(Fertiliser_SourceData.Fertiliser_Products_Data1(),FertiliserProducts[[#Headers],[Include or Exclude]], 0,4)</f>
        <v/>
      </c>
      <c r="Y98" s="170" t="str" cm="1">
        <f t="array" ref="Y98">Common_InputFunctions.Utility_DisplayArrayInTable(Fertiliser_SourceData.Fertiliser_Products_Data1(),FertiliserProducts[[#Headers],[Include or Exclude]], 0,4)</f>
        <v/>
      </c>
      <c r="Z98" s="170" t="str" cm="1">
        <f t="array" ref="Z98">Common_InputFunctions.Utility_DisplayArrayInTable(Fertiliser_SourceData.Fertiliser_Products_Data1(),FertiliserProducts[[#Headers],[Include or Exclude]], 0,4)</f>
        <v/>
      </c>
      <c r="AA98" s="170" t="str" cm="1">
        <f t="array" ref="AA98">Common_InputFunctions.Utility_DisplayArrayInTable(Fertiliser_SourceData.Fertiliser_Products_Data1(),FertiliserProducts[[#Headers],[Include or Exclude]], 0,4)</f>
        <v/>
      </c>
      <c r="AB98" s="170" t="str" cm="1">
        <f t="array" ref="AB98">Common_InputFunctions.Utility_DisplayArrayInTable(Fertiliser_SourceData.Fertiliser_Products_Data1(),FertiliserProducts[[#Headers],[Include or Exclude]], 0,4)</f>
        <v/>
      </c>
      <c r="AC98" s="170" t="str" cm="1">
        <f t="array" ref="AC98">Common_InputFunctions.Utility_DisplayArrayInTable(Fertiliser_SourceData.Fertiliser_Products_Data1(),FertiliserProducts[[#Headers],[Include or Exclude]], 0,4)</f>
        <v/>
      </c>
      <c r="AD98" s="170" t="str" cm="1">
        <f t="array" ref="AD98">Common_InputFunctions.Utility_DisplayArrayInTable(Fertiliser_SourceData.Fertiliser_Products_Data1(),FertiliserProducts[[#Headers],[Include or Exclude]], 0,4)</f>
        <v/>
      </c>
      <c r="AE98" s="170" t="str" cm="1">
        <f t="array" ref="AE98">Common_InputFunctions.Utility_DisplayArrayInTable(Fertiliser_SourceData.Fertiliser_Products_Data1(),FertiliserProducts[[#Headers],[Include or Exclude]], 0,4)</f>
        <v/>
      </c>
    </row>
    <row r="99" spans="4:31" ht="20.100000000000001" customHeight="1" x14ac:dyDescent="0.25">
      <c r="D99" s="170" t="str" cm="1">
        <f t="array" ref="D99">Common_InputFunctions.Utility_DisplayArrayInTable(Fertiliser_SourceData.Fertiliser_Products_Data1(),FertiliserProducts[[#Headers],[Include or Exclude]], -1)</f>
        <v>Exclude - Not relevant</v>
      </c>
      <c r="E99" s="170" t="str" cm="1">
        <f t="array" ref="E99">Common_InputFunctions.Utility_DisplayArrayInTable(Fertiliser_SourceData.Fertiliser_Products_Data1(),FertiliserProducts[[#Headers],[Include or Exclude]], 0)</f>
        <v/>
      </c>
      <c r="F99" s="170" t="str" cm="1">
        <f t="array" ref="F99">Common_InputFunctions.Utility_DisplayArrayInTable(Fertiliser_SourceData.Fertiliser_Products_Data1(),FertiliserProducts[[#Headers],[Include or Exclude]], 0)</f>
        <v>Campbells fertilisers Australia</v>
      </c>
      <c r="G99" s="170" t="str" cm="1">
        <f t="array" ref="G99">Common_InputFunctions.Utility_DisplayArrayInTable(Fertiliser_SourceData.Fertiliser_Products_Data1(),FertiliserProducts[[#Headers],[Include or Exclude]], 0)</f>
        <v>Aqua Thio-Flourish</v>
      </c>
      <c r="H99" s="170" t="str" cm="1">
        <f t="array" ref="H99">Common_InputFunctions.Utility_DisplayArrayInTable(Fertiliser_SourceData.Fertiliser_Products_Data1(),FertiliserProducts[[#Headers],[Include or Exclude]], 0,4)</f>
        <v>L</v>
      </c>
      <c r="I99" s="170" cm="1">
        <f t="array" ref="I99">Common_InputFunctions.Utility_DisplayArrayInTable(Fertiliser_SourceData.Fertiliser_Products_Data1(),FertiliserProducts[[#Headers],[Include or Exclude]], 0,4)</f>
        <v>1.32</v>
      </c>
      <c r="J99" s="170" t="str" cm="1">
        <f t="array" ref="J99">Common_InputFunctions.Utility_DisplayArrayInTable(Fertiliser_SourceData.Fertiliser_Products_Data1(),FertiliserProducts[[#Headers],[Include or Exclude]], 0,4)</f>
        <v/>
      </c>
      <c r="K99" s="170" t="str" cm="1">
        <f t="array" ref="K99">Common_InputFunctions.Utility_DisplayArrayInTable(Fertiliser_SourceData.Fertiliser_Products_Data1(),FertiliserProducts[[#Headers],[Include or Exclude]], 0,4)</f>
        <v/>
      </c>
      <c r="L99" s="170" t="str" cm="1">
        <f t="array" ref="L99">Common_InputFunctions.Utility_DisplayArrayInTable(Fertiliser_SourceData.Fertiliser_Products_Data1(),FertiliserProducts[[#Headers],[Include or Exclude]], 0,4)</f>
        <v>Potassium - Generic</v>
      </c>
      <c r="M99" s="170" cm="1">
        <f t="array" ref="M99">Common_InputFunctions.Utility_DisplayArrayInTable(Fertiliser_SourceData.Fertiliser_Products_Data1(),FertiliserProducts[[#Headers],[Include or Exclude]], 0,4)</f>
        <v>0.108</v>
      </c>
      <c r="N99" s="170" t="str" cm="1">
        <f t="array" ref="N99">Common_InputFunctions.Utility_DisplayArrayInTable(Fertiliser_SourceData.Fertiliser_Products_Data1(),FertiliserProducts[[#Headers],[Include or Exclude]], 0,4)</f>
        <v>Nitrogen - Generic</v>
      </c>
      <c r="O99" s="170" cm="1">
        <f t="array" ref="O99">Common_InputFunctions.Utility_DisplayArrayInTable(Fertiliser_SourceData.Fertiliser_Products_Data1(),FertiliserProducts[[#Headers],[Include or Exclude]], 0,4)</f>
        <v>9.5000000000000001E-2</v>
      </c>
      <c r="P99" s="170" t="str" cm="1">
        <f t="array" ref="P99">Common_InputFunctions.Utility_DisplayArrayInTable(Fertiliser_SourceData.Fertiliser_Products_Data1(),FertiliserProducts[[#Headers],[Include or Exclude]], 0,4)</f>
        <v>Sulfur - Generic</v>
      </c>
      <c r="Q99" s="170" cm="1">
        <f t="array" ref="Q99">Common_InputFunctions.Utility_DisplayArrayInTable(Fertiliser_SourceData.Fertiliser_Products_Data1(),FertiliserProducts[[#Headers],[Include or Exclude]], 0,4)</f>
        <v>8.1000000000000003E-2</v>
      </c>
      <c r="R99" s="170" t="str" cm="1">
        <f t="array" ref="R99">Common_InputFunctions.Utility_DisplayArrayInTable(Fertiliser_SourceData.Fertiliser_Products_Data1(),FertiliserProducts[[#Headers],[Include or Exclude]], 0,4)</f>
        <v>Phosphorus - Generic</v>
      </c>
      <c r="S99" s="170" cm="1">
        <f t="array" ref="S99">Common_InputFunctions.Utility_DisplayArrayInTable(Fertiliser_SourceData.Fertiliser_Products_Data1(),FertiliserProducts[[#Headers],[Include or Exclude]], 0,4)</f>
        <v>4.7E-2</v>
      </c>
      <c r="T99" s="170" t="str" cm="1">
        <f t="array" ref="T99">Common_InputFunctions.Utility_DisplayArrayInTable(Fertiliser_SourceData.Fertiliser_Products_Data1(),FertiliserProducts[[#Headers],[Include or Exclude]], 0,4)</f>
        <v/>
      </c>
      <c r="U99" s="170" t="str" cm="1">
        <f t="array" ref="U99">Common_InputFunctions.Utility_DisplayArrayInTable(Fertiliser_SourceData.Fertiliser_Products_Data1(),FertiliserProducts[[#Headers],[Include or Exclude]], 0,4)</f>
        <v/>
      </c>
      <c r="V99" s="170" t="str" cm="1">
        <f t="array" ref="V99">Common_InputFunctions.Utility_DisplayArrayInTable(Fertiliser_SourceData.Fertiliser_Products_Data1(),FertiliserProducts[[#Headers],[Include or Exclude]], 0,4)</f>
        <v/>
      </c>
      <c r="W99" s="170" t="str" cm="1">
        <f t="array" ref="W99">Common_InputFunctions.Utility_DisplayArrayInTable(Fertiliser_SourceData.Fertiliser_Products_Data1(),FertiliserProducts[[#Headers],[Include or Exclude]], 0,4)</f>
        <v/>
      </c>
      <c r="X99" s="170" t="str" cm="1">
        <f t="array" ref="X99">Common_InputFunctions.Utility_DisplayArrayInTable(Fertiliser_SourceData.Fertiliser_Products_Data1(),FertiliserProducts[[#Headers],[Include or Exclude]], 0,4)</f>
        <v/>
      </c>
      <c r="Y99" s="170" t="str" cm="1">
        <f t="array" ref="Y99">Common_InputFunctions.Utility_DisplayArrayInTable(Fertiliser_SourceData.Fertiliser_Products_Data1(),FertiliserProducts[[#Headers],[Include or Exclude]], 0,4)</f>
        <v/>
      </c>
      <c r="Z99" s="170" t="str" cm="1">
        <f t="array" ref="Z99">Common_InputFunctions.Utility_DisplayArrayInTable(Fertiliser_SourceData.Fertiliser_Products_Data1(),FertiliserProducts[[#Headers],[Include or Exclude]], 0,4)</f>
        <v/>
      </c>
      <c r="AA99" s="170" t="str" cm="1">
        <f t="array" ref="AA99">Common_InputFunctions.Utility_DisplayArrayInTable(Fertiliser_SourceData.Fertiliser_Products_Data1(),FertiliserProducts[[#Headers],[Include or Exclude]], 0,4)</f>
        <v/>
      </c>
      <c r="AB99" s="170" t="str" cm="1">
        <f t="array" ref="AB99">Common_InputFunctions.Utility_DisplayArrayInTable(Fertiliser_SourceData.Fertiliser_Products_Data1(),FertiliserProducts[[#Headers],[Include or Exclude]], 0,4)</f>
        <v/>
      </c>
      <c r="AC99" s="170" t="str" cm="1">
        <f t="array" ref="AC99">Common_InputFunctions.Utility_DisplayArrayInTable(Fertiliser_SourceData.Fertiliser_Products_Data1(),FertiliserProducts[[#Headers],[Include or Exclude]], 0,4)</f>
        <v/>
      </c>
      <c r="AD99" s="170" t="str" cm="1">
        <f t="array" ref="AD99">Common_InputFunctions.Utility_DisplayArrayInTable(Fertiliser_SourceData.Fertiliser_Products_Data1(),FertiliserProducts[[#Headers],[Include or Exclude]], 0,4)</f>
        <v/>
      </c>
      <c r="AE99" s="170" t="str" cm="1">
        <f t="array" ref="AE99">Common_InputFunctions.Utility_DisplayArrayInTable(Fertiliser_SourceData.Fertiliser_Products_Data1(),FertiliserProducts[[#Headers],[Include or Exclude]], 0,4)</f>
        <v/>
      </c>
    </row>
    <row r="100" spans="4:31" ht="20.100000000000001" customHeight="1" x14ac:dyDescent="0.25">
      <c r="D100" s="170" t="str" cm="1">
        <f t="array" ref="D100">Common_InputFunctions.Utility_DisplayArrayInTable(Fertiliser_SourceData.Fertiliser_Products_Data1(),FertiliserProducts[[#Headers],[Include or Exclude]], -1)</f>
        <v>Exclude - Not relevant</v>
      </c>
      <c r="E100" s="170" t="str" cm="1">
        <f t="array" ref="E100">Common_InputFunctions.Utility_DisplayArrayInTable(Fertiliser_SourceData.Fertiliser_Products_Data1(),FertiliserProducts[[#Headers],[Include or Exclude]], 0)</f>
        <v/>
      </c>
      <c r="F100" s="170" t="str" cm="1">
        <f t="array" ref="F100">Common_InputFunctions.Utility_DisplayArrayInTable(Fertiliser_SourceData.Fertiliser_Products_Data1(),FertiliserProducts[[#Headers],[Include or Exclude]], 0)</f>
        <v>Campbells fertilisers Australia</v>
      </c>
      <c r="G100" s="170" t="str" cm="1">
        <f t="array" ref="G100">Common_InputFunctions.Utility_DisplayArrayInTable(Fertiliser_SourceData.Fertiliser_Products_Data1(),FertiliserProducts[[#Headers],[Include or Exclude]], 0)</f>
        <v>Asco Fol Plus</v>
      </c>
      <c r="H100" s="170" t="str" cm="1">
        <f t="array" ref="H100">Common_InputFunctions.Utility_DisplayArrayInTable(Fertiliser_SourceData.Fertiliser_Products_Data1(),FertiliserProducts[[#Headers],[Include or Exclude]], 0,4)</f>
        <v/>
      </c>
      <c r="I100" s="170" t="str" cm="1">
        <f t="array" ref="I100">Common_InputFunctions.Utility_DisplayArrayInTable(Fertiliser_SourceData.Fertiliser_Products_Data1(),FertiliserProducts[[#Headers],[Include or Exclude]], 0,4)</f>
        <v/>
      </c>
      <c r="J100" s="170" t="str" cm="1">
        <f t="array" ref="J100">Common_InputFunctions.Utility_DisplayArrayInTable(Fertiliser_SourceData.Fertiliser_Products_Data1(),FertiliserProducts[[#Headers],[Include or Exclude]], 0,4)</f>
        <v/>
      </c>
      <c r="K100" s="170" t="str" cm="1">
        <f t="array" ref="K100">Common_InputFunctions.Utility_DisplayArrayInTable(Fertiliser_SourceData.Fertiliser_Products_Data1(),FertiliserProducts[[#Headers],[Include or Exclude]], 0,4)</f>
        <v/>
      </c>
      <c r="L100" s="170" t="str" cm="1">
        <f t="array" ref="L100">Common_InputFunctions.Utility_DisplayArrayInTable(Fertiliser_SourceData.Fertiliser_Products_Data1(),FertiliserProducts[[#Headers],[Include or Exclude]], 0,4)</f>
        <v/>
      </c>
      <c r="M100" s="170" t="str" cm="1">
        <f t="array" ref="M100">Common_InputFunctions.Utility_DisplayArrayInTable(Fertiliser_SourceData.Fertiliser_Products_Data1(),FertiliserProducts[[#Headers],[Include or Exclude]], 0,4)</f>
        <v/>
      </c>
      <c r="N100" s="170" t="str" cm="1">
        <f t="array" ref="N100">Common_InputFunctions.Utility_DisplayArrayInTable(Fertiliser_SourceData.Fertiliser_Products_Data1(),FertiliserProducts[[#Headers],[Include or Exclude]], 0,4)</f>
        <v/>
      </c>
      <c r="O100" s="170" t="str" cm="1">
        <f t="array" ref="O100">Common_InputFunctions.Utility_DisplayArrayInTable(Fertiliser_SourceData.Fertiliser_Products_Data1(),FertiliserProducts[[#Headers],[Include or Exclude]], 0,4)</f>
        <v/>
      </c>
      <c r="P100" s="170" t="str" cm="1">
        <f t="array" ref="P100">Common_InputFunctions.Utility_DisplayArrayInTable(Fertiliser_SourceData.Fertiliser_Products_Data1(),FertiliserProducts[[#Headers],[Include or Exclude]], 0,4)</f>
        <v/>
      </c>
      <c r="Q100" s="170" t="str" cm="1">
        <f t="array" ref="Q100">Common_InputFunctions.Utility_DisplayArrayInTable(Fertiliser_SourceData.Fertiliser_Products_Data1(),FertiliserProducts[[#Headers],[Include or Exclude]], 0,4)</f>
        <v/>
      </c>
      <c r="R100" s="170" t="str" cm="1">
        <f t="array" ref="R100">Common_InputFunctions.Utility_DisplayArrayInTable(Fertiliser_SourceData.Fertiliser_Products_Data1(),FertiliserProducts[[#Headers],[Include or Exclude]], 0,4)</f>
        <v/>
      </c>
      <c r="S100" s="170" t="str" cm="1">
        <f t="array" ref="S100">Common_InputFunctions.Utility_DisplayArrayInTable(Fertiliser_SourceData.Fertiliser_Products_Data1(),FertiliserProducts[[#Headers],[Include or Exclude]], 0,4)</f>
        <v/>
      </c>
      <c r="T100" s="170" t="str" cm="1">
        <f t="array" ref="T100">Common_InputFunctions.Utility_DisplayArrayInTable(Fertiliser_SourceData.Fertiliser_Products_Data1(),FertiliserProducts[[#Headers],[Include or Exclude]], 0,4)</f>
        <v/>
      </c>
      <c r="U100" s="170" t="str" cm="1">
        <f t="array" ref="U100">Common_InputFunctions.Utility_DisplayArrayInTable(Fertiliser_SourceData.Fertiliser_Products_Data1(),FertiliserProducts[[#Headers],[Include or Exclude]], 0,4)</f>
        <v/>
      </c>
      <c r="V100" s="170" t="str" cm="1">
        <f t="array" ref="V100">Common_InputFunctions.Utility_DisplayArrayInTable(Fertiliser_SourceData.Fertiliser_Products_Data1(),FertiliserProducts[[#Headers],[Include or Exclude]], 0,4)</f>
        <v/>
      </c>
      <c r="W100" s="170" t="str" cm="1">
        <f t="array" ref="W100">Common_InputFunctions.Utility_DisplayArrayInTable(Fertiliser_SourceData.Fertiliser_Products_Data1(),FertiliserProducts[[#Headers],[Include or Exclude]], 0,4)</f>
        <v/>
      </c>
      <c r="X100" s="170" t="str" cm="1">
        <f t="array" ref="X100">Common_InputFunctions.Utility_DisplayArrayInTable(Fertiliser_SourceData.Fertiliser_Products_Data1(),FertiliserProducts[[#Headers],[Include or Exclude]], 0,4)</f>
        <v/>
      </c>
      <c r="Y100" s="170" t="str" cm="1">
        <f t="array" ref="Y100">Common_InputFunctions.Utility_DisplayArrayInTable(Fertiliser_SourceData.Fertiliser_Products_Data1(),FertiliserProducts[[#Headers],[Include or Exclude]], 0,4)</f>
        <v/>
      </c>
      <c r="Z100" s="170" t="str" cm="1">
        <f t="array" ref="Z100">Common_InputFunctions.Utility_DisplayArrayInTable(Fertiliser_SourceData.Fertiliser_Products_Data1(),FertiliserProducts[[#Headers],[Include or Exclude]], 0,4)</f>
        <v/>
      </c>
      <c r="AA100" s="170" t="str" cm="1">
        <f t="array" ref="AA100">Common_InputFunctions.Utility_DisplayArrayInTable(Fertiliser_SourceData.Fertiliser_Products_Data1(),FertiliserProducts[[#Headers],[Include or Exclude]], 0,4)</f>
        <v/>
      </c>
      <c r="AB100" s="170" t="str" cm="1">
        <f t="array" ref="AB100">Common_InputFunctions.Utility_DisplayArrayInTable(Fertiliser_SourceData.Fertiliser_Products_Data1(),FertiliserProducts[[#Headers],[Include or Exclude]], 0,4)</f>
        <v/>
      </c>
      <c r="AC100" s="170" t="str" cm="1">
        <f t="array" ref="AC100">Common_InputFunctions.Utility_DisplayArrayInTable(Fertiliser_SourceData.Fertiliser_Products_Data1(),FertiliserProducts[[#Headers],[Include or Exclude]], 0,4)</f>
        <v/>
      </c>
      <c r="AD100" s="170" t="str" cm="1">
        <f t="array" ref="AD100">Common_InputFunctions.Utility_DisplayArrayInTable(Fertiliser_SourceData.Fertiliser_Products_Data1(),FertiliserProducts[[#Headers],[Include or Exclude]], 0,4)</f>
        <v/>
      </c>
      <c r="AE100" s="170" t="str" cm="1">
        <f t="array" ref="AE100">Common_InputFunctions.Utility_DisplayArrayInTable(Fertiliser_SourceData.Fertiliser_Products_Data1(),FertiliserProducts[[#Headers],[Include or Exclude]], 0,4)</f>
        <v/>
      </c>
    </row>
    <row r="101" spans="4:31" ht="20.100000000000001" customHeight="1" x14ac:dyDescent="0.25">
      <c r="D101" s="170" t="str" cm="1">
        <f t="array" ref="D101">Common_InputFunctions.Utility_DisplayArrayInTable(Fertiliser_SourceData.Fertiliser_Products_Data1(),FertiliserProducts[[#Headers],[Include or Exclude]], -1)</f>
        <v>Exclude - Not relevant</v>
      </c>
      <c r="E101" s="170" t="str" cm="1">
        <f t="array" ref="E101">Common_InputFunctions.Utility_DisplayArrayInTable(Fertiliser_SourceData.Fertiliser_Products_Data1(),FertiliserProducts[[#Headers],[Include or Exclude]], 0)</f>
        <v/>
      </c>
      <c r="F101" s="170" t="str" cm="1">
        <f t="array" ref="F101">Common_InputFunctions.Utility_DisplayArrayInTable(Fertiliser_SourceData.Fertiliser_Products_Data1(),FertiliserProducts[[#Headers],[Include or Exclude]], 0)</f>
        <v>Campbells fertilisers Australia</v>
      </c>
      <c r="G101" s="170" t="str" cm="1">
        <f t="array" ref="G101">Common_InputFunctions.Utility_DisplayArrayInTable(Fertiliser_SourceData.Fertiliser_Products_Data1(),FertiliserProducts[[#Headers],[Include or Exclude]], 0)</f>
        <v>Asco Plus</v>
      </c>
      <c r="H101" s="170" t="str" cm="1">
        <f t="array" ref="H101">Common_InputFunctions.Utility_DisplayArrayInTable(Fertiliser_SourceData.Fertiliser_Products_Data1(),FertiliserProducts[[#Headers],[Include or Exclude]], 0,4)</f>
        <v/>
      </c>
      <c r="I101" s="170" t="str" cm="1">
        <f t="array" ref="I101">Common_InputFunctions.Utility_DisplayArrayInTable(Fertiliser_SourceData.Fertiliser_Products_Data1(),FertiliserProducts[[#Headers],[Include or Exclude]], 0,4)</f>
        <v/>
      </c>
      <c r="J101" s="170" t="str" cm="1">
        <f t="array" ref="J101">Common_InputFunctions.Utility_DisplayArrayInTable(Fertiliser_SourceData.Fertiliser_Products_Data1(),FertiliserProducts[[#Headers],[Include or Exclude]], 0,4)</f>
        <v/>
      </c>
      <c r="K101" s="170" t="str" cm="1">
        <f t="array" ref="K101">Common_InputFunctions.Utility_DisplayArrayInTable(Fertiliser_SourceData.Fertiliser_Products_Data1(),FertiliserProducts[[#Headers],[Include or Exclude]], 0,4)</f>
        <v/>
      </c>
      <c r="L101" s="170" t="str" cm="1">
        <f t="array" ref="L101">Common_InputFunctions.Utility_DisplayArrayInTable(Fertiliser_SourceData.Fertiliser_Products_Data1(),FertiliserProducts[[#Headers],[Include or Exclude]], 0,4)</f>
        <v/>
      </c>
      <c r="M101" s="170" t="str" cm="1">
        <f t="array" ref="M101">Common_InputFunctions.Utility_DisplayArrayInTable(Fertiliser_SourceData.Fertiliser_Products_Data1(),FertiliserProducts[[#Headers],[Include or Exclude]], 0,4)</f>
        <v/>
      </c>
      <c r="N101" s="170" t="str" cm="1">
        <f t="array" ref="N101">Common_InputFunctions.Utility_DisplayArrayInTable(Fertiliser_SourceData.Fertiliser_Products_Data1(),FertiliserProducts[[#Headers],[Include or Exclude]], 0,4)</f>
        <v/>
      </c>
      <c r="O101" s="170" t="str" cm="1">
        <f t="array" ref="O101">Common_InputFunctions.Utility_DisplayArrayInTable(Fertiliser_SourceData.Fertiliser_Products_Data1(),FertiliserProducts[[#Headers],[Include or Exclude]], 0,4)</f>
        <v/>
      </c>
      <c r="P101" s="170" t="str" cm="1">
        <f t="array" ref="P101">Common_InputFunctions.Utility_DisplayArrayInTable(Fertiliser_SourceData.Fertiliser_Products_Data1(),FertiliserProducts[[#Headers],[Include or Exclude]], 0,4)</f>
        <v/>
      </c>
      <c r="Q101" s="170" t="str" cm="1">
        <f t="array" ref="Q101">Common_InputFunctions.Utility_DisplayArrayInTable(Fertiliser_SourceData.Fertiliser_Products_Data1(),FertiliserProducts[[#Headers],[Include or Exclude]], 0,4)</f>
        <v/>
      </c>
      <c r="R101" s="170" t="str" cm="1">
        <f t="array" ref="R101">Common_InputFunctions.Utility_DisplayArrayInTable(Fertiliser_SourceData.Fertiliser_Products_Data1(),FertiliserProducts[[#Headers],[Include or Exclude]], 0,4)</f>
        <v/>
      </c>
      <c r="S101" s="170" t="str" cm="1">
        <f t="array" ref="S101">Common_InputFunctions.Utility_DisplayArrayInTable(Fertiliser_SourceData.Fertiliser_Products_Data1(),FertiliserProducts[[#Headers],[Include or Exclude]], 0,4)</f>
        <v/>
      </c>
      <c r="T101" s="170" t="str" cm="1">
        <f t="array" ref="T101">Common_InputFunctions.Utility_DisplayArrayInTable(Fertiliser_SourceData.Fertiliser_Products_Data1(),FertiliserProducts[[#Headers],[Include or Exclude]], 0,4)</f>
        <v/>
      </c>
      <c r="U101" s="170" t="str" cm="1">
        <f t="array" ref="U101">Common_InputFunctions.Utility_DisplayArrayInTable(Fertiliser_SourceData.Fertiliser_Products_Data1(),FertiliserProducts[[#Headers],[Include or Exclude]], 0,4)</f>
        <v/>
      </c>
      <c r="V101" s="170" t="str" cm="1">
        <f t="array" ref="V101">Common_InputFunctions.Utility_DisplayArrayInTable(Fertiliser_SourceData.Fertiliser_Products_Data1(),FertiliserProducts[[#Headers],[Include or Exclude]], 0,4)</f>
        <v/>
      </c>
      <c r="W101" s="170" t="str" cm="1">
        <f t="array" ref="W101">Common_InputFunctions.Utility_DisplayArrayInTable(Fertiliser_SourceData.Fertiliser_Products_Data1(),FertiliserProducts[[#Headers],[Include or Exclude]], 0,4)</f>
        <v/>
      </c>
      <c r="X101" s="170" t="str" cm="1">
        <f t="array" ref="X101">Common_InputFunctions.Utility_DisplayArrayInTable(Fertiliser_SourceData.Fertiliser_Products_Data1(),FertiliserProducts[[#Headers],[Include or Exclude]], 0,4)</f>
        <v/>
      </c>
      <c r="Y101" s="170" t="str" cm="1">
        <f t="array" ref="Y101">Common_InputFunctions.Utility_DisplayArrayInTable(Fertiliser_SourceData.Fertiliser_Products_Data1(),FertiliserProducts[[#Headers],[Include or Exclude]], 0,4)</f>
        <v/>
      </c>
      <c r="Z101" s="170" t="str" cm="1">
        <f t="array" ref="Z101">Common_InputFunctions.Utility_DisplayArrayInTable(Fertiliser_SourceData.Fertiliser_Products_Data1(),FertiliserProducts[[#Headers],[Include or Exclude]], 0,4)</f>
        <v/>
      </c>
      <c r="AA101" s="170" t="str" cm="1">
        <f t="array" ref="AA101">Common_InputFunctions.Utility_DisplayArrayInTable(Fertiliser_SourceData.Fertiliser_Products_Data1(),FertiliserProducts[[#Headers],[Include or Exclude]], 0,4)</f>
        <v/>
      </c>
      <c r="AB101" s="170" t="str" cm="1">
        <f t="array" ref="AB101">Common_InputFunctions.Utility_DisplayArrayInTable(Fertiliser_SourceData.Fertiliser_Products_Data1(),FertiliserProducts[[#Headers],[Include or Exclude]], 0,4)</f>
        <v/>
      </c>
      <c r="AC101" s="170" t="str" cm="1">
        <f t="array" ref="AC101">Common_InputFunctions.Utility_DisplayArrayInTable(Fertiliser_SourceData.Fertiliser_Products_Data1(),FertiliserProducts[[#Headers],[Include or Exclude]], 0,4)</f>
        <v/>
      </c>
      <c r="AD101" s="170" t="str" cm="1">
        <f t="array" ref="AD101">Common_InputFunctions.Utility_DisplayArrayInTable(Fertiliser_SourceData.Fertiliser_Products_Data1(),FertiliserProducts[[#Headers],[Include or Exclude]], 0,4)</f>
        <v/>
      </c>
      <c r="AE101" s="170" t="str" cm="1">
        <f t="array" ref="AE101">Common_InputFunctions.Utility_DisplayArrayInTable(Fertiliser_SourceData.Fertiliser_Products_Data1(),FertiliserProducts[[#Headers],[Include or Exclude]], 0,4)</f>
        <v/>
      </c>
    </row>
    <row r="102" spans="4:31" ht="20.100000000000001" customHeight="1" x14ac:dyDescent="0.25">
      <c r="D102" s="170" t="str" cm="1">
        <f t="array" ref="D102">Common_InputFunctions.Utility_DisplayArrayInTable(Fertiliser_SourceData.Fertiliser_Products_Data1(),FertiliserProducts[[#Headers],[Include or Exclude]], -1)</f>
        <v>Exclude - Not relevant</v>
      </c>
      <c r="E102" s="170" t="str" cm="1">
        <f t="array" ref="E102">Common_InputFunctions.Utility_DisplayArrayInTable(Fertiliser_SourceData.Fertiliser_Products_Data1(),FertiliserProducts[[#Headers],[Include or Exclude]], 0)</f>
        <v/>
      </c>
      <c r="F102" s="170" t="str" cm="1">
        <f t="array" ref="F102">Common_InputFunctions.Utility_DisplayArrayInTable(Fertiliser_SourceData.Fertiliser_Products_Data1(),FertiliserProducts[[#Headers],[Include or Exclude]], 0)</f>
        <v>Campbells fertilisers Australia</v>
      </c>
      <c r="G102" s="170" t="str" cm="1">
        <f t="array" ref="G102">Common_InputFunctions.Utility_DisplayArrayInTable(Fertiliser_SourceData.Fertiliser_Products_Data1(),FertiliserProducts[[#Headers],[Include or Exclude]], 0)</f>
        <v>Asco Rhizo Plus</v>
      </c>
      <c r="H102" s="170" t="str" cm="1">
        <f t="array" ref="H102">Common_InputFunctions.Utility_DisplayArrayInTable(Fertiliser_SourceData.Fertiliser_Products_Data1(),FertiliserProducts[[#Headers],[Include or Exclude]], 0,4)</f>
        <v/>
      </c>
      <c r="I102" s="170" t="str" cm="1">
        <f t="array" ref="I102">Common_InputFunctions.Utility_DisplayArrayInTable(Fertiliser_SourceData.Fertiliser_Products_Data1(),FertiliserProducts[[#Headers],[Include or Exclude]], 0,4)</f>
        <v/>
      </c>
      <c r="J102" s="170" t="str" cm="1">
        <f t="array" ref="J102">Common_InputFunctions.Utility_DisplayArrayInTable(Fertiliser_SourceData.Fertiliser_Products_Data1(),FertiliserProducts[[#Headers],[Include or Exclude]], 0,4)</f>
        <v/>
      </c>
      <c r="K102" s="170" t="str" cm="1">
        <f t="array" ref="K102">Common_InputFunctions.Utility_DisplayArrayInTable(Fertiliser_SourceData.Fertiliser_Products_Data1(),FertiliserProducts[[#Headers],[Include or Exclude]], 0,4)</f>
        <v/>
      </c>
      <c r="L102" s="170" t="str" cm="1">
        <f t="array" ref="L102">Common_InputFunctions.Utility_DisplayArrayInTable(Fertiliser_SourceData.Fertiliser_Products_Data1(),FertiliserProducts[[#Headers],[Include or Exclude]], 0,4)</f>
        <v/>
      </c>
      <c r="M102" s="170" t="str" cm="1">
        <f t="array" ref="M102">Common_InputFunctions.Utility_DisplayArrayInTable(Fertiliser_SourceData.Fertiliser_Products_Data1(),FertiliserProducts[[#Headers],[Include or Exclude]], 0,4)</f>
        <v/>
      </c>
      <c r="N102" s="170" t="str" cm="1">
        <f t="array" ref="N102">Common_InputFunctions.Utility_DisplayArrayInTable(Fertiliser_SourceData.Fertiliser_Products_Data1(),FertiliserProducts[[#Headers],[Include or Exclude]], 0,4)</f>
        <v/>
      </c>
      <c r="O102" s="170" t="str" cm="1">
        <f t="array" ref="O102">Common_InputFunctions.Utility_DisplayArrayInTable(Fertiliser_SourceData.Fertiliser_Products_Data1(),FertiliserProducts[[#Headers],[Include or Exclude]], 0,4)</f>
        <v/>
      </c>
      <c r="P102" s="170" t="str" cm="1">
        <f t="array" ref="P102">Common_InputFunctions.Utility_DisplayArrayInTable(Fertiliser_SourceData.Fertiliser_Products_Data1(),FertiliserProducts[[#Headers],[Include or Exclude]], 0,4)</f>
        <v/>
      </c>
      <c r="Q102" s="170" t="str" cm="1">
        <f t="array" ref="Q102">Common_InputFunctions.Utility_DisplayArrayInTable(Fertiliser_SourceData.Fertiliser_Products_Data1(),FertiliserProducts[[#Headers],[Include or Exclude]], 0,4)</f>
        <v/>
      </c>
      <c r="R102" s="170" t="str" cm="1">
        <f t="array" ref="R102">Common_InputFunctions.Utility_DisplayArrayInTable(Fertiliser_SourceData.Fertiliser_Products_Data1(),FertiliserProducts[[#Headers],[Include or Exclude]], 0,4)</f>
        <v/>
      </c>
      <c r="S102" s="170" t="str" cm="1">
        <f t="array" ref="S102">Common_InputFunctions.Utility_DisplayArrayInTable(Fertiliser_SourceData.Fertiliser_Products_Data1(),FertiliserProducts[[#Headers],[Include or Exclude]], 0,4)</f>
        <v/>
      </c>
      <c r="T102" s="170" t="str" cm="1">
        <f t="array" ref="T102">Common_InputFunctions.Utility_DisplayArrayInTable(Fertiliser_SourceData.Fertiliser_Products_Data1(),FertiliserProducts[[#Headers],[Include or Exclude]], 0,4)</f>
        <v/>
      </c>
      <c r="U102" s="170" t="str" cm="1">
        <f t="array" ref="U102">Common_InputFunctions.Utility_DisplayArrayInTable(Fertiliser_SourceData.Fertiliser_Products_Data1(),FertiliserProducts[[#Headers],[Include or Exclude]], 0,4)</f>
        <v/>
      </c>
      <c r="V102" s="170" t="str" cm="1">
        <f t="array" ref="V102">Common_InputFunctions.Utility_DisplayArrayInTable(Fertiliser_SourceData.Fertiliser_Products_Data1(),FertiliserProducts[[#Headers],[Include or Exclude]], 0,4)</f>
        <v/>
      </c>
      <c r="W102" s="170" t="str" cm="1">
        <f t="array" ref="W102">Common_InputFunctions.Utility_DisplayArrayInTable(Fertiliser_SourceData.Fertiliser_Products_Data1(),FertiliserProducts[[#Headers],[Include or Exclude]], 0,4)</f>
        <v/>
      </c>
      <c r="X102" s="170" t="str" cm="1">
        <f t="array" ref="X102">Common_InputFunctions.Utility_DisplayArrayInTable(Fertiliser_SourceData.Fertiliser_Products_Data1(),FertiliserProducts[[#Headers],[Include or Exclude]], 0,4)</f>
        <v/>
      </c>
      <c r="Y102" s="170" t="str" cm="1">
        <f t="array" ref="Y102">Common_InputFunctions.Utility_DisplayArrayInTable(Fertiliser_SourceData.Fertiliser_Products_Data1(),FertiliserProducts[[#Headers],[Include or Exclude]], 0,4)</f>
        <v/>
      </c>
      <c r="Z102" s="170" t="str" cm="1">
        <f t="array" ref="Z102">Common_InputFunctions.Utility_DisplayArrayInTable(Fertiliser_SourceData.Fertiliser_Products_Data1(),FertiliserProducts[[#Headers],[Include or Exclude]], 0,4)</f>
        <v/>
      </c>
      <c r="AA102" s="170" t="str" cm="1">
        <f t="array" ref="AA102">Common_InputFunctions.Utility_DisplayArrayInTable(Fertiliser_SourceData.Fertiliser_Products_Data1(),FertiliserProducts[[#Headers],[Include or Exclude]], 0,4)</f>
        <v/>
      </c>
      <c r="AB102" s="170" t="str" cm="1">
        <f t="array" ref="AB102">Common_InputFunctions.Utility_DisplayArrayInTable(Fertiliser_SourceData.Fertiliser_Products_Data1(),FertiliserProducts[[#Headers],[Include or Exclude]], 0,4)</f>
        <v/>
      </c>
      <c r="AC102" s="170" t="str" cm="1">
        <f t="array" ref="AC102">Common_InputFunctions.Utility_DisplayArrayInTable(Fertiliser_SourceData.Fertiliser_Products_Data1(),FertiliserProducts[[#Headers],[Include or Exclude]], 0,4)</f>
        <v/>
      </c>
      <c r="AD102" s="170" t="str" cm="1">
        <f t="array" ref="AD102">Common_InputFunctions.Utility_DisplayArrayInTable(Fertiliser_SourceData.Fertiliser_Products_Data1(),FertiliserProducts[[#Headers],[Include or Exclude]], 0,4)</f>
        <v/>
      </c>
      <c r="AE102" s="170" t="str" cm="1">
        <f t="array" ref="AE102">Common_InputFunctions.Utility_DisplayArrayInTable(Fertiliser_SourceData.Fertiliser_Products_Data1(),FertiliserProducts[[#Headers],[Include or Exclude]], 0,4)</f>
        <v/>
      </c>
    </row>
    <row r="103" spans="4:31" ht="20.100000000000001" customHeight="1" x14ac:dyDescent="0.25">
      <c r="D103" s="170" t="str" cm="1">
        <f t="array" ref="D103">Common_InputFunctions.Utility_DisplayArrayInTable(Fertiliser_SourceData.Fertiliser_Products_Data1(),FertiliserProducts[[#Headers],[Include or Exclude]], -1)</f>
        <v>Include - Absent ingredients &lt; 2%</v>
      </c>
      <c r="E103" s="170" t="str" cm="1">
        <f t="array" ref="E103">Common_InputFunctions.Utility_DisplayArrayInTable(Fertiliser_SourceData.Fertiliser_Products_Data1(),FertiliserProducts[[#Headers],[Include or Exclude]], 0)</f>
        <v/>
      </c>
      <c r="F103" s="170" t="str" cm="1">
        <f t="array" ref="F103">Common_InputFunctions.Utility_DisplayArrayInTable(Fertiliser_SourceData.Fertiliser_Products_Data1(),FertiliserProducts[[#Headers],[Include or Exclude]], 0)</f>
        <v>Campbells fertilisers Australia</v>
      </c>
      <c r="G103" s="170" t="str" cm="1">
        <f t="array" ref="G103">Common_InputFunctions.Utility_DisplayArrayInTable(Fertiliser_SourceData.Fertiliser_Products_Data1(),FertiliserProducts[[#Headers],[Include or Exclude]], 0)</f>
        <v>Benefit PZ</v>
      </c>
      <c r="H103" s="170" t="str" cm="1">
        <f t="array" ref="H103">Common_InputFunctions.Utility_DisplayArrayInTable(Fertiliser_SourceData.Fertiliser_Products_Data1(),FertiliserProducts[[#Headers],[Include or Exclude]], 0,4)</f>
        <v/>
      </c>
      <c r="I103" s="170" t="str" cm="1">
        <f t="array" ref="I103">Common_InputFunctions.Utility_DisplayArrayInTable(Fertiliser_SourceData.Fertiliser_Products_Data1(),FertiliserProducts[[#Headers],[Include or Exclude]], 0,4)</f>
        <v/>
      </c>
      <c r="J103" s="170" t="str" cm="1">
        <f t="array" ref="J103">Common_InputFunctions.Utility_DisplayArrayInTable(Fertiliser_SourceData.Fertiliser_Products_Data1(),FertiliserProducts[[#Headers],[Include or Exclude]], 0,4)</f>
        <v/>
      </c>
      <c r="K103" s="170" t="str" cm="1">
        <f t="array" ref="K103">Common_InputFunctions.Utility_DisplayArrayInTable(Fertiliser_SourceData.Fertiliser_Products_Data1(),FertiliserProducts[[#Headers],[Include or Exclude]], 0,4)</f>
        <v/>
      </c>
      <c r="L103" s="170" t="str" cm="1">
        <f t="array" ref="L103">Common_InputFunctions.Utility_DisplayArrayInTable(Fertiliser_SourceData.Fertiliser_Products_Data1(),FertiliserProducts[[#Headers],[Include or Exclude]], 0,4)</f>
        <v/>
      </c>
      <c r="M103" s="170" t="str" cm="1">
        <f t="array" ref="M103">Common_InputFunctions.Utility_DisplayArrayInTable(Fertiliser_SourceData.Fertiliser_Products_Data1(),FertiliserProducts[[#Headers],[Include or Exclude]], 0,4)</f>
        <v/>
      </c>
      <c r="N103" s="170" t="str" cm="1">
        <f t="array" ref="N103">Common_InputFunctions.Utility_DisplayArrayInTable(Fertiliser_SourceData.Fertiliser_Products_Data1(),FertiliserProducts[[#Headers],[Include or Exclude]], 0,4)</f>
        <v/>
      </c>
      <c r="O103" s="170" t="str" cm="1">
        <f t="array" ref="O103">Common_InputFunctions.Utility_DisplayArrayInTable(Fertiliser_SourceData.Fertiliser_Products_Data1(),FertiliserProducts[[#Headers],[Include or Exclude]], 0,4)</f>
        <v/>
      </c>
      <c r="P103" s="170" t="str" cm="1">
        <f t="array" ref="P103">Common_InputFunctions.Utility_DisplayArrayInTable(Fertiliser_SourceData.Fertiliser_Products_Data1(),FertiliserProducts[[#Headers],[Include or Exclude]], 0,4)</f>
        <v/>
      </c>
      <c r="Q103" s="170" t="str" cm="1">
        <f t="array" ref="Q103">Common_InputFunctions.Utility_DisplayArrayInTable(Fertiliser_SourceData.Fertiliser_Products_Data1(),FertiliserProducts[[#Headers],[Include or Exclude]], 0,4)</f>
        <v/>
      </c>
      <c r="R103" s="170" t="str" cm="1">
        <f t="array" ref="R103">Common_InputFunctions.Utility_DisplayArrayInTable(Fertiliser_SourceData.Fertiliser_Products_Data1(),FertiliserProducts[[#Headers],[Include or Exclude]], 0,4)</f>
        <v/>
      </c>
      <c r="S103" s="170" t="str" cm="1">
        <f t="array" ref="S103">Common_InputFunctions.Utility_DisplayArrayInTable(Fertiliser_SourceData.Fertiliser_Products_Data1(),FertiliserProducts[[#Headers],[Include or Exclude]], 0,4)</f>
        <v/>
      </c>
      <c r="T103" s="170" t="str" cm="1">
        <f t="array" ref="T103">Common_InputFunctions.Utility_DisplayArrayInTable(Fertiliser_SourceData.Fertiliser_Products_Data1(),FertiliserProducts[[#Headers],[Include or Exclude]], 0,4)</f>
        <v/>
      </c>
      <c r="U103" s="170" t="str" cm="1">
        <f t="array" ref="U103">Common_InputFunctions.Utility_DisplayArrayInTable(Fertiliser_SourceData.Fertiliser_Products_Data1(),FertiliserProducts[[#Headers],[Include or Exclude]], 0,4)</f>
        <v/>
      </c>
      <c r="V103" s="170" t="str" cm="1">
        <f t="array" ref="V103">Common_InputFunctions.Utility_DisplayArrayInTable(Fertiliser_SourceData.Fertiliser_Products_Data1(),FertiliserProducts[[#Headers],[Include or Exclude]], 0,4)</f>
        <v/>
      </c>
      <c r="W103" s="170" t="str" cm="1">
        <f t="array" ref="W103">Common_InputFunctions.Utility_DisplayArrayInTable(Fertiliser_SourceData.Fertiliser_Products_Data1(),FertiliserProducts[[#Headers],[Include or Exclude]], 0,4)</f>
        <v/>
      </c>
      <c r="X103" s="170" t="str" cm="1">
        <f t="array" ref="X103">Common_InputFunctions.Utility_DisplayArrayInTable(Fertiliser_SourceData.Fertiliser_Products_Data1(),FertiliserProducts[[#Headers],[Include or Exclude]], 0,4)</f>
        <v/>
      </c>
      <c r="Y103" s="170" t="str" cm="1">
        <f t="array" ref="Y103">Common_InputFunctions.Utility_DisplayArrayInTable(Fertiliser_SourceData.Fertiliser_Products_Data1(),FertiliserProducts[[#Headers],[Include or Exclude]], 0,4)</f>
        <v/>
      </c>
      <c r="Z103" s="170" t="str" cm="1">
        <f t="array" ref="Z103">Common_InputFunctions.Utility_DisplayArrayInTable(Fertiliser_SourceData.Fertiliser_Products_Data1(),FertiliserProducts[[#Headers],[Include or Exclude]], 0,4)</f>
        <v/>
      </c>
      <c r="AA103" s="170" t="str" cm="1">
        <f t="array" ref="AA103">Common_InputFunctions.Utility_DisplayArrayInTable(Fertiliser_SourceData.Fertiliser_Products_Data1(),FertiliserProducts[[#Headers],[Include or Exclude]], 0,4)</f>
        <v/>
      </c>
      <c r="AB103" s="170" t="str" cm="1">
        <f t="array" ref="AB103">Common_InputFunctions.Utility_DisplayArrayInTable(Fertiliser_SourceData.Fertiliser_Products_Data1(),FertiliserProducts[[#Headers],[Include or Exclude]], 0,4)</f>
        <v/>
      </c>
      <c r="AC103" s="170" t="str" cm="1">
        <f t="array" ref="AC103">Common_InputFunctions.Utility_DisplayArrayInTable(Fertiliser_SourceData.Fertiliser_Products_Data1(),FertiliserProducts[[#Headers],[Include or Exclude]], 0,4)</f>
        <v/>
      </c>
      <c r="AD103" s="170" t="str" cm="1">
        <f t="array" ref="AD103">Common_InputFunctions.Utility_DisplayArrayInTable(Fertiliser_SourceData.Fertiliser_Products_Data1(),FertiliserProducts[[#Headers],[Include or Exclude]], 0,4)</f>
        <v/>
      </c>
      <c r="AE103" s="170" t="str" cm="1">
        <f t="array" ref="AE103">Common_InputFunctions.Utility_DisplayArrayInTable(Fertiliser_SourceData.Fertiliser_Products_Data1(),FertiliserProducts[[#Headers],[Include or Exclude]], 0,4)</f>
        <v/>
      </c>
    </row>
    <row r="104" spans="4:31" ht="20.100000000000001" customHeight="1" x14ac:dyDescent="0.25">
      <c r="D104" s="170" t="str" cm="1">
        <f t="array" ref="D104">Common_InputFunctions.Utility_DisplayArrayInTable(Fertiliser_SourceData.Fertiliser_Products_Data1(),FertiliserProducts[[#Headers],[Include or Exclude]], -1)</f>
        <v>Exclude - Not relevant</v>
      </c>
      <c r="E104" s="170" t="str" cm="1">
        <f t="array" ref="E104">Common_InputFunctions.Utility_DisplayArrayInTable(Fertiliser_SourceData.Fertiliser_Products_Data1(),FertiliserProducts[[#Headers],[Include or Exclude]], 0)</f>
        <v>Amount of urea calculated from urea nitrogen amount</v>
      </c>
      <c r="F104" s="170" t="str" cm="1">
        <f t="array" ref="F104">Common_InputFunctions.Utility_DisplayArrayInTable(Fertiliser_SourceData.Fertiliser_Products_Data1(),FertiliserProducts[[#Headers],[Include or Exclude]], 0)</f>
        <v>Campbells fertilisers Australia</v>
      </c>
      <c r="G104" s="170" t="str" cm="1">
        <f t="array" ref="G104">Common_InputFunctions.Utility_DisplayArrayInTable(Fertiliser_SourceData.Fertiliser_Products_Data1(),FertiliserProducts[[#Headers],[Include or Exclude]], 0)</f>
        <v>Boost-It</v>
      </c>
      <c r="H104" s="170" t="str" cm="1">
        <f t="array" ref="H104">Common_InputFunctions.Utility_DisplayArrayInTable(Fertiliser_SourceData.Fertiliser_Products_Data1(),FertiliserProducts[[#Headers],[Include or Exclude]], 0,4)</f>
        <v>kg</v>
      </c>
      <c r="I104" s="170" cm="1">
        <f t="array" ref="I104">Common_InputFunctions.Utility_DisplayArrayInTable(Fertiliser_SourceData.Fertiliser_Products_Data1(),FertiliserProducts[[#Headers],[Include or Exclude]], 0,4)</f>
        <v>1</v>
      </c>
      <c r="J104" s="170" t="str" cm="1">
        <f t="array" ref="J104">Common_InputFunctions.Utility_DisplayArrayInTable(Fertiliser_SourceData.Fertiliser_Products_Data1(),FertiliserProducts[[#Headers],[Include or Exclude]], 0,4)</f>
        <v/>
      </c>
      <c r="K104" s="170" t="str" cm="1">
        <f t="array" ref="K104">Common_InputFunctions.Utility_DisplayArrayInTable(Fertiliser_SourceData.Fertiliser_Products_Data1(),FertiliserProducts[[#Headers],[Include or Exclude]], 0,4)</f>
        <v/>
      </c>
      <c r="L104" s="170" t="str" cm="1">
        <f t="array" ref="L104">Common_InputFunctions.Utility_DisplayArrayInTable(Fertiliser_SourceData.Fertiliser_Products_Data1(),FertiliserProducts[[#Headers],[Include or Exclude]], 0,4)</f>
        <v>Urea</v>
      </c>
      <c r="M104" s="170" cm="1">
        <f t="array" ref="M104">Common_InputFunctions.Utility_DisplayArrayInTable(Fertiliser_SourceData.Fertiliser_Products_Data1(),FertiliserProducts[[#Headers],[Include or Exclude]], 0,4)</f>
        <v>0.52173913000000005</v>
      </c>
      <c r="N104" s="170" t="str" cm="1">
        <f t="array" ref="N104">Common_InputFunctions.Utility_DisplayArrayInTable(Fertiliser_SourceData.Fertiliser_Products_Data1(),FertiliserProducts[[#Headers],[Include or Exclude]], 0,4)</f>
        <v>Potassium - Generic</v>
      </c>
      <c r="O104" s="170" cm="1">
        <f t="array" ref="O104">Common_InputFunctions.Utility_DisplayArrayInTable(Fertiliser_SourceData.Fertiliser_Products_Data1(),FertiliserProducts[[#Headers],[Include or Exclude]], 0,4)</f>
        <v>0.08</v>
      </c>
      <c r="P104" s="170" t="str" cm="1">
        <f t="array" ref="P104">Common_InputFunctions.Utility_DisplayArrayInTable(Fertiliser_SourceData.Fertiliser_Products_Data1(),FertiliserProducts[[#Headers],[Include or Exclude]], 0,4)</f>
        <v>Sulfur - Generic</v>
      </c>
      <c r="Q104" s="170" cm="1">
        <f t="array" ref="Q104">Common_InputFunctions.Utility_DisplayArrayInTable(Fertiliser_SourceData.Fertiliser_Products_Data1(),FertiliserProducts[[#Headers],[Include or Exclude]], 0,4)</f>
        <v>5.2999999999999999E-2</v>
      </c>
      <c r="R104" s="170" t="str" cm="1">
        <f t="array" ref="R104">Common_InputFunctions.Utility_DisplayArrayInTable(Fertiliser_SourceData.Fertiliser_Products_Data1(),FertiliserProducts[[#Headers],[Include or Exclude]], 0,4)</f>
        <v>Phosphorus - Generic</v>
      </c>
      <c r="S104" s="170" cm="1">
        <f t="array" ref="S104">Common_InputFunctions.Utility_DisplayArrayInTable(Fertiliser_SourceData.Fertiliser_Products_Data1(),FertiliserProducts[[#Headers],[Include or Exclude]], 0,4)</f>
        <v>5.1999999999999998E-2</v>
      </c>
      <c r="T104" s="170" t="str" cm="1">
        <f t="array" ref="T104">Common_InputFunctions.Utility_DisplayArrayInTable(Fertiliser_SourceData.Fertiliser_Products_Data1(),FertiliserProducts[[#Headers],[Include or Exclude]], 0,4)</f>
        <v>Magnesium</v>
      </c>
      <c r="U104" s="170" cm="1">
        <f t="array" ref="U104">Common_InputFunctions.Utility_DisplayArrayInTable(Fertiliser_SourceData.Fertiliser_Products_Data1(),FertiliserProducts[[#Headers],[Include or Exclude]], 0,4)</f>
        <v>1.2999999999999999E-2</v>
      </c>
      <c r="V104" s="170" t="str" cm="1">
        <f t="array" ref="V104">Common_InputFunctions.Utility_DisplayArrayInTable(Fertiliser_SourceData.Fertiliser_Products_Data1(),FertiliserProducts[[#Headers],[Include or Exclude]], 0,4)</f>
        <v>Zinc</v>
      </c>
      <c r="W104" s="170" cm="1">
        <f t="array" ref="W104">Common_InputFunctions.Utility_DisplayArrayInTable(Fertiliser_SourceData.Fertiliser_Products_Data1(),FertiliserProducts[[#Headers],[Include or Exclude]], 0,4)</f>
        <v>2E-3</v>
      </c>
      <c r="X104" s="170" t="str" cm="1">
        <f t="array" ref="X104">Common_InputFunctions.Utility_DisplayArrayInTable(Fertiliser_SourceData.Fertiliser_Products_Data1(),FertiliserProducts[[#Headers],[Include or Exclude]], 0,4)</f>
        <v>Manganese</v>
      </c>
      <c r="Y104" s="170" cm="1">
        <f t="array" ref="Y104">Common_InputFunctions.Utility_DisplayArrayInTable(Fertiliser_SourceData.Fertiliser_Products_Data1(),FertiliserProducts[[#Headers],[Include or Exclude]], 0,4)</f>
        <v>3.5000000000000001E-3</v>
      </c>
      <c r="Z104" s="170" t="str" cm="1">
        <f t="array" ref="Z104">Common_InputFunctions.Utility_DisplayArrayInTable(Fertiliser_SourceData.Fertiliser_Products_Data1(),FertiliserProducts[[#Headers],[Include or Exclude]], 0,4)</f>
        <v>Iron</v>
      </c>
      <c r="AA104" s="170" cm="1">
        <f t="array" ref="AA104">Common_InputFunctions.Utility_DisplayArrayInTable(Fertiliser_SourceData.Fertiliser_Products_Data1(),FertiliserProducts[[#Headers],[Include or Exclude]], 0,4)</f>
        <v>1.2999999999999999E-3</v>
      </c>
      <c r="AB104" s="170" t="str" cm="1">
        <f t="array" ref="AB104">Common_InputFunctions.Utility_DisplayArrayInTable(Fertiliser_SourceData.Fertiliser_Products_Data1(),FertiliserProducts[[#Headers],[Include or Exclude]], 0,4)</f>
        <v>Copper</v>
      </c>
      <c r="AC104" s="170" cm="1">
        <f t="array" ref="AC104">Common_InputFunctions.Utility_DisplayArrayInTable(Fertiliser_SourceData.Fertiliser_Products_Data1(),FertiliserProducts[[#Headers],[Include or Exclude]], 0,4)</f>
        <v>6.9999999999999999E-4</v>
      </c>
      <c r="AD104" s="170" t="str" cm="1">
        <f t="array" ref="AD104">Common_InputFunctions.Utility_DisplayArrayInTable(Fertiliser_SourceData.Fertiliser_Products_Data1(),FertiliserProducts[[#Headers],[Include or Exclude]], 0,4)</f>
        <v>Boron</v>
      </c>
      <c r="AE104" s="170" cm="1">
        <f t="array" ref="AE104">Common_InputFunctions.Utility_DisplayArrayInTable(Fertiliser_SourceData.Fertiliser_Products_Data1(),FertiliserProducts[[#Headers],[Include or Exclude]], 0,4)</f>
        <v>6.9999999999999999E-4</v>
      </c>
    </row>
    <row r="105" spans="4:31" ht="20.100000000000001" customHeight="1" x14ac:dyDescent="0.25">
      <c r="D105" s="170" t="str" cm="1">
        <f t="array" ref="D105">Common_InputFunctions.Utility_DisplayArrayInTable(Fertiliser_SourceData.Fertiliser_Products_Data1(),FertiliserProducts[[#Headers],[Include or Exclude]], -1)</f>
        <v>Exclude - Not relevant</v>
      </c>
      <c r="E105" s="170" t="str" cm="1">
        <f t="array" ref="E105">Common_InputFunctions.Utility_DisplayArrayInTable(Fertiliser_SourceData.Fertiliser_Products_Data1(),FertiliserProducts[[#Headers],[Include or Exclude]], 0)</f>
        <v/>
      </c>
      <c r="F105" s="170" t="str" cm="1">
        <f t="array" ref="F105">Common_InputFunctions.Utility_DisplayArrayInTable(Fertiliser_SourceData.Fertiliser_Products_Data1(),FertiliserProducts[[#Headers],[Include or Exclude]], 0)</f>
        <v>Campbells fertilisers Australia</v>
      </c>
      <c r="G105" s="170" t="str" cm="1">
        <f t="array" ref="G105">Common_InputFunctions.Utility_DisplayArrayInTable(Fertiliser_SourceData.Fertiliser_Products_Data1(),FertiliserProducts[[#Headers],[Include or Exclude]], 0)</f>
        <v>Boroplus</v>
      </c>
      <c r="H105" s="170" t="str" cm="1">
        <f t="array" ref="H105">Common_InputFunctions.Utility_DisplayArrayInTable(Fertiliser_SourceData.Fertiliser_Products_Data1(),FertiliserProducts[[#Headers],[Include or Exclude]], 0,4)</f>
        <v/>
      </c>
      <c r="I105" s="170" t="str" cm="1">
        <f t="array" ref="I105">Common_InputFunctions.Utility_DisplayArrayInTable(Fertiliser_SourceData.Fertiliser_Products_Data1(),FertiliserProducts[[#Headers],[Include or Exclude]], 0,4)</f>
        <v/>
      </c>
      <c r="J105" s="170" t="str" cm="1">
        <f t="array" ref="J105">Common_InputFunctions.Utility_DisplayArrayInTable(Fertiliser_SourceData.Fertiliser_Products_Data1(),FertiliserProducts[[#Headers],[Include or Exclude]], 0,4)</f>
        <v/>
      </c>
      <c r="K105" s="170" t="str" cm="1">
        <f t="array" ref="K105">Common_InputFunctions.Utility_DisplayArrayInTable(Fertiliser_SourceData.Fertiliser_Products_Data1(),FertiliserProducts[[#Headers],[Include or Exclude]], 0,4)</f>
        <v/>
      </c>
      <c r="L105" s="170" t="str" cm="1">
        <f t="array" ref="L105">Common_InputFunctions.Utility_DisplayArrayInTable(Fertiliser_SourceData.Fertiliser_Products_Data1(),FertiliserProducts[[#Headers],[Include or Exclude]], 0,4)</f>
        <v/>
      </c>
      <c r="M105" s="170" t="str" cm="1">
        <f t="array" ref="M105">Common_InputFunctions.Utility_DisplayArrayInTable(Fertiliser_SourceData.Fertiliser_Products_Data1(),FertiliserProducts[[#Headers],[Include or Exclude]], 0,4)</f>
        <v/>
      </c>
      <c r="N105" s="170" t="str" cm="1">
        <f t="array" ref="N105">Common_InputFunctions.Utility_DisplayArrayInTable(Fertiliser_SourceData.Fertiliser_Products_Data1(),FertiliserProducts[[#Headers],[Include or Exclude]], 0,4)</f>
        <v/>
      </c>
      <c r="O105" s="170" t="str" cm="1">
        <f t="array" ref="O105">Common_InputFunctions.Utility_DisplayArrayInTable(Fertiliser_SourceData.Fertiliser_Products_Data1(),FertiliserProducts[[#Headers],[Include or Exclude]], 0,4)</f>
        <v/>
      </c>
      <c r="P105" s="170" t="str" cm="1">
        <f t="array" ref="P105">Common_InputFunctions.Utility_DisplayArrayInTable(Fertiliser_SourceData.Fertiliser_Products_Data1(),FertiliserProducts[[#Headers],[Include or Exclude]], 0,4)</f>
        <v/>
      </c>
      <c r="Q105" s="170" t="str" cm="1">
        <f t="array" ref="Q105">Common_InputFunctions.Utility_DisplayArrayInTable(Fertiliser_SourceData.Fertiliser_Products_Data1(),FertiliserProducts[[#Headers],[Include or Exclude]], 0,4)</f>
        <v/>
      </c>
      <c r="R105" s="170" t="str" cm="1">
        <f t="array" ref="R105">Common_InputFunctions.Utility_DisplayArrayInTable(Fertiliser_SourceData.Fertiliser_Products_Data1(),FertiliserProducts[[#Headers],[Include or Exclude]], 0,4)</f>
        <v/>
      </c>
      <c r="S105" s="170" t="str" cm="1">
        <f t="array" ref="S105">Common_InputFunctions.Utility_DisplayArrayInTable(Fertiliser_SourceData.Fertiliser_Products_Data1(),FertiliserProducts[[#Headers],[Include or Exclude]], 0,4)</f>
        <v/>
      </c>
      <c r="T105" s="170" t="str" cm="1">
        <f t="array" ref="T105">Common_InputFunctions.Utility_DisplayArrayInTable(Fertiliser_SourceData.Fertiliser_Products_Data1(),FertiliserProducts[[#Headers],[Include or Exclude]], 0,4)</f>
        <v/>
      </c>
      <c r="U105" s="170" t="str" cm="1">
        <f t="array" ref="U105">Common_InputFunctions.Utility_DisplayArrayInTable(Fertiliser_SourceData.Fertiliser_Products_Data1(),FertiliserProducts[[#Headers],[Include or Exclude]], 0,4)</f>
        <v/>
      </c>
      <c r="V105" s="170" t="str" cm="1">
        <f t="array" ref="V105">Common_InputFunctions.Utility_DisplayArrayInTable(Fertiliser_SourceData.Fertiliser_Products_Data1(),FertiliserProducts[[#Headers],[Include or Exclude]], 0,4)</f>
        <v/>
      </c>
      <c r="W105" s="170" t="str" cm="1">
        <f t="array" ref="W105">Common_InputFunctions.Utility_DisplayArrayInTable(Fertiliser_SourceData.Fertiliser_Products_Data1(),FertiliserProducts[[#Headers],[Include or Exclude]], 0,4)</f>
        <v/>
      </c>
      <c r="X105" s="170" t="str" cm="1">
        <f t="array" ref="X105">Common_InputFunctions.Utility_DisplayArrayInTable(Fertiliser_SourceData.Fertiliser_Products_Data1(),FertiliserProducts[[#Headers],[Include or Exclude]], 0,4)</f>
        <v/>
      </c>
      <c r="Y105" s="170" t="str" cm="1">
        <f t="array" ref="Y105">Common_InputFunctions.Utility_DisplayArrayInTable(Fertiliser_SourceData.Fertiliser_Products_Data1(),FertiliserProducts[[#Headers],[Include or Exclude]], 0,4)</f>
        <v/>
      </c>
      <c r="Z105" s="170" t="str" cm="1">
        <f t="array" ref="Z105">Common_InputFunctions.Utility_DisplayArrayInTable(Fertiliser_SourceData.Fertiliser_Products_Data1(),FertiliserProducts[[#Headers],[Include or Exclude]], 0,4)</f>
        <v/>
      </c>
      <c r="AA105" s="170" t="str" cm="1">
        <f t="array" ref="AA105">Common_InputFunctions.Utility_DisplayArrayInTable(Fertiliser_SourceData.Fertiliser_Products_Data1(),FertiliserProducts[[#Headers],[Include or Exclude]], 0,4)</f>
        <v/>
      </c>
      <c r="AB105" s="170" t="str" cm="1">
        <f t="array" ref="AB105">Common_InputFunctions.Utility_DisplayArrayInTable(Fertiliser_SourceData.Fertiliser_Products_Data1(),FertiliserProducts[[#Headers],[Include or Exclude]], 0,4)</f>
        <v/>
      </c>
      <c r="AC105" s="170" t="str" cm="1">
        <f t="array" ref="AC105">Common_InputFunctions.Utility_DisplayArrayInTable(Fertiliser_SourceData.Fertiliser_Products_Data1(),FertiliserProducts[[#Headers],[Include or Exclude]], 0,4)</f>
        <v/>
      </c>
      <c r="AD105" s="170" t="str" cm="1">
        <f t="array" ref="AD105">Common_InputFunctions.Utility_DisplayArrayInTable(Fertiliser_SourceData.Fertiliser_Products_Data1(),FertiliserProducts[[#Headers],[Include or Exclude]], 0,4)</f>
        <v/>
      </c>
      <c r="AE105" s="170" t="str" cm="1">
        <f t="array" ref="AE105">Common_InputFunctions.Utility_DisplayArrayInTable(Fertiliser_SourceData.Fertiliser_Products_Data1(),FertiliserProducts[[#Headers],[Include or Exclude]], 0,4)</f>
        <v/>
      </c>
    </row>
    <row r="106" spans="4:31" ht="20.100000000000001" customHeight="1" x14ac:dyDescent="0.25">
      <c r="D106" s="170" t="str" cm="1">
        <f t="array" ref="D106">Common_InputFunctions.Utility_DisplayArrayInTable(Fertiliser_SourceData.Fertiliser_Products_Data1(),FertiliserProducts[[#Headers],[Include or Exclude]], -1)</f>
        <v>Exclude - Not relevant</v>
      </c>
      <c r="E106" s="170" t="str" cm="1">
        <f t="array" ref="E106">Common_InputFunctions.Utility_DisplayArrayInTable(Fertiliser_SourceData.Fertiliser_Products_Data1(),FertiliserProducts[[#Headers],[Include or Exclude]], 0)</f>
        <v/>
      </c>
      <c r="F106" s="170" t="str" cm="1">
        <f t="array" ref="F106">Common_InputFunctions.Utility_DisplayArrayInTable(Fertiliser_SourceData.Fertiliser_Products_Data1(),FertiliserProducts[[#Headers],[Include or Exclude]], 0)</f>
        <v>Campbells fertilisers Australia</v>
      </c>
      <c r="G106" s="170" t="str" cm="1">
        <f t="array" ref="G106">Common_InputFunctions.Utility_DisplayArrayInTable(Fertiliser_SourceData.Fertiliser_Products_Data1(),FertiliserProducts[[#Headers],[Include or Exclude]], 0)</f>
        <v>Brevisol Range</v>
      </c>
      <c r="H106" s="170" t="str" cm="1">
        <f t="array" ref="H106">Common_InputFunctions.Utility_DisplayArrayInTable(Fertiliser_SourceData.Fertiliser_Products_Data1(),FertiliserProducts[[#Headers],[Include or Exclude]], 0,4)</f>
        <v/>
      </c>
      <c r="I106" s="170" t="str" cm="1">
        <f t="array" ref="I106">Common_InputFunctions.Utility_DisplayArrayInTable(Fertiliser_SourceData.Fertiliser_Products_Data1(),FertiliserProducts[[#Headers],[Include or Exclude]], 0,4)</f>
        <v/>
      </c>
      <c r="J106" s="170" t="str" cm="1">
        <f t="array" ref="J106">Common_InputFunctions.Utility_DisplayArrayInTable(Fertiliser_SourceData.Fertiliser_Products_Data1(),FertiliserProducts[[#Headers],[Include or Exclude]], 0,4)</f>
        <v/>
      </c>
      <c r="K106" s="170" t="str" cm="1">
        <f t="array" ref="K106">Common_InputFunctions.Utility_DisplayArrayInTable(Fertiliser_SourceData.Fertiliser_Products_Data1(),FertiliserProducts[[#Headers],[Include or Exclude]], 0,4)</f>
        <v/>
      </c>
      <c r="L106" s="170" t="str" cm="1">
        <f t="array" ref="L106">Common_InputFunctions.Utility_DisplayArrayInTable(Fertiliser_SourceData.Fertiliser_Products_Data1(),FertiliserProducts[[#Headers],[Include or Exclude]], 0,4)</f>
        <v/>
      </c>
      <c r="M106" s="170" t="str" cm="1">
        <f t="array" ref="M106">Common_InputFunctions.Utility_DisplayArrayInTable(Fertiliser_SourceData.Fertiliser_Products_Data1(),FertiliserProducts[[#Headers],[Include or Exclude]], 0,4)</f>
        <v/>
      </c>
      <c r="N106" s="170" t="str" cm="1">
        <f t="array" ref="N106">Common_InputFunctions.Utility_DisplayArrayInTable(Fertiliser_SourceData.Fertiliser_Products_Data1(),FertiliserProducts[[#Headers],[Include or Exclude]], 0,4)</f>
        <v/>
      </c>
      <c r="O106" s="170" t="str" cm="1">
        <f t="array" ref="O106">Common_InputFunctions.Utility_DisplayArrayInTable(Fertiliser_SourceData.Fertiliser_Products_Data1(),FertiliserProducts[[#Headers],[Include or Exclude]], 0,4)</f>
        <v/>
      </c>
      <c r="P106" s="170" t="str" cm="1">
        <f t="array" ref="P106">Common_InputFunctions.Utility_DisplayArrayInTable(Fertiliser_SourceData.Fertiliser_Products_Data1(),FertiliserProducts[[#Headers],[Include or Exclude]], 0,4)</f>
        <v/>
      </c>
      <c r="Q106" s="170" t="str" cm="1">
        <f t="array" ref="Q106">Common_InputFunctions.Utility_DisplayArrayInTable(Fertiliser_SourceData.Fertiliser_Products_Data1(),FertiliserProducts[[#Headers],[Include or Exclude]], 0,4)</f>
        <v/>
      </c>
      <c r="R106" s="170" t="str" cm="1">
        <f t="array" ref="R106">Common_InputFunctions.Utility_DisplayArrayInTable(Fertiliser_SourceData.Fertiliser_Products_Data1(),FertiliserProducts[[#Headers],[Include or Exclude]], 0,4)</f>
        <v/>
      </c>
      <c r="S106" s="170" t="str" cm="1">
        <f t="array" ref="S106">Common_InputFunctions.Utility_DisplayArrayInTable(Fertiliser_SourceData.Fertiliser_Products_Data1(),FertiliserProducts[[#Headers],[Include or Exclude]], 0,4)</f>
        <v/>
      </c>
      <c r="T106" s="170" t="str" cm="1">
        <f t="array" ref="T106">Common_InputFunctions.Utility_DisplayArrayInTable(Fertiliser_SourceData.Fertiliser_Products_Data1(),FertiliserProducts[[#Headers],[Include or Exclude]], 0,4)</f>
        <v/>
      </c>
      <c r="U106" s="170" t="str" cm="1">
        <f t="array" ref="U106">Common_InputFunctions.Utility_DisplayArrayInTable(Fertiliser_SourceData.Fertiliser_Products_Data1(),FertiliserProducts[[#Headers],[Include or Exclude]], 0,4)</f>
        <v/>
      </c>
      <c r="V106" s="170" t="str" cm="1">
        <f t="array" ref="V106">Common_InputFunctions.Utility_DisplayArrayInTable(Fertiliser_SourceData.Fertiliser_Products_Data1(),FertiliserProducts[[#Headers],[Include or Exclude]], 0,4)</f>
        <v/>
      </c>
      <c r="W106" s="170" t="str" cm="1">
        <f t="array" ref="W106">Common_InputFunctions.Utility_DisplayArrayInTable(Fertiliser_SourceData.Fertiliser_Products_Data1(),FertiliserProducts[[#Headers],[Include or Exclude]], 0,4)</f>
        <v/>
      </c>
      <c r="X106" s="170" t="str" cm="1">
        <f t="array" ref="X106">Common_InputFunctions.Utility_DisplayArrayInTable(Fertiliser_SourceData.Fertiliser_Products_Data1(),FertiliserProducts[[#Headers],[Include or Exclude]], 0,4)</f>
        <v/>
      </c>
      <c r="Y106" s="170" t="str" cm="1">
        <f t="array" ref="Y106">Common_InputFunctions.Utility_DisplayArrayInTable(Fertiliser_SourceData.Fertiliser_Products_Data1(),FertiliserProducts[[#Headers],[Include or Exclude]], 0,4)</f>
        <v/>
      </c>
      <c r="Z106" s="170" t="str" cm="1">
        <f t="array" ref="Z106">Common_InputFunctions.Utility_DisplayArrayInTable(Fertiliser_SourceData.Fertiliser_Products_Data1(),FertiliserProducts[[#Headers],[Include or Exclude]], 0,4)</f>
        <v/>
      </c>
      <c r="AA106" s="170" t="str" cm="1">
        <f t="array" ref="AA106">Common_InputFunctions.Utility_DisplayArrayInTable(Fertiliser_SourceData.Fertiliser_Products_Data1(),FertiliserProducts[[#Headers],[Include or Exclude]], 0,4)</f>
        <v/>
      </c>
      <c r="AB106" s="170" t="str" cm="1">
        <f t="array" ref="AB106">Common_InputFunctions.Utility_DisplayArrayInTable(Fertiliser_SourceData.Fertiliser_Products_Data1(),FertiliserProducts[[#Headers],[Include or Exclude]], 0,4)</f>
        <v/>
      </c>
      <c r="AC106" s="170" t="str" cm="1">
        <f t="array" ref="AC106">Common_InputFunctions.Utility_DisplayArrayInTable(Fertiliser_SourceData.Fertiliser_Products_Data1(),FertiliserProducts[[#Headers],[Include or Exclude]], 0,4)</f>
        <v/>
      </c>
      <c r="AD106" s="170" t="str" cm="1">
        <f t="array" ref="AD106">Common_InputFunctions.Utility_DisplayArrayInTable(Fertiliser_SourceData.Fertiliser_Products_Data1(),FertiliserProducts[[#Headers],[Include or Exclude]], 0,4)</f>
        <v/>
      </c>
      <c r="AE106" s="170" t="str" cm="1">
        <f t="array" ref="AE106">Common_InputFunctions.Utility_DisplayArrayInTable(Fertiliser_SourceData.Fertiliser_Products_Data1(),FertiliserProducts[[#Headers],[Include or Exclude]], 0,4)</f>
        <v/>
      </c>
    </row>
    <row r="107" spans="4:31" ht="20.100000000000001" customHeight="1" x14ac:dyDescent="0.25">
      <c r="D107" s="170" t="str" cm="1">
        <f t="array" ref="D107">Common_InputFunctions.Utility_DisplayArrayInTable(Fertiliser_SourceData.Fertiliser_Products_Data1(),FertiliserProducts[[#Headers],[Include or Exclude]], -1)</f>
        <v>Include</v>
      </c>
      <c r="E107" s="170" t="str" cm="1">
        <f t="array" ref="E107">Common_InputFunctions.Utility_DisplayArrayInTable(Fertiliser_SourceData.Fertiliser_Products_Data1(),FertiliserProducts[[#Headers],[Include or Exclude]], 0)</f>
        <v/>
      </c>
      <c r="F107" s="170" t="str" cm="1">
        <f t="array" ref="F107">Common_InputFunctions.Utility_DisplayArrayInTable(Fertiliser_SourceData.Fertiliser_Products_Data1(),FertiliserProducts[[#Headers],[Include or Exclude]], 0)</f>
        <v>Campbells fertilisers Australia</v>
      </c>
      <c r="G107" s="170" t="str" cm="1">
        <f t="array" ref="G107">Common_InputFunctions.Utility_DisplayArrayInTable(Fertiliser_SourceData.Fertiliser_Products_Data1(),FertiliserProducts[[#Headers],[Include or Exclude]], 0)</f>
        <v>Brexil Line</v>
      </c>
      <c r="H107" s="170" t="str" cm="1">
        <f t="array" ref="H107">Common_InputFunctions.Utility_DisplayArrayInTable(Fertiliser_SourceData.Fertiliser_Products_Data1(),FertiliserProducts[[#Headers],[Include or Exclude]], 0,4)</f>
        <v/>
      </c>
      <c r="I107" s="170" t="str" cm="1">
        <f t="array" ref="I107">Common_InputFunctions.Utility_DisplayArrayInTable(Fertiliser_SourceData.Fertiliser_Products_Data1(),FertiliserProducts[[#Headers],[Include or Exclude]], 0,4)</f>
        <v/>
      </c>
      <c r="J107" s="170" t="str" cm="1">
        <f t="array" ref="J107">Common_InputFunctions.Utility_DisplayArrayInTable(Fertiliser_SourceData.Fertiliser_Products_Data1(),FertiliserProducts[[#Headers],[Include or Exclude]], 0,4)</f>
        <v/>
      </c>
      <c r="K107" s="170" t="str" cm="1">
        <f t="array" ref="K107">Common_InputFunctions.Utility_DisplayArrayInTable(Fertiliser_SourceData.Fertiliser_Products_Data1(),FertiliserProducts[[#Headers],[Include or Exclude]], 0,4)</f>
        <v/>
      </c>
      <c r="L107" s="170" t="str" cm="1">
        <f t="array" ref="L107">Common_InputFunctions.Utility_DisplayArrayInTable(Fertiliser_SourceData.Fertiliser_Products_Data1(),FertiliserProducts[[#Headers],[Include or Exclude]], 0,4)</f>
        <v/>
      </c>
      <c r="M107" s="170" t="str" cm="1">
        <f t="array" ref="M107">Common_InputFunctions.Utility_DisplayArrayInTable(Fertiliser_SourceData.Fertiliser_Products_Data1(),FertiliserProducts[[#Headers],[Include or Exclude]], 0,4)</f>
        <v/>
      </c>
      <c r="N107" s="170" t="str" cm="1">
        <f t="array" ref="N107">Common_InputFunctions.Utility_DisplayArrayInTable(Fertiliser_SourceData.Fertiliser_Products_Data1(),FertiliserProducts[[#Headers],[Include or Exclude]], 0,4)</f>
        <v/>
      </c>
      <c r="O107" s="170" t="str" cm="1">
        <f t="array" ref="O107">Common_InputFunctions.Utility_DisplayArrayInTable(Fertiliser_SourceData.Fertiliser_Products_Data1(),FertiliserProducts[[#Headers],[Include or Exclude]], 0,4)</f>
        <v/>
      </c>
      <c r="P107" s="170" t="str" cm="1">
        <f t="array" ref="P107">Common_InputFunctions.Utility_DisplayArrayInTable(Fertiliser_SourceData.Fertiliser_Products_Data1(),FertiliserProducts[[#Headers],[Include or Exclude]], 0,4)</f>
        <v/>
      </c>
      <c r="Q107" s="170" t="str" cm="1">
        <f t="array" ref="Q107">Common_InputFunctions.Utility_DisplayArrayInTable(Fertiliser_SourceData.Fertiliser_Products_Data1(),FertiliserProducts[[#Headers],[Include or Exclude]], 0,4)</f>
        <v/>
      </c>
      <c r="R107" s="170" t="str" cm="1">
        <f t="array" ref="R107">Common_InputFunctions.Utility_DisplayArrayInTable(Fertiliser_SourceData.Fertiliser_Products_Data1(),FertiliserProducts[[#Headers],[Include or Exclude]], 0,4)</f>
        <v/>
      </c>
      <c r="S107" s="170" t="str" cm="1">
        <f t="array" ref="S107">Common_InputFunctions.Utility_DisplayArrayInTable(Fertiliser_SourceData.Fertiliser_Products_Data1(),FertiliserProducts[[#Headers],[Include or Exclude]], 0,4)</f>
        <v/>
      </c>
      <c r="T107" s="170" t="str" cm="1">
        <f t="array" ref="T107">Common_InputFunctions.Utility_DisplayArrayInTable(Fertiliser_SourceData.Fertiliser_Products_Data1(),FertiliserProducts[[#Headers],[Include or Exclude]], 0,4)</f>
        <v/>
      </c>
      <c r="U107" s="170" t="str" cm="1">
        <f t="array" ref="U107">Common_InputFunctions.Utility_DisplayArrayInTable(Fertiliser_SourceData.Fertiliser_Products_Data1(),FertiliserProducts[[#Headers],[Include or Exclude]], 0,4)</f>
        <v/>
      </c>
      <c r="V107" s="170" t="str" cm="1">
        <f t="array" ref="V107">Common_InputFunctions.Utility_DisplayArrayInTable(Fertiliser_SourceData.Fertiliser_Products_Data1(),FertiliserProducts[[#Headers],[Include or Exclude]], 0,4)</f>
        <v/>
      </c>
      <c r="W107" s="170" t="str" cm="1">
        <f t="array" ref="W107">Common_InputFunctions.Utility_DisplayArrayInTable(Fertiliser_SourceData.Fertiliser_Products_Data1(),FertiliserProducts[[#Headers],[Include or Exclude]], 0,4)</f>
        <v/>
      </c>
      <c r="X107" s="170" t="str" cm="1">
        <f t="array" ref="X107">Common_InputFunctions.Utility_DisplayArrayInTable(Fertiliser_SourceData.Fertiliser_Products_Data1(),FertiliserProducts[[#Headers],[Include or Exclude]], 0,4)</f>
        <v/>
      </c>
      <c r="Y107" s="170" t="str" cm="1">
        <f t="array" ref="Y107">Common_InputFunctions.Utility_DisplayArrayInTable(Fertiliser_SourceData.Fertiliser_Products_Data1(),FertiliserProducts[[#Headers],[Include or Exclude]], 0,4)</f>
        <v/>
      </c>
      <c r="Z107" s="170" t="str" cm="1">
        <f t="array" ref="Z107">Common_InputFunctions.Utility_DisplayArrayInTable(Fertiliser_SourceData.Fertiliser_Products_Data1(),FertiliserProducts[[#Headers],[Include or Exclude]], 0,4)</f>
        <v/>
      </c>
      <c r="AA107" s="170" t="str" cm="1">
        <f t="array" ref="AA107">Common_InputFunctions.Utility_DisplayArrayInTable(Fertiliser_SourceData.Fertiliser_Products_Data1(),FertiliserProducts[[#Headers],[Include or Exclude]], 0,4)</f>
        <v/>
      </c>
      <c r="AB107" s="170" t="str" cm="1">
        <f t="array" ref="AB107">Common_InputFunctions.Utility_DisplayArrayInTable(Fertiliser_SourceData.Fertiliser_Products_Data1(),FertiliserProducts[[#Headers],[Include or Exclude]], 0,4)</f>
        <v/>
      </c>
      <c r="AC107" s="170" t="str" cm="1">
        <f t="array" ref="AC107">Common_InputFunctions.Utility_DisplayArrayInTable(Fertiliser_SourceData.Fertiliser_Products_Data1(),FertiliserProducts[[#Headers],[Include or Exclude]], 0,4)</f>
        <v/>
      </c>
      <c r="AD107" s="170" t="str" cm="1">
        <f t="array" ref="AD107">Common_InputFunctions.Utility_DisplayArrayInTable(Fertiliser_SourceData.Fertiliser_Products_Data1(),FertiliserProducts[[#Headers],[Include or Exclude]], 0,4)</f>
        <v/>
      </c>
      <c r="AE107" s="170" t="str" cm="1">
        <f t="array" ref="AE107">Common_InputFunctions.Utility_DisplayArrayInTable(Fertiliser_SourceData.Fertiliser_Products_Data1(),FertiliserProducts[[#Headers],[Include or Exclude]], 0,4)</f>
        <v/>
      </c>
    </row>
    <row r="108" spans="4:31" ht="20.100000000000001" customHeight="1" x14ac:dyDescent="0.25">
      <c r="D108" s="170" t="str" cm="1">
        <f t="array" ref="D108">Common_InputFunctions.Utility_DisplayArrayInTable(Fertiliser_SourceData.Fertiliser_Products_Data1(),FertiliserProducts[[#Headers],[Include or Exclude]], -1)</f>
        <v>Exclude - Absent ingredients &gt; 2%</v>
      </c>
      <c r="E108" s="170" t="str" cm="1">
        <f t="array" ref="E108">Common_InputFunctions.Utility_DisplayArrayInTable(Fertiliser_SourceData.Fertiliser_Products_Data1(),FertiliserProducts[[#Headers],[Include or Exclude]], 0)</f>
        <v/>
      </c>
      <c r="F108" s="170" t="str" cm="1">
        <f t="array" ref="F108">Common_InputFunctions.Utility_DisplayArrayInTable(Fertiliser_SourceData.Fertiliser_Products_Data1(),FertiliserProducts[[#Headers],[Include or Exclude]], 0)</f>
        <v>Campbells fertilisers Australia</v>
      </c>
      <c r="G108" s="170" t="str" cm="1">
        <f t="array" ref="G108">Common_InputFunctions.Utility_DisplayArrayInTable(Fertiliser_SourceData.Fertiliser_Products_Data1(),FertiliserProducts[[#Headers],[Include or Exclude]], 0)</f>
        <v>Bronze</v>
      </c>
      <c r="H108" s="170" t="str" cm="1">
        <f t="array" ref="H108">Common_InputFunctions.Utility_DisplayArrayInTable(Fertiliser_SourceData.Fertiliser_Products_Data1(),FertiliserProducts[[#Headers],[Include or Exclude]], 0,4)</f>
        <v>kg</v>
      </c>
      <c r="I108" s="170" t="str" cm="1">
        <f t="array" ref="I108">Common_InputFunctions.Utility_DisplayArrayInTable(Fertiliser_SourceData.Fertiliser_Products_Data1(),FertiliserProducts[[#Headers],[Include or Exclude]], 0,4)</f>
        <v/>
      </c>
      <c r="J108" s="170" t="str" cm="1">
        <f t="array" ref="J108">Common_InputFunctions.Utility_DisplayArrayInTable(Fertiliser_SourceData.Fertiliser_Products_Data1(),FertiliserProducts[[#Headers],[Include or Exclude]], 0,4)</f>
        <v/>
      </c>
      <c r="K108" s="170" t="str" cm="1">
        <f t="array" ref="K108">Common_InputFunctions.Utility_DisplayArrayInTable(Fertiliser_SourceData.Fertiliser_Products_Data1(),FertiliserProducts[[#Headers],[Include or Exclude]], 0,4)</f>
        <v/>
      </c>
      <c r="L108" s="170" t="str" cm="1">
        <f t="array" ref="L108">Common_InputFunctions.Utility_DisplayArrayInTable(Fertiliser_SourceData.Fertiliser_Products_Data1(),FertiliserProducts[[#Headers],[Include or Exclude]], 0,4)</f>
        <v>Muriate of Potash (MOP)</v>
      </c>
      <c r="M108" s="170" cm="1">
        <f t="array" ref="M108">Common_InputFunctions.Utility_DisplayArrayInTable(Fertiliser_SourceData.Fertiliser_Products_Data1(),FertiliserProducts[[#Headers],[Include or Exclude]], 0,4)</f>
        <v>0.23200000000000001</v>
      </c>
      <c r="N108" s="170" t="str" cm="1">
        <f t="array" ref="N108">Common_InputFunctions.Utility_DisplayArrayInTable(Fertiliser_SourceData.Fertiliser_Products_Data1(),FertiliserProducts[[#Headers],[Include or Exclude]], 0,4)</f>
        <v>Nitrogen - Generic</v>
      </c>
      <c r="O108" s="170" cm="1">
        <f t="array" ref="O108">Common_InputFunctions.Utility_DisplayArrayInTable(Fertiliser_SourceData.Fertiliser_Products_Data1(),FertiliserProducts[[#Headers],[Include or Exclude]], 0,4)</f>
        <v>0.17</v>
      </c>
      <c r="P108" s="170" t="str" cm="1">
        <f t="array" ref="P108">Common_InputFunctions.Utility_DisplayArrayInTable(Fertiliser_SourceData.Fertiliser_Products_Data1(),FertiliserProducts[[#Headers],[Include or Exclude]], 0,4)</f>
        <v>Sulfur - Generic</v>
      </c>
      <c r="Q108" s="170" cm="1">
        <f t="array" ref="Q108">Common_InputFunctions.Utility_DisplayArrayInTable(Fertiliser_SourceData.Fertiliser_Products_Data1(),FertiliserProducts[[#Headers],[Include or Exclude]], 0,4)</f>
        <v>5.0000000000000001E-3</v>
      </c>
      <c r="R108" s="170" t="str" cm="1">
        <f t="array" ref="R108">Common_InputFunctions.Utility_DisplayArrayInTable(Fertiliser_SourceData.Fertiliser_Products_Data1(),FertiliserProducts[[#Headers],[Include or Exclude]], 0,4)</f>
        <v>Magnesium</v>
      </c>
      <c r="S108" s="170" cm="1">
        <f t="array" ref="S108">Common_InputFunctions.Utility_DisplayArrayInTable(Fertiliser_SourceData.Fertiliser_Products_Data1(),FertiliserProducts[[#Headers],[Include or Exclude]], 0,4)</f>
        <v>2.3999999999999998E-3</v>
      </c>
      <c r="T108" s="170" t="str" cm="1">
        <f t="array" ref="T108">Common_InputFunctions.Utility_DisplayArrayInTable(Fertiliser_SourceData.Fertiliser_Products_Data1(),FertiliserProducts[[#Headers],[Include or Exclude]], 0,4)</f>
        <v>Phosphorus - Generic</v>
      </c>
      <c r="U108" s="170" cm="1">
        <f t="array" ref="U108">Common_InputFunctions.Utility_DisplayArrayInTable(Fertiliser_SourceData.Fertiliser_Products_Data1(),FertiliserProducts[[#Headers],[Include or Exclude]], 0,4)</f>
        <v>4.0000000000000002E-4</v>
      </c>
      <c r="V108" s="170" t="str" cm="1">
        <f t="array" ref="V108">Common_InputFunctions.Utility_DisplayArrayInTable(Fertiliser_SourceData.Fertiliser_Products_Data1(),FertiliserProducts[[#Headers],[Include or Exclude]], 0,4)</f>
        <v/>
      </c>
      <c r="W108" s="170" t="str" cm="1">
        <f t="array" ref="W108">Common_InputFunctions.Utility_DisplayArrayInTable(Fertiliser_SourceData.Fertiliser_Products_Data1(),FertiliserProducts[[#Headers],[Include or Exclude]], 0,4)</f>
        <v/>
      </c>
      <c r="X108" s="170" t="str" cm="1">
        <f t="array" ref="X108">Common_InputFunctions.Utility_DisplayArrayInTable(Fertiliser_SourceData.Fertiliser_Products_Data1(),FertiliserProducts[[#Headers],[Include or Exclude]], 0,4)</f>
        <v/>
      </c>
      <c r="Y108" s="170" t="str" cm="1">
        <f t="array" ref="Y108">Common_InputFunctions.Utility_DisplayArrayInTable(Fertiliser_SourceData.Fertiliser_Products_Data1(),FertiliserProducts[[#Headers],[Include or Exclude]], 0,4)</f>
        <v/>
      </c>
      <c r="Z108" s="170" t="str" cm="1">
        <f t="array" ref="Z108">Common_InputFunctions.Utility_DisplayArrayInTable(Fertiliser_SourceData.Fertiliser_Products_Data1(),FertiliserProducts[[#Headers],[Include or Exclude]], 0,4)</f>
        <v/>
      </c>
      <c r="AA108" s="170" t="str" cm="1">
        <f t="array" ref="AA108">Common_InputFunctions.Utility_DisplayArrayInTable(Fertiliser_SourceData.Fertiliser_Products_Data1(),FertiliserProducts[[#Headers],[Include or Exclude]], 0,4)</f>
        <v/>
      </c>
      <c r="AB108" s="170" t="str" cm="1">
        <f t="array" ref="AB108">Common_InputFunctions.Utility_DisplayArrayInTable(Fertiliser_SourceData.Fertiliser_Products_Data1(),FertiliserProducts[[#Headers],[Include or Exclude]], 0,4)</f>
        <v/>
      </c>
      <c r="AC108" s="170" t="str" cm="1">
        <f t="array" ref="AC108">Common_InputFunctions.Utility_DisplayArrayInTable(Fertiliser_SourceData.Fertiliser_Products_Data1(),FertiliserProducts[[#Headers],[Include or Exclude]], 0,4)</f>
        <v/>
      </c>
      <c r="AD108" s="170" t="str" cm="1">
        <f t="array" ref="AD108">Common_InputFunctions.Utility_DisplayArrayInTable(Fertiliser_SourceData.Fertiliser_Products_Data1(),FertiliserProducts[[#Headers],[Include or Exclude]], 0,4)</f>
        <v/>
      </c>
      <c r="AE108" s="170" t="str" cm="1">
        <f t="array" ref="AE108">Common_InputFunctions.Utility_DisplayArrayInTable(Fertiliser_SourceData.Fertiliser_Products_Data1(),FertiliserProducts[[#Headers],[Include or Exclude]], 0,4)</f>
        <v/>
      </c>
    </row>
    <row r="109" spans="4:31" ht="20.100000000000001" customHeight="1" x14ac:dyDescent="0.25">
      <c r="D109" s="170" t="str" cm="1">
        <f t="array" ref="D109">Common_InputFunctions.Utility_DisplayArrayInTable(Fertiliser_SourceData.Fertiliser_Products_Data1(),FertiliserProducts[[#Headers],[Include or Exclude]], -1)</f>
        <v>Exclude - Not relevant</v>
      </c>
      <c r="E109" s="170" t="str" cm="1">
        <f t="array" ref="E109">Common_InputFunctions.Utility_DisplayArrayInTable(Fertiliser_SourceData.Fertiliser_Products_Data1(),FertiliserProducts[[#Headers],[Include or Exclude]], 0)</f>
        <v/>
      </c>
      <c r="F109" s="170" t="str" cm="1">
        <f t="array" ref="F109">Common_InputFunctions.Utility_DisplayArrayInTable(Fertiliser_SourceData.Fertiliser_Products_Data1(),FertiliserProducts[[#Headers],[Include or Exclude]], 0)</f>
        <v>Campbells fertilisers Australia</v>
      </c>
      <c r="G109" s="170" t="str" cm="1">
        <f t="array" ref="G109">Common_InputFunctions.Utility_DisplayArrayInTable(Fertiliser_SourceData.Fertiliser_Products_Data1(),FertiliserProducts[[#Headers],[Include or Exclude]], 0)</f>
        <v>Bud-Wiser Dry</v>
      </c>
      <c r="H109" s="170" t="str" cm="1">
        <f t="array" ref="H109">Common_InputFunctions.Utility_DisplayArrayInTable(Fertiliser_SourceData.Fertiliser_Products_Data1(),FertiliserProducts[[#Headers],[Include or Exclude]], 0,4)</f>
        <v>kg</v>
      </c>
      <c r="I109" s="170" t="str" cm="1">
        <f t="array" ref="I109">Common_InputFunctions.Utility_DisplayArrayInTable(Fertiliser_SourceData.Fertiliser_Products_Data1(),FertiliserProducts[[#Headers],[Include or Exclude]], 0,4)</f>
        <v/>
      </c>
      <c r="J109" s="170" t="str" cm="1">
        <f t="array" ref="J109">Common_InputFunctions.Utility_DisplayArrayInTable(Fertiliser_SourceData.Fertiliser_Products_Data1(),FertiliserProducts[[#Headers],[Include or Exclude]], 0,4)</f>
        <v/>
      </c>
      <c r="K109" s="170" t="str" cm="1">
        <f t="array" ref="K109">Common_InputFunctions.Utility_DisplayArrayInTable(Fertiliser_SourceData.Fertiliser_Products_Data1(),FertiliserProducts[[#Headers],[Include or Exclude]], 0,4)</f>
        <v/>
      </c>
      <c r="L109" s="170" t="str" cm="1">
        <f t="array" ref="L109">Common_InputFunctions.Utility_DisplayArrayInTable(Fertiliser_SourceData.Fertiliser_Products_Data1(),FertiliserProducts[[#Headers],[Include or Exclude]], 0,4)</f>
        <v>Sulfur - Generic</v>
      </c>
      <c r="M109" s="170" cm="1">
        <f t="array" ref="M109">Common_InputFunctions.Utility_DisplayArrayInTable(Fertiliser_SourceData.Fertiliser_Products_Data1(),FertiliserProducts[[#Headers],[Include or Exclude]], 0,4)</f>
        <v>9.4E-2</v>
      </c>
      <c r="N109" s="170" t="str" cm="1">
        <f t="array" ref="N109">Common_InputFunctions.Utility_DisplayArrayInTable(Fertiliser_SourceData.Fertiliser_Products_Data1(),FertiliserProducts[[#Headers],[Include or Exclude]], 0,4)</f>
        <v>Magnesium</v>
      </c>
      <c r="O109" s="170" cm="1">
        <f t="array" ref="O109">Common_InputFunctions.Utility_DisplayArrayInTable(Fertiliser_SourceData.Fertiliser_Products_Data1(),FertiliserProducts[[#Headers],[Include or Exclude]], 0,4)</f>
        <v>0.06</v>
      </c>
      <c r="P109" s="170" t="str" cm="1">
        <f t="array" ref="P109">Common_InputFunctions.Utility_DisplayArrayInTable(Fertiliser_SourceData.Fertiliser_Products_Data1(),FertiliserProducts[[#Headers],[Include or Exclude]], 0,4)</f>
        <v>Boron</v>
      </c>
      <c r="Q109" s="170" cm="1">
        <f t="array" ref="Q109">Common_InputFunctions.Utility_DisplayArrayInTable(Fertiliser_SourceData.Fertiliser_Products_Data1(),FertiliserProducts[[#Headers],[Include or Exclude]], 0,4)</f>
        <v>4.4999999999999998E-2</v>
      </c>
      <c r="R109" s="170" t="str" cm="1">
        <f t="array" ref="R109">Common_InputFunctions.Utility_DisplayArrayInTable(Fertiliser_SourceData.Fertiliser_Products_Data1(),FertiliserProducts[[#Headers],[Include or Exclude]], 0,4)</f>
        <v>Zinc</v>
      </c>
      <c r="S109" s="170" cm="1">
        <f t="array" ref="S109">Common_InputFunctions.Utility_DisplayArrayInTable(Fertiliser_SourceData.Fertiliser_Products_Data1(),FertiliserProducts[[#Headers],[Include or Exclude]], 0,4)</f>
        <v>2.7E-2</v>
      </c>
      <c r="T109" s="170" t="str" cm="1">
        <f t="array" ref="T109">Common_InputFunctions.Utility_DisplayArrayInTable(Fertiliser_SourceData.Fertiliser_Products_Data1(),FertiliserProducts[[#Headers],[Include or Exclude]], 0,4)</f>
        <v/>
      </c>
      <c r="U109" s="170" t="str" cm="1">
        <f t="array" ref="U109">Common_InputFunctions.Utility_DisplayArrayInTable(Fertiliser_SourceData.Fertiliser_Products_Data1(),FertiliserProducts[[#Headers],[Include or Exclude]], 0,4)</f>
        <v/>
      </c>
      <c r="V109" s="170" t="str" cm="1">
        <f t="array" ref="V109">Common_InputFunctions.Utility_DisplayArrayInTable(Fertiliser_SourceData.Fertiliser_Products_Data1(),FertiliserProducts[[#Headers],[Include or Exclude]], 0,4)</f>
        <v/>
      </c>
      <c r="W109" s="170" t="str" cm="1">
        <f t="array" ref="W109">Common_InputFunctions.Utility_DisplayArrayInTable(Fertiliser_SourceData.Fertiliser_Products_Data1(),FertiliserProducts[[#Headers],[Include or Exclude]], 0,4)</f>
        <v/>
      </c>
      <c r="X109" s="170" t="str" cm="1">
        <f t="array" ref="X109">Common_InputFunctions.Utility_DisplayArrayInTable(Fertiliser_SourceData.Fertiliser_Products_Data1(),FertiliserProducts[[#Headers],[Include or Exclude]], 0,4)</f>
        <v/>
      </c>
      <c r="Y109" s="170" t="str" cm="1">
        <f t="array" ref="Y109">Common_InputFunctions.Utility_DisplayArrayInTable(Fertiliser_SourceData.Fertiliser_Products_Data1(),FertiliserProducts[[#Headers],[Include or Exclude]], 0,4)</f>
        <v/>
      </c>
      <c r="Z109" s="170" t="str" cm="1">
        <f t="array" ref="Z109">Common_InputFunctions.Utility_DisplayArrayInTable(Fertiliser_SourceData.Fertiliser_Products_Data1(),FertiliserProducts[[#Headers],[Include or Exclude]], 0,4)</f>
        <v/>
      </c>
      <c r="AA109" s="170" t="str" cm="1">
        <f t="array" ref="AA109">Common_InputFunctions.Utility_DisplayArrayInTable(Fertiliser_SourceData.Fertiliser_Products_Data1(),FertiliserProducts[[#Headers],[Include or Exclude]], 0,4)</f>
        <v/>
      </c>
      <c r="AB109" s="170" t="str" cm="1">
        <f t="array" ref="AB109">Common_InputFunctions.Utility_DisplayArrayInTable(Fertiliser_SourceData.Fertiliser_Products_Data1(),FertiliserProducts[[#Headers],[Include or Exclude]], 0,4)</f>
        <v/>
      </c>
      <c r="AC109" s="170" t="str" cm="1">
        <f t="array" ref="AC109">Common_InputFunctions.Utility_DisplayArrayInTable(Fertiliser_SourceData.Fertiliser_Products_Data1(),FertiliserProducts[[#Headers],[Include or Exclude]], 0,4)</f>
        <v/>
      </c>
      <c r="AD109" s="170" t="str" cm="1">
        <f t="array" ref="AD109">Common_InputFunctions.Utility_DisplayArrayInTable(Fertiliser_SourceData.Fertiliser_Products_Data1(),FertiliserProducts[[#Headers],[Include or Exclude]], 0,4)</f>
        <v/>
      </c>
      <c r="AE109" s="170" t="str" cm="1">
        <f t="array" ref="AE109">Common_InputFunctions.Utility_DisplayArrayInTable(Fertiliser_SourceData.Fertiliser_Products_Data1(),FertiliserProducts[[#Headers],[Include or Exclude]], 0,4)</f>
        <v/>
      </c>
    </row>
    <row r="110" spans="4:31" ht="20.100000000000001" customHeight="1" x14ac:dyDescent="0.25">
      <c r="D110" s="170" t="str" cm="1">
        <f t="array" ref="D110">Common_InputFunctions.Utility_DisplayArrayInTable(Fertiliser_SourceData.Fertiliser_Products_Data1(),FertiliserProducts[[#Headers],[Include or Exclude]], -1)</f>
        <v>Exclude - Not relevant</v>
      </c>
      <c r="E110" s="170" t="str" cm="1">
        <f t="array" ref="E110">Common_InputFunctions.Utility_DisplayArrayInTable(Fertiliser_SourceData.Fertiliser_Products_Data1(),FertiliserProducts[[#Headers],[Include or Exclude]], 0)</f>
        <v/>
      </c>
      <c r="F110" s="170" t="str" cm="1">
        <f t="array" ref="F110">Common_InputFunctions.Utility_DisplayArrayInTable(Fertiliser_SourceData.Fertiliser_Products_Data1(),FertiliserProducts[[#Headers],[Include or Exclude]], 0)</f>
        <v>Campbells fertilisers Australia</v>
      </c>
      <c r="G110" s="170" t="str" cm="1">
        <f t="array" ref="G110">Common_InputFunctions.Utility_DisplayArrayInTable(Fertiliser_SourceData.Fertiliser_Products_Data1(),FertiliserProducts[[#Headers],[Include or Exclude]], 0)</f>
        <v>Calbit C</v>
      </c>
      <c r="H110" s="170" t="str" cm="1">
        <f t="array" ref="H110">Common_InputFunctions.Utility_DisplayArrayInTable(Fertiliser_SourceData.Fertiliser_Products_Data1(),FertiliserProducts[[#Headers],[Include or Exclude]], 0,4)</f>
        <v>L</v>
      </c>
      <c r="I110" s="170" t="str" cm="1">
        <f t="array" ref="I110">Common_InputFunctions.Utility_DisplayArrayInTable(Fertiliser_SourceData.Fertiliser_Products_Data1(),FertiliserProducts[[#Headers],[Include or Exclude]], 0,4)</f>
        <v/>
      </c>
      <c r="J110" s="170" t="str" cm="1">
        <f t="array" ref="J110">Common_InputFunctions.Utility_DisplayArrayInTable(Fertiliser_SourceData.Fertiliser_Products_Data1(),FertiliserProducts[[#Headers],[Include or Exclude]], 0,4)</f>
        <v/>
      </c>
      <c r="K110" s="170" t="str" cm="1">
        <f t="array" ref="K110">Common_InputFunctions.Utility_DisplayArrayInTable(Fertiliser_SourceData.Fertiliser_Products_Data1(),FertiliserProducts[[#Headers],[Include or Exclude]], 0,4)</f>
        <v/>
      </c>
      <c r="L110" s="170" t="str" cm="1">
        <f t="array" ref="L110">Common_InputFunctions.Utility_DisplayArrayInTable(Fertiliser_SourceData.Fertiliser_Products_Data1(),FertiliserProducts[[#Headers],[Include or Exclude]], 0,4)</f>
        <v/>
      </c>
      <c r="M110" s="170" t="str" cm="1">
        <f t="array" ref="M110">Common_InputFunctions.Utility_DisplayArrayInTable(Fertiliser_SourceData.Fertiliser_Products_Data1(),FertiliserProducts[[#Headers],[Include or Exclude]], 0,4)</f>
        <v/>
      </c>
      <c r="N110" s="170" t="str" cm="1">
        <f t="array" ref="N110">Common_InputFunctions.Utility_DisplayArrayInTable(Fertiliser_SourceData.Fertiliser_Products_Data1(),FertiliserProducts[[#Headers],[Include or Exclude]], 0,4)</f>
        <v/>
      </c>
      <c r="O110" s="170" t="str" cm="1">
        <f t="array" ref="O110">Common_InputFunctions.Utility_DisplayArrayInTable(Fertiliser_SourceData.Fertiliser_Products_Data1(),FertiliserProducts[[#Headers],[Include or Exclude]], 0,4)</f>
        <v/>
      </c>
      <c r="P110" s="170" t="str" cm="1">
        <f t="array" ref="P110">Common_InputFunctions.Utility_DisplayArrayInTable(Fertiliser_SourceData.Fertiliser_Products_Data1(),FertiliserProducts[[#Headers],[Include or Exclude]], 0,4)</f>
        <v/>
      </c>
      <c r="Q110" s="170" t="str" cm="1">
        <f t="array" ref="Q110">Common_InputFunctions.Utility_DisplayArrayInTable(Fertiliser_SourceData.Fertiliser_Products_Data1(),FertiliserProducts[[#Headers],[Include or Exclude]], 0,4)</f>
        <v/>
      </c>
      <c r="R110" s="170" t="str" cm="1">
        <f t="array" ref="R110">Common_InputFunctions.Utility_DisplayArrayInTable(Fertiliser_SourceData.Fertiliser_Products_Data1(),FertiliserProducts[[#Headers],[Include or Exclude]], 0,4)</f>
        <v/>
      </c>
      <c r="S110" s="170" t="str" cm="1">
        <f t="array" ref="S110">Common_InputFunctions.Utility_DisplayArrayInTable(Fertiliser_SourceData.Fertiliser_Products_Data1(),FertiliserProducts[[#Headers],[Include or Exclude]], 0,4)</f>
        <v/>
      </c>
      <c r="T110" s="170" t="str" cm="1">
        <f t="array" ref="T110">Common_InputFunctions.Utility_DisplayArrayInTable(Fertiliser_SourceData.Fertiliser_Products_Data1(),FertiliserProducts[[#Headers],[Include or Exclude]], 0,4)</f>
        <v/>
      </c>
      <c r="U110" s="170" t="str" cm="1">
        <f t="array" ref="U110">Common_InputFunctions.Utility_DisplayArrayInTable(Fertiliser_SourceData.Fertiliser_Products_Data1(),FertiliserProducts[[#Headers],[Include or Exclude]], 0,4)</f>
        <v/>
      </c>
      <c r="V110" s="170" t="str" cm="1">
        <f t="array" ref="V110">Common_InputFunctions.Utility_DisplayArrayInTable(Fertiliser_SourceData.Fertiliser_Products_Data1(),FertiliserProducts[[#Headers],[Include or Exclude]], 0,4)</f>
        <v/>
      </c>
      <c r="W110" s="170" t="str" cm="1">
        <f t="array" ref="W110">Common_InputFunctions.Utility_DisplayArrayInTable(Fertiliser_SourceData.Fertiliser_Products_Data1(),FertiliserProducts[[#Headers],[Include or Exclude]], 0,4)</f>
        <v/>
      </c>
      <c r="X110" s="170" t="str" cm="1">
        <f t="array" ref="X110">Common_InputFunctions.Utility_DisplayArrayInTable(Fertiliser_SourceData.Fertiliser_Products_Data1(),FertiliserProducts[[#Headers],[Include or Exclude]], 0,4)</f>
        <v/>
      </c>
      <c r="Y110" s="170" t="str" cm="1">
        <f t="array" ref="Y110">Common_InputFunctions.Utility_DisplayArrayInTable(Fertiliser_SourceData.Fertiliser_Products_Data1(),FertiliserProducts[[#Headers],[Include or Exclude]], 0,4)</f>
        <v/>
      </c>
      <c r="Z110" s="170" t="str" cm="1">
        <f t="array" ref="Z110">Common_InputFunctions.Utility_DisplayArrayInTable(Fertiliser_SourceData.Fertiliser_Products_Data1(),FertiliserProducts[[#Headers],[Include or Exclude]], 0,4)</f>
        <v/>
      </c>
      <c r="AA110" s="170" t="str" cm="1">
        <f t="array" ref="AA110">Common_InputFunctions.Utility_DisplayArrayInTable(Fertiliser_SourceData.Fertiliser_Products_Data1(),FertiliserProducts[[#Headers],[Include or Exclude]], 0,4)</f>
        <v/>
      </c>
      <c r="AB110" s="170" t="str" cm="1">
        <f t="array" ref="AB110">Common_InputFunctions.Utility_DisplayArrayInTable(Fertiliser_SourceData.Fertiliser_Products_Data1(),FertiliserProducts[[#Headers],[Include or Exclude]], 0,4)</f>
        <v/>
      </c>
      <c r="AC110" s="170" t="str" cm="1">
        <f t="array" ref="AC110">Common_InputFunctions.Utility_DisplayArrayInTable(Fertiliser_SourceData.Fertiliser_Products_Data1(),FertiliserProducts[[#Headers],[Include or Exclude]], 0,4)</f>
        <v/>
      </c>
      <c r="AD110" s="170" t="str" cm="1">
        <f t="array" ref="AD110">Common_InputFunctions.Utility_DisplayArrayInTable(Fertiliser_SourceData.Fertiliser_Products_Data1(),FertiliserProducts[[#Headers],[Include or Exclude]], 0,4)</f>
        <v/>
      </c>
      <c r="AE110" s="170" t="str" cm="1">
        <f t="array" ref="AE110">Common_InputFunctions.Utility_DisplayArrayInTable(Fertiliser_SourceData.Fertiliser_Products_Data1(),FertiliserProducts[[#Headers],[Include or Exclude]], 0,4)</f>
        <v/>
      </c>
    </row>
    <row r="111" spans="4:31" ht="20.100000000000001" customHeight="1" x14ac:dyDescent="0.25">
      <c r="D111" s="170" t="str" cm="1">
        <f t="array" ref="D111">Common_InputFunctions.Utility_DisplayArrayInTable(Fertiliser_SourceData.Fertiliser_Products_Data1(),FertiliserProducts[[#Headers],[Include or Exclude]], -1)</f>
        <v>Include</v>
      </c>
      <c r="E111" s="170" t="str" cm="1">
        <f t="array" ref="E111">Common_InputFunctions.Utility_DisplayArrayInTable(Fertiliser_SourceData.Fertiliser_Products_Data1(),FertiliserProducts[[#Headers],[Include or Exclude]], 0)</f>
        <v/>
      </c>
      <c r="F111" s="170" t="str" cm="1">
        <f t="array" ref="F111">Common_InputFunctions.Utility_DisplayArrayInTable(Fertiliser_SourceData.Fertiliser_Products_Data1(),FertiliserProducts[[#Headers],[Include or Exclude]], 0)</f>
        <v>Campbells fertilisers Australia</v>
      </c>
      <c r="G111" s="170" t="str" cm="1">
        <f t="array" ref="G111">Common_InputFunctions.Utility_DisplayArrayInTable(Fertiliser_SourceData.Fertiliser_Products_Data1(),FertiliserProducts[[#Headers],[Include or Exclude]], 0)</f>
        <v>Calcium 175</v>
      </c>
      <c r="H111" s="170" t="str" cm="1">
        <f t="array" ref="H111">Common_InputFunctions.Utility_DisplayArrayInTable(Fertiliser_SourceData.Fertiliser_Products_Data1(),FertiliserProducts[[#Headers],[Include or Exclude]], 0,4)</f>
        <v>L</v>
      </c>
      <c r="I111" s="170" t="str" cm="1">
        <f t="array" ref="I111">Common_InputFunctions.Utility_DisplayArrayInTable(Fertiliser_SourceData.Fertiliser_Products_Data1(),FertiliserProducts[[#Headers],[Include or Exclude]], 0,4)</f>
        <v/>
      </c>
      <c r="J111" s="170" t="str" cm="1">
        <f t="array" ref="J111">Common_InputFunctions.Utility_DisplayArrayInTable(Fertiliser_SourceData.Fertiliser_Products_Data1(),FertiliserProducts[[#Headers],[Include or Exclude]], 0,4)</f>
        <v/>
      </c>
      <c r="K111" s="170" t="str" cm="1">
        <f t="array" ref="K111">Common_InputFunctions.Utility_DisplayArrayInTable(Fertiliser_SourceData.Fertiliser_Products_Data1(),FertiliserProducts[[#Headers],[Include or Exclude]], 0,4)</f>
        <v/>
      </c>
      <c r="L111" s="170" t="str" cm="1">
        <f t="array" ref="L111">Common_InputFunctions.Utility_DisplayArrayInTable(Fertiliser_SourceData.Fertiliser_Products_Data1(),FertiliserProducts[[#Headers],[Include or Exclude]], 0,4)</f>
        <v/>
      </c>
      <c r="M111" s="170" t="str" cm="1">
        <f t="array" ref="M111">Common_InputFunctions.Utility_DisplayArrayInTable(Fertiliser_SourceData.Fertiliser_Products_Data1(),FertiliserProducts[[#Headers],[Include or Exclude]], 0,4)</f>
        <v/>
      </c>
      <c r="N111" s="170" t="str" cm="1">
        <f t="array" ref="N111">Common_InputFunctions.Utility_DisplayArrayInTable(Fertiliser_SourceData.Fertiliser_Products_Data1(),FertiliserProducts[[#Headers],[Include or Exclude]], 0,4)</f>
        <v/>
      </c>
      <c r="O111" s="170" t="str" cm="1">
        <f t="array" ref="O111">Common_InputFunctions.Utility_DisplayArrayInTable(Fertiliser_SourceData.Fertiliser_Products_Data1(),FertiliserProducts[[#Headers],[Include or Exclude]], 0,4)</f>
        <v/>
      </c>
      <c r="P111" s="170" t="str" cm="1">
        <f t="array" ref="P111">Common_InputFunctions.Utility_DisplayArrayInTable(Fertiliser_SourceData.Fertiliser_Products_Data1(),FertiliserProducts[[#Headers],[Include or Exclude]], 0,4)</f>
        <v/>
      </c>
      <c r="Q111" s="170" t="str" cm="1">
        <f t="array" ref="Q111">Common_InputFunctions.Utility_DisplayArrayInTable(Fertiliser_SourceData.Fertiliser_Products_Data1(),FertiliserProducts[[#Headers],[Include or Exclude]], 0,4)</f>
        <v/>
      </c>
      <c r="R111" s="170" t="str" cm="1">
        <f t="array" ref="R111">Common_InputFunctions.Utility_DisplayArrayInTable(Fertiliser_SourceData.Fertiliser_Products_Data1(),FertiliserProducts[[#Headers],[Include or Exclude]], 0,4)</f>
        <v/>
      </c>
      <c r="S111" s="170" t="str" cm="1">
        <f t="array" ref="S111">Common_InputFunctions.Utility_DisplayArrayInTable(Fertiliser_SourceData.Fertiliser_Products_Data1(),FertiliserProducts[[#Headers],[Include or Exclude]], 0,4)</f>
        <v/>
      </c>
      <c r="T111" s="170" t="str" cm="1">
        <f t="array" ref="T111">Common_InputFunctions.Utility_DisplayArrayInTable(Fertiliser_SourceData.Fertiliser_Products_Data1(),FertiliserProducts[[#Headers],[Include or Exclude]], 0,4)</f>
        <v/>
      </c>
      <c r="U111" s="170" t="str" cm="1">
        <f t="array" ref="U111">Common_InputFunctions.Utility_DisplayArrayInTable(Fertiliser_SourceData.Fertiliser_Products_Data1(),FertiliserProducts[[#Headers],[Include or Exclude]], 0,4)</f>
        <v/>
      </c>
      <c r="V111" s="170" t="str" cm="1">
        <f t="array" ref="V111">Common_InputFunctions.Utility_DisplayArrayInTable(Fertiliser_SourceData.Fertiliser_Products_Data1(),FertiliserProducts[[#Headers],[Include or Exclude]], 0,4)</f>
        <v/>
      </c>
      <c r="W111" s="170" t="str" cm="1">
        <f t="array" ref="W111">Common_InputFunctions.Utility_DisplayArrayInTable(Fertiliser_SourceData.Fertiliser_Products_Data1(),FertiliserProducts[[#Headers],[Include or Exclude]], 0,4)</f>
        <v/>
      </c>
      <c r="X111" s="170" t="str" cm="1">
        <f t="array" ref="X111">Common_InputFunctions.Utility_DisplayArrayInTable(Fertiliser_SourceData.Fertiliser_Products_Data1(),FertiliserProducts[[#Headers],[Include or Exclude]], 0,4)</f>
        <v/>
      </c>
      <c r="Y111" s="170" t="str" cm="1">
        <f t="array" ref="Y111">Common_InputFunctions.Utility_DisplayArrayInTable(Fertiliser_SourceData.Fertiliser_Products_Data1(),FertiliserProducts[[#Headers],[Include or Exclude]], 0,4)</f>
        <v/>
      </c>
      <c r="Z111" s="170" t="str" cm="1">
        <f t="array" ref="Z111">Common_InputFunctions.Utility_DisplayArrayInTable(Fertiliser_SourceData.Fertiliser_Products_Data1(),FertiliserProducts[[#Headers],[Include or Exclude]], 0,4)</f>
        <v/>
      </c>
      <c r="AA111" s="170" t="str" cm="1">
        <f t="array" ref="AA111">Common_InputFunctions.Utility_DisplayArrayInTable(Fertiliser_SourceData.Fertiliser_Products_Data1(),FertiliserProducts[[#Headers],[Include or Exclude]], 0,4)</f>
        <v/>
      </c>
      <c r="AB111" s="170" t="str" cm="1">
        <f t="array" ref="AB111">Common_InputFunctions.Utility_DisplayArrayInTable(Fertiliser_SourceData.Fertiliser_Products_Data1(),FertiliserProducts[[#Headers],[Include or Exclude]], 0,4)</f>
        <v/>
      </c>
      <c r="AC111" s="170" t="str" cm="1">
        <f t="array" ref="AC111">Common_InputFunctions.Utility_DisplayArrayInTable(Fertiliser_SourceData.Fertiliser_Products_Data1(),FertiliserProducts[[#Headers],[Include or Exclude]], 0,4)</f>
        <v/>
      </c>
      <c r="AD111" s="170" t="str" cm="1">
        <f t="array" ref="AD111">Common_InputFunctions.Utility_DisplayArrayInTable(Fertiliser_SourceData.Fertiliser_Products_Data1(),FertiliserProducts[[#Headers],[Include or Exclude]], 0,4)</f>
        <v/>
      </c>
      <c r="AE111" s="170" t="str" cm="1">
        <f t="array" ref="AE111">Common_InputFunctions.Utility_DisplayArrayInTable(Fertiliser_SourceData.Fertiliser_Products_Data1(),FertiliserProducts[[#Headers],[Include or Exclude]], 0,4)</f>
        <v/>
      </c>
    </row>
    <row r="112" spans="4:31" ht="20.100000000000001" customHeight="1" x14ac:dyDescent="0.25">
      <c r="D112" s="170" t="str" cm="1">
        <f t="array" ref="D112">Common_InputFunctions.Utility_DisplayArrayInTable(Fertiliser_SourceData.Fertiliser_Products_Data1(),FertiliserProducts[[#Headers],[Include or Exclude]], -1)</f>
        <v/>
      </c>
      <c r="E112" s="170" t="str" cm="1">
        <f t="array" ref="E112">Common_InputFunctions.Utility_DisplayArrayInTable(Fertiliser_SourceData.Fertiliser_Products_Data1(),FertiliserProducts[[#Headers],[Include or Exclude]], 0)</f>
        <v>Use Lime EF for calcium</v>
      </c>
      <c r="F112" s="170" t="str" cm="1">
        <f t="array" ref="F112">Common_InputFunctions.Utility_DisplayArrayInTable(Fertiliser_SourceData.Fertiliser_Products_Data1(),FertiliserProducts[[#Headers],[Include or Exclude]], 0)</f>
        <v>Campbells fertilisers Australia</v>
      </c>
      <c r="G112" s="170" t="str" cm="1">
        <f t="array" ref="G112">Common_InputFunctions.Utility_DisplayArrayInTable(Fertiliser_SourceData.Fertiliser_Products_Data1(),FertiliserProducts[[#Headers],[Include or Exclude]], 0)</f>
        <v>CalPhos</v>
      </c>
      <c r="H112" s="170" t="str" cm="1">
        <f t="array" ref="H112">Common_InputFunctions.Utility_DisplayArrayInTable(Fertiliser_SourceData.Fertiliser_Products_Data1(),FertiliserProducts[[#Headers],[Include or Exclude]], 0,4)</f>
        <v>L</v>
      </c>
      <c r="I112" s="170" cm="1">
        <f t="array" ref="I112">Common_InputFunctions.Utility_DisplayArrayInTable(Fertiliser_SourceData.Fertiliser_Products_Data1(),FertiliserProducts[[#Headers],[Include or Exclude]], 0,4)</f>
        <v>1.2849999999999999</v>
      </c>
      <c r="J112" s="170" t="str" cm="1">
        <f t="array" ref="J112">Common_InputFunctions.Utility_DisplayArrayInTable(Fertiliser_SourceData.Fertiliser_Products_Data1(),FertiliserProducts[[#Headers],[Include or Exclude]], 0,4)</f>
        <v/>
      </c>
      <c r="K112" s="170" t="str" cm="1">
        <f t="array" ref="K112">Common_InputFunctions.Utility_DisplayArrayInTable(Fertiliser_SourceData.Fertiliser_Products_Data1(),FertiliserProducts[[#Headers],[Include or Exclude]], 0,4)</f>
        <v/>
      </c>
      <c r="L112" s="170" t="str" cm="1">
        <f t="array" ref="L112">Common_InputFunctions.Utility_DisplayArrayInTable(Fertiliser_SourceData.Fertiliser_Products_Data1(),FertiliserProducts[[#Headers],[Include or Exclude]], 0,4)</f>
        <v>Phosphorus - Generic</v>
      </c>
      <c r="M112" s="170" cm="1">
        <f t="array" ref="M112">Common_InputFunctions.Utility_DisplayArrayInTable(Fertiliser_SourceData.Fertiliser_Products_Data1(),FertiliserProducts[[#Headers],[Include or Exclude]], 0,4)</f>
        <v>0.13500000000000001</v>
      </c>
      <c r="N112" s="170" t="str" cm="1">
        <f t="array" ref="N112">Common_InputFunctions.Utility_DisplayArrayInTable(Fertiliser_SourceData.Fertiliser_Products_Data1(),FertiliserProducts[[#Headers],[Include or Exclude]], 0,4)</f>
        <v>Calcium - Generic</v>
      </c>
      <c r="O112" s="170" cm="1">
        <f t="array" ref="O112">Common_InputFunctions.Utility_DisplayArrayInTable(Fertiliser_SourceData.Fertiliser_Products_Data1(),FertiliserProducts[[#Headers],[Include or Exclude]], 0,4)</f>
        <v>0.04</v>
      </c>
      <c r="P112" s="170" t="str" cm="1">
        <f t="array" ref="P112">Common_InputFunctions.Utility_DisplayArrayInTable(Fertiliser_SourceData.Fertiliser_Products_Data1(),FertiliserProducts[[#Headers],[Include or Exclude]], 0,4)</f>
        <v/>
      </c>
      <c r="Q112" s="170" t="str" cm="1">
        <f t="array" ref="Q112">Common_InputFunctions.Utility_DisplayArrayInTable(Fertiliser_SourceData.Fertiliser_Products_Data1(),FertiliserProducts[[#Headers],[Include or Exclude]], 0,4)</f>
        <v/>
      </c>
      <c r="R112" s="170" t="str" cm="1">
        <f t="array" ref="R112">Common_InputFunctions.Utility_DisplayArrayInTable(Fertiliser_SourceData.Fertiliser_Products_Data1(),FertiliserProducts[[#Headers],[Include or Exclude]], 0,4)</f>
        <v/>
      </c>
      <c r="S112" s="170" t="str" cm="1">
        <f t="array" ref="S112">Common_InputFunctions.Utility_DisplayArrayInTable(Fertiliser_SourceData.Fertiliser_Products_Data1(),FertiliserProducts[[#Headers],[Include or Exclude]], 0,4)</f>
        <v/>
      </c>
      <c r="T112" s="170" t="str" cm="1">
        <f t="array" ref="T112">Common_InputFunctions.Utility_DisplayArrayInTable(Fertiliser_SourceData.Fertiliser_Products_Data1(),FertiliserProducts[[#Headers],[Include or Exclude]], 0,4)</f>
        <v/>
      </c>
      <c r="U112" s="170" t="str" cm="1">
        <f t="array" ref="U112">Common_InputFunctions.Utility_DisplayArrayInTable(Fertiliser_SourceData.Fertiliser_Products_Data1(),FertiliserProducts[[#Headers],[Include or Exclude]], 0,4)</f>
        <v/>
      </c>
      <c r="V112" s="170" t="str" cm="1">
        <f t="array" ref="V112">Common_InputFunctions.Utility_DisplayArrayInTable(Fertiliser_SourceData.Fertiliser_Products_Data1(),FertiliserProducts[[#Headers],[Include or Exclude]], 0,4)</f>
        <v/>
      </c>
      <c r="W112" s="170" t="str" cm="1">
        <f t="array" ref="W112">Common_InputFunctions.Utility_DisplayArrayInTable(Fertiliser_SourceData.Fertiliser_Products_Data1(),FertiliserProducts[[#Headers],[Include or Exclude]], 0,4)</f>
        <v/>
      </c>
      <c r="X112" s="170" t="str" cm="1">
        <f t="array" ref="X112">Common_InputFunctions.Utility_DisplayArrayInTable(Fertiliser_SourceData.Fertiliser_Products_Data1(),FertiliserProducts[[#Headers],[Include or Exclude]], 0,4)</f>
        <v/>
      </c>
      <c r="Y112" s="170" t="str" cm="1">
        <f t="array" ref="Y112">Common_InputFunctions.Utility_DisplayArrayInTable(Fertiliser_SourceData.Fertiliser_Products_Data1(),FertiliserProducts[[#Headers],[Include or Exclude]], 0,4)</f>
        <v/>
      </c>
      <c r="Z112" s="170" t="str" cm="1">
        <f t="array" ref="Z112">Common_InputFunctions.Utility_DisplayArrayInTable(Fertiliser_SourceData.Fertiliser_Products_Data1(),FertiliserProducts[[#Headers],[Include or Exclude]], 0,4)</f>
        <v/>
      </c>
      <c r="AA112" s="170" t="str" cm="1">
        <f t="array" ref="AA112">Common_InputFunctions.Utility_DisplayArrayInTable(Fertiliser_SourceData.Fertiliser_Products_Data1(),FertiliserProducts[[#Headers],[Include or Exclude]], 0,4)</f>
        <v/>
      </c>
      <c r="AB112" s="170" t="str" cm="1">
        <f t="array" ref="AB112">Common_InputFunctions.Utility_DisplayArrayInTable(Fertiliser_SourceData.Fertiliser_Products_Data1(),FertiliserProducts[[#Headers],[Include or Exclude]], 0,4)</f>
        <v/>
      </c>
      <c r="AC112" s="170" t="str" cm="1">
        <f t="array" ref="AC112">Common_InputFunctions.Utility_DisplayArrayInTable(Fertiliser_SourceData.Fertiliser_Products_Data1(),FertiliserProducts[[#Headers],[Include or Exclude]], 0,4)</f>
        <v/>
      </c>
      <c r="AD112" s="170" t="str" cm="1">
        <f t="array" ref="AD112">Common_InputFunctions.Utility_DisplayArrayInTable(Fertiliser_SourceData.Fertiliser_Products_Data1(),FertiliserProducts[[#Headers],[Include or Exclude]], 0,4)</f>
        <v/>
      </c>
      <c r="AE112" s="170" t="str" cm="1">
        <f t="array" ref="AE112">Common_InputFunctions.Utility_DisplayArrayInTable(Fertiliser_SourceData.Fertiliser_Products_Data1(),FertiliserProducts[[#Headers],[Include or Exclude]], 0,4)</f>
        <v/>
      </c>
    </row>
    <row r="113" spans="4:31" ht="20.100000000000001" customHeight="1" x14ac:dyDescent="0.25">
      <c r="D113" s="170" t="str" cm="1">
        <f t="array" ref="D113">Common_InputFunctions.Utility_DisplayArrayInTable(Fertiliser_SourceData.Fertiliser_Products_Data1(),FertiliserProducts[[#Headers],[Include or Exclude]], -1)</f>
        <v/>
      </c>
      <c r="E113" s="170" t="str" cm="1">
        <f t="array" ref="E113">Common_InputFunctions.Utility_DisplayArrayInTable(Fertiliser_SourceData.Fertiliser_Products_Data1(),FertiliserProducts[[#Headers],[Include or Exclude]], 0)</f>
        <v/>
      </c>
      <c r="F113" s="170" t="str" cm="1">
        <f t="array" ref="F113">Common_InputFunctions.Utility_DisplayArrayInTable(Fertiliser_SourceData.Fertiliser_Products_Data1(),FertiliserProducts[[#Headers],[Include or Exclude]], 0)</f>
        <v/>
      </c>
      <c r="G113" s="170" t="str" cm="1">
        <f t="array" ref="G113">Common_InputFunctions.Utility_DisplayArrayInTable(Fertiliser_SourceData.Fertiliser_Products_Data1(),FertiliserProducts[[#Headers],[Include or Exclude]], 0)</f>
        <v/>
      </c>
      <c r="H113" s="170" t="str" cm="1">
        <f t="array" ref="H113">Common_InputFunctions.Utility_DisplayArrayInTable(Fertiliser_SourceData.Fertiliser_Products_Data1(),FertiliserProducts[[#Headers],[Include or Exclude]], 0,4)</f>
        <v/>
      </c>
      <c r="I113" s="170" t="str" cm="1">
        <f t="array" ref="I113">Common_InputFunctions.Utility_DisplayArrayInTable(Fertiliser_SourceData.Fertiliser_Products_Data1(),FertiliserProducts[[#Headers],[Include or Exclude]], 0,4)</f>
        <v/>
      </c>
      <c r="J113" s="170" t="str" cm="1">
        <f t="array" ref="J113">Common_InputFunctions.Utility_DisplayArrayInTable(Fertiliser_SourceData.Fertiliser_Products_Data1(),FertiliserProducts[[#Headers],[Include or Exclude]], 0,4)</f>
        <v/>
      </c>
      <c r="K113" s="170" t="str" cm="1">
        <f t="array" ref="K113">Common_InputFunctions.Utility_DisplayArrayInTable(Fertiliser_SourceData.Fertiliser_Products_Data1(),FertiliserProducts[[#Headers],[Include or Exclude]], 0,4)</f>
        <v/>
      </c>
      <c r="L113" s="170" t="str" cm="1">
        <f t="array" ref="L113">Common_InputFunctions.Utility_DisplayArrayInTable(Fertiliser_SourceData.Fertiliser_Products_Data1(),FertiliserProducts[[#Headers],[Include or Exclude]], 0,4)</f>
        <v/>
      </c>
      <c r="M113" s="170" t="str" cm="1">
        <f t="array" ref="M113">Common_InputFunctions.Utility_DisplayArrayInTable(Fertiliser_SourceData.Fertiliser_Products_Data1(),FertiliserProducts[[#Headers],[Include or Exclude]], 0,4)</f>
        <v/>
      </c>
      <c r="N113" s="170" t="str" cm="1">
        <f t="array" ref="N113">Common_InputFunctions.Utility_DisplayArrayInTable(Fertiliser_SourceData.Fertiliser_Products_Data1(),FertiliserProducts[[#Headers],[Include or Exclude]], 0,4)</f>
        <v/>
      </c>
      <c r="O113" s="170" t="str" cm="1">
        <f t="array" ref="O113">Common_InputFunctions.Utility_DisplayArrayInTable(Fertiliser_SourceData.Fertiliser_Products_Data1(),FertiliserProducts[[#Headers],[Include or Exclude]], 0,4)</f>
        <v/>
      </c>
      <c r="P113" s="170" t="str" cm="1">
        <f t="array" ref="P113">Common_InputFunctions.Utility_DisplayArrayInTable(Fertiliser_SourceData.Fertiliser_Products_Data1(),FertiliserProducts[[#Headers],[Include or Exclude]], 0,4)</f>
        <v/>
      </c>
      <c r="Q113" s="170" t="str" cm="1">
        <f t="array" ref="Q113">Common_InputFunctions.Utility_DisplayArrayInTable(Fertiliser_SourceData.Fertiliser_Products_Data1(),FertiliserProducts[[#Headers],[Include or Exclude]], 0,4)</f>
        <v/>
      </c>
      <c r="R113" s="170" t="str" cm="1">
        <f t="array" ref="R113">Common_InputFunctions.Utility_DisplayArrayInTable(Fertiliser_SourceData.Fertiliser_Products_Data1(),FertiliserProducts[[#Headers],[Include or Exclude]], 0,4)</f>
        <v/>
      </c>
      <c r="S113" s="170" t="str" cm="1">
        <f t="array" ref="S113">Common_InputFunctions.Utility_DisplayArrayInTable(Fertiliser_SourceData.Fertiliser_Products_Data1(),FertiliserProducts[[#Headers],[Include or Exclude]], 0,4)</f>
        <v/>
      </c>
      <c r="T113" s="170" t="str" cm="1">
        <f t="array" ref="T113">Common_InputFunctions.Utility_DisplayArrayInTable(Fertiliser_SourceData.Fertiliser_Products_Data1(),FertiliserProducts[[#Headers],[Include or Exclude]], 0,4)</f>
        <v/>
      </c>
      <c r="U113" s="170" t="str" cm="1">
        <f t="array" ref="U113">Common_InputFunctions.Utility_DisplayArrayInTable(Fertiliser_SourceData.Fertiliser_Products_Data1(),FertiliserProducts[[#Headers],[Include or Exclude]], 0,4)</f>
        <v/>
      </c>
      <c r="V113" s="170" t="str" cm="1">
        <f t="array" ref="V113">Common_InputFunctions.Utility_DisplayArrayInTable(Fertiliser_SourceData.Fertiliser_Products_Data1(),FertiliserProducts[[#Headers],[Include or Exclude]], 0,4)</f>
        <v/>
      </c>
      <c r="W113" s="170" t="str" cm="1">
        <f t="array" ref="W113">Common_InputFunctions.Utility_DisplayArrayInTable(Fertiliser_SourceData.Fertiliser_Products_Data1(),FertiliserProducts[[#Headers],[Include or Exclude]], 0,4)</f>
        <v/>
      </c>
      <c r="X113" s="170" t="str" cm="1">
        <f t="array" ref="X113">Common_InputFunctions.Utility_DisplayArrayInTable(Fertiliser_SourceData.Fertiliser_Products_Data1(),FertiliserProducts[[#Headers],[Include or Exclude]], 0,4)</f>
        <v/>
      </c>
      <c r="Y113" s="170" t="str" cm="1">
        <f t="array" ref="Y113">Common_InputFunctions.Utility_DisplayArrayInTable(Fertiliser_SourceData.Fertiliser_Products_Data1(),FertiliserProducts[[#Headers],[Include or Exclude]], 0,4)</f>
        <v/>
      </c>
      <c r="Z113" s="170" t="str" cm="1">
        <f t="array" ref="Z113">Common_InputFunctions.Utility_DisplayArrayInTable(Fertiliser_SourceData.Fertiliser_Products_Data1(),FertiliserProducts[[#Headers],[Include or Exclude]], 0,4)</f>
        <v/>
      </c>
      <c r="AA113" s="170" t="str" cm="1">
        <f t="array" ref="AA113">Common_InputFunctions.Utility_DisplayArrayInTable(Fertiliser_SourceData.Fertiliser_Products_Data1(),FertiliserProducts[[#Headers],[Include or Exclude]], 0,4)</f>
        <v/>
      </c>
      <c r="AB113" s="170" t="str" cm="1">
        <f t="array" ref="AB113">Common_InputFunctions.Utility_DisplayArrayInTable(Fertiliser_SourceData.Fertiliser_Products_Data1(),FertiliserProducts[[#Headers],[Include or Exclude]], 0,4)</f>
        <v/>
      </c>
      <c r="AC113" s="170" t="str" cm="1">
        <f t="array" ref="AC113">Common_InputFunctions.Utility_DisplayArrayInTable(Fertiliser_SourceData.Fertiliser_Products_Data1(),FertiliserProducts[[#Headers],[Include or Exclude]], 0,4)</f>
        <v/>
      </c>
      <c r="AD113" s="170" t="str" cm="1">
        <f t="array" ref="AD113">Common_InputFunctions.Utility_DisplayArrayInTable(Fertiliser_SourceData.Fertiliser_Products_Data1(),FertiliserProducts[[#Headers],[Include or Exclude]], 0,4)</f>
        <v/>
      </c>
      <c r="AE113" s="170" t="str" cm="1">
        <f t="array" ref="AE113">Common_InputFunctions.Utility_DisplayArrayInTable(Fertiliser_SourceData.Fertiliser_Products_Data1(),FertiliserProducts[[#Headers],[Include or Exclude]], 0,4)</f>
        <v/>
      </c>
    </row>
    <row r="114" spans="4:31" ht="20.100000000000001" customHeight="1" x14ac:dyDescent="0.25">
      <c r="D114" s="170" t="str" cm="1">
        <f t="array" ref="D114">Common_InputFunctions.Utility_DisplayArrayInTable(Fertiliser_SourceData.Fertiliser_Products_Data1(),FertiliserProducts[[#Headers],[Include or Exclude]], -1)</f>
        <v/>
      </c>
      <c r="E114" s="170" t="str" cm="1">
        <f t="array" ref="E114">Common_InputFunctions.Utility_DisplayArrayInTable(Fertiliser_SourceData.Fertiliser_Products_Data1(),FertiliserProducts[[#Headers],[Include or Exclude]], 0)</f>
        <v/>
      </c>
      <c r="F114" s="170" t="str" cm="1">
        <f t="array" ref="F114">Common_InputFunctions.Utility_DisplayArrayInTable(Fertiliser_SourceData.Fertiliser_Products_Data1(),FertiliserProducts[[#Headers],[Include or Exclude]], 0)</f>
        <v/>
      </c>
      <c r="G114" s="170" t="str" cm="1">
        <f t="array" ref="G114">Common_InputFunctions.Utility_DisplayArrayInTable(Fertiliser_SourceData.Fertiliser_Products_Data1(),FertiliserProducts[[#Headers],[Include or Exclude]], 0)</f>
        <v/>
      </c>
      <c r="H114" s="170" t="str" cm="1">
        <f t="array" ref="H114">Common_InputFunctions.Utility_DisplayArrayInTable(Fertiliser_SourceData.Fertiliser_Products_Data1(),FertiliserProducts[[#Headers],[Include or Exclude]], 0,4)</f>
        <v/>
      </c>
      <c r="I114" s="170" t="str" cm="1">
        <f t="array" ref="I114">Common_InputFunctions.Utility_DisplayArrayInTable(Fertiliser_SourceData.Fertiliser_Products_Data1(),FertiliserProducts[[#Headers],[Include or Exclude]], 0,4)</f>
        <v/>
      </c>
      <c r="J114" s="170" t="str" cm="1">
        <f t="array" ref="J114">Common_InputFunctions.Utility_DisplayArrayInTable(Fertiliser_SourceData.Fertiliser_Products_Data1(),FertiliserProducts[[#Headers],[Include or Exclude]], 0,4)</f>
        <v/>
      </c>
      <c r="K114" s="170" t="str" cm="1">
        <f t="array" ref="K114">Common_InputFunctions.Utility_DisplayArrayInTable(Fertiliser_SourceData.Fertiliser_Products_Data1(),FertiliserProducts[[#Headers],[Include or Exclude]], 0,4)</f>
        <v/>
      </c>
      <c r="L114" s="170" t="str" cm="1">
        <f t="array" ref="L114">Common_InputFunctions.Utility_DisplayArrayInTable(Fertiliser_SourceData.Fertiliser_Products_Data1(),FertiliserProducts[[#Headers],[Include or Exclude]], 0,4)</f>
        <v/>
      </c>
      <c r="M114" s="170" t="str" cm="1">
        <f t="array" ref="M114">Common_InputFunctions.Utility_DisplayArrayInTable(Fertiliser_SourceData.Fertiliser_Products_Data1(),FertiliserProducts[[#Headers],[Include or Exclude]], 0,4)</f>
        <v/>
      </c>
      <c r="N114" s="170" t="str" cm="1">
        <f t="array" ref="N114">Common_InputFunctions.Utility_DisplayArrayInTable(Fertiliser_SourceData.Fertiliser_Products_Data1(),FertiliserProducts[[#Headers],[Include or Exclude]], 0,4)</f>
        <v/>
      </c>
      <c r="O114" s="170" t="str" cm="1">
        <f t="array" ref="O114">Common_InputFunctions.Utility_DisplayArrayInTable(Fertiliser_SourceData.Fertiliser_Products_Data1(),FertiliserProducts[[#Headers],[Include or Exclude]], 0,4)</f>
        <v/>
      </c>
      <c r="P114" s="170" t="str" cm="1">
        <f t="array" ref="P114">Common_InputFunctions.Utility_DisplayArrayInTable(Fertiliser_SourceData.Fertiliser_Products_Data1(),FertiliserProducts[[#Headers],[Include or Exclude]], 0,4)</f>
        <v/>
      </c>
      <c r="Q114" s="170" t="str" cm="1">
        <f t="array" ref="Q114">Common_InputFunctions.Utility_DisplayArrayInTable(Fertiliser_SourceData.Fertiliser_Products_Data1(),FertiliserProducts[[#Headers],[Include or Exclude]], 0,4)</f>
        <v/>
      </c>
      <c r="R114" s="170" t="str" cm="1">
        <f t="array" ref="R114">Common_InputFunctions.Utility_DisplayArrayInTable(Fertiliser_SourceData.Fertiliser_Products_Data1(),FertiliserProducts[[#Headers],[Include or Exclude]], 0,4)</f>
        <v/>
      </c>
      <c r="S114" s="170" t="str" cm="1">
        <f t="array" ref="S114">Common_InputFunctions.Utility_DisplayArrayInTable(Fertiliser_SourceData.Fertiliser_Products_Data1(),FertiliserProducts[[#Headers],[Include or Exclude]], 0,4)</f>
        <v/>
      </c>
      <c r="T114" s="170" t="str" cm="1">
        <f t="array" ref="T114">Common_InputFunctions.Utility_DisplayArrayInTable(Fertiliser_SourceData.Fertiliser_Products_Data1(),FertiliserProducts[[#Headers],[Include or Exclude]], 0,4)</f>
        <v/>
      </c>
      <c r="U114" s="170" t="str" cm="1">
        <f t="array" ref="U114">Common_InputFunctions.Utility_DisplayArrayInTable(Fertiliser_SourceData.Fertiliser_Products_Data1(),FertiliserProducts[[#Headers],[Include or Exclude]], 0,4)</f>
        <v/>
      </c>
      <c r="V114" s="170" t="str" cm="1">
        <f t="array" ref="V114">Common_InputFunctions.Utility_DisplayArrayInTable(Fertiliser_SourceData.Fertiliser_Products_Data1(),FertiliserProducts[[#Headers],[Include or Exclude]], 0,4)</f>
        <v/>
      </c>
      <c r="W114" s="170" t="str" cm="1">
        <f t="array" ref="W114">Common_InputFunctions.Utility_DisplayArrayInTable(Fertiliser_SourceData.Fertiliser_Products_Data1(),FertiliserProducts[[#Headers],[Include or Exclude]], 0,4)</f>
        <v/>
      </c>
      <c r="X114" s="170" t="str" cm="1">
        <f t="array" ref="X114">Common_InputFunctions.Utility_DisplayArrayInTable(Fertiliser_SourceData.Fertiliser_Products_Data1(),FertiliserProducts[[#Headers],[Include or Exclude]], 0,4)</f>
        <v/>
      </c>
      <c r="Y114" s="170" t="str" cm="1">
        <f t="array" ref="Y114">Common_InputFunctions.Utility_DisplayArrayInTable(Fertiliser_SourceData.Fertiliser_Products_Data1(),FertiliserProducts[[#Headers],[Include or Exclude]], 0,4)</f>
        <v/>
      </c>
      <c r="Z114" s="170" t="str" cm="1">
        <f t="array" ref="Z114">Common_InputFunctions.Utility_DisplayArrayInTable(Fertiliser_SourceData.Fertiliser_Products_Data1(),FertiliserProducts[[#Headers],[Include or Exclude]], 0,4)</f>
        <v/>
      </c>
      <c r="AA114" s="170" t="str" cm="1">
        <f t="array" ref="AA114">Common_InputFunctions.Utility_DisplayArrayInTable(Fertiliser_SourceData.Fertiliser_Products_Data1(),FertiliserProducts[[#Headers],[Include or Exclude]], 0,4)</f>
        <v/>
      </c>
      <c r="AB114" s="170" t="str" cm="1">
        <f t="array" ref="AB114">Common_InputFunctions.Utility_DisplayArrayInTable(Fertiliser_SourceData.Fertiliser_Products_Data1(),FertiliserProducts[[#Headers],[Include or Exclude]], 0,4)</f>
        <v/>
      </c>
      <c r="AC114" s="170" t="str" cm="1">
        <f t="array" ref="AC114">Common_InputFunctions.Utility_DisplayArrayInTable(Fertiliser_SourceData.Fertiliser_Products_Data1(),FertiliserProducts[[#Headers],[Include or Exclude]], 0,4)</f>
        <v/>
      </c>
      <c r="AD114" s="170" t="str" cm="1">
        <f t="array" ref="AD114">Common_InputFunctions.Utility_DisplayArrayInTable(Fertiliser_SourceData.Fertiliser_Products_Data1(),FertiliserProducts[[#Headers],[Include or Exclude]], 0,4)</f>
        <v/>
      </c>
      <c r="AE114" s="170" t="str" cm="1">
        <f t="array" ref="AE114">Common_InputFunctions.Utility_DisplayArrayInTable(Fertiliser_SourceData.Fertiliser_Products_Data1(),FertiliserProducts[[#Headers],[Include or Exclude]], 0,4)</f>
        <v/>
      </c>
    </row>
    <row r="115" spans="4:31" ht="20.100000000000001" customHeight="1" x14ac:dyDescent="0.25">
      <c r="D115" s="170" t="str" cm="1">
        <f t="array" ref="D115">Common_InputFunctions.Utility_DisplayArrayInTable(Fertiliser_SourceData.Fertiliser_Products_Data1(),FertiliserProducts[[#Headers],[Include or Exclude]], -1)</f>
        <v/>
      </c>
      <c r="E115" s="170" t="str" cm="1">
        <f t="array" ref="E115">Common_InputFunctions.Utility_DisplayArrayInTable(Fertiliser_SourceData.Fertiliser_Products_Data1(),FertiliserProducts[[#Headers],[Include or Exclude]], 0)</f>
        <v/>
      </c>
      <c r="F115" s="170" t="str" cm="1">
        <f t="array" ref="F115">Common_InputFunctions.Utility_DisplayArrayInTable(Fertiliser_SourceData.Fertiliser_Products_Data1(),FertiliserProducts[[#Headers],[Include or Exclude]], 0)</f>
        <v/>
      </c>
      <c r="G115" s="170" t="str" cm="1">
        <f t="array" ref="G115">Common_InputFunctions.Utility_DisplayArrayInTable(Fertiliser_SourceData.Fertiliser_Products_Data1(),FertiliserProducts[[#Headers],[Include or Exclude]], 0)</f>
        <v/>
      </c>
      <c r="H115" s="170" t="str" cm="1">
        <f t="array" ref="H115">Common_InputFunctions.Utility_DisplayArrayInTable(Fertiliser_SourceData.Fertiliser_Products_Data1(),FertiliserProducts[[#Headers],[Include or Exclude]], 0,4)</f>
        <v/>
      </c>
      <c r="I115" s="170" t="str" cm="1">
        <f t="array" ref="I115">Common_InputFunctions.Utility_DisplayArrayInTable(Fertiliser_SourceData.Fertiliser_Products_Data1(),FertiliserProducts[[#Headers],[Include or Exclude]], 0,4)</f>
        <v/>
      </c>
      <c r="J115" s="170" t="str" cm="1">
        <f t="array" ref="J115">Common_InputFunctions.Utility_DisplayArrayInTable(Fertiliser_SourceData.Fertiliser_Products_Data1(),FertiliserProducts[[#Headers],[Include or Exclude]], 0,4)</f>
        <v/>
      </c>
      <c r="K115" s="170" t="str" cm="1">
        <f t="array" ref="K115">Common_InputFunctions.Utility_DisplayArrayInTable(Fertiliser_SourceData.Fertiliser_Products_Data1(),FertiliserProducts[[#Headers],[Include or Exclude]], 0,4)</f>
        <v/>
      </c>
      <c r="L115" s="170" t="str" cm="1">
        <f t="array" ref="L115">Common_InputFunctions.Utility_DisplayArrayInTable(Fertiliser_SourceData.Fertiliser_Products_Data1(),FertiliserProducts[[#Headers],[Include or Exclude]], 0,4)</f>
        <v/>
      </c>
      <c r="M115" s="170" t="str" cm="1">
        <f t="array" ref="M115">Common_InputFunctions.Utility_DisplayArrayInTable(Fertiliser_SourceData.Fertiliser_Products_Data1(),FertiliserProducts[[#Headers],[Include or Exclude]], 0,4)</f>
        <v/>
      </c>
      <c r="N115" s="170" t="str" cm="1">
        <f t="array" ref="N115">Common_InputFunctions.Utility_DisplayArrayInTable(Fertiliser_SourceData.Fertiliser_Products_Data1(),FertiliserProducts[[#Headers],[Include or Exclude]], 0,4)</f>
        <v/>
      </c>
      <c r="O115" s="170" t="str" cm="1">
        <f t="array" ref="O115">Common_InputFunctions.Utility_DisplayArrayInTable(Fertiliser_SourceData.Fertiliser_Products_Data1(),FertiliserProducts[[#Headers],[Include or Exclude]], 0,4)</f>
        <v/>
      </c>
      <c r="P115" s="170" t="str" cm="1">
        <f t="array" ref="P115">Common_InputFunctions.Utility_DisplayArrayInTable(Fertiliser_SourceData.Fertiliser_Products_Data1(),FertiliserProducts[[#Headers],[Include or Exclude]], 0,4)</f>
        <v/>
      </c>
      <c r="Q115" s="170" t="str" cm="1">
        <f t="array" ref="Q115">Common_InputFunctions.Utility_DisplayArrayInTable(Fertiliser_SourceData.Fertiliser_Products_Data1(),FertiliserProducts[[#Headers],[Include or Exclude]], 0,4)</f>
        <v/>
      </c>
      <c r="R115" s="170" t="str" cm="1">
        <f t="array" ref="R115">Common_InputFunctions.Utility_DisplayArrayInTable(Fertiliser_SourceData.Fertiliser_Products_Data1(),FertiliserProducts[[#Headers],[Include or Exclude]], 0,4)</f>
        <v/>
      </c>
      <c r="S115" s="170" t="str" cm="1">
        <f t="array" ref="S115">Common_InputFunctions.Utility_DisplayArrayInTable(Fertiliser_SourceData.Fertiliser_Products_Data1(),FertiliserProducts[[#Headers],[Include or Exclude]], 0,4)</f>
        <v/>
      </c>
      <c r="T115" s="170" t="str" cm="1">
        <f t="array" ref="T115">Common_InputFunctions.Utility_DisplayArrayInTable(Fertiliser_SourceData.Fertiliser_Products_Data1(),FertiliserProducts[[#Headers],[Include or Exclude]], 0,4)</f>
        <v/>
      </c>
      <c r="U115" s="170" t="str" cm="1">
        <f t="array" ref="U115">Common_InputFunctions.Utility_DisplayArrayInTable(Fertiliser_SourceData.Fertiliser_Products_Data1(),FertiliserProducts[[#Headers],[Include or Exclude]], 0,4)</f>
        <v/>
      </c>
      <c r="V115" s="170" t="str" cm="1">
        <f t="array" ref="V115">Common_InputFunctions.Utility_DisplayArrayInTable(Fertiliser_SourceData.Fertiliser_Products_Data1(),FertiliserProducts[[#Headers],[Include or Exclude]], 0,4)</f>
        <v/>
      </c>
      <c r="W115" s="170" t="str" cm="1">
        <f t="array" ref="W115">Common_InputFunctions.Utility_DisplayArrayInTable(Fertiliser_SourceData.Fertiliser_Products_Data1(),FertiliserProducts[[#Headers],[Include or Exclude]], 0,4)</f>
        <v/>
      </c>
      <c r="X115" s="170" t="str" cm="1">
        <f t="array" ref="X115">Common_InputFunctions.Utility_DisplayArrayInTable(Fertiliser_SourceData.Fertiliser_Products_Data1(),FertiliserProducts[[#Headers],[Include or Exclude]], 0,4)</f>
        <v/>
      </c>
      <c r="Y115" s="170" t="str" cm="1">
        <f t="array" ref="Y115">Common_InputFunctions.Utility_DisplayArrayInTable(Fertiliser_SourceData.Fertiliser_Products_Data1(),FertiliserProducts[[#Headers],[Include or Exclude]], 0,4)</f>
        <v/>
      </c>
      <c r="Z115" s="170" t="str" cm="1">
        <f t="array" ref="Z115">Common_InputFunctions.Utility_DisplayArrayInTable(Fertiliser_SourceData.Fertiliser_Products_Data1(),FertiliserProducts[[#Headers],[Include or Exclude]], 0,4)</f>
        <v/>
      </c>
      <c r="AA115" s="170" t="str" cm="1">
        <f t="array" ref="AA115">Common_InputFunctions.Utility_DisplayArrayInTable(Fertiliser_SourceData.Fertiliser_Products_Data1(),FertiliserProducts[[#Headers],[Include or Exclude]], 0,4)</f>
        <v/>
      </c>
      <c r="AB115" s="170" t="str" cm="1">
        <f t="array" ref="AB115">Common_InputFunctions.Utility_DisplayArrayInTable(Fertiliser_SourceData.Fertiliser_Products_Data1(),FertiliserProducts[[#Headers],[Include or Exclude]], 0,4)</f>
        <v/>
      </c>
      <c r="AC115" s="170" t="str" cm="1">
        <f t="array" ref="AC115">Common_InputFunctions.Utility_DisplayArrayInTable(Fertiliser_SourceData.Fertiliser_Products_Data1(),FertiliserProducts[[#Headers],[Include or Exclude]], 0,4)</f>
        <v/>
      </c>
      <c r="AD115" s="170" t="str" cm="1">
        <f t="array" ref="AD115">Common_InputFunctions.Utility_DisplayArrayInTable(Fertiliser_SourceData.Fertiliser_Products_Data1(),FertiliserProducts[[#Headers],[Include or Exclude]], 0,4)</f>
        <v/>
      </c>
      <c r="AE115" s="170" t="str" cm="1">
        <f t="array" ref="AE115">Common_InputFunctions.Utility_DisplayArrayInTable(Fertiliser_SourceData.Fertiliser_Products_Data1(),FertiliserProducts[[#Headers],[Include or Exclude]], 0,4)</f>
        <v/>
      </c>
    </row>
    <row r="116" spans="4:31" ht="20.100000000000001" customHeight="1" x14ac:dyDescent="0.25">
      <c r="D116" s="170" t="str" cm="1">
        <f t="array" ref="D116">Common_InputFunctions.Utility_DisplayArrayInTable(Fertiliser_SourceData.Fertiliser_Products_Data1(),FertiliserProducts[[#Headers],[Include or Exclude]], -1)</f>
        <v/>
      </c>
      <c r="E116" s="170" t="str" cm="1">
        <f t="array" ref="E116">Common_InputFunctions.Utility_DisplayArrayInTable(Fertiliser_SourceData.Fertiliser_Products_Data1(),FertiliserProducts[[#Headers],[Include or Exclude]], 0)</f>
        <v/>
      </c>
      <c r="F116" s="170" t="str" cm="1">
        <f t="array" ref="F116">Common_InputFunctions.Utility_DisplayArrayInTable(Fertiliser_SourceData.Fertiliser_Products_Data1(),FertiliserProducts[[#Headers],[Include or Exclude]], 0)</f>
        <v/>
      </c>
      <c r="G116" s="170" t="str" cm="1">
        <f t="array" ref="G116">Common_InputFunctions.Utility_DisplayArrayInTable(Fertiliser_SourceData.Fertiliser_Products_Data1(),FertiliserProducts[[#Headers],[Include or Exclude]], 0)</f>
        <v/>
      </c>
      <c r="H116" s="170" t="str" cm="1">
        <f t="array" ref="H116">Common_InputFunctions.Utility_DisplayArrayInTable(Fertiliser_SourceData.Fertiliser_Products_Data1(),FertiliserProducts[[#Headers],[Include or Exclude]], 0,4)</f>
        <v/>
      </c>
      <c r="I116" s="170" t="str" cm="1">
        <f t="array" ref="I116">Common_InputFunctions.Utility_DisplayArrayInTable(Fertiliser_SourceData.Fertiliser_Products_Data1(),FertiliserProducts[[#Headers],[Include or Exclude]], 0,4)</f>
        <v/>
      </c>
      <c r="J116" s="170" t="str" cm="1">
        <f t="array" ref="J116">Common_InputFunctions.Utility_DisplayArrayInTable(Fertiliser_SourceData.Fertiliser_Products_Data1(),FertiliserProducts[[#Headers],[Include or Exclude]], 0,4)</f>
        <v/>
      </c>
      <c r="K116" s="170" t="str" cm="1">
        <f t="array" ref="K116">Common_InputFunctions.Utility_DisplayArrayInTable(Fertiliser_SourceData.Fertiliser_Products_Data1(),FertiliserProducts[[#Headers],[Include or Exclude]], 0,4)</f>
        <v/>
      </c>
      <c r="L116" s="170" t="str" cm="1">
        <f t="array" ref="L116">Common_InputFunctions.Utility_DisplayArrayInTable(Fertiliser_SourceData.Fertiliser_Products_Data1(),FertiliserProducts[[#Headers],[Include or Exclude]], 0,4)</f>
        <v/>
      </c>
      <c r="M116" s="170" t="str" cm="1">
        <f t="array" ref="M116">Common_InputFunctions.Utility_DisplayArrayInTable(Fertiliser_SourceData.Fertiliser_Products_Data1(),FertiliserProducts[[#Headers],[Include or Exclude]], 0,4)</f>
        <v/>
      </c>
      <c r="N116" s="170" t="str" cm="1">
        <f t="array" ref="N116">Common_InputFunctions.Utility_DisplayArrayInTable(Fertiliser_SourceData.Fertiliser_Products_Data1(),FertiliserProducts[[#Headers],[Include or Exclude]], 0,4)</f>
        <v/>
      </c>
      <c r="O116" s="170" t="str" cm="1">
        <f t="array" ref="O116">Common_InputFunctions.Utility_DisplayArrayInTable(Fertiliser_SourceData.Fertiliser_Products_Data1(),FertiliserProducts[[#Headers],[Include or Exclude]], 0,4)</f>
        <v/>
      </c>
      <c r="P116" s="170" t="str" cm="1">
        <f t="array" ref="P116">Common_InputFunctions.Utility_DisplayArrayInTable(Fertiliser_SourceData.Fertiliser_Products_Data1(),FertiliserProducts[[#Headers],[Include or Exclude]], 0,4)</f>
        <v/>
      </c>
      <c r="Q116" s="170" t="str" cm="1">
        <f t="array" ref="Q116">Common_InputFunctions.Utility_DisplayArrayInTable(Fertiliser_SourceData.Fertiliser_Products_Data1(),FertiliserProducts[[#Headers],[Include or Exclude]], 0,4)</f>
        <v/>
      </c>
      <c r="R116" s="170" t="str" cm="1">
        <f t="array" ref="R116">Common_InputFunctions.Utility_DisplayArrayInTable(Fertiliser_SourceData.Fertiliser_Products_Data1(),FertiliserProducts[[#Headers],[Include or Exclude]], 0,4)</f>
        <v/>
      </c>
      <c r="S116" s="170" t="str" cm="1">
        <f t="array" ref="S116">Common_InputFunctions.Utility_DisplayArrayInTable(Fertiliser_SourceData.Fertiliser_Products_Data1(),FertiliserProducts[[#Headers],[Include or Exclude]], 0,4)</f>
        <v/>
      </c>
      <c r="T116" s="170" t="str" cm="1">
        <f t="array" ref="T116">Common_InputFunctions.Utility_DisplayArrayInTable(Fertiliser_SourceData.Fertiliser_Products_Data1(),FertiliserProducts[[#Headers],[Include or Exclude]], 0,4)</f>
        <v/>
      </c>
      <c r="U116" s="170" t="str" cm="1">
        <f t="array" ref="U116">Common_InputFunctions.Utility_DisplayArrayInTable(Fertiliser_SourceData.Fertiliser_Products_Data1(),FertiliserProducts[[#Headers],[Include or Exclude]], 0,4)</f>
        <v/>
      </c>
      <c r="V116" s="170" t="str" cm="1">
        <f t="array" ref="V116">Common_InputFunctions.Utility_DisplayArrayInTable(Fertiliser_SourceData.Fertiliser_Products_Data1(),FertiliserProducts[[#Headers],[Include or Exclude]], 0,4)</f>
        <v/>
      </c>
      <c r="W116" s="170" t="str" cm="1">
        <f t="array" ref="W116">Common_InputFunctions.Utility_DisplayArrayInTable(Fertiliser_SourceData.Fertiliser_Products_Data1(),FertiliserProducts[[#Headers],[Include or Exclude]], 0,4)</f>
        <v/>
      </c>
      <c r="X116" s="170" t="str" cm="1">
        <f t="array" ref="X116">Common_InputFunctions.Utility_DisplayArrayInTable(Fertiliser_SourceData.Fertiliser_Products_Data1(),FertiliserProducts[[#Headers],[Include or Exclude]], 0,4)</f>
        <v/>
      </c>
      <c r="Y116" s="170" t="str" cm="1">
        <f t="array" ref="Y116">Common_InputFunctions.Utility_DisplayArrayInTable(Fertiliser_SourceData.Fertiliser_Products_Data1(),FertiliserProducts[[#Headers],[Include or Exclude]], 0,4)</f>
        <v/>
      </c>
      <c r="Z116" s="170" t="str" cm="1">
        <f t="array" ref="Z116">Common_InputFunctions.Utility_DisplayArrayInTable(Fertiliser_SourceData.Fertiliser_Products_Data1(),FertiliserProducts[[#Headers],[Include or Exclude]], 0,4)</f>
        <v/>
      </c>
      <c r="AA116" s="170" t="str" cm="1">
        <f t="array" ref="AA116">Common_InputFunctions.Utility_DisplayArrayInTable(Fertiliser_SourceData.Fertiliser_Products_Data1(),FertiliserProducts[[#Headers],[Include or Exclude]], 0,4)</f>
        <v/>
      </c>
      <c r="AB116" s="170" t="str" cm="1">
        <f t="array" ref="AB116">Common_InputFunctions.Utility_DisplayArrayInTable(Fertiliser_SourceData.Fertiliser_Products_Data1(),FertiliserProducts[[#Headers],[Include or Exclude]], 0,4)</f>
        <v/>
      </c>
      <c r="AC116" s="170" t="str" cm="1">
        <f t="array" ref="AC116">Common_InputFunctions.Utility_DisplayArrayInTable(Fertiliser_SourceData.Fertiliser_Products_Data1(),FertiliserProducts[[#Headers],[Include or Exclude]], 0,4)</f>
        <v/>
      </c>
      <c r="AD116" s="170" t="str" cm="1">
        <f t="array" ref="AD116">Common_InputFunctions.Utility_DisplayArrayInTable(Fertiliser_SourceData.Fertiliser_Products_Data1(),FertiliserProducts[[#Headers],[Include or Exclude]], 0,4)</f>
        <v/>
      </c>
      <c r="AE116" s="170" t="str" cm="1">
        <f t="array" ref="AE116">Common_InputFunctions.Utility_DisplayArrayInTable(Fertiliser_SourceData.Fertiliser_Products_Data1(),FertiliserProducts[[#Headers],[Include or Exclude]], 0,4)</f>
        <v/>
      </c>
    </row>
    <row r="117" spans="4:31" ht="20.100000000000001" customHeight="1" x14ac:dyDescent="0.25">
      <c r="D117" s="170" t="str" cm="1">
        <f t="array" ref="D117">Common_InputFunctions.Utility_DisplayArrayInTable(Fertiliser_SourceData.Fertiliser_Products_Data1(),FertiliserProducts[[#Headers],[Include or Exclude]], -1)</f>
        <v/>
      </c>
      <c r="E117" s="170" t="str" cm="1">
        <f t="array" ref="E117">Common_InputFunctions.Utility_DisplayArrayInTable(Fertiliser_SourceData.Fertiliser_Products_Data1(),FertiliserProducts[[#Headers],[Include or Exclude]], 0)</f>
        <v/>
      </c>
      <c r="F117" s="170" t="str" cm="1">
        <f t="array" ref="F117">Common_InputFunctions.Utility_DisplayArrayInTable(Fertiliser_SourceData.Fertiliser_Products_Data1(),FertiliserProducts[[#Headers],[Include or Exclude]], 0)</f>
        <v/>
      </c>
      <c r="G117" s="170" t="str" cm="1">
        <f t="array" ref="G117">Common_InputFunctions.Utility_DisplayArrayInTable(Fertiliser_SourceData.Fertiliser_Products_Data1(),FertiliserProducts[[#Headers],[Include or Exclude]], 0)</f>
        <v/>
      </c>
      <c r="H117" s="170" t="str" cm="1">
        <f t="array" ref="H117">Common_InputFunctions.Utility_DisplayArrayInTable(Fertiliser_SourceData.Fertiliser_Products_Data1(),FertiliserProducts[[#Headers],[Include or Exclude]], 0,4)</f>
        <v/>
      </c>
      <c r="I117" s="170" t="str" cm="1">
        <f t="array" ref="I117">Common_InputFunctions.Utility_DisplayArrayInTable(Fertiliser_SourceData.Fertiliser_Products_Data1(),FertiliserProducts[[#Headers],[Include or Exclude]], 0,4)</f>
        <v/>
      </c>
      <c r="J117" s="170" t="str" cm="1">
        <f t="array" ref="J117">Common_InputFunctions.Utility_DisplayArrayInTable(Fertiliser_SourceData.Fertiliser_Products_Data1(),FertiliserProducts[[#Headers],[Include or Exclude]], 0,4)</f>
        <v/>
      </c>
      <c r="K117" s="170" t="str" cm="1">
        <f t="array" ref="K117">Common_InputFunctions.Utility_DisplayArrayInTable(Fertiliser_SourceData.Fertiliser_Products_Data1(),FertiliserProducts[[#Headers],[Include or Exclude]], 0,4)</f>
        <v/>
      </c>
      <c r="L117" s="170" t="str" cm="1">
        <f t="array" ref="L117">Common_InputFunctions.Utility_DisplayArrayInTable(Fertiliser_SourceData.Fertiliser_Products_Data1(),FertiliserProducts[[#Headers],[Include or Exclude]], 0,4)</f>
        <v/>
      </c>
      <c r="M117" s="170" t="str" cm="1">
        <f t="array" ref="M117">Common_InputFunctions.Utility_DisplayArrayInTable(Fertiliser_SourceData.Fertiliser_Products_Data1(),FertiliserProducts[[#Headers],[Include or Exclude]], 0,4)</f>
        <v/>
      </c>
      <c r="N117" s="170" t="str" cm="1">
        <f t="array" ref="N117">Common_InputFunctions.Utility_DisplayArrayInTable(Fertiliser_SourceData.Fertiliser_Products_Data1(),FertiliserProducts[[#Headers],[Include or Exclude]], 0,4)</f>
        <v/>
      </c>
      <c r="O117" s="170" t="str" cm="1">
        <f t="array" ref="O117">Common_InputFunctions.Utility_DisplayArrayInTable(Fertiliser_SourceData.Fertiliser_Products_Data1(),FertiliserProducts[[#Headers],[Include or Exclude]], 0,4)</f>
        <v/>
      </c>
      <c r="P117" s="170" t="str" cm="1">
        <f t="array" ref="P117">Common_InputFunctions.Utility_DisplayArrayInTable(Fertiliser_SourceData.Fertiliser_Products_Data1(),FertiliserProducts[[#Headers],[Include or Exclude]], 0,4)</f>
        <v/>
      </c>
      <c r="Q117" s="170" t="str" cm="1">
        <f t="array" ref="Q117">Common_InputFunctions.Utility_DisplayArrayInTable(Fertiliser_SourceData.Fertiliser_Products_Data1(),FertiliserProducts[[#Headers],[Include or Exclude]], 0,4)</f>
        <v/>
      </c>
      <c r="R117" s="170" t="str" cm="1">
        <f t="array" ref="R117">Common_InputFunctions.Utility_DisplayArrayInTable(Fertiliser_SourceData.Fertiliser_Products_Data1(),FertiliserProducts[[#Headers],[Include or Exclude]], 0,4)</f>
        <v/>
      </c>
      <c r="S117" s="170" t="str" cm="1">
        <f t="array" ref="S117">Common_InputFunctions.Utility_DisplayArrayInTable(Fertiliser_SourceData.Fertiliser_Products_Data1(),FertiliserProducts[[#Headers],[Include or Exclude]], 0,4)</f>
        <v/>
      </c>
      <c r="T117" s="170" t="str" cm="1">
        <f t="array" ref="T117">Common_InputFunctions.Utility_DisplayArrayInTable(Fertiliser_SourceData.Fertiliser_Products_Data1(),FertiliserProducts[[#Headers],[Include or Exclude]], 0,4)</f>
        <v/>
      </c>
      <c r="U117" s="170" t="str" cm="1">
        <f t="array" ref="U117">Common_InputFunctions.Utility_DisplayArrayInTable(Fertiliser_SourceData.Fertiliser_Products_Data1(),FertiliserProducts[[#Headers],[Include or Exclude]], 0,4)</f>
        <v/>
      </c>
      <c r="V117" s="170" t="str" cm="1">
        <f t="array" ref="V117">Common_InputFunctions.Utility_DisplayArrayInTable(Fertiliser_SourceData.Fertiliser_Products_Data1(),FertiliserProducts[[#Headers],[Include or Exclude]], 0,4)</f>
        <v/>
      </c>
      <c r="W117" s="170" t="str" cm="1">
        <f t="array" ref="W117">Common_InputFunctions.Utility_DisplayArrayInTable(Fertiliser_SourceData.Fertiliser_Products_Data1(),FertiliserProducts[[#Headers],[Include or Exclude]], 0,4)</f>
        <v/>
      </c>
      <c r="X117" s="170" t="str" cm="1">
        <f t="array" ref="X117">Common_InputFunctions.Utility_DisplayArrayInTable(Fertiliser_SourceData.Fertiliser_Products_Data1(),FertiliserProducts[[#Headers],[Include or Exclude]], 0,4)</f>
        <v/>
      </c>
      <c r="Y117" s="170" t="str" cm="1">
        <f t="array" ref="Y117">Common_InputFunctions.Utility_DisplayArrayInTable(Fertiliser_SourceData.Fertiliser_Products_Data1(),FertiliserProducts[[#Headers],[Include or Exclude]], 0,4)</f>
        <v/>
      </c>
      <c r="Z117" s="170" t="str" cm="1">
        <f t="array" ref="Z117">Common_InputFunctions.Utility_DisplayArrayInTable(Fertiliser_SourceData.Fertiliser_Products_Data1(),FertiliserProducts[[#Headers],[Include or Exclude]], 0,4)</f>
        <v/>
      </c>
      <c r="AA117" s="170" t="str" cm="1">
        <f t="array" ref="AA117">Common_InputFunctions.Utility_DisplayArrayInTable(Fertiliser_SourceData.Fertiliser_Products_Data1(),FertiliserProducts[[#Headers],[Include or Exclude]], 0,4)</f>
        <v/>
      </c>
      <c r="AB117" s="170" t="str" cm="1">
        <f t="array" ref="AB117">Common_InputFunctions.Utility_DisplayArrayInTable(Fertiliser_SourceData.Fertiliser_Products_Data1(),FertiliserProducts[[#Headers],[Include or Exclude]], 0,4)</f>
        <v/>
      </c>
      <c r="AC117" s="170" t="str" cm="1">
        <f t="array" ref="AC117">Common_InputFunctions.Utility_DisplayArrayInTable(Fertiliser_SourceData.Fertiliser_Products_Data1(),FertiliserProducts[[#Headers],[Include or Exclude]], 0,4)</f>
        <v/>
      </c>
      <c r="AD117" s="170" t="str" cm="1">
        <f t="array" ref="AD117">Common_InputFunctions.Utility_DisplayArrayInTable(Fertiliser_SourceData.Fertiliser_Products_Data1(),FertiliserProducts[[#Headers],[Include or Exclude]], 0,4)</f>
        <v/>
      </c>
      <c r="AE117" s="170" t="str" cm="1">
        <f t="array" ref="AE117">Common_InputFunctions.Utility_DisplayArrayInTable(Fertiliser_SourceData.Fertiliser_Products_Data1(),FertiliserProducts[[#Headers],[Include or Exclude]], 0,4)</f>
        <v/>
      </c>
    </row>
    <row r="118" spans="4:31" ht="20.100000000000001" customHeight="1" x14ac:dyDescent="0.25">
      <c r="D118" s="170" t="str" cm="1">
        <f t="array" ref="D118">Common_InputFunctions.Utility_DisplayArrayInTable(Fertiliser_SourceData.Fertiliser_Products_Data1(),FertiliserProducts[[#Headers],[Include or Exclude]], -1)</f>
        <v/>
      </c>
      <c r="E118" s="170" t="str" cm="1">
        <f t="array" ref="E118">Common_InputFunctions.Utility_DisplayArrayInTable(Fertiliser_SourceData.Fertiliser_Products_Data1(),FertiliserProducts[[#Headers],[Include or Exclude]], 0)</f>
        <v/>
      </c>
      <c r="F118" s="170" t="str" cm="1">
        <f t="array" ref="F118">Common_InputFunctions.Utility_DisplayArrayInTable(Fertiliser_SourceData.Fertiliser_Products_Data1(),FertiliserProducts[[#Headers],[Include or Exclude]], 0)</f>
        <v/>
      </c>
      <c r="G118" s="170" t="str" cm="1">
        <f t="array" ref="G118">Common_InputFunctions.Utility_DisplayArrayInTable(Fertiliser_SourceData.Fertiliser_Products_Data1(),FertiliserProducts[[#Headers],[Include or Exclude]], 0)</f>
        <v/>
      </c>
      <c r="H118" s="170" t="str" cm="1">
        <f t="array" ref="H118">Common_InputFunctions.Utility_DisplayArrayInTable(Fertiliser_SourceData.Fertiliser_Products_Data1(),FertiliserProducts[[#Headers],[Include or Exclude]], 0,4)</f>
        <v/>
      </c>
      <c r="I118" s="170" t="str" cm="1">
        <f t="array" ref="I118">Common_InputFunctions.Utility_DisplayArrayInTable(Fertiliser_SourceData.Fertiliser_Products_Data1(),FertiliserProducts[[#Headers],[Include or Exclude]], 0,4)</f>
        <v/>
      </c>
      <c r="J118" s="170" t="str" cm="1">
        <f t="array" ref="J118">Common_InputFunctions.Utility_DisplayArrayInTable(Fertiliser_SourceData.Fertiliser_Products_Data1(),FertiliserProducts[[#Headers],[Include or Exclude]], 0,4)</f>
        <v/>
      </c>
      <c r="K118" s="170" t="str" cm="1">
        <f t="array" ref="K118">Common_InputFunctions.Utility_DisplayArrayInTable(Fertiliser_SourceData.Fertiliser_Products_Data1(),FertiliserProducts[[#Headers],[Include or Exclude]], 0,4)</f>
        <v/>
      </c>
      <c r="L118" s="170" t="str" cm="1">
        <f t="array" ref="L118">Common_InputFunctions.Utility_DisplayArrayInTable(Fertiliser_SourceData.Fertiliser_Products_Data1(),FertiliserProducts[[#Headers],[Include or Exclude]], 0,4)</f>
        <v/>
      </c>
      <c r="M118" s="170" t="str" cm="1">
        <f t="array" ref="M118">Common_InputFunctions.Utility_DisplayArrayInTable(Fertiliser_SourceData.Fertiliser_Products_Data1(),FertiliserProducts[[#Headers],[Include or Exclude]], 0,4)</f>
        <v/>
      </c>
      <c r="N118" s="170" t="str" cm="1">
        <f t="array" ref="N118">Common_InputFunctions.Utility_DisplayArrayInTable(Fertiliser_SourceData.Fertiliser_Products_Data1(),FertiliserProducts[[#Headers],[Include or Exclude]], 0,4)</f>
        <v/>
      </c>
      <c r="O118" s="170" t="str" cm="1">
        <f t="array" ref="O118">Common_InputFunctions.Utility_DisplayArrayInTable(Fertiliser_SourceData.Fertiliser_Products_Data1(),FertiliserProducts[[#Headers],[Include or Exclude]], 0,4)</f>
        <v/>
      </c>
      <c r="P118" s="170" t="str" cm="1">
        <f t="array" ref="P118">Common_InputFunctions.Utility_DisplayArrayInTable(Fertiliser_SourceData.Fertiliser_Products_Data1(),FertiliserProducts[[#Headers],[Include or Exclude]], 0,4)</f>
        <v/>
      </c>
      <c r="Q118" s="170" t="str" cm="1">
        <f t="array" ref="Q118">Common_InputFunctions.Utility_DisplayArrayInTable(Fertiliser_SourceData.Fertiliser_Products_Data1(),FertiliserProducts[[#Headers],[Include or Exclude]], 0,4)</f>
        <v/>
      </c>
      <c r="R118" s="170" t="str" cm="1">
        <f t="array" ref="R118">Common_InputFunctions.Utility_DisplayArrayInTable(Fertiliser_SourceData.Fertiliser_Products_Data1(),FertiliserProducts[[#Headers],[Include or Exclude]], 0,4)</f>
        <v/>
      </c>
      <c r="S118" s="170" t="str" cm="1">
        <f t="array" ref="S118">Common_InputFunctions.Utility_DisplayArrayInTable(Fertiliser_SourceData.Fertiliser_Products_Data1(),FertiliserProducts[[#Headers],[Include or Exclude]], 0,4)</f>
        <v/>
      </c>
      <c r="T118" s="170" t="str" cm="1">
        <f t="array" ref="T118">Common_InputFunctions.Utility_DisplayArrayInTable(Fertiliser_SourceData.Fertiliser_Products_Data1(),FertiliserProducts[[#Headers],[Include or Exclude]], 0,4)</f>
        <v/>
      </c>
      <c r="U118" s="170" t="str" cm="1">
        <f t="array" ref="U118">Common_InputFunctions.Utility_DisplayArrayInTable(Fertiliser_SourceData.Fertiliser_Products_Data1(),FertiliserProducts[[#Headers],[Include or Exclude]], 0,4)</f>
        <v/>
      </c>
      <c r="V118" s="170" t="str" cm="1">
        <f t="array" ref="V118">Common_InputFunctions.Utility_DisplayArrayInTable(Fertiliser_SourceData.Fertiliser_Products_Data1(),FertiliserProducts[[#Headers],[Include or Exclude]], 0,4)</f>
        <v/>
      </c>
      <c r="W118" s="170" t="str" cm="1">
        <f t="array" ref="W118">Common_InputFunctions.Utility_DisplayArrayInTable(Fertiliser_SourceData.Fertiliser_Products_Data1(),FertiliserProducts[[#Headers],[Include or Exclude]], 0,4)</f>
        <v/>
      </c>
      <c r="X118" s="170" t="str" cm="1">
        <f t="array" ref="X118">Common_InputFunctions.Utility_DisplayArrayInTable(Fertiliser_SourceData.Fertiliser_Products_Data1(),FertiliserProducts[[#Headers],[Include or Exclude]], 0,4)</f>
        <v/>
      </c>
      <c r="Y118" s="170" t="str" cm="1">
        <f t="array" ref="Y118">Common_InputFunctions.Utility_DisplayArrayInTable(Fertiliser_SourceData.Fertiliser_Products_Data1(),FertiliserProducts[[#Headers],[Include or Exclude]], 0,4)</f>
        <v/>
      </c>
      <c r="Z118" s="170" t="str" cm="1">
        <f t="array" ref="Z118">Common_InputFunctions.Utility_DisplayArrayInTable(Fertiliser_SourceData.Fertiliser_Products_Data1(),FertiliserProducts[[#Headers],[Include or Exclude]], 0,4)</f>
        <v/>
      </c>
      <c r="AA118" s="170" t="str" cm="1">
        <f t="array" ref="AA118">Common_InputFunctions.Utility_DisplayArrayInTable(Fertiliser_SourceData.Fertiliser_Products_Data1(),FertiliserProducts[[#Headers],[Include or Exclude]], 0,4)</f>
        <v/>
      </c>
      <c r="AB118" s="170" t="str" cm="1">
        <f t="array" ref="AB118">Common_InputFunctions.Utility_DisplayArrayInTable(Fertiliser_SourceData.Fertiliser_Products_Data1(),FertiliserProducts[[#Headers],[Include or Exclude]], 0,4)</f>
        <v/>
      </c>
      <c r="AC118" s="170" t="str" cm="1">
        <f t="array" ref="AC118">Common_InputFunctions.Utility_DisplayArrayInTable(Fertiliser_SourceData.Fertiliser_Products_Data1(),FertiliserProducts[[#Headers],[Include or Exclude]], 0,4)</f>
        <v/>
      </c>
      <c r="AD118" s="170" t="str" cm="1">
        <f t="array" ref="AD118">Common_InputFunctions.Utility_DisplayArrayInTable(Fertiliser_SourceData.Fertiliser_Products_Data1(),FertiliserProducts[[#Headers],[Include or Exclude]], 0,4)</f>
        <v/>
      </c>
      <c r="AE118" s="170" t="str" cm="1">
        <f t="array" ref="AE118">Common_InputFunctions.Utility_DisplayArrayInTable(Fertiliser_SourceData.Fertiliser_Products_Data1(),FertiliserProducts[[#Headers],[Include or Exclude]], 0,4)</f>
        <v/>
      </c>
    </row>
    <row r="119" spans="4:31" ht="20.100000000000001" customHeight="1" x14ac:dyDescent="0.25">
      <c r="D119" s="170" t="str" cm="1">
        <f t="array" ref="D119">Common_InputFunctions.Utility_DisplayArrayInTable(Fertiliser_SourceData.Fertiliser_Products_Data1(),FertiliserProducts[[#Headers],[Include or Exclude]], -1)</f>
        <v/>
      </c>
      <c r="E119" s="170" t="str" cm="1">
        <f t="array" ref="E119">Common_InputFunctions.Utility_DisplayArrayInTable(Fertiliser_SourceData.Fertiliser_Products_Data1(),FertiliserProducts[[#Headers],[Include or Exclude]], 0)</f>
        <v/>
      </c>
      <c r="F119" s="170" t="str" cm="1">
        <f t="array" ref="F119">Common_InputFunctions.Utility_DisplayArrayInTable(Fertiliser_SourceData.Fertiliser_Products_Data1(),FertiliserProducts[[#Headers],[Include or Exclude]], 0)</f>
        <v/>
      </c>
      <c r="G119" s="170" t="str" cm="1">
        <f t="array" ref="G119">Common_InputFunctions.Utility_DisplayArrayInTable(Fertiliser_SourceData.Fertiliser_Products_Data1(),FertiliserProducts[[#Headers],[Include or Exclude]], 0)</f>
        <v/>
      </c>
      <c r="H119" s="170" t="str" cm="1">
        <f t="array" ref="H119">Common_InputFunctions.Utility_DisplayArrayInTable(Fertiliser_SourceData.Fertiliser_Products_Data1(),FertiliserProducts[[#Headers],[Include or Exclude]], 0,4)</f>
        <v/>
      </c>
      <c r="I119" s="170" t="str" cm="1">
        <f t="array" ref="I119">Common_InputFunctions.Utility_DisplayArrayInTable(Fertiliser_SourceData.Fertiliser_Products_Data1(),FertiliserProducts[[#Headers],[Include or Exclude]], 0,4)</f>
        <v/>
      </c>
      <c r="J119" s="170" t="str" cm="1">
        <f t="array" ref="J119">Common_InputFunctions.Utility_DisplayArrayInTable(Fertiliser_SourceData.Fertiliser_Products_Data1(),FertiliserProducts[[#Headers],[Include or Exclude]], 0,4)</f>
        <v/>
      </c>
      <c r="K119" s="170" t="str" cm="1">
        <f t="array" ref="K119">Common_InputFunctions.Utility_DisplayArrayInTable(Fertiliser_SourceData.Fertiliser_Products_Data1(),FertiliserProducts[[#Headers],[Include or Exclude]], 0,4)</f>
        <v/>
      </c>
      <c r="L119" s="170" t="str" cm="1">
        <f t="array" ref="L119">Common_InputFunctions.Utility_DisplayArrayInTable(Fertiliser_SourceData.Fertiliser_Products_Data1(),FertiliserProducts[[#Headers],[Include or Exclude]], 0,4)</f>
        <v/>
      </c>
      <c r="M119" s="170" t="str" cm="1">
        <f t="array" ref="M119">Common_InputFunctions.Utility_DisplayArrayInTable(Fertiliser_SourceData.Fertiliser_Products_Data1(),FertiliserProducts[[#Headers],[Include or Exclude]], 0,4)</f>
        <v/>
      </c>
      <c r="N119" s="170" t="str" cm="1">
        <f t="array" ref="N119">Common_InputFunctions.Utility_DisplayArrayInTable(Fertiliser_SourceData.Fertiliser_Products_Data1(),FertiliserProducts[[#Headers],[Include or Exclude]], 0,4)</f>
        <v/>
      </c>
      <c r="O119" s="170" t="str" cm="1">
        <f t="array" ref="O119">Common_InputFunctions.Utility_DisplayArrayInTable(Fertiliser_SourceData.Fertiliser_Products_Data1(),FertiliserProducts[[#Headers],[Include or Exclude]], 0,4)</f>
        <v/>
      </c>
      <c r="P119" s="170" t="str" cm="1">
        <f t="array" ref="P119">Common_InputFunctions.Utility_DisplayArrayInTable(Fertiliser_SourceData.Fertiliser_Products_Data1(),FertiliserProducts[[#Headers],[Include or Exclude]], 0,4)</f>
        <v/>
      </c>
      <c r="Q119" s="170" t="str" cm="1">
        <f t="array" ref="Q119">Common_InputFunctions.Utility_DisplayArrayInTable(Fertiliser_SourceData.Fertiliser_Products_Data1(),FertiliserProducts[[#Headers],[Include or Exclude]], 0,4)</f>
        <v/>
      </c>
      <c r="R119" s="170" t="str" cm="1">
        <f t="array" ref="R119">Common_InputFunctions.Utility_DisplayArrayInTable(Fertiliser_SourceData.Fertiliser_Products_Data1(),FertiliserProducts[[#Headers],[Include or Exclude]], 0,4)</f>
        <v/>
      </c>
      <c r="S119" s="170" t="str" cm="1">
        <f t="array" ref="S119">Common_InputFunctions.Utility_DisplayArrayInTable(Fertiliser_SourceData.Fertiliser_Products_Data1(),FertiliserProducts[[#Headers],[Include or Exclude]], 0,4)</f>
        <v/>
      </c>
      <c r="T119" s="170" t="str" cm="1">
        <f t="array" ref="T119">Common_InputFunctions.Utility_DisplayArrayInTable(Fertiliser_SourceData.Fertiliser_Products_Data1(),FertiliserProducts[[#Headers],[Include or Exclude]], 0,4)</f>
        <v/>
      </c>
      <c r="U119" s="170" t="str" cm="1">
        <f t="array" ref="U119">Common_InputFunctions.Utility_DisplayArrayInTable(Fertiliser_SourceData.Fertiliser_Products_Data1(),FertiliserProducts[[#Headers],[Include or Exclude]], 0,4)</f>
        <v/>
      </c>
      <c r="V119" s="170" t="str" cm="1">
        <f t="array" ref="V119">Common_InputFunctions.Utility_DisplayArrayInTable(Fertiliser_SourceData.Fertiliser_Products_Data1(),FertiliserProducts[[#Headers],[Include or Exclude]], 0,4)</f>
        <v/>
      </c>
      <c r="W119" s="170" t="str" cm="1">
        <f t="array" ref="W119">Common_InputFunctions.Utility_DisplayArrayInTable(Fertiliser_SourceData.Fertiliser_Products_Data1(),FertiliserProducts[[#Headers],[Include or Exclude]], 0,4)</f>
        <v/>
      </c>
      <c r="X119" s="170" t="str" cm="1">
        <f t="array" ref="X119">Common_InputFunctions.Utility_DisplayArrayInTable(Fertiliser_SourceData.Fertiliser_Products_Data1(),FertiliserProducts[[#Headers],[Include or Exclude]], 0,4)</f>
        <v/>
      </c>
      <c r="Y119" s="170" t="str" cm="1">
        <f t="array" ref="Y119">Common_InputFunctions.Utility_DisplayArrayInTable(Fertiliser_SourceData.Fertiliser_Products_Data1(),FertiliserProducts[[#Headers],[Include or Exclude]], 0,4)</f>
        <v/>
      </c>
      <c r="Z119" s="170" t="str" cm="1">
        <f t="array" ref="Z119">Common_InputFunctions.Utility_DisplayArrayInTable(Fertiliser_SourceData.Fertiliser_Products_Data1(),FertiliserProducts[[#Headers],[Include or Exclude]], 0,4)</f>
        <v/>
      </c>
      <c r="AA119" s="170" t="str" cm="1">
        <f t="array" ref="AA119">Common_InputFunctions.Utility_DisplayArrayInTable(Fertiliser_SourceData.Fertiliser_Products_Data1(),FertiliserProducts[[#Headers],[Include or Exclude]], 0,4)</f>
        <v/>
      </c>
      <c r="AB119" s="170" t="str" cm="1">
        <f t="array" ref="AB119">Common_InputFunctions.Utility_DisplayArrayInTable(Fertiliser_SourceData.Fertiliser_Products_Data1(),FertiliserProducts[[#Headers],[Include or Exclude]], 0,4)</f>
        <v/>
      </c>
      <c r="AC119" s="170" t="str" cm="1">
        <f t="array" ref="AC119">Common_InputFunctions.Utility_DisplayArrayInTable(Fertiliser_SourceData.Fertiliser_Products_Data1(),FertiliserProducts[[#Headers],[Include or Exclude]], 0,4)</f>
        <v/>
      </c>
      <c r="AD119" s="170" t="str" cm="1">
        <f t="array" ref="AD119">Common_InputFunctions.Utility_DisplayArrayInTable(Fertiliser_SourceData.Fertiliser_Products_Data1(),FertiliserProducts[[#Headers],[Include or Exclude]], 0,4)</f>
        <v/>
      </c>
      <c r="AE119" s="170" t="str" cm="1">
        <f t="array" ref="AE119">Common_InputFunctions.Utility_DisplayArrayInTable(Fertiliser_SourceData.Fertiliser_Products_Data1(),FertiliserProducts[[#Headers],[Include or Exclude]], 0,4)</f>
        <v/>
      </c>
    </row>
    <row r="120" spans="4:31" ht="20.100000000000001" customHeight="1" x14ac:dyDescent="0.25">
      <c r="D120" s="170" t="str" cm="1">
        <f t="array" ref="D120">Common_InputFunctions.Utility_DisplayArrayInTable(Fertiliser_SourceData.Fertiliser_Products_Data1(),FertiliserProducts[[#Headers],[Include or Exclude]], -1)</f>
        <v/>
      </c>
      <c r="E120" s="170" t="str" cm="1">
        <f t="array" ref="E120">Common_InputFunctions.Utility_DisplayArrayInTable(Fertiliser_SourceData.Fertiliser_Products_Data1(),FertiliserProducts[[#Headers],[Include or Exclude]], 0)</f>
        <v/>
      </c>
      <c r="F120" s="170" t="str" cm="1">
        <f t="array" ref="F120">Common_InputFunctions.Utility_DisplayArrayInTable(Fertiliser_SourceData.Fertiliser_Products_Data1(),FertiliserProducts[[#Headers],[Include or Exclude]], 0)</f>
        <v/>
      </c>
      <c r="G120" s="170" t="str" cm="1">
        <f t="array" ref="G120">Common_InputFunctions.Utility_DisplayArrayInTable(Fertiliser_SourceData.Fertiliser_Products_Data1(),FertiliserProducts[[#Headers],[Include or Exclude]], 0)</f>
        <v/>
      </c>
      <c r="H120" s="170" t="str" cm="1">
        <f t="array" ref="H120">Common_InputFunctions.Utility_DisplayArrayInTable(Fertiliser_SourceData.Fertiliser_Products_Data1(),FertiliserProducts[[#Headers],[Include or Exclude]], 0,4)</f>
        <v/>
      </c>
      <c r="I120" s="170" t="str" cm="1">
        <f t="array" ref="I120">Common_InputFunctions.Utility_DisplayArrayInTable(Fertiliser_SourceData.Fertiliser_Products_Data1(),FertiliserProducts[[#Headers],[Include or Exclude]], 0,4)</f>
        <v/>
      </c>
      <c r="J120" s="170" t="str" cm="1">
        <f t="array" ref="J120">Common_InputFunctions.Utility_DisplayArrayInTable(Fertiliser_SourceData.Fertiliser_Products_Data1(),FertiliserProducts[[#Headers],[Include or Exclude]], 0,4)</f>
        <v/>
      </c>
      <c r="K120" s="170" t="str" cm="1">
        <f t="array" ref="K120">Common_InputFunctions.Utility_DisplayArrayInTable(Fertiliser_SourceData.Fertiliser_Products_Data1(),FertiliserProducts[[#Headers],[Include or Exclude]], 0,4)</f>
        <v/>
      </c>
      <c r="L120" s="170" t="str" cm="1">
        <f t="array" ref="L120">Common_InputFunctions.Utility_DisplayArrayInTable(Fertiliser_SourceData.Fertiliser_Products_Data1(),FertiliserProducts[[#Headers],[Include or Exclude]], 0,4)</f>
        <v/>
      </c>
      <c r="M120" s="170" t="str" cm="1">
        <f t="array" ref="M120">Common_InputFunctions.Utility_DisplayArrayInTable(Fertiliser_SourceData.Fertiliser_Products_Data1(),FertiliserProducts[[#Headers],[Include or Exclude]], 0,4)</f>
        <v/>
      </c>
      <c r="N120" s="170" t="str" cm="1">
        <f t="array" ref="N120">Common_InputFunctions.Utility_DisplayArrayInTable(Fertiliser_SourceData.Fertiliser_Products_Data1(),FertiliserProducts[[#Headers],[Include or Exclude]], 0,4)</f>
        <v/>
      </c>
      <c r="O120" s="170" t="str" cm="1">
        <f t="array" ref="O120">Common_InputFunctions.Utility_DisplayArrayInTable(Fertiliser_SourceData.Fertiliser_Products_Data1(),FertiliserProducts[[#Headers],[Include or Exclude]], 0,4)</f>
        <v/>
      </c>
      <c r="P120" s="170" t="str" cm="1">
        <f t="array" ref="P120">Common_InputFunctions.Utility_DisplayArrayInTable(Fertiliser_SourceData.Fertiliser_Products_Data1(),FertiliserProducts[[#Headers],[Include or Exclude]], 0,4)</f>
        <v/>
      </c>
      <c r="Q120" s="170" t="str" cm="1">
        <f t="array" ref="Q120">Common_InputFunctions.Utility_DisplayArrayInTable(Fertiliser_SourceData.Fertiliser_Products_Data1(),FertiliserProducts[[#Headers],[Include or Exclude]], 0,4)</f>
        <v/>
      </c>
      <c r="R120" s="170" t="str" cm="1">
        <f t="array" ref="R120">Common_InputFunctions.Utility_DisplayArrayInTable(Fertiliser_SourceData.Fertiliser_Products_Data1(),FertiliserProducts[[#Headers],[Include or Exclude]], 0,4)</f>
        <v/>
      </c>
      <c r="S120" s="170" t="str" cm="1">
        <f t="array" ref="S120">Common_InputFunctions.Utility_DisplayArrayInTable(Fertiliser_SourceData.Fertiliser_Products_Data1(),FertiliserProducts[[#Headers],[Include or Exclude]], 0,4)</f>
        <v/>
      </c>
      <c r="T120" s="170" t="str" cm="1">
        <f t="array" ref="T120">Common_InputFunctions.Utility_DisplayArrayInTable(Fertiliser_SourceData.Fertiliser_Products_Data1(),FertiliserProducts[[#Headers],[Include or Exclude]], 0,4)</f>
        <v/>
      </c>
      <c r="U120" s="170" t="str" cm="1">
        <f t="array" ref="U120">Common_InputFunctions.Utility_DisplayArrayInTable(Fertiliser_SourceData.Fertiliser_Products_Data1(),FertiliserProducts[[#Headers],[Include or Exclude]], 0,4)</f>
        <v/>
      </c>
      <c r="V120" s="170" t="str" cm="1">
        <f t="array" ref="V120">Common_InputFunctions.Utility_DisplayArrayInTable(Fertiliser_SourceData.Fertiliser_Products_Data1(),FertiliserProducts[[#Headers],[Include or Exclude]], 0,4)</f>
        <v/>
      </c>
      <c r="W120" s="170" t="str" cm="1">
        <f t="array" ref="W120">Common_InputFunctions.Utility_DisplayArrayInTable(Fertiliser_SourceData.Fertiliser_Products_Data1(),FertiliserProducts[[#Headers],[Include or Exclude]], 0,4)</f>
        <v/>
      </c>
      <c r="X120" s="170" t="str" cm="1">
        <f t="array" ref="X120">Common_InputFunctions.Utility_DisplayArrayInTable(Fertiliser_SourceData.Fertiliser_Products_Data1(),FertiliserProducts[[#Headers],[Include or Exclude]], 0,4)</f>
        <v/>
      </c>
      <c r="Y120" s="170" t="str" cm="1">
        <f t="array" ref="Y120">Common_InputFunctions.Utility_DisplayArrayInTable(Fertiliser_SourceData.Fertiliser_Products_Data1(),FertiliserProducts[[#Headers],[Include or Exclude]], 0,4)</f>
        <v/>
      </c>
      <c r="Z120" s="170" t="str" cm="1">
        <f t="array" ref="Z120">Common_InputFunctions.Utility_DisplayArrayInTable(Fertiliser_SourceData.Fertiliser_Products_Data1(),FertiliserProducts[[#Headers],[Include or Exclude]], 0,4)</f>
        <v/>
      </c>
      <c r="AA120" s="170" t="str" cm="1">
        <f t="array" ref="AA120">Common_InputFunctions.Utility_DisplayArrayInTable(Fertiliser_SourceData.Fertiliser_Products_Data1(),FertiliserProducts[[#Headers],[Include or Exclude]], 0,4)</f>
        <v/>
      </c>
      <c r="AB120" s="170" t="str" cm="1">
        <f t="array" ref="AB120">Common_InputFunctions.Utility_DisplayArrayInTable(Fertiliser_SourceData.Fertiliser_Products_Data1(),FertiliserProducts[[#Headers],[Include or Exclude]], 0,4)</f>
        <v/>
      </c>
      <c r="AC120" s="170" t="str" cm="1">
        <f t="array" ref="AC120">Common_InputFunctions.Utility_DisplayArrayInTable(Fertiliser_SourceData.Fertiliser_Products_Data1(),FertiliserProducts[[#Headers],[Include or Exclude]], 0,4)</f>
        <v/>
      </c>
      <c r="AD120" s="170" t="str" cm="1">
        <f t="array" ref="AD120">Common_InputFunctions.Utility_DisplayArrayInTable(Fertiliser_SourceData.Fertiliser_Products_Data1(),FertiliserProducts[[#Headers],[Include or Exclude]], 0,4)</f>
        <v/>
      </c>
      <c r="AE120" s="170" t="str" cm="1">
        <f t="array" ref="AE120">Common_InputFunctions.Utility_DisplayArrayInTable(Fertiliser_SourceData.Fertiliser_Products_Data1(),FertiliserProducts[[#Headers],[Include or Exclude]], 0,4)</f>
        <v/>
      </c>
    </row>
    <row r="121" spans="4:31" ht="20.100000000000001" customHeight="1" x14ac:dyDescent="0.25">
      <c r="D121" s="170" t="str" cm="1">
        <f t="array" ref="D121">Common_InputFunctions.Utility_DisplayArrayInTable(Fertiliser_SourceData.Fertiliser_Products_Data1(),FertiliserProducts[[#Headers],[Include or Exclude]], -1)</f>
        <v/>
      </c>
      <c r="E121" s="170" t="str" cm="1">
        <f t="array" ref="E121">Common_InputFunctions.Utility_DisplayArrayInTable(Fertiliser_SourceData.Fertiliser_Products_Data1(),FertiliserProducts[[#Headers],[Include or Exclude]], 0)</f>
        <v/>
      </c>
      <c r="F121" s="170" t="str" cm="1">
        <f t="array" ref="F121">Common_InputFunctions.Utility_DisplayArrayInTable(Fertiliser_SourceData.Fertiliser_Products_Data1(),FertiliserProducts[[#Headers],[Include or Exclude]], 0)</f>
        <v/>
      </c>
      <c r="G121" s="170" t="str" cm="1">
        <f t="array" ref="G121">Common_InputFunctions.Utility_DisplayArrayInTable(Fertiliser_SourceData.Fertiliser_Products_Data1(),FertiliserProducts[[#Headers],[Include or Exclude]], 0)</f>
        <v/>
      </c>
      <c r="H121" s="170" t="str" cm="1">
        <f t="array" ref="H121">Common_InputFunctions.Utility_DisplayArrayInTable(Fertiliser_SourceData.Fertiliser_Products_Data1(),FertiliserProducts[[#Headers],[Include or Exclude]], 0,4)</f>
        <v/>
      </c>
      <c r="I121" s="170" t="str" cm="1">
        <f t="array" ref="I121">Common_InputFunctions.Utility_DisplayArrayInTable(Fertiliser_SourceData.Fertiliser_Products_Data1(),FertiliserProducts[[#Headers],[Include or Exclude]], 0,4)</f>
        <v/>
      </c>
      <c r="J121" s="170" t="str" cm="1">
        <f t="array" ref="J121">Common_InputFunctions.Utility_DisplayArrayInTable(Fertiliser_SourceData.Fertiliser_Products_Data1(),FertiliserProducts[[#Headers],[Include or Exclude]], 0,4)</f>
        <v/>
      </c>
      <c r="K121" s="170" t="str" cm="1">
        <f t="array" ref="K121">Common_InputFunctions.Utility_DisplayArrayInTable(Fertiliser_SourceData.Fertiliser_Products_Data1(),FertiliserProducts[[#Headers],[Include or Exclude]], 0,4)</f>
        <v/>
      </c>
      <c r="L121" s="170" t="str" cm="1">
        <f t="array" ref="L121">Common_InputFunctions.Utility_DisplayArrayInTable(Fertiliser_SourceData.Fertiliser_Products_Data1(),FertiliserProducts[[#Headers],[Include or Exclude]], 0,4)</f>
        <v/>
      </c>
      <c r="M121" s="170" t="str" cm="1">
        <f t="array" ref="M121">Common_InputFunctions.Utility_DisplayArrayInTable(Fertiliser_SourceData.Fertiliser_Products_Data1(),FertiliserProducts[[#Headers],[Include or Exclude]], 0,4)</f>
        <v/>
      </c>
      <c r="N121" s="170" t="str" cm="1">
        <f t="array" ref="N121">Common_InputFunctions.Utility_DisplayArrayInTable(Fertiliser_SourceData.Fertiliser_Products_Data1(),FertiliserProducts[[#Headers],[Include or Exclude]], 0,4)</f>
        <v/>
      </c>
      <c r="O121" s="170" t="str" cm="1">
        <f t="array" ref="O121">Common_InputFunctions.Utility_DisplayArrayInTable(Fertiliser_SourceData.Fertiliser_Products_Data1(),FertiliserProducts[[#Headers],[Include or Exclude]], 0,4)</f>
        <v/>
      </c>
      <c r="P121" s="170" t="str" cm="1">
        <f t="array" ref="P121">Common_InputFunctions.Utility_DisplayArrayInTable(Fertiliser_SourceData.Fertiliser_Products_Data1(),FertiliserProducts[[#Headers],[Include or Exclude]], 0,4)</f>
        <v/>
      </c>
      <c r="Q121" s="170" t="str" cm="1">
        <f t="array" ref="Q121">Common_InputFunctions.Utility_DisplayArrayInTable(Fertiliser_SourceData.Fertiliser_Products_Data1(),FertiliserProducts[[#Headers],[Include or Exclude]], 0,4)</f>
        <v/>
      </c>
      <c r="R121" s="170" t="str" cm="1">
        <f t="array" ref="R121">Common_InputFunctions.Utility_DisplayArrayInTable(Fertiliser_SourceData.Fertiliser_Products_Data1(),FertiliserProducts[[#Headers],[Include or Exclude]], 0,4)</f>
        <v/>
      </c>
      <c r="S121" s="170" t="str" cm="1">
        <f t="array" ref="S121">Common_InputFunctions.Utility_DisplayArrayInTable(Fertiliser_SourceData.Fertiliser_Products_Data1(),FertiliserProducts[[#Headers],[Include or Exclude]], 0,4)</f>
        <v/>
      </c>
      <c r="T121" s="170" t="str" cm="1">
        <f t="array" ref="T121">Common_InputFunctions.Utility_DisplayArrayInTable(Fertiliser_SourceData.Fertiliser_Products_Data1(),FertiliserProducts[[#Headers],[Include or Exclude]], 0,4)</f>
        <v/>
      </c>
      <c r="U121" s="170" t="str" cm="1">
        <f t="array" ref="U121">Common_InputFunctions.Utility_DisplayArrayInTable(Fertiliser_SourceData.Fertiliser_Products_Data1(),FertiliserProducts[[#Headers],[Include or Exclude]], 0,4)</f>
        <v/>
      </c>
      <c r="V121" s="170" t="str" cm="1">
        <f t="array" ref="V121">Common_InputFunctions.Utility_DisplayArrayInTable(Fertiliser_SourceData.Fertiliser_Products_Data1(),FertiliserProducts[[#Headers],[Include or Exclude]], 0,4)</f>
        <v/>
      </c>
      <c r="W121" s="170" t="str" cm="1">
        <f t="array" ref="W121">Common_InputFunctions.Utility_DisplayArrayInTable(Fertiliser_SourceData.Fertiliser_Products_Data1(),FertiliserProducts[[#Headers],[Include or Exclude]], 0,4)</f>
        <v/>
      </c>
      <c r="X121" s="170" t="str" cm="1">
        <f t="array" ref="X121">Common_InputFunctions.Utility_DisplayArrayInTable(Fertiliser_SourceData.Fertiliser_Products_Data1(),FertiliserProducts[[#Headers],[Include or Exclude]], 0,4)</f>
        <v/>
      </c>
      <c r="Y121" s="170" t="str" cm="1">
        <f t="array" ref="Y121">Common_InputFunctions.Utility_DisplayArrayInTable(Fertiliser_SourceData.Fertiliser_Products_Data1(),FertiliserProducts[[#Headers],[Include or Exclude]], 0,4)</f>
        <v/>
      </c>
      <c r="Z121" s="170" t="str" cm="1">
        <f t="array" ref="Z121">Common_InputFunctions.Utility_DisplayArrayInTable(Fertiliser_SourceData.Fertiliser_Products_Data1(),FertiliserProducts[[#Headers],[Include or Exclude]], 0,4)</f>
        <v/>
      </c>
      <c r="AA121" s="170" t="str" cm="1">
        <f t="array" ref="AA121">Common_InputFunctions.Utility_DisplayArrayInTable(Fertiliser_SourceData.Fertiliser_Products_Data1(),FertiliserProducts[[#Headers],[Include or Exclude]], 0,4)</f>
        <v/>
      </c>
      <c r="AB121" s="170" t="str" cm="1">
        <f t="array" ref="AB121">Common_InputFunctions.Utility_DisplayArrayInTable(Fertiliser_SourceData.Fertiliser_Products_Data1(),FertiliserProducts[[#Headers],[Include or Exclude]], 0,4)</f>
        <v/>
      </c>
      <c r="AC121" s="170" t="str" cm="1">
        <f t="array" ref="AC121">Common_InputFunctions.Utility_DisplayArrayInTable(Fertiliser_SourceData.Fertiliser_Products_Data1(),FertiliserProducts[[#Headers],[Include or Exclude]], 0,4)</f>
        <v/>
      </c>
      <c r="AD121" s="170" t="str" cm="1">
        <f t="array" ref="AD121">Common_InputFunctions.Utility_DisplayArrayInTable(Fertiliser_SourceData.Fertiliser_Products_Data1(),FertiliserProducts[[#Headers],[Include or Exclude]], 0,4)</f>
        <v/>
      </c>
      <c r="AE121" s="170" t="str" cm="1">
        <f t="array" ref="AE121">Common_InputFunctions.Utility_DisplayArrayInTable(Fertiliser_SourceData.Fertiliser_Products_Data1(),FertiliserProducts[[#Headers],[Include or Exclude]], 0,4)</f>
        <v/>
      </c>
    </row>
    <row r="122" spans="4:31" ht="20.100000000000001" customHeight="1" x14ac:dyDescent="0.25">
      <c r="D122" s="170" t="str" cm="1">
        <f t="array" ref="D122">Common_InputFunctions.Utility_DisplayArrayInTable(Fertiliser_SourceData.Fertiliser_Products_Data1(),FertiliserProducts[[#Headers],[Include or Exclude]], -1)</f>
        <v/>
      </c>
      <c r="E122" s="170" t="str" cm="1">
        <f t="array" ref="E122">Common_InputFunctions.Utility_DisplayArrayInTable(Fertiliser_SourceData.Fertiliser_Products_Data1(),FertiliserProducts[[#Headers],[Include or Exclude]], 0)</f>
        <v/>
      </c>
      <c r="F122" s="170" t="str" cm="1">
        <f t="array" ref="F122">Common_InputFunctions.Utility_DisplayArrayInTable(Fertiliser_SourceData.Fertiliser_Products_Data1(),FertiliserProducts[[#Headers],[Include or Exclude]], 0)</f>
        <v/>
      </c>
      <c r="G122" s="170" t="str" cm="1">
        <f t="array" ref="G122">Common_InputFunctions.Utility_DisplayArrayInTable(Fertiliser_SourceData.Fertiliser_Products_Data1(),FertiliserProducts[[#Headers],[Include or Exclude]], 0)</f>
        <v/>
      </c>
      <c r="H122" s="170" t="str" cm="1">
        <f t="array" ref="H122">Common_InputFunctions.Utility_DisplayArrayInTable(Fertiliser_SourceData.Fertiliser_Products_Data1(),FertiliserProducts[[#Headers],[Include or Exclude]], 0,4)</f>
        <v/>
      </c>
      <c r="I122" s="170" t="str" cm="1">
        <f t="array" ref="I122">Common_InputFunctions.Utility_DisplayArrayInTable(Fertiliser_SourceData.Fertiliser_Products_Data1(),FertiliserProducts[[#Headers],[Include or Exclude]], 0,4)</f>
        <v/>
      </c>
      <c r="J122" s="170" t="str" cm="1">
        <f t="array" ref="J122">Common_InputFunctions.Utility_DisplayArrayInTable(Fertiliser_SourceData.Fertiliser_Products_Data1(),FertiliserProducts[[#Headers],[Include or Exclude]], 0,4)</f>
        <v/>
      </c>
      <c r="K122" s="170" t="str" cm="1">
        <f t="array" ref="K122">Common_InputFunctions.Utility_DisplayArrayInTable(Fertiliser_SourceData.Fertiliser_Products_Data1(),FertiliserProducts[[#Headers],[Include or Exclude]], 0,4)</f>
        <v/>
      </c>
      <c r="L122" s="170" t="str" cm="1">
        <f t="array" ref="L122">Common_InputFunctions.Utility_DisplayArrayInTable(Fertiliser_SourceData.Fertiliser_Products_Data1(),FertiliserProducts[[#Headers],[Include or Exclude]], 0,4)</f>
        <v/>
      </c>
      <c r="M122" s="170" t="str" cm="1">
        <f t="array" ref="M122">Common_InputFunctions.Utility_DisplayArrayInTable(Fertiliser_SourceData.Fertiliser_Products_Data1(),FertiliserProducts[[#Headers],[Include or Exclude]], 0,4)</f>
        <v/>
      </c>
      <c r="N122" s="170" t="str" cm="1">
        <f t="array" ref="N122">Common_InputFunctions.Utility_DisplayArrayInTable(Fertiliser_SourceData.Fertiliser_Products_Data1(),FertiliserProducts[[#Headers],[Include or Exclude]], 0,4)</f>
        <v/>
      </c>
      <c r="O122" s="170" t="str" cm="1">
        <f t="array" ref="O122">Common_InputFunctions.Utility_DisplayArrayInTable(Fertiliser_SourceData.Fertiliser_Products_Data1(),FertiliserProducts[[#Headers],[Include or Exclude]], 0,4)</f>
        <v/>
      </c>
      <c r="P122" s="170" t="str" cm="1">
        <f t="array" ref="P122">Common_InputFunctions.Utility_DisplayArrayInTable(Fertiliser_SourceData.Fertiliser_Products_Data1(),FertiliserProducts[[#Headers],[Include or Exclude]], 0,4)</f>
        <v/>
      </c>
      <c r="Q122" s="170" t="str" cm="1">
        <f t="array" ref="Q122">Common_InputFunctions.Utility_DisplayArrayInTable(Fertiliser_SourceData.Fertiliser_Products_Data1(),FertiliserProducts[[#Headers],[Include or Exclude]], 0,4)</f>
        <v/>
      </c>
      <c r="R122" s="170" t="str" cm="1">
        <f t="array" ref="R122">Common_InputFunctions.Utility_DisplayArrayInTable(Fertiliser_SourceData.Fertiliser_Products_Data1(),FertiliserProducts[[#Headers],[Include or Exclude]], 0,4)</f>
        <v/>
      </c>
      <c r="S122" s="170" t="str" cm="1">
        <f t="array" ref="S122">Common_InputFunctions.Utility_DisplayArrayInTable(Fertiliser_SourceData.Fertiliser_Products_Data1(),FertiliserProducts[[#Headers],[Include or Exclude]], 0,4)</f>
        <v/>
      </c>
      <c r="T122" s="170" t="str" cm="1">
        <f t="array" ref="T122">Common_InputFunctions.Utility_DisplayArrayInTable(Fertiliser_SourceData.Fertiliser_Products_Data1(),FertiliserProducts[[#Headers],[Include or Exclude]], 0,4)</f>
        <v/>
      </c>
      <c r="U122" s="170" t="str" cm="1">
        <f t="array" ref="U122">Common_InputFunctions.Utility_DisplayArrayInTable(Fertiliser_SourceData.Fertiliser_Products_Data1(),FertiliserProducts[[#Headers],[Include or Exclude]], 0,4)</f>
        <v/>
      </c>
      <c r="V122" s="170" t="str" cm="1">
        <f t="array" ref="V122">Common_InputFunctions.Utility_DisplayArrayInTable(Fertiliser_SourceData.Fertiliser_Products_Data1(),FertiliserProducts[[#Headers],[Include or Exclude]], 0,4)</f>
        <v/>
      </c>
      <c r="W122" s="170" t="str" cm="1">
        <f t="array" ref="W122">Common_InputFunctions.Utility_DisplayArrayInTable(Fertiliser_SourceData.Fertiliser_Products_Data1(),FertiliserProducts[[#Headers],[Include or Exclude]], 0,4)</f>
        <v/>
      </c>
      <c r="X122" s="170" t="str" cm="1">
        <f t="array" ref="X122">Common_InputFunctions.Utility_DisplayArrayInTable(Fertiliser_SourceData.Fertiliser_Products_Data1(),FertiliserProducts[[#Headers],[Include or Exclude]], 0,4)</f>
        <v/>
      </c>
      <c r="Y122" s="170" t="str" cm="1">
        <f t="array" ref="Y122">Common_InputFunctions.Utility_DisplayArrayInTable(Fertiliser_SourceData.Fertiliser_Products_Data1(),FertiliserProducts[[#Headers],[Include or Exclude]], 0,4)</f>
        <v/>
      </c>
      <c r="Z122" s="170" t="str" cm="1">
        <f t="array" ref="Z122">Common_InputFunctions.Utility_DisplayArrayInTable(Fertiliser_SourceData.Fertiliser_Products_Data1(),FertiliserProducts[[#Headers],[Include or Exclude]], 0,4)</f>
        <v/>
      </c>
      <c r="AA122" s="170" t="str" cm="1">
        <f t="array" ref="AA122">Common_InputFunctions.Utility_DisplayArrayInTable(Fertiliser_SourceData.Fertiliser_Products_Data1(),FertiliserProducts[[#Headers],[Include or Exclude]], 0,4)</f>
        <v/>
      </c>
      <c r="AB122" s="170" t="str" cm="1">
        <f t="array" ref="AB122">Common_InputFunctions.Utility_DisplayArrayInTable(Fertiliser_SourceData.Fertiliser_Products_Data1(),FertiliserProducts[[#Headers],[Include or Exclude]], 0,4)</f>
        <v/>
      </c>
      <c r="AC122" s="170" t="str" cm="1">
        <f t="array" ref="AC122">Common_InputFunctions.Utility_DisplayArrayInTable(Fertiliser_SourceData.Fertiliser_Products_Data1(),FertiliserProducts[[#Headers],[Include or Exclude]], 0,4)</f>
        <v/>
      </c>
      <c r="AD122" s="170" t="str" cm="1">
        <f t="array" ref="AD122">Common_InputFunctions.Utility_DisplayArrayInTable(Fertiliser_SourceData.Fertiliser_Products_Data1(),FertiliserProducts[[#Headers],[Include or Exclude]], 0,4)</f>
        <v/>
      </c>
      <c r="AE122" s="170" t="str" cm="1">
        <f t="array" ref="AE122">Common_InputFunctions.Utility_DisplayArrayInTable(Fertiliser_SourceData.Fertiliser_Products_Data1(),FertiliserProducts[[#Headers],[Include or Exclude]], 0,4)</f>
        <v/>
      </c>
    </row>
    <row r="123" spans="4:31" ht="20.100000000000001" customHeight="1" x14ac:dyDescent="0.25">
      <c r="D123" s="170" t="str" cm="1">
        <f t="array" ref="D123">Common_InputFunctions.Utility_DisplayArrayInTable(Fertiliser_SourceData.Fertiliser_Products_Data1(),FertiliserProducts[[#Headers],[Include or Exclude]], -1)</f>
        <v/>
      </c>
      <c r="E123" s="170" t="str" cm="1">
        <f t="array" ref="E123">Common_InputFunctions.Utility_DisplayArrayInTable(Fertiliser_SourceData.Fertiliser_Products_Data1(),FertiliserProducts[[#Headers],[Include or Exclude]], 0)</f>
        <v/>
      </c>
      <c r="F123" s="170" t="str" cm="1">
        <f t="array" ref="F123">Common_InputFunctions.Utility_DisplayArrayInTable(Fertiliser_SourceData.Fertiliser_Products_Data1(),FertiliserProducts[[#Headers],[Include or Exclude]], 0)</f>
        <v/>
      </c>
      <c r="G123" s="170" t="str" cm="1">
        <f t="array" ref="G123">Common_InputFunctions.Utility_DisplayArrayInTable(Fertiliser_SourceData.Fertiliser_Products_Data1(),FertiliserProducts[[#Headers],[Include or Exclude]], 0)</f>
        <v/>
      </c>
      <c r="H123" s="170" t="str" cm="1">
        <f t="array" ref="H123">Common_InputFunctions.Utility_DisplayArrayInTable(Fertiliser_SourceData.Fertiliser_Products_Data1(),FertiliserProducts[[#Headers],[Include or Exclude]], 0,4)</f>
        <v/>
      </c>
      <c r="I123" s="170" t="str" cm="1">
        <f t="array" ref="I123">Common_InputFunctions.Utility_DisplayArrayInTable(Fertiliser_SourceData.Fertiliser_Products_Data1(),FertiliserProducts[[#Headers],[Include or Exclude]], 0,4)</f>
        <v/>
      </c>
      <c r="J123" s="170" t="str" cm="1">
        <f t="array" ref="J123">Common_InputFunctions.Utility_DisplayArrayInTable(Fertiliser_SourceData.Fertiliser_Products_Data1(),FertiliserProducts[[#Headers],[Include or Exclude]], 0,4)</f>
        <v/>
      </c>
      <c r="K123" s="170" t="str" cm="1">
        <f t="array" ref="K123">Common_InputFunctions.Utility_DisplayArrayInTable(Fertiliser_SourceData.Fertiliser_Products_Data1(),FertiliserProducts[[#Headers],[Include or Exclude]], 0,4)</f>
        <v/>
      </c>
      <c r="L123" s="170" t="str" cm="1">
        <f t="array" ref="L123">Common_InputFunctions.Utility_DisplayArrayInTable(Fertiliser_SourceData.Fertiliser_Products_Data1(),FertiliserProducts[[#Headers],[Include or Exclude]], 0,4)</f>
        <v/>
      </c>
      <c r="M123" s="170" t="str" cm="1">
        <f t="array" ref="M123">Common_InputFunctions.Utility_DisplayArrayInTable(Fertiliser_SourceData.Fertiliser_Products_Data1(),FertiliserProducts[[#Headers],[Include or Exclude]], 0,4)</f>
        <v/>
      </c>
      <c r="N123" s="170" t="str" cm="1">
        <f t="array" ref="N123">Common_InputFunctions.Utility_DisplayArrayInTable(Fertiliser_SourceData.Fertiliser_Products_Data1(),FertiliserProducts[[#Headers],[Include or Exclude]], 0,4)</f>
        <v/>
      </c>
      <c r="O123" s="170" t="str" cm="1">
        <f t="array" ref="O123">Common_InputFunctions.Utility_DisplayArrayInTable(Fertiliser_SourceData.Fertiliser_Products_Data1(),FertiliserProducts[[#Headers],[Include or Exclude]], 0,4)</f>
        <v/>
      </c>
      <c r="P123" s="170" t="str" cm="1">
        <f t="array" ref="P123">Common_InputFunctions.Utility_DisplayArrayInTable(Fertiliser_SourceData.Fertiliser_Products_Data1(),FertiliserProducts[[#Headers],[Include or Exclude]], 0,4)</f>
        <v/>
      </c>
      <c r="Q123" s="170" t="str" cm="1">
        <f t="array" ref="Q123">Common_InputFunctions.Utility_DisplayArrayInTable(Fertiliser_SourceData.Fertiliser_Products_Data1(),FertiliserProducts[[#Headers],[Include or Exclude]], 0,4)</f>
        <v/>
      </c>
      <c r="R123" s="170" t="str" cm="1">
        <f t="array" ref="R123">Common_InputFunctions.Utility_DisplayArrayInTable(Fertiliser_SourceData.Fertiliser_Products_Data1(),FertiliserProducts[[#Headers],[Include or Exclude]], 0,4)</f>
        <v/>
      </c>
      <c r="S123" s="170" t="str" cm="1">
        <f t="array" ref="S123">Common_InputFunctions.Utility_DisplayArrayInTable(Fertiliser_SourceData.Fertiliser_Products_Data1(),FertiliserProducts[[#Headers],[Include or Exclude]], 0,4)</f>
        <v/>
      </c>
      <c r="T123" s="170" t="str" cm="1">
        <f t="array" ref="T123">Common_InputFunctions.Utility_DisplayArrayInTable(Fertiliser_SourceData.Fertiliser_Products_Data1(),FertiliserProducts[[#Headers],[Include or Exclude]], 0,4)</f>
        <v/>
      </c>
      <c r="U123" s="170" t="str" cm="1">
        <f t="array" ref="U123">Common_InputFunctions.Utility_DisplayArrayInTable(Fertiliser_SourceData.Fertiliser_Products_Data1(),FertiliserProducts[[#Headers],[Include or Exclude]], 0,4)</f>
        <v/>
      </c>
      <c r="V123" s="170" t="str" cm="1">
        <f t="array" ref="V123">Common_InputFunctions.Utility_DisplayArrayInTable(Fertiliser_SourceData.Fertiliser_Products_Data1(),FertiliserProducts[[#Headers],[Include or Exclude]], 0,4)</f>
        <v/>
      </c>
      <c r="W123" s="170" t="str" cm="1">
        <f t="array" ref="W123">Common_InputFunctions.Utility_DisplayArrayInTable(Fertiliser_SourceData.Fertiliser_Products_Data1(),FertiliserProducts[[#Headers],[Include or Exclude]], 0,4)</f>
        <v/>
      </c>
      <c r="X123" s="170" t="str" cm="1">
        <f t="array" ref="X123">Common_InputFunctions.Utility_DisplayArrayInTable(Fertiliser_SourceData.Fertiliser_Products_Data1(),FertiliserProducts[[#Headers],[Include or Exclude]], 0,4)</f>
        <v/>
      </c>
      <c r="Y123" s="170" t="str" cm="1">
        <f t="array" ref="Y123">Common_InputFunctions.Utility_DisplayArrayInTable(Fertiliser_SourceData.Fertiliser_Products_Data1(),FertiliserProducts[[#Headers],[Include or Exclude]], 0,4)</f>
        <v/>
      </c>
      <c r="Z123" s="170" t="str" cm="1">
        <f t="array" ref="Z123">Common_InputFunctions.Utility_DisplayArrayInTable(Fertiliser_SourceData.Fertiliser_Products_Data1(),FertiliserProducts[[#Headers],[Include or Exclude]], 0,4)</f>
        <v/>
      </c>
      <c r="AA123" s="170" t="str" cm="1">
        <f t="array" ref="AA123">Common_InputFunctions.Utility_DisplayArrayInTable(Fertiliser_SourceData.Fertiliser_Products_Data1(),FertiliserProducts[[#Headers],[Include or Exclude]], 0,4)</f>
        <v/>
      </c>
      <c r="AB123" s="170" t="str" cm="1">
        <f t="array" ref="AB123">Common_InputFunctions.Utility_DisplayArrayInTable(Fertiliser_SourceData.Fertiliser_Products_Data1(),FertiliserProducts[[#Headers],[Include or Exclude]], 0,4)</f>
        <v/>
      </c>
      <c r="AC123" s="170" t="str" cm="1">
        <f t="array" ref="AC123">Common_InputFunctions.Utility_DisplayArrayInTable(Fertiliser_SourceData.Fertiliser_Products_Data1(),FertiliserProducts[[#Headers],[Include or Exclude]], 0,4)</f>
        <v/>
      </c>
      <c r="AD123" s="170" t="str" cm="1">
        <f t="array" ref="AD123">Common_InputFunctions.Utility_DisplayArrayInTable(Fertiliser_SourceData.Fertiliser_Products_Data1(),FertiliserProducts[[#Headers],[Include or Exclude]], 0,4)</f>
        <v/>
      </c>
      <c r="AE123" s="170" t="str" cm="1">
        <f t="array" ref="AE123">Common_InputFunctions.Utility_DisplayArrayInTable(Fertiliser_SourceData.Fertiliser_Products_Data1(),FertiliserProducts[[#Headers],[Include or Exclude]], 0,4)</f>
        <v/>
      </c>
    </row>
    <row r="124" spans="4:31" ht="20.100000000000001" customHeight="1" x14ac:dyDescent="0.25">
      <c r="D124" s="170" t="str" cm="1">
        <f t="array" ref="D124">Common_InputFunctions.Utility_DisplayArrayInTable(Fertiliser_SourceData.Fertiliser_Products_Data1(),FertiliserProducts[[#Headers],[Include or Exclude]], -1)</f>
        <v/>
      </c>
      <c r="E124" s="170" t="str" cm="1">
        <f t="array" ref="E124">Common_InputFunctions.Utility_DisplayArrayInTable(Fertiliser_SourceData.Fertiliser_Products_Data1(),FertiliserProducts[[#Headers],[Include or Exclude]], 0)</f>
        <v/>
      </c>
      <c r="F124" s="170" t="str" cm="1">
        <f t="array" ref="F124">Common_InputFunctions.Utility_DisplayArrayInTable(Fertiliser_SourceData.Fertiliser_Products_Data1(),FertiliserProducts[[#Headers],[Include or Exclude]], 0)</f>
        <v/>
      </c>
      <c r="G124" s="170" t="str" cm="1">
        <f t="array" ref="G124">Common_InputFunctions.Utility_DisplayArrayInTable(Fertiliser_SourceData.Fertiliser_Products_Data1(),FertiliserProducts[[#Headers],[Include or Exclude]], 0)</f>
        <v/>
      </c>
      <c r="H124" s="170" t="str" cm="1">
        <f t="array" ref="H124">Common_InputFunctions.Utility_DisplayArrayInTable(Fertiliser_SourceData.Fertiliser_Products_Data1(),FertiliserProducts[[#Headers],[Include or Exclude]], 0,4)</f>
        <v/>
      </c>
      <c r="I124" s="170" t="str" cm="1">
        <f t="array" ref="I124">Common_InputFunctions.Utility_DisplayArrayInTable(Fertiliser_SourceData.Fertiliser_Products_Data1(),FertiliserProducts[[#Headers],[Include or Exclude]], 0,4)</f>
        <v/>
      </c>
      <c r="J124" s="170" t="str" cm="1">
        <f t="array" ref="J124">Common_InputFunctions.Utility_DisplayArrayInTable(Fertiliser_SourceData.Fertiliser_Products_Data1(),FertiliserProducts[[#Headers],[Include or Exclude]], 0,4)</f>
        <v/>
      </c>
      <c r="K124" s="170" t="str" cm="1">
        <f t="array" ref="K124">Common_InputFunctions.Utility_DisplayArrayInTable(Fertiliser_SourceData.Fertiliser_Products_Data1(),FertiliserProducts[[#Headers],[Include or Exclude]], 0,4)</f>
        <v/>
      </c>
      <c r="L124" s="170" t="str" cm="1">
        <f t="array" ref="L124">Common_InputFunctions.Utility_DisplayArrayInTable(Fertiliser_SourceData.Fertiliser_Products_Data1(),FertiliserProducts[[#Headers],[Include or Exclude]], 0,4)</f>
        <v/>
      </c>
      <c r="M124" s="170" t="str" cm="1">
        <f t="array" ref="M124">Common_InputFunctions.Utility_DisplayArrayInTable(Fertiliser_SourceData.Fertiliser_Products_Data1(),FertiliserProducts[[#Headers],[Include or Exclude]], 0,4)</f>
        <v/>
      </c>
      <c r="N124" s="170" t="str" cm="1">
        <f t="array" ref="N124">Common_InputFunctions.Utility_DisplayArrayInTable(Fertiliser_SourceData.Fertiliser_Products_Data1(),FertiliserProducts[[#Headers],[Include or Exclude]], 0,4)</f>
        <v/>
      </c>
      <c r="O124" s="170" t="str" cm="1">
        <f t="array" ref="O124">Common_InputFunctions.Utility_DisplayArrayInTable(Fertiliser_SourceData.Fertiliser_Products_Data1(),FertiliserProducts[[#Headers],[Include or Exclude]], 0,4)</f>
        <v/>
      </c>
      <c r="P124" s="170" t="str" cm="1">
        <f t="array" ref="P124">Common_InputFunctions.Utility_DisplayArrayInTable(Fertiliser_SourceData.Fertiliser_Products_Data1(),FertiliserProducts[[#Headers],[Include or Exclude]], 0,4)</f>
        <v/>
      </c>
      <c r="Q124" s="170" t="str" cm="1">
        <f t="array" ref="Q124">Common_InputFunctions.Utility_DisplayArrayInTable(Fertiliser_SourceData.Fertiliser_Products_Data1(),FertiliserProducts[[#Headers],[Include or Exclude]], 0,4)</f>
        <v/>
      </c>
      <c r="R124" s="170" t="str" cm="1">
        <f t="array" ref="R124">Common_InputFunctions.Utility_DisplayArrayInTable(Fertiliser_SourceData.Fertiliser_Products_Data1(),FertiliserProducts[[#Headers],[Include or Exclude]], 0,4)</f>
        <v/>
      </c>
      <c r="S124" s="170" t="str" cm="1">
        <f t="array" ref="S124">Common_InputFunctions.Utility_DisplayArrayInTable(Fertiliser_SourceData.Fertiliser_Products_Data1(),FertiliserProducts[[#Headers],[Include or Exclude]], 0,4)</f>
        <v/>
      </c>
      <c r="T124" s="170" t="str" cm="1">
        <f t="array" ref="T124">Common_InputFunctions.Utility_DisplayArrayInTable(Fertiliser_SourceData.Fertiliser_Products_Data1(),FertiliserProducts[[#Headers],[Include or Exclude]], 0,4)</f>
        <v/>
      </c>
      <c r="U124" s="170" t="str" cm="1">
        <f t="array" ref="U124">Common_InputFunctions.Utility_DisplayArrayInTable(Fertiliser_SourceData.Fertiliser_Products_Data1(),FertiliserProducts[[#Headers],[Include or Exclude]], 0,4)</f>
        <v/>
      </c>
      <c r="V124" s="170" t="str" cm="1">
        <f t="array" ref="V124">Common_InputFunctions.Utility_DisplayArrayInTable(Fertiliser_SourceData.Fertiliser_Products_Data1(),FertiliserProducts[[#Headers],[Include or Exclude]], 0,4)</f>
        <v/>
      </c>
      <c r="W124" s="170" t="str" cm="1">
        <f t="array" ref="W124">Common_InputFunctions.Utility_DisplayArrayInTable(Fertiliser_SourceData.Fertiliser_Products_Data1(),FertiliserProducts[[#Headers],[Include or Exclude]], 0,4)</f>
        <v/>
      </c>
      <c r="X124" s="170" t="str" cm="1">
        <f t="array" ref="X124">Common_InputFunctions.Utility_DisplayArrayInTable(Fertiliser_SourceData.Fertiliser_Products_Data1(),FertiliserProducts[[#Headers],[Include or Exclude]], 0,4)</f>
        <v/>
      </c>
      <c r="Y124" s="170" t="str" cm="1">
        <f t="array" ref="Y124">Common_InputFunctions.Utility_DisplayArrayInTable(Fertiliser_SourceData.Fertiliser_Products_Data1(),FertiliserProducts[[#Headers],[Include or Exclude]], 0,4)</f>
        <v/>
      </c>
      <c r="Z124" s="170" t="str" cm="1">
        <f t="array" ref="Z124">Common_InputFunctions.Utility_DisplayArrayInTable(Fertiliser_SourceData.Fertiliser_Products_Data1(),FertiliserProducts[[#Headers],[Include or Exclude]], 0,4)</f>
        <v/>
      </c>
      <c r="AA124" s="170" t="str" cm="1">
        <f t="array" ref="AA124">Common_InputFunctions.Utility_DisplayArrayInTable(Fertiliser_SourceData.Fertiliser_Products_Data1(),FertiliserProducts[[#Headers],[Include or Exclude]], 0,4)</f>
        <v/>
      </c>
      <c r="AB124" s="170" t="str" cm="1">
        <f t="array" ref="AB124">Common_InputFunctions.Utility_DisplayArrayInTable(Fertiliser_SourceData.Fertiliser_Products_Data1(),FertiliserProducts[[#Headers],[Include or Exclude]], 0,4)</f>
        <v/>
      </c>
      <c r="AC124" s="170" t="str" cm="1">
        <f t="array" ref="AC124">Common_InputFunctions.Utility_DisplayArrayInTable(Fertiliser_SourceData.Fertiliser_Products_Data1(),FertiliserProducts[[#Headers],[Include or Exclude]], 0,4)</f>
        <v/>
      </c>
      <c r="AD124" s="170" t="str" cm="1">
        <f t="array" ref="AD124">Common_InputFunctions.Utility_DisplayArrayInTable(Fertiliser_SourceData.Fertiliser_Products_Data1(),FertiliserProducts[[#Headers],[Include or Exclude]], 0,4)</f>
        <v/>
      </c>
      <c r="AE124" s="170" t="str" cm="1">
        <f t="array" ref="AE124">Common_InputFunctions.Utility_DisplayArrayInTable(Fertiliser_SourceData.Fertiliser_Products_Data1(),FertiliserProducts[[#Headers],[Include or Exclude]], 0,4)</f>
        <v/>
      </c>
    </row>
    <row r="125" spans="4:31" ht="20.100000000000001" customHeight="1" x14ac:dyDescent="0.25">
      <c r="D125" s="170" t="str" cm="1">
        <f t="array" ref="D125">Common_InputFunctions.Utility_DisplayArrayInTable(Fertiliser_SourceData.Fertiliser_Products_Data1(),FertiliserProducts[[#Headers],[Include or Exclude]], -1)</f>
        <v/>
      </c>
      <c r="E125" s="170" t="str" cm="1">
        <f t="array" ref="E125">Common_InputFunctions.Utility_DisplayArrayInTable(Fertiliser_SourceData.Fertiliser_Products_Data1(),FertiliserProducts[[#Headers],[Include or Exclude]], 0)</f>
        <v/>
      </c>
      <c r="F125" s="170" t="str" cm="1">
        <f t="array" ref="F125">Common_InputFunctions.Utility_DisplayArrayInTable(Fertiliser_SourceData.Fertiliser_Products_Data1(),FertiliserProducts[[#Headers],[Include or Exclude]], 0)</f>
        <v/>
      </c>
      <c r="G125" s="170" t="str" cm="1">
        <f t="array" ref="G125">Common_InputFunctions.Utility_DisplayArrayInTable(Fertiliser_SourceData.Fertiliser_Products_Data1(),FertiliserProducts[[#Headers],[Include or Exclude]], 0)</f>
        <v/>
      </c>
      <c r="H125" s="170" t="str" cm="1">
        <f t="array" ref="H125">Common_InputFunctions.Utility_DisplayArrayInTable(Fertiliser_SourceData.Fertiliser_Products_Data1(),FertiliserProducts[[#Headers],[Include or Exclude]], 0,4)</f>
        <v/>
      </c>
      <c r="I125" s="170" t="str" cm="1">
        <f t="array" ref="I125">Common_InputFunctions.Utility_DisplayArrayInTable(Fertiliser_SourceData.Fertiliser_Products_Data1(),FertiliserProducts[[#Headers],[Include or Exclude]], 0,4)</f>
        <v/>
      </c>
      <c r="J125" s="170" t="str" cm="1">
        <f t="array" ref="J125">Common_InputFunctions.Utility_DisplayArrayInTable(Fertiliser_SourceData.Fertiliser_Products_Data1(),FertiliserProducts[[#Headers],[Include or Exclude]], 0,4)</f>
        <v/>
      </c>
      <c r="K125" s="170" t="str" cm="1">
        <f t="array" ref="K125">Common_InputFunctions.Utility_DisplayArrayInTable(Fertiliser_SourceData.Fertiliser_Products_Data1(),FertiliserProducts[[#Headers],[Include or Exclude]], 0,4)</f>
        <v/>
      </c>
      <c r="L125" s="170" t="str" cm="1">
        <f t="array" ref="L125">Common_InputFunctions.Utility_DisplayArrayInTable(Fertiliser_SourceData.Fertiliser_Products_Data1(),FertiliserProducts[[#Headers],[Include or Exclude]], 0,4)</f>
        <v/>
      </c>
      <c r="M125" s="170" t="str" cm="1">
        <f t="array" ref="M125">Common_InputFunctions.Utility_DisplayArrayInTable(Fertiliser_SourceData.Fertiliser_Products_Data1(),FertiliserProducts[[#Headers],[Include or Exclude]], 0,4)</f>
        <v/>
      </c>
      <c r="N125" s="170" t="str" cm="1">
        <f t="array" ref="N125">Common_InputFunctions.Utility_DisplayArrayInTable(Fertiliser_SourceData.Fertiliser_Products_Data1(),FertiliserProducts[[#Headers],[Include or Exclude]], 0,4)</f>
        <v/>
      </c>
      <c r="O125" s="170" t="str" cm="1">
        <f t="array" ref="O125">Common_InputFunctions.Utility_DisplayArrayInTable(Fertiliser_SourceData.Fertiliser_Products_Data1(),FertiliserProducts[[#Headers],[Include or Exclude]], 0,4)</f>
        <v/>
      </c>
      <c r="P125" s="170" t="str" cm="1">
        <f t="array" ref="P125">Common_InputFunctions.Utility_DisplayArrayInTable(Fertiliser_SourceData.Fertiliser_Products_Data1(),FertiliserProducts[[#Headers],[Include or Exclude]], 0,4)</f>
        <v/>
      </c>
      <c r="Q125" s="170" t="str" cm="1">
        <f t="array" ref="Q125">Common_InputFunctions.Utility_DisplayArrayInTable(Fertiliser_SourceData.Fertiliser_Products_Data1(),FertiliserProducts[[#Headers],[Include or Exclude]], 0,4)</f>
        <v/>
      </c>
      <c r="R125" s="170" t="str" cm="1">
        <f t="array" ref="R125">Common_InputFunctions.Utility_DisplayArrayInTable(Fertiliser_SourceData.Fertiliser_Products_Data1(),FertiliserProducts[[#Headers],[Include or Exclude]], 0,4)</f>
        <v/>
      </c>
      <c r="S125" s="170" t="str" cm="1">
        <f t="array" ref="S125">Common_InputFunctions.Utility_DisplayArrayInTable(Fertiliser_SourceData.Fertiliser_Products_Data1(),FertiliserProducts[[#Headers],[Include or Exclude]], 0,4)</f>
        <v/>
      </c>
      <c r="T125" s="170" t="str" cm="1">
        <f t="array" ref="T125">Common_InputFunctions.Utility_DisplayArrayInTable(Fertiliser_SourceData.Fertiliser_Products_Data1(),FertiliserProducts[[#Headers],[Include or Exclude]], 0,4)</f>
        <v/>
      </c>
      <c r="U125" s="170" t="str" cm="1">
        <f t="array" ref="U125">Common_InputFunctions.Utility_DisplayArrayInTable(Fertiliser_SourceData.Fertiliser_Products_Data1(),FertiliserProducts[[#Headers],[Include or Exclude]], 0,4)</f>
        <v/>
      </c>
      <c r="V125" s="170" t="str" cm="1">
        <f t="array" ref="V125">Common_InputFunctions.Utility_DisplayArrayInTable(Fertiliser_SourceData.Fertiliser_Products_Data1(),FertiliserProducts[[#Headers],[Include or Exclude]], 0,4)</f>
        <v/>
      </c>
      <c r="W125" s="170" t="str" cm="1">
        <f t="array" ref="W125">Common_InputFunctions.Utility_DisplayArrayInTable(Fertiliser_SourceData.Fertiliser_Products_Data1(),FertiliserProducts[[#Headers],[Include or Exclude]], 0,4)</f>
        <v/>
      </c>
      <c r="X125" s="170" t="str" cm="1">
        <f t="array" ref="X125">Common_InputFunctions.Utility_DisplayArrayInTable(Fertiliser_SourceData.Fertiliser_Products_Data1(),FertiliserProducts[[#Headers],[Include or Exclude]], 0,4)</f>
        <v/>
      </c>
      <c r="Y125" s="170" t="str" cm="1">
        <f t="array" ref="Y125">Common_InputFunctions.Utility_DisplayArrayInTable(Fertiliser_SourceData.Fertiliser_Products_Data1(),FertiliserProducts[[#Headers],[Include or Exclude]], 0,4)</f>
        <v/>
      </c>
      <c r="Z125" s="170" t="str" cm="1">
        <f t="array" ref="Z125">Common_InputFunctions.Utility_DisplayArrayInTable(Fertiliser_SourceData.Fertiliser_Products_Data1(),FertiliserProducts[[#Headers],[Include or Exclude]], 0,4)</f>
        <v/>
      </c>
      <c r="AA125" s="170" t="str" cm="1">
        <f t="array" ref="AA125">Common_InputFunctions.Utility_DisplayArrayInTable(Fertiliser_SourceData.Fertiliser_Products_Data1(),FertiliserProducts[[#Headers],[Include or Exclude]], 0,4)</f>
        <v/>
      </c>
      <c r="AB125" s="170" t="str" cm="1">
        <f t="array" ref="AB125">Common_InputFunctions.Utility_DisplayArrayInTable(Fertiliser_SourceData.Fertiliser_Products_Data1(),FertiliserProducts[[#Headers],[Include or Exclude]], 0,4)</f>
        <v/>
      </c>
      <c r="AC125" s="170" t="str" cm="1">
        <f t="array" ref="AC125">Common_InputFunctions.Utility_DisplayArrayInTable(Fertiliser_SourceData.Fertiliser_Products_Data1(),FertiliserProducts[[#Headers],[Include or Exclude]], 0,4)</f>
        <v/>
      </c>
      <c r="AD125" s="170" t="str" cm="1">
        <f t="array" ref="AD125">Common_InputFunctions.Utility_DisplayArrayInTable(Fertiliser_SourceData.Fertiliser_Products_Data1(),FertiliserProducts[[#Headers],[Include or Exclude]], 0,4)</f>
        <v/>
      </c>
      <c r="AE125" s="170" t="str" cm="1">
        <f t="array" ref="AE125">Common_InputFunctions.Utility_DisplayArrayInTable(Fertiliser_SourceData.Fertiliser_Products_Data1(),FertiliserProducts[[#Headers],[Include or Exclude]], 0,4)</f>
        <v/>
      </c>
    </row>
    <row r="126" spans="4:31" ht="20.100000000000001" customHeight="1" x14ac:dyDescent="0.25">
      <c r="D126" s="170" t="str" cm="1">
        <f t="array" ref="D126">Common_InputFunctions.Utility_DisplayArrayInTable(Fertiliser_SourceData.Fertiliser_Products_Data1(),FertiliserProducts[[#Headers],[Include or Exclude]], -1)</f>
        <v/>
      </c>
      <c r="E126" s="170" t="str" cm="1">
        <f t="array" ref="E126">Common_InputFunctions.Utility_DisplayArrayInTable(Fertiliser_SourceData.Fertiliser_Products_Data1(),FertiliserProducts[[#Headers],[Include or Exclude]], 0)</f>
        <v/>
      </c>
      <c r="F126" s="170" t="str" cm="1">
        <f t="array" ref="F126">Common_InputFunctions.Utility_DisplayArrayInTable(Fertiliser_SourceData.Fertiliser_Products_Data1(),FertiliserProducts[[#Headers],[Include or Exclude]], 0)</f>
        <v/>
      </c>
      <c r="G126" s="170" t="str" cm="1">
        <f t="array" ref="G126">Common_InputFunctions.Utility_DisplayArrayInTable(Fertiliser_SourceData.Fertiliser_Products_Data1(),FertiliserProducts[[#Headers],[Include or Exclude]], 0)</f>
        <v/>
      </c>
      <c r="H126" s="170" t="str" cm="1">
        <f t="array" ref="H126">Common_InputFunctions.Utility_DisplayArrayInTable(Fertiliser_SourceData.Fertiliser_Products_Data1(),FertiliserProducts[[#Headers],[Include or Exclude]], 0,4)</f>
        <v/>
      </c>
      <c r="I126" s="170" t="str" cm="1">
        <f t="array" ref="I126">Common_InputFunctions.Utility_DisplayArrayInTable(Fertiliser_SourceData.Fertiliser_Products_Data1(),FertiliserProducts[[#Headers],[Include or Exclude]], 0,4)</f>
        <v/>
      </c>
      <c r="J126" s="170" t="str" cm="1">
        <f t="array" ref="J126">Common_InputFunctions.Utility_DisplayArrayInTable(Fertiliser_SourceData.Fertiliser_Products_Data1(),FertiliserProducts[[#Headers],[Include or Exclude]], 0,4)</f>
        <v/>
      </c>
      <c r="K126" s="170" t="str" cm="1">
        <f t="array" ref="K126">Common_InputFunctions.Utility_DisplayArrayInTable(Fertiliser_SourceData.Fertiliser_Products_Data1(),FertiliserProducts[[#Headers],[Include or Exclude]], 0,4)</f>
        <v/>
      </c>
      <c r="L126" s="170" t="str" cm="1">
        <f t="array" ref="L126">Common_InputFunctions.Utility_DisplayArrayInTable(Fertiliser_SourceData.Fertiliser_Products_Data1(),FertiliserProducts[[#Headers],[Include or Exclude]], 0,4)</f>
        <v/>
      </c>
      <c r="M126" s="170" t="str" cm="1">
        <f t="array" ref="M126">Common_InputFunctions.Utility_DisplayArrayInTable(Fertiliser_SourceData.Fertiliser_Products_Data1(),FertiliserProducts[[#Headers],[Include or Exclude]], 0,4)</f>
        <v/>
      </c>
      <c r="N126" s="170" t="str" cm="1">
        <f t="array" ref="N126">Common_InputFunctions.Utility_DisplayArrayInTable(Fertiliser_SourceData.Fertiliser_Products_Data1(),FertiliserProducts[[#Headers],[Include or Exclude]], 0,4)</f>
        <v/>
      </c>
      <c r="O126" s="170" t="str" cm="1">
        <f t="array" ref="O126">Common_InputFunctions.Utility_DisplayArrayInTable(Fertiliser_SourceData.Fertiliser_Products_Data1(),FertiliserProducts[[#Headers],[Include or Exclude]], 0,4)</f>
        <v/>
      </c>
      <c r="P126" s="170" t="str" cm="1">
        <f t="array" ref="P126">Common_InputFunctions.Utility_DisplayArrayInTable(Fertiliser_SourceData.Fertiliser_Products_Data1(),FertiliserProducts[[#Headers],[Include or Exclude]], 0,4)</f>
        <v/>
      </c>
      <c r="Q126" s="170" t="str" cm="1">
        <f t="array" ref="Q126">Common_InputFunctions.Utility_DisplayArrayInTable(Fertiliser_SourceData.Fertiliser_Products_Data1(),FertiliserProducts[[#Headers],[Include or Exclude]], 0,4)</f>
        <v/>
      </c>
      <c r="R126" s="170" t="str" cm="1">
        <f t="array" ref="R126">Common_InputFunctions.Utility_DisplayArrayInTable(Fertiliser_SourceData.Fertiliser_Products_Data1(),FertiliserProducts[[#Headers],[Include or Exclude]], 0,4)</f>
        <v/>
      </c>
      <c r="S126" s="170" t="str" cm="1">
        <f t="array" ref="S126">Common_InputFunctions.Utility_DisplayArrayInTable(Fertiliser_SourceData.Fertiliser_Products_Data1(),FertiliserProducts[[#Headers],[Include or Exclude]], 0,4)</f>
        <v/>
      </c>
      <c r="T126" s="170" t="str" cm="1">
        <f t="array" ref="T126">Common_InputFunctions.Utility_DisplayArrayInTable(Fertiliser_SourceData.Fertiliser_Products_Data1(),FertiliserProducts[[#Headers],[Include or Exclude]], 0,4)</f>
        <v/>
      </c>
      <c r="U126" s="170" t="str" cm="1">
        <f t="array" ref="U126">Common_InputFunctions.Utility_DisplayArrayInTable(Fertiliser_SourceData.Fertiliser_Products_Data1(),FertiliserProducts[[#Headers],[Include or Exclude]], 0,4)</f>
        <v/>
      </c>
      <c r="V126" s="170" t="str" cm="1">
        <f t="array" ref="V126">Common_InputFunctions.Utility_DisplayArrayInTable(Fertiliser_SourceData.Fertiliser_Products_Data1(),FertiliserProducts[[#Headers],[Include or Exclude]], 0,4)</f>
        <v/>
      </c>
      <c r="W126" s="170" t="str" cm="1">
        <f t="array" ref="W126">Common_InputFunctions.Utility_DisplayArrayInTable(Fertiliser_SourceData.Fertiliser_Products_Data1(),FertiliserProducts[[#Headers],[Include or Exclude]], 0,4)</f>
        <v/>
      </c>
      <c r="X126" s="170" t="str" cm="1">
        <f t="array" ref="X126">Common_InputFunctions.Utility_DisplayArrayInTable(Fertiliser_SourceData.Fertiliser_Products_Data1(),FertiliserProducts[[#Headers],[Include or Exclude]], 0,4)</f>
        <v/>
      </c>
      <c r="Y126" s="170" t="str" cm="1">
        <f t="array" ref="Y126">Common_InputFunctions.Utility_DisplayArrayInTable(Fertiliser_SourceData.Fertiliser_Products_Data1(),FertiliserProducts[[#Headers],[Include or Exclude]], 0,4)</f>
        <v/>
      </c>
      <c r="Z126" s="170" t="str" cm="1">
        <f t="array" ref="Z126">Common_InputFunctions.Utility_DisplayArrayInTable(Fertiliser_SourceData.Fertiliser_Products_Data1(),FertiliserProducts[[#Headers],[Include or Exclude]], 0,4)</f>
        <v/>
      </c>
      <c r="AA126" s="170" t="str" cm="1">
        <f t="array" ref="AA126">Common_InputFunctions.Utility_DisplayArrayInTable(Fertiliser_SourceData.Fertiliser_Products_Data1(),FertiliserProducts[[#Headers],[Include or Exclude]], 0,4)</f>
        <v/>
      </c>
      <c r="AB126" s="170" t="str" cm="1">
        <f t="array" ref="AB126">Common_InputFunctions.Utility_DisplayArrayInTable(Fertiliser_SourceData.Fertiliser_Products_Data1(),FertiliserProducts[[#Headers],[Include or Exclude]], 0,4)</f>
        <v/>
      </c>
      <c r="AC126" s="170" t="str" cm="1">
        <f t="array" ref="AC126">Common_InputFunctions.Utility_DisplayArrayInTable(Fertiliser_SourceData.Fertiliser_Products_Data1(),FertiliserProducts[[#Headers],[Include or Exclude]], 0,4)</f>
        <v/>
      </c>
      <c r="AD126" s="170" t="str" cm="1">
        <f t="array" ref="AD126">Common_InputFunctions.Utility_DisplayArrayInTable(Fertiliser_SourceData.Fertiliser_Products_Data1(),FertiliserProducts[[#Headers],[Include or Exclude]], 0,4)</f>
        <v/>
      </c>
      <c r="AE126" s="170" t="str" cm="1">
        <f t="array" ref="AE126">Common_InputFunctions.Utility_DisplayArrayInTable(Fertiliser_SourceData.Fertiliser_Products_Data1(),FertiliserProducts[[#Headers],[Include or Exclude]], 0,4)</f>
        <v/>
      </c>
    </row>
    <row r="127" spans="4:31" ht="20.100000000000001" customHeight="1" x14ac:dyDescent="0.25">
      <c r="D127" s="170" t="str" cm="1">
        <f t="array" ref="D127">Common_InputFunctions.Utility_DisplayArrayInTable(Fertiliser_SourceData.Fertiliser_Products_Data1(),FertiliserProducts[[#Headers],[Include or Exclude]], -1)</f>
        <v/>
      </c>
      <c r="E127" s="170" t="str" cm="1">
        <f t="array" ref="E127">Common_InputFunctions.Utility_DisplayArrayInTable(Fertiliser_SourceData.Fertiliser_Products_Data1(),FertiliserProducts[[#Headers],[Include or Exclude]], 0)</f>
        <v/>
      </c>
      <c r="F127" s="170" t="str" cm="1">
        <f t="array" ref="F127">Common_InputFunctions.Utility_DisplayArrayInTable(Fertiliser_SourceData.Fertiliser_Products_Data1(),FertiliserProducts[[#Headers],[Include or Exclude]], 0)</f>
        <v/>
      </c>
      <c r="G127" s="170" t="str" cm="1">
        <f t="array" ref="G127">Common_InputFunctions.Utility_DisplayArrayInTable(Fertiliser_SourceData.Fertiliser_Products_Data1(),FertiliserProducts[[#Headers],[Include or Exclude]], 0)</f>
        <v/>
      </c>
      <c r="H127" s="170" t="str" cm="1">
        <f t="array" ref="H127">Common_InputFunctions.Utility_DisplayArrayInTable(Fertiliser_SourceData.Fertiliser_Products_Data1(),FertiliserProducts[[#Headers],[Include or Exclude]], 0,4)</f>
        <v/>
      </c>
      <c r="I127" s="170" t="str" cm="1">
        <f t="array" ref="I127">Common_InputFunctions.Utility_DisplayArrayInTable(Fertiliser_SourceData.Fertiliser_Products_Data1(),FertiliserProducts[[#Headers],[Include or Exclude]], 0,4)</f>
        <v/>
      </c>
      <c r="J127" s="170" t="str" cm="1">
        <f t="array" ref="J127">Common_InputFunctions.Utility_DisplayArrayInTable(Fertiliser_SourceData.Fertiliser_Products_Data1(),FertiliserProducts[[#Headers],[Include or Exclude]], 0,4)</f>
        <v/>
      </c>
      <c r="K127" s="170" t="str" cm="1">
        <f t="array" ref="K127">Common_InputFunctions.Utility_DisplayArrayInTable(Fertiliser_SourceData.Fertiliser_Products_Data1(),FertiliserProducts[[#Headers],[Include or Exclude]], 0,4)</f>
        <v/>
      </c>
      <c r="L127" s="170" t="str" cm="1">
        <f t="array" ref="L127">Common_InputFunctions.Utility_DisplayArrayInTable(Fertiliser_SourceData.Fertiliser_Products_Data1(),FertiliserProducts[[#Headers],[Include or Exclude]], 0,4)</f>
        <v/>
      </c>
      <c r="M127" s="170" t="str" cm="1">
        <f t="array" ref="M127">Common_InputFunctions.Utility_DisplayArrayInTable(Fertiliser_SourceData.Fertiliser_Products_Data1(),FertiliserProducts[[#Headers],[Include or Exclude]], 0,4)</f>
        <v/>
      </c>
      <c r="N127" s="170" t="str" cm="1">
        <f t="array" ref="N127">Common_InputFunctions.Utility_DisplayArrayInTable(Fertiliser_SourceData.Fertiliser_Products_Data1(),FertiliserProducts[[#Headers],[Include or Exclude]], 0,4)</f>
        <v/>
      </c>
      <c r="O127" s="170" t="str" cm="1">
        <f t="array" ref="O127">Common_InputFunctions.Utility_DisplayArrayInTable(Fertiliser_SourceData.Fertiliser_Products_Data1(),FertiliserProducts[[#Headers],[Include or Exclude]], 0,4)</f>
        <v/>
      </c>
      <c r="P127" s="170" t="str" cm="1">
        <f t="array" ref="P127">Common_InputFunctions.Utility_DisplayArrayInTable(Fertiliser_SourceData.Fertiliser_Products_Data1(),FertiliserProducts[[#Headers],[Include or Exclude]], 0,4)</f>
        <v/>
      </c>
      <c r="Q127" s="170" t="str" cm="1">
        <f t="array" ref="Q127">Common_InputFunctions.Utility_DisplayArrayInTable(Fertiliser_SourceData.Fertiliser_Products_Data1(),FertiliserProducts[[#Headers],[Include or Exclude]], 0,4)</f>
        <v/>
      </c>
      <c r="R127" s="170" t="str" cm="1">
        <f t="array" ref="R127">Common_InputFunctions.Utility_DisplayArrayInTable(Fertiliser_SourceData.Fertiliser_Products_Data1(),FertiliserProducts[[#Headers],[Include or Exclude]], 0,4)</f>
        <v/>
      </c>
      <c r="S127" s="170" t="str" cm="1">
        <f t="array" ref="S127">Common_InputFunctions.Utility_DisplayArrayInTable(Fertiliser_SourceData.Fertiliser_Products_Data1(),FertiliserProducts[[#Headers],[Include or Exclude]], 0,4)</f>
        <v/>
      </c>
      <c r="T127" s="170" t="str" cm="1">
        <f t="array" ref="T127">Common_InputFunctions.Utility_DisplayArrayInTable(Fertiliser_SourceData.Fertiliser_Products_Data1(),FertiliserProducts[[#Headers],[Include or Exclude]], 0,4)</f>
        <v/>
      </c>
      <c r="U127" s="170" t="str" cm="1">
        <f t="array" ref="U127">Common_InputFunctions.Utility_DisplayArrayInTable(Fertiliser_SourceData.Fertiliser_Products_Data1(),FertiliserProducts[[#Headers],[Include or Exclude]], 0,4)</f>
        <v/>
      </c>
      <c r="V127" s="170" t="str" cm="1">
        <f t="array" ref="V127">Common_InputFunctions.Utility_DisplayArrayInTable(Fertiliser_SourceData.Fertiliser_Products_Data1(),FertiliserProducts[[#Headers],[Include or Exclude]], 0,4)</f>
        <v/>
      </c>
      <c r="W127" s="170" t="str" cm="1">
        <f t="array" ref="W127">Common_InputFunctions.Utility_DisplayArrayInTable(Fertiliser_SourceData.Fertiliser_Products_Data1(),FertiliserProducts[[#Headers],[Include or Exclude]], 0,4)</f>
        <v/>
      </c>
      <c r="X127" s="170" t="str" cm="1">
        <f t="array" ref="X127">Common_InputFunctions.Utility_DisplayArrayInTable(Fertiliser_SourceData.Fertiliser_Products_Data1(),FertiliserProducts[[#Headers],[Include or Exclude]], 0,4)</f>
        <v/>
      </c>
      <c r="Y127" s="170" t="str" cm="1">
        <f t="array" ref="Y127">Common_InputFunctions.Utility_DisplayArrayInTable(Fertiliser_SourceData.Fertiliser_Products_Data1(),FertiliserProducts[[#Headers],[Include or Exclude]], 0,4)</f>
        <v/>
      </c>
      <c r="Z127" s="170" t="str" cm="1">
        <f t="array" ref="Z127">Common_InputFunctions.Utility_DisplayArrayInTable(Fertiliser_SourceData.Fertiliser_Products_Data1(),FertiliserProducts[[#Headers],[Include or Exclude]], 0,4)</f>
        <v/>
      </c>
      <c r="AA127" s="170" t="str" cm="1">
        <f t="array" ref="AA127">Common_InputFunctions.Utility_DisplayArrayInTable(Fertiliser_SourceData.Fertiliser_Products_Data1(),FertiliserProducts[[#Headers],[Include or Exclude]], 0,4)</f>
        <v/>
      </c>
      <c r="AB127" s="170" t="str" cm="1">
        <f t="array" ref="AB127">Common_InputFunctions.Utility_DisplayArrayInTable(Fertiliser_SourceData.Fertiliser_Products_Data1(),FertiliserProducts[[#Headers],[Include or Exclude]], 0,4)</f>
        <v/>
      </c>
      <c r="AC127" s="170" t="str" cm="1">
        <f t="array" ref="AC127">Common_InputFunctions.Utility_DisplayArrayInTable(Fertiliser_SourceData.Fertiliser_Products_Data1(),FertiliserProducts[[#Headers],[Include or Exclude]], 0,4)</f>
        <v/>
      </c>
      <c r="AD127" s="170" t="str" cm="1">
        <f t="array" ref="AD127">Common_InputFunctions.Utility_DisplayArrayInTable(Fertiliser_SourceData.Fertiliser_Products_Data1(),FertiliserProducts[[#Headers],[Include or Exclude]], 0,4)</f>
        <v/>
      </c>
      <c r="AE127" s="170" t="str" cm="1">
        <f t="array" ref="AE127">Common_InputFunctions.Utility_DisplayArrayInTable(Fertiliser_SourceData.Fertiliser_Products_Data1(),FertiliserProducts[[#Headers],[Include or Exclude]], 0,4)</f>
        <v/>
      </c>
    </row>
    <row r="128" spans="4:31" ht="20.100000000000001" customHeight="1" x14ac:dyDescent="0.25">
      <c r="D128" s="170" t="str" cm="1">
        <f t="array" ref="D128">Common_InputFunctions.Utility_DisplayArrayInTable(Fertiliser_SourceData.Fertiliser_Products_Data1(),FertiliserProducts[[#Headers],[Include or Exclude]], -1)</f>
        <v/>
      </c>
      <c r="E128" s="170" t="str" cm="1">
        <f t="array" ref="E128">Common_InputFunctions.Utility_DisplayArrayInTable(Fertiliser_SourceData.Fertiliser_Products_Data1(),FertiliserProducts[[#Headers],[Include or Exclude]], 0)</f>
        <v/>
      </c>
      <c r="F128" s="170" t="str" cm="1">
        <f t="array" ref="F128">Common_InputFunctions.Utility_DisplayArrayInTable(Fertiliser_SourceData.Fertiliser_Products_Data1(),FertiliserProducts[[#Headers],[Include or Exclude]], 0)</f>
        <v/>
      </c>
      <c r="G128" s="170" t="str" cm="1">
        <f t="array" ref="G128">Common_InputFunctions.Utility_DisplayArrayInTable(Fertiliser_SourceData.Fertiliser_Products_Data1(),FertiliserProducts[[#Headers],[Include or Exclude]], 0)</f>
        <v/>
      </c>
      <c r="H128" s="170" t="str" cm="1">
        <f t="array" ref="H128">Common_InputFunctions.Utility_DisplayArrayInTable(Fertiliser_SourceData.Fertiliser_Products_Data1(),FertiliserProducts[[#Headers],[Include or Exclude]], 0,4)</f>
        <v/>
      </c>
      <c r="I128" s="170" t="str" cm="1">
        <f t="array" ref="I128">Common_InputFunctions.Utility_DisplayArrayInTable(Fertiliser_SourceData.Fertiliser_Products_Data1(),FertiliserProducts[[#Headers],[Include or Exclude]], 0,4)</f>
        <v/>
      </c>
      <c r="J128" s="170" t="str" cm="1">
        <f t="array" ref="J128">Common_InputFunctions.Utility_DisplayArrayInTable(Fertiliser_SourceData.Fertiliser_Products_Data1(),FertiliserProducts[[#Headers],[Include or Exclude]], 0,4)</f>
        <v/>
      </c>
      <c r="K128" s="170" t="str" cm="1">
        <f t="array" ref="K128">Common_InputFunctions.Utility_DisplayArrayInTable(Fertiliser_SourceData.Fertiliser_Products_Data1(),FertiliserProducts[[#Headers],[Include or Exclude]], 0,4)</f>
        <v/>
      </c>
      <c r="L128" s="170" t="str" cm="1">
        <f t="array" ref="L128">Common_InputFunctions.Utility_DisplayArrayInTable(Fertiliser_SourceData.Fertiliser_Products_Data1(),FertiliserProducts[[#Headers],[Include or Exclude]], 0,4)</f>
        <v/>
      </c>
      <c r="M128" s="170" t="str" cm="1">
        <f t="array" ref="M128">Common_InputFunctions.Utility_DisplayArrayInTable(Fertiliser_SourceData.Fertiliser_Products_Data1(),FertiliserProducts[[#Headers],[Include or Exclude]], 0,4)</f>
        <v/>
      </c>
      <c r="N128" s="170" t="str" cm="1">
        <f t="array" ref="N128">Common_InputFunctions.Utility_DisplayArrayInTable(Fertiliser_SourceData.Fertiliser_Products_Data1(),FertiliserProducts[[#Headers],[Include or Exclude]], 0,4)</f>
        <v/>
      </c>
      <c r="O128" s="170" t="str" cm="1">
        <f t="array" ref="O128">Common_InputFunctions.Utility_DisplayArrayInTable(Fertiliser_SourceData.Fertiliser_Products_Data1(),FertiliserProducts[[#Headers],[Include or Exclude]], 0,4)</f>
        <v/>
      </c>
      <c r="P128" s="170" t="str" cm="1">
        <f t="array" ref="P128">Common_InputFunctions.Utility_DisplayArrayInTable(Fertiliser_SourceData.Fertiliser_Products_Data1(),FertiliserProducts[[#Headers],[Include or Exclude]], 0,4)</f>
        <v/>
      </c>
      <c r="Q128" s="170" t="str" cm="1">
        <f t="array" ref="Q128">Common_InputFunctions.Utility_DisplayArrayInTable(Fertiliser_SourceData.Fertiliser_Products_Data1(),FertiliserProducts[[#Headers],[Include or Exclude]], 0,4)</f>
        <v/>
      </c>
      <c r="R128" s="170" t="str" cm="1">
        <f t="array" ref="R128">Common_InputFunctions.Utility_DisplayArrayInTable(Fertiliser_SourceData.Fertiliser_Products_Data1(),FertiliserProducts[[#Headers],[Include or Exclude]], 0,4)</f>
        <v/>
      </c>
      <c r="S128" s="170" t="str" cm="1">
        <f t="array" ref="S128">Common_InputFunctions.Utility_DisplayArrayInTable(Fertiliser_SourceData.Fertiliser_Products_Data1(),FertiliserProducts[[#Headers],[Include or Exclude]], 0,4)</f>
        <v/>
      </c>
      <c r="T128" s="170" t="str" cm="1">
        <f t="array" ref="T128">Common_InputFunctions.Utility_DisplayArrayInTable(Fertiliser_SourceData.Fertiliser_Products_Data1(),FertiliserProducts[[#Headers],[Include or Exclude]], 0,4)</f>
        <v/>
      </c>
      <c r="U128" s="170" t="str" cm="1">
        <f t="array" ref="U128">Common_InputFunctions.Utility_DisplayArrayInTable(Fertiliser_SourceData.Fertiliser_Products_Data1(),FertiliserProducts[[#Headers],[Include or Exclude]], 0,4)</f>
        <v/>
      </c>
      <c r="V128" s="170" t="str" cm="1">
        <f t="array" ref="V128">Common_InputFunctions.Utility_DisplayArrayInTable(Fertiliser_SourceData.Fertiliser_Products_Data1(),FertiliserProducts[[#Headers],[Include or Exclude]], 0,4)</f>
        <v/>
      </c>
      <c r="W128" s="170" t="str" cm="1">
        <f t="array" ref="W128">Common_InputFunctions.Utility_DisplayArrayInTable(Fertiliser_SourceData.Fertiliser_Products_Data1(),FertiliserProducts[[#Headers],[Include or Exclude]], 0,4)</f>
        <v/>
      </c>
      <c r="X128" s="170" t="str" cm="1">
        <f t="array" ref="X128">Common_InputFunctions.Utility_DisplayArrayInTable(Fertiliser_SourceData.Fertiliser_Products_Data1(),FertiliserProducts[[#Headers],[Include or Exclude]], 0,4)</f>
        <v/>
      </c>
      <c r="Y128" s="170" t="str" cm="1">
        <f t="array" ref="Y128">Common_InputFunctions.Utility_DisplayArrayInTable(Fertiliser_SourceData.Fertiliser_Products_Data1(),FertiliserProducts[[#Headers],[Include or Exclude]], 0,4)</f>
        <v/>
      </c>
      <c r="Z128" s="170" t="str" cm="1">
        <f t="array" ref="Z128">Common_InputFunctions.Utility_DisplayArrayInTable(Fertiliser_SourceData.Fertiliser_Products_Data1(),FertiliserProducts[[#Headers],[Include or Exclude]], 0,4)</f>
        <v/>
      </c>
      <c r="AA128" s="170" t="str" cm="1">
        <f t="array" ref="AA128">Common_InputFunctions.Utility_DisplayArrayInTable(Fertiliser_SourceData.Fertiliser_Products_Data1(),FertiliserProducts[[#Headers],[Include or Exclude]], 0,4)</f>
        <v/>
      </c>
      <c r="AB128" s="170" t="str" cm="1">
        <f t="array" ref="AB128">Common_InputFunctions.Utility_DisplayArrayInTable(Fertiliser_SourceData.Fertiliser_Products_Data1(),FertiliserProducts[[#Headers],[Include or Exclude]], 0,4)</f>
        <v/>
      </c>
      <c r="AC128" s="170" t="str" cm="1">
        <f t="array" ref="AC128">Common_InputFunctions.Utility_DisplayArrayInTable(Fertiliser_SourceData.Fertiliser_Products_Data1(),FertiliserProducts[[#Headers],[Include or Exclude]], 0,4)</f>
        <v/>
      </c>
      <c r="AD128" s="170" t="str" cm="1">
        <f t="array" ref="AD128">Common_InputFunctions.Utility_DisplayArrayInTable(Fertiliser_SourceData.Fertiliser_Products_Data1(),FertiliserProducts[[#Headers],[Include or Exclude]], 0,4)</f>
        <v/>
      </c>
      <c r="AE128" s="170" t="str" cm="1">
        <f t="array" ref="AE128">Common_InputFunctions.Utility_DisplayArrayInTable(Fertiliser_SourceData.Fertiliser_Products_Data1(),FertiliserProducts[[#Headers],[Include or Exclude]], 0,4)</f>
        <v/>
      </c>
    </row>
    <row r="129" spans="4:31" ht="20.100000000000001" customHeight="1" x14ac:dyDescent="0.25">
      <c r="D129" s="170" t="str" cm="1">
        <f t="array" ref="D129">Common_InputFunctions.Utility_DisplayArrayInTable(Fertiliser_SourceData.Fertiliser_Products_Data1(),FertiliserProducts[[#Headers],[Include or Exclude]], -1)</f>
        <v/>
      </c>
      <c r="E129" s="170" t="str" cm="1">
        <f t="array" ref="E129">Common_InputFunctions.Utility_DisplayArrayInTable(Fertiliser_SourceData.Fertiliser_Products_Data1(),FertiliserProducts[[#Headers],[Include or Exclude]], 0)</f>
        <v/>
      </c>
      <c r="F129" s="170" t="str" cm="1">
        <f t="array" ref="F129">Common_InputFunctions.Utility_DisplayArrayInTable(Fertiliser_SourceData.Fertiliser_Products_Data1(),FertiliserProducts[[#Headers],[Include or Exclude]], 0)</f>
        <v/>
      </c>
      <c r="G129" s="170" t="str" cm="1">
        <f t="array" ref="G129">Common_InputFunctions.Utility_DisplayArrayInTable(Fertiliser_SourceData.Fertiliser_Products_Data1(),FertiliserProducts[[#Headers],[Include or Exclude]], 0)</f>
        <v/>
      </c>
      <c r="H129" s="170" t="str" cm="1">
        <f t="array" ref="H129">Common_InputFunctions.Utility_DisplayArrayInTable(Fertiliser_SourceData.Fertiliser_Products_Data1(),FertiliserProducts[[#Headers],[Include or Exclude]], 0,4)</f>
        <v/>
      </c>
      <c r="I129" s="170" t="str" cm="1">
        <f t="array" ref="I129">Common_InputFunctions.Utility_DisplayArrayInTable(Fertiliser_SourceData.Fertiliser_Products_Data1(),FertiliserProducts[[#Headers],[Include or Exclude]], 0,4)</f>
        <v/>
      </c>
      <c r="J129" s="170" t="str" cm="1">
        <f t="array" ref="J129">Common_InputFunctions.Utility_DisplayArrayInTable(Fertiliser_SourceData.Fertiliser_Products_Data1(),FertiliserProducts[[#Headers],[Include or Exclude]], 0,4)</f>
        <v/>
      </c>
      <c r="K129" s="170" t="str" cm="1">
        <f t="array" ref="K129">Common_InputFunctions.Utility_DisplayArrayInTable(Fertiliser_SourceData.Fertiliser_Products_Data1(),FertiliserProducts[[#Headers],[Include or Exclude]], 0,4)</f>
        <v/>
      </c>
      <c r="L129" s="170" t="str" cm="1">
        <f t="array" ref="L129">Common_InputFunctions.Utility_DisplayArrayInTable(Fertiliser_SourceData.Fertiliser_Products_Data1(),FertiliserProducts[[#Headers],[Include or Exclude]], 0,4)</f>
        <v/>
      </c>
      <c r="M129" s="170" t="str" cm="1">
        <f t="array" ref="M129">Common_InputFunctions.Utility_DisplayArrayInTable(Fertiliser_SourceData.Fertiliser_Products_Data1(),FertiliserProducts[[#Headers],[Include or Exclude]], 0,4)</f>
        <v/>
      </c>
      <c r="N129" s="170" t="str" cm="1">
        <f t="array" ref="N129">Common_InputFunctions.Utility_DisplayArrayInTable(Fertiliser_SourceData.Fertiliser_Products_Data1(),FertiliserProducts[[#Headers],[Include or Exclude]], 0,4)</f>
        <v/>
      </c>
      <c r="O129" s="170" t="str" cm="1">
        <f t="array" ref="O129">Common_InputFunctions.Utility_DisplayArrayInTable(Fertiliser_SourceData.Fertiliser_Products_Data1(),FertiliserProducts[[#Headers],[Include or Exclude]], 0,4)</f>
        <v/>
      </c>
      <c r="P129" s="170" t="str" cm="1">
        <f t="array" ref="P129">Common_InputFunctions.Utility_DisplayArrayInTable(Fertiliser_SourceData.Fertiliser_Products_Data1(),FertiliserProducts[[#Headers],[Include or Exclude]], 0,4)</f>
        <v/>
      </c>
      <c r="Q129" s="170" t="str" cm="1">
        <f t="array" ref="Q129">Common_InputFunctions.Utility_DisplayArrayInTable(Fertiliser_SourceData.Fertiliser_Products_Data1(),FertiliserProducts[[#Headers],[Include or Exclude]], 0,4)</f>
        <v/>
      </c>
      <c r="R129" s="170" t="str" cm="1">
        <f t="array" ref="R129">Common_InputFunctions.Utility_DisplayArrayInTable(Fertiliser_SourceData.Fertiliser_Products_Data1(),FertiliserProducts[[#Headers],[Include or Exclude]], 0,4)</f>
        <v/>
      </c>
      <c r="S129" s="170" t="str" cm="1">
        <f t="array" ref="S129">Common_InputFunctions.Utility_DisplayArrayInTable(Fertiliser_SourceData.Fertiliser_Products_Data1(),FertiliserProducts[[#Headers],[Include or Exclude]], 0,4)</f>
        <v/>
      </c>
      <c r="T129" s="170" t="str" cm="1">
        <f t="array" ref="T129">Common_InputFunctions.Utility_DisplayArrayInTable(Fertiliser_SourceData.Fertiliser_Products_Data1(),FertiliserProducts[[#Headers],[Include or Exclude]], 0,4)</f>
        <v/>
      </c>
      <c r="U129" s="170" t="str" cm="1">
        <f t="array" ref="U129">Common_InputFunctions.Utility_DisplayArrayInTable(Fertiliser_SourceData.Fertiliser_Products_Data1(),FertiliserProducts[[#Headers],[Include or Exclude]], 0,4)</f>
        <v/>
      </c>
      <c r="V129" s="170" t="str" cm="1">
        <f t="array" ref="V129">Common_InputFunctions.Utility_DisplayArrayInTable(Fertiliser_SourceData.Fertiliser_Products_Data1(),FertiliserProducts[[#Headers],[Include or Exclude]], 0,4)</f>
        <v/>
      </c>
      <c r="W129" s="170" t="str" cm="1">
        <f t="array" ref="W129">Common_InputFunctions.Utility_DisplayArrayInTable(Fertiliser_SourceData.Fertiliser_Products_Data1(),FertiliserProducts[[#Headers],[Include or Exclude]], 0,4)</f>
        <v/>
      </c>
      <c r="X129" s="170" t="str" cm="1">
        <f t="array" ref="X129">Common_InputFunctions.Utility_DisplayArrayInTable(Fertiliser_SourceData.Fertiliser_Products_Data1(),FertiliserProducts[[#Headers],[Include or Exclude]], 0,4)</f>
        <v/>
      </c>
      <c r="Y129" s="170" t="str" cm="1">
        <f t="array" ref="Y129">Common_InputFunctions.Utility_DisplayArrayInTable(Fertiliser_SourceData.Fertiliser_Products_Data1(),FertiliserProducts[[#Headers],[Include or Exclude]], 0,4)</f>
        <v/>
      </c>
      <c r="Z129" s="170" t="str" cm="1">
        <f t="array" ref="Z129">Common_InputFunctions.Utility_DisplayArrayInTable(Fertiliser_SourceData.Fertiliser_Products_Data1(),FertiliserProducts[[#Headers],[Include or Exclude]], 0,4)</f>
        <v/>
      </c>
      <c r="AA129" s="170" t="str" cm="1">
        <f t="array" ref="AA129">Common_InputFunctions.Utility_DisplayArrayInTable(Fertiliser_SourceData.Fertiliser_Products_Data1(),FertiliserProducts[[#Headers],[Include or Exclude]], 0,4)</f>
        <v/>
      </c>
      <c r="AB129" s="170" t="str" cm="1">
        <f t="array" ref="AB129">Common_InputFunctions.Utility_DisplayArrayInTable(Fertiliser_SourceData.Fertiliser_Products_Data1(),FertiliserProducts[[#Headers],[Include or Exclude]], 0,4)</f>
        <v/>
      </c>
      <c r="AC129" s="170" t="str" cm="1">
        <f t="array" ref="AC129">Common_InputFunctions.Utility_DisplayArrayInTable(Fertiliser_SourceData.Fertiliser_Products_Data1(),FertiliserProducts[[#Headers],[Include or Exclude]], 0,4)</f>
        <v/>
      </c>
      <c r="AD129" s="170" t="str" cm="1">
        <f t="array" ref="AD129">Common_InputFunctions.Utility_DisplayArrayInTable(Fertiliser_SourceData.Fertiliser_Products_Data1(),FertiliserProducts[[#Headers],[Include or Exclude]], 0,4)</f>
        <v/>
      </c>
      <c r="AE129" s="170" t="str" cm="1">
        <f t="array" ref="AE129">Common_InputFunctions.Utility_DisplayArrayInTable(Fertiliser_SourceData.Fertiliser_Products_Data1(),FertiliserProducts[[#Headers],[Include or Exclude]], 0,4)</f>
        <v/>
      </c>
    </row>
    <row r="130" spans="4:31" ht="20.100000000000001" customHeight="1" x14ac:dyDescent="0.25">
      <c r="D130" s="170" t="str" cm="1">
        <f t="array" ref="D130">Common_InputFunctions.Utility_DisplayArrayInTable(Fertiliser_SourceData.Fertiliser_Products_Data1(),FertiliserProducts[[#Headers],[Include or Exclude]], -1)</f>
        <v/>
      </c>
      <c r="E130" s="170" t="str" cm="1">
        <f t="array" ref="E130">Common_InputFunctions.Utility_DisplayArrayInTable(Fertiliser_SourceData.Fertiliser_Products_Data1(),FertiliserProducts[[#Headers],[Include or Exclude]], 0)</f>
        <v/>
      </c>
      <c r="F130" s="170" t="str" cm="1">
        <f t="array" ref="F130">Common_InputFunctions.Utility_DisplayArrayInTable(Fertiliser_SourceData.Fertiliser_Products_Data1(),FertiliserProducts[[#Headers],[Include or Exclude]], 0)</f>
        <v/>
      </c>
      <c r="G130" s="170" t="str" cm="1">
        <f t="array" ref="G130">Common_InputFunctions.Utility_DisplayArrayInTable(Fertiliser_SourceData.Fertiliser_Products_Data1(),FertiliserProducts[[#Headers],[Include or Exclude]], 0)</f>
        <v/>
      </c>
      <c r="H130" s="170" t="str" cm="1">
        <f t="array" ref="H130">Common_InputFunctions.Utility_DisplayArrayInTable(Fertiliser_SourceData.Fertiliser_Products_Data1(),FertiliserProducts[[#Headers],[Include or Exclude]], 0,4)</f>
        <v/>
      </c>
      <c r="I130" s="170" t="str" cm="1">
        <f t="array" ref="I130">Common_InputFunctions.Utility_DisplayArrayInTable(Fertiliser_SourceData.Fertiliser_Products_Data1(),FertiliserProducts[[#Headers],[Include or Exclude]], 0,4)</f>
        <v/>
      </c>
      <c r="J130" s="170" t="str" cm="1">
        <f t="array" ref="J130">Common_InputFunctions.Utility_DisplayArrayInTable(Fertiliser_SourceData.Fertiliser_Products_Data1(),FertiliserProducts[[#Headers],[Include or Exclude]], 0,4)</f>
        <v/>
      </c>
      <c r="K130" s="170" t="str" cm="1">
        <f t="array" ref="K130">Common_InputFunctions.Utility_DisplayArrayInTable(Fertiliser_SourceData.Fertiliser_Products_Data1(),FertiliserProducts[[#Headers],[Include or Exclude]], 0,4)</f>
        <v/>
      </c>
      <c r="L130" s="170" t="str" cm="1">
        <f t="array" ref="L130">Common_InputFunctions.Utility_DisplayArrayInTable(Fertiliser_SourceData.Fertiliser_Products_Data1(),FertiliserProducts[[#Headers],[Include or Exclude]], 0,4)</f>
        <v/>
      </c>
      <c r="M130" s="170" t="str" cm="1">
        <f t="array" ref="M130">Common_InputFunctions.Utility_DisplayArrayInTable(Fertiliser_SourceData.Fertiliser_Products_Data1(),FertiliserProducts[[#Headers],[Include or Exclude]], 0,4)</f>
        <v/>
      </c>
      <c r="N130" s="170" t="str" cm="1">
        <f t="array" ref="N130">Common_InputFunctions.Utility_DisplayArrayInTable(Fertiliser_SourceData.Fertiliser_Products_Data1(),FertiliserProducts[[#Headers],[Include or Exclude]], 0,4)</f>
        <v/>
      </c>
      <c r="O130" s="170" t="str" cm="1">
        <f t="array" ref="O130">Common_InputFunctions.Utility_DisplayArrayInTable(Fertiliser_SourceData.Fertiliser_Products_Data1(),FertiliserProducts[[#Headers],[Include or Exclude]], 0,4)</f>
        <v/>
      </c>
      <c r="P130" s="170" t="str" cm="1">
        <f t="array" ref="P130">Common_InputFunctions.Utility_DisplayArrayInTable(Fertiliser_SourceData.Fertiliser_Products_Data1(),FertiliserProducts[[#Headers],[Include or Exclude]], 0,4)</f>
        <v/>
      </c>
      <c r="Q130" s="170" t="str" cm="1">
        <f t="array" ref="Q130">Common_InputFunctions.Utility_DisplayArrayInTable(Fertiliser_SourceData.Fertiliser_Products_Data1(),FertiliserProducts[[#Headers],[Include or Exclude]], 0,4)</f>
        <v/>
      </c>
      <c r="R130" s="170" t="str" cm="1">
        <f t="array" ref="R130">Common_InputFunctions.Utility_DisplayArrayInTable(Fertiliser_SourceData.Fertiliser_Products_Data1(),FertiliserProducts[[#Headers],[Include or Exclude]], 0,4)</f>
        <v/>
      </c>
      <c r="S130" s="170" t="str" cm="1">
        <f t="array" ref="S130">Common_InputFunctions.Utility_DisplayArrayInTable(Fertiliser_SourceData.Fertiliser_Products_Data1(),FertiliserProducts[[#Headers],[Include or Exclude]], 0,4)</f>
        <v/>
      </c>
      <c r="T130" s="170" t="str" cm="1">
        <f t="array" ref="T130">Common_InputFunctions.Utility_DisplayArrayInTable(Fertiliser_SourceData.Fertiliser_Products_Data1(),FertiliserProducts[[#Headers],[Include or Exclude]], 0,4)</f>
        <v/>
      </c>
      <c r="U130" s="170" t="str" cm="1">
        <f t="array" ref="U130">Common_InputFunctions.Utility_DisplayArrayInTable(Fertiliser_SourceData.Fertiliser_Products_Data1(),FertiliserProducts[[#Headers],[Include or Exclude]], 0,4)</f>
        <v/>
      </c>
      <c r="V130" s="170" t="str" cm="1">
        <f t="array" ref="V130">Common_InputFunctions.Utility_DisplayArrayInTable(Fertiliser_SourceData.Fertiliser_Products_Data1(),FertiliserProducts[[#Headers],[Include or Exclude]], 0,4)</f>
        <v/>
      </c>
      <c r="W130" s="170" t="str" cm="1">
        <f t="array" ref="W130">Common_InputFunctions.Utility_DisplayArrayInTable(Fertiliser_SourceData.Fertiliser_Products_Data1(),FertiliserProducts[[#Headers],[Include or Exclude]], 0,4)</f>
        <v/>
      </c>
      <c r="X130" s="170" t="str" cm="1">
        <f t="array" ref="X130">Common_InputFunctions.Utility_DisplayArrayInTable(Fertiliser_SourceData.Fertiliser_Products_Data1(),FertiliserProducts[[#Headers],[Include or Exclude]], 0,4)</f>
        <v/>
      </c>
      <c r="Y130" s="170" t="str" cm="1">
        <f t="array" ref="Y130">Common_InputFunctions.Utility_DisplayArrayInTable(Fertiliser_SourceData.Fertiliser_Products_Data1(),FertiliserProducts[[#Headers],[Include or Exclude]], 0,4)</f>
        <v/>
      </c>
      <c r="Z130" s="170" t="str" cm="1">
        <f t="array" ref="Z130">Common_InputFunctions.Utility_DisplayArrayInTable(Fertiliser_SourceData.Fertiliser_Products_Data1(),FertiliserProducts[[#Headers],[Include or Exclude]], 0,4)</f>
        <v/>
      </c>
      <c r="AA130" s="170" t="str" cm="1">
        <f t="array" ref="AA130">Common_InputFunctions.Utility_DisplayArrayInTable(Fertiliser_SourceData.Fertiliser_Products_Data1(),FertiliserProducts[[#Headers],[Include or Exclude]], 0,4)</f>
        <v/>
      </c>
      <c r="AB130" s="170" t="str" cm="1">
        <f t="array" ref="AB130">Common_InputFunctions.Utility_DisplayArrayInTable(Fertiliser_SourceData.Fertiliser_Products_Data1(),FertiliserProducts[[#Headers],[Include or Exclude]], 0,4)</f>
        <v/>
      </c>
      <c r="AC130" s="170" t="str" cm="1">
        <f t="array" ref="AC130">Common_InputFunctions.Utility_DisplayArrayInTable(Fertiliser_SourceData.Fertiliser_Products_Data1(),FertiliserProducts[[#Headers],[Include or Exclude]], 0,4)</f>
        <v/>
      </c>
      <c r="AD130" s="170" t="str" cm="1">
        <f t="array" ref="AD130">Common_InputFunctions.Utility_DisplayArrayInTable(Fertiliser_SourceData.Fertiliser_Products_Data1(),FertiliserProducts[[#Headers],[Include or Exclude]], 0,4)</f>
        <v/>
      </c>
      <c r="AE130" s="170" t="str" cm="1">
        <f t="array" ref="AE130">Common_InputFunctions.Utility_DisplayArrayInTable(Fertiliser_SourceData.Fertiliser_Products_Data1(),FertiliserProducts[[#Headers],[Include or Exclude]], 0,4)</f>
        <v/>
      </c>
    </row>
    <row r="131" spans="4:31" ht="20.100000000000001" customHeight="1" x14ac:dyDescent="0.25">
      <c r="D131" s="170" t="str" cm="1">
        <f t="array" ref="D131">Common_InputFunctions.Utility_DisplayArrayInTable(Fertiliser_SourceData.Fertiliser_Products_Data1(),FertiliserProducts[[#Headers],[Include or Exclude]], -1)</f>
        <v/>
      </c>
      <c r="E131" s="170" t="str" cm="1">
        <f t="array" ref="E131">Common_InputFunctions.Utility_DisplayArrayInTable(Fertiliser_SourceData.Fertiliser_Products_Data1(),FertiliserProducts[[#Headers],[Include or Exclude]], 0)</f>
        <v/>
      </c>
      <c r="F131" s="170" t="str" cm="1">
        <f t="array" ref="F131">Common_InputFunctions.Utility_DisplayArrayInTable(Fertiliser_SourceData.Fertiliser_Products_Data1(),FertiliserProducts[[#Headers],[Include or Exclude]], 0)</f>
        <v/>
      </c>
      <c r="G131" s="170" t="str" cm="1">
        <f t="array" ref="G131">Common_InputFunctions.Utility_DisplayArrayInTable(Fertiliser_SourceData.Fertiliser_Products_Data1(),FertiliserProducts[[#Headers],[Include or Exclude]], 0)</f>
        <v/>
      </c>
      <c r="H131" s="170" t="str" cm="1">
        <f t="array" ref="H131">Common_InputFunctions.Utility_DisplayArrayInTable(Fertiliser_SourceData.Fertiliser_Products_Data1(),FertiliserProducts[[#Headers],[Include or Exclude]], 0,4)</f>
        <v/>
      </c>
      <c r="I131" s="170" t="str" cm="1">
        <f t="array" ref="I131">Common_InputFunctions.Utility_DisplayArrayInTable(Fertiliser_SourceData.Fertiliser_Products_Data1(),FertiliserProducts[[#Headers],[Include or Exclude]], 0,4)</f>
        <v/>
      </c>
      <c r="J131" s="170" t="str" cm="1">
        <f t="array" ref="J131">Common_InputFunctions.Utility_DisplayArrayInTable(Fertiliser_SourceData.Fertiliser_Products_Data1(),FertiliserProducts[[#Headers],[Include or Exclude]], 0,4)</f>
        <v/>
      </c>
      <c r="K131" s="170" t="str" cm="1">
        <f t="array" ref="K131">Common_InputFunctions.Utility_DisplayArrayInTable(Fertiliser_SourceData.Fertiliser_Products_Data1(),FertiliserProducts[[#Headers],[Include or Exclude]], 0,4)</f>
        <v/>
      </c>
      <c r="L131" s="170" t="str" cm="1">
        <f t="array" ref="L131">Common_InputFunctions.Utility_DisplayArrayInTable(Fertiliser_SourceData.Fertiliser_Products_Data1(),FertiliserProducts[[#Headers],[Include or Exclude]], 0,4)</f>
        <v/>
      </c>
      <c r="M131" s="170" t="str" cm="1">
        <f t="array" ref="M131">Common_InputFunctions.Utility_DisplayArrayInTable(Fertiliser_SourceData.Fertiliser_Products_Data1(),FertiliserProducts[[#Headers],[Include or Exclude]], 0,4)</f>
        <v/>
      </c>
      <c r="N131" s="170" t="str" cm="1">
        <f t="array" ref="N131">Common_InputFunctions.Utility_DisplayArrayInTable(Fertiliser_SourceData.Fertiliser_Products_Data1(),FertiliserProducts[[#Headers],[Include or Exclude]], 0,4)</f>
        <v/>
      </c>
      <c r="O131" s="170" t="str" cm="1">
        <f t="array" ref="O131">Common_InputFunctions.Utility_DisplayArrayInTable(Fertiliser_SourceData.Fertiliser_Products_Data1(),FertiliserProducts[[#Headers],[Include or Exclude]], 0,4)</f>
        <v/>
      </c>
      <c r="P131" s="170" t="str" cm="1">
        <f t="array" ref="P131">Common_InputFunctions.Utility_DisplayArrayInTable(Fertiliser_SourceData.Fertiliser_Products_Data1(),FertiliserProducts[[#Headers],[Include or Exclude]], 0,4)</f>
        <v/>
      </c>
      <c r="Q131" s="170" t="str" cm="1">
        <f t="array" ref="Q131">Common_InputFunctions.Utility_DisplayArrayInTable(Fertiliser_SourceData.Fertiliser_Products_Data1(),FertiliserProducts[[#Headers],[Include or Exclude]], 0,4)</f>
        <v/>
      </c>
      <c r="R131" s="170" t="str" cm="1">
        <f t="array" ref="R131">Common_InputFunctions.Utility_DisplayArrayInTable(Fertiliser_SourceData.Fertiliser_Products_Data1(),FertiliserProducts[[#Headers],[Include or Exclude]], 0,4)</f>
        <v/>
      </c>
      <c r="S131" s="170" t="str" cm="1">
        <f t="array" ref="S131">Common_InputFunctions.Utility_DisplayArrayInTable(Fertiliser_SourceData.Fertiliser_Products_Data1(),FertiliserProducts[[#Headers],[Include or Exclude]], 0,4)</f>
        <v/>
      </c>
      <c r="T131" s="170" t="str" cm="1">
        <f t="array" ref="T131">Common_InputFunctions.Utility_DisplayArrayInTable(Fertiliser_SourceData.Fertiliser_Products_Data1(),FertiliserProducts[[#Headers],[Include or Exclude]], 0,4)</f>
        <v/>
      </c>
      <c r="U131" s="170" t="str" cm="1">
        <f t="array" ref="U131">Common_InputFunctions.Utility_DisplayArrayInTable(Fertiliser_SourceData.Fertiliser_Products_Data1(),FertiliserProducts[[#Headers],[Include or Exclude]], 0,4)</f>
        <v/>
      </c>
      <c r="V131" s="170" t="str" cm="1">
        <f t="array" ref="V131">Common_InputFunctions.Utility_DisplayArrayInTable(Fertiliser_SourceData.Fertiliser_Products_Data1(),FertiliserProducts[[#Headers],[Include or Exclude]], 0,4)</f>
        <v/>
      </c>
      <c r="W131" s="170" t="str" cm="1">
        <f t="array" ref="W131">Common_InputFunctions.Utility_DisplayArrayInTable(Fertiliser_SourceData.Fertiliser_Products_Data1(),FertiliserProducts[[#Headers],[Include or Exclude]], 0,4)</f>
        <v/>
      </c>
      <c r="X131" s="170" t="str" cm="1">
        <f t="array" ref="X131">Common_InputFunctions.Utility_DisplayArrayInTable(Fertiliser_SourceData.Fertiliser_Products_Data1(),FertiliserProducts[[#Headers],[Include or Exclude]], 0,4)</f>
        <v/>
      </c>
      <c r="Y131" s="170" t="str" cm="1">
        <f t="array" ref="Y131">Common_InputFunctions.Utility_DisplayArrayInTable(Fertiliser_SourceData.Fertiliser_Products_Data1(),FertiliserProducts[[#Headers],[Include or Exclude]], 0,4)</f>
        <v/>
      </c>
      <c r="Z131" s="170" t="str" cm="1">
        <f t="array" ref="Z131">Common_InputFunctions.Utility_DisplayArrayInTable(Fertiliser_SourceData.Fertiliser_Products_Data1(),FertiliserProducts[[#Headers],[Include or Exclude]], 0,4)</f>
        <v/>
      </c>
      <c r="AA131" s="170" t="str" cm="1">
        <f t="array" ref="AA131">Common_InputFunctions.Utility_DisplayArrayInTable(Fertiliser_SourceData.Fertiliser_Products_Data1(),FertiliserProducts[[#Headers],[Include or Exclude]], 0,4)</f>
        <v/>
      </c>
      <c r="AB131" s="170" t="str" cm="1">
        <f t="array" ref="AB131">Common_InputFunctions.Utility_DisplayArrayInTable(Fertiliser_SourceData.Fertiliser_Products_Data1(),FertiliserProducts[[#Headers],[Include or Exclude]], 0,4)</f>
        <v/>
      </c>
      <c r="AC131" s="170" t="str" cm="1">
        <f t="array" ref="AC131">Common_InputFunctions.Utility_DisplayArrayInTable(Fertiliser_SourceData.Fertiliser_Products_Data1(),FertiliserProducts[[#Headers],[Include or Exclude]], 0,4)</f>
        <v/>
      </c>
      <c r="AD131" s="170" t="str" cm="1">
        <f t="array" ref="AD131">Common_InputFunctions.Utility_DisplayArrayInTable(Fertiliser_SourceData.Fertiliser_Products_Data1(),FertiliserProducts[[#Headers],[Include or Exclude]], 0,4)</f>
        <v/>
      </c>
      <c r="AE131" s="170" t="str" cm="1">
        <f t="array" ref="AE131">Common_InputFunctions.Utility_DisplayArrayInTable(Fertiliser_SourceData.Fertiliser_Products_Data1(),FertiliserProducts[[#Headers],[Include or Exclude]], 0,4)</f>
        <v/>
      </c>
    </row>
    <row r="132" spans="4:31" ht="20.100000000000001" customHeight="1" x14ac:dyDescent="0.25">
      <c r="D132" s="170" t="str" cm="1">
        <f t="array" ref="D132">Common_InputFunctions.Utility_DisplayArrayInTable(Fertiliser_SourceData.Fertiliser_Products_Data1(),FertiliserProducts[[#Headers],[Include or Exclude]], -1)</f>
        <v/>
      </c>
      <c r="E132" s="170" t="str" cm="1">
        <f t="array" ref="E132">Common_InputFunctions.Utility_DisplayArrayInTable(Fertiliser_SourceData.Fertiliser_Products_Data1(),FertiliserProducts[[#Headers],[Include or Exclude]], 0)</f>
        <v/>
      </c>
      <c r="F132" s="170" t="str" cm="1">
        <f t="array" ref="F132">Common_InputFunctions.Utility_DisplayArrayInTable(Fertiliser_SourceData.Fertiliser_Products_Data1(),FertiliserProducts[[#Headers],[Include or Exclude]], 0)</f>
        <v/>
      </c>
      <c r="G132" s="170" t="str" cm="1">
        <f t="array" ref="G132">Common_InputFunctions.Utility_DisplayArrayInTable(Fertiliser_SourceData.Fertiliser_Products_Data1(),FertiliserProducts[[#Headers],[Include or Exclude]], 0)</f>
        <v/>
      </c>
      <c r="H132" s="170" t="str" cm="1">
        <f t="array" ref="H132">Common_InputFunctions.Utility_DisplayArrayInTable(Fertiliser_SourceData.Fertiliser_Products_Data1(),FertiliserProducts[[#Headers],[Include or Exclude]], 0,4)</f>
        <v/>
      </c>
      <c r="I132" s="170" t="str" cm="1">
        <f t="array" ref="I132">Common_InputFunctions.Utility_DisplayArrayInTable(Fertiliser_SourceData.Fertiliser_Products_Data1(),FertiliserProducts[[#Headers],[Include or Exclude]], 0,4)</f>
        <v/>
      </c>
      <c r="J132" s="170" t="str" cm="1">
        <f t="array" ref="J132">Common_InputFunctions.Utility_DisplayArrayInTable(Fertiliser_SourceData.Fertiliser_Products_Data1(),FertiliserProducts[[#Headers],[Include or Exclude]], 0,4)</f>
        <v/>
      </c>
      <c r="K132" s="170" t="str" cm="1">
        <f t="array" ref="K132">Common_InputFunctions.Utility_DisplayArrayInTable(Fertiliser_SourceData.Fertiliser_Products_Data1(),FertiliserProducts[[#Headers],[Include or Exclude]], 0,4)</f>
        <v/>
      </c>
      <c r="L132" s="170" t="str" cm="1">
        <f t="array" ref="L132">Common_InputFunctions.Utility_DisplayArrayInTable(Fertiliser_SourceData.Fertiliser_Products_Data1(),FertiliserProducts[[#Headers],[Include or Exclude]], 0,4)</f>
        <v/>
      </c>
      <c r="M132" s="170" t="str" cm="1">
        <f t="array" ref="M132">Common_InputFunctions.Utility_DisplayArrayInTable(Fertiliser_SourceData.Fertiliser_Products_Data1(),FertiliserProducts[[#Headers],[Include or Exclude]], 0,4)</f>
        <v/>
      </c>
      <c r="N132" s="170" t="str" cm="1">
        <f t="array" ref="N132">Common_InputFunctions.Utility_DisplayArrayInTable(Fertiliser_SourceData.Fertiliser_Products_Data1(),FertiliserProducts[[#Headers],[Include or Exclude]], 0,4)</f>
        <v/>
      </c>
      <c r="O132" s="170" t="str" cm="1">
        <f t="array" ref="O132">Common_InputFunctions.Utility_DisplayArrayInTable(Fertiliser_SourceData.Fertiliser_Products_Data1(),FertiliserProducts[[#Headers],[Include or Exclude]], 0,4)</f>
        <v/>
      </c>
      <c r="P132" s="170" t="str" cm="1">
        <f t="array" ref="P132">Common_InputFunctions.Utility_DisplayArrayInTable(Fertiliser_SourceData.Fertiliser_Products_Data1(),FertiliserProducts[[#Headers],[Include or Exclude]], 0,4)</f>
        <v/>
      </c>
      <c r="Q132" s="170" t="str" cm="1">
        <f t="array" ref="Q132">Common_InputFunctions.Utility_DisplayArrayInTable(Fertiliser_SourceData.Fertiliser_Products_Data1(),FertiliserProducts[[#Headers],[Include or Exclude]], 0,4)</f>
        <v/>
      </c>
      <c r="R132" s="170" t="str" cm="1">
        <f t="array" ref="R132">Common_InputFunctions.Utility_DisplayArrayInTable(Fertiliser_SourceData.Fertiliser_Products_Data1(),FertiliserProducts[[#Headers],[Include or Exclude]], 0,4)</f>
        <v/>
      </c>
      <c r="S132" s="170" t="str" cm="1">
        <f t="array" ref="S132">Common_InputFunctions.Utility_DisplayArrayInTable(Fertiliser_SourceData.Fertiliser_Products_Data1(),FertiliserProducts[[#Headers],[Include or Exclude]], 0,4)</f>
        <v/>
      </c>
      <c r="T132" s="170" t="str" cm="1">
        <f t="array" ref="T132">Common_InputFunctions.Utility_DisplayArrayInTable(Fertiliser_SourceData.Fertiliser_Products_Data1(),FertiliserProducts[[#Headers],[Include or Exclude]], 0,4)</f>
        <v/>
      </c>
      <c r="U132" s="170" t="str" cm="1">
        <f t="array" ref="U132">Common_InputFunctions.Utility_DisplayArrayInTable(Fertiliser_SourceData.Fertiliser_Products_Data1(),FertiliserProducts[[#Headers],[Include or Exclude]], 0,4)</f>
        <v/>
      </c>
      <c r="V132" s="170" t="str" cm="1">
        <f t="array" ref="V132">Common_InputFunctions.Utility_DisplayArrayInTable(Fertiliser_SourceData.Fertiliser_Products_Data1(),FertiliserProducts[[#Headers],[Include or Exclude]], 0,4)</f>
        <v/>
      </c>
      <c r="W132" s="170" t="str" cm="1">
        <f t="array" ref="W132">Common_InputFunctions.Utility_DisplayArrayInTable(Fertiliser_SourceData.Fertiliser_Products_Data1(),FertiliserProducts[[#Headers],[Include or Exclude]], 0,4)</f>
        <v/>
      </c>
      <c r="X132" s="170" t="str" cm="1">
        <f t="array" ref="X132">Common_InputFunctions.Utility_DisplayArrayInTable(Fertiliser_SourceData.Fertiliser_Products_Data1(),FertiliserProducts[[#Headers],[Include or Exclude]], 0,4)</f>
        <v/>
      </c>
      <c r="Y132" s="170" t="str" cm="1">
        <f t="array" ref="Y132">Common_InputFunctions.Utility_DisplayArrayInTable(Fertiliser_SourceData.Fertiliser_Products_Data1(),FertiliserProducts[[#Headers],[Include or Exclude]], 0,4)</f>
        <v/>
      </c>
      <c r="Z132" s="170" t="str" cm="1">
        <f t="array" ref="Z132">Common_InputFunctions.Utility_DisplayArrayInTable(Fertiliser_SourceData.Fertiliser_Products_Data1(),FertiliserProducts[[#Headers],[Include or Exclude]], 0,4)</f>
        <v/>
      </c>
      <c r="AA132" s="170" t="str" cm="1">
        <f t="array" ref="AA132">Common_InputFunctions.Utility_DisplayArrayInTable(Fertiliser_SourceData.Fertiliser_Products_Data1(),FertiliserProducts[[#Headers],[Include or Exclude]], 0,4)</f>
        <v/>
      </c>
      <c r="AB132" s="170" t="str" cm="1">
        <f t="array" ref="AB132">Common_InputFunctions.Utility_DisplayArrayInTable(Fertiliser_SourceData.Fertiliser_Products_Data1(),FertiliserProducts[[#Headers],[Include or Exclude]], 0,4)</f>
        <v/>
      </c>
      <c r="AC132" s="170" t="str" cm="1">
        <f t="array" ref="AC132">Common_InputFunctions.Utility_DisplayArrayInTable(Fertiliser_SourceData.Fertiliser_Products_Data1(),FertiliserProducts[[#Headers],[Include or Exclude]], 0,4)</f>
        <v/>
      </c>
      <c r="AD132" s="170" t="str" cm="1">
        <f t="array" ref="AD132">Common_InputFunctions.Utility_DisplayArrayInTable(Fertiliser_SourceData.Fertiliser_Products_Data1(),FertiliserProducts[[#Headers],[Include or Exclude]], 0,4)</f>
        <v/>
      </c>
      <c r="AE132" s="170" t="str" cm="1">
        <f t="array" ref="AE132">Common_InputFunctions.Utility_DisplayArrayInTable(Fertiliser_SourceData.Fertiliser_Products_Data1(),FertiliserProducts[[#Headers],[Include or Exclude]], 0,4)</f>
        <v/>
      </c>
    </row>
    <row r="133" spans="4:31" ht="20.100000000000001" customHeight="1" x14ac:dyDescent="0.25">
      <c r="D133" s="170" t="str" cm="1">
        <f t="array" ref="D133">Common_InputFunctions.Utility_DisplayArrayInTable(Fertiliser_SourceData.Fertiliser_Products_Data1(),FertiliserProducts[[#Headers],[Include or Exclude]], -1)</f>
        <v/>
      </c>
      <c r="E133" s="170" t="str" cm="1">
        <f t="array" ref="E133">Common_InputFunctions.Utility_DisplayArrayInTable(Fertiliser_SourceData.Fertiliser_Products_Data1(),FertiliserProducts[[#Headers],[Include or Exclude]], 0)</f>
        <v/>
      </c>
      <c r="F133" s="170" t="str" cm="1">
        <f t="array" ref="F133">Common_InputFunctions.Utility_DisplayArrayInTable(Fertiliser_SourceData.Fertiliser_Products_Data1(),FertiliserProducts[[#Headers],[Include or Exclude]], 0)</f>
        <v/>
      </c>
      <c r="G133" s="170" t="str" cm="1">
        <f t="array" ref="G133">Common_InputFunctions.Utility_DisplayArrayInTable(Fertiliser_SourceData.Fertiliser_Products_Data1(),FertiliserProducts[[#Headers],[Include or Exclude]], 0)</f>
        <v/>
      </c>
      <c r="H133" s="170" t="str" cm="1">
        <f t="array" ref="H133">Common_InputFunctions.Utility_DisplayArrayInTable(Fertiliser_SourceData.Fertiliser_Products_Data1(),FertiliserProducts[[#Headers],[Include or Exclude]], 0,4)</f>
        <v/>
      </c>
      <c r="I133" s="170" t="str" cm="1">
        <f t="array" ref="I133">Common_InputFunctions.Utility_DisplayArrayInTable(Fertiliser_SourceData.Fertiliser_Products_Data1(),FertiliserProducts[[#Headers],[Include or Exclude]], 0,4)</f>
        <v/>
      </c>
      <c r="J133" s="170" t="str" cm="1">
        <f t="array" ref="J133">Common_InputFunctions.Utility_DisplayArrayInTable(Fertiliser_SourceData.Fertiliser_Products_Data1(),FertiliserProducts[[#Headers],[Include or Exclude]], 0,4)</f>
        <v/>
      </c>
      <c r="K133" s="170" t="str" cm="1">
        <f t="array" ref="K133">Common_InputFunctions.Utility_DisplayArrayInTable(Fertiliser_SourceData.Fertiliser_Products_Data1(),FertiliserProducts[[#Headers],[Include or Exclude]], 0,4)</f>
        <v/>
      </c>
      <c r="L133" s="170" t="str" cm="1">
        <f t="array" ref="L133">Common_InputFunctions.Utility_DisplayArrayInTable(Fertiliser_SourceData.Fertiliser_Products_Data1(),FertiliserProducts[[#Headers],[Include or Exclude]], 0,4)</f>
        <v/>
      </c>
      <c r="M133" s="170" t="str" cm="1">
        <f t="array" ref="M133">Common_InputFunctions.Utility_DisplayArrayInTable(Fertiliser_SourceData.Fertiliser_Products_Data1(),FertiliserProducts[[#Headers],[Include or Exclude]], 0,4)</f>
        <v/>
      </c>
      <c r="N133" s="170" t="str" cm="1">
        <f t="array" ref="N133">Common_InputFunctions.Utility_DisplayArrayInTable(Fertiliser_SourceData.Fertiliser_Products_Data1(),FertiliserProducts[[#Headers],[Include or Exclude]], 0,4)</f>
        <v/>
      </c>
      <c r="O133" s="170" t="str" cm="1">
        <f t="array" ref="O133">Common_InputFunctions.Utility_DisplayArrayInTable(Fertiliser_SourceData.Fertiliser_Products_Data1(),FertiliserProducts[[#Headers],[Include or Exclude]], 0,4)</f>
        <v/>
      </c>
      <c r="P133" s="170" t="str" cm="1">
        <f t="array" ref="P133">Common_InputFunctions.Utility_DisplayArrayInTable(Fertiliser_SourceData.Fertiliser_Products_Data1(),FertiliserProducts[[#Headers],[Include or Exclude]], 0,4)</f>
        <v/>
      </c>
      <c r="Q133" s="170" t="str" cm="1">
        <f t="array" ref="Q133">Common_InputFunctions.Utility_DisplayArrayInTable(Fertiliser_SourceData.Fertiliser_Products_Data1(),FertiliserProducts[[#Headers],[Include or Exclude]], 0,4)</f>
        <v/>
      </c>
      <c r="R133" s="170" t="str" cm="1">
        <f t="array" ref="R133">Common_InputFunctions.Utility_DisplayArrayInTable(Fertiliser_SourceData.Fertiliser_Products_Data1(),FertiliserProducts[[#Headers],[Include or Exclude]], 0,4)</f>
        <v/>
      </c>
      <c r="S133" s="170" t="str" cm="1">
        <f t="array" ref="S133">Common_InputFunctions.Utility_DisplayArrayInTable(Fertiliser_SourceData.Fertiliser_Products_Data1(),FertiliserProducts[[#Headers],[Include or Exclude]], 0,4)</f>
        <v/>
      </c>
      <c r="T133" s="170" t="str" cm="1">
        <f t="array" ref="T133">Common_InputFunctions.Utility_DisplayArrayInTable(Fertiliser_SourceData.Fertiliser_Products_Data1(),FertiliserProducts[[#Headers],[Include or Exclude]], 0,4)</f>
        <v/>
      </c>
      <c r="U133" s="170" t="str" cm="1">
        <f t="array" ref="U133">Common_InputFunctions.Utility_DisplayArrayInTable(Fertiliser_SourceData.Fertiliser_Products_Data1(),FertiliserProducts[[#Headers],[Include or Exclude]], 0,4)</f>
        <v/>
      </c>
      <c r="V133" s="170" t="str" cm="1">
        <f t="array" ref="V133">Common_InputFunctions.Utility_DisplayArrayInTable(Fertiliser_SourceData.Fertiliser_Products_Data1(),FertiliserProducts[[#Headers],[Include or Exclude]], 0,4)</f>
        <v/>
      </c>
      <c r="W133" s="170" t="str" cm="1">
        <f t="array" ref="W133">Common_InputFunctions.Utility_DisplayArrayInTable(Fertiliser_SourceData.Fertiliser_Products_Data1(),FertiliserProducts[[#Headers],[Include or Exclude]], 0,4)</f>
        <v/>
      </c>
      <c r="X133" s="170" t="str" cm="1">
        <f t="array" ref="X133">Common_InputFunctions.Utility_DisplayArrayInTable(Fertiliser_SourceData.Fertiliser_Products_Data1(),FertiliserProducts[[#Headers],[Include or Exclude]], 0,4)</f>
        <v/>
      </c>
      <c r="Y133" s="170" t="str" cm="1">
        <f t="array" ref="Y133">Common_InputFunctions.Utility_DisplayArrayInTable(Fertiliser_SourceData.Fertiliser_Products_Data1(),FertiliserProducts[[#Headers],[Include or Exclude]], 0,4)</f>
        <v/>
      </c>
      <c r="Z133" s="170" t="str" cm="1">
        <f t="array" ref="Z133">Common_InputFunctions.Utility_DisplayArrayInTable(Fertiliser_SourceData.Fertiliser_Products_Data1(),FertiliserProducts[[#Headers],[Include or Exclude]], 0,4)</f>
        <v/>
      </c>
      <c r="AA133" s="170" t="str" cm="1">
        <f t="array" ref="AA133">Common_InputFunctions.Utility_DisplayArrayInTable(Fertiliser_SourceData.Fertiliser_Products_Data1(),FertiliserProducts[[#Headers],[Include or Exclude]], 0,4)</f>
        <v/>
      </c>
      <c r="AB133" s="170" t="str" cm="1">
        <f t="array" ref="AB133">Common_InputFunctions.Utility_DisplayArrayInTable(Fertiliser_SourceData.Fertiliser_Products_Data1(),FertiliserProducts[[#Headers],[Include or Exclude]], 0,4)</f>
        <v/>
      </c>
      <c r="AC133" s="170" t="str" cm="1">
        <f t="array" ref="AC133">Common_InputFunctions.Utility_DisplayArrayInTable(Fertiliser_SourceData.Fertiliser_Products_Data1(),FertiliserProducts[[#Headers],[Include or Exclude]], 0,4)</f>
        <v/>
      </c>
      <c r="AD133" s="170" t="str" cm="1">
        <f t="array" ref="AD133">Common_InputFunctions.Utility_DisplayArrayInTable(Fertiliser_SourceData.Fertiliser_Products_Data1(),FertiliserProducts[[#Headers],[Include or Exclude]], 0,4)</f>
        <v/>
      </c>
      <c r="AE133" s="170" t="str" cm="1">
        <f t="array" ref="AE133">Common_InputFunctions.Utility_DisplayArrayInTable(Fertiliser_SourceData.Fertiliser_Products_Data1(),FertiliserProducts[[#Headers],[Include or Exclude]], 0,4)</f>
        <v/>
      </c>
    </row>
    <row r="134" spans="4:31" ht="20.100000000000001" customHeight="1" x14ac:dyDescent="0.25">
      <c r="D134" s="170" t="str" cm="1">
        <f t="array" ref="D134">Common_InputFunctions.Utility_DisplayArrayInTable(Fertiliser_SourceData.Fertiliser_Products_Data1(),FertiliserProducts[[#Headers],[Include or Exclude]], -1)</f>
        <v/>
      </c>
      <c r="E134" s="170" t="str" cm="1">
        <f t="array" ref="E134">Common_InputFunctions.Utility_DisplayArrayInTable(Fertiliser_SourceData.Fertiliser_Products_Data1(),FertiliserProducts[[#Headers],[Include or Exclude]], 0)</f>
        <v/>
      </c>
      <c r="F134" s="170" t="str" cm="1">
        <f t="array" ref="F134">Common_InputFunctions.Utility_DisplayArrayInTable(Fertiliser_SourceData.Fertiliser_Products_Data1(),FertiliserProducts[[#Headers],[Include or Exclude]], 0)</f>
        <v/>
      </c>
      <c r="G134" s="170" t="str" cm="1">
        <f t="array" ref="G134">Common_InputFunctions.Utility_DisplayArrayInTable(Fertiliser_SourceData.Fertiliser_Products_Data1(),FertiliserProducts[[#Headers],[Include or Exclude]], 0)</f>
        <v/>
      </c>
      <c r="H134" s="170" t="str" cm="1">
        <f t="array" ref="H134">Common_InputFunctions.Utility_DisplayArrayInTable(Fertiliser_SourceData.Fertiliser_Products_Data1(),FertiliserProducts[[#Headers],[Include or Exclude]], 0,4)</f>
        <v/>
      </c>
      <c r="I134" s="170" t="str" cm="1">
        <f t="array" ref="I134">Common_InputFunctions.Utility_DisplayArrayInTable(Fertiliser_SourceData.Fertiliser_Products_Data1(),FertiliserProducts[[#Headers],[Include or Exclude]], 0,4)</f>
        <v/>
      </c>
      <c r="J134" s="170" t="str" cm="1">
        <f t="array" ref="J134">Common_InputFunctions.Utility_DisplayArrayInTable(Fertiliser_SourceData.Fertiliser_Products_Data1(),FertiliserProducts[[#Headers],[Include or Exclude]], 0,4)</f>
        <v/>
      </c>
      <c r="K134" s="170" t="str" cm="1">
        <f t="array" ref="K134">Common_InputFunctions.Utility_DisplayArrayInTable(Fertiliser_SourceData.Fertiliser_Products_Data1(),FertiliserProducts[[#Headers],[Include or Exclude]], 0,4)</f>
        <v/>
      </c>
      <c r="L134" s="170" t="str" cm="1">
        <f t="array" ref="L134">Common_InputFunctions.Utility_DisplayArrayInTable(Fertiliser_SourceData.Fertiliser_Products_Data1(),FertiliserProducts[[#Headers],[Include or Exclude]], 0,4)</f>
        <v/>
      </c>
      <c r="M134" s="170" t="str" cm="1">
        <f t="array" ref="M134">Common_InputFunctions.Utility_DisplayArrayInTable(Fertiliser_SourceData.Fertiliser_Products_Data1(),FertiliserProducts[[#Headers],[Include or Exclude]], 0,4)</f>
        <v/>
      </c>
      <c r="N134" s="170" t="str" cm="1">
        <f t="array" ref="N134">Common_InputFunctions.Utility_DisplayArrayInTable(Fertiliser_SourceData.Fertiliser_Products_Data1(),FertiliserProducts[[#Headers],[Include or Exclude]], 0,4)</f>
        <v/>
      </c>
      <c r="O134" s="170" t="str" cm="1">
        <f t="array" ref="O134">Common_InputFunctions.Utility_DisplayArrayInTable(Fertiliser_SourceData.Fertiliser_Products_Data1(),FertiliserProducts[[#Headers],[Include or Exclude]], 0,4)</f>
        <v/>
      </c>
      <c r="P134" s="170" t="str" cm="1">
        <f t="array" ref="P134">Common_InputFunctions.Utility_DisplayArrayInTable(Fertiliser_SourceData.Fertiliser_Products_Data1(),FertiliserProducts[[#Headers],[Include or Exclude]], 0,4)</f>
        <v/>
      </c>
      <c r="Q134" s="170" t="str" cm="1">
        <f t="array" ref="Q134">Common_InputFunctions.Utility_DisplayArrayInTable(Fertiliser_SourceData.Fertiliser_Products_Data1(),FertiliserProducts[[#Headers],[Include or Exclude]], 0,4)</f>
        <v/>
      </c>
      <c r="R134" s="170" t="str" cm="1">
        <f t="array" ref="R134">Common_InputFunctions.Utility_DisplayArrayInTable(Fertiliser_SourceData.Fertiliser_Products_Data1(),FertiliserProducts[[#Headers],[Include or Exclude]], 0,4)</f>
        <v/>
      </c>
      <c r="S134" s="170" t="str" cm="1">
        <f t="array" ref="S134">Common_InputFunctions.Utility_DisplayArrayInTable(Fertiliser_SourceData.Fertiliser_Products_Data1(),FertiliserProducts[[#Headers],[Include or Exclude]], 0,4)</f>
        <v/>
      </c>
      <c r="T134" s="170" t="str" cm="1">
        <f t="array" ref="T134">Common_InputFunctions.Utility_DisplayArrayInTable(Fertiliser_SourceData.Fertiliser_Products_Data1(),FertiliserProducts[[#Headers],[Include or Exclude]], 0,4)</f>
        <v/>
      </c>
      <c r="U134" s="170" t="str" cm="1">
        <f t="array" ref="U134">Common_InputFunctions.Utility_DisplayArrayInTable(Fertiliser_SourceData.Fertiliser_Products_Data1(),FertiliserProducts[[#Headers],[Include or Exclude]], 0,4)</f>
        <v/>
      </c>
      <c r="V134" s="170" t="str" cm="1">
        <f t="array" ref="V134">Common_InputFunctions.Utility_DisplayArrayInTable(Fertiliser_SourceData.Fertiliser_Products_Data1(),FertiliserProducts[[#Headers],[Include or Exclude]], 0,4)</f>
        <v/>
      </c>
      <c r="W134" s="170" t="str" cm="1">
        <f t="array" ref="W134">Common_InputFunctions.Utility_DisplayArrayInTable(Fertiliser_SourceData.Fertiliser_Products_Data1(),FertiliserProducts[[#Headers],[Include or Exclude]], 0,4)</f>
        <v/>
      </c>
      <c r="X134" s="170" t="str" cm="1">
        <f t="array" ref="X134">Common_InputFunctions.Utility_DisplayArrayInTable(Fertiliser_SourceData.Fertiliser_Products_Data1(),FertiliserProducts[[#Headers],[Include or Exclude]], 0,4)</f>
        <v/>
      </c>
      <c r="Y134" s="170" t="str" cm="1">
        <f t="array" ref="Y134">Common_InputFunctions.Utility_DisplayArrayInTable(Fertiliser_SourceData.Fertiliser_Products_Data1(),FertiliserProducts[[#Headers],[Include or Exclude]], 0,4)</f>
        <v/>
      </c>
      <c r="Z134" s="170" t="str" cm="1">
        <f t="array" ref="Z134">Common_InputFunctions.Utility_DisplayArrayInTable(Fertiliser_SourceData.Fertiliser_Products_Data1(),FertiliserProducts[[#Headers],[Include or Exclude]], 0,4)</f>
        <v/>
      </c>
      <c r="AA134" s="170" t="str" cm="1">
        <f t="array" ref="AA134">Common_InputFunctions.Utility_DisplayArrayInTable(Fertiliser_SourceData.Fertiliser_Products_Data1(),FertiliserProducts[[#Headers],[Include or Exclude]], 0,4)</f>
        <v/>
      </c>
      <c r="AB134" s="170" t="str" cm="1">
        <f t="array" ref="AB134">Common_InputFunctions.Utility_DisplayArrayInTable(Fertiliser_SourceData.Fertiliser_Products_Data1(),FertiliserProducts[[#Headers],[Include or Exclude]], 0,4)</f>
        <v/>
      </c>
      <c r="AC134" s="170" t="str" cm="1">
        <f t="array" ref="AC134">Common_InputFunctions.Utility_DisplayArrayInTable(Fertiliser_SourceData.Fertiliser_Products_Data1(),FertiliserProducts[[#Headers],[Include or Exclude]], 0,4)</f>
        <v/>
      </c>
      <c r="AD134" s="170" t="str" cm="1">
        <f t="array" ref="AD134">Common_InputFunctions.Utility_DisplayArrayInTable(Fertiliser_SourceData.Fertiliser_Products_Data1(),FertiliserProducts[[#Headers],[Include or Exclude]], 0,4)</f>
        <v/>
      </c>
      <c r="AE134" s="170" t="str" cm="1">
        <f t="array" ref="AE134">Common_InputFunctions.Utility_DisplayArrayInTable(Fertiliser_SourceData.Fertiliser_Products_Data1(),FertiliserProducts[[#Headers],[Include or Exclude]], 0,4)</f>
        <v/>
      </c>
    </row>
    <row r="135" spans="4:31" ht="20.100000000000001" customHeight="1" x14ac:dyDescent="0.25">
      <c r="D135" s="170" t="str" cm="1">
        <f t="array" ref="D135">Common_InputFunctions.Utility_DisplayArrayInTable(Fertiliser_SourceData.Fertiliser_Products_Data1(),FertiliserProducts[[#Headers],[Include or Exclude]], -1)</f>
        <v/>
      </c>
      <c r="E135" s="170" t="str" cm="1">
        <f t="array" ref="E135">Common_InputFunctions.Utility_DisplayArrayInTable(Fertiliser_SourceData.Fertiliser_Products_Data1(),FertiliserProducts[[#Headers],[Include or Exclude]], 0)</f>
        <v/>
      </c>
      <c r="F135" s="170" t="str" cm="1">
        <f t="array" ref="F135">Common_InputFunctions.Utility_DisplayArrayInTable(Fertiliser_SourceData.Fertiliser_Products_Data1(),FertiliserProducts[[#Headers],[Include or Exclude]], 0)</f>
        <v/>
      </c>
      <c r="G135" s="170" t="str" cm="1">
        <f t="array" ref="G135">Common_InputFunctions.Utility_DisplayArrayInTable(Fertiliser_SourceData.Fertiliser_Products_Data1(),FertiliserProducts[[#Headers],[Include or Exclude]], 0)</f>
        <v/>
      </c>
      <c r="H135" s="170" t="str" cm="1">
        <f t="array" ref="H135">Common_InputFunctions.Utility_DisplayArrayInTable(Fertiliser_SourceData.Fertiliser_Products_Data1(),FertiliserProducts[[#Headers],[Include or Exclude]], 0,4)</f>
        <v/>
      </c>
      <c r="I135" s="170" t="str" cm="1">
        <f t="array" ref="I135">Common_InputFunctions.Utility_DisplayArrayInTable(Fertiliser_SourceData.Fertiliser_Products_Data1(),FertiliserProducts[[#Headers],[Include or Exclude]], 0,4)</f>
        <v/>
      </c>
      <c r="J135" s="170" t="str" cm="1">
        <f t="array" ref="J135">Common_InputFunctions.Utility_DisplayArrayInTable(Fertiliser_SourceData.Fertiliser_Products_Data1(),FertiliserProducts[[#Headers],[Include or Exclude]], 0,4)</f>
        <v/>
      </c>
      <c r="K135" s="170" t="str" cm="1">
        <f t="array" ref="K135">Common_InputFunctions.Utility_DisplayArrayInTable(Fertiliser_SourceData.Fertiliser_Products_Data1(),FertiliserProducts[[#Headers],[Include or Exclude]], 0,4)</f>
        <v/>
      </c>
      <c r="L135" s="170" t="str" cm="1">
        <f t="array" ref="L135">Common_InputFunctions.Utility_DisplayArrayInTable(Fertiliser_SourceData.Fertiliser_Products_Data1(),FertiliserProducts[[#Headers],[Include or Exclude]], 0,4)</f>
        <v/>
      </c>
      <c r="M135" s="170" t="str" cm="1">
        <f t="array" ref="M135">Common_InputFunctions.Utility_DisplayArrayInTable(Fertiliser_SourceData.Fertiliser_Products_Data1(),FertiliserProducts[[#Headers],[Include or Exclude]], 0,4)</f>
        <v/>
      </c>
      <c r="N135" s="170" t="str" cm="1">
        <f t="array" ref="N135">Common_InputFunctions.Utility_DisplayArrayInTable(Fertiliser_SourceData.Fertiliser_Products_Data1(),FertiliserProducts[[#Headers],[Include or Exclude]], 0,4)</f>
        <v/>
      </c>
      <c r="O135" s="170" t="str" cm="1">
        <f t="array" ref="O135">Common_InputFunctions.Utility_DisplayArrayInTable(Fertiliser_SourceData.Fertiliser_Products_Data1(),FertiliserProducts[[#Headers],[Include or Exclude]], 0,4)</f>
        <v/>
      </c>
      <c r="P135" s="170" t="str" cm="1">
        <f t="array" ref="P135">Common_InputFunctions.Utility_DisplayArrayInTable(Fertiliser_SourceData.Fertiliser_Products_Data1(),FertiliserProducts[[#Headers],[Include or Exclude]], 0,4)</f>
        <v/>
      </c>
      <c r="Q135" s="170" t="str" cm="1">
        <f t="array" ref="Q135">Common_InputFunctions.Utility_DisplayArrayInTable(Fertiliser_SourceData.Fertiliser_Products_Data1(),FertiliserProducts[[#Headers],[Include or Exclude]], 0,4)</f>
        <v/>
      </c>
      <c r="R135" s="170" t="str" cm="1">
        <f t="array" ref="R135">Common_InputFunctions.Utility_DisplayArrayInTable(Fertiliser_SourceData.Fertiliser_Products_Data1(),FertiliserProducts[[#Headers],[Include or Exclude]], 0,4)</f>
        <v/>
      </c>
      <c r="S135" s="170" t="str" cm="1">
        <f t="array" ref="S135">Common_InputFunctions.Utility_DisplayArrayInTable(Fertiliser_SourceData.Fertiliser_Products_Data1(),FertiliserProducts[[#Headers],[Include or Exclude]], 0,4)</f>
        <v/>
      </c>
      <c r="T135" s="170" t="str" cm="1">
        <f t="array" ref="T135">Common_InputFunctions.Utility_DisplayArrayInTable(Fertiliser_SourceData.Fertiliser_Products_Data1(),FertiliserProducts[[#Headers],[Include or Exclude]], 0,4)</f>
        <v/>
      </c>
      <c r="U135" s="170" t="str" cm="1">
        <f t="array" ref="U135">Common_InputFunctions.Utility_DisplayArrayInTable(Fertiliser_SourceData.Fertiliser_Products_Data1(),FertiliserProducts[[#Headers],[Include or Exclude]], 0,4)</f>
        <v/>
      </c>
      <c r="V135" s="170" t="str" cm="1">
        <f t="array" ref="V135">Common_InputFunctions.Utility_DisplayArrayInTable(Fertiliser_SourceData.Fertiliser_Products_Data1(),FertiliserProducts[[#Headers],[Include or Exclude]], 0,4)</f>
        <v/>
      </c>
      <c r="W135" s="170" t="str" cm="1">
        <f t="array" ref="W135">Common_InputFunctions.Utility_DisplayArrayInTable(Fertiliser_SourceData.Fertiliser_Products_Data1(),FertiliserProducts[[#Headers],[Include or Exclude]], 0,4)</f>
        <v/>
      </c>
      <c r="X135" s="170" t="str" cm="1">
        <f t="array" ref="X135">Common_InputFunctions.Utility_DisplayArrayInTable(Fertiliser_SourceData.Fertiliser_Products_Data1(),FertiliserProducts[[#Headers],[Include or Exclude]], 0,4)</f>
        <v/>
      </c>
      <c r="Y135" s="170" t="str" cm="1">
        <f t="array" ref="Y135">Common_InputFunctions.Utility_DisplayArrayInTable(Fertiliser_SourceData.Fertiliser_Products_Data1(),FertiliserProducts[[#Headers],[Include or Exclude]], 0,4)</f>
        <v/>
      </c>
      <c r="Z135" s="170" t="str" cm="1">
        <f t="array" ref="Z135">Common_InputFunctions.Utility_DisplayArrayInTable(Fertiliser_SourceData.Fertiliser_Products_Data1(),FertiliserProducts[[#Headers],[Include or Exclude]], 0,4)</f>
        <v/>
      </c>
      <c r="AA135" s="170" t="str" cm="1">
        <f t="array" ref="AA135">Common_InputFunctions.Utility_DisplayArrayInTable(Fertiliser_SourceData.Fertiliser_Products_Data1(),FertiliserProducts[[#Headers],[Include or Exclude]], 0,4)</f>
        <v/>
      </c>
      <c r="AB135" s="170" t="str" cm="1">
        <f t="array" ref="AB135">Common_InputFunctions.Utility_DisplayArrayInTable(Fertiliser_SourceData.Fertiliser_Products_Data1(),FertiliserProducts[[#Headers],[Include or Exclude]], 0,4)</f>
        <v/>
      </c>
      <c r="AC135" s="170" t="str" cm="1">
        <f t="array" ref="AC135">Common_InputFunctions.Utility_DisplayArrayInTable(Fertiliser_SourceData.Fertiliser_Products_Data1(),FertiliserProducts[[#Headers],[Include or Exclude]], 0,4)</f>
        <v/>
      </c>
      <c r="AD135" s="170" t="str" cm="1">
        <f t="array" ref="AD135">Common_InputFunctions.Utility_DisplayArrayInTable(Fertiliser_SourceData.Fertiliser_Products_Data1(),FertiliserProducts[[#Headers],[Include or Exclude]], 0,4)</f>
        <v/>
      </c>
      <c r="AE135" s="170" t="str" cm="1">
        <f t="array" ref="AE135">Common_InputFunctions.Utility_DisplayArrayInTable(Fertiliser_SourceData.Fertiliser_Products_Data1(),FertiliserProducts[[#Headers],[Include or Exclude]], 0,4)</f>
        <v/>
      </c>
    </row>
    <row r="136" spans="4:31" ht="20.100000000000001" customHeight="1" x14ac:dyDescent="0.25">
      <c r="D136" s="170" t="str" cm="1">
        <f t="array" ref="D136">Common_InputFunctions.Utility_DisplayArrayInTable(Fertiliser_SourceData.Fertiliser_Products_Data1(),FertiliserProducts[[#Headers],[Include or Exclude]], -1)</f>
        <v/>
      </c>
      <c r="E136" s="170" t="str" cm="1">
        <f t="array" ref="E136">Common_InputFunctions.Utility_DisplayArrayInTable(Fertiliser_SourceData.Fertiliser_Products_Data1(),FertiliserProducts[[#Headers],[Include or Exclude]], 0)</f>
        <v/>
      </c>
      <c r="F136" s="170" t="str" cm="1">
        <f t="array" ref="F136">Common_InputFunctions.Utility_DisplayArrayInTable(Fertiliser_SourceData.Fertiliser_Products_Data1(),FertiliserProducts[[#Headers],[Include or Exclude]], 0)</f>
        <v/>
      </c>
      <c r="G136" s="170" t="str" cm="1">
        <f t="array" ref="G136">Common_InputFunctions.Utility_DisplayArrayInTable(Fertiliser_SourceData.Fertiliser_Products_Data1(),FertiliserProducts[[#Headers],[Include or Exclude]], 0)</f>
        <v/>
      </c>
      <c r="H136" s="170" t="str" cm="1">
        <f t="array" ref="H136">Common_InputFunctions.Utility_DisplayArrayInTable(Fertiliser_SourceData.Fertiliser_Products_Data1(),FertiliserProducts[[#Headers],[Include or Exclude]], 0,4)</f>
        <v/>
      </c>
      <c r="I136" s="170" t="str" cm="1">
        <f t="array" ref="I136">Common_InputFunctions.Utility_DisplayArrayInTable(Fertiliser_SourceData.Fertiliser_Products_Data1(),FertiliserProducts[[#Headers],[Include or Exclude]], 0,4)</f>
        <v/>
      </c>
      <c r="J136" s="170" t="str" cm="1">
        <f t="array" ref="J136">Common_InputFunctions.Utility_DisplayArrayInTable(Fertiliser_SourceData.Fertiliser_Products_Data1(),FertiliserProducts[[#Headers],[Include or Exclude]], 0,4)</f>
        <v/>
      </c>
      <c r="K136" s="170" t="str" cm="1">
        <f t="array" ref="K136">Common_InputFunctions.Utility_DisplayArrayInTable(Fertiliser_SourceData.Fertiliser_Products_Data1(),FertiliserProducts[[#Headers],[Include or Exclude]], 0,4)</f>
        <v/>
      </c>
      <c r="L136" s="170" t="str" cm="1">
        <f t="array" ref="L136">Common_InputFunctions.Utility_DisplayArrayInTable(Fertiliser_SourceData.Fertiliser_Products_Data1(),FertiliserProducts[[#Headers],[Include or Exclude]], 0,4)</f>
        <v/>
      </c>
      <c r="M136" s="170" t="str" cm="1">
        <f t="array" ref="M136">Common_InputFunctions.Utility_DisplayArrayInTable(Fertiliser_SourceData.Fertiliser_Products_Data1(),FertiliserProducts[[#Headers],[Include or Exclude]], 0,4)</f>
        <v/>
      </c>
      <c r="N136" s="170" t="str" cm="1">
        <f t="array" ref="N136">Common_InputFunctions.Utility_DisplayArrayInTable(Fertiliser_SourceData.Fertiliser_Products_Data1(),FertiliserProducts[[#Headers],[Include or Exclude]], 0,4)</f>
        <v/>
      </c>
      <c r="O136" s="170" t="str" cm="1">
        <f t="array" ref="O136">Common_InputFunctions.Utility_DisplayArrayInTable(Fertiliser_SourceData.Fertiliser_Products_Data1(),FertiliserProducts[[#Headers],[Include or Exclude]], 0,4)</f>
        <v/>
      </c>
      <c r="P136" s="170" t="str" cm="1">
        <f t="array" ref="P136">Common_InputFunctions.Utility_DisplayArrayInTable(Fertiliser_SourceData.Fertiliser_Products_Data1(),FertiliserProducts[[#Headers],[Include or Exclude]], 0,4)</f>
        <v/>
      </c>
      <c r="Q136" s="170" t="str" cm="1">
        <f t="array" ref="Q136">Common_InputFunctions.Utility_DisplayArrayInTable(Fertiliser_SourceData.Fertiliser_Products_Data1(),FertiliserProducts[[#Headers],[Include or Exclude]], 0,4)</f>
        <v/>
      </c>
      <c r="R136" s="170" t="str" cm="1">
        <f t="array" ref="R136">Common_InputFunctions.Utility_DisplayArrayInTable(Fertiliser_SourceData.Fertiliser_Products_Data1(),FertiliserProducts[[#Headers],[Include or Exclude]], 0,4)</f>
        <v/>
      </c>
      <c r="S136" s="170" t="str" cm="1">
        <f t="array" ref="S136">Common_InputFunctions.Utility_DisplayArrayInTable(Fertiliser_SourceData.Fertiliser_Products_Data1(),FertiliserProducts[[#Headers],[Include or Exclude]], 0,4)</f>
        <v/>
      </c>
      <c r="T136" s="170" t="str" cm="1">
        <f t="array" ref="T136">Common_InputFunctions.Utility_DisplayArrayInTable(Fertiliser_SourceData.Fertiliser_Products_Data1(),FertiliserProducts[[#Headers],[Include or Exclude]], 0,4)</f>
        <v/>
      </c>
      <c r="U136" s="170" t="str" cm="1">
        <f t="array" ref="U136">Common_InputFunctions.Utility_DisplayArrayInTable(Fertiliser_SourceData.Fertiliser_Products_Data1(),FertiliserProducts[[#Headers],[Include or Exclude]], 0,4)</f>
        <v/>
      </c>
      <c r="V136" s="170" t="str" cm="1">
        <f t="array" ref="V136">Common_InputFunctions.Utility_DisplayArrayInTable(Fertiliser_SourceData.Fertiliser_Products_Data1(),FertiliserProducts[[#Headers],[Include or Exclude]], 0,4)</f>
        <v/>
      </c>
      <c r="W136" s="170" t="str" cm="1">
        <f t="array" ref="W136">Common_InputFunctions.Utility_DisplayArrayInTable(Fertiliser_SourceData.Fertiliser_Products_Data1(),FertiliserProducts[[#Headers],[Include or Exclude]], 0,4)</f>
        <v/>
      </c>
      <c r="X136" s="170" t="str" cm="1">
        <f t="array" ref="X136">Common_InputFunctions.Utility_DisplayArrayInTable(Fertiliser_SourceData.Fertiliser_Products_Data1(),FertiliserProducts[[#Headers],[Include or Exclude]], 0,4)</f>
        <v/>
      </c>
      <c r="Y136" s="170" t="str" cm="1">
        <f t="array" ref="Y136">Common_InputFunctions.Utility_DisplayArrayInTable(Fertiliser_SourceData.Fertiliser_Products_Data1(),FertiliserProducts[[#Headers],[Include or Exclude]], 0,4)</f>
        <v/>
      </c>
      <c r="Z136" s="170" t="str" cm="1">
        <f t="array" ref="Z136">Common_InputFunctions.Utility_DisplayArrayInTable(Fertiliser_SourceData.Fertiliser_Products_Data1(),FertiliserProducts[[#Headers],[Include or Exclude]], 0,4)</f>
        <v/>
      </c>
      <c r="AA136" s="170" t="str" cm="1">
        <f t="array" ref="AA136">Common_InputFunctions.Utility_DisplayArrayInTable(Fertiliser_SourceData.Fertiliser_Products_Data1(),FertiliserProducts[[#Headers],[Include or Exclude]], 0,4)</f>
        <v/>
      </c>
      <c r="AB136" s="170" t="str" cm="1">
        <f t="array" ref="AB136">Common_InputFunctions.Utility_DisplayArrayInTable(Fertiliser_SourceData.Fertiliser_Products_Data1(),FertiliserProducts[[#Headers],[Include or Exclude]], 0,4)</f>
        <v/>
      </c>
      <c r="AC136" s="170" t="str" cm="1">
        <f t="array" ref="AC136">Common_InputFunctions.Utility_DisplayArrayInTable(Fertiliser_SourceData.Fertiliser_Products_Data1(),FertiliserProducts[[#Headers],[Include or Exclude]], 0,4)</f>
        <v/>
      </c>
      <c r="AD136" s="170" t="str" cm="1">
        <f t="array" ref="AD136">Common_InputFunctions.Utility_DisplayArrayInTable(Fertiliser_SourceData.Fertiliser_Products_Data1(),FertiliserProducts[[#Headers],[Include or Exclude]], 0,4)</f>
        <v/>
      </c>
      <c r="AE136" s="170" t="str" cm="1">
        <f t="array" ref="AE136">Common_InputFunctions.Utility_DisplayArrayInTable(Fertiliser_SourceData.Fertiliser_Products_Data1(),FertiliserProducts[[#Headers],[Include or Exclude]], 0,4)</f>
        <v/>
      </c>
    </row>
    <row r="137" spans="4:31" ht="20.100000000000001" customHeight="1" x14ac:dyDescent="0.25">
      <c r="D137" s="170" t="str" cm="1">
        <f t="array" ref="D137">Common_InputFunctions.Utility_DisplayArrayInTable(Fertiliser_SourceData.Fertiliser_Products_Data1(),FertiliserProducts[[#Headers],[Include or Exclude]], -1)</f>
        <v/>
      </c>
      <c r="E137" s="170" t="str" cm="1">
        <f t="array" ref="E137">Common_InputFunctions.Utility_DisplayArrayInTable(Fertiliser_SourceData.Fertiliser_Products_Data1(),FertiliserProducts[[#Headers],[Include or Exclude]], 0)</f>
        <v/>
      </c>
      <c r="F137" s="170" t="str" cm="1">
        <f t="array" ref="F137">Common_InputFunctions.Utility_DisplayArrayInTable(Fertiliser_SourceData.Fertiliser_Products_Data1(),FertiliserProducts[[#Headers],[Include or Exclude]], 0)</f>
        <v/>
      </c>
      <c r="G137" s="170" t="str" cm="1">
        <f t="array" ref="G137">Common_InputFunctions.Utility_DisplayArrayInTable(Fertiliser_SourceData.Fertiliser_Products_Data1(),FertiliserProducts[[#Headers],[Include or Exclude]], 0)</f>
        <v/>
      </c>
      <c r="H137" s="170" t="str" cm="1">
        <f t="array" ref="H137">Common_InputFunctions.Utility_DisplayArrayInTable(Fertiliser_SourceData.Fertiliser_Products_Data1(),FertiliserProducts[[#Headers],[Include or Exclude]], 0,4)</f>
        <v/>
      </c>
      <c r="I137" s="170" t="str" cm="1">
        <f t="array" ref="I137">Common_InputFunctions.Utility_DisplayArrayInTable(Fertiliser_SourceData.Fertiliser_Products_Data1(),FertiliserProducts[[#Headers],[Include or Exclude]], 0,4)</f>
        <v/>
      </c>
      <c r="J137" s="170" t="str" cm="1">
        <f t="array" ref="J137">Common_InputFunctions.Utility_DisplayArrayInTable(Fertiliser_SourceData.Fertiliser_Products_Data1(),FertiliserProducts[[#Headers],[Include or Exclude]], 0,4)</f>
        <v/>
      </c>
      <c r="K137" s="170" t="str" cm="1">
        <f t="array" ref="K137">Common_InputFunctions.Utility_DisplayArrayInTable(Fertiliser_SourceData.Fertiliser_Products_Data1(),FertiliserProducts[[#Headers],[Include or Exclude]], 0,4)</f>
        <v/>
      </c>
      <c r="L137" s="170" t="str" cm="1">
        <f t="array" ref="L137">Common_InputFunctions.Utility_DisplayArrayInTable(Fertiliser_SourceData.Fertiliser_Products_Data1(),FertiliserProducts[[#Headers],[Include or Exclude]], 0,4)</f>
        <v/>
      </c>
      <c r="M137" s="170" t="str" cm="1">
        <f t="array" ref="M137">Common_InputFunctions.Utility_DisplayArrayInTable(Fertiliser_SourceData.Fertiliser_Products_Data1(),FertiliserProducts[[#Headers],[Include or Exclude]], 0,4)</f>
        <v/>
      </c>
      <c r="N137" s="170" t="str" cm="1">
        <f t="array" ref="N137">Common_InputFunctions.Utility_DisplayArrayInTable(Fertiliser_SourceData.Fertiliser_Products_Data1(),FertiliserProducts[[#Headers],[Include or Exclude]], 0,4)</f>
        <v/>
      </c>
      <c r="O137" s="170" t="str" cm="1">
        <f t="array" ref="O137">Common_InputFunctions.Utility_DisplayArrayInTable(Fertiliser_SourceData.Fertiliser_Products_Data1(),FertiliserProducts[[#Headers],[Include or Exclude]], 0,4)</f>
        <v/>
      </c>
      <c r="P137" s="170" t="str" cm="1">
        <f t="array" ref="P137">Common_InputFunctions.Utility_DisplayArrayInTable(Fertiliser_SourceData.Fertiliser_Products_Data1(),FertiliserProducts[[#Headers],[Include or Exclude]], 0,4)</f>
        <v/>
      </c>
      <c r="Q137" s="170" t="str" cm="1">
        <f t="array" ref="Q137">Common_InputFunctions.Utility_DisplayArrayInTable(Fertiliser_SourceData.Fertiliser_Products_Data1(),FertiliserProducts[[#Headers],[Include or Exclude]], 0,4)</f>
        <v/>
      </c>
      <c r="R137" s="170" t="str" cm="1">
        <f t="array" ref="R137">Common_InputFunctions.Utility_DisplayArrayInTable(Fertiliser_SourceData.Fertiliser_Products_Data1(),FertiliserProducts[[#Headers],[Include or Exclude]], 0,4)</f>
        <v/>
      </c>
      <c r="S137" s="170" t="str" cm="1">
        <f t="array" ref="S137">Common_InputFunctions.Utility_DisplayArrayInTable(Fertiliser_SourceData.Fertiliser_Products_Data1(),FertiliserProducts[[#Headers],[Include or Exclude]], 0,4)</f>
        <v/>
      </c>
      <c r="T137" s="170" t="str" cm="1">
        <f t="array" ref="T137">Common_InputFunctions.Utility_DisplayArrayInTable(Fertiliser_SourceData.Fertiliser_Products_Data1(),FertiliserProducts[[#Headers],[Include or Exclude]], 0,4)</f>
        <v/>
      </c>
      <c r="U137" s="170" t="str" cm="1">
        <f t="array" ref="U137">Common_InputFunctions.Utility_DisplayArrayInTable(Fertiliser_SourceData.Fertiliser_Products_Data1(),FertiliserProducts[[#Headers],[Include or Exclude]], 0,4)</f>
        <v/>
      </c>
      <c r="V137" s="170" t="str" cm="1">
        <f t="array" ref="V137">Common_InputFunctions.Utility_DisplayArrayInTable(Fertiliser_SourceData.Fertiliser_Products_Data1(),FertiliserProducts[[#Headers],[Include or Exclude]], 0,4)</f>
        <v/>
      </c>
      <c r="W137" s="170" t="str" cm="1">
        <f t="array" ref="W137">Common_InputFunctions.Utility_DisplayArrayInTable(Fertiliser_SourceData.Fertiliser_Products_Data1(),FertiliserProducts[[#Headers],[Include or Exclude]], 0,4)</f>
        <v/>
      </c>
      <c r="X137" s="170" t="str" cm="1">
        <f t="array" ref="X137">Common_InputFunctions.Utility_DisplayArrayInTable(Fertiliser_SourceData.Fertiliser_Products_Data1(),FertiliserProducts[[#Headers],[Include or Exclude]], 0,4)</f>
        <v/>
      </c>
      <c r="Y137" s="170" t="str" cm="1">
        <f t="array" ref="Y137">Common_InputFunctions.Utility_DisplayArrayInTable(Fertiliser_SourceData.Fertiliser_Products_Data1(),FertiliserProducts[[#Headers],[Include or Exclude]], 0,4)</f>
        <v/>
      </c>
      <c r="Z137" s="170" t="str" cm="1">
        <f t="array" ref="Z137">Common_InputFunctions.Utility_DisplayArrayInTable(Fertiliser_SourceData.Fertiliser_Products_Data1(),FertiliserProducts[[#Headers],[Include or Exclude]], 0,4)</f>
        <v/>
      </c>
      <c r="AA137" s="170" t="str" cm="1">
        <f t="array" ref="AA137">Common_InputFunctions.Utility_DisplayArrayInTable(Fertiliser_SourceData.Fertiliser_Products_Data1(),FertiliserProducts[[#Headers],[Include or Exclude]], 0,4)</f>
        <v/>
      </c>
      <c r="AB137" s="170" t="str" cm="1">
        <f t="array" ref="AB137">Common_InputFunctions.Utility_DisplayArrayInTable(Fertiliser_SourceData.Fertiliser_Products_Data1(),FertiliserProducts[[#Headers],[Include or Exclude]], 0,4)</f>
        <v/>
      </c>
      <c r="AC137" s="170" t="str" cm="1">
        <f t="array" ref="AC137">Common_InputFunctions.Utility_DisplayArrayInTable(Fertiliser_SourceData.Fertiliser_Products_Data1(),FertiliserProducts[[#Headers],[Include or Exclude]], 0,4)</f>
        <v/>
      </c>
      <c r="AD137" s="170" t="str" cm="1">
        <f t="array" ref="AD137">Common_InputFunctions.Utility_DisplayArrayInTable(Fertiliser_SourceData.Fertiliser_Products_Data1(),FertiliserProducts[[#Headers],[Include or Exclude]], 0,4)</f>
        <v/>
      </c>
      <c r="AE137" s="170" t="str" cm="1">
        <f t="array" ref="AE137">Common_InputFunctions.Utility_DisplayArrayInTable(Fertiliser_SourceData.Fertiliser_Products_Data1(),FertiliserProducts[[#Headers],[Include or Exclude]], 0,4)</f>
        <v/>
      </c>
    </row>
    <row r="138" spans="4:31" ht="20.100000000000001" customHeight="1" x14ac:dyDescent="0.25">
      <c r="D138" s="170" t="str" cm="1">
        <f t="array" ref="D138">Common_InputFunctions.Utility_DisplayArrayInTable(Fertiliser_SourceData.Fertiliser_Products_Data1(),FertiliserProducts[[#Headers],[Include or Exclude]], -1)</f>
        <v/>
      </c>
      <c r="E138" s="170" t="str" cm="1">
        <f t="array" ref="E138">Common_InputFunctions.Utility_DisplayArrayInTable(Fertiliser_SourceData.Fertiliser_Products_Data1(),FertiliserProducts[[#Headers],[Include or Exclude]], 0)</f>
        <v/>
      </c>
      <c r="F138" s="170" t="str" cm="1">
        <f t="array" ref="F138">Common_InputFunctions.Utility_DisplayArrayInTable(Fertiliser_SourceData.Fertiliser_Products_Data1(),FertiliserProducts[[#Headers],[Include or Exclude]], 0)</f>
        <v/>
      </c>
      <c r="G138" s="170" t="str" cm="1">
        <f t="array" ref="G138">Common_InputFunctions.Utility_DisplayArrayInTable(Fertiliser_SourceData.Fertiliser_Products_Data1(),FertiliserProducts[[#Headers],[Include or Exclude]], 0)</f>
        <v/>
      </c>
      <c r="H138" s="170" t="str" cm="1">
        <f t="array" ref="H138">Common_InputFunctions.Utility_DisplayArrayInTable(Fertiliser_SourceData.Fertiliser_Products_Data1(),FertiliserProducts[[#Headers],[Include or Exclude]], 0,4)</f>
        <v/>
      </c>
      <c r="I138" s="170" t="str" cm="1">
        <f t="array" ref="I138">Common_InputFunctions.Utility_DisplayArrayInTable(Fertiliser_SourceData.Fertiliser_Products_Data1(),FertiliserProducts[[#Headers],[Include or Exclude]], 0,4)</f>
        <v/>
      </c>
      <c r="J138" s="170" t="str" cm="1">
        <f t="array" ref="J138">Common_InputFunctions.Utility_DisplayArrayInTable(Fertiliser_SourceData.Fertiliser_Products_Data1(),FertiliserProducts[[#Headers],[Include or Exclude]], 0,4)</f>
        <v/>
      </c>
      <c r="K138" s="170" t="str" cm="1">
        <f t="array" ref="K138">Common_InputFunctions.Utility_DisplayArrayInTable(Fertiliser_SourceData.Fertiliser_Products_Data1(),FertiliserProducts[[#Headers],[Include or Exclude]], 0,4)</f>
        <v/>
      </c>
      <c r="L138" s="170" t="str" cm="1">
        <f t="array" ref="L138">Common_InputFunctions.Utility_DisplayArrayInTable(Fertiliser_SourceData.Fertiliser_Products_Data1(),FertiliserProducts[[#Headers],[Include or Exclude]], 0,4)</f>
        <v/>
      </c>
      <c r="M138" s="170" t="str" cm="1">
        <f t="array" ref="M138">Common_InputFunctions.Utility_DisplayArrayInTable(Fertiliser_SourceData.Fertiliser_Products_Data1(),FertiliserProducts[[#Headers],[Include or Exclude]], 0,4)</f>
        <v/>
      </c>
      <c r="N138" s="170" t="str" cm="1">
        <f t="array" ref="N138">Common_InputFunctions.Utility_DisplayArrayInTable(Fertiliser_SourceData.Fertiliser_Products_Data1(),FertiliserProducts[[#Headers],[Include or Exclude]], 0,4)</f>
        <v/>
      </c>
      <c r="O138" s="170" t="str" cm="1">
        <f t="array" ref="O138">Common_InputFunctions.Utility_DisplayArrayInTable(Fertiliser_SourceData.Fertiliser_Products_Data1(),FertiliserProducts[[#Headers],[Include or Exclude]], 0,4)</f>
        <v/>
      </c>
      <c r="P138" s="170" t="str" cm="1">
        <f t="array" ref="P138">Common_InputFunctions.Utility_DisplayArrayInTable(Fertiliser_SourceData.Fertiliser_Products_Data1(),FertiliserProducts[[#Headers],[Include or Exclude]], 0,4)</f>
        <v/>
      </c>
      <c r="Q138" s="170" t="str" cm="1">
        <f t="array" ref="Q138">Common_InputFunctions.Utility_DisplayArrayInTable(Fertiliser_SourceData.Fertiliser_Products_Data1(),FertiliserProducts[[#Headers],[Include or Exclude]], 0,4)</f>
        <v/>
      </c>
      <c r="R138" s="170" t="str" cm="1">
        <f t="array" ref="R138">Common_InputFunctions.Utility_DisplayArrayInTable(Fertiliser_SourceData.Fertiliser_Products_Data1(),FertiliserProducts[[#Headers],[Include or Exclude]], 0,4)</f>
        <v/>
      </c>
      <c r="S138" s="170" t="str" cm="1">
        <f t="array" ref="S138">Common_InputFunctions.Utility_DisplayArrayInTable(Fertiliser_SourceData.Fertiliser_Products_Data1(),FertiliserProducts[[#Headers],[Include or Exclude]], 0,4)</f>
        <v/>
      </c>
      <c r="T138" s="170" t="str" cm="1">
        <f t="array" ref="T138">Common_InputFunctions.Utility_DisplayArrayInTable(Fertiliser_SourceData.Fertiliser_Products_Data1(),FertiliserProducts[[#Headers],[Include or Exclude]], 0,4)</f>
        <v/>
      </c>
      <c r="U138" s="170" t="str" cm="1">
        <f t="array" ref="U138">Common_InputFunctions.Utility_DisplayArrayInTable(Fertiliser_SourceData.Fertiliser_Products_Data1(),FertiliserProducts[[#Headers],[Include or Exclude]], 0,4)</f>
        <v/>
      </c>
      <c r="V138" s="170" t="str" cm="1">
        <f t="array" ref="V138">Common_InputFunctions.Utility_DisplayArrayInTable(Fertiliser_SourceData.Fertiliser_Products_Data1(),FertiliserProducts[[#Headers],[Include or Exclude]], 0,4)</f>
        <v/>
      </c>
      <c r="W138" s="170" t="str" cm="1">
        <f t="array" ref="W138">Common_InputFunctions.Utility_DisplayArrayInTable(Fertiliser_SourceData.Fertiliser_Products_Data1(),FertiliserProducts[[#Headers],[Include or Exclude]], 0,4)</f>
        <v/>
      </c>
      <c r="X138" s="170" t="str" cm="1">
        <f t="array" ref="X138">Common_InputFunctions.Utility_DisplayArrayInTable(Fertiliser_SourceData.Fertiliser_Products_Data1(),FertiliserProducts[[#Headers],[Include or Exclude]], 0,4)</f>
        <v/>
      </c>
      <c r="Y138" s="170" t="str" cm="1">
        <f t="array" ref="Y138">Common_InputFunctions.Utility_DisplayArrayInTable(Fertiliser_SourceData.Fertiliser_Products_Data1(),FertiliserProducts[[#Headers],[Include or Exclude]], 0,4)</f>
        <v/>
      </c>
      <c r="Z138" s="170" t="str" cm="1">
        <f t="array" ref="Z138">Common_InputFunctions.Utility_DisplayArrayInTable(Fertiliser_SourceData.Fertiliser_Products_Data1(),FertiliserProducts[[#Headers],[Include or Exclude]], 0,4)</f>
        <v/>
      </c>
      <c r="AA138" s="170" t="str" cm="1">
        <f t="array" ref="AA138">Common_InputFunctions.Utility_DisplayArrayInTable(Fertiliser_SourceData.Fertiliser_Products_Data1(),FertiliserProducts[[#Headers],[Include or Exclude]], 0,4)</f>
        <v/>
      </c>
      <c r="AB138" s="170" t="str" cm="1">
        <f t="array" ref="AB138">Common_InputFunctions.Utility_DisplayArrayInTable(Fertiliser_SourceData.Fertiliser_Products_Data1(),FertiliserProducts[[#Headers],[Include or Exclude]], 0,4)</f>
        <v/>
      </c>
      <c r="AC138" s="170" t="str" cm="1">
        <f t="array" ref="AC138">Common_InputFunctions.Utility_DisplayArrayInTable(Fertiliser_SourceData.Fertiliser_Products_Data1(),FertiliserProducts[[#Headers],[Include or Exclude]], 0,4)</f>
        <v/>
      </c>
      <c r="AD138" s="170" t="str" cm="1">
        <f t="array" ref="AD138">Common_InputFunctions.Utility_DisplayArrayInTable(Fertiliser_SourceData.Fertiliser_Products_Data1(),FertiliserProducts[[#Headers],[Include or Exclude]], 0,4)</f>
        <v/>
      </c>
      <c r="AE138" s="170" t="str" cm="1">
        <f t="array" ref="AE138">Common_InputFunctions.Utility_DisplayArrayInTable(Fertiliser_SourceData.Fertiliser_Products_Data1(),FertiliserProducts[[#Headers],[Include or Exclude]], 0,4)</f>
        <v/>
      </c>
    </row>
    <row r="139" spans="4:31" ht="20.100000000000001" customHeight="1" x14ac:dyDescent="0.25">
      <c r="D139" s="170" t="str" cm="1">
        <f t="array" ref="D139">Common_InputFunctions.Utility_DisplayArrayInTable(Fertiliser_SourceData.Fertiliser_Products_Data1(),FertiliserProducts[[#Headers],[Include or Exclude]], -1)</f>
        <v/>
      </c>
      <c r="E139" s="170" t="str" cm="1">
        <f t="array" ref="E139">Common_InputFunctions.Utility_DisplayArrayInTable(Fertiliser_SourceData.Fertiliser_Products_Data1(),FertiliserProducts[[#Headers],[Include or Exclude]], 0)</f>
        <v/>
      </c>
      <c r="F139" s="170" t="str" cm="1">
        <f t="array" ref="F139">Common_InputFunctions.Utility_DisplayArrayInTable(Fertiliser_SourceData.Fertiliser_Products_Data1(),FertiliserProducts[[#Headers],[Include or Exclude]], 0)</f>
        <v/>
      </c>
      <c r="G139" s="170" t="str" cm="1">
        <f t="array" ref="G139">Common_InputFunctions.Utility_DisplayArrayInTable(Fertiliser_SourceData.Fertiliser_Products_Data1(),FertiliserProducts[[#Headers],[Include or Exclude]], 0)</f>
        <v/>
      </c>
      <c r="H139" s="170" t="str" cm="1">
        <f t="array" ref="H139">Common_InputFunctions.Utility_DisplayArrayInTable(Fertiliser_SourceData.Fertiliser_Products_Data1(),FertiliserProducts[[#Headers],[Include or Exclude]], 0,4)</f>
        <v/>
      </c>
      <c r="I139" s="170" t="str" cm="1">
        <f t="array" ref="I139">Common_InputFunctions.Utility_DisplayArrayInTable(Fertiliser_SourceData.Fertiliser_Products_Data1(),FertiliserProducts[[#Headers],[Include or Exclude]], 0,4)</f>
        <v/>
      </c>
      <c r="J139" s="170" t="str" cm="1">
        <f t="array" ref="J139">Common_InputFunctions.Utility_DisplayArrayInTable(Fertiliser_SourceData.Fertiliser_Products_Data1(),FertiliserProducts[[#Headers],[Include or Exclude]], 0,4)</f>
        <v/>
      </c>
      <c r="K139" s="170" t="str" cm="1">
        <f t="array" ref="K139">Common_InputFunctions.Utility_DisplayArrayInTable(Fertiliser_SourceData.Fertiliser_Products_Data1(),FertiliserProducts[[#Headers],[Include or Exclude]], 0,4)</f>
        <v/>
      </c>
      <c r="L139" s="170" t="str" cm="1">
        <f t="array" ref="L139">Common_InputFunctions.Utility_DisplayArrayInTable(Fertiliser_SourceData.Fertiliser_Products_Data1(),FertiliserProducts[[#Headers],[Include or Exclude]], 0,4)</f>
        <v/>
      </c>
      <c r="M139" s="170" t="str" cm="1">
        <f t="array" ref="M139">Common_InputFunctions.Utility_DisplayArrayInTable(Fertiliser_SourceData.Fertiliser_Products_Data1(),FertiliserProducts[[#Headers],[Include or Exclude]], 0,4)</f>
        <v/>
      </c>
      <c r="N139" s="170" t="str" cm="1">
        <f t="array" ref="N139">Common_InputFunctions.Utility_DisplayArrayInTable(Fertiliser_SourceData.Fertiliser_Products_Data1(),FertiliserProducts[[#Headers],[Include or Exclude]], 0,4)</f>
        <v/>
      </c>
      <c r="O139" s="170" t="str" cm="1">
        <f t="array" ref="O139">Common_InputFunctions.Utility_DisplayArrayInTable(Fertiliser_SourceData.Fertiliser_Products_Data1(),FertiliserProducts[[#Headers],[Include or Exclude]], 0,4)</f>
        <v/>
      </c>
      <c r="P139" s="170" t="str" cm="1">
        <f t="array" ref="P139">Common_InputFunctions.Utility_DisplayArrayInTable(Fertiliser_SourceData.Fertiliser_Products_Data1(),FertiliserProducts[[#Headers],[Include or Exclude]], 0,4)</f>
        <v/>
      </c>
      <c r="Q139" s="170" t="str" cm="1">
        <f t="array" ref="Q139">Common_InputFunctions.Utility_DisplayArrayInTable(Fertiliser_SourceData.Fertiliser_Products_Data1(),FertiliserProducts[[#Headers],[Include or Exclude]], 0,4)</f>
        <v/>
      </c>
      <c r="R139" s="170" t="str" cm="1">
        <f t="array" ref="R139">Common_InputFunctions.Utility_DisplayArrayInTable(Fertiliser_SourceData.Fertiliser_Products_Data1(),FertiliserProducts[[#Headers],[Include or Exclude]], 0,4)</f>
        <v/>
      </c>
      <c r="S139" s="170" t="str" cm="1">
        <f t="array" ref="S139">Common_InputFunctions.Utility_DisplayArrayInTable(Fertiliser_SourceData.Fertiliser_Products_Data1(),FertiliserProducts[[#Headers],[Include or Exclude]], 0,4)</f>
        <v/>
      </c>
      <c r="T139" s="170" t="str" cm="1">
        <f t="array" ref="T139">Common_InputFunctions.Utility_DisplayArrayInTable(Fertiliser_SourceData.Fertiliser_Products_Data1(),FertiliserProducts[[#Headers],[Include or Exclude]], 0,4)</f>
        <v/>
      </c>
      <c r="U139" s="170" t="str" cm="1">
        <f t="array" ref="U139">Common_InputFunctions.Utility_DisplayArrayInTable(Fertiliser_SourceData.Fertiliser_Products_Data1(),FertiliserProducts[[#Headers],[Include or Exclude]], 0,4)</f>
        <v/>
      </c>
      <c r="V139" s="170" t="str" cm="1">
        <f t="array" ref="V139">Common_InputFunctions.Utility_DisplayArrayInTable(Fertiliser_SourceData.Fertiliser_Products_Data1(),FertiliserProducts[[#Headers],[Include or Exclude]], 0,4)</f>
        <v/>
      </c>
      <c r="W139" s="170" t="str" cm="1">
        <f t="array" ref="W139">Common_InputFunctions.Utility_DisplayArrayInTable(Fertiliser_SourceData.Fertiliser_Products_Data1(),FertiliserProducts[[#Headers],[Include or Exclude]], 0,4)</f>
        <v/>
      </c>
      <c r="X139" s="170" t="str" cm="1">
        <f t="array" ref="X139">Common_InputFunctions.Utility_DisplayArrayInTable(Fertiliser_SourceData.Fertiliser_Products_Data1(),FertiliserProducts[[#Headers],[Include or Exclude]], 0,4)</f>
        <v/>
      </c>
      <c r="Y139" s="170" t="str" cm="1">
        <f t="array" ref="Y139">Common_InputFunctions.Utility_DisplayArrayInTable(Fertiliser_SourceData.Fertiliser_Products_Data1(),FertiliserProducts[[#Headers],[Include or Exclude]], 0,4)</f>
        <v/>
      </c>
      <c r="Z139" s="170" t="str" cm="1">
        <f t="array" ref="Z139">Common_InputFunctions.Utility_DisplayArrayInTable(Fertiliser_SourceData.Fertiliser_Products_Data1(),FertiliserProducts[[#Headers],[Include or Exclude]], 0,4)</f>
        <v/>
      </c>
      <c r="AA139" s="170" t="str" cm="1">
        <f t="array" ref="AA139">Common_InputFunctions.Utility_DisplayArrayInTable(Fertiliser_SourceData.Fertiliser_Products_Data1(),FertiliserProducts[[#Headers],[Include or Exclude]], 0,4)</f>
        <v/>
      </c>
      <c r="AB139" s="170" t="str" cm="1">
        <f t="array" ref="AB139">Common_InputFunctions.Utility_DisplayArrayInTable(Fertiliser_SourceData.Fertiliser_Products_Data1(),FertiliserProducts[[#Headers],[Include or Exclude]], 0,4)</f>
        <v/>
      </c>
      <c r="AC139" s="170" t="str" cm="1">
        <f t="array" ref="AC139">Common_InputFunctions.Utility_DisplayArrayInTable(Fertiliser_SourceData.Fertiliser_Products_Data1(),FertiliserProducts[[#Headers],[Include or Exclude]], 0,4)</f>
        <v/>
      </c>
      <c r="AD139" s="170" t="str" cm="1">
        <f t="array" ref="AD139">Common_InputFunctions.Utility_DisplayArrayInTable(Fertiliser_SourceData.Fertiliser_Products_Data1(),FertiliserProducts[[#Headers],[Include or Exclude]], 0,4)</f>
        <v/>
      </c>
      <c r="AE139" s="170" t="str" cm="1">
        <f t="array" ref="AE139">Common_InputFunctions.Utility_DisplayArrayInTable(Fertiliser_SourceData.Fertiliser_Products_Data1(),FertiliserProducts[[#Headers],[Include or Exclude]], 0,4)</f>
        <v/>
      </c>
    </row>
    <row r="140" spans="4:31" ht="20.100000000000001" customHeight="1" x14ac:dyDescent="0.25">
      <c r="D140" s="170" t="str" cm="1">
        <f t="array" ref="D140">Common_InputFunctions.Utility_DisplayArrayInTable(Fertiliser_SourceData.Fertiliser_Products_Data1(),FertiliserProducts[[#Headers],[Include or Exclude]], -1)</f>
        <v/>
      </c>
      <c r="E140" s="170" t="str" cm="1">
        <f t="array" ref="E140">Common_InputFunctions.Utility_DisplayArrayInTable(Fertiliser_SourceData.Fertiliser_Products_Data1(),FertiliserProducts[[#Headers],[Include or Exclude]], 0)</f>
        <v/>
      </c>
      <c r="F140" s="170" t="str" cm="1">
        <f t="array" ref="F140">Common_InputFunctions.Utility_DisplayArrayInTable(Fertiliser_SourceData.Fertiliser_Products_Data1(),FertiliserProducts[[#Headers],[Include or Exclude]], 0)</f>
        <v/>
      </c>
      <c r="G140" s="170" t="str" cm="1">
        <f t="array" ref="G140">Common_InputFunctions.Utility_DisplayArrayInTable(Fertiliser_SourceData.Fertiliser_Products_Data1(),FertiliserProducts[[#Headers],[Include or Exclude]], 0)</f>
        <v/>
      </c>
      <c r="H140" s="170" t="str" cm="1">
        <f t="array" ref="H140">Common_InputFunctions.Utility_DisplayArrayInTable(Fertiliser_SourceData.Fertiliser_Products_Data1(),FertiliserProducts[[#Headers],[Include or Exclude]], 0,4)</f>
        <v/>
      </c>
      <c r="I140" s="170" t="str" cm="1">
        <f t="array" ref="I140">Common_InputFunctions.Utility_DisplayArrayInTable(Fertiliser_SourceData.Fertiliser_Products_Data1(),FertiliserProducts[[#Headers],[Include or Exclude]], 0,4)</f>
        <v/>
      </c>
      <c r="J140" s="170" t="str" cm="1">
        <f t="array" ref="J140">Common_InputFunctions.Utility_DisplayArrayInTable(Fertiliser_SourceData.Fertiliser_Products_Data1(),FertiliserProducts[[#Headers],[Include or Exclude]], 0,4)</f>
        <v/>
      </c>
      <c r="K140" s="170" t="str" cm="1">
        <f t="array" ref="K140">Common_InputFunctions.Utility_DisplayArrayInTable(Fertiliser_SourceData.Fertiliser_Products_Data1(),FertiliserProducts[[#Headers],[Include or Exclude]], 0,4)</f>
        <v/>
      </c>
      <c r="L140" s="170" t="str" cm="1">
        <f t="array" ref="L140">Common_InputFunctions.Utility_DisplayArrayInTable(Fertiliser_SourceData.Fertiliser_Products_Data1(),FertiliserProducts[[#Headers],[Include or Exclude]], 0,4)</f>
        <v/>
      </c>
      <c r="M140" s="170" t="str" cm="1">
        <f t="array" ref="M140">Common_InputFunctions.Utility_DisplayArrayInTable(Fertiliser_SourceData.Fertiliser_Products_Data1(),FertiliserProducts[[#Headers],[Include or Exclude]], 0,4)</f>
        <v/>
      </c>
      <c r="N140" s="170" t="str" cm="1">
        <f t="array" ref="N140">Common_InputFunctions.Utility_DisplayArrayInTable(Fertiliser_SourceData.Fertiliser_Products_Data1(),FertiliserProducts[[#Headers],[Include or Exclude]], 0,4)</f>
        <v/>
      </c>
      <c r="O140" s="170" t="str" cm="1">
        <f t="array" ref="O140">Common_InputFunctions.Utility_DisplayArrayInTable(Fertiliser_SourceData.Fertiliser_Products_Data1(),FertiliserProducts[[#Headers],[Include or Exclude]], 0,4)</f>
        <v/>
      </c>
      <c r="P140" s="170" t="str" cm="1">
        <f t="array" ref="P140">Common_InputFunctions.Utility_DisplayArrayInTable(Fertiliser_SourceData.Fertiliser_Products_Data1(),FertiliserProducts[[#Headers],[Include or Exclude]], 0,4)</f>
        <v/>
      </c>
      <c r="Q140" s="170" t="str" cm="1">
        <f t="array" ref="Q140">Common_InputFunctions.Utility_DisplayArrayInTable(Fertiliser_SourceData.Fertiliser_Products_Data1(),FertiliserProducts[[#Headers],[Include or Exclude]], 0,4)</f>
        <v/>
      </c>
      <c r="R140" s="170" t="str" cm="1">
        <f t="array" ref="R140">Common_InputFunctions.Utility_DisplayArrayInTable(Fertiliser_SourceData.Fertiliser_Products_Data1(),FertiliserProducts[[#Headers],[Include or Exclude]], 0,4)</f>
        <v/>
      </c>
      <c r="S140" s="170" t="str" cm="1">
        <f t="array" ref="S140">Common_InputFunctions.Utility_DisplayArrayInTable(Fertiliser_SourceData.Fertiliser_Products_Data1(),FertiliserProducts[[#Headers],[Include or Exclude]], 0,4)</f>
        <v/>
      </c>
      <c r="T140" s="170" t="str" cm="1">
        <f t="array" ref="T140">Common_InputFunctions.Utility_DisplayArrayInTable(Fertiliser_SourceData.Fertiliser_Products_Data1(),FertiliserProducts[[#Headers],[Include or Exclude]], 0,4)</f>
        <v/>
      </c>
      <c r="U140" s="170" t="str" cm="1">
        <f t="array" ref="U140">Common_InputFunctions.Utility_DisplayArrayInTable(Fertiliser_SourceData.Fertiliser_Products_Data1(),FertiliserProducts[[#Headers],[Include or Exclude]], 0,4)</f>
        <v/>
      </c>
      <c r="V140" s="170" t="str" cm="1">
        <f t="array" ref="V140">Common_InputFunctions.Utility_DisplayArrayInTable(Fertiliser_SourceData.Fertiliser_Products_Data1(),FertiliserProducts[[#Headers],[Include or Exclude]], 0,4)</f>
        <v/>
      </c>
      <c r="W140" s="170" t="str" cm="1">
        <f t="array" ref="W140">Common_InputFunctions.Utility_DisplayArrayInTable(Fertiliser_SourceData.Fertiliser_Products_Data1(),FertiliserProducts[[#Headers],[Include or Exclude]], 0,4)</f>
        <v/>
      </c>
      <c r="X140" s="170" t="str" cm="1">
        <f t="array" ref="X140">Common_InputFunctions.Utility_DisplayArrayInTable(Fertiliser_SourceData.Fertiliser_Products_Data1(),FertiliserProducts[[#Headers],[Include or Exclude]], 0,4)</f>
        <v/>
      </c>
      <c r="Y140" s="170" t="str" cm="1">
        <f t="array" ref="Y140">Common_InputFunctions.Utility_DisplayArrayInTable(Fertiliser_SourceData.Fertiliser_Products_Data1(),FertiliserProducts[[#Headers],[Include or Exclude]], 0,4)</f>
        <v/>
      </c>
      <c r="Z140" s="170" t="str" cm="1">
        <f t="array" ref="Z140">Common_InputFunctions.Utility_DisplayArrayInTable(Fertiliser_SourceData.Fertiliser_Products_Data1(),FertiliserProducts[[#Headers],[Include or Exclude]], 0,4)</f>
        <v/>
      </c>
      <c r="AA140" s="170" t="str" cm="1">
        <f t="array" ref="AA140">Common_InputFunctions.Utility_DisplayArrayInTable(Fertiliser_SourceData.Fertiliser_Products_Data1(),FertiliserProducts[[#Headers],[Include or Exclude]], 0,4)</f>
        <v/>
      </c>
      <c r="AB140" s="170" t="str" cm="1">
        <f t="array" ref="AB140">Common_InputFunctions.Utility_DisplayArrayInTable(Fertiliser_SourceData.Fertiliser_Products_Data1(),FertiliserProducts[[#Headers],[Include or Exclude]], 0,4)</f>
        <v/>
      </c>
      <c r="AC140" s="170" t="str" cm="1">
        <f t="array" ref="AC140">Common_InputFunctions.Utility_DisplayArrayInTable(Fertiliser_SourceData.Fertiliser_Products_Data1(),FertiliserProducts[[#Headers],[Include or Exclude]], 0,4)</f>
        <v/>
      </c>
      <c r="AD140" s="170" t="str" cm="1">
        <f t="array" ref="AD140">Common_InputFunctions.Utility_DisplayArrayInTable(Fertiliser_SourceData.Fertiliser_Products_Data1(),FertiliserProducts[[#Headers],[Include or Exclude]], 0,4)</f>
        <v/>
      </c>
      <c r="AE140" s="170" t="str" cm="1">
        <f t="array" ref="AE140">Common_InputFunctions.Utility_DisplayArrayInTable(Fertiliser_SourceData.Fertiliser_Products_Data1(),FertiliserProducts[[#Headers],[Include or Exclude]], 0,4)</f>
        <v/>
      </c>
    </row>
    <row r="141" spans="4:31" ht="20.100000000000001" customHeight="1" x14ac:dyDescent="0.25">
      <c r="D141" s="170" t="str" cm="1">
        <f t="array" ref="D141">Common_InputFunctions.Utility_DisplayArrayInTable(Fertiliser_SourceData.Fertiliser_Products_Data1(),FertiliserProducts[[#Headers],[Include or Exclude]], -1)</f>
        <v/>
      </c>
      <c r="E141" s="170" t="str" cm="1">
        <f t="array" ref="E141">Common_InputFunctions.Utility_DisplayArrayInTable(Fertiliser_SourceData.Fertiliser_Products_Data1(),FertiliserProducts[[#Headers],[Include or Exclude]], 0)</f>
        <v/>
      </c>
      <c r="F141" s="170" t="str" cm="1">
        <f t="array" ref="F141">Common_InputFunctions.Utility_DisplayArrayInTable(Fertiliser_SourceData.Fertiliser_Products_Data1(),FertiliserProducts[[#Headers],[Include or Exclude]], 0)</f>
        <v/>
      </c>
      <c r="G141" s="170" t="str" cm="1">
        <f t="array" ref="G141">Common_InputFunctions.Utility_DisplayArrayInTable(Fertiliser_SourceData.Fertiliser_Products_Data1(),FertiliserProducts[[#Headers],[Include or Exclude]], 0)</f>
        <v/>
      </c>
      <c r="H141" s="170" t="str" cm="1">
        <f t="array" ref="H141">Common_InputFunctions.Utility_DisplayArrayInTable(Fertiliser_SourceData.Fertiliser_Products_Data1(),FertiliserProducts[[#Headers],[Include or Exclude]], 0,4)</f>
        <v/>
      </c>
      <c r="I141" s="170" t="str" cm="1">
        <f t="array" ref="I141">Common_InputFunctions.Utility_DisplayArrayInTable(Fertiliser_SourceData.Fertiliser_Products_Data1(),FertiliserProducts[[#Headers],[Include or Exclude]], 0,4)</f>
        <v/>
      </c>
      <c r="J141" s="170" t="str" cm="1">
        <f t="array" ref="J141">Common_InputFunctions.Utility_DisplayArrayInTable(Fertiliser_SourceData.Fertiliser_Products_Data1(),FertiliserProducts[[#Headers],[Include or Exclude]], 0,4)</f>
        <v/>
      </c>
      <c r="K141" s="170" t="str" cm="1">
        <f t="array" ref="K141">Common_InputFunctions.Utility_DisplayArrayInTable(Fertiliser_SourceData.Fertiliser_Products_Data1(),FertiliserProducts[[#Headers],[Include or Exclude]], 0,4)</f>
        <v/>
      </c>
      <c r="L141" s="170" t="str" cm="1">
        <f t="array" ref="L141">Common_InputFunctions.Utility_DisplayArrayInTable(Fertiliser_SourceData.Fertiliser_Products_Data1(),FertiliserProducts[[#Headers],[Include or Exclude]], 0,4)</f>
        <v/>
      </c>
      <c r="M141" s="170" t="str" cm="1">
        <f t="array" ref="M141">Common_InputFunctions.Utility_DisplayArrayInTable(Fertiliser_SourceData.Fertiliser_Products_Data1(),FertiliserProducts[[#Headers],[Include or Exclude]], 0,4)</f>
        <v/>
      </c>
      <c r="N141" s="170" t="str" cm="1">
        <f t="array" ref="N141">Common_InputFunctions.Utility_DisplayArrayInTable(Fertiliser_SourceData.Fertiliser_Products_Data1(),FertiliserProducts[[#Headers],[Include or Exclude]], 0,4)</f>
        <v/>
      </c>
      <c r="O141" s="170" t="str" cm="1">
        <f t="array" ref="O141">Common_InputFunctions.Utility_DisplayArrayInTable(Fertiliser_SourceData.Fertiliser_Products_Data1(),FertiliserProducts[[#Headers],[Include or Exclude]], 0,4)</f>
        <v/>
      </c>
      <c r="P141" s="170" t="str" cm="1">
        <f t="array" ref="P141">Common_InputFunctions.Utility_DisplayArrayInTable(Fertiliser_SourceData.Fertiliser_Products_Data1(),FertiliserProducts[[#Headers],[Include or Exclude]], 0,4)</f>
        <v/>
      </c>
      <c r="Q141" s="170" t="str" cm="1">
        <f t="array" ref="Q141">Common_InputFunctions.Utility_DisplayArrayInTable(Fertiliser_SourceData.Fertiliser_Products_Data1(),FertiliserProducts[[#Headers],[Include or Exclude]], 0,4)</f>
        <v/>
      </c>
      <c r="R141" s="170" t="str" cm="1">
        <f t="array" ref="R141">Common_InputFunctions.Utility_DisplayArrayInTable(Fertiliser_SourceData.Fertiliser_Products_Data1(),FertiliserProducts[[#Headers],[Include or Exclude]], 0,4)</f>
        <v/>
      </c>
      <c r="S141" s="170" t="str" cm="1">
        <f t="array" ref="S141">Common_InputFunctions.Utility_DisplayArrayInTable(Fertiliser_SourceData.Fertiliser_Products_Data1(),FertiliserProducts[[#Headers],[Include or Exclude]], 0,4)</f>
        <v/>
      </c>
      <c r="T141" s="170" t="str" cm="1">
        <f t="array" ref="T141">Common_InputFunctions.Utility_DisplayArrayInTable(Fertiliser_SourceData.Fertiliser_Products_Data1(),FertiliserProducts[[#Headers],[Include or Exclude]], 0,4)</f>
        <v/>
      </c>
      <c r="U141" s="170" t="str" cm="1">
        <f t="array" ref="U141">Common_InputFunctions.Utility_DisplayArrayInTable(Fertiliser_SourceData.Fertiliser_Products_Data1(),FertiliserProducts[[#Headers],[Include or Exclude]], 0,4)</f>
        <v/>
      </c>
      <c r="V141" s="170" t="str" cm="1">
        <f t="array" ref="V141">Common_InputFunctions.Utility_DisplayArrayInTable(Fertiliser_SourceData.Fertiliser_Products_Data1(),FertiliserProducts[[#Headers],[Include or Exclude]], 0,4)</f>
        <v/>
      </c>
      <c r="W141" s="170" t="str" cm="1">
        <f t="array" ref="W141">Common_InputFunctions.Utility_DisplayArrayInTable(Fertiliser_SourceData.Fertiliser_Products_Data1(),FertiliserProducts[[#Headers],[Include or Exclude]], 0,4)</f>
        <v/>
      </c>
      <c r="X141" s="170" t="str" cm="1">
        <f t="array" ref="X141">Common_InputFunctions.Utility_DisplayArrayInTable(Fertiliser_SourceData.Fertiliser_Products_Data1(),FertiliserProducts[[#Headers],[Include or Exclude]], 0,4)</f>
        <v/>
      </c>
      <c r="Y141" s="170" t="str" cm="1">
        <f t="array" ref="Y141">Common_InputFunctions.Utility_DisplayArrayInTable(Fertiliser_SourceData.Fertiliser_Products_Data1(),FertiliserProducts[[#Headers],[Include or Exclude]], 0,4)</f>
        <v/>
      </c>
      <c r="Z141" s="170" t="str" cm="1">
        <f t="array" ref="Z141">Common_InputFunctions.Utility_DisplayArrayInTable(Fertiliser_SourceData.Fertiliser_Products_Data1(),FertiliserProducts[[#Headers],[Include or Exclude]], 0,4)</f>
        <v/>
      </c>
      <c r="AA141" s="170" t="str" cm="1">
        <f t="array" ref="AA141">Common_InputFunctions.Utility_DisplayArrayInTable(Fertiliser_SourceData.Fertiliser_Products_Data1(),FertiliserProducts[[#Headers],[Include or Exclude]], 0,4)</f>
        <v/>
      </c>
      <c r="AB141" s="170" t="str" cm="1">
        <f t="array" ref="AB141">Common_InputFunctions.Utility_DisplayArrayInTable(Fertiliser_SourceData.Fertiliser_Products_Data1(),FertiliserProducts[[#Headers],[Include or Exclude]], 0,4)</f>
        <v/>
      </c>
      <c r="AC141" s="170" t="str" cm="1">
        <f t="array" ref="AC141">Common_InputFunctions.Utility_DisplayArrayInTable(Fertiliser_SourceData.Fertiliser_Products_Data1(),FertiliserProducts[[#Headers],[Include or Exclude]], 0,4)</f>
        <v/>
      </c>
      <c r="AD141" s="170" t="str" cm="1">
        <f t="array" ref="AD141">Common_InputFunctions.Utility_DisplayArrayInTable(Fertiliser_SourceData.Fertiliser_Products_Data1(),FertiliserProducts[[#Headers],[Include or Exclude]], 0,4)</f>
        <v/>
      </c>
      <c r="AE141" s="170" t="str" cm="1">
        <f t="array" ref="AE141">Common_InputFunctions.Utility_DisplayArrayInTable(Fertiliser_SourceData.Fertiliser_Products_Data1(),FertiliserProducts[[#Headers],[Include or Exclude]], 0,4)</f>
        <v/>
      </c>
    </row>
    <row r="142" spans="4:31" ht="20.100000000000001" customHeight="1" x14ac:dyDescent="0.25">
      <c r="D142" s="170" t="str" cm="1">
        <f t="array" ref="D142">Common_InputFunctions.Utility_DisplayArrayInTable(Fertiliser_SourceData.Fertiliser_Products_Data1(),FertiliserProducts[[#Headers],[Include or Exclude]], -1)</f>
        <v/>
      </c>
      <c r="E142" s="170" t="str" cm="1">
        <f t="array" ref="E142">Common_InputFunctions.Utility_DisplayArrayInTable(Fertiliser_SourceData.Fertiliser_Products_Data1(),FertiliserProducts[[#Headers],[Include or Exclude]], 0)</f>
        <v/>
      </c>
      <c r="F142" s="170" t="str" cm="1">
        <f t="array" ref="F142">Common_InputFunctions.Utility_DisplayArrayInTable(Fertiliser_SourceData.Fertiliser_Products_Data1(),FertiliserProducts[[#Headers],[Include or Exclude]], 0)</f>
        <v/>
      </c>
      <c r="G142" s="170" t="str" cm="1">
        <f t="array" ref="G142">Common_InputFunctions.Utility_DisplayArrayInTable(Fertiliser_SourceData.Fertiliser_Products_Data1(),FertiliserProducts[[#Headers],[Include or Exclude]], 0)</f>
        <v/>
      </c>
      <c r="H142" s="170" t="str" cm="1">
        <f t="array" ref="H142">Common_InputFunctions.Utility_DisplayArrayInTable(Fertiliser_SourceData.Fertiliser_Products_Data1(),FertiliserProducts[[#Headers],[Include or Exclude]], 0,4)</f>
        <v/>
      </c>
      <c r="I142" s="170" t="str" cm="1">
        <f t="array" ref="I142">Common_InputFunctions.Utility_DisplayArrayInTable(Fertiliser_SourceData.Fertiliser_Products_Data1(),FertiliserProducts[[#Headers],[Include or Exclude]], 0,4)</f>
        <v/>
      </c>
      <c r="J142" s="170" t="str" cm="1">
        <f t="array" ref="J142">Common_InputFunctions.Utility_DisplayArrayInTable(Fertiliser_SourceData.Fertiliser_Products_Data1(),FertiliserProducts[[#Headers],[Include or Exclude]], 0,4)</f>
        <v/>
      </c>
      <c r="K142" s="170" t="str" cm="1">
        <f t="array" ref="K142">Common_InputFunctions.Utility_DisplayArrayInTable(Fertiliser_SourceData.Fertiliser_Products_Data1(),FertiliserProducts[[#Headers],[Include or Exclude]], 0,4)</f>
        <v/>
      </c>
      <c r="L142" s="170" t="str" cm="1">
        <f t="array" ref="L142">Common_InputFunctions.Utility_DisplayArrayInTable(Fertiliser_SourceData.Fertiliser_Products_Data1(),FertiliserProducts[[#Headers],[Include or Exclude]], 0,4)</f>
        <v/>
      </c>
      <c r="M142" s="170" t="str" cm="1">
        <f t="array" ref="M142">Common_InputFunctions.Utility_DisplayArrayInTable(Fertiliser_SourceData.Fertiliser_Products_Data1(),FertiliserProducts[[#Headers],[Include or Exclude]], 0,4)</f>
        <v/>
      </c>
      <c r="N142" s="170" t="str" cm="1">
        <f t="array" ref="N142">Common_InputFunctions.Utility_DisplayArrayInTable(Fertiliser_SourceData.Fertiliser_Products_Data1(),FertiliserProducts[[#Headers],[Include or Exclude]], 0,4)</f>
        <v/>
      </c>
      <c r="O142" s="170" t="str" cm="1">
        <f t="array" ref="O142">Common_InputFunctions.Utility_DisplayArrayInTable(Fertiliser_SourceData.Fertiliser_Products_Data1(),FertiliserProducts[[#Headers],[Include or Exclude]], 0,4)</f>
        <v/>
      </c>
      <c r="P142" s="170" t="str" cm="1">
        <f t="array" ref="P142">Common_InputFunctions.Utility_DisplayArrayInTable(Fertiliser_SourceData.Fertiliser_Products_Data1(),FertiliserProducts[[#Headers],[Include or Exclude]], 0,4)</f>
        <v/>
      </c>
      <c r="Q142" s="170" t="str" cm="1">
        <f t="array" ref="Q142">Common_InputFunctions.Utility_DisplayArrayInTable(Fertiliser_SourceData.Fertiliser_Products_Data1(),FertiliserProducts[[#Headers],[Include or Exclude]], 0,4)</f>
        <v/>
      </c>
      <c r="R142" s="170" t="str" cm="1">
        <f t="array" ref="R142">Common_InputFunctions.Utility_DisplayArrayInTable(Fertiliser_SourceData.Fertiliser_Products_Data1(),FertiliserProducts[[#Headers],[Include or Exclude]], 0,4)</f>
        <v/>
      </c>
      <c r="S142" s="170" t="str" cm="1">
        <f t="array" ref="S142">Common_InputFunctions.Utility_DisplayArrayInTable(Fertiliser_SourceData.Fertiliser_Products_Data1(),FertiliserProducts[[#Headers],[Include or Exclude]], 0,4)</f>
        <v/>
      </c>
      <c r="T142" s="170" t="str" cm="1">
        <f t="array" ref="T142">Common_InputFunctions.Utility_DisplayArrayInTable(Fertiliser_SourceData.Fertiliser_Products_Data1(),FertiliserProducts[[#Headers],[Include or Exclude]], 0,4)</f>
        <v/>
      </c>
      <c r="U142" s="170" t="str" cm="1">
        <f t="array" ref="U142">Common_InputFunctions.Utility_DisplayArrayInTable(Fertiliser_SourceData.Fertiliser_Products_Data1(),FertiliserProducts[[#Headers],[Include or Exclude]], 0,4)</f>
        <v/>
      </c>
      <c r="V142" s="170" t="str" cm="1">
        <f t="array" ref="V142">Common_InputFunctions.Utility_DisplayArrayInTable(Fertiliser_SourceData.Fertiliser_Products_Data1(),FertiliserProducts[[#Headers],[Include or Exclude]], 0,4)</f>
        <v/>
      </c>
      <c r="W142" s="170" t="str" cm="1">
        <f t="array" ref="W142">Common_InputFunctions.Utility_DisplayArrayInTable(Fertiliser_SourceData.Fertiliser_Products_Data1(),FertiliserProducts[[#Headers],[Include or Exclude]], 0,4)</f>
        <v/>
      </c>
      <c r="X142" s="170" t="str" cm="1">
        <f t="array" ref="X142">Common_InputFunctions.Utility_DisplayArrayInTable(Fertiliser_SourceData.Fertiliser_Products_Data1(),FertiliserProducts[[#Headers],[Include or Exclude]], 0,4)</f>
        <v/>
      </c>
      <c r="Y142" s="170" t="str" cm="1">
        <f t="array" ref="Y142">Common_InputFunctions.Utility_DisplayArrayInTable(Fertiliser_SourceData.Fertiliser_Products_Data1(),FertiliserProducts[[#Headers],[Include or Exclude]], 0,4)</f>
        <v/>
      </c>
      <c r="Z142" s="170" t="str" cm="1">
        <f t="array" ref="Z142">Common_InputFunctions.Utility_DisplayArrayInTable(Fertiliser_SourceData.Fertiliser_Products_Data1(),FertiliserProducts[[#Headers],[Include or Exclude]], 0,4)</f>
        <v/>
      </c>
      <c r="AA142" s="170" t="str" cm="1">
        <f t="array" ref="AA142">Common_InputFunctions.Utility_DisplayArrayInTable(Fertiliser_SourceData.Fertiliser_Products_Data1(),FertiliserProducts[[#Headers],[Include or Exclude]], 0,4)</f>
        <v/>
      </c>
      <c r="AB142" s="170" t="str" cm="1">
        <f t="array" ref="AB142">Common_InputFunctions.Utility_DisplayArrayInTable(Fertiliser_SourceData.Fertiliser_Products_Data1(),FertiliserProducts[[#Headers],[Include or Exclude]], 0,4)</f>
        <v/>
      </c>
      <c r="AC142" s="170" t="str" cm="1">
        <f t="array" ref="AC142">Common_InputFunctions.Utility_DisplayArrayInTable(Fertiliser_SourceData.Fertiliser_Products_Data1(),FertiliserProducts[[#Headers],[Include or Exclude]], 0,4)</f>
        <v/>
      </c>
      <c r="AD142" s="170" t="str" cm="1">
        <f t="array" ref="AD142">Common_InputFunctions.Utility_DisplayArrayInTable(Fertiliser_SourceData.Fertiliser_Products_Data1(),FertiliserProducts[[#Headers],[Include or Exclude]], 0,4)</f>
        <v/>
      </c>
      <c r="AE142" s="170" t="str" cm="1">
        <f t="array" ref="AE142">Common_InputFunctions.Utility_DisplayArrayInTable(Fertiliser_SourceData.Fertiliser_Products_Data1(),FertiliserProducts[[#Headers],[Include or Exclude]], 0,4)</f>
        <v/>
      </c>
    </row>
    <row r="143" spans="4:31" ht="20.100000000000001" customHeight="1" x14ac:dyDescent="0.25">
      <c r="D143" s="170" t="str" cm="1">
        <f t="array" ref="D143">Common_InputFunctions.Utility_DisplayArrayInTable(Fertiliser_SourceData.Fertiliser_Products_Data1(),FertiliserProducts[[#Headers],[Include or Exclude]], -1)</f>
        <v/>
      </c>
      <c r="E143" s="170" t="str" cm="1">
        <f t="array" ref="E143">Common_InputFunctions.Utility_DisplayArrayInTable(Fertiliser_SourceData.Fertiliser_Products_Data1(),FertiliserProducts[[#Headers],[Include or Exclude]], 0)</f>
        <v/>
      </c>
      <c r="F143" s="170" t="str" cm="1">
        <f t="array" ref="F143">Common_InputFunctions.Utility_DisplayArrayInTable(Fertiliser_SourceData.Fertiliser_Products_Data1(),FertiliserProducts[[#Headers],[Include or Exclude]], 0)</f>
        <v/>
      </c>
      <c r="G143" s="170" t="str" cm="1">
        <f t="array" ref="G143">Common_InputFunctions.Utility_DisplayArrayInTable(Fertiliser_SourceData.Fertiliser_Products_Data1(),FertiliserProducts[[#Headers],[Include or Exclude]], 0)</f>
        <v/>
      </c>
      <c r="H143" s="170" t="str" cm="1">
        <f t="array" ref="H143">Common_InputFunctions.Utility_DisplayArrayInTable(Fertiliser_SourceData.Fertiliser_Products_Data1(),FertiliserProducts[[#Headers],[Include or Exclude]], 0,4)</f>
        <v/>
      </c>
      <c r="I143" s="170" t="str" cm="1">
        <f t="array" ref="I143">Common_InputFunctions.Utility_DisplayArrayInTable(Fertiliser_SourceData.Fertiliser_Products_Data1(),FertiliserProducts[[#Headers],[Include or Exclude]], 0,4)</f>
        <v/>
      </c>
      <c r="J143" s="170" t="str" cm="1">
        <f t="array" ref="J143">Common_InputFunctions.Utility_DisplayArrayInTable(Fertiliser_SourceData.Fertiliser_Products_Data1(),FertiliserProducts[[#Headers],[Include or Exclude]], 0,4)</f>
        <v/>
      </c>
      <c r="K143" s="170" t="str" cm="1">
        <f t="array" ref="K143">Common_InputFunctions.Utility_DisplayArrayInTable(Fertiliser_SourceData.Fertiliser_Products_Data1(),FertiliserProducts[[#Headers],[Include or Exclude]], 0,4)</f>
        <v/>
      </c>
      <c r="L143" s="170" t="str" cm="1">
        <f t="array" ref="L143">Common_InputFunctions.Utility_DisplayArrayInTable(Fertiliser_SourceData.Fertiliser_Products_Data1(),FertiliserProducts[[#Headers],[Include or Exclude]], 0,4)</f>
        <v/>
      </c>
      <c r="M143" s="170" t="str" cm="1">
        <f t="array" ref="M143">Common_InputFunctions.Utility_DisplayArrayInTable(Fertiliser_SourceData.Fertiliser_Products_Data1(),FertiliserProducts[[#Headers],[Include or Exclude]], 0,4)</f>
        <v/>
      </c>
      <c r="N143" s="170" t="str" cm="1">
        <f t="array" ref="N143">Common_InputFunctions.Utility_DisplayArrayInTable(Fertiliser_SourceData.Fertiliser_Products_Data1(),FertiliserProducts[[#Headers],[Include or Exclude]], 0,4)</f>
        <v/>
      </c>
      <c r="O143" s="170" t="str" cm="1">
        <f t="array" ref="O143">Common_InputFunctions.Utility_DisplayArrayInTable(Fertiliser_SourceData.Fertiliser_Products_Data1(),FertiliserProducts[[#Headers],[Include or Exclude]], 0,4)</f>
        <v/>
      </c>
      <c r="P143" s="170" t="str" cm="1">
        <f t="array" ref="P143">Common_InputFunctions.Utility_DisplayArrayInTable(Fertiliser_SourceData.Fertiliser_Products_Data1(),FertiliserProducts[[#Headers],[Include or Exclude]], 0,4)</f>
        <v/>
      </c>
      <c r="Q143" s="170" t="str" cm="1">
        <f t="array" ref="Q143">Common_InputFunctions.Utility_DisplayArrayInTable(Fertiliser_SourceData.Fertiliser_Products_Data1(),FertiliserProducts[[#Headers],[Include or Exclude]], 0,4)</f>
        <v/>
      </c>
      <c r="R143" s="170" t="str" cm="1">
        <f t="array" ref="R143">Common_InputFunctions.Utility_DisplayArrayInTable(Fertiliser_SourceData.Fertiliser_Products_Data1(),FertiliserProducts[[#Headers],[Include or Exclude]], 0,4)</f>
        <v/>
      </c>
      <c r="S143" s="170" t="str" cm="1">
        <f t="array" ref="S143">Common_InputFunctions.Utility_DisplayArrayInTable(Fertiliser_SourceData.Fertiliser_Products_Data1(),FertiliserProducts[[#Headers],[Include or Exclude]], 0,4)</f>
        <v/>
      </c>
      <c r="T143" s="170" t="str" cm="1">
        <f t="array" ref="T143">Common_InputFunctions.Utility_DisplayArrayInTable(Fertiliser_SourceData.Fertiliser_Products_Data1(),FertiliserProducts[[#Headers],[Include or Exclude]], 0,4)</f>
        <v/>
      </c>
      <c r="U143" s="170" t="str" cm="1">
        <f t="array" ref="U143">Common_InputFunctions.Utility_DisplayArrayInTable(Fertiliser_SourceData.Fertiliser_Products_Data1(),FertiliserProducts[[#Headers],[Include or Exclude]], 0,4)</f>
        <v/>
      </c>
      <c r="V143" s="170" t="str" cm="1">
        <f t="array" ref="V143">Common_InputFunctions.Utility_DisplayArrayInTable(Fertiliser_SourceData.Fertiliser_Products_Data1(),FertiliserProducts[[#Headers],[Include or Exclude]], 0,4)</f>
        <v/>
      </c>
      <c r="W143" s="170" t="str" cm="1">
        <f t="array" ref="W143">Common_InputFunctions.Utility_DisplayArrayInTable(Fertiliser_SourceData.Fertiliser_Products_Data1(),FertiliserProducts[[#Headers],[Include or Exclude]], 0,4)</f>
        <v/>
      </c>
      <c r="X143" s="170" t="str" cm="1">
        <f t="array" ref="X143">Common_InputFunctions.Utility_DisplayArrayInTable(Fertiliser_SourceData.Fertiliser_Products_Data1(),FertiliserProducts[[#Headers],[Include or Exclude]], 0,4)</f>
        <v/>
      </c>
      <c r="Y143" s="170" t="str" cm="1">
        <f t="array" ref="Y143">Common_InputFunctions.Utility_DisplayArrayInTable(Fertiliser_SourceData.Fertiliser_Products_Data1(),FertiliserProducts[[#Headers],[Include or Exclude]], 0,4)</f>
        <v/>
      </c>
      <c r="Z143" s="170" t="str" cm="1">
        <f t="array" ref="Z143">Common_InputFunctions.Utility_DisplayArrayInTable(Fertiliser_SourceData.Fertiliser_Products_Data1(),FertiliserProducts[[#Headers],[Include or Exclude]], 0,4)</f>
        <v/>
      </c>
      <c r="AA143" s="170" t="str" cm="1">
        <f t="array" ref="AA143">Common_InputFunctions.Utility_DisplayArrayInTable(Fertiliser_SourceData.Fertiliser_Products_Data1(),FertiliserProducts[[#Headers],[Include or Exclude]], 0,4)</f>
        <v/>
      </c>
      <c r="AB143" s="170" t="str" cm="1">
        <f t="array" ref="AB143">Common_InputFunctions.Utility_DisplayArrayInTable(Fertiliser_SourceData.Fertiliser_Products_Data1(),FertiliserProducts[[#Headers],[Include or Exclude]], 0,4)</f>
        <v/>
      </c>
      <c r="AC143" s="170" t="str" cm="1">
        <f t="array" ref="AC143">Common_InputFunctions.Utility_DisplayArrayInTable(Fertiliser_SourceData.Fertiliser_Products_Data1(),FertiliserProducts[[#Headers],[Include or Exclude]], 0,4)</f>
        <v/>
      </c>
      <c r="AD143" s="170" t="str" cm="1">
        <f t="array" ref="AD143">Common_InputFunctions.Utility_DisplayArrayInTable(Fertiliser_SourceData.Fertiliser_Products_Data1(),FertiliserProducts[[#Headers],[Include or Exclude]], 0,4)</f>
        <v/>
      </c>
      <c r="AE143" s="170" t="str" cm="1">
        <f t="array" ref="AE143">Common_InputFunctions.Utility_DisplayArrayInTable(Fertiliser_SourceData.Fertiliser_Products_Data1(),FertiliserProducts[[#Headers],[Include or Exclude]], 0,4)</f>
        <v/>
      </c>
    </row>
    <row r="144" spans="4:31" ht="20.100000000000001" customHeight="1" x14ac:dyDescent="0.25">
      <c r="D144" s="170" t="str" cm="1">
        <f t="array" ref="D144">Common_InputFunctions.Utility_DisplayArrayInTable(Fertiliser_SourceData.Fertiliser_Products_Data1(),FertiliserProducts[[#Headers],[Include or Exclude]], -1)</f>
        <v/>
      </c>
      <c r="E144" s="170" t="str" cm="1">
        <f t="array" ref="E144">Common_InputFunctions.Utility_DisplayArrayInTable(Fertiliser_SourceData.Fertiliser_Products_Data1(),FertiliserProducts[[#Headers],[Include or Exclude]], 0)</f>
        <v/>
      </c>
      <c r="F144" s="170" t="str" cm="1">
        <f t="array" ref="F144">Common_InputFunctions.Utility_DisplayArrayInTable(Fertiliser_SourceData.Fertiliser_Products_Data1(),FertiliserProducts[[#Headers],[Include or Exclude]], 0)</f>
        <v/>
      </c>
      <c r="G144" s="170" t="str" cm="1">
        <f t="array" ref="G144">Common_InputFunctions.Utility_DisplayArrayInTable(Fertiliser_SourceData.Fertiliser_Products_Data1(),FertiliserProducts[[#Headers],[Include or Exclude]], 0)</f>
        <v/>
      </c>
      <c r="H144" s="170" t="str" cm="1">
        <f t="array" ref="H144">Common_InputFunctions.Utility_DisplayArrayInTable(Fertiliser_SourceData.Fertiliser_Products_Data1(),FertiliserProducts[[#Headers],[Include or Exclude]], 0,4)</f>
        <v/>
      </c>
      <c r="I144" s="170" t="str" cm="1">
        <f t="array" ref="I144">Common_InputFunctions.Utility_DisplayArrayInTable(Fertiliser_SourceData.Fertiliser_Products_Data1(),FertiliserProducts[[#Headers],[Include or Exclude]], 0,4)</f>
        <v/>
      </c>
      <c r="J144" s="170" t="str" cm="1">
        <f t="array" ref="J144">Common_InputFunctions.Utility_DisplayArrayInTable(Fertiliser_SourceData.Fertiliser_Products_Data1(),FertiliserProducts[[#Headers],[Include or Exclude]], 0,4)</f>
        <v/>
      </c>
      <c r="K144" s="170" t="str" cm="1">
        <f t="array" ref="K144">Common_InputFunctions.Utility_DisplayArrayInTable(Fertiliser_SourceData.Fertiliser_Products_Data1(),FertiliserProducts[[#Headers],[Include or Exclude]], 0,4)</f>
        <v/>
      </c>
      <c r="L144" s="170" t="str" cm="1">
        <f t="array" ref="L144">Common_InputFunctions.Utility_DisplayArrayInTable(Fertiliser_SourceData.Fertiliser_Products_Data1(),FertiliserProducts[[#Headers],[Include or Exclude]], 0,4)</f>
        <v/>
      </c>
      <c r="M144" s="170" t="str" cm="1">
        <f t="array" ref="M144">Common_InputFunctions.Utility_DisplayArrayInTable(Fertiliser_SourceData.Fertiliser_Products_Data1(),FertiliserProducts[[#Headers],[Include or Exclude]], 0,4)</f>
        <v/>
      </c>
      <c r="N144" s="170" t="str" cm="1">
        <f t="array" ref="N144">Common_InputFunctions.Utility_DisplayArrayInTable(Fertiliser_SourceData.Fertiliser_Products_Data1(),FertiliserProducts[[#Headers],[Include or Exclude]], 0,4)</f>
        <v/>
      </c>
      <c r="O144" s="170" t="str" cm="1">
        <f t="array" ref="O144">Common_InputFunctions.Utility_DisplayArrayInTable(Fertiliser_SourceData.Fertiliser_Products_Data1(),FertiliserProducts[[#Headers],[Include or Exclude]], 0,4)</f>
        <v/>
      </c>
      <c r="P144" s="170" t="str" cm="1">
        <f t="array" ref="P144">Common_InputFunctions.Utility_DisplayArrayInTable(Fertiliser_SourceData.Fertiliser_Products_Data1(),FertiliserProducts[[#Headers],[Include or Exclude]], 0,4)</f>
        <v/>
      </c>
      <c r="Q144" s="170" t="str" cm="1">
        <f t="array" ref="Q144">Common_InputFunctions.Utility_DisplayArrayInTable(Fertiliser_SourceData.Fertiliser_Products_Data1(),FertiliserProducts[[#Headers],[Include or Exclude]], 0,4)</f>
        <v/>
      </c>
      <c r="R144" s="170" t="str" cm="1">
        <f t="array" ref="R144">Common_InputFunctions.Utility_DisplayArrayInTable(Fertiliser_SourceData.Fertiliser_Products_Data1(),FertiliserProducts[[#Headers],[Include or Exclude]], 0,4)</f>
        <v/>
      </c>
      <c r="S144" s="170" t="str" cm="1">
        <f t="array" ref="S144">Common_InputFunctions.Utility_DisplayArrayInTable(Fertiliser_SourceData.Fertiliser_Products_Data1(),FertiliserProducts[[#Headers],[Include or Exclude]], 0,4)</f>
        <v/>
      </c>
      <c r="T144" s="170" t="str" cm="1">
        <f t="array" ref="T144">Common_InputFunctions.Utility_DisplayArrayInTable(Fertiliser_SourceData.Fertiliser_Products_Data1(),FertiliserProducts[[#Headers],[Include or Exclude]], 0,4)</f>
        <v/>
      </c>
      <c r="U144" s="170" t="str" cm="1">
        <f t="array" ref="U144">Common_InputFunctions.Utility_DisplayArrayInTable(Fertiliser_SourceData.Fertiliser_Products_Data1(),FertiliserProducts[[#Headers],[Include or Exclude]], 0,4)</f>
        <v/>
      </c>
      <c r="V144" s="170" t="str" cm="1">
        <f t="array" ref="V144">Common_InputFunctions.Utility_DisplayArrayInTable(Fertiliser_SourceData.Fertiliser_Products_Data1(),FertiliserProducts[[#Headers],[Include or Exclude]], 0,4)</f>
        <v/>
      </c>
      <c r="W144" s="170" t="str" cm="1">
        <f t="array" ref="W144">Common_InputFunctions.Utility_DisplayArrayInTable(Fertiliser_SourceData.Fertiliser_Products_Data1(),FertiliserProducts[[#Headers],[Include or Exclude]], 0,4)</f>
        <v/>
      </c>
      <c r="X144" s="170" t="str" cm="1">
        <f t="array" ref="X144">Common_InputFunctions.Utility_DisplayArrayInTable(Fertiliser_SourceData.Fertiliser_Products_Data1(),FertiliserProducts[[#Headers],[Include or Exclude]], 0,4)</f>
        <v/>
      </c>
      <c r="Y144" s="170" t="str" cm="1">
        <f t="array" ref="Y144">Common_InputFunctions.Utility_DisplayArrayInTable(Fertiliser_SourceData.Fertiliser_Products_Data1(),FertiliserProducts[[#Headers],[Include or Exclude]], 0,4)</f>
        <v/>
      </c>
      <c r="Z144" s="170" t="str" cm="1">
        <f t="array" ref="Z144">Common_InputFunctions.Utility_DisplayArrayInTable(Fertiliser_SourceData.Fertiliser_Products_Data1(),FertiliserProducts[[#Headers],[Include or Exclude]], 0,4)</f>
        <v/>
      </c>
      <c r="AA144" s="170" t="str" cm="1">
        <f t="array" ref="AA144">Common_InputFunctions.Utility_DisplayArrayInTable(Fertiliser_SourceData.Fertiliser_Products_Data1(),FertiliserProducts[[#Headers],[Include or Exclude]], 0,4)</f>
        <v/>
      </c>
      <c r="AB144" s="170" t="str" cm="1">
        <f t="array" ref="AB144">Common_InputFunctions.Utility_DisplayArrayInTable(Fertiliser_SourceData.Fertiliser_Products_Data1(),FertiliserProducts[[#Headers],[Include or Exclude]], 0,4)</f>
        <v/>
      </c>
      <c r="AC144" s="170" t="str" cm="1">
        <f t="array" ref="AC144">Common_InputFunctions.Utility_DisplayArrayInTable(Fertiliser_SourceData.Fertiliser_Products_Data1(),FertiliserProducts[[#Headers],[Include or Exclude]], 0,4)</f>
        <v/>
      </c>
      <c r="AD144" s="170" t="str" cm="1">
        <f t="array" ref="AD144">Common_InputFunctions.Utility_DisplayArrayInTable(Fertiliser_SourceData.Fertiliser_Products_Data1(),FertiliserProducts[[#Headers],[Include or Exclude]], 0,4)</f>
        <v/>
      </c>
      <c r="AE144" s="170" t="str" cm="1">
        <f t="array" ref="AE144">Common_InputFunctions.Utility_DisplayArrayInTable(Fertiliser_SourceData.Fertiliser_Products_Data1(),FertiliserProducts[[#Headers],[Include or Exclude]], 0,4)</f>
        <v/>
      </c>
    </row>
    <row r="145" spans="4:31" ht="20.100000000000001" customHeight="1" x14ac:dyDescent="0.25">
      <c r="D145" s="170" t="str" cm="1">
        <f t="array" ref="D145">Common_InputFunctions.Utility_DisplayArrayInTable(Fertiliser_SourceData.Fertiliser_Products_Data1(),FertiliserProducts[[#Headers],[Include or Exclude]], -1)</f>
        <v/>
      </c>
      <c r="E145" s="170" t="str" cm="1">
        <f t="array" ref="E145">Common_InputFunctions.Utility_DisplayArrayInTable(Fertiliser_SourceData.Fertiliser_Products_Data1(),FertiliserProducts[[#Headers],[Include or Exclude]], 0)</f>
        <v/>
      </c>
      <c r="F145" s="170" t="str" cm="1">
        <f t="array" ref="F145">Common_InputFunctions.Utility_DisplayArrayInTable(Fertiliser_SourceData.Fertiliser_Products_Data1(),FertiliserProducts[[#Headers],[Include or Exclude]], 0)</f>
        <v/>
      </c>
      <c r="G145" s="170" t="str" cm="1">
        <f t="array" ref="G145">Common_InputFunctions.Utility_DisplayArrayInTable(Fertiliser_SourceData.Fertiliser_Products_Data1(),FertiliserProducts[[#Headers],[Include or Exclude]], 0)</f>
        <v/>
      </c>
      <c r="H145" s="170" t="str" cm="1">
        <f t="array" ref="H145">Common_InputFunctions.Utility_DisplayArrayInTable(Fertiliser_SourceData.Fertiliser_Products_Data1(),FertiliserProducts[[#Headers],[Include or Exclude]], 0,4)</f>
        <v/>
      </c>
      <c r="I145" s="170" t="str" cm="1">
        <f t="array" ref="I145">Common_InputFunctions.Utility_DisplayArrayInTable(Fertiliser_SourceData.Fertiliser_Products_Data1(),FertiliserProducts[[#Headers],[Include or Exclude]], 0,4)</f>
        <v/>
      </c>
      <c r="J145" s="170" t="str" cm="1">
        <f t="array" ref="J145">Common_InputFunctions.Utility_DisplayArrayInTable(Fertiliser_SourceData.Fertiliser_Products_Data1(),FertiliserProducts[[#Headers],[Include or Exclude]], 0,4)</f>
        <v/>
      </c>
      <c r="K145" s="170" t="str" cm="1">
        <f t="array" ref="K145">Common_InputFunctions.Utility_DisplayArrayInTable(Fertiliser_SourceData.Fertiliser_Products_Data1(),FertiliserProducts[[#Headers],[Include or Exclude]], 0,4)</f>
        <v/>
      </c>
      <c r="L145" s="170" t="str" cm="1">
        <f t="array" ref="L145">Common_InputFunctions.Utility_DisplayArrayInTable(Fertiliser_SourceData.Fertiliser_Products_Data1(),FertiliserProducts[[#Headers],[Include or Exclude]], 0,4)</f>
        <v/>
      </c>
      <c r="M145" s="170" t="str" cm="1">
        <f t="array" ref="M145">Common_InputFunctions.Utility_DisplayArrayInTable(Fertiliser_SourceData.Fertiliser_Products_Data1(),FertiliserProducts[[#Headers],[Include or Exclude]], 0,4)</f>
        <v/>
      </c>
      <c r="N145" s="170" t="str" cm="1">
        <f t="array" ref="N145">Common_InputFunctions.Utility_DisplayArrayInTable(Fertiliser_SourceData.Fertiliser_Products_Data1(),FertiliserProducts[[#Headers],[Include or Exclude]], 0,4)</f>
        <v/>
      </c>
      <c r="O145" s="170" t="str" cm="1">
        <f t="array" ref="O145">Common_InputFunctions.Utility_DisplayArrayInTable(Fertiliser_SourceData.Fertiliser_Products_Data1(),FertiliserProducts[[#Headers],[Include or Exclude]], 0,4)</f>
        <v/>
      </c>
      <c r="P145" s="170" t="str" cm="1">
        <f t="array" ref="P145">Common_InputFunctions.Utility_DisplayArrayInTable(Fertiliser_SourceData.Fertiliser_Products_Data1(),FertiliserProducts[[#Headers],[Include or Exclude]], 0,4)</f>
        <v/>
      </c>
      <c r="Q145" s="170" t="str" cm="1">
        <f t="array" ref="Q145">Common_InputFunctions.Utility_DisplayArrayInTable(Fertiliser_SourceData.Fertiliser_Products_Data1(),FertiliserProducts[[#Headers],[Include or Exclude]], 0,4)</f>
        <v/>
      </c>
      <c r="R145" s="170" t="str" cm="1">
        <f t="array" ref="R145">Common_InputFunctions.Utility_DisplayArrayInTable(Fertiliser_SourceData.Fertiliser_Products_Data1(),FertiliserProducts[[#Headers],[Include or Exclude]], 0,4)</f>
        <v/>
      </c>
      <c r="S145" s="170" t="str" cm="1">
        <f t="array" ref="S145">Common_InputFunctions.Utility_DisplayArrayInTable(Fertiliser_SourceData.Fertiliser_Products_Data1(),FertiliserProducts[[#Headers],[Include or Exclude]], 0,4)</f>
        <v/>
      </c>
      <c r="T145" s="170" t="str" cm="1">
        <f t="array" ref="T145">Common_InputFunctions.Utility_DisplayArrayInTable(Fertiliser_SourceData.Fertiliser_Products_Data1(),FertiliserProducts[[#Headers],[Include or Exclude]], 0,4)</f>
        <v/>
      </c>
      <c r="U145" s="170" t="str" cm="1">
        <f t="array" ref="U145">Common_InputFunctions.Utility_DisplayArrayInTable(Fertiliser_SourceData.Fertiliser_Products_Data1(),FertiliserProducts[[#Headers],[Include or Exclude]], 0,4)</f>
        <v/>
      </c>
      <c r="V145" s="170" t="str" cm="1">
        <f t="array" ref="V145">Common_InputFunctions.Utility_DisplayArrayInTable(Fertiliser_SourceData.Fertiliser_Products_Data1(),FertiliserProducts[[#Headers],[Include or Exclude]], 0,4)</f>
        <v/>
      </c>
      <c r="W145" s="170" t="str" cm="1">
        <f t="array" ref="W145">Common_InputFunctions.Utility_DisplayArrayInTable(Fertiliser_SourceData.Fertiliser_Products_Data1(),FertiliserProducts[[#Headers],[Include or Exclude]], 0,4)</f>
        <v/>
      </c>
      <c r="X145" s="170" t="str" cm="1">
        <f t="array" ref="X145">Common_InputFunctions.Utility_DisplayArrayInTable(Fertiliser_SourceData.Fertiliser_Products_Data1(),FertiliserProducts[[#Headers],[Include or Exclude]], 0,4)</f>
        <v/>
      </c>
      <c r="Y145" s="170" t="str" cm="1">
        <f t="array" ref="Y145">Common_InputFunctions.Utility_DisplayArrayInTable(Fertiliser_SourceData.Fertiliser_Products_Data1(),FertiliserProducts[[#Headers],[Include or Exclude]], 0,4)</f>
        <v/>
      </c>
      <c r="Z145" s="170" t="str" cm="1">
        <f t="array" ref="Z145">Common_InputFunctions.Utility_DisplayArrayInTable(Fertiliser_SourceData.Fertiliser_Products_Data1(),FertiliserProducts[[#Headers],[Include or Exclude]], 0,4)</f>
        <v/>
      </c>
      <c r="AA145" s="170" t="str" cm="1">
        <f t="array" ref="AA145">Common_InputFunctions.Utility_DisplayArrayInTable(Fertiliser_SourceData.Fertiliser_Products_Data1(),FertiliserProducts[[#Headers],[Include or Exclude]], 0,4)</f>
        <v/>
      </c>
      <c r="AB145" s="170" t="str" cm="1">
        <f t="array" ref="AB145">Common_InputFunctions.Utility_DisplayArrayInTable(Fertiliser_SourceData.Fertiliser_Products_Data1(),FertiliserProducts[[#Headers],[Include or Exclude]], 0,4)</f>
        <v/>
      </c>
      <c r="AC145" s="170" t="str" cm="1">
        <f t="array" ref="AC145">Common_InputFunctions.Utility_DisplayArrayInTable(Fertiliser_SourceData.Fertiliser_Products_Data1(),FertiliserProducts[[#Headers],[Include or Exclude]], 0,4)</f>
        <v/>
      </c>
      <c r="AD145" s="170" t="str" cm="1">
        <f t="array" ref="AD145">Common_InputFunctions.Utility_DisplayArrayInTable(Fertiliser_SourceData.Fertiliser_Products_Data1(),FertiliserProducts[[#Headers],[Include or Exclude]], 0,4)</f>
        <v/>
      </c>
      <c r="AE145" s="170" t="str" cm="1">
        <f t="array" ref="AE145">Common_InputFunctions.Utility_DisplayArrayInTable(Fertiliser_SourceData.Fertiliser_Products_Data1(),FertiliserProducts[[#Headers],[Include or Exclude]], 0,4)</f>
        <v/>
      </c>
    </row>
    <row r="146" spans="4:31" ht="20.100000000000001" customHeight="1" x14ac:dyDescent="0.25">
      <c r="D146" s="170" t="str" cm="1">
        <f t="array" ref="D146">Common_InputFunctions.Utility_DisplayArrayInTable(Fertiliser_SourceData.Fertiliser_Products_Data1(),FertiliserProducts[[#Headers],[Include or Exclude]], -1)</f>
        <v/>
      </c>
      <c r="E146" s="170" t="str" cm="1">
        <f t="array" ref="E146">Common_InputFunctions.Utility_DisplayArrayInTable(Fertiliser_SourceData.Fertiliser_Products_Data1(),FertiliserProducts[[#Headers],[Include or Exclude]], 0)</f>
        <v/>
      </c>
      <c r="F146" s="170" t="str" cm="1">
        <f t="array" ref="F146">Common_InputFunctions.Utility_DisplayArrayInTable(Fertiliser_SourceData.Fertiliser_Products_Data1(),FertiliserProducts[[#Headers],[Include or Exclude]], 0)</f>
        <v/>
      </c>
      <c r="G146" s="170" t="str" cm="1">
        <f t="array" ref="G146">Common_InputFunctions.Utility_DisplayArrayInTable(Fertiliser_SourceData.Fertiliser_Products_Data1(),FertiliserProducts[[#Headers],[Include or Exclude]], 0)</f>
        <v/>
      </c>
      <c r="H146" s="170" t="str" cm="1">
        <f t="array" ref="H146">Common_InputFunctions.Utility_DisplayArrayInTable(Fertiliser_SourceData.Fertiliser_Products_Data1(),FertiliserProducts[[#Headers],[Include or Exclude]], 0,4)</f>
        <v/>
      </c>
      <c r="I146" s="170" t="str" cm="1">
        <f t="array" ref="I146">Common_InputFunctions.Utility_DisplayArrayInTable(Fertiliser_SourceData.Fertiliser_Products_Data1(),FertiliserProducts[[#Headers],[Include or Exclude]], 0,4)</f>
        <v/>
      </c>
      <c r="J146" s="170" t="str" cm="1">
        <f t="array" ref="J146">Common_InputFunctions.Utility_DisplayArrayInTable(Fertiliser_SourceData.Fertiliser_Products_Data1(),FertiliserProducts[[#Headers],[Include or Exclude]], 0,4)</f>
        <v/>
      </c>
      <c r="K146" s="170" t="str" cm="1">
        <f t="array" ref="K146">Common_InputFunctions.Utility_DisplayArrayInTable(Fertiliser_SourceData.Fertiliser_Products_Data1(),FertiliserProducts[[#Headers],[Include or Exclude]], 0,4)</f>
        <v/>
      </c>
      <c r="L146" s="170" t="str" cm="1">
        <f t="array" ref="L146">Common_InputFunctions.Utility_DisplayArrayInTable(Fertiliser_SourceData.Fertiliser_Products_Data1(),FertiliserProducts[[#Headers],[Include or Exclude]], 0,4)</f>
        <v/>
      </c>
      <c r="M146" s="170" t="str" cm="1">
        <f t="array" ref="M146">Common_InputFunctions.Utility_DisplayArrayInTable(Fertiliser_SourceData.Fertiliser_Products_Data1(),FertiliserProducts[[#Headers],[Include or Exclude]], 0,4)</f>
        <v/>
      </c>
      <c r="N146" s="170" t="str" cm="1">
        <f t="array" ref="N146">Common_InputFunctions.Utility_DisplayArrayInTable(Fertiliser_SourceData.Fertiliser_Products_Data1(),FertiliserProducts[[#Headers],[Include or Exclude]], 0,4)</f>
        <v/>
      </c>
      <c r="O146" s="170" t="str" cm="1">
        <f t="array" ref="O146">Common_InputFunctions.Utility_DisplayArrayInTable(Fertiliser_SourceData.Fertiliser_Products_Data1(),FertiliserProducts[[#Headers],[Include or Exclude]], 0,4)</f>
        <v/>
      </c>
      <c r="P146" s="170" t="str" cm="1">
        <f t="array" ref="P146">Common_InputFunctions.Utility_DisplayArrayInTable(Fertiliser_SourceData.Fertiliser_Products_Data1(),FertiliserProducts[[#Headers],[Include or Exclude]], 0,4)</f>
        <v/>
      </c>
      <c r="Q146" s="170" t="str" cm="1">
        <f t="array" ref="Q146">Common_InputFunctions.Utility_DisplayArrayInTable(Fertiliser_SourceData.Fertiliser_Products_Data1(),FertiliserProducts[[#Headers],[Include or Exclude]], 0,4)</f>
        <v/>
      </c>
      <c r="R146" s="170" t="str" cm="1">
        <f t="array" ref="R146">Common_InputFunctions.Utility_DisplayArrayInTable(Fertiliser_SourceData.Fertiliser_Products_Data1(),FertiliserProducts[[#Headers],[Include or Exclude]], 0,4)</f>
        <v/>
      </c>
      <c r="S146" s="170" t="str" cm="1">
        <f t="array" ref="S146">Common_InputFunctions.Utility_DisplayArrayInTable(Fertiliser_SourceData.Fertiliser_Products_Data1(),FertiliserProducts[[#Headers],[Include or Exclude]], 0,4)</f>
        <v/>
      </c>
      <c r="T146" s="170" t="str" cm="1">
        <f t="array" ref="T146">Common_InputFunctions.Utility_DisplayArrayInTable(Fertiliser_SourceData.Fertiliser_Products_Data1(),FertiliserProducts[[#Headers],[Include or Exclude]], 0,4)</f>
        <v/>
      </c>
      <c r="U146" s="170" t="str" cm="1">
        <f t="array" ref="U146">Common_InputFunctions.Utility_DisplayArrayInTable(Fertiliser_SourceData.Fertiliser_Products_Data1(),FertiliserProducts[[#Headers],[Include or Exclude]], 0,4)</f>
        <v/>
      </c>
      <c r="V146" s="170" t="str" cm="1">
        <f t="array" ref="V146">Common_InputFunctions.Utility_DisplayArrayInTable(Fertiliser_SourceData.Fertiliser_Products_Data1(),FertiliserProducts[[#Headers],[Include or Exclude]], 0,4)</f>
        <v/>
      </c>
      <c r="W146" s="170" t="str" cm="1">
        <f t="array" ref="W146">Common_InputFunctions.Utility_DisplayArrayInTable(Fertiliser_SourceData.Fertiliser_Products_Data1(),FertiliserProducts[[#Headers],[Include or Exclude]], 0,4)</f>
        <v/>
      </c>
      <c r="X146" s="170" t="str" cm="1">
        <f t="array" ref="X146">Common_InputFunctions.Utility_DisplayArrayInTable(Fertiliser_SourceData.Fertiliser_Products_Data1(),FertiliserProducts[[#Headers],[Include or Exclude]], 0,4)</f>
        <v/>
      </c>
      <c r="Y146" s="170" t="str" cm="1">
        <f t="array" ref="Y146">Common_InputFunctions.Utility_DisplayArrayInTable(Fertiliser_SourceData.Fertiliser_Products_Data1(),FertiliserProducts[[#Headers],[Include or Exclude]], 0,4)</f>
        <v/>
      </c>
      <c r="Z146" s="170" t="str" cm="1">
        <f t="array" ref="Z146">Common_InputFunctions.Utility_DisplayArrayInTable(Fertiliser_SourceData.Fertiliser_Products_Data1(),FertiliserProducts[[#Headers],[Include or Exclude]], 0,4)</f>
        <v/>
      </c>
      <c r="AA146" s="170" t="str" cm="1">
        <f t="array" ref="AA146">Common_InputFunctions.Utility_DisplayArrayInTable(Fertiliser_SourceData.Fertiliser_Products_Data1(),FertiliserProducts[[#Headers],[Include or Exclude]], 0,4)</f>
        <v/>
      </c>
      <c r="AB146" s="170" t="str" cm="1">
        <f t="array" ref="AB146">Common_InputFunctions.Utility_DisplayArrayInTable(Fertiliser_SourceData.Fertiliser_Products_Data1(),FertiliserProducts[[#Headers],[Include or Exclude]], 0,4)</f>
        <v/>
      </c>
      <c r="AC146" s="170" t="str" cm="1">
        <f t="array" ref="AC146">Common_InputFunctions.Utility_DisplayArrayInTable(Fertiliser_SourceData.Fertiliser_Products_Data1(),FertiliserProducts[[#Headers],[Include or Exclude]], 0,4)</f>
        <v/>
      </c>
      <c r="AD146" s="170" t="str" cm="1">
        <f t="array" ref="AD146">Common_InputFunctions.Utility_DisplayArrayInTable(Fertiliser_SourceData.Fertiliser_Products_Data1(),FertiliserProducts[[#Headers],[Include or Exclude]], 0,4)</f>
        <v/>
      </c>
      <c r="AE146" s="170" t="str" cm="1">
        <f t="array" ref="AE146">Common_InputFunctions.Utility_DisplayArrayInTable(Fertiliser_SourceData.Fertiliser_Products_Data1(),FertiliserProducts[[#Headers],[Include or Exclude]], 0,4)</f>
        <v/>
      </c>
    </row>
    <row r="147" spans="4:31" ht="20.100000000000001" customHeight="1" x14ac:dyDescent="0.25">
      <c r="D147" s="170" t="str" cm="1">
        <f t="array" ref="D147">Common_InputFunctions.Utility_DisplayArrayInTable(Fertiliser_SourceData.Fertiliser_Products_Data1(),FertiliserProducts[[#Headers],[Include or Exclude]], -1)</f>
        <v/>
      </c>
      <c r="E147" s="170" t="str" cm="1">
        <f t="array" ref="E147">Common_InputFunctions.Utility_DisplayArrayInTable(Fertiliser_SourceData.Fertiliser_Products_Data1(),FertiliserProducts[[#Headers],[Include or Exclude]], 0)</f>
        <v/>
      </c>
      <c r="F147" s="170" t="str" cm="1">
        <f t="array" ref="F147">Common_InputFunctions.Utility_DisplayArrayInTable(Fertiliser_SourceData.Fertiliser_Products_Data1(),FertiliserProducts[[#Headers],[Include or Exclude]], 0)</f>
        <v/>
      </c>
      <c r="G147" s="170" t="str" cm="1">
        <f t="array" ref="G147">Common_InputFunctions.Utility_DisplayArrayInTable(Fertiliser_SourceData.Fertiliser_Products_Data1(),FertiliserProducts[[#Headers],[Include or Exclude]], 0)</f>
        <v/>
      </c>
      <c r="H147" s="170" t="str" cm="1">
        <f t="array" ref="H147">Common_InputFunctions.Utility_DisplayArrayInTable(Fertiliser_SourceData.Fertiliser_Products_Data1(),FertiliserProducts[[#Headers],[Include or Exclude]], 0,4)</f>
        <v/>
      </c>
      <c r="I147" s="170" t="str" cm="1">
        <f t="array" ref="I147">Common_InputFunctions.Utility_DisplayArrayInTable(Fertiliser_SourceData.Fertiliser_Products_Data1(),FertiliserProducts[[#Headers],[Include or Exclude]], 0,4)</f>
        <v/>
      </c>
      <c r="J147" s="170" t="str" cm="1">
        <f t="array" ref="J147">Common_InputFunctions.Utility_DisplayArrayInTable(Fertiliser_SourceData.Fertiliser_Products_Data1(),FertiliserProducts[[#Headers],[Include or Exclude]], 0,4)</f>
        <v/>
      </c>
      <c r="K147" s="170" t="str" cm="1">
        <f t="array" ref="K147">Common_InputFunctions.Utility_DisplayArrayInTable(Fertiliser_SourceData.Fertiliser_Products_Data1(),FertiliserProducts[[#Headers],[Include or Exclude]], 0,4)</f>
        <v/>
      </c>
      <c r="L147" s="170" t="str" cm="1">
        <f t="array" ref="L147">Common_InputFunctions.Utility_DisplayArrayInTable(Fertiliser_SourceData.Fertiliser_Products_Data1(),FertiliserProducts[[#Headers],[Include or Exclude]], 0,4)</f>
        <v/>
      </c>
      <c r="M147" s="170" t="str" cm="1">
        <f t="array" ref="M147">Common_InputFunctions.Utility_DisplayArrayInTable(Fertiliser_SourceData.Fertiliser_Products_Data1(),FertiliserProducts[[#Headers],[Include or Exclude]], 0,4)</f>
        <v/>
      </c>
      <c r="N147" s="170" t="str" cm="1">
        <f t="array" ref="N147">Common_InputFunctions.Utility_DisplayArrayInTable(Fertiliser_SourceData.Fertiliser_Products_Data1(),FertiliserProducts[[#Headers],[Include or Exclude]], 0,4)</f>
        <v/>
      </c>
      <c r="O147" s="170" t="str" cm="1">
        <f t="array" ref="O147">Common_InputFunctions.Utility_DisplayArrayInTable(Fertiliser_SourceData.Fertiliser_Products_Data1(),FertiliserProducts[[#Headers],[Include or Exclude]], 0,4)</f>
        <v/>
      </c>
      <c r="P147" s="170" t="str" cm="1">
        <f t="array" ref="P147">Common_InputFunctions.Utility_DisplayArrayInTable(Fertiliser_SourceData.Fertiliser_Products_Data1(),FertiliserProducts[[#Headers],[Include or Exclude]], 0,4)</f>
        <v/>
      </c>
      <c r="Q147" s="170" t="str" cm="1">
        <f t="array" ref="Q147">Common_InputFunctions.Utility_DisplayArrayInTable(Fertiliser_SourceData.Fertiliser_Products_Data1(),FertiliserProducts[[#Headers],[Include or Exclude]], 0,4)</f>
        <v/>
      </c>
      <c r="R147" s="170" t="str" cm="1">
        <f t="array" ref="R147">Common_InputFunctions.Utility_DisplayArrayInTable(Fertiliser_SourceData.Fertiliser_Products_Data1(),FertiliserProducts[[#Headers],[Include or Exclude]], 0,4)</f>
        <v/>
      </c>
      <c r="S147" s="170" t="str" cm="1">
        <f t="array" ref="S147">Common_InputFunctions.Utility_DisplayArrayInTable(Fertiliser_SourceData.Fertiliser_Products_Data1(),FertiliserProducts[[#Headers],[Include or Exclude]], 0,4)</f>
        <v/>
      </c>
      <c r="T147" s="170" t="str" cm="1">
        <f t="array" ref="T147">Common_InputFunctions.Utility_DisplayArrayInTable(Fertiliser_SourceData.Fertiliser_Products_Data1(),FertiliserProducts[[#Headers],[Include or Exclude]], 0,4)</f>
        <v/>
      </c>
      <c r="U147" s="170" t="str" cm="1">
        <f t="array" ref="U147">Common_InputFunctions.Utility_DisplayArrayInTable(Fertiliser_SourceData.Fertiliser_Products_Data1(),FertiliserProducts[[#Headers],[Include or Exclude]], 0,4)</f>
        <v/>
      </c>
      <c r="V147" s="170" t="str" cm="1">
        <f t="array" ref="V147">Common_InputFunctions.Utility_DisplayArrayInTable(Fertiliser_SourceData.Fertiliser_Products_Data1(),FertiliserProducts[[#Headers],[Include or Exclude]], 0,4)</f>
        <v/>
      </c>
      <c r="W147" s="170" t="str" cm="1">
        <f t="array" ref="W147">Common_InputFunctions.Utility_DisplayArrayInTable(Fertiliser_SourceData.Fertiliser_Products_Data1(),FertiliserProducts[[#Headers],[Include or Exclude]], 0,4)</f>
        <v/>
      </c>
      <c r="X147" s="170" t="str" cm="1">
        <f t="array" ref="X147">Common_InputFunctions.Utility_DisplayArrayInTable(Fertiliser_SourceData.Fertiliser_Products_Data1(),FertiliserProducts[[#Headers],[Include or Exclude]], 0,4)</f>
        <v/>
      </c>
      <c r="Y147" s="170" t="str" cm="1">
        <f t="array" ref="Y147">Common_InputFunctions.Utility_DisplayArrayInTable(Fertiliser_SourceData.Fertiliser_Products_Data1(),FertiliserProducts[[#Headers],[Include or Exclude]], 0,4)</f>
        <v/>
      </c>
      <c r="Z147" s="170" t="str" cm="1">
        <f t="array" ref="Z147">Common_InputFunctions.Utility_DisplayArrayInTable(Fertiliser_SourceData.Fertiliser_Products_Data1(),FertiliserProducts[[#Headers],[Include or Exclude]], 0,4)</f>
        <v/>
      </c>
      <c r="AA147" s="170" t="str" cm="1">
        <f t="array" ref="AA147">Common_InputFunctions.Utility_DisplayArrayInTable(Fertiliser_SourceData.Fertiliser_Products_Data1(),FertiliserProducts[[#Headers],[Include or Exclude]], 0,4)</f>
        <v/>
      </c>
      <c r="AB147" s="170" t="str" cm="1">
        <f t="array" ref="AB147">Common_InputFunctions.Utility_DisplayArrayInTable(Fertiliser_SourceData.Fertiliser_Products_Data1(),FertiliserProducts[[#Headers],[Include or Exclude]], 0,4)</f>
        <v/>
      </c>
      <c r="AC147" s="170" t="str" cm="1">
        <f t="array" ref="AC147">Common_InputFunctions.Utility_DisplayArrayInTable(Fertiliser_SourceData.Fertiliser_Products_Data1(),FertiliserProducts[[#Headers],[Include or Exclude]], 0,4)</f>
        <v/>
      </c>
      <c r="AD147" s="170" t="str" cm="1">
        <f t="array" ref="AD147">Common_InputFunctions.Utility_DisplayArrayInTable(Fertiliser_SourceData.Fertiliser_Products_Data1(),FertiliserProducts[[#Headers],[Include or Exclude]], 0,4)</f>
        <v/>
      </c>
      <c r="AE147" s="170" t="str" cm="1">
        <f t="array" ref="AE147">Common_InputFunctions.Utility_DisplayArrayInTable(Fertiliser_SourceData.Fertiliser_Products_Data1(),FertiliserProducts[[#Headers],[Include or Exclude]], 0,4)</f>
        <v/>
      </c>
    </row>
    <row r="148" spans="4:31" ht="20.100000000000001" customHeight="1" x14ac:dyDescent="0.25">
      <c r="D148" s="170" t="str" cm="1">
        <f t="array" ref="D148">Common_InputFunctions.Utility_DisplayArrayInTable(Fertiliser_SourceData.Fertiliser_Products_Data1(),FertiliserProducts[[#Headers],[Include or Exclude]], -1)</f>
        <v/>
      </c>
      <c r="E148" s="170" t="str" cm="1">
        <f t="array" ref="E148">Common_InputFunctions.Utility_DisplayArrayInTable(Fertiliser_SourceData.Fertiliser_Products_Data1(),FertiliserProducts[[#Headers],[Include or Exclude]], 0)</f>
        <v/>
      </c>
      <c r="F148" s="170" t="str" cm="1">
        <f t="array" ref="F148">Common_InputFunctions.Utility_DisplayArrayInTable(Fertiliser_SourceData.Fertiliser_Products_Data1(),FertiliserProducts[[#Headers],[Include or Exclude]], 0)</f>
        <v/>
      </c>
      <c r="G148" s="170" t="str" cm="1">
        <f t="array" ref="G148">Common_InputFunctions.Utility_DisplayArrayInTable(Fertiliser_SourceData.Fertiliser_Products_Data1(),FertiliserProducts[[#Headers],[Include or Exclude]], 0)</f>
        <v/>
      </c>
      <c r="H148" s="170" t="str" cm="1">
        <f t="array" ref="H148">Common_InputFunctions.Utility_DisplayArrayInTable(Fertiliser_SourceData.Fertiliser_Products_Data1(),FertiliserProducts[[#Headers],[Include or Exclude]], 0,4)</f>
        <v/>
      </c>
      <c r="I148" s="170" t="str" cm="1">
        <f t="array" ref="I148">Common_InputFunctions.Utility_DisplayArrayInTable(Fertiliser_SourceData.Fertiliser_Products_Data1(),FertiliserProducts[[#Headers],[Include or Exclude]], 0,4)</f>
        <v/>
      </c>
      <c r="J148" s="170" t="str" cm="1">
        <f t="array" ref="J148">Common_InputFunctions.Utility_DisplayArrayInTable(Fertiliser_SourceData.Fertiliser_Products_Data1(),FertiliserProducts[[#Headers],[Include or Exclude]], 0,4)</f>
        <v/>
      </c>
      <c r="K148" s="170" t="str" cm="1">
        <f t="array" ref="K148">Common_InputFunctions.Utility_DisplayArrayInTable(Fertiliser_SourceData.Fertiliser_Products_Data1(),FertiliserProducts[[#Headers],[Include or Exclude]], 0,4)</f>
        <v/>
      </c>
      <c r="L148" s="170" t="str" cm="1">
        <f t="array" ref="L148">Common_InputFunctions.Utility_DisplayArrayInTable(Fertiliser_SourceData.Fertiliser_Products_Data1(),FertiliserProducts[[#Headers],[Include or Exclude]], 0,4)</f>
        <v/>
      </c>
      <c r="M148" s="170" t="str" cm="1">
        <f t="array" ref="M148">Common_InputFunctions.Utility_DisplayArrayInTable(Fertiliser_SourceData.Fertiliser_Products_Data1(),FertiliserProducts[[#Headers],[Include or Exclude]], 0,4)</f>
        <v/>
      </c>
      <c r="N148" s="170" t="str" cm="1">
        <f t="array" ref="N148">Common_InputFunctions.Utility_DisplayArrayInTable(Fertiliser_SourceData.Fertiliser_Products_Data1(),FertiliserProducts[[#Headers],[Include or Exclude]], 0,4)</f>
        <v/>
      </c>
      <c r="O148" s="170" t="str" cm="1">
        <f t="array" ref="O148">Common_InputFunctions.Utility_DisplayArrayInTable(Fertiliser_SourceData.Fertiliser_Products_Data1(),FertiliserProducts[[#Headers],[Include or Exclude]], 0,4)</f>
        <v/>
      </c>
      <c r="P148" s="170" t="str" cm="1">
        <f t="array" ref="P148">Common_InputFunctions.Utility_DisplayArrayInTable(Fertiliser_SourceData.Fertiliser_Products_Data1(),FertiliserProducts[[#Headers],[Include or Exclude]], 0,4)</f>
        <v/>
      </c>
      <c r="Q148" s="170" t="str" cm="1">
        <f t="array" ref="Q148">Common_InputFunctions.Utility_DisplayArrayInTable(Fertiliser_SourceData.Fertiliser_Products_Data1(),FertiliserProducts[[#Headers],[Include or Exclude]], 0,4)</f>
        <v/>
      </c>
      <c r="R148" s="170" t="str" cm="1">
        <f t="array" ref="R148">Common_InputFunctions.Utility_DisplayArrayInTable(Fertiliser_SourceData.Fertiliser_Products_Data1(),FertiliserProducts[[#Headers],[Include or Exclude]], 0,4)</f>
        <v/>
      </c>
      <c r="S148" s="170" t="str" cm="1">
        <f t="array" ref="S148">Common_InputFunctions.Utility_DisplayArrayInTable(Fertiliser_SourceData.Fertiliser_Products_Data1(),FertiliserProducts[[#Headers],[Include or Exclude]], 0,4)</f>
        <v/>
      </c>
      <c r="T148" s="170" t="str" cm="1">
        <f t="array" ref="T148">Common_InputFunctions.Utility_DisplayArrayInTable(Fertiliser_SourceData.Fertiliser_Products_Data1(),FertiliserProducts[[#Headers],[Include or Exclude]], 0,4)</f>
        <v/>
      </c>
      <c r="U148" s="170" t="str" cm="1">
        <f t="array" ref="U148">Common_InputFunctions.Utility_DisplayArrayInTable(Fertiliser_SourceData.Fertiliser_Products_Data1(),FertiliserProducts[[#Headers],[Include or Exclude]], 0,4)</f>
        <v/>
      </c>
      <c r="V148" s="170" t="str" cm="1">
        <f t="array" ref="V148">Common_InputFunctions.Utility_DisplayArrayInTable(Fertiliser_SourceData.Fertiliser_Products_Data1(),FertiliserProducts[[#Headers],[Include or Exclude]], 0,4)</f>
        <v/>
      </c>
      <c r="W148" s="170" t="str" cm="1">
        <f t="array" ref="W148">Common_InputFunctions.Utility_DisplayArrayInTable(Fertiliser_SourceData.Fertiliser_Products_Data1(),FertiliserProducts[[#Headers],[Include or Exclude]], 0,4)</f>
        <v/>
      </c>
      <c r="X148" s="170" t="str" cm="1">
        <f t="array" ref="X148">Common_InputFunctions.Utility_DisplayArrayInTable(Fertiliser_SourceData.Fertiliser_Products_Data1(),FertiliserProducts[[#Headers],[Include or Exclude]], 0,4)</f>
        <v/>
      </c>
      <c r="Y148" s="170" t="str" cm="1">
        <f t="array" ref="Y148">Common_InputFunctions.Utility_DisplayArrayInTable(Fertiliser_SourceData.Fertiliser_Products_Data1(),FertiliserProducts[[#Headers],[Include or Exclude]], 0,4)</f>
        <v/>
      </c>
      <c r="Z148" s="170" t="str" cm="1">
        <f t="array" ref="Z148">Common_InputFunctions.Utility_DisplayArrayInTable(Fertiliser_SourceData.Fertiliser_Products_Data1(),FertiliserProducts[[#Headers],[Include or Exclude]], 0,4)</f>
        <v/>
      </c>
      <c r="AA148" s="170" t="str" cm="1">
        <f t="array" ref="AA148">Common_InputFunctions.Utility_DisplayArrayInTable(Fertiliser_SourceData.Fertiliser_Products_Data1(),FertiliserProducts[[#Headers],[Include or Exclude]], 0,4)</f>
        <v/>
      </c>
      <c r="AB148" s="170" t="str" cm="1">
        <f t="array" ref="AB148">Common_InputFunctions.Utility_DisplayArrayInTable(Fertiliser_SourceData.Fertiliser_Products_Data1(),FertiliserProducts[[#Headers],[Include or Exclude]], 0,4)</f>
        <v/>
      </c>
      <c r="AC148" s="170" t="str" cm="1">
        <f t="array" ref="AC148">Common_InputFunctions.Utility_DisplayArrayInTable(Fertiliser_SourceData.Fertiliser_Products_Data1(),FertiliserProducts[[#Headers],[Include or Exclude]], 0,4)</f>
        <v/>
      </c>
      <c r="AD148" s="170" t="str" cm="1">
        <f t="array" ref="AD148">Common_InputFunctions.Utility_DisplayArrayInTable(Fertiliser_SourceData.Fertiliser_Products_Data1(),FertiliserProducts[[#Headers],[Include or Exclude]], 0,4)</f>
        <v/>
      </c>
      <c r="AE148" s="170" t="str" cm="1">
        <f t="array" ref="AE148">Common_InputFunctions.Utility_DisplayArrayInTable(Fertiliser_SourceData.Fertiliser_Products_Data1(),FertiliserProducts[[#Headers],[Include or Exclude]], 0,4)</f>
        <v/>
      </c>
    </row>
    <row r="149" spans="4:31" ht="20.100000000000001" customHeight="1" x14ac:dyDescent="0.25">
      <c r="D149" s="170" t="str" cm="1">
        <f t="array" ref="D149">Common_InputFunctions.Utility_DisplayArrayInTable(Fertiliser_SourceData.Fertiliser_Products_Data1(),FertiliserProducts[[#Headers],[Include or Exclude]], -1)</f>
        <v/>
      </c>
      <c r="E149" s="170" t="str" cm="1">
        <f t="array" ref="E149">Common_InputFunctions.Utility_DisplayArrayInTable(Fertiliser_SourceData.Fertiliser_Products_Data1(),FertiliserProducts[[#Headers],[Include or Exclude]], 0)</f>
        <v/>
      </c>
      <c r="F149" s="170" t="str" cm="1">
        <f t="array" ref="F149">Common_InputFunctions.Utility_DisplayArrayInTable(Fertiliser_SourceData.Fertiliser_Products_Data1(),FertiliserProducts[[#Headers],[Include or Exclude]], 0)</f>
        <v/>
      </c>
      <c r="G149" s="170" t="str" cm="1">
        <f t="array" ref="G149">Common_InputFunctions.Utility_DisplayArrayInTable(Fertiliser_SourceData.Fertiliser_Products_Data1(),FertiliserProducts[[#Headers],[Include or Exclude]], 0)</f>
        <v/>
      </c>
      <c r="H149" s="170" t="str" cm="1">
        <f t="array" ref="H149">Common_InputFunctions.Utility_DisplayArrayInTable(Fertiliser_SourceData.Fertiliser_Products_Data1(),FertiliserProducts[[#Headers],[Include or Exclude]], 0,4)</f>
        <v/>
      </c>
      <c r="I149" s="170" t="str" cm="1">
        <f t="array" ref="I149">Common_InputFunctions.Utility_DisplayArrayInTable(Fertiliser_SourceData.Fertiliser_Products_Data1(),FertiliserProducts[[#Headers],[Include or Exclude]], 0,4)</f>
        <v/>
      </c>
      <c r="J149" s="170" t="str" cm="1">
        <f t="array" ref="J149">Common_InputFunctions.Utility_DisplayArrayInTable(Fertiliser_SourceData.Fertiliser_Products_Data1(),FertiliserProducts[[#Headers],[Include or Exclude]], 0,4)</f>
        <v/>
      </c>
      <c r="K149" s="170" t="str" cm="1">
        <f t="array" ref="K149">Common_InputFunctions.Utility_DisplayArrayInTable(Fertiliser_SourceData.Fertiliser_Products_Data1(),FertiliserProducts[[#Headers],[Include or Exclude]], 0,4)</f>
        <v/>
      </c>
      <c r="L149" s="170" t="str" cm="1">
        <f t="array" ref="L149">Common_InputFunctions.Utility_DisplayArrayInTable(Fertiliser_SourceData.Fertiliser_Products_Data1(),FertiliserProducts[[#Headers],[Include or Exclude]], 0,4)</f>
        <v/>
      </c>
      <c r="M149" s="170" t="str" cm="1">
        <f t="array" ref="M149">Common_InputFunctions.Utility_DisplayArrayInTable(Fertiliser_SourceData.Fertiliser_Products_Data1(),FertiliserProducts[[#Headers],[Include or Exclude]], 0,4)</f>
        <v/>
      </c>
      <c r="N149" s="170" t="str" cm="1">
        <f t="array" ref="N149">Common_InputFunctions.Utility_DisplayArrayInTable(Fertiliser_SourceData.Fertiliser_Products_Data1(),FertiliserProducts[[#Headers],[Include or Exclude]], 0,4)</f>
        <v/>
      </c>
      <c r="O149" s="170" t="str" cm="1">
        <f t="array" ref="O149">Common_InputFunctions.Utility_DisplayArrayInTable(Fertiliser_SourceData.Fertiliser_Products_Data1(),FertiliserProducts[[#Headers],[Include or Exclude]], 0,4)</f>
        <v/>
      </c>
      <c r="P149" s="170" t="str" cm="1">
        <f t="array" ref="P149">Common_InputFunctions.Utility_DisplayArrayInTable(Fertiliser_SourceData.Fertiliser_Products_Data1(),FertiliserProducts[[#Headers],[Include or Exclude]], 0,4)</f>
        <v/>
      </c>
      <c r="Q149" s="170" t="str" cm="1">
        <f t="array" ref="Q149">Common_InputFunctions.Utility_DisplayArrayInTable(Fertiliser_SourceData.Fertiliser_Products_Data1(),FertiliserProducts[[#Headers],[Include or Exclude]], 0,4)</f>
        <v/>
      </c>
      <c r="R149" s="170" t="str" cm="1">
        <f t="array" ref="R149">Common_InputFunctions.Utility_DisplayArrayInTable(Fertiliser_SourceData.Fertiliser_Products_Data1(),FertiliserProducts[[#Headers],[Include or Exclude]], 0,4)</f>
        <v/>
      </c>
      <c r="S149" s="170" t="str" cm="1">
        <f t="array" ref="S149">Common_InputFunctions.Utility_DisplayArrayInTable(Fertiliser_SourceData.Fertiliser_Products_Data1(),FertiliserProducts[[#Headers],[Include or Exclude]], 0,4)</f>
        <v/>
      </c>
      <c r="T149" s="170" t="str" cm="1">
        <f t="array" ref="T149">Common_InputFunctions.Utility_DisplayArrayInTable(Fertiliser_SourceData.Fertiliser_Products_Data1(),FertiliserProducts[[#Headers],[Include or Exclude]], 0,4)</f>
        <v/>
      </c>
      <c r="U149" s="170" t="str" cm="1">
        <f t="array" ref="U149">Common_InputFunctions.Utility_DisplayArrayInTable(Fertiliser_SourceData.Fertiliser_Products_Data1(),FertiliserProducts[[#Headers],[Include or Exclude]], 0,4)</f>
        <v/>
      </c>
      <c r="V149" s="170" t="str" cm="1">
        <f t="array" ref="V149">Common_InputFunctions.Utility_DisplayArrayInTable(Fertiliser_SourceData.Fertiliser_Products_Data1(),FertiliserProducts[[#Headers],[Include or Exclude]], 0,4)</f>
        <v/>
      </c>
      <c r="W149" s="170" t="str" cm="1">
        <f t="array" ref="W149">Common_InputFunctions.Utility_DisplayArrayInTable(Fertiliser_SourceData.Fertiliser_Products_Data1(),FertiliserProducts[[#Headers],[Include or Exclude]], 0,4)</f>
        <v/>
      </c>
      <c r="X149" s="170" t="str" cm="1">
        <f t="array" ref="X149">Common_InputFunctions.Utility_DisplayArrayInTable(Fertiliser_SourceData.Fertiliser_Products_Data1(),FertiliserProducts[[#Headers],[Include or Exclude]], 0,4)</f>
        <v/>
      </c>
      <c r="Y149" s="170" t="str" cm="1">
        <f t="array" ref="Y149">Common_InputFunctions.Utility_DisplayArrayInTable(Fertiliser_SourceData.Fertiliser_Products_Data1(),FertiliserProducts[[#Headers],[Include or Exclude]], 0,4)</f>
        <v/>
      </c>
      <c r="Z149" s="170" t="str" cm="1">
        <f t="array" ref="Z149">Common_InputFunctions.Utility_DisplayArrayInTable(Fertiliser_SourceData.Fertiliser_Products_Data1(),FertiliserProducts[[#Headers],[Include or Exclude]], 0,4)</f>
        <v/>
      </c>
      <c r="AA149" s="170" t="str" cm="1">
        <f t="array" ref="AA149">Common_InputFunctions.Utility_DisplayArrayInTable(Fertiliser_SourceData.Fertiliser_Products_Data1(),FertiliserProducts[[#Headers],[Include or Exclude]], 0,4)</f>
        <v/>
      </c>
      <c r="AB149" s="170" t="str" cm="1">
        <f t="array" ref="AB149">Common_InputFunctions.Utility_DisplayArrayInTable(Fertiliser_SourceData.Fertiliser_Products_Data1(),FertiliserProducts[[#Headers],[Include or Exclude]], 0,4)</f>
        <v/>
      </c>
      <c r="AC149" s="170" t="str" cm="1">
        <f t="array" ref="AC149">Common_InputFunctions.Utility_DisplayArrayInTable(Fertiliser_SourceData.Fertiliser_Products_Data1(),FertiliserProducts[[#Headers],[Include or Exclude]], 0,4)</f>
        <v/>
      </c>
      <c r="AD149" s="170" t="str" cm="1">
        <f t="array" ref="AD149">Common_InputFunctions.Utility_DisplayArrayInTable(Fertiliser_SourceData.Fertiliser_Products_Data1(),FertiliserProducts[[#Headers],[Include or Exclude]], 0,4)</f>
        <v/>
      </c>
      <c r="AE149" s="170" t="str" cm="1">
        <f t="array" ref="AE149">Common_InputFunctions.Utility_DisplayArrayInTable(Fertiliser_SourceData.Fertiliser_Products_Data1(),FertiliserProducts[[#Headers],[Include or Exclude]], 0,4)</f>
        <v/>
      </c>
    </row>
    <row r="150" spans="4:31" ht="20.100000000000001" customHeight="1" x14ac:dyDescent="0.25">
      <c r="D150" s="170" t="str" cm="1">
        <f t="array" ref="D150">Common_InputFunctions.Utility_DisplayArrayInTable(Fertiliser_SourceData.Fertiliser_Products_Data1(),FertiliserProducts[[#Headers],[Include or Exclude]], -1)</f>
        <v/>
      </c>
      <c r="E150" s="170" t="str" cm="1">
        <f t="array" ref="E150">Common_InputFunctions.Utility_DisplayArrayInTable(Fertiliser_SourceData.Fertiliser_Products_Data1(),FertiliserProducts[[#Headers],[Include or Exclude]], 0)</f>
        <v/>
      </c>
      <c r="F150" s="170" t="str" cm="1">
        <f t="array" ref="F150">Common_InputFunctions.Utility_DisplayArrayInTable(Fertiliser_SourceData.Fertiliser_Products_Data1(),FertiliserProducts[[#Headers],[Include or Exclude]], 0)</f>
        <v/>
      </c>
      <c r="G150" s="170" t="str" cm="1">
        <f t="array" ref="G150">Common_InputFunctions.Utility_DisplayArrayInTable(Fertiliser_SourceData.Fertiliser_Products_Data1(),FertiliserProducts[[#Headers],[Include or Exclude]], 0)</f>
        <v/>
      </c>
      <c r="H150" s="170" t="str" cm="1">
        <f t="array" ref="H150">Common_InputFunctions.Utility_DisplayArrayInTable(Fertiliser_SourceData.Fertiliser_Products_Data1(),FertiliserProducts[[#Headers],[Include or Exclude]], 0,4)</f>
        <v/>
      </c>
      <c r="I150" s="170" t="str" cm="1">
        <f t="array" ref="I150">Common_InputFunctions.Utility_DisplayArrayInTable(Fertiliser_SourceData.Fertiliser_Products_Data1(),FertiliserProducts[[#Headers],[Include or Exclude]], 0,4)</f>
        <v/>
      </c>
      <c r="J150" s="170" t="str" cm="1">
        <f t="array" ref="J150">Common_InputFunctions.Utility_DisplayArrayInTable(Fertiliser_SourceData.Fertiliser_Products_Data1(),FertiliserProducts[[#Headers],[Include or Exclude]], 0,4)</f>
        <v/>
      </c>
      <c r="K150" s="170" t="str" cm="1">
        <f t="array" ref="K150">Common_InputFunctions.Utility_DisplayArrayInTable(Fertiliser_SourceData.Fertiliser_Products_Data1(),FertiliserProducts[[#Headers],[Include or Exclude]], 0,4)</f>
        <v/>
      </c>
      <c r="L150" s="170" t="str" cm="1">
        <f t="array" ref="L150">Common_InputFunctions.Utility_DisplayArrayInTable(Fertiliser_SourceData.Fertiliser_Products_Data1(),FertiliserProducts[[#Headers],[Include or Exclude]], 0,4)</f>
        <v/>
      </c>
      <c r="M150" s="170" t="str" cm="1">
        <f t="array" ref="M150">Common_InputFunctions.Utility_DisplayArrayInTable(Fertiliser_SourceData.Fertiliser_Products_Data1(),FertiliserProducts[[#Headers],[Include or Exclude]], 0,4)</f>
        <v/>
      </c>
      <c r="N150" s="170" t="str" cm="1">
        <f t="array" ref="N150">Common_InputFunctions.Utility_DisplayArrayInTable(Fertiliser_SourceData.Fertiliser_Products_Data1(),FertiliserProducts[[#Headers],[Include or Exclude]], 0,4)</f>
        <v/>
      </c>
      <c r="O150" s="170" t="str" cm="1">
        <f t="array" ref="O150">Common_InputFunctions.Utility_DisplayArrayInTable(Fertiliser_SourceData.Fertiliser_Products_Data1(),FertiliserProducts[[#Headers],[Include or Exclude]], 0,4)</f>
        <v/>
      </c>
      <c r="P150" s="170" t="str" cm="1">
        <f t="array" ref="P150">Common_InputFunctions.Utility_DisplayArrayInTable(Fertiliser_SourceData.Fertiliser_Products_Data1(),FertiliserProducts[[#Headers],[Include or Exclude]], 0,4)</f>
        <v/>
      </c>
      <c r="Q150" s="170" t="str" cm="1">
        <f t="array" ref="Q150">Common_InputFunctions.Utility_DisplayArrayInTable(Fertiliser_SourceData.Fertiliser_Products_Data1(),FertiliserProducts[[#Headers],[Include or Exclude]], 0,4)</f>
        <v/>
      </c>
      <c r="R150" s="170" t="str" cm="1">
        <f t="array" ref="R150">Common_InputFunctions.Utility_DisplayArrayInTable(Fertiliser_SourceData.Fertiliser_Products_Data1(),FertiliserProducts[[#Headers],[Include or Exclude]], 0,4)</f>
        <v/>
      </c>
      <c r="S150" s="170" t="str" cm="1">
        <f t="array" ref="S150">Common_InputFunctions.Utility_DisplayArrayInTable(Fertiliser_SourceData.Fertiliser_Products_Data1(),FertiliserProducts[[#Headers],[Include or Exclude]], 0,4)</f>
        <v/>
      </c>
      <c r="T150" s="170" t="str" cm="1">
        <f t="array" ref="T150">Common_InputFunctions.Utility_DisplayArrayInTable(Fertiliser_SourceData.Fertiliser_Products_Data1(),FertiliserProducts[[#Headers],[Include or Exclude]], 0,4)</f>
        <v/>
      </c>
      <c r="U150" s="170" t="str" cm="1">
        <f t="array" ref="U150">Common_InputFunctions.Utility_DisplayArrayInTable(Fertiliser_SourceData.Fertiliser_Products_Data1(),FertiliserProducts[[#Headers],[Include or Exclude]], 0,4)</f>
        <v/>
      </c>
      <c r="V150" s="170" t="str" cm="1">
        <f t="array" ref="V150">Common_InputFunctions.Utility_DisplayArrayInTable(Fertiliser_SourceData.Fertiliser_Products_Data1(),FertiliserProducts[[#Headers],[Include or Exclude]], 0,4)</f>
        <v/>
      </c>
      <c r="W150" s="170" t="str" cm="1">
        <f t="array" ref="W150">Common_InputFunctions.Utility_DisplayArrayInTable(Fertiliser_SourceData.Fertiliser_Products_Data1(),FertiliserProducts[[#Headers],[Include or Exclude]], 0,4)</f>
        <v/>
      </c>
      <c r="X150" s="170" t="str" cm="1">
        <f t="array" ref="X150">Common_InputFunctions.Utility_DisplayArrayInTable(Fertiliser_SourceData.Fertiliser_Products_Data1(),FertiliserProducts[[#Headers],[Include or Exclude]], 0,4)</f>
        <v/>
      </c>
      <c r="Y150" s="170" t="str" cm="1">
        <f t="array" ref="Y150">Common_InputFunctions.Utility_DisplayArrayInTable(Fertiliser_SourceData.Fertiliser_Products_Data1(),FertiliserProducts[[#Headers],[Include or Exclude]], 0,4)</f>
        <v/>
      </c>
      <c r="Z150" s="170" t="str" cm="1">
        <f t="array" ref="Z150">Common_InputFunctions.Utility_DisplayArrayInTable(Fertiliser_SourceData.Fertiliser_Products_Data1(),FertiliserProducts[[#Headers],[Include or Exclude]], 0,4)</f>
        <v/>
      </c>
      <c r="AA150" s="170" t="str" cm="1">
        <f t="array" ref="AA150">Common_InputFunctions.Utility_DisplayArrayInTable(Fertiliser_SourceData.Fertiliser_Products_Data1(),FertiliserProducts[[#Headers],[Include or Exclude]], 0,4)</f>
        <v/>
      </c>
      <c r="AB150" s="170" t="str" cm="1">
        <f t="array" ref="AB150">Common_InputFunctions.Utility_DisplayArrayInTable(Fertiliser_SourceData.Fertiliser_Products_Data1(),FertiliserProducts[[#Headers],[Include or Exclude]], 0,4)</f>
        <v/>
      </c>
      <c r="AC150" s="170" t="str" cm="1">
        <f t="array" ref="AC150">Common_InputFunctions.Utility_DisplayArrayInTable(Fertiliser_SourceData.Fertiliser_Products_Data1(),FertiliserProducts[[#Headers],[Include or Exclude]], 0,4)</f>
        <v/>
      </c>
      <c r="AD150" s="170" t="str" cm="1">
        <f t="array" ref="AD150">Common_InputFunctions.Utility_DisplayArrayInTable(Fertiliser_SourceData.Fertiliser_Products_Data1(),FertiliserProducts[[#Headers],[Include or Exclude]], 0,4)</f>
        <v/>
      </c>
      <c r="AE150" s="170" t="str" cm="1">
        <f t="array" ref="AE150">Common_InputFunctions.Utility_DisplayArrayInTable(Fertiliser_SourceData.Fertiliser_Products_Data1(),FertiliserProducts[[#Headers],[Include or Exclude]], 0,4)</f>
        <v/>
      </c>
    </row>
    <row r="151" spans="4:31" ht="20.100000000000001" customHeight="1" x14ac:dyDescent="0.25">
      <c r="D151" s="170" t="str" cm="1">
        <f t="array" ref="D151">Common_InputFunctions.Utility_DisplayArrayInTable(Fertiliser_SourceData.Fertiliser_Products_Data1(),FertiliserProducts[[#Headers],[Include or Exclude]], -1)</f>
        <v/>
      </c>
      <c r="E151" s="170" t="str" cm="1">
        <f t="array" ref="E151">Common_InputFunctions.Utility_DisplayArrayInTable(Fertiliser_SourceData.Fertiliser_Products_Data1(),FertiliserProducts[[#Headers],[Include or Exclude]], 0)</f>
        <v/>
      </c>
      <c r="F151" s="170" t="str" cm="1">
        <f t="array" ref="F151">Common_InputFunctions.Utility_DisplayArrayInTable(Fertiliser_SourceData.Fertiliser_Products_Data1(),FertiliserProducts[[#Headers],[Include or Exclude]], 0)</f>
        <v/>
      </c>
      <c r="G151" s="170" t="str" cm="1">
        <f t="array" ref="G151">Common_InputFunctions.Utility_DisplayArrayInTable(Fertiliser_SourceData.Fertiliser_Products_Data1(),FertiliserProducts[[#Headers],[Include or Exclude]], 0)</f>
        <v/>
      </c>
      <c r="H151" s="170" t="str" cm="1">
        <f t="array" ref="H151">Common_InputFunctions.Utility_DisplayArrayInTable(Fertiliser_SourceData.Fertiliser_Products_Data1(),FertiliserProducts[[#Headers],[Include or Exclude]], 0,4)</f>
        <v/>
      </c>
      <c r="I151" s="170" t="str" cm="1">
        <f t="array" ref="I151">Common_InputFunctions.Utility_DisplayArrayInTable(Fertiliser_SourceData.Fertiliser_Products_Data1(),FertiliserProducts[[#Headers],[Include or Exclude]], 0,4)</f>
        <v/>
      </c>
      <c r="J151" s="170" t="str" cm="1">
        <f t="array" ref="J151">Common_InputFunctions.Utility_DisplayArrayInTable(Fertiliser_SourceData.Fertiliser_Products_Data1(),FertiliserProducts[[#Headers],[Include or Exclude]], 0,4)</f>
        <v/>
      </c>
      <c r="K151" s="170" t="str" cm="1">
        <f t="array" ref="K151">Common_InputFunctions.Utility_DisplayArrayInTable(Fertiliser_SourceData.Fertiliser_Products_Data1(),FertiliserProducts[[#Headers],[Include or Exclude]], 0,4)</f>
        <v/>
      </c>
      <c r="L151" s="170" t="str" cm="1">
        <f t="array" ref="L151">Common_InputFunctions.Utility_DisplayArrayInTable(Fertiliser_SourceData.Fertiliser_Products_Data1(),FertiliserProducts[[#Headers],[Include or Exclude]], 0,4)</f>
        <v/>
      </c>
      <c r="M151" s="170" t="str" cm="1">
        <f t="array" ref="M151">Common_InputFunctions.Utility_DisplayArrayInTable(Fertiliser_SourceData.Fertiliser_Products_Data1(),FertiliserProducts[[#Headers],[Include or Exclude]], 0,4)</f>
        <v/>
      </c>
      <c r="N151" s="170" t="str" cm="1">
        <f t="array" ref="N151">Common_InputFunctions.Utility_DisplayArrayInTable(Fertiliser_SourceData.Fertiliser_Products_Data1(),FertiliserProducts[[#Headers],[Include or Exclude]], 0,4)</f>
        <v/>
      </c>
      <c r="O151" s="170" t="str" cm="1">
        <f t="array" ref="O151">Common_InputFunctions.Utility_DisplayArrayInTable(Fertiliser_SourceData.Fertiliser_Products_Data1(),FertiliserProducts[[#Headers],[Include or Exclude]], 0,4)</f>
        <v/>
      </c>
      <c r="P151" s="170" t="str" cm="1">
        <f t="array" ref="P151">Common_InputFunctions.Utility_DisplayArrayInTable(Fertiliser_SourceData.Fertiliser_Products_Data1(),FertiliserProducts[[#Headers],[Include or Exclude]], 0,4)</f>
        <v/>
      </c>
      <c r="Q151" s="170" t="str" cm="1">
        <f t="array" ref="Q151">Common_InputFunctions.Utility_DisplayArrayInTable(Fertiliser_SourceData.Fertiliser_Products_Data1(),FertiliserProducts[[#Headers],[Include or Exclude]], 0,4)</f>
        <v/>
      </c>
      <c r="R151" s="170" t="str" cm="1">
        <f t="array" ref="R151">Common_InputFunctions.Utility_DisplayArrayInTable(Fertiliser_SourceData.Fertiliser_Products_Data1(),FertiliserProducts[[#Headers],[Include or Exclude]], 0,4)</f>
        <v/>
      </c>
      <c r="S151" s="170" t="str" cm="1">
        <f t="array" ref="S151">Common_InputFunctions.Utility_DisplayArrayInTable(Fertiliser_SourceData.Fertiliser_Products_Data1(),FertiliserProducts[[#Headers],[Include or Exclude]], 0,4)</f>
        <v/>
      </c>
      <c r="T151" s="170" t="str" cm="1">
        <f t="array" ref="T151">Common_InputFunctions.Utility_DisplayArrayInTable(Fertiliser_SourceData.Fertiliser_Products_Data1(),FertiliserProducts[[#Headers],[Include or Exclude]], 0,4)</f>
        <v/>
      </c>
      <c r="U151" s="170" t="str" cm="1">
        <f t="array" ref="U151">Common_InputFunctions.Utility_DisplayArrayInTable(Fertiliser_SourceData.Fertiliser_Products_Data1(),FertiliserProducts[[#Headers],[Include or Exclude]], 0,4)</f>
        <v/>
      </c>
      <c r="V151" s="170" t="str" cm="1">
        <f t="array" ref="V151">Common_InputFunctions.Utility_DisplayArrayInTable(Fertiliser_SourceData.Fertiliser_Products_Data1(),FertiliserProducts[[#Headers],[Include or Exclude]], 0,4)</f>
        <v/>
      </c>
      <c r="W151" s="170" t="str" cm="1">
        <f t="array" ref="W151">Common_InputFunctions.Utility_DisplayArrayInTable(Fertiliser_SourceData.Fertiliser_Products_Data1(),FertiliserProducts[[#Headers],[Include or Exclude]], 0,4)</f>
        <v/>
      </c>
      <c r="X151" s="170" t="str" cm="1">
        <f t="array" ref="X151">Common_InputFunctions.Utility_DisplayArrayInTable(Fertiliser_SourceData.Fertiliser_Products_Data1(),FertiliserProducts[[#Headers],[Include or Exclude]], 0,4)</f>
        <v/>
      </c>
      <c r="Y151" s="170" t="str" cm="1">
        <f t="array" ref="Y151">Common_InputFunctions.Utility_DisplayArrayInTable(Fertiliser_SourceData.Fertiliser_Products_Data1(),FertiliserProducts[[#Headers],[Include or Exclude]], 0,4)</f>
        <v/>
      </c>
      <c r="Z151" s="170" t="str" cm="1">
        <f t="array" ref="Z151">Common_InputFunctions.Utility_DisplayArrayInTable(Fertiliser_SourceData.Fertiliser_Products_Data1(),FertiliserProducts[[#Headers],[Include or Exclude]], 0,4)</f>
        <v/>
      </c>
      <c r="AA151" s="170" t="str" cm="1">
        <f t="array" ref="AA151">Common_InputFunctions.Utility_DisplayArrayInTable(Fertiliser_SourceData.Fertiliser_Products_Data1(),FertiliserProducts[[#Headers],[Include or Exclude]], 0,4)</f>
        <v/>
      </c>
      <c r="AB151" s="170" t="str" cm="1">
        <f t="array" ref="AB151">Common_InputFunctions.Utility_DisplayArrayInTable(Fertiliser_SourceData.Fertiliser_Products_Data1(),FertiliserProducts[[#Headers],[Include or Exclude]], 0,4)</f>
        <v/>
      </c>
      <c r="AC151" s="170" t="str" cm="1">
        <f t="array" ref="AC151">Common_InputFunctions.Utility_DisplayArrayInTable(Fertiliser_SourceData.Fertiliser_Products_Data1(),FertiliserProducts[[#Headers],[Include or Exclude]], 0,4)</f>
        <v/>
      </c>
      <c r="AD151" s="170" t="str" cm="1">
        <f t="array" ref="AD151">Common_InputFunctions.Utility_DisplayArrayInTable(Fertiliser_SourceData.Fertiliser_Products_Data1(),FertiliserProducts[[#Headers],[Include or Exclude]], 0,4)</f>
        <v/>
      </c>
      <c r="AE151" s="170" t="str" cm="1">
        <f t="array" ref="AE151">Common_InputFunctions.Utility_DisplayArrayInTable(Fertiliser_SourceData.Fertiliser_Products_Data1(),FertiliserProducts[[#Headers],[Include or Exclude]], 0,4)</f>
        <v/>
      </c>
    </row>
    <row r="152" spans="4:31" ht="20.100000000000001" customHeight="1" x14ac:dyDescent="0.25">
      <c r="D152" s="170" t="str" cm="1">
        <f t="array" ref="D152">Common_InputFunctions.Utility_DisplayArrayInTable(Fertiliser_SourceData.Fertiliser_Products_Data1(),FertiliserProducts[[#Headers],[Include or Exclude]], -1)</f>
        <v/>
      </c>
      <c r="E152" s="170" t="str" cm="1">
        <f t="array" ref="E152">Common_InputFunctions.Utility_DisplayArrayInTable(Fertiliser_SourceData.Fertiliser_Products_Data1(),FertiliserProducts[[#Headers],[Include or Exclude]], 0)</f>
        <v/>
      </c>
      <c r="F152" s="170" t="str" cm="1">
        <f t="array" ref="F152">Common_InputFunctions.Utility_DisplayArrayInTable(Fertiliser_SourceData.Fertiliser_Products_Data1(),FertiliserProducts[[#Headers],[Include or Exclude]], 0)</f>
        <v/>
      </c>
      <c r="G152" s="170" t="str" cm="1">
        <f t="array" ref="G152">Common_InputFunctions.Utility_DisplayArrayInTable(Fertiliser_SourceData.Fertiliser_Products_Data1(),FertiliserProducts[[#Headers],[Include or Exclude]], 0)</f>
        <v/>
      </c>
      <c r="H152" s="170" t="str" cm="1">
        <f t="array" ref="H152">Common_InputFunctions.Utility_DisplayArrayInTable(Fertiliser_SourceData.Fertiliser_Products_Data1(),FertiliserProducts[[#Headers],[Include or Exclude]], 0,4)</f>
        <v/>
      </c>
      <c r="I152" s="170" t="str" cm="1">
        <f t="array" ref="I152">Common_InputFunctions.Utility_DisplayArrayInTable(Fertiliser_SourceData.Fertiliser_Products_Data1(),FertiliserProducts[[#Headers],[Include or Exclude]], 0,4)</f>
        <v/>
      </c>
      <c r="J152" s="170" t="str" cm="1">
        <f t="array" ref="J152">Common_InputFunctions.Utility_DisplayArrayInTable(Fertiliser_SourceData.Fertiliser_Products_Data1(),FertiliserProducts[[#Headers],[Include or Exclude]], 0,4)</f>
        <v/>
      </c>
      <c r="K152" s="170" t="str" cm="1">
        <f t="array" ref="K152">Common_InputFunctions.Utility_DisplayArrayInTable(Fertiliser_SourceData.Fertiliser_Products_Data1(),FertiliserProducts[[#Headers],[Include or Exclude]], 0,4)</f>
        <v/>
      </c>
      <c r="L152" s="170" t="str" cm="1">
        <f t="array" ref="L152">Common_InputFunctions.Utility_DisplayArrayInTable(Fertiliser_SourceData.Fertiliser_Products_Data1(),FertiliserProducts[[#Headers],[Include or Exclude]], 0,4)</f>
        <v/>
      </c>
      <c r="M152" s="170" t="str" cm="1">
        <f t="array" ref="M152">Common_InputFunctions.Utility_DisplayArrayInTable(Fertiliser_SourceData.Fertiliser_Products_Data1(),FertiliserProducts[[#Headers],[Include or Exclude]], 0,4)</f>
        <v/>
      </c>
      <c r="N152" s="170" t="str" cm="1">
        <f t="array" ref="N152">Common_InputFunctions.Utility_DisplayArrayInTable(Fertiliser_SourceData.Fertiliser_Products_Data1(),FertiliserProducts[[#Headers],[Include or Exclude]], 0,4)</f>
        <v/>
      </c>
      <c r="O152" s="170" t="str" cm="1">
        <f t="array" ref="O152">Common_InputFunctions.Utility_DisplayArrayInTable(Fertiliser_SourceData.Fertiliser_Products_Data1(),FertiliserProducts[[#Headers],[Include or Exclude]], 0,4)</f>
        <v/>
      </c>
      <c r="P152" s="170" t="str" cm="1">
        <f t="array" ref="P152">Common_InputFunctions.Utility_DisplayArrayInTable(Fertiliser_SourceData.Fertiliser_Products_Data1(),FertiliserProducts[[#Headers],[Include or Exclude]], 0,4)</f>
        <v/>
      </c>
      <c r="Q152" s="170" t="str" cm="1">
        <f t="array" ref="Q152">Common_InputFunctions.Utility_DisplayArrayInTable(Fertiliser_SourceData.Fertiliser_Products_Data1(),FertiliserProducts[[#Headers],[Include or Exclude]], 0,4)</f>
        <v/>
      </c>
      <c r="R152" s="170" t="str" cm="1">
        <f t="array" ref="R152">Common_InputFunctions.Utility_DisplayArrayInTable(Fertiliser_SourceData.Fertiliser_Products_Data1(),FertiliserProducts[[#Headers],[Include or Exclude]], 0,4)</f>
        <v/>
      </c>
      <c r="S152" s="170" t="str" cm="1">
        <f t="array" ref="S152">Common_InputFunctions.Utility_DisplayArrayInTable(Fertiliser_SourceData.Fertiliser_Products_Data1(),FertiliserProducts[[#Headers],[Include or Exclude]], 0,4)</f>
        <v/>
      </c>
      <c r="T152" s="170" t="str" cm="1">
        <f t="array" ref="T152">Common_InputFunctions.Utility_DisplayArrayInTable(Fertiliser_SourceData.Fertiliser_Products_Data1(),FertiliserProducts[[#Headers],[Include or Exclude]], 0,4)</f>
        <v/>
      </c>
      <c r="U152" s="170" t="str" cm="1">
        <f t="array" ref="U152">Common_InputFunctions.Utility_DisplayArrayInTable(Fertiliser_SourceData.Fertiliser_Products_Data1(),FertiliserProducts[[#Headers],[Include or Exclude]], 0,4)</f>
        <v/>
      </c>
      <c r="V152" s="170" t="str" cm="1">
        <f t="array" ref="V152">Common_InputFunctions.Utility_DisplayArrayInTable(Fertiliser_SourceData.Fertiliser_Products_Data1(),FertiliserProducts[[#Headers],[Include or Exclude]], 0,4)</f>
        <v/>
      </c>
      <c r="W152" s="170" t="str" cm="1">
        <f t="array" ref="W152">Common_InputFunctions.Utility_DisplayArrayInTable(Fertiliser_SourceData.Fertiliser_Products_Data1(),FertiliserProducts[[#Headers],[Include or Exclude]], 0,4)</f>
        <v/>
      </c>
      <c r="X152" s="170" t="str" cm="1">
        <f t="array" ref="X152">Common_InputFunctions.Utility_DisplayArrayInTable(Fertiliser_SourceData.Fertiliser_Products_Data1(),FertiliserProducts[[#Headers],[Include or Exclude]], 0,4)</f>
        <v/>
      </c>
      <c r="Y152" s="170" t="str" cm="1">
        <f t="array" ref="Y152">Common_InputFunctions.Utility_DisplayArrayInTable(Fertiliser_SourceData.Fertiliser_Products_Data1(),FertiliserProducts[[#Headers],[Include or Exclude]], 0,4)</f>
        <v/>
      </c>
      <c r="Z152" s="170" t="str" cm="1">
        <f t="array" ref="Z152">Common_InputFunctions.Utility_DisplayArrayInTable(Fertiliser_SourceData.Fertiliser_Products_Data1(),FertiliserProducts[[#Headers],[Include or Exclude]], 0,4)</f>
        <v/>
      </c>
      <c r="AA152" s="170" t="str" cm="1">
        <f t="array" ref="AA152">Common_InputFunctions.Utility_DisplayArrayInTable(Fertiliser_SourceData.Fertiliser_Products_Data1(),FertiliserProducts[[#Headers],[Include or Exclude]], 0,4)</f>
        <v/>
      </c>
      <c r="AB152" s="170" t="str" cm="1">
        <f t="array" ref="AB152">Common_InputFunctions.Utility_DisplayArrayInTable(Fertiliser_SourceData.Fertiliser_Products_Data1(),FertiliserProducts[[#Headers],[Include or Exclude]], 0,4)</f>
        <v/>
      </c>
      <c r="AC152" s="170" t="str" cm="1">
        <f t="array" ref="AC152">Common_InputFunctions.Utility_DisplayArrayInTable(Fertiliser_SourceData.Fertiliser_Products_Data1(),FertiliserProducts[[#Headers],[Include or Exclude]], 0,4)</f>
        <v/>
      </c>
      <c r="AD152" s="170" t="str" cm="1">
        <f t="array" ref="AD152">Common_InputFunctions.Utility_DisplayArrayInTable(Fertiliser_SourceData.Fertiliser_Products_Data1(),FertiliserProducts[[#Headers],[Include or Exclude]], 0,4)</f>
        <v/>
      </c>
      <c r="AE152" s="170" t="str" cm="1">
        <f t="array" ref="AE152">Common_InputFunctions.Utility_DisplayArrayInTable(Fertiliser_SourceData.Fertiliser_Products_Data1(),FertiliserProducts[[#Headers],[Include or Exclude]], 0,4)</f>
        <v/>
      </c>
    </row>
    <row r="153" spans="4:31" ht="20.100000000000001" customHeight="1" x14ac:dyDescent="0.25">
      <c r="D153" s="170" t="str" cm="1">
        <f t="array" ref="D153">Common_InputFunctions.Utility_DisplayArrayInTable(Fertiliser_SourceData.Fertiliser_Products_Data1(),FertiliserProducts[[#Headers],[Include or Exclude]], -1)</f>
        <v/>
      </c>
      <c r="E153" s="170" t="str" cm="1">
        <f t="array" ref="E153">Common_InputFunctions.Utility_DisplayArrayInTable(Fertiliser_SourceData.Fertiliser_Products_Data1(),FertiliserProducts[[#Headers],[Include or Exclude]], 0)</f>
        <v/>
      </c>
      <c r="F153" s="170" t="str" cm="1">
        <f t="array" ref="F153">Common_InputFunctions.Utility_DisplayArrayInTable(Fertiliser_SourceData.Fertiliser_Products_Data1(),FertiliserProducts[[#Headers],[Include or Exclude]], 0)</f>
        <v/>
      </c>
      <c r="G153" s="170" t="str" cm="1">
        <f t="array" ref="G153">Common_InputFunctions.Utility_DisplayArrayInTable(Fertiliser_SourceData.Fertiliser_Products_Data1(),FertiliserProducts[[#Headers],[Include or Exclude]], 0)</f>
        <v/>
      </c>
      <c r="H153" s="170" t="str" cm="1">
        <f t="array" ref="H153">Common_InputFunctions.Utility_DisplayArrayInTable(Fertiliser_SourceData.Fertiliser_Products_Data1(),FertiliserProducts[[#Headers],[Include or Exclude]], 0,4)</f>
        <v/>
      </c>
      <c r="I153" s="170" t="str" cm="1">
        <f t="array" ref="I153">Common_InputFunctions.Utility_DisplayArrayInTable(Fertiliser_SourceData.Fertiliser_Products_Data1(),FertiliserProducts[[#Headers],[Include or Exclude]], 0,4)</f>
        <v/>
      </c>
      <c r="J153" s="170" t="str" cm="1">
        <f t="array" ref="J153">Common_InputFunctions.Utility_DisplayArrayInTable(Fertiliser_SourceData.Fertiliser_Products_Data1(),FertiliserProducts[[#Headers],[Include or Exclude]], 0,4)</f>
        <v/>
      </c>
      <c r="K153" s="170" t="str" cm="1">
        <f t="array" ref="K153">Common_InputFunctions.Utility_DisplayArrayInTable(Fertiliser_SourceData.Fertiliser_Products_Data1(),FertiliserProducts[[#Headers],[Include or Exclude]], 0,4)</f>
        <v/>
      </c>
      <c r="L153" s="170" t="str" cm="1">
        <f t="array" ref="L153">Common_InputFunctions.Utility_DisplayArrayInTable(Fertiliser_SourceData.Fertiliser_Products_Data1(),FertiliserProducts[[#Headers],[Include or Exclude]], 0,4)</f>
        <v/>
      </c>
      <c r="M153" s="170" t="str" cm="1">
        <f t="array" ref="M153">Common_InputFunctions.Utility_DisplayArrayInTable(Fertiliser_SourceData.Fertiliser_Products_Data1(),FertiliserProducts[[#Headers],[Include or Exclude]], 0,4)</f>
        <v/>
      </c>
      <c r="N153" s="170" t="str" cm="1">
        <f t="array" ref="N153">Common_InputFunctions.Utility_DisplayArrayInTable(Fertiliser_SourceData.Fertiliser_Products_Data1(),FertiliserProducts[[#Headers],[Include or Exclude]], 0,4)</f>
        <v/>
      </c>
      <c r="O153" s="170" t="str" cm="1">
        <f t="array" ref="O153">Common_InputFunctions.Utility_DisplayArrayInTable(Fertiliser_SourceData.Fertiliser_Products_Data1(),FertiliserProducts[[#Headers],[Include or Exclude]], 0,4)</f>
        <v/>
      </c>
      <c r="P153" s="170" t="str" cm="1">
        <f t="array" ref="P153">Common_InputFunctions.Utility_DisplayArrayInTable(Fertiliser_SourceData.Fertiliser_Products_Data1(),FertiliserProducts[[#Headers],[Include or Exclude]], 0,4)</f>
        <v/>
      </c>
      <c r="Q153" s="170" t="str" cm="1">
        <f t="array" ref="Q153">Common_InputFunctions.Utility_DisplayArrayInTable(Fertiliser_SourceData.Fertiliser_Products_Data1(),FertiliserProducts[[#Headers],[Include or Exclude]], 0,4)</f>
        <v/>
      </c>
      <c r="R153" s="170" t="str" cm="1">
        <f t="array" ref="R153">Common_InputFunctions.Utility_DisplayArrayInTable(Fertiliser_SourceData.Fertiliser_Products_Data1(),FertiliserProducts[[#Headers],[Include or Exclude]], 0,4)</f>
        <v/>
      </c>
      <c r="S153" s="170" t="str" cm="1">
        <f t="array" ref="S153">Common_InputFunctions.Utility_DisplayArrayInTable(Fertiliser_SourceData.Fertiliser_Products_Data1(),FertiliserProducts[[#Headers],[Include or Exclude]], 0,4)</f>
        <v/>
      </c>
      <c r="T153" s="170" t="str" cm="1">
        <f t="array" ref="T153">Common_InputFunctions.Utility_DisplayArrayInTable(Fertiliser_SourceData.Fertiliser_Products_Data1(),FertiliserProducts[[#Headers],[Include or Exclude]], 0,4)</f>
        <v/>
      </c>
      <c r="U153" s="170" t="str" cm="1">
        <f t="array" ref="U153">Common_InputFunctions.Utility_DisplayArrayInTable(Fertiliser_SourceData.Fertiliser_Products_Data1(),FertiliserProducts[[#Headers],[Include or Exclude]], 0,4)</f>
        <v/>
      </c>
      <c r="V153" s="170" t="str" cm="1">
        <f t="array" ref="V153">Common_InputFunctions.Utility_DisplayArrayInTable(Fertiliser_SourceData.Fertiliser_Products_Data1(),FertiliserProducts[[#Headers],[Include or Exclude]], 0,4)</f>
        <v/>
      </c>
      <c r="W153" s="170" t="str" cm="1">
        <f t="array" ref="W153">Common_InputFunctions.Utility_DisplayArrayInTable(Fertiliser_SourceData.Fertiliser_Products_Data1(),FertiliserProducts[[#Headers],[Include or Exclude]], 0,4)</f>
        <v/>
      </c>
      <c r="X153" s="170" t="str" cm="1">
        <f t="array" ref="X153">Common_InputFunctions.Utility_DisplayArrayInTable(Fertiliser_SourceData.Fertiliser_Products_Data1(),FertiliserProducts[[#Headers],[Include or Exclude]], 0,4)</f>
        <v/>
      </c>
      <c r="Y153" s="170" t="str" cm="1">
        <f t="array" ref="Y153">Common_InputFunctions.Utility_DisplayArrayInTable(Fertiliser_SourceData.Fertiliser_Products_Data1(),FertiliserProducts[[#Headers],[Include or Exclude]], 0,4)</f>
        <v/>
      </c>
      <c r="Z153" s="170" t="str" cm="1">
        <f t="array" ref="Z153">Common_InputFunctions.Utility_DisplayArrayInTable(Fertiliser_SourceData.Fertiliser_Products_Data1(),FertiliserProducts[[#Headers],[Include or Exclude]], 0,4)</f>
        <v/>
      </c>
      <c r="AA153" s="170" t="str" cm="1">
        <f t="array" ref="AA153">Common_InputFunctions.Utility_DisplayArrayInTable(Fertiliser_SourceData.Fertiliser_Products_Data1(),FertiliserProducts[[#Headers],[Include or Exclude]], 0,4)</f>
        <v/>
      </c>
      <c r="AB153" s="170" t="str" cm="1">
        <f t="array" ref="AB153">Common_InputFunctions.Utility_DisplayArrayInTable(Fertiliser_SourceData.Fertiliser_Products_Data1(),FertiliserProducts[[#Headers],[Include or Exclude]], 0,4)</f>
        <v/>
      </c>
      <c r="AC153" s="170" t="str" cm="1">
        <f t="array" ref="AC153">Common_InputFunctions.Utility_DisplayArrayInTable(Fertiliser_SourceData.Fertiliser_Products_Data1(),FertiliserProducts[[#Headers],[Include or Exclude]], 0,4)</f>
        <v/>
      </c>
      <c r="AD153" s="170" t="str" cm="1">
        <f t="array" ref="AD153">Common_InputFunctions.Utility_DisplayArrayInTable(Fertiliser_SourceData.Fertiliser_Products_Data1(),FertiliserProducts[[#Headers],[Include or Exclude]], 0,4)</f>
        <v/>
      </c>
      <c r="AE153" s="170"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7FCC6-C604-4C42-9E4F-EEE1E7FF27D7}">
  <dimension ref="A1:AI165"/>
  <sheetViews>
    <sheetView showGridLines="0" topLeftCell="A138"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484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57"/>
      <c r="F5" s="157"/>
      <c r="G5" s="157"/>
      <c r="H5" s="157"/>
      <c r="I5" s="157"/>
      <c r="J5" s="157"/>
      <c r="K5" s="157"/>
      <c r="L5" s="15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7"/>
      <c r="F6" s="157"/>
      <c r="G6" s="157"/>
      <c r="H6" s="157"/>
      <c r="I6" s="157"/>
      <c r="J6" s="157"/>
      <c r="K6" s="157"/>
      <c r="L6" s="157"/>
    </row>
    <row r="7" spans="1:35" ht="20.100000000000001" customHeight="1" x14ac:dyDescent="0.25">
      <c r="D7" s="27" t="str" cm="1">
        <f t="array" ref="D7">Fuel_SourceData.Fuel_Scope1Scope3EmissionFactorsTransport_Source()</f>
        <v>Australian National Greenhouse Accounts Factors 2025 - Table 9</v>
      </c>
      <c r="E7" s="157"/>
      <c r="F7" s="157"/>
      <c r="G7" s="157"/>
      <c r="H7" s="157"/>
      <c r="I7" s="157"/>
      <c r="J7" s="157"/>
      <c r="K7" s="157"/>
      <c r="L7" s="157"/>
    </row>
    <row r="8" spans="1:35" ht="20.100000000000001" customHeight="1" x14ac:dyDescent="0.25">
      <c r="A8" s="7" t="s">
        <v>0</v>
      </c>
      <c r="D8" s="36" t="str" cm="1">
        <f t="array" ref="D8">"⚠️" &amp; Fuel_SourceData.Fuel_Scope1Scope3EmissionFactorsTransport_Variation()</f>
        <v>⚠️VARIATION OF SOURCE DATA: 'NE' values returned as zero for calculations.</v>
      </c>
      <c r="E8" s="157"/>
      <c r="F8" s="157"/>
      <c r="G8" s="157"/>
      <c r="H8" s="157"/>
      <c r="I8" s="157"/>
      <c r="J8" s="157"/>
      <c r="K8" s="157"/>
      <c r="L8" s="157"/>
    </row>
    <row r="9" spans="1:35" ht="20.100000000000001" customHeight="1" x14ac:dyDescent="0.25">
      <c r="A9" s="5" t="str">
        <f>HYPERLINK("#'Input - Enterprise'!A1", "Enterprise")</f>
        <v>Enterprise</v>
      </c>
      <c r="D9" s="212" t="s">
        <v>485</v>
      </c>
      <c r="E9" s="212" t="s">
        <v>486</v>
      </c>
      <c r="F9" s="212" t="s">
        <v>487</v>
      </c>
      <c r="G9" s="212" t="s">
        <v>488</v>
      </c>
      <c r="H9" s="212" t="s">
        <v>489</v>
      </c>
      <c r="I9" s="212" t="s">
        <v>490</v>
      </c>
      <c r="J9" s="212" t="s">
        <v>491</v>
      </c>
      <c r="K9" s="212" t="s">
        <v>492</v>
      </c>
      <c r="L9" s="212" t="s">
        <v>493</v>
      </c>
    </row>
    <row r="10" spans="1:35" ht="20.100000000000001" customHeight="1" x14ac:dyDescent="0.25">
      <c r="A10" s="5" t="str">
        <f>HYPERLINK("#'Input - Site'!A1", "Site")</f>
        <v>Site</v>
      </c>
      <c r="D10" s="213" t="str" cm="1">
        <f t="array" ref="D10">Common_InputFunctions.Utility_DisplayArrayInTable(Fuel_SourceData.Fuel_Scope1Scope3EmissionFactorsTransport_Data(), Table_Fuel_EFs_Transport[[#Headers],[Transport type]], 0)</f>
        <v>Cars and light commercial vehicles</v>
      </c>
      <c r="E10" s="213" t="str" cm="1">
        <f t="array" ref="E10">Common_InputFunctions.Utility_DisplayArrayInTable(Fuel_SourceData.Fuel_Scope1Scope3EmissionFactorsTransport_Data(), Table_Fuel_EFs_Transport[[#Headers],[Transport type]], 0)</f>
        <v>Gasoline</v>
      </c>
      <c r="F10" s="213" cm="1">
        <f t="array" ref="F10">Common_InputFunctions.Utility_DisplayArrayInTable(Fuel_SourceData.Fuel_Scope1Scope3EmissionFactorsTransport_Data(), Table_Fuel_EFs_Transport[[#Headers],[Transport type]], 0)</f>
        <v>34.200000000000003</v>
      </c>
      <c r="G10" s="213" t="str" cm="1">
        <f t="array" ref="G10">Common_InputFunctions.Utility_DisplayArrayInTable(Fuel_SourceData.Fuel_Scope1Scope3EmissionFactorsTransport_Data(), Table_Fuel_EFs_Transport[[#Headers],[Transport type]], 0)</f>
        <v>kl</v>
      </c>
      <c r="H10" s="213" cm="1">
        <f t="array" ref="H10">Common_InputFunctions.Utility_DisplayArrayInTable(Fuel_SourceData.Fuel_Scope1Scope3EmissionFactorsTransport_Data(), Table_Fuel_EFs_Transport[[#Headers],[Transport type]], 0)</f>
        <v>67.400000000000006</v>
      </c>
      <c r="I10" s="213" cm="1">
        <f t="array" ref="I10">Common_InputFunctions.Utility_DisplayArrayInTable(Fuel_SourceData.Fuel_Scope1Scope3EmissionFactorsTransport_Data(), Table_Fuel_EFs_Transport[[#Headers],[Transport type]], 0)</f>
        <v>0.02</v>
      </c>
      <c r="J10" s="213" cm="1">
        <f t="array" ref="J10">Common_InputFunctions.Utility_DisplayArrayInTable(Fuel_SourceData.Fuel_Scope1Scope3EmissionFactorsTransport_Data(), Table_Fuel_EFs_Transport[[#Headers],[Transport type]], 0)</f>
        <v>0.2</v>
      </c>
      <c r="K10" s="213" cm="1">
        <f t="array" ref="K10">Common_InputFunctions.Utility_DisplayArrayInTable(Fuel_SourceData.Fuel_Scope1Scope3EmissionFactorsTransport_Data(), Table_Fuel_EFs_Transport[[#Headers],[Transport type]], 0)</f>
        <v>67.62</v>
      </c>
      <c r="L10" s="213"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3" t="str" cm="1">
        <f t="array" ref="D11">Common_InputFunctions.Utility_DisplayArrayInTable(Fuel_SourceData.Fuel_Scope1Scope3EmissionFactorsTransport_Data(), Table_Fuel_EFs_Transport[[#Headers],[Transport type]], 0)</f>
        <v>Cars and light commercial vehicles</v>
      </c>
      <c r="E11" s="213" t="str" cm="1">
        <f t="array" ref="E11">Common_InputFunctions.Utility_DisplayArrayInTable(Fuel_SourceData.Fuel_Scope1Scope3EmissionFactorsTransport_Data(), Table_Fuel_EFs_Transport[[#Headers],[Transport type]], 0)</f>
        <v>Diesel oil</v>
      </c>
      <c r="F11" s="213" cm="1">
        <f t="array" ref="F11">Common_InputFunctions.Utility_DisplayArrayInTable(Fuel_SourceData.Fuel_Scope1Scope3EmissionFactorsTransport_Data(), Table_Fuel_EFs_Transport[[#Headers],[Transport type]], 0)</f>
        <v>38.6</v>
      </c>
      <c r="G11" s="213" t="str" cm="1">
        <f t="array" ref="G11">Common_InputFunctions.Utility_DisplayArrayInTable(Fuel_SourceData.Fuel_Scope1Scope3EmissionFactorsTransport_Data(), Table_Fuel_EFs_Transport[[#Headers],[Transport type]], 0)</f>
        <v>kl</v>
      </c>
      <c r="H11" s="213" cm="1">
        <f t="array" ref="H11">Common_InputFunctions.Utility_DisplayArrayInTable(Fuel_SourceData.Fuel_Scope1Scope3EmissionFactorsTransport_Data(), Table_Fuel_EFs_Transport[[#Headers],[Transport type]], 0)</f>
        <v>69.900000000000006</v>
      </c>
      <c r="I11" s="213" cm="1">
        <f t="array" ref="I11">Common_InputFunctions.Utility_DisplayArrayInTable(Fuel_SourceData.Fuel_Scope1Scope3EmissionFactorsTransport_Data(), Table_Fuel_EFs_Transport[[#Headers],[Transport type]], 0)</f>
        <v>0.01</v>
      </c>
      <c r="J11" s="213" cm="1">
        <f t="array" ref="J11">Common_InputFunctions.Utility_DisplayArrayInTable(Fuel_SourceData.Fuel_Scope1Scope3EmissionFactorsTransport_Data(), Table_Fuel_EFs_Transport[[#Headers],[Transport type]], 0)</f>
        <v>0.5</v>
      </c>
      <c r="K11" s="213" cm="1">
        <f t="array" ref="K11">Common_InputFunctions.Utility_DisplayArrayInTable(Fuel_SourceData.Fuel_Scope1Scope3EmissionFactorsTransport_Data(), Table_Fuel_EFs_Transport[[#Headers],[Transport type]], 0)</f>
        <v>70.41</v>
      </c>
      <c r="L11" s="213"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3" t="str" cm="1">
        <f t="array" ref="D12">Common_InputFunctions.Utility_DisplayArrayInTable(Fuel_SourceData.Fuel_Scope1Scope3EmissionFactorsTransport_Data(), Table_Fuel_EFs_Transport[[#Headers],[Transport type]], 0)</f>
        <v>Cars and light commercial vehicles</v>
      </c>
      <c r="E12" s="213" t="str" cm="1">
        <f t="array" ref="E12">Common_InputFunctions.Utility_DisplayArrayInTable(Fuel_SourceData.Fuel_Scope1Scope3EmissionFactorsTransport_Data(), Table_Fuel_EFs_Transport[[#Headers],[Transport type]], 0)</f>
        <v>Liquefied petroleum gas (LPG)</v>
      </c>
      <c r="F12" s="213" cm="1">
        <f t="array" ref="F12">Common_InputFunctions.Utility_DisplayArrayInTable(Fuel_SourceData.Fuel_Scope1Scope3EmissionFactorsTransport_Data(), Table_Fuel_EFs_Transport[[#Headers],[Transport type]], 0)</f>
        <v>26.2</v>
      </c>
      <c r="G12" s="213" t="str" cm="1">
        <f t="array" ref="G12">Common_InputFunctions.Utility_DisplayArrayInTable(Fuel_SourceData.Fuel_Scope1Scope3EmissionFactorsTransport_Data(), Table_Fuel_EFs_Transport[[#Headers],[Transport type]], 0)</f>
        <v>kl</v>
      </c>
      <c r="H12" s="213" cm="1">
        <f t="array" ref="H12">Common_InputFunctions.Utility_DisplayArrayInTable(Fuel_SourceData.Fuel_Scope1Scope3EmissionFactorsTransport_Data(), Table_Fuel_EFs_Transport[[#Headers],[Transport type]], 0)</f>
        <v>60.2</v>
      </c>
      <c r="I12" s="213" cm="1">
        <f t="array" ref="I12">Common_InputFunctions.Utility_DisplayArrayInTable(Fuel_SourceData.Fuel_Scope1Scope3EmissionFactorsTransport_Data(), Table_Fuel_EFs_Transport[[#Headers],[Transport type]], 0)</f>
        <v>0.5</v>
      </c>
      <c r="J12" s="213" cm="1">
        <f t="array" ref="J12">Common_InputFunctions.Utility_DisplayArrayInTable(Fuel_SourceData.Fuel_Scope1Scope3EmissionFactorsTransport_Data(), Table_Fuel_EFs_Transport[[#Headers],[Transport type]], 0)</f>
        <v>0.3</v>
      </c>
      <c r="K12" s="213" cm="1">
        <f t="array" ref="K12">Common_InputFunctions.Utility_DisplayArrayInTable(Fuel_SourceData.Fuel_Scope1Scope3EmissionFactorsTransport_Data(), Table_Fuel_EFs_Transport[[#Headers],[Transport type]], 0)</f>
        <v>61</v>
      </c>
      <c r="L12" s="213"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3" t="str" cm="1">
        <f t="array" ref="D13">Common_InputFunctions.Utility_DisplayArrayInTable(Fuel_SourceData.Fuel_Scope1Scope3EmissionFactorsTransport_Data(), Table_Fuel_EFs_Transport[[#Headers],[Transport type]], 0)</f>
        <v>Cars and light commercial vehicles</v>
      </c>
      <c r="E13" s="213" t="str" cm="1">
        <f t="array" ref="E13">Common_InputFunctions.Utility_DisplayArrayInTable(Fuel_SourceData.Fuel_Scope1Scope3EmissionFactorsTransport_Data(), Table_Fuel_EFs_Transport[[#Headers],[Transport type]], 0)</f>
        <v>Fuel oil</v>
      </c>
      <c r="F13" s="213" cm="1">
        <f t="array" ref="F13">Common_InputFunctions.Utility_DisplayArrayInTable(Fuel_SourceData.Fuel_Scope1Scope3EmissionFactorsTransport_Data(), Table_Fuel_EFs_Transport[[#Headers],[Transport type]], 0)</f>
        <v>39.700000000000003</v>
      </c>
      <c r="G13" s="213" t="str" cm="1">
        <f t="array" ref="G13">Common_InputFunctions.Utility_DisplayArrayInTable(Fuel_SourceData.Fuel_Scope1Scope3EmissionFactorsTransport_Data(), Table_Fuel_EFs_Transport[[#Headers],[Transport type]], 0)</f>
        <v>kl</v>
      </c>
      <c r="H13" s="213" cm="1">
        <f t="array" ref="H13">Common_InputFunctions.Utility_DisplayArrayInTable(Fuel_SourceData.Fuel_Scope1Scope3EmissionFactorsTransport_Data(), Table_Fuel_EFs_Transport[[#Headers],[Transport type]], 0)</f>
        <v>73.599999999999994</v>
      </c>
      <c r="I13" s="213" cm="1">
        <f t="array" ref="I13">Common_InputFunctions.Utility_DisplayArrayInTable(Fuel_SourceData.Fuel_Scope1Scope3EmissionFactorsTransport_Data(), Table_Fuel_EFs_Transport[[#Headers],[Transport type]], 0)</f>
        <v>0.08</v>
      </c>
      <c r="J13" s="213" cm="1">
        <f t="array" ref="J13">Common_InputFunctions.Utility_DisplayArrayInTable(Fuel_SourceData.Fuel_Scope1Scope3EmissionFactorsTransport_Data(), Table_Fuel_EFs_Transport[[#Headers],[Transport type]], 0)</f>
        <v>0.5</v>
      </c>
      <c r="K13" s="213" cm="1">
        <f t="array" ref="K13">Common_InputFunctions.Utility_DisplayArrayInTable(Fuel_SourceData.Fuel_Scope1Scope3EmissionFactorsTransport_Data(), Table_Fuel_EFs_Transport[[#Headers],[Transport type]], 0)</f>
        <v>74.180000000000007</v>
      </c>
      <c r="L13" s="213"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3" t="str" cm="1">
        <f t="array" ref="D14">Common_InputFunctions.Utility_DisplayArrayInTable(Fuel_SourceData.Fuel_Scope1Scope3EmissionFactorsTransport_Data(), Table_Fuel_EFs_Transport[[#Headers],[Transport type]], 0)</f>
        <v>Cars and light commercial vehicles</v>
      </c>
      <c r="E14" s="213" t="str" cm="1">
        <f t="array" ref="E14">Common_InputFunctions.Utility_DisplayArrayInTable(Fuel_SourceData.Fuel_Scope1Scope3EmissionFactorsTransport_Data(), Table_Fuel_EFs_Transport[[#Headers],[Transport type]], 0)</f>
        <v>Ethanol</v>
      </c>
      <c r="F14" s="213" cm="1">
        <f t="array" ref="F14">Common_InputFunctions.Utility_DisplayArrayInTable(Fuel_SourceData.Fuel_Scope1Scope3EmissionFactorsTransport_Data(), Table_Fuel_EFs_Transport[[#Headers],[Transport type]], 0)</f>
        <v>23.4</v>
      </c>
      <c r="G14" s="213" t="str" cm="1">
        <f t="array" ref="G14">Common_InputFunctions.Utility_DisplayArrayInTable(Fuel_SourceData.Fuel_Scope1Scope3EmissionFactorsTransport_Data(), Table_Fuel_EFs_Transport[[#Headers],[Transport type]], 0)</f>
        <v>kl</v>
      </c>
      <c r="H14" s="213" cm="1">
        <f t="array" ref="H14">Common_InputFunctions.Utility_DisplayArrayInTable(Fuel_SourceData.Fuel_Scope1Scope3EmissionFactorsTransport_Data(), Table_Fuel_EFs_Transport[[#Headers],[Transport type]], 0)</f>
        <v>0</v>
      </c>
      <c r="I14" s="213" cm="1">
        <f t="array" ref="I14">Common_InputFunctions.Utility_DisplayArrayInTable(Fuel_SourceData.Fuel_Scope1Scope3EmissionFactorsTransport_Data(), Table_Fuel_EFs_Transport[[#Headers],[Transport type]], 0)</f>
        <v>0.2</v>
      </c>
      <c r="J14" s="213" cm="1">
        <f t="array" ref="J14">Common_InputFunctions.Utility_DisplayArrayInTable(Fuel_SourceData.Fuel_Scope1Scope3EmissionFactorsTransport_Data(), Table_Fuel_EFs_Transport[[#Headers],[Transport type]], 0)</f>
        <v>0.2</v>
      </c>
      <c r="K14" s="213" cm="1">
        <f t="array" ref="K14">Common_InputFunctions.Utility_DisplayArrayInTable(Fuel_SourceData.Fuel_Scope1Scope3EmissionFactorsTransport_Data(), Table_Fuel_EFs_Transport[[#Headers],[Transport type]], 0)</f>
        <v>0.4</v>
      </c>
      <c r="L14" s="213"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3" t="str" cm="1">
        <f t="array" ref="D15">Common_InputFunctions.Utility_DisplayArrayInTable(Fuel_SourceData.Fuel_Scope1Scope3EmissionFactorsTransport_Data(), Table_Fuel_EFs_Transport[[#Headers],[Transport type]], 0)</f>
        <v>Cars and light commercial vehicles</v>
      </c>
      <c r="E15" s="213" t="str" cm="1">
        <f t="array" ref="E15">Common_InputFunctions.Utility_DisplayArrayInTable(Fuel_SourceData.Fuel_Scope1Scope3EmissionFactorsTransport_Data(), Table_Fuel_EFs_Transport[[#Headers],[Transport type]], 0)</f>
        <v>Biodiesel</v>
      </c>
      <c r="F15" s="213" cm="1">
        <f t="array" ref="F15">Common_InputFunctions.Utility_DisplayArrayInTable(Fuel_SourceData.Fuel_Scope1Scope3EmissionFactorsTransport_Data(), Table_Fuel_EFs_Transport[[#Headers],[Transport type]], 0)</f>
        <v>34.6</v>
      </c>
      <c r="G15" s="213" t="str" cm="1">
        <f t="array" ref="G15">Common_InputFunctions.Utility_DisplayArrayInTable(Fuel_SourceData.Fuel_Scope1Scope3EmissionFactorsTransport_Data(), Table_Fuel_EFs_Transport[[#Headers],[Transport type]], 0)</f>
        <v>kl</v>
      </c>
      <c r="H15" s="213" cm="1">
        <f t="array" ref="H15">Common_InputFunctions.Utility_DisplayArrayInTable(Fuel_SourceData.Fuel_Scope1Scope3EmissionFactorsTransport_Data(), Table_Fuel_EFs_Transport[[#Headers],[Transport type]], 0)</f>
        <v>0</v>
      </c>
      <c r="I15" s="213" cm="1">
        <f t="array" ref="I15">Common_InputFunctions.Utility_DisplayArrayInTable(Fuel_SourceData.Fuel_Scope1Scope3EmissionFactorsTransport_Data(), Table_Fuel_EFs_Transport[[#Headers],[Transport type]], 0)</f>
        <v>0.8</v>
      </c>
      <c r="J15" s="213" cm="1">
        <f t="array" ref="J15">Common_InputFunctions.Utility_DisplayArrayInTable(Fuel_SourceData.Fuel_Scope1Scope3EmissionFactorsTransport_Data(), Table_Fuel_EFs_Transport[[#Headers],[Transport type]], 0)</f>
        <v>1.7</v>
      </c>
      <c r="K15" s="213" cm="1">
        <f t="array" ref="K15">Common_InputFunctions.Utility_DisplayArrayInTable(Fuel_SourceData.Fuel_Scope1Scope3EmissionFactorsTransport_Data(), Table_Fuel_EFs_Transport[[#Headers],[Transport type]], 0)</f>
        <v>2.5</v>
      </c>
      <c r="L15" s="213"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Farm Inputs'!A1", "Farm Inputs")</f>
        <v>Farm Inputs</v>
      </c>
      <c r="D16" s="213" t="str" cm="1">
        <f t="array" ref="D16">Common_InputFunctions.Utility_DisplayArrayInTable(Fuel_SourceData.Fuel_Scope1Scope3EmissionFactorsTransport_Data(), Table_Fuel_EFs_Transport[[#Headers],[Transport type]], 0)</f>
        <v>Cars and light commercial vehicles</v>
      </c>
      <c r="E16" s="213" t="str" cm="1">
        <f t="array" ref="E16">Common_InputFunctions.Utility_DisplayArrayInTable(Fuel_SourceData.Fuel_Scope1Scope3EmissionFactorsTransport_Data(), Table_Fuel_EFs_Transport[[#Headers],[Transport type]], 0)</f>
        <v>Renewable diesel</v>
      </c>
      <c r="F16" s="213" cm="1">
        <f t="array" ref="F16">Common_InputFunctions.Utility_DisplayArrayInTable(Fuel_SourceData.Fuel_Scope1Scope3EmissionFactorsTransport_Data(), Table_Fuel_EFs_Transport[[#Headers],[Transport type]], 0)</f>
        <v>38.6</v>
      </c>
      <c r="G16" s="213" t="str" cm="1">
        <f t="array" ref="G16">Common_InputFunctions.Utility_DisplayArrayInTable(Fuel_SourceData.Fuel_Scope1Scope3EmissionFactorsTransport_Data(), Table_Fuel_EFs_Transport[[#Headers],[Transport type]], 0)</f>
        <v>kl</v>
      </c>
      <c r="H16" s="213" cm="1">
        <f t="array" ref="H16">Common_InputFunctions.Utility_DisplayArrayInTable(Fuel_SourceData.Fuel_Scope1Scope3EmissionFactorsTransport_Data(), Table_Fuel_EFs_Transport[[#Headers],[Transport type]], 0)</f>
        <v>0</v>
      </c>
      <c r="I16" s="213" cm="1">
        <f t="array" ref="I16">Common_InputFunctions.Utility_DisplayArrayInTable(Fuel_SourceData.Fuel_Scope1Scope3EmissionFactorsTransport_Data(), Table_Fuel_EFs_Transport[[#Headers],[Transport type]], 0)</f>
        <v>0.01</v>
      </c>
      <c r="J16" s="213" cm="1">
        <f t="array" ref="J16">Common_InputFunctions.Utility_DisplayArrayInTable(Fuel_SourceData.Fuel_Scope1Scope3EmissionFactorsTransport_Data(), Table_Fuel_EFs_Transport[[#Headers],[Transport type]], 0)</f>
        <v>0.5</v>
      </c>
      <c r="K16" s="213" cm="1">
        <f t="array" ref="K16">Common_InputFunctions.Utility_DisplayArrayInTable(Fuel_SourceData.Fuel_Scope1Scope3EmissionFactorsTransport_Data(), Table_Fuel_EFs_Transport[[#Headers],[Transport type]], 0)</f>
        <v>0.51</v>
      </c>
      <c r="L16" s="213"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Freight'!A1", "Freight")</f>
        <v>Freight</v>
      </c>
      <c r="D17" s="213" t="str" cm="1">
        <f t="array" ref="D17">Common_InputFunctions.Utility_DisplayArrayInTable(Fuel_SourceData.Fuel_Scope1Scope3EmissionFactorsTransport_Data(), Table_Fuel_EFs_Transport[[#Headers],[Transport type]], 0)</f>
        <v>Cars and light commercial vehicles</v>
      </c>
      <c r="E17" s="213" t="str" cm="1">
        <f t="array" ref="E17">Common_InputFunctions.Utility_DisplayArrayInTable(Fuel_SourceData.Fuel_Scope1Scope3EmissionFactorsTransport_Data(), Table_Fuel_EFs_Transport[[#Headers],[Transport type]], 0)</f>
        <v>Other biofuels</v>
      </c>
      <c r="F17" s="213" cm="1">
        <f t="array" ref="F17">Common_InputFunctions.Utility_DisplayArrayInTable(Fuel_SourceData.Fuel_Scope1Scope3EmissionFactorsTransport_Data(), Table_Fuel_EFs_Transport[[#Headers],[Transport type]], 0)</f>
        <v>23.4</v>
      </c>
      <c r="G17" s="213" t="str" cm="1">
        <f t="array" ref="G17">Common_InputFunctions.Utility_DisplayArrayInTable(Fuel_SourceData.Fuel_Scope1Scope3EmissionFactorsTransport_Data(), Table_Fuel_EFs_Transport[[#Headers],[Transport type]], 0)</f>
        <v>kl</v>
      </c>
      <c r="H17" s="213" cm="1">
        <f t="array" ref="H17">Common_InputFunctions.Utility_DisplayArrayInTable(Fuel_SourceData.Fuel_Scope1Scope3EmissionFactorsTransport_Data(), Table_Fuel_EFs_Transport[[#Headers],[Transport type]], 0)</f>
        <v>0</v>
      </c>
      <c r="I17" s="213" cm="1">
        <f t="array" ref="I17">Common_InputFunctions.Utility_DisplayArrayInTable(Fuel_SourceData.Fuel_Scope1Scope3EmissionFactorsTransport_Data(), Table_Fuel_EFs_Transport[[#Headers],[Transport type]], 0)</f>
        <v>0.8</v>
      </c>
      <c r="J17" s="213" cm="1">
        <f t="array" ref="J17">Common_InputFunctions.Utility_DisplayArrayInTable(Fuel_SourceData.Fuel_Scope1Scope3EmissionFactorsTransport_Data(), Table_Fuel_EFs_Transport[[#Headers],[Transport type]], 0)</f>
        <v>1.7</v>
      </c>
      <c r="K17" s="213" cm="1">
        <f t="array" ref="K17">Common_InputFunctions.Utility_DisplayArrayInTable(Fuel_SourceData.Fuel_Scope1Scope3EmissionFactorsTransport_Data(), Table_Fuel_EFs_Transport[[#Headers],[Transport type]], 0)</f>
        <v>2.5</v>
      </c>
      <c r="L17" s="213"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Manure sent off-site'!A1", "Manure sent off-site")</f>
        <v>Manure sent off-site</v>
      </c>
      <c r="D18" s="213" t="str" cm="1">
        <f t="array" ref="D18">Common_InputFunctions.Utility_DisplayArrayInTable(Fuel_SourceData.Fuel_Scope1Scope3EmissionFactorsTransport_Data(), Table_Fuel_EFs_Transport[[#Headers],[Transport type]], 0)</f>
        <v>Light duty vehicles</v>
      </c>
      <c r="E18" s="213" t="str" cm="1">
        <f t="array" ref="E18">Common_InputFunctions.Utility_DisplayArrayInTable(Fuel_SourceData.Fuel_Scope1Scope3EmissionFactorsTransport_Data(), Table_Fuel_EFs_Transport[[#Headers],[Transport type]], 0)</f>
        <v>Compressed natural gas</v>
      </c>
      <c r="F18" s="213" cm="1">
        <f t="array" ref="F18">Common_InputFunctions.Utility_DisplayArrayInTable(Fuel_SourceData.Fuel_Scope1Scope3EmissionFactorsTransport_Data(), Table_Fuel_EFs_Transport[[#Headers],[Transport type]], 0)</f>
        <v>3.9300000000000002E-2</v>
      </c>
      <c r="G18" s="213" t="str" cm="1">
        <f t="array" ref="G18">Common_InputFunctions.Utility_DisplayArrayInTable(Fuel_SourceData.Fuel_Scope1Scope3EmissionFactorsTransport_Data(), Table_Fuel_EFs_Transport[[#Headers],[Transport type]], 0)</f>
        <v>m3</v>
      </c>
      <c r="H18" s="213" cm="1">
        <f t="array" ref="H18">Common_InputFunctions.Utility_DisplayArrayInTable(Fuel_SourceData.Fuel_Scope1Scope3EmissionFactorsTransport_Data(), Table_Fuel_EFs_Transport[[#Headers],[Transport type]], 0)</f>
        <v>51.4</v>
      </c>
      <c r="I18" s="213" cm="1">
        <f t="array" ref="I18">Common_InputFunctions.Utility_DisplayArrayInTable(Fuel_SourceData.Fuel_Scope1Scope3EmissionFactorsTransport_Data(), Table_Fuel_EFs_Transport[[#Headers],[Transport type]], 0)</f>
        <v>7.3</v>
      </c>
      <c r="J18" s="213" cm="1">
        <f t="array" ref="J18">Common_InputFunctions.Utility_DisplayArrayInTable(Fuel_SourceData.Fuel_Scope1Scope3EmissionFactorsTransport_Data(), Table_Fuel_EFs_Transport[[#Headers],[Transport type]], 0)</f>
        <v>0.3</v>
      </c>
      <c r="K18" s="213" cm="1">
        <f t="array" ref="K18">Common_InputFunctions.Utility_DisplayArrayInTable(Fuel_SourceData.Fuel_Scope1Scope3EmissionFactorsTransport_Data(), Table_Fuel_EFs_Transport[[#Headers],[Transport type]], 0)</f>
        <v>59</v>
      </c>
      <c r="L18" s="213"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213" t="str" cm="1">
        <f t="array" ref="D19">Common_InputFunctions.Utility_DisplayArrayInTable(Fuel_SourceData.Fuel_Scope1Scope3EmissionFactorsTransport_Data(), Table_Fuel_EFs_Transport[[#Headers],[Transport type]], 0)</f>
        <v>Light duty vehicles</v>
      </c>
      <c r="E19" s="213" t="str" cm="1">
        <f t="array" ref="E19">Common_InputFunctions.Utility_DisplayArrayInTable(Fuel_SourceData.Fuel_Scope1Scope3EmissionFactorsTransport_Data(), Table_Fuel_EFs_Transport[[#Headers],[Transport type]], 0)</f>
        <v>Liquefied natural gas</v>
      </c>
      <c r="F19" s="213" cm="1">
        <f t="array" ref="F19">Common_InputFunctions.Utility_DisplayArrayInTable(Fuel_SourceData.Fuel_Scope1Scope3EmissionFactorsTransport_Data(), Table_Fuel_EFs_Transport[[#Headers],[Transport type]], 0)</f>
        <v>25.3</v>
      </c>
      <c r="G19" s="213" t="str" cm="1">
        <f t="array" ref="G19">Common_InputFunctions.Utility_DisplayArrayInTable(Fuel_SourceData.Fuel_Scope1Scope3EmissionFactorsTransport_Data(), Table_Fuel_EFs_Transport[[#Headers],[Transport type]], 0)</f>
        <v>kl</v>
      </c>
      <c r="H19" s="213" cm="1">
        <f t="array" ref="H19">Common_InputFunctions.Utility_DisplayArrayInTable(Fuel_SourceData.Fuel_Scope1Scope3EmissionFactorsTransport_Data(), Table_Fuel_EFs_Transport[[#Headers],[Transport type]], 0)</f>
        <v>51.4</v>
      </c>
      <c r="I19" s="213" cm="1">
        <f t="array" ref="I19">Common_InputFunctions.Utility_DisplayArrayInTable(Fuel_SourceData.Fuel_Scope1Scope3EmissionFactorsTransport_Data(), Table_Fuel_EFs_Transport[[#Headers],[Transport type]], 0)</f>
        <v>7.3</v>
      </c>
      <c r="J19" s="213" cm="1">
        <f t="array" ref="J19">Common_InputFunctions.Utility_DisplayArrayInTable(Fuel_SourceData.Fuel_Scope1Scope3EmissionFactorsTransport_Data(), Table_Fuel_EFs_Transport[[#Headers],[Transport type]], 0)</f>
        <v>0.3</v>
      </c>
      <c r="K19" s="213" cm="1">
        <f t="array" ref="K19">Common_InputFunctions.Utility_DisplayArrayInTable(Fuel_SourceData.Fuel_Scope1Scope3EmissionFactorsTransport_Data(), Table_Fuel_EFs_Transport[[#Headers],[Transport type]], 0)</f>
        <v>59</v>
      </c>
      <c r="L19" s="213" cm="1">
        <f t="array" ref="L19">Common_InputFunctions.Utility_DisplayArrayInTable(Fuel_SourceData.Fuel_Scope1Scope3EmissionFactorsTransport_Data(), Table_Fuel_EFs_Transport[[#Headers],[Transport type]], 0)</f>
        <v>18</v>
      </c>
    </row>
    <row r="20" spans="1:12" ht="20.100000000000001" customHeight="1" x14ac:dyDescent="0.25">
      <c r="D20" s="213" t="str" cm="1">
        <f t="array" ref="D20">Common_InputFunctions.Utility_DisplayArrayInTable(Fuel_SourceData.Fuel_Scope1Scope3EmissionFactorsTransport_Data(), Table_Fuel_EFs_Transport[[#Headers],[Transport type]], 0)</f>
        <v>Heavy duty vehicles</v>
      </c>
      <c r="E20" s="213" t="str" cm="1">
        <f t="array" ref="E20">Common_InputFunctions.Utility_DisplayArrayInTable(Fuel_SourceData.Fuel_Scope1Scope3EmissionFactorsTransport_Data(), Table_Fuel_EFs_Transport[[#Headers],[Transport type]], 0)</f>
        <v>Compressed natural gas</v>
      </c>
      <c r="F20" s="213" cm="1">
        <f t="array" ref="F20">Common_InputFunctions.Utility_DisplayArrayInTable(Fuel_SourceData.Fuel_Scope1Scope3EmissionFactorsTransport_Data(), Table_Fuel_EFs_Transport[[#Headers],[Transport type]], 0)</f>
        <v>3.9300000000000002E-2</v>
      </c>
      <c r="G20" s="213" t="str" cm="1">
        <f t="array" ref="G20">Common_InputFunctions.Utility_DisplayArrayInTable(Fuel_SourceData.Fuel_Scope1Scope3EmissionFactorsTransport_Data(), Table_Fuel_EFs_Transport[[#Headers],[Transport type]], 0)</f>
        <v>m3</v>
      </c>
      <c r="H20" s="213" cm="1">
        <f t="array" ref="H20">Common_InputFunctions.Utility_DisplayArrayInTable(Fuel_SourceData.Fuel_Scope1Scope3EmissionFactorsTransport_Data(), Table_Fuel_EFs_Transport[[#Headers],[Transport type]], 0)</f>
        <v>51.4</v>
      </c>
      <c r="I20" s="213" cm="1">
        <f t="array" ref="I20">Common_InputFunctions.Utility_DisplayArrayInTable(Fuel_SourceData.Fuel_Scope1Scope3EmissionFactorsTransport_Data(), Table_Fuel_EFs_Transport[[#Headers],[Transport type]], 0)</f>
        <v>2.8</v>
      </c>
      <c r="J20" s="213" cm="1">
        <f t="array" ref="J20">Common_InputFunctions.Utility_DisplayArrayInTable(Fuel_SourceData.Fuel_Scope1Scope3EmissionFactorsTransport_Data(), Table_Fuel_EFs_Transport[[#Headers],[Transport type]], 0)</f>
        <v>0.3</v>
      </c>
      <c r="K20" s="213" cm="1">
        <f t="array" ref="K20">Common_InputFunctions.Utility_DisplayArrayInTable(Fuel_SourceData.Fuel_Scope1Scope3EmissionFactorsTransport_Data(), Table_Fuel_EFs_Transport[[#Headers],[Transport type]], 0)</f>
        <v>54.5</v>
      </c>
      <c r="L20" s="213" cm="1">
        <f t="array" ref="L20">Common_InputFunctions.Utility_DisplayArrayInTable(Fuel_SourceData.Fuel_Scope1Scope3EmissionFactorsTransport_Data(), Table_Fuel_EFs_Transport[[#Headers],[Transport type]], 0)</f>
        <v>18</v>
      </c>
    </row>
    <row r="21" spans="1:12" ht="20.100000000000001" customHeight="1" x14ac:dyDescent="0.25">
      <c r="D21" s="213" t="str" cm="1">
        <f t="array" ref="D21">Common_InputFunctions.Utility_DisplayArrayInTable(Fuel_SourceData.Fuel_Scope1Scope3EmissionFactorsTransport_Data(), Table_Fuel_EFs_Transport[[#Headers],[Transport type]], 0)</f>
        <v>Heavy duty vehicles</v>
      </c>
      <c r="E21" s="213" t="str" cm="1">
        <f t="array" ref="E21">Common_InputFunctions.Utility_DisplayArrayInTable(Fuel_SourceData.Fuel_Scope1Scope3EmissionFactorsTransport_Data(), Table_Fuel_EFs_Transport[[#Headers],[Transport type]], 0)</f>
        <v>Liquefied natural gas</v>
      </c>
      <c r="F21" s="213" cm="1">
        <f t="array" ref="F21">Common_InputFunctions.Utility_DisplayArrayInTable(Fuel_SourceData.Fuel_Scope1Scope3EmissionFactorsTransport_Data(), Table_Fuel_EFs_Transport[[#Headers],[Transport type]], 0)</f>
        <v>25.3</v>
      </c>
      <c r="G21" s="213" t="str" cm="1">
        <f t="array" ref="G21">Common_InputFunctions.Utility_DisplayArrayInTable(Fuel_SourceData.Fuel_Scope1Scope3EmissionFactorsTransport_Data(), Table_Fuel_EFs_Transport[[#Headers],[Transport type]], 0)</f>
        <v>kl</v>
      </c>
      <c r="H21" s="213" cm="1">
        <f t="array" ref="H21">Common_InputFunctions.Utility_DisplayArrayInTable(Fuel_SourceData.Fuel_Scope1Scope3EmissionFactorsTransport_Data(), Table_Fuel_EFs_Transport[[#Headers],[Transport type]], 0)</f>
        <v>51.4</v>
      </c>
      <c r="I21" s="213" cm="1">
        <f t="array" ref="I21">Common_InputFunctions.Utility_DisplayArrayInTable(Fuel_SourceData.Fuel_Scope1Scope3EmissionFactorsTransport_Data(), Table_Fuel_EFs_Transport[[#Headers],[Transport type]], 0)</f>
        <v>2.8</v>
      </c>
      <c r="J21" s="213" cm="1">
        <f t="array" ref="J21">Common_InputFunctions.Utility_DisplayArrayInTable(Fuel_SourceData.Fuel_Scope1Scope3EmissionFactorsTransport_Data(), Table_Fuel_EFs_Transport[[#Headers],[Transport type]], 0)</f>
        <v>0.3</v>
      </c>
      <c r="K21" s="213" cm="1">
        <f t="array" ref="K21">Common_InputFunctions.Utility_DisplayArrayInTable(Fuel_SourceData.Fuel_Scope1Scope3EmissionFactorsTransport_Data(), Table_Fuel_EFs_Transport[[#Headers],[Transport type]], 0)</f>
        <v>54.5</v>
      </c>
      <c r="L21" s="213" cm="1">
        <f t="array" ref="L21">Common_InputFunctions.Utility_DisplayArrayInTable(Fuel_SourceData.Fuel_Scope1Scope3EmissionFactorsTransport_Data(), Table_Fuel_EFs_Transport[[#Headers],[Transport type]], 0)</f>
        <v>18</v>
      </c>
    </row>
    <row r="22" spans="1:12" ht="20.100000000000001" customHeight="1" x14ac:dyDescent="0.25">
      <c r="A22" s="6" t="s">
        <v>2</v>
      </c>
      <c r="D22" s="213" t="str" cm="1">
        <f t="array" ref="D22">Common_InputFunctions.Utility_DisplayArrayInTable(Fuel_SourceData.Fuel_Scope1Scope3EmissionFactorsTransport_Data(), Table_Fuel_EFs_Transport[[#Headers],[Transport type]], 0)</f>
        <v>Heavy duty vehicles</v>
      </c>
      <c r="E22" s="213" t="str" cm="1">
        <f t="array" ref="E22">Common_InputFunctions.Utility_DisplayArrayInTable(Fuel_SourceData.Fuel_Scope1Scope3EmissionFactorsTransport_Data(), Table_Fuel_EFs_Transport[[#Headers],[Transport type]], 0)</f>
        <v>Diesel oil - Euro iv or higher</v>
      </c>
      <c r="F22" s="213" cm="1">
        <f t="array" ref="F22">Common_InputFunctions.Utility_DisplayArrayInTable(Fuel_SourceData.Fuel_Scope1Scope3EmissionFactorsTransport_Data(), Table_Fuel_EFs_Transport[[#Headers],[Transport type]], 0)</f>
        <v>38.6</v>
      </c>
      <c r="G22" s="213" t="str" cm="1">
        <f t="array" ref="G22">Common_InputFunctions.Utility_DisplayArrayInTable(Fuel_SourceData.Fuel_Scope1Scope3EmissionFactorsTransport_Data(), Table_Fuel_EFs_Transport[[#Headers],[Transport type]], 0)</f>
        <v>kl</v>
      </c>
      <c r="H22" s="213" cm="1">
        <f t="array" ref="H22">Common_InputFunctions.Utility_DisplayArrayInTable(Fuel_SourceData.Fuel_Scope1Scope3EmissionFactorsTransport_Data(), Table_Fuel_EFs_Transport[[#Headers],[Transport type]], 0)</f>
        <v>69.900000000000006</v>
      </c>
      <c r="I22" s="213" cm="1">
        <f t="array" ref="I22">Common_InputFunctions.Utility_DisplayArrayInTable(Fuel_SourceData.Fuel_Scope1Scope3EmissionFactorsTransport_Data(), Table_Fuel_EFs_Transport[[#Headers],[Transport type]], 0)</f>
        <v>7.0000000000000007E-2</v>
      </c>
      <c r="J22" s="213" cm="1">
        <f t="array" ref="J22">Common_InputFunctions.Utility_DisplayArrayInTable(Fuel_SourceData.Fuel_Scope1Scope3EmissionFactorsTransport_Data(), Table_Fuel_EFs_Transport[[#Headers],[Transport type]], 0)</f>
        <v>0.4</v>
      </c>
      <c r="K22" s="213" cm="1">
        <f t="array" ref="K22">Common_InputFunctions.Utility_DisplayArrayInTable(Fuel_SourceData.Fuel_Scope1Scope3EmissionFactorsTransport_Data(), Table_Fuel_EFs_Transport[[#Headers],[Transport type]], 0)</f>
        <v>70.37</v>
      </c>
      <c r="L22" s="213"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HYPERLINK("#'5.1.1.1-2 Inorganic fert N2O'!A1", "5.1.1.1-2 Inorganic fert N2O")</f>
        <v>5.1.1.1-2 Inorganic fert N2O</v>
      </c>
      <c r="D23" s="213" t="str" cm="1">
        <f t="array" ref="D23">Common_InputFunctions.Utility_DisplayArrayInTable(Fuel_SourceData.Fuel_Scope1Scope3EmissionFactorsTransport_Data(), Table_Fuel_EFs_Transport[[#Headers],[Transport type]], 0)</f>
        <v>Heavy duty vehicles</v>
      </c>
      <c r="E23" s="213" t="str" cm="1">
        <f t="array" ref="E23">Common_InputFunctions.Utility_DisplayArrayInTable(Fuel_SourceData.Fuel_Scope1Scope3EmissionFactorsTransport_Data(), Table_Fuel_EFs_Transport[[#Headers],[Transport type]], 0)</f>
        <v>Diesel oil - Euro iii</v>
      </c>
      <c r="F23" s="213" cm="1">
        <f t="array" ref="F23">Common_InputFunctions.Utility_DisplayArrayInTable(Fuel_SourceData.Fuel_Scope1Scope3EmissionFactorsTransport_Data(), Table_Fuel_EFs_Transport[[#Headers],[Transport type]], 0)</f>
        <v>38.6</v>
      </c>
      <c r="G23" s="213" t="str" cm="1">
        <f t="array" ref="G23">Common_InputFunctions.Utility_DisplayArrayInTable(Fuel_SourceData.Fuel_Scope1Scope3EmissionFactorsTransport_Data(), Table_Fuel_EFs_Transport[[#Headers],[Transport type]], 0)</f>
        <v>kl</v>
      </c>
      <c r="H23" s="213" cm="1">
        <f t="array" ref="H23">Common_InputFunctions.Utility_DisplayArrayInTable(Fuel_SourceData.Fuel_Scope1Scope3EmissionFactorsTransport_Data(), Table_Fuel_EFs_Transport[[#Headers],[Transport type]], 0)</f>
        <v>69.900000000000006</v>
      </c>
      <c r="I23" s="213" cm="1">
        <f t="array" ref="I23">Common_InputFunctions.Utility_DisplayArrayInTable(Fuel_SourceData.Fuel_Scope1Scope3EmissionFactorsTransport_Data(), Table_Fuel_EFs_Transport[[#Headers],[Transport type]], 0)</f>
        <v>0.1</v>
      </c>
      <c r="J23" s="213" cm="1">
        <f t="array" ref="J23">Common_InputFunctions.Utility_DisplayArrayInTable(Fuel_SourceData.Fuel_Scope1Scope3EmissionFactorsTransport_Data(), Table_Fuel_EFs_Transport[[#Headers],[Transport type]], 0)</f>
        <v>0.4</v>
      </c>
      <c r="K23" s="213" cm="1">
        <f t="array" ref="K23">Common_InputFunctions.Utility_DisplayArrayInTable(Fuel_SourceData.Fuel_Scope1Scope3EmissionFactorsTransport_Data(), Table_Fuel_EFs_Transport[[#Headers],[Transport type]], 0)</f>
        <v>70.400000000000006</v>
      </c>
      <c r="L23" s="213"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HYPERLINK("#'5.1.1.3-4 Inorganic fert CO2'!A1", "5.1.1.3-4 Inorganic fert CO2")</f>
        <v>5.1.1.3-4 Inorganic fert CO2</v>
      </c>
      <c r="D24" s="213" t="str" cm="1">
        <f t="array" ref="D24">Common_InputFunctions.Utility_DisplayArrayInTable(Fuel_SourceData.Fuel_Scope1Scope3EmissionFactorsTransport_Data(), Table_Fuel_EFs_Transport[[#Headers],[Transport type]], 0)</f>
        <v>Heavy duty vehicles</v>
      </c>
      <c r="E24" s="213" t="str" cm="1">
        <f t="array" ref="E24">Common_InputFunctions.Utility_DisplayArrayInTable(Fuel_SourceData.Fuel_Scope1Scope3EmissionFactorsTransport_Data(), Table_Fuel_EFs_Transport[[#Headers],[Transport type]], 0)</f>
        <v>Diesel oil - Euro i</v>
      </c>
      <c r="F24" s="213" cm="1">
        <f t="array" ref="F24">Common_InputFunctions.Utility_DisplayArrayInTable(Fuel_SourceData.Fuel_Scope1Scope3EmissionFactorsTransport_Data(), Table_Fuel_EFs_Transport[[#Headers],[Transport type]], 0)</f>
        <v>38.6</v>
      </c>
      <c r="G24" s="213" t="str" cm="1">
        <f t="array" ref="G24">Common_InputFunctions.Utility_DisplayArrayInTable(Fuel_SourceData.Fuel_Scope1Scope3EmissionFactorsTransport_Data(), Table_Fuel_EFs_Transport[[#Headers],[Transport type]], 0)</f>
        <v>kl</v>
      </c>
      <c r="H24" s="213" cm="1">
        <f t="array" ref="H24">Common_InputFunctions.Utility_DisplayArrayInTable(Fuel_SourceData.Fuel_Scope1Scope3EmissionFactorsTransport_Data(), Table_Fuel_EFs_Transport[[#Headers],[Transport type]], 0)</f>
        <v>69.900000000000006</v>
      </c>
      <c r="I24" s="213" cm="1">
        <f t="array" ref="I24">Common_InputFunctions.Utility_DisplayArrayInTable(Fuel_SourceData.Fuel_Scope1Scope3EmissionFactorsTransport_Data(), Table_Fuel_EFs_Transport[[#Headers],[Transport type]], 0)</f>
        <v>0.2</v>
      </c>
      <c r="J24" s="213" cm="1">
        <f t="array" ref="J24">Common_InputFunctions.Utility_DisplayArrayInTable(Fuel_SourceData.Fuel_Scope1Scope3EmissionFactorsTransport_Data(), Table_Fuel_EFs_Transport[[#Headers],[Transport type]], 0)</f>
        <v>0.4</v>
      </c>
      <c r="K24" s="213" cm="1">
        <f t="array" ref="K24">Common_InputFunctions.Utility_DisplayArrayInTable(Fuel_SourceData.Fuel_Scope1Scope3EmissionFactorsTransport_Data(), Table_Fuel_EFs_Transport[[#Headers],[Transport type]], 0)</f>
        <v>70.5</v>
      </c>
      <c r="L24" s="213"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HYPERLINK("#'5.2.1.1-2 Organic Fert N2O'!A1", "5.2.1.1-2 Organic fert N2O")</f>
        <v>5.2.1.1-2 Organic fert N2O</v>
      </c>
      <c r="D25" s="213" t="str" cm="1">
        <f t="array" ref="D25">Common_InputFunctions.Utility_DisplayArrayInTable(Fuel_SourceData.Fuel_Scope1Scope3EmissionFactorsTransport_Data(), Table_Fuel_EFs_Transport[[#Headers],[Transport type]], 0)</f>
        <v>Heavy duty vehicles</v>
      </c>
      <c r="E25" s="213" t="str" cm="1">
        <f t="array" ref="E25">Common_InputFunctions.Utility_DisplayArrayInTable(Fuel_SourceData.Fuel_Scope1Scope3EmissionFactorsTransport_Data(), Table_Fuel_EFs_Transport[[#Headers],[Transport type]], 0)</f>
        <v>Renewable diesel – Euro iv or higher</v>
      </c>
      <c r="F25" s="213" cm="1">
        <f t="array" ref="F25">Common_InputFunctions.Utility_DisplayArrayInTable(Fuel_SourceData.Fuel_Scope1Scope3EmissionFactorsTransport_Data(), Table_Fuel_EFs_Transport[[#Headers],[Transport type]], 0)</f>
        <v>38.6</v>
      </c>
      <c r="G25" s="213" t="str" cm="1">
        <f t="array" ref="G25">Common_InputFunctions.Utility_DisplayArrayInTable(Fuel_SourceData.Fuel_Scope1Scope3EmissionFactorsTransport_Data(), Table_Fuel_EFs_Transport[[#Headers],[Transport type]], 0)</f>
        <v>kl</v>
      </c>
      <c r="H25" s="213" cm="1">
        <f t="array" ref="H25">Common_InputFunctions.Utility_DisplayArrayInTable(Fuel_SourceData.Fuel_Scope1Scope3EmissionFactorsTransport_Data(), Table_Fuel_EFs_Transport[[#Headers],[Transport type]], 0)</f>
        <v>0</v>
      </c>
      <c r="I25" s="213" cm="1">
        <f t="array" ref="I25">Common_InputFunctions.Utility_DisplayArrayInTable(Fuel_SourceData.Fuel_Scope1Scope3EmissionFactorsTransport_Data(), Table_Fuel_EFs_Transport[[#Headers],[Transport type]], 0)</f>
        <v>7.0000000000000007E-2</v>
      </c>
      <c r="J25" s="213" cm="1">
        <f t="array" ref="J25">Common_InputFunctions.Utility_DisplayArrayInTable(Fuel_SourceData.Fuel_Scope1Scope3EmissionFactorsTransport_Data(), Table_Fuel_EFs_Transport[[#Headers],[Transport type]], 0)</f>
        <v>0.4</v>
      </c>
      <c r="K25" s="213" cm="1">
        <f t="array" ref="K25">Common_InputFunctions.Utility_DisplayArrayInTable(Fuel_SourceData.Fuel_Scope1Scope3EmissionFactorsTransport_Data(), Table_Fuel_EFs_Transport[[#Headers],[Transport type]], 0)</f>
        <v>0.47</v>
      </c>
      <c r="L25" s="213"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HYPERLINK("#'5.3.1.1-2 Lime CO2'!A1", "5.3.1.1-2 Lime CO2")</f>
        <v>5.3.1.1-2 Lime CO2</v>
      </c>
      <c r="D26" s="213" t="str" cm="1">
        <f t="array" ref="D26">Common_InputFunctions.Utility_DisplayArrayInTable(Fuel_SourceData.Fuel_Scope1Scope3EmissionFactorsTransport_Data(), Table_Fuel_EFs_Transport[[#Headers],[Transport type]], 0)</f>
        <v>Heavy duty vehicles</v>
      </c>
      <c r="E26" s="213" t="str" cm="1">
        <f t="array" ref="E26">Common_InputFunctions.Utility_DisplayArrayInTable(Fuel_SourceData.Fuel_Scope1Scope3EmissionFactorsTransport_Data(), Table_Fuel_EFs_Transport[[#Headers],[Transport type]], 0)</f>
        <v>Renewable diesel – Euro iii</v>
      </c>
      <c r="F26" s="213" cm="1">
        <f t="array" ref="F26">Common_InputFunctions.Utility_DisplayArrayInTable(Fuel_SourceData.Fuel_Scope1Scope3EmissionFactorsTransport_Data(), Table_Fuel_EFs_Transport[[#Headers],[Transport type]], 0)</f>
        <v>38.6</v>
      </c>
      <c r="G26" s="213" t="str" cm="1">
        <f t="array" ref="G26">Common_InputFunctions.Utility_DisplayArrayInTable(Fuel_SourceData.Fuel_Scope1Scope3EmissionFactorsTransport_Data(), Table_Fuel_EFs_Transport[[#Headers],[Transport type]], 0)</f>
        <v>kl</v>
      </c>
      <c r="H26" s="213" cm="1">
        <f t="array" ref="H26">Common_InputFunctions.Utility_DisplayArrayInTable(Fuel_SourceData.Fuel_Scope1Scope3EmissionFactorsTransport_Data(), Table_Fuel_EFs_Transport[[#Headers],[Transport type]], 0)</f>
        <v>0</v>
      </c>
      <c r="I26" s="213" cm="1">
        <f t="array" ref="I26">Common_InputFunctions.Utility_DisplayArrayInTable(Fuel_SourceData.Fuel_Scope1Scope3EmissionFactorsTransport_Data(), Table_Fuel_EFs_Transport[[#Headers],[Transport type]], 0)</f>
        <v>0.1</v>
      </c>
      <c r="J26" s="213" cm="1">
        <f t="array" ref="J26">Common_InputFunctions.Utility_DisplayArrayInTable(Fuel_SourceData.Fuel_Scope1Scope3EmissionFactorsTransport_Data(), Table_Fuel_EFs_Transport[[#Headers],[Transport type]], 0)</f>
        <v>0.4</v>
      </c>
      <c r="K26" s="213" cm="1">
        <f t="array" ref="K26">Common_InputFunctions.Utility_DisplayArrayInTable(Fuel_SourceData.Fuel_Scope1Scope3EmissionFactorsTransport_Data(), Table_Fuel_EFs_Transport[[#Headers],[Transport type]], 0)</f>
        <v>0.5</v>
      </c>
      <c r="L26" s="213"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HYPERLINK("#'5.4.1.1-4 Atmos deposition'!A1", "5.4.1.1-4 Atmos. deposition")</f>
        <v>5.4.1.1-4 Atmos. deposition</v>
      </c>
      <c r="D27" s="213" t="str" cm="1">
        <f t="array" ref="D27">Common_InputFunctions.Utility_DisplayArrayInTable(Fuel_SourceData.Fuel_Scope1Scope3EmissionFactorsTransport_Data(), Table_Fuel_EFs_Transport[[#Headers],[Transport type]], 0)</f>
        <v>Heavy duty vehicles</v>
      </c>
      <c r="E27" s="213" t="str" cm="1">
        <f t="array" ref="E27">Common_InputFunctions.Utility_DisplayArrayInTable(Fuel_SourceData.Fuel_Scope1Scope3EmissionFactorsTransport_Data(), Table_Fuel_EFs_Transport[[#Headers],[Transport type]], 0)</f>
        <v>Renewable diesel – Euro i</v>
      </c>
      <c r="F27" s="213" cm="1">
        <f t="array" ref="F27">Common_InputFunctions.Utility_DisplayArrayInTable(Fuel_SourceData.Fuel_Scope1Scope3EmissionFactorsTransport_Data(), Table_Fuel_EFs_Transport[[#Headers],[Transport type]], 0)</f>
        <v>38.6</v>
      </c>
      <c r="G27" s="213" t="str" cm="1">
        <f t="array" ref="G27">Common_InputFunctions.Utility_DisplayArrayInTable(Fuel_SourceData.Fuel_Scope1Scope3EmissionFactorsTransport_Data(), Table_Fuel_EFs_Transport[[#Headers],[Transport type]], 0)</f>
        <v>kl</v>
      </c>
      <c r="H27" s="213" cm="1">
        <f t="array" ref="H27">Common_InputFunctions.Utility_DisplayArrayInTable(Fuel_SourceData.Fuel_Scope1Scope3EmissionFactorsTransport_Data(), Table_Fuel_EFs_Transport[[#Headers],[Transport type]], 0)</f>
        <v>0</v>
      </c>
      <c r="I27" s="213" cm="1">
        <f t="array" ref="I27">Common_InputFunctions.Utility_DisplayArrayInTable(Fuel_SourceData.Fuel_Scope1Scope3EmissionFactorsTransport_Data(), Table_Fuel_EFs_Transport[[#Headers],[Transport type]], 0)</f>
        <v>0.2</v>
      </c>
      <c r="J27" s="213" cm="1">
        <f t="array" ref="J27">Common_InputFunctions.Utility_DisplayArrayInTable(Fuel_SourceData.Fuel_Scope1Scope3EmissionFactorsTransport_Data(), Table_Fuel_EFs_Transport[[#Headers],[Transport type]], 0)</f>
        <v>0.4</v>
      </c>
      <c r="K27" s="213" cm="1">
        <f t="array" ref="K27">Common_InputFunctions.Utility_DisplayArrayInTable(Fuel_SourceData.Fuel_Scope1Scope3EmissionFactorsTransport_Data(), Table_Fuel_EFs_Transport[[#Headers],[Transport type]], 0)</f>
        <v>0.6</v>
      </c>
      <c r="L27" s="213"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HYPERLINK("#'5.5.1.1-2 Leaching and runoff'!A1", "5.5.1.1-2 Leaching &amp; runoff")</f>
        <v>5.5.1.1-2 Leaching &amp; runoff</v>
      </c>
      <c r="D28" s="213" t="str" cm="1">
        <f t="array" ref="D28">Common_InputFunctions.Utility_DisplayArrayInTable(Fuel_SourceData.Fuel_Scope1Scope3EmissionFactorsTransport_Data(), Table_Fuel_EFs_Transport[[#Headers],[Transport type]], 0)</f>
        <v>Aviation</v>
      </c>
      <c r="E28" s="213" t="str" cm="1">
        <f t="array" ref="E28">Common_InputFunctions.Utility_DisplayArrayInTable(Fuel_SourceData.Fuel_Scope1Scope3EmissionFactorsTransport_Data(), Table_Fuel_EFs_Transport[[#Headers],[Transport type]], 0)</f>
        <v>Gasoline for use as fuel in an aircraft</v>
      </c>
      <c r="F28" s="213" cm="1">
        <f t="array" ref="F28">Common_InputFunctions.Utility_DisplayArrayInTable(Fuel_SourceData.Fuel_Scope1Scope3EmissionFactorsTransport_Data(), Table_Fuel_EFs_Transport[[#Headers],[Transport type]], 0)</f>
        <v>33.1</v>
      </c>
      <c r="G28" s="213" t="str" cm="1">
        <f t="array" ref="G28">Common_InputFunctions.Utility_DisplayArrayInTable(Fuel_SourceData.Fuel_Scope1Scope3EmissionFactorsTransport_Data(), Table_Fuel_EFs_Transport[[#Headers],[Transport type]], 0)</f>
        <v>kl</v>
      </c>
      <c r="H28" s="213" cm="1">
        <f t="array" ref="H28">Common_InputFunctions.Utility_DisplayArrayInTable(Fuel_SourceData.Fuel_Scope1Scope3EmissionFactorsTransport_Data(), Table_Fuel_EFs_Transport[[#Headers],[Transport type]], 0)</f>
        <v>67</v>
      </c>
      <c r="I28" s="213" cm="1">
        <f t="array" ref="I28">Common_InputFunctions.Utility_DisplayArrayInTable(Fuel_SourceData.Fuel_Scope1Scope3EmissionFactorsTransport_Data(), Table_Fuel_EFs_Transport[[#Headers],[Transport type]], 0)</f>
        <v>0.06</v>
      </c>
      <c r="J28" s="213" cm="1">
        <f t="array" ref="J28">Common_InputFunctions.Utility_DisplayArrayInTable(Fuel_SourceData.Fuel_Scope1Scope3EmissionFactorsTransport_Data(), Table_Fuel_EFs_Transport[[#Headers],[Transport type]], 0)</f>
        <v>0.6</v>
      </c>
      <c r="K28" s="213" cm="1">
        <f t="array" ref="K28">Common_InputFunctions.Utility_DisplayArrayInTable(Fuel_SourceData.Fuel_Scope1Scope3EmissionFactorsTransport_Data(), Table_Fuel_EFs_Transport[[#Headers],[Transport type]], 0)</f>
        <v>67.66</v>
      </c>
      <c r="L28" s="213"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HYPERLINK("#'6.1.1.1-2 Crop residue N2O'!A1", "6.1.1.1-2 Crop residue N2O")</f>
        <v>6.1.1.1-2 Crop residue N2O</v>
      </c>
      <c r="D29" s="213" t="str" cm="1">
        <f t="array" ref="D29">Common_InputFunctions.Utility_DisplayArrayInTable(Fuel_SourceData.Fuel_Scope1Scope3EmissionFactorsTransport_Data(), Table_Fuel_EFs_Transport[[#Headers],[Transport type]], 0)</f>
        <v>Aviation</v>
      </c>
      <c r="E29" s="213" t="str" cm="1">
        <f t="array" ref="E29">Common_InputFunctions.Utility_DisplayArrayInTable(Fuel_SourceData.Fuel_Scope1Scope3EmissionFactorsTransport_Data(), Table_Fuel_EFs_Transport[[#Headers],[Transport type]], 0)</f>
        <v>Kerosene for use as fuel in an aircraft</v>
      </c>
      <c r="F29" s="213" cm="1">
        <f t="array" ref="F29">Common_InputFunctions.Utility_DisplayArrayInTable(Fuel_SourceData.Fuel_Scope1Scope3EmissionFactorsTransport_Data(), Table_Fuel_EFs_Transport[[#Headers],[Transport type]], 0)</f>
        <v>36.799999999999997</v>
      </c>
      <c r="G29" s="213" t="str" cm="1">
        <f t="array" ref="G29">Common_InputFunctions.Utility_DisplayArrayInTable(Fuel_SourceData.Fuel_Scope1Scope3EmissionFactorsTransport_Data(), Table_Fuel_EFs_Transport[[#Headers],[Transport type]], 0)</f>
        <v>kl</v>
      </c>
      <c r="H29" s="213" cm="1">
        <f t="array" ref="H29">Common_InputFunctions.Utility_DisplayArrayInTable(Fuel_SourceData.Fuel_Scope1Scope3EmissionFactorsTransport_Data(), Table_Fuel_EFs_Transport[[#Headers],[Transport type]], 0)</f>
        <v>69.599999999999994</v>
      </c>
      <c r="I29" s="213" cm="1">
        <f t="array" ref="I29">Common_InputFunctions.Utility_DisplayArrayInTable(Fuel_SourceData.Fuel_Scope1Scope3EmissionFactorsTransport_Data(), Table_Fuel_EFs_Transport[[#Headers],[Transport type]], 0)</f>
        <v>0.01</v>
      </c>
      <c r="J29" s="213" cm="1">
        <f t="array" ref="J29">Common_InputFunctions.Utility_DisplayArrayInTable(Fuel_SourceData.Fuel_Scope1Scope3EmissionFactorsTransport_Data(), Table_Fuel_EFs_Transport[[#Headers],[Transport type]], 0)</f>
        <v>0.6</v>
      </c>
      <c r="K29" s="213" cm="1">
        <f t="array" ref="K29">Common_InputFunctions.Utility_DisplayArrayInTable(Fuel_SourceData.Fuel_Scope1Scope3EmissionFactorsTransport_Data(), Table_Fuel_EFs_Transport[[#Headers],[Transport type]], 0)</f>
        <v>70.209999999999994</v>
      </c>
      <c r="L29" s="213"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HYPERLINK("#'6.3.1.1-2 Leach runoff crop'!A1", "6.3.1.1-2 Leach &amp; runoff (crop)")</f>
        <v>6.3.1.1-2 Leach &amp; runoff (crop)</v>
      </c>
      <c r="D30" s="213" t="str" cm="1">
        <f t="array" ref="D30">Common_InputFunctions.Utility_DisplayArrayInTable(Fuel_SourceData.Fuel_Scope1Scope3EmissionFactorsTransport_Data(), Table_Fuel_EFs_Transport[[#Headers],[Transport type]], 0)</f>
        <v>Aviation</v>
      </c>
      <c r="E30" s="213" t="str" cm="1">
        <f t="array" ref="E30">Common_InputFunctions.Utility_DisplayArrayInTable(Fuel_SourceData.Fuel_Scope1Scope3EmissionFactorsTransport_Data(), Table_Fuel_EFs_Transport[[#Headers],[Transport type]], 0)</f>
        <v>Renewable aviation kerosene</v>
      </c>
      <c r="F30" s="213" cm="1">
        <f t="array" ref="F30">Common_InputFunctions.Utility_DisplayArrayInTable(Fuel_SourceData.Fuel_Scope1Scope3EmissionFactorsTransport_Data(), Table_Fuel_EFs_Transport[[#Headers],[Transport type]], 0)</f>
        <v>36.799999999999997</v>
      </c>
      <c r="G30" s="213" t="str" cm="1">
        <f t="array" ref="G30">Common_InputFunctions.Utility_DisplayArrayInTable(Fuel_SourceData.Fuel_Scope1Scope3EmissionFactorsTransport_Data(), Table_Fuel_EFs_Transport[[#Headers],[Transport type]], 0)</f>
        <v>kl</v>
      </c>
      <c r="H30" s="213" cm="1">
        <f t="array" ref="H30">Common_InputFunctions.Utility_DisplayArrayInTable(Fuel_SourceData.Fuel_Scope1Scope3EmissionFactorsTransport_Data(), Table_Fuel_EFs_Transport[[#Headers],[Transport type]], 0)</f>
        <v>0</v>
      </c>
      <c r="I30" s="213" cm="1">
        <f t="array" ref="I30">Common_InputFunctions.Utility_DisplayArrayInTable(Fuel_SourceData.Fuel_Scope1Scope3EmissionFactorsTransport_Data(), Table_Fuel_EFs_Transport[[#Headers],[Transport type]], 0)</f>
        <v>0.01</v>
      </c>
      <c r="J30" s="213" cm="1">
        <f t="array" ref="J30">Common_InputFunctions.Utility_DisplayArrayInTable(Fuel_SourceData.Fuel_Scope1Scope3EmissionFactorsTransport_Data(), Table_Fuel_EFs_Transport[[#Headers],[Transport type]], 0)</f>
        <v>0.6</v>
      </c>
      <c r="K30" s="213" cm="1">
        <f t="array" ref="K30">Common_InputFunctions.Utility_DisplayArrayInTable(Fuel_SourceData.Fuel_Scope1Scope3EmissionFactorsTransport_Data(), Table_Fuel_EFs_Transport[[#Headers],[Transport type]], 0)</f>
        <v>0.61</v>
      </c>
      <c r="L30" s="213"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HYPERLINK("#'6.4.1.1-2 Residue burning'!A1", "6.4.1.1-2 Residue burning")</f>
        <v>6.4.1.1-2 Residue burning</v>
      </c>
      <c r="D31" s="213" t="str" cm="1">
        <f t="array" ref="D31">Common_InputFunctions.Utility_DisplayArrayInTable(Fuel_SourceData.Fuel_Scope1Scope3EmissionFactorsTransport_Data(), Table_Fuel_EFs_Transport[[#Headers],[Transport type]], 0)</f>
        <v>Vessels</v>
      </c>
      <c r="E31" s="213" t="str" cm="1">
        <f t="array" ref="E31">Common_InputFunctions.Utility_DisplayArrayInTable(Fuel_SourceData.Fuel_Scope1Scope3EmissionFactorsTransport_Data(), Table_Fuel_EFs_Transport[[#Headers],[Transport type]], 0)</f>
        <v>Gasoline</v>
      </c>
      <c r="F31" s="213" cm="1">
        <f t="array" ref="F31">Common_InputFunctions.Utility_DisplayArrayInTable(Fuel_SourceData.Fuel_Scope1Scope3EmissionFactorsTransport_Data(), Table_Fuel_EFs_Transport[[#Headers],[Transport type]], 0)</f>
        <v>34.200000000000003</v>
      </c>
      <c r="G31" s="213" t="str" cm="1">
        <f t="array" ref="G31">Common_InputFunctions.Utility_DisplayArrayInTable(Fuel_SourceData.Fuel_Scope1Scope3EmissionFactorsTransport_Data(), Table_Fuel_EFs_Transport[[#Headers],[Transport type]], 0)</f>
        <v>kL</v>
      </c>
      <c r="H31" s="213" cm="1">
        <f t="array" ref="H31">Common_InputFunctions.Utility_DisplayArrayInTable(Fuel_SourceData.Fuel_Scope1Scope3EmissionFactorsTransport_Data(), Table_Fuel_EFs_Transport[[#Headers],[Transport type]], 0)</f>
        <v>67.400000000000006</v>
      </c>
      <c r="I31" s="213" cm="1">
        <f t="array" ref="I31">Common_InputFunctions.Utility_DisplayArrayInTable(Fuel_SourceData.Fuel_Scope1Scope3EmissionFactorsTransport_Data(), Table_Fuel_EFs_Transport[[#Headers],[Transport type]], 0)</f>
        <v>10.1</v>
      </c>
      <c r="J31" s="213" cm="1">
        <f t="array" ref="J31">Common_InputFunctions.Utility_DisplayArrayInTable(Fuel_SourceData.Fuel_Scope1Scope3EmissionFactorsTransport_Data(), Table_Fuel_EFs_Transport[[#Headers],[Transport type]], 0)</f>
        <v>0.3</v>
      </c>
      <c r="K31" s="213" t="str" cm="1">
        <f t="array" ref="K31">Common_InputFunctions.Utility_DisplayArrayInTable(Fuel_SourceData.Fuel_Scope1Scope3EmissionFactorsTransport_Data(), Table_Fuel_EFs_Transport[[#Headers],[Transport type]], 0)</f>
        <v/>
      </c>
      <c r="L31" s="213"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14" t="str" cm="1">
        <f t="array" ref="D32">Common_InputFunctions.Utility_DisplayArrayInTable(Fuel_SourceData.Fuel_Scope1Scope3EmissionFactorsTransport_Data(), Table_Fuel_EFs_Transport[[#Headers],[Transport type]], 0)</f>
        <v>Vessels</v>
      </c>
      <c r="E32" s="214" t="str" cm="1">
        <f t="array" ref="E32">Common_InputFunctions.Utility_DisplayArrayInTable(Fuel_SourceData.Fuel_Scope1Scope3EmissionFactorsTransport_Data(), Table_Fuel_EFs_Transport[[#Headers],[Transport type]], 0)</f>
        <v>Diesel oil</v>
      </c>
      <c r="F32" s="214" cm="1">
        <f t="array" ref="F32">Common_InputFunctions.Utility_DisplayArrayInTable(Fuel_SourceData.Fuel_Scope1Scope3EmissionFactorsTransport_Data(), Table_Fuel_EFs_Transport[[#Headers],[Transport type]], 0)</f>
        <v>38.6</v>
      </c>
      <c r="G32" s="214" t="str" cm="1">
        <f t="array" ref="G32">Common_InputFunctions.Utility_DisplayArrayInTable(Fuel_SourceData.Fuel_Scope1Scope3EmissionFactorsTransport_Data(), Table_Fuel_EFs_Transport[[#Headers],[Transport type]], 0)</f>
        <v>kL</v>
      </c>
      <c r="H32" s="214" cm="1">
        <f t="array" ref="H32">Common_InputFunctions.Utility_DisplayArrayInTable(Fuel_SourceData.Fuel_Scope1Scope3EmissionFactorsTransport_Data(), Table_Fuel_EFs_Transport[[#Headers],[Transport type]], 0)</f>
        <v>69.900000000000006</v>
      </c>
      <c r="I32" s="214" cm="1">
        <f t="array" ref="I32">Common_InputFunctions.Utility_DisplayArrayInTable(Fuel_SourceData.Fuel_Scope1Scope3EmissionFactorsTransport_Data(), Table_Fuel_EFs_Transport[[#Headers],[Transport type]], 0)</f>
        <v>0.2</v>
      </c>
      <c r="J32" s="214" cm="1">
        <f t="array" ref="J32">Common_InputFunctions.Utility_DisplayArrayInTable(Fuel_SourceData.Fuel_Scope1Scope3EmissionFactorsTransport_Data(), Table_Fuel_EFs_Transport[[#Headers],[Transport type]], 0)</f>
        <v>0.5</v>
      </c>
      <c r="K32" s="214" t="str" cm="1">
        <f t="array" ref="K32">Common_InputFunctions.Utility_DisplayArrayInTable(Fuel_SourceData.Fuel_Scope1Scope3EmissionFactorsTransport_Data(), Table_Fuel_EFs_Transport[[#Headers],[Transport type]], 0)</f>
        <v/>
      </c>
      <c r="L32" s="214"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14" t="str" cm="1">
        <f t="array" ref="D33">Common_InputFunctions.Utility_DisplayArrayInTable(Fuel_SourceData.Fuel_Scope1Scope3EmissionFactorsTransport_Data(), Table_Fuel_EFs_Transport[[#Headers],[Transport type]], 0)</f>
        <v>Vessels</v>
      </c>
      <c r="E33" s="214" t="str" cm="1">
        <f t="array" ref="E33">Common_InputFunctions.Utility_DisplayArrayInTable(Fuel_SourceData.Fuel_Scope1Scope3EmissionFactorsTransport_Data(), Table_Fuel_EFs_Transport[[#Headers],[Transport type]], 0)</f>
        <v>Fuel Oil</v>
      </c>
      <c r="F33" s="214" cm="1">
        <f t="array" ref="F33">Common_InputFunctions.Utility_DisplayArrayInTable(Fuel_SourceData.Fuel_Scope1Scope3EmissionFactorsTransport_Data(), Table_Fuel_EFs_Transport[[#Headers],[Transport type]], 0)</f>
        <v>39.700000000000003</v>
      </c>
      <c r="G33" s="214" t="str" cm="1">
        <f t="array" ref="G33">Common_InputFunctions.Utility_DisplayArrayInTable(Fuel_SourceData.Fuel_Scope1Scope3EmissionFactorsTransport_Data(), Table_Fuel_EFs_Transport[[#Headers],[Transport type]], 0)</f>
        <v>kL</v>
      </c>
      <c r="H33" s="214" cm="1">
        <f t="array" ref="H33">Common_InputFunctions.Utility_DisplayArrayInTable(Fuel_SourceData.Fuel_Scope1Scope3EmissionFactorsTransport_Data(), Table_Fuel_EFs_Transport[[#Headers],[Transport type]], 0)</f>
        <v>73.599999999999994</v>
      </c>
      <c r="I33" s="214" cm="1">
        <f t="array" ref="I33">Common_InputFunctions.Utility_DisplayArrayInTable(Fuel_SourceData.Fuel_Scope1Scope3EmissionFactorsTransport_Data(), Table_Fuel_EFs_Transport[[#Headers],[Transport type]], 0)</f>
        <v>0.2</v>
      </c>
      <c r="J33" s="214" cm="1">
        <f t="array" ref="J33">Common_InputFunctions.Utility_DisplayArrayInTable(Fuel_SourceData.Fuel_Scope1Scope3EmissionFactorsTransport_Data(), Table_Fuel_EFs_Transport[[#Headers],[Transport type]], 0)</f>
        <v>0.5</v>
      </c>
      <c r="K33" s="214" t="str" cm="1">
        <f t="array" ref="K33">Common_InputFunctions.Utility_DisplayArrayInTable(Fuel_SourceData.Fuel_Scope1Scope3EmissionFactorsTransport_Data(), Table_Fuel_EFs_Transport[[#Headers],[Transport type]], 0)</f>
        <v/>
      </c>
      <c r="L33" s="214"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14" t="str" cm="1">
        <f t="array" ref="D34">Common_InputFunctions.Utility_DisplayArrayInTable(Fuel_SourceData.Fuel_Scope1Scope3EmissionFactorsTransport_Data(), Table_Fuel_EFs_Transport[[#Headers],[Transport type]], 0)</f>
        <v>Off-road Agriculture and forestry equipment</v>
      </c>
      <c r="E34" s="214" t="str" cm="1">
        <f t="array" ref="E34">Common_InputFunctions.Utility_DisplayArrayInTable(Fuel_SourceData.Fuel_Scope1Scope3EmissionFactorsTransport_Data(), Table_Fuel_EFs_Transport[[#Headers],[Transport type]], 0)</f>
        <v>Diesel oil</v>
      </c>
      <c r="F34" s="214" cm="1">
        <f t="array" ref="F34">Common_InputFunctions.Utility_DisplayArrayInTable(Fuel_SourceData.Fuel_Scope1Scope3EmissionFactorsTransport_Data(), Table_Fuel_EFs_Transport[[#Headers],[Transport type]], 0)</f>
        <v>38.6</v>
      </c>
      <c r="G34" s="214" t="str" cm="1">
        <f t="array" ref="G34">Common_InputFunctions.Utility_DisplayArrayInTable(Fuel_SourceData.Fuel_Scope1Scope3EmissionFactorsTransport_Data(), Table_Fuel_EFs_Transport[[#Headers],[Transport type]], 0)</f>
        <v>kL</v>
      </c>
      <c r="H34" s="214" cm="1">
        <f t="array" ref="H34">Common_InputFunctions.Utility_DisplayArrayInTable(Fuel_SourceData.Fuel_Scope1Scope3EmissionFactorsTransport_Data(), Table_Fuel_EFs_Transport[[#Headers],[Transport type]], 0)</f>
        <v>69.900000000000006</v>
      </c>
      <c r="I34" s="214" cm="1">
        <f t="array" ref="I34">Common_InputFunctions.Utility_DisplayArrayInTable(Fuel_SourceData.Fuel_Scope1Scope3EmissionFactorsTransport_Data(), Table_Fuel_EFs_Transport[[#Headers],[Transport type]], 0)</f>
        <v>0.3</v>
      </c>
      <c r="J34" s="214" cm="1">
        <f t="array" ref="J34">Common_InputFunctions.Utility_DisplayArrayInTable(Fuel_SourceData.Fuel_Scope1Scope3EmissionFactorsTransport_Data(), Table_Fuel_EFs_Transport[[#Headers],[Transport type]], 0)</f>
        <v>0.5</v>
      </c>
      <c r="K34" s="214" t="str" cm="1">
        <f t="array" ref="K34">Common_InputFunctions.Utility_DisplayArrayInTable(Fuel_SourceData.Fuel_Scope1Scope3EmissionFactorsTransport_Data(), Table_Fuel_EFs_Transport[[#Headers],[Transport type]], 0)</f>
        <v/>
      </c>
      <c r="L34" s="214"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row>
    <row r="37" spans="1:12" ht="20.100000000000001" customHeight="1" x14ac:dyDescent="0.25">
      <c r="A37" s="5" t="str">
        <f>HYPERLINK("#'10.1.1-2 Solid waste treatment'!A1", "10.1.1-2 Solid waste treatment")</f>
        <v>10.1.1-2 Solid waste treatment</v>
      </c>
      <c r="D37" s="2" t="str" cm="1">
        <f t="array" ref="D37">Fuel_SourceData.Fuel_Scope1Scope3EmissionFactorsTransportOffRoad_Title()</f>
        <v>Fuel scope 1 and 3 emission factors - Off-road equipment and vessels</v>
      </c>
    </row>
    <row r="38" spans="1:12" ht="20.100000000000001" customHeight="1" x14ac:dyDescent="0.25">
      <c r="D38" s="27" t="str" cm="1">
        <f t="array" ref="D38">Fuel_SourceData.Fuel_Scope1Scope3EmissionFactorsTransportOffRoad_Source()</f>
        <v>VEERG 2026: Table A.4.2.1</v>
      </c>
    </row>
    <row r="39" spans="1:12" ht="20.100000000000001" customHeight="1" x14ac:dyDescent="0.25">
      <c r="D39" s="30" t="s">
        <v>494</v>
      </c>
      <c r="E39" s="30" t="s">
        <v>495</v>
      </c>
      <c r="F39" s="30" t="s">
        <v>496</v>
      </c>
      <c r="G39" s="30" t="s">
        <v>497</v>
      </c>
      <c r="H39" s="30" t="s">
        <v>498</v>
      </c>
      <c r="I39" s="30" t="s">
        <v>499</v>
      </c>
      <c r="J39" s="30" t="s">
        <v>500</v>
      </c>
    </row>
    <row r="40" spans="1:12" ht="20.100000000000001" customHeight="1" x14ac:dyDescent="0.25">
      <c r="A40" s="119" t="s">
        <v>1</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Common Livestock'!A1", "Constants - Common Livestock")</f>
        <v>Constants - Common Livestock</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Electricity'!A1", "Constants - Electricity")</f>
        <v>Constants -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Fertiliser'!A1", "Constants - Fertiliser")</f>
        <v>Constants - Fertiliser</v>
      </c>
    </row>
    <row r="45" spans="1:12" ht="20.100000000000001" customHeight="1" x14ac:dyDescent="0.25">
      <c r="A45" s="171"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spans="4:12" ht="20.100000000000001" customHeight="1" x14ac:dyDescent="0.25">
      <c r="D49" s="2" t="str" cm="1">
        <f t="array" ref="D49">Fuel_SourceData.Fuel_Scope1Scope3EmissionFactorsStationaryLiquid_Title()</f>
        <v>Fuel scope 1 and 3 emission factors - Stationary liquid fuels</v>
      </c>
      <c r="E49" s="157"/>
      <c r="F49" s="157"/>
      <c r="G49" s="157"/>
      <c r="H49" s="157"/>
      <c r="I49" s="157"/>
      <c r="J49" s="157"/>
      <c r="K49" s="157"/>
      <c r="L49" s="15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7"/>
      <c r="F50" s="157"/>
      <c r="G50" s="157"/>
      <c r="H50" s="157"/>
      <c r="I50" s="157"/>
      <c r="J50" s="157"/>
      <c r="K50" s="157"/>
      <c r="L50" s="157"/>
    </row>
    <row r="51" spans="4:12" ht="20.100000000000001" customHeight="1" x14ac:dyDescent="0.25">
      <c r="D51" s="27" t="str" cm="1">
        <f t="array" ref="D51">Fuel_SourceData.Fuel_Scope1Scope3EmissionFactorsStationaryLiquid_Source()</f>
        <v>Australian National Greenhouse Accounts Factors 2025 - Table 8</v>
      </c>
      <c r="E51" s="157"/>
      <c r="F51" s="157"/>
      <c r="G51" s="157"/>
      <c r="H51" s="157"/>
      <c r="I51" s="157"/>
      <c r="J51" s="157"/>
      <c r="K51" s="157"/>
      <c r="L51" s="157"/>
    </row>
    <row r="52" spans="4:12" ht="20.100000000000001" customHeight="1" x14ac:dyDescent="0.25">
      <c r="D52" s="36" t="str" cm="1">
        <f t="array" ref="D52">"⚠️" &amp; Fuel_SourceData.Fuel_Scope1Scope3EmissionFactorsStationaryLiquid_Variation()</f>
        <v>⚠️VARIATION OF SOURCE DATA: 'NE' values returned as zero for calculations.</v>
      </c>
      <c r="E52" s="157"/>
      <c r="F52" s="157"/>
      <c r="G52" s="157"/>
      <c r="H52" s="157"/>
      <c r="I52" s="157"/>
      <c r="J52" s="157"/>
      <c r="K52" s="157"/>
      <c r="L52" s="157"/>
    </row>
    <row r="53" spans="4:12" ht="20.100000000000001" customHeight="1" x14ac:dyDescent="0.25">
      <c r="D53" s="180" t="s">
        <v>486</v>
      </c>
      <c r="E53" s="212" t="s">
        <v>487</v>
      </c>
      <c r="F53" s="180" t="s">
        <v>488</v>
      </c>
      <c r="G53" s="212" t="s">
        <v>489</v>
      </c>
      <c r="H53" s="212" t="s">
        <v>490</v>
      </c>
      <c r="I53" s="212" t="s">
        <v>491</v>
      </c>
      <c r="J53" s="212" t="s">
        <v>492</v>
      </c>
      <c r="K53" s="212" t="s">
        <v>493</v>
      </c>
      <c r="L53" s="157"/>
    </row>
    <row r="54" spans="4:12" ht="20.100000000000001" customHeight="1" x14ac:dyDescent="0.25">
      <c r="D54" s="21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5" cm="1">
        <f t="array" ref="E54">Common_InputFunctions.Utility_DisplayArrayInTable(Fuel_SourceData.Fuel_Scope1Scope3EmissionFactorsStationaryLiquid_Data(), Table_Fuel_EFs_StationaryLiquid[[#Headers],[Fuel combusted]],0)</f>
        <v>38.799999999999997</v>
      </c>
      <c r="F54" s="215" t="str" cm="1">
        <f t="array" ref="F54">Common_InputFunctions.Utility_DisplayArrayInTable(Fuel_SourceData.Fuel_Scope1Scope3EmissionFactorsStationaryLiquid_Data(), Table_Fuel_EFs_StationaryLiquid[[#Headers],[Fuel combusted]],0)</f>
        <v>kl</v>
      </c>
      <c r="G54" s="215" cm="1">
        <f t="array" ref="G54">Common_InputFunctions.Utility_DisplayArrayInTable(Fuel_SourceData.Fuel_Scope1Scope3EmissionFactorsStationaryLiquid_Data(), Table_Fuel_EFs_StationaryLiquid[[#Headers],[Fuel combusted]],0)</f>
        <v>13.9</v>
      </c>
      <c r="H54" s="215" cm="1">
        <f t="array" ref="H54">Common_InputFunctions.Utility_DisplayArrayInTable(Fuel_SourceData.Fuel_Scope1Scope3EmissionFactorsStationaryLiquid_Data(), Table_Fuel_EFs_StationaryLiquid[[#Headers],[Fuel combusted]],0)</f>
        <v>0</v>
      </c>
      <c r="I54" s="215" cm="1">
        <f t="array" ref="I54">Common_InputFunctions.Utility_DisplayArrayInTable(Fuel_SourceData.Fuel_Scope1Scope3EmissionFactorsStationaryLiquid_Data(), Table_Fuel_EFs_StationaryLiquid[[#Headers],[Fuel combusted]],0)</f>
        <v>0</v>
      </c>
      <c r="J54" s="215" cm="1">
        <f t="array" ref="J54">Common_InputFunctions.Utility_DisplayArrayInTable(Fuel_SourceData.Fuel_Scope1Scope3EmissionFactorsStationaryLiquid_Data(), Table_Fuel_EFs_StationaryLiquid[[#Headers],[Fuel combusted]],0)</f>
        <v>13.9</v>
      </c>
      <c r="K54" s="215" cm="1">
        <f t="array" ref="K54">Common_InputFunctions.Utility_DisplayArrayInTable(Fuel_SourceData.Fuel_Scope1Scope3EmissionFactorsStationaryLiquid_Data(), Table_Fuel_EFs_StationaryLiquid[[#Headers],[Fuel combusted]],0)</f>
        <v>18</v>
      </c>
      <c r="L54" s="157"/>
    </row>
    <row r="55" spans="4:12" ht="20.100000000000001" customHeight="1" x14ac:dyDescent="0.25">
      <c r="D55" s="215" t="str" cm="1">
        <f t="array" ref="D55">Common_InputFunctions.Utility_DisplayArrayInTable(Fuel_SourceData.Fuel_Scope1Scope3EmissionFactorsStationaryLiquid_Data(), Table_Fuel_EFs_StationaryLiquid[[#Headers],[Fuel combusted]],0)</f>
        <v>Petroleum based greases</v>
      </c>
      <c r="E55" s="215" cm="1">
        <f t="array" ref="E55">Common_InputFunctions.Utility_DisplayArrayInTable(Fuel_SourceData.Fuel_Scope1Scope3EmissionFactorsStationaryLiquid_Data(), Table_Fuel_EFs_StationaryLiquid[[#Headers],[Fuel combusted]],0)</f>
        <v>38.799999999999997</v>
      </c>
      <c r="F55" s="215" t="str" cm="1">
        <f t="array" ref="F55">Common_InputFunctions.Utility_DisplayArrayInTable(Fuel_SourceData.Fuel_Scope1Scope3EmissionFactorsStationaryLiquid_Data(), Table_Fuel_EFs_StationaryLiquid[[#Headers],[Fuel combusted]],0)</f>
        <v>kl</v>
      </c>
      <c r="G55" s="215" cm="1">
        <f t="array" ref="G55">Common_InputFunctions.Utility_DisplayArrayInTable(Fuel_SourceData.Fuel_Scope1Scope3EmissionFactorsStationaryLiquid_Data(), Table_Fuel_EFs_StationaryLiquid[[#Headers],[Fuel combusted]],0)</f>
        <v>3.5</v>
      </c>
      <c r="H55" s="215" cm="1">
        <f t="array" ref="H55">Common_InputFunctions.Utility_DisplayArrayInTable(Fuel_SourceData.Fuel_Scope1Scope3EmissionFactorsStationaryLiquid_Data(), Table_Fuel_EFs_StationaryLiquid[[#Headers],[Fuel combusted]],0)</f>
        <v>0</v>
      </c>
      <c r="I55" s="215" cm="1">
        <f t="array" ref="I55">Common_InputFunctions.Utility_DisplayArrayInTable(Fuel_SourceData.Fuel_Scope1Scope3EmissionFactorsStationaryLiquid_Data(), Table_Fuel_EFs_StationaryLiquid[[#Headers],[Fuel combusted]],0)</f>
        <v>0</v>
      </c>
      <c r="J55" s="215" cm="1">
        <f t="array" ref="J55">Common_InputFunctions.Utility_DisplayArrayInTable(Fuel_SourceData.Fuel_Scope1Scope3EmissionFactorsStationaryLiquid_Data(), Table_Fuel_EFs_StationaryLiquid[[#Headers],[Fuel combusted]],0)</f>
        <v>3.5</v>
      </c>
      <c r="K55" s="215" cm="1">
        <f t="array" ref="K55">Common_InputFunctions.Utility_DisplayArrayInTable(Fuel_SourceData.Fuel_Scope1Scope3EmissionFactorsStationaryLiquid_Data(), Table_Fuel_EFs_StationaryLiquid[[#Headers],[Fuel combusted]],0)</f>
        <v>18</v>
      </c>
      <c r="L55" s="157"/>
    </row>
    <row r="56" spans="4:12" ht="20.100000000000001" customHeight="1" x14ac:dyDescent="0.25">
      <c r="D56" s="215" t="str" cm="1">
        <f t="array" ref="D56">Common_InputFunctions.Utility_DisplayArrayInTable(Fuel_SourceData.Fuel_Scope1Scope3EmissionFactorsStationaryLiquid_Data(), Table_Fuel_EFs_StationaryLiquid[[#Headers],[Fuel combusted]],0)</f>
        <v>Crude oil including crude oil condensates</v>
      </c>
      <c r="E56" s="215" cm="1">
        <f t="array" ref="E56">Common_InputFunctions.Utility_DisplayArrayInTable(Fuel_SourceData.Fuel_Scope1Scope3EmissionFactorsStationaryLiquid_Data(), Table_Fuel_EFs_StationaryLiquid[[#Headers],[Fuel combusted]],0)</f>
        <v>45.3</v>
      </c>
      <c r="F56" s="215" t="str" cm="1">
        <f t="array" ref="F56">Common_InputFunctions.Utility_DisplayArrayInTable(Fuel_SourceData.Fuel_Scope1Scope3EmissionFactorsStationaryLiquid_Data(), Table_Fuel_EFs_StationaryLiquid[[#Headers],[Fuel combusted]],0)</f>
        <v>t</v>
      </c>
      <c r="G56" s="215" cm="1">
        <f t="array" ref="G56">Common_InputFunctions.Utility_DisplayArrayInTable(Fuel_SourceData.Fuel_Scope1Scope3EmissionFactorsStationaryLiquid_Data(), Table_Fuel_EFs_StationaryLiquid[[#Headers],[Fuel combusted]],0)</f>
        <v>69.599999999999994</v>
      </c>
      <c r="H56" s="215" cm="1">
        <f t="array" ref="H56">Common_InputFunctions.Utility_DisplayArrayInTable(Fuel_SourceData.Fuel_Scope1Scope3EmissionFactorsStationaryLiquid_Data(), Table_Fuel_EFs_StationaryLiquid[[#Headers],[Fuel combusted]],0)</f>
        <v>0.08</v>
      </c>
      <c r="I56" s="215" cm="1">
        <f t="array" ref="I56">Common_InputFunctions.Utility_DisplayArrayInTable(Fuel_SourceData.Fuel_Scope1Scope3EmissionFactorsStationaryLiquid_Data(), Table_Fuel_EFs_StationaryLiquid[[#Headers],[Fuel combusted]],0)</f>
        <v>0.2</v>
      </c>
      <c r="J56" s="215" cm="1">
        <f t="array" ref="J56">Common_InputFunctions.Utility_DisplayArrayInTable(Fuel_SourceData.Fuel_Scope1Scope3EmissionFactorsStationaryLiquid_Data(), Table_Fuel_EFs_StationaryLiquid[[#Headers],[Fuel combusted]],0)</f>
        <v>69.88</v>
      </c>
      <c r="K56" s="215" t="str" cm="1">
        <f t="array" ref="K56">Common_InputFunctions.Utility_DisplayArrayInTable(Fuel_SourceData.Fuel_Scope1Scope3EmissionFactorsStationaryLiquid_Data(), Table_Fuel_EFs_StationaryLiquid[[#Headers],[Fuel combusted]],0)</f>
        <v>NE</v>
      </c>
      <c r="L56" s="157"/>
    </row>
    <row r="57" spans="4:12" ht="20.100000000000001" customHeight="1" x14ac:dyDescent="0.25">
      <c r="D57" s="215" t="str" cm="1">
        <f t="array" ref="D57">Common_InputFunctions.Utility_DisplayArrayInTable(Fuel_SourceData.Fuel_Scope1Scope3EmissionFactorsStationaryLiquid_Data(), Table_Fuel_EFs_StationaryLiquid[[#Headers],[Fuel combusted]],0)</f>
        <v>Other natural gas liquids</v>
      </c>
      <c r="E57" s="215" cm="1">
        <f t="array" ref="E57">Common_InputFunctions.Utility_DisplayArrayInTable(Fuel_SourceData.Fuel_Scope1Scope3EmissionFactorsStationaryLiquid_Data(), Table_Fuel_EFs_StationaryLiquid[[#Headers],[Fuel combusted]],0)</f>
        <v>46.5</v>
      </c>
      <c r="F57" s="215" t="str" cm="1">
        <f t="array" ref="F57">Common_InputFunctions.Utility_DisplayArrayInTable(Fuel_SourceData.Fuel_Scope1Scope3EmissionFactorsStationaryLiquid_Data(), Table_Fuel_EFs_StationaryLiquid[[#Headers],[Fuel combusted]],0)</f>
        <v>t</v>
      </c>
      <c r="G57" s="215" cm="1">
        <f t="array" ref="G57">Common_InputFunctions.Utility_DisplayArrayInTable(Fuel_SourceData.Fuel_Scope1Scope3EmissionFactorsStationaryLiquid_Data(), Table_Fuel_EFs_StationaryLiquid[[#Headers],[Fuel combusted]],0)</f>
        <v>61</v>
      </c>
      <c r="H57" s="215" cm="1">
        <f t="array" ref="H57">Common_InputFunctions.Utility_DisplayArrayInTable(Fuel_SourceData.Fuel_Scope1Scope3EmissionFactorsStationaryLiquid_Data(), Table_Fuel_EFs_StationaryLiquid[[#Headers],[Fuel combusted]],0)</f>
        <v>0.08</v>
      </c>
      <c r="I57" s="215" cm="1">
        <f t="array" ref="I57">Common_InputFunctions.Utility_DisplayArrayInTable(Fuel_SourceData.Fuel_Scope1Scope3EmissionFactorsStationaryLiquid_Data(), Table_Fuel_EFs_StationaryLiquid[[#Headers],[Fuel combusted]],0)</f>
        <v>0.2</v>
      </c>
      <c r="J57" s="215" cm="1">
        <f t="array" ref="J57">Common_InputFunctions.Utility_DisplayArrayInTable(Fuel_SourceData.Fuel_Scope1Scope3EmissionFactorsStationaryLiquid_Data(), Table_Fuel_EFs_StationaryLiquid[[#Headers],[Fuel combusted]],0)</f>
        <v>61.28</v>
      </c>
      <c r="K57" s="215" t="str" cm="1">
        <f t="array" ref="K57">Common_InputFunctions.Utility_DisplayArrayInTable(Fuel_SourceData.Fuel_Scope1Scope3EmissionFactorsStationaryLiquid_Data(), Table_Fuel_EFs_StationaryLiquid[[#Headers],[Fuel combusted]],0)</f>
        <v>NE</v>
      </c>
      <c r="L57" s="157"/>
    </row>
    <row r="58" spans="4:12" ht="20.100000000000001" customHeight="1" x14ac:dyDescent="0.25">
      <c r="D58" s="21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5" cm="1">
        <f t="array" ref="E58">Common_InputFunctions.Utility_DisplayArrayInTable(Fuel_SourceData.Fuel_Scope1Scope3EmissionFactorsStationaryLiquid_Data(), Table_Fuel_EFs_StationaryLiquid[[#Headers],[Fuel combusted]],0)</f>
        <v>34.200000000000003</v>
      </c>
      <c r="F58" s="215" t="str" cm="1">
        <f t="array" ref="F58">Common_InputFunctions.Utility_DisplayArrayInTable(Fuel_SourceData.Fuel_Scope1Scope3EmissionFactorsStationaryLiquid_Data(), Table_Fuel_EFs_StationaryLiquid[[#Headers],[Fuel combusted]],0)</f>
        <v>kL</v>
      </c>
      <c r="G58" s="215" cm="1">
        <f t="array" ref="G58">Common_InputFunctions.Utility_DisplayArrayInTable(Fuel_SourceData.Fuel_Scope1Scope3EmissionFactorsStationaryLiquid_Data(), Table_Fuel_EFs_StationaryLiquid[[#Headers],[Fuel combusted]],0)</f>
        <v>67.400000000000006</v>
      </c>
      <c r="H58" s="215" cm="1">
        <f t="array" ref="H58">Common_InputFunctions.Utility_DisplayArrayInTable(Fuel_SourceData.Fuel_Scope1Scope3EmissionFactorsStationaryLiquid_Data(), Table_Fuel_EFs_StationaryLiquid[[#Headers],[Fuel combusted]],0)</f>
        <v>0.2</v>
      </c>
      <c r="I58" s="215" cm="1">
        <f t="array" ref="I58">Common_InputFunctions.Utility_DisplayArrayInTable(Fuel_SourceData.Fuel_Scope1Scope3EmissionFactorsStationaryLiquid_Data(), Table_Fuel_EFs_StationaryLiquid[[#Headers],[Fuel combusted]],0)</f>
        <v>0.2</v>
      </c>
      <c r="J58" s="215" cm="1">
        <f t="array" ref="J58">Common_InputFunctions.Utility_DisplayArrayInTable(Fuel_SourceData.Fuel_Scope1Scope3EmissionFactorsStationaryLiquid_Data(), Table_Fuel_EFs_StationaryLiquid[[#Headers],[Fuel combusted]],0)</f>
        <v>67.8</v>
      </c>
      <c r="K58" s="215" cm="1">
        <f t="array" ref="K58">Common_InputFunctions.Utility_DisplayArrayInTable(Fuel_SourceData.Fuel_Scope1Scope3EmissionFactorsStationaryLiquid_Data(), Table_Fuel_EFs_StationaryLiquid[[#Headers],[Fuel combusted]],0)</f>
        <v>17.2</v>
      </c>
      <c r="L58" s="157"/>
    </row>
    <row r="59" spans="4:12" ht="20.100000000000001" customHeight="1" x14ac:dyDescent="0.25">
      <c r="D59" s="215" t="str" cm="1">
        <f t="array" ref="D59">Common_InputFunctions.Utility_DisplayArrayInTable(Fuel_SourceData.Fuel_Scope1Scope3EmissionFactorsStationaryLiquid_Data(), Table_Fuel_EFs_StationaryLiquid[[#Headers],[Fuel combusted]],0)</f>
        <v>Aviation gasoline</v>
      </c>
      <c r="E59" s="215" cm="1">
        <f t="array" ref="E59">Common_InputFunctions.Utility_DisplayArrayInTable(Fuel_SourceData.Fuel_Scope1Scope3EmissionFactorsStationaryLiquid_Data(), Table_Fuel_EFs_StationaryLiquid[[#Headers],[Fuel combusted]],0)</f>
        <v>33.1</v>
      </c>
      <c r="F59" s="215" t="str" cm="1">
        <f t="array" ref="F59">Common_InputFunctions.Utility_DisplayArrayInTable(Fuel_SourceData.Fuel_Scope1Scope3EmissionFactorsStationaryLiquid_Data(), Table_Fuel_EFs_StationaryLiquid[[#Headers],[Fuel combusted]],0)</f>
        <v>kL</v>
      </c>
      <c r="G59" s="215" cm="1">
        <f t="array" ref="G59">Common_InputFunctions.Utility_DisplayArrayInTable(Fuel_SourceData.Fuel_Scope1Scope3EmissionFactorsStationaryLiquid_Data(), Table_Fuel_EFs_StationaryLiquid[[#Headers],[Fuel combusted]],0)</f>
        <v>67</v>
      </c>
      <c r="H59" s="215" cm="1">
        <f t="array" ref="H59">Common_InputFunctions.Utility_DisplayArrayInTable(Fuel_SourceData.Fuel_Scope1Scope3EmissionFactorsStationaryLiquid_Data(), Table_Fuel_EFs_StationaryLiquid[[#Headers],[Fuel combusted]],0)</f>
        <v>0.2</v>
      </c>
      <c r="I59" s="215" cm="1">
        <f t="array" ref="I59">Common_InputFunctions.Utility_DisplayArrayInTable(Fuel_SourceData.Fuel_Scope1Scope3EmissionFactorsStationaryLiquid_Data(), Table_Fuel_EFs_StationaryLiquid[[#Headers],[Fuel combusted]],0)</f>
        <v>0.2</v>
      </c>
      <c r="J59" s="215" cm="1">
        <f t="array" ref="J59">Common_InputFunctions.Utility_DisplayArrayInTable(Fuel_SourceData.Fuel_Scope1Scope3EmissionFactorsStationaryLiquid_Data(), Table_Fuel_EFs_StationaryLiquid[[#Headers],[Fuel combusted]],0)</f>
        <v>67.400000000000006</v>
      </c>
      <c r="K59" s="215" cm="1">
        <f t="array" ref="K59">Common_InputFunctions.Utility_DisplayArrayInTable(Fuel_SourceData.Fuel_Scope1Scope3EmissionFactorsStationaryLiquid_Data(), Table_Fuel_EFs_StationaryLiquid[[#Headers],[Fuel combusted]],0)</f>
        <v>18</v>
      </c>
      <c r="L59" s="157"/>
    </row>
    <row r="60" spans="4:12" ht="20.100000000000001" customHeight="1" x14ac:dyDescent="0.25">
      <c r="D60" s="215" t="str" cm="1">
        <f t="array" ref="D60">Common_InputFunctions.Utility_DisplayArrayInTable(Fuel_SourceData.Fuel_Scope1Scope3EmissionFactorsStationaryLiquid_Data(), Table_Fuel_EFs_StationaryLiquid[[#Headers],[Fuel combusted]],0)</f>
        <v>Kerosene (other than for use as fuel in an aircraft)</v>
      </c>
      <c r="E60" s="215" cm="1">
        <f t="array" ref="E60">Common_InputFunctions.Utility_DisplayArrayInTable(Fuel_SourceData.Fuel_Scope1Scope3EmissionFactorsStationaryLiquid_Data(), Table_Fuel_EFs_StationaryLiquid[[#Headers],[Fuel combusted]],0)</f>
        <v>37.5</v>
      </c>
      <c r="F60" s="215" t="str" cm="1">
        <f t="array" ref="F60">Common_InputFunctions.Utility_DisplayArrayInTable(Fuel_SourceData.Fuel_Scope1Scope3EmissionFactorsStationaryLiquid_Data(), Table_Fuel_EFs_StationaryLiquid[[#Headers],[Fuel combusted]],0)</f>
        <v>kL</v>
      </c>
      <c r="G60" s="215" cm="1">
        <f t="array" ref="G60">Common_InputFunctions.Utility_DisplayArrayInTable(Fuel_SourceData.Fuel_Scope1Scope3EmissionFactorsStationaryLiquid_Data(), Table_Fuel_EFs_StationaryLiquid[[#Headers],[Fuel combusted]],0)</f>
        <v>68.900000000000006</v>
      </c>
      <c r="H60" s="215" cm="1">
        <f t="array" ref="H60">Common_InputFunctions.Utility_DisplayArrayInTable(Fuel_SourceData.Fuel_Scope1Scope3EmissionFactorsStationaryLiquid_Data(), Table_Fuel_EFs_StationaryLiquid[[#Headers],[Fuel combusted]],0)</f>
        <v>0.01</v>
      </c>
      <c r="I60" s="215" cm="1">
        <f t="array" ref="I60">Common_InputFunctions.Utility_DisplayArrayInTable(Fuel_SourceData.Fuel_Scope1Scope3EmissionFactorsStationaryLiquid_Data(), Table_Fuel_EFs_StationaryLiquid[[#Headers],[Fuel combusted]],0)</f>
        <v>0.2</v>
      </c>
      <c r="J60" s="215" cm="1">
        <f t="array" ref="J60">Common_InputFunctions.Utility_DisplayArrayInTable(Fuel_SourceData.Fuel_Scope1Scope3EmissionFactorsStationaryLiquid_Data(), Table_Fuel_EFs_StationaryLiquid[[#Headers],[Fuel combusted]],0)</f>
        <v>69.11</v>
      </c>
      <c r="K60" s="215" cm="1">
        <f t="array" ref="K60">Common_InputFunctions.Utility_DisplayArrayInTable(Fuel_SourceData.Fuel_Scope1Scope3EmissionFactorsStationaryLiquid_Data(), Table_Fuel_EFs_StationaryLiquid[[#Headers],[Fuel combusted]],0)</f>
        <v>18</v>
      </c>
      <c r="L60" s="157"/>
    </row>
    <row r="61" spans="4:12" ht="20.100000000000001" customHeight="1" x14ac:dyDescent="0.25">
      <c r="D61" s="215" t="str" cm="1">
        <f t="array" ref="D61">Common_InputFunctions.Utility_DisplayArrayInTable(Fuel_SourceData.Fuel_Scope1Scope3EmissionFactorsStationaryLiquid_Data(), Table_Fuel_EFs_StationaryLiquid[[#Headers],[Fuel combusted]],0)</f>
        <v>Aviation turbine fuel / kerosene</v>
      </c>
      <c r="E61" s="215" cm="1">
        <f t="array" ref="E61">Common_InputFunctions.Utility_DisplayArrayInTable(Fuel_SourceData.Fuel_Scope1Scope3EmissionFactorsStationaryLiquid_Data(), Table_Fuel_EFs_StationaryLiquid[[#Headers],[Fuel combusted]],0)</f>
        <v>36.799999999999997</v>
      </c>
      <c r="F61" s="215" t="str" cm="1">
        <f t="array" ref="F61">Common_InputFunctions.Utility_DisplayArrayInTable(Fuel_SourceData.Fuel_Scope1Scope3EmissionFactorsStationaryLiquid_Data(), Table_Fuel_EFs_StationaryLiquid[[#Headers],[Fuel combusted]],0)</f>
        <v>kL</v>
      </c>
      <c r="G61" s="215" cm="1">
        <f t="array" ref="G61">Common_InputFunctions.Utility_DisplayArrayInTable(Fuel_SourceData.Fuel_Scope1Scope3EmissionFactorsStationaryLiquid_Data(), Table_Fuel_EFs_StationaryLiquid[[#Headers],[Fuel combusted]],0)</f>
        <v>69.599999999999994</v>
      </c>
      <c r="H61" s="215" cm="1">
        <f t="array" ref="H61">Common_InputFunctions.Utility_DisplayArrayInTable(Fuel_SourceData.Fuel_Scope1Scope3EmissionFactorsStationaryLiquid_Data(), Table_Fuel_EFs_StationaryLiquid[[#Headers],[Fuel combusted]],0)</f>
        <v>0.02</v>
      </c>
      <c r="I61" s="215" cm="1">
        <f t="array" ref="I61">Common_InputFunctions.Utility_DisplayArrayInTable(Fuel_SourceData.Fuel_Scope1Scope3EmissionFactorsStationaryLiquid_Data(), Table_Fuel_EFs_StationaryLiquid[[#Headers],[Fuel combusted]],0)</f>
        <v>0.2</v>
      </c>
      <c r="J61" s="215" cm="1">
        <f t="array" ref="J61">Common_InputFunctions.Utility_DisplayArrayInTable(Fuel_SourceData.Fuel_Scope1Scope3EmissionFactorsStationaryLiquid_Data(), Table_Fuel_EFs_StationaryLiquid[[#Headers],[Fuel combusted]],0)</f>
        <v>69.819999999999993</v>
      </c>
      <c r="K61" s="215" cm="1">
        <f t="array" ref="K61">Common_InputFunctions.Utility_DisplayArrayInTable(Fuel_SourceData.Fuel_Scope1Scope3EmissionFactorsStationaryLiquid_Data(), Table_Fuel_EFs_StationaryLiquid[[#Headers],[Fuel combusted]],0)</f>
        <v>18</v>
      </c>
      <c r="L61" s="157"/>
    </row>
    <row r="62" spans="4:12" ht="20.100000000000001" customHeight="1" x14ac:dyDescent="0.25">
      <c r="D62" s="215" t="str" cm="1">
        <f t="array" ref="D62">Common_InputFunctions.Utility_DisplayArrayInTable(Fuel_SourceData.Fuel_Scope1Scope3EmissionFactorsStationaryLiquid_Data(), Table_Fuel_EFs_StationaryLiquid[[#Headers],[Fuel combusted]],0)</f>
        <v>Heating oil</v>
      </c>
      <c r="E62" s="215" cm="1">
        <f t="array" ref="E62">Common_InputFunctions.Utility_DisplayArrayInTable(Fuel_SourceData.Fuel_Scope1Scope3EmissionFactorsStationaryLiquid_Data(), Table_Fuel_EFs_StationaryLiquid[[#Headers],[Fuel combusted]],0)</f>
        <v>37.299999999999997</v>
      </c>
      <c r="F62" s="215" t="str" cm="1">
        <f t="array" ref="F62">Common_InputFunctions.Utility_DisplayArrayInTable(Fuel_SourceData.Fuel_Scope1Scope3EmissionFactorsStationaryLiquid_Data(), Table_Fuel_EFs_StationaryLiquid[[#Headers],[Fuel combusted]],0)</f>
        <v>kL</v>
      </c>
      <c r="G62" s="215" cm="1">
        <f t="array" ref="G62">Common_InputFunctions.Utility_DisplayArrayInTable(Fuel_SourceData.Fuel_Scope1Scope3EmissionFactorsStationaryLiquid_Data(), Table_Fuel_EFs_StationaryLiquid[[#Headers],[Fuel combusted]],0)</f>
        <v>69.5</v>
      </c>
      <c r="H62" s="215" cm="1">
        <f t="array" ref="H62">Common_InputFunctions.Utility_DisplayArrayInTable(Fuel_SourceData.Fuel_Scope1Scope3EmissionFactorsStationaryLiquid_Data(), Table_Fuel_EFs_StationaryLiquid[[#Headers],[Fuel combusted]],0)</f>
        <v>0.03</v>
      </c>
      <c r="I62" s="215" cm="1">
        <f t="array" ref="I62">Common_InputFunctions.Utility_DisplayArrayInTable(Fuel_SourceData.Fuel_Scope1Scope3EmissionFactorsStationaryLiquid_Data(), Table_Fuel_EFs_StationaryLiquid[[#Headers],[Fuel combusted]],0)</f>
        <v>0.2</v>
      </c>
      <c r="J62" s="215" cm="1">
        <f t="array" ref="J62">Common_InputFunctions.Utility_DisplayArrayInTable(Fuel_SourceData.Fuel_Scope1Scope3EmissionFactorsStationaryLiquid_Data(), Table_Fuel_EFs_StationaryLiquid[[#Headers],[Fuel combusted]],0)</f>
        <v>69.73</v>
      </c>
      <c r="K62" s="215" cm="1">
        <f t="array" ref="K62">Common_InputFunctions.Utility_DisplayArrayInTable(Fuel_SourceData.Fuel_Scope1Scope3EmissionFactorsStationaryLiquid_Data(), Table_Fuel_EFs_StationaryLiquid[[#Headers],[Fuel combusted]],0)</f>
        <v>18</v>
      </c>
      <c r="L62" s="157"/>
    </row>
    <row r="63" spans="4:12" ht="20.100000000000001" customHeight="1" x14ac:dyDescent="0.25">
      <c r="D63" s="215" t="str" cm="1">
        <f t="array" ref="D63">Common_InputFunctions.Utility_DisplayArrayInTable(Fuel_SourceData.Fuel_Scope1Scope3EmissionFactorsStationaryLiquid_Data(), Table_Fuel_EFs_StationaryLiquid[[#Headers],[Fuel combusted]],0)</f>
        <v>Diesel oil</v>
      </c>
      <c r="E63" s="215" cm="1">
        <f t="array" ref="E63">Common_InputFunctions.Utility_DisplayArrayInTable(Fuel_SourceData.Fuel_Scope1Scope3EmissionFactorsStationaryLiquid_Data(), Table_Fuel_EFs_StationaryLiquid[[#Headers],[Fuel combusted]],0)</f>
        <v>38.6</v>
      </c>
      <c r="F63" s="215" t="str" cm="1">
        <f t="array" ref="F63">Common_InputFunctions.Utility_DisplayArrayInTable(Fuel_SourceData.Fuel_Scope1Scope3EmissionFactorsStationaryLiquid_Data(), Table_Fuel_EFs_StationaryLiquid[[#Headers],[Fuel combusted]],0)</f>
        <v>kL</v>
      </c>
      <c r="G63" s="215" cm="1">
        <f t="array" ref="G63">Common_InputFunctions.Utility_DisplayArrayInTable(Fuel_SourceData.Fuel_Scope1Scope3EmissionFactorsStationaryLiquid_Data(), Table_Fuel_EFs_StationaryLiquid[[#Headers],[Fuel combusted]],0)</f>
        <v>69.900000000000006</v>
      </c>
      <c r="H63" s="215" cm="1">
        <f t="array" ref="H63">Common_InputFunctions.Utility_DisplayArrayInTable(Fuel_SourceData.Fuel_Scope1Scope3EmissionFactorsStationaryLiquid_Data(), Table_Fuel_EFs_StationaryLiquid[[#Headers],[Fuel combusted]],0)</f>
        <v>0.1</v>
      </c>
      <c r="I63" s="215" cm="1">
        <f t="array" ref="I63">Common_InputFunctions.Utility_DisplayArrayInTable(Fuel_SourceData.Fuel_Scope1Scope3EmissionFactorsStationaryLiquid_Data(), Table_Fuel_EFs_StationaryLiquid[[#Headers],[Fuel combusted]],0)</f>
        <v>0.2</v>
      </c>
      <c r="J63" s="215" cm="1">
        <f t="array" ref="J63">Common_InputFunctions.Utility_DisplayArrayInTable(Fuel_SourceData.Fuel_Scope1Scope3EmissionFactorsStationaryLiquid_Data(), Table_Fuel_EFs_StationaryLiquid[[#Headers],[Fuel combusted]],0)</f>
        <v>70.2</v>
      </c>
      <c r="K63" s="215" cm="1">
        <f t="array" ref="K63">Common_InputFunctions.Utility_DisplayArrayInTable(Fuel_SourceData.Fuel_Scope1Scope3EmissionFactorsStationaryLiquid_Data(), Table_Fuel_EFs_StationaryLiquid[[#Headers],[Fuel combusted]],0)</f>
        <v>17.3</v>
      </c>
      <c r="L63" s="157"/>
    </row>
    <row r="64" spans="4:12" ht="20.100000000000001" customHeight="1" x14ac:dyDescent="0.25">
      <c r="D64" s="215" t="str" cm="1">
        <f t="array" ref="D64">Common_InputFunctions.Utility_DisplayArrayInTable(Fuel_SourceData.Fuel_Scope1Scope3EmissionFactorsStationaryLiquid_Data(), Table_Fuel_EFs_StationaryLiquid[[#Headers],[Fuel combusted]],0)</f>
        <v>Fuel oil</v>
      </c>
      <c r="E64" s="215" cm="1">
        <f t="array" ref="E64">Common_InputFunctions.Utility_DisplayArrayInTable(Fuel_SourceData.Fuel_Scope1Scope3EmissionFactorsStationaryLiquid_Data(), Table_Fuel_EFs_StationaryLiquid[[#Headers],[Fuel combusted]],0)</f>
        <v>39.700000000000003</v>
      </c>
      <c r="F64" s="215" t="str" cm="1">
        <f t="array" ref="F64">Common_InputFunctions.Utility_DisplayArrayInTable(Fuel_SourceData.Fuel_Scope1Scope3EmissionFactorsStationaryLiquid_Data(), Table_Fuel_EFs_StationaryLiquid[[#Headers],[Fuel combusted]],0)</f>
        <v>kL</v>
      </c>
      <c r="G64" s="215" cm="1">
        <f t="array" ref="G64">Common_InputFunctions.Utility_DisplayArrayInTable(Fuel_SourceData.Fuel_Scope1Scope3EmissionFactorsStationaryLiquid_Data(), Table_Fuel_EFs_StationaryLiquid[[#Headers],[Fuel combusted]],0)</f>
        <v>73.599999999999994</v>
      </c>
      <c r="H64" s="215" cm="1">
        <f t="array" ref="H64">Common_InputFunctions.Utility_DisplayArrayInTable(Fuel_SourceData.Fuel_Scope1Scope3EmissionFactorsStationaryLiquid_Data(), Table_Fuel_EFs_StationaryLiquid[[#Headers],[Fuel combusted]],0)</f>
        <v>0.04</v>
      </c>
      <c r="I64" s="215" cm="1">
        <f t="array" ref="I64">Common_InputFunctions.Utility_DisplayArrayInTable(Fuel_SourceData.Fuel_Scope1Scope3EmissionFactorsStationaryLiquid_Data(), Table_Fuel_EFs_StationaryLiquid[[#Headers],[Fuel combusted]],0)</f>
        <v>0.2</v>
      </c>
      <c r="J64" s="215" cm="1">
        <f t="array" ref="J64">Common_InputFunctions.Utility_DisplayArrayInTable(Fuel_SourceData.Fuel_Scope1Scope3EmissionFactorsStationaryLiquid_Data(), Table_Fuel_EFs_StationaryLiquid[[#Headers],[Fuel combusted]],0)</f>
        <v>73.84</v>
      </c>
      <c r="K64" s="215" cm="1">
        <f t="array" ref="K64">Common_InputFunctions.Utility_DisplayArrayInTable(Fuel_SourceData.Fuel_Scope1Scope3EmissionFactorsStationaryLiquid_Data(), Table_Fuel_EFs_StationaryLiquid[[#Headers],[Fuel combusted]],0)</f>
        <v>18</v>
      </c>
      <c r="L64" s="157"/>
    </row>
    <row r="65" spans="4:13" ht="20.100000000000001" customHeight="1" x14ac:dyDescent="0.25">
      <c r="D65" s="215" t="str" cm="1">
        <f t="array" ref="D65">Common_InputFunctions.Utility_DisplayArrayInTable(Fuel_SourceData.Fuel_Scope1Scope3EmissionFactorsStationaryLiquid_Data(), Table_Fuel_EFs_StationaryLiquid[[#Headers],[Fuel combusted]],0)</f>
        <v>Liquefied aromatic hydrocarbons</v>
      </c>
      <c r="E65" s="215" cm="1">
        <f t="array" ref="E65">Common_InputFunctions.Utility_DisplayArrayInTable(Fuel_SourceData.Fuel_Scope1Scope3EmissionFactorsStationaryLiquid_Data(), Table_Fuel_EFs_StationaryLiquid[[#Headers],[Fuel combusted]],0)</f>
        <v>34.4</v>
      </c>
      <c r="F65" s="215" t="str" cm="1">
        <f t="array" ref="F65">Common_InputFunctions.Utility_DisplayArrayInTable(Fuel_SourceData.Fuel_Scope1Scope3EmissionFactorsStationaryLiquid_Data(), Table_Fuel_EFs_StationaryLiquid[[#Headers],[Fuel combusted]],0)</f>
        <v>kL</v>
      </c>
      <c r="G65" s="215" cm="1">
        <f t="array" ref="G65">Common_InputFunctions.Utility_DisplayArrayInTable(Fuel_SourceData.Fuel_Scope1Scope3EmissionFactorsStationaryLiquid_Data(), Table_Fuel_EFs_StationaryLiquid[[#Headers],[Fuel combusted]],0)</f>
        <v>69.7</v>
      </c>
      <c r="H65" s="215" cm="1">
        <f t="array" ref="H65">Common_InputFunctions.Utility_DisplayArrayInTable(Fuel_SourceData.Fuel_Scope1Scope3EmissionFactorsStationaryLiquid_Data(), Table_Fuel_EFs_StationaryLiquid[[#Headers],[Fuel combusted]],0)</f>
        <v>0.03</v>
      </c>
      <c r="I65" s="215" cm="1">
        <f t="array" ref="I65">Common_InputFunctions.Utility_DisplayArrayInTable(Fuel_SourceData.Fuel_Scope1Scope3EmissionFactorsStationaryLiquid_Data(), Table_Fuel_EFs_StationaryLiquid[[#Headers],[Fuel combusted]],0)</f>
        <v>0.2</v>
      </c>
      <c r="J65" s="215" cm="1">
        <f t="array" ref="J65">Common_InputFunctions.Utility_DisplayArrayInTable(Fuel_SourceData.Fuel_Scope1Scope3EmissionFactorsStationaryLiquid_Data(), Table_Fuel_EFs_StationaryLiquid[[#Headers],[Fuel combusted]],0)</f>
        <v>69.930000000000007</v>
      </c>
      <c r="K65" s="215" cm="1">
        <f t="array" ref="K65">Common_InputFunctions.Utility_DisplayArrayInTable(Fuel_SourceData.Fuel_Scope1Scope3EmissionFactorsStationaryLiquid_Data(), Table_Fuel_EFs_StationaryLiquid[[#Headers],[Fuel combusted]],0)</f>
        <v>18</v>
      </c>
      <c r="L65" s="157"/>
    </row>
    <row r="66" spans="4:13" ht="20.100000000000001" customHeight="1" x14ac:dyDescent="0.25">
      <c r="D66" s="215" t="str" cm="1">
        <f t="array" ref="D66">Common_InputFunctions.Utility_DisplayArrayInTable(Fuel_SourceData.Fuel_Scope1Scope3EmissionFactorsStationaryLiquid_Data(), Table_Fuel_EFs_StationaryLiquid[[#Headers],[Fuel combusted]],0)</f>
        <v>Solvents: mineral turpentine or white spirits</v>
      </c>
      <c r="E66" s="215" cm="1">
        <f t="array" ref="E66">Common_InputFunctions.Utility_DisplayArrayInTable(Fuel_SourceData.Fuel_Scope1Scope3EmissionFactorsStationaryLiquid_Data(), Table_Fuel_EFs_StationaryLiquid[[#Headers],[Fuel combusted]],0)</f>
        <v>34.4</v>
      </c>
      <c r="F66" s="215" t="str" cm="1">
        <f t="array" ref="F66">Common_InputFunctions.Utility_DisplayArrayInTable(Fuel_SourceData.Fuel_Scope1Scope3EmissionFactorsStationaryLiquid_Data(), Table_Fuel_EFs_StationaryLiquid[[#Headers],[Fuel combusted]],0)</f>
        <v>kL</v>
      </c>
      <c r="G66" s="215" cm="1">
        <f t="array" ref="G66">Common_InputFunctions.Utility_DisplayArrayInTable(Fuel_SourceData.Fuel_Scope1Scope3EmissionFactorsStationaryLiquid_Data(), Table_Fuel_EFs_StationaryLiquid[[#Headers],[Fuel combusted]],0)</f>
        <v>69.7</v>
      </c>
      <c r="H66" s="215" cm="1">
        <f t="array" ref="H66">Common_InputFunctions.Utility_DisplayArrayInTable(Fuel_SourceData.Fuel_Scope1Scope3EmissionFactorsStationaryLiquid_Data(), Table_Fuel_EFs_StationaryLiquid[[#Headers],[Fuel combusted]],0)</f>
        <v>0.03</v>
      </c>
      <c r="I66" s="215" cm="1">
        <f t="array" ref="I66">Common_InputFunctions.Utility_DisplayArrayInTable(Fuel_SourceData.Fuel_Scope1Scope3EmissionFactorsStationaryLiquid_Data(), Table_Fuel_EFs_StationaryLiquid[[#Headers],[Fuel combusted]],0)</f>
        <v>0.2</v>
      </c>
      <c r="J66" s="215" cm="1">
        <f t="array" ref="J66">Common_InputFunctions.Utility_DisplayArrayInTable(Fuel_SourceData.Fuel_Scope1Scope3EmissionFactorsStationaryLiquid_Data(), Table_Fuel_EFs_StationaryLiquid[[#Headers],[Fuel combusted]],0)</f>
        <v>69.930000000000007</v>
      </c>
      <c r="K66" s="215" cm="1">
        <f t="array" ref="K66">Common_InputFunctions.Utility_DisplayArrayInTable(Fuel_SourceData.Fuel_Scope1Scope3EmissionFactorsStationaryLiquid_Data(), Table_Fuel_EFs_StationaryLiquid[[#Headers],[Fuel combusted]],0)</f>
        <v>18</v>
      </c>
      <c r="L66" s="157"/>
    </row>
    <row r="67" spans="4:13" ht="20.100000000000001" customHeight="1" x14ac:dyDescent="0.25">
      <c r="D67" s="215" t="str" cm="1">
        <f t="array" ref="D67">Common_InputFunctions.Utility_DisplayArrayInTable(Fuel_SourceData.Fuel_Scope1Scope3EmissionFactorsStationaryLiquid_Data(), Table_Fuel_EFs_StationaryLiquid[[#Headers],[Fuel combusted]],0)</f>
        <v>Liquefied petroleum gas (LPG)</v>
      </c>
      <c r="E67" s="215" cm="1">
        <f t="array" ref="E67">Common_InputFunctions.Utility_DisplayArrayInTable(Fuel_SourceData.Fuel_Scope1Scope3EmissionFactorsStationaryLiquid_Data(), Table_Fuel_EFs_StationaryLiquid[[#Headers],[Fuel combusted]],0)</f>
        <v>25.7</v>
      </c>
      <c r="F67" s="215" t="str" cm="1">
        <f t="array" ref="F67">Common_InputFunctions.Utility_DisplayArrayInTable(Fuel_SourceData.Fuel_Scope1Scope3EmissionFactorsStationaryLiquid_Data(), Table_Fuel_EFs_StationaryLiquid[[#Headers],[Fuel combusted]],0)</f>
        <v>kL</v>
      </c>
      <c r="G67" s="215" cm="1">
        <f t="array" ref="G67">Common_InputFunctions.Utility_DisplayArrayInTable(Fuel_SourceData.Fuel_Scope1Scope3EmissionFactorsStationaryLiquid_Data(), Table_Fuel_EFs_StationaryLiquid[[#Headers],[Fuel combusted]],0)</f>
        <v>60.2</v>
      </c>
      <c r="H67" s="215" cm="1">
        <f t="array" ref="H67">Common_InputFunctions.Utility_DisplayArrayInTable(Fuel_SourceData.Fuel_Scope1Scope3EmissionFactorsStationaryLiquid_Data(), Table_Fuel_EFs_StationaryLiquid[[#Headers],[Fuel combusted]],0)</f>
        <v>0.2</v>
      </c>
      <c r="I67" s="215" cm="1">
        <f t="array" ref="I67">Common_InputFunctions.Utility_DisplayArrayInTable(Fuel_SourceData.Fuel_Scope1Scope3EmissionFactorsStationaryLiquid_Data(), Table_Fuel_EFs_StationaryLiquid[[#Headers],[Fuel combusted]],0)</f>
        <v>0.2</v>
      </c>
      <c r="J67" s="215" cm="1">
        <f t="array" ref="J67">Common_InputFunctions.Utility_DisplayArrayInTable(Fuel_SourceData.Fuel_Scope1Scope3EmissionFactorsStationaryLiquid_Data(), Table_Fuel_EFs_StationaryLiquid[[#Headers],[Fuel combusted]],0)</f>
        <v>60.6</v>
      </c>
      <c r="K67" s="215" cm="1">
        <f t="array" ref="K67">Common_InputFunctions.Utility_DisplayArrayInTable(Fuel_SourceData.Fuel_Scope1Scope3EmissionFactorsStationaryLiquid_Data(), Table_Fuel_EFs_StationaryLiquid[[#Headers],[Fuel combusted]],0)</f>
        <v>20.2</v>
      </c>
      <c r="L67" s="157"/>
    </row>
    <row r="68" spans="4:13" ht="20.100000000000001" customHeight="1" x14ac:dyDescent="0.25">
      <c r="D68" s="215" t="str" cm="1">
        <f t="array" ref="D68">Common_InputFunctions.Utility_DisplayArrayInTable(Fuel_SourceData.Fuel_Scope1Scope3EmissionFactorsStationaryLiquid_Data(), Table_Fuel_EFs_StationaryLiquid[[#Headers],[Fuel combusted]],0)</f>
        <v>Naphtha</v>
      </c>
      <c r="E68" s="215" cm="1">
        <f t="array" ref="E68">Common_InputFunctions.Utility_DisplayArrayInTable(Fuel_SourceData.Fuel_Scope1Scope3EmissionFactorsStationaryLiquid_Data(), Table_Fuel_EFs_StationaryLiquid[[#Headers],[Fuel combusted]],0)</f>
        <v>31.4</v>
      </c>
      <c r="F68" s="215" t="str" cm="1">
        <f t="array" ref="F68">Common_InputFunctions.Utility_DisplayArrayInTable(Fuel_SourceData.Fuel_Scope1Scope3EmissionFactorsStationaryLiquid_Data(), Table_Fuel_EFs_StationaryLiquid[[#Headers],[Fuel combusted]],0)</f>
        <v>kL</v>
      </c>
      <c r="G68" s="215" cm="1">
        <f t="array" ref="G68">Common_InputFunctions.Utility_DisplayArrayInTable(Fuel_SourceData.Fuel_Scope1Scope3EmissionFactorsStationaryLiquid_Data(), Table_Fuel_EFs_StationaryLiquid[[#Headers],[Fuel combusted]],0)</f>
        <v>69.8</v>
      </c>
      <c r="H68" s="215" cm="1">
        <f t="array" ref="H68">Common_InputFunctions.Utility_DisplayArrayInTable(Fuel_SourceData.Fuel_Scope1Scope3EmissionFactorsStationaryLiquid_Data(), Table_Fuel_EFs_StationaryLiquid[[#Headers],[Fuel combusted]],0)</f>
        <v>0.01</v>
      </c>
      <c r="I68" s="215" cm="1">
        <f t="array" ref="I68">Common_InputFunctions.Utility_DisplayArrayInTable(Fuel_SourceData.Fuel_Scope1Scope3EmissionFactorsStationaryLiquid_Data(), Table_Fuel_EFs_StationaryLiquid[[#Headers],[Fuel combusted]],0)</f>
        <v>0.01</v>
      </c>
      <c r="J68" s="215" cm="1">
        <f t="array" ref="J68">Common_InputFunctions.Utility_DisplayArrayInTable(Fuel_SourceData.Fuel_Scope1Scope3EmissionFactorsStationaryLiquid_Data(), Table_Fuel_EFs_StationaryLiquid[[#Headers],[Fuel combusted]],0)</f>
        <v>69.819999999999993</v>
      </c>
      <c r="K68" s="215" cm="1">
        <f t="array" ref="K68">Common_InputFunctions.Utility_DisplayArrayInTable(Fuel_SourceData.Fuel_Scope1Scope3EmissionFactorsStationaryLiquid_Data(), Table_Fuel_EFs_StationaryLiquid[[#Headers],[Fuel combusted]],0)</f>
        <v>18</v>
      </c>
      <c r="L68" s="157"/>
    </row>
    <row r="69" spans="4:13" ht="20.100000000000001" customHeight="1" x14ac:dyDescent="0.25">
      <c r="D69" s="215" t="str" cm="1">
        <f t="array" ref="D69">Common_InputFunctions.Utility_DisplayArrayInTable(Fuel_SourceData.Fuel_Scope1Scope3EmissionFactorsStationaryLiquid_Data(), Table_Fuel_EFs_StationaryLiquid[[#Headers],[Fuel combusted]],0)</f>
        <v>Petroleum coke</v>
      </c>
      <c r="E69" s="215" cm="1">
        <f t="array" ref="E69">Common_InputFunctions.Utility_DisplayArrayInTable(Fuel_SourceData.Fuel_Scope1Scope3EmissionFactorsStationaryLiquid_Data(), Table_Fuel_EFs_StationaryLiquid[[#Headers],[Fuel combusted]],0)</f>
        <v>34.200000000000003</v>
      </c>
      <c r="F69" s="215" t="str" cm="1">
        <f t="array" ref="F69">Common_InputFunctions.Utility_DisplayArrayInTable(Fuel_SourceData.Fuel_Scope1Scope3EmissionFactorsStationaryLiquid_Data(), Table_Fuel_EFs_StationaryLiquid[[#Headers],[Fuel combusted]],0)</f>
        <v>t</v>
      </c>
      <c r="G69" s="215" cm="1">
        <f t="array" ref="G69">Common_InputFunctions.Utility_DisplayArrayInTable(Fuel_SourceData.Fuel_Scope1Scope3EmissionFactorsStationaryLiquid_Data(), Table_Fuel_EFs_StationaryLiquid[[#Headers],[Fuel combusted]],0)</f>
        <v>92.6</v>
      </c>
      <c r="H69" s="215" cm="1">
        <f t="array" ref="H69">Common_InputFunctions.Utility_DisplayArrayInTable(Fuel_SourceData.Fuel_Scope1Scope3EmissionFactorsStationaryLiquid_Data(), Table_Fuel_EFs_StationaryLiquid[[#Headers],[Fuel combusted]],0)</f>
        <v>0.08</v>
      </c>
      <c r="I69" s="215" cm="1">
        <f t="array" ref="I69">Common_InputFunctions.Utility_DisplayArrayInTable(Fuel_SourceData.Fuel_Scope1Scope3EmissionFactorsStationaryLiquid_Data(), Table_Fuel_EFs_StationaryLiquid[[#Headers],[Fuel combusted]],0)</f>
        <v>0.2</v>
      </c>
      <c r="J69" s="215" cm="1">
        <f t="array" ref="J69">Common_InputFunctions.Utility_DisplayArrayInTable(Fuel_SourceData.Fuel_Scope1Scope3EmissionFactorsStationaryLiquid_Data(), Table_Fuel_EFs_StationaryLiquid[[#Headers],[Fuel combusted]],0)</f>
        <v>92.88</v>
      </c>
      <c r="K69" s="215" cm="1">
        <f t="array" ref="K69">Common_InputFunctions.Utility_DisplayArrayInTable(Fuel_SourceData.Fuel_Scope1Scope3EmissionFactorsStationaryLiquid_Data(), Table_Fuel_EFs_StationaryLiquid[[#Headers],[Fuel combusted]],0)</f>
        <v>18</v>
      </c>
      <c r="L69" s="157"/>
    </row>
    <row r="70" spans="4:13" ht="20.100000000000001" customHeight="1" x14ac:dyDescent="0.25">
      <c r="D70" s="215" t="str" cm="1">
        <f t="array" ref="D70">Common_InputFunctions.Utility_DisplayArrayInTable(Fuel_SourceData.Fuel_Scope1Scope3EmissionFactorsStationaryLiquid_Data(), Table_Fuel_EFs_StationaryLiquid[[#Headers],[Fuel combusted]],0)</f>
        <v>Refinery gas and liquids</v>
      </c>
      <c r="E70" s="215" cm="1">
        <f t="array" ref="E70">Common_InputFunctions.Utility_DisplayArrayInTable(Fuel_SourceData.Fuel_Scope1Scope3EmissionFactorsStationaryLiquid_Data(), Table_Fuel_EFs_StationaryLiquid[[#Headers],[Fuel combusted]],0)</f>
        <v>42.9</v>
      </c>
      <c r="F70" s="215" t="str" cm="1">
        <f t="array" ref="F70">Common_InputFunctions.Utility_DisplayArrayInTable(Fuel_SourceData.Fuel_Scope1Scope3EmissionFactorsStationaryLiquid_Data(), Table_Fuel_EFs_StationaryLiquid[[#Headers],[Fuel combusted]],0)</f>
        <v>t</v>
      </c>
      <c r="G70" s="215" cm="1">
        <f t="array" ref="G70">Common_InputFunctions.Utility_DisplayArrayInTable(Fuel_SourceData.Fuel_Scope1Scope3EmissionFactorsStationaryLiquid_Data(), Table_Fuel_EFs_StationaryLiquid[[#Headers],[Fuel combusted]],0)</f>
        <v>54.7</v>
      </c>
      <c r="H70" s="215" cm="1">
        <f t="array" ref="H70">Common_InputFunctions.Utility_DisplayArrayInTable(Fuel_SourceData.Fuel_Scope1Scope3EmissionFactorsStationaryLiquid_Data(), Table_Fuel_EFs_StationaryLiquid[[#Headers],[Fuel combusted]],0)</f>
        <v>0.03</v>
      </c>
      <c r="I70" s="215" cm="1">
        <f t="array" ref="I70">Common_InputFunctions.Utility_DisplayArrayInTable(Fuel_SourceData.Fuel_Scope1Scope3EmissionFactorsStationaryLiquid_Data(), Table_Fuel_EFs_StationaryLiquid[[#Headers],[Fuel combusted]],0)</f>
        <v>0.03</v>
      </c>
      <c r="J70" s="215" cm="1">
        <f t="array" ref="J70">Common_InputFunctions.Utility_DisplayArrayInTable(Fuel_SourceData.Fuel_Scope1Scope3EmissionFactorsStationaryLiquid_Data(), Table_Fuel_EFs_StationaryLiquid[[#Headers],[Fuel combusted]],0)</f>
        <v>54.76</v>
      </c>
      <c r="K70" s="215" cm="1">
        <f t="array" ref="K70">Common_InputFunctions.Utility_DisplayArrayInTable(Fuel_SourceData.Fuel_Scope1Scope3EmissionFactorsStationaryLiquid_Data(), Table_Fuel_EFs_StationaryLiquid[[#Headers],[Fuel combusted]],0)</f>
        <v>18</v>
      </c>
      <c r="L70" s="157"/>
    </row>
    <row r="71" spans="4:13" ht="20.100000000000001" customHeight="1" x14ac:dyDescent="0.25">
      <c r="D71" s="215" t="str" cm="1">
        <f t="array" ref="D71">Common_InputFunctions.Utility_DisplayArrayInTable(Fuel_SourceData.Fuel_Scope1Scope3EmissionFactorsStationaryLiquid_Data(), Table_Fuel_EFs_StationaryLiquid[[#Headers],[Fuel combusted]],0)</f>
        <v>Refinery coke</v>
      </c>
      <c r="E71" s="215" cm="1">
        <f t="array" ref="E71">Common_InputFunctions.Utility_DisplayArrayInTable(Fuel_SourceData.Fuel_Scope1Scope3EmissionFactorsStationaryLiquid_Data(), Table_Fuel_EFs_StationaryLiquid[[#Headers],[Fuel combusted]],0)</f>
        <v>34.200000000000003</v>
      </c>
      <c r="F71" s="215" t="str" cm="1">
        <f t="array" ref="F71">Common_InputFunctions.Utility_DisplayArrayInTable(Fuel_SourceData.Fuel_Scope1Scope3EmissionFactorsStationaryLiquid_Data(), Table_Fuel_EFs_StationaryLiquid[[#Headers],[Fuel combusted]],0)</f>
        <v>t</v>
      </c>
      <c r="G71" s="215" cm="1">
        <f t="array" ref="G71">Common_InputFunctions.Utility_DisplayArrayInTable(Fuel_SourceData.Fuel_Scope1Scope3EmissionFactorsStationaryLiquid_Data(), Table_Fuel_EFs_StationaryLiquid[[#Headers],[Fuel combusted]],0)</f>
        <v>92.6</v>
      </c>
      <c r="H71" s="215" cm="1">
        <f t="array" ref="H71">Common_InputFunctions.Utility_DisplayArrayInTable(Fuel_SourceData.Fuel_Scope1Scope3EmissionFactorsStationaryLiquid_Data(), Table_Fuel_EFs_StationaryLiquid[[#Headers],[Fuel combusted]],0)</f>
        <v>0.08</v>
      </c>
      <c r="I71" s="215" cm="1">
        <f t="array" ref="I71">Common_InputFunctions.Utility_DisplayArrayInTable(Fuel_SourceData.Fuel_Scope1Scope3EmissionFactorsStationaryLiquid_Data(), Table_Fuel_EFs_StationaryLiquid[[#Headers],[Fuel combusted]],0)</f>
        <v>0.2</v>
      </c>
      <c r="J71" s="215" cm="1">
        <f t="array" ref="J71">Common_InputFunctions.Utility_DisplayArrayInTable(Fuel_SourceData.Fuel_Scope1Scope3EmissionFactorsStationaryLiquid_Data(), Table_Fuel_EFs_StationaryLiquid[[#Headers],[Fuel combusted]],0)</f>
        <v>92.88</v>
      </c>
      <c r="K71" s="215" cm="1">
        <f t="array" ref="K71">Common_InputFunctions.Utility_DisplayArrayInTable(Fuel_SourceData.Fuel_Scope1Scope3EmissionFactorsStationaryLiquid_Data(), Table_Fuel_EFs_StationaryLiquid[[#Headers],[Fuel combusted]],0)</f>
        <v>18</v>
      </c>
      <c r="L71" s="157"/>
    </row>
    <row r="72" spans="4:13" ht="20.100000000000001" customHeight="1" x14ac:dyDescent="0.25">
      <c r="D72" s="215" t="str" cm="1">
        <f t="array" ref="D72">Common_InputFunctions.Utility_DisplayArrayInTable(Fuel_SourceData.Fuel_Scope1Scope3EmissionFactorsStationaryLiquid_Data(), Table_Fuel_EFs_StationaryLiquid[[#Headers],[Fuel combusted]],0)</f>
        <v>Petroleum based products other than mentioned in the items above</v>
      </c>
      <c r="E72" s="215" cm="1">
        <f t="array" ref="E72">Common_InputFunctions.Utility_DisplayArrayInTable(Fuel_SourceData.Fuel_Scope1Scope3EmissionFactorsStationaryLiquid_Data(), Table_Fuel_EFs_StationaryLiquid[[#Headers],[Fuel combusted]],0)</f>
        <v>34.4</v>
      </c>
      <c r="F72" s="215" t="str" cm="1">
        <f t="array" ref="F72">Common_InputFunctions.Utility_DisplayArrayInTable(Fuel_SourceData.Fuel_Scope1Scope3EmissionFactorsStationaryLiquid_Data(), Table_Fuel_EFs_StationaryLiquid[[#Headers],[Fuel combusted]],0)</f>
        <v>kL</v>
      </c>
      <c r="G72" s="215" cm="1">
        <f t="array" ref="G72">Common_InputFunctions.Utility_DisplayArrayInTable(Fuel_SourceData.Fuel_Scope1Scope3EmissionFactorsStationaryLiquid_Data(), Table_Fuel_EFs_StationaryLiquid[[#Headers],[Fuel combusted]],0)</f>
        <v>69.8</v>
      </c>
      <c r="H72" s="215" cm="1">
        <f t="array" ref="H72">Common_InputFunctions.Utility_DisplayArrayInTable(Fuel_SourceData.Fuel_Scope1Scope3EmissionFactorsStationaryLiquid_Data(), Table_Fuel_EFs_StationaryLiquid[[#Headers],[Fuel combusted]],0)</f>
        <v>0.02</v>
      </c>
      <c r="I72" s="215" cm="1">
        <f t="array" ref="I72">Common_InputFunctions.Utility_DisplayArrayInTable(Fuel_SourceData.Fuel_Scope1Scope3EmissionFactorsStationaryLiquid_Data(), Table_Fuel_EFs_StationaryLiquid[[#Headers],[Fuel combusted]],0)</f>
        <v>0.1</v>
      </c>
      <c r="J72" s="215" cm="1">
        <f t="array" ref="J72">Common_InputFunctions.Utility_DisplayArrayInTable(Fuel_SourceData.Fuel_Scope1Scope3EmissionFactorsStationaryLiquid_Data(), Table_Fuel_EFs_StationaryLiquid[[#Headers],[Fuel combusted]],0)</f>
        <v>69.92</v>
      </c>
      <c r="K72" s="215" cm="1">
        <f t="array" ref="K72">Common_InputFunctions.Utility_DisplayArrayInTable(Fuel_SourceData.Fuel_Scope1Scope3EmissionFactorsStationaryLiquid_Data(), Table_Fuel_EFs_StationaryLiquid[[#Headers],[Fuel combusted]],0)</f>
        <v>18</v>
      </c>
      <c r="L72" s="157"/>
    </row>
    <row r="73" spans="4:13" ht="20.100000000000001" customHeight="1" x14ac:dyDescent="0.25">
      <c r="D73" s="215" t="str" cm="1">
        <f t="array" ref="D73">Common_InputFunctions.Utility_DisplayArrayInTable(Fuel_SourceData.Fuel_Scope1Scope3EmissionFactorsStationaryLiquid_Data(), Table_Fuel_EFs_StationaryLiquid[[#Headers],[Fuel combusted]],0)</f>
        <v>Biodiesel</v>
      </c>
      <c r="E73" s="215" cm="1">
        <f t="array" ref="E73">Common_InputFunctions.Utility_DisplayArrayInTable(Fuel_SourceData.Fuel_Scope1Scope3EmissionFactorsStationaryLiquid_Data(), Table_Fuel_EFs_StationaryLiquid[[#Headers],[Fuel combusted]],0)</f>
        <v>34.6</v>
      </c>
      <c r="F73" s="215" t="str" cm="1">
        <f t="array" ref="F73">Common_InputFunctions.Utility_DisplayArrayInTable(Fuel_SourceData.Fuel_Scope1Scope3EmissionFactorsStationaryLiquid_Data(), Table_Fuel_EFs_StationaryLiquid[[#Headers],[Fuel combusted]],0)</f>
        <v>kL</v>
      </c>
      <c r="G73" s="215" cm="1">
        <f t="array" ref="G73">Common_InputFunctions.Utility_DisplayArrayInTable(Fuel_SourceData.Fuel_Scope1Scope3EmissionFactorsStationaryLiquid_Data(), Table_Fuel_EFs_StationaryLiquid[[#Headers],[Fuel combusted]],0)</f>
        <v>0</v>
      </c>
      <c r="H73" s="215" cm="1">
        <f t="array" ref="H73">Common_InputFunctions.Utility_DisplayArrayInTable(Fuel_SourceData.Fuel_Scope1Scope3EmissionFactorsStationaryLiquid_Data(), Table_Fuel_EFs_StationaryLiquid[[#Headers],[Fuel combusted]],0)</f>
        <v>0.08</v>
      </c>
      <c r="I73" s="215" cm="1">
        <f t="array" ref="I73">Common_InputFunctions.Utility_DisplayArrayInTable(Fuel_SourceData.Fuel_Scope1Scope3EmissionFactorsStationaryLiquid_Data(), Table_Fuel_EFs_StationaryLiquid[[#Headers],[Fuel combusted]],0)</f>
        <v>0.2</v>
      </c>
      <c r="J73" s="215" cm="1">
        <f t="array" ref="J73">Common_InputFunctions.Utility_DisplayArrayInTable(Fuel_SourceData.Fuel_Scope1Scope3EmissionFactorsStationaryLiquid_Data(), Table_Fuel_EFs_StationaryLiquid[[#Headers],[Fuel combusted]],0)</f>
        <v>0.28000000000000003</v>
      </c>
      <c r="K73" s="215" t="str" cm="1">
        <f t="array" ref="K73">Common_InputFunctions.Utility_DisplayArrayInTable(Fuel_SourceData.Fuel_Scope1Scope3EmissionFactorsStationaryLiquid_Data(), Table_Fuel_EFs_StationaryLiquid[[#Headers],[Fuel combusted]],0)</f>
        <v>NE</v>
      </c>
      <c r="L73" s="157"/>
    </row>
    <row r="74" spans="4:13" ht="20.100000000000001" customHeight="1" x14ac:dyDescent="0.25">
      <c r="D74" s="215" t="str" cm="1">
        <f t="array" ref="D74">Common_InputFunctions.Utility_DisplayArrayInTable(Fuel_SourceData.Fuel_Scope1Scope3EmissionFactorsStationaryLiquid_Data(), Table_Fuel_EFs_StationaryLiquid[[#Headers],[Fuel combusted]],0)</f>
        <v>Ethanol for use as a fuel in an internal combustion engine</v>
      </c>
      <c r="E74" s="215" cm="1">
        <f t="array" ref="E74">Common_InputFunctions.Utility_DisplayArrayInTable(Fuel_SourceData.Fuel_Scope1Scope3EmissionFactorsStationaryLiquid_Data(), Table_Fuel_EFs_StationaryLiquid[[#Headers],[Fuel combusted]],0)</f>
        <v>23.4</v>
      </c>
      <c r="F74" s="215" t="str" cm="1">
        <f t="array" ref="F74">Common_InputFunctions.Utility_DisplayArrayInTable(Fuel_SourceData.Fuel_Scope1Scope3EmissionFactorsStationaryLiquid_Data(), Table_Fuel_EFs_StationaryLiquid[[#Headers],[Fuel combusted]],0)</f>
        <v>kL</v>
      </c>
      <c r="G74" s="215" cm="1">
        <f t="array" ref="G74">Common_InputFunctions.Utility_DisplayArrayInTable(Fuel_SourceData.Fuel_Scope1Scope3EmissionFactorsStationaryLiquid_Data(), Table_Fuel_EFs_StationaryLiquid[[#Headers],[Fuel combusted]],0)</f>
        <v>0</v>
      </c>
      <c r="H74" s="215" cm="1">
        <f t="array" ref="H74">Common_InputFunctions.Utility_DisplayArrayInTable(Fuel_SourceData.Fuel_Scope1Scope3EmissionFactorsStationaryLiquid_Data(), Table_Fuel_EFs_StationaryLiquid[[#Headers],[Fuel combusted]],0)</f>
        <v>0.08</v>
      </c>
      <c r="I74" s="215" cm="1">
        <f t="array" ref="I74">Common_InputFunctions.Utility_DisplayArrayInTable(Fuel_SourceData.Fuel_Scope1Scope3EmissionFactorsStationaryLiquid_Data(), Table_Fuel_EFs_StationaryLiquid[[#Headers],[Fuel combusted]],0)</f>
        <v>0.2</v>
      </c>
      <c r="J74" s="215" cm="1">
        <f t="array" ref="J74">Common_InputFunctions.Utility_DisplayArrayInTable(Fuel_SourceData.Fuel_Scope1Scope3EmissionFactorsStationaryLiquid_Data(), Table_Fuel_EFs_StationaryLiquid[[#Headers],[Fuel combusted]],0)</f>
        <v>0.28000000000000003</v>
      </c>
      <c r="K74" s="215" t="str" cm="1">
        <f t="array" ref="K74">Common_InputFunctions.Utility_DisplayArrayInTable(Fuel_SourceData.Fuel_Scope1Scope3EmissionFactorsStationaryLiquid_Data(), Table_Fuel_EFs_StationaryLiquid[[#Headers],[Fuel combusted]],0)</f>
        <v>NE</v>
      </c>
      <c r="L74" s="157"/>
    </row>
    <row r="75" spans="4:13" ht="20.100000000000001" customHeight="1" x14ac:dyDescent="0.25">
      <c r="D75" s="215" t="str" cm="1">
        <f t="array" ref="D75">Common_InputFunctions.Utility_DisplayArrayInTable(Fuel_SourceData.Fuel_Scope1Scope3EmissionFactorsStationaryLiquid_Data(), Table_Fuel_EFs_StationaryLiquid[[#Headers],[Fuel combusted]],0)</f>
        <v>Biofuels other than those mentioned in the items above and below</v>
      </c>
      <c r="E75" s="215" cm="1">
        <f t="array" ref="E75">Common_InputFunctions.Utility_DisplayArrayInTable(Fuel_SourceData.Fuel_Scope1Scope3EmissionFactorsStationaryLiquid_Data(), Table_Fuel_EFs_StationaryLiquid[[#Headers],[Fuel combusted]],0)</f>
        <v>23.4</v>
      </c>
      <c r="F75" s="215" t="str" cm="1">
        <f t="array" ref="F75">Common_InputFunctions.Utility_DisplayArrayInTable(Fuel_SourceData.Fuel_Scope1Scope3EmissionFactorsStationaryLiquid_Data(), Table_Fuel_EFs_StationaryLiquid[[#Headers],[Fuel combusted]],0)</f>
        <v>kL</v>
      </c>
      <c r="G75" s="215" cm="1">
        <f t="array" ref="G75">Common_InputFunctions.Utility_DisplayArrayInTable(Fuel_SourceData.Fuel_Scope1Scope3EmissionFactorsStationaryLiquid_Data(), Table_Fuel_EFs_StationaryLiquid[[#Headers],[Fuel combusted]],0)</f>
        <v>0</v>
      </c>
      <c r="H75" s="215" cm="1">
        <f t="array" ref="H75">Common_InputFunctions.Utility_DisplayArrayInTable(Fuel_SourceData.Fuel_Scope1Scope3EmissionFactorsStationaryLiquid_Data(), Table_Fuel_EFs_StationaryLiquid[[#Headers],[Fuel combusted]],0)</f>
        <v>0.08</v>
      </c>
      <c r="I75" s="215" cm="1">
        <f t="array" ref="I75">Common_InputFunctions.Utility_DisplayArrayInTable(Fuel_SourceData.Fuel_Scope1Scope3EmissionFactorsStationaryLiquid_Data(), Table_Fuel_EFs_StationaryLiquid[[#Headers],[Fuel combusted]],0)</f>
        <v>0.2</v>
      </c>
      <c r="J75" s="215" cm="1">
        <f t="array" ref="J75">Common_InputFunctions.Utility_DisplayArrayInTable(Fuel_SourceData.Fuel_Scope1Scope3EmissionFactorsStationaryLiquid_Data(), Table_Fuel_EFs_StationaryLiquid[[#Headers],[Fuel combusted]],0)</f>
        <v>0.28000000000000003</v>
      </c>
      <c r="K75" s="215" t="str" cm="1">
        <f t="array" ref="K75">Common_InputFunctions.Utility_DisplayArrayInTable(Fuel_SourceData.Fuel_Scope1Scope3EmissionFactorsStationaryLiquid_Data(), Table_Fuel_EFs_StationaryLiquid[[#Headers],[Fuel combusted]],0)</f>
        <v>NE</v>
      </c>
      <c r="L75" s="157"/>
    </row>
    <row r="76" spans="4:13" ht="20.100000000000001" customHeight="1" x14ac:dyDescent="0.25">
      <c r="D76" s="215" t="str" cm="1">
        <f t="array" ref="D76">Common_InputFunctions.Utility_DisplayArrayInTable(Fuel_SourceData.Fuel_Scope1Scope3EmissionFactorsStationaryLiquid_Data(), Table_Fuel_EFs_StationaryLiquid[[#Headers],[Fuel combusted]],0)</f>
        <v>Renewable aviation kerosene</v>
      </c>
      <c r="E76" s="215" cm="1">
        <f t="array" ref="E76">Common_InputFunctions.Utility_DisplayArrayInTable(Fuel_SourceData.Fuel_Scope1Scope3EmissionFactorsStationaryLiquid_Data(), Table_Fuel_EFs_StationaryLiquid[[#Headers],[Fuel combusted]],0)</f>
        <v>36.799999999999997</v>
      </c>
      <c r="F76" s="215" t="str" cm="1">
        <f t="array" ref="F76">Common_InputFunctions.Utility_DisplayArrayInTable(Fuel_SourceData.Fuel_Scope1Scope3EmissionFactorsStationaryLiquid_Data(), Table_Fuel_EFs_StationaryLiquid[[#Headers],[Fuel combusted]],0)</f>
        <v>kL</v>
      </c>
      <c r="G76" s="215" cm="1">
        <f t="array" ref="G76">Common_InputFunctions.Utility_DisplayArrayInTable(Fuel_SourceData.Fuel_Scope1Scope3EmissionFactorsStationaryLiquid_Data(), Table_Fuel_EFs_StationaryLiquid[[#Headers],[Fuel combusted]],0)</f>
        <v>0</v>
      </c>
      <c r="H76" s="215" cm="1">
        <f t="array" ref="H76">Common_InputFunctions.Utility_DisplayArrayInTable(Fuel_SourceData.Fuel_Scope1Scope3EmissionFactorsStationaryLiquid_Data(), Table_Fuel_EFs_StationaryLiquid[[#Headers],[Fuel combusted]],0)</f>
        <v>0.02</v>
      </c>
      <c r="I76" s="215" cm="1">
        <f t="array" ref="I76">Common_InputFunctions.Utility_DisplayArrayInTable(Fuel_SourceData.Fuel_Scope1Scope3EmissionFactorsStationaryLiquid_Data(), Table_Fuel_EFs_StationaryLiquid[[#Headers],[Fuel combusted]],0)</f>
        <v>0.2</v>
      </c>
      <c r="J76" s="215" cm="1">
        <f t="array" ref="J76">Common_InputFunctions.Utility_DisplayArrayInTable(Fuel_SourceData.Fuel_Scope1Scope3EmissionFactorsStationaryLiquid_Data(), Table_Fuel_EFs_StationaryLiquid[[#Headers],[Fuel combusted]],0)</f>
        <v>0.22</v>
      </c>
      <c r="K76" s="215" t="str" cm="1">
        <f t="array" ref="K76">Common_InputFunctions.Utility_DisplayArrayInTable(Fuel_SourceData.Fuel_Scope1Scope3EmissionFactorsStationaryLiquid_Data(), Table_Fuel_EFs_StationaryLiquid[[#Headers],[Fuel combusted]],0)</f>
        <v>NE</v>
      </c>
      <c r="L76" s="157"/>
    </row>
    <row r="77" spans="4:13" ht="20.100000000000001" customHeight="1" x14ac:dyDescent="0.25">
      <c r="D77" s="215" t="str" cm="1">
        <f t="array" ref="D77">Common_InputFunctions.Utility_DisplayArrayInTable(Fuel_SourceData.Fuel_Scope1Scope3EmissionFactorsStationaryLiquid_Data(), Table_Fuel_EFs_StationaryLiquid[[#Headers],[Fuel combusted]],0)</f>
        <v>Renewable diesel</v>
      </c>
      <c r="E77" s="215" cm="1">
        <f t="array" ref="E77">Common_InputFunctions.Utility_DisplayArrayInTable(Fuel_SourceData.Fuel_Scope1Scope3EmissionFactorsStationaryLiquid_Data(), Table_Fuel_EFs_StationaryLiquid[[#Headers],[Fuel combusted]],0)</f>
        <v>38.6</v>
      </c>
      <c r="F77" s="215" t="str" cm="1">
        <f t="array" ref="F77">Common_InputFunctions.Utility_DisplayArrayInTable(Fuel_SourceData.Fuel_Scope1Scope3EmissionFactorsStationaryLiquid_Data(), Table_Fuel_EFs_StationaryLiquid[[#Headers],[Fuel combusted]],0)</f>
        <v>kL</v>
      </c>
      <c r="G77" s="215" cm="1">
        <f t="array" ref="G77">Common_InputFunctions.Utility_DisplayArrayInTable(Fuel_SourceData.Fuel_Scope1Scope3EmissionFactorsStationaryLiquid_Data(), Table_Fuel_EFs_StationaryLiquid[[#Headers],[Fuel combusted]],0)</f>
        <v>0</v>
      </c>
      <c r="H77" s="215" cm="1">
        <f t="array" ref="H77">Common_InputFunctions.Utility_DisplayArrayInTable(Fuel_SourceData.Fuel_Scope1Scope3EmissionFactorsStationaryLiquid_Data(), Table_Fuel_EFs_StationaryLiquid[[#Headers],[Fuel combusted]],0)</f>
        <v>0.1</v>
      </c>
      <c r="I77" s="215" cm="1">
        <f t="array" ref="I77">Common_InputFunctions.Utility_DisplayArrayInTable(Fuel_SourceData.Fuel_Scope1Scope3EmissionFactorsStationaryLiquid_Data(), Table_Fuel_EFs_StationaryLiquid[[#Headers],[Fuel combusted]],0)</f>
        <v>0.2</v>
      </c>
      <c r="J77" s="215" cm="1">
        <f t="array" ref="J77">Common_InputFunctions.Utility_DisplayArrayInTable(Fuel_SourceData.Fuel_Scope1Scope3EmissionFactorsStationaryLiquid_Data(), Table_Fuel_EFs_StationaryLiquid[[#Headers],[Fuel combusted]],0)</f>
        <v>0.3</v>
      </c>
      <c r="K77" s="215" t="str" cm="1">
        <f t="array" ref="K77">Common_InputFunctions.Utility_DisplayArrayInTable(Fuel_SourceData.Fuel_Scope1Scope3EmissionFactorsStationaryLiquid_Data(), Table_Fuel_EFs_StationaryLiquid[[#Headers],[Fuel combusted]],0)</f>
        <v>NE</v>
      </c>
      <c r="L77" s="157"/>
    </row>
    <row r="78" spans="4:13" ht="20.100000000000001" customHeight="1" x14ac:dyDescent="0.25">
      <c r="D78" s="157"/>
      <c r="E78" s="157"/>
      <c r="F78" s="157"/>
      <c r="G78" s="157"/>
      <c r="H78" s="157"/>
      <c r="I78" s="157"/>
      <c r="J78" s="157"/>
      <c r="K78" s="157"/>
      <c r="L78" s="157"/>
    </row>
    <row r="79" spans="4:13" ht="20.100000000000001" customHeight="1" x14ac:dyDescent="0.25">
      <c r="D79" s="157"/>
      <c r="E79" s="157"/>
      <c r="F79" s="157"/>
      <c r="G79" s="157"/>
      <c r="H79" s="157"/>
      <c r="I79" s="157"/>
      <c r="J79" s="157"/>
      <c r="K79" s="157"/>
      <c r="L79" s="157"/>
      <c r="M79" s="157"/>
    </row>
    <row r="80" spans="4:13" ht="20.100000000000001" customHeight="1" x14ac:dyDescent="0.25">
      <c r="D80" s="157"/>
      <c r="E80" s="157"/>
      <c r="F80" s="157"/>
      <c r="G80" s="157"/>
      <c r="H80" s="157"/>
      <c r="I80" s="157"/>
      <c r="J80" s="157"/>
      <c r="K80" s="157"/>
      <c r="L80" s="157"/>
      <c r="M80" s="157"/>
    </row>
    <row r="81" spans="4:12" ht="20.100000000000001" customHeight="1" x14ac:dyDescent="0.25">
      <c r="D81" s="2" t="str" cm="1">
        <f t="array" ref="D81">Fuel_SourceData.Fuel_Scope1EmissionFactorsStationaryGaseous_Title()</f>
        <v>Fuel scope 1 emission factors - Stationary gaseous fuels</v>
      </c>
      <c r="E81" s="157"/>
      <c r="F81" s="157"/>
      <c r="G81" s="157"/>
      <c r="H81" s="157"/>
      <c r="I81" s="157"/>
      <c r="J81" s="157"/>
      <c r="K81" s="157"/>
      <c r="L81" s="15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7"/>
      <c r="F82" s="157"/>
      <c r="G82" s="157"/>
      <c r="H82" s="157"/>
      <c r="I82" s="157"/>
      <c r="J82" s="157"/>
      <c r="K82" s="157"/>
      <c r="L82" s="157"/>
    </row>
    <row r="83" spans="4:12" ht="20.100000000000001" customHeight="1" x14ac:dyDescent="0.25">
      <c r="D83" s="27" t="str" cm="1">
        <f t="array" ref="D83">Fuel_SourceData.Fuel_Scope1EmissionFactorsStationaryGaseous_Source()</f>
        <v>Australian National Greenhouse Accounts Factors 2025 - Table 5</v>
      </c>
      <c r="E83" s="157"/>
      <c r="F83" s="157"/>
      <c r="G83" s="157"/>
      <c r="H83" s="157"/>
      <c r="I83" s="157"/>
      <c r="J83" s="157"/>
      <c r="K83" s="157"/>
      <c r="L83" s="15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7"/>
      <c r="F84" s="157"/>
      <c r="G84" s="157"/>
      <c r="H84" s="157"/>
      <c r="I84" s="157"/>
      <c r="J84" s="157"/>
      <c r="K84" s="157"/>
      <c r="L84" s="157"/>
    </row>
    <row r="85" spans="4:12" ht="20.100000000000001" customHeight="1" x14ac:dyDescent="0.25">
      <c r="D85" s="157"/>
      <c r="E85" s="157"/>
      <c r="F85" s="157"/>
      <c r="G85" s="157"/>
      <c r="H85" s="157"/>
      <c r="I85" s="157"/>
      <c r="J85" s="157"/>
      <c r="K85" s="157"/>
      <c r="L85" s="157"/>
    </row>
    <row r="86" spans="4:12" ht="20.100000000000001" customHeight="1" x14ac:dyDescent="0.25">
      <c r="D86" s="180" t="s">
        <v>486</v>
      </c>
      <c r="E86" s="212" t="s">
        <v>487</v>
      </c>
      <c r="F86" s="180" t="s">
        <v>488</v>
      </c>
      <c r="G86" s="212" t="s">
        <v>489</v>
      </c>
      <c r="H86" s="212" t="s">
        <v>490</v>
      </c>
      <c r="I86" s="212" t="s">
        <v>491</v>
      </c>
      <c r="J86" s="212" t="s">
        <v>492</v>
      </c>
      <c r="K86" s="157"/>
      <c r="L86" s="157"/>
    </row>
    <row r="87" spans="4:12" ht="20.100000000000001" customHeight="1" x14ac:dyDescent="0.25">
      <c r="D87" s="215" t="str" cm="1">
        <f t="array" ref="D87">Common_InputFunctions.Utility_DisplayArrayInTable(Fuel_SourceData.Fuel_Scope1EmissionFactorsStationaryGaseous_Data(), Table_Fuel_EFs_StationaryGaseous[[#Headers],[Fuel combusted]],0)</f>
        <v>Natural gas distributed in a pipeline</v>
      </c>
      <c r="E87" s="215" cm="1">
        <f t="array" ref="E87">Common_InputFunctions.Utility_DisplayArrayInTable(Fuel_SourceData.Fuel_Scope1EmissionFactorsStationaryGaseous_Data(), Table_Fuel_EFs_StationaryGaseous[[#Headers],[Fuel combusted]],0)</f>
        <v>3.9300000000000002E-2</v>
      </c>
      <c r="F87" s="215" t="str" cm="1">
        <f t="array" ref="F87">Common_InputFunctions.Utility_DisplayArrayInTable(Fuel_SourceData.Fuel_Scope1EmissionFactorsStationaryGaseous_Data(), Table_Fuel_EFs_StationaryGaseous[[#Headers],[Fuel combusted]],0)</f>
        <v>m3</v>
      </c>
      <c r="G87" s="215" cm="1">
        <f t="array" ref="G87">Common_InputFunctions.Utility_DisplayArrayInTable(Fuel_SourceData.Fuel_Scope1EmissionFactorsStationaryGaseous_Data(), Table_Fuel_EFs_StationaryGaseous[[#Headers],[Fuel combusted]],0)</f>
        <v>51.4</v>
      </c>
      <c r="H87" s="215" cm="1">
        <f t="array" ref="H87">Common_InputFunctions.Utility_DisplayArrayInTable(Fuel_SourceData.Fuel_Scope1EmissionFactorsStationaryGaseous_Data(), Table_Fuel_EFs_StationaryGaseous[[#Headers],[Fuel combusted]],0)</f>
        <v>0.1</v>
      </c>
      <c r="I87" s="215" cm="1">
        <f t="array" ref="I87">Common_InputFunctions.Utility_DisplayArrayInTable(Fuel_SourceData.Fuel_Scope1EmissionFactorsStationaryGaseous_Data(), Table_Fuel_EFs_StationaryGaseous[[#Headers],[Fuel combusted]],0)</f>
        <v>0.03</v>
      </c>
      <c r="J87" s="215" cm="1">
        <f t="array" ref="J87">Common_InputFunctions.Utility_DisplayArrayInTable(Fuel_SourceData.Fuel_Scope1EmissionFactorsStationaryGaseous_Data(), Table_Fuel_EFs_StationaryGaseous[[#Headers],[Fuel combusted]],0)</f>
        <v>51.53</v>
      </c>
      <c r="K87" s="157"/>
      <c r="L87" s="157"/>
    </row>
    <row r="88" spans="4:12" ht="20.100000000000001" customHeight="1" x14ac:dyDescent="0.25">
      <c r="D88" s="215" t="str" cm="1">
        <f t="array" ref="D88">Common_InputFunctions.Utility_DisplayArrayInTable(Fuel_SourceData.Fuel_Scope1EmissionFactorsStationaryGaseous_Data(), Table_Fuel_EFs_StationaryGaseous[[#Headers],[Fuel combusted]],0)</f>
        <v>Coal seam methane that is captured for combustion</v>
      </c>
      <c r="E88" s="215" cm="1">
        <f t="array" ref="E88">Common_InputFunctions.Utility_DisplayArrayInTable(Fuel_SourceData.Fuel_Scope1EmissionFactorsStationaryGaseous_Data(), Table_Fuel_EFs_StationaryGaseous[[#Headers],[Fuel combusted]],0)</f>
        <v>3.7699999999999997E-2</v>
      </c>
      <c r="F88" s="215" t="str" cm="1">
        <f t="array" ref="F88">Common_InputFunctions.Utility_DisplayArrayInTable(Fuel_SourceData.Fuel_Scope1EmissionFactorsStationaryGaseous_Data(), Table_Fuel_EFs_StationaryGaseous[[#Headers],[Fuel combusted]],0)</f>
        <v>m3</v>
      </c>
      <c r="G88" s="215" cm="1">
        <f t="array" ref="G88">Common_InputFunctions.Utility_DisplayArrayInTable(Fuel_SourceData.Fuel_Scope1EmissionFactorsStationaryGaseous_Data(), Table_Fuel_EFs_StationaryGaseous[[#Headers],[Fuel combusted]],0)</f>
        <v>51.4</v>
      </c>
      <c r="H88" s="215" cm="1">
        <f t="array" ref="H88">Common_InputFunctions.Utility_DisplayArrayInTable(Fuel_SourceData.Fuel_Scope1EmissionFactorsStationaryGaseous_Data(), Table_Fuel_EFs_StationaryGaseous[[#Headers],[Fuel combusted]],0)</f>
        <v>0.2</v>
      </c>
      <c r="I88" s="215" cm="1">
        <f t="array" ref="I88">Common_InputFunctions.Utility_DisplayArrayInTable(Fuel_SourceData.Fuel_Scope1EmissionFactorsStationaryGaseous_Data(), Table_Fuel_EFs_StationaryGaseous[[#Headers],[Fuel combusted]],0)</f>
        <v>0.03</v>
      </c>
      <c r="J88" s="215" cm="1">
        <f t="array" ref="J88">Common_InputFunctions.Utility_DisplayArrayInTable(Fuel_SourceData.Fuel_Scope1EmissionFactorsStationaryGaseous_Data(), Table_Fuel_EFs_StationaryGaseous[[#Headers],[Fuel combusted]],0)</f>
        <v>51.63</v>
      </c>
      <c r="K88" s="157"/>
      <c r="L88" s="157"/>
    </row>
    <row r="89" spans="4:12" ht="20.100000000000001" customHeight="1" x14ac:dyDescent="0.25">
      <c r="D89" s="215" t="str" cm="1">
        <f t="array" ref="D89">Common_InputFunctions.Utility_DisplayArrayInTable(Fuel_SourceData.Fuel_Scope1EmissionFactorsStationaryGaseous_Data(), Table_Fuel_EFs_StationaryGaseous[[#Headers],[Fuel combusted]],0)</f>
        <v>Coal mine waste gas that is captured for combustion</v>
      </c>
      <c r="E89" s="215" cm="1">
        <f t="array" ref="E89">Common_InputFunctions.Utility_DisplayArrayInTable(Fuel_SourceData.Fuel_Scope1EmissionFactorsStationaryGaseous_Data(), Table_Fuel_EFs_StationaryGaseous[[#Headers],[Fuel combusted]],0)</f>
        <v>3.7699999999999997E-2</v>
      </c>
      <c r="F89" s="215" t="str" cm="1">
        <f t="array" ref="F89">Common_InputFunctions.Utility_DisplayArrayInTable(Fuel_SourceData.Fuel_Scope1EmissionFactorsStationaryGaseous_Data(), Table_Fuel_EFs_StationaryGaseous[[#Headers],[Fuel combusted]],0)</f>
        <v>m3</v>
      </c>
      <c r="G89" s="215" cm="1">
        <f t="array" ref="G89">Common_InputFunctions.Utility_DisplayArrayInTable(Fuel_SourceData.Fuel_Scope1EmissionFactorsStationaryGaseous_Data(), Table_Fuel_EFs_StationaryGaseous[[#Headers],[Fuel combusted]],0)</f>
        <v>51.9</v>
      </c>
      <c r="H89" s="215" cm="1">
        <f t="array" ref="H89">Common_InputFunctions.Utility_DisplayArrayInTable(Fuel_SourceData.Fuel_Scope1EmissionFactorsStationaryGaseous_Data(), Table_Fuel_EFs_StationaryGaseous[[#Headers],[Fuel combusted]],0)</f>
        <v>4.5999999999999996</v>
      </c>
      <c r="I89" s="215" cm="1">
        <f t="array" ref="I89">Common_InputFunctions.Utility_DisplayArrayInTable(Fuel_SourceData.Fuel_Scope1EmissionFactorsStationaryGaseous_Data(), Table_Fuel_EFs_StationaryGaseous[[#Headers],[Fuel combusted]],0)</f>
        <v>0.3</v>
      </c>
      <c r="J89" s="215" cm="1">
        <f t="array" ref="J89">Common_InputFunctions.Utility_DisplayArrayInTable(Fuel_SourceData.Fuel_Scope1EmissionFactorsStationaryGaseous_Data(), Table_Fuel_EFs_StationaryGaseous[[#Headers],[Fuel combusted]],0)</f>
        <v>56.8</v>
      </c>
      <c r="K89" s="157"/>
      <c r="L89" s="157"/>
    </row>
    <row r="90" spans="4:12" ht="20.100000000000001" customHeight="1" x14ac:dyDescent="0.25">
      <c r="D90" s="215" t="str" cm="1">
        <f t="array" ref="D90">Common_InputFunctions.Utility_DisplayArrayInTable(Fuel_SourceData.Fuel_Scope1EmissionFactorsStationaryGaseous_Data(), Table_Fuel_EFs_StationaryGaseous[[#Headers],[Fuel combusted]],0)</f>
        <v>Compressed natural gas(reverting to standard conditions)</v>
      </c>
      <c r="E90" s="215" cm="1">
        <f t="array" ref="E90">Common_InputFunctions.Utility_DisplayArrayInTable(Fuel_SourceData.Fuel_Scope1EmissionFactorsStationaryGaseous_Data(), Table_Fuel_EFs_StationaryGaseous[[#Headers],[Fuel combusted]],0)</f>
        <v>3.9300000000000002E-2</v>
      </c>
      <c r="F90" s="215" t="str" cm="1">
        <f t="array" ref="F90">Common_InputFunctions.Utility_DisplayArrayInTable(Fuel_SourceData.Fuel_Scope1EmissionFactorsStationaryGaseous_Data(), Table_Fuel_EFs_StationaryGaseous[[#Headers],[Fuel combusted]],0)</f>
        <v>m3</v>
      </c>
      <c r="G90" s="215" cm="1">
        <f t="array" ref="G90">Common_InputFunctions.Utility_DisplayArrayInTable(Fuel_SourceData.Fuel_Scope1EmissionFactorsStationaryGaseous_Data(), Table_Fuel_EFs_StationaryGaseous[[#Headers],[Fuel combusted]],0)</f>
        <v>51.4</v>
      </c>
      <c r="H90" s="215" cm="1">
        <f t="array" ref="H90">Common_InputFunctions.Utility_DisplayArrayInTable(Fuel_SourceData.Fuel_Scope1EmissionFactorsStationaryGaseous_Data(), Table_Fuel_EFs_StationaryGaseous[[#Headers],[Fuel combusted]],0)</f>
        <v>0.1</v>
      </c>
      <c r="I90" s="215" cm="1">
        <f t="array" ref="I90">Common_InputFunctions.Utility_DisplayArrayInTable(Fuel_SourceData.Fuel_Scope1EmissionFactorsStationaryGaseous_Data(), Table_Fuel_EFs_StationaryGaseous[[#Headers],[Fuel combusted]],0)</f>
        <v>0.03</v>
      </c>
      <c r="J90" s="215" cm="1">
        <f t="array" ref="J90">Common_InputFunctions.Utility_DisplayArrayInTable(Fuel_SourceData.Fuel_Scope1EmissionFactorsStationaryGaseous_Data(), Table_Fuel_EFs_StationaryGaseous[[#Headers],[Fuel combusted]],0)</f>
        <v>51.53</v>
      </c>
      <c r="K90" s="157"/>
      <c r="L90" s="157"/>
    </row>
    <row r="91" spans="4:12" ht="20.100000000000001" customHeight="1" x14ac:dyDescent="0.25">
      <c r="D91" s="215" t="str" cm="1">
        <f t="array" ref="D91">Common_InputFunctions.Utility_DisplayArrayInTable(Fuel_SourceData.Fuel_Scope1EmissionFactorsStationaryGaseous_Data(), Table_Fuel_EFs_StationaryGaseous[[#Headers],[Fuel combusted]],0)</f>
        <v>Unprocessed natural gas</v>
      </c>
      <c r="E91" s="215" cm="1">
        <f t="array" ref="E91">Common_InputFunctions.Utility_DisplayArrayInTable(Fuel_SourceData.Fuel_Scope1EmissionFactorsStationaryGaseous_Data(), Table_Fuel_EFs_StationaryGaseous[[#Headers],[Fuel combusted]],0)</f>
        <v>3.9300000000000002E-2</v>
      </c>
      <c r="F91" s="215" t="str" cm="1">
        <f t="array" ref="F91">Common_InputFunctions.Utility_DisplayArrayInTable(Fuel_SourceData.Fuel_Scope1EmissionFactorsStationaryGaseous_Data(), Table_Fuel_EFs_StationaryGaseous[[#Headers],[Fuel combusted]],0)</f>
        <v>m3</v>
      </c>
      <c r="G91" s="215" cm="1">
        <f t="array" ref="G91">Common_InputFunctions.Utility_DisplayArrayInTable(Fuel_SourceData.Fuel_Scope1EmissionFactorsStationaryGaseous_Data(), Table_Fuel_EFs_StationaryGaseous[[#Headers],[Fuel combusted]],0)</f>
        <v>51.4</v>
      </c>
      <c r="H91" s="215" cm="1">
        <f t="array" ref="H91">Common_InputFunctions.Utility_DisplayArrayInTable(Fuel_SourceData.Fuel_Scope1EmissionFactorsStationaryGaseous_Data(), Table_Fuel_EFs_StationaryGaseous[[#Headers],[Fuel combusted]],0)</f>
        <v>0.1</v>
      </c>
      <c r="I91" s="215" cm="1">
        <f t="array" ref="I91">Common_InputFunctions.Utility_DisplayArrayInTable(Fuel_SourceData.Fuel_Scope1EmissionFactorsStationaryGaseous_Data(), Table_Fuel_EFs_StationaryGaseous[[#Headers],[Fuel combusted]],0)</f>
        <v>0.03</v>
      </c>
      <c r="J91" s="215" cm="1">
        <f t="array" ref="J91">Common_InputFunctions.Utility_DisplayArrayInTable(Fuel_SourceData.Fuel_Scope1EmissionFactorsStationaryGaseous_Data(), Table_Fuel_EFs_StationaryGaseous[[#Headers],[Fuel combusted]],0)</f>
        <v>51.53</v>
      </c>
      <c r="K91" s="157"/>
      <c r="L91" s="157"/>
    </row>
    <row r="92" spans="4:12" ht="20.100000000000001" customHeight="1" x14ac:dyDescent="0.25">
      <c r="D92" s="215" t="str" cm="1">
        <f t="array" ref="D92">Common_InputFunctions.Utility_DisplayArrayInTable(Fuel_SourceData.Fuel_Scope1EmissionFactorsStationaryGaseous_Data(), Table_Fuel_EFs_StationaryGaseous[[#Headers],[Fuel combusted]],0)</f>
        <v>Ethane</v>
      </c>
      <c r="E92" s="215" cm="1">
        <f t="array" ref="E92">Common_InputFunctions.Utility_DisplayArrayInTable(Fuel_SourceData.Fuel_Scope1EmissionFactorsStationaryGaseous_Data(), Table_Fuel_EFs_StationaryGaseous[[#Headers],[Fuel combusted]],0)</f>
        <v>6.2899999999999998E-2</v>
      </c>
      <c r="F92" s="215" t="str" cm="1">
        <f t="array" ref="F92">Common_InputFunctions.Utility_DisplayArrayInTable(Fuel_SourceData.Fuel_Scope1EmissionFactorsStationaryGaseous_Data(), Table_Fuel_EFs_StationaryGaseous[[#Headers],[Fuel combusted]],0)</f>
        <v>m3</v>
      </c>
      <c r="G92" s="215" cm="1">
        <f t="array" ref="G92">Common_InputFunctions.Utility_DisplayArrayInTable(Fuel_SourceData.Fuel_Scope1EmissionFactorsStationaryGaseous_Data(), Table_Fuel_EFs_StationaryGaseous[[#Headers],[Fuel combusted]],0)</f>
        <v>56.5</v>
      </c>
      <c r="H92" s="215" cm="1">
        <f t="array" ref="H92">Common_InputFunctions.Utility_DisplayArrayInTable(Fuel_SourceData.Fuel_Scope1EmissionFactorsStationaryGaseous_Data(), Table_Fuel_EFs_StationaryGaseous[[#Headers],[Fuel combusted]],0)</f>
        <v>0.03</v>
      </c>
      <c r="I92" s="215" cm="1">
        <f t="array" ref="I92">Common_InputFunctions.Utility_DisplayArrayInTable(Fuel_SourceData.Fuel_Scope1EmissionFactorsStationaryGaseous_Data(), Table_Fuel_EFs_StationaryGaseous[[#Headers],[Fuel combusted]],0)</f>
        <v>0.03</v>
      </c>
      <c r="J92" s="215" cm="1">
        <f t="array" ref="J92">Common_InputFunctions.Utility_DisplayArrayInTable(Fuel_SourceData.Fuel_Scope1EmissionFactorsStationaryGaseous_Data(), Table_Fuel_EFs_StationaryGaseous[[#Headers],[Fuel combusted]],0)</f>
        <v>56.56</v>
      </c>
      <c r="K92" s="157"/>
      <c r="L92" s="157"/>
    </row>
    <row r="93" spans="4:12" ht="20.100000000000001" customHeight="1" x14ac:dyDescent="0.25">
      <c r="D93" s="215" t="str" cm="1">
        <f t="array" ref="D93">Common_InputFunctions.Utility_DisplayArrayInTable(Fuel_SourceData.Fuel_Scope1EmissionFactorsStationaryGaseous_Data(), Table_Fuel_EFs_StationaryGaseous[[#Headers],[Fuel combusted]],0)</f>
        <v>Coke oven gas</v>
      </c>
      <c r="E93" s="215" cm="1">
        <f t="array" ref="E93">Common_InputFunctions.Utility_DisplayArrayInTable(Fuel_SourceData.Fuel_Scope1EmissionFactorsStationaryGaseous_Data(), Table_Fuel_EFs_StationaryGaseous[[#Headers],[Fuel combusted]],0)</f>
        <v>1.8100000000000002E-2</v>
      </c>
      <c r="F93" s="215" t="str" cm="1">
        <f t="array" ref="F93">Common_InputFunctions.Utility_DisplayArrayInTable(Fuel_SourceData.Fuel_Scope1EmissionFactorsStationaryGaseous_Data(), Table_Fuel_EFs_StationaryGaseous[[#Headers],[Fuel combusted]],0)</f>
        <v>m3</v>
      </c>
      <c r="G93" s="215" cm="1">
        <f t="array" ref="G93">Common_InputFunctions.Utility_DisplayArrayInTable(Fuel_SourceData.Fuel_Scope1EmissionFactorsStationaryGaseous_Data(), Table_Fuel_EFs_StationaryGaseous[[#Headers],[Fuel combusted]],0)</f>
        <v>37</v>
      </c>
      <c r="H93" s="215" cm="1">
        <f t="array" ref="H93">Common_InputFunctions.Utility_DisplayArrayInTable(Fuel_SourceData.Fuel_Scope1EmissionFactorsStationaryGaseous_Data(), Table_Fuel_EFs_StationaryGaseous[[#Headers],[Fuel combusted]],0)</f>
        <v>0.03</v>
      </c>
      <c r="I93" s="215" cm="1">
        <f t="array" ref="I93">Common_InputFunctions.Utility_DisplayArrayInTable(Fuel_SourceData.Fuel_Scope1EmissionFactorsStationaryGaseous_Data(), Table_Fuel_EFs_StationaryGaseous[[#Headers],[Fuel combusted]],0)</f>
        <v>0.05</v>
      </c>
      <c r="J93" s="215" cm="1">
        <f t="array" ref="J93">Common_InputFunctions.Utility_DisplayArrayInTable(Fuel_SourceData.Fuel_Scope1EmissionFactorsStationaryGaseous_Data(), Table_Fuel_EFs_StationaryGaseous[[#Headers],[Fuel combusted]],0)</f>
        <v>37.08</v>
      </c>
      <c r="K93" s="157"/>
      <c r="L93" s="157"/>
    </row>
    <row r="94" spans="4:12" ht="20.100000000000001" customHeight="1" x14ac:dyDescent="0.25">
      <c r="D94" s="215" t="str" cm="1">
        <f t="array" ref="D94">Common_InputFunctions.Utility_DisplayArrayInTable(Fuel_SourceData.Fuel_Scope1EmissionFactorsStationaryGaseous_Data(), Table_Fuel_EFs_StationaryGaseous[[#Headers],[Fuel combusted]],0)</f>
        <v>Blast furnace gas</v>
      </c>
      <c r="E94" s="215" cm="1">
        <f t="array" ref="E94">Common_InputFunctions.Utility_DisplayArrayInTable(Fuel_SourceData.Fuel_Scope1EmissionFactorsStationaryGaseous_Data(), Table_Fuel_EFs_StationaryGaseous[[#Headers],[Fuel combusted]],0)</f>
        <v>4.0000000000000001E-3</v>
      </c>
      <c r="F94" s="215" t="str" cm="1">
        <f t="array" ref="F94">Common_InputFunctions.Utility_DisplayArrayInTable(Fuel_SourceData.Fuel_Scope1EmissionFactorsStationaryGaseous_Data(), Table_Fuel_EFs_StationaryGaseous[[#Headers],[Fuel combusted]],0)</f>
        <v>m3</v>
      </c>
      <c r="G94" s="215" cm="1">
        <f t="array" ref="G94">Common_InputFunctions.Utility_DisplayArrayInTable(Fuel_SourceData.Fuel_Scope1EmissionFactorsStationaryGaseous_Data(), Table_Fuel_EFs_StationaryGaseous[[#Headers],[Fuel combusted]],0)</f>
        <v>234</v>
      </c>
      <c r="H94" s="215" cm="1">
        <f t="array" ref="H94">Common_InputFunctions.Utility_DisplayArrayInTable(Fuel_SourceData.Fuel_Scope1EmissionFactorsStationaryGaseous_Data(), Table_Fuel_EFs_StationaryGaseous[[#Headers],[Fuel combusted]],0)</f>
        <v>0.03</v>
      </c>
      <c r="I94" s="215" cm="1">
        <f t="array" ref="I94">Common_InputFunctions.Utility_DisplayArrayInTable(Fuel_SourceData.Fuel_Scope1EmissionFactorsStationaryGaseous_Data(), Table_Fuel_EFs_StationaryGaseous[[#Headers],[Fuel combusted]],0)</f>
        <v>0.02</v>
      </c>
      <c r="J94" s="215" cm="1">
        <f t="array" ref="J94">Common_InputFunctions.Utility_DisplayArrayInTable(Fuel_SourceData.Fuel_Scope1EmissionFactorsStationaryGaseous_Data(), Table_Fuel_EFs_StationaryGaseous[[#Headers],[Fuel combusted]],0)</f>
        <v>234.05</v>
      </c>
      <c r="K94" s="157"/>
      <c r="L94" s="157"/>
    </row>
    <row r="95" spans="4:12" ht="20.100000000000001" customHeight="1" x14ac:dyDescent="0.25">
      <c r="D95" s="215" t="str" cm="1">
        <f t="array" ref="D95">Common_InputFunctions.Utility_DisplayArrayInTable(Fuel_SourceData.Fuel_Scope1EmissionFactorsStationaryGaseous_Data(), Table_Fuel_EFs_StationaryGaseous[[#Headers],[Fuel combusted]],0)</f>
        <v>Town gas</v>
      </c>
      <c r="E95" s="215" cm="1">
        <f t="array" ref="E95">Common_InputFunctions.Utility_DisplayArrayInTable(Fuel_SourceData.Fuel_Scope1EmissionFactorsStationaryGaseous_Data(), Table_Fuel_EFs_StationaryGaseous[[#Headers],[Fuel combusted]],0)</f>
        <v>3.9E-2</v>
      </c>
      <c r="F95" s="215" t="str" cm="1">
        <f t="array" ref="F95">Common_InputFunctions.Utility_DisplayArrayInTable(Fuel_SourceData.Fuel_Scope1EmissionFactorsStationaryGaseous_Data(), Table_Fuel_EFs_StationaryGaseous[[#Headers],[Fuel combusted]],0)</f>
        <v>m3</v>
      </c>
      <c r="G95" s="215" cm="1">
        <f t="array" ref="G95">Common_InputFunctions.Utility_DisplayArrayInTable(Fuel_SourceData.Fuel_Scope1EmissionFactorsStationaryGaseous_Data(), Table_Fuel_EFs_StationaryGaseous[[#Headers],[Fuel combusted]],0)</f>
        <v>60.2</v>
      </c>
      <c r="H95" s="215" cm="1">
        <f t="array" ref="H95">Common_InputFunctions.Utility_DisplayArrayInTable(Fuel_SourceData.Fuel_Scope1EmissionFactorsStationaryGaseous_Data(), Table_Fuel_EFs_StationaryGaseous[[#Headers],[Fuel combusted]],0)</f>
        <v>0.04</v>
      </c>
      <c r="I95" s="215" cm="1">
        <f t="array" ref="I95">Common_InputFunctions.Utility_DisplayArrayInTable(Fuel_SourceData.Fuel_Scope1EmissionFactorsStationaryGaseous_Data(), Table_Fuel_EFs_StationaryGaseous[[#Headers],[Fuel combusted]],0)</f>
        <v>0.03</v>
      </c>
      <c r="J95" s="215" cm="1">
        <f t="array" ref="J95">Common_InputFunctions.Utility_DisplayArrayInTable(Fuel_SourceData.Fuel_Scope1EmissionFactorsStationaryGaseous_Data(), Table_Fuel_EFs_StationaryGaseous[[#Headers],[Fuel combusted]],0)</f>
        <v>60.27</v>
      </c>
      <c r="K95" s="157"/>
      <c r="L95" s="157"/>
    </row>
    <row r="96" spans="4:12" ht="20.100000000000001" customHeight="1" x14ac:dyDescent="0.25">
      <c r="D96" s="215" t="str" cm="1">
        <f t="array" ref="D96">Common_InputFunctions.Utility_DisplayArrayInTable(Fuel_SourceData.Fuel_Scope1EmissionFactorsStationaryGaseous_Data(), Table_Fuel_EFs_StationaryGaseous[[#Headers],[Fuel combusted]],0)</f>
        <v>Liquefied natural gas</v>
      </c>
      <c r="E96" s="215" cm="1">
        <f t="array" ref="E96">Common_InputFunctions.Utility_DisplayArrayInTable(Fuel_SourceData.Fuel_Scope1EmissionFactorsStationaryGaseous_Data(), Table_Fuel_EFs_StationaryGaseous[[#Headers],[Fuel combusted]],0)</f>
        <v>25.3</v>
      </c>
      <c r="F96" s="215" t="str" cm="1">
        <f t="array" ref="F96">Common_InputFunctions.Utility_DisplayArrayInTable(Fuel_SourceData.Fuel_Scope1EmissionFactorsStationaryGaseous_Data(), Table_Fuel_EFs_StationaryGaseous[[#Headers],[Fuel combusted]],0)</f>
        <v>kL</v>
      </c>
      <c r="G96" s="215" cm="1">
        <f t="array" ref="G96">Common_InputFunctions.Utility_DisplayArrayInTable(Fuel_SourceData.Fuel_Scope1EmissionFactorsStationaryGaseous_Data(), Table_Fuel_EFs_StationaryGaseous[[#Headers],[Fuel combusted]],0)</f>
        <v>51.4</v>
      </c>
      <c r="H96" s="215" cm="1">
        <f t="array" ref="H96">Common_InputFunctions.Utility_DisplayArrayInTable(Fuel_SourceData.Fuel_Scope1EmissionFactorsStationaryGaseous_Data(), Table_Fuel_EFs_StationaryGaseous[[#Headers],[Fuel combusted]],0)</f>
        <v>0.1</v>
      </c>
      <c r="I96" s="215" cm="1">
        <f t="array" ref="I96">Common_InputFunctions.Utility_DisplayArrayInTable(Fuel_SourceData.Fuel_Scope1EmissionFactorsStationaryGaseous_Data(), Table_Fuel_EFs_StationaryGaseous[[#Headers],[Fuel combusted]],0)</f>
        <v>0.03</v>
      </c>
      <c r="J96" s="215" cm="1">
        <f t="array" ref="J96">Common_InputFunctions.Utility_DisplayArrayInTable(Fuel_SourceData.Fuel_Scope1EmissionFactorsStationaryGaseous_Data(), Table_Fuel_EFs_StationaryGaseous[[#Headers],[Fuel combusted]],0)</f>
        <v>51.53</v>
      </c>
      <c r="K96" s="157"/>
      <c r="L96" s="157"/>
    </row>
    <row r="97" spans="4:13" ht="20.100000000000001" customHeight="1" x14ac:dyDescent="0.25">
      <c r="D97" s="215" t="str" cm="1">
        <f t="array" ref="D97">Common_InputFunctions.Utility_DisplayArrayInTable(Fuel_SourceData.Fuel_Scope1EmissionFactorsStationaryGaseous_Data(), Table_Fuel_EFs_StationaryGaseous[[#Headers],[Fuel combusted]],0)</f>
        <v>Gaseous fossil fuels other than those mentioned in the items above</v>
      </c>
      <c r="E97" s="215" cm="1">
        <f t="array" ref="E97">Common_InputFunctions.Utility_DisplayArrayInTable(Fuel_SourceData.Fuel_Scope1EmissionFactorsStationaryGaseous_Data(), Table_Fuel_EFs_StationaryGaseous[[#Headers],[Fuel combusted]],0)</f>
        <v>3.9E-2</v>
      </c>
      <c r="F97" s="215" t="str" cm="1">
        <f t="array" ref="F97">Common_InputFunctions.Utility_DisplayArrayInTable(Fuel_SourceData.Fuel_Scope1EmissionFactorsStationaryGaseous_Data(), Table_Fuel_EFs_StationaryGaseous[[#Headers],[Fuel combusted]],0)</f>
        <v>m3</v>
      </c>
      <c r="G97" s="215" cm="1">
        <f t="array" ref="G97">Common_InputFunctions.Utility_DisplayArrayInTable(Fuel_SourceData.Fuel_Scope1EmissionFactorsStationaryGaseous_Data(), Table_Fuel_EFs_StationaryGaseous[[#Headers],[Fuel combusted]],0)</f>
        <v>51.4</v>
      </c>
      <c r="H97" s="215" cm="1">
        <f t="array" ref="H97">Common_InputFunctions.Utility_DisplayArrayInTable(Fuel_SourceData.Fuel_Scope1EmissionFactorsStationaryGaseous_Data(), Table_Fuel_EFs_StationaryGaseous[[#Headers],[Fuel combusted]],0)</f>
        <v>0.1</v>
      </c>
      <c r="I97" s="215" cm="1">
        <f t="array" ref="I97">Common_InputFunctions.Utility_DisplayArrayInTable(Fuel_SourceData.Fuel_Scope1EmissionFactorsStationaryGaseous_Data(), Table_Fuel_EFs_StationaryGaseous[[#Headers],[Fuel combusted]],0)</f>
        <v>0.03</v>
      </c>
      <c r="J97" s="215" cm="1">
        <f t="array" ref="J97">Common_InputFunctions.Utility_DisplayArrayInTable(Fuel_SourceData.Fuel_Scope1EmissionFactorsStationaryGaseous_Data(), Table_Fuel_EFs_StationaryGaseous[[#Headers],[Fuel combusted]],0)</f>
        <v>51.53</v>
      </c>
      <c r="K97" s="157"/>
      <c r="L97" s="157"/>
    </row>
    <row r="98" spans="4:13" ht="20.100000000000001" customHeight="1" x14ac:dyDescent="0.25">
      <c r="D98" s="215" t="str" cm="1">
        <f t="array" ref="D98">Common_InputFunctions.Utility_DisplayArrayInTable(Fuel_SourceData.Fuel_Scope1EmissionFactorsStationaryGaseous_Data(), Table_Fuel_EFs_StationaryGaseous[[#Headers],[Fuel combusted]],0)</f>
        <v>Landfill biogas that is captured for combustion (methane only)</v>
      </c>
      <c r="E98" s="215" cm="1">
        <f t="array" ref="E98">Common_InputFunctions.Utility_DisplayArrayInTable(Fuel_SourceData.Fuel_Scope1EmissionFactorsStationaryGaseous_Data(), Table_Fuel_EFs_StationaryGaseous[[#Headers],[Fuel combusted]],0)</f>
        <v>3.7699999999999997E-2</v>
      </c>
      <c r="F98" s="215" t="str" cm="1">
        <f t="array" ref="F98">Common_InputFunctions.Utility_DisplayArrayInTable(Fuel_SourceData.Fuel_Scope1EmissionFactorsStationaryGaseous_Data(), Table_Fuel_EFs_StationaryGaseous[[#Headers],[Fuel combusted]],0)</f>
        <v>m3</v>
      </c>
      <c r="G98" s="215" cm="1">
        <f t="array" ref="G98">Common_InputFunctions.Utility_DisplayArrayInTable(Fuel_SourceData.Fuel_Scope1EmissionFactorsStationaryGaseous_Data(), Table_Fuel_EFs_StationaryGaseous[[#Headers],[Fuel combusted]],0)</f>
        <v>0</v>
      </c>
      <c r="H98" s="215" cm="1">
        <f t="array" ref="H98">Common_InputFunctions.Utility_DisplayArrayInTable(Fuel_SourceData.Fuel_Scope1EmissionFactorsStationaryGaseous_Data(), Table_Fuel_EFs_StationaryGaseous[[#Headers],[Fuel combusted]],0)</f>
        <v>6.4</v>
      </c>
      <c r="I98" s="215" cm="1">
        <f t="array" ref="I98">Common_InputFunctions.Utility_DisplayArrayInTable(Fuel_SourceData.Fuel_Scope1EmissionFactorsStationaryGaseous_Data(), Table_Fuel_EFs_StationaryGaseous[[#Headers],[Fuel combusted]],0)</f>
        <v>0.03</v>
      </c>
      <c r="J98" s="215" cm="1">
        <f t="array" ref="J98">Common_InputFunctions.Utility_DisplayArrayInTable(Fuel_SourceData.Fuel_Scope1EmissionFactorsStationaryGaseous_Data(), Table_Fuel_EFs_StationaryGaseous[[#Headers],[Fuel combusted]],0)</f>
        <v>6.43</v>
      </c>
      <c r="K98" s="157"/>
      <c r="L98" s="157"/>
    </row>
    <row r="99" spans="4:13" ht="20.100000000000001" customHeight="1" x14ac:dyDescent="0.25">
      <c r="D99" s="215" t="str" cm="1">
        <f t="array" ref="D99">Common_InputFunctions.Utility_DisplayArrayInTable(Fuel_SourceData.Fuel_Scope1EmissionFactorsStationaryGaseous_Data(), Table_Fuel_EFs_StationaryGaseous[[#Headers],[Fuel combusted]],0)</f>
        <v>Sludge biogas that is captured for combustion (methane only)</v>
      </c>
      <c r="E99" s="215" cm="1">
        <f t="array" ref="E99">Common_InputFunctions.Utility_DisplayArrayInTable(Fuel_SourceData.Fuel_Scope1EmissionFactorsStationaryGaseous_Data(), Table_Fuel_EFs_StationaryGaseous[[#Headers],[Fuel combusted]],0)</f>
        <v>3.7699999999999997E-2</v>
      </c>
      <c r="F99" s="215" t="str" cm="1">
        <f t="array" ref="F99">Common_InputFunctions.Utility_DisplayArrayInTable(Fuel_SourceData.Fuel_Scope1EmissionFactorsStationaryGaseous_Data(), Table_Fuel_EFs_StationaryGaseous[[#Headers],[Fuel combusted]],0)</f>
        <v>m3</v>
      </c>
      <c r="G99" s="215" cm="1">
        <f t="array" ref="G99">Common_InputFunctions.Utility_DisplayArrayInTable(Fuel_SourceData.Fuel_Scope1EmissionFactorsStationaryGaseous_Data(), Table_Fuel_EFs_StationaryGaseous[[#Headers],[Fuel combusted]],0)</f>
        <v>0</v>
      </c>
      <c r="H99" s="215" cm="1">
        <f t="array" ref="H99">Common_InputFunctions.Utility_DisplayArrayInTable(Fuel_SourceData.Fuel_Scope1EmissionFactorsStationaryGaseous_Data(), Table_Fuel_EFs_StationaryGaseous[[#Headers],[Fuel combusted]],0)</f>
        <v>6.4</v>
      </c>
      <c r="I99" s="215" cm="1">
        <f t="array" ref="I99">Common_InputFunctions.Utility_DisplayArrayInTable(Fuel_SourceData.Fuel_Scope1EmissionFactorsStationaryGaseous_Data(), Table_Fuel_EFs_StationaryGaseous[[#Headers],[Fuel combusted]],0)</f>
        <v>0.03</v>
      </c>
      <c r="J99" s="215" cm="1">
        <f t="array" ref="J99">Common_InputFunctions.Utility_DisplayArrayInTable(Fuel_SourceData.Fuel_Scope1EmissionFactorsStationaryGaseous_Data(), Table_Fuel_EFs_StationaryGaseous[[#Headers],[Fuel combusted]],0)</f>
        <v>6.43</v>
      </c>
      <c r="K99" s="157"/>
      <c r="L99" s="157"/>
    </row>
    <row r="100" spans="4:13" ht="20.100000000000001" customHeight="1" x14ac:dyDescent="0.25">
      <c r="D100" s="21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5" cm="1">
        <f t="array" ref="E100">Common_InputFunctions.Utility_DisplayArrayInTable(Fuel_SourceData.Fuel_Scope1EmissionFactorsStationaryGaseous_Data(), Table_Fuel_EFs_StationaryGaseous[[#Headers],[Fuel combusted]],0)</f>
        <v>3.6999999999999998E-2</v>
      </c>
      <c r="F100" s="215" t="str" cm="1">
        <f t="array" ref="F100">Common_InputFunctions.Utility_DisplayArrayInTable(Fuel_SourceData.Fuel_Scope1EmissionFactorsStationaryGaseous_Data(), Table_Fuel_EFs_StationaryGaseous[[#Headers],[Fuel combusted]],0)</f>
        <v>m3</v>
      </c>
      <c r="G100" s="215" cm="1">
        <f t="array" ref="G100">Common_InputFunctions.Utility_DisplayArrayInTable(Fuel_SourceData.Fuel_Scope1EmissionFactorsStationaryGaseous_Data(), Table_Fuel_EFs_StationaryGaseous[[#Headers],[Fuel combusted]],0)</f>
        <v>0</v>
      </c>
      <c r="H100" s="215" cm="1">
        <f t="array" ref="H100">Common_InputFunctions.Utility_DisplayArrayInTable(Fuel_SourceData.Fuel_Scope1EmissionFactorsStationaryGaseous_Data(), Table_Fuel_EFs_StationaryGaseous[[#Headers],[Fuel combusted]],0)</f>
        <v>6.4</v>
      </c>
      <c r="I100" s="215" cm="1">
        <f t="array" ref="I100">Common_InputFunctions.Utility_DisplayArrayInTable(Fuel_SourceData.Fuel_Scope1EmissionFactorsStationaryGaseous_Data(), Table_Fuel_EFs_StationaryGaseous[[#Headers],[Fuel combusted]],0)</f>
        <v>0.03</v>
      </c>
      <c r="J100" s="215" cm="1">
        <f t="array" ref="J100">Common_InputFunctions.Utility_DisplayArrayInTable(Fuel_SourceData.Fuel_Scope1EmissionFactorsStationaryGaseous_Data(), Table_Fuel_EFs_StationaryGaseous[[#Headers],[Fuel combusted]],0)</f>
        <v>6.43</v>
      </c>
      <c r="K100" s="157"/>
      <c r="L100" s="157"/>
    </row>
    <row r="101" spans="4:13" ht="20.100000000000001" customHeight="1" x14ac:dyDescent="0.25">
      <c r="D101" s="215" t="str" cm="1">
        <f t="array" ref="D101">Common_InputFunctions.Utility_DisplayArrayInTable(Fuel_SourceData.Fuel_Scope1EmissionFactorsStationaryGaseous_Data(), Table_Fuel_EFs_StationaryGaseous[[#Headers],[Fuel combusted]],0)</f>
        <v>Biomethane</v>
      </c>
      <c r="E101" s="215" cm="1">
        <f t="array" ref="E101">Common_InputFunctions.Utility_DisplayArrayInTable(Fuel_SourceData.Fuel_Scope1EmissionFactorsStationaryGaseous_Data(), Table_Fuel_EFs_StationaryGaseous[[#Headers],[Fuel combusted]],0)</f>
        <v>3.9300000000000002E-2</v>
      </c>
      <c r="F101" s="215" t="str" cm="1">
        <f t="array" ref="F101">Common_InputFunctions.Utility_DisplayArrayInTable(Fuel_SourceData.Fuel_Scope1EmissionFactorsStationaryGaseous_Data(), Table_Fuel_EFs_StationaryGaseous[[#Headers],[Fuel combusted]],0)</f>
        <v>m3</v>
      </c>
      <c r="G101" s="215" cm="1">
        <f t="array" ref="G101">Common_InputFunctions.Utility_DisplayArrayInTable(Fuel_SourceData.Fuel_Scope1EmissionFactorsStationaryGaseous_Data(), Table_Fuel_EFs_StationaryGaseous[[#Headers],[Fuel combusted]],0)</f>
        <v>0</v>
      </c>
      <c r="H101" s="215" cm="1">
        <f t="array" ref="H101">Common_InputFunctions.Utility_DisplayArrayInTable(Fuel_SourceData.Fuel_Scope1EmissionFactorsStationaryGaseous_Data(), Table_Fuel_EFs_StationaryGaseous[[#Headers],[Fuel combusted]],0)</f>
        <v>0.1</v>
      </c>
      <c r="I101" s="215" cm="1">
        <f t="array" ref="I101">Common_InputFunctions.Utility_DisplayArrayInTable(Fuel_SourceData.Fuel_Scope1EmissionFactorsStationaryGaseous_Data(), Table_Fuel_EFs_StationaryGaseous[[#Headers],[Fuel combusted]],0)</f>
        <v>0.03</v>
      </c>
      <c r="J101" s="215" cm="1">
        <f t="array" ref="J101">Common_InputFunctions.Utility_DisplayArrayInTable(Fuel_SourceData.Fuel_Scope1EmissionFactorsStationaryGaseous_Data(), Table_Fuel_EFs_StationaryGaseous[[#Headers],[Fuel combusted]],0)</f>
        <v>0.13</v>
      </c>
      <c r="K101" s="157"/>
      <c r="L101" s="157"/>
    </row>
    <row r="102" spans="4:13" ht="20.100000000000001" customHeight="1" x14ac:dyDescent="0.25">
      <c r="D102" s="215" t="str" cm="1">
        <f t="array" ref="D102">Common_InputFunctions.Utility_DisplayArrayInTable(Fuel_SourceData.Fuel_Scope1EmissionFactorsStationaryGaseous_Data(), Table_Fuel_EFs_StationaryGaseous[[#Headers],[Fuel combusted]],0)</f>
        <v>Hydrogen</v>
      </c>
      <c r="E102" s="215" cm="1">
        <f t="array" ref="E102">Common_InputFunctions.Utility_DisplayArrayInTable(Fuel_SourceData.Fuel_Scope1EmissionFactorsStationaryGaseous_Data(), Table_Fuel_EFs_StationaryGaseous[[#Headers],[Fuel combusted]],0)</f>
        <v>1.2200000000000001E-2</v>
      </c>
      <c r="F102" s="215" t="str" cm="1">
        <f t="array" ref="F102">Common_InputFunctions.Utility_DisplayArrayInTable(Fuel_SourceData.Fuel_Scope1EmissionFactorsStationaryGaseous_Data(), Table_Fuel_EFs_StationaryGaseous[[#Headers],[Fuel combusted]],0)</f>
        <v>m3</v>
      </c>
      <c r="G102" s="215" cm="1">
        <f t="array" ref="G102">Common_InputFunctions.Utility_DisplayArrayInTable(Fuel_SourceData.Fuel_Scope1EmissionFactorsStationaryGaseous_Data(), Table_Fuel_EFs_StationaryGaseous[[#Headers],[Fuel combusted]],0)</f>
        <v>0</v>
      </c>
      <c r="H102" s="215" cm="1">
        <f t="array" ref="H102">Common_InputFunctions.Utility_DisplayArrayInTable(Fuel_SourceData.Fuel_Scope1EmissionFactorsStationaryGaseous_Data(), Table_Fuel_EFs_StationaryGaseous[[#Headers],[Fuel combusted]],0)</f>
        <v>0</v>
      </c>
      <c r="I102" s="215" cm="1">
        <f t="array" ref="I102">Common_InputFunctions.Utility_DisplayArrayInTable(Fuel_SourceData.Fuel_Scope1EmissionFactorsStationaryGaseous_Data(), Table_Fuel_EFs_StationaryGaseous[[#Headers],[Fuel combusted]],0)</f>
        <v>0.5</v>
      </c>
      <c r="J102" s="215" cm="1">
        <f t="array" ref="J102">Common_InputFunctions.Utility_DisplayArrayInTable(Fuel_SourceData.Fuel_Scope1EmissionFactorsStationaryGaseous_Data(), Table_Fuel_EFs_StationaryGaseous[[#Headers],[Fuel combusted]],0)</f>
        <v>0.5</v>
      </c>
      <c r="K102" s="157"/>
      <c r="L102" s="157"/>
    </row>
    <row r="103" spans="4:13" ht="20.100000000000001" customHeight="1" x14ac:dyDescent="0.25">
      <c r="D103" s="215" t="str" cm="1">
        <f t="array" ref="D103">Common_InputFunctions.Utility_DisplayArrayInTable(Fuel_SourceData.Fuel_Scope1EmissionFactorsStationaryGaseous_Data(), Table_Fuel_EFs_StationaryGaseous[[#Headers],[Fuel combusted]],0)</f>
        <v>Natural gas distributed in a pipeline - Gigajoules</v>
      </c>
      <c r="E103" s="215" cm="1">
        <f t="array" ref="E103">Common_InputFunctions.Utility_DisplayArrayInTable(Fuel_SourceData.Fuel_Scope1EmissionFactorsStationaryGaseous_Data(), Table_Fuel_EFs_StationaryGaseous[[#Headers],[Fuel combusted]],0)</f>
        <v>1</v>
      </c>
      <c r="F103" s="215" t="str" cm="1">
        <f t="array" ref="F103">Common_InputFunctions.Utility_DisplayArrayInTable(Fuel_SourceData.Fuel_Scope1EmissionFactorsStationaryGaseous_Data(), Table_Fuel_EFs_StationaryGaseous[[#Headers],[Fuel combusted]],0)</f>
        <v>GJ</v>
      </c>
      <c r="G103" s="215" cm="1">
        <f t="array" ref="G103">Common_InputFunctions.Utility_DisplayArrayInTable(Fuel_SourceData.Fuel_Scope1EmissionFactorsStationaryGaseous_Data(), Table_Fuel_EFs_StationaryGaseous[[#Headers],[Fuel combusted]],0)</f>
        <v>51.4</v>
      </c>
      <c r="H103" s="215" cm="1">
        <f t="array" ref="H103">Common_InputFunctions.Utility_DisplayArrayInTable(Fuel_SourceData.Fuel_Scope1EmissionFactorsStationaryGaseous_Data(), Table_Fuel_EFs_StationaryGaseous[[#Headers],[Fuel combusted]],0)</f>
        <v>0.1</v>
      </c>
      <c r="I103" s="215" cm="1">
        <f t="array" ref="I103">Common_InputFunctions.Utility_DisplayArrayInTable(Fuel_SourceData.Fuel_Scope1EmissionFactorsStationaryGaseous_Data(), Table_Fuel_EFs_StationaryGaseous[[#Headers],[Fuel combusted]],0)</f>
        <v>0.03</v>
      </c>
      <c r="J103" s="215" cm="1">
        <f t="array" ref="J103">Common_InputFunctions.Utility_DisplayArrayInTable(Fuel_SourceData.Fuel_Scope1EmissionFactorsStationaryGaseous_Data(), Table_Fuel_EFs_StationaryGaseous[[#Headers],[Fuel combusted]],0)</f>
        <v>51.53</v>
      </c>
      <c r="K103" s="157"/>
      <c r="L103" s="157"/>
    </row>
    <row r="104" spans="4:13" ht="20.100000000000001" customHeight="1" x14ac:dyDescent="0.25">
      <c r="D104" s="215" t="str" cm="1">
        <f t="array" ref="D104">Common_InputFunctions.Utility_DisplayArrayInTable(Fuel_SourceData.Fuel_Scope1EmissionFactorsStationaryGaseous_Data(), Table_Fuel_EFs_StationaryGaseous[[#Headers],[Fuel combusted]],0)</f>
        <v>Town gas - Gigajoules</v>
      </c>
      <c r="E104" s="215" cm="1">
        <f t="array" ref="E104">Common_InputFunctions.Utility_DisplayArrayInTable(Fuel_SourceData.Fuel_Scope1EmissionFactorsStationaryGaseous_Data(), Table_Fuel_EFs_StationaryGaseous[[#Headers],[Fuel combusted]],0)</f>
        <v>1</v>
      </c>
      <c r="F104" s="215" t="str" cm="1">
        <f t="array" ref="F104">Common_InputFunctions.Utility_DisplayArrayInTable(Fuel_SourceData.Fuel_Scope1EmissionFactorsStationaryGaseous_Data(), Table_Fuel_EFs_StationaryGaseous[[#Headers],[Fuel combusted]],0)</f>
        <v>GJ</v>
      </c>
      <c r="G104" s="215" cm="1">
        <f t="array" ref="G104">Common_InputFunctions.Utility_DisplayArrayInTable(Fuel_SourceData.Fuel_Scope1EmissionFactorsStationaryGaseous_Data(), Table_Fuel_EFs_StationaryGaseous[[#Headers],[Fuel combusted]],0)</f>
        <v>60.2</v>
      </c>
      <c r="H104" s="215" cm="1">
        <f t="array" ref="H104">Common_InputFunctions.Utility_DisplayArrayInTable(Fuel_SourceData.Fuel_Scope1EmissionFactorsStationaryGaseous_Data(), Table_Fuel_EFs_StationaryGaseous[[#Headers],[Fuel combusted]],0)</f>
        <v>0.04</v>
      </c>
      <c r="I104" s="215" cm="1">
        <f t="array" ref="I104">Common_InputFunctions.Utility_DisplayArrayInTable(Fuel_SourceData.Fuel_Scope1EmissionFactorsStationaryGaseous_Data(), Table_Fuel_EFs_StationaryGaseous[[#Headers],[Fuel combusted]],0)</f>
        <v>0.03</v>
      </c>
      <c r="J104" s="215" cm="1">
        <f t="array" ref="J104">Common_InputFunctions.Utility_DisplayArrayInTable(Fuel_SourceData.Fuel_Scope1EmissionFactorsStationaryGaseous_Data(), Table_Fuel_EFs_StationaryGaseous[[#Headers],[Fuel combusted]],0)</f>
        <v>60.27</v>
      </c>
      <c r="K104" s="157"/>
      <c r="L104" s="157"/>
    </row>
    <row r="105" spans="4:13" ht="20.100000000000001" customHeight="1" x14ac:dyDescent="0.25">
      <c r="D105" s="157"/>
      <c r="E105" s="157"/>
      <c r="F105" s="157"/>
      <c r="G105" s="157"/>
      <c r="H105" s="157"/>
      <c r="I105" s="157"/>
      <c r="J105" s="157"/>
      <c r="K105" s="157"/>
      <c r="L105" s="157"/>
      <c r="M105" s="157"/>
    </row>
    <row r="106" spans="4:13" ht="20.100000000000001" customHeight="1" x14ac:dyDescent="0.25">
      <c r="D106" s="157"/>
      <c r="E106" s="157"/>
      <c r="F106" s="157"/>
      <c r="G106" s="157"/>
      <c r="H106" s="157"/>
      <c r="I106" s="157"/>
      <c r="J106" s="157"/>
      <c r="K106" s="157"/>
      <c r="L106" s="157"/>
      <c r="M106" s="157"/>
    </row>
    <row r="107" spans="4:13" ht="20.100000000000001" customHeight="1" x14ac:dyDescent="0.25">
      <c r="D107" s="2" t="str" cm="1">
        <f t="array" ref="D107">Fuel_SourceData.Fuel_Scope3EmissionFactorsStationaryGaseous_Title()</f>
        <v>Fuel scope 3 emission factors - Stationary gaseous fuels</v>
      </c>
      <c r="E107" s="157"/>
      <c r="F107" s="157"/>
      <c r="G107" s="157"/>
      <c r="H107" s="157"/>
      <c r="I107" s="157"/>
      <c r="J107" s="157"/>
      <c r="K107" s="157"/>
      <c r="L107" s="157"/>
    </row>
    <row r="108" spans="4:13" ht="20.100000000000001" customHeight="1" x14ac:dyDescent="0.25">
      <c r="D108" s="1" t="str" cm="1">
        <f t="array" ref="D108">Fuel_SourceData.Fuel_Scope3EmissionFactorsStationaryGaseous_Description()</f>
        <v>Indirect (Scope 3) emission factors for the consumption of natural gas.</v>
      </c>
      <c r="E108" s="157"/>
      <c r="F108" s="157"/>
      <c r="G108" s="157"/>
      <c r="H108" s="157"/>
      <c r="I108" s="157"/>
      <c r="J108" s="157"/>
      <c r="K108" s="157"/>
      <c r="L108" s="157"/>
    </row>
    <row r="109" spans="4:13" ht="20.100000000000001" customHeight="1" x14ac:dyDescent="0.25">
      <c r="D109" s="27" t="str" cm="1">
        <f t="array" ref="D109">Fuel_SourceData.Fuel_Scope3EmissionFactorsStationaryGaseous_Source()</f>
        <v>Australian National Greenhouse Accounts Factors 2025 - Table 6</v>
      </c>
      <c r="E109" s="157"/>
      <c r="F109" s="157"/>
      <c r="G109" s="157"/>
      <c r="H109" s="157"/>
      <c r="I109" s="157"/>
      <c r="J109" s="157"/>
      <c r="K109" s="157"/>
      <c r="L109" s="15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7"/>
      <c r="F110" s="157"/>
      <c r="G110" s="157"/>
      <c r="H110" s="157"/>
      <c r="I110" s="157"/>
      <c r="J110" s="157"/>
      <c r="K110" s="157"/>
      <c r="L110" s="157"/>
    </row>
    <row r="111" spans="4:13" ht="20.100000000000001" customHeight="1" x14ac:dyDescent="0.25">
      <c r="D111" s="157"/>
      <c r="E111" s="157"/>
      <c r="F111" s="157"/>
      <c r="G111" s="157"/>
      <c r="H111" s="157"/>
      <c r="I111" s="157"/>
      <c r="J111" s="157"/>
      <c r="K111" s="157"/>
      <c r="L111" s="157"/>
    </row>
    <row r="112" spans="4:13" ht="20.100000000000001" customHeight="1" x14ac:dyDescent="0.25">
      <c r="D112" s="180" t="s">
        <v>501</v>
      </c>
      <c r="E112" s="212" t="s">
        <v>435</v>
      </c>
      <c r="F112" s="212" t="s">
        <v>502</v>
      </c>
      <c r="G112" s="157"/>
      <c r="H112" s="88" t="s">
        <v>503</v>
      </c>
      <c r="I112" s="157"/>
      <c r="J112" s="157"/>
      <c r="K112" s="157"/>
      <c r="L112" s="157"/>
    </row>
    <row r="113" spans="4:13" ht="20.100000000000001" customHeight="1" x14ac:dyDescent="0.25">
      <c r="D113" s="216" t="str" cm="1">
        <f t="array" ref="D113">Common_InputFunctions.Utility_DisplayArrayInTable(Fuel_SourceData.Fuel_Scope3EmissionFactorsStationaryGaseous_Data(), Table_Fuel_EFs_StationaryGaseous34[[#Headers],[State or territory]],0)</f>
        <v>New South Wales</v>
      </c>
      <c r="E113" s="216" cm="1">
        <f t="array" ref="E113">Common_InputFunctions.Utility_DisplayArrayInTable(Fuel_SourceData.Fuel_Scope3EmissionFactorsStationaryGaseous_Data(), Table_Fuel_EFs_StationaryGaseous34[[#Headers],[State or territory]],0)</f>
        <v>13.1</v>
      </c>
      <c r="F113" s="216" cm="1">
        <f t="array" ref="F113">Common_InputFunctions.Utility_DisplayArrayInTable(Fuel_SourceData.Fuel_Scope3EmissionFactorsStationaryGaseous_Data(), Table_Fuel_EFs_StationaryGaseous34[[#Headers],[State or territory]],0)</f>
        <v>14</v>
      </c>
      <c r="G113" s="2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7"/>
      <c r="J113" s="157"/>
      <c r="K113" s="157"/>
      <c r="L113" s="157"/>
    </row>
    <row r="114" spans="4:13" ht="20.100000000000001" customHeight="1" x14ac:dyDescent="0.25">
      <c r="D114" s="216" t="str" cm="1">
        <f t="array" ref="D114">Common_InputFunctions.Utility_DisplayArrayInTable(Fuel_SourceData.Fuel_Scope3EmissionFactorsStationaryGaseous_Data(), Table_Fuel_EFs_StationaryGaseous34[[#Headers],[State or territory]],0)</f>
        <v>ACT</v>
      </c>
      <c r="E114" s="216" cm="1">
        <f t="array" ref="E114">Common_InputFunctions.Utility_DisplayArrayInTable(Fuel_SourceData.Fuel_Scope3EmissionFactorsStationaryGaseous_Data(), Table_Fuel_EFs_StationaryGaseous34[[#Headers],[State or territory]],0)</f>
        <v>13.1</v>
      </c>
      <c r="F114" s="216" cm="1">
        <f t="array" ref="F114">Common_InputFunctions.Utility_DisplayArrayInTable(Fuel_SourceData.Fuel_Scope3EmissionFactorsStationaryGaseous_Data(), Table_Fuel_EFs_StationaryGaseous34[[#Headers],[State or territory]],0)</f>
        <v>14</v>
      </c>
      <c r="G114" s="217" t="str">
        <v/>
      </c>
      <c r="H114" s="1" t="str">
        <v>Gas reaches end users either from the metro distribution networks or direct from the high - pressure distribution pipelines.</v>
      </c>
      <c r="I114" s="157"/>
      <c r="J114" s="157"/>
      <c r="K114" s="157"/>
      <c r="L114" s="157"/>
    </row>
    <row r="115" spans="4:13" ht="20.100000000000001" customHeight="1" x14ac:dyDescent="0.25">
      <c r="D115" s="216" t="str" cm="1">
        <f t="array" ref="D115">Common_InputFunctions.Utility_DisplayArrayInTable(Fuel_SourceData.Fuel_Scope3EmissionFactorsStationaryGaseous_Data(), Table_Fuel_EFs_StationaryGaseous34[[#Headers],[State or territory]],0)</f>
        <v>Victoria</v>
      </c>
      <c r="E115" s="216" cm="1">
        <f t="array" ref="E115">Common_InputFunctions.Utility_DisplayArrayInTable(Fuel_SourceData.Fuel_Scope3EmissionFactorsStationaryGaseous_Data(), Table_Fuel_EFs_StationaryGaseous34[[#Headers],[State or territory]],0)</f>
        <v>4</v>
      </c>
      <c r="F115" s="216" cm="1">
        <f t="array" ref="F115">Common_InputFunctions.Utility_DisplayArrayInTable(Fuel_SourceData.Fuel_Scope3EmissionFactorsStationaryGaseous_Data(), Table_Fuel_EFs_StationaryGaseous34[[#Headers],[State or territory]],0)</f>
        <v>4</v>
      </c>
      <c r="G115" s="217" t="str">
        <v/>
      </c>
      <c r="H115" s="1" t="str">
        <v>Households and commercial users tend to be served by the former, and electricity generators and large industrial plants from the latter.</v>
      </c>
      <c r="I115" s="157"/>
      <c r="J115" s="157"/>
      <c r="K115" s="157"/>
      <c r="L115" s="157"/>
    </row>
    <row r="116" spans="4:13" ht="20.100000000000001" customHeight="1" x14ac:dyDescent="0.25">
      <c r="D116" s="216" t="str" cm="1">
        <f t="array" ref="D116">Common_InputFunctions.Utility_DisplayArrayInTable(Fuel_SourceData.Fuel_Scope3EmissionFactorsStationaryGaseous_Data(), Table_Fuel_EFs_StationaryGaseous34[[#Headers],[State or territory]],0)</f>
        <v>Queensland</v>
      </c>
      <c r="E116" s="216" cm="1">
        <f t="array" ref="E116">Common_InputFunctions.Utility_DisplayArrayInTable(Fuel_SourceData.Fuel_Scope3EmissionFactorsStationaryGaseous_Data(), Table_Fuel_EFs_StationaryGaseous34[[#Headers],[State or territory]],0)</f>
        <v>8.8000000000000007</v>
      </c>
      <c r="F116" s="216" cm="1">
        <f t="array" ref="F116">Common_InputFunctions.Utility_DisplayArrayInTable(Fuel_SourceData.Fuel_Scope3EmissionFactorsStationaryGaseous_Data(), Table_Fuel_EFs_StationaryGaseous34[[#Headers],[State or territory]],0)</f>
        <v>7.9</v>
      </c>
      <c r="G116" s="217" t="str">
        <v>-</v>
      </c>
      <c r="H116" s="1" t="str">
        <v>Metro is defined as located on or east of the dividing range in NSW, including Canberra and Queanbeyan, Melbourne, Brisbane, Adelaide or Perth.</v>
      </c>
      <c r="I116" s="157"/>
      <c r="J116" s="157"/>
      <c r="K116" s="157"/>
      <c r="L116" s="157"/>
    </row>
    <row r="117" spans="4:13" ht="20.100000000000001" customHeight="1" x14ac:dyDescent="0.25">
      <c r="D117" s="216" t="str" cm="1">
        <f t="array" ref="D117">Common_InputFunctions.Utility_DisplayArrayInTable(Fuel_SourceData.Fuel_Scope3EmissionFactorsStationaryGaseous_Data(), Table_Fuel_EFs_StationaryGaseous34[[#Headers],[State or territory]],0)</f>
        <v>South Australia</v>
      </c>
      <c r="E117" s="216" cm="1">
        <f t="array" ref="E117">Common_InputFunctions.Utility_DisplayArrayInTable(Fuel_SourceData.Fuel_Scope3EmissionFactorsStationaryGaseous_Data(), Table_Fuel_EFs_StationaryGaseous34[[#Headers],[State or territory]],0)</f>
        <v>10.7</v>
      </c>
      <c r="F117" s="216" cm="1">
        <f t="array" ref="F117">Common_InputFunctions.Utility_DisplayArrayInTable(Fuel_SourceData.Fuel_Scope3EmissionFactorsStationaryGaseous_Data(), Table_Fuel_EFs_StationaryGaseous34[[#Headers],[State or territory]],0)</f>
        <v>10.6</v>
      </c>
      <c r="G117" s="217" t="str">
        <v/>
      </c>
      <c r="H117" s="1" t="str">
        <v>Otherwise, the non - metro factor should be used.</v>
      </c>
      <c r="I117" s="157"/>
      <c r="J117" s="157"/>
      <c r="K117" s="157"/>
      <c r="L117" s="157"/>
    </row>
    <row r="118" spans="4:13" ht="20.100000000000001" customHeight="1" x14ac:dyDescent="0.25">
      <c r="D118" s="216" t="str" cm="1">
        <f t="array" ref="D118">Common_InputFunctions.Utility_DisplayArrayInTable(Fuel_SourceData.Fuel_Scope3EmissionFactorsStationaryGaseous_Data(), Table_Fuel_EFs_StationaryGaseous34[[#Headers],[State or territory]],0)</f>
        <v>Western Australia</v>
      </c>
      <c r="E118" s="216" cm="1">
        <f t="array" ref="E118">Common_InputFunctions.Utility_DisplayArrayInTable(Fuel_SourceData.Fuel_Scope3EmissionFactorsStationaryGaseous_Data(), Table_Fuel_EFs_StationaryGaseous34[[#Headers],[State or territory]],0)</f>
        <v>4.0999999999999996</v>
      </c>
      <c r="F118" s="216" cm="1">
        <f t="array" ref="F118">Common_InputFunctions.Utility_DisplayArrayInTable(Fuel_SourceData.Fuel_Scope3EmissionFactorsStationaryGaseous_Data(), Table_Fuel_EFs_StationaryGaseous34[[#Headers],[State or territory]],0)</f>
        <v>4</v>
      </c>
      <c r="G118" s="217" t="str">
        <v>-</v>
      </c>
      <c r="H118" s="1" t="str">
        <v>Factors are calculated for all natural gas distributed in a pipeline which may include coal seam methane.</v>
      </c>
      <c r="I118" s="157"/>
      <c r="J118" s="157"/>
      <c r="K118" s="157"/>
      <c r="L118" s="157"/>
    </row>
    <row r="119" spans="4:13" ht="20.100000000000001" customHeight="1" x14ac:dyDescent="0.25">
      <c r="D119" s="216" t="str" cm="1">
        <f t="array" ref="D119">Common_InputFunctions.Utility_DisplayArrayInTable(Fuel_SourceData.Fuel_Scope3EmissionFactorsStationaryGaseous_Data(), Table_Fuel_EFs_StationaryGaseous34[[#Headers],[State or territory]],0)</f>
        <v>Tasmania</v>
      </c>
      <c r="E119" s="216" cm="1">
        <f t="array" ref="E119">Common_InputFunctions.Utility_DisplayArrayInTable(Fuel_SourceData.Fuel_Scope3EmissionFactorsStationaryGaseous_Data(), Table_Fuel_EFs_StationaryGaseous34[[#Headers],[State or territory]],0)</f>
        <v>4</v>
      </c>
      <c r="F119" s="216" cm="1">
        <f t="array" ref="F119">Common_InputFunctions.Utility_DisplayArrayInTable(Fuel_SourceData.Fuel_Scope3EmissionFactorsStationaryGaseous_Data(), Table_Fuel_EFs_StationaryGaseous34[[#Headers],[State or territory]],0)</f>
        <v>4</v>
      </c>
      <c r="G119" s="217" t="str">
        <v>-</v>
      </c>
      <c r="H119" s="1" t="str">
        <v>Table 6 is not applicable to ethane. See Table 7 Indirect (Scope 3) emissions from the consumption of ethane.</v>
      </c>
      <c r="I119" s="157"/>
      <c r="J119" s="157"/>
      <c r="K119" s="157"/>
      <c r="L119" s="157"/>
    </row>
    <row r="120" spans="4:13" ht="20.100000000000001" customHeight="1" x14ac:dyDescent="0.25">
      <c r="D120" s="216" t="str" cm="1">
        <f t="array" ref="D120">Common_InputFunctions.Utility_DisplayArrayInTable(Fuel_SourceData.Fuel_Scope3EmissionFactorsStationaryGaseous_Data(), Table_Fuel_EFs_StationaryGaseous34[[#Headers],[State or territory]],0)</f>
        <v>Northern Territory</v>
      </c>
      <c r="E120" s="216" cm="1">
        <f t="array" ref="E120">Common_InputFunctions.Utility_DisplayArrayInTable(Fuel_SourceData.Fuel_Scope3EmissionFactorsStationaryGaseous_Data(), Table_Fuel_EFs_StationaryGaseous34[[#Headers],[State or territory]],0)</f>
        <v>4.0999999999999996</v>
      </c>
      <c r="F120" s="216" cm="1">
        <f t="array" ref="F120">Common_InputFunctions.Utility_DisplayArrayInTable(Fuel_SourceData.Fuel_Scope3EmissionFactorsStationaryGaseous_Data(), Table_Fuel_EFs_StationaryGaseous34[[#Headers],[State or territory]],0)</f>
        <v>4</v>
      </c>
      <c r="G120" s="217" t="str">
        <v>-</v>
      </c>
      <c r="H120" s="1" t="str">
        <v>C = Confidential. Scope 3 emission factors for Tasmania and the Northern Territory are not available due to confidentiality constraints that arise</v>
      </c>
      <c r="I120" s="157"/>
      <c r="J120" s="157"/>
      <c r="K120" s="157"/>
      <c r="L120" s="157"/>
    </row>
    <row r="121" spans="4:13" ht="20.100000000000001" customHeight="1" x14ac:dyDescent="0.25">
      <c r="D121" s="8"/>
      <c r="E121" s="8"/>
      <c r="F121" s="8"/>
      <c r="G121" s="217" t="str">
        <v/>
      </c>
      <c r="H121" s="1" t="str">
        <v>from the use of a limited number of NGER data inputs. It is suggested that for Tasmania the use of the Victorian emission factors is appropriate,</v>
      </c>
      <c r="I121" s="157"/>
      <c r="J121" s="157"/>
      <c r="K121" s="157"/>
      <c r="L121" s="157"/>
    </row>
    <row r="122" spans="4:13" ht="20.100000000000001" customHeight="1" x14ac:dyDescent="0.25">
      <c r="D122" s="157"/>
      <c r="F122" s="218"/>
      <c r="G122" s="217" t="str">
        <v/>
      </c>
      <c r="H122" s="1" t="str">
        <v>while for Northern Territory the use of the Western Australian emission factors is appropriate.</v>
      </c>
      <c r="I122" s="157"/>
      <c r="J122" s="157"/>
      <c r="K122" s="157"/>
      <c r="L122" s="157"/>
    </row>
    <row r="123" spans="4:13" ht="20.100000000000001" customHeight="1" x14ac:dyDescent="0.25">
      <c r="D123" s="219"/>
      <c r="F123" s="218"/>
      <c r="G123" s="217" t="str">
        <v>-</v>
      </c>
      <c r="H123" s="1" t="str">
        <v>Scope 3 emission factors do not include fugitive emission leakage from low pressure natural gas distribution pipeline networks while those from high pressure</v>
      </c>
      <c r="I123" s="157"/>
      <c r="J123" s="157"/>
      <c r="K123" s="157"/>
      <c r="L123" s="157"/>
    </row>
    <row r="124" spans="4:13" ht="20.100000000000001" customHeight="1" x14ac:dyDescent="0.25">
      <c r="D124" s="219"/>
      <c r="F124" s="218"/>
      <c r="G124" s="157" t="str">
        <v/>
      </c>
      <c r="H124" s="1" t="str">
        <v>gas networks are considered negligible.</v>
      </c>
      <c r="I124" s="157"/>
      <c r="J124" s="157"/>
      <c r="K124" s="157"/>
      <c r="L124" s="157"/>
    </row>
    <row r="125" spans="4:13" ht="20.100000000000001" customHeight="1" x14ac:dyDescent="0.25">
      <c r="D125" s="219"/>
      <c r="F125" s="218"/>
      <c r="G125" s="157"/>
      <c r="H125" s="157"/>
      <c r="I125" s="157"/>
      <c r="J125" s="157"/>
      <c r="K125" s="157"/>
      <c r="L125" s="157"/>
    </row>
    <row r="126" spans="4:13" ht="20.100000000000001" customHeight="1" x14ac:dyDescent="0.25">
      <c r="D126" s="157"/>
      <c r="E126" s="157"/>
      <c r="F126" s="157"/>
      <c r="G126" s="157"/>
      <c r="H126" s="157"/>
      <c r="I126" s="157"/>
      <c r="J126" s="157"/>
      <c r="K126" s="157"/>
      <c r="L126" s="157"/>
      <c r="M126" s="157"/>
    </row>
    <row r="127" spans="4:13" ht="20.100000000000001" customHeight="1" x14ac:dyDescent="0.25">
      <c r="D127" s="157"/>
      <c r="E127" s="157"/>
      <c r="F127" s="157"/>
      <c r="G127" s="157"/>
      <c r="H127" s="157"/>
      <c r="I127" s="157"/>
      <c r="J127" s="157"/>
      <c r="K127" s="157"/>
      <c r="L127" s="157"/>
      <c r="M127" s="157"/>
    </row>
    <row r="128" spans="4:13" ht="20.100000000000001" customHeight="1" x14ac:dyDescent="0.25">
      <c r="D128" s="157"/>
      <c r="E128" s="157"/>
      <c r="F128" s="157"/>
      <c r="G128" s="157"/>
      <c r="H128" s="157"/>
      <c r="I128" s="157"/>
      <c r="J128" s="157"/>
      <c r="K128" s="157"/>
      <c r="L128" s="157"/>
      <c r="M128" s="157"/>
    </row>
    <row r="129" spans="4:33" ht="20.100000000000001" customHeight="1" x14ac:dyDescent="0.25">
      <c r="D129" s="220"/>
      <c r="E129" s="157"/>
      <c r="F129" s="157"/>
      <c r="G129" s="157"/>
      <c r="H129" s="157"/>
      <c r="I129" s="157"/>
      <c r="J129" s="157"/>
      <c r="K129" s="157"/>
      <c r="L129" s="157"/>
    </row>
    <row r="130" spans="4:33" ht="20.100000000000001" customHeight="1" x14ac:dyDescent="0.25">
      <c r="D130" s="221" t="s">
        <v>504</v>
      </c>
      <c r="E130" s="221" t="s">
        <v>444</v>
      </c>
      <c r="F130" s="221" t="s">
        <v>505</v>
      </c>
      <c r="G130" s="221" t="s">
        <v>447</v>
      </c>
      <c r="H130" s="221" t="s">
        <v>449</v>
      </c>
      <c r="I130" s="221" t="s">
        <v>450</v>
      </c>
      <c r="J130" s="157"/>
      <c r="K130" s="157"/>
      <c r="L130" s="157"/>
    </row>
    <row r="131" spans="4:33" ht="20.100000000000001" customHeight="1" x14ac:dyDescent="0.25">
      <c r="D131" s="222" t="str">
        <f>$D$143</f>
        <v>Petrol</v>
      </c>
      <c r="E131" s="222" t="str">
        <f>$D$143</f>
        <v>Petrol</v>
      </c>
      <c r="F131" s="222" t="str">
        <f>$D$150</f>
        <v>Avgas</v>
      </c>
      <c r="G131" s="222" t="str">
        <f>$D$143</f>
        <v>Petrol</v>
      </c>
      <c r="H131" s="222" t="str">
        <f>$D$144</f>
        <v>Diesel</v>
      </c>
      <c r="I131" s="222" t="str">
        <f>$D$143</f>
        <v>Petrol</v>
      </c>
      <c r="J131" s="157"/>
      <c r="K131" s="157"/>
      <c r="L131" s="157"/>
    </row>
    <row r="132" spans="4:33" ht="20.100000000000001" customHeight="1" x14ac:dyDescent="0.25">
      <c r="D132" s="222" t="str">
        <f>$D$144</f>
        <v>Diesel</v>
      </c>
      <c r="E132" s="222" t="str">
        <f>$D$144</f>
        <v>Diesel</v>
      </c>
      <c r="F132" s="222" t="str">
        <f>$D$151</f>
        <v>Jet A1, Jet B</v>
      </c>
      <c r="G132" s="222" t="str">
        <f>$D$144</f>
        <v>Diesel</v>
      </c>
      <c r="H132" s="222"/>
      <c r="I132" s="222" t="str">
        <f>$D$144</f>
        <v>Diesel</v>
      </c>
      <c r="J132" s="157"/>
      <c r="K132" s="157"/>
      <c r="L132" s="157"/>
    </row>
    <row r="133" spans="4:33" ht="20.100000000000001" customHeight="1" x14ac:dyDescent="0.25">
      <c r="D133" s="222" t="str">
        <f>$D$145</f>
        <v>Liquefied petroleum gas (LPG)</v>
      </c>
      <c r="E133" s="222" t="str">
        <f>$D$145</f>
        <v>Liquefied petroleum gas (LPG)</v>
      </c>
      <c r="F133" s="222" t="str">
        <f>$D$152</f>
        <v>Renewable aviation kerosene</v>
      </c>
      <c r="G133" s="222" t="str">
        <f>$D$145</f>
        <v>Liquefied petroleum gas (LPG)</v>
      </c>
      <c r="H133" s="222"/>
      <c r="I133" s="222" t="s">
        <v>451</v>
      </c>
      <c r="J133" s="157"/>
      <c r="K133" s="157"/>
      <c r="L133" s="157"/>
    </row>
    <row r="134" spans="4:33" ht="20.100000000000001" customHeight="1" x14ac:dyDescent="0.25">
      <c r="D134" s="222" t="str">
        <f>$D$146</f>
        <v>Biodiesel</v>
      </c>
      <c r="E134" s="222" t="str">
        <f>$D$146</f>
        <v>Biodiesel</v>
      </c>
      <c r="F134" s="221"/>
      <c r="G134" s="222" t="str">
        <f>$D$160</f>
        <v>Fuel oil</v>
      </c>
      <c r="H134" s="222"/>
      <c r="I134" s="222"/>
      <c r="J134" s="157"/>
      <c r="K134" s="157"/>
      <c r="L134" s="157"/>
    </row>
    <row r="135" spans="4:33" ht="20.100000000000001" customHeight="1" x14ac:dyDescent="0.25">
      <c r="D135" s="222" t="str">
        <f>$D$147</f>
        <v>Ethanol</v>
      </c>
      <c r="E135" s="222" t="str">
        <f>$D$147</f>
        <v>Ethanol</v>
      </c>
      <c r="F135" s="221"/>
      <c r="G135" s="222" t="str">
        <f>$D$147</f>
        <v>Ethanol</v>
      </c>
      <c r="H135" s="222"/>
      <c r="I135" s="222"/>
      <c r="J135" s="157"/>
      <c r="K135" s="157"/>
      <c r="L135" s="157"/>
    </row>
    <row r="136" spans="4:33" ht="20.100000000000001" customHeight="1" x14ac:dyDescent="0.25">
      <c r="D136" s="222" t="str">
        <f>$D$148</f>
        <v>Other biofuels</v>
      </c>
      <c r="E136" s="222" t="str">
        <f>$D$148</f>
        <v>Other biofuels</v>
      </c>
      <c r="F136" s="221"/>
      <c r="G136" s="222" t="str">
        <f>$D$146</f>
        <v>Biodiesel</v>
      </c>
      <c r="H136" s="222"/>
      <c r="I136" s="222"/>
      <c r="J136" s="157"/>
      <c r="K136" s="157"/>
      <c r="L136" s="157"/>
    </row>
    <row r="137" spans="4:33" ht="20.100000000000001" customHeight="1" x14ac:dyDescent="0.25">
      <c r="D137" s="222" t="str">
        <f>$D$149</f>
        <v>Renewable diesel</v>
      </c>
      <c r="E137" s="222" t="str">
        <f>$D$149</f>
        <v>Renewable diesel</v>
      </c>
      <c r="F137" s="221"/>
      <c r="G137" s="222" t="str">
        <f>$D$149</f>
        <v>Renewable diesel</v>
      </c>
      <c r="H137" s="222"/>
      <c r="I137" s="222"/>
      <c r="J137" s="157"/>
      <c r="K137" s="157"/>
      <c r="L137" s="157"/>
    </row>
    <row r="138" spans="4:33" ht="20.100000000000001" customHeight="1" x14ac:dyDescent="0.25">
      <c r="D138" s="221"/>
      <c r="E138" s="223" t="str">
        <f>$D$161</f>
        <v>Natural gas (via pipeline) in GJ</v>
      </c>
      <c r="F138" s="223"/>
      <c r="G138" s="222" t="str">
        <f>$D$148</f>
        <v>Other biofuels</v>
      </c>
      <c r="H138" s="222"/>
      <c r="I138" s="222"/>
      <c r="J138" s="157"/>
      <c r="K138" s="157"/>
      <c r="L138" s="157"/>
    </row>
    <row r="139" spans="4:33" ht="20.100000000000001" customHeight="1" x14ac:dyDescent="0.25">
      <c r="D139" s="223"/>
      <c r="E139" s="223" t="str">
        <f>$D$162</f>
        <v>Town gas in GJ</v>
      </c>
      <c r="F139" s="223"/>
      <c r="G139" s="223"/>
      <c r="H139" s="223"/>
      <c r="I139" s="223"/>
      <c r="J139" s="157"/>
      <c r="K139" s="157"/>
      <c r="L139" s="157"/>
    </row>
    <row r="140" spans="4:33" ht="20.100000000000001" customHeight="1" x14ac:dyDescent="0.25">
      <c r="D140" s="157"/>
      <c r="E140" s="157"/>
      <c r="F140" s="157"/>
      <c r="G140" s="157"/>
      <c r="H140" s="157"/>
      <c r="I140" s="157"/>
      <c r="J140" s="157"/>
      <c r="K140" s="157"/>
      <c r="L140" s="157"/>
    </row>
    <row r="141" spans="4:33" ht="20.100000000000001" customHeight="1" x14ac:dyDescent="0.25">
      <c r="D141" s="157"/>
      <c r="E141" s="157"/>
      <c r="F141" s="157"/>
      <c r="G141" s="157"/>
      <c r="H141" s="157"/>
      <c r="I141" s="157"/>
      <c r="J141" s="157"/>
      <c r="K141" s="157"/>
      <c r="L141" s="157"/>
    </row>
    <row r="142" spans="4:33" ht="20.100000000000001" customHeight="1" x14ac:dyDescent="0.25">
      <c r="D142" t="s">
        <v>506</v>
      </c>
      <c r="E142" t="s">
        <v>121</v>
      </c>
      <c r="F142" t="s">
        <v>507</v>
      </c>
      <c r="G142" s="157"/>
      <c r="H142" s="157"/>
      <c r="I142" s="157"/>
      <c r="J142" s="157"/>
      <c r="K142" s="157"/>
      <c r="L142" s="157"/>
      <c r="M142" s="157"/>
      <c r="AG142" s="1"/>
    </row>
    <row r="143" spans="4:33" ht="20.100000000000001" customHeight="1" x14ac:dyDescent="0.25">
      <c r="D143" s="222" t="s">
        <v>446</v>
      </c>
      <c r="E143" t="s">
        <v>508</v>
      </c>
      <c r="F143" t="s">
        <v>509</v>
      </c>
      <c r="G143" s="157"/>
      <c r="H143" s="157"/>
      <c r="I143" s="157"/>
      <c r="J143" s="157"/>
      <c r="K143" s="157"/>
      <c r="L143" s="157"/>
      <c r="M143" s="157"/>
      <c r="AG143" s="1"/>
    </row>
    <row r="144" spans="4:33" ht="20.100000000000001" customHeight="1" x14ac:dyDescent="0.25">
      <c r="D144" s="222" t="s">
        <v>448</v>
      </c>
      <c r="E144" t="s">
        <v>508</v>
      </c>
      <c r="F144" t="s">
        <v>509</v>
      </c>
      <c r="G144" s="157"/>
      <c r="H144" s="157"/>
      <c r="I144" s="157"/>
      <c r="J144" s="157"/>
      <c r="K144" s="157"/>
      <c r="L144" s="157"/>
      <c r="M144" s="157"/>
      <c r="AG144" s="1"/>
    </row>
    <row r="145" spans="4:33" ht="20.100000000000001" customHeight="1" x14ac:dyDescent="0.25">
      <c r="D145" s="222" t="s">
        <v>510</v>
      </c>
      <c r="E145" t="s">
        <v>508</v>
      </c>
      <c r="F145" t="s">
        <v>509</v>
      </c>
      <c r="G145" s="157"/>
      <c r="H145" s="157"/>
      <c r="I145" s="157"/>
      <c r="J145" s="157"/>
      <c r="K145" s="157"/>
      <c r="L145" s="157"/>
      <c r="M145" s="157"/>
      <c r="AG145" s="1"/>
    </row>
    <row r="146" spans="4:33" ht="20.100000000000001" customHeight="1" x14ac:dyDescent="0.25">
      <c r="D146" s="222" t="s">
        <v>511</v>
      </c>
      <c r="E146" t="s">
        <v>508</v>
      </c>
      <c r="F146" t="s">
        <v>509</v>
      </c>
      <c r="G146" s="157"/>
      <c r="H146" s="157"/>
      <c r="I146" s="157"/>
      <c r="J146" s="157"/>
      <c r="K146" s="157"/>
      <c r="L146" s="157"/>
      <c r="M146" s="157"/>
      <c r="AG146" s="1"/>
    </row>
    <row r="147" spans="4:33" ht="20.100000000000001" customHeight="1" x14ac:dyDescent="0.25">
      <c r="D147" s="222" t="s">
        <v>512</v>
      </c>
      <c r="E147" t="s">
        <v>508</v>
      </c>
      <c r="F147" t="s">
        <v>509</v>
      </c>
      <c r="G147" s="157"/>
      <c r="H147" s="157"/>
      <c r="I147" s="157"/>
      <c r="J147" s="157"/>
      <c r="K147" s="157"/>
      <c r="L147" s="157"/>
      <c r="M147" s="157"/>
      <c r="AG147" s="1"/>
    </row>
    <row r="148" spans="4:33" ht="20.100000000000001" customHeight="1" x14ac:dyDescent="0.25">
      <c r="D148" s="222" t="s">
        <v>513</v>
      </c>
      <c r="E148" t="s">
        <v>508</v>
      </c>
      <c r="F148" t="s">
        <v>509</v>
      </c>
      <c r="G148" s="157"/>
      <c r="H148" s="157"/>
      <c r="I148" s="157"/>
      <c r="J148" s="157"/>
      <c r="K148" s="157"/>
      <c r="L148" s="157"/>
      <c r="M148" s="157"/>
      <c r="AG148" s="1"/>
    </row>
    <row r="149" spans="4:33" ht="20.100000000000001" customHeight="1" x14ac:dyDescent="0.25">
      <c r="D149" s="222" t="s">
        <v>514</v>
      </c>
      <c r="E149" t="s">
        <v>508</v>
      </c>
      <c r="F149" t="s">
        <v>509</v>
      </c>
      <c r="G149" s="157"/>
      <c r="H149" s="157"/>
      <c r="I149" s="157"/>
      <c r="J149" s="157"/>
      <c r="K149" s="157"/>
      <c r="L149" s="157"/>
      <c r="M149" s="157"/>
      <c r="AG149" s="1"/>
    </row>
    <row r="150" spans="4:33" ht="20.100000000000001" customHeight="1" x14ac:dyDescent="0.25">
      <c r="D150" s="222" t="s">
        <v>515</v>
      </c>
      <c r="E150" t="s">
        <v>508</v>
      </c>
      <c r="F150" t="s">
        <v>509</v>
      </c>
      <c r="G150" s="157"/>
      <c r="H150" s="157"/>
      <c r="I150" s="157"/>
      <c r="J150" s="157"/>
      <c r="K150" s="157"/>
      <c r="L150" s="157"/>
      <c r="M150" s="157"/>
      <c r="AG150" s="1"/>
    </row>
    <row r="151" spans="4:33" ht="20.100000000000001" customHeight="1" x14ac:dyDescent="0.25">
      <c r="D151" s="222" t="s">
        <v>516</v>
      </c>
      <c r="E151" t="s">
        <v>508</v>
      </c>
      <c r="F151" t="s">
        <v>509</v>
      </c>
      <c r="G151" s="157"/>
      <c r="H151" s="157"/>
      <c r="I151" s="157"/>
      <c r="J151" s="157"/>
      <c r="K151" s="157"/>
      <c r="L151" s="157"/>
      <c r="M151" s="157"/>
      <c r="AG151" s="1"/>
    </row>
    <row r="152" spans="4:33" ht="20.100000000000001" customHeight="1" x14ac:dyDescent="0.25">
      <c r="D152" s="224" t="s">
        <v>517</v>
      </c>
      <c r="E152" s="8" t="s">
        <v>508</v>
      </c>
      <c r="F152" t="s">
        <v>509</v>
      </c>
      <c r="G152" s="157"/>
      <c r="H152" s="157"/>
      <c r="I152" s="157"/>
      <c r="J152" s="157"/>
      <c r="K152" s="157"/>
      <c r="L152" s="157"/>
      <c r="M152" s="157"/>
      <c r="AG152" s="1"/>
    </row>
    <row r="153" spans="4:33" ht="20.100000000000001" customHeight="1" x14ac:dyDescent="0.25">
      <c r="D153" s="224" t="s">
        <v>518</v>
      </c>
      <c r="E153" s="8" t="s">
        <v>508</v>
      </c>
      <c r="F153" t="s">
        <v>509</v>
      </c>
      <c r="G153" s="157"/>
      <c r="H153" s="157"/>
      <c r="I153" s="157"/>
      <c r="J153" s="157"/>
      <c r="K153" s="157"/>
      <c r="L153" s="157"/>
      <c r="M153" s="157"/>
      <c r="AG153" s="1"/>
    </row>
    <row r="154" spans="4:33" ht="20.100000000000001" customHeight="1" x14ac:dyDescent="0.25">
      <c r="D154" s="224" t="s">
        <v>519</v>
      </c>
      <c r="E154" s="8" t="s">
        <v>508</v>
      </c>
      <c r="F154" t="s">
        <v>509</v>
      </c>
      <c r="G154" s="157"/>
      <c r="H154" s="157"/>
      <c r="I154" s="157"/>
      <c r="J154" s="157"/>
      <c r="K154" s="157"/>
      <c r="L154" s="157"/>
      <c r="M154" s="157"/>
      <c r="AG154" s="1"/>
    </row>
    <row r="155" spans="4:33" ht="20.100000000000001" customHeight="1" x14ac:dyDescent="0.25">
      <c r="D155" s="224" t="s">
        <v>520</v>
      </c>
      <c r="E155" s="8" t="s">
        <v>508</v>
      </c>
      <c r="F155" t="s">
        <v>509</v>
      </c>
      <c r="G155" s="157"/>
      <c r="H155" s="157"/>
      <c r="I155" s="157"/>
      <c r="J155" s="157"/>
      <c r="K155" s="157"/>
      <c r="L155" s="157"/>
      <c r="M155" s="157"/>
      <c r="AG155" s="1"/>
    </row>
    <row r="156" spans="4:33" ht="20.100000000000001" customHeight="1" x14ac:dyDescent="0.25">
      <c r="D156" s="224" t="s">
        <v>521</v>
      </c>
      <c r="E156" s="8" t="s">
        <v>508</v>
      </c>
      <c r="F156" t="s">
        <v>509</v>
      </c>
      <c r="G156" s="157"/>
      <c r="H156" s="157"/>
      <c r="I156" s="157"/>
      <c r="J156" s="157"/>
      <c r="K156" s="157"/>
      <c r="L156" s="157"/>
      <c r="M156" s="157"/>
      <c r="AG156" s="1"/>
    </row>
    <row r="157" spans="4:33" ht="20.100000000000001" customHeight="1" x14ac:dyDescent="0.25">
      <c r="D157" s="224" t="s">
        <v>522</v>
      </c>
      <c r="E157" s="8" t="s">
        <v>508</v>
      </c>
      <c r="F157" t="s">
        <v>509</v>
      </c>
      <c r="G157" s="157"/>
      <c r="H157" s="157"/>
      <c r="I157" s="157"/>
      <c r="J157" s="157"/>
      <c r="K157" s="157"/>
      <c r="L157" s="157"/>
      <c r="M157" s="157"/>
      <c r="AG157" s="1"/>
    </row>
    <row r="158" spans="4:33" ht="20.100000000000001" customHeight="1" x14ac:dyDescent="0.25">
      <c r="D158" s="224" t="s">
        <v>523</v>
      </c>
      <c r="E158" s="8" t="s">
        <v>508</v>
      </c>
      <c r="F158" t="s">
        <v>509</v>
      </c>
      <c r="G158" s="157"/>
      <c r="H158" s="157"/>
      <c r="I158" s="157"/>
      <c r="J158" s="157"/>
      <c r="K158" s="157"/>
      <c r="L158" s="157"/>
      <c r="M158" s="157"/>
      <c r="AG158" s="1"/>
    </row>
    <row r="159" spans="4:33" ht="20.100000000000001" customHeight="1" x14ac:dyDescent="0.25">
      <c r="D159" s="224" t="s">
        <v>524</v>
      </c>
      <c r="E159" s="8" t="s">
        <v>508</v>
      </c>
      <c r="F159" t="s">
        <v>509</v>
      </c>
      <c r="G159" s="157"/>
      <c r="H159" s="157"/>
      <c r="I159" s="157"/>
      <c r="J159" s="157"/>
      <c r="K159" s="157"/>
      <c r="L159" s="157"/>
      <c r="M159" s="157"/>
      <c r="AG159" s="1"/>
    </row>
    <row r="160" spans="4:33" ht="20.100000000000001" customHeight="1" x14ac:dyDescent="0.25">
      <c r="D160" s="224" t="s">
        <v>451</v>
      </c>
      <c r="E160" s="8" t="s">
        <v>508</v>
      </c>
      <c r="F160" t="s">
        <v>509</v>
      </c>
      <c r="G160" s="157"/>
      <c r="H160" s="157"/>
      <c r="I160" s="157"/>
      <c r="J160" s="157"/>
      <c r="K160" s="157"/>
      <c r="L160" s="157"/>
      <c r="M160" s="157"/>
      <c r="AG160" s="1"/>
    </row>
    <row r="161" spans="4:33" ht="20.100000000000001" customHeight="1" x14ac:dyDescent="0.25">
      <c r="D161" s="223" t="s">
        <v>525</v>
      </c>
      <c r="E161" s="157" t="s">
        <v>526</v>
      </c>
      <c r="F161" s="157" t="s">
        <v>526</v>
      </c>
      <c r="G161" s="157"/>
      <c r="H161" s="157"/>
      <c r="I161" s="157"/>
      <c r="J161" s="157"/>
      <c r="K161" s="157"/>
      <c r="L161" s="157"/>
      <c r="M161" s="157"/>
      <c r="AG161" s="1"/>
    </row>
    <row r="162" spans="4:33" ht="20.100000000000001" customHeight="1" x14ac:dyDescent="0.25">
      <c r="D162" s="157" t="s">
        <v>445</v>
      </c>
      <c r="E162" s="157" t="s">
        <v>526</v>
      </c>
      <c r="F162" s="157" t="s">
        <v>526</v>
      </c>
      <c r="G162" s="157"/>
      <c r="H162" s="157"/>
      <c r="I162" s="157"/>
      <c r="J162" s="157"/>
      <c r="K162" s="157"/>
      <c r="L162" s="157"/>
      <c r="M162" s="15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2E495-6D3F-4D9E-83B1-907FC503A5DE}">
  <sheetPr>
    <tabColor theme="2" tint="-0.499984740745262"/>
  </sheetPr>
  <dimension ref="A1:Q238"/>
  <sheetViews>
    <sheetView showGridLines="0" topLeftCell="A9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6" width="35" style="1" customWidth="1"/>
    <col min="17" max="17" width="9.140625" style="1"/>
    <col min="18" max="16384" width="9.140625" style="237"/>
  </cols>
  <sheetData>
    <row r="1" spans="1:17" ht="30" customHeight="1" x14ac:dyDescent="0.35">
      <c r="A1" s="16" t="e" vm="1">
        <v>#VALUE!</v>
      </c>
      <c r="C1" s="237"/>
      <c r="D1" s="237"/>
      <c r="E1" s="237"/>
      <c r="F1" s="237"/>
      <c r="G1" s="237"/>
      <c r="H1" s="237"/>
      <c r="I1" s="237"/>
      <c r="J1" s="237"/>
      <c r="K1" s="237"/>
      <c r="L1" s="237"/>
      <c r="M1" s="237"/>
      <c r="N1" s="237"/>
      <c r="O1" s="237"/>
      <c r="P1" s="237"/>
      <c r="Q1" s="237"/>
    </row>
    <row r="2" spans="1:17" ht="20.100000000000001" customHeight="1" x14ac:dyDescent="0.25">
      <c r="A2"/>
      <c r="C2" s="237"/>
      <c r="D2" s="237"/>
      <c r="E2" s="237"/>
      <c r="F2" s="237"/>
      <c r="G2" s="237"/>
      <c r="H2" s="237"/>
      <c r="I2" s="237"/>
      <c r="J2" s="237"/>
      <c r="K2" s="237"/>
      <c r="L2" s="237"/>
      <c r="M2" s="237"/>
      <c r="N2" s="237"/>
      <c r="O2" s="237"/>
      <c r="P2" s="237"/>
      <c r="Q2" s="237"/>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Farm Inputs'!A1", "Farm Inputs")</f>
        <v>Farm Inputs</v>
      </c>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A20"/>
    </row>
    <row r="21" spans="1:11" ht="20.100000000000001" customHeight="1" x14ac:dyDescent="0.25">
      <c r="A21"/>
    </row>
    <row r="22" spans="1:11" ht="20.100000000000001" customHeight="1" x14ac:dyDescent="0.25">
      <c r="A22" s="6" t="s">
        <v>2</v>
      </c>
    </row>
    <row r="23" spans="1:11" ht="20.100000000000001" customHeight="1" x14ac:dyDescent="0.25">
      <c r="A23" s="5" t="str">
        <f>HYPERLINK("#'5.1.1.1-2 Inorganic fert N2O'!A1", "5.1.1.1-2 Inorganic fert N2O")</f>
        <v>5.1.1.1-2 Inorganic fert N2O</v>
      </c>
    </row>
    <row r="24" spans="1:11" ht="20.100000000000001" customHeight="1" x14ac:dyDescent="0.25">
      <c r="A24" s="5" t="str">
        <f>HYPERLINK("#'5.1.1.3-4 Inorganic fert CO2'!A1", "5.1.1.3-4 Inorganic fert CO2")</f>
        <v>5.1.1.3-4 Inorganic fert CO2</v>
      </c>
    </row>
    <row r="25" spans="1:11" ht="20.100000000000001" customHeight="1" x14ac:dyDescent="0.25">
      <c r="A25" s="5" t="str">
        <f>HYPERLINK("#'5.2.1.1-2 Organic Fert N2O'!A1", "5.2.1.1-2 Organic fert N2O")</f>
        <v>5.2.1.1-2 Organic fert N2O</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row>
    <row r="32" spans="1:11" ht="20.100000000000001" customHeight="1" x14ac:dyDescent="0.25">
      <c r="A32" s="5" t="str">
        <f>HYPERLINK("#'8.1.1.1-2 Transport fuel'!A1", "8.1.1.1-2 Transport fuel")</f>
        <v>8.1.1.1-2 Transport fuel</v>
      </c>
      <c r="D32" s="2" t="s">
        <v>929</v>
      </c>
      <c r="K32" s="1" t="s">
        <v>930</v>
      </c>
    </row>
    <row r="33" spans="1:12" ht="20.100000000000001" customHeight="1" x14ac:dyDescent="0.25">
      <c r="A33" s="5" t="str">
        <f>HYPERLINK("#'8.2.1.1-2 Stationary fuel'!A1", "8.2.1.1-2 Stationary fuel")</f>
        <v>8.2.1.1-2 Stationary fuel</v>
      </c>
      <c r="D33" s="30" t="s">
        <v>931</v>
      </c>
      <c r="E33" s="30" t="s">
        <v>137</v>
      </c>
      <c r="F33" s="30" t="s">
        <v>932</v>
      </c>
      <c r="G33" s="30" t="s">
        <v>933</v>
      </c>
      <c r="H33" s="30" t="s">
        <v>934</v>
      </c>
      <c r="I33" s="30" t="s">
        <v>935</v>
      </c>
      <c r="K33" s="30" t="s">
        <v>936</v>
      </c>
      <c r="L33" s="30" t="s">
        <v>937</v>
      </c>
    </row>
    <row r="34" spans="1:12" ht="20.100000000000001" customHeight="1" x14ac:dyDescent="0.25">
      <c r="A34" s="5" t="str">
        <f>HYPERLINK("#'14.1.1-2 Purchased electricity'!A1", "14.1.1-2 Purchased electricity")</f>
        <v>14.1.1-2 Purchased electricity</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938</v>
      </c>
      <c r="L34" s="30" t="s">
        <v>745</v>
      </c>
    </row>
    <row r="35" spans="1:12" ht="20.100000000000001" customHeight="1" x14ac:dyDescent="0.25">
      <c r="A35" s="5" t="str">
        <f>HYPERLINK("#'15 Scope 3'!A1", "15 Scope 3")</f>
        <v>15 Scope 3</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745</v>
      </c>
      <c r="L35" s="30" t="s">
        <v>745</v>
      </c>
    </row>
    <row r="36" spans="1:12" ht="20.100000000000001" customHeight="1" x14ac:dyDescent="0.25">
      <c r="A36" s="5" t="str">
        <f>HYPERLINK("#'Calcs - Manure sent off-site'!A1", "Calcs - Manure sent off-site")</f>
        <v>Calcs - Manure sent off-site</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737</v>
      </c>
      <c r="L36" s="30" t="s">
        <v>737</v>
      </c>
    </row>
    <row r="37" spans="1:12" ht="20.100000000000001" customHeight="1" x14ac:dyDescent="0.25">
      <c r="A37" s="5" t="str">
        <f>HYPERLINK("#'10.1.1-2 Solid waste treatment'!A1", "10.1.1-2 Solid waste treatment")</f>
        <v>10.1.1-2 Solid waste treatment</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939</v>
      </c>
      <c r="L37" s="30" t="s">
        <v>939</v>
      </c>
    </row>
    <row r="38" spans="1:12" ht="20.100000000000001" customHeight="1" x14ac:dyDescent="0.25">
      <c r="A38"/>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748</v>
      </c>
      <c r="L38" s="30" t="s">
        <v>748</v>
      </c>
    </row>
    <row r="39" spans="1:12" ht="20.100000000000001" customHeight="1" x14ac:dyDescent="0.25">
      <c r="A39"/>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940</v>
      </c>
      <c r="L39" s="30" t="s">
        <v>744</v>
      </c>
    </row>
    <row r="40" spans="1:12" ht="20.100000000000001" customHeight="1" x14ac:dyDescent="0.25">
      <c r="A40" s="119" t="s">
        <v>1</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941</v>
      </c>
      <c r="L40" s="30" t="s">
        <v>744</v>
      </c>
    </row>
    <row r="41" spans="1:12" ht="20.100000000000001" customHeight="1" x14ac:dyDescent="0.25">
      <c r="A41" s="5" t="str">
        <f>HYPERLINK("#'Constants - Ag Residue'!A1", "Constants - Ag residue")</f>
        <v>Constants - Ag residue</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942</v>
      </c>
      <c r="L41" s="30" t="s">
        <v>744</v>
      </c>
    </row>
    <row r="42" spans="1:12" ht="20.100000000000001" customHeight="1" x14ac:dyDescent="0.25">
      <c r="A42" s="5" t="str">
        <f>HYPERLINK("#'Constants - Common Livestock'!A1", "Constants - Common Livestock")</f>
        <v>Constants - Common Livestock</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943</v>
      </c>
      <c r="L42" s="30" t="s">
        <v>944</v>
      </c>
    </row>
    <row r="43" spans="1:12" ht="20.100000000000001" customHeight="1" x14ac:dyDescent="0.25">
      <c r="A43" s="5" t="str">
        <f>HYPERLINK("#'Constants - Electricity'!A1", "Constants - Electricity")</f>
        <v>Constants - Electricity</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945</v>
      </c>
      <c r="L43" s="30" t="s">
        <v>944</v>
      </c>
    </row>
    <row r="44" spans="1:12" ht="20.100000000000001" customHeight="1" x14ac:dyDescent="0.25">
      <c r="A44" s="5" t="str">
        <f>HYPERLINK("#'Constants - Fertiliser'!A1", "Constants - Fertiliser")</f>
        <v>Constants - Fertiliser</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946</v>
      </c>
      <c r="L44" s="30" t="s">
        <v>944</v>
      </c>
    </row>
    <row r="45" spans="1:12" ht="20.100000000000001" customHeight="1" x14ac:dyDescent="0.25">
      <c r="A45" s="5" t="str">
        <f>HYPERLINK("#'Constants - Fuel'!A1", "Constants - Fuel")</f>
        <v>Constants - Fuel</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947</v>
      </c>
      <c r="L45" s="30" t="s">
        <v>742</v>
      </c>
    </row>
    <row r="46" spans="1:12" ht="20.100000000000001" customHeight="1" x14ac:dyDescent="0.25">
      <c r="A46" s="171" t="str">
        <f>HYPERLINK("#'Constants - Scope 3'!A1", "Constants - Scope 3")</f>
        <v>Constants - Scope 3</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948</v>
      </c>
      <c r="L46" s="30" t="s">
        <v>742</v>
      </c>
    </row>
    <row r="47" spans="1:12" ht="20.100000000000001" customHeight="1" x14ac:dyDescent="0.25">
      <c r="A47" s="5" t="str">
        <f>HYPERLINK("#'Constants - Common'!A1", "Constants - Common")</f>
        <v>Constants - Common</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949</v>
      </c>
      <c r="L47" s="30" t="s">
        <v>742</v>
      </c>
    </row>
    <row r="48" spans="1:12" ht="20.100000000000001" customHeight="1" x14ac:dyDescent="0.25">
      <c r="A48" s="5" t="str">
        <f>HYPERLINK("#'Constants - Solid Waste'!A1", "Constants - Solid Waste")</f>
        <v>Constants - Solid Waste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950</v>
      </c>
      <c r="L48" s="30" t="s">
        <v>742</v>
      </c>
    </row>
    <row r="49" spans="1:12" ht="20.100000000000001" customHeight="1" x14ac:dyDescent="0.25">
      <c r="A49"/>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740</v>
      </c>
      <c r="L49" s="1" t="s">
        <v>740</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676</v>
      </c>
    </row>
    <row r="77" spans="1:9" ht="20.100000000000001" customHeight="1" x14ac:dyDescent="0.25">
      <c r="A77"/>
      <c r="D77" s="30" t="s">
        <v>931</v>
      </c>
      <c r="E77" s="30" t="s">
        <v>137</v>
      </c>
      <c r="F77" s="30" t="s">
        <v>932</v>
      </c>
      <c r="G77" s="30" t="s">
        <v>933</v>
      </c>
      <c r="H77" s="30" t="s">
        <v>934</v>
      </c>
      <c r="I77" s="30" t="s">
        <v>935</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931</v>
      </c>
      <c r="E82" s="30" t="s">
        <v>137</v>
      </c>
      <c r="F82" s="30" t="s">
        <v>932</v>
      </c>
      <c r="G82" s="30" t="s">
        <v>933</v>
      </c>
      <c r="H82" s="30" t="s">
        <v>934</v>
      </c>
      <c r="I82" s="30" t="s">
        <v>935</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723</v>
      </c>
    </row>
    <row r="89" spans="1:16" ht="20.100000000000001" customHeight="1" x14ac:dyDescent="0.25">
      <c r="A89"/>
      <c r="D89" s="30" t="s">
        <v>931</v>
      </c>
      <c r="E89" s="30" t="s">
        <v>137</v>
      </c>
      <c r="F89" s="30" t="s">
        <v>932</v>
      </c>
      <c r="G89" s="30" t="s">
        <v>933</v>
      </c>
      <c r="H89" s="30" t="s">
        <v>934</v>
      </c>
      <c r="I89" s="30" t="s">
        <v>935</v>
      </c>
      <c r="K89" s="30" t="s">
        <v>137</v>
      </c>
      <c r="L89" s="30" t="s">
        <v>936</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936</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936</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936</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936</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936</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936</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936</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936</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936</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8" t="s">
        <v>137</v>
      </c>
      <c r="L151" s="258" t="s">
        <v>936</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936</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936</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936</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936</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936</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936</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936</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931</v>
      </c>
      <c r="E161" s="30" t="s">
        <v>137</v>
      </c>
      <c r="F161" s="30" t="s">
        <v>932</v>
      </c>
      <c r="G161" s="30" t="s">
        <v>933</v>
      </c>
      <c r="H161" s="30" t="s">
        <v>934</v>
      </c>
      <c r="I161" s="30" t="s">
        <v>935</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931</v>
      </c>
      <c r="E167" s="30" t="s">
        <v>137</v>
      </c>
      <c r="F167" s="30" t="s">
        <v>932</v>
      </c>
      <c r="G167" s="30" t="s">
        <v>933</v>
      </c>
      <c r="H167" s="30" t="s">
        <v>934</v>
      </c>
      <c r="I167" s="30" t="s">
        <v>935</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951</v>
      </c>
    </row>
    <row r="173" spans="4:13" ht="20.100000000000001" customHeight="1" x14ac:dyDescent="0.25">
      <c r="D173" s="30" t="s">
        <v>931</v>
      </c>
      <c r="E173" s="30" t="s">
        <v>137</v>
      </c>
      <c r="F173" s="30" t="s">
        <v>932</v>
      </c>
      <c r="G173" s="30" t="s">
        <v>317</v>
      </c>
      <c r="H173" s="30" t="s">
        <v>212</v>
      </c>
      <c r="I173" s="30" t="s">
        <v>213</v>
      </c>
      <c r="J173" s="30" t="s">
        <v>952</v>
      </c>
      <c r="K173" s="30" t="s">
        <v>933</v>
      </c>
      <c r="L173" s="30" t="s">
        <v>934</v>
      </c>
      <c r="M173" s="30" t="s">
        <v>935</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953</v>
      </c>
      <c r="N200" s="30"/>
      <c r="O200" s="30"/>
      <c r="P200" s="30"/>
    </row>
    <row r="201" spans="4:16" ht="20.100000000000001" customHeight="1" x14ac:dyDescent="0.25">
      <c r="D201" s="30" t="s">
        <v>931</v>
      </c>
      <c r="E201" s="30" t="s">
        <v>137</v>
      </c>
      <c r="F201" s="30" t="s">
        <v>932</v>
      </c>
      <c r="G201" s="30" t="s">
        <v>933</v>
      </c>
      <c r="H201" s="30" t="s">
        <v>934</v>
      </c>
      <c r="I201" s="30" t="s">
        <v>935</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762</v>
      </c>
    </row>
    <row r="212" spans="4:16" ht="20.100000000000001" customHeight="1" x14ac:dyDescent="0.25">
      <c r="D212" s="30" t="s">
        <v>931</v>
      </c>
      <c r="E212" s="30" t="s">
        <v>137</v>
      </c>
      <c r="F212" s="30" t="s">
        <v>932</v>
      </c>
      <c r="G212" s="30" t="s">
        <v>933</v>
      </c>
      <c r="H212" s="30" t="s">
        <v>934</v>
      </c>
      <c r="I212" s="30" t="s">
        <v>935</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677</v>
      </c>
    </row>
    <row r="219" spans="4:16" ht="20.100000000000001" customHeight="1" x14ac:dyDescent="0.25">
      <c r="D219" s="30" t="s">
        <v>931</v>
      </c>
      <c r="E219" s="30" t="s">
        <v>137</v>
      </c>
      <c r="F219" s="30" t="s">
        <v>932</v>
      </c>
      <c r="G219" s="30" t="s">
        <v>933</v>
      </c>
      <c r="H219" s="30" t="s">
        <v>934</v>
      </c>
      <c r="I219" s="30" t="s">
        <v>935</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954</v>
      </c>
    </row>
    <row r="234" spans="4:9" ht="20.100000000000001" customHeight="1" x14ac:dyDescent="0.25">
      <c r="D234" s="30" t="s">
        <v>931</v>
      </c>
      <c r="E234" s="30" t="s">
        <v>137</v>
      </c>
      <c r="F234" s="30" t="s">
        <v>932</v>
      </c>
      <c r="G234" s="30" t="s">
        <v>933</v>
      </c>
      <c r="H234" s="30" t="s">
        <v>934</v>
      </c>
      <c r="I234" s="30" t="s">
        <v>935</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Normal="100" workbookViewId="0">
      <selection activeCell="A48" sqref="A4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Farm Inputs'!A1", "Farm Inputs")</f>
        <v>Farm Inputs</v>
      </c>
    </row>
    <row r="17" spans="1:4" ht="20.100000000000001" customHeight="1" x14ac:dyDescent="0.25">
      <c r="A17" s="5" t="str">
        <f>HYPERLINK("#'Input - Freight'!A1", "Freight")</f>
        <v>Freight</v>
      </c>
    </row>
    <row r="18" spans="1:4" ht="20.100000000000001" customHeight="1" x14ac:dyDescent="0.25">
      <c r="A18" s="5" t="str">
        <f>HYPERLINK("#'Input - Manure sent off-site'!A1", "Manure sent off-site")</f>
        <v>Manure sent off-site</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27" t="str" cm="1">
        <f t="array" ref="D19">Common_SourceData.Common_SourceData_WASA4Areas_Source()</f>
        <v>Australian Bureau of Statistics (ABS) - Statistical Areas Level 2 - 2021 - Shapefile</v>
      </c>
    </row>
    <row r="20" spans="1:4" ht="20.100000000000001" customHeight="1" x14ac:dyDescent="0.25">
      <c r="A20"/>
      <c r="D20" s="30" t="s">
        <v>24</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s="6" t="s">
        <v>2</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HYPERLINK("#'5.1.1.1-2 Inorganic fert N2O'!A1", "5.1.1.1-2 Inorganic fert N2O")</f>
        <v>5.1.1.1-2 Inorganic fert N2O</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HYPERLINK("#'5.1.1.3-4 Inorganic fert CO2'!A1", "5.1.1.3-4 Inorganic fert CO2")</f>
        <v>5.1.1.3-4 Inorganic fert CO2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HYPERLINK("#'5.2.1.1-2 Organic Fert N2O'!A1", "5.2.1.1-2 Organic fert N2O")</f>
        <v>5.2.1.1-2 Organic fert N2O</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HYPERLINK("#'5.3.1.1-2 Lime CO2'!A1", "5.3.1.1-2 Lime CO2")</f>
        <v>5.3.1.1-2 Lime CO2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HYPERLINK("#'5.4.1.1-4 Atmos deposition'!A1", "5.4.1.1-4 Atmos. deposition")</f>
        <v>5.4.1.1-4 Atmos. deposition</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HYPERLINK("#'5.5.1.1-2 Leaching and runoff'!A1", "5.5.1.1-2 Leaching &amp; runoff")</f>
        <v>5.5.1.1-2 Leaching &amp; runoff</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HYPERLINK("#'6.1.1.1-2 Crop residue N2O'!A1", "6.1.1.1-2 Crop residue N2O")</f>
        <v>6.1.1.1-2 Crop residue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HYPERLINK("#'6.3.1.1-2 Leach runoff crop'!A1", "6.3.1.1-2 Leach &amp; runoff (crop)")</f>
        <v>6.3.1.1-2 Leach &amp; runoff (crop)</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HYPERLINK("#'6.4.1.1-2 Residue burning'!A1", "6.4.1.1-2 Residue burning")</f>
        <v>6.4.1.1-2 Residue burning</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s="5" t="str">
        <f>HYPERLINK("#'15 Scope 3'!A1", "15 Scope 3")</f>
        <v>15 Scope 3</v>
      </c>
      <c r="D35" s="27" t="str" cm="1">
        <f t="array" ref="D35">Common_SourceData.Common_SourceData_GWP_Source()</f>
        <v>XXXXXXX</v>
      </c>
    </row>
    <row r="36" spans="1:8" ht="20.100000000000001" customHeight="1" x14ac:dyDescent="0.25">
      <c r="A36" s="5" t="str">
        <f>HYPERLINK("#'Calcs - Manure sent off-site'!A1", "Calcs - Manure sent off-site")</f>
        <v>Calcs - Manure sent off-site</v>
      </c>
      <c r="D36" s="30" t="s">
        <v>25</v>
      </c>
      <c r="E36" s="30" t="s">
        <v>26</v>
      </c>
    </row>
    <row r="37" spans="1:8" ht="20.100000000000001" customHeight="1" x14ac:dyDescent="0.25">
      <c r="A37" s="5" t="str">
        <f>HYPERLINK("#'10.1.1-2 Solid waste treatment'!A1", "10.1.1-2 Solid waste treatment")</f>
        <v>10.1.1-2 Solid waste treatment</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119" t="s">
        <v>1</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Ag Residue'!A1", "Constants - Ag residue")</f>
        <v>Constants - Ag residue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Common Livestock'!A1", "Constants - Common Livestock")</f>
        <v>Constants - Common Livestock</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Electricity'!A1", "Constants - Electricity")</f>
        <v>Constants -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Scope 3'!A1", "Constants - Scope 3")</f>
        <v>Constants - Scope 3</v>
      </c>
      <c r="D46" s="27" t="str" cm="1">
        <f t="array" ref="D46">Common_SourceData.Common_SourceData_ConvertGasElementalToMolecular_Source()</f>
        <v>XXXXXXX</v>
      </c>
    </row>
    <row r="47" spans="1:8" ht="20.100000000000001" customHeight="1" x14ac:dyDescent="0.25">
      <c r="A47" s="171" t="str">
        <f>HYPERLINK("#'Constants - Common'!A1", "Constants - Common")</f>
        <v>Constants - Common</v>
      </c>
      <c r="D47" s="30" t="s">
        <v>25</v>
      </c>
      <c r="E47" s="30" t="s">
        <v>27</v>
      </c>
      <c r="F47" s="30" t="s">
        <v>28</v>
      </c>
      <c r="G47" s="30" t="s">
        <v>29</v>
      </c>
      <c r="H47" s="30" t="s">
        <v>30</v>
      </c>
    </row>
    <row r="48" spans="1:8" ht="20.100000000000001" customHeight="1" x14ac:dyDescent="0.25">
      <c r="A48" s="5" t="str">
        <f>HYPERLINK("#'Constants - Solid Waste'!A1", "Constants - Solid Waste")</f>
        <v>Constants - Solid Waste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84</v>
      </c>
      <c r="E257" s="30" t="s">
        <v>85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3E878-1397-4A0C-A0EE-3A84BE11FF43}">
  <sheetPr>
    <tabColor theme="5" tint="-0.249977111117893"/>
  </sheetPr>
  <dimension ref="A1:L385"/>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527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528</v>
      </c>
    </row>
    <row r="6" spans="1:10" ht="20.100000000000001" customHeight="1" x14ac:dyDescent="0.25"/>
    <row r="7" spans="1:10" ht="20.100000000000001" customHeight="1" x14ac:dyDescent="0.25">
      <c r="D7" s="46" t="s">
        <v>401</v>
      </c>
      <c r="E7" s="49"/>
    </row>
    <row r="8" spans="1:10" ht="20.100000000000001" customHeight="1" x14ac:dyDescent="0.25">
      <c r="A8" s="7" t="s">
        <v>0</v>
      </c>
    </row>
    <row r="9" spans="1:10" ht="20.100000000000001" customHeight="1" x14ac:dyDescent="0.25">
      <c r="A9" s="5" t="str">
        <f>HYPERLINK("#'Input - Enterprise'!A1", "Enterprise")</f>
        <v>Enterprise</v>
      </c>
      <c r="D9" s="144" t="s">
        <v>402</v>
      </c>
      <c r="E9" s="144" t="s">
        <v>529</v>
      </c>
      <c r="F9" s="144" t="s">
        <v>530</v>
      </c>
      <c r="G9" s="144" t="s">
        <v>531</v>
      </c>
      <c r="H9" s="144" t="s">
        <v>532</v>
      </c>
      <c r="I9" s="144" t="s">
        <v>533</v>
      </c>
    </row>
    <row r="10" spans="1:10" ht="20.100000000000001" customHeight="1" x14ac:dyDescent="0.25">
      <c r="A10" s="5" t="str">
        <f>HYPERLINK("#'Input - Site'!A1", "Site")</f>
        <v>Site</v>
      </c>
      <c r="D10" s="30" t="s">
        <v>534</v>
      </c>
      <c r="E10" s="23" t="s">
        <v>535</v>
      </c>
      <c r="F10" s="23" t="s">
        <v>536</v>
      </c>
      <c r="G10" s="23" t="s">
        <v>537</v>
      </c>
      <c r="H10" s="86">
        <v>50</v>
      </c>
      <c r="I10" s="23" t="s">
        <v>19</v>
      </c>
    </row>
    <row r="11" spans="1:10" ht="20.100000000000001" customHeight="1" x14ac:dyDescent="0.25">
      <c r="A11" s="5" t="str">
        <f>HYPERLINK("#'Input - Crop'!A1", "Crop")</f>
        <v>Crop</v>
      </c>
      <c r="D11" s="30" t="s">
        <v>538</v>
      </c>
      <c r="E11" s="23" t="s">
        <v>535</v>
      </c>
      <c r="F11" s="23" t="s">
        <v>536</v>
      </c>
      <c r="G11" s="23" t="s">
        <v>539</v>
      </c>
      <c r="H11" s="86">
        <v>50</v>
      </c>
      <c r="I11" s="23" t="s">
        <v>540</v>
      </c>
    </row>
    <row r="12" spans="1:10" ht="20.100000000000001" customHeight="1" x14ac:dyDescent="0.25">
      <c r="A12" s="5" t="str">
        <f>HYPERLINK("#'Input - Fert Prod System'!A1", "Fert Prod System")</f>
        <v>Fert Prod System</v>
      </c>
      <c r="D12" s="30" t="s">
        <v>541</v>
      </c>
      <c r="E12" s="23" t="s">
        <v>535</v>
      </c>
      <c r="F12" s="23" t="s">
        <v>542</v>
      </c>
      <c r="G12" s="23" t="s">
        <v>537</v>
      </c>
      <c r="H12" s="86">
        <v>50</v>
      </c>
      <c r="I12" s="23" t="s">
        <v>19</v>
      </c>
    </row>
    <row r="13" spans="1:10" ht="20.100000000000001" customHeight="1" x14ac:dyDescent="0.25">
      <c r="A13" s="5" t="str">
        <f>HYPERLINK("#'Input - Fertiliser'!A1", "Fertiliser")</f>
        <v>Fertiliser</v>
      </c>
      <c r="D13" s="30" t="s">
        <v>543</v>
      </c>
      <c r="E13" s="23" t="s">
        <v>535</v>
      </c>
      <c r="F13" s="23" t="s">
        <v>542</v>
      </c>
      <c r="G13" s="23" t="s">
        <v>539</v>
      </c>
      <c r="H13" s="86">
        <v>50</v>
      </c>
      <c r="I13" s="23" t="s">
        <v>540</v>
      </c>
    </row>
    <row r="14" spans="1:10" ht="20.100000000000001" customHeight="1" x14ac:dyDescent="0.25">
      <c r="A14" s="5" t="str">
        <f>HYPERLINK("#'Input - Fuel'!A1", "Fuel")</f>
        <v>Fuel</v>
      </c>
      <c r="D14" s="30" t="s">
        <v>544</v>
      </c>
      <c r="E14" s="23" t="s">
        <v>545</v>
      </c>
      <c r="F14" s="23" t="s">
        <v>542</v>
      </c>
      <c r="G14" s="23" t="s">
        <v>537</v>
      </c>
      <c r="H14" s="86">
        <v>50</v>
      </c>
      <c r="I14" s="23" t="s">
        <v>19</v>
      </c>
    </row>
    <row r="15" spans="1:10" ht="20.100000000000001" customHeight="1" x14ac:dyDescent="0.25">
      <c r="A15" s="5" t="str">
        <f>HYPERLINK("#'Input - Electricity'!A1", "Electricity")</f>
        <v>Electricity</v>
      </c>
      <c r="D15" s="30" t="s">
        <v>546</v>
      </c>
      <c r="E15" s="23" t="s">
        <v>545</v>
      </c>
      <c r="F15" s="23" t="s">
        <v>542</v>
      </c>
      <c r="G15" s="23" t="s">
        <v>537</v>
      </c>
      <c r="H15" s="86">
        <v>50</v>
      </c>
      <c r="I15" s="23" t="s">
        <v>540</v>
      </c>
    </row>
    <row r="16" spans="1:10" ht="20.100000000000001" customHeight="1" x14ac:dyDescent="0.25">
      <c r="A16" s="5" t="str">
        <f>HYPERLINK("#'Input - Farm Inputs'!A1", "Farm Inputs")</f>
        <v>Farm Inputs</v>
      </c>
      <c r="D16" s="30" t="s">
        <v>547</v>
      </c>
      <c r="E16" s="23" t="s">
        <v>545</v>
      </c>
      <c r="F16" s="23" t="s">
        <v>542</v>
      </c>
      <c r="G16" s="23" t="s">
        <v>539</v>
      </c>
      <c r="H16" s="86">
        <v>50</v>
      </c>
      <c r="I16" s="23" t="s">
        <v>19</v>
      </c>
    </row>
    <row r="17" spans="1:11" ht="20.100000000000001" customHeight="1" x14ac:dyDescent="0.25">
      <c r="A17" s="5" t="str">
        <f>HYPERLINK("#'Input - Freight'!A1", "Freight")</f>
        <v>Freight</v>
      </c>
      <c r="D17" s="30" t="s">
        <v>548</v>
      </c>
      <c r="E17" s="23" t="s">
        <v>545</v>
      </c>
      <c r="F17" s="23" t="s">
        <v>542</v>
      </c>
      <c r="G17" s="23" t="s">
        <v>539</v>
      </c>
      <c r="H17" s="86">
        <v>50</v>
      </c>
      <c r="I17" s="23" t="s">
        <v>540</v>
      </c>
    </row>
    <row r="18" spans="1:11" ht="20.100000000000001" customHeight="1" x14ac:dyDescent="0.25">
      <c r="A18" s="5" t="str">
        <f>HYPERLINK("#'Input - Manure sent off-site'!A1", "Manure sent off-site")</f>
        <v>Manure sent off-site</v>
      </c>
      <c r="D18" s="30" t="s">
        <v>549</v>
      </c>
      <c r="E18" s="23" t="s">
        <v>545</v>
      </c>
      <c r="F18" s="23" t="s">
        <v>536</v>
      </c>
      <c r="G18" s="23" t="s">
        <v>537</v>
      </c>
      <c r="H18" s="86">
        <v>50</v>
      </c>
      <c r="I18" s="23" t="s">
        <v>19</v>
      </c>
    </row>
    <row r="19" spans="1:11" ht="20.100000000000001" customHeight="1" x14ac:dyDescent="0.25">
      <c r="A19" s="97" t="str">
        <f>HYPERLINK("#'Input - Solid waste'!A1", "Solid waste")</f>
        <v>Solid waste</v>
      </c>
      <c r="D19" s="30" t="s">
        <v>550</v>
      </c>
      <c r="E19" s="23" t="s">
        <v>545</v>
      </c>
      <c r="F19" s="23" t="s">
        <v>536</v>
      </c>
      <c r="G19" s="23" t="s">
        <v>537</v>
      </c>
      <c r="H19" s="86">
        <v>50</v>
      </c>
      <c r="I19" s="23" t="s">
        <v>540</v>
      </c>
    </row>
    <row r="20" spans="1:11" ht="20.100000000000001" customHeight="1" x14ac:dyDescent="0.25">
      <c r="D20" s="30" t="s">
        <v>551</v>
      </c>
      <c r="E20" s="23" t="s">
        <v>545</v>
      </c>
      <c r="F20" s="23" t="s">
        <v>536</v>
      </c>
      <c r="G20" s="23" t="s">
        <v>539</v>
      </c>
      <c r="H20" s="86">
        <v>50</v>
      </c>
      <c r="I20" s="23" t="s">
        <v>19</v>
      </c>
    </row>
    <row r="21" spans="1:11" ht="20.100000000000001" customHeight="1" x14ac:dyDescent="0.25">
      <c r="D21" s="30" t="s">
        <v>552</v>
      </c>
      <c r="E21" s="23" t="s">
        <v>545</v>
      </c>
      <c r="F21" s="23" t="s">
        <v>536</v>
      </c>
      <c r="G21" s="23" t="s">
        <v>539</v>
      </c>
      <c r="H21" s="86">
        <v>50</v>
      </c>
      <c r="I21" s="23" t="s">
        <v>540</v>
      </c>
    </row>
    <row r="22" spans="1:11" ht="20.100000000000001" customHeight="1" x14ac:dyDescent="0.25">
      <c r="A22" s="6" t="s">
        <v>2</v>
      </c>
      <c r="D22" s="30" t="s">
        <v>553</v>
      </c>
      <c r="E22" s="23" t="s">
        <v>545</v>
      </c>
      <c r="F22" s="23" t="s">
        <v>554</v>
      </c>
      <c r="G22" s="23" t="s">
        <v>537</v>
      </c>
      <c r="H22" s="86">
        <v>50</v>
      </c>
      <c r="I22" s="23" t="s">
        <v>19</v>
      </c>
    </row>
    <row r="23" spans="1:11" ht="20.100000000000001" customHeight="1" x14ac:dyDescent="0.25">
      <c r="A23" s="5" t="str">
        <f>HYPERLINK("#'5.1.1.1-2 Inorganic fert N2O'!A1", "5.1.1.1-2 Inorganic fert N2O")</f>
        <v>5.1.1.1-2 Inorganic fert N2O</v>
      </c>
      <c r="D23" s="30" t="s">
        <v>555</v>
      </c>
      <c r="E23" s="23" t="s">
        <v>545</v>
      </c>
      <c r="F23" s="23" t="s">
        <v>554</v>
      </c>
      <c r="G23" s="23" t="s">
        <v>537</v>
      </c>
      <c r="H23" s="86">
        <v>50</v>
      </c>
      <c r="I23" s="23" t="s">
        <v>540</v>
      </c>
    </row>
    <row r="24" spans="1:11" ht="20.100000000000001" customHeight="1" x14ac:dyDescent="0.25">
      <c r="A24" s="5" t="str">
        <f>HYPERLINK("#'5.1.1.3-4 Inorganic fert CO2'!A1", "5.1.1.3-4 Inorganic fert CO2")</f>
        <v>5.1.1.3-4 Inorganic fert CO2</v>
      </c>
      <c r="D24" s="30" t="s">
        <v>556</v>
      </c>
      <c r="E24" s="23" t="s">
        <v>545</v>
      </c>
      <c r="F24" s="23" t="s">
        <v>554</v>
      </c>
      <c r="G24" s="23" t="s">
        <v>539</v>
      </c>
      <c r="H24" s="86">
        <v>50</v>
      </c>
      <c r="I24" s="23" t="s">
        <v>19</v>
      </c>
    </row>
    <row r="25" spans="1:11" ht="20.100000000000001" customHeight="1" x14ac:dyDescent="0.25">
      <c r="A25" s="5" t="str">
        <f>HYPERLINK("#'5.2.1.1-2 Organic Fert N2O'!A1", "5.2.1.1-2 Organic fert N2O")</f>
        <v>5.2.1.1-2 Organic fert N2O</v>
      </c>
      <c r="D25" s="30" t="s">
        <v>557</v>
      </c>
      <c r="E25" s="23" t="s">
        <v>545</v>
      </c>
      <c r="F25" s="23" t="s">
        <v>554</v>
      </c>
      <c r="G25" s="23" t="s">
        <v>539</v>
      </c>
      <c r="H25" s="86">
        <v>50</v>
      </c>
      <c r="I25" s="23" t="s">
        <v>540</v>
      </c>
    </row>
    <row r="26" spans="1:11" ht="20.100000000000001" customHeight="1" x14ac:dyDescent="0.25">
      <c r="A26" s="5" t="str">
        <f>HYPERLINK("#'5.3.1.1-2 Lime CO2'!A1", "5.3.1.1-2 Lime CO2")</f>
        <v>5.3.1.1-2 Lime CO2</v>
      </c>
      <c r="D26" s="30" t="s">
        <v>558</v>
      </c>
      <c r="E26" s="23" t="s">
        <v>559</v>
      </c>
      <c r="F26" s="23" t="s">
        <v>536</v>
      </c>
      <c r="G26" s="23" t="s">
        <v>539</v>
      </c>
      <c r="H26" s="86">
        <v>50</v>
      </c>
      <c r="I26" s="23" t="s">
        <v>19</v>
      </c>
    </row>
    <row r="27" spans="1:11" ht="20.100000000000001" customHeight="1" x14ac:dyDescent="0.25">
      <c r="A27" s="5" t="str">
        <f>HYPERLINK("#'5.4.1.1-4 Atmos deposition'!A1", "5.4.1.1-4 Atmos. deposition")</f>
        <v>5.4.1.1-4 Atmos. deposition</v>
      </c>
      <c r="D27" s="30" t="s">
        <v>560</v>
      </c>
      <c r="E27" s="23" t="s">
        <v>559</v>
      </c>
      <c r="F27" s="23" t="s">
        <v>536</v>
      </c>
      <c r="G27" s="23" t="s">
        <v>539</v>
      </c>
      <c r="H27" s="86">
        <v>50</v>
      </c>
      <c r="I27" s="23" t="s">
        <v>540</v>
      </c>
    </row>
    <row r="28" spans="1:11" ht="20.100000000000001" customHeight="1" x14ac:dyDescent="0.25">
      <c r="A28" s="5" t="str">
        <f>HYPERLINK("#'5.5.1.1-2 Leaching and runoff'!A1", "5.5.1.1-2 Leaching &amp; runoff")</f>
        <v>5.5.1.1-2 Leaching &amp; runoff</v>
      </c>
      <c r="D28" s="30" t="s">
        <v>561</v>
      </c>
      <c r="E28" s="23" t="s">
        <v>559</v>
      </c>
      <c r="F28" s="23" t="s">
        <v>554</v>
      </c>
      <c r="G28" s="23" t="s">
        <v>539</v>
      </c>
      <c r="H28" s="86">
        <v>50</v>
      </c>
      <c r="I28" s="23" t="s">
        <v>19</v>
      </c>
    </row>
    <row r="29" spans="1:11" ht="20.100000000000001" customHeight="1" x14ac:dyDescent="0.25">
      <c r="A29" s="5" t="str">
        <f>HYPERLINK("#'6.1.1.1-2 Crop residue N2O'!A1", "6.1.1.1-2 Crop residue N2O")</f>
        <v>6.1.1.1-2 Crop residue N2O</v>
      </c>
      <c r="D29" s="30" t="s">
        <v>562</v>
      </c>
      <c r="E29" s="23" t="s">
        <v>559</v>
      </c>
      <c r="F29" s="23" t="s">
        <v>554</v>
      </c>
      <c r="G29" s="23" t="s">
        <v>539</v>
      </c>
      <c r="H29" s="86">
        <v>50</v>
      </c>
      <c r="I29" s="23" t="s">
        <v>540</v>
      </c>
      <c r="K29" s="129"/>
    </row>
    <row r="30" spans="1:11" ht="20.100000000000001" customHeight="1" x14ac:dyDescent="0.25">
      <c r="A30" s="5" t="str">
        <f>HYPERLINK("#'6.3.1.1-2 Leach runoff crop'!A1", "6.3.1.1-2 Leach &amp; runoff (crop)")</f>
        <v>6.3.1.1-2 Leach &amp; runoff (crop)</v>
      </c>
      <c r="D30" s="30" t="s">
        <v>563</v>
      </c>
      <c r="E30" s="23" t="s">
        <v>559</v>
      </c>
      <c r="F30" s="23" t="s">
        <v>554</v>
      </c>
      <c r="G30" s="23" t="s">
        <v>537</v>
      </c>
      <c r="H30" s="86">
        <v>50</v>
      </c>
      <c r="I30" s="23" t="s">
        <v>19</v>
      </c>
      <c r="K30" s="129"/>
    </row>
    <row r="31" spans="1:11" ht="20.100000000000001" customHeight="1" x14ac:dyDescent="0.25">
      <c r="A31" s="5" t="str">
        <f>HYPERLINK("#'6.4.1.1-2 Residue burning'!A1", "6.4.1.1-2 Residue burning")</f>
        <v>6.4.1.1-2 Residue burning</v>
      </c>
      <c r="D31" s="30" t="s">
        <v>564</v>
      </c>
      <c r="E31" s="23" t="s">
        <v>559</v>
      </c>
      <c r="F31" s="23" t="s">
        <v>554</v>
      </c>
      <c r="G31" s="23" t="s">
        <v>537</v>
      </c>
      <c r="H31" s="86">
        <v>50</v>
      </c>
      <c r="I31" s="23" t="s">
        <v>540</v>
      </c>
      <c r="K31" s="129"/>
    </row>
    <row r="32" spans="1:11" ht="20.100000000000001" customHeight="1" x14ac:dyDescent="0.25">
      <c r="A32" s="5" t="str">
        <f>HYPERLINK("#'8.1.1.1-2 Transport fuel'!A1", "8.1.1.1-2 Transport fuel")</f>
        <v>8.1.1.1-2 Transport fuel</v>
      </c>
      <c r="D32" s="30" t="s">
        <v>562</v>
      </c>
      <c r="E32" s="23" t="s">
        <v>559</v>
      </c>
      <c r="F32" s="23" t="s">
        <v>554</v>
      </c>
      <c r="G32" s="23" t="s">
        <v>539</v>
      </c>
      <c r="H32" s="86">
        <v>50</v>
      </c>
      <c r="I32" s="23" t="s">
        <v>540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L36" s="129"/>
    </row>
    <row r="37" spans="1:12" ht="20.100000000000001" customHeight="1" x14ac:dyDescent="0.25">
      <c r="A37" s="5" t="str">
        <f>HYPERLINK("#'10.1.1-2 Solid waste treatment'!A1", "10.1.1-2 Solid waste treatment")</f>
        <v>10.1.1-2 Solid waste treatment</v>
      </c>
      <c r="L37" s="129"/>
    </row>
    <row r="38" spans="1:12" ht="20.100000000000001" customHeight="1" x14ac:dyDescent="0.25">
      <c r="C38" s="112"/>
    </row>
    <row r="39" spans="1:12" ht="20.100000000000001" customHeight="1" x14ac:dyDescent="0.25">
      <c r="C39" s="112"/>
      <c r="J39" s="112"/>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c r="E41" s="1"/>
      <c r="F41" s="1"/>
      <c r="G41" s="1"/>
      <c r="H41" s="1"/>
      <c r="I41" s="1"/>
      <c r="J41" s="1"/>
      <c r="L41" s="129" t="s">
        <v>414</v>
      </c>
    </row>
    <row r="42" spans="1:12" ht="20.100000000000001" customHeight="1" x14ac:dyDescent="0.25">
      <c r="A42" s="5" t="str">
        <f>HYPERLINK("#'Constants - Common Livestock'!A1", "Constants - Common Livestock")</f>
        <v>Constants - Common Livestock</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78"/>
    </row>
    <row r="74" spans="4:4" ht="20.100000000000001" customHeight="1" x14ac:dyDescent="0.25"/>
    <row r="75" spans="4:4" ht="20.100000000000001" customHeight="1" x14ac:dyDescent="0.25">
      <c r="D75" s="178"/>
    </row>
    <row r="76" spans="4:4" ht="20.100000000000001" customHeight="1" x14ac:dyDescent="0.25">
      <c r="D76" s="178"/>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3"/>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1F426367-625B-42CD-A239-2E64E67B99ED}">
      <formula1>INDIRECT("Table_WasteTypes_" &amp; SUBSTITUTE(E10, " ", "") &amp; "[Waste type w]")</formula1>
    </dataValidation>
    <dataValidation type="list" allowBlank="1" showInputMessage="1" showErrorMessage="1" sqref="I10:I32" xr:uid="{AA9B6544-9224-4AF3-9D5F-7D37FD10843C}">
      <formula1>"tonnes, cubic metres m3"</formula1>
    </dataValidation>
    <dataValidation type="list" allowBlank="1" showInputMessage="1" showErrorMessage="1" sqref="G10:G32" xr:uid="{C6D262F3-497F-4D45-B0EA-9D55DB052C1F}">
      <formula1>"Treated on-site, Removed and treated off-site"</formula1>
    </dataValidation>
    <dataValidation type="list" allowBlank="1" showInputMessage="1" showErrorMessage="1" sqref="E10:E32" xr:uid="{E66F9267-C1F2-43BA-B969-AF52EBFEC14B}">
      <formula1>INDIRECT(_xlfn.UNIQUE("Table_SourceData_WasteSolid_WasteTreatmentEFs[Treatment type t]"))</formula1>
    </dataValidation>
    <dataValidation type="list" allowBlank="1" showInputMessage="1" showErrorMessage="1" sqref="E35" xr:uid="{E5BF8432-1C85-4E5D-83A3-3A5F5C99D322}">
      <formula1>INDIRECT("Table_SourceData_ElectricityEFs[State, Territory or grid description]")</formula1>
    </dataValidation>
    <dataValidation type="list" allowBlank="1" showInputMessage="1" showErrorMessage="1" sqref="E89" xr:uid="{8D504FDB-6F2D-4EDB-BCBA-5EA2750FC50F}">
      <formula1>INDIRECT("Table_SourceData_Swine_IrrigationMethods[Irrigation method]")</formula1>
    </dataValidation>
    <dataValidation type="list" allowBlank="1" showInputMessage="1" showErrorMessage="1" sqref="E273 E278 E283 E317 E312 E307 E185 E173 E149 E161" xr:uid="{CB37768B-5EC5-44DE-ACDE-F53D4CD119C6}">
      <formula1>"Yes, No"</formula1>
    </dataValidation>
    <dataValidation type="list" allowBlank="1" showInputMessage="1" showErrorMessage="1" sqref="E249" xr:uid="{A3A679E1-D8C6-4873-BCDD-612F798B674B}">
      <formula1>INDIRECT("Table_SourceData_Dairy_ProductionSystemTemplates[Area]")</formula1>
    </dataValidation>
    <dataValidation type="list" allowBlank="1" showInputMessage="1" showErrorMessage="1" sqref="D301" xr:uid="{12F9A097-A364-4051-95D5-3B6C8D8AC10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21860-AD11-4B51-B6AA-BF78F04502C2}">
  <sheetPr>
    <tabColor rgb="FF008000"/>
  </sheetPr>
  <dimension ref="A1:L342"/>
  <sheetViews>
    <sheetView showGridLines="0" topLeftCell="A174"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565</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0" t="s">
        <v>255</v>
      </c>
      <c r="E7" s="13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256</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3" t="str" cm="1">
        <f t="array" ref="D13:E16">_xlfn.CHOOSECOLS(WasteSolid_Equations.VEERG_10_1_1_1__2_MassOfWasteFromVolume_Arguments(),1,2)</f>
        <v>V_wt</v>
      </c>
      <c r="E13" s="161" t="str">
        <v>volume of solid waste type w being sent to treatment facility t</v>
      </c>
      <c r="F13" s="163"/>
      <c r="G13" s="153" t="str" cm="1">
        <f t="array" ref="G13:H16">_xlfn.CHOOSECOLS(WasteSolid_Equations.VEERG_10_1_1_1__2_MassOfWasteFromVolume_Arguments(),3,4)</f>
        <v>m3</v>
      </c>
      <c r="H13" s="134" t="str">
        <v>Input</v>
      </c>
      <c r="I13" s="138" t="str" cm="1">
        <f t="array" aca="1" ref="I13" ca="1">HYPERLINK(Common_InputFunctions.Utility_SourceHyperlink($D$18),$D$18)</f>
        <v>Table_V_w_t_onsite</v>
      </c>
      <c r="J13" s="138" t="str" cm="1">
        <f t="array" aca="1" ref="J13" ca="1">HYPERLINK(Common_InputFunctions.Utility_SourceHyperlink($D$56),$D$56)</f>
        <v>Table_V_w_t_offsite</v>
      </c>
    </row>
    <row r="14" spans="1:12" ht="20.100000000000001" customHeight="1" x14ac:dyDescent="0.25">
      <c r="A14" s="5" t="str">
        <f>HYPERLINK("#'Input - Fuel'!A1", "Fuel")</f>
        <v>Fuel</v>
      </c>
      <c r="D14" s="153" t="str">
        <v>VTM_w</v>
      </c>
      <c r="E14" s="161" t="str">
        <v>conversion factor of volume to mass for waste type w</v>
      </c>
      <c r="F14" s="163"/>
      <c r="G14" s="153" t="str">
        <v>t/m3</v>
      </c>
      <c r="H14" s="135" t="str">
        <v>Constant</v>
      </c>
      <c r="I14" s="138" t="str" cm="1">
        <f t="array" aca="1" ref="I14" ca="1">HYPERLINK(Common_InputFunctions.Utility_SourceHyperlink($D$18),$D$18)</f>
        <v>Table_V_w_t_onsite</v>
      </c>
      <c r="J14" s="138" t="str" cm="1">
        <f t="array" aca="1" ref="J14" ca="1">HYPERLINK(Common_InputFunctions.Utility_SourceHyperlink($D$56),$D$56)</f>
        <v>Table_V_w_t_offsite</v>
      </c>
    </row>
    <row r="15" spans="1:12" ht="20.100000000000001" customHeight="1" x14ac:dyDescent="0.25">
      <c r="A15" s="5" t="str">
        <f>HYPERLINK("#'Input - Electricity'!A1", "Electricity")</f>
        <v>Electricity</v>
      </c>
      <c r="D15" s="153" t="str">
        <v>w</v>
      </c>
      <c r="E15" s="161" t="str">
        <v>waste type</v>
      </c>
      <c r="F15" s="163"/>
      <c r="G15" s="153" t="str">
        <v/>
      </c>
      <c r="H15" s="134" t="str">
        <v>Input</v>
      </c>
      <c r="I15" s="138" t="str" cm="1">
        <f t="array" aca="1" ref="I15" ca="1">HYPERLINK(Common_InputFunctions.Utility_SourceHyperlink($D$18),$D$18)</f>
        <v>Table_V_w_t_onsite</v>
      </c>
      <c r="J15" s="138" t="str" cm="1">
        <f t="array" aca="1" ref="J15" ca="1">HYPERLINK(Common_InputFunctions.Utility_SourceHyperlink($D$56),$D$56)</f>
        <v>Table_V_w_t_offsite</v>
      </c>
    </row>
    <row r="16" spans="1:12" ht="20.100000000000001" customHeight="1" x14ac:dyDescent="0.25">
      <c r="A16" s="5" t="str">
        <f>HYPERLINK("#'Input - Farm Inputs'!A1", "Farm Inputs")</f>
        <v>Farm Inputs</v>
      </c>
      <c r="D16" s="153" t="str">
        <v>t</v>
      </c>
      <c r="E16" s="161" t="str">
        <v>treatment facility</v>
      </c>
      <c r="F16" s="163"/>
      <c r="G16" s="153" t="str">
        <v/>
      </c>
      <c r="H16" s="134" t="str">
        <v>Input</v>
      </c>
      <c r="I16" s="138" t="str" cm="1">
        <f t="array" aca="1" ref="I16" ca="1">HYPERLINK(Common_InputFunctions.Utility_SourceHyperlink($D$18),$D$18)</f>
        <v>Table_V_w_t_onsite</v>
      </c>
      <c r="J16" s="138" t="str" cm="1">
        <f t="array" aca="1" ref="J16" ca="1">HYPERLINK(Common_InputFunctions.Utility_SourceHyperlink($D$56),$D$56)</f>
        <v>Table_V_w_t_offsite</v>
      </c>
    </row>
    <row r="17" spans="1:9" ht="20.100000000000001" customHeight="1" x14ac:dyDescent="0.25">
      <c r="A17" s="5" t="str">
        <f>HYPERLINK("#'Input - Freight'!A1", "Freight")</f>
        <v>Freight</v>
      </c>
    </row>
    <row r="18" spans="1:9" ht="20.100000000000001" customHeight="1" x14ac:dyDescent="0.25">
      <c r="A18" s="5" t="str">
        <f>HYPERLINK("#'Input - Manure sent off-site'!A1", "Manure sent off-site")</f>
        <v>Manure sent off-site</v>
      </c>
      <c r="D18" s="141" t="s">
        <v>566</v>
      </c>
    </row>
    <row r="19" spans="1:9" ht="20.100000000000001" customHeight="1" x14ac:dyDescent="0.25">
      <c r="A19" s="5" t="str">
        <f>HYPERLINK("#'Input - Solid waste'!A1", "Solid waste")</f>
        <v>Solid waste</v>
      </c>
      <c r="D19" s="142" t="s">
        <v>567</v>
      </c>
    </row>
    <row r="20" spans="1:9" ht="20.100000000000001" customHeight="1" x14ac:dyDescent="0.25">
      <c r="D20" s="144" t="s">
        <v>568</v>
      </c>
      <c r="E20" s="144" t="s">
        <v>569</v>
      </c>
      <c r="F20" s="144"/>
      <c r="G20" s="144" t="s">
        <v>570</v>
      </c>
      <c r="H20" s="143" t="s">
        <v>571</v>
      </c>
      <c r="I20" s="143" t="s">
        <v>572</v>
      </c>
    </row>
    <row r="21" spans="1:9" ht="20.100000000000001" customHeight="1" x14ac:dyDescent="0.25">
      <c r="D21" s="153" t="str" cm="1">
        <f t="array" ref="D21:D54">Table_SourceData_WasteSolid_WasteTreatmentEFs[Treatment type t]</f>
        <v>Landfill</v>
      </c>
      <c r="E21" s="161" t="str" cm="1">
        <f t="array" ref="E21:E54">Table_SourceData_WasteSolid_WasteTreatmentEFs[Waste type w]</f>
        <v>Food waste (including animal carcasses, spoiled animal feed or crop)</v>
      </c>
      <c r="F21" s="13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6" t="s">
        <v>2</v>
      </c>
      <c r="D22" s="153" t="str">
        <v>Landfill</v>
      </c>
      <c r="E22" s="161" t="str">
        <v>Paper and cardboard</v>
      </c>
      <c r="F22" s="13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HYPERLINK("#'5.1.1.1-2 Inorganic fert N2O'!A1", "5.1.1.1-2 Inorganic fert N2O")</f>
        <v>5.1.1.1-2 Inorganic fert N2O</v>
      </c>
      <c r="D23" s="153" t="str">
        <v>Landfill</v>
      </c>
      <c r="E23" s="161" t="str">
        <v>Green waste (including crop residues or prunings)</v>
      </c>
      <c r="F23" s="13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HYPERLINK("#'5.1.1.3-4 Inorganic fert CO2'!A1", "5.1.1.3-4 Inorganic fert CO2")</f>
        <v>5.1.1.3-4 Inorganic fert CO2</v>
      </c>
      <c r="D24" s="153" t="str">
        <v>Landfill</v>
      </c>
      <c r="E24" s="161" t="str">
        <v>Wood</v>
      </c>
      <c r="F24" s="13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HYPERLINK("#'5.2.1.1-2 Organic Fert N2O'!A1", "5.2.1.1-2 Organic fert N2O")</f>
        <v>5.2.1.1-2 Organic fert N2O</v>
      </c>
      <c r="D25" s="153" t="str">
        <v>Landfill</v>
      </c>
      <c r="E25" s="161" t="str">
        <v>Textiles</v>
      </c>
      <c r="F25" s="13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HYPERLINK("#'5.3.1.1-2 Lime CO2'!A1", "5.3.1.1-2 Lime CO2")</f>
        <v>5.3.1.1-2 Lime CO2</v>
      </c>
      <c r="D26" s="153" t="str">
        <v>Landfill</v>
      </c>
      <c r="E26" s="161" t="str">
        <v>Sludge</v>
      </c>
      <c r="F26" s="13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HYPERLINK("#'5.4.1.1-4 Atmos deposition'!A1", "5.4.1.1-4 Atmos. deposition")</f>
        <v>5.4.1.1-4 Atmos. deposition</v>
      </c>
      <c r="D27" s="153" t="str">
        <v>Landfill</v>
      </c>
      <c r="E27" s="161" t="str">
        <v>Rubber and leather</v>
      </c>
      <c r="F27" s="13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HYPERLINK("#'5.5.1.1-2 Leaching and runoff'!A1", "5.5.1.1-2 Leaching &amp; runoff")</f>
        <v>5.5.1.1-2 Leaching &amp; runoff</v>
      </c>
      <c r="D28" s="153" t="str">
        <v>Landfill</v>
      </c>
      <c r="E28" s="161" t="str">
        <v>Inert waste (including concrete, metal, plastic or glass)</v>
      </c>
      <c r="F28" s="13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HYPERLINK("#'6.1.1.1-2 Crop residue N2O'!A1", "6.1.1.1-2 Crop residue N2O")</f>
        <v>6.1.1.1-2 Crop residue N2O</v>
      </c>
      <c r="D29" s="153" t="str">
        <v>Landfill</v>
      </c>
      <c r="E29" s="161" t="str">
        <v>Municipal solid waste</v>
      </c>
      <c r="F29" s="13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HYPERLINK("#'6.3.1.1-2 Leach runoff crop'!A1", "6.3.1.1-2 Leach &amp; runoff (crop)")</f>
        <v>6.3.1.1-2 Leach &amp; runoff (crop)</v>
      </c>
      <c r="D30" s="153" t="str">
        <v>Landfill</v>
      </c>
      <c r="E30" s="161" t="str">
        <v>Commercial and industrial waste</v>
      </c>
      <c r="F30" s="13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HYPERLINK("#'6.4.1.1-2 Residue burning'!A1", "6.4.1.1-2 Residue burning")</f>
        <v>6.4.1.1-2 Residue burning</v>
      </c>
      <c r="D31" s="153" t="str">
        <v>Landfill</v>
      </c>
      <c r="E31" s="161" t="str">
        <v>Construction and demolition waste</v>
      </c>
      <c r="F31" s="13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HYPERLINK("#'8.1.1.1-2 Transport fuel'!A1", "8.1.1.1-2 Transport fuel")</f>
        <v>8.1.1.1-2 Transport fuel</v>
      </c>
      <c r="D32" s="153" t="str">
        <v>Incineration</v>
      </c>
      <c r="E32" s="161" t="str">
        <v>Food waste, green waste, wood, sludge</v>
      </c>
      <c r="F32" s="137"/>
      <c r="G32" s="25" t="s">
        <v>284</v>
      </c>
      <c r="H32" s="25" t="s">
        <v>284</v>
      </c>
      <c r="I32" s="25" t="s">
        <v>284</v>
      </c>
    </row>
    <row r="33" spans="1:9" ht="20.100000000000001" customHeight="1" x14ac:dyDescent="0.25">
      <c r="A33" s="5" t="str">
        <f>HYPERLINK("#'8.2.1.1-2 Stationary fuel'!A1", "8.2.1.1-2 Stationary fuel")</f>
        <v>8.2.1.1-2 Stationary fuel</v>
      </c>
      <c r="D33" s="153" t="str">
        <v>Incineration</v>
      </c>
      <c r="E33" s="161" t="str">
        <v>Food waste (including animal carcasses, spoiled animal feed or crop)</v>
      </c>
      <c r="F33" s="13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HYPERLINK("#'14.1.1-2 Purchased electricity'!A1", "14.1.1-2 Purchased electricity")</f>
        <v>14.1.1-2 Purchased electricity</v>
      </c>
      <c r="D34" s="153" t="str">
        <v>Incineration</v>
      </c>
      <c r="E34" s="161" t="str">
        <v>Green waste (including crop residues or prunings)</v>
      </c>
      <c r="F34" s="13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HYPERLINK("#'15 Scope 3'!A1", "15 Scope 3")</f>
        <v>15 Scope 3</v>
      </c>
      <c r="D35" s="153" t="str">
        <v>Incineration</v>
      </c>
      <c r="E35" s="161" t="str">
        <v>Wood</v>
      </c>
      <c r="F35" s="13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HYPERLINK("#'Calcs - Manure sent off-site'!A1", "Calcs - Manure sent off-site")</f>
        <v>Calcs - Manure sent off-site</v>
      </c>
      <c r="D36" s="153" t="str">
        <v>Incineration</v>
      </c>
      <c r="E36" s="161" t="str">
        <v>Sludge</v>
      </c>
      <c r="F36" s="13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139" t="str">
        <f>HYPERLINK("#'10.1.1-2 Solid waste treatment'!A1", "10.1.1-2 Solid waste treatment")</f>
        <v>10.1.1-2 Solid waste treatment</v>
      </c>
      <c r="D37" s="153" t="str">
        <v>Incineration</v>
      </c>
      <c r="E37" s="161" t="str">
        <v>Paper and cardboard</v>
      </c>
      <c r="F37" s="13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D38" s="153" t="str">
        <v>Incineration</v>
      </c>
      <c r="E38" s="161" t="str">
        <v>Textiles</v>
      </c>
      <c r="F38" s="13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D39" s="153" t="str">
        <v>Incineration</v>
      </c>
      <c r="E39" s="161" t="str">
        <v>Rubber and leather</v>
      </c>
      <c r="F39" s="13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119" t="s">
        <v>1</v>
      </c>
      <c r="D40" s="153" t="str">
        <v>Incineration</v>
      </c>
      <c r="E40" s="153" t="str">
        <v>Inert waste (including concrete, metal, plastic or glass)</v>
      </c>
      <c r="F40" s="153"/>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HYPERLINK("#'Constants - Ag Residue'!A1", "Constants - Ag residue")</f>
        <v>Constants - Ag residue</v>
      </c>
      <c r="D41" s="153" t="str">
        <v>Incineration</v>
      </c>
      <c r="E41" s="161" t="str">
        <v>Municipal solid waste</v>
      </c>
      <c r="F41" s="163"/>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HYPERLINK("#'Constants - Common Livestock'!A1", "Constants - Common Livestock")</f>
        <v>Constants - Common Livestock</v>
      </c>
      <c r="D42" s="153" t="str">
        <v>Incineration</v>
      </c>
      <c r="E42" s="161" t="str">
        <v>Commercial and industrial waste</v>
      </c>
      <c r="F42" s="163"/>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Electricity'!A1", "Constants - Electricity")</f>
        <v>Constants - Electricity</v>
      </c>
      <c r="D43" s="153" t="str">
        <v>Composting</v>
      </c>
      <c r="E43" s="161" t="str">
        <v>All organic waste</v>
      </c>
      <c r="F43" s="163"/>
      <c r="G43" s="25" t="s">
        <v>284</v>
      </c>
      <c r="H43" s="25" t="s">
        <v>284</v>
      </c>
      <c r="I43" s="25" t="s">
        <v>284</v>
      </c>
    </row>
    <row r="44" spans="1:9" ht="20.100000000000001" customHeight="1" x14ac:dyDescent="0.25">
      <c r="A44" s="5" t="str">
        <f>HYPERLINK("#'Constants - Fertiliser'!A1", "Constants - Fertiliser")</f>
        <v>Constants - Fertiliser</v>
      </c>
      <c r="D44" s="153" t="str">
        <v>Composting</v>
      </c>
      <c r="E44" s="161" t="str">
        <v>Food waste (including animal carcasses, spoiled animal feed or crop)</v>
      </c>
      <c r="F44" s="163"/>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Fuel'!A1", "Constants - Fuel")</f>
        <v>Constants - Fuel</v>
      </c>
      <c r="D45" s="153" t="str">
        <v>Composting</v>
      </c>
      <c r="E45" s="161" t="str">
        <v>Green waste (including crop residues or prunings)</v>
      </c>
      <c r="F45" s="163"/>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Scope 3'!A1", "Constants - Scope 3")</f>
        <v>Constants - Scope 3</v>
      </c>
      <c r="D46" s="153" t="str">
        <v>Composting</v>
      </c>
      <c r="E46" s="161" t="str">
        <v>Wood</v>
      </c>
      <c r="F46" s="163"/>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Common'!A1", "Constants - Common")</f>
        <v>Constants - Common</v>
      </c>
      <c r="D47" s="153" t="str">
        <v>Composting</v>
      </c>
      <c r="E47" s="161" t="str">
        <v>Sludge</v>
      </c>
      <c r="F47" s="163"/>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Solid Waste'!A1", "Constants - Solid Waste")</f>
        <v>Constants - Solid Waste</v>
      </c>
      <c r="D48" s="153" t="str">
        <v>Composting</v>
      </c>
      <c r="E48" s="161" t="str">
        <v>Paper and cardboard</v>
      </c>
      <c r="F48" s="163"/>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4:9" ht="20.100000000000001" customHeight="1" x14ac:dyDescent="0.25">
      <c r="D49" s="153" t="str">
        <v>Anaerobic digestion</v>
      </c>
      <c r="E49" s="161" t="str">
        <v>All organic waste</v>
      </c>
      <c r="F49" s="163"/>
      <c r="G49" s="25" t="s">
        <v>284</v>
      </c>
      <c r="H49" s="25" t="s">
        <v>284</v>
      </c>
      <c r="I49" s="25" t="s">
        <v>284</v>
      </c>
    </row>
    <row r="50" spans="4:9" ht="20.100000000000001" customHeight="1" x14ac:dyDescent="0.25">
      <c r="D50" s="153" t="str">
        <v>Anaerobic digestion</v>
      </c>
      <c r="E50" s="161" t="str">
        <v>Food waste (including animal carcasses, spoiled animal feed or crop)</v>
      </c>
      <c r="F50" s="163"/>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4:9" ht="20.100000000000001" customHeight="1" x14ac:dyDescent="0.25">
      <c r="D51" s="153" t="str">
        <v>Anaerobic digestion</v>
      </c>
      <c r="E51" s="161" t="str">
        <v>Green waste (including crop residues or prunings)</v>
      </c>
      <c r="F51" s="163"/>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4:9" ht="20.100000000000001" customHeight="1" x14ac:dyDescent="0.25">
      <c r="D52" s="153" t="str">
        <v>Anaerobic digestion</v>
      </c>
      <c r="E52" s="161" t="str">
        <v>Wood</v>
      </c>
      <c r="F52" s="163"/>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4:9" ht="20.100000000000001" customHeight="1" x14ac:dyDescent="0.25">
      <c r="D53" s="153" t="str">
        <v>Anaerobic digestion</v>
      </c>
      <c r="E53" s="161" t="str">
        <v>Sludge</v>
      </c>
      <c r="F53" s="163"/>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4:9" ht="20.100000000000001" customHeight="1" x14ac:dyDescent="0.25">
      <c r="D54" s="153" t="str">
        <v>Anaerobic digestion</v>
      </c>
      <c r="E54" s="161" t="str">
        <v>Paper and cardboard</v>
      </c>
      <c r="F54" s="163"/>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4:9" ht="20.100000000000001" customHeight="1" x14ac:dyDescent="0.25"/>
    <row r="56" spans="4:9" ht="20.100000000000001" customHeight="1" x14ac:dyDescent="0.25">
      <c r="D56" s="141" t="s">
        <v>573</v>
      </c>
    </row>
    <row r="57" spans="4:9" ht="20.100000000000001" customHeight="1" x14ac:dyDescent="0.25">
      <c r="D57" s="142" t="s">
        <v>574</v>
      </c>
    </row>
    <row r="58" spans="4:9" ht="20.100000000000001" customHeight="1" x14ac:dyDescent="0.25">
      <c r="D58" s="144" t="s">
        <v>568</v>
      </c>
      <c r="E58" s="144" t="s">
        <v>569</v>
      </c>
      <c r="F58" s="144"/>
      <c r="G58" s="144" t="s">
        <v>570</v>
      </c>
      <c r="H58" s="143" t="s">
        <v>571</v>
      </c>
      <c r="I58" s="143" t="s">
        <v>572</v>
      </c>
    </row>
    <row r="59" spans="4:9" ht="20.100000000000001" customHeight="1" x14ac:dyDescent="0.25">
      <c r="D59" s="153" t="str" cm="1">
        <f t="array" ref="D59:D92">Table_SourceData_WasteSolid_WasteTreatmentEFs[Treatment type t]</f>
        <v>Landfill</v>
      </c>
      <c r="E59" s="161" t="str" cm="1">
        <f t="array" ref="E59:E92">Table_SourceData_WasteSolid_WasteTreatmentEFs[Waste type w]</f>
        <v>Food waste (including animal carcasses, spoiled animal feed or crop)</v>
      </c>
      <c r="F59" s="13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4:9" ht="20.100000000000001" customHeight="1" x14ac:dyDescent="0.25">
      <c r="D60" s="153" t="str">
        <v>Landfill</v>
      </c>
      <c r="E60" s="161" t="str">
        <v>Paper and cardboard</v>
      </c>
      <c r="F60" s="13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4:9" ht="20.100000000000001" customHeight="1" x14ac:dyDescent="0.25">
      <c r="D61" s="153" t="str">
        <v>Landfill</v>
      </c>
      <c r="E61" s="161" t="str">
        <v>Green waste (including crop residues or prunings)</v>
      </c>
      <c r="F61" s="13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4:9" ht="20.100000000000001" customHeight="1" x14ac:dyDescent="0.25">
      <c r="D62" s="153" t="str">
        <v>Landfill</v>
      </c>
      <c r="E62" s="161" t="str">
        <v>Wood</v>
      </c>
      <c r="F62" s="13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4:9" ht="20.100000000000001" customHeight="1" x14ac:dyDescent="0.25">
      <c r="D63" s="153" t="str">
        <v>Landfill</v>
      </c>
      <c r="E63" s="161" t="str">
        <v>Textiles</v>
      </c>
      <c r="F63" s="13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4:9" ht="20.100000000000001" customHeight="1" x14ac:dyDescent="0.25">
      <c r="D64" s="153" t="str">
        <v>Landfill</v>
      </c>
      <c r="E64" s="161" t="str">
        <v>Sludge</v>
      </c>
      <c r="F64" s="13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3" t="str">
        <v>Landfill</v>
      </c>
      <c r="E65" s="161" t="str">
        <v>Rubber and leather</v>
      </c>
      <c r="F65" s="13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3" t="str">
        <v>Landfill</v>
      </c>
      <c r="E66" s="161" t="str">
        <v>Inert waste (including concrete, metal, plastic or glass)</v>
      </c>
      <c r="F66" s="13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3" t="str">
        <v>Landfill</v>
      </c>
      <c r="E67" s="161" t="str">
        <v>Municipal solid waste</v>
      </c>
      <c r="F67" s="13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3" t="str">
        <v>Landfill</v>
      </c>
      <c r="E68" s="161" t="str">
        <v>Commercial and industrial waste</v>
      </c>
      <c r="F68" s="13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3" t="str">
        <v>Landfill</v>
      </c>
      <c r="E69" s="161" t="str">
        <v>Construction and demolition waste</v>
      </c>
      <c r="F69" s="13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3" t="str">
        <v>Incineration</v>
      </c>
      <c r="E70" s="161" t="str">
        <v>Food waste, green waste, wood, sludge</v>
      </c>
      <c r="F70" s="137"/>
      <c r="G70" s="25" t="s">
        <v>284</v>
      </c>
      <c r="H70" s="25" t="s">
        <v>284</v>
      </c>
      <c r="I70" s="25" t="s">
        <v>284</v>
      </c>
    </row>
    <row r="71" spans="4:9" ht="20.100000000000001" customHeight="1" x14ac:dyDescent="0.25">
      <c r="D71" s="153" t="str">
        <v>Incineration</v>
      </c>
      <c r="E71" s="161" t="str">
        <v>Food waste (including animal carcasses, spoiled animal feed or crop)</v>
      </c>
      <c r="F71" s="13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3" t="str">
        <v>Incineration</v>
      </c>
      <c r="E72" s="161" t="str">
        <v>Green waste (including crop residues or prunings)</v>
      </c>
      <c r="F72" s="13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3" t="str">
        <v>Incineration</v>
      </c>
      <c r="E73" s="161" t="str">
        <v>Wood</v>
      </c>
      <c r="F73" s="13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3" t="str">
        <v>Incineration</v>
      </c>
      <c r="E74" s="161" t="str">
        <v>Sludge</v>
      </c>
      <c r="F74" s="13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3" t="str">
        <v>Incineration</v>
      </c>
      <c r="E75" s="161" t="str">
        <v>Paper and cardboard</v>
      </c>
      <c r="F75" s="13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3" t="str">
        <v>Incineration</v>
      </c>
      <c r="E76" s="161" t="str">
        <v>Textiles</v>
      </c>
      <c r="F76" s="13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3" t="str">
        <v>Incineration</v>
      </c>
      <c r="E77" s="161" t="str">
        <v>Rubber and leather</v>
      </c>
      <c r="F77" s="13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3" t="str">
        <v>Incineration</v>
      </c>
      <c r="E78" s="161" t="str">
        <v>Inert waste (including concrete, metal, plastic or glass)</v>
      </c>
      <c r="F78" s="13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3" t="str">
        <v>Incineration</v>
      </c>
      <c r="E79" s="161" t="str">
        <v>Municipal solid waste</v>
      </c>
      <c r="F79" s="163"/>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3" t="str">
        <v>Incineration</v>
      </c>
      <c r="E80" s="161" t="str">
        <v>Commercial and industrial waste</v>
      </c>
      <c r="F80" s="163"/>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3" t="str">
        <v>Composting</v>
      </c>
      <c r="E81" s="161" t="str">
        <v>All organic waste</v>
      </c>
      <c r="F81" s="163"/>
      <c r="G81" s="25" t="s">
        <v>284</v>
      </c>
      <c r="H81" s="25" t="s">
        <v>284</v>
      </c>
      <c r="I81" s="25" t="s">
        <v>284</v>
      </c>
    </row>
    <row r="82" spans="3:12" ht="20.100000000000001" customHeight="1" x14ac:dyDescent="0.25">
      <c r="D82" s="153" t="str">
        <v>Composting</v>
      </c>
      <c r="E82" s="161" t="str">
        <v>Food waste (including animal carcasses, spoiled animal feed or crop)</v>
      </c>
      <c r="F82" s="163"/>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3" t="str">
        <v>Composting</v>
      </c>
      <c r="E83" s="161" t="str">
        <v>Green waste (including crop residues or prunings)</v>
      </c>
      <c r="F83" s="163"/>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3" t="str">
        <v>Composting</v>
      </c>
      <c r="E84" s="161" t="str">
        <v>Wood</v>
      </c>
      <c r="F84" s="163"/>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3" t="str">
        <v>Composting</v>
      </c>
      <c r="E85" s="161" t="str">
        <v>Sludge</v>
      </c>
      <c r="F85" s="163"/>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3" t="str">
        <v>Composting</v>
      </c>
      <c r="E86" s="161" t="str">
        <v>Paper and cardboard</v>
      </c>
      <c r="F86" s="163"/>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3" t="str">
        <v>Anaerobic digestion</v>
      </c>
      <c r="E87" s="161" t="str">
        <v>All organic waste</v>
      </c>
      <c r="F87" s="163"/>
      <c r="G87" s="25" t="s">
        <v>284</v>
      </c>
      <c r="H87" s="25" t="s">
        <v>284</v>
      </c>
      <c r="I87" s="25" t="s">
        <v>284</v>
      </c>
    </row>
    <row r="88" spans="3:12" ht="20.100000000000001" customHeight="1" x14ac:dyDescent="0.25">
      <c r="D88" s="153" t="str">
        <v>Anaerobic digestion</v>
      </c>
      <c r="E88" s="161" t="str">
        <v>Food waste (including animal carcasses, spoiled animal feed or crop)</v>
      </c>
      <c r="F88" s="163"/>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3" t="str">
        <v>Anaerobic digestion</v>
      </c>
      <c r="E89" s="161" t="str">
        <v>Green waste (including crop residues or prunings)</v>
      </c>
      <c r="F89" s="163"/>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3" t="str">
        <v>Anaerobic digestion</v>
      </c>
      <c r="E90" s="161" t="str">
        <v>Wood</v>
      </c>
      <c r="F90" s="163"/>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3" t="str">
        <v>Anaerobic digestion</v>
      </c>
      <c r="E91" s="161" t="str">
        <v>Sludge</v>
      </c>
      <c r="F91" s="163"/>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3" t="str">
        <v>Anaerobic digestion</v>
      </c>
      <c r="E92" s="161" t="str">
        <v>Paper and cardboard</v>
      </c>
      <c r="F92" s="163"/>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5"/>
      <c r="D95" s="145"/>
      <c r="E95" s="145"/>
      <c r="F95" s="145"/>
      <c r="G95" s="145"/>
      <c r="H95" s="145"/>
      <c r="I95" s="145"/>
      <c r="J95" s="145"/>
      <c r="K95" s="145"/>
      <c r="L95" s="14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0" t="s">
        <v>255</v>
      </c>
      <c r="E99" s="13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256</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3" t="str" cm="1">
        <f t="array" ref="D105:E111">_xlfn.CHOOSECOLS(WasteSolid_Equations.VEERG_10_1_1_1__1_EmissionsFromWasteManagement_Arguments(),1,2)</f>
        <v>Q_wt</v>
      </c>
      <c r="E105" s="161" t="str">
        <v>quantity of solid waste of type w being sent to treatment facility t, on a wet weight basis</v>
      </c>
      <c r="F105" s="162"/>
      <c r="G105" s="163"/>
      <c r="H105" s="153" t="str" cm="1">
        <f t="array" ref="H105:I111">_xlfn.CHOOSECOLS(WasteSolid_Equations.VEERG_10_1_1_1__1_EmissionsFromWasteManagement_Arguments(),3,4)</f>
        <v>t</v>
      </c>
      <c r="I105" s="135" t="str">
        <v>Sum of Q_volwt and Q_masswt</v>
      </c>
    </row>
    <row r="106" spans="4:9" ht="20.100000000000001" customHeight="1" x14ac:dyDescent="0.25">
      <c r="D106" s="153" t="str">
        <v>EF_wtg</v>
      </c>
      <c r="E106" s="161" t="str">
        <v>emission factor for greenhouse gas g for the management of waste at treatment facility t</v>
      </c>
      <c r="F106" s="162"/>
      <c r="G106" s="163"/>
      <c r="H106" s="153" t="str">
        <v>t CO2e/t</v>
      </c>
      <c r="I106" s="135" t="str">
        <v>Constant</v>
      </c>
    </row>
    <row r="107" spans="4:9" ht="20.100000000000001" customHeight="1" x14ac:dyDescent="0.25">
      <c r="D107" s="153" t="str">
        <v>w</v>
      </c>
      <c r="E107" s="161" t="str">
        <v>waste type</v>
      </c>
      <c r="F107" s="162"/>
      <c r="G107" s="163"/>
      <c r="H107" s="153" t="str">
        <v/>
      </c>
      <c r="I107" s="134" t="str">
        <v>Input</v>
      </c>
    </row>
    <row r="108" spans="4:9" ht="20.100000000000001" customHeight="1" x14ac:dyDescent="0.25">
      <c r="D108" s="153" t="str">
        <v>t</v>
      </c>
      <c r="E108" s="161" t="str">
        <v>treatment facility</v>
      </c>
      <c r="F108" s="162"/>
      <c r="G108" s="163"/>
      <c r="H108" s="153" t="str">
        <v/>
      </c>
      <c r="I108" s="134" t="str">
        <v>Input</v>
      </c>
    </row>
    <row r="109" spans="4:9" ht="20.100000000000001" customHeight="1" x14ac:dyDescent="0.25">
      <c r="D109" s="153" t="str">
        <v>g</v>
      </c>
      <c r="E109" s="161" t="str">
        <v>greenhouse gas</v>
      </c>
      <c r="F109" s="162"/>
      <c r="G109" s="163"/>
      <c r="H109" s="153" t="str">
        <v/>
      </c>
      <c r="I109" s="134" t="str">
        <v>Input</v>
      </c>
    </row>
    <row r="110" spans="4:9" ht="20.100000000000001" customHeight="1" x14ac:dyDescent="0.25">
      <c r="D110" s="153" t="str">
        <v>Q_volwt</v>
      </c>
      <c r="E110" s="161" t="str">
        <v>quantity of sold waste input as volume and converted to tonnes</v>
      </c>
      <c r="F110" s="162"/>
      <c r="G110" s="163"/>
      <c r="H110" s="153" t="str">
        <v>tonnes</v>
      </c>
      <c r="I110" s="135" t="str">
        <v>Calculated from 10.1.1.1 (2)</v>
      </c>
    </row>
    <row r="111" spans="4:9" ht="20.100000000000001" customHeight="1" x14ac:dyDescent="0.25">
      <c r="D111" s="153" t="str">
        <v>Q_masswt</v>
      </c>
      <c r="E111" s="161" t="str">
        <v>quantity of solid waste input as mass</v>
      </c>
      <c r="F111" s="162"/>
      <c r="G111" s="163"/>
      <c r="H111" s="153" t="str">
        <v>tonnes</v>
      </c>
      <c r="I111" s="134" t="str">
        <v>Input</v>
      </c>
    </row>
    <row r="112" spans="4:9" ht="20.100000000000001" customHeight="1" x14ac:dyDescent="0.25"/>
    <row r="113" spans="4:11" ht="20.100000000000001" customHeight="1" x14ac:dyDescent="0.25">
      <c r="D113" s="141" t="s">
        <v>575</v>
      </c>
    </row>
    <row r="114" spans="4:11" ht="20.100000000000001" customHeight="1" x14ac:dyDescent="0.25">
      <c r="D114" s="142" t="s">
        <v>576</v>
      </c>
    </row>
    <row r="115" spans="4:11" ht="20.100000000000001" customHeight="1" x14ac:dyDescent="0.25">
      <c r="D115" s="144" t="s">
        <v>568</v>
      </c>
      <c r="E115" s="144" t="s">
        <v>569</v>
      </c>
      <c r="F115" s="144"/>
      <c r="G115" s="144" t="s">
        <v>577</v>
      </c>
      <c r="H115" s="143" t="s">
        <v>578</v>
      </c>
      <c r="I115" s="143" t="s">
        <v>572</v>
      </c>
      <c r="J115" s="143" t="s">
        <v>579</v>
      </c>
      <c r="K115" s="143" t="s">
        <v>580</v>
      </c>
    </row>
    <row r="116" spans="4:11" ht="20.100000000000001" customHeight="1" x14ac:dyDescent="0.25">
      <c r="D116" s="153" t="str" cm="1">
        <f t="array" ref="D116:D149">Table_SourceData_WasteSolid_WasteTreatmentEFs[Treatment type t]</f>
        <v>Landfill</v>
      </c>
      <c r="E116" s="161" t="str" cm="1">
        <f t="array" ref="E116:E149">Table_SourceData_WasteSolid_WasteTreatmentEFs[Waste type w]</f>
        <v>Food waste (including animal carcasses, spoiled animal feed or crop)</v>
      </c>
      <c r="F116" s="13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3" t="str">
        <v>Landfill</v>
      </c>
      <c r="E117" s="161" t="str">
        <v>Paper and cardboard</v>
      </c>
      <c r="F117" s="13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3" t="str">
        <v>Landfill</v>
      </c>
      <c r="E118" s="161" t="str">
        <v>Green waste (including crop residues or prunings)</v>
      </c>
      <c r="F118" s="13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3" t="str">
        <v>Landfill</v>
      </c>
      <c r="E119" s="161" t="str">
        <v>Wood</v>
      </c>
      <c r="F119" s="13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3" t="str">
        <v>Landfill</v>
      </c>
      <c r="E120" s="161" t="str">
        <v>Textiles</v>
      </c>
      <c r="F120" s="13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3" t="str">
        <v>Landfill</v>
      </c>
      <c r="E121" s="161" t="str">
        <v>Sludge</v>
      </c>
      <c r="F121" s="13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3" t="str">
        <v>Landfill</v>
      </c>
      <c r="E122" s="161" t="str">
        <v>Rubber and leather</v>
      </c>
      <c r="F122" s="13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3" t="str">
        <v>Landfill</v>
      </c>
      <c r="E123" s="161" t="str">
        <v>Inert waste (including concrete, metal, plastic or glass)</v>
      </c>
      <c r="F123" s="13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3" t="str">
        <v>Landfill</v>
      </c>
      <c r="E124" s="161" t="str">
        <v>Municipal solid waste</v>
      </c>
      <c r="F124" s="13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3" t="str">
        <v>Landfill</v>
      </c>
      <c r="E125" s="161" t="str">
        <v>Commercial and industrial waste</v>
      </c>
      <c r="F125" s="13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3" t="str">
        <v>Landfill</v>
      </c>
      <c r="E126" s="161" t="str">
        <v>Construction and demolition waste</v>
      </c>
      <c r="F126" s="13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3" t="str">
        <v>Incineration</v>
      </c>
      <c r="E127" s="161" t="str">
        <v>Food waste, green waste, wood, sludge</v>
      </c>
      <c r="F127" s="137"/>
      <c r="G127" s="25" t="s">
        <v>284</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3" t="str">
        <v>Incineration</v>
      </c>
      <c r="E128" s="161" t="str">
        <v>Food waste (including animal carcasses, spoiled animal feed or crop)</v>
      </c>
      <c r="F128" s="13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581</v>
      </c>
      <c r="J128" s="25" t="s">
        <v>284</v>
      </c>
      <c r="K128" s="25" t="s">
        <v>284</v>
      </c>
    </row>
    <row r="129" spans="4:11" ht="20.100000000000001" customHeight="1" x14ac:dyDescent="0.25">
      <c r="D129" s="153" t="str">
        <v>Incineration</v>
      </c>
      <c r="E129" s="161" t="str">
        <v>Green waste (including crop residues or prunings)</v>
      </c>
      <c r="F129" s="13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581</v>
      </c>
      <c r="J129" s="25" t="s">
        <v>284</v>
      </c>
      <c r="K129" s="25" t="s">
        <v>284</v>
      </c>
    </row>
    <row r="130" spans="4:11" ht="20.100000000000001" customHeight="1" x14ac:dyDescent="0.25">
      <c r="D130" s="153" t="str">
        <v>Incineration</v>
      </c>
      <c r="E130" s="161" t="str">
        <v>Wood</v>
      </c>
      <c r="F130" s="13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581</v>
      </c>
      <c r="J130" s="25" t="s">
        <v>284</v>
      </c>
      <c r="K130" s="25" t="s">
        <v>284</v>
      </c>
    </row>
    <row r="131" spans="4:11" ht="20.100000000000001" customHeight="1" x14ac:dyDescent="0.25">
      <c r="D131" s="153" t="str">
        <v>Incineration</v>
      </c>
      <c r="E131" s="161" t="str">
        <v>Sludge</v>
      </c>
      <c r="F131" s="13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581</v>
      </c>
      <c r="J131" s="25" t="s">
        <v>284</v>
      </c>
      <c r="K131" s="25" t="s">
        <v>284</v>
      </c>
    </row>
    <row r="132" spans="4:11" ht="20.100000000000001" customHeight="1" x14ac:dyDescent="0.25">
      <c r="D132" s="153" t="str">
        <v>Incineration</v>
      </c>
      <c r="E132" s="161" t="str">
        <v>Paper and cardboard</v>
      </c>
      <c r="F132" s="13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3" t="str">
        <v>Incineration</v>
      </c>
      <c r="E133" s="161" t="str">
        <v>Textiles</v>
      </c>
      <c r="F133" s="13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3" t="str">
        <v>Incineration</v>
      </c>
      <c r="E134" s="161" t="str">
        <v>Rubber and leather</v>
      </c>
      <c r="F134" s="13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3" t="str">
        <v>Incineration</v>
      </c>
      <c r="E135" s="161" t="str">
        <v>Inert waste (including concrete, metal, plastic or glass)</v>
      </c>
      <c r="F135" s="13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3" t="str">
        <v>Incineration</v>
      </c>
      <c r="E136" s="161" t="str">
        <v>Municipal solid waste</v>
      </c>
      <c r="F136" s="163"/>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3" t="str">
        <v>Incineration</v>
      </c>
      <c r="E137" s="161" t="str">
        <v>Commercial and industrial waste</v>
      </c>
      <c r="F137" s="163"/>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3" t="str">
        <v>Composting</v>
      </c>
      <c r="E138" s="161" t="str">
        <v>All organic waste</v>
      </c>
      <c r="F138" s="163"/>
      <c r="G138" s="25" t="s">
        <v>284</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3" t="str">
        <v>Composting</v>
      </c>
      <c r="E139" s="161" t="str">
        <v>Food waste (including animal carcasses, spoiled animal feed or crop)</v>
      </c>
      <c r="F139" s="163"/>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581</v>
      </c>
      <c r="J139" s="25" t="s">
        <v>284</v>
      </c>
      <c r="K139" s="25" t="s">
        <v>284</v>
      </c>
    </row>
    <row r="140" spans="4:11" ht="20.100000000000001" customHeight="1" x14ac:dyDescent="0.25">
      <c r="D140" s="153" t="str">
        <v>Composting</v>
      </c>
      <c r="E140" s="161" t="str">
        <v>Green waste (including crop residues or prunings)</v>
      </c>
      <c r="F140" s="163"/>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581</v>
      </c>
      <c r="J140" s="25" t="s">
        <v>284</v>
      </c>
      <c r="K140" s="25" t="s">
        <v>284</v>
      </c>
    </row>
    <row r="141" spans="4:11" ht="20.100000000000001" customHeight="1" x14ac:dyDescent="0.25">
      <c r="D141" s="153" t="str">
        <v>Composting</v>
      </c>
      <c r="E141" s="161" t="str">
        <v>Wood</v>
      </c>
      <c r="F141" s="163"/>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581</v>
      </c>
      <c r="J141" s="25" t="s">
        <v>284</v>
      </c>
      <c r="K141" s="25" t="s">
        <v>284</v>
      </c>
    </row>
    <row r="142" spans="4:11" ht="20.100000000000001" customHeight="1" x14ac:dyDescent="0.25">
      <c r="D142" s="153" t="str">
        <v>Composting</v>
      </c>
      <c r="E142" s="161" t="str">
        <v>Sludge</v>
      </c>
      <c r="F142" s="163"/>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581</v>
      </c>
      <c r="J142" s="25" t="s">
        <v>284</v>
      </c>
      <c r="K142" s="25" t="s">
        <v>284</v>
      </c>
    </row>
    <row r="143" spans="4:11" ht="20.100000000000001" customHeight="1" x14ac:dyDescent="0.25">
      <c r="D143" s="153" t="str">
        <v>Composting</v>
      </c>
      <c r="E143" s="161" t="str">
        <v>Paper and cardboard</v>
      </c>
      <c r="F143" s="163"/>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581</v>
      </c>
      <c r="J143" s="25" t="s">
        <v>284</v>
      </c>
      <c r="K143" s="25" t="s">
        <v>284</v>
      </c>
    </row>
    <row r="144" spans="4:11" ht="20.100000000000001" customHeight="1" x14ac:dyDescent="0.25">
      <c r="D144" s="153" t="str">
        <v>Anaerobic digestion</v>
      </c>
      <c r="E144" s="161" t="str">
        <v>All organic waste</v>
      </c>
      <c r="F144" s="163"/>
      <c r="G144" s="25" t="s">
        <v>284</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3" t="str">
        <v>Anaerobic digestion</v>
      </c>
      <c r="E145" s="161" t="str">
        <v>Food waste (including animal carcasses, spoiled animal feed or crop)</v>
      </c>
      <c r="F145" s="163"/>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581</v>
      </c>
      <c r="J145" s="25" t="s">
        <v>284</v>
      </c>
      <c r="K145" s="25" t="s">
        <v>284</v>
      </c>
    </row>
    <row r="146" spans="4:11" ht="20.100000000000001" customHeight="1" x14ac:dyDescent="0.25">
      <c r="D146" s="153" t="str">
        <v>Anaerobic digestion</v>
      </c>
      <c r="E146" s="161" t="str">
        <v>Green waste (including crop residues or prunings)</v>
      </c>
      <c r="F146" s="163"/>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581</v>
      </c>
      <c r="J146" s="25" t="s">
        <v>284</v>
      </c>
      <c r="K146" s="25" t="s">
        <v>284</v>
      </c>
    </row>
    <row r="147" spans="4:11" ht="20.100000000000001" customHeight="1" x14ac:dyDescent="0.25">
      <c r="D147" s="153" t="str">
        <v>Anaerobic digestion</v>
      </c>
      <c r="E147" s="161" t="str">
        <v>Wood</v>
      </c>
      <c r="F147" s="163"/>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581</v>
      </c>
      <c r="J147" s="25" t="s">
        <v>284</v>
      </c>
      <c r="K147" s="25" t="s">
        <v>284</v>
      </c>
    </row>
    <row r="148" spans="4:11" ht="20.100000000000001" customHeight="1" x14ac:dyDescent="0.25">
      <c r="D148" s="153" t="str">
        <v>Anaerobic digestion</v>
      </c>
      <c r="E148" s="161" t="str">
        <v>Sludge</v>
      </c>
      <c r="F148" s="163"/>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581</v>
      </c>
      <c r="J148" s="25" t="s">
        <v>284</v>
      </c>
      <c r="K148" s="25" t="s">
        <v>284</v>
      </c>
    </row>
    <row r="149" spans="4:11" ht="20.100000000000001" customHeight="1" x14ac:dyDescent="0.25">
      <c r="D149" s="153" t="str">
        <v>Anaerobic digestion</v>
      </c>
      <c r="E149" s="161" t="str">
        <v>Paper and cardboard</v>
      </c>
      <c r="F149" s="163"/>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581</v>
      </c>
      <c r="J149" s="25" t="s">
        <v>284</v>
      </c>
      <c r="K149" s="25" t="s">
        <v>284</v>
      </c>
    </row>
    <row r="150" spans="4:11" ht="20.100000000000001" customHeight="1" x14ac:dyDescent="0.25"/>
    <row r="151" spans="4:11" ht="20.100000000000001" customHeight="1" x14ac:dyDescent="0.25">
      <c r="D151" s="148" t="s">
        <v>582</v>
      </c>
      <c r="E151" s="149">
        <f>SUM(K116:K149)</f>
        <v>438.82805000000002</v>
      </c>
      <c r="F151" s="150" t="str">
        <f>$E$103</f>
        <v>t CO2e</v>
      </c>
    </row>
    <row r="152" spans="4:11" ht="20.100000000000001" customHeight="1" x14ac:dyDescent="0.25"/>
    <row r="153" spans="4:11" ht="20.100000000000001" customHeight="1" x14ac:dyDescent="0.25"/>
    <row r="154" spans="4:11" ht="20.100000000000001" customHeight="1" x14ac:dyDescent="0.25">
      <c r="D154" s="141" t="s">
        <v>583</v>
      </c>
    </row>
    <row r="155" spans="4:11" ht="20.100000000000001" customHeight="1" x14ac:dyDescent="0.25">
      <c r="D155" s="142" t="s">
        <v>584</v>
      </c>
    </row>
    <row r="156" spans="4:11" ht="20.100000000000001" customHeight="1" x14ac:dyDescent="0.25">
      <c r="D156" s="144" t="s">
        <v>568</v>
      </c>
      <c r="E156" s="144" t="s">
        <v>569</v>
      </c>
      <c r="F156" s="144"/>
      <c r="G156" s="144" t="s">
        <v>577</v>
      </c>
      <c r="H156" s="143" t="s">
        <v>578</v>
      </c>
      <c r="I156" s="143" t="s">
        <v>572</v>
      </c>
      <c r="J156" s="143" t="s">
        <v>579</v>
      </c>
      <c r="K156" s="143" t="s">
        <v>580</v>
      </c>
    </row>
    <row r="157" spans="4:11" ht="20.100000000000001" customHeight="1" x14ac:dyDescent="0.25">
      <c r="D157" s="153" t="str" cm="1">
        <f t="array" ref="D157:D190">Table_SourceData_WasteSolid_WasteTreatmentEFs[Treatment type t]</f>
        <v>Landfill</v>
      </c>
      <c r="E157" s="161" t="str" cm="1">
        <f t="array" ref="E157:E190">Table_SourceData_WasteSolid_WasteTreatmentEFs[Waste type w]</f>
        <v>Food waste (including animal carcasses, spoiled animal feed or crop)</v>
      </c>
      <c r="F157" s="13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3" t="str">
        <v>Landfill</v>
      </c>
      <c r="E158" s="161" t="str">
        <v>Paper and cardboard</v>
      </c>
      <c r="F158" s="13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3" t="str">
        <v>Landfill</v>
      </c>
      <c r="E159" s="161" t="str">
        <v>Green waste (including crop residues or prunings)</v>
      </c>
      <c r="F159" s="13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3" t="str">
        <v>Landfill</v>
      </c>
      <c r="E160" s="161" t="str">
        <v>Wood</v>
      </c>
      <c r="F160" s="13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3" t="str">
        <v>Landfill</v>
      </c>
      <c r="E161" s="161" t="str">
        <v>Textiles</v>
      </c>
      <c r="F161" s="13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3" t="str">
        <v>Landfill</v>
      </c>
      <c r="E162" s="161" t="str">
        <v>Sludge</v>
      </c>
      <c r="F162" s="13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3" t="str">
        <v>Landfill</v>
      </c>
      <c r="E163" s="161" t="str">
        <v>Rubber and leather</v>
      </c>
      <c r="F163" s="13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3" t="str">
        <v>Landfill</v>
      </c>
      <c r="E164" s="161" t="str">
        <v>Inert waste (including concrete, metal, plastic or glass)</v>
      </c>
      <c r="F164" s="13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3" t="str">
        <v>Landfill</v>
      </c>
      <c r="E165" s="161" t="str">
        <v>Municipal solid waste</v>
      </c>
      <c r="F165" s="13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3" t="str">
        <v>Landfill</v>
      </c>
      <c r="E166" s="161" t="str">
        <v>Commercial and industrial waste</v>
      </c>
      <c r="F166" s="13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3" t="str">
        <v>Landfill</v>
      </c>
      <c r="E167" s="161" t="str">
        <v>Construction and demolition waste</v>
      </c>
      <c r="F167" s="13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3" t="str">
        <v>Incineration</v>
      </c>
      <c r="E168" s="161" t="str">
        <v>Food waste, green waste, wood, sludge</v>
      </c>
      <c r="F168" s="137"/>
      <c r="G168" s="25" t="s">
        <v>284</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3" t="str">
        <v>Incineration</v>
      </c>
      <c r="E169" s="161" t="str">
        <v>Food waste (including animal carcasses, spoiled animal feed or crop)</v>
      </c>
      <c r="F169" s="13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581</v>
      </c>
      <c r="J169" s="25" t="s">
        <v>284</v>
      </c>
      <c r="K169" s="25" t="s">
        <v>284</v>
      </c>
    </row>
    <row r="170" spans="4:11" ht="20.100000000000001" customHeight="1" x14ac:dyDescent="0.25">
      <c r="D170" s="153" t="str">
        <v>Incineration</v>
      </c>
      <c r="E170" s="161" t="str">
        <v>Green waste (including crop residues or prunings)</v>
      </c>
      <c r="F170" s="13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581</v>
      </c>
      <c r="J170" s="25" t="s">
        <v>284</v>
      </c>
      <c r="K170" s="25" t="s">
        <v>284</v>
      </c>
    </row>
    <row r="171" spans="4:11" ht="20.100000000000001" customHeight="1" x14ac:dyDescent="0.25">
      <c r="D171" s="153" t="str">
        <v>Incineration</v>
      </c>
      <c r="E171" s="161" t="str">
        <v>Wood</v>
      </c>
      <c r="F171" s="13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581</v>
      </c>
      <c r="J171" s="25" t="s">
        <v>284</v>
      </c>
      <c r="K171" s="25" t="s">
        <v>284</v>
      </c>
    </row>
    <row r="172" spans="4:11" ht="20.100000000000001" customHeight="1" x14ac:dyDescent="0.25">
      <c r="D172" s="153" t="str">
        <v>Incineration</v>
      </c>
      <c r="E172" s="161" t="str">
        <v>Sludge</v>
      </c>
      <c r="F172" s="13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581</v>
      </c>
      <c r="J172" s="25" t="s">
        <v>284</v>
      </c>
      <c r="K172" s="25" t="s">
        <v>284</v>
      </c>
    </row>
    <row r="173" spans="4:11" ht="20.100000000000001" customHeight="1" x14ac:dyDescent="0.25">
      <c r="D173" s="153" t="str">
        <v>Incineration</v>
      </c>
      <c r="E173" s="161" t="str">
        <v>Paper and cardboard</v>
      </c>
      <c r="F173" s="13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3" t="str">
        <v>Incineration</v>
      </c>
      <c r="E174" s="161" t="str">
        <v>Textiles</v>
      </c>
      <c r="F174" s="13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3" t="str">
        <v>Incineration</v>
      </c>
      <c r="E175" s="161" t="str">
        <v>Rubber and leather</v>
      </c>
      <c r="F175" s="13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3" t="str">
        <v>Incineration</v>
      </c>
      <c r="E176" s="161" t="str">
        <v>Inert waste (including concrete, metal, plastic or glass)</v>
      </c>
      <c r="F176" s="13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3" t="str">
        <v>Incineration</v>
      </c>
      <c r="E177" s="161" t="str">
        <v>Municipal solid waste</v>
      </c>
      <c r="F177" s="163"/>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3" t="str">
        <v>Incineration</v>
      </c>
      <c r="E178" s="161" t="str">
        <v>Commercial and industrial waste</v>
      </c>
      <c r="F178" s="163"/>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3" t="str">
        <v>Composting</v>
      </c>
      <c r="E179" s="161" t="str">
        <v>All organic waste</v>
      </c>
      <c r="F179" s="163"/>
      <c r="G179" s="25" t="s">
        <v>284</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3" t="str">
        <v>Composting</v>
      </c>
      <c r="E180" s="161" t="str">
        <v>Food waste (including animal carcasses, spoiled animal feed or crop)</v>
      </c>
      <c r="F180" s="163"/>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581</v>
      </c>
      <c r="J180" s="25" t="s">
        <v>284</v>
      </c>
      <c r="K180" s="25" t="s">
        <v>284</v>
      </c>
    </row>
    <row r="181" spans="4:11" ht="20.100000000000001" customHeight="1" x14ac:dyDescent="0.25">
      <c r="D181" s="153" t="str">
        <v>Composting</v>
      </c>
      <c r="E181" s="161" t="str">
        <v>Green waste (including crop residues or prunings)</v>
      </c>
      <c r="F181" s="163"/>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581</v>
      </c>
      <c r="J181" s="25" t="s">
        <v>284</v>
      </c>
      <c r="K181" s="25" t="s">
        <v>284</v>
      </c>
    </row>
    <row r="182" spans="4:11" ht="20.100000000000001" customHeight="1" x14ac:dyDescent="0.25">
      <c r="D182" s="153" t="str">
        <v>Composting</v>
      </c>
      <c r="E182" s="161" t="str">
        <v>Wood</v>
      </c>
      <c r="F182" s="163"/>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581</v>
      </c>
      <c r="J182" s="25" t="s">
        <v>284</v>
      </c>
      <c r="K182" s="25" t="s">
        <v>284</v>
      </c>
    </row>
    <row r="183" spans="4:11" ht="20.100000000000001" customHeight="1" x14ac:dyDescent="0.25">
      <c r="D183" s="153" t="str">
        <v>Composting</v>
      </c>
      <c r="E183" s="161" t="str">
        <v>Sludge</v>
      </c>
      <c r="F183" s="163"/>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581</v>
      </c>
      <c r="J183" s="25" t="s">
        <v>284</v>
      </c>
      <c r="K183" s="25" t="s">
        <v>284</v>
      </c>
    </row>
    <row r="184" spans="4:11" ht="20.100000000000001" customHeight="1" x14ac:dyDescent="0.25">
      <c r="D184" s="153" t="str">
        <v>Composting</v>
      </c>
      <c r="E184" s="161" t="str">
        <v>Paper and cardboard</v>
      </c>
      <c r="F184" s="163"/>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581</v>
      </c>
      <c r="J184" s="25" t="s">
        <v>284</v>
      </c>
      <c r="K184" s="25" t="s">
        <v>284</v>
      </c>
    </row>
    <row r="185" spans="4:11" ht="20.100000000000001" customHeight="1" x14ac:dyDescent="0.25">
      <c r="D185" s="153" t="str">
        <v>Anaerobic digestion</v>
      </c>
      <c r="E185" s="161" t="str">
        <v>All organic waste</v>
      </c>
      <c r="F185" s="163"/>
      <c r="G185" s="25" t="s">
        <v>284</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3" t="str">
        <v>Anaerobic digestion</v>
      </c>
      <c r="E186" s="161" t="str">
        <v>Food waste (including animal carcasses, spoiled animal feed or crop)</v>
      </c>
      <c r="F186" s="163"/>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581</v>
      </c>
      <c r="J186" s="25" t="s">
        <v>284</v>
      </c>
      <c r="K186" s="25" t="s">
        <v>284</v>
      </c>
    </row>
    <row r="187" spans="4:11" ht="20.100000000000001" customHeight="1" x14ac:dyDescent="0.25">
      <c r="D187" s="153" t="str">
        <v>Anaerobic digestion</v>
      </c>
      <c r="E187" s="161" t="str">
        <v>Green waste (including crop residues or prunings)</v>
      </c>
      <c r="F187" s="163"/>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581</v>
      </c>
      <c r="J187" s="25" t="s">
        <v>284</v>
      </c>
      <c r="K187" s="25" t="s">
        <v>284</v>
      </c>
    </row>
    <row r="188" spans="4:11" ht="20.100000000000001" customHeight="1" x14ac:dyDescent="0.25">
      <c r="D188" s="153" t="str">
        <v>Anaerobic digestion</v>
      </c>
      <c r="E188" s="161" t="str">
        <v>Wood</v>
      </c>
      <c r="F188" s="163"/>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581</v>
      </c>
      <c r="J188" s="25" t="s">
        <v>284</v>
      </c>
      <c r="K188" s="25" t="s">
        <v>284</v>
      </c>
    </row>
    <row r="189" spans="4:11" ht="20.100000000000001" customHeight="1" x14ac:dyDescent="0.25">
      <c r="D189" s="153" t="str">
        <v>Anaerobic digestion</v>
      </c>
      <c r="E189" s="161" t="str">
        <v>Sludge</v>
      </c>
      <c r="F189" s="163"/>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581</v>
      </c>
      <c r="J189" s="25" t="s">
        <v>284</v>
      </c>
      <c r="K189" s="25" t="s">
        <v>284</v>
      </c>
    </row>
    <row r="190" spans="4:11" ht="20.100000000000001" customHeight="1" x14ac:dyDescent="0.25">
      <c r="D190" s="153" t="str">
        <v>Anaerobic digestion</v>
      </c>
      <c r="E190" s="161" t="str">
        <v>Paper and cardboard</v>
      </c>
      <c r="F190" s="163"/>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581</v>
      </c>
      <c r="J190" s="25" t="s">
        <v>284</v>
      </c>
      <c r="K190" s="25" t="s">
        <v>284</v>
      </c>
    </row>
    <row r="191" spans="4:11" ht="20.100000000000001" customHeight="1" x14ac:dyDescent="0.25"/>
    <row r="192" spans="4:11" ht="20.100000000000001" customHeight="1" x14ac:dyDescent="0.25">
      <c r="D192" s="148" t="s">
        <v>582</v>
      </c>
      <c r="E192" s="149">
        <f>SUM(K157:K190)</f>
        <v>441.15000000000003</v>
      </c>
      <c r="F192" s="150"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4FF59444-BFF1-429D-B344-61671A5C763D}"/>
  </dataValidations>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5E4FD-4586-43F7-B047-B042B5602D4D}">
  <sheetPr>
    <tabColor theme="2" tint="-0.499984740745262"/>
  </sheetPr>
  <dimension ref="A1:AI165"/>
  <sheetViews>
    <sheetView showGridLines="0" topLeftCell="A2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585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586</v>
      </c>
      <c r="K15" s="1" t="s">
        <v>587</v>
      </c>
      <c r="M15" s="1" t="s">
        <v>588</v>
      </c>
      <c r="O15" s="1" t="s">
        <v>589</v>
      </c>
    </row>
    <row r="16" spans="1:35" ht="20.100000000000001" customHeight="1" x14ac:dyDescent="0.25">
      <c r="A16" s="5" t="str">
        <f>HYPERLINK("#'Input - Farm Inputs'!A1", "Farm Inputs")</f>
        <v>Farm Inputs</v>
      </c>
      <c r="D16" s="30" t="s">
        <v>590</v>
      </c>
      <c r="E16" s="30" t="s">
        <v>591</v>
      </c>
      <c r="F16" s="30" t="s">
        <v>592</v>
      </c>
      <c r="G16" s="30" t="s">
        <v>593</v>
      </c>
      <c r="I16" s="30" t="s">
        <v>591</v>
      </c>
      <c r="K16" s="225" t="s">
        <v>591</v>
      </c>
      <c r="M16" s="225" t="s">
        <v>591</v>
      </c>
      <c r="O16" s="225" t="s">
        <v>591</v>
      </c>
    </row>
    <row r="17" spans="1:15" ht="20.100000000000001" customHeight="1" x14ac:dyDescent="0.25">
      <c r="A17" s="5" t="str">
        <f>HYPERLINK("#'Input - Freight'!A1", "Freight")</f>
        <v>Freight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Manure sent off-site'!A1", "Manure sent off-site")</f>
        <v>Manure sent off-site</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6" t="s">
        <v>2</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HYPERLINK("#'5.1.1.1-2 Inorganic fert N2O'!A1", "5.1.1.1-2 Inorganic fert N2O")</f>
        <v>5.1.1.1-2 Inorganic fert N2O</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HYPERLINK("#'5.1.1.3-4 Inorganic fert CO2'!A1", "5.1.1.3-4 Inorganic fert CO2")</f>
        <v>5.1.1.3-4 Inorganic fert CO2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HYPERLINK("#'5.2.1.1-2 Organic Fert N2O'!A1", "5.2.1.1-2 Organic fert N2O")</f>
        <v>5.2.1.1-2 Organic fert N2O</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HYPERLINK("#'5.3.1.1-2 Lime CO2'!A1", "5.3.1.1-2 Lime CO2")</f>
        <v>5.3.1.1-2 Lime CO2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HYPERLINK("#'5.4.1.1-4 Atmos deposition'!A1", "5.4.1.1-4 Atmos. deposition")</f>
        <v>5.4.1.1-4 Atmos. deposition</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HYPERLINK("#'5.5.1.1-2 Leaching and runoff'!A1", "5.5.1.1-2 Leaching &amp; runoff")</f>
        <v>5.5.1.1-2 Leaching &amp; runoff</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HYPERLINK("#'6.1.1.1-2 Crop residue N2O'!A1", "6.1.1.1-2 Crop residue N2O")</f>
        <v>6.1.1.1-2 Crop residue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HYPERLINK("#'6.3.1.1-2 Leach runoff crop'!A1", "6.3.1.1-2 Leach &amp; runoff (crop)")</f>
        <v>6.3.1.1-2 Leach &amp; runoff (crop)</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HYPERLINK("#'6.4.1.1-2 Residue burning'!A1", "6.4.1.1-2 Residue burning")</f>
        <v>6.4.1.1-2 Residue burning</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HYPERLINK("#'14.1.1-2 Purchased electricity'!A1", "14.1.1-2 Purchased electricity")</f>
        <v>14.1.1-2 Purchased electricity</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HYPERLINK("#'15 Scope 3'!A1", "15 Scope 3")</f>
        <v>15 Scope 3</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HYPERLINK("#'Calcs - Manure sent off-site'!A1", "Calcs - Manure sent off-site")</f>
        <v>Calcs - Manure sent off-site</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HYPERLINK("#'10.1.1-2 Solid waste treatment'!A1", "10.1.1-2 Solid waste treatment")</f>
        <v>10.1.1-2 Solid waste treatment</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6"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6"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6"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19" t="s">
        <v>1</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6"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6"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HYPERLINK("#'Constants - Common Livestock'!A1", "Constants - Common Livestock")</f>
        <v>Constants - Common Livestock</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6"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Electricity'!A1", "Constants - Electricity")</f>
        <v>Constants -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6"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Fertiliser'!A1", "Constants - Fertiliser")</f>
        <v>Constants - Fertiliser</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6"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Fuel'!A1", "Constants - Fuel")</f>
        <v>Constants - Fuel</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6"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Scope 3'!A1", "Constants - Scope 3")</f>
        <v>Constants - Scope 3</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6"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6"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171" t="str">
        <f>HYPERLINK("#'Constants - Solid Waste'!A1", "Constants - Solid Waste")</f>
        <v>Constants - Solid Waste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6"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6"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6"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2" t="str" cm="1">
        <f t="array" ref="D52">WasteSolid_SourceData.Waste_WasteVolumeToMassConversion_Title()</f>
        <v>Volume to mass conversion factor for various waste types</v>
      </c>
    </row>
    <row r="53" spans="4:7" ht="20.100000000000001" customHeight="1" x14ac:dyDescent="0.25">
      <c r="D53" s="27" t="str" cm="1">
        <f t="array" ref="D53">WasteSolid_SourceData.Waste_WasteVolumeToMassConversion_Source()</f>
        <v>VEERG 2026: Table A.4.1.2</v>
      </c>
    </row>
    <row r="54" spans="4:7" ht="20.100000000000001" customHeight="1" x14ac:dyDescent="0.25">
      <c r="D54" s="36"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15" t="str" cm="1">
        <f t="array" ref="D56">WasteSolid_SourceData.Waste_WasteVolumeToMassConversion_Unit()</f>
        <v>t/m3</v>
      </c>
    </row>
    <row r="57" spans="4:7" ht="20.100000000000001" customHeight="1" x14ac:dyDescent="0.25">
      <c r="D57" s="30" t="s">
        <v>591</v>
      </c>
      <c r="E57" s="30" t="s">
        <v>594</v>
      </c>
    </row>
    <row r="58" spans="4: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31D21-27A0-4D24-84C4-975E082CCAA7}">
  <dimension ref="A1:AV48"/>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9" t="s">
        <v>965</v>
      </c>
      <c r="D1" s="260"/>
      <c r="E1" s="260"/>
      <c r="F1" s="260"/>
      <c r="G1" s="260"/>
      <c r="H1" s="260"/>
      <c r="I1" s="260"/>
      <c r="J1" s="260"/>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row>
    <row r="2" spans="1:42" ht="20.100000000000001" customHeight="1" x14ac:dyDescent="0.25">
      <c r="C2" s="260"/>
      <c r="D2" s="260"/>
      <c r="E2" s="260"/>
      <c r="F2" s="260"/>
      <c r="G2" s="260"/>
      <c r="H2" s="260"/>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1"/>
    </row>
    <row r="3" spans="1:42" ht="20.100000000000001" customHeight="1" x14ac:dyDescent="0.25">
      <c r="A3" s="5" t="str">
        <f>HYPERLINK("#'Home'!A1", "Home")</f>
        <v>Home</v>
      </c>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row>
    <row r="4" spans="1:42" ht="20.100000000000001" customHeight="1" x14ac:dyDescent="0.25">
      <c r="A4" s="263" t="str">
        <f>HYPERLINK("#'Overview'!A1", "Overview")</f>
        <v>Overview</v>
      </c>
    </row>
    <row r="5" spans="1:42" ht="20.100000000000001" customHeight="1" x14ac:dyDescent="0.25">
      <c r="A5" s="5" t="str">
        <f>HYPERLINK("#'Results'!A1", "Results")</f>
        <v>Results</v>
      </c>
      <c r="D5" s="92" t="s">
        <v>966</v>
      </c>
      <c r="E5" s="54"/>
      <c r="F5" s="54"/>
      <c r="G5" s="54"/>
      <c r="H5" s="54"/>
      <c r="I5" s="54"/>
      <c r="J5" s="54"/>
      <c r="K5" s="54"/>
      <c r="L5" s="54"/>
      <c r="M5" s="54"/>
      <c r="N5" s="54"/>
      <c r="O5" s="55"/>
    </row>
    <row r="6" spans="1:42" ht="20.100000000000001" customHeight="1" x14ac:dyDescent="0.25">
      <c r="D6" s="264" t="s">
        <v>967</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Farm Inputs'!A1", "Farm Inputs")</f>
        <v>Farm Inputs</v>
      </c>
    </row>
    <row r="17" spans="1:1" ht="20.100000000000001" customHeight="1" x14ac:dyDescent="0.25">
      <c r="A17" s="5" t="str">
        <f>HYPERLINK("#'Input - Freight'!A1", "Freight")</f>
        <v>Freight</v>
      </c>
    </row>
    <row r="18" spans="1:1" ht="20.100000000000001" customHeight="1" x14ac:dyDescent="0.25">
      <c r="A18" s="5" t="str">
        <f>HYPERLINK("#'Input - Manure sent off-site'!A1", "Manure sent off-site")</f>
        <v>Manure sent off-site</v>
      </c>
    </row>
    <row r="19" spans="1:1" ht="20.100000000000001" customHeight="1" x14ac:dyDescent="0.25">
      <c r="A19" s="5" t="str">
        <f>HYPERLINK("#'Input - Solid waste'!A1", "Solid waste")</f>
        <v>Solid waste</v>
      </c>
    </row>
    <row r="20" spans="1:1" ht="20.100000000000001" customHeight="1" x14ac:dyDescent="0.25"/>
    <row r="21" spans="1:1" ht="20.100000000000001" customHeight="1" x14ac:dyDescent="0.25"/>
    <row r="22" spans="1:1" ht="20.100000000000001" customHeight="1" x14ac:dyDescent="0.25">
      <c r="A22" s="6" t="s">
        <v>2</v>
      </c>
    </row>
    <row r="23" spans="1:1" ht="20.100000000000001" customHeight="1" x14ac:dyDescent="0.25">
      <c r="A23" s="5" t="str">
        <f>HYPERLINK("#'5.1.1.1-2 Inorganic fert N2O'!A1", "5.1.1.1-2 Inorganic fert N2O")</f>
        <v>5.1.1.1-2 Inorganic fert N2O</v>
      </c>
    </row>
    <row r="24" spans="1:1" ht="20.100000000000001" customHeight="1" x14ac:dyDescent="0.25">
      <c r="A24" s="5" t="str">
        <f>HYPERLINK("#'5.1.1.3-4 Inorganic fert CO2'!A1", "5.1.1.3-4 Inorganic fert CO2")</f>
        <v>5.1.1.3-4 Inorganic fert CO2</v>
      </c>
    </row>
    <row r="25" spans="1:1" ht="20.100000000000001" customHeight="1" x14ac:dyDescent="0.25">
      <c r="A25" s="5" t="str">
        <f>HYPERLINK("#'5.2.1.1-2 Organic Fert N2O'!A1", "5.2.1.1-2 Organic fert N2O")</f>
        <v>5.2.1.1-2 Organic fert N2O</v>
      </c>
    </row>
    <row r="26" spans="1:1" ht="20.100000000000001" customHeight="1" x14ac:dyDescent="0.25">
      <c r="A26" s="5" t="str">
        <f>HYPERLINK("#'5.3.1.1-2 Lime CO2'!A1", "5.3.1.1-2 Lime CO2")</f>
        <v>5.3.1.1-2 Lime CO2</v>
      </c>
    </row>
    <row r="27" spans="1:1" ht="20.100000000000001" customHeight="1" x14ac:dyDescent="0.25">
      <c r="A27" s="5" t="str">
        <f>HYPERLINK("#'5.4.1.1-4 Atmos deposition'!A1", "5.4.1.1-4 Atmos. deposition")</f>
        <v>5.4.1.1-4 Atmos. deposition</v>
      </c>
    </row>
    <row r="28" spans="1:1" ht="20.100000000000001" customHeight="1" x14ac:dyDescent="0.25">
      <c r="A28" s="5" t="str">
        <f>HYPERLINK("#'5.5.1.1-2 Leaching and runoff'!A1", "5.5.1.1-2 Leaching &amp; runoff")</f>
        <v>5.5.1.1-2 Leaching &amp; runoff</v>
      </c>
    </row>
    <row r="29" spans="1:1" ht="20.100000000000001" customHeight="1" x14ac:dyDescent="0.25">
      <c r="A29" s="5" t="str">
        <f>HYPERLINK("#'6.1.1.1-2 Crop residue N2O'!A1", "6.1.1.1-2 Crop residue N2O")</f>
        <v>6.1.1.1-2 Crop residue N2O</v>
      </c>
    </row>
    <row r="30" spans="1:1" ht="20.100000000000001" customHeight="1" x14ac:dyDescent="0.25">
      <c r="A30" s="5" t="str">
        <f>HYPERLINK("#'6.3.1.1-2 Leach runoff crop'!A1", "6.3.1.1-2 Leach &amp; runoff (crop)")</f>
        <v>6.3.1.1-2 Leach &amp; runoff (crop)</v>
      </c>
    </row>
    <row r="31" spans="1:1" ht="20.100000000000001" customHeight="1" x14ac:dyDescent="0.25">
      <c r="A31" s="5" t="str">
        <f>HYPERLINK("#'6.4.1.1-2 Residue burning'!A1", "6.4.1.1-2 Residue burning")</f>
        <v>6.4.1.1-2 Residue burning</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c r="A35" s="5" t="str">
        <f>HYPERLINK("#'15 Scope 3'!A1", "15 Scope 3")</f>
        <v>15 Scope 3</v>
      </c>
    </row>
    <row r="36" spans="1:48" ht="20.100000000000001" customHeight="1" x14ac:dyDescent="0.25">
      <c r="A36" s="5" t="str">
        <f>HYPERLINK("#'Calcs - Manure sent off-site'!A1", "Calcs - Manure sent off-site")</f>
        <v>Calcs - Manure sent off-site</v>
      </c>
    </row>
    <row r="37" spans="1:48" ht="20.100000000000001" customHeight="1" x14ac:dyDescent="0.25">
      <c r="A37" s="5" t="str">
        <f>HYPERLINK("#'10.1.1-2 Solid waste treatment'!A1", "10.1.1-2 Solid waste treatment")</f>
        <v>10.1.1-2 Solid waste treatment</v>
      </c>
      <c r="L37" s="1" t="s">
        <v>968</v>
      </c>
    </row>
    <row r="38" spans="1:48" ht="20.100000000000001" customHeight="1" x14ac:dyDescent="0.25"/>
    <row r="39" spans="1:48" ht="20.100000000000001" customHeight="1" x14ac:dyDescent="0.25"/>
    <row r="40" spans="1:48" ht="20.100000000000001" customHeight="1" x14ac:dyDescent="0.25">
      <c r="A40" s="119" t="s">
        <v>1</v>
      </c>
    </row>
    <row r="41" spans="1:48" ht="20.100000000000001" customHeight="1" x14ac:dyDescent="0.25">
      <c r="A41" s="5" t="str">
        <f>HYPERLINK("#'Constants - Ag Residue'!A1", "Constants - Ag residue")</f>
        <v>Constants - Ag residue</v>
      </c>
    </row>
    <row r="42" spans="1:48" ht="20.100000000000001" customHeight="1" x14ac:dyDescent="0.25">
      <c r="A42" s="5" t="str">
        <f>HYPERLINK("#'Constants - Common Livestock'!A1", "Constants - Common Livestock")</f>
        <v>Constants - Common Livestock</v>
      </c>
    </row>
    <row r="43" spans="1:48" x14ac:dyDescent="0.25">
      <c r="A43" s="5" t="str">
        <f>HYPERLINK("#'Constants - Electricity'!A1", "Constants - Electricity")</f>
        <v>Constants - Electricity</v>
      </c>
    </row>
    <row r="44" spans="1:48" x14ac:dyDescent="0.25">
      <c r="A44" s="5" t="str">
        <f>HYPERLINK("#'Constants - Fertiliser'!A1", "Constants - Fertiliser")</f>
        <v>Constants - Fertiliser</v>
      </c>
    </row>
    <row r="45" spans="1:48" x14ac:dyDescent="0.25">
      <c r="A45" s="5" t="str">
        <f>HYPERLINK("#'Constants - Fuel'!A1", "Constants - Fuel")</f>
        <v>Constants - Fuel</v>
      </c>
      <c r="AV45" t="s">
        <v>969</v>
      </c>
    </row>
    <row r="46" spans="1:48" x14ac:dyDescent="0.25">
      <c r="A46" s="5" t="str">
        <f>HYPERLINK("#'Constants - Scope 3'!A1", "Constants - Scope 3")</f>
        <v>Constants - Scope 3</v>
      </c>
    </row>
    <row r="47" spans="1:48" x14ac:dyDescent="0.25">
      <c r="A47" s="5" t="str">
        <f>HYPERLINK("#'Constants - Common'!A1", "Constants - Common")</f>
        <v>Constants - Common</v>
      </c>
    </row>
    <row r="48" spans="1:48" x14ac:dyDescent="0.25">
      <c r="A4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192</vt:i4>
      </vt:variant>
    </vt:vector>
  </HeadingPairs>
  <TitlesOfParts>
    <vt:vector size="229"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2026-08-03T07:26:42Z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