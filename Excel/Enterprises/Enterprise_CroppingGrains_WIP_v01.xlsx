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tables/table10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6D7C89B-8B96-4A67-AEEB-500E538E2910}" xr6:coauthVersionLast="47" xr6:coauthVersionMax="47" xr10:uidLastSave="{00000000-0000-0000-0000-000000000000}"/>
  <bookViews>
    <workbookView xWindow="660" yWindow="1065" windowWidth="37785" windowHeight="19140" firstSheet="25" activeTab="25" xr2:uid="{992023F3-CAB7-4E5B-A348-08D563A0EF40}"/>
  </bookViews>
  <sheets>
    <sheet name="Home" sheetId="71" r:id="rId1"/>
    <sheet name="Results" sheetId="13" r:id="rId2"/>
    <sheet name="Input - Enterprise" sheetId="72" r:id="rId3"/>
    <sheet name="Input - Site" sheetId="75" r:id="rId4"/>
    <sheet name="Input - Crop" sheetId="98" r:id="rId5"/>
    <sheet name="Input - Fert Prod System" sheetId="76" r:id="rId6"/>
    <sheet name="Input - Fertiliser" sheetId="80" r:id="rId7"/>
    <sheet name="Input - Fuel" sheetId="91" r:id="rId8"/>
    <sheet name="Input - Electricity" sheetId="88" r:id="rId9"/>
    <sheet name="Input - Common farm inputs" sheetId="103" r:id="rId10"/>
    <sheet name="Input - Crop pasture farm input" sheetId="104" r:id="rId11"/>
    <sheet name="Input - Freight" sheetId="105" r:id="rId12"/>
    <sheet name="Input - Manure sent off-site" sheetId="106" r:id="rId13"/>
    <sheet name="5.1.1.1-2 Inorganic fert N2O" sheetId="81" r:id="rId14"/>
    <sheet name="5.1.1.3-4 Inorganic fert CO2" sheetId="82" r:id="rId15"/>
    <sheet name="5.2.1.1-2 Organic Fert N2O" sheetId="83" r:id="rId16"/>
    <sheet name="5.3.1.1-2 Lime CO2" sheetId="84" r:id="rId17"/>
    <sheet name="5.4.1.1-4 Atmos deposition" sheetId="85" r:id="rId18"/>
    <sheet name="5.5.1.1-2 Leaching and runoff" sheetId="86" r:id="rId19"/>
    <sheet name="6.1.1.1-2 Crop residue N2O" sheetId="99" r:id="rId20"/>
    <sheet name="6.3.1.1-2 Leach runoff crop" sheetId="100" r:id="rId21"/>
    <sheet name="6.4.1.1-2 Residue burning" sheetId="101" r:id="rId22"/>
    <sheet name="8.1.1.1-2 Transport fuel" sheetId="92" r:id="rId23"/>
    <sheet name="8.2.1.1-2 Stationary fuel" sheetId="93" r:id="rId24"/>
    <sheet name="14.1.1-2 Purchased electricity" sheetId="89" r:id="rId25"/>
    <sheet name="15 Scope 3" sheetId="107" r:id="rId26"/>
    <sheet name="Calcs - Manure sent off-site" sheetId="108" r:id="rId27"/>
    <sheet name="Constants - Ag Residue" sheetId="102" r:id="rId28"/>
    <sheet name="Constants - Common Livestock" sheetId="110" r:id="rId29"/>
    <sheet name="Constants - Electricity" sheetId="90" r:id="rId30"/>
    <sheet name="Constants - Fertiliser" sheetId="87" r:id="rId31"/>
    <sheet name="Constants - Fuel" sheetId="94" r:id="rId32"/>
    <sheet name="Constants - Scope 3" sheetId="109" r:id="rId33"/>
    <sheet name="Constants - Common" sheetId="79" r:id="rId34"/>
    <sheet name="Input - Solid waste" sheetId="95" r:id="rId35"/>
    <sheet name="10.1.1-2 Solid waste treatment" sheetId="96" r:id="rId36"/>
    <sheet name="Constants - Solid Waste" sheetId="97" r:id="rId37"/>
    <sheet name="Overview" sheetId="111" r:id="rId38"/>
    <sheet name="Input - Data quality" sheetId="78" r:id="rId39"/>
  </sheets>
  <definedNames>
    <definedName name="_Toc225350871" localSheetId="17">'5.4.1.1-4 Atmos deposition'!$C$1</definedName>
    <definedName name="_Toc225350871" localSheetId="18">'5.5.1.1-2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6">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2">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 localSheetId="12">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6">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2">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 localSheetId="12">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6">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2">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 localSheetId="12">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6">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2">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 localSheetId="12">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6">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2">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 localSheetId="12">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5">_xlfn.LAMBDA("Mburnc")</definedName>
    <definedName name="AgResidue_Equations_FieldBurning.VEERG_6_4_1_1__3__MassOfCropResidueBurnt_Variable" localSheetId="26">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2">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 localSheetId="12">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 localSheetId="2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2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28">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 localSheetId="2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2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28">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3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3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 localSheetId="25">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26">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28">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2">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9">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0">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1">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2">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5">_xlfn.LAMBDA(_xlpm.Cell, RIGHT(_xlpm.Cell, LEN(_xlpm.Cell) - FIND(", ", _xlpm.Cell)))</definedName>
    <definedName name="Fuel_InputFunctions.Fuel_GetStationaryFuelString" localSheetId="26">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2">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20">'6.3.1.1-2 Leach runoff crop'!$N$44:$O$46</definedName>
    <definedName name="M1_Table_E_N2O">'5.1.1.1-2 Inorganic fert N2O'!$D$59:$E$78</definedName>
    <definedName name="M1_Table_E_N2O_Consumer_1" localSheetId="20">'6.3.1.1-2 Leach runoff crop'!$D$44:$E$46</definedName>
    <definedName name="M1_Table_M_leach_cp" localSheetId="20">'6.3.1.1-2 Leach runoff crop'!$D$23:$I$25</definedName>
    <definedName name="M2_Table_FertApplications">'5.1.1.1-2 Inorganic fert N2O'!$M$44:$W$59</definedName>
    <definedName name="M2_Table_M_leach_cp" localSheetId="20">'6.3.1.1-2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6">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2">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5">'Calcs - Manure sent off-site'!$E$55</definedName>
    <definedName name="VEERG_5_4_1_3__1_OrganicFertiliserAtmosphericDepositionN2OEmissions_Result_Method1" localSheetId="26">'Calcs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2">'Calcs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5">'Calcs - Manure sent off-site'!$E$90</definedName>
    <definedName name="VEERG_5_5_1_1__1_FertiliserLeachingAndRunoffN2OEmissions_Result_Method1" localSheetId="26">'Calcs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2">'Calcs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2">'Calcs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20">'6.3.1.1-2 Leach runoff crop'!$E$48</definedName>
    <definedName name="VEERG_6_3_1_1__1__LeachingAndRunoffEmissionsCropAndPastureResidue_Result_Method2" localSheetId="20">'6.3.1.1-2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4" i="107" l="1"/>
  <c r="E163" i="107"/>
  <c r="E162" i="107"/>
  <c r="E139" i="107"/>
  <c r="E138" i="107"/>
  <c r="E137" i="107"/>
  <c r="E136" i="107"/>
  <c r="A50" i="78"/>
  <c r="A49" i="78"/>
  <c r="A48" i="78"/>
  <c r="A47" i="78"/>
  <c r="A46" i="78"/>
  <c r="A45" i="78"/>
  <c r="A44" i="78"/>
  <c r="A43" i="78"/>
  <c r="A39" i="78"/>
  <c r="A38" i="78"/>
  <c r="A37" i="78"/>
  <c r="A36" i="78"/>
  <c r="A35" i="78"/>
  <c r="A34" i="78"/>
  <c r="A33" i="78"/>
  <c r="A32" i="78"/>
  <c r="A31" i="78"/>
  <c r="A30" i="78"/>
  <c r="A29" i="78"/>
  <c r="A28" i="78"/>
  <c r="A27" i="78"/>
  <c r="A26" i="78"/>
  <c r="A25" i="78"/>
  <c r="A21" i="78"/>
  <c r="A20" i="78"/>
  <c r="A19" i="78"/>
  <c r="A18" i="78"/>
  <c r="A17" i="78"/>
  <c r="A16" i="78"/>
  <c r="A15" i="78"/>
  <c r="A14" i="78"/>
  <c r="A13" i="78"/>
  <c r="A12" i="78"/>
  <c r="A11" i="78"/>
  <c r="A10" i="78"/>
  <c r="A9" i="78"/>
  <c r="A5" i="78"/>
  <c r="A4" i="78"/>
  <c r="A3" i="78"/>
  <c r="A50" i="111"/>
  <c r="A49" i="111"/>
  <c r="A48" i="111"/>
  <c r="A47" i="111"/>
  <c r="A46" i="111"/>
  <c r="A45" i="111"/>
  <c r="A44" i="111"/>
  <c r="A43" i="111"/>
  <c r="A39" i="111"/>
  <c r="A38" i="111"/>
  <c r="A37" i="111"/>
  <c r="A36" i="111"/>
  <c r="A35" i="111"/>
  <c r="A34" i="111"/>
  <c r="A33" i="111"/>
  <c r="A32" i="111"/>
  <c r="A31" i="111"/>
  <c r="A30" i="111"/>
  <c r="A29" i="111"/>
  <c r="A28" i="111"/>
  <c r="A27" i="111"/>
  <c r="A26" i="111"/>
  <c r="A25" i="111"/>
  <c r="A21" i="111"/>
  <c r="A20" i="111"/>
  <c r="A19" i="111"/>
  <c r="A18" i="111"/>
  <c r="A17" i="111"/>
  <c r="A16" i="111"/>
  <c r="A15" i="111"/>
  <c r="A14" i="111"/>
  <c r="A13" i="111"/>
  <c r="A12" i="111"/>
  <c r="A11" i="111"/>
  <c r="A10" i="111"/>
  <c r="A9" i="111"/>
  <c r="A5" i="111"/>
  <c r="A4" i="111"/>
  <c r="A3" i="111"/>
  <c r="A50" i="97"/>
  <c r="A49" i="97"/>
  <c r="A48" i="97"/>
  <c r="A47" i="97"/>
  <c r="A46" i="97"/>
  <c r="A45" i="97"/>
  <c r="A44" i="97"/>
  <c r="A43" i="97"/>
  <c r="A39" i="97"/>
  <c r="A38" i="97"/>
  <c r="A37" i="97"/>
  <c r="A36" i="97"/>
  <c r="A35" i="97"/>
  <c r="A34" i="97"/>
  <c r="A33" i="97"/>
  <c r="A32" i="97"/>
  <c r="A31" i="97"/>
  <c r="A30" i="97"/>
  <c r="A29" i="97"/>
  <c r="A28" i="97"/>
  <c r="A27" i="97"/>
  <c r="A26" i="97"/>
  <c r="A25" i="97"/>
  <c r="A21" i="97"/>
  <c r="A20" i="97"/>
  <c r="A19" i="97"/>
  <c r="A18" i="97"/>
  <c r="A17" i="97"/>
  <c r="A16" i="97"/>
  <c r="A15" i="97"/>
  <c r="A14" i="97"/>
  <c r="A13" i="97"/>
  <c r="A12" i="97"/>
  <c r="A11" i="97"/>
  <c r="A10" i="97"/>
  <c r="A9" i="97"/>
  <c r="A5" i="97"/>
  <c r="A4" i="97"/>
  <c r="A3" i="97"/>
  <c r="A50" i="96"/>
  <c r="A49" i="96"/>
  <c r="A48" i="96"/>
  <c r="A47" i="96"/>
  <c r="A46" i="96"/>
  <c r="A45" i="96"/>
  <c r="A44" i="96"/>
  <c r="A43" i="96"/>
  <c r="A39" i="96"/>
  <c r="A38" i="96"/>
  <c r="A37" i="96"/>
  <c r="A36" i="96"/>
  <c r="A35" i="96"/>
  <c r="A34" i="96"/>
  <c r="A33" i="96"/>
  <c r="A32" i="96"/>
  <c r="A31" i="96"/>
  <c r="A30" i="96"/>
  <c r="A29" i="96"/>
  <c r="A28" i="96"/>
  <c r="A27" i="96"/>
  <c r="A26" i="96"/>
  <c r="A25" i="96"/>
  <c r="A21" i="96"/>
  <c r="A20" i="96"/>
  <c r="A19" i="96"/>
  <c r="A18" i="96"/>
  <c r="A17" i="96"/>
  <c r="A16" i="96"/>
  <c r="A15" i="96"/>
  <c r="A14" i="96"/>
  <c r="A13" i="96"/>
  <c r="A12" i="96"/>
  <c r="A11" i="96"/>
  <c r="A10" i="96"/>
  <c r="A9" i="96"/>
  <c r="A5" i="96"/>
  <c r="A4" i="96"/>
  <c r="A3" i="96"/>
  <c r="A50" i="95"/>
  <c r="A49" i="95"/>
  <c r="A48" i="95"/>
  <c r="A47" i="95"/>
  <c r="A46" i="95"/>
  <c r="A45" i="95"/>
  <c r="A44" i="95"/>
  <c r="A43" i="95"/>
  <c r="A39" i="95"/>
  <c r="A38" i="95"/>
  <c r="A37" i="95"/>
  <c r="A36" i="95"/>
  <c r="A35" i="95"/>
  <c r="A34" i="95"/>
  <c r="A33" i="95"/>
  <c r="A32" i="95"/>
  <c r="A31" i="95"/>
  <c r="A30" i="95"/>
  <c r="A29" i="95"/>
  <c r="A28" i="95"/>
  <c r="A27" i="95"/>
  <c r="A26" i="95"/>
  <c r="A25" i="95"/>
  <c r="A21" i="95"/>
  <c r="A20" i="95"/>
  <c r="A19" i="95"/>
  <c r="A18" i="95"/>
  <c r="A17" i="95"/>
  <c r="A16" i="95"/>
  <c r="A15" i="95"/>
  <c r="A14" i="95"/>
  <c r="A13" i="95"/>
  <c r="A12" i="95"/>
  <c r="A11" i="95"/>
  <c r="A10" i="95"/>
  <c r="A9" i="95"/>
  <c r="A5" i="95"/>
  <c r="A4" i="95"/>
  <c r="A3" i="95"/>
  <c r="A50" i="79"/>
  <c r="A49" i="79"/>
  <c r="A48" i="79"/>
  <c r="A47" i="79"/>
  <c r="A46" i="79"/>
  <c r="A45" i="79"/>
  <c r="A44" i="79"/>
  <c r="A43" i="79"/>
  <c r="A39" i="79"/>
  <c r="A38" i="79"/>
  <c r="A37" i="79"/>
  <c r="A36" i="79"/>
  <c r="A35" i="79"/>
  <c r="A34" i="79"/>
  <c r="A33" i="79"/>
  <c r="A32" i="79"/>
  <c r="A31" i="79"/>
  <c r="A30" i="79"/>
  <c r="A29" i="79"/>
  <c r="A28" i="79"/>
  <c r="A27" i="79"/>
  <c r="A26" i="79"/>
  <c r="A25" i="79"/>
  <c r="A21" i="79"/>
  <c r="A20" i="79"/>
  <c r="A19" i="79"/>
  <c r="A18" i="79"/>
  <c r="A17" i="79"/>
  <c r="A16" i="79"/>
  <c r="A15" i="79"/>
  <c r="A14" i="79"/>
  <c r="A13" i="79"/>
  <c r="A12" i="79"/>
  <c r="A11" i="79"/>
  <c r="A10" i="79"/>
  <c r="A9" i="79"/>
  <c r="A5" i="79"/>
  <c r="A4" i="79"/>
  <c r="A3" i="79"/>
  <c r="A50" i="109"/>
  <c r="A49" i="109"/>
  <c r="A48" i="109"/>
  <c r="A47" i="109"/>
  <c r="A46" i="109"/>
  <c r="A45" i="109"/>
  <c r="A44" i="109"/>
  <c r="A43" i="109"/>
  <c r="A39" i="109"/>
  <c r="A38" i="109"/>
  <c r="A37" i="109"/>
  <c r="A36" i="109"/>
  <c r="A35" i="109"/>
  <c r="A34" i="109"/>
  <c r="A33" i="109"/>
  <c r="A32" i="109"/>
  <c r="A31" i="109"/>
  <c r="A30" i="109"/>
  <c r="A29" i="109"/>
  <c r="A28" i="109"/>
  <c r="A27" i="109"/>
  <c r="A26" i="109"/>
  <c r="A25" i="109"/>
  <c r="A21" i="109"/>
  <c r="A20" i="109"/>
  <c r="A19" i="109"/>
  <c r="A18" i="109"/>
  <c r="A17" i="109"/>
  <c r="A16" i="109"/>
  <c r="A15" i="109"/>
  <c r="A14" i="109"/>
  <c r="A13" i="109"/>
  <c r="A12" i="109"/>
  <c r="A11" i="109"/>
  <c r="A10" i="109"/>
  <c r="A9" i="109"/>
  <c r="A5" i="109"/>
  <c r="A4" i="109"/>
  <c r="A3" i="109"/>
  <c r="A50" i="94"/>
  <c r="A49" i="94"/>
  <c r="A48" i="94"/>
  <c r="A47" i="94"/>
  <c r="A46" i="94"/>
  <c r="A45" i="94"/>
  <c r="A44" i="94"/>
  <c r="A43" i="94"/>
  <c r="A39" i="94"/>
  <c r="A38" i="94"/>
  <c r="A37" i="94"/>
  <c r="A36" i="94"/>
  <c r="A35" i="94"/>
  <c r="A34" i="94"/>
  <c r="A33" i="94"/>
  <c r="A32" i="94"/>
  <c r="A31" i="94"/>
  <c r="A30" i="94"/>
  <c r="A29" i="94"/>
  <c r="A28" i="94"/>
  <c r="A27" i="94"/>
  <c r="A26" i="94"/>
  <c r="A25" i="94"/>
  <c r="A21" i="94"/>
  <c r="A20" i="94"/>
  <c r="A19" i="94"/>
  <c r="A18" i="94"/>
  <c r="A17" i="94"/>
  <c r="A16" i="94"/>
  <c r="A15" i="94"/>
  <c r="A14" i="94"/>
  <c r="A13" i="94"/>
  <c r="A12" i="94"/>
  <c r="A11" i="94"/>
  <c r="A10" i="94"/>
  <c r="A9" i="94"/>
  <c r="A5" i="94"/>
  <c r="A4" i="94"/>
  <c r="A3" i="94"/>
  <c r="A50" i="87"/>
  <c r="A49" i="87"/>
  <c r="A48" i="87"/>
  <c r="A47" i="87"/>
  <c r="A46" i="87"/>
  <c r="A45" i="87"/>
  <c r="A44" i="87"/>
  <c r="A43" i="87"/>
  <c r="A39" i="87"/>
  <c r="A38" i="87"/>
  <c r="A37" i="87"/>
  <c r="A36" i="87"/>
  <c r="A35" i="87"/>
  <c r="A34" i="87"/>
  <c r="A33" i="87"/>
  <c r="A32" i="87"/>
  <c r="A31" i="87"/>
  <c r="A30" i="87"/>
  <c r="A29" i="87"/>
  <c r="A28" i="87"/>
  <c r="A27" i="87"/>
  <c r="A26" i="87"/>
  <c r="A25" i="87"/>
  <c r="A21" i="87"/>
  <c r="A20" i="87"/>
  <c r="A19" i="87"/>
  <c r="A18" i="87"/>
  <c r="A17" i="87"/>
  <c r="A16" i="87"/>
  <c r="A15" i="87"/>
  <c r="A14" i="87"/>
  <c r="A13" i="87"/>
  <c r="A12" i="87"/>
  <c r="A11" i="87"/>
  <c r="A10" i="87"/>
  <c r="A9" i="87"/>
  <c r="A5" i="87"/>
  <c r="A4" i="87"/>
  <c r="A3" i="87"/>
  <c r="A50" i="90"/>
  <c r="A49" i="90"/>
  <c r="A48" i="90"/>
  <c r="A47" i="90"/>
  <c r="A46" i="90"/>
  <c r="A45" i="90"/>
  <c r="A44" i="90"/>
  <c r="A43" i="90"/>
  <c r="A39" i="90"/>
  <c r="A38" i="90"/>
  <c r="A37" i="90"/>
  <c r="A36" i="90"/>
  <c r="A35" i="90"/>
  <c r="A34" i="90"/>
  <c r="A33" i="90"/>
  <c r="A32" i="90"/>
  <c r="A31" i="90"/>
  <c r="A30" i="90"/>
  <c r="A29" i="90"/>
  <c r="A28" i="90"/>
  <c r="A27" i="90"/>
  <c r="A26" i="90"/>
  <c r="A25" i="90"/>
  <c r="A21" i="90"/>
  <c r="A20" i="90"/>
  <c r="A19" i="90"/>
  <c r="A18" i="90"/>
  <c r="A17" i="90"/>
  <c r="A16" i="90"/>
  <c r="A15" i="90"/>
  <c r="A14" i="90"/>
  <c r="A13" i="90"/>
  <c r="A12" i="90"/>
  <c r="A11" i="90"/>
  <c r="A10" i="90"/>
  <c r="A9" i="90"/>
  <c r="A5" i="90"/>
  <c r="A4" i="90"/>
  <c r="A3" i="90"/>
  <c r="A50" i="110"/>
  <c r="A49" i="110"/>
  <c r="A48" i="110"/>
  <c r="A47" i="110"/>
  <c r="A46" i="110"/>
  <c r="A45" i="110"/>
  <c r="A44" i="110"/>
  <c r="A43" i="110"/>
  <c r="A39" i="110"/>
  <c r="A38" i="110"/>
  <c r="A37" i="110"/>
  <c r="A36" i="110"/>
  <c r="A35" i="110"/>
  <c r="A34" i="110"/>
  <c r="A33" i="110"/>
  <c r="A32" i="110"/>
  <c r="A31" i="110"/>
  <c r="A30" i="110"/>
  <c r="A29" i="110"/>
  <c r="A28" i="110"/>
  <c r="A27" i="110"/>
  <c r="A26" i="110"/>
  <c r="A25" i="110"/>
  <c r="A21" i="110"/>
  <c r="A20" i="110"/>
  <c r="A19" i="110"/>
  <c r="A18" i="110"/>
  <c r="A17" i="110"/>
  <c r="A16" i="110"/>
  <c r="A15" i="110"/>
  <c r="A14" i="110"/>
  <c r="A13" i="110"/>
  <c r="A12" i="110"/>
  <c r="A11" i="110"/>
  <c r="A10" i="110"/>
  <c r="A9" i="110"/>
  <c r="A5" i="110"/>
  <c r="A4" i="110"/>
  <c r="A3" i="110"/>
  <c r="A50" i="102"/>
  <c r="A49" i="102"/>
  <c r="A48" i="102"/>
  <c r="A47" i="102"/>
  <c r="A46" i="102"/>
  <c r="A45" i="102"/>
  <c r="A44" i="102"/>
  <c r="A43" i="102"/>
  <c r="A39" i="102"/>
  <c r="A38" i="102"/>
  <c r="A37" i="102"/>
  <c r="A36" i="102"/>
  <c r="A35" i="102"/>
  <c r="A34" i="102"/>
  <c r="A33" i="102"/>
  <c r="A32" i="102"/>
  <c r="A31" i="102"/>
  <c r="A30" i="102"/>
  <c r="A29" i="102"/>
  <c r="A28" i="102"/>
  <c r="A27" i="102"/>
  <c r="A26" i="102"/>
  <c r="A25" i="102"/>
  <c r="A21" i="102"/>
  <c r="A20" i="102"/>
  <c r="A19" i="102"/>
  <c r="A18" i="102"/>
  <c r="A17" i="102"/>
  <c r="A16" i="102"/>
  <c r="A15" i="102"/>
  <c r="A14" i="102"/>
  <c r="A13" i="102"/>
  <c r="A12" i="102"/>
  <c r="A11" i="102"/>
  <c r="A10" i="102"/>
  <c r="A9" i="102"/>
  <c r="A5" i="102"/>
  <c r="A4" i="102"/>
  <c r="A3" i="102"/>
  <c r="A50" i="108"/>
  <c r="A49" i="108"/>
  <c r="A48" i="108"/>
  <c r="A47" i="108"/>
  <c r="A46" i="108"/>
  <c r="A45" i="108"/>
  <c r="A44" i="108"/>
  <c r="A43" i="108"/>
  <c r="A39" i="108"/>
  <c r="A38" i="108"/>
  <c r="A37" i="108"/>
  <c r="A36" i="108"/>
  <c r="A35" i="108"/>
  <c r="A34" i="108"/>
  <c r="A33" i="108"/>
  <c r="A32" i="108"/>
  <c r="A31" i="108"/>
  <c r="A30" i="108"/>
  <c r="A29" i="108"/>
  <c r="A28" i="108"/>
  <c r="A27" i="108"/>
  <c r="A26" i="108"/>
  <c r="A25" i="108"/>
  <c r="A21" i="108"/>
  <c r="A20" i="108"/>
  <c r="A19" i="108"/>
  <c r="A18" i="108"/>
  <c r="A17" i="108"/>
  <c r="A16" i="108"/>
  <c r="A15" i="108"/>
  <c r="A14" i="108"/>
  <c r="A13" i="108"/>
  <c r="A12" i="108"/>
  <c r="A11" i="108"/>
  <c r="A10" i="108"/>
  <c r="A9" i="108"/>
  <c r="A5" i="108"/>
  <c r="A4" i="108"/>
  <c r="A3" i="108"/>
  <c r="A50" i="107"/>
  <c r="A49" i="107"/>
  <c r="A48" i="107"/>
  <c r="A47" i="107"/>
  <c r="A46" i="107"/>
  <c r="A45" i="107"/>
  <c r="A44" i="107"/>
  <c r="A43" i="107"/>
  <c r="A39" i="107"/>
  <c r="A38" i="107"/>
  <c r="A37" i="107"/>
  <c r="A36" i="107"/>
  <c r="A35" i="107"/>
  <c r="A34" i="107"/>
  <c r="A33" i="107"/>
  <c r="A32" i="107"/>
  <c r="A31" i="107"/>
  <c r="A30" i="107"/>
  <c r="A29" i="107"/>
  <c r="A28" i="107"/>
  <c r="A27" i="107"/>
  <c r="A26" i="107"/>
  <c r="A25" i="107"/>
  <c r="A21" i="107"/>
  <c r="A20" i="107"/>
  <c r="A19" i="107"/>
  <c r="A18" i="107"/>
  <c r="A17" i="107"/>
  <c r="A16" i="107"/>
  <c r="A15" i="107"/>
  <c r="A14" i="107"/>
  <c r="A13" i="107"/>
  <c r="A12" i="107"/>
  <c r="A11" i="107"/>
  <c r="A10" i="107"/>
  <c r="A9" i="107"/>
  <c r="A5" i="107"/>
  <c r="A4" i="107"/>
  <c r="A3" i="107"/>
  <c r="A50" i="89"/>
  <c r="A49" i="89"/>
  <c r="A48" i="89"/>
  <c r="A47" i="89"/>
  <c r="A46" i="89"/>
  <c r="A45" i="89"/>
  <c r="A44" i="89"/>
  <c r="A43" i="89"/>
  <c r="A39" i="89"/>
  <c r="A38" i="89"/>
  <c r="A37" i="89"/>
  <c r="A36" i="89"/>
  <c r="A35" i="89"/>
  <c r="A34" i="89"/>
  <c r="A33" i="89"/>
  <c r="A32" i="89"/>
  <c r="A31" i="89"/>
  <c r="A30" i="89"/>
  <c r="A29" i="89"/>
  <c r="A28" i="89"/>
  <c r="A27" i="89"/>
  <c r="A26" i="89"/>
  <c r="A25" i="89"/>
  <c r="A21" i="89"/>
  <c r="A20" i="89"/>
  <c r="A19" i="89"/>
  <c r="A18" i="89"/>
  <c r="A17" i="89"/>
  <c r="A16" i="89"/>
  <c r="A15" i="89"/>
  <c r="A14" i="89"/>
  <c r="A13" i="89"/>
  <c r="A12" i="89"/>
  <c r="A11" i="89"/>
  <c r="A10" i="89"/>
  <c r="A9" i="89"/>
  <c r="A5" i="89"/>
  <c r="A4" i="89"/>
  <c r="A3" i="89"/>
  <c r="A50" i="93"/>
  <c r="A49" i="93"/>
  <c r="A48" i="93"/>
  <c r="A47" i="93"/>
  <c r="A46" i="93"/>
  <c r="A45" i="93"/>
  <c r="A44" i="93"/>
  <c r="A43" i="93"/>
  <c r="A39" i="93"/>
  <c r="A38" i="93"/>
  <c r="A37" i="93"/>
  <c r="A36" i="93"/>
  <c r="A35" i="93"/>
  <c r="A34" i="93"/>
  <c r="A33" i="93"/>
  <c r="A32" i="93"/>
  <c r="A31" i="93"/>
  <c r="A30" i="93"/>
  <c r="A29" i="93"/>
  <c r="A28" i="93"/>
  <c r="A27" i="93"/>
  <c r="A26" i="93"/>
  <c r="A25" i="93"/>
  <c r="A21" i="93"/>
  <c r="A20" i="93"/>
  <c r="A19" i="93"/>
  <c r="A18" i="93"/>
  <c r="A17" i="93"/>
  <c r="A16" i="93"/>
  <c r="A15" i="93"/>
  <c r="A14" i="93"/>
  <c r="A13" i="93"/>
  <c r="A12" i="93"/>
  <c r="A11" i="93"/>
  <c r="A10" i="93"/>
  <c r="A9" i="93"/>
  <c r="A5" i="93"/>
  <c r="A4" i="93"/>
  <c r="A3" i="93"/>
  <c r="A50" i="92"/>
  <c r="A49" i="92"/>
  <c r="A48" i="92"/>
  <c r="A47" i="92"/>
  <c r="A46" i="92"/>
  <c r="A45" i="92"/>
  <c r="A44" i="92"/>
  <c r="A43" i="92"/>
  <c r="A39" i="92"/>
  <c r="A38" i="92"/>
  <c r="A37" i="92"/>
  <c r="A36" i="92"/>
  <c r="A35" i="92"/>
  <c r="A34" i="92"/>
  <c r="A33" i="92"/>
  <c r="A32" i="92"/>
  <c r="A31" i="92"/>
  <c r="A30" i="92"/>
  <c r="A29" i="92"/>
  <c r="A28" i="92"/>
  <c r="A27" i="92"/>
  <c r="A26" i="92"/>
  <c r="A25" i="92"/>
  <c r="A21" i="92"/>
  <c r="A20" i="92"/>
  <c r="A19" i="92"/>
  <c r="A18" i="92"/>
  <c r="A17" i="92"/>
  <c r="A16" i="92"/>
  <c r="A15" i="92"/>
  <c r="A14" i="92"/>
  <c r="A13" i="92"/>
  <c r="A12" i="92"/>
  <c r="A11" i="92"/>
  <c r="A10" i="92"/>
  <c r="A9" i="92"/>
  <c r="A5" i="92"/>
  <c r="A4" i="92"/>
  <c r="A3" i="92"/>
  <c r="A50" i="101"/>
  <c r="A49" i="101"/>
  <c r="A48" i="101"/>
  <c r="A47" i="101"/>
  <c r="A46" i="101"/>
  <c r="A45" i="101"/>
  <c r="A44" i="101"/>
  <c r="A43" i="101"/>
  <c r="A39" i="101"/>
  <c r="A38" i="101"/>
  <c r="A37" i="101"/>
  <c r="A36" i="101"/>
  <c r="A35" i="101"/>
  <c r="A34" i="101"/>
  <c r="A33" i="101"/>
  <c r="A32" i="101"/>
  <c r="A31" i="101"/>
  <c r="A30" i="101"/>
  <c r="A29" i="101"/>
  <c r="A28" i="101"/>
  <c r="A27" i="101"/>
  <c r="A26" i="101"/>
  <c r="A25" i="101"/>
  <c r="A21" i="101"/>
  <c r="A20" i="101"/>
  <c r="A19" i="101"/>
  <c r="A18" i="101"/>
  <c r="A17" i="101"/>
  <c r="A16" i="101"/>
  <c r="A15" i="101"/>
  <c r="A14" i="101"/>
  <c r="A13" i="101"/>
  <c r="A12" i="101"/>
  <c r="A11" i="101"/>
  <c r="A10" i="101"/>
  <c r="A9" i="101"/>
  <c r="A5" i="101"/>
  <c r="A4" i="101"/>
  <c r="A3" i="101"/>
  <c r="A50" i="100"/>
  <c r="A49" i="100"/>
  <c r="A48" i="100"/>
  <c r="A47" i="100"/>
  <c r="A46" i="100"/>
  <c r="A45" i="100"/>
  <c r="A44" i="100"/>
  <c r="A43" i="100"/>
  <c r="A39" i="100"/>
  <c r="A38" i="100"/>
  <c r="A37" i="100"/>
  <c r="A36" i="100"/>
  <c r="A35" i="100"/>
  <c r="A34" i="100"/>
  <c r="A33" i="100"/>
  <c r="A32" i="100"/>
  <c r="A31" i="100"/>
  <c r="A30" i="100"/>
  <c r="A29" i="100"/>
  <c r="A28" i="100"/>
  <c r="A27" i="100"/>
  <c r="A26" i="100"/>
  <c r="A25" i="100"/>
  <c r="A21" i="100"/>
  <c r="A20" i="100"/>
  <c r="A19" i="100"/>
  <c r="A18" i="100"/>
  <c r="A17" i="100"/>
  <c r="A16" i="100"/>
  <c r="A15" i="100"/>
  <c r="A14" i="100"/>
  <c r="A13" i="100"/>
  <c r="A12" i="100"/>
  <c r="A11" i="100"/>
  <c r="A10" i="100"/>
  <c r="A9" i="100"/>
  <c r="A5" i="100"/>
  <c r="A4" i="100"/>
  <c r="A3" i="100"/>
  <c r="A50" i="99"/>
  <c r="A49" i="99"/>
  <c r="A48" i="99"/>
  <c r="A47" i="99"/>
  <c r="A46" i="99"/>
  <c r="A45" i="99"/>
  <c r="A44" i="99"/>
  <c r="A43" i="99"/>
  <c r="A39" i="99"/>
  <c r="A38" i="99"/>
  <c r="A37" i="99"/>
  <c r="A36" i="99"/>
  <c r="A35" i="99"/>
  <c r="A34" i="99"/>
  <c r="A33" i="99"/>
  <c r="A32" i="99"/>
  <c r="A31" i="99"/>
  <c r="A30" i="99"/>
  <c r="A29" i="99"/>
  <c r="A28" i="99"/>
  <c r="A27" i="99"/>
  <c r="A26" i="99"/>
  <c r="A25" i="99"/>
  <c r="A21" i="99"/>
  <c r="A20" i="99"/>
  <c r="A19" i="99"/>
  <c r="A18" i="99"/>
  <c r="A17" i="99"/>
  <c r="A16" i="99"/>
  <c r="A15" i="99"/>
  <c r="A14" i="99"/>
  <c r="A13" i="99"/>
  <c r="A12" i="99"/>
  <c r="A11" i="99"/>
  <c r="A10" i="99"/>
  <c r="A9" i="99"/>
  <c r="A5" i="99"/>
  <c r="A4" i="99"/>
  <c r="A3" i="99"/>
  <c r="A50" i="86"/>
  <c r="A49" i="86"/>
  <c r="A48" i="86"/>
  <c r="A47" i="86"/>
  <c r="A46" i="86"/>
  <c r="A45" i="86"/>
  <c r="A44" i="86"/>
  <c r="A43" i="86"/>
  <c r="A39" i="86"/>
  <c r="A38" i="86"/>
  <c r="A37" i="86"/>
  <c r="A36" i="86"/>
  <c r="A35" i="86"/>
  <c r="A34" i="86"/>
  <c r="A33" i="86"/>
  <c r="A32" i="86"/>
  <c r="A31" i="86"/>
  <c r="A30" i="86"/>
  <c r="A29" i="86"/>
  <c r="A28" i="86"/>
  <c r="A27" i="86"/>
  <c r="A26" i="86"/>
  <c r="A25" i="86"/>
  <c r="A21" i="86"/>
  <c r="A20" i="86"/>
  <c r="A19" i="86"/>
  <c r="A18" i="86"/>
  <c r="A17" i="86"/>
  <c r="A16" i="86"/>
  <c r="A15" i="86"/>
  <c r="A14" i="86"/>
  <c r="A13" i="86"/>
  <c r="A12" i="86"/>
  <c r="A11" i="86"/>
  <c r="A10" i="86"/>
  <c r="A9" i="86"/>
  <c r="A5" i="86"/>
  <c r="A4" i="86"/>
  <c r="A3" i="86"/>
  <c r="A50" i="85"/>
  <c r="A49" i="85"/>
  <c r="A48" i="85"/>
  <c r="A47" i="85"/>
  <c r="A46" i="85"/>
  <c r="A45" i="85"/>
  <c r="A44" i="85"/>
  <c r="A43" i="85"/>
  <c r="A39" i="85"/>
  <c r="A38" i="85"/>
  <c r="A37" i="85"/>
  <c r="A36" i="85"/>
  <c r="A35" i="85"/>
  <c r="A34" i="85"/>
  <c r="A33" i="85"/>
  <c r="A32" i="85"/>
  <c r="A31" i="85"/>
  <c r="A30" i="85"/>
  <c r="A29" i="85"/>
  <c r="A28" i="85"/>
  <c r="A27" i="85"/>
  <c r="A26" i="85"/>
  <c r="A25" i="85"/>
  <c r="A21" i="85"/>
  <c r="A20" i="85"/>
  <c r="A19" i="85"/>
  <c r="A18" i="85"/>
  <c r="A17" i="85"/>
  <c r="A16" i="85"/>
  <c r="A15" i="85"/>
  <c r="A14" i="85"/>
  <c r="A13" i="85"/>
  <c r="A12" i="85"/>
  <c r="A11" i="85"/>
  <c r="A10" i="85"/>
  <c r="A9" i="85"/>
  <c r="A5" i="85"/>
  <c r="A4" i="85"/>
  <c r="A3" i="85"/>
  <c r="A50" i="84"/>
  <c r="A49" i="84"/>
  <c r="A48" i="84"/>
  <c r="A47" i="84"/>
  <c r="A46" i="84"/>
  <c r="A45" i="84"/>
  <c r="A44" i="84"/>
  <c r="A43" i="84"/>
  <c r="A39" i="84"/>
  <c r="A38" i="84"/>
  <c r="A37" i="84"/>
  <c r="A36" i="84"/>
  <c r="A35" i="84"/>
  <c r="A34" i="84"/>
  <c r="A33" i="84"/>
  <c r="A32" i="84"/>
  <c r="A31" i="84"/>
  <c r="A30" i="84"/>
  <c r="A29" i="84"/>
  <c r="A28" i="84"/>
  <c r="A27" i="84"/>
  <c r="A26" i="84"/>
  <c r="A25" i="84"/>
  <c r="A21" i="84"/>
  <c r="A20" i="84"/>
  <c r="A19" i="84"/>
  <c r="A18" i="84"/>
  <c r="A17" i="84"/>
  <c r="A16" i="84"/>
  <c r="A15" i="84"/>
  <c r="A14" i="84"/>
  <c r="A13" i="84"/>
  <c r="A12" i="84"/>
  <c r="A11" i="84"/>
  <c r="A10" i="84"/>
  <c r="A9" i="84"/>
  <c r="A5" i="84"/>
  <c r="A4" i="84"/>
  <c r="A3" i="84"/>
  <c r="A50" i="83"/>
  <c r="A49" i="83"/>
  <c r="A48" i="83"/>
  <c r="A47" i="83"/>
  <c r="A46" i="83"/>
  <c r="A45" i="83"/>
  <c r="A44" i="83"/>
  <c r="A43" i="83"/>
  <c r="A39" i="83"/>
  <c r="A38" i="83"/>
  <c r="A37" i="83"/>
  <c r="A36" i="83"/>
  <c r="A35" i="83"/>
  <c r="A34" i="83"/>
  <c r="A33" i="83"/>
  <c r="A32" i="83"/>
  <c r="A31" i="83"/>
  <c r="A30" i="83"/>
  <c r="A29" i="83"/>
  <c r="A28" i="83"/>
  <c r="A27" i="83"/>
  <c r="A26" i="83"/>
  <c r="A25" i="83"/>
  <c r="A21" i="83"/>
  <c r="A20" i="83"/>
  <c r="A19" i="83"/>
  <c r="A18" i="83"/>
  <c r="A17" i="83"/>
  <c r="A16" i="83"/>
  <c r="A15" i="83"/>
  <c r="A14" i="83"/>
  <c r="A13" i="83"/>
  <c r="A12" i="83"/>
  <c r="A11" i="83"/>
  <c r="A10" i="83"/>
  <c r="A9" i="83"/>
  <c r="A5" i="83"/>
  <c r="A4" i="83"/>
  <c r="A3" i="83"/>
  <c r="A50" i="82"/>
  <c r="A49" i="82"/>
  <c r="A48" i="82"/>
  <c r="A47" i="82"/>
  <c r="A46" i="82"/>
  <c r="A45" i="82"/>
  <c r="A44" i="82"/>
  <c r="A43" i="82"/>
  <c r="A39" i="82"/>
  <c r="A38" i="82"/>
  <c r="A37" i="82"/>
  <c r="A36" i="82"/>
  <c r="A35" i="82"/>
  <c r="A34" i="82"/>
  <c r="A33" i="82"/>
  <c r="A32" i="82"/>
  <c r="A31" i="82"/>
  <c r="A30" i="82"/>
  <c r="A29" i="82"/>
  <c r="A28" i="82"/>
  <c r="A27" i="82"/>
  <c r="A26" i="82"/>
  <c r="A25" i="82"/>
  <c r="A21" i="82"/>
  <c r="A20" i="82"/>
  <c r="A19" i="82"/>
  <c r="A18" i="82"/>
  <c r="A17" i="82"/>
  <c r="A16" i="82"/>
  <c r="A15" i="82"/>
  <c r="A14" i="82"/>
  <c r="A13" i="82"/>
  <c r="A12" i="82"/>
  <c r="A11" i="82"/>
  <c r="A10" i="82"/>
  <c r="A9" i="82"/>
  <c r="A5" i="82"/>
  <c r="A4" i="82"/>
  <c r="A3" i="82"/>
  <c r="A50" i="81"/>
  <c r="A49" i="81"/>
  <c r="A48" i="81"/>
  <c r="A47" i="81"/>
  <c r="A46" i="81"/>
  <c r="A45" i="81"/>
  <c r="A44" i="81"/>
  <c r="A43" i="81"/>
  <c r="A39" i="81"/>
  <c r="A38" i="81"/>
  <c r="A37" i="81"/>
  <c r="A36" i="81"/>
  <c r="A35" i="81"/>
  <c r="A34" i="81"/>
  <c r="A33" i="81"/>
  <c r="A32" i="81"/>
  <c r="A31" i="81"/>
  <c r="A30" i="81"/>
  <c r="A29" i="81"/>
  <c r="A28" i="81"/>
  <c r="A27" i="81"/>
  <c r="A26" i="81"/>
  <c r="A25" i="81"/>
  <c r="A21" i="81"/>
  <c r="A20" i="81"/>
  <c r="A19" i="81"/>
  <c r="A18" i="81"/>
  <c r="A17" i="81"/>
  <c r="A16" i="81"/>
  <c r="A15" i="81"/>
  <c r="A14" i="81"/>
  <c r="A13" i="81"/>
  <c r="A12" i="81"/>
  <c r="A11" i="81"/>
  <c r="A10" i="81"/>
  <c r="A9" i="81"/>
  <c r="A5" i="81"/>
  <c r="A4" i="81"/>
  <c r="A3" i="81"/>
  <c r="A50" i="106"/>
  <c r="A49" i="106"/>
  <c r="A48" i="106"/>
  <c r="A47" i="106"/>
  <c r="A46" i="106"/>
  <c r="A45" i="106"/>
  <c r="A44" i="106"/>
  <c r="A43" i="106"/>
  <c r="A39" i="106"/>
  <c r="A38" i="106"/>
  <c r="A37" i="106"/>
  <c r="A36" i="106"/>
  <c r="A35" i="106"/>
  <c r="A34" i="106"/>
  <c r="A33" i="106"/>
  <c r="A32" i="106"/>
  <c r="A31" i="106"/>
  <c r="A30" i="106"/>
  <c r="A29" i="106"/>
  <c r="A28" i="106"/>
  <c r="A27" i="106"/>
  <c r="A26" i="106"/>
  <c r="A25" i="106"/>
  <c r="A21" i="106"/>
  <c r="A20" i="106"/>
  <c r="A19" i="106"/>
  <c r="A18" i="106"/>
  <c r="A17" i="106"/>
  <c r="A16" i="106"/>
  <c r="A15" i="106"/>
  <c r="A14" i="106"/>
  <c r="A13" i="106"/>
  <c r="A12" i="106"/>
  <c r="A11" i="106"/>
  <c r="A10" i="106"/>
  <c r="A9" i="106"/>
  <c r="A5" i="106"/>
  <c r="A4" i="106"/>
  <c r="A3" i="106"/>
  <c r="A50" i="105"/>
  <c r="A49" i="105"/>
  <c r="A48" i="105"/>
  <c r="A47" i="105"/>
  <c r="A46" i="105"/>
  <c r="A45" i="105"/>
  <c r="A44" i="105"/>
  <c r="A43" i="105"/>
  <c r="A39" i="105"/>
  <c r="A38" i="105"/>
  <c r="A37" i="105"/>
  <c r="A36" i="105"/>
  <c r="A35" i="105"/>
  <c r="A34" i="105"/>
  <c r="A33" i="105"/>
  <c r="A32" i="105"/>
  <c r="A31" i="105"/>
  <c r="A30" i="105"/>
  <c r="A29" i="105"/>
  <c r="A28" i="105"/>
  <c r="A27" i="105"/>
  <c r="A26" i="105"/>
  <c r="A25" i="105"/>
  <c r="A21" i="105"/>
  <c r="A20" i="105"/>
  <c r="A19" i="105"/>
  <c r="A18" i="105"/>
  <c r="A17" i="105"/>
  <c r="A16" i="105"/>
  <c r="A15" i="105"/>
  <c r="A14" i="105"/>
  <c r="A13" i="105"/>
  <c r="A12" i="105"/>
  <c r="A11" i="105"/>
  <c r="A10" i="105"/>
  <c r="A9" i="105"/>
  <c r="A5" i="105"/>
  <c r="A4" i="105"/>
  <c r="A3" i="105"/>
  <c r="A50" i="104"/>
  <c r="A49" i="104"/>
  <c r="A48" i="104"/>
  <c r="A47" i="104"/>
  <c r="A46" i="104"/>
  <c r="A45" i="104"/>
  <c r="A44" i="104"/>
  <c r="A43" i="104"/>
  <c r="A39" i="104"/>
  <c r="A38" i="104"/>
  <c r="A37" i="104"/>
  <c r="A36" i="104"/>
  <c r="A35" i="104"/>
  <c r="A34" i="104"/>
  <c r="A33" i="104"/>
  <c r="A32" i="104"/>
  <c r="A31" i="104"/>
  <c r="A30" i="104"/>
  <c r="A29" i="104"/>
  <c r="A28" i="104"/>
  <c r="A27" i="104"/>
  <c r="A26" i="104"/>
  <c r="A25" i="104"/>
  <c r="A21" i="104"/>
  <c r="A20" i="104"/>
  <c r="A19" i="104"/>
  <c r="A18" i="104"/>
  <c r="A17" i="104"/>
  <c r="A16" i="104"/>
  <c r="A15" i="104"/>
  <c r="A14" i="104"/>
  <c r="A13" i="104"/>
  <c r="A12" i="104"/>
  <c r="A11" i="104"/>
  <c r="A10" i="104"/>
  <c r="A9" i="104"/>
  <c r="A5" i="104"/>
  <c r="A4" i="104"/>
  <c r="A3" i="104"/>
  <c r="A50" i="103"/>
  <c r="A49" i="103"/>
  <c r="A48" i="103"/>
  <c r="A47" i="103"/>
  <c r="A46" i="103"/>
  <c r="A45" i="103"/>
  <c r="A44" i="103"/>
  <c r="A43" i="103"/>
  <c r="A39" i="103"/>
  <c r="A38" i="103"/>
  <c r="A37" i="103"/>
  <c r="A36" i="103"/>
  <c r="A35" i="103"/>
  <c r="A34" i="103"/>
  <c r="A33" i="103"/>
  <c r="A32" i="103"/>
  <c r="A31" i="103"/>
  <c r="A30" i="103"/>
  <c r="A29" i="103"/>
  <c r="A28" i="103"/>
  <c r="A27" i="103"/>
  <c r="A26" i="103"/>
  <c r="A25" i="103"/>
  <c r="A21" i="103"/>
  <c r="A20" i="103"/>
  <c r="A19" i="103"/>
  <c r="A18" i="103"/>
  <c r="A17" i="103"/>
  <c r="A16" i="103"/>
  <c r="A15" i="103"/>
  <c r="A14" i="103"/>
  <c r="A13" i="103"/>
  <c r="A12" i="103"/>
  <c r="A11" i="103"/>
  <c r="A10" i="103"/>
  <c r="A9" i="103"/>
  <c r="A5" i="103"/>
  <c r="A4" i="103"/>
  <c r="A3" i="103"/>
  <c r="A50" i="88"/>
  <c r="A49" i="88"/>
  <c r="A48" i="88"/>
  <c r="A47" i="88"/>
  <c r="A46" i="88"/>
  <c r="A45" i="88"/>
  <c r="A44" i="88"/>
  <c r="A43" i="88"/>
  <c r="A39" i="88"/>
  <c r="A38" i="88"/>
  <c r="A37" i="88"/>
  <c r="A36" i="88"/>
  <c r="A35" i="88"/>
  <c r="A34" i="88"/>
  <c r="A33" i="88"/>
  <c r="A32" i="88"/>
  <c r="A31" i="88"/>
  <c r="A30" i="88"/>
  <c r="A29" i="88"/>
  <c r="A28" i="88"/>
  <c r="A27" i="88"/>
  <c r="A26" i="88"/>
  <c r="A25" i="88"/>
  <c r="A21" i="88"/>
  <c r="A20" i="88"/>
  <c r="A19" i="88"/>
  <c r="A18" i="88"/>
  <c r="A17" i="88"/>
  <c r="A16" i="88"/>
  <c r="A15" i="88"/>
  <c r="A14" i="88"/>
  <c r="A13" i="88"/>
  <c r="A12" i="88"/>
  <c r="A11" i="88"/>
  <c r="A10" i="88"/>
  <c r="A9" i="88"/>
  <c r="A5" i="88"/>
  <c r="A4" i="88"/>
  <c r="A3" i="88"/>
  <c r="A50" i="91"/>
  <c r="A49" i="91"/>
  <c r="A48" i="91"/>
  <c r="A47" i="91"/>
  <c r="A46" i="91"/>
  <c r="A45" i="91"/>
  <c r="A44" i="91"/>
  <c r="A43" i="91"/>
  <c r="A39" i="91"/>
  <c r="A38" i="91"/>
  <c r="A37" i="91"/>
  <c r="A36" i="91"/>
  <c r="A35" i="91"/>
  <c r="A34" i="91"/>
  <c r="A33" i="91"/>
  <c r="A32" i="91"/>
  <c r="A31" i="91"/>
  <c r="A30" i="91"/>
  <c r="A29" i="91"/>
  <c r="A28" i="91"/>
  <c r="A27" i="91"/>
  <c r="A26" i="91"/>
  <c r="A25" i="91"/>
  <c r="A21" i="91"/>
  <c r="A20" i="91"/>
  <c r="A19" i="91"/>
  <c r="A18" i="91"/>
  <c r="A17" i="91"/>
  <c r="A16" i="91"/>
  <c r="A15" i="91"/>
  <c r="A14" i="91"/>
  <c r="A13" i="91"/>
  <c r="A12" i="91"/>
  <c r="A11" i="91"/>
  <c r="A10" i="91"/>
  <c r="A9" i="91"/>
  <c r="A5" i="91"/>
  <c r="A4" i="91"/>
  <c r="A3" i="91"/>
  <c r="A50" i="80"/>
  <c r="A49" i="80"/>
  <c r="A48" i="80"/>
  <c r="A47" i="80"/>
  <c r="A46" i="80"/>
  <c r="A45" i="80"/>
  <c r="A44" i="80"/>
  <c r="A43" i="80"/>
  <c r="A39" i="80"/>
  <c r="A38" i="80"/>
  <c r="A37" i="80"/>
  <c r="A36" i="80"/>
  <c r="A35" i="80"/>
  <c r="A34" i="80"/>
  <c r="A33" i="80"/>
  <c r="A32" i="80"/>
  <c r="A31" i="80"/>
  <c r="A30" i="80"/>
  <c r="A29" i="80"/>
  <c r="A28" i="80"/>
  <c r="A27" i="80"/>
  <c r="A26" i="80"/>
  <c r="A25" i="80"/>
  <c r="A21" i="80"/>
  <c r="A20" i="80"/>
  <c r="A19" i="80"/>
  <c r="A18" i="80"/>
  <c r="A17" i="80"/>
  <c r="A16" i="80"/>
  <c r="A15" i="80"/>
  <c r="A14" i="80"/>
  <c r="A13" i="80"/>
  <c r="A12" i="80"/>
  <c r="A11" i="80"/>
  <c r="A10" i="80"/>
  <c r="A9" i="80"/>
  <c r="A5" i="80"/>
  <c r="A4" i="80"/>
  <c r="A3" i="80"/>
  <c r="A50" i="76"/>
  <c r="A49" i="76"/>
  <c r="A48" i="76"/>
  <c r="A47" i="76"/>
  <c r="A46" i="76"/>
  <c r="A45" i="76"/>
  <c r="A44" i="76"/>
  <c r="A43" i="76"/>
  <c r="A39" i="76"/>
  <c r="A38" i="76"/>
  <c r="A37" i="76"/>
  <c r="A36" i="76"/>
  <c r="A35" i="76"/>
  <c r="A34" i="76"/>
  <c r="A33" i="76"/>
  <c r="A32" i="76"/>
  <c r="A31" i="76"/>
  <c r="A30" i="76"/>
  <c r="A29" i="76"/>
  <c r="A28" i="76"/>
  <c r="A27" i="76"/>
  <c r="A26" i="76"/>
  <c r="A25" i="76"/>
  <c r="A21" i="76"/>
  <c r="A20" i="76"/>
  <c r="A19" i="76"/>
  <c r="A18" i="76"/>
  <c r="A17" i="76"/>
  <c r="A16" i="76"/>
  <c r="A15" i="76"/>
  <c r="A14" i="76"/>
  <c r="A13" i="76"/>
  <c r="A12" i="76"/>
  <c r="A11" i="76"/>
  <c r="A10" i="76"/>
  <c r="A9" i="76"/>
  <c r="A5" i="76"/>
  <c r="A4" i="76"/>
  <c r="A3" i="76"/>
  <c r="A50" i="98"/>
  <c r="A49" i="98"/>
  <c r="A48" i="98"/>
  <c r="A47" i="98"/>
  <c r="A46" i="98"/>
  <c r="A45" i="98"/>
  <c r="A44" i="98"/>
  <c r="A43" i="98"/>
  <c r="A39" i="98"/>
  <c r="A38" i="98"/>
  <c r="A37" i="98"/>
  <c r="A36" i="98"/>
  <c r="A35" i="98"/>
  <c r="A34" i="98"/>
  <c r="A33" i="98"/>
  <c r="A32" i="98"/>
  <c r="A31" i="98"/>
  <c r="A30" i="98"/>
  <c r="A29" i="98"/>
  <c r="A28" i="98"/>
  <c r="A27" i="98"/>
  <c r="A26" i="98"/>
  <c r="A25" i="98"/>
  <c r="A21" i="98"/>
  <c r="A20" i="98"/>
  <c r="A19" i="98"/>
  <c r="A18" i="98"/>
  <c r="A17" i="98"/>
  <c r="A16" i="98"/>
  <c r="A15" i="98"/>
  <c r="A14" i="98"/>
  <c r="A13" i="98"/>
  <c r="A12" i="98"/>
  <c r="A11" i="98"/>
  <c r="A10" i="98"/>
  <c r="A9" i="98"/>
  <c r="A5" i="98"/>
  <c r="A4" i="98"/>
  <c r="A3" i="98"/>
  <c r="A50" i="75"/>
  <c r="A49" i="75"/>
  <c r="A48" i="75"/>
  <c r="A47" i="75"/>
  <c r="A46" i="75"/>
  <c r="A45" i="75"/>
  <c r="A44" i="75"/>
  <c r="A43" i="75"/>
  <c r="A39" i="75"/>
  <c r="A38" i="75"/>
  <c r="A37" i="75"/>
  <c r="A36" i="75"/>
  <c r="A35" i="75"/>
  <c r="A34" i="75"/>
  <c r="A33" i="75"/>
  <c r="A32" i="75"/>
  <c r="A31" i="75"/>
  <c r="A30" i="75"/>
  <c r="A29" i="75"/>
  <c r="A28" i="75"/>
  <c r="A27" i="75"/>
  <c r="A26" i="75"/>
  <c r="A25" i="75"/>
  <c r="A21" i="75"/>
  <c r="A20" i="75"/>
  <c r="A19" i="75"/>
  <c r="A18" i="75"/>
  <c r="A17" i="75"/>
  <c r="A16" i="75"/>
  <c r="A15" i="75"/>
  <c r="A14" i="75"/>
  <c r="A13" i="75"/>
  <c r="A12" i="75"/>
  <c r="A11" i="75"/>
  <c r="A10" i="75"/>
  <c r="A9" i="75"/>
  <c r="A5" i="75"/>
  <c r="A4" i="75"/>
  <c r="A3" i="75"/>
  <c r="A50" i="72"/>
  <c r="A49" i="72"/>
  <c r="A48" i="72"/>
  <c r="A47" i="72"/>
  <c r="A46" i="72"/>
  <c r="A45" i="72"/>
  <c r="A44" i="72"/>
  <c r="A43" i="72"/>
  <c r="A39" i="72"/>
  <c r="A38" i="72"/>
  <c r="A37" i="72"/>
  <c r="A36" i="72"/>
  <c r="A35" i="72"/>
  <c r="A34" i="72"/>
  <c r="A33" i="72"/>
  <c r="A32" i="72"/>
  <c r="A31" i="72"/>
  <c r="A30" i="72"/>
  <c r="A29" i="72"/>
  <c r="A28" i="72"/>
  <c r="A27" i="72"/>
  <c r="A26" i="72"/>
  <c r="A25" i="72"/>
  <c r="A21" i="72"/>
  <c r="A20" i="72"/>
  <c r="A19" i="72"/>
  <c r="A18" i="72"/>
  <c r="A17" i="72"/>
  <c r="A16" i="72"/>
  <c r="A15" i="72"/>
  <c r="A14" i="72"/>
  <c r="A13" i="72"/>
  <c r="A12" i="72"/>
  <c r="A11" i="72"/>
  <c r="A10" i="72"/>
  <c r="A9" i="72"/>
  <c r="A5" i="72"/>
  <c r="A4" i="72"/>
  <c r="A3" i="72"/>
  <c r="A50" i="13"/>
  <c r="A49" i="13"/>
  <c r="A48" i="13"/>
  <c r="A47" i="13"/>
  <c r="A46" i="13"/>
  <c r="A45" i="13"/>
  <c r="A44" i="13"/>
  <c r="A43" i="13"/>
  <c r="A39" i="13"/>
  <c r="A38" i="13"/>
  <c r="A37" i="13"/>
  <c r="A36" i="13"/>
  <c r="A35" i="13"/>
  <c r="A34" i="13"/>
  <c r="A33" i="13"/>
  <c r="A32" i="13"/>
  <c r="A31" i="13"/>
  <c r="A30" i="13"/>
  <c r="A29" i="13"/>
  <c r="A28" i="13"/>
  <c r="A27" i="13"/>
  <c r="A26" i="13"/>
  <c r="A25" i="13"/>
  <c r="A21" i="13"/>
  <c r="A20" i="13"/>
  <c r="A19" i="13"/>
  <c r="A18" i="13"/>
  <c r="A17" i="13"/>
  <c r="A16" i="13"/>
  <c r="A15" i="13"/>
  <c r="A14" i="13"/>
  <c r="A13" i="13"/>
  <c r="A12" i="13"/>
  <c r="A11" i="13"/>
  <c r="A10" i="13"/>
  <c r="A9" i="13"/>
  <c r="A5" i="13"/>
  <c r="A4" i="13"/>
  <c r="A3" i="13"/>
  <c r="A50" i="71"/>
  <c r="A49" i="71"/>
  <c r="A48" i="71"/>
  <c r="A47" i="71"/>
  <c r="A46" i="71"/>
  <c r="A45" i="71"/>
  <c r="A44" i="71"/>
  <c r="A43" i="71"/>
  <c r="A39" i="71"/>
  <c r="A38" i="71"/>
  <c r="A37" i="71"/>
  <c r="A36" i="71"/>
  <c r="A35" i="71"/>
  <c r="A34" i="71"/>
  <c r="A33" i="71"/>
  <c r="A32" i="71"/>
  <c r="A31" i="71"/>
  <c r="A30" i="71"/>
  <c r="A29" i="71"/>
  <c r="A28" i="71"/>
  <c r="A27" i="71"/>
  <c r="A26" i="71"/>
  <c r="A25" i="71"/>
  <c r="A21" i="71"/>
  <c r="A20" i="71"/>
  <c r="A19" i="71"/>
  <c r="A18" i="71"/>
  <c r="A17" i="71"/>
  <c r="A16" i="71"/>
  <c r="A15" i="71"/>
  <c r="A14" i="71"/>
  <c r="A13" i="71"/>
  <c r="A12" i="71"/>
  <c r="A11" i="71"/>
  <c r="A10" i="71"/>
  <c r="A9" i="71"/>
  <c r="A5" i="71"/>
  <c r="A4" i="71"/>
  <c r="A3" i="71"/>
  <c r="J7" i="78"/>
  <c r="F627" i="107" a="1"/>
  <c r="F627" i="107" s="1"/>
  <c r="E627" i="107" a="1"/>
  <c r="E627" i="107" s="1"/>
  <c r="D627" i="107" a="1"/>
  <c r="D627" i="107" s="1"/>
  <c r="F609" i="107" a="1"/>
  <c r="F609" i="107" s="1"/>
  <c r="E609" i="107" a="1"/>
  <c r="E609" i="107" s="1"/>
  <c r="D609" i="107" a="1"/>
  <c r="D609" i="107" s="1"/>
  <c r="F490" i="107" a="1"/>
  <c r="F490" i="107" s="1"/>
  <c r="E490" i="107" a="1"/>
  <c r="E490" i="107" s="1"/>
  <c r="D490" i="107" a="1"/>
  <c r="D490" i="107" s="1"/>
  <c r="F448" i="107" a="1"/>
  <c r="F448" i="107" s="1"/>
  <c r="F430" i="107" a="1"/>
  <c r="F430" i="107" s="1"/>
  <c r="J430" i="107" s="1" a="1"/>
  <c r="J430" i="107" s="1"/>
  <c r="E430" i="107" a="1"/>
  <c r="E430" i="107" s="1"/>
  <c r="D430" i="107" a="1"/>
  <c r="D430" i="107" s="1"/>
  <c r="G336" i="107" a="1"/>
  <c r="G336" i="107" s="1"/>
  <c r="L336" i="107" s="1"/>
  <c r="F336" i="107" a="1"/>
  <c r="F336" i="107" s="1"/>
  <c r="K336" i="107" s="1" a="1"/>
  <c r="K336" i="107" s="1"/>
  <c r="E336" i="107" a="1"/>
  <c r="E336" i="107" s="1"/>
  <c r="D336" i="107" a="1"/>
  <c r="D336" i="107" s="1"/>
  <c r="D305" i="107" a="1"/>
  <c r="D305" i="107" s="1"/>
  <c r="AD237" i="107" a="1"/>
  <c r="AD237" i="107" s="1"/>
  <c r="AC237" i="107" a="1"/>
  <c r="AC237" i="107" s="1"/>
  <c r="Z237" i="107" a="1"/>
  <c r="Z237" i="107" s="1"/>
  <c r="Y237" i="107" a="1"/>
  <c r="Y237" i="107" s="1"/>
  <c r="V237" i="107" a="1"/>
  <c r="V237" i="107" s="1"/>
  <c r="U237" i="107" a="1"/>
  <c r="U237" i="107" s="1"/>
  <c r="R237" i="107" a="1"/>
  <c r="R237" i="107" s="1"/>
  <c r="Q237" i="107" a="1"/>
  <c r="Q237" i="107" s="1"/>
  <c r="P237" i="107" a="1"/>
  <c r="P237" i="107" s="1"/>
  <c r="O237" i="107" a="1"/>
  <c r="O237" i="107" s="1"/>
  <c r="D237" i="107" a="1"/>
  <c r="D237" i="107" s="1"/>
  <c r="D221" i="107" a="1"/>
  <c r="D221" i="107" s="1"/>
  <c r="D32" i="93"/>
  <c r="D25" i="93"/>
  <c r="M39" i="92" a="1"/>
  <c r="M39" i="92" s="1"/>
  <c r="F39" i="92"/>
  <c r="D37" i="92"/>
  <c r="D34" i="92"/>
  <c r="D33" i="92"/>
  <c r="D25" i="92"/>
  <c r="D75" i="86"/>
  <c r="D74" i="86"/>
  <c r="D73" i="86"/>
  <c r="D72" i="86"/>
  <c r="D71" i="86"/>
  <c r="D70" i="86"/>
  <c r="D69" i="86"/>
  <c r="D68" i="86"/>
  <c r="D134" i="85" a="1"/>
  <c r="D134" i="85" s="1"/>
  <c r="D102" i="85" a="1"/>
  <c r="D102" i="85" s="1"/>
  <c r="G25" i="84" a="1"/>
  <c r="G25" i="84" s="1"/>
  <c r="F25" i="84" a="1"/>
  <c r="F25" i="84" s="1"/>
  <c r="D25" i="84" a="1"/>
  <c r="D25" i="84" s="1"/>
  <c r="H20" i="83" a="1"/>
  <c r="H20" i="83" s="1"/>
  <c r="E20" i="83" a="1"/>
  <c r="E20" i="83" s="1"/>
  <c r="D20" i="83" a="1"/>
  <c r="D20" i="83" s="1"/>
  <c r="N97" i="81" a="1"/>
  <c r="N97" i="81" s="1"/>
  <c r="N87" i="81" a="1"/>
  <c r="N87" i="81" s="1"/>
  <c r="N55" i="81" a="1"/>
  <c r="N55" i="81" s="1"/>
  <c r="N45" i="81" a="1"/>
  <c r="N45" i="81" s="1"/>
  <c r="J21" i="91" a="1"/>
  <c r="J21" i="91" s="1"/>
  <c r="G21" i="91" a="1"/>
  <c r="G21" i="91" s="1"/>
  <c r="J20" i="91" a="1"/>
  <c r="J20" i="91" s="1"/>
  <c r="G20" i="91" a="1"/>
  <c r="G20" i="91" s="1"/>
  <c r="J19" i="91" a="1"/>
  <c r="J19" i="91" s="1"/>
  <c r="G19" i="91" a="1"/>
  <c r="G19" i="91" s="1"/>
  <c r="J18" i="91" a="1"/>
  <c r="J18" i="91" s="1"/>
  <c r="G18" i="91" a="1"/>
  <c r="G18" i="91" s="1"/>
  <c r="J17" i="91" a="1"/>
  <c r="J17" i="91" s="1"/>
  <c r="G17" i="91" a="1"/>
  <c r="G17" i="91" s="1"/>
  <c r="E65" i="110" a="1"/>
  <c r="E65" i="110" s="1"/>
  <c r="D65" i="110" a="1"/>
  <c r="D65" i="110" s="1"/>
  <c r="D63" i="110" a="1"/>
  <c r="D63" i="110" s="1"/>
  <c r="D62" i="110" a="1"/>
  <c r="D62" i="110" s="1"/>
  <c r="E60" i="110" a="1"/>
  <c r="E60" i="110" s="1"/>
  <c r="D60" i="110" a="1"/>
  <c r="D60" i="110" s="1"/>
  <c r="D58" i="110" a="1"/>
  <c r="D58" i="110" s="1"/>
  <c r="D57" i="110" a="1"/>
  <c r="D57" i="110" s="1"/>
  <c r="E55" i="110" a="1"/>
  <c r="E55" i="110" s="1"/>
  <c r="D55" i="110" a="1"/>
  <c r="D55" i="110" s="1"/>
  <c r="D53" i="110" a="1"/>
  <c r="D53" i="110" s="1"/>
  <c r="D52" i="110" a="1"/>
  <c r="D52" i="110" s="1"/>
  <c r="E50" i="110" a="1"/>
  <c r="E50" i="110" s="1"/>
  <c r="D50" i="110" a="1"/>
  <c r="D50" i="110" s="1"/>
  <c r="E49" i="110" a="1"/>
  <c r="E49" i="110" s="1"/>
  <c r="D49" i="110" a="1"/>
  <c r="D49" i="110" s="1"/>
  <c r="E48" i="110" a="1"/>
  <c r="E48" i="110" s="1"/>
  <c r="D48" i="110" a="1"/>
  <c r="D48" i="110" s="1"/>
  <c r="E47" i="110" a="1"/>
  <c r="E47" i="110" s="1"/>
  <c r="D47" i="110" a="1"/>
  <c r="D47" i="110" s="1"/>
  <c r="E46" i="110" a="1"/>
  <c r="E46" i="110" s="1"/>
  <c r="D46" i="110" a="1"/>
  <c r="D46" i="110" s="1"/>
  <c r="E45" i="110" a="1"/>
  <c r="E45" i="110" s="1"/>
  <c r="D45" i="110" a="1"/>
  <c r="D45" i="110" s="1"/>
  <c r="E44" i="110" a="1"/>
  <c r="E44" i="110" s="1"/>
  <c r="D44" i="110" a="1"/>
  <c r="D44" i="110" s="1"/>
  <c r="D42" i="110" a="1"/>
  <c r="D42" i="110" s="1"/>
  <c r="D41" i="110" a="1"/>
  <c r="D41" i="110" s="1"/>
  <c r="E39" i="110" a="1"/>
  <c r="E39" i="110" s="1"/>
  <c r="D39" i="110" a="1"/>
  <c r="D39" i="110" s="1"/>
  <c r="E38" i="110" a="1"/>
  <c r="E38" i="110" s="1"/>
  <c r="D38" i="110" a="1"/>
  <c r="D38" i="110" s="1"/>
  <c r="E37" i="110" a="1"/>
  <c r="E37" i="110" s="1"/>
  <c r="D37" i="110" a="1"/>
  <c r="D37" i="110" s="1"/>
  <c r="E36" i="110" a="1"/>
  <c r="E36" i="110" s="1"/>
  <c r="D36" i="110" a="1"/>
  <c r="D36" i="110" s="1"/>
  <c r="E35" i="110" a="1"/>
  <c r="E35" i="110" s="1"/>
  <c r="D35" i="110" a="1"/>
  <c r="D35" i="110" s="1"/>
  <c r="E34" i="110" a="1"/>
  <c r="E34" i="110" s="1"/>
  <c r="D34" i="110" a="1"/>
  <c r="D34" i="110" s="1"/>
  <c r="E33" i="110" a="1"/>
  <c r="E33" i="110" s="1"/>
  <c r="D33" i="110" a="1"/>
  <c r="D33" i="110" s="1"/>
  <c r="E32" i="110" a="1"/>
  <c r="E32" i="110" s="1"/>
  <c r="D32" i="110" a="1"/>
  <c r="D32" i="110" s="1"/>
  <c r="D30" i="110" a="1"/>
  <c r="D30" i="110" s="1"/>
  <c r="D29" i="110" a="1"/>
  <c r="D29" i="110" s="1"/>
  <c r="F27" i="110" a="1"/>
  <c r="F27" i="110" s="1"/>
  <c r="E27" i="110" a="1"/>
  <c r="E27" i="110" s="1"/>
  <c r="D27" i="110" a="1"/>
  <c r="D27" i="110" s="1"/>
  <c r="F26" i="110" a="1"/>
  <c r="F26" i="110" s="1"/>
  <c r="E26" i="110" a="1"/>
  <c r="E26" i="110" s="1"/>
  <c r="D26" i="110" a="1"/>
  <c r="D26" i="110" s="1"/>
  <c r="F25" i="110" a="1"/>
  <c r="F25" i="110" s="1"/>
  <c r="E25" i="110" a="1"/>
  <c r="E25" i="110" s="1"/>
  <c r="D25" i="110" a="1"/>
  <c r="D25" i="110" s="1"/>
  <c r="F24" i="110" a="1"/>
  <c r="F24" i="110" s="1"/>
  <c r="E24" i="110" a="1"/>
  <c r="E24" i="110" s="1"/>
  <c r="D24" i="110" a="1"/>
  <c r="D24" i="110" s="1"/>
  <c r="F23" i="110" a="1"/>
  <c r="F23" i="110" s="1"/>
  <c r="E23" i="110" a="1"/>
  <c r="E23" i="110" s="1"/>
  <c r="D23" i="110" a="1"/>
  <c r="D23" i="110" s="1"/>
  <c r="F22" i="110" a="1"/>
  <c r="F22" i="110" s="1"/>
  <c r="E22" i="110" a="1"/>
  <c r="E22" i="110" s="1"/>
  <c r="D22" i="110" a="1"/>
  <c r="D22" i="110" s="1"/>
  <c r="F21" i="110" a="1"/>
  <c r="F21" i="110" s="1"/>
  <c r="E21" i="110" a="1"/>
  <c r="E21" i="110" s="1"/>
  <c r="D21" i="110" a="1"/>
  <c r="D21" i="110" s="1"/>
  <c r="F20" i="110" a="1"/>
  <c r="F20" i="110" s="1"/>
  <c r="E20" i="110" a="1"/>
  <c r="E20" i="110" s="1"/>
  <c r="D20" i="110" a="1"/>
  <c r="D20" i="110"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8" i="110" a="1"/>
  <c r="D8" i="110" s="1"/>
  <c r="D7" i="110" a="1"/>
  <c r="D7" i="110" s="1"/>
  <c r="D6" i="110" a="1"/>
  <c r="D6" i="110" s="1"/>
  <c r="I237" i="109" a="1"/>
  <c r="I237" i="109" s="1"/>
  <c r="H237" i="109" a="1"/>
  <c r="H237" i="109" s="1"/>
  <c r="G237" i="109" a="1"/>
  <c r="G237" i="109" s="1"/>
  <c r="F237" i="109" a="1"/>
  <c r="F237" i="109" s="1"/>
  <c r="E237" i="109" a="1"/>
  <c r="E237" i="109" s="1"/>
  <c r="D237" i="109" a="1"/>
  <c r="D237" i="109" s="1"/>
  <c r="I236" i="109" a="1"/>
  <c r="I236" i="109" s="1"/>
  <c r="H236" i="109" a="1"/>
  <c r="H236" i="109" s="1"/>
  <c r="G236" i="109" a="1"/>
  <c r="G236" i="109" s="1"/>
  <c r="F236" i="109" a="1"/>
  <c r="F236" i="109" s="1"/>
  <c r="E236" i="109" a="1"/>
  <c r="E236" i="109" s="1"/>
  <c r="D236" i="109" a="1"/>
  <c r="D236" i="109" s="1"/>
  <c r="I235" i="109" a="1"/>
  <c r="I235" i="109" s="1"/>
  <c r="H235" i="109" a="1"/>
  <c r="H235" i="109" s="1"/>
  <c r="G235" i="109" a="1"/>
  <c r="G235" i="109" s="1"/>
  <c r="F235" i="109" a="1"/>
  <c r="F235" i="109" s="1"/>
  <c r="E235" i="109" a="1"/>
  <c r="E235" i="109" s="1"/>
  <c r="D235" i="109" a="1"/>
  <c r="D235" i="109" s="1"/>
  <c r="I231" i="109" a="1"/>
  <c r="I231" i="109" s="1"/>
  <c r="H231" i="109" a="1"/>
  <c r="H231" i="109" s="1"/>
  <c r="G231" i="109" a="1"/>
  <c r="G231" i="109" s="1"/>
  <c r="F231" i="109" a="1"/>
  <c r="F231" i="109" s="1"/>
  <c r="E231" i="109" a="1"/>
  <c r="E231" i="109" s="1"/>
  <c r="D231" i="109" a="1"/>
  <c r="D231" i="109" s="1"/>
  <c r="I230" i="109" a="1"/>
  <c r="I230" i="109" s="1"/>
  <c r="H230" i="109" a="1"/>
  <c r="H230" i="109" s="1"/>
  <c r="G230" i="109" a="1"/>
  <c r="G230" i="109" s="1"/>
  <c r="F230" i="109" a="1"/>
  <c r="F230" i="109" s="1"/>
  <c r="E230" i="109" a="1"/>
  <c r="E230" i="109" s="1"/>
  <c r="D230" i="109" a="1"/>
  <c r="D230" i="109" s="1"/>
  <c r="I229" i="109" a="1"/>
  <c r="I229" i="109" s="1"/>
  <c r="H229" i="109" a="1"/>
  <c r="H229" i="109" s="1"/>
  <c r="G229" i="109" a="1"/>
  <c r="G229" i="109" s="1"/>
  <c r="F229" i="109" a="1"/>
  <c r="F229" i="109" s="1"/>
  <c r="E229" i="109" a="1"/>
  <c r="E229" i="109" s="1"/>
  <c r="D229" i="109" a="1"/>
  <c r="D229" i="109" s="1"/>
  <c r="I228" i="109" a="1"/>
  <c r="I228" i="109" s="1"/>
  <c r="H228" i="109" a="1"/>
  <c r="H228" i="109" s="1"/>
  <c r="G228" i="109" a="1"/>
  <c r="G228" i="109" s="1"/>
  <c r="F228" i="109" a="1"/>
  <c r="F228" i="109" s="1"/>
  <c r="E228" i="109" a="1"/>
  <c r="E228" i="109" s="1"/>
  <c r="D228" i="109" a="1"/>
  <c r="D228" i="109" s="1"/>
  <c r="I227" i="109" a="1"/>
  <c r="I227" i="109" s="1"/>
  <c r="H227" i="109" a="1"/>
  <c r="H227" i="109" s="1"/>
  <c r="G227" i="109" a="1"/>
  <c r="G227" i="109" s="1"/>
  <c r="F227" i="109" a="1"/>
  <c r="F227" i="109" s="1"/>
  <c r="E227" i="109" a="1"/>
  <c r="E227" i="109" s="1"/>
  <c r="D227" i="109" a="1"/>
  <c r="D227" i="109" s="1"/>
  <c r="I226" i="109" a="1"/>
  <c r="I226" i="109" s="1"/>
  <c r="H226" i="109" a="1"/>
  <c r="H226" i="109" s="1"/>
  <c r="G226" i="109" a="1"/>
  <c r="G226" i="109" s="1"/>
  <c r="F226" i="109" a="1"/>
  <c r="F226" i="109" s="1"/>
  <c r="E226" i="109" a="1"/>
  <c r="E226" i="109" s="1"/>
  <c r="D226" i="109" a="1"/>
  <c r="D226" i="109" s="1"/>
  <c r="I225" i="109" a="1"/>
  <c r="I225" i="109" s="1"/>
  <c r="H225" i="109" a="1"/>
  <c r="H225" i="109" s="1"/>
  <c r="G225" i="109" a="1"/>
  <c r="G225" i="109" s="1"/>
  <c r="F225" i="109" a="1"/>
  <c r="F225" i="109" s="1"/>
  <c r="E225" i="109" a="1"/>
  <c r="E225" i="109" s="1"/>
  <c r="D225" i="109" a="1"/>
  <c r="D225" i="109" s="1"/>
  <c r="I224" i="109" a="1"/>
  <c r="I224" i="109" s="1"/>
  <c r="H224" i="109" a="1"/>
  <c r="H224" i="109" s="1"/>
  <c r="G224" i="109" a="1"/>
  <c r="G224" i="109" s="1"/>
  <c r="F224" i="109" a="1"/>
  <c r="F224" i="109" s="1"/>
  <c r="E224" i="109" a="1"/>
  <c r="E224" i="109" s="1"/>
  <c r="D224" i="109" a="1"/>
  <c r="D224" i="109" s="1"/>
  <c r="I223" i="109" a="1"/>
  <c r="I223" i="109" s="1"/>
  <c r="H223" i="109" a="1"/>
  <c r="H223" i="109" s="1"/>
  <c r="G223" i="109" a="1"/>
  <c r="G223" i="109" s="1"/>
  <c r="F223" i="109" a="1"/>
  <c r="F223" i="109" s="1"/>
  <c r="E223" i="109" a="1"/>
  <c r="E223" i="109" s="1"/>
  <c r="D223" i="109" a="1"/>
  <c r="D223" i="109" s="1"/>
  <c r="I222" i="109" a="1"/>
  <c r="I222" i="109" s="1"/>
  <c r="H222" i="109" a="1"/>
  <c r="H222" i="109" s="1"/>
  <c r="G222" i="109" a="1"/>
  <c r="G222" i="109" s="1"/>
  <c r="F222" i="109" a="1"/>
  <c r="F222" i="109" s="1"/>
  <c r="E222" i="109" a="1"/>
  <c r="E222" i="109" s="1"/>
  <c r="D222" i="109" a="1"/>
  <c r="D222" i="109" s="1"/>
  <c r="I221" i="109" a="1"/>
  <c r="I221" i="109" s="1"/>
  <c r="H221" i="109" a="1"/>
  <c r="H221" i="109" s="1"/>
  <c r="G221" i="109" a="1"/>
  <c r="G221" i="109" s="1"/>
  <c r="F221" i="109" a="1"/>
  <c r="F221" i="109" s="1"/>
  <c r="E221" i="109" a="1"/>
  <c r="E221" i="109" s="1"/>
  <c r="D221" i="109" a="1"/>
  <c r="D221" i="109" s="1"/>
  <c r="I220" i="109" a="1"/>
  <c r="I220" i="109" s="1"/>
  <c r="H220" i="109" a="1"/>
  <c r="H220" i="109" s="1"/>
  <c r="G220" i="109" a="1"/>
  <c r="G220" i="109" s="1"/>
  <c r="F220" i="109" a="1"/>
  <c r="F220" i="109" s="1"/>
  <c r="E220" i="109" a="1"/>
  <c r="E220" i="109" s="1"/>
  <c r="D220" i="109" a="1"/>
  <c r="D220" i="109" s="1"/>
  <c r="I216" i="109" a="1"/>
  <c r="I216" i="109" s="1"/>
  <c r="H216" i="109" a="1"/>
  <c r="H216" i="109" s="1"/>
  <c r="G216" i="109" a="1"/>
  <c r="G216" i="109" s="1"/>
  <c r="F216" i="109" a="1"/>
  <c r="F216" i="109" s="1"/>
  <c r="E216" i="109" a="1"/>
  <c r="E216" i="109" s="1"/>
  <c r="D216" i="109" a="1"/>
  <c r="D216" i="109" s="1"/>
  <c r="I215" i="109" a="1"/>
  <c r="I215" i="109" s="1"/>
  <c r="H215" i="109" a="1"/>
  <c r="H215" i="109" s="1"/>
  <c r="G215" i="109" a="1"/>
  <c r="G215" i="109" s="1"/>
  <c r="F215" i="109" a="1"/>
  <c r="F215" i="109" s="1"/>
  <c r="E215" i="109" a="1"/>
  <c r="E215" i="109" s="1"/>
  <c r="D215" i="109" a="1"/>
  <c r="D215" i="109" s="1"/>
  <c r="I214" i="109" a="1"/>
  <c r="I214" i="109" s="1"/>
  <c r="H214" i="109" a="1"/>
  <c r="H214" i="109" s="1"/>
  <c r="G214" i="109" a="1"/>
  <c r="G214" i="109" s="1"/>
  <c r="F214" i="109" a="1"/>
  <c r="F214" i="109" s="1"/>
  <c r="E214" i="109" a="1"/>
  <c r="E214" i="109" s="1"/>
  <c r="D214" i="109" a="1"/>
  <c r="D214" i="109" s="1"/>
  <c r="I213" i="109" a="1"/>
  <c r="I213" i="109" s="1"/>
  <c r="H213" i="109" a="1"/>
  <c r="H213" i="109" s="1"/>
  <c r="G213" i="109" a="1"/>
  <c r="G213" i="109" s="1"/>
  <c r="F213" i="109" a="1"/>
  <c r="F213" i="109" s="1"/>
  <c r="E213" i="109" a="1"/>
  <c r="E213" i="109" s="1"/>
  <c r="D213" i="109" a="1"/>
  <c r="D213" i="109" s="1"/>
  <c r="I209" i="109" a="1"/>
  <c r="I209" i="109" s="1"/>
  <c r="H209" i="109" a="1"/>
  <c r="H209" i="109" s="1"/>
  <c r="G209" i="109" a="1"/>
  <c r="G209" i="109" s="1"/>
  <c r="F209" i="109" a="1"/>
  <c r="F209" i="109" s="1"/>
  <c r="E209" i="109" a="1"/>
  <c r="E209" i="109" s="1"/>
  <c r="D27" i="104" s="1"/>
  <c r="D470" i="107" s="1"/>
  <c r="D209" i="109" a="1"/>
  <c r="D209" i="109" s="1"/>
  <c r="I208" i="109" a="1"/>
  <c r="I208" i="109" s="1"/>
  <c r="H208" i="109" a="1"/>
  <c r="H208" i="109" s="1"/>
  <c r="G208" i="109" a="1"/>
  <c r="G208" i="109" s="1"/>
  <c r="F208" i="109" a="1"/>
  <c r="F208" i="109" s="1"/>
  <c r="E208" i="109" a="1"/>
  <c r="E208" i="109" s="1"/>
  <c r="D26" i="104" s="1"/>
  <c r="D469" i="107" s="1"/>
  <c r="F469" i="107" s="1" a="1"/>
  <c r="F469" i="107" s="1"/>
  <c r="D208" i="109" a="1"/>
  <c r="D208" i="109" s="1"/>
  <c r="I207" i="109" a="1"/>
  <c r="I207" i="109" s="1"/>
  <c r="H207" i="109" a="1"/>
  <c r="H207" i="109" s="1"/>
  <c r="G207" i="109" a="1"/>
  <c r="G207" i="109" s="1"/>
  <c r="F207" i="109" a="1"/>
  <c r="F207" i="109" s="1"/>
  <c r="E207" i="109" a="1"/>
  <c r="E207" i="109" s="1"/>
  <c r="D25" i="104" s="1"/>
  <c r="D468" i="107" s="1"/>
  <c r="D207" i="109" a="1"/>
  <c r="D207" i="109" s="1"/>
  <c r="I206" i="109" a="1"/>
  <c r="I206" i="109" s="1"/>
  <c r="H206" i="109" a="1"/>
  <c r="H206" i="109" s="1"/>
  <c r="G206" i="109" a="1"/>
  <c r="G206" i="109" s="1"/>
  <c r="F206" i="109" a="1"/>
  <c r="F206" i="109" s="1"/>
  <c r="E206" i="109" a="1"/>
  <c r="E206" i="109" s="1"/>
  <c r="D206" i="109" a="1"/>
  <c r="D206" i="109" s="1"/>
  <c r="I205" i="109" a="1"/>
  <c r="I205" i="109" s="1"/>
  <c r="H205" i="109" a="1"/>
  <c r="H205" i="109" s="1"/>
  <c r="G205" i="109" a="1"/>
  <c r="G205" i="109" s="1"/>
  <c r="F205" i="109" a="1"/>
  <c r="F205" i="109" s="1"/>
  <c r="E205" i="109" a="1"/>
  <c r="E205" i="109" s="1"/>
  <c r="D24" i="104" s="1"/>
  <c r="D467" i="107" s="1"/>
  <c r="D205" i="109" a="1"/>
  <c r="D205" i="109" s="1"/>
  <c r="I204" i="109" a="1"/>
  <c r="I204" i="109" s="1"/>
  <c r="H204" i="109" a="1"/>
  <c r="H204" i="109" s="1"/>
  <c r="G204" i="109" a="1"/>
  <c r="G204" i="109" s="1"/>
  <c r="F204" i="109" a="1"/>
  <c r="F204" i="109" s="1"/>
  <c r="E204" i="109" a="1"/>
  <c r="E204" i="109" s="1"/>
  <c r="D23" i="104" s="1"/>
  <c r="D466" i="107" s="1"/>
  <c r="D204" i="109" a="1"/>
  <c r="D204" i="109" s="1"/>
  <c r="I203" i="109" a="1"/>
  <c r="I203" i="109" s="1"/>
  <c r="H203" i="109" a="1"/>
  <c r="H203" i="109" s="1"/>
  <c r="G203" i="109" a="1"/>
  <c r="G203" i="109" s="1"/>
  <c r="F203" i="109" a="1"/>
  <c r="F203" i="109" s="1"/>
  <c r="E203" i="109" a="1"/>
  <c r="E203" i="109" s="1"/>
  <c r="D203" i="109" a="1"/>
  <c r="D203" i="109" s="1"/>
  <c r="I202" i="109" a="1"/>
  <c r="I202" i="109" s="1"/>
  <c r="H202" i="109" a="1"/>
  <c r="H202" i="109" s="1"/>
  <c r="G202" i="109" a="1"/>
  <c r="G202" i="109" s="1"/>
  <c r="F202" i="109" a="1"/>
  <c r="F202" i="109" s="1"/>
  <c r="E202" i="109" a="1"/>
  <c r="E202" i="109" s="1"/>
  <c r="D202" i="109" a="1"/>
  <c r="D202" i="109" s="1"/>
  <c r="M198" i="109" a="1"/>
  <c r="M198" i="109" s="1"/>
  <c r="L198" i="109" a="1"/>
  <c r="L198" i="109" s="1"/>
  <c r="K198" i="109" a="1"/>
  <c r="K198" i="109" s="1"/>
  <c r="F198" i="109" a="1"/>
  <c r="F198" i="109" s="1"/>
  <c r="E198" i="109" a="1"/>
  <c r="E198" i="109" s="1"/>
  <c r="D198" i="109" a="1"/>
  <c r="D198" i="109" s="1"/>
  <c r="M197" i="109" a="1"/>
  <c r="M197" i="109" s="1"/>
  <c r="L197" i="109" a="1"/>
  <c r="L197" i="109" s="1"/>
  <c r="K197" i="109" a="1"/>
  <c r="K197" i="109" s="1"/>
  <c r="F197" i="109" a="1"/>
  <c r="F197" i="109" s="1"/>
  <c r="E197" i="109" a="1"/>
  <c r="E197" i="109" s="1"/>
  <c r="D197" i="109" a="1"/>
  <c r="D197" i="109" s="1"/>
  <c r="M196" i="109" a="1"/>
  <c r="M196" i="109" s="1"/>
  <c r="L196" i="109" a="1"/>
  <c r="L196" i="109" s="1"/>
  <c r="K196" i="109" a="1"/>
  <c r="K196" i="109" s="1"/>
  <c r="F196" i="109" a="1"/>
  <c r="F196" i="109" s="1"/>
  <c r="E196" i="109" a="1"/>
  <c r="E196" i="109" s="1"/>
  <c r="D196" i="109" a="1"/>
  <c r="D196" i="109" s="1"/>
  <c r="M195" i="109" a="1"/>
  <c r="M195" i="109" s="1"/>
  <c r="L195" i="109" a="1"/>
  <c r="L195" i="109" s="1"/>
  <c r="K195" i="109" a="1"/>
  <c r="K195" i="109" s="1"/>
  <c r="F195" i="109" a="1"/>
  <c r="F195" i="109" s="1"/>
  <c r="E195" i="109" a="1"/>
  <c r="E195" i="109" s="1"/>
  <c r="D195" i="109" a="1"/>
  <c r="D195" i="109" s="1"/>
  <c r="M194" i="109" a="1"/>
  <c r="M194" i="109" s="1"/>
  <c r="L194" i="109" a="1"/>
  <c r="L194" i="109" s="1"/>
  <c r="K194" i="109" a="1"/>
  <c r="K194" i="109" s="1"/>
  <c r="F194" i="109" a="1"/>
  <c r="F194" i="109" s="1"/>
  <c r="E194" i="109" a="1"/>
  <c r="E194" i="109" s="1"/>
  <c r="D194" i="109" a="1"/>
  <c r="D194" i="109" s="1"/>
  <c r="M193" i="109" a="1"/>
  <c r="M193" i="109" s="1"/>
  <c r="L193" i="109" a="1"/>
  <c r="L193" i="109" s="1"/>
  <c r="K193" i="109" a="1"/>
  <c r="K193" i="109" s="1"/>
  <c r="F193" i="109" a="1"/>
  <c r="F193" i="109" s="1"/>
  <c r="E193" i="109" a="1"/>
  <c r="E193" i="109" s="1"/>
  <c r="D193" i="109" a="1"/>
  <c r="D193" i="109" s="1"/>
  <c r="M192" i="109" a="1"/>
  <c r="M192" i="109" s="1"/>
  <c r="L192" i="109" a="1"/>
  <c r="L192" i="109" s="1"/>
  <c r="K192" i="109" a="1"/>
  <c r="K192" i="109" s="1"/>
  <c r="F192" i="109" a="1"/>
  <c r="F192" i="109" s="1"/>
  <c r="E192" i="109" a="1"/>
  <c r="E192" i="109" s="1"/>
  <c r="D192" i="109" a="1"/>
  <c r="D192" i="109" s="1"/>
  <c r="M191" i="109" a="1"/>
  <c r="M191" i="109" s="1"/>
  <c r="L191" i="109" a="1"/>
  <c r="L191" i="109" s="1"/>
  <c r="K191" i="109" a="1"/>
  <c r="K191" i="109" s="1"/>
  <c r="F191" i="109" a="1"/>
  <c r="F191" i="109" s="1"/>
  <c r="E191" i="109" a="1"/>
  <c r="E191" i="109" s="1"/>
  <c r="D191" i="109" a="1"/>
  <c r="D191" i="109" s="1"/>
  <c r="M190" i="109" a="1"/>
  <c r="M190" i="109" s="1"/>
  <c r="L190" i="109" a="1"/>
  <c r="L190" i="109" s="1"/>
  <c r="K190" i="109" a="1"/>
  <c r="K190" i="109" s="1"/>
  <c r="F190" i="109" a="1"/>
  <c r="F190" i="109" s="1"/>
  <c r="E190" i="109" a="1"/>
  <c r="E190" i="109" s="1"/>
  <c r="D190" i="109" a="1"/>
  <c r="D190" i="109" s="1"/>
  <c r="M189" i="109" a="1"/>
  <c r="M189" i="109" s="1"/>
  <c r="L189" i="109" a="1"/>
  <c r="L189" i="109" s="1"/>
  <c r="K189" i="109" a="1"/>
  <c r="K189" i="109" s="1"/>
  <c r="F189" i="109" a="1"/>
  <c r="F189" i="109" s="1"/>
  <c r="E189" i="109" a="1"/>
  <c r="E189" i="109" s="1"/>
  <c r="D189" i="109" a="1"/>
  <c r="D189" i="109" s="1"/>
  <c r="M188" i="109" a="1"/>
  <c r="M188" i="109" s="1"/>
  <c r="L188" i="109" a="1"/>
  <c r="L188" i="109" s="1"/>
  <c r="K188" i="109" a="1"/>
  <c r="K188" i="109" s="1"/>
  <c r="F188" i="109" a="1"/>
  <c r="F188" i="109" s="1"/>
  <c r="E188" i="109" a="1"/>
  <c r="E188" i="109" s="1"/>
  <c r="D188" i="109" a="1"/>
  <c r="D188" i="109" s="1"/>
  <c r="M187" i="109" a="1"/>
  <c r="M187" i="109" s="1"/>
  <c r="L187" i="109" a="1"/>
  <c r="L187" i="109" s="1"/>
  <c r="K187" i="109" a="1"/>
  <c r="K187" i="109" s="1"/>
  <c r="F187" i="109" a="1"/>
  <c r="F187" i="109" s="1"/>
  <c r="E187" i="109" a="1"/>
  <c r="E187" i="109" s="1"/>
  <c r="D187" i="109" a="1"/>
  <c r="D187" i="109" s="1"/>
  <c r="M186" i="109" a="1"/>
  <c r="M186" i="109" s="1"/>
  <c r="L186" i="109" a="1"/>
  <c r="L186" i="109" s="1"/>
  <c r="K186" i="109" a="1"/>
  <c r="K186" i="109" s="1"/>
  <c r="F186" i="109" a="1"/>
  <c r="F186" i="109" s="1"/>
  <c r="E186" i="109" a="1"/>
  <c r="E186" i="109" s="1"/>
  <c r="D186" i="109" a="1"/>
  <c r="D186" i="109" s="1"/>
  <c r="M185" i="109" a="1"/>
  <c r="M185" i="109" s="1"/>
  <c r="L185" i="109" a="1"/>
  <c r="L185" i="109" s="1"/>
  <c r="K185" i="109" a="1"/>
  <c r="K185" i="109" s="1"/>
  <c r="F185" i="109" a="1"/>
  <c r="F185" i="109" s="1"/>
  <c r="E185" i="109" a="1"/>
  <c r="E185" i="109" s="1"/>
  <c r="D185" i="109" a="1"/>
  <c r="D185" i="109" s="1"/>
  <c r="M184" i="109" a="1"/>
  <c r="M184" i="109" s="1"/>
  <c r="L184" i="109" a="1"/>
  <c r="L184" i="109" s="1"/>
  <c r="K184" i="109" a="1"/>
  <c r="K184" i="109" s="1"/>
  <c r="F184" i="109" a="1"/>
  <c r="F184" i="109" s="1"/>
  <c r="E184" i="109" a="1"/>
  <c r="E184" i="109" s="1"/>
  <c r="D184" i="109" a="1"/>
  <c r="D184" i="109" s="1"/>
  <c r="M183" i="109" a="1"/>
  <c r="M183" i="109" s="1"/>
  <c r="L183" i="109" a="1"/>
  <c r="L183" i="109" s="1"/>
  <c r="K183" i="109" a="1"/>
  <c r="K183" i="109" s="1"/>
  <c r="F183" i="109" a="1"/>
  <c r="F183" i="109" s="1"/>
  <c r="E183" i="109" a="1"/>
  <c r="E183" i="109" s="1"/>
  <c r="D183" i="109" a="1"/>
  <c r="D183" i="109" s="1"/>
  <c r="M182" i="109" a="1"/>
  <c r="M182" i="109" s="1"/>
  <c r="L182" i="109" a="1"/>
  <c r="L182" i="109" s="1"/>
  <c r="K182" i="109" a="1"/>
  <c r="K182" i="109" s="1"/>
  <c r="F182" i="109" a="1"/>
  <c r="F182" i="109" s="1"/>
  <c r="E182" i="109" a="1"/>
  <c r="E182" i="109" s="1"/>
  <c r="D182" i="109" a="1"/>
  <c r="D182" i="109" s="1"/>
  <c r="M181" i="109" a="1"/>
  <c r="M181" i="109" s="1"/>
  <c r="L181" i="109" a="1"/>
  <c r="L181" i="109" s="1"/>
  <c r="K181" i="109" a="1"/>
  <c r="K181" i="109" s="1"/>
  <c r="F181" i="109" a="1"/>
  <c r="F181" i="109" s="1"/>
  <c r="E181" i="109" a="1"/>
  <c r="E181" i="109" s="1"/>
  <c r="D181" i="109" a="1"/>
  <c r="D181" i="109" s="1"/>
  <c r="M180" i="109" a="1"/>
  <c r="M180" i="109" s="1"/>
  <c r="L180" i="109" a="1"/>
  <c r="L180" i="109" s="1"/>
  <c r="K180" i="109" a="1"/>
  <c r="K180" i="109" s="1"/>
  <c r="F180" i="109"/>
  <c r="F180" i="109" a="1"/>
  <c r="E180" i="109" a="1"/>
  <c r="E180" i="109" s="1"/>
  <c r="D180" i="109" a="1"/>
  <c r="D180" i="109" s="1"/>
  <c r="M179" i="109" a="1"/>
  <c r="M179" i="109" s="1"/>
  <c r="L179" i="109" a="1"/>
  <c r="L179" i="109" s="1"/>
  <c r="K179" i="109" a="1"/>
  <c r="K179" i="109" s="1"/>
  <c r="F179" i="109" a="1"/>
  <c r="F179" i="109" s="1"/>
  <c r="E179" i="109" a="1"/>
  <c r="E179" i="109" s="1"/>
  <c r="D179" i="109" a="1"/>
  <c r="D179" i="109" s="1"/>
  <c r="M178" i="109" a="1"/>
  <c r="M178" i="109" s="1"/>
  <c r="L178" i="109" a="1"/>
  <c r="L178" i="109" s="1"/>
  <c r="K178" i="109" a="1"/>
  <c r="K178" i="109" s="1"/>
  <c r="F178" i="109" a="1"/>
  <c r="F178" i="109" s="1"/>
  <c r="E178" i="109" a="1"/>
  <c r="E178" i="109" s="1"/>
  <c r="D178" i="109" a="1"/>
  <c r="D178" i="109" s="1"/>
  <c r="M177" i="109" a="1"/>
  <c r="M177" i="109" s="1"/>
  <c r="L177" i="109" a="1"/>
  <c r="L177" i="109" s="1"/>
  <c r="K177" i="109" a="1"/>
  <c r="K177" i="109" s="1"/>
  <c r="F177" i="109" a="1"/>
  <c r="F177" i="109" s="1"/>
  <c r="E177" i="109" a="1"/>
  <c r="E177" i="109" s="1"/>
  <c r="D177" i="109" a="1"/>
  <c r="D177" i="109" s="1"/>
  <c r="M176" i="109" a="1"/>
  <c r="M176" i="109" s="1"/>
  <c r="L176" i="109" a="1"/>
  <c r="L176" i="109" s="1"/>
  <c r="K176" i="109" a="1"/>
  <c r="K176" i="109" s="1"/>
  <c r="F176" i="109" a="1"/>
  <c r="F176" i="109" s="1"/>
  <c r="E176" i="109" a="1"/>
  <c r="E176" i="109" s="1"/>
  <c r="D176" i="109" a="1"/>
  <c r="D176" i="109" s="1"/>
  <c r="M175" i="109" a="1"/>
  <c r="M175" i="109" s="1"/>
  <c r="L175" i="109" a="1"/>
  <c r="L175" i="109" s="1"/>
  <c r="K175" i="109" a="1"/>
  <c r="K175" i="109" s="1"/>
  <c r="F175" i="109" a="1"/>
  <c r="F175" i="109" s="1"/>
  <c r="E175" i="109" a="1"/>
  <c r="E175" i="109" s="1"/>
  <c r="D175" i="109" a="1"/>
  <c r="D175" i="109" s="1"/>
  <c r="M174" i="109" a="1"/>
  <c r="M174" i="109" s="1"/>
  <c r="L174" i="109" a="1"/>
  <c r="L174" i="109" s="1"/>
  <c r="K174" i="109" a="1"/>
  <c r="K174" i="109" s="1"/>
  <c r="F174" i="109" a="1"/>
  <c r="F174" i="109" s="1"/>
  <c r="E174" i="109" a="1"/>
  <c r="E174" i="109" s="1"/>
  <c r="D174" i="109" a="1"/>
  <c r="D174" i="109" s="1"/>
  <c r="I170" i="109" a="1"/>
  <c r="I170" i="109" s="1"/>
  <c r="H170" i="109" a="1"/>
  <c r="H170" i="109" s="1"/>
  <c r="G170" i="109" a="1"/>
  <c r="G170" i="109" s="1"/>
  <c r="F170" i="109" a="1"/>
  <c r="F170" i="109" s="1"/>
  <c r="E170" i="109" a="1"/>
  <c r="E170" i="109" s="1"/>
  <c r="D170" i="109" a="1"/>
  <c r="D170" i="109" s="1"/>
  <c r="I169" i="109" a="1"/>
  <c r="I169" i="109" s="1"/>
  <c r="H169" i="109" a="1"/>
  <c r="H169" i="109" s="1"/>
  <c r="G169" i="109" a="1"/>
  <c r="G169" i="109" s="1"/>
  <c r="F169" i="109" a="1"/>
  <c r="F169" i="109" s="1"/>
  <c r="E169" i="109" a="1"/>
  <c r="E169" i="109" s="1"/>
  <c r="D169" i="109" a="1"/>
  <c r="D169" i="109" s="1"/>
  <c r="I168" i="109" a="1"/>
  <c r="I168" i="109" s="1"/>
  <c r="H168" i="109" a="1"/>
  <c r="H168" i="109" s="1"/>
  <c r="G168" i="109" a="1"/>
  <c r="G168" i="109" s="1"/>
  <c r="F168" i="109" a="1"/>
  <c r="F168" i="109" s="1"/>
  <c r="E168" i="109" a="1"/>
  <c r="E168" i="109" s="1"/>
  <c r="D168" i="109" a="1"/>
  <c r="D168" i="109" s="1"/>
  <c r="I165" i="109" a="1"/>
  <c r="I165" i="109" s="1"/>
  <c r="H165" i="109" a="1"/>
  <c r="H165" i="109" s="1"/>
  <c r="G165" i="109" a="1"/>
  <c r="G165" i="109" s="1"/>
  <c r="F165" i="109" a="1"/>
  <c r="F165" i="109" s="1"/>
  <c r="E165" i="109" a="1"/>
  <c r="E165" i="109" s="1"/>
  <c r="D165" i="109" a="1"/>
  <c r="D165" i="109" s="1"/>
  <c r="I164" i="109" a="1"/>
  <c r="I164" i="109" s="1"/>
  <c r="H164" i="109" a="1"/>
  <c r="H164" i="109" s="1"/>
  <c r="G164" i="109" a="1"/>
  <c r="G164" i="109" s="1"/>
  <c r="F164" i="109" a="1"/>
  <c r="F164" i="109" s="1"/>
  <c r="E164" i="109" a="1"/>
  <c r="E164" i="109" s="1"/>
  <c r="D164" i="109" a="1"/>
  <c r="D164" i="109" s="1"/>
  <c r="I163" i="109" a="1"/>
  <c r="I163" i="109" s="1"/>
  <c r="H163" i="109" a="1"/>
  <c r="H163" i="109" s="1"/>
  <c r="G163" i="109" a="1"/>
  <c r="G163" i="109" s="1"/>
  <c r="F163" i="109" a="1"/>
  <c r="F163" i="109" s="1"/>
  <c r="E163" i="109" a="1"/>
  <c r="E163" i="109" s="1"/>
  <c r="D163" i="109" a="1"/>
  <c r="D163" i="109" s="1"/>
  <c r="I162" i="109" a="1"/>
  <c r="I162" i="109" s="1"/>
  <c r="H162" i="109" a="1"/>
  <c r="H162" i="109" s="1"/>
  <c r="G162" i="109" a="1"/>
  <c r="G162" i="109" s="1"/>
  <c r="F162" i="109" a="1"/>
  <c r="F162" i="109" s="1"/>
  <c r="E162" i="109" a="1"/>
  <c r="E162" i="109" s="1"/>
  <c r="D162" i="109" a="1"/>
  <c r="D162" i="109" s="1"/>
  <c r="I159" i="109" a="1"/>
  <c r="I159" i="109" s="1"/>
  <c r="H159" i="109" a="1"/>
  <c r="H159" i="109" s="1"/>
  <c r="G159" i="109" a="1"/>
  <c r="G159" i="109" s="1"/>
  <c r="F159" i="109" a="1"/>
  <c r="F159" i="109" s="1"/>
  <c r="O159" i="109" s="1"/>
  <c r="E159" i="109" a="1"/>
  <c r="E159" i="109" s="1"/>
  <c r="N159" i="109" s="1"/>
  <c r="P158" i="109" s="1"/>
  <c r="D159" i="109" a="1"/>
  <c r="D159" i="109" s="1"/>
  <c r="I158" i="109" a="1"/>
  <c r="I158" i="109" s="1"/>
  <c r="H158" i="109" a="1"/>
  <c r="H158" i="109" s="1"/>
  <c r="G158" i="109" a="1"/>
  <c r="G158" i="109" s="1"/>
  <c r="F158" i="109" a="1"/>
  <c r="F158" i="109" s="1"/>
  <c r="L158" i="109" s="1"/>
  <c r="E158" i="109" a="1"/>
  <c r="E158" i="109" s="1"/>
  <c r="K158" i="109" s="1"/>
  <c r="M157" i="109" s="1"/>
  <c r="D158" i="109" a="1"/>
  <c r="D158" i="109" s="1"/>
  <c r="I157" i="109" a="1"/>
  <c r="I157" i="109" s="1"/>
  <c r="H157" i="109" a="1"/>
  <c r="H157" i="109" s="1"/>
  <c r="G157" i="109" a="1"/>
  <c r="G157" i="109" s="1"/>
  <c r="F157" i="109" a="1"/>
  <c r="F157" i="109" s="1"/>
  <c r="O157" i="109" s="1"/>
  <c r="E157" i="109" a="1"/>
  <c r="E157" i="109" s="1"/>
  <c r="N157" i="109" s="1"/>
  <c r="P156" i="109" s="1"/>
  <c r="D157" i="109" a="1"/>
  <c r="D157" i="109" s="1"/>
  <c r="I156" i="109" a="1"/>
  <c r="I156" i="109" s="1"/>
  <c r="H156" i="109" a="1"/>
  <c r="H156" i="109" s="1"/>
  <c r="G156" i="109" a="1"/>
  <c r="G156" i="109" s="1"/>
  <c r="F156" i="109" a="1"/>
  <c r="F156" i="109" s="1"/>
  <c r="L156" i="109" s="1"/>
  <c r="E156" i="109" a="1"/>
  <c r="E156" i="109" s="1"/>
  <c r="K156" i="109" s="1"/>
  <c r="M155" i="109" s="1"/>
  <c r="D156" i="109" a="1"/>
  <c r="D156" i="109" s="1"/>
  <c r="I155" i="109" a="1"/>
  <c r="I155" i="109" s="1"/>
  <c r="H155" i="109" a="1"/>
  <c r="H155" i="109" s="1"/>
  <c r="G155" i="109" a="1"/>
  <c r="G155" i="109" s="1"/>
  <c r="F155" i="109" a="1"/>
  <c r="F155" i="109" s="1"/>
  <c r="O155" i="109" s="1"/>
  <c r="E155" i="109" a="1"/>
  <c r="E155" i="109" s="1"/>
  <c r="N155" i="109" s="1"/>
  <c r="P154" i="109" s="1"/>
  <c r="D155" i="109" a="1"/>
  <c r="D155" i="109" s="1"/>
  <c r="I154" i="109" a="1"/>
  <c r="I154" i="109" s="1"/>
  <c r="H154" i="109" a="1"/>
  <c r="H154" i="109" s="1"/>
  <c r="G154" i="109" a="1"/>
  <c r="G154" i="109" s="1"/>
  <c r="F154" i="109" a="1"/>
  <c r="F154" i="109" s="1"/>
  <c r="L154" i="109" s="1"/>
  <c r="E154" i="109" a="1"/>
  <c r="E154" i="109" s="1"/>
  <c r="K154" i="109" s="1"/>
  <c r="M153" i="109" s="1"/>
  <c r="D154" i="109" a="1"/>
  <c r="D154" i="109" s="1"/>
  <c r="I153" i="109" a="1"/>
  <c r="I153" i="109" s="1"/>
  <c r="H153" i="109" a="1"/>
  <c r="H153" i="109" s="1"/>
  <c r="G153" i="109" a="1"/>
  <c r="G153" i="109" s="1"/>
  <c r="F153" i="109" a="1"/>
  <c r="F153" i="109" s="1"/>
  <c r="O153" i="109" s="1"/>
  <c r="E153" i="109" a="1"/>
  <c r="E153" i="109" s="1"/>
  <c r="N153" i="109" s="1"/>
  <c r="P152" i="109" s="1"/>
  <c r="D153" i="109" a="1"/>
  <c r="D153" i="109" s="1"/>
  <c r="I152" i="109" a="1"/>
  <c r="I152" i="109" s="1"/>
  <c r="H152" i="109" a="1"/>
  <c r="H152" i="109" s="1"/>
  <c r="G152" i="109" a="1"/>
  <c r="G152" i="109" s="1"/>
  <c r="F152" i="109" a="1"/>
  <c r="F152" i="109" s="1"/>
  <c r="L152" i="109" s="1"/>
  <c r="E152" i="109" a="1"/>
  <c r="E152" i="109" s="1"/>
  <c r="K152" i="109" s="1"/>
  <c r="M151" i="109" s="1"/>
  <c r="D152" i="109" a="1"/>
  <c r="D152" i="109" s="1"/>
  <c r="I151" i="109" a="1"/>
  <c r="I151" i="109" s="1"/>
  <c r="H151" i="109" a="1"/>
  <c r="H151" i="109" s="1"/>
  <c r="G151" i="109" a="1"/>
  <c r="G151" i="109" s="1"/>
  <c r="F151" i="109" a="1"/>
  <c r="F151" i="109" s="1"/>
  <c r="O151" i="109" s="1"/>
  <c r="E151" i="109" a="1"/>
  <c r="E151" i="109" s="1"/>
  <c r="N151" i="109" s="1"/>
  <c r="D151" i="109" a="1"/>
  <c r="D151" i="109" s="1"/>
  <c r="I150" i="109" a="1"/>
  <c r="I150" i="109" s="1"/>
  <c r="H150" i="109" a="1"/>
  <c r="H150" i="109" s="1"/>
  <c r="G150" i="109" a="1"/>
  <c r="G150" i="109" s="1"/>
  <c r="F150" i="109" a="1"/>
  <c r="F150" i="109" s="1"/>
  <c r="O150" i="109" s="1"/>
  <c r="E150" i="109" a="1"/>
  <c r="E150" i="109" s="1"/>
  <c r="N150" i="109" s="1"/>
  <c r="D150" i="109" a="1"/>
  <c r="D150" i="109" s="1"/>
  <c r="I149" i="109" a="1"/>
  <c r="I149" i="109" s="1"/>
  <c r="H149" i="109" a="1"/>
  <c r="H149" i="109" s="1"/>
  <c r="G149" i="109" a="1"/>
  <c r="G149" i="109" s="1"/>
  <c r="F149" i="109" a="1"/>
  <c r="F149" i="109" s="1"/>
  <c r="O149" i="109" s="1"/>
  <c r="E149" i="109" a="1"/>
  <c r="E149" i="109" s="1"/>
  <c r="N149" i="109" s="1"/>
  <c r="D149" i="109" a="1"/>
  <c r="D149" i="109" s="1"/>
  <c r="I148" i="109" a="1"/>
  <c r="I148" i="109" s="1"/>
  <c r="H148" i="109" a="1"/>
  <c r="H148" i="109" s="1"/>
  <c r="G148" i="109" a="1"/>
  <c r="G148" i="109" s="1"/>
  <c r="F148" i="109" a="1"/>
  <c r="F148" i="109" s="1"/>
  <c r="O148" i="109" s="1"/>
  <c r="E148" i="109" a="1"/>
  <c r="E148" i="109" s="1"/>
  <c r="N148" i="109" s="1"/>
  <c r="D148" i="109" a="1"/>
  <c r="D148" i="109" s="1"/>
  <c r="I147" i="109" a="1"/>
  <c r="I147" i="109" s="1"/>
  <c r="H147" i="109" a="1"/>
  <c r="H147" i="109" s="1"/>
  <c r="G147" i="109" a="1"/>
  <c r="G147" i="109" s="1"/>
  <c r="F147" i="109" a="1"/>
  <c r="F147" i="109" s="1"/>
  <c r="O147" i="109" s="1"/>
  <c r="E147" i="109" a="1"/>
  <c r="E147" i="109" s="1"/>
  <c r="N147" i="109" s="1"/>
  <c r="D147" i="109" a="1"/>
  <c r="D147" i="109" s="1"/>
  <c r="I146" i="109" a="1"/>
  <c r="I146" i="109" s="1"/>
  <c r="H146" i="109" a="1"/>
  <c r="H146" i="109" s="1"/>
  <c r="G146" i="109" a="1"/>
  <c r="G146" i="109" s="1"/>
  <c r="F146" i="109" a="1"/>
  <c r="F146" i="109" s="1"/>
  <c r="O146" i="109" s="1"/>
  <c r="E146" i="109" a="1"/>
  <c r="E146" i="109" s="1"/>
  <c r="N146" i="109" s="1"/>
  <c r="D146" i="109" a="1"/>
  <c r="D146" i="109" s="1"/>
  <c r="I145" i="109" a="1"/>
  <c r="I145" i="109" s="1"/>
  <c r="H145" i="109" a="1"/>
  <c r="H145" i="109" s="1"/>
  <c r="G145" i="109" a="1"/>
  <c r="G145" i="109" s="1"/>
  <c r="F145" i="109" a="1"/>
  <c r="F145" i="109" s="1"/>
  <c r="O145" i="109" s="1"/>
  <c r="E145" i="109" a="1"/>
  <c r="E145" i="109" s="1"/>
  <c r="N145" i="109" s="1"/>
  <c r="P144" i="109" s="1"/>
  <c r="D145" i="109" a="1"/>
  <c r="D145" i="109" s="1"/>
  <c r="I144" i="109" a="1"/>
  <c r="I144" i="109" s="1"/>
  <c r="H144" i="109" a="1"/>
  <c r="H144" i="109" s="1"/>
  <c r="G144" i="109" a="1"/>
  <c r="G144" i="109" s="1"/>
  <c r="F144" i="109" a="1"/>
  <c r="F144" i="109" s="1"/>
  <c r="L144" i="109" s="1"/>
  <c r="E144" i="109" a="1"/>
  <c r="E144" i="109" s="1"/>
  <c r="K144" i="109" s="1"/>
  <c r="D144" i="109" a="1"/>
  <c r="D144" i="109" s="1"/>
  <c r="I143" i="109" a="1"/>
  <c r="I143" i="109" s="1"/>
  <c r="H143" i="109" a="1"/>
  <c r="H143" i="109" s="1"/>
  <c r="G143" i="109" a="1"/>
  <c r="G143" i="109" s="1"/>
  <c r="F143" i="109" a="1"/>
  <c r="F143" i="109" s="1"/>
  <c r="L143" i="109" s="1"/>
  <c r="E143" i="109" a="1"/>
  <c r="E143" i="109" s="1"/>
  <c r="K143" i="109" s="1"/>
  <c r="D143" i="109" a="1"/>
  <c r="D143" i="109" s="1"/>
  <c r="I142" i="109" a="1"/>
  <c r="I142" i="109" s="1"/>
  <c r="H142" i="109" a="1"/>
  <c r="H142" i="109" s="1"/>
  <c r="G142" i="109" a="1"/>
  <c r="G142" i="109" s="1"/>
  <c r="F142" i="109" a="1"/>
  <c r="F142" i="109" s="1"/>
  <c r="L142" i="109" s="1"/>
  <c r="E142" i="109" a="1"/>
  <c r="E142" i="109" s="1"/>
  <c r="K142" i="109" s="1"/>
  <c r="D142" i="109" a="1"/>
  <c r="D142" i="109" s="1"/>
  <c r="I141" i="109" a="1"/>
  <c r="I141" i="109" s="1"/>
  <c r="H141" i="109" a="1"/>
  <c r="H141" i="109" s="1"/>
  <c r="G141" i="109" a="1"/>
  <c r="G141" i="109" s="1"/>
  <c r="F141" i="109" a="1"/>
  <c r="F141" i="109" s="1"/>
  <c r="L141" i="109" s="1"/>
  <c r="E141" i="109" a="1"/>
  <c r="E141" i="109" s="1"/>
  <c r="K141" i="109" s="1"/>
  <c r="D141" i="109" a="1"/>
  <c r="D141" i="109" s="1"/>
  <c r="I140" i="109" a="1"/>
  <c r="I140" i="109" s="1"/>
  <c r="H140" i="109" a="1"/>
  <c r="H140" i="109" s="1"/>
  <c r="G140" i="109" a="1"/>
  <c r="G140" i="109" s="1"/>
  <c r="F140" i="109" a="1"/>
  <c r="F140" i="109" s="1"/>
  <c r="L140" i="109" s="1"/>
  <c r="E140" i="109" a="1"/>
  <c r="E140" i="109" s="1"/>
  <c r="K140" i="109" s="1"/>
  <c r="D140" i="109" a="1"/>
  <c r="D140" i="109" s="1"/>
  <c r="I139" i="109" a="1"/>
  <c r="I139" i="109" s="1"/>
  <c r="H139" i="109" a="1"/>
  <c r="H139" i="109" s="1"/>
  <c r="G139" i="109" a="1"/>
  <c r="G139" i="109" s="1"/>
  <c r="F139" i="109" a="1"/>
  <c r="F139" i="109" s="1"/>
  <c r="L139" i="109" s="1"/>
  <c r="E139" i="109" a="1"/>
  <c r="E139" i="109" s="1"/>
  <c r="K139" i="109" s="1"/>
  <c r="M138" i="109" s="1"/>
  <c r="D139" i="109" a="1"/>
  <c r="D139" i="109" s="1"/>
  <c r="I138" i="109" a="1"/>
  <c r="I138" i="109" s="1"/>
  <c r="H138" i="109" a="1"/>
  <c r="H138" i="109" s="1"/>
  <c r="G138" i="109" a="1"/>
  <c r="G138" i="109" s="1"/>
  <c r="F138" i="109" a="1"/>
  <c r="F138" i="109" s="1"/>
  <c r="O138" i="109" s="1"/>
  <c r="E138" i="109" a="1"/>
  <c r="E138" i="109" s="1"/>
  <c r="N138" i="109" s="1"/>
  <c r="D138" i="109" a="1"/>
  <c r="D138" i="109" s="1"/>
  <c r="I137" i="109" a="1"/>
  <c r="I137" i="109" s="1"/>
  <c r="H137" i="109" a="1"/>
  <c r="H137" i="109" s="1"/>
  <c r="G137" i="109" a="1"/>
  <c r="G137" i="109" s="1"/>
  <c r="F137" i="109" a="1"/>
  <c r="F137" i="109" s="1"/>
  <c r="O137" i="109" s="1"/>
  <c r="E137" i="109" a="1"/>
  <c r="E137" i="109" s="1"/>
  <c r="N137" i="109" s="1"/>
  <c r="D137" i="109" a="1"/>
  <c r="D137" i="109" s="1"/>
  <c r="I136" i="109" a="1"/>
  <c r="I136" i="109" s="1"/>
  <c r="H136" i="109" a="1"/>
  <c r="H136" i="109" s="1"/>
  <c r="G136" i="109" a="1"/>
  <c r="G136" i="109" s="1"/>
  <c r="F136" i="109" a="1"/>
  <c r="F136" i="109" s="1"/>
  <c r="O136" i="109" s="1"/>
  <c r="E136" i="109" a="1"/>
  <c r="E136" i="109" s="1"/>
  <c r="N136" i="109" s="1"/>
  <c r="D136" i="109" a="1"/>
  <c r="D136" i="109" s="1"/>
  <c r="I135" i="109" a="1"/>
  <c r="I135" i="109" s="1"/>
  <c r="H135" i="109" a="1"/>
  <c r="H135" i="109" s="1"/>
  <c r="G135" i="109" a="1"/>
  <c r="G135" i="109" s="1"/>
  <c r="F135" i="109" a="1"/>
  <c r="F135" i="109" s="1"/>
  <c r="O135" i="109" s="1"/>
  <c r="E135" i="109" a="1"/>
  <c r="E135" i="109" s="1"/>
  <c r="N135" i="109" s="1"/>
  <c r="D135" i="109" a="1"/>
  <c r="D135" i="109" s="1"/>
  <c r="I134" i="109" a="1"/>
  <c r="I134" i="109" s="1"/>
  <c r="H134" i="109" a="1"/>
  <c r="H134" i="109" s="1"/>
  <c r="G134" i="109" a="1"/>
  <c r="G134" i="109" s="1"/>
  <c r="F134" i="109" a="1"/>
  <c r="F134" i="109" s="1"/>
  <c r="O134" i="109" s="1"/>
  <c r="E134" i="109" a="1"/>
  <c r="E134" i="109" s="1"/>
  <c r="N134" i="109" s="1"/>
  <c r="D134" i="109" a="1"/>
  <c r="D134" i="109" s="1"/>
  <c r="I133" i="109" a="1"/>
  <c r="I133" i="109" s="1"/>
  <c r="H133" i="109" a="1"/>
  <c r="H133" i="109" s="1"/>
  <c r="G133" i="109" a="1"/>
  <c r="G133" i="109" s="1"/>
  <c r="F133" i="109" a="1"/>
  <c r="F133" i="109" s="1"/>
  <c r="O133" i="109" s="1"/>
  <c r="E133" i="109" a="1"/>
  <c r="E133" i="109" s="1"/>
  <c r="N133" i="109" s="1"/>
  <c r="D133" i="109" a="1"/>
  <c r="D133" i="109" s="1"/>
  <c r="I132" i="109" a="1"/>
  <c r="I132" i="109" s="1"/>
  <c r="H132" i="109" a="1"/>
  <c r="H132" i="109" s="1"/>
  <c r="G132" i="109" a="1"/>
  <c r="G132" i="109" s="1"/>
  <c r="F132" i="109" a="1"/>
  <c r="F132" i="109" s="1"/>
  <c r="O132" i="109" s="1"/>
  <c r="E132" i="109" a="1"/>
  <c r="E132" i="109" s="1"/>
  <c r="N132" i="109" s="1"/>
  <c r="P131" i="109" s="1"/>
  <c r="D132" i="109" a="1"/>
  <c r="D132" i="109" s="1"/>
  <c r="I131" i="109" a="1"/>
  <c r="I131" i="109" s="1"/>
  <c r="H131" i="109" a="1"/>
  <c r="H131" i="109" s="1"/>
  <c r="G131" i="109" a="1"/>
  <c r="G131" i="109" s="1"/>
  <c r="F131" i="109" a="1"/>
  <c r="F131" i="109" s="1"/>
  <c r="L131" i="109" s="1"/>
  <c r="E131" i="109" a="1"/>
  <c r="E131" i="109" s="1"/>
  <c r="K131" i="109" s="1"/>
  <c r="D131" i="109" a="1"/>
  <c r="D131" i="109" s="1"/>
  <c r="I130" i="109" a="1"/>
  <c r="I130" i="109" s="1"/>
  <c r="H130" i="109" a="1"/>
  <c r="H130" i="109" s="1"/>
  <c r="G130" i="109" a="1"/>
  <c r="G130" i="109" s="1"/>
  <c r="F130" i="109" a="1"/>
  <c r="F130" i="109" s="1"/>
  <c r="L130" i="109" s="1"/>
  <c r="E130" i="109" a="1"/>
  <c r="E130" i="109" s="1"/>
  <c r="K130" i="109" s="1"/>
  <c r="D130" i="109" a="1"/>
  <c r="D130" i="109" s="1"/>
  <c r="I129" i="109" a="1"/>
  <c r="I129" i="109" s="1"/>
  <c r="H129" i="109" a="1"/>
  <c r="H129" i="109" s="1"/>
  <c r="G129" i="109" a="1"/>
  <c r="G129" i="109" s="1"/>
  <c r="F129" i="109" a="1"/>
  <c r="F129" i="109" s="1"/>
  <c r="L129" i="109" s="1"/>
  <c r="E129" i="109" a="1"/>
  <c r="E129" i="109" s="1"/>
  <c r="K129" i="109" s="1"/>
  <c r="D129" i="109" a="1"/>
  <c r="D129" i="109" s="1"/>
  <c r="I128" i="109" a="1"/>
  <c r="I128" i="109" s="1"/>
  <c r="H128" i="109" a="1"/>
  <c r="H128" i="109" s="1"/>
  <c r="G128" i="109" a="1"/>
  <c r="G128" i="109" s="1"/>
  <c r="F128" i="109" a="1"/>
  <c r="F128" i="109" s="1"/>
  <c r="L128" i="109" s="1"/>
  <c r="E128" i="109" a="1"/>
  <c r="E128" i="109" s="1"/>
  <c r="K128" i="109" s="1"/>
  <c r="D128" i="109" a="1"/>
  <c r="D128" i="109" s="1"/>
  <c r="I127" i="109" a="1"/>
  <c r="I127" i="109" s="1"/>
  <c r="H127" i="109" a="1"/>
  <c r="H127" i="109" s="1"/>
  <c r="G127" i="109" a="1"/>
  <c r="G127" i="109" s="1"/>
  <c r="F127" i="109" a="1"/>
  <c r="F127" i="109" s="1"/>
  <c r="L127" i="109" s="1"/>
  <c r="E127" i="109" a="1"/>
  <c r="E127" i="109" s="1"/>
  <c r="K127" i="109" s="1"/>
  <c r="D127" i="109" a="1"/>
  <c r="D127" i="109" s="1"/>
  <c r="I126" i="109" a="1"/>
  <c r="I126" i="109" s="1"/>
  <c r="H126" i="109" a="1"/>
  <c r="H126" i="109" s="1"/>
  <c r="G126" i="109" a="1"/>
  <c r="G126" i="109" s="1"/>
  <c r="F126" i="109" a="1"/>
  <c r="F126" i="109" s="1"/>
  <c r="L126" i="109" s="1"/>
  <c r="E126" i="109" a="1"/>
  <c r="E126" i="109" s="1"/>
  <c r="K126" i="109" s="1"/>
  <c r="M125" i="109" s="1"/>
  <c r="D126" i="109" a="1"/>
  <c r="D126" i="109" s="1"/>
  <c r="I125" i="109" a="1"/>
  <c r="I125" i="109" s="1"/>
  <c r="H125" i="109" a="1"/>
  <c r="H125" i="109" s="1"/>
  <c r="G125" i="109" a="1"/>
  <c r="G125" i="109" s="1"/>
  <c r="F125" i="109" a="1"/>
  <c r="F125" i="109" s="1"/>
  <c r="O125" i="109" s="1"/>
  <c r="E125" i="109" a="1"/>
  <c r="E125" i="109" s="1"/>
  <c r="N125" i="109" s="1"/>
  <c r="D125" i="109" a="1"/>
  <c r="D125" i="109" s="1"/>
  <c r="I124" i="109" a="1"/>
  <c r="I124" i="109" s="1"/>
  <c r="H124" i="109" a="1"/>
  <c r="H124" i="109" s="1"/>
  <c r="G124" i="109" a="1"/>
  <c r="G124" i="109" s="1"/>
  <c r="F124" i="109" a="1"/>
  <c r="F124" i="109" s="1"/>
  <c r="O124" i="109" s="1"/>
  <c r="E124" i="109" a="1"/>
  <c r="E124" i="109" s="1"/>
  <c r="N124" i="109" s="1"/>
  <c r="D124" i="109" a="1"/>
  <c r="D124" i="109" s="1"/>
  <c r="I123" i="109" a="1"/>
  <c r="I123" i="109" s="1"/>
  <c r="H123" i="109" a="1"/>
  <c r="H123" i="109" s="1"/>
  <c r="G123" i="109" a="1"/>
  <c r="G123" i="109" s="1"/>
  <c r="F123" i="109" a="1"/>
  <c r="F123" i="109" s="1"/>
  <c r="O123" i="109" s="1"/>
  <c r="E123" i="109" a="1"/>
  <c r="E123" i="109" s="1"/>
  <c r="N123" i="109" s="1"/>
  <c r="D123" i="109" a="1"/>
  <c r="D123" i="109" s="1"/>
  <c r="I122" i="109" a="1"/>
  <c r="I122" i="109" s="1"/>
  <c r="H122" i="109" a="1"/>
  <c r="H122" i="109" s="1"/>
  <c r="G122" i="109" a="1"/>
  <c r="G122" i="109" s="1"/>
  <c r="F122" i="109" a="1"/>
  <c r="F122" i="109" s="1"/>
  <c r="O122" i="109" s="1"/>
  <c r="E122" i="109" a="1"/>
  <c r="E122" i="109" s="1"/>
  <c r="N122" i="109" s="1"/>
  <c r="D122" i="109" a="1"/>
  <c r="D122" i="109" s="1"/>
  <c r="I121" i="109" a="1"/>
  <c r="I121" i="109" s="1"/>
  <c r="H121" i="109" a="1"/>
  <c r="H121" i="109" s="1"/>
  <c r="G121" i="109" a="1"/>
  <c r="G121" i="109" s="1"/>
  <c r="F121" i="109" a="1"/>
  <c r="F121" i="109" s="1"/>
  <c r="O121" i="109" s="1"/>
  <c r="E121" i="109" a="1"/>
  <c r="E121" i="109" s="1"/>
  <c r="N121" i="109" s="1"/>
  <c r="D121" i="109" a="1"/>
  <c r="D121" i="109" s="1"/>
  <c r="I120" i="109" a="1"/>
  <c r="I120" i="109" s="1"/>
  <c r="H120" i="109" a="1"/>
  <c r="H120" i="109" s="1"/>
  <c r="G120" i="109" a="1"/>
  <c r="G120" i="109" s="1"/>
  <c r="F120" i="109" a="1"/>
  <c r="F120" i="109" s="1"/>
  <c r="O120" i="109" s="1"/>
  <c r="E120" i="109" a="1"/>
  <c r="E120" i="109" s="1"/>
  <c r="N120" i="109" s="1"/>
  <c r="D120" i="109" a="1"/>
  <c r="D120" i="109" s="1"/>
  <c r="I119" i="109" a="1"/>
  <c r="I119" i="109" s="1"/>
  <c r="H119" i="109" a="1"/>
  <c r="H119" i="109" s="1"/>
  <c r="G119" i="109" a="1"/>
  <c r="G119" i="109" s="1"/>
  <c r="F119" i="109" a="1"/>
  <c r="F119" i="109" s="1"/>
  <c r="O119" i="109" s="1"/>
  <c r="E119" i="109" a="1"/>
  <c r="E119" i="109" s="1"/>
  <c r="N119" i="109" s="1"/>
  <c r="P118" i="109" s="1"/>
  <c r="D119" i="109" a="1"/>
  <c r="D119" i="109" s="1"/>
  <c r="I118" i="109" a="1"/>
  <c r="I118" i="109" s="1"/>
  <c r="H118" i="109" a="1"/>
  <c r="H118" i="109" s="1"/>
  <c r="G118" i="109" a="1"/>
  <c r="G118" i="109" s="1"/>
  <c r="F118" i="109" a="1"/>
  <c r="F118" i="109" s="1"/>
  <c r="L118" i="109" s="1"/>
  <c r="E118" i="109" a="1"/>
  <c r="E118" i="109" s="1"/>
  <c r="K118" i="109" s="1"/>
  <c r="D118" i="109" a="1"/>
  <c r="D118" i="109" s="1"/>
  <c r="I117" i="109" a="1"/>
  <c r="I117" i="109" s="1"/>
  <c r="H117" i="109" a="1"/>
  <c r="H117" i="109" s="1"/>
  <c r="G117" i="109" a="1"/>
  <c r="G117" i="109" s="1"/>
  <c r="F117" i="109" a="1"/>
  <c r="F117" i="109" s="1"/>
  <c r="L117" i="109" s="1"/>
  <c r="E117" i="109" a="1"/>
  <c r="E117" i="109" s="1"/>
  <c r="K117" i="109" s="1"/>
  <c r="D117" i="109" a="1"/>
  <c r="D117" i="109" s="1"/>
  <c r="I116" i="109" a="1"/>
  <c r="I116" i="109" s="1"/>
  <c r="H116" i="109" a="1"/>
  <c r="H116" i="109" s="1"/>
  <c r="G116" i="109" a="1"/>
  <c r="G116" i="109" s="1"/>
  <c r="F116" i="109" a="1"/>
  <c r="F116" i="109" s="1"/>
  <c r="L116" i="109" s="1"/>
  <c r="E116" i="109" a="1"/>
  <c r="E116" i="109" s="1"/>
  <c r="K116" i="109" s="1"/>
  <c r="D116" i="109" a="1"/>
  <c r="D116" i="109" s="1"/>
  <c r="I115" i="109" a="1"/>
  <c r="I115" i="109" s="1"/>
  <c r="H115" i="109" a="1"/>
  <c r="H115" i="109" s="1"/>
  <c r="G115" i="109" a="1"/>
  <c r="G115" i="109" s="1"/>
  <c r="F115" i="109" a="1"/>
  <c r="F115" i="109" s="1"/>
  <c r="L115" i="109" s="1"/>
  <c r="E115" i="109" a="1"/>
  <c r="E115" i="109" s="1"/>
  <c r="K115" i="109" s="1"/>
  <c r="D115" i="109" a="1"/>
  <c r="D115" i="109" s="1"/>
  <c r="I114" i="109" a="1"/>
  <c r="I114" i="109" s="1"/>
  <c r="H114" i="109" a="1"/>
  <c r="H114" i="109" s="1"/>
  <c r="G114" i="109" a="1"/>
  <c r="G114" i="109" s="1"/>
  <c r="F114" i="109" a="1"/>
  <c r="F114" i="109" s="1"/>
  <c r="L114" i="109" s="1"/>
  <c r="E114" i="109" a="1"/>
  <c r="E114" i="109" s="1"/>
  <c r="K114" i="109" s="1"/>
  <c r="D114" i="109" a="1"/>
  <c r="D114" i="109" s="1"/>
  <c r="I113" i="109" a="1"/>
  <c r="I113" i="109" s="1"/>
  <c r="H113" i="109" a="1"/>
  <c r="H113" i="109" s="1"/>
  <c r="G113" i="109" a="1"/>
  <c r="G113" i="109" s="1"/>
  <c r="F113" i="109" a="1"/>
  <c r="F113" i="109" s="1"/>
  <c r="L113" i="109" s="1"/>
  <c r="E113" i="109" a="1"/>
  <c r="E113" i="109" s="1"/>
  <c r="K113" i="109" s="1"/>
  <c r="D113" i="109" a="1"/>
  <c r="D113" i="109" s="1"/>
  <c r="I112" i="109" a="1"/>
  <c r="I112" i="109" s="1"/>
  <c r="H112" i="109" a="1"/>
  <c r="H112" i="109" s="1"/>
  <c r="G112" i="109" a="1"/>
  <c r="G112" i="109" s="1"/>
  <c r="F112" i="109" a="1"/>
  <c r="F112" i="109" s="1"/>
  <c r="L112" i="109" s="1"/>
  <c r="E112" i="109" a="1"/>
  <c r="E112" i="109" s="1"/>
  <c r="K112" i="109" s="1"/>
  <c r="D112" i="109" a="1"/>
  <c r="D112" i="109" s="1"/>
  <c r="I111" i="109" a="1"/>
  <c r="I111" i="109" s="1"/>
  <c r="H111" i="109" a="1"/>
  <c r="H111" i="109" s="1"/>
  <c r="G111" i="109" a="1"/>
  <c r="G111" i="109" s="1"/>
  <c r="F111" i="109" a="1"/>
  <c r="F111" i="109" s="1"/>
  <c r="L111" i="109" s="1"/>
  <c r="E111" i="109" a="1"/>
  <c r="E111" i="109" s="1"/>
  <c r="K111" i="109" s="1"/>
  <c r="M110" i="109" s="1"/>
  <c r="D111" i="109" a="1"/>
  <c r="D111" i="109" s="1"/>
  <c r="I110" i="109" a="1"/>
  <c r="I110" i="109" s="1"/>
  <c r="H110" i="109" a="1"/>
  <c r="H110" i="109" s="1"/>
  <c r="G110" i="109" a="1"/>
  <c r="G110" i="109" s="1"/>
  <c r="F110" i="109" a="1"/>
  <c r="F110" i="109" s="1"/>
  <c r="O110" i="109" s="1"/>
  <c r="E110" i="109" a="1"/>
  <c r="E110" i="109" s="1"/>
  <c r="N110" i="109" s="1"/>
  <c r="D110" i="109" a="1"/>
  <c r="D110" i="109" s="1"/>
  <c r="I109" i="109" a="1"/>
  <c r="I109" i="109" s="1"/>
  <c r="H109" i="109" a="1"/>
  <c r="H109" i="109" s="1"/>
  <c r="G109" i="109" a="1"/>
  <c r="G109" i="109" s="1"/>
  <c r="F109" i="109" a="1"/>
  <c r="F109" i="109" s="1"/>
  <c r="O109" i="109" s="1"/>
  <c r="E109" i="109" a="1"/>
  <c r="E109" i="109" s="1"/>
  <c r="N109" i="109" s="1"/>
  <c r="D109" i="109" a="1"/>
  <c r="D109" i="109" s="1"/>
  <c r="I108" i="109" a="1"/>
  <c r="I108" i="109" s="1"/>
  <c r="H108" i="109" a="1"/>
  <c r="H108" i="109" s="1"/>
  <c r="G108" i="109" a="1"/>
  <c r="G108" i="109" s="1"/>
  <c r="F108" i="109" a="1"/>
  <c r="F108" i="109" s="1"/>
  <c r="O108" i="109" s="1"/>
  <c r="E108" i="109" a="1"/>
  <c r="E108" i="109" s="1"/>
  <c r="N108" i="109" s="1"/>
  <c r="D108" i="109" a="1"/>
  <c r="D108" i="109" s="1"/>
  <c r="I107" i="109" a="1"/>
  <c r="I107" i="109" s="1"/>
  <c r="H107" i="109" a="1"/>
  <c r="H107" i="109" s="1"/>
  <c r="G107" i="109" a="1"/>
  <c r="G107" i="109" s="1"/>
  <c r="F107" i="109" a="1"/>
  <c r="F107" i="109" s="1"/>
  <c r="O107" i="109" s="1"/>
  <c r="E107" i="109" a="1"/>
  <c r="E107" i="109" s="1"/>
  <c r="N107" i="109" s="1"/>
  <c r="D107" i="109" a="1"/>
  <c r="D107" i="109" s="1"/>
  <c r="I106" i="109" a="1"/>
  <c r="I106" i="109" s="1"/>
  <c r="H106" i="109" a="1"/>
  <c r="H106" i="109" s="1"/>
  <c r="G106" i="109" a="1"/>
  <c r="G106" i="109" s="1"/>
  <c r="F106" i="109" a="1"/>
  <c r="F106" i="109" s="1"/>
  <c r="O106" i="109" s="1"/>
  <c r="E106" i="109" a="1"/>
  <c r="E106" i="109" s="1"/>
  <c r="N106" i="109" s="1"/>
  <c r="P105" i="109" s="1"/>
  <c r="D106" i="109" a="1"/>
  <c r="D106" i="109" s="1"/>
  <c r="I105" i="109" a="1"/>
  <c r="I105" i="109" s="1"/>
  <c r="H105" i="109" a="1"/>
  <c r="H105" i="109" s="1"/>
  <c r="G105" i="109" a="1"/>
  <c r="G105" i="109" s="1"/>
  <c r="F105" i="109" a="1"/>
  <c r="F105" i="109" s="1"/>
  <c r="L105" i="109" s="1"/>
  <c r="E105" i="109" a="1"/>
  <c r="E105" i="109" s="1"/>
  <c r="K105" i="109" s="1"/>
  <c r="D105" i="109" a="1"/>
  <c r="D105" i="109" s="1"/>
  <c r="I104" i="109" a="1"/>
  <c r="I104" i="109" s="1"/>
  <c r="H104" i="109" a="1"/>
  <c r="H104" i="109" s="1"/>
  <c r="G104" i="109" a="1"/>
  <c r="G104" i="109" s="1"/>
  <c r="F104" i="109" a="1"/>
  <c r="F104" i="109" s="1"/>
  <c r="L104" i="109" s="1"/>
  <c r="E104" i="109" a="1"/>
  <c r="E104" i="109" s="1"/>
  <c r="K104" i="109" s="1"/>
  <c r="D104" i="109" a="1"/>
  <c r="D104" i="109" s="1"/>
  <c r="I103" i="109" a="1"/>
  <c r="I103" i="109" s="1"/>
  <c r="H103" i="109" a="1"/>
  <c r="H103" i="109" s="1"/>
  <c r="G103" i="109" a="1"/>
  <c r="G103" i="109" s="1"/>
  <c r="F103" i="109" a="1"/>
  <c r="F103" i="109" s="1"/>
  <c r="L103" i="109" s="1"/>
  <c r="E103" i="109" a="1"/>
  <c r="E103" i="109" s="1"/>
  <c r="K103" i="109" s="1"/>
  <c r="D103" i="109" a="1"/>
  <c r="D103" i="109" s="1"/>
  <c r="I102" i="109" a="1"/>
  <c r="I102" i="109" s="1"/>
  <c r="H102" i="109" a="1"/>
  <c r="H102" i="109" s="1"/>
  <c r="G102" i="109" a="1"/>
  <c r="G102" i="109" s="1"/>
  <c r="F102" i="109" a="1"/>
  <c r="F102" i="109" s="1"/>
  <c r="L102" i="109" s="1"/>
  <c r="E102" i="109" a="1"/>
  <c r="E102" i="109" s="1"/>
  <c r="K102" i="109" s="1"/>
  <c r="D102" i="109" a="1"/>
  <c r="D102" i="109" s="1"/>
  <c r="I101" i="109" a="1"/>
  <c r="I101" i="109" s="1"/>
  <c r="H101" i="109" a="1"/>
  <c r="H101" i="109" s="1"/>
  <c r="G101" i="109" a="1"/>
  <c r="G101" i="109" s="1"/>
  <c r="F101" i="109" a="1"/>
  <c r="F101" i="109" s="1"/>
  <c r="L101" i="109" s="1"/>
  <c r="E101" i="109" a="1"/>
  <c r="E101" i="109" s="1"/>
  <c r="K101" i="109" s="1"/>
  <c r="D101" i="109" a="1"/>
  <c r="D101" i="109" s="1"/>
  <c r="I100" i="109" a="1"/>
  <c r="I100" i="109" s="1"/>
  <c r="H100" i="109" a="1"/>
  <c r="H100" i="109" s="1"/>
  <c r="G100" i="109" a="1"/>
  <c r="G100" i="109" s="1"/>
  <c r="F100" i="109" a="1"/>
  <c r="F100" i="109" s="1"/>
  <c r="L100" i="109" s="1"/>
  <c r="E100" i="109" a="1"/>
  <c r="E100" i="109" s="1"/>
  <c r="K100" i="109" s="1"/>
  <c r="D100" i="109" a="1"/>
  <c r="D100" i="109" s="1"/>
  <c r="I99" i="109" a="1"/>
  <c r="I99" i="109" s="1"/>
  <c r="H99" i="109" a="1"/>
  <c r="H99" i="109" s="1"/>
  <c r="G99" i="109" a="1"/>
  <c r="G99" i="109" s="1"/>
  <c r="F99" i="109" a="1"/>
  <c r="F99" i="109" s="1"/>
  <c r="L99" i="109" s="1"/>
  <c r="E99" i="109" a="1"/>
  <c r="E99" i="109" s="1"/>
  <c r="K99" i="109" s="1"/>
  <c r="M98" i="109" s="1"/>
  <c r="D99" i="109" a="1"/>
  <c r="D99" i="109" s="1"/>
  <c r="I98" i="109" a="1"/>
  <c r="I98" i="109" s="1"/>
  <c r="H98" i="109" a="1"/>
  <c r="H98" i="109" s="1"/>
  <c r="G98" i="109" a="1"/>
  <c r="G98" i="109" s="1"/>
  <c r="F98" i="109" a="1"/>
  <c r="F98" i="109" s="1"/>
  <c r="O98" i="109" s="1"/>
  <c r="E98" i="109" a="1"/>
  <c r="E98" i="109" s="1"/>
  <c r="N98" i="109" s="1"/>
  <c r="D98" i="109" a="1"/>
  <c r="D98" i="109" s="1"/>
  <c r="I97" i="109" a="1"/>
  <c r="I97" i="109" s="1"/>
  <c r="H97" i="109" a="1"/>
  <c r="H97" i="109" s="1"/>
  <c r="G97" i="109" a="1"/>
  <c r="G97" i="109" s="1"/>
  <c r="F97" i="109" a="1"/>
  <c r="F97" i="109" s="1"/>
  <c r="O97" i="109" s="1"/>
  <c r="E97" i="109" a="1"/>
  <c r="E97" i="109" s="1"/>
  <c r="N97" i="109" s="1"/>
  <c r="D97" i="109" a="1"/>
  <c r="D97" i="109" s="1"/>
  <c r="I96" i="109" a="1"/>
  <c r="I96" i="109" s="1"/>
  <c r="H96" i="109" a="1"/>
  <c r="H96" i="109" s="1"/>
  <c r="G96" i="109" a="1"/>
  <c r="G96" i="109" s="1"/>
  <c r="F96" i="109" a="1"/>
  <c r="F96" i="109" s="1"/>
  <c r="O96" i="109" s="1"/>
  <c r="E96" i="109" a="1"/>
  <c r="E96" i="109" s="1"/>
  <c r="N96" i="109" s="1"/>
  <c r="D96" i="109" a="1"/>
  <c r="D96" i="109" s="1"/>
  <c r="I95" i="109" a="1"/>
  <c r="I95" i="109" s="1"/>
  <c r="H95" i="109" a="1"/>
  <c r="H95" i="109" s="1"/>
  <c r="G95" i="109" a="1"/>
  <c r="G95" i="109" s="1"/>
  <c r="F95" i="109" a="1"/>
  <c r="F95" i="109" s="1"/>
  <c r="O95" i="109" s="1"/>
  <c r="E95" i="109" a="1"/>
  <c r="E95" i="109" s="1"/>
  <c r="N95" i="109" s="1"/>
  <c r="D95" i="109" a="1"/>
  <c r="D95" i="109" s="1"/>
  <c r="I94" i="109" a="1"/>
  <c r="I94" i="109" s="1"/>
  <c r="H94" i="109" a="1"/>
  <c r="H94" i="109" s="1"/>
  <c r="G94" i="109" a="1"/>
  <c r="G94" i="109" s="1"/>
  <c r="F94" i="109" a="1"/>
  <c r="F94" i="109" s="1"/>
  <c r="O94" i="109" s="1"/>
  <c r="E94" i="109" a="1"/>
  <c r="E94" i="109" s="1"/>
  <c r="N94" i="109" s="1"/>
  <c r="D94" i="109" a="1"/>
  <c r="D94" i="109" s="1"/>
  <c r="I93" i="109" a="1"/>
  <c r="I93" i="109" s="1"/>
  <c r="H93" i="109" a="1"/>
  <c r="H93" i="109" s="1"/>
  <c r="G93" i="109" a="1"/>
  <c r="G93" i="109" s="1"/>
  <c r="F93" i="109" a="1"/>
  <c r="F93" i="109" s="1"/>
  <c r="O93" i="109" s="1"/>
  <c r="E93" i="109" a="1"/>
  <c r="E93" i="109" s="1"/>
  <c r="N93" i="109" s="1"/>
  <c r="D93" i="109" a="1"/>
  <c r="D93" i="109" s="1"/>
  <c r="I92" i="109" a="1"/>
  <c r="I92" i="109" s="1"/>
  <c r="H92" i="109" a="1"/>
  <c r="H92" i="109" s="1"/>
  <c r="G92" i="109" a="1"/>
  <c r="G92" i="109" s="1"/>
  <c r="F92" i="109" a="1"/>
  <c r="F92" i="109" s="1"/>
  <c r="O92" i="109" s="1"/>
  <c r="E92" i="109" a="1"/>
  <c r="E92" i="109" s="1"/>
  <c r="N92" i="109" s="1"/>
  <c r="D92" i="109" a="1"/>
  <c r="D92" i="109" s="1"/>
  <c r="I91" i="109" a="1"/>
  <c r="I91" i="109" s="1"/>
  <c r="H91" i="109" a="1"/>
  <c r="H91" i="109" s="1"/>
  <c r="G91" i="109" a="1"/>
  <c r="G91" i="109" s="1"/>
  <c r="F91" i="109" a="1"/>
  <c r="F91" i="109" s="1"/>
  <c r="O91" i="109" s="1"/>
  <c r="E91" i="109" a="1"/>
  <c r="E91" i="109" s="1"/>
  <c r="N91" i="109" s="1"/>
  <c r="P90" i="109" s="1"/>
  <c r="D91" i="109" a="1"/>
  <c r="D91" i="109" s="1"/>
  <c r="I90" i="109" a="1"/>
  <c r="I90" i="109" s="1"/>
  <c r="H90" i="109" a="1"/>
  <c r="H90" i="109" s="1"/>
  <c r="G90" i="109" a="1"/>
  <c r="G90" i="109" s="1"/>
  <c r="F90" i="109" a="1"/>
  <c r="F90" i="109" s="1"/>
  <c r="L90" i="109" s="1"/>
  <c r="E90" i="109" a="1"/>
  <c r="E90" i="109" s="1"/>
  <c r="D90" i="109" a="1"/>
  <c r="D90" i="109" s="1"/>
  <c r="I86" i="109" a="1"/>
  <c r="I86" i="109" s="1"/>
  <c r="H86" i="109" a="1"/>
  <c r="H86" i="109" s="1"/>
  <c r="G86" i="109" a="1"/>
  <c r="G86" i="109" s="1"/>
  <c r="F86" i="109" a="1"/>
  <c r="F86" i="109" s="1"/>
  <c r="E86" i="109" a="1"/>
  <c r="E86" i="109" s="1"/>
  <c r="D86" i="109" a="1"/>
  <c r="D86" i="109" s="1"/>
  <c r="I85" i="109"/>
  <c r="I85" i="109" a="1"/>
  <c r="H85" i="109" a="1"/>
  <c r="H85" i="109" s="1"/>
  <c r="G85" i="109" a="1"/>
  <c r="G85" i="109" s="1"/>
  <c r="F85" i="109" a="1"/>
  <c r="F85" i="109" s="1"/>
  <c r="E85" i="109" a="1"/>
  <c r="E85" i="109" s="1"/>
  <c r="D85" i="109" a="1"/>
  <c r="D85" i="109" s="1"/>
  <c r="I84" i="109" a="1"/>
  <c r="I84" i="109" s="1"/>
  <c r="H84" i="109" a="1"/>
  <c r="H84" i="109" s="1"/>
  <c r="G84" i="109" a="1"/>
  <c r="G84" i="109" s="1"/>
  <c r="F84" i="109"/>
  <c r="F84" i="109" a="1"/>
  <c r="E84" i="109" a="1"/>
  <c r="E84" i="109" s="1"/>
  <c r="D84" i="109" a="1"/>
  <c r="D84" i="109" s="1"/>
  <c r="I83" i="109" a="1"/>
  <c r="I83" i="109" s="1"/>
  <c r="H83" i="109" a="1"/>
  <c r="H83" i="109" s="1"/>
  <c r="G83" i="109" a="1"/>
  <c r="G83" i="109" s="1"/>
  <c r="F83" i="109" a="1"/>
  <c r="F83" i="109" s="1"/>
  <c r="E83" i="109" a="1"/>
  <c r="E83" i="109" s="1"/>
  <c r="D83" i="109" a="1"/>
  <c r="D83" i="109" s="1"/>
  <c r="I80" i="109" a="1"/>
  <c r="I80" i="109" s="1"/>
  <c r="H80" i="109" a="1"/>
  <c r="H80" i="109" s="1"/>
  <c r="G80" i="109" a="1"/>
  <c r="G80" i="109" s="1"/>
  <c r="F80" i="109" a="1"/>
  <c r="F80" i="109" s="1"/>
  <c r="E80" i="109" a="1"/>
  <c r="E80" i="109" s="1"/>
  <c r="D80" i="109" a="1"/>
  <c r="D80" i="109" s="1"/>
  <c r="I79" i="109"/>
  <c r="I79" i="109" a="1"/>
  <c r="H79" i="109" a="1"/>
  <c r="H79" i="109" s="1"/>
  <c r="G79" i="109" a="1"/>
  <c r="G79" i="109" s="1"/>
  <c r="F79" i="109" a="1"/>
  <c r="F79" i="109" s="1"/>
  <c r="E79" i="109" a="1"/>
  <c r="E79" i="109" s="1"/>
  <c r="D79" i="109" a="1"/>
  <c r="D79" i="109" s="1"/>
  <c r="I78" i="109" a="1"/>
  <c r="I78" i="109" s="1"/>
  <c r="H78" i="109" a="1"/>
  <c r="H78" i="109" s="1"/>
  <c r="G78" i="109" a="1"/>
  <c r="G78" i="109" s="1"/>
  <c r="F78" i="109" a="1"/>
  <c r="F78" i="109" s="1"/>
  <c r="E78" i="109" a="1"/>
  <c r="E78" i="109" s="1"/>
  <c r="D78" i="109" a="1"/>
  <c r="D78" i="109" s="1"/>
  <c r="I74" i="109" a="1"/>
  <c r="I74" i="109" s="1"/>
  <c r="H74" i="109"/>
  <c r="H74" i="109" a="1"/>
  <c r="G74" i="109" a="1"/>
  <c r="G74" i="109" s="1"/>
  <c r="F74" i="109" a="1"/>
  <c r="F74" i="109" s="1"/>
  <c r="E74" i="109" a="1"/>
  <c r="E74" i="109" s="1"/>
  <c r="D74" i="109" a="1"/>
  <c r="D74" i="109" s="1"/>
  <c r="I73" i="109" a="1"/>
  <c r="I73" i="109" s="1"/>
  <c r="H73" i="109" a="1"/>
  <c r="H73" i="109" s="1"/>
  <c r="G73" i="109" a="1"/>
  <c r="G73" i="109" s="1"/>
  <c r="F73" i="109" a="1"/>
  <c r="F73" i="109" s="1"/>
  <c r="E73" i="109" a="1"/>
  <c r="E73" i="109" s="1"/>
  <c r="D73" i="109" a="1"/>
  <c r="D73" i="109" s="1"/>
  <c r="I72" i="109" a="1"/>
  <c r="I72" i="109" s="1"/>
  <c r="H72" i="109" a="1"/>
  <c r="H72" i="109" s="1"/>
  <c r="G72" i="109" a="1"/>
  <c r="G72" i="109" s="1"/>
  <c r="F72" i="109" a="1"/>
  <c r="F72" i="109" s="1"/>
  <c r="E72" i="109" a="1"/>
  <c r="E72" i="109" s="1"/>
  <c r="D72" i="109" a="1"/>
  <c r="D72" i="109" s="1"/>
  <c r="I71" i="109" a="1"/>
  <c r="I71" i="109" s="1"/>
  <c r="H71" i="109" a="1"/>
  <c r="H71" i="109" s="1"/>
  <c r="G71" i="109" a="1"/>
  <c r="G71" i="109" s="1"/>
  <c r="F71" i="109" a="1"/>
  <c r="F71" i="109" s="1"/>
  <c r="E71" i="109" a="1"/>
  <c r="E71" i="109" s="1"/>
  <c r="D71" i="109" a="1"/>
  <c r="D71" i="109" s="1"/>
  <c r="I70" i="109" a="1"/>
  <c r="I70" i="109" s="1"/>
  <c r="H70" i="109" a="1"/>
  <c r="H70" i="109" s="1"/>
  <c r="G70" i="109" a="1"/>
  <c r="G70" i="109" s="1"/>
  <c r="F70" i="109" a="1"/>
  <c r="F70" i="109" s="1"/>
  <c r="E70" i="109" a="1"/>
  <c r="E70" i="109" s="1"/>
  <c r="D70" i="109" a="1"/>
  <c r="D70" i="109" s="1"/>
  <c r="I69" i="109" a="1"/>
  <c r="I69" i="109" s="1"/>
  <c r="H69" i="109"/>
  <c r="H69" i="109" a="1"/>
  <c r="G69" i="109" a="1"/>
  <c r="G69" i="109" s="1"/>
  <c r="F69" i="109" a="1"/>
  <c r="F69" i="109" s="1"/>
  <c r="E69" i="109" a="1"/>
  <c r="E69" i="109" s="1"/>
  <c r="D69" i="109" a="1"/>
  <c r="D69" i="109" s="1"/>
  <c r="I68" i="109" a="1"/>
  <c r="I68" i="109" s="1"/>
  <c r="H68" i="109" a="1"/>
  <c r="H68" i="109" s="1"/>
  <c r="G68" i="109" a="1"/>
  <c r="G68" i="109" s="1"/>
  <c r="F68" i="109" a="1"/>
  <c r="F68" i="109" s="1"/>
  <c r="E68" i="109" a="1"/>
  <c r="E68" i="109" s="1"/>
  <c r="D68" i="109" a="1"/>
  <c r="D68" i="109" s="1"/>
  <c r="I67" i="109" a="1"/>
  <c r="I67" i="109" s="1"/>
  <c r="H67" i="109" a="1"/>
  <c r="H67" i="109" s="1"/>
  <c r="G67" i="109" a="1"/>
  <c r="G67" i="109" s="1"/>
  <c r="F67" i="109" a="1"/>
  <c r="F67" i="109" s="1"/>
  <c r="E67" i="109" a="1"/>
  <c r="E67" i="109" s="1"/>
  <c r="D67" i="109" a="1"/>
  <c r="D67" i="109" s="1"/>
  <c r="I66" i="109" a="1"/>
  <c r="I66" i="109" s="1"/>
  <c r="H66" i="109" a="1"/>
  <c r="H66" i="109" s="1"/>
  <c r="G66" i="109" a="1"/>
  <c r="G66" i="109" s="1"/>
  <c r="F66" i="109" a="1"/>
  <c r="F66" i="109" s="1"/>
  <c r="E66" i="109" a="1"/>
  <c r="E66" i="109" s="1"/>
  <c r="D66" i="109" a="1"/>
  <c r="D66" i="109" s="1"/>
  <c r="I65" i="109" a="1"/>
  <c r="I65" i="109" s="1"/>
  <c r="H65" i="109" a="1"/>
  <c r="H65" i="109" s="1"/>
  <c r="G65" i="109" a="1"/>
  <c r="G65" i="109" s="1"/>
  <c r="F65" i="109" a="1"/>
  <c r="F65" i="109" s="1"/>
  <c r="E65" i="109" a="1"/>
  <c r="E65" i="109" s="1"/>
  <c r="D65" i="109" a="1"/>
  <c r="D65" i="109" s="1"/>
  <c r="I64" i="109" a="1"/>
  <c r="I64" i="109" s="1"/>
  <c r="H64" i="109" a="1"/>
  <c r="H64" i="109" s="1"/>
  <c r="G64" i="109" a="1"/>
  <c r="G64" i="109" s="1"/>
  <c r="F64" i="109" a="1"/>
  <c r="F64" i="109" s="1"/>
  <c r="E64" i="109" a="1"/>
  <c r="E64" i="109" s="1"/>
  <c r="D64" i="109" a="1"/>
  <c r="D64" i="109" s="1"/>
  <c r="I63" i="109" a="1"/>
  <c r="I63" i="109" s="1"/>
  <c r="H63" i="109" a="1"/>
  <c r="H63" i="109" s="1"/>
  <c r="G63" i="109" a="1"/>
  <c r="G63" i="109" s="1"/>
  <c r="F63" i="109" a="1"/>
  <c r="F63" i="109" s="1"/>
  <c r="E63" i="109" a="1"/>
  <c r="E63" i="109" s="1"/>
  <c r="D63" i="109" a="1"/>
  <c r="D63" i="109" s="1"/>
  <c r="I62" i="109" a="1"/>
  <c r="I62" i="109" s="1"/>
  <c r="H62" i="109" a="1"/>
  <c r="H62" i="109" s="1"/>
  <c r="G62" i="109" a="1"/>
  <c r="G62" i="109" s="1"/>
  <c r="F62" i="109" a="1"/>
  <c r="F62" i="109" s="1"/>
  <c r="E62" i="109" a="1"/>
  <c r="E62" i="109" s="1"/>
  <c r="D62" i="109" a="1"/>
  <c r="D62" i="109" s="1"/>
  <c r="I61" i="109" a="1"/>
  <c r="I61" i="109" s="1"/>
  <c r="H61" i="109" a="1"/>
  <c r="H61" i="109" s="1"/>
  <c r="G61" i="109" a="1"/>
  <c r="G61" i="109" s="1"/>
  <c r="F61" i="109" a="1"/>
  <c r="F61" i="109" s="1"/>
  <c r="E61" i="109" a="1"/>
  <c r="E61" i="109" s="1"/>
  <c r="D61" i="109" a="1"/>
  <c r="D61" i="109" s="1"/>
  <c r="I60" i="109" a="1"/>
  <c r="I60" i="109" s="1"/>
  <c r="H60" i="109" a="1"/>
  <c r="H60" i="109" s="1"/>
  <c r="G60" i="109" a="1"/>
  <c r="G60" i="109" s="1"/>
  <c r="F60" i="109" a="1"/>
  <c r="F60" i="109" s="1"/>
  <c r="E60" i="109" a="1"/>
  <c r="E60" i="109" s="1"/>
  <c r="D60" i="109" a="1"/>
  <c r="D60" i="109" s="1"/>
  <c r="I59" i="109" a="1"/>
  <c r="I59" i="109" s="1"/>
  <c r="H59" i="109" a="1"/>
  <c r="H59" i="109" s="1"/>
  <c r="G59" i="109" a="1"/>
  <c r="G59" i="109" s="1"/>
  <c r="F59" i="109" a="1"/>
  <c r="F59" i="109" s="1"/>
  <c r="E59" i="109" a="1"/>
  <c r="E59" i="109" s="1"/>
  <c r="D59" i="109" a="1"/>
  <c r="D59" i="109" s="1"/>
  <c r="I58" i="109" a="1"/>
  <c r="I58" i="109" s="1"/>
  <c r="H58" i="109" a="1"/>
  <c r="H58" i="109" s="1"/>
  <c r="G58" i="109" a="1"/>
  <c r="G58" i="109" s="1"/>
  <c r="F58" i="109" a="1"/>
  <c r="F58" i="109" s="1"/>
  <c r="E58" i="109" a="1"/>
  <c r="E58" i="109" s="1"/>
  <c r="D58" i="109" a="1"/>
  <c r="D58" i="109" s="1"/>
  <c r="I57" i="109" a="1"/>
  <c r="I57" i="109" s="1"/>
  <c r="H57" i="109" a="1"/>
  <c r="H57" i="109" s="1"/>
  <c r="G57" i="109" a="1"/>
  <c r="G57" i="109" s="1"/>
  <c r="F57" i="109" a="1"/>
  <c r="F57" i="109" s="1"/>
  <c r="E57" i="109" a="1"/>
  <c r="E57" i="109" s="1"/>
  <c r="D57" i="109" a="1"/>
  <c r="D57" i="109" s="1"/>
  <c r="I56" i="109" a="1"/>
  <c r="I56" i="109" s="1"/>
  <c r="H56" i="109" a="1"/>
  <c r="H56" i="109" s="1"/>
  <c r="G56" i="109" a="1"/>
  <c r="G56" i="109" s="1"/>
  <c r="F56" i="109" a="1"/>
  <c r="F56" i="109" s="1"/>
  <c r="E56" i="109" a="1"/>
  <c r="E56" i="109" s="1"/>
  <c r="D56" i="109"/>
  <c r="D56" i="109" a="1"/>
  <c r="I55" i="109" a="1"/>
  <c r="I55" i="109" s="1"/>
  <c r="H55" i="109" a="1"/>
  <c r="H55" i="109" s="1"/>
  <c r="G55" i="109" a="1"/>
  <c r="G55" i="109" s="1"/>
  <c r="F55" i="109" a="1"/>
  <c r="F55" i="109" s="1"/>
  <c r="E55" i="109" a="1"/>
  <c r="E55" i="109" s="1"/>
  <c r="D55" i="109" a="1"/>
  <c r="D55" i="109" s="1"/>
  <c r="I54" i="109" a="1"/>
  <c r="I54" i="109" s="1"/>
  <c r="H54" i="109" a="1"/>
  <c r="H54" i="109" s="1"/>
  <c r="G54" i="109" a="1"/>
  <c r="G54" i="109" s="1"/>
  <c r="F54" i="109" a="1"/>
  <c r="F54" i="109" s="1"/>
  <c r="E54" i="109" a="1"/>
  <c r="E54" i="109" s="1"/>
  <c r="D54" i="109" a="1"/>
  <c r="D54" i="109" s="1"/>
  <c r="I53" i="109" a="1"/>
  <c r="I53" i="109" s="1"/>
  <c r="H53" i="109" a="1"/>
  <c r="H53" i="109" s="1"/>
  <c r="G53" i="109" a="1"/>
  <c r="G53" i="109" s="1"/>
  <c r="F53" i="109" a="1"/>
  <c r="F53" i="109" s="1"/>
  <c r="E53" i="109" a="1"/>
  <c r="E53" i="109" s="1"/>
  <c r="D53" i="109" a="1"/>
  <c r="D53" i="109" s="1"/>
  <c r="I52" i="109" a="1"/>
  <c r="I52" i="109" s="1"/>
  <c r="H52" i="109" a="1"/>
  <c r="H52" i="109" s="1"/>
  <c r="G52" i="109" a="1"/>
  <c r="G52" i="109" s="1"/>
  <c r="F52" i="109" a="1"/>
  <c r="F52" i="109" s="1"/>
  <c r="E52" i="109" a="1"/>
  <c r="E52" i="109" s="1"/>
  <c r="D52" i="109" a="1"/>
  <c r="D52" i="109" s="1"/>
  <c r="I51" i="109" a="1"/>
  <c r="I51" i="109" s="1"/>
  <c r="H51" i="109" a="1"/>
  <c r="H51" i="109" s="1"/>
  <c r="G51" i="109" a="1"/>
  <c r="G51" i="109" s="1"/>
  <c r="F51" i="109" a="1"/>
  <c r="F51" i="109" s="1"/>
  <c r="E51" i="109" a="1"/>
  <c r="E51" i="109" s="1"/>
  <c r="D51" i="109" a="1"/>
  <c r="D51" i="109" s="1"/>
  <c r="I50" i="109" a="1"/>
  <c r="I50" i="109" s="1"/>
  <c r="H50" i="109" a="1"/>
  <c r="H50" i="109" s="1"/>
  <c r="G50" i="109" a="1"/>
  <c r="G50" i="109" s="1"/>
  <c r="F50" i="109" a="1"/>
  <c r="F50" i="109" s="1"/>
  <c r="E50" i="109" a="1"/>
  <c r="E50" i="109" s="1"/>
  <c r="D50" i="109" a="1"/>
  <c r="D50" i="109" s="1"/>
  <c r="I49" i="109" a="1"/>
  <c r="I49" i="109" s="1"/>
  <c r="H49" i="109" a="1"/>
  <c r="H49" i="109" s="1"/>
  <c r="G49" i="109" a="1"/>
  <c r="G49" i="109" s="1"/>
  <c r="F49" i="109" a="1"/>
  <c r="F49" i="109" s="1"/>
  <c r="E49" i="109" a="1"/>
  <c r="E49" i="109" s="1"/>
  <c r="D49" i="109" a="1"/>
  <c r="D49" i="109" s="1"/>
  <c r="I48" i="109" a="1"/>
  <c r="I48" i="109" s="1"/>
  <c r="H48" i="109" a="1"/>
  <c r="H48" i="109" s="1"/>
  <c r="G48" i="109" a="1"/>
  <c r="G48" i="109" s="1"/>
  <c r="F48" i="109" a="1"/>
  <c r="F48" i="109" s="1"/>
  <c r="E48" i="109" a="1"/>
  <c r="E48" i="109" s="1"/>
  <c r="D48" i="109" a="1"/>
  <c r="D48" i="109" s="1"/>
  <c r="I47" i="109" a="1"/>
  <c r="I47" i="109" s="1"/>
  <c r="H47" i="109" a="1"/>
  <c r="H47" i="109" s="1"/>
  <c r="G47" i="109" a="1"/>
  <c r="G47" i="109" s="1"/>
  <c r="F47" i="109" a="1"/>
  <c r="F47" i="109" s="1"/>
  <c r="E47" i="109" a="1"/>
  <c r="E47" i="109" s="1"/>
  <c r="D47" i="109" a="1"/>
  <c r="D47" i="109" s="1"/>
  <c r="I46" i="109" a="1"/>
  <c r="I46" i="109" s="1"/>
  <c r="H46" i="109" a="1"/>
  <c r="H46" i="109" s="1"/>
  <c r="G46" i="109" a="1"/>
  <c r="G46" i="109" s="1"/>
  <c r="F46" i="109" a="1"/>
  <c r="F46" i="109" s="1"/>
  <c r="E46" i="109" a="1"/>
  <c r="E46" i="109" s="1"/>
  <c r="D46" i="109" a="1"/>
  <c r="D46" i="109" s="1"/>
  <c r="I45" i="109" a="1"/>
  <c r="I45" i="109" s="1"/>
  <c r="H45" i="109" a="1"/>
  <c r="H45" i="109" s="1"/>
  <c r="G45" i="109" a="1"/>
  <c r="G45" i="109" s="1"/>
  <c r="F45" i="109" a="1"/>
  <c r="F45" i="109" s="1"/>
  <c r="E45" i="109" a="1"/>
  <c r="E45" i="109" s="1"/>
  <c r="D45" i="109" a="1"/>
  <c r="D45" i="109" s="1"/>
  <c r="I44" i="109" a="1"/>
  <c r="I44" i="109" s="1"/>
  <c r="H44" i="109" a="1"/>
  <c r="H44" i="109" s="1"/>
  <c r="G44" i="109" a="1"/>
  <c r="G44" i="109" s="1"/>
  <c r="F44" i="109" a="1"/>
  <c r="F44" i="109" s="1"/>
  <c r="E44" i="109" a="1"/>
  <c r="E44" i="109" s="1"/>
  <c r="D44" i="109" a="1"/>
  <c r="D44" i="109" s="1"/>
  <c r="I43" i="109" a="1"/>
  <c r="I43" i="109" s="1"/>
  <c r="H43" i="109" a="1"/>
  <c r="H43" i="109" s="1"/>
  <c r="G43" i="109" a="1"/>
  <c r="G43" i="109" s="1"/>
  <c r="F43" i="109" a="1"/>
  <c r="F43" i="109" s="1"/>
  <c r="E43" i="109" a="1"/>
  <c r="E43" i="109" s="1"/>
  <c r="D43" i="109" a="1"/>
  <c r="D43" i="109" s="1"/>
  <c r="I42" i="109" a="1"/>
  <c r="I42" i="109" s="1"/>
  <c r="H42" i="109" a="1"/>
  <c r="H42" i="109" s="1"/>
  <c r="G42" i="109" a="1"/>
  <c r="G42" i="109" s="1"/>
  <c r="F42" i="109" a="1"/>
  <c r="F42" i="109" s="1"/>
  <c r="E42" i="109" a="1"/>
  <c r="E42" i="109" s="1"/>
  <c r="D42" i="109" a="1"/>
  <c r="D42" i="109" s="1"/>
  <c r="I41" i="109" a="1"/>
  <c r="I41" i="109" s="1"/>
  <c r="H41" i="109" a="1"/>
  <c r="H41" i="109" s="1"/>
  <c r="G41" i="109" a="1"/>
  <c r="G41" i="109" s="1"/>
  <c r="F41" i="109" a="1"/>
  <c r="F41" i="109" s="1"/>
  <c r="E41" i="109" a="1"/>
  <c r="E41" i="109" s="1"/>
  <c r="D41" i="109" a="1"/>
  <c r="D41" i="109" s="1"/>
  <c r="I40" i="109" a="1"/>
  <c r="I40" i="109" s="1"/>
  <c r="H40" i="109" a="1"/>
  <c r="H40" i="109" s="1"/>
  <c r="G40" i="109" a="1"/>
  <c r="G40" i="109" s="1"/>
  <c r="F40" i="109" a="1"/>
  <c r="F40" i="109" s="1"/>
  <c r="E40" i="109" a="1"/>
  <c r="E40" i="109" s="1"/>
  <c r="D40" i="109" a="1"/>
  <c r="D40" i="109" s="1"/>
  <c r="I39" i="109" a="1"/>
  <c r="I39" i="109" s="1"/>
  <c r="H39" i="109" a="1"/>
  <c r="H39" i="109" s="1"/>
  <c r="G39" i="109" a="1"/>
  <c r="G39" i="109" s="1"/>
  <c r="F39" i="109" a="1"/>
  <c r="F39" i="109" s="1"/>
  <c r="E39" i="109" a="1"/>
  <c r="E39" i="109" s="1"/>
  <c r="D39" i="109" a="1"/>
  <c r="D39" i="109" s="1"/>
  <c r="I38" i="109" a="1"/>
  <c r="I38" i="109" s="1"/>
  <c r="H38" i="109" a="1"/>
  <c r="H38" i="109" s="1"/>
  <c r="G38" i="109" a="1"/>
  <c r="G38" i="109" s="1"/>
  <c r="F38" i="109" a="1"/>
  <c r="F38" i="109" s="1"/>
  <c r="E38" i="109" a="1"/>
  <c r="E38" i="109" s="1"/>
  <c r="D38" i="109" a="1"/>
  <c r="D38" i="109" s="1"/>
  <c r="I37" i="109" a="1"/>
  <c r="I37" i="109" s="1"/>
  <c r="H37" i="109" a="1"/>
  <c r="H37" i="109" s="1"/>
  <c r="G37" i="109" a="1"/>
  <c r="G37" i="109" s="1"/>
  <c r="F37" i="109" a="1"/>
  <c r="F37" i="109" s="1"/>
  <c r="E37" i="109" a="1"/>
  <c r="E37" i="109" s="1"/>
  <c r="D37" i="109" a="1"/>
  <c r="D37" i="109" s="1"/>
  <c r="I36" i="109" a="1"/>
  <c r="I36" i="109" s="1"/>
  <c r="H36" i="109" a="1"/>
  <c r="H36" i="109" s="1"/>
  <c r="G36" i="109" a="1"/>
  <c r="G36" i="109" s="1"/>
  <c r="F36" i="109" a="1"/>
  <c r="F36" i="109" s="1"/>
  <c r="E36" i="109" a="1"/>
  <c r="E36" i="109" s="1"/>
  <c r="D36" i="109" a="1"/>
  <c r="D36" i="109" s="1"/>
  <c r="I35" i="109" a="1"/>
  <c r="I35" i="109" s="1"/>
  <c r="H35" i="109" a="1"/>
  <c r="H35" i="109" s="1"/>
  <c r="G35" i="109" a="1"/>
  <c r="G35" i="109" s="1"/>
  <c r="F35" i="109" a="1"/>
  <c r="F35" i="109" s="1"/>
  <c r="E35" i="109" a="1"/>
  <c r="E35" i="109" s="1"/>
  <c r="D35" i="109" a="1"/>
  <c r="D35" i="109" s="1"/>
  <c r="I34" i="109" a="1"/>
  <c r="I34" i="109" s="1"/>
  <c r="H34" i="109" a="1"/>
  <c r="H34" i="109" s="1"/>
  <c r="G34" i="109" a="1"/>
  <c r="G34" i="109" s="1"/>
  <c r="F34" i="109" a="1"/>
  <c r="F34" i="109" s="1"/>
  <c r="E34" i="109" a="1"/>
  <c r="E34" i="109" s="1"/>
  <c r="D34" i="109" a="1"/>
  <c r="D34" i="109" s="1"/>
  <c r="R85" i="108" a="1"/>
  <c r="R85" i="108" s="1"/>
  <c r="N85" i="108" a="1"/>
  <c r="N85" i="108" s="1"/>
  <c r="H85" i="108" a="1"/>
  <c r="H85" i="108" s="1"/>
  <c r="D85" i="108" a="1"/>
  <c r="D85" i="108" s="1"/>
  <c r="O83" i="108" a="1"/>
  <c r="O83" i="108" s="1"/>
  <c r="E83" i="108" a="1"/>
  <c r="E83" i="108" s="1"/>
  <c r="P90" i="108" s="1"/>
  <c r="O82" i="108" a="1"/>
  <c r="O82" i="108" s="1"/>
  <c r="E82" i="108" a="1"/>
  <c r="E82" i="108" s="1"/>
  <c r="N78" i="108" a="1"/>
  <c r="N78" i="108" s="1"/>
  <c r="D78" i="108" a="1"/>
  <c r="D78" i="108" s="1"/>
  <c r="N77" i="108" a="1"/>
  <c r="N77" i="108" s="1"/>
  <c r="D77" i="108" a="1"/>
  <c r="D77" i="108" s="1"/>
  <c r="I72" i="108"/>
  <c r="I71" i="108"/>
  <c r="I70" i="108"/>
  <c r="S67" i="108"/>
  <c r="Q67" i="108" a="1"/>
  <c r="Q67" i="108" s="1"/>
  <c r="N67" i="108" a="1"/>
  <c r="N67" i="108" s="1"/>
  <c r="I67" i="108"/>
  <c r="G67" i="108" a="1"/>
  <c r="G67" i="108" s="1"/>
  <c r="D67" i="108" a="1"/>
  <c r="D67" i="108" s="1"/>
  <c r="O65" i="108" a="1"/>
  <c r="O65" i="108" s="1"/>
  <c r="E65" i="108" a="1"/>
  <c r="E65" i="108" s="1"/>
  <c r="P74" i="108" s="1"/>
  <c r="O64" i="108" a="1"/>
  <c r="O64" i="108" s="1"/>
  <c r="E64" i="108" a="1"/>
  <c r="E64" i="108" s="1"/>
  <c r="N60" i="108" a="1"/>
  <c r="N60" i="108" s="1"/>
  <c r="D60" i="108" a="1"/>
  <c r="D60" i="108" s="1"/>
  <c r="N59" i="108" a="1"/>
  <c r="N59" i="108" s="1"/>
  <c r="D59" i="108" a="1"/>
  <c r="D59" i="108" s="1"/>
  <c r="I52" i="108"/>
  <c r="I51" i="108"/>
  <c r="Q48" i="108" a="1"/>
  <c r="Q48" i="108" s="1"/>
  <c r="N48" i="108" a="1"/>
  <c r="N48" i="108" s="1"/>
  <c r="G48" i="108" a="1"/>
  <c r="G48" i="108" s="1"/>
  <c r="D48" i="108" a="1"/>
  <c r="D48" i="108" s="1"/>
  <c r="O46" i="108" a="1"/>
  <c r="O46" i="108" s="1"/>
  <c r="E46" i="108" a="1"/>
  <c r="E46" i="108" s="1"/>
  <c r="O45" i="108" a="1"/>
  <c r="O45" i="108" s="1"/>
  <c r="E45" i="108" a="1"/>
  <c r="E45" i="108" s="1"/>
  <c r="N41" i="108" a="1"/>
  <c r="N41" i="108" s="1"/>
  <c r="D41" i="108" a="1"/>
  <c r="D41" i="108" s="1"/>
  <c r="N40" i="108" a="1"/>
  <c r="N40" i="108" s="1"/>
  <c r="D40" i="108" a="1"/>
  <c r="D40" i="108" s="1"/>
  <c r="S32" i="108"/>
  <c r="Q32" i="108" a="1"/>
  <c r="Q32" i="108" s="1"/>
  <c r="N32" i="108" a="1"/>
  <c r="N32" i="108" s="1"/>
  <c r="I32" i="108"/>
  <c r="G32" i="108" a="1"/>
  <c r="G32" i="108" s="1"/>
  <c r="D32" i="108" a="1"/>
  <c r="D32" i="108" s="1"/>
  <c r="O30" i="108" a="1"/>
  <c r="O30" i="108" s="1"/>
  <c r="P35" i="108" s="1"/>
  <c r="E30" i="108" a="1"/>
  <c r="E30" i="108" s="1"/>
  <c r="F35" i="108" s="1"/>
  <c r="O29" i="108" a="1"/>
  <c r="O29" i="108" s="1"/>
  <c r="E29" i="108" a="1"/>
  <c r="E29" i="108" s="1"/>
  <c r="N25" i="108" a="1"/>
  <c r="N25" i="108" s="1"/>
  <c r="D25" i="108" a="1"/>
  <c r="D25" i="108" s="1"/>
  <c r="N24" i="108" a="1"/>
  <c r="N24" i="108" s="1"/>
  <c r="D24" i="108" a="1"/>
  <c r="D24" i="108" s="1"/>
  <c r="J16" i="108"/>
  <c r="T13" i="108"/>
  <c r="R13" i="108" a="1"/>
  <c r="R13" i="108" s="1"/>
  <c r="N13" i="108" a="1"/>
  <c r="N13" i="108" s="1"/>
  <c r="J13" i="108"/>
  <c r="H13" i="108" a="1"/>
  <c r="H13" i="108" s="1"/>
  <c r="D13" i="108" a="1"/>
  <c r="D13" i="108" s="1"/>
  <c r="O11" i="108" a="1"/>
  <c r="O11" i="108" s="1"/>
  <c r="E11" i="108" a="1"/>
  <c r="E11" i="108" s="1"/>
  <c r="O10" i="108" a="1"/>
  <c r="O10" i="108" s="1"/>
  <c r="E10" i="108" a="1"/>
  <c r="E10" i="108" s="1"/>
  <c r="N6" i="108" a="1"/>
  <c r="N6" i="108" s="1"/>
  <c r="D6" i="108" a="1"/>
  <c r="D6" i="108" s="1"/>
  <c r="N5" i="108" a="1"/>
  <c r="N5" i="108" s="1"/>
  <c r="D5" i="108" a="1"/>
  <c r="D5" i="108" s="1"/>
  <c r="J636" i="107" a="1"/>
  <c r="J636" i="107" s="1"/>
  <c r="J634" i="107" a="1"/>
  <c r="J634" i="107" s="1"/>
  <c r="J633" i="107" a="1"/>
  <c r="J633" i="107" s="1"/>
  <c r="J629" i="107" a="1"/>
  <c r="J629" i="107" s="1"/>
  <c r="J628" i="107" a="1"/>
  <c r="J628" i="107" s="1"/>
  <c r="J635" i="107" a="1"/>
  <c r="J635" i="107" s="1"/>
  <c r="J618" i="107" a="1"/>
  <c r="J618" i="107" s="1"/>
  <c r="J617" i="107" a="1"/>
  <c r="J617" i="107" s="1"/>
  <c r="J616" i="107" a="1"/>
  <c r="J616" i="107" s="1"/>
  <c r="J612" i="107" a="1"/>
  <c r="J612" i="107" s="1"/>
  <c r="J611" i="107" a="1"/>
  <c r="J611" i="107" s="1"/>
  <c r="J610" i="107" a="1"/>
  <c r="J610" i="107" s="1"/>
  <c r="J615" i="107" a="1"/>
  <c r="J615" i="107" s="1"/>
  <c r="G601" i="107" a="1"/>
  <c r="G601" i="107" s="1"/>
  <c r="D601" i="107" a="1"/>
  <c r="D601" i="107" s="1"/>
  <c r="E599" i="107" a="1"/>
  <c r="E599" i="107" s="1"/>
  <c r="E598" i="107" a="1"/>
  <c r="E598" i="107" s="1"/>
  <c r="D593" i="107" a="1"/>
  <c r="D593" i="107" s="1"/>
  <c r="D592" i="107" a="1"/>
  <c r="D592" i="107" s="1"/>
  <c r="E586" i="107" a="1"/>
  <c r="E586" i="107" s="1"/>
  <c r="F588" i="107" s="1"/>
  <c r="E585" i="107" a="1"/>
  <c r="E585" i="107" s="1"/>
  <c r="D583" i="107" a="1"/>
  <c r="D583" i="107" s="1"/>
  <c r="D582" i="107" a="1"/>
  <c r="D582" i="107" s="1"/>
  <c r="N578" i="107" a="1"/>
  <c r="N578" i="107" s="1"/>
  <c r="F578" i="107" a="1"/>
  <c r="F578" i="107" s="1"/>
  <c r="L575" i="107" a="1"/>
  <c r="L575" i="107" s="1"/>
  <c r="D575" i="107" a="1"/>
  <c r="D575" i="107" s="1"/>
  <c r="P569" i="107" a="1"/>
  <c r="P569" i="107" s="1"/>
  <c r="L569" i="107" a="1"/>
  <c r="L569" i="107" s="1"/>
  <c r="H569" i="107" a="1"/>
  <c r="H569" i="107" s="1"/>
  <c r="D569" i="107" a="1"/>
  <c r="D569" i="107" s="1"/>
  <c r="E565" i="107" a="1"/>
  <c r="E565" i="107" s="1"/>
  <c r="E564" i="107" a="1"/>
  <c r="E564" i="107" s="1"/>
  <c r="D560" i="107" a="1"/>
  <c r="D560" i="107" s="1"/>
  <c r="D559" i="107" a="1"/>
  <c r="D559" i="107" s="1"/>
  <c r="I553" i="107"/>
  <c r="I549" i="107"/>
  <c r="I548" i="107"/>
  <c r="I547" i="107"/>
  <c r="G547" i="107" a="1"/>
  <c r="G547" i="107" s="1"/>
  <c r="D547" i="107" a="1"/>
  <c r="D547" i="107" s="1"/>
  <c r="E545" i="107" a="1"/>
  <c r="E545" i="107" s="1"/>
  <c r="E544" i="107" a="1"/>
  <c r="E544" i="107" s="1"/>
  <c r="D539" i="107" a="1"/>
  <c r="D539" i="107" s="1"/>
  <c r="D538" i="107" a="1"/>
  <c r="D538" i="107" s="1"/>
  <c r="D537" i="107" a="1"/>
  <c r="D537" i="107" s="1"/>
  <c r="I531" i="107"/>
  <c r="I529" i="107"/>
  <c r="G529" i="107" a="1"/>
  <c r="G529" i="107" s="1"/>
  <c r="D529" i="107" a="1"/>
  <c r="D529" i="107" s="1"/>
  <c r="E527" i="107" a="1"/>
  <c r="E527" i="107" s="1"/>
  <c r="E526" i="107" a="1"/>
  <c r="E526" i="107" s="1"/>
  <c r="D522" i="107" a="1"/>
  <c r="D522" i="107" s="1"/>
  <c r="D521" i="107" a="1"/>
  <c r="D521" i="107" s="1"/>
  <c r="G515" i="107" a="1"/>
  <c r="G515" i="107" s="1"/>
  <c r="D515" i="107" a="1"/>
  <c r="D515" i="107" s="1"/>
  <c r="E513" i="107" a="1"/>
  <c r="E513" i="107" s="1"/>
  <c r="E512" i="107" a="1"/>
  <c r="E512" i="107" s="1"/>
  <c r="D507" i="107" a="1"/>
  <c r="D507" i="107" s="1"/>
  <c r="D506" i="107" a="1"/>
  <c r="D506" i="107" s="1"/>
  <c r="K497" i="107" a="1"/>
  <c r="K497" i="107" s="1"/>
  <c r="K496" i="107" a="1"/>
  <c r="K496" i="107" s="1"/>
  <c r="K495" i="107" a="1"/>
  <c r="K495" i="107" s="1"/>
  <c r="K494" i="107" a="1"/>
  <c r="K494" i="107" s="1"/>
  <c r="E481" i="107"/>
  <c r="I481" i="107" s="1" a="1"/>
  <c r="I481" i="107" s="1"/>
  <c r="E480" i="107"/>
  <c r="E479" i="107"/>
  <c r="I479" i="107" s="1" a="1"/>
  <c r="I479" i="107" s="1"/>
  <c r="E470" i="107"/>
  <c r="I470" i="107" s="1" a="1"/>
  <c r="I470" i="107" s="1"/>
  <c r="E469" i="107"/>
  <c r="E468" i="107"/>
  <c r="I468" i="107" s="1" a="1"/>
  <c r="I468" i="107" s="1"/>
  <c r="E467" i="107"/>
  <c r="E466" i="107"/>
  <c r="I466" i="107" s="1" a="1"/>
  <c r="I466" i="107" s="1"/>
  <c r="J432" i="107" a="1"/>
  <c r="J432" i="107" s="1"/>
  <c r="J431" i="107" a="1"/>
  <c r="J431" i="107" s="1"/>
  <c r="G424" i="107" a="1"/>
  <c r="G424" i="107" s="1"/>
  <c r="D424" i="107" a="1"/>
  <c r="D424" i="107" s="1"/>
  <c r="E422" i="107" a="1"/>
  <c r="E422" i="107" s="1"/>
  <c r="E421" i="107" a="1"/>
  <c r="E421" i="107" s="1"/>
  <c r="D416" i="107" a="1"/>
  <c r="D416" i="107" s="1"/>
  <c r="D415" i="107" a="1"/>
  <c r="D415" i="107" s="1"/>
  <c r="F392" i="107" a="1"/>
  <c r="F392" i="107" s="1"/>
  <c r="D392" i="107" a="1"/>
  <c r="D392" i="107" s="1"/>
  <c r="E390" i="107" a="1"/>
  <c r="E390" i="107" s="1"/>
  <c r="E389" i="107" a="1"/>
  <c r="E389" i="107" s="1"/>
  <c r="D384" i="107" a="1"/>
  <c r="D384" i="107" s="1"/>
  <c r="D383" i="107" a="1"/>
  <c r="D383" i="107" s="1"/>
  <c r="J367" i="107" a="1"/>
  <c r="J367" i="107" s="1"/>
  <c r="F362" i="107" a="1"/>
  <c r="F362" i="107" s="1"/>
  <c r="D362" i="107" a="1"/>
  <c r="D362" i="107" s="1"/>
  <c r="E360" i="107" a="1"/>
  <c r="E360" i="107" s="1"/>
  <c r="E359" i="107" a="1"/>
  <c r="E359" i="107" s="1"/>
  <c r="D354" i="107" a="1"/>
  <c r="D354" i="107" s="1"/>
  <c r="D353" i="107" a="1"/>
  <c r="D353" i="107" s="1"/>
  <c r="D352" i="107" a="1"/>
  <c r="D352" i="107" s="1"/>
  <c r="K345" i="107" a="1"/>
  <c r="K345" i="107" s="1"/>
  <c r="L344" i="107"/>
  <c r="K344" i="107" a="1"/>
  <c r="K344" i="107" s="1"/>
  <c r="L343" i="107"/>
  <c r="K343" i="107" a="1"/>
  <c r="K343" i="107" s="1"/>
  <c r="K340" i="107" a="1"/>
  <c r="K340" i="107" s="1"/>
  <c r="K339" i="107" a="1"/>
  <c r="K339" i="107" s="1"/>
  <c r="L338" i="107"/>
  <c r="K338" i="107" a="1"/>
  <c r="K338" i="107" s="1"/>
  <c r="K337" i="107" a="1"/>
  <c r="K337" i="107" s="1"/>
  <c r="L342" i="107"/>
  <c r="G329" i="107" a="1"/>
  <c r="G329" i="107" s="1"/>
  <c r="D329" i="107" a="1"/>
  <c r="D329" i="107" s="1"/>
  <c r="E327" i="107" a="1"/>
  <c r="E327" i="107" s="1"/>
  <c r="E326" i="107" a="1"/>
  <c r="E326" i="107" s="1"/>
  <c r="D322" i="107" a="1"/>
  <c r="D322" i="107" s="1"/>
  <c r="D321" i="107" a="1"/>
  <c r="D321" i="107" s="1"/>
  <c r="F296" i="107" a="1"/>
  <c r="D296" i="107" a="1"/>
  <c r="D296" i="107" s="1"/>
  <c r="E294" i="107" a="1"/>
  <c r="E294" i="107" s="1"/>
  <c r="E293" i="107" a="1"/>
  <c r="E293" i="107" s="1"/>
  <c r="D289" i="107" a="1"/>
  <c r="D289" i="107" s="1"/>
  <c r="D288" i="107" a="1"/>
  <c r="D288" i="107" s="1"/>
  <c r="G265" i="107" a="1"/>
  <c r="G265" i="107" s="1"/>
  <c r="D265" i="107" a="1"/>
  <c r="D265" i="107" s="1"/>
  <c r="E263" i="107" a="1"/>
  <c r="E263" i="107" s="1"/>
  <c r="E262" i="107" a="1"/>
  <c r="E262" i="107" s="1"/>
  <c r="D257" i="107" a="1"/>
  <c r="D257" i="107" s="1"/>
  <c r="D256" i="107" a="1"/>
  <c r="D256" i="107" s="1"/>
  <c r="G209" i="107" a="1"/>
  <c r="G209" i="107" s="1"/>
  <c r="D209" i="107" a="1"/>
  <c r="D209" i="107" s="1"/>
  <c r="E207" i="107" a="1"/>
  <c r="E207" i="107" s="1"/>
  <c r="E206" i="107" a="1"/>
  <c r="E206" i="107" s="1"/>
  <c r="D202" i="107" a="1"/>
  <c r="D202" i="107" s="1"/>
  <c r="D201" i="107" a="1"/>
  <c r="D201" i="107" s="1"/>
  <c r="D200" i="107" a="1"/>
  <c r="D200" i="107" s="1"/>
  <c r="G194" i="107" a="1"/>
  <c r="G194" i="107" s="1"/>
  <c r="D194" i="107" a="1"/>
  <c r="D194" i="107" s="1"/>
  <c r="E192" i="107" a="1"/>
  <c r="E192" i="107" s="1"/>
  <c r="E191" i="107" a="1"/>
  <c r="E191" i="107" s="1"/>
  <c r="D187" i="107" a="1"/>
  <c r="D187" i="107" s="1"/>
  <c r="D186" i="107" a="1"/>
  <c r="D186" i="107" s="1"/>
  <c r="G180" i="107" a="1"/>
  <c r="G180" i="107" s="1"/>
  <c r="D180" i="107" a="1"/>
  <c r="D180" i="107" s="1"/>
  <c r="E178" i="107" a="1"/>
  <c r="E178" i="107" s="1"/>
  <c r="E177" i="107" a="1"/>
  <c r="E177" i="107" s="1"/>
  <c r="D173" i="107" a="1"/>
  <c r="D173" i="107" s="1"/>
  <c r="D172" i="107" a="1"/>
  <c r="D172" i="107" s="1"/>
  <c r="D171" i="107" a="1"/>
  <c r="D171" i="107" s="1"/>
  <c r="I164" i="107" a="1"/>
  <c r="I164" i="107" s="1"/>
  <c r="I163" i="107" a="1"/>
  <c r="I163" i="107" s="1"/>
  <c r="I162" i="107" a="1"/>
  <c r="I162" i="107" s="1"/>
  <c r="G157" i="107" a="1"/>
  <c r="G157" i="107" s="1"/>
  <c r="D157" i="107" a="1"/>
  <c r="D157" i="107" s="1"/>
  <c r="E155" i="107" a="1"/>
  <c r="E155" i="107" s="1"/>
  <c r="F518" i="107" s="1"/>
  <c r="E154" i="107" a="1"/>
  <c r="E154" i="107" s="1"/>
  <c r="D150" i="107" a="1"/>
  <c r="D150" i="107" s="1"/>
  <c r="D149" i="107" a="1"/>
  <c r="D149" i="107" s="1"/>
  <c r="I137" i="107" a="1"/>
  <c r="I137" i="107" s="1"/>
  <c r="I136" i="107" a="1"/>
  <c r="I136" i="107" s="1"/>
  <c r="G106" i="107" a="1"/>
  <c r="G106" i="107" s="1"/>
  <c r="D106" i="107" a="1"/>
  <c r="D106" i="107" s="1"/>
  <c r="E104" i="107" a="1"/>
  <c r="E104" i="107" s="1"/>
  <c r="E103" i="107" a="1"/>
  <c r="E103" i="107" s="1"/>
  <c r="D99" i="107" a="1"/>
  <c r="D99" i="107" s="1"/>
  <c r="D98" i="107" a="1"/>
  <c r="D98" i="107" s="1"/>
  <c r="J62" i="107" a="1"/>
  <c r="J62" i="107" s="1"/>
  <c r="J61" i="107" a="1"/>
  <c r="J61" i="107" s="1"/>
  <c r="M24" i="107" a="1"/>
  <c r="M24" i="107" s="1"/>
  <c r="G13" i="107" a="1"/>
  <c r="G13" i="107" s="1"/>
  <c r="D13" i="107" a="1"/>
  <c r="D13" i="107" s="1"/>
  <c r="E11" i="107" a="1"/>
  <c r="E11" i="107" s="1"/>
  <c r="E10" i="107" a="1"/>
  <c r="E10" i="107" s="1"/>
  <c r="D6" i="107" a="1"/>
  <c r="D6" i="107" s="1"/>
  <c r="D5" i="107" a="1"/>
  <c r="D5" i="107" s="1"/>
  <c r="H19" i="104"/>
  <c r="L19" i="104" s="1"/>
  <c r="R18" i="104"/>
  <c r="H18" i="104"/>
  <c r="O18" i="104" s="1"/>
  <c r="H17" i="104"/>
  <c r="O17" i="104" s="1"/>
  <c r="R16" i="104"/>
  <c r="H16" i="104"/>
  <c r="O16" i="104" s="1"/>
  <c r="R15" i="104"/>
  <c r="O15" i="104"/>
  <c r="L15" i="104"/>
  <c r="H15" i="104"/>
  <c r="H14" i="104"/>
  <c r="O14" i="104" s="1"/>
  <c r="H13" i="104"/>
  <c r="R13" i="104" s="1"/>
  <c r="R12" i="104"/>
  <c r="O12" i="104"/>
  <c r="H12" i="104"/>
  <c r="L12" i="104" s="1"/>
  <c r="H11" i="104"/>
  <c r="R11" i="104" s="1"/>
  <c r="L10" i="104"/>
  <c r="H10" i="104"/>
  <c r="R10" i="104" s="1"/>
  <c r="Q8" i="104" a="1"/>
  <c r="Q8" i="104" s="1"/>
  <c r="N8" i="104" a="1"/>
  <c r="N8" i="104" s="1"/>
  <c r="K8" i="104" a="1"/>
  <c r="K8" i="104"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F67" i="101" a="1"/>
  <c r="F67" i="101" s="1"/>
  <c r="D64" i="101" a="1"/>
  <c r="D64" i="101" s="1"/>
  <c r="I60" i="101"/>
  <c r="G56" i="101" a="1"/>
  <c r="G56" i="101" s="1"/>
  <c r="D56" i="101" a="1"/>
  <c r="D56" i="101" s="1"/>
  <c r="E54" i="101" a="1"/>
  <c r="E54" i="101" s="1"/>
  <c r="F62" i="101" s="1"/>
  <c r="E53" i="101" a="1"/>
  <c r="E53" i="101" s="1"/>
  <c r="D49" i="101" a="1"/>
  <c r="D49" i="101" s="1"/>
  <c r="D48" i="101" a="1"/>
  <c r="D48" i="101" s="1"/>
  <c r="F44" i="101" a="1"/>
  <c r="F44" i="101" s="1"/>
  <c r="D41" i="101" a="1"/>
  <c r="D41" i="101" s="1"/>
  <c r="F39" i="101" a="1"/>
  <c r="F39" i="101" s="1"/>
  <c r="I37" i="101"/>
  <c r="I34" i="101" s="1" a="1"/>
  <c r="I34" i="101" s="1"/>
  <c r="G33" i="101" a="1"/>
  <c r="G33" i="101" s="1"/>
  <c r="D33" i="101" a="1"/>
  <c r="D33" i="101" s="1"/>
  <c r="E31" i="101" a="1"/>
  <c r="E31" i="101" s="1"/>
  <c r="E30" i="101" a="1"/>
  <c r="E30" i="101" s="1"/>
  <c r="D26" i="101" a="1"/>
  <c r="D26" i="101" s="1"/>
  <c r="D25" i="101" a="1"/>
  <c r="D25" i="101" s="1"/>
  <c r="F21" i="101" a="1"/>
  <c r="F21" i="101" s="1"/>
  <c r="I19" i="101"/>
  <c r="I18" i="101"/>
  <c r="G13" i="101" a="1"/>
  <c r="G13" i="101" s="1"/>
  <c r="D13" i="101" a="1"/>
  <c r="D13" i="101" s="1"/>
  <c r="E11" i="101" a="1"/>
  <c r="E11" i="101" s="1"/>
  <c r="E10" i="101" a="1"/>
  <c r="E10" i="101" s="1"/>
  <c r="D6" i="101" a="1"/>
  <c r="D6" i="101" s="1"/>
  <c r="D5" i="101" a="1"/>
  <c r="D5" i="101" s="1"/>
  <c r="P53" i="100" a="1"/>
  <c r="P53" i="100" s="1"/>
  <c r="F53" i="100" a="1"/>
  <c r="F53" i="100" s="1"/>
  <c r="N50" i="100" a="1"/>
  <c r="N50" i="100" s="1"/>
  <c r="D50" i="100" a="1"/>
  <c r="D50" i="100" s="1"/>
  <c r="N46" i="100"/>
  <c r="D46" i="100"/>
  <c r="J39" i="100"/>
  <c r="J36" i="100" a="1"/>
  <c r="J36" i="100" s="1"/>
  <c r="H36" i="100" a="1"/>
  <c r="H36" i="100" s="1"/>
  <c r="D36" i="100" a="1"/>
  <c r="D36" i="100" s="1"/>
  <c r="E34" i="100" a="1"/>
  <c r="E34" i="100" s="1"/>
  <c r="E33" i="100" a="1"/>
  <c r="E33" i="100" s="1"/>
  <c r="D29" i="100" a="1"/>
  <c r="D29" i="100" s="1"/>
  <c r="D28" i="100" a="1"/>
  <c r="D28" i="100" s="1"/>
  <c r="G24" i="100"/>
  <c r="F24" i="100"/>
  <c r="J19" i="100" a="1"/>
  <c r="J19" i="100" s="1"/>
  <c r="J17" i="100"/>
  <c r="J16" i="100" a="1"/>
  <c r="J16" i="100" s="1"/>
  <c r="J14" i="100" a="1"/>
  <c r="J14" i="100" s="1"/>
  <c r="J13" i="100" a="1"/>
  <c r="J13" i="100" s="1"/>
  <c r="H13" i="100" a="1"/>
  <c r="H13" i="100" s="1"/>
  <c r="D13" i="100" a="1"/>
  <c r="D13" i="100" s="1"/>
  <c r="E11" i="100" a="1"/>
  <c r="E11" i="100" s="1"/>
  <c r="E10" i="100" a="1"/>
  <c r="E10" i="100" s="1"/>
  <c r="D6" i="100" a="1"/>
  <c r="D6" i="100" s="1"/>
  <c r="D5" i="100" a="1"/>
  <c r="D5" i="100" s="1"/>
  <c r="O66" i="99" a="1"/>
  <c r="O66" i="99" s="1"/>
  <c r="M63" i="99" a="1"/>
  <c r="M63" i="99" s="1"/>
  <c r="R58" i="99"/>
  <c r="P55" i="99" a="1"/>
  <c r="P55" i="99" s="1"/>
  <c r="M55" i="99" a="1"/>
  <c r="M55" i="99" s="1"/>
  <c r="N53" i="99" a="1"/>
  <c r="N53" i="99" s="1"/>
  <c r="N52" i="99" a="1"/>
  <c r="N52" i="99" s="1"/>
  <c r="M48" i="99" a="1"/>
  <c r="M48" i="99" s="1"/>
  <c r="M47" i="99" a="1"/>
  <c r="M47" i="99" s="1"/>
  <c r="F47" i="99" a="1"/>
  <c r="F47" i="99" s="1"/>
  <c r="D44" i="99" a="1"/>
  <c r="D44" i="99" s="1"/>
  <c r="I39" i="99"/>
  <c r="G36" i="99" a="1"/>
  <c r="G36" i="99" s="1"/>
  <c r="D36" i="99" a="1"/>
  <c r="D36" i="99" s="1"/>
  <c r="E34" i="99" a="1"/>
  <c r="E34" i="99" s="1"/>
  <c r="O61" i="99" s="1"/>
  <c r="E33" i="99" a="1"/>
  <c r="E33" i="99" s="1"/>
  <c r="P32" i="99" a="1"/>
  <c r="P32" i="99" s="1"/>
  <c r="M32" i="99" a="1"/>
  <c r="M32" i="99" s="1"/>
  <c r="N30" i="99" a="1"/>
  <c r="N30" i="99" s="1"/>
  <c r="N29" i="99" a="1"/>
  <c r="N29" i="99" s="1"/>
  <c r="D29" i="99" a="1"/>
  <c r="D29" i="99" s="1"/>
  <c r="D28" i="99" a="1"/>
  <c r="D28" i="99" s="1"/>
  <c r="M25" i="99" a="1"/>
  <c r="M25" i="99" s="1"/>
  <c r="M24" i="99" a="1"/>
  <c r="M24" i="99" s="1"/>
  <c r="I21" i="99"/>
  <c r="Q18" i="99"/>
  <c r="I16" i="99"/>
  <c r="Q15" i="99"/>
  <c r="O14" i="99" a="1"/>
  <c r="O14" i="99" s="1"/>
  <c r="M14" i="99" a="1"/>
  <c r="M14" i="99" s="1"/>
  <c r="G13" i="99" a="1"/>
  <c r="G13" i="99" s="1"/>
  <c r="D13" i="99" a="1"/>
  <c r="D13" i="99" s="1"/>
  <c r="N12" i="99" a="1"/>
  <c r="N12" i="99" s="1"/>
  <c r="N11" i="99" a="1"/>
  <c r="N11" i="99" s="1"/>
  <c r="E11" i="99" a="1"/>
  <c r="E11" i="99" s="1"/>
  <c r="F24" i="99" s="1"/>
  <c r="E10" i="99" a="1"/>
  <c r="E10" i="99" s="1"/>
  <c r="M6" i="99" a="1"/>
  <c r="M6" i="99" s="1"/>
  <c r="D6" i="99" a="1"/>
  <c r="D6" i="99" s="1"/>
  <c r="M5" i="99" a="1"/>
  <c r="M5" i="99" s="1"/>
  <c r="D5" i="99" a="1"/>
  <c r="D5" i="99" s="1"/>
  <c r="E22" i="98"/>
  <c r="Q16" i="99" s="1"/>
  <c r="E68" i="97" a="1"/>
  <c r="E68" i="97" s="1"/>
  <c r="D68" i="97" a="1"/>
  <c r="D68" i="97" s="1"/>
  <c r="E67" i="97" a="1"/>
  <c r="E67" i="97" s="1"/>
  <c r="D67" i="97" a="1"/>
  <c r="D67" i="97" s="1"/>
  <c r="E66" i="97" a="1"/>
  <c r="E66" i="97" s="1"/>
  <c r="D66" i="97" a="1"/>
  <c r="D66" i="97" s="1"/>
  <c r="E65" i="97" a="1"/>
  <c r="E65" i="97" s="1"/>
  <c r="D65" i="97" a="1"/>
  <c r="D65" i="97" s="1"/>
  <c r="E64" i="97" a="1"/>
  <c r="E64" i="97" s="1"/>
  <c r="D64" i="97" a="1"/>
  <c r="D64" i="97" s="1"/>
  <c r="E63" i="97" a="1"/>
  <c r="E63" i="97" s="1"/>
  <c r="D63" i="97" a="1"/>
  <c r="D63" i="97" s="1"/>
  <c r="E62" i="97" a="1"/>
  <c r="E62" i="97" s="1"/>
  <c r="D62" i="97" a="1"/>
  <c r="D62" i="97" s="1"/>
  <c r="E61" i="97" a="1"/>
  <c r="E61" i="97" s="1"/>
  <c r="D61" i="97" a="1"/>
  <c r="D61" i="97" s="1"/>
  <c r="E60" i="97" a="1"/>
  <c r="E60" i="97" s="1"/>
  <c r="D60" i="97" a="1"/>
  <c r="D60" i="97" s="1"/>
  <c r="E59" i="97" a="1"/>
  <c r="E59" i="97" s="1"/>
  <c r="D59" i="97" a="1"/>
  <c r="D59" i="97" s="1"/>
  <c r="E58" i="97" a="1"/>
  <c r="E58" i="97" s="1"/>
  <c r="D58" i="97" a="1"/>
  <c r="D58" i="97" s="1"/>
  <c r="D56" i="97" a="1"/>
  <c r="D56" i="97" s="1"/>
  <c r="D55" i="97" a="1"/>
  <c r="D55" i="97" s="1"/>
  <c r="D54" i="97" a="1"/>
  <c r="D54" i="97" s="1"/>
  <c r="D53" i="97" a="1"/>
  <c r="D53" i="97" s="1"/>
  <c r="D52" i="97" a="1"/>
  <c r="D52" i="97" s="1"/>
  <c r="G50" i="97" a="1"/>
  <c r="G50" i="97" s="1"/>
  <c r="F50" i="97" a="1"/>
  <c r="F50" i="97" s="1"/>
  <c r="E50" i="97" a="1"/>
  <c r="E50" i="97" s="1"/>
  <c r="O21" i="97" s="1"/>
  <c r="D50" i="97" a="1"/>
  <c r="D50" i="97" s="1"/>
  <c r="G49" i="97" a="1"/>
  <c r="G49" i="97" s="1"/>
  <c r="F49" i="97" a="1"/>
  <c r="F49" i="97" s="1"/>
  <c r="E49" i="97" a="1"/>
  <c r="E49" i="97" s="1"/>
  <c r="O20" i="97" s="1"/>
  <c r="D49" i="97" a="1"/>
  <c r="D49" i="97" s="1"/>
  <c r="G48" i="97" a="1"/>
  <c r="G48" i="97" s="1"/>
  <c r="F48" i="97" a="1"/>
  <c r="F48" i="97" s="1"/>
  <c r="E48" i="97" a="1"/>
  <c r="E48" i="97" s="1"/>
  <c r="O19" i="97" s="1"/>
  <c r="D48" i="97" a="1"/>
  <c r="D48" i="97" s="1"/>
  <c r="G47" i="97" a="1"/>
  <c r="G47" i="97" s="1"/>
  <c r="F47" i="97" a="1"/>
  <c r="F47" i="97" s="1"/>
  <c r="E47" i="97" a="1"/>
  <c r="E47" i="97" s="1"/>
  <c r="O18" i="97" s="1"/>
  <c r="D47" i="97" a="1"/>
  <c r="D47" i="97" s="1"/>
  <c r="G46" i="97" a="1"/>
  <c r="G46" i="97" s="1"/>
  <c r="F46" i="97" a="1"/>
  <c r="F46" i="97" s="1"/>
  <c r="E46" i="97" a="1"/>
  <c r="E46" i="97" s="1"/>
  <c r="O17" i="97" s="1"/>
  <c r="D46" i="97" a="1"/>
  <c r="D46" i="97" s="1"/>
  <c r="G45" i="97" a="1"/>
  <c r="G45" i="97" s="1"/>
  <c r="F45" i="97" a="1"/>
  <c r="F45" i="97" s="1"/>
  <c r="E45" i="97" a="1"/>
  <c r="E45" i="97" s="1"/>
  <c r="D45" i="97" a="1"/>
  <c r="D45" i="97" s="1"/>
  <c r="G44" i="97" a="1"/>
  <c r="G44" i="97" s="1"/>
  <c r="F44" i="97" a="1"/>
  <c r="F44" i="97" s="1"/>
  <c r="E44" i="97" a="1"/>
  <c r="E44" i="97" s="1"/>
  <c r="M21" i="97" s="1"/>
  <c r="D44" i="97" a="1"/>
  <c r="D44" i="97" s="1"/>
  <c r="G43" i="97" a="1"/>
  <c r="G43" i="97" s="1"/>
  <c r="F43" i="97" a="1"/>
  <c r="F43" i="97" s="1"/>
  <c r="E43" i="97" a="1"/>
  <c r="E43" i="97" s="1"/>
  <c r="M20" i="97" s="1"/>
  <c r="D43" i="97" a="1"/>
  <c r="D43" i="97" s="1"/>
  <c r="G42" i="97" a="1"/>
  <c r="G42" i="97" s="1"/>
  <c r="F42" i="97" a="1"/>
  <c r="F42" i="97" s="1"/>
  <c r="E42" i="97" a="1"/>
  <c r="E42" i="97" s="1"/>
  <c r="M19" i="97" s="1"/>
  <c r="D42" i="97" a="1"/>
  <c r="D42" i="97" s="1"/>
  <c r="G41" i="97" a="1"/>
  <c r="G41" i="97" s="1"/>
  <c r="F41" i="97" a="1"/>
  <c r="F41" i="97" s="1"/>
  <c r="E41" i="97" a="1"/>
  <c r="E41" i="97" s="1"/>
  <c r="M18" i="97" s="1"/>
  <c r="D41" i="97" a="1"/>
  <c r="D41" i="97" s="1"/>
  <c r="G40" i="97" a="1"/>
  <c r="G40" i="97" s="1"/>
  <c r="F40" i="97" a="1"/>
  <c r="F40" i="97" s="1"/>
  <c r="E40" i="97" a="1"/>
  <c r="E40" i="97" s="1"/>
  <c r="M17" i="97" s="1"/>
  <c r="D40" i="97" a="1"/>
  <c r="D40" i="97" s="1"/>
  <c r="G39" i="97" a="1"/>
  <c r="G39" i="97" s="1"/>
  <c r="F39" i="97" a="1"/>
  <c r="F39" i="97" s="1"/>
  <c r="E39" i="97" a="1"/>
  <c r="E39" i="97" s="1"/>
  <c r="D39" i="97" a="1"/>
  <c r="D39" i="97" s="1"/>
  <c r="G38" i="97" a="1"/>
  <c r="G38" i="97" s="1"/>
  <c r="F38" i="97" a="1"/>
  <c r="F38" i="97" s="1"/>
  <c r="E38" i="97" a="1"/>
  <c r="E38" i="97" s="1"/>
  <c r="K26" i="97" s="1"/>
  <c r="D38" i="97" a="1"/>
  <c r="D38" i="97" s="1"/>
  <c r="G37" i="97" a="1"/>
  <c r="G37" i="97" s="1"/>
  <c r="F37" i="97" a="1"/>
  <c r="F37" i="97" s="1"/>
  <c r="E37" i="97" a="1"/>
  <c r="E37" i="97" s="1"/>
  <c r="K25" i="97" s="1"/>
  <c r="D37" i="97" a="1"/>
  <c r="D37" i="97" s="1"/>
  <c r="G36" i="97" a="1"/>
  <c r="G36" i="97" s="1"/>
  <c r="F36" i="97" a="1"/>
  <c r="F36" i="97" s="1"/>
  <c r="E36" i="97" a="1"/>
  <c r="E36" i="97" s="1"/>
  <c r="K24" i="97" s="1"/>
  <c r="D36" i="97" a="1"/>
  <c r="D36" i="97" s="1"/>
  <c r="G35" i="97" a="1"/>
  <c r="G35" i="97" s="1"/>
  <c r="F35" i="97" a="1"/>
  <c r="F35" i="97" s="1"/>
  <c r="E35" i="97" a="1"/>
  <c r="E35" i="97" s="1"/>
  <c r="K23" i="97" s="1"/>
  <c r="D35" i="97" a="1"/>
  <c r="D35" i="97" s="1"/>
  <c r="G34" i="97" a="1"/>
  <c r="G34" i="97" s="1"/>
  <c r="F34" i="97" a="1"/>
  <c r="F34" i="97" s="1"/>
  <c r="E34" i="97" a="1"/>
  <c r="E34" i="97" s="1"/>
  <c r="K22" i="97" s="1"/>
  <c r="D34" i="97" a="1"/>
  <c r="D34" i="97" s="1"/>
  <c r="G33" i="97" a="1"/>
  <c r="G33" i="97" s="1"/>
  <c r="F33" i="97" a="1"/>
  <c r="F33" i="97" s="1"/>
  <c r="E33" i="97" a="1"/>
  <c r="E33" i="97" s="1"/>
  <c r="K21" i="97" s="1"/>
  <c r="D33" i="97" a="1"/>
  <c r="D33" i="97" s="1"/>
  <c r="G32" i="97" a="1"/>
  <c r="G32" i="97" s="1"/>
  <c r="F32" i="97" a="1"/>
  <c r="F32" i="97" s="1"/>
  <c r="E32" i="97" a="1"/>
  <c r="E32" i="97" s="1"/>
  <c r="K20" i="97" s="1"/>
  <c r="D32" i="97" a="1"/>
  <c r="D32" i="97" s="1"/>
  <c r="G31" i="97" a="1"/>
  <c r="G31" i="97" s="1"/>
  <c r="F31" i="97" a="1"/>
  <c r="F31" i="97" s="1"/>
  <c r="E31" i="97" a="1"/>
  <c r="E31" i="97" s="1"/>
  <c r="K19" i="97" s="1"/>
  <c r="D31" i="97" a="1"/>
  <c r="D31" i="97" s="1"/>
  <c r="G30" i="97" a="1"/>
  <c r="G30" i="97" s="1"/>
  <c r="F30" i="97" a="1"/>
  <c r="F30" i="97" s="1"/>
  <c r="E30" i="97" a="1"/>
  <c r="E30" i="97" s="1"/>
  <c r="K18" i="97" s="1"/>
  <c r="D30" i="97" a="1"/>
  <c r="D30" i="97" s="1"/>
  <c r="G29" i="97" a="1"/>
  <c r="G29" i="97" s="1"/>
  <c r="F29" i="97" a="1"/>
  <c r="F29" i="97" s="1"/>
  <c r="E29" i="97" a="1"/>
  <c r="E29" i="97" s="1"/>
  <c r="K17" i="97" s="1"/>
  <c r="D29" i="97" a="1"/>
  <c r="D29" i="97" s="1"/>
  <c r="G28" i="97" a="1"/>
  <c r="G28" i="97" s="1"/>
  <c r="F28" i="97" a="1"/>
  <c r="F28" i="97" s="1"/>
  <c r="E28" i="97" a="1"/>
  <c r="E28" i="97" s="1"/>
  <c r="D28" i="97" a="1"/>
  <c r="D28" i="97" s="1"/>
  <c r="G27" i="97" a="1"/>
  <c r="G27" i="97" s="1"/>
  <c r="F27" i="97" a="1"/>
  <c r="F27" i="97" s="1"/>
  <c r="E27" i="97" a="1"/>
  <c r="E27" i="97" s="1"/>
  <c r="I27" i="97" s="1"/>
  <c r="D27" i="97" a="1"/>
  <c r="D27" i="97" s="1"/>
  <c r="G26" i="97" a="1"/>
  <c r="G26" i="97" s="1"/>
  <c r="F26" i="97" a="1"/>
  <c r="F26" i="97" s="1"/>
  <c r="E26" i="97" a="1"/>
  <c r="E26" i="97" s="1"/>
  <c r="I26" i="97" s="1"/>
  <c r="D26" i="97" a="1"/>
  <c r="D26" i="97" s="1"/>
  <c r="G25" i="97" a="1"/>
  <c r="G25" i="97" s="1"/>
  <c r="F25" i="97" a="1"/>
  <c r="F25" i="97" s="1"/>
  <c r="E25" i="97" a="1"/>
  <c r="E25" i="97" s="1"/>
  <c r="I25" i="97" s="1"/>
  <c r="D25" i="97" a="1"/>
  <c r="D25" i="97" s="1"/>
  <c r="G24" i="97" a="1"/>
  <c r="G24" i="97" s="1"/>
  <c r="F24" i="97" a="1"/>
  <c r="F24" i="97" s="1"/>
  <c r="E24" i="97" a="1"/>
  <c r="E24" i="97" s="1"/>
  <c r="I24" i="97" s="1"/>
  <c r="D24" i="97" a="1"/>
  <c r="D24" i="97" s="1"/>
  <c r="G23" i="97" a="1"/>
  <c r="G23" i="97" s="1"/>
  <c r="F23" i="97" a="1"/>
  <c r="F23" i="97" s="1"/>
  <c r="E23" i="97" a="1"/>
  <c r="E23" i="97" s="1"/>
  <c r="I23" i="97" s="1"/>
  <c r="D23" i="97" a="1"/>
  <c r="D23" i="97" s="1"/>
  <c r="G22" i="97" a="1"/>
  <c r="G22" i="97" s="1"/>
  <c r="F22" i="97" a="1"/>
  <c r="F22" i="97" s="1"/>
  <c r="E22" i="97" a="1"/>
  <c r="E22" i="97" s="1"/>
  <c r="I22" i="97" s="1"/>
  <c r="D22" i="97" a="1"/>
  <c r="D22" i="97" s="1"/>
  <c r="G21" i="97" a="1"/>
  <c r="G21" i="97" s="1"/>
  <c r="F21" i="97" a="1"/>
  <c r="F21" i="97" s="1"/>
  <c r="E21" i="97" a="1"/>
  <c r="E21" i="97" s="1"/>
  <c r="I21" i="97" s="1"/>
  <c r="D21" i="97" a="1"/>
  <c r="D21" i="97" s="1"/>
  <c r="G20" i="97" a="1"/>
  <c r="G20" i="97" s="1"/>
  <c r="F20" i="97" a="1"/>
  <c r="F20" i="97" s="1"/>
  <c r="E20" i="97" a="1"/>
  <c r="E20" i="97" s="1"/>
  <c r="I20" i="97" s="1"/>
  <c r="D20" i="97" a="1"/>
  <c r="D20" i="97" s="1"/>
  <c r="G19" i="97" a="1"/>
  <c r="G19" i="97" s="1"/>
  <c r="F19" i="97" a="1"/>
  <c r="F19" i="97" s="1"/>
  <c r="E19" i="97" a="1"/>
  <c r="E19" i="97" s="1"/>
  <c r="I19" i="97" s="1"/>
  <c r="D19" i="97" a="1"/>
  <c r="D19" i="97" s="1"/>
  <c r="G18" i="97" a="1"/>
  <c r="G18" i="97" s="1"/>
  <c r="F18" i="97" a="1"/>
  <c r="F18" i="97" s="1"/>
  <c r="E18" i="97" a="1"/>
  <c r="E18" i="97" s="1"/>
  <c r="I18" i="97" s="1"/>
  <c r="D18" i="97" a="1"/>
  <c r="D18" i="97" s="1"/>
  <c r="G17" i="97" a="1"/>
  <c r="G17" i="97" s="1"/>
  <c r="F17" i="97" a="1"/>
  <c r="F17" i="97" s="1"/>
  <c r="E17" i="97" a="1"/>
  <c r="E17" i="97" s="1"/>
  <c r="D17" i="97" a="1"/>
  <c r="D17" i="97" s="1"/>
  <c r="D15" i="97" a="1"/>
  <c r="D15" i="97" s="1"/>
  <c r="D14" i="97" a="1"/>
  <c r="D14" i="97" s="1"/>
  <c r="D7" i="97" a="1"/>
  <c r="D7" i="97" s="1"/>
  <c r="D6" i="97" a="1"/>
  <c r="D6" i="97" s="1"/>
  <c r="D5" i="97" a="1"/>
  <c r="D5" i="97" s="1"/>
  <c r="H185" i="96"/>
  <c r="H179" i="96"/>
  <c r="H168" i="96"/>
  <c r="H144" i="96"/>
  <c r="H138" i="96"/>
  <c r="H127" i="96"/>
  <c r="H105" i="96" a="1"/>
  <c r="H105" i="96" s="1"/>
  <c r="D105" i="96" a="1"/>
  <c r="D105" i="96" s="1"/>
  <c r="E103" i="96" a="1"/>
  <c r="E103" i="96" s="1"/>
  <c r="E102" i="96" a="1"/>
  <c r="E102" i="96" s="1"/>
  <c r="D98" i="96" a="1"/>
  <c r="D98" i="96" s="1"/>
  <c r="D97" i="96" a="1"/>
  <c r="D97" i="96" s="1"/>
  <c r="D96" i="96" a="1"/>
  <c r="D96" i="96" s="1"/>
  <c r="J16" i="96" a="1"/>
  <c r="J16" i="96" s="1"/>
  <c r="I16" i="96" a="1"/>
  <c r="I16" i="96" s="1"/>
  <c r="J15" i="96" a="1"/>
  <c r="J15" i="96" s="1"/>
  <c r="I15" i="96" a="1"/>
  <c r="I15" i="96" s="1"/>
  <c r="J14" i="96" a="1"/>
  <c r="J14" i="96" s="1"/>
  <c r="I14" i="96" a="1"/>
  <c r="I14" i="96" s="1"/>
  <c r="J13" i="96" a="1"/>
  <c r="J13" i="96" s="1"/>
  <c r="I13" i="96" a="1"/>
  <c r="I13" i="96" s="1"/>
  <c r="G13" i="96" a="1"/>
  <c r="G13" i="96" s="1"/>
  <c r="D13" i="96" a="1"/>
  <c r="D13" i="96" s="1"/>
  <c r="E11" i="96" a="1"/>
  <c r="E11" i="96" s="1"/>
  <c r="E10" i="96" a="1"/>
  <c r="E10" i="96" s="1"/>
  <c r="D6" i="96" a="1"/>
  <c r="D6" i="96" s="1"/>
  <c r="D5" i="96" a="1"/>
  <c r="D5" i="96" s="1"/>
  <c r="E139" i="94"/>
  <c r="F40" i="93" s="1"/>
  <c r="G138" i="94"/>
  <c r="F32" i="92" s="1"/>
  <c r="E138" i="94"/>
  <c r="F39" i="93" s="1"/>
  <c r="G137" i="94"/>
  <c r="F31" i="92" s="1"/>
  <c r="E137" i="94"/>
  <c r="F38" i="93" s="1"/>
  <c r="D137" i="94"/>
  <c r="F31" i="93" s="1"/>
  <c r="G136" i="94"/>
  <c r="F30" i="92" s="1"/>
  <c r="E136" i="94"/>
  <c r="F37" i="93" s="1"/>
  <c r="D136" i="94"/>
  <c r="F30" i="93" s="1"/>
  <c r="G135" i="94"/>
  <c r="F29" i="92" s="1"/>
  <c r="E135" i="94"/>
  <c r="F36" i="93" s="1"/>
  <c r="D135" i="94"/>
  <c r="F29" i="93" s="1"/>
  <c r="G134" i="94"/>
  <c r="F28" i="92" s="1"/>
  <c r="E134" i="94"/>
  <c r="F35" i="93" s="1"/>
  <c r="D134" i="94"/>
  <c r="F28" i="93" s="1"/>
  <c r="G133" i="94"/>
  <c r="F27" i="92" s="1"/>
  <c r="F133" i="94"/>
  <c r="F36" i="92" s="1"/>
  <c r="E133" i="94"/>
  <c r="F34" i="93" s="1"/>
  <c r="D133" i="94"/>
  <c r="F27" i="93" s="1"/>
  <c r="I132" i="94"/>
  <c r="F38" i="92" s="1"/>
  <c r="G132" i="94"/>
  <c r="F26" i="92" s="1"/>
  <c r="F132" i="94"/>
  <c r="F35" i="92" s="1"/>
  <c r="E132" i="94"/>
  <c r="F33" i="93" s="1"/>
  <c r="D132" i="94"/>
  <c r="F26" i="93" s="1"/>
  <c r="I131" i="94"/>
  <c r="F37" i="92" s="1"/>
  <c r="H131" i="94"/>
  <c r="F33" i="92" s="1"/>
  <c r="G131" i="94"/>
  <c r="F25" i="92" s="1"/>
  <c r="F131" i="94"/>
  <c r="F34" i="92" s="1"/>
  <c r="E131" i="94"/>
  <c r="F32" i="93" s="1"/>
  <c r="D131" i="94"/>
  <c r="F25" i="93" s="1"/>
  <c r="F120" i="94" a="1"/>
  <c r="F120" i="94" s="1"/>
  <c r="E120" i="94" a="1"/>
  <c r="E120" i="94" s="1"/>
  <c r="D120" i="94" a="1"/>
  <c r="D120" i="94" s="1"/>
  <c r="F119" i="94" a="1"/>
  <c r="F119" i="94" s="1"/>
  <c r="E119" i="94" a="1"/>
  <c r="E119" i="94" s="1"/>
  <c r="D119" i="94" a="1"/>
  <c r="D119" i="94" s="1"/>
  <c r="F118" i="94" a="1"/>
  <c r="F118" i="94" s="1"/>
  <c r="E118" i="94" a="1"/>
  <c r="E118" i="94" s="1"/>
  <c r="D118" i="94" a="1"/>
  <c r="D118" i="94" s="1"/>
  <c r="F117" i="94" a="1"/>
  <c r="F117" i="94" s="1"/>
  <c r="E117" i="94" a="1"/>
  <c r="E117" i="94" s="1"/>
  <c r="D117" i="94" a="1"/>
  <c r="D117" i="94" s="1"/>
  <c r="F116" i="94" a="1"/>
  <c r="F116" i="94" s="1"/>
  <c r="E116" i="94" a="1"/>
  <c r="E116" i="94" s="1"/>
  <c r="D116" i="94" a="1"/>
  <c r="D116" i="94" s="1"/>
  <c r="F115" i="94" a="1"/>
  <c r="F115" i="94" s="1"/>
  <c r="E115" i="94" a="1"/>
  <c r="E115" i="94" s="1"/>
  <c r="D115" i="94" a="1"/>
  <c r="D115" i="94" s="1"/>
  <c r="F114" i="94" a="1"/>
  <c r="F114" i="94" s="1"/>
  <c r="E114" i="94" a="1"/>
  <c r="E114" i="94" s="1"/>
  <c r="D114" i="94" a="1"/>
  <c r="D114" i="94" s="1"/>
  <c r="G113" i="94" a="1"/>
  <c r="G113" i="94" s="1"/>
  <c r="F113" i="94" a="1"/>
  <c r="F113" i="94" s="1"/>
  <c r="E113" i="94" a="1"/>
  <c r="E113" i="94" s="1"/>
  <c r="D113" i="94" a="1"/>
  <c r="D113" i="94" s="1"/>
  <c r="D110" i="94" a="1"/>
  <c r="D110" i="94" s="1"/>
  <c r="D109" i="94" a="1"/>
  <c r="D109" i="94" s="1"/>
  <c r="D108" i="94" a="1"/>
  <c r="D108" i="94" s="1"/>
  <c r="D107" i="94" a="1"/>
  <c r="D107" i="94" s="1"/>
  <c r="J104" i="94" a="1"/>
  <c r="J104" i="94" s="1"/>
  <c r="I104" i="94" a="1"/>
  <c r="I104" i="94" s="1"/>
  <c r="H104" i="94" a="1"/>
  <c r="H104" i="94" s="1"/>
  <c r="G104" i="94" a="1"/>
  <c r="G104" i="94" s="1"/>
  <c r="F104" i="94" a="1"/>
  <c r="F104" i="94" s="1"/>
  <c r="E104" i="94" a="1"/>
  <c r="E104" i="94" s="1"/>
  <c r="D104" i="94" a="1"/>
  <c r="D104" i="94" s="1"/>
  <c r="E40" i="93" s="1"/>
  <c r="J103" i="94" a="1"/>
  <c r="J103" i="94" s="1"/>
  <c r="I103" i="94" a="1"/>
  <c r="I103" i="94" s="1"/>
  <c r="H103" i="94" a="1"/>
  <c r="H103" i="94" s="1"/>
  <c r="G103" i="94" a="1"/>
  <c r="G103" i="94" s="1"/>
  <c r="F103" i="94" a="1"/>
  <c r="F103" i="94" s="1"/>
  <c r="E103" i="94" a="1"/>
  <c r="E103" i="94" s="1"/>
  <c r="D103" i="94" a="1"/>
  <c r="D103" i="94" s="1"/>
  <c r="E39" i="93" s="1"/>
  <c r="J102" i="94" a="1"/>
  <c r="J102" i="94" s="1"/>
  <c r="I102" i="94" a="1"/>
  <c r="I102" i="94" s="1"/>
  <c r="H102" i="94" a="1"/>
  <c r="H102" i="94" s="1"/>
  <c r="G102" i="94" a="1"/>
  <c r="G102" i="94" s="1"/>
  <c r="F102" i="94" a="1"/>
  <c r="F102" i="94" s="1"/>
  <c r="E102" i="94" a="1"/>
  <c r="E102" i="94" s="1"/>
  <c r="D102" i="94" a="1"/>
  <c r="D102" i="94" s="1"/>
  <c r="J101" i="94" a="1"/>
  <c r="J101" i="94" s="1"/>
  <c r="I101" i="94" a="1"/>
  <c r="I101" i="94" s="1"/>
  <c r="H101" i="94" a="1"/>
  <c r="H101" i="94" s="1"/>
  <c r="G101" i="94" a="1"/>
  <c r="G101" i="94" s="1"/>
  <c r="F101" i="94" a="1"/>
  <c r="F101" i="94" s="1"/>
  <c r="E101" i="94" a="1"/>
  <c r="E101" i="94" s="1"/>
  <c r="D101" i="94" a="1"/>
  <c r="D101" i="94" s="1"/>
  <c r="J100" i="94" a="1"/>
  <c r="J100" i="94" s="1"/>
  <c r="I100" i="94" a="1"/>
  <c r="I100" i="94" s="1"/>
  <c r="H100" i="94" a="1"/>
  <c r="H100" i="94" s="1"/>
  <c r="G100" i="94" a="1"/>
  <c r="G100" i="94" s="1"/>
  <c r="F100" i="94" a="1"/>
  <c r="F100" i="94" s="1"/>
  <c r="E100" i="94" a="1"/>
  <c r="E100" i="94" s="1"/>
  <c r="D100" i="94" a="1"/>
  <c r="D100" i="94" s="1"/>
  <c r="J99" i="94" a="1"/>
  <c r="J99" i="94" s="1"/>
  <c r="I99" i="94" a="1"/>
  <c r="I99" i="94" s="1"/>
  <c r="H99" i="94" a="1"/>
  <c r="H99" i="94" s="1"/>
  <c r="G99" i="94" a="1"/>
  <c r="G99" i="94" s="1"/>
  <c r="F99" i="94" a="1"/>
  <c r="F99" i="94" s="1"/>
  <c r="E99" i="94" a="1"/>
  <c r="E99" i="94" s="1"/>
  <c r="D99" i="94" a="1"/>
  <c r="D99" i="94" s="1"/>
  <c r="J98" i="94" a="1"/>
  <c r="J98" i="94" s="1"/>
  <c r="I98" i="94" a="1"/>
  <c r="I98" i="94" s="1"/>
  <c r="H98" i="94" a="1"/>
  <c r="H98" i="94" s="1"/>
  <c r="G98" i="94" a="1"/>
  <c r="G98" i="94" s="1"/>
  <c r="F98" i="94" a="1"/>
  <c r="F98" i="94" s="1"/>
  <c r="E98" i="94" a="1"/>
  <c r="E98" i="94" s="1"/>
  <c r="D98" i="94" a="1"/>
  <c r="D98" i="94" s="1"/>
  <c r="J97" i="94" a="1"/>
  <c r="J97" i="94" s="1"/>
  <c r="I97" i="94" a="1"/>
  <c r="I97" i="94" s="1"/>
  <c r="H97" i="94" a="1"/>
  <c r="H97" i="94" s="1"/>
  <c r="G97" i="94" a="1"/>
  <c r="G97" i="94" s="1"/>
  <c r="F97" i="94" a="1"/>
  <c r="F97" i="94" s="1"/>
  <c r="E97" i="94" a="1"/>
  <c r="E97" i="94" s="1"/>
  <c r="D97" i="94" a="1"/>
  <c r="D97" i="94" s="1"/>
  <c r="J96" i="94" a="1"/>
  <c r="J96" i="94" s="1"/>
  <c r="I96" i="94" a="1"/>
  <c r="I96" i="94" s="1"/>
  <c r="H96" i="94" a="1"/>
  <c r="H96" i="94" s="1"/>
  <c r="G96" i="94" a="1"/>
  <c r="G96" i="94" s="1"/>
  <c r="F96" i="94" a="1"/>
  <c r="F96" i="94" s="1"/>
  <c r="E96" i="94" a="1"/>
  <c r="E96" i="94" s="1"/>
  <c r="D96" i="94" a="1"/>
  <c r="D96" i="94" s="1"/>
  <c r="J95" i="94" a="1"/>
  <c r="J95" i="94" s="1"/>
  <c r="I95" i="94" a="1"/>
  <c r="I95" i="94" s="1"/>
  <c r="H95" i="94" a="1"/>
  <c r="H95" i="94" s="1"/>
  <c r="G95" i="94" a="1"/>
  <c r="G95" i="94" s="1"/>
  <c r="F95" i="94" a="1"/>
  <c r="F95" i="94" s="1"/>
  <c r="E95" i="94" a="1"/>
  <c r="E95" i="94" s="1"/>
  <c r="D95" i="94" a="1"/>
  <c r="D95" i="94" s="1"/>
  <c r="J94" i="94" a="1"/>
  <c r="J94" i="94" s="1"/>
  <c r="I94" i="94" a="1"/>
  <c r="I94" i="94" s="1"/>
  <c r="H94" i="94" a="1"/>
  <c r="H94" i="94" s="1"/>
  <c r="G94" i="94" a="1"/>
  <c r="G94" i="94" s="1"/>
  <c r="F94" i="94" a="1"/>
  <c r="F94" i="94" s="1"/>
  <c r="E94" i="94" a="1"/>
  <c r="E94" i="94" s="1"/>
  <c r="D94" i="94" a="1"/>
  <c r="D94" i="94" s="1"/>
  <c r="J93" i="94" a="1"/>
  <c r="J93" i="94" s="1"/>
  <c r="I93" i="94" a="1"/>
  <c r="I93" i="94" s="1"/>
  <c r="H93" i="94" a="1"/>
  <c r="H93" i="94" s="1"/>
  <c r="G93" i="94" a="1"/>
  <c r="G93" i="94" s="1"/>
  <c r="F93" i="94" a="1"/>
  <c r="F93" i="94" s="1"/>
  <c r="E93" i="94" a="1"/>
  <c r="E93" i="94" s="1"/>
  <c r="D93" i="94" a="1"/>
  <c r="D93" i="94" s="1"/>
  <c r="J92" i="94" a="1"/>
  <c r="J92" i="94" s="1"/>
  <c r="I92" i="94" a="1"/>
  <c r="I92" i="94" s="1"/>
  <c r="H92" i="94" a="1"/>
  <c r="H92" i="94" s="1"/>
  <c r="G92" i="94" a="1"/>
  <c r="G92" i="94" s="1"/>
  <c r="F92" i="94" a="1"/>
  <c r="F92" i="94" s="1"/>
  <c r="E92" i="94" a="1"/>
  <c r="E92" i="94" s="1"/>
  <c r="D92" i="94" a="1"/>
  <c r="D92" i="94" s="1"/>
  <c r="J91" i="94" a="1"/>
  <c r="J91" i="94" s="1"/>
  <c r="I91" i="94" a="1"/>
  <c r="I91" i="94" s="1"/>
  <c r="H91" i="94" a="1"/>
  <c r="H91" i="94" s="1"/>
  <c r="G91" i="94" a="1"/>
  <c r="G91" i="94" s="1"/>
  <c r="F91" i="94" a="1"/>
  <c r="F91" i="94" s="1"/>
  <c r="E91" i="94" a="1"/>
  <c r="E91" i="94" s="1"/>
  <c r="D91" i="94" a="1"/>
  <c r="D91" i="94" s="1"/>
  <c r="J90" i="94" a="1"/>
  <c r="J90" i="94" s="1"/>
  <c r="I90" i="94" a="1"/>
  <c r="I90" i="94" s="1"/>
  <c r="H90" i="94" a="1"/>
  <c r="H90" i="94" s="1"/>
  <c r="G90" i="94" a="1"/>
  <c r="G90" i="94" s="1"/>
  <c r="F90" i="94" a="1"/>
  <c r="F90" i="94" s="1"/>
  <c r="E90" i="94" a="1"/>
  <c r="E90" i="94" s="1"/>
  <c r="D90" i="94" a="1"/>
  <c r="D90" i="94" s="1"/>
  <c r="J89" i="94" a="1"/>
  <c r="J89" i="94" s="1"/>
  <c r="I89" i="94" a="1"/>
  <c r="I89" i="94" s="1"/>
  <c r="H89" i="94" a="1"/>
  <c r="H89" i="94" s="1"/>
  <c r="G89" i="94" a="1"/>
  <c r="G89" i="94" s="1"/>
  <c r="F89" i="94" a="1"/>
  <c r="F89" i="94" s="1"/>
  <c r="E89" i="94" a="1"/>
  <c r="E89" i="94" s="1"/>
  <c r="D89" i="94" a="1"/>
  <c r="D89" i="94" s="1"/>
  <c r="J88" i="94" a="1"/>
  <c r="J88" i="94" s="1"/>
  <c r="I88" i="94" a="1"/>
  <c r="I88" i="94" s="1"/>
  <c r="H88" i="94" a="1"/>
  <c r="H88" i="94" s="1"/>
  <c r="G88" i="94" a="1"/>
  <c r="G88" i="94" s="1"/>
  <c r="F88" i="94" a="1"/>
  <c r="F88" i="94" s="1"/>
  <c r="E88" i="94" a="1"/>
  <c r="E88" i="94" s="1"/>
  <c r="D88" i="94" a="1"/>
  <c r="D88" i="94" s="1"/>
  <c r="J87" i="94" a="1"/>
  <c r="J87" i="94" s="1"/>
  <c r="I87" i="94" a="1"/>
  <c r="I87" i="94" s="1"/>
  <c r="H87" i="94" a="1"/>
  <c r="H87" i="94" s="1"/>
  <c r="G87" i="94" a="1"/>
  <c r="G87" i="94" s="1"/>
  <c r="F87" i="94" a="1"/>
  <c r="F87" i="94" s="1"/>
  <c r="E87" i="94" a="1"/>
  <c r="E87" i="94" s="1"/>
  <c r="D87" i="94" a="1"/>
  <c r="D87" i="94" s="1"/>
  <c r="D84" i="94" a="1"/>
  <c r="D84" i="94" s="1"/>
  <c r="D83" i="94" a="1"/>
  <c r="D83" i="94" s="1"/>
  <c r="D82" i="94" a="1"/>
  <c r="D82" i="94" s="1"/>
  <c r="D81" i="94" a="1"/>
  <c r="D81" i="94" s="1"/>
  <c r="K77" i="94" a="1"/>
  <c r="K77" i="94" s="1"/>
  <c r="J77" i="94" a="1"/>
  <c r="J77" i="94" s="1"/>
  <c r="I77" i="94" a="1"/>
  <c r="I77" i="94" s="1"/>
  <c r="H77" i="94" a="1"/>
  <c r="H77" i="94" s="1"/>
  <c r="G77" i="94" a="1"/>
  <c r="G77" i="94" s="1"/>
  <c r="F77" i="94" a="1"/>
  <c r="F77" i="94" s="1"/>
  <c r="E77" i="94" a="1"/>
  <c r="E77" i="94" s="1"/>
  <c r="D77" i="94" a="1"/>
  <c r="D77" i="94" s="1"/>
  <c r="K76" i="94" a="1"/>
  <c r="K76" i="94" s="1"/>
  <c r="J76" i="94" a="1"/>
  <c r="J76" i="94" s="1"/>
  <c r="I76" i="94" a="1"/>
  <c r="I76" i="94" s="1"/>
  <c r="H76" i="94" a="1"/>
  <c r="H76" i="94" s="1"/>
  <c r="G76" i="94" a="1"/>
  <c r="G76" i="94" s="1"/>
  <c r="F76" i="94" a="1"/>
  <c r="F76" i="94" s="1"/>
  <c r="E76" i="94" a="1"/>
  <c r="E76" i="94" s="1"/>
  <c r="D76" i="94" a="1"/>
  <c r="D76" i="94" s="1"/>
  <c r="K75" i="94" a="1"/>
  <c r="K75" i="94" s="1"/>
  <c r="J75" i="94" a="1"/>
  <c r="J75" i="94" s="1"/>
  <c r="I75" i="94" a="1"/>
  <c r="I75" i="94" s="1"/>
  <c r="H75" i="94" a="1"/>
  <c r="H75" i="94" s="1"/>
  <c r="G75" i="94" a="1"/>
  <c r="G75" i="94" s="1"/>
  <c r="F75" i="94" a="1"/>
  <c r="F75" i="94" s="1"/>
  <c r="E75" i="94" a="1"/>
  <c r="E75" i="94" s="1"/>
  <c r="D75" i="94" a="1"/>
  <c r="D75" i="94" s="1"/>
  <c r="K74" i="94" a="1"/>
  <c r="K74" i="94" s="1"/>
  <c r="J74" i="94" a="1"/>
  <c r="J74" i="94" s="1"/>
  <c r="I74" i="94" a="1"/>
  <c r="I74" i="94" s="1"/>
  <c r="H74" i="94" a="1"/>
  <c r="H74" i="94" s="1"/>
  <c r="G74" i="94" a="1"/>
  <c r="G74" i="94" s="1"/>
  <c r="F74" i="94" a="1"/>
  <c r="F74" i="94" s="1"/>
  <c r="E74" i="94" a="1"/>
  <c r="E74" i="94" s="1"/>
  <c r="D74" i="94" a="1"/>
  <c r="D74" i="94" s="1"/>
  <c r="K73" i="94" a="1"/>
  <c r="K73" i="94" s="1"/>
  <c r="J73" i="94" a="1"/>
  <c r="J73" i="94" s="1"/>
  <c r="I73" i="94" a="1"/>
  <c r="I73" i="94" s="1"/>
  <c r="H73" i="94" a="1"/>
  <c r="H73" i="94" s="1"/>
  <c r="G73" i="94" a="1"/>
  <c r="G73" i="94" s="1"/>
  <c r="F73" i="94" a="1"/>
  <c r="F73" i="94" s="1"/>
  <c r="E73" i="94" a="1"/>
  <c r="E73" i="94" s="1"/>
  <c r="D73" i="94" a="1"/>
  <c r="D73" i="94" s="1"/>
  <c r="K72" i="94" a="1"/>
  <c r="K72" i="94" s="1"/>
  <c r="J72" i="94" a="1"/>
  <c r="J72" i="94" s="1"/>
  <c r="I72" i="94" a="1"/>
  <c r="I72" i="94" s="1"/>
  <c r="H72" i="94" a="1"/>
  <c r="H72" i="94" s="1"/>
  <c r="G72" i="94" a="1"/>
  <c r="G72" i="94" s="1"/>
  <c r="F72" i="94" a="1"/>
  <c r="F72" i="94" s="1"/>
  <c r="E72" i="94" a="1"/>
  <c r="E72" i="94" s="1"/>
  <c r="D72" i="94" a="1"/>
  <c r="D72" i="94" s="1"/>
  <c r="K71" i="94" a="1"/>
  <c r="K71" i="94" s="1"/>
  <c r="J71" i="94" a="1"/>
  <c r="J71" i="94" s="1"/>
  <c r="I71" i="94" a="1"/>
  <c r="I71" i="94" s="1"/>
  <c r="H71" i="94" a="1"/>
  <c r="H71" i="94" s="1"/>
  <c r="G71" i="94" a="1"/>
  <c r="G71" i="94" s="1"/>
  <c r="F71" i="94" a="1"/>
  <c r="F71" i="94" s="1"/>
  <c r="E71" i="94" a="1"/>
  <c r="E71" i="94" s="1"/>
  <c r="D71" i="94" a="1"/>
  <c r="D71" i="94" s="1"/>
  <c r="K70" i="94" a="1"/>
  <c r="K70" i="94" s="1"/>
  <c r="J70" i="94" a="1"/>
  <c r="J70" i="94" s="1"/>
  <c r="I70" i="94" a="1"/>
  <c r="I70" i="94" s="1"/>
  <c r="H70" i="94" a="1"/>
  <c r="H70" i="94" s="1"/>
  <c r="G70" i="94" a="1"/>
  <c r="G70" i="94" s="1"/>
  <c r="F70" i="94" a="1"/>
  <c r="F70" i="94" s="1"/>
  <c r="E70" i="94" a="1"/>
  <c r="E70" i="94" s="1"/>
  <c r="D70" i="94" a="1"/>
  <c r="D70" i="94" s="1"/>
  <c r="K69" i="94" a="1"/>
  <c r="K69" i="94" s="1"/>
  <c r="J69" i="94" a="1"/>
  <c r="J69" i="94" s="1"/>
  <c r="I69" i="94" a="1"/>
  <c r="I69" i="94" s="1"/>
  <c r="H69" i="94" a="1"/>
  <c r="H69" i="94" s="1"/>
  <c r="G69" i="94" a="1"/>
  <c r="G69" i="94" s="1"/>
  <c r="F69" i="94" a="1"/>
  <c r="F69" i="94" s="1"/>
  <c r="E69" i="94" a="1"/>
  <c r="E69" i="94" s="1"/>
  <c r="D69" i="94" a="1"/>
  <c r="D69" i="94" s="1"/>
  <c r="K68" i="94" a="1"/>
  <c r="K68" i="94" s="1"/>
  <c r="J68" i="94" a="1"/>
  <c r="J68" i="94" s="1"/>
  <c r="I68" i="94" a="1"/>
  <c r="I68" i="94" s="1"/>
  <c r="H68" i="94" a="1"/>
  <c r="H68" i="94" s="1"/>
  <c r="G68" i="94" a="1"/>
  <c r="G68" i="94" s="1"/>
  <c r="F68" i="94" a="1"/>
  <c r="F68" i="94" s="1"/>
  <c r="E68" i="94" a="1"/>
  <c r="E68" i="94" s="1"/>
  <c r="D68" i="94" a="1"/>
  <c r="D68" i="94" s="1"/>
  <c r="K67" i="94" a="1"/>
  <c r="K67" i="94" s="1"/>
  <c r="J67" i="94" a="1"/>
  <c r="J67" i="94" s="1"/>
  <c r="I67" i="94" a="1"/>
  <c r="I67" i="94" s="1"/>
  <c r="H67" i="94" a="1"/>
  <c r="H67" i="94" s="1"/>
  <c r="G67" i="94" a="1"/>
  <c r="G67" i="94" s="1"/>
  <c r="F67" i="94" a="1"/>
  <c r="F67" i="94" s="1"/>
  <c r="E67" i="94" a="1"/>
  <c r="E67" i="94" s="1"/>
  <c r="D67" i="94" a="1"/>
  <c r="D67" i="94" s="1"/>
  <c r="K66" i="94" a="1"/>
  <c r="K66" i="94" s="1"/>
  <c r="J66" i="94" a="1"/>
  <c r="J66" i="94" s="1"/>
  <c r="I66" i="94" a="1"/>
  <c r="I66" i="94" s="1"/>
  <c r="H66" i="94" a="1"/>
  <c r="H66" i="94" s="1"/>
  <c r="G66" i="94" a="1"/>
  <c r="G66" i="94" s="1"/>
  <c r="F66" i="94" a="1"/>
  <c r="F66" i="94" s="1"/>
  <c r="E66" i="94" a="1"/>
  <c r="E66" i="94" s="1"/>
  <c r="D66" i="94" a="1"/>
  <c r="D66" i="94" s="1"/>
  <c r="K65" i="94" a="1"/>
  <c r="K65" i="94" s="1"/>
  <c r="J65" i="94" a="1"/>
  <c r="J65" i="94" s="1"/>
  <c r="I65" i="94" a="1"/>
  <c r="I65" i="94" s="1"/>
  <c r="H65" i="94" a="1"/>
  <c r="H65" i="94" s="1"/>
  <c r="G65" i="94" a="1"/>
  <c r="G65" i="94" s="1"/>
  <c r="F65" i="94" a="1"/>
  <c r="F65" i="94" s="1"/>
  <c r="E65" i="94" a="1"/>
  <c r="E65" i="94" s="1"/>
  <c r="D65" i="94" a="1"/>
  <c r="D65" i="94" s="1"/>
  <c r="K64" i="94" a="1"/>
  <c r="K64" i="94" s="1"/>
  <c r="J64" i="94" a="1"/>
  <c r="J64" i="94" s="1"/>
  <c r="I64" i="94" a="1"/>
  <c r="I64" i="94" s="1"/>
  <c r="H64" i="94" a="1"/>
  <c r="H64" i="94" s="1"/>
  <c r="G64" i="94" a="1"/>
  <c r="G64" i="94" s="1"/>
  <c r="F64" i="94" a="1"/>
  <c r="F64" i="94" s="1"/>
  <c r="E64" i="94" a="1"/>
  <c r="E64" i="94" s="1"/>
  <c r="D64" i="94" a="1"/>
  <c r="D64" i="94" s="1"/>
  <c r="K63" i="94" a="1"/>
  <c r="K63" i="94" s="1"/>
  <c r="J63" i="94" a="1"/>
  <c r="J63" i="94" s="1"/>
  <c r="I63" i="94" a="1"/>
  <c r="I63" i="94" s="1"/>
  <c r="H63" i="94" a="1"/>
  <c r="H63" i="94" s="1"/>
  <c r="G63" i="94" a="1"/>
  <c r="G63" i="94" s="1"/>
  <c r="F63" i="94" a="1"/>
  <c r="F63" i="94" s="1"/>
  <c r="E63" i="94" a="1"/>
  <c r="E63" i="94" s="1"/>
  <c r="D63" i="94" a="1"/>
  <c r="D63" i="94" s="1"/>
  <c r="K62" i="94" a="1"/>
  <c r="K62" i="94" s="1"/>
  <c r="J62" i="94" a="1"/>
  <c r="J62" i="94" s="1"/>
  <c r="I62" i="94" a="1"/>
  <c r="I62" i="94" s="1"/>
  <c r="H62" i="94" a="1"/>
  <c r="H62" i="94" s="1"/>
  <c r="G62" i="94" a="1"/>
  <c r="G62" i="94" s="1"/>
  <c r="F62" i="94" a="1"/>
  <c r="F62" i="94" s="1"/>
  <c r="E62" i="94" a="1"/>
  <c r="E62" i="94" s="1"/>
  <c r="D62" i="94" a="1"/>
  <c r="D62" i="94" s="1"/>
  <c r="K61" i="94" a="1"/>
  <c r="K61" i="94" s="1"/>
  <c r="J61" i="94" a="1"/>
  <c r="J61" i="94" s="1"/>
  <c r="I61" i="94" a="1"/>
  <c r="I61" i="94" s="1"/>
  <c r="H61" i="94" a="1"/>
  <c r="H61" i="94" s="1"/>
  <c r="G61" i="94" a="1"/>
  <c r="G61" i="94" s="1"/>
  <c r="F61" i="94" a="1"/>
  <c r="F61" i="94" s="1"/>
  <c r="E61" i="94" a="1"/>
  <c r="E61" i="94" s="1"/>
  <c r="D61" i="94" a="1"/>
  <c r="D61" i="94" s="1"/>
  <c r="K60" i="94" a="1"/>
  <c r="K60" i="94" s="1"/>
  <c r="J60" i="94" a="1"/>
  <c r="J60" i="94" s="1"/>
  <c r="I60" i="94" a="1"/>
  <c r="I60" i="94" s="1"/>
  <c r="H60" i="94" a="1"/>
  <c r="H60" i="94" s="1"/>
  <c r="G60" i="94" a="1"/>
  <c r="G60" i="94" s="1"/>
  <c r="F60" i="94" a="1"/>
  <c r="F60" i="94" s="1"/>
  <c r="E60" i="94" a="1"/>
  <c r="E60" i="94" s="1"/>
  <c r="D60" i="94" a="1"/>
  <c r="D60" i="94" s="1"/>
  <c r="K59" i="94" a="1"/>
  <c r="K59" i="94" s="1"/>
  <c r="J59" i="94" a="1"/>
  <c r="J59" i="94" s="1"/>
  <c r="I59" i="94" a="1"/>
  <c r="I59" i="94" s="1"/>
  <c r="H59" i="94" a="1"/>
  <c r="H59" i="94" s="1"/>
  <c r="G59" i="94" a="1"/>
  <c r="G59" i="94" s="1"/>
  <c r="F59" i="94" a="1"/>
  <c r="F59" i="94" s="1"/>
  <c r="E59" i="94" a="1"/>
  <c r="E59" i="94" s="1"/>
  <c r="D59" i="94" a="1"/>
  <c r="D59" i="94" s="1"/>
  <c r="K58" i="94" a="1"/>
  <c r="K58" i="94" s="1"/>
  <c r="J58" i="94" a="1"/>
  <c r="J58" i="94" s="1"/>
  <c r="I58" i="94" a="1"/>
  <c r="I58" i="94" s="1"/>
  <c r="H58" i="94" a="1"/>
  <c r="H58" i="94" s="1"/>
  <c r="G58" i="94" a="1"/>
  <c r="G58" i="94" s="1"/>
  <c r="F58" i="94" a="1"/>
  <c r="F58" i="94" s="1"/>
  <c r="E58" i="94" a="1"/>
  <c r="E58" i="94" s="1"/>
  <c r="D58" i="94" a="1"/>
  <c r="D58" i="94" s="1"/>
  <c r="K57" i="94" a="1"/>
  <c r="K57" i="94" s="1"/>
  <c r="J57" i="94" a="1"/>
  <c r="J57" i="94" s="1"/>
  <c r="I57" i="94" a="1"/>
  <c r="I57" i="94" s="1"/>
  <c r="H57" i="94" a="1"/>
  <c r="H57" i="94" s="1"/>
  <c r="G57" i="94" a="1"/>
  <c r="G57" i="94" s="1"/>
  <c r="F57" i="94" a="1"/>
  <c r="F57" i="94" s="1"/>
  <c r="E57" i="94" a="1"/>
  <c r="E57" i="94" s="1"/>
  <c r="D57" i="94" a="1"/>
  <c r="D57" i="94" s="1"/>
  <c r="K56" i="94" a="1"/>
  <c r="K56" i="94" s="1"/>
  <c r="J56" i="94" a="1"/>
  <c r="J56" i="94" s="1"/>
  <c r="I56" i="94" a="1"/>
  <c r="I56" i="94" s="1"/>
  <c r="H56" i="94" a="1"/>
  <c r="H56" i="94" s="1"/>
  <c r="G56" i="94" a="1"/>
  <c r="G56" i="94" s="1"/>
  <c r="F56" i="94" a="1"/>
  <c r="F56" i="94" s="1"/>
  <c r="E56" i="94" a="1"/>
  <c r="E56" i="94" s="1"/>
  <c r="D56" i="94" a="1"/>
  <c r="D56" i="94" s="1"/>
  <c r="K55" i="94" a="1"/>
  <c r="K55" i="94" s="1"/>
  <c r="J55" i="94" a="1"/>
  <c r="J55" i="94" s="1"/>
  <c r="I55" i="94" a="1"/>
  <c r="I55" i="94" s="1"/>
  <c r="H55" i="94" a="1"/>
  <c r="H55" i="94" s="1"/>
  <c r="G55" i="94" a="1"/>
  <c r="G55" i="94" s="1"/>
  <c r="F55" i="94" a="1"/>
  <c r="F55" i="94" s="1"/>
  <c r="E55" i="94" a="1"/>
  <c r="E55" i="94" s="1"/>
  <c r="D55" i="94" a="1"/>
  <c r="D55" i="94" s="1"/>
  <c r="K54" i="94" a="1"/>
  <c r="K54" i="94" s="1"/>
  <c r="J54" i="94" a="1"/>
  <c r="J54" i="94" s="1"/>
  <c r="I54" i="94" a="1"/>
  <c r="I54" i="94" s="1"/>
  <c r="H54" i="94" a="1"/>
  <c r="H54" i="94" s="1"/>
  <c r="G54" i="94" a="1"/>
  <c r="G54" i="94" s="1"/>
  <c r="F54" i="94" a="1"/>
  <c r="F54" i="94" s="1"/>
  <c r="E54" i="94" a="1"/>
  <c r="E54" i="94" s="1"/>
  <c r="D54" i="94" a="1"/>
  <c r="D54" i="94" s="1"/>
  <c r="D52" i="94" a="1"/>
  <c r="D52" i="94" s="1"/>
  <c r="D51" i="94" a="1"/>
  <c r="D51" i="94" s="1"/>
  <c r="D50" i="94" a="1"/>
  <c r="D50" i="94" s="1"/>
  <c r="D49" i="94" a="1"/>
  <c r="D49" i="94" s="1"/>
  <c r="J43" i="94" a="1"/>
  <c r="J43" i="94" s="1"/>
  <c r="I43" i="94" a="1"/>
  <c r="I43" i="94" s="1"/>
  <c r="H43" i="94" a="1"/>
  <c r="H43" i="94" s="1"/>
  <c r="G43" i="94" a="1"/>
  <c r="G43" i="94" s="1"/>
  <c r="F43" i="94" a="1"/>
  <c r="F43" i="94" s="1"/>
  <c r="E43" i="94" a="1"/>
  <c r="E43" i="94" s="1"/>
  <c r="D43" i="94" a="1"/>
  <c r="D43" i="94" s="1"/>
  <c r="J42" i="94" a="1"/>
  <c r="J42" i="94" s="1"/>
  <c r="I42" i="94" a="1"/>
  <c r="I42" i="94" s="1"/>
  <c r="H42" i="94" a="1"/>
  <c r="H42" i="94" s="1"/>
  <c r="G42" i="94" a="1"/>
  <c r="G42" i="94" s="1"/>
  <c r="F42" i="94" a="1"/>
  <c r="F42" i="94" s="1"/>
  <c r="E42" i="94" a="1"/>
  <c r="E42" i="94" s="1"/>
  <c r="D42" i="94" a="1"/>
  <c r="D42" i="94" s="1"/>
  <c r="J41" i="94" a="1"/>
  <c r="J41" i="94" s="1"/>
  <c r="I41" i="94" a="1"/>
  <c r="I41" i="94" s="1"/>
  <c r="H41" i="94" a="1"/>
  <c r="H41" i="94" s="1"/>
  <c r="G41" i="94" a="1"/>
  <c r="G41" i="94" s="1"/>
  <c r="F41" i="94" a="1"/>
  <c r="F41" i="94" s="1"/>
  <c r="E41" i="94" a="1"/>
  <c r="E41" i="94" s="1"/>
  <c r="D41" i="94" a="1"/>
  <c r="D41" i="94" s="1"/>
  <c r="J40" i="94" a="1"/>
  <c r="J40" i="94" s="1"/>
  <c r="I40" i="94" a="1"/>
  <c r="I40" i="94" s="1"/>
  <c r="H40" i="94" a="1"/>
  <c r="H40" i="94" s="1"/>
  <c r="G40" i="94" a="1"/>
  <c r="G40" i="94" s="1"/>
  <c r="F40" i="94" a="1"/>
  <c r="F40" i="94" s="1"/>
  <c r="E40" i="94" a="1"/>
  <c r="E40" i="94" s="1"/>
  <c r="D40" i="94" a="1"/>
  <c r="D40" i="94" s="1"/>
  <c r="D38" i="94" a="1"/>
  <c r="D38" i="94" s="1"/>
  <c r="D37" i="94" a="1"/>
  <c r="D37" i="94" s="1"/>
  <c r="L34" i="94" a="1"/>
  <c r="L34" i="94" s="1"/>
  <c r="K34" i="94" a="1"/>
  <c r="K34" i="94" s="1"/>
  <c r="J34" i="94" a="1"/>
  <c r="J34" i="94" s="1"/>
  <c r="I34" i="94" a="1"/>
  <c r="I34" i="94" s="1"/>
  <c r="H34" i="94" a="1"/>
  <c r="H34" i="94" s="1"/>
  <c r="G34" i="94" a="1"/>
  <c r="G34" i="94" s="1"/>
  <c r="F34" i="94" a="1"/>
  <c r="F34" i="94" s="1"/>
  <c r="E34" i="94" a="1"/>
  <c r="E34" i="94" s="1"/>
  <c r="D34" i="94" a="1"/>
  <c r="D34" i="94" s="1"/>
  <c r="L33" i="94" a="1"/>
  <c r="L33" i="94" s="1"/>
  <c r="K33" i="94" a="1"/>
  <c r="K33" i="94" s="1"/>
  <c r="J33" i="94" a="1"/>
  <c r="J33" i="94" s="1"/>
  <c r="I33" i="94" a="1"/>
  <c r="I33" i="94" s="1"/>
  <c r="H33" i="94" a="1"/>
  <c r="H33" i="94" s="1"/>
  <c r="G33" i="94" a="1"/>
  <c r="G33" i="94" s="1"/>
  <c r="F33" i="94" a="1"/>
  <c r="F33" i="94" s="1"/>
  <c r="E33" i="94" a="1"/>
  <c r="E33" i="94" s="1"/>
  <c r="E39" i="92" s="1"/>
  <c r="D33" i="94" a="1"/>
  <c r="D33" i="94" s="1"/>
  <c r="L32" i="94" a="1"/>
  <c r="L32" i="94" s="1"/>
  <c r="K32" i="94" a="1"/>
  <c r="K32" i="94" s="1"/>
  <c r="J32" i="94" a="1"/>
  <c r="J32" i="94" s="1"/>
  <c r="I32" i="94" a="1"/>
  <c r="I32" i="94" s="1"/>
  <c r="H32" i="94" a="1"/>
  <c r="H32" i="94" s="1"/>
  <c r="G32" i="94" a="1"/>
  <c r="G32" i="94" s="1"/>
  <c r="F32" i="94" a="1"/>
  <c r="F32" i="94" s="1"/>
  <c r="E32" i="94" a="1"/>
  <c r="E32" i="94" s="1"/>
  <c r="D32" i="94" a="1"/>
  <c r="D32" i="94" s="1"/>
  <c r="L31" i="94" a="1"/>
  <c r="L31" i="94" s="1"/>
  <c r="K31" i="94" a="1"/>
  <c r="K31" i="94" s="1"/>
  <c r="J31" i="94" a="1"/>
  <c r="J31" i="94" s="1"/>
  <c r="I31" i="94" a="1"/>
  <c r="I31" i="94" s="1"/>
  <c r="H31" i="94" a="1"/>
  <c r="H31" i="94" s="1"/>
  <c r="G31" i="94" a="1"/>
  <c r="G31" i="94" s="1"/>
  <c r="F31" i="94" a="1"/>
  <c r="F31" i="94" s="1"/>
  <c r="E31" i="94" a="1"/>
  <c r="E31" i="94" s="1"/>
  <c r="D31" i="94" a="1"/>
  <c r="D31" i="94" s="1"/>
  <c r="L30" i="94" a="1"/>
  <c r="L30" i="94" s="1"/>
  <c r="K30" i="94" a="1"/>
  <c r="K30" i="94" s="1"/>
  <c r="J30" i="94" a="1"/>
  <c r="J30" i="94" s="1"/>
  <c r="I30" i="94" a="1"/>
  <c r="I30" i="94" s="1"/>
  <c r="H30" i="94" a="1"/>
  <c r="H30" i="94" s="1"/>
  <c r="G30" i="94" a="1"/>
  <c r="G30" i="94" s="1"/>
  <c r="F30" i="94" a="1"/>
  <c r="F30" i="94" s="1"/>
  <c r="E30" i="94" a="1"/>
  <c r="E30" i="94" s="1"/>
  <c r="E36" i="92" s="1"/>
  <c r="D30" i="94" a="1"/>
  <c r="D30" i="94" s="1"/>
  <c r="L29" i="94" a="1"/>
  <c r="L29" i="94" s="1"/>
  <c r="K29" i="94" a="1"/>
  <c r="K29" i="94" s="1"/>
  <c r="J29" i="94" a="1"/>
  <c r="J29" i="94" s="1"/>
  <c r="I29" i="94" a="1"/>
  <c r="I29" i="94" s="1"/>
  <c r="H29" i="94" a="1"/>
  <c r="H29" i="94" s="1"/>
  <c r="G29" i="94" a="1"/>
  <c r="G29" i="94" s="1"/>
  <c r="F29" i="94" a="1"/>
  <c r="F29" i="94" s="1"/>
  <c r="E29" i="94" a="1"/>
  <c r="E29" i="94" s="1"/>
  <c r="E35" i="92" s="1"/>
  <c r="D29" i="94" a="1"/>
  <c r="D29" i="94" s="1"/>
  <c r="L28" i="94" a="1"/>
  <c r="L28" i="94" s="1"/>
  <c r="K28" i="94" a="1"/>
  <c r="K28" i="94" s="1"/>
  <c r="J28" i="94" a="1"/>
  <c r="J28" i="94" s="1"/>
  <c r="I28" i="94" a="1"/>
  <c r="I28" i="94" s="1"/>
  <c r="H28" i="94" a="1"/>
  <c r="H28" i="94" s="1"/>
  <c r="G28" i="94" a="1"/>
  <c r="G28" i="94" s="1"/>
  <c r="F28" i="94" a="1"/>
  <c r="F28" i="94" s="1"/>
  <c r="E28" i="94" a="1"/>
  <c r="E28" i="94" s="1"/>
  <c r="E34" i="92" s="1"/>
  <c r="D28" i="94" a="1"/>
  <c r="D28" i="94" s="1"/>
  <c r="L27" i="94" a="1"/>
  <c r="L27" i="94" s="1"/>
  <c r="K27" i="94" a="1"/>
  <c r="K27" i="94" s="1"/>
  <c r="J27" i="94" a="1"/>
  <c r="J27" i="94" s="1"/>
  <c r="I27" i="94" a="1"/>
  <c r="I27" i="94" s="1"/>
  <c r="H27" i="94" a="1"/>
  <c r="H27" i="94" s="1"/>
  <c r="G27" i="94" a="1"/>
  <c r="G27" i="94" s="1"/>
  <c r="F27" i="94" a="1"/>
  <c r="F27" i="94" s="1"/>
  <c r="E27" i="94" a="1"/>
  <c r="E27" i="94" s="1"/>
  <c r="D27" i="94" a="1"/>
  <c r="D27" i="94" s="1"/>
  <c r="L26" i="94" a="1"/>
  <c r="L26" i="94" s="1"/>
  <c r="K26" i="94" a="1"/>
  <c r="K26" i="94" s="1"/>
  <c r="J26" i="94" a="1"/>
  <c r="J26" i="94" s="1"/>
  <c r="I26" i="94" a="1"/>
  <c r="I26" i="94" s="1"/>
  <c r="H26" i="94" a="1"/>
  <c r="H26" i="94" s="1"/>
  <c r="G26" i="94" a="1"/>
  <c r="G26" i="94" s="1"/>
  <c r="F26" i="94" a="1"/>
  <c r="F26" i="94" s="1"/>
  <c r="E26" i="94" a="1"/>
  <c r="E26" i="94" s="1"/>
  <c r="D26" i="94" a="1"/>
  <c r="D26" i="94" s="1"/>
  <c r="L25" i="94" a="1"/>
  <c r="L25" i="94" s="1"/>
  <c r="K25" i="94" a="1"/>
  <c r="K25" i="94" s="1"/>
  <c r="J25" i="94" a="1"/>
  <c r="J25" i="94" s="1"/>
  <c r="I25" i="94" a="1"/>
  <c r="I25" i="94" s="1"/>
  <c r="H25" i="94" a="1"/>
  <c r="H25" i="94" s="1"/>
  <c r="G25" i="94" a="1"/>
  <c r="G25" i="94" s="1"/>
  <c r="F25" i="94" a="1"/>
  <c r="F25" i="94" s="1"/>
  <c r="E25" i="94" a="1"/>
  <c r="E25" i="94" s="1"/>
  <c r="D25" i="94" a="1"/>
  <c r="D25" i="94" s="1"/>
  <c r="L24" i="94" a="1"/>
  <c r="L24" i="94" s="1"/>
  <c r="K24" i="94" a="1"/>
  <c r="K24" i="94" s="1"/>
  <c r="J24" i="94" a="1"/>
  <c r="J24" i="94" s="1"/>
  <c r="I24" i="94" a="1"/>
  <c r="I24" i="94" s="1"/>
  <c r="H24" i="94" a="1"/>
  <c r="H24" i="94" s="1"/>
  <c r="G24" i="94" a="1"/>
  <c r="G24" i="94" s="1"/>
  <c r="F24" i="94" a="1"/>
  <c r="F24" i="94" s="1"/>
  <c r="E24" i="94" a="1"/>
  <c r="E24" i="94" s="1"/>
  <c r="D24" i="94" a="1"/>
  <c r="D24" i="94" s="1"/>
  <c r="L23" i="94" a="1"/>
  <c r="L23" i="94" s="1"/>
  <c r="K23" i="94" a="1"/>
  <c r="K23" i="94" s="1"/>
  <c r="J23" i="94" a="1"/>
  <c r="J23" i="94" s="1"/>
  <c r="I23" i="94" a="1"/>
  <c r="I23" i="94" s="1"/>
  <c r="H23" i="94" a="1"/>
  <c r="H23" i="94" s="1"/>
  <c r="G23" i="94" a="1"/>
  <c r="G23" i="94" s="1"/>
  <c r="F23" i="94" a="1"/>
  <c r="F23" i="94" s="1"/>
  <c r="E23" i="94" a="1"/>
  <c r="E23" i="94" s="1"/>
  <c r="D23" i="94" a="1"/>
  <c r="D23" i="94" s="1"/>
  <c r="L22" i="94" a="1"/>
  <c r="L22" i="94" s="1"/>
  <c r="K22" i="94" a="1"/>
  <c r="K22" i="94" s="1"/>
  <c r="J22" i="94" a="1"/>
  <c r="J22" i="94" s="1"/>
  <c r="I22" i="94" a="1"/>
  <c r="I22" i="94" s="1"/>
  <c r="H22" i="94" a="1"/>
  <c r="H22" i="94" s="1"/>
  <c r="G22" i="94" a="1"/>
  <c r="G22" i="94" s="1"/>
  <c r="F22" i="94" a="1"/>
  <c r="F22" i="94" s="1"/>
  <c r="E22" i="94" a="1"/>
  <c r="E22" i="94" s="1"/>
  <c r="D22" i="94" a="1"/>
  <c r="D22" i="94" s="1"/>
  <c r="L21" i="94" a="1"/>
  <c r="L21" i="94" s="1"/>
  <c r="K21" i="94" a="1"/>
  <c r="K21" i="94" s="1"/>
  <c r="J21" i="94" a="1"/>
  <c r="J21" i="94" s="1"/>
  <c r="I21" i="94" a="1"/>
  <c r="I21" i="94" s="1"/>
  <c r="H21" i="94" a="1"/>
  <c r="H21" i="94" s="1"/>
  <c r="G21" i="94" a="1"/>
  <c r="G21" i="94" s="1"/>
  <c r="F21" i="94" a="1"/>
  <c r="F21" i="94" s="1"/>
  <c r="E21" i="94" a="1"/>
  <c r="E21" i="94" s="1"/>
  <c r="D21" i="94" a="1"/>
  <c r="D21" i="94" s="1"/>
  <c r="L20" i="94" a="1"/>
  <c r="L20" i="94" s="1"/>
  <c r="K20" i="94" a="1"/>
  <c r="K20" i="94" s="1"/>
  <c r="J20" i="94" a="1"/>
  <c r="J20" i="94" s="1"/>
  <c r="I20" i="94" a="1"/>
  <c r="I20" i="94" s="1"/>
  <c r="H20" i="94" a="1"/>
  <c r="H20" i="94" s="1"/>
  <c r="G20" i="94" a="1"/>
  <c r="G20" i="94" s="1"/>
  <c r="F20" i="94" a="1"/>
  <c r="F20" i="94" s="1"/>
  <c r="E20" i="94" a="1"/>
  <c r="E20" i="94" s="1"/>
  <c r="D20" i="94" a="1"/>
  <c r="D20" i="94" s="1"/>
  <c r="L19" i="94" a="1"/>
  <c r="L19" i="94" s="1"/>
  <c r="K19" i="94" a="1"/>
  <c r="K19" i="94" s="1"/>
  <c r="J19" i="94" a="1"/>
  <c r="J19" i="94" s="1"/>
  <c r="I19" i="94" a="1"/>
  <c r="I19" i="94" s="1"/>
  <c r="H19" i="94" a="1"/>
  <c r="H19" i="94" s="1"/>
  <c r="G19" i="94" a="1"/>
  <c r="G19" i="94" s="1"/>
  <c r="F19" i="94" a="1"/>
  <c r="F19" i="94" s="1"/>
  <c r="E19" i="94" a="1"/>
  <c r="E19" i="94" s="1"/>
  <c r="D19" i="94" a="1"/>
  <c r="D19" i="94" s="1"/>
  <c r="L18" i="94" a="1"/>
  <c r="L18" i="94" s="1"/>
  <c r="K18" i="94" a="1"/>
  <c r="K18" i="94" s="1"/>
  <c r="J18" i="94" a="1"/>
  <c r="J18" i="94" s="1"/>
  <c r="I18" i="94" a="1"/>
  <c r="I18" i="94" s="1"/>
  <c r="H18" i="94" a="1"/>
  <c r="H18" i="94" s="1"/>
  <c r="G18" i="94" a="1"/>
  <c r="G18" i="94" s="1"/>
  <c r="F18" i="94" a="1"/>
  <c r="F18" i="94" s="1"/>
  <c r="E18" i="94" a="1"/>
  <c r="E18" i="94" s="1"/>
  <c r="D18" i="94" a="1"/>
  <c r="D18" i="94" s="1"/>
  <c r="L17" i="94" a="1"/>
  <c r="L17" i="94" s="1"/>
  <c r="K17" i="94" a="1"/>
  <c r="K17" i="94" s="1"/>
  <c r="J17" i="94" a="1"/>
  <c r="J17" i="94" s="1"/>
  <c r="I17" i="94" a="1"/>
  <c r="I17" i="94" s="1"/>
  <c r="H17" i="94" a="1"/>
  <c r="H17" i="94" s="1"/>
  <c r="G17" i="94" a="1"/>
  <c r="G17" i="94" s="1"/>
  <c r="F17" i="94" a="1"/>
  <c r="F17" i="94" s="1"/>
  <c r="E17" i="94" a="1"/>
  <c r="E17" i="94" s="1"/>
  <c r="E32" i="92" s="1"/>
  <c r="D17" i="94" a="1"/>
  <c r="D17" i="94" s="1"/>
  <c r="L16" i="94" a="1"/>
  <c r="L16" i="94" s="1"/>
  <c r="K16" i="94" a="1"/>
  <c r="K16" i="94" s="1"/>
  <c r="J16" i="94" a="1"/>
  <c r="J16" i="94" s="1"/>
  <c r="I16" i="94" a="1"/>
  <c r="I16" i="94" s="1"/>
  <c r="H16" i="94" a="1"/>
  <c r="H16" i="94" s="1"/>
  <c r="G16" i="94" a="1"/>
  <c r="G16" i="94" s="1"/>
  <c r="F16" i="94" a="1"/>
  <c r="F16" i="94" s="1"/>
  <c r="E16" i="94" a="1"/>
  <c r="E16" i="94" s="1"/>
  <c r="E31" i="92" s="1"/>
  <c r="D16" i="94" a="1"/>
  <c r="D16" i="94" s="1"/>
  <c r="L15" i="94" a="1"/>
  <c r="L15" i="94" s="1"/>
  <c r="K15" i="94" a="1"/>
  <c r="K15" i="94" s="1"/>
  <c r="J15" i="94" a="1"/>
  <c r="J15" i="94" s="1"/>
  <c r="I15" i="94" a="1"/>
  <c r="I15" i="94" s="1"/>
  <c r="H15" i="94" a="1"/>
  <c r="H15" i="94" s="1"/>
  <c r="G15" i="94" a="1"/>
  <c r="G15" i="94" s="1"/>
  <c r="F15" i="94" a="1"/>
  <c r="F15" i="94" s="1"/>
  <c r="E15" i="94" a="1"/>
  <c r="E15" i="94" s="1"/>
  <c r="E30" i="92" s="1"/>
  <c r="D15" i="94" a="1"/>
  <c r="D15" i="94" s="1"/>
  <c r="L14" i="94" a="1"/>
  <c r="L14" i="94" s="1"/>
  <c r="K14" i="94" a="1"/>
  <c r="K14" i="94" s="1"/>
  <c r="J14" i="94" a="1"/>
  <c r="J14" i="94" s="1"/>
  <c r="I14" i="94" a="1"/>
  <c r="I14" i="94" s="1"/>
  <c r="H14" i="94" a="1"/>
  <c r="H14" i="94" s="1"/>
  <c r="G14" i="94" a="1"/>
  <c r="G14" i="94" s="1"/>
  <c r="F14" i="94" a="1"/>
  <c r="F14" i="94" s="1"/>
  <c r="E14" i="94" a="1"/>
  <c r="E14" i="94" s="1"/>
  <c r="E29" i="92" s="1"/>
  <c r="D14" i="94" a="1"/>
  <c r="D14" i="94" s="1"/>
  <c r="L13" i="94" a="1"/>
  <c r="L13" i="94" s="1"/>
  <c r="K13" i="94" a="1"/>
  <c r="K13" i="94" s="1"/>
  <c r="J13" i="94" a="1"/>
  <c r="J13" i="94" s="1"/>
  <c r="I13" i="94" a="1"/>
  <c r="I13" i="94" s="1"/>
  <c r="H13" i="94" a="1"/>
  <c r="H13" i="94" s="1"/>
  <c r="G13" i="94" a="1"/>
  <c r="G13" i="94" s="1"/>
  <c r="F13" i="94" a="1"/>
  <c r="F13" i="94" s="1"/>
  <c r="E13" i="94" a="1"/>
  <c r="E13" i="94" s="1"/>
  <c r="E28" i="92" s="1"/>
  <c r="D13" i="94" a="1"/>
  <c r="D13" i="94" s="1"/>
  <c r="L12" i="94" a="1"/>
  <c r="L12" i="94" s="1"/>
  <c r="K12" i="94" a="1"/>
  <c r="K12" i="94" s="1"/>
  <c r="J12" i="94" a="1"/>
  <c r="J12" i="94" s="1"/>
  <c r="I12" i="94" a="1"/>
  <c r="I12" i="94" s="1"/>
  <c r="H12" i="94" a="1"/>
  <c r="H12" i="94" s="1"/>
  <c r="G12" i="94" a="1"/>
  <c r="G12" i="94" s="1"/>
  <c r="F12" i="94" a="1"/>
  <c r="F12" i="94" s="1"/>
  <c r="E12" i="94" a="1"/>
  <c r="E12" i="94" s="1"/>
  <c r="E27" i="92" s="1"/>
  <c r="D12" i="94" a="1"/>
  <c r="D12" i="94" s="1"/>
  <c r="L11" i="94" a="1"/>
  <c r="L11" i="94" s="1"/>
  <c r="K11" i="94" a="1"/>
  <c r="K11" i="94" s="1"/>
  <c r="J11" i="94" a="1"/>
  <c r="J11" i="94" s="1"/>
  <c r="I11" i="94" a="1"/>
  <c r="I11" i="94" s="1"/>
  <c r="H11" i="94" a="1"/>
  <c r="H11" i="94" s="1"/>
  <c r="G11" i="94" a="1"/>
  <c r="G11" i="94" s="1"/>
  <c r="F11" i="94" a="1"/>
  <c r="F11" i="94" s="1"/>
  <c r="E11" i="94" a="1"/>
  <c r="E11" i="94" s="1"/>
  <c r="D11" i="94" a="1"/>
  <c r="D11" i="94" s="1"/>
  <c r="L10" i="94" a="1"/>
  <c r="L10" i="94" s="1"/>
  <c r="K10" i="94" a="1"/>
  <c r="K10" i="94" s="1"/>
  <c r="J10" i="94" a="1"/>
  <c r="J10" i="94" s="1"/>
  <c r="I10" i="94" a="1"/>
  <c r="I10" i="94" s="1"/>
  <c r="H10" i="94" a="1"/>
  <c r="H10" i="94" s="1"/>
  <c r="G10" i="94" a="1"/>
  <c r="G10" i="94" s="1"/>
  <c r="F10" i="94" a="1"/>
  <c r="F10" i="94" s="1"/>
  <c r="E10" i="94" a="1"/>
  <c r="E10" i="94" s="1"/>
  <c r="D10" i="94" a="1"/>
  <c r="D10" i="94" s="1"/>
  <c r="D8" i="94" a="1"/>
  <c r="D8" i="94" s="1"/>
  <c r="D7" i="94" a="1"/>
  <c r="D7" i="94" s="1"/>
  <c r="D6" i="94" a="1"/>
  <c r="D6" i="94" s="1"/>
  <c r="D5" i="94" a="1"/>
  <c r="D5" i="94" s="1"/>
  <c r="D34" i="93"/>
  <c r="D36" i="93"/>
  <c r="D27" i="93"/>
  <c r="D29" i="93"/>
  <c r="P18" i="93"/>
  <c r="P17"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7" i="93" a="1"/>
  <c r="K7" i="93" s="1"/>
  <c r="K6" i="93" a="1"/>
  <c r="K6" i="93" s="1"/>
  <c r="D6" i="93" a="1"/>
  <c r="D6" i="93" s="1"/>
  <c r="K5" i="93" a="1"/>
  <c r="K5" i="93" s="1"/>
  <c r="D5" i="93" a="1"/>
  <c r="D5" i="93" s="1"/>
  <c r="D39" i="92"/>
  <c r="D38" i="92"/>
  <c r="D60" i="92"/>
  <c r="D35" i="92"/>
  <c r="D30" i="92"/>
  <c r="P16" i="92" a="1"/>
  <c r="P16" i="92" s="1"/>
  <c r="I16" i="92" a="1"/>
  <c r="I16" i="92" s="1"/>
  <c r="P15" i="92" a="1"/>
  <c r="P15" i="92" s="1"/>
  <c r="I15" i="92" a="1"/>
  <c r="I15" i="92" s="1"/>
  <c r="P14" i="92" a="1"/>
  <c r="P14" i="92" s="1"/>
  <c r="N14" i="92" a="1"/>
  <c r="N14" i="92" s="1"/>
  <c r="K14" i="92" a="1"/>
  <c r="K14" i="92" s="1"/>
  <c r="I14" i="92" a="1"/>
  <c r="I14" i="92" s="1"/>
  <c r="G14" i="92" a="1"/>
  <c r="G14" i="92" s="1"/>
  <c r="D14" i="92" a="1"/>
  <c r="D14" i="92" s="1"/>
  <c r="L12" i="92" a="1"/>
  <c r="L12" i="92" s="1"/>
  <c r="E12" i="92" a="1"/>
  <c r="E12" i="92" s="1"/>
  <c r="F70" i="92" s="1"/>
  <c r="L11" i="92" a="1"/>
  <c r="L11" i="92" s="1"/>
  <c r="E11" i="92" a="1"/>
  <c r="E11" i="92" s="1"/>
  <c r="K6" i="92" a="1"/>
  <c r="K6" i="92" s="1"/>
  <c r="D6" i="92" a="1"/>
  <c r="D6" i="92" s="1"/>
  <c r="K5" i="92" a="1"/>
  <c r="K5" i="92" s="1"/>
  <c r="D5" i="92" a="1"/>
  <c r="D5" i="92" s="1"/>
  <c r="H21" i="91"/>
  <c r="H20" i="91"/>
  <c r="H19" i="91"/>
  <c r="H18" i="91"/>
  <c r="H17" i="91"/>
  <c r="H25" i="90" a="1"/>
  <c r="H25" i="90" s="1"/>
  <c r="G25" i="90" a="1"/>
  <c r="G25" i="90" s="1"/>
  <c r="I552" i="107" s="1" a="1"/>
  <c r="I552" i="107" s="1"/>
  <c r="F25" i="90" a="1"/>
  <c r="F25" i="90" s="1"/>
  <c r="E25" i="90" a="1"/>
  <c r="E25" i="90" s="1"/>
  <c r="J36" i="89" s="1" a="1"/>
  <c r="J36" i="89" s="1"/>
  <c r="D25" i="90" a="1"/>
  <c r="D25" i="90" s="1"/>
  <c r="D22" i="90" a="1"/>
  <c r="D22" i="90" s="1"/>
  <c r="D21" i="90" a="1"/>
  <c r="D21" i="90" s="1"/>
  <c r="F19" i="90" a="1"/>
  <c r="F19" i="90" s="1"/>
  <c r="E19" i="90" a="1"/>
  <c r="E19" i="90" s="1"/>
  <c r="D19" i="90" a="1"/>
  <c r="D19" i="90" s="1"/>
  <c r="F18" i="90" a="1"/>
  <c r="F18" i="90" s="1"/>
  <c r="E18" i="90" a="1"/>
  <c r="E18" i="90" s="1"/>
  <c r="D18" i="90" a="1"/>
  <c r="D18" i="90" s="1"/>
  <c r="F17" i="90" a="1"/>
  <c r="F17" i="90" s="1"/>
  <c r="E17" i="90" a="1"/>
  <c r="E17" i="90" s="1"/>
  <c r="D17" i="90" a="1"/>
  <c r="D17" i="90" s="1"/>
  <c r="F16" i="90" a="1"/>
  <c r="F16" i="90" s="1"/>
  <c r="E16" i="90" a="1"/>
  <c r="E16" i="90" s="1"/>
  <c r="D16" i="90" a="1"/>
  <c r="D16" i="90" s="1"/>
  <c r="F15" i="90" a="1"/>
  <c r="F15" i="90" s="1"/>
  <c r="E15" i="90" a="1"/>
  <c r="E15" i="90" s="1"/>
  <c r="D15" i="90" a="1"/>
  <c r="D15" i="90" s="1"/>
  <c r="F14" i="90" a="1"/>
  <c r="F14" i="90" s="1"/>
  <c r="E14" i="90" a="1"/>
  <c r="E14" i="90" s="1"/>
  <c r="D14" i="90" a="1"/>
  <c r="D14" i="90" s="1"/>
  <c r="F13" i="90" a="1"/>
  <c r="F13" i="90" s="1"/>
  <c r="E13" i="90" a="1"/>
  <c r="E13" i="90" s="1"/>
  <c r="D13" i="90" a="1"/>
  <c r="D13" i="90" s="1"/>
  <c r="F12" i="90" a="1"/>
  <c r="F12" i="90" s="1"/>
  <c r="E12" i="90" a="1"/>
  <c r="E12" i="90" s="1"/>
  <c r="D12" i="90" a="1"/>
  <c r="D12" i="90" s="1"/>
  <c r="F11" i="90" a="1"/>
  <c r="F11" i="90" s="1"/>
  <c r="E11" i="90" a="1"/>
  <c r="E11" i="90" s="1"/>
  <c r="D11" i="90" a="1"/>
  <c r="D11" i="90" s="1"/>
  <c r="F10" i="90" a="1"/>
  <c r="F10" i="90" s="1"/>
  <c r="E10" i="90" a="1"/>
  <c r="E10" i="90" s="1"/>
  <c r="D10" i="90" a="1"/>
  <c r="D10" i="90" s="1"/>
  <c r="D7" i="90" a="1"/>
  <c r="D7" i="90" s="1"/>
  <c r="D6" i="90" a="1"/>
  <c r="D6" i="90" s="1"/>
  <c r="D5" i="90" a="1"/>
  <c r="D5" i="90" s="1"/>
  <c r="J37" i="89"/>
  <c r="J33" i="89" s="1"/>
  <c r="J32" i="89"/>
  <c r="J31" i="89"/>
  <c r="H31" i="89" a="1"/>
  <c r="H31" i="89" s="1"/>
  <c r="D31" i="89" a="1"/>
  <c r="D31" i="89" s="1"/>
  <c r="E29" i="89" a="1"/>
  <c r="E29" i="89" s="1"/>
  <c r="F39" i="89" s="1"/>
  <c r="E28" i="89" a="1"/>
  <c r="E28" i="89" s="1"/>
  <c r="D24" i="89" a="1"/>
  <c r="D24" i="89" s="1"/>
  <c r="D23" i="89" a="1"/>
  <c r="D23" i="89" s="1"/>
  <c r="D22" i="89" a="1"/>
  <c r="D22" i="89" s="1"/>
  <c r="I16" i="89"/>
  <c r="I14" i="89"/>
  <c r="G14" i="89" a="1"/>
  <c r="G14" i="89" s="1"/>
  <c r="D14" i="89" a="1"/>
  <c r="D14" i="89" s="1"/>
  <c r="E12" i="89" a="1"/>
  <c r="E12" i="89" s="1"/>
  <c r="F18" i="89" s="1"/>
  <c r="E11" i="89" a="1"/>
  <c r="E11" i="89" s="1"/>
  <c r="D7" i="89" a="1"/>
  <c r="D7" i="89" s="1"/>
  <c r="D6" i="89" a="1"/>
  <c r="D6" i="89" s="1"/>
  <c r="D5" i="89" a="1"/>
  <c r="D5" i="89" s="1"/>
  <c r="H48" i="88"/>
  <c r="E48" i="88"/>
  <c r="H47" i="88"/>
  <c r="E47" i="88"/>
  <c r="H46" i="88"/>
  <c r="E46" i="88"/>
  <c r="H39" i="88"/>
  <c r="H38" i="88"/>
  <c r="H37" i="88"/>
  <c r="E29" i="88"/>
  <c r="E16" i="88"/>
  <c r="E22" i="88" s="1"/>
  <c r="E6" i="88"/>
  <c r="AH223" i="87" a="1"/>
  <c r="AH223" i="87" s="1"/>
  <c r="AG223" i="87" a="1"/>
  <c r="AG223" i="87" s="1"/>
  <c r="AF223" i="87" a="1"/>
  <c r="AF223" i="87" s="1"/>
  <c r="AE223" i="87" a="1"/>
  <c r="AE223" i="87" s="1"/>
  <c r="AD223" i="87" a="1"/>
  <c r="AD223" i="87" s="1"/>
  <c r="AC223" i="87" a="1"/>
  <c r="AC223" i="87" s="1"/>
  <c r="AB223" i="87" a="1"/>
  <c r="AB223" i="87" s="1"/>
  <c r="AA223" i="87" a="1"/>
  <c r="AA223" i="87" s="1"/>
  <c r="Z223" i="87" a="1"/>
  <c r="Z223" i="87" s="1"/>
  <c r="Y223" i="87" a="1"/>
  <c r="Y223" i="87" s="1"/>
  <c r="X223" i="87" a="1"/>
  <c r="X223" i="87" s="1"/>
  <c r="W223" i="87" a="1"/>
  <c r="W223" i="87" s="1"/>
  <c r="V223" i="87" a="1"/>
  <c r="V223" i="87" s="1"/>
  <c r="U223" i="87" a="1"/>
  <c r="U223" i="87" s="1"/>
  <c r="T223" i="87" a="1"/>
  <c r="T223" i="87" s="1"/>
  <c r="S223" i="87" a="1"/>
  <c r="S223" i="87" s="1"/>
  <c r="R223" i="87" a="1"/>
  <c r="R223" i="87" s="1"/>
  <c r="Q223" i="87" a="1"/>
  <c r="Q223" i="87" s="1"/>
  <c r="P223" i="87" a="1"/>
  <c r="P223" i="87" s="1"/>
  <c r="O223" i="87" a="1"/>
  <c r="O223" i="87" s="1"/>
  <c r="N223" i="87" a="1"/>
  <c r="N223" i="87" s="1"/>
  <c r="M223" i="87" a="1"/>
  <c r="M223" i="87" s="1"/>
  <c r="L223" i="87" a="1"/>
  <c r="L223" i="87" s="1"/>
  <c r="K223" i="87" a="1"/>
  <c r="K223" i="87" s="1"/>
  <c r="J223" i="87" a="1"/>
  <c r="J223" i="87" s="1"/>
  <c r="I223" i="87" a="1"/>
  <c r="I223" i="87" s="1"/>
  <c r="H223" i="87" a="1"/>
  <c r="H223" i="87" s="1"/>
  <c r="G223" i="87" a="1"/>
  <c r="G223" i="87" s="1"/>
  <c r="F223" i="87" a="1"/>
  <c r="F223" i="87" s="1"/>
  <c r="E223" i="87" a="1"/>
  <c r="E223" i="87" s="1"/>
  <c r="D223" i="87" a="1"/>
  <c r="D223" i="87" s="1"/>
  <c r="AH222" i="87" a="1"/>
  <c r="AH222" i="87" s="1"/>
  <c r="AG222" i="87" a="1"/>
  <c r="AG222" i="87" s="1"/>
  <c r="AF222" i="87" a="1"/>
  <c r="AF222" i="87" s="1"/>
  <c r="AE222" i="87" a="1"/>
  <c r="AE222" i="87" s="1"/>
  <c r="AD222" i="87" a="1"/>
  <c r="AD222" i="87" s="1"/>
  <c r="AC222" i="87" a="1"/>
  <c r="AC222" i="87" s="1"/>
  <c r="AB222" i="87" a="1"/>
  <c r="AB222" i="87" s="1"/>
  <c r="AA222" i="87" a="1"/>
  <c r="AA222" i="87" s="1"/>
  <c r="Z222" i="87" a="1"/>
  <c r="Z222" i="87" s="1"/>
  <c r="Y222" i="87" a="1"/>
  <c r="Y222" i="87" s="1"/>
  <c r="X222" i="87" a="1"/>
  <c r="X222" i="87" s="1"/>
  <c r="W222" i="87" a="1"/>
  <c r="W222" i="87" s="1"/>
  <c r="V222" i="87" a="1"/>
  <c r="V222" i="87" s="1"/>
  <c r="U222" i="87" a="1"/>
  <c r="U222" i="87" s="1"/>
  <c r="T222" i="87" a="1"/>
  <c r="T222" i="87" s="1"/>
  <c r="S222" i="87" a="1"/>
  <c r="S222" i="87" s="1"/>
  <c r="R222" i="87" a="1"/>
  <c r="R222" i="87" s="1"/>
  <c r="Q222" i="87" a="1"/>
  <c r="Q222" i="87" s="1"/>
  <c r="P222" i="87" a="1"/>
  <c r="P222" i="87" s="1"/>
  <c r="O222" i="87" a="1"/>
  <c r="O222" i="87" s="1"/>
  <c r="N222" i="87" a="1"/>
  <c r="N222" i="87" s="1"/>
  <c r="M222" i="87" a="1"/>
  <c r="M222" i="87" s="1"/>
  <c r="L222" i="87" a="1"/>
  <c r="L222" i="87" s="1"/>
  <c r="K222" i="87" a="1"/>
  <c r="K222" i="87" s="1"/>
  <c r="J222" i="87" a="1"/>
  <c r="J222" i="87" s="1"/>
  <c r="I222" i="87" a="1"/>
  <c r="I222" i="87" s="1"/>
  <c r="H222" i="87" a="1"/>
  <c r="H222" i="87" s="1"/>
  <c r="G222" i="87" a="1"/>
  <c r="G222" i="87" s="1"/>
  <c r="F222" i="87" a="1"/>
  <c r="F222" i="87" s="1"/>
  <c r="E222" i="87" a="1"/>
  <c r="E222" i="87" s="1"/>
  <c r="D222" i="87" a="1"/>
  <c r="D222" i="87" s="1"/>
  <c r="AH221" i="87" a="1"/>
  <c r="AH221" i="87" s="1"/>
  <c r="AG221" i="87" a="1"/>
  <c r="AG221" i="87" s="1"/>
  <c r="AF221" i="87" a="1"/>
  <c r="AF221" i="87" s="1"/>
  <c r="AE221" i="87" a="1"/>
  <c r="AE221" i="87" s="1"/>
  <c r="AD221" i="87" a="1"/>
  <c r="AD221" i="87" s="1"/>
  <c r="AC221" i="87" a="1"/>
  <c r="AC221" i="87" s="1"/>
  <c r="AB221" i="87" a="1"/>
  <c r="AB221" i="87" s="1"/>
  <c r="AA221" i="87" a="1"/>
  <c r="AA221" i="87" s="1"/>
  <c r="Z221" i="87" a="1"/>
  <c r="Z221" i="87" s="1"/>
  <c r="Y221" i="87" a="1"/>
  <c r="Y221" i="87" s="1"/>
  <c r="X221" i="87" a="1"/>
  <c r="X221" i="87" s="1"/>
  <c r="W221" i="87" a="1"/>
  <c r="W221" i="87" s="1"/>
  <c r="V221" i="87" a="1"/>
  <c r="V221" i="87" s="1"/>
  <c r="U221" i="87" a="1"/>
  <c r="U221" i="87" s="1"/>
  <c r="T221" i="87" a="1"/>
  <c r="T221" i="87" s="1"/>
  <c r="S221" i="87" a="1"/>
  <c r="S221" i="87" s="1"/>
  <c r="R221" i="87" a="1"/>
  <c r="R221" i="87" s="1"/>
  <c r="Q221" i="87" a="1"/>
  <c r="Q221" i="87" s="1"/>
  <c r="P221" i="87" a="1"/>
  <c r="P221" i="87" s="1"/>
  <c r="O221" i="87" a="1"/>
  <c r="O221" i="87" s="1"/>
  <c r="N221" i="87" a="1"/>
  <c r="N221" i="87" s="1"/>
  <c r="M221" i="87" a="1"/>
  <c r="M221" i="87" s="1"/>
  <c r="L221" i="87" a="1"/>
  <c r="L221" i="87" s="1"/>
  <c r="K221" i="87" a="1"/>
  <c r="K221" i="87" s="1"/>
  <c r="J221" i="87" a="1"/>
  <c r="J221" i="87" s="1"/>
  <c r="I221" i="87" a="1"/>
  <c r="I221" i="87" s="1"/>
  <c r="H221" i="87" a="1"/>
  <c r="H221" i="87" s="1"/>
  <c r="G221" i="87" a="1"/>
  <c r="G221" i="87" s="1"/>
  <c r="F221" i="87" a="1"/>
  <c r="F221" i="87" s="1"/>
  <c r="E221" i="87" a="1"/>
  <c r="E221" i="87" s="1"/>
  <c r="D221" i="87" a="1"/>
  <c r="D221" i="87" s="1"/>
  <c r="AH220" i="87" a="1"/>
  <c r="AH220" i="87" s="1"/>
  <c r="AG220" i="87" a="1"/>
  <c r="AG220" i="87" s="1"/>
  <c r="AF220" i="87" a="1"/>
  <c r="AF220" i="87" s="1"/>
  <c r="AE220" i="87" a="1"/>
  <c r="AE220" i="87" s="1"/>
  <c r="AD220" i="87" a="1"/>
  <c r="AD220" i="87" s="1"/>
  <c r="AC220" i="87" a="1"/>
  <c r="AC220" i="87" s="1"/>
  <c r="AB220" i="87" a="1"/>
  <c r="AB220" i="87" s="1"/>
  <c r="AA220" i="87" a="1"/>
  <c r="AA220" i="87" s="1"/>
  <c r="Z220" i="87" a="1"/>
  <c r="Z220" i="87" s="1"/>
  <c r="Y220" i="87" a="1"/>
  <c r="Y220" i="87" s="1"/>
  <c r="X220" i="87" a="1"/>
  <c r="X220" i="87" s="1"/>
  <c r="W220" i="87" a="1"/>
  <c r="W220" i="87" s="1"/>
  <c r="V220" i="87" a="1"/>
  <c r="V220" i="87" s="1"/>
  <c r="U220" i="87" a="1"/>
  <c r="U220" i="87" s="1"/>
  <c r="T220" i="87" a="1"/>
  <c r="T220" i="87" s="1"/>
  <c r="S220" i="87" a="1"/>
  <c r="S220" i="87" s="1"/>
  <c r="R220" i="87" a="1"/>
  <c r="R220" i="87" s="1"/>
  <c r="Q220" i="87" a="1"/>
  <c r="Q220" i="87" s="1"/>
  <c r="P220" i="87" a="1"/>
  <c r="P220" i="87" s="1"/>
  <c r="O220" i="87" a="1"/>
  <c r="O220" i="87" s="1"/>
  <c r="N220" i="87" a="1"/>
  <c r="N220" i="87" s="1"/>
  <c r="M220" i="87" a="1"/>
  <c r="M220" i="87" s="1"/>
  <c r="L220" i="87" a="1"/>
  <c r="L220" i="87" s="1"/>
  <c r="K220" i="87" a="1"/>
  <c r="K220" i="87" s="1"/>
  <c r="J220" i="87" a="1"/>
  <c r="J220" i="87" s="1"/>
  <c r="I220" i="87" a="1"/>
  <c r="I220" i="87" s="1"/>
  <c r="H220" i="87" a="1"/>
  <c r="H220" i="87" s="1"/>
  <c r="G220" i="87" a="1"/>
  <c r="G220" i="87" s="1"/>
  <c r="F220" i="87" a="1"/>
  <c r="F220" i="87" s="1"/>
  <c r="E220" i="87" a="1"/>
  <c r="E220" i="87" s="1"/>
  <c r="D220" i="87" a="1"/>
  <c r="D220" i="87" s="1"/>
  <c r="AH219" i="87" a="1"/>
  <c r="AH219" i="87" s="1"/>
  <c r="AG219" i="87" a="1"/>
  <c r="AG219" i="87" s="1"/>
  <c r="AF219" i="87" a="1"/>
  <c r="AF219" i="87" s="1"/>
  <c r="AE219" i="87" a="1"/>
  <c r="AE219" i="87" s="1"/>
  <c r="AD219" i="87" a="1"/>
  <c r="AD219" i="87" s="1"/>
  <c r="AC219" i="87" a="1"/>
  <c r="AC219" i="87" s="1"/>
  <c r="AB219" i="87" a="1"/>
  <c r="AB219" i="87" s="1"/>
  <c r="AA219" i="87" a="1"/>
  <c r="AA219" i="87" s="1"/>
  <c r="Z219" i="87" a="1"/>
  <c r="Z219" i="87" s="1"/>
  <c r="Y219" i="87" a="1"/>
  <c r="Y219" i="87" s="1"/>
  <c r="X219" i="87" a="1"/>
  <c r="X219" i="87" s="1"/>
  <c r="W219" i="87" a="1"/>
  <c r="W219" i="87" s="1"/>
  <c r="V219" i="87" a="1"/>
  <c r="V219" i="87" s="1"/>
  <c r="U219" i="87" a="1"/>
  <c r="U219" i="87" s="1"/>
  <c r="T219" i="87" a="1"/>
  <c r="T219" i="87" s="1"/>
  <c r="S219" i="87" a="1"/>
  <c r="S219" i="87" s="1"/>
  <c r="R219" i="87" a="1"/>
  <c r="R219" i="87" s="1"/>
  <c r="Q219" i="87" a="1"/>
  <c r="Q219" i="87" s="1"/>
  <c r="P219" i="87" a="1"/>
  <c r="P219" i="87" s="1"/>
  <c r="O219" i="87" a="1"/>
  <c r="O219" i="87" s="1"/>
  <c r="N219" i="87" a="1"/>
  <c r="N219" i="87" s="1"/>
  <c r="M219" i="87" a="1"/>
  <c r="M219" i="87" s="1"/>
  <c r="L219" i="87" a="1"/>
  <c r="L219" i="87" s="1"/>
  <c r="K219" i="87" a="1"/>
  <c r="K219" i="87" s="1"/>
  <c r="J219" i="87" a="1"/>
  <c r="J219" i="87" s="1"/>
  <c r="I219" i="87" a="1"/>
  <c r="I219" i="87" s="1"/>
  <c r="H219" i="87" a="1"/>
  <c r="H219" i="87" s="1"/>
  <c r="G219" i="87" a="1"/>
  <c r="G219" i="87" s="1"/>
  <c r="F219" i="87" a="1"/>
  <c r="F219" i="87" s="1"/>
  <c r="E219" i="87" a="1"/>
  <c r="E219" i="87" s="1"/>
  <c r="D219" i="87" a="1"/>
  <c r="D219" i="87" s="1"/>
  <c r="AH218" i="87" a="1"/>
  <c r="AH218" i="87" s="1"/>
  <c r="AG218" i="87" a="1"/>
  <c r="AG218" i="87" s="1"/>
  <c r="AF218" i="87" a="1"/>
  <c r="AF218" i="87" s="1"/>
  <c r="AE218" i="87" a="1"/>
  <c r="AE218" i="87" s="1"/>
  <c r="AD218" i="87" a="1"/>
  <c r="AD218" i="87" s="1"/>
  <c r="AC218" i="87" a="1"/>
  <c r="AC218" i="87" s="1"/>
  <c r="AB218" i="87" a="1"/>
  <c r="AB218" i="87" s="1"/>
  <c r="AA218" i="87" a="1"/>
  <c r="AA218" i="87" s="1"/>
  <c r="Z218" i="87" a="1"/>
  <c r="Z218" i="87" s="1"/>
  <c r="Y218" i="87" a="1"/>
  <c r="Y218" i="87" s="1"/>
  <c r="X218" i="87" a="1"/>
  <c r="X218" i="87" s="1"/>
  <c r="W218" i="87" a="1"/>
  <c r="W218" i="87" s="1"/>
  <c r="V218" i="87" a="1"/>
  <c r="V218" i="87" s="1"/>
  <c r="U218" i="87" a="1"/>
  <c r="U218" i="87" s="1"/>
  <c r="T218" i="87" a="1"/>
  <c r="T218" i="87" s="1"/>
  <c r="S218" i="87" a="1"/>
  <c r="S218" i="87" s="1"/>
  <c r="R218" i="87" a="1"/>
  <c r="R218" i="87" s="1"/>
  <c r="Q218" i="87" a="1"/>
  <c r="Q218" i="87" s="1"/>
  <c r="P218" i="87" a="1"/>
  <c r="P218" i="87" s="1"/>
  <c r="O218" i="87" a="1"/>
  <c r="O218" i="87" s="1"/>
  <c r="N218" i="87" a="1"/>
  <c r="N218" i="87" s="1"/>
  <c r="M218" i="87" a="1"/>
  <c r="M218" i="87" s="1"/>
  <c r="L218" i="87" a="1"/>
  <c r="L218" i="87" s="1"/>
  <c r="K218" i="87" a="1"/>
  <c r="K218" i="87" s="1"/>
  <c r="J218" i="87" a="1"/>
  <c r="J218" i="87" s="1"/>
  <c r="I218" i="87" a="1"/>
  <c r="I218" i="87" s="1"/>
  <c r="H218" i="87" a="1"/>
  <c r="H218" i="87" s="1"/>
  <c r="G218" i="87" a="1"/>
  <c r="G218" i="87" s="1"/>
  <c r="F218" i="87" a="1"/>
  <c r="F218" i="87" s="1"/>
  <c r="E218" i="87" a="1"/>
  <c r="E218" i="87" s="1"/>
  <c r="D218" i="87" a="1"/>
  <c r="D218" i="87" s="1"/>
  <c r="AH217" i="87" a="1"/>
  <c r="AH217" i="87" s="1"/>
  <c r="AG217" i="87" a="1"/>
  <c r="AG217" i="87" s="1"/>
  <c r="AF217" i="87" a="1"/>
  <c r="AF217" i="87" s="1"/>
  <c r="AE217" i="87" a="1"/>
  <c r="AE217" i="87" s="1"/>
  <c r="AD217" i="87" a="1"/>
  <c r="AD217" i="87" s="1"/>
  <c r="AC217" i="87" a="1"/>
  <c r="AC217" i="87" s="1"/>
  <c r="AB217" i="87" a="1"/>
  <c r="AB217" i="87" s="1"/>
  <c r="AA217" i="87" a="1"/>
  <c r="AA217" i="87" s="1"/>
  <c r="Z217" i="87" a="1"/>
  <c r="Z217" i="87" s="1"/>
  <c r="Y217" i="87" a="1"/>
  <c r="Y217" i="87" s="1"/>
  <c r="X217" i="87" a="1"/>
  <c r="X217" i="87" s="1"/>
  <c r="W217" i="87" a="1"/>
  <c r="W217" i="87" s="1"/>
  <c r="V217" i="87" a="1"/>
  <c r="V217" i="87" s="1"/>
  <c r="U217" i="87" a="1"/>
  <c r="U217" i="87" s="1"/>
  <c r="T217" i="87" a="1"/>
  <c r="T217" i="87" s="1"/>
  <c r="S217" i="87" a="1"/>
  <c r="S217" i="87" s="1"/>
  <c r="R217" i="87" a="1"/>
  <c r="R217" i="87" s="1"/>
  <c r="Q217" i="87" a="1"/>
  <c r="Q217" i="87" s="1"/>
  <c r="P217" i="87" a="1"/>
  <c r="P217" i="87" s="1"/>
  <c r="O217" i="87" a="1"/>
  <c r="O217" i="87" s="1"/>
  <c r="N217" i="87" a="1"/>
  <c r="N217" i="87" s="1"/>
  <c r="M217" i="87" a="1"/>
  <c r="M217" i="87" s="1"/>
  <c r="L217" i="87" a="1"/>
  <c r="L217" i="87" s="1"/>
  <c r="K217" i="87" a="1"/>
  <c r="K217" i="87" s="1"/>
  <c r="J217" i="87" a="1"/>
  <c r="J217" i="87" s="1"/>
  <c r="I217" i="87" a="1"/>
  <c r="I217" i="87" s="1"/>
  <c r="H217" i="87" a="1"/>
  <c r="H217" i="87" s="1"/>
  <c r="G217" i="87" a="1"/>
  <c r="G217" i="87" s="1"/>
  <c r="F217" i="87" a="1"/>
  <c r="F217" i="87" s="1"/>
  <c r="E217" i="87" a="1"/>
  <c r="E217" i="87" s="1"/>
  <c r="D217" i="87" a="1"/>
  <c r="D217" i="87" s="1"/>
  <c r="AH216" i="87" a="1"/>
  <c r="AH216" i="87" s="1"/>
  <c r="AG216" i="87" a="1"/>
  <c r="AG216" i="87" s="1"/>
  <c r="AF216" i="87" a="1"/>
  <c r="AF216" i="87" s="1"/>
  <c r="AE216" i="87" a="1"/>
  <c r="AE216" i="87" s="1"/>
  <c r="AD216" i="87" a="1"/>
  <c r="AD216" i="87" s="1"/>
  <c r="AC216" i="87" a="1"/>
  <c r="AC216" i="87" s="1"/>
  <c r="AB216" i="87" a="1"/>
  <c r="AB216" i="87" s="1"/>
  <c r="AA216" i="87" a="1"/>
  <c r="AA216" i="87" s="1"/>
  <c r="Z216" i="87" a="1"/>
  <c r="Z216" i="87" s="1"/>
  <c r="Y216" i="87" a="1"/>
  <c r="Y216" i="87" s="1"/>
  <c r="X216" i="87" a="1"/>
  <c r="X216" i="87" s="1"/>
  <c r="W216" i="87" a="1"/>
  <c r="W216" i="87" s="1"/>
  <c r="V216" i="87" a="1"/>
  <c r="V216" i="87" s="1"/>
  <c r="U216" i="87" a="1"/>
  <c r="U216" i="87" s="1"/>
  <c r="T216" i="87" a="1"/>
  <c r="T216" i="87" s="1"/>
  <c r="S216" i="87" a="1"/>
  <c r="S216" i="87" s="1"/>
  <c r="R216" i="87" a="1"/>
  <c r="R216" i="87" s="1"/>
  <c r="Q216" i="87" a="1"/>
  <c r="Q216" i="87" s="1"/>
  <c r="P216" i="87" a="1"/>
  <c r="P216" i="87" s="1"/>
  <c r="O216" i="87" a="1"/>
  <c r="O216" i="87" s="1"/>
  <c r="N216" i="87" a="1"/>
  <c r="N216" i="87" s="1"/>
  <c r="M216" i="87" a="1"/>
  <c r="M216" i="87" s="1"/>
  <c r="L216" i="87" a="1"/>
  <c r="L216" i="87" s="1"/>
  <c r="K216" i="87" a="1"/>
  <c r="K216" i="87" s="1"/>
  <c r="J216" i="87" a="1"/>
  <c r="J216" i="87" s="1"/>
  <c r="I216" i="87" a="1"/>
  <c r="I216" i="87" s="1"/>
  <c r="H216" i="87" a="1"/>
  <c r="H216" i="87" s="1"/>
  <c r="G216" i="87" a="1"/>
  <c r="G216" i="87" s="1"/>
  <c r="F216" i="87" a="1"/>
  <c r="F216" i="87" s="1"/>
  <c r="E216" i="87" a="1"/>
  <c r="E216" i="87" s="1"/>
  <c r="D216" i="87" a="1"/>
  <c r="D216" i="87" s="1"/>
  <c r="AH215" i="87" a="1"/>
  <c r="AH215" i="87" s="1"/>
  <c r="AG215" i="87" a="1"/>
  <c r="AG215" i="87" s="1"/>
  <c r="AF215" i="87" a="1"/>
  <c r="AF215" i="87" s="1"/>
  <c r="AE215" i="87" a="1"/>
  <c r="AE215" i="87" s="1"/>
  <c r="AD215" i="87" a="1"/>
  <c r="AD215" i="87" s="1"/>
  <c r="AC215" i="87" a="1"/>
  <c r="AC215" i="87" s="1"/>
  <c r="AB215" i="87" a="1"/>
  <c r="AB215" i="87" s="1"/>
  <c r="AA215" i="87" a="1"/>
  <c r="AA215" i="87" s="1"/>
  <c r="Z215" i="87" a="1"/>
  <c r="Z215" i="87" s="1"/>
  <c r="Y215" i="87" a="1"/>
  <c r="Y215" i="87" s="1"/>
  <c r="X215" i="87" a="1"/>
  <c r="X215" i="87" s="1"/>
  <c r="W215" i="87" a="1"/>
  <c r="W215" i="87" s="1"/>
  <c r="V215" i="87" a="1"/>
  <c r="V215" i="87" s="1"/>
  <c r="U215" i="87" a="1"/>
  <c r="U215" i="87" s="1"/>
  <c r="T215" i="87" a="1"/>
  <c r="T215" i="87" s="1"/>
  <c r="S215" i="87" a="1"/>
  <c r="S215" i="87" s="1"/>
  <c r="R215" i="87" a="1"/>
  <c r="R215" i="87" s="1"/>
  <c r="Q215" i="87" a="1"/>
  <c r="Q215" i="87" s="1"/>
  <c r="P215" i="87" a="1"/>
  <c r="P215" i="87" s="1"/>
  <c r="O215" i="87" a="1"/>
  <c r="O215" i="87" s="1"/>
  <c r="N215" i="87" a="1"/>
  <c r="N215" i="87" s="1"/>
  <c r="M215" i="87" a="1"/>
  <c r="M215" i="87" s="1"/>
  <c r="L215" i="87" a="1"/>
  <c r="L215" i="87" s="1"/>
  <c r="K215" i="87" a="1"/>
  <c r="K215" i="87" s="1"/>
  <c r="J215" i="87" a="1"/>
  <c r="J215" i="87" s="1"/>
  <c r="I215" i="87" a="1"/>
  <c r="I215" i="87" s="1"/>
  <c r="H215" i="87" a="1"/>
  <c r="H215" i="87" s="1"/>
  <c r="G215" i="87" a="1"/>
  <c r="G215" i="87" s="1"/>
  <c r="F215" i="87" a="1"/>
  <c r="F215" i="87" s="1"/>
  <c r="E215" i="87" a="1"/>
  <c r="E215" i="87" s="1"/>
  <c r="D215" i="87" a="1"/>
  <c r="D215" i="87" s="1"/>
  <c r="AH214" i="87" a="1"/>
  <c r="AH214" i="87" s="1"/>
  <c r="AG214" i="87" a="1"/>
  <c r="AG214" i="87" s="1"/>
  <c r="AF214" i="87" a="1"/>
  <c r="AF214" i="87" s="1"/>
  <c r="AE214" i="87" a="1"/>
  <c r="AE214" i="87" s="1"/>
  <c r="AD214" i="87" a="1"/>
  <c r="AD214" i="87" s="1"/>
  <c r="AC214" i="87" a="1"/>
  <c r="AC214" i="87" s="1"/>
  <c r="AB214" i="87" a="1"/>
  <c r="AB214" i="87" s="1"/>
  <c r="AA214" i="87" a="1"/>
  <c r="AA214" i="87" s="1"/>
  <c r="Z214" i="87" a="1"/>
  <c r="Z214" i="87" s="1"/>
  <c r="Y214" i="87" a="1"/>
  <c r="Y214" i="87" s="1"/>
  <c r="X214" i="87" a="1"/>
  <c r="X214" i="87" s="1"/>
  <c r="W214" i="87" a="1"/>
  <c r="W214" i="87" s="1"/>
  <c r="V214" i="87" a="1"/>
  <c r="V214" i="87" s="1"/>
  <c r="U214" i="87" a="1"/>
  <c r="U214" i="87" s="1"/>
  <c r="T214" i="87" a="1"/>
  <c r="T214" i="87" s="1"/>
  <c r="S214" i="87" a="1"/>
  <c r="S214" i="87" s="1"/>
  <c r="R214" i="87" a="1"/>
  <c r="R214" i="87" s="1"/>
  <c r="Q214" i="87" a="1"/>
  <c r="Q214" i="87" s="1"/>
  <c r="P214" i="87" a="1"/>
  <c r="P214" i="87" s="1"/>
  <c r="O214" i="87" a="1"/>
  <c r="O214" i="87" s="1"/>
  <c r="N214" i="87" a="1"/>
  <c r="N214" i="87" s="1"/>
  <c r="M214" i="87" a="1"/>
  <c r="M214" i="87" s="1"/>
  <c r="L214" i="87" a="1"/>
  <c r="L214" i="87" s="1"/>
  <c r="K214" i="87" a="1"/>
  <c r="K214" i="87" s="1"/>
  <c r="J214" i="87" a="1"/>
  <c r="J214" i="87" s="1"/>
  <c r="I214" i="87" a="1"/>
  <c r="I214" i="87" s="1"/>
  <c r="H214" i="87" a="1"/>
  <c r="H214" i="87" s="1"/>
  <c r="G214" i="87" a="1"/>
  <c r="G214" i="87" s="1"/>
  <c r="F214" i="87" a="1"/>
  <c r="F214" i="87" s="1"/>
  <c r="E214" i="87" a="1"/>
  <c r="E214" i="87" s="1"/>
  <c r="D214" i="87" a="1"/>
  <c r="D214" i="87" s="1"/>
  <c r="AH213" i="87" a="1"/>
  <c r="AH213" i="87" s="1"/>
  <c r="AG213" i="87" a="1"/>
  <c r="AG213" i="87" s="1"/>
  <c r="AF213" i="87" a="1"/>
  <c r="AF213" i="87" s="1"/>
  <c r="AE213" i="87" a="1"/>
  <c r="AE213" i="87" s="1"/>
  <c r="AD213" i="87" a="1"/>
  <c r="AD213" i="87" s="1"/>
  <c r="AC213" i="87" a="1"/>
  <c r="AC213" i="87" s="1"/>
  <c r="AB213" i="87" a="1"/>
  <c r="AB213" i="87" s="1"/>
  <c r="AA213" i="87" a="1"/>
  <c r="AA213" i="87" s="1"/>
  <c r="Z213" i="87" a="1"/>
  <c r="Z213" i="87" s="1"/>
  <c r="Y213" i="87" a="1"/>
  <c r="Y213" i="87" s="1"/>
  <c r="X213" i="87" a="1"/>
  <c r="X213" i="87" s="1"/>
  <c r="W213" i="87" a="1"/>
  <c r="W213" i="87" s="1"/>
  <c r="V213" i="87" a="1"/>
  <c r="V213" i="87" s="1"/>
  <c r="U213" i="87" a="1"/>
  <c r="U213" i="87" s="1"/>
  <c r="T213" i="87" a="1"/>
  <c r="T213" i="87" s="1"/>
  <c r="S213" i="87" a="1"/>
  <c r="S213" i="87" s="1"/>
  <c r="R213" i="87" a="1"/>
  <c r="R213" i="87" s="1"/>
  <c r="Q213" i="87" a="1"/>
  <c r="Q213" i="87" s="1"/>
  <c r="P213" i="87" a="1"/>
  <c r="P213" i="87" s="1"/>
  <c r="O213" i="87" a="1"/>
  <c r="O213" i="87" s="1"/>
  <c r="N213" i="87" a="1"/>
  <c r="N213" i="87" s="1"/>
  <c r="M213" i="87" a="1"/>
  <c r="M213" i="87" s="1"/>
  <c r="L213" i="87" a="1"/>
  <c r="L213" i="87" s="1"/>
  <c r="K213" i="87" a="1"/>
  <c r="K213" i="87" s="1"/>
  <c r="J213" i="87" a="1"/>
  <c r="J213" i="87" s="1"/>
  <c r="I213" i="87" a="1"/>
  <c r="I213" i="87" s="1"/>
  <c r="H213" i="87" a="1"/>
  <c r="H213" i="87" s="1"/>
  <c r="G213" i="87" a="1"/>
  <c r="G213" i="87" s="1"/>
  <c r="F213" i="87" a="1"/>
  <c r="F213" i="87" s="1"/>
  <c r="E213" i="87" a="1"/>
  <c r="E213" i="87" s="1"/>
  <c r="D213" i="87" a="1"/>
  <c r="D213" i="87" s="1"/>
  <c r="AH212" i="87" a="1"/>
  <c r="AH212" i="87" s="1"/>
  <c r="AG212" i="87" a="1"/>
  <c r="AG212" i="87" s="1"/>
  <c r="AF212" i="87" a="1"/>
  <c r="AF212" i="87" s="1"/>
  <c r="AE212" i="87" a="1"/>
  <c r="AE212" i="87" s="1"/>
  <c r="AD212" i="87" a="1"/>
  <c r="AD212" i="87" s="1"/>
  <c r="AC212" i="87" a="1"/>
  <c r="AC212" i="87" s="1"/>
  <c r="AB212" i="87" a="1"/>
  <c r="AB212" i="87" s="1"/>
  <c r="AA212" i="87" a="1"/>
  <c r="AA212" i="87" s="1"/>
  <c r="Z212" i="87" a="1"/>
  <c r="Z212" i="87" s="1"/>
  <c r="Y212" i="87" a="1"/>
  <c r="Y212" i="87" s="1"/>
  <c r="X212" i="87" a="1"/>
  <c r="X212" i="87" s="1"/>
  <c r="W212" i="87" a="1"/>
  <c r="W212" i="87" s="1"/>
  <c r="V212" i="87" a="1"/>
  <c r="V212" i="87" s="1"/>
  <c r="U212" i="87" a="1"/>
  <c r="U212" i="87" s="1"/>
  <c r="T212" i="87" a="1"/>
  <c r="T212" i="87" s="1"/>
  <c r="S212" i="87" a="1"/>
  <c r="S212" i="87" s="1"/>
  <c r="R212" i="87" a="1"/>
  <c r="R212" i="87" s="1"/>
  <c r="Q212" i="87" a="1"/>
  <c r="Q212" i="87" s="1"/>
  <c r="P212" i="87" a="1"/>
  <c r="P212" i="87" s="1"/>
  <c r="O212" i="87" a="1"/>
  <c r="O212" i="87" s="1"/>
  <c r="N212" i="87" a="1"/>
  <c r="N212" i="87" s="1"/>
  <c r="M212" i="87" a="1"/>
  <c r="M212" i="87" s="1"/>
  <c r="L212" i="87" a="1"/>
  <c r="L212" i="87" s="1"/>
  <c r="K212" i="87" a="1"/>
  <c r="K212" i="87" s="1"/>
  <c r="J212" i="87" a="1"/>
  <c r="J212" i="87" s="1"/>
  <c r="I212" i="87" a="1"/>
  <c r="I212" i="87" s="1"/>
  <c r="H212" i="87" a="1"/>
  <c r="H212" i="87" s="1"/>
  <c r="G212" i="87" a="1"/>
  <c r="G212" i="87" s="1"/>
  <c r="F212" i="87" a="1"/>
  <c r="F212" i="87" s="1"/>
  <c r="E212" i="87" a="1"/>
  <c r="E212" i="87" s="1"/>
  <c r="D212" i="87" a="1"/>
  <c r="D212" i="87" s="1"/>
  <c r="AH211" i="87" a="1"/>
  <c r="AH211" i="87" s="1"/>
  <c r="AG211" i="87" a="1"/>
  <c r="AG211" i="87" s="1"/>
  <c r="AF211" i="87" a="1"/>
  <c r="AF211" i="87" s="1"/>
  <c r="AE211" i="87" a="1"/>
  <c r="AE211" i="87" s="1"/>
  <c r="AD211" i="87" a="1"/>
  <c r="AD211" i="87" s="1"/>
  <c r="AC211" i="87" a="1"/>
  <c r="AC211" i="87" s="1"/>
  <c r="AB211" i="87" a="1"/>
  <c r="AB211" i="87" s="1"/>
  <c r="AA211" i="87" a="1"/>
  <c r="AA211" i="87" s="1"/>
  <c r="Z211" i="87" a="1"/>
  <c r="Z211" i="87" s="1"/>
  <c r="Y211" i="87" a="1"/>
  <c r="Y211" i="87" s="1"/>
  <c r="X211" i="87" a="1"/>
  <c r="X211" i="87" s="1"/>
  <c r="W211" i="87" a="1"/>
  <c r="W211" i="87" s="1"/>
  <c r="V211" i="87" a="1"/>
  <c r="V211" i="87" s="1"/>
  <c r="U211" i="87" a="1"/>
  <c r="U211" i="87" s="1"/>
  <c r="T211" i="87" a="1"/>
  <c r="T211" i="87" s="1"/>
  <c r="S211" i="87" a="1"/>
  <c r="S211" i="87" s="1"/>
  <c r="R211" i="87" a="1"/>
  <c r="R211" i="87" s="1"/>
  <c r="Q211" i="87" a="1"/>
  <c r="Q211" i="87" s="1"/>
  <c r="P211" i="87" a="1"/>
  <c r="P211" i="87" s="1"/>
  <c r="O211" i="87" a="1"/>
  <c r="O211" i="87" s="1"/>
  <c r="N211" i="87" a="1"/>
  <c r="N211" i="87" s="1"/>
  <c r="M211" i="87" a="1"/>
  <c r="M211" i="87" s="1"/>
  <c r="L211" i="87" a="1"/>
  <c r="L211" i="87" s="1"/>
  <c r="K211" i="87" a="1"/>
  <c r="K211" i="87" s="1"/>
  <c r="J211" i="87" a="1"/>
  <c r="J211" i="87" s="1"/>
  <c r="I211" i="87" a="1"/>
  <c r="I211" i="87" s="1"/>
  <c r="H211" i="87" a="1"/>
  <c r="H211" i="87" s="1"/>
  <c r="G211" i="87" a="1"/>
  <c r="G211" i="87" s="1"/>
  <c r="F211" i="87" a="1"/>
  <c r="F211" i="87" s="1"/>
  <c r="E211" i="87" a="1"/>
  <c r="E211" i="87" s="1"/>
  <c r="D211" i="87" a="1"/>
  <c r="D211" i="87" s="1"/>
  <c r="AH210" i="87" a="1"/>
  <c r="AH210" i="87" s="1"/>
  <c r="AG210" i="87" a="1"/>
  <c r="AG210" i="87" s="1"/>
  <c r="AF210" i="87" a="1"/>
  <c r="AF210" i="87" s="1"/>
  <c r="AE210" i="87" a="1"/>
  <c r="AE210" i="87" s="1"/>
  <c r="AD210" i="87" a="1"/>
  <c r="AD210" i="87" s="1"/>
  <c r="AC210" i="87" a="1"/>
  <c r="AC210" i="87" s="1"/>
  <c r="AB210" i="87" a="1"/>
  <c r="AB210" i="87" s="1"/>
  <c r="AA210" i="87" a="1"/>
  <c r="AA210" i="87" s="1"/>
  <c r="Z210" i="87" a="1"/>
  <c r="Z210" i="87" s="1"/>
  <c r="Y210" i="87" a="1"/>
  <c r="Y210" i="87" s="1"/>
  <c r="X210" i="87" a="1"/>
  <c r="X210" i="87" s="1"/>
  <c r="W210" i="87" a="1"/>
  <c r="W210" i="87" s="1"/>
  <c r="V210" i="87" a="1"/>
  <c r="V210" i="87" s="1"/>
  <c r="U210" i="87" a="1"/>
  <c r="U210" i="87" s="1"/>
  <c r="T210" i="87" a="1"/>
  <c r="T210" i="87" s="1"/>
  <c r="S210" i="87" a="1"/>
  <c r="S210" i="87" s="1"/>
  <c r="R210" i="87" a="1"/>
  <c r="R210" i="87" s="1"/>
  <c r="Q210" i="87" a="1"/>
  <c r="Q210" i="87" s="1"/>
  <c r="P210" i="87" a="1"/>
  <c r="P210" i="87" s="1"/>
  <c r="O210" i="87" a="1"/>
  <c r="O210" i="87" s="1"/>
  <c r="N210" i="87" a="1"/>
  <c r="N210" i="87" s="1"/>
  <c r="M210" i="87" a="1"/>
  <c r="M210" i="87" s="1"/>
  <c r="L210" i="87" a="1"/>
  <c r="L210" i="87" s="1"/>
  <c r="K210" i="87" a="1"/>
  <c r="K210" i="87" s="1"/>
  <c r="J210" i="87" a="1"/>
  <c r="J210" i="87" s="1"/>
  <c r="I210" i="87" a="1"/>
  <c r="I210" i="87" s="1"/>
  <c r="H210" i="87" a="1"/>
  <c r="H210" i="87" s="1"/>
  <c r="G210" i="87" a="1"/>
  <c r="G210" i="87" s="1"/>
  <c r="F210" i="87" a="1"/>
  <c r="F210" i="87" s="1"/>
  <c r="E210" i="87" a="1"/>
  <c r="E210" i="87" s="1"/>
  <c r="D210" i="87" a="1"/>
  <c r="D210" i="87" s="1"/>
  <c r="AH209" i="87" a="1"/>
  <c r="AH209" i="87" s="1"/>
  <c r="AG209" i="87" a="1"/>
  <c r="AG209" i="87" s="1"/>
  <c r="AF209" i="87" a="1"/>
  <c r="AF209" i="87" s="1"/>
  <c r="AE209" i="87" a="1"/>
  <c r="AE209" i="87" s="1"/>
  <c r="AD209" i="87" a="1"/>
  <c r="AD209" i="87" s="1"/>
  <c r="AC209" i="87" a="1"/>
  <c r="AC209" i="87" s="1"/>
  <c r="AB209" i="87" a="1"/>
  <c r="AB209" i="87" s="1"/>
  <c r="AA209" i="87" a="1"/>
  <c r="AA209" i="87" s="1"/>
  <c r="Z209" i="87" a="1"/>
  <c r="Z209" i="87" s="1"/>
  <c r="Y209" i="87" a="1"/>
  <c r="Y209" i="87" s="1"/>
  <c r="X209" i="87" a="1"/>
  <c r="X209" i="87" s="1"/>
  <c r="W209" i="87" a="1"/>
  <c r="W209" i="87" s="1"/>
  <c r="V209" i="87" a="1"/>
  <c r="V209" i="87" s="1"/>
  <c r="U209" i="87" a="1"/>
  <c r="U209" i="87" s="1"/>
  <c r="T209" i="87" a="1"/>
  <c r="T209" i="87" s="1"/>
  <c r="S209" i="87" a="1"/>
  <c r="S209" i="87" s="1"/>
  <c r="R209" i="87" a="1"/>
  <c r="R209" i="87" s="1"/>
  <c r="Q209" i="87" a="1"/>
  <c r="Q209" i="87" s="1"/>
  <c r="P209" i="87" a="1"/>
  <c r="P209" i="87" s="1"/>
  <c r="O209" i="87" a="1"/>
  <c r="O209" i="87" s="1"/>
  <c r="N209" i="87" a="1"/>
  <c r="N209" i="87" s="1"/>
  <c r="M209" i="87" a="1"/>
  <c r="M209" i="87" s="1"/>
  <c r="L209" i="87" a="1"/>
  <c r="L209" i="87" s="1"/>
  <c r="K209" i="87" a="1"/>
  <c r="K209" i="87" s="1"/>
  <c r="J209" i="87" a="1"/>
  <c r="J209" i="87" s="1"/>
  <c r="I209" i="87" a="1"/>
  <c r="I209" i="87" s="1"/>
  <c r="H209" i="87" a="1"/>
  <c r="H209" i="87" s="1"/>
  <c r="G209" i="87" a="1"/>
  <c r="G209" i="87" s="1"/>
  <c r="F209" i="87" a="1"/>
  <c r="F209" i="87" s="1"/>
  <c r="E209" i="87" a="1"/>
  <c r="E209" i="87" s="1"/>
  <c r="D209" i="87" a="1"/>
  <c r="D209" i="87" s="1"/>
  <c r="AH208" i="87" a="1"/>
  <c r="AH208" i="87" s="1"/>
  <c r="AG208" i="87" a="1"/>
  <c r="AG208" i="87" s="1"/>
  <c r="AF208" i="87" a="1"/>
  <c r="AF208" i="87" s="1"/>
  <c r="AE208" i="87" a="1"/>
  <c r="AE208" i="87" s="1"/>
  <c r="AD208" i="87" a="1"/>
  <c r="AD208" i="87" s="1"/>
  <c r="AC208" i="87" a="1"/>
  <c r="AC208" i="87" s="1"/>
  <c r="AB208" i="87" a="1"/>
  <c r="AB208" i="87" s="1"/>
  <c r="AA208" i="87" a="1"/>
  <c r="AA208" i="87" s="1"/>
  <c r="Z208" i="87" a="1"/>
  <c r="Z208" i="87" s="1"/>
  <c r="Y208" i="87" a="1"/>
  <c r="Y208" i="87" s="1"/>
  <c r="X208" i="87" a="1"/>
  <c r="X208" i="87" s="1"/>
  <c r="W208" i="87" a="1"/>
  <c r="W208" i="87" s="1"/>
  <c r="V208" i="87" a="1"/>
  <c r="V208" i="87" s="1"/>
  <c r="U208" i="87" a="1"/>
  <c r="U208" i="87" s="1"/>
  <c r="T208" i="87" a="1"/>
  <c r="T208" i="87" s="1"/>
  <c r="S208" i="87" a="1"/>
  <c r="S208" i="87" s="1"/>
  <c r="R208" i="87" a="1"/>
  <c r="R208" i="87" s="1"/>
  <c r="Q208" i="87" a="1"/>
  <c r="Q208" i="87" s="1"/>
  <c r="P208" i="87" a="1"/>
  <c r="P208" i="87" s="1"/>
  <c r="O208" i="87" a="1"/>
  <c r="O208" i="87" s="1"/>
  <c r="N208" i="87" a="1"/>
  <c r="N208" i="87" s="1"/>
  <c r="M208" i="87" a="1"/>
  <c r="M208" i="87" s="1"/>
  <c r="L208" i="87" a="1"/>
  <c r="L208" i="87" s="1"/>
  <c r="K208" i="87" a="1"/>
  <c r="K208" i="87" s="1"/>
  <c r="J208" i="87" a="1"/>
  <c r="J208" i="87" s="1"/>
  <c r="I208" i="87" a="1"/>
  <c r="I208" i="87" s="1"/>
  <c r="H208" i="87" a="1"/>
  <c r="H208" i="87" s="1"/>
  <c r="G208" i="87" a="1"/>
  <c r="G208" i="87" s="1"/>
  <c r="F208" i="87" a="1"/>
  <c r="F208" i="87" s="1"/>
  <c r="E208" i="87" a="1"/>
  <c r="E208" i="87" s="1"/>
  <c r="D208" i="87" a="1"/>
  <c r="D208" i="87" s="1"/>
  <c r="AH207" i="87" a="1"/>
  <c r="AH207" i="87" s="1"/>
  <c r="AG207" i="87" a="1"/>
  <c r="AG207" i="87" s="1"/>
  <c r="AF207" i="87" a="1"/>
  <c r="AF207" i="87" s="1"/>
  <c r="AE207" i="87" a="1"/>
  <c r="AE207" i="87" s="1"/>
  <c r="AD207" i="87" a="1"/>
  <c r="AD207" i="87" s="1"/>
  <c r="AC207" i="87" a="1"/>
  <c r="AC207" i="87" s="1"/>
  <c r="AB207" i="87" a="1"/>
  <c r="AB207" i="87" s="1"/>
  <c r="AA207" i="87" a="1"/>
  <c r="AA207" i="87" s="1"/>
  <c r="Z207" i="87" a="1"/>
  <c r="Z207" i="87" s="1"/>
  <c r="Y207" i="87" a="1"/>
  <c r="Y207" i="87" s="1"/>
  <c r="X207" i="87" a="1"/>
  <c r="X207" i="87" s="1"/>
  <c r="W207" i="87" a="1"/>
  <c r="W207" i="87" s="1"/>
  <c r="V207" i="87" a="1"/>
  <c r="V207" i="87" s="1"/>
  <c r="U207" i="87" a="1"/>
  <c r="U207" i="87" s="1"/>
  <c r="T207" i="87" a="1"/>
  <c r="T207" i="87" s="1"/>
  <c r="S207" i="87" a="1"/>
  <c r="S207" i="87" s="1"/>
  <c r="R207" i="87" a="1"/>
  <c r="R207" i="87" s="1"/>
  <c r="Q207" i="87" a="1"/>
  <c r="Q207" i="87" s="1"/>
  <c r="P207" i="87" a="1"/>
  <c r="P207" i="87" s="1"/>
  <c r="O207" i="87" a="1"/>
  <c r="O207" i="87" s="1"/>
  <c r="N207" i="87" a="1"/>
  <c r="N207" i="87" s="1"/>
  <c r="M207" i="87" a="1"/>
  <c r="M207" i="87" s="1"/>
  <c r="L207" i="87" a="1"/>
  <c r="L207" i="87" s="1"/>
  <c r="K207" i="87" a="1"/>
  <c r="K207" i="87" s="1"/>
  <c r="J207" i="87" a="1"/>
  <c r="J207" i="87" s="1"/>
  <c r="I207" i="87" a="1"/>
  <c r="I207" i="87" s="1"/>
  <c r="H207" i="87" a="1"/>
  <c r="H207" i="87" s="1"/>
  <c r="G207" i="87" a="1"/>
  <c r="G207" i="87" s="1"/>
  <c r="F207" i="87" a="1"/>
  <c r="F207" i="87" s="1"/>
  <c r="E207" i="87" a="1"/>
  <c r="E207" i="87" s="1"/>
  <c r="D207" i="87" a="1"/>
  <c r="D207" i="87" s="1"/>
  <c r="AH206" i="87" a="1"/>
  <c r="AH206" i="87" s="1"/>
  <c r="AG206" i="87" a="1"/>
  <c r="AG206" i="87" s="1"/>
  <c r="AF206" i="87" a="1"/>
  <c r="AF206" i="87" s="1"/>
  <c r="AE206" i="87" a="1"/>
  <c r="AE206" i="87" s="1"/>
  <c r="AD206" i="87" a="1"/>
  <c r="AD206" i="87" s="1"/>
  <c r="AC206" i="87" a="1"/>
  <c r="AC206" i="87" s="1"/>
  <c r="AB206" i="87" a="1"/>
  <c r="AB206" i="87" s="1"/>
  <c r="AA206" i="87" a="1"/>
  <c r="AA206" i="87" s="1"/>
  <c r="Z206" i="87" a="1"/>
  <c r="Z206" i="87" s="1"/>
  <c r="Y206" i="87" a="1"/>
  <c r="Y206" i="87" s="1"/>
  <c r="X206" i="87" a="1"/>
  <c r="X206" i="87" s="1"/>
  <c r="W206" i="87" a="1"/>
  <c r="W206" i="87" s="1"/>
  <c r="V206" i="87" a="1"/>
  <c r="V206" i="87" s="1"/>
  <c r="U206" i="87" a="1"/>
  <c r="U206" i="87" s="1"/>
  <c r="T206" i="87" a="1"/>
  <c r="T206" i="87" s="1"/>
  <c r="S206" i="87" a="1"/>
  <c r="S206" i="87" s="1"/>
  <c r="R206" i="87" a="1"/>
  <c r="R206" i="87" s="1"/>
  <c r="Q206" i="87" a="1"/>
  <c r="Q206" i="87" s="1"/>
  <c r="P206" i="87" a="1"/>
  <c r="P206" i="87" s="1"/>
  <c r="O206" i="87" a="1"/>
  <c r="O206" i="87" s="1"/>
  <c r="N206" i="87" a="1"/>
  <c r="N206" i="87" s="1"/>
  <c r="M206" i="87" a="1"/>
  <c r="M206" i="87" s="1"/>
  <c r="L206" i="87" a="1"/>
  <c r="L206" i="87" s="1"/>
  <c r="K206" i="87" a="1"/>
  <c r="K206" i="87" s="1"/>
  <c r="J206" i="87" a="1"/>
  <c r="J206" i="87" s="1"/>
  <c r="I206" i="87" a="1"/>
  <c r="I206" i="87" s="1"/>
  <c r="H206" i="87" a="1"/>
  <c r="H206" i="87" s="1"/>
  <c r="G206" i="87" a="1"/>
  <c r="G206" i="87" s="1"/>
  <c r="F206" i="87" a="1"/>
  <c r="F206" i="87" s="1"/>
  <c r="E206" i="87" a="1"/>
  <c r="E206" i="87" s="1"/>
  <c r="D206" i="87" a="1"/>
  <c r="D206" i="87" s="1"/>
  <c r="AH205" i="87" a="1"/>
  <c r="AH205" i="87" s="1"/>
  <c r="AG205" i="87" a="1"/>
  <c r="AG205" i="87" s="1"/>
  <c r="AF205" i="87" a="1"/>
  <c r="AF205" i="87" s="1"/>
  <c r="AE205" i="87" a="1"/>
  <c r="AE205" i="87" s="1"/>
  <c r="AD205" i="87" a="1"/>
  <c r="AD205" i="87" s="1"/>
  <c r="AC205" i="87" a="1"/>
  <c r="AC205" i="87" s="1"/>
  <c r="AB205" i="87" a="1"/>
  <c r="AB205" i="87" s="1"/>
  <c r="AA205" i="87" a="1"/>
  <c r="AA205" i="87" s="1"/>
  <c r="Z205" i="87" a="1"/>
  <c r="Z205" i="87" s="1"/>
  <c r="Y205" i="87" a="1"/>
  <c r="Y205" i="87" s="1"/>
  <c r="X205" i="87" a="1"/>
  <c r="X205" i="87" s="1"/>
  <c r="W205" i="87" a="1"/>
  <c r="W205" i="87" s="1"/>
  <c r="V205" i="87" a="1"/>
  <c r="V205" i="87" s="1"/>
  <c r="U205" i="87" a="1"/>
  <c r="U205" i="87" s="1"/>
  <c r="T205" i="87" a="1"/>
  <c r="T205" i="87" s="1"/>
  <c r="S205" i="87" a="1"/>
  <c r="S205" i="87" s="1"/>
  <c r="R205" i="87" a="1"/>
  <c r="R205" i="87" s="1"/>
  <c r="Q205" i="87" a="1"/>
  <c r="Q205" i="87" s="1"/>
  <c r="P205" i="87" a="1"/>
  <c r="P205" i="87" s="1"/>
  <c r="O205" i="87" a="1"/>
  <c r="O205" i="87" s="1"/>
  <c r="N205" i="87" a="1"/>
  <c r="N205" i="87" s="1"/>
  <c r="M205" i="87" a="1"/>
  <c r="M205" i="87" s="1"/>
  <c r="L205" i="87" a="1"/>
  <c r="L205" i="87" s="1"/>
  <c r="K205" i="87" a="1"/>
  <c r="K205" i="87" s="1"/>
  <c r="J205" i="87" a="1"/>
  <c r="J205" i="87" s="1"/>
  <c r="I205" i="87" a="1"/>
  <c r="I205" i="87" s="1"/>
  <c r="H205" i="87" a="1"/>
  <c r="H205" i="87" s="1"/>
  <c r="G205" i="87" a="1"/>
  <c r="G205" i="87" s="1"/>
  <c r="F205" i="87" a="1"/>
  <c r="F205" i="87" s="1"/>
  <c r="E205" i="87" a="1"/>
  <c r="E205" i="87" s="1"/>
  <c r="D205" i="87" a="1"/>
  <c r="D205" i="87" s="1"/>
  <c r="AH204" i="87" a="1"/>
  <c r="AH204" i="87" s="1"/>
  <c r="AG204" i="87" a="1"/>
  <c r="AG204" i="87" s="1"/>
  <c r="AF204" i="87" a="1"/>
  <c r="AF204" i="87" s="1"/>
  <c r="AE204" i="87" a="1"/>
  <c r="AE204" i="87" s="1"/>
  <c r="AD204" i="87" a="1"/>
  <c r="AD204" i="87" s="1"/>
  <c r="AC204" i="87" a="1"/>
  <c r="AC204" i="87" s="1"/>
  <c r="AB204" i="87" a="1"/>
  <c r="AB204" i="87" s="1"/>
  <c r="AA204" i="87" a="1"/>
  <c r="AA204" i="87" s="1"/>
  <c r="Z204" i="87" a="1"/>
  <c r="Z204" i="87" s="1"/>
  <c r="Y204" i="87" a="1"/>
  <c r="Y204" i="87" s="1"/>
  <c r="X204" i="87" a="1"/>
  <c r="X204" i="87" s="1"/>
  <c r="W204" i="87" a="1"/>
  <c r="W204" i="87" s="1"/>
  <c r="V204" i="87" a="1"/>
  <c r="V204" i="87" s="1"/>
  <c r="U204" i="87" a="1"/>
  <c r="U204" i="87" s="1"/>
  <c r="T204" i="87" a="1"/>
  <c r="T204" i="87" s="1"/>
  <c r="S204" i="87" a="1"/>
  <c r="S204" i="87" s="1"/>
  <c r="R204" i="87" a="1"/>
  <c r="R204" i="87" s="1"/>
  <c r="Q204" i="87" a="1"/>
  <c r="Q204" i="87" s="1"/>
  <c r="P204" i="87" a="1"/>
  <c r="P204" i="87" s="1"/>
  <c r="O204" i="87" a="1"/>
  <c r="O204" i="87" s="1"/>
  <c r="N204" i="87" a="1"/>
  <c r="N204" i="87" s="1"/>
  <c r="M204" i="87" a="1"/>
  <c r="M204" i="87" s="1"/>
  <c r="L204" i="87" a="1"/>
  <c r="L204" i="87" s="1"/>
  <c r="K204" i="87" a="1"/>
  <c r="K204" i="87" s="1"/>
  <c r="J204" i="87" a="1"/>
  <c r="J204" i="87" s="1"/>
  <c r="I204" i="87" a="1"/>
  <c r="I204" i="87" s="1"/>
  <c r="H204" i="87" a="1"/>
  <c r="H204" i="87" s="1"/>
  <c r="G204" i="87" a="1"/>
  <c r="G204" i="87" s="1"/>
  <c r="F204" i="87" a="1"/>
  <c r="F204" i="87" s="1"/>
  <c r="E204" i="87" a="1"/>
  <c r="E204" i="87" s="1"/>
  <c r="D204" i="87" a="1"/>
  <c r="D204" i="87" s="1"/>
  <c r="AH203" i="87" a="1"/>
  <c r="AH203" i="87" s="1"/>
  <c r="AG203" i="87" a="1"/>
  <c r="AG203" i="87" s="1"/>
  <c r="AF203" i="87" a="1"/>
  <c r="AF203" i="87" s="1"/>
  <c r="AE203" i="87" a="1"/>
  <c r="AE203" i="87" s="1"/>
  <c r="AD203" i="87" a="1"/>
  <c r="AD203" i="87" s="1"/>
  <c r="AC203" i="87" a="1"/>
  <c r="AC203" i="87" s="1"/>
  <c r="AB203" i="87" a="1"/>
  <c r="AB203" i="87" s="1"/>
  <c r="AA203" i="87" a="1"/>
  <c r="AA203" i="87" s="1"/>
  <c r="Z203" i="87" a="1"/>
  <c r="Z203" i="87" s="1"/>
  <c r="Y203" i="87" a="1"/>
  <c r="Y203" i="87" s="1"/>
  <c r="X203" i="87" a="1"/>
  <c r="X203" i="87" s="1"/>
  <c r="W203" i="87" a="1"/>
  <c r="W203" i="87" s="1"/>
  <c r="V203" i="87" a="1"/>
  <c r="V203" i="87" s="1"/>
  <c r="U203" i="87" a="1"/>
  <c r="U203" i="87" s="1"/>
  <c r="T203" i="87" a="1"/>
  <c r="T203" i="87" s="1"/>
  <c r="S203" i="87" a="1"/>
  <c r="S203" i="87" s="1"/>
  <c r="R203" i="87" a="1"/>
  <c r="R203" i="87" s="1"/>
  <c r="Q203" i="87" a="1"/>
  <c r="Q203" i="87" s="1"/>
  <c r="P203" i="87" a="1"/>
  <c r="P203" i="87" s="1"/>
  <c r="O203" i="87" a="1"/>
  <c r="O203" i="87" s="1"/>
  <c r="N203" i="87" a="1"/>
  <c r="N203" i="87" s="1"/>
  <c r="M203" i="87" a="1"/>
  <c r="M203" i="87" s="1"/>
  <c r="L203" i="87" a="1"/>
  <c r="L203" i="87" s="1"/>
  <c r="K203" i="87" a="1"/>
  <c r="K203" i="87" s="1"/>
  <c r="J203" i="87" a="1"/>
  <c r="J203" i="87" s="1"/>
  <c r="I203" i="87" a="1"/>
  <c r="I203" i="87" s="1"/>
  <c r="H203" i="87" a="1"/>
  <c r="H203" i="87" s="1"/>
  <c r="G203" i="87" a="1"/>
  <c r="G203" i="87" s="1"/>
  <c r="F203" i="87" a="1"/>
  <c r="F203" i="87" s="1"/>
  <c r="E203" i="87" a="1"/>
  <c r="E203" i="87" s="1"/>
  <c r="D203" i="87" a="1"/>
  <c r="D203" i="87" s="1"/>
  <c r="AH202" i="87" a="1"/>
  <c r="AH202" i="87" s="1"/>
  <c r="AG202" i="87" a="1"/>
  <c r="AG202" i="87" s="1"/>
  <c r="AF202" i="87" a="1"/>
  <c r="AF202" i="87" s="1"/>
  <c r="AE202" i="87" a="1"/>
  <c r="AE202" i="87" s="1"/>
  <c r="AD202" i="87" a="1"/>
  <c r="AD202" i="87" s="1"/>
  <c r="AC202" i="87" a="1"/>
  <c r="AC202" i="87" s="1"/>
  <c r="AB202" i="87" a="1"/>
  <c r="AB202" i="87" s="1"/>
  <c r="AA202" i="87" a="1"/>
  <c r="AA202" i="87" s="1"/>
  <c r="Z202" i="87" a="1"/>
  <c r="Z202" i="87" s="1"/>
  <c r="Y202" i="87" a="1"/>
  <c r="Y202" i="87" s="1"/>
  <c r="X202" i="87" a="1"/>
  <c r="X202" i="87" s="1"/>
  <c r="W202" i="87" a="1"/>
  <c r="W202" i="87" s="1"/>
  <c r="V202" i="87" a="1"/>
  <c r="V202" i="87" s="1"/>
  <c r="U202" i="87" a="1"/>
  <c r="U202" i="87" s="1"/>
  <c r="T202" i="87" a="1"/>
  <c r="T202" i="87" s="1"/>
  <c r="S202" i="87" a="1"/>
  <c r="S202" i="87" s="1"/>
  <c r="R202" i="87" a="1"/>
  <c r="R202" i="87" s="1"/>
  <c r="Q202" i="87" a="1"/>
  <c r="Q202" i="87" s="1"/>
  <c r="P202" i="87" a="1"/>
  <c r="P202" i="87" s="1"/>
  <c r="O202" i="87" a="1"/>
  <c r="O202" i="87" s="1"/>
  <c r="N202" i="87" a="1"/>
  <c r="N202" i="87" s="1"/>
  <c r="M202" i="87" a="1"/>
  <c r="M202" i="87" s="1"/>
  <c r="L202" i="87" a="1"/>
  <c r="L202" i="87" s="1"/>
  <c r="K202" i="87" a="1"/>
  <c r="K202" i="87" s="1"/>
  <c r="J202" i="87" a="1"/>
  <c r="J202" i="87" s="1"/>
  <c r="I202" i="87" a="1"/>
  <c r="I202" i="87" s="1"/>
  <c r="H202" i="87" a="1"/>
  <c r="H202" i="87" s="1"/>
  <c r="G202" i="87" a="1"/>
  <c r="G202" i="87" s="1"/>
  <c r="F202" i="87" a="1"/>
  <c r="F202" i="87" s="1"/>
  <c r="E202" i="87" a="1"/>
  <c r="E202" i="87" s="1"/>
  <c r="D202" i="87" a="1"/>
  <c r="D202" i="87" s="1"/>
  <c r="AH201" i="87" a="1"/>
  <c r="AH201" i="87" s="1"/>
  <c r="AG201" i="87" a="1"/>
  <c r="AG201" i="87" s="1"/>
  <c r="AF201" i="87" a="1"/>
  <c r="AF201" i="87" s="1"/>
  <c r="AE201" i="87" a="1"/>
  <c r="AE201" i="87" s="1"/>
  <c r="AD201" i="87" a="1"/>
  <c r="AD201" i="87" s="1"/>
  <c r="AC201" i="87" a="1"/>
  <c r="AC201" i="87" s="1"/>
  <c r="AB201" i="87" a="1"/>
  <c r="AB201" i="87" s="1"/>
  <c r="AA201" i="87" a="1"/>
  <c r="AA201" i="87" s="1"/>
  <c r="Z201" i="87" a="1"/>
  <c r="Z201" i="87" s="1"/>
  <c r="Y201" i="87" a="1"/>
  <c r="Y201" i="87" s="1"/>
  <c r="X201" i="87" a="1"/>
  <c r="X201" i="87" s="1"/>
  <c r="W201" i="87" a="1"/>
  <c r="W201" i="87" s="1"/>
  <c r="V201" i="87" a="1"/>
  <c r="V201" i="87" s="1"/>
  <c r="U201" i="87" a="1"/>
  <c r="U201" i="87" s="1"/>
  <c r="T201" i="87" a="1"/>
  <c r="T201" i="87" s="1"/>
  <c r="S201" i="87" a="1"/>
  <c r="S201" i="87" s="1"/>
  <c r="R201" i="87" a="1"/>
  <c r="R201" i="87" s="1"/>
  <c r="Q201" i="87" a="1"/>
  <c r="Q201" i="87" s="1"/>
  <c r="P201" i="87" a="1"/>
  <c r="P201" i="87" s="1"/>
  <c r="O201" i="87" a="1"/>
  <c r="O201" i="87" s="1"/>
  <c r="N201" i="87" a="1"/>
  <c r="N201" i="87" s="1"/>
  <c r="M201" i="87" a="1"/>
  <c r="M201" i="87" s="1"/>
  <c r="L201" i="87" a="1"/>
  <c r="L201" i="87" s="1"/>
  <c r="K201" i="87" a="1"/>
  <c r="K201" i="87" s="1"/>
  <c r="J201" i="87" a="1"/>
  <c r="J201" i="87" s="1"/>
  <c r="I201" i="87" a="1"/>
  <c r="I201" i="87" s="1"/>
  <c r="H201" i="87" a="1"/>
  <c r="H201" i="87" s="1"/>
  <c r="G201" i="87" a="1"/>
  <c r="G201" i="87" s="1"/>
  <c r="F201" i="87" a="1"/>
  <c r="F201" i="87" s="1"/>
  <c r="E201" i="87" a="1"/>
  <c r="E201" i="87" s="1"/>
  <c r="D201" i="87" a="1"/>
  <c r="D201" i="87" s="1"/>
  <c r="AH200" i="87" a="1"/>
  <c r="AH200" i="87" s="1"/>
  <c r="AG200" i="87" a="1"/>
  <c r="AG200" i="87" s="1"/>
  <c r="AF200" i="87" a="1"/>
  <c r="AF200" i="87" s="1"/>
  <c r="AE200" i="87" a="1"/>
  <c r="AE200" i="87" s="1"/>
  <c r="AD200" i="87" a="1"/>
  <c r="AD200" i="87" s="1"/>
  <c r="AC200" i="87" a="1"/>
  <c r="AC200" i="87" s="1"/>
  <c r="AB200" i="87" a="1"/>
  <c r="AB200" i="87" s="1"/>
  <c r="AA200" i="87" a="1"/>
  <c r="AA200" i="87" s="1"/>
  <c r="Z200" i="87" a="1"/>
  <c r="Z200" i="87" s="1"/>
  <c r="Y200" i="87" a="1"/>
  <c r="Y200" i="87" s="1"/>
  <c r="X200" i="87" a="1"/>
  <c r="X200" i="87" s="1"/>
  <c r="W200" i="87" a="1"/>
  <c r="W200" i="87" s="1"/>
  <c r="V200" i="87" a="1"/>
  <c r="V200" i="87" s="1"/>
  <c r="U200" i="87" a="1"/>
  <c r="U200" i="87" s="1"/>
  <c r="T200" i="87" a="1"/>
  <c r="T200" i="87" s="1"/>
  <c r="S200" i="87" a="1"/>
  <c r="S200" i="87" s="1"/>
  <c r="R200" i="87" a="1"/>
  <c r="R200" i="87" s="1"/>
  <c r="Q200" i="87" a="1"/>
  <c r="Q200" i="87" s="1"/>
  <c r="P200" i="87" a="1"/>
  <c r="P200" i="87" s="1"/>
  <c r="O200" i="87" a="1"/>
  <c r="O200" i="87" s="1"/>
  <c r="N200" i="87" a="1"/>
  <c r="N200" i="87" s="1"/>
  <c r="M200" i="87" a="1"/>
  <c r="M200" i="87" s="1"/>
  <c r="L200" i="87" a="1"/>
  <c r="L200" i="87" s="1"/>
  <c r="K200" i="87" a="1"/>
  <c r="K200" i="87" s="1"/>
  <c r="J200" i="87" a="1"/>
  <c r="J200" i="87" s="1"/>
  <c r="I200" i="87" a="1"/>
  <c r="I200" i="87" s="1"/>
  <c r="H200" i="87" a="1"/>
  <c r="H200" i="87" s="1"/>
  <c r="G200" i="87" a="1"/>
  <c r="G200" i="87" s="1"/>
  <c r="F200" i="87" a="1"/>
  <c r="F200" i="87" s="1"/>
  <c r="E200" i="87" a="1"/>
  <c r="E200" i="87" s="1"/>
  <c r="D200" i="87" a="1"/>
  <c r="D200" i="87" s="1"/>
  <c r="AH199" i="87" a="1"/>
  <c r="AH199" i="87" s="1"/>
  <c r="AG199" i="87" a="1"/>
  <c r="AG199" i="87" s="1"/>
  <c r="AF199" i="87" a="1"/>
  <c r="AF199" i="87" s="1"/>
  <c r="AE199" i="87" a="1"/>
  <c r="AE199" i="87" s="1"/>
  <c r="AD199" i="87" a="1"/>
  <c r="AD199" i="87" s="1"/>
  <c r="AC199" i="87" a="1"/>
  <c r="AC199" i="87" s="1"/>
  <c r="AB199" i="87" a="1"/>
  <c r="AB199" i="87" s="1"/>
  <c r="AA199" i="87" a="1"/>
  <c r="AA199" i="87" s="1"/>
  <c r="Z199" i="87" a="1"/>
  <c r="Z199" i="87" s="1"/>
  <c r="Y199" i="87" a="1"/>
  <c r="Y199" i="87" s="1"/>
  <c r="X199" i="87" a="1"/>
  <c r="X199" i="87" s="1"/>
  <c r="W199" i="87" a="1"/>
  <c r="W199" i="87" s="1"/>
  <c r="V199" i="87" a="1"/>
  <c r="V199" i="87" s="1"/>
  <c r="U199" i="87" a="1"/>
  <c r="U199" i="87" s="1"/>
  <c r="T199" i="87" a="1"/>
  <c r="T199" i="87" s="1"/>
  <c r="S199" i="87" a="1"/>
  <c r="S199" i="87" s="1"/>
  <c r="R199" i="87" a="1"/>
  <c r="R199" i="87" s="1"/>
  <c r="Q199" i="87" a="1"/>
  <c r="Q199" i="87" s="1"/>
  <c r="P199" i="87" a="1"/>
  <c r="P199" i="87" s="1"/>
  <c r="O199" i="87" a="1"/>
  <c r="O199" i="87" s="1"/>
  <c r="N199" i="87" a="1"/>
  <c r="N199" i="87" s="1"/>
  <c r="M199" i="87" a="1"/>
  <c r="M199" i="87" s="1"/>
  <c r="L199" i="87" a="1"/>
  <c r="L199" i="87" s="1"/>
  <c r="K199" i="87" a="1"/>
  <c r="K199" i="87" s="1"/>
  <c r="J199" i="87" a="1"/>
  <c r="J199" i="87" s="1"/>
  <c r="I199" i="87" a="1"/>
  <c r="I199" i="87" s="1"/>
  <c r="H199" i="87" a="1"/>
  <c r="H199" i="87" s="1"/>
  <c r="G199" i="87" a="1"/>
  <c r="G199" i="87" s="1"/>
  <c r="F199" i="87" a="1"/>
  <c r="F199" i="87" s="1"/>
  <c r="E199" i="87" a="1"/>
  <c r="E199" i="87" s="1"/>
  <c r="D199" i="87" a="1"/>
  <c r="D199" i="87" s="1"/>
  <c r="AH198" i="87" a="1"/>
  <c r="AH198" i="87" s="1"/>
  <c r="AG198" i="87" a="1"/>
  <c r="AG198" i="87" s="1"/>
  <c r="AF198" i="87" a="1"/>
  <c r="AF198" i="87" s="1"/>
  <c r="AE198" i="87" a="1"/>
  <c r="AE198" i="87" s="1"/>
  <c r="AD198" i="87" a="1"/>
  <c r="AD198" i="87" s="1"/>
  <c r="AC198" i="87" a="1"/>
  <c r="AC198" i="87" s="1"/>
  <c r="AB198" i="87" a="1"/>
  <c r="AB198" i="87" s="1"/>
  <c r="AA198" i="87" a="1"/>
  <c r="AA198" i="87" s="1"/>
  <c r="Z198" i="87" a="1"/>
  <c r="Z198" i="87" s="1"/>
  <c r="Y198" i="87" a="1"/>
  <c r="Y198" i="87" s="1"/>
  <c r="X198" i="87" a="1"/>
  <c r="X198" i="87" s="1"/>
  <c r="W198" i="87" a="1"/>
  <c r="W198" i="87" s="1"/>
  <c r="V198" i="87" a="1"/>
  <c r="V198" i="87" s="1"/>
  <c r="U198" i="87" a="1"/>
  <c r="U198" i="87" s="1"/>
  <c r="T198" i="87" a="1"/>
  <c r="T198" i="87" s="1"/>
  <c r="S198" i="87" a="1"/>
  <c r="S198" i="87" s="1"/>
  <c r="R198" i="87" a="1"/>
  <c r="R198" i="87" s="1"/>
  <c r="Q198" i="87" a="1"/>
  <c r="Q198" i="87" s="1"/>
  <c r="P198" i="87" a="1"/>
  <c r="P198" i="87" s="1"/>
  <c r="O198" i="87" a="1"/>
  <c r="O198" i="87" s="1"/>
  <c r="N198" i="87" a="1"/>
  <c r="N198" i="87" s="1"/>
  <c r="M198" i="87" a="1"/>
  <c r="M198" i="87" s="1"/>
  <c r="L198" i="87" a="1"/>
  <c r="L198" i="87" s="1"/>
  <c r="K198" i="87" a="1"/>
  <c r="K198" i="87" s="1"/>
  <c r="J198" i="87" a="1"/>
  <c r="J198" i="87" s="1"/>
  <c r="I198" i="87" a="1"/>
  <c r="I198" i="87" s="1"/>
  <c r="H198" i="87" a="1"/>
  <c r="H198" i="87" s="1"/>
  <c r="G198" i="87" a="1"/>
  <c r="G198" i="87" s="1"/>
  <c r="F198" i="87" a="1"/>
  <c r="F198" i="87" s="1"/>
  <c r="E198" i="87" a="1"/>
  <c r="E198" i="87" s="1"/>
  <c r="D198" i="87" a="1"/>
  <c r="D198" i="87" s="1"/>
  <c r="AH197" i="87" a="1"/>
  <c r="AH197" i="87" s="1"/>
  <c r="AG197" i="87" a="1"/>
  <c r="AG197" i="87" s="1"/>
  <c r="AF197" i="87" a="1"/>
  <c r="AF197" i="87" s="1"/>
  <c r="AE197" i="87" a="1"/>
  <c r="AE197" i="87" s="1"/>
  <c r="AD197" i="87" a="1"/>
  <c r="AD197" i="87" s="1"/>
  <c r="AC197" i="87" a="1"/>
  <c r="AC197" i="87" s="1"/>
  <c r="AB197" i="87" a="1"/>
  <c r="AB197" i="87" s="1"/>
  <c r="AA197" i="87" a="1"/>
  <c r="AA197" i="87" s="1"/>
  <c r="Z197" i="87" a="1"/>
  <c r="Z197" i="87" s="1"/>
  <c r="Y197" i="87" a="1"/>
  <c r="Y197" i="87" s="1"/>
  <c r="X197" i="87" a="1"/>
  <c r="X197" i="87" s="1"/>
  <c r="W197" i="87" a="1"/>
  <c r="W197" i="87" s="1"/>
  <c r="V197" i="87" a="1"/>
  <c r="V197" i="87" s="1"/>
  <c r="U197" i="87" a="1"/>
  <c r="U197" i="87" s="1"/>
  <c r="T197" i="87" a="1"/>
  <c r="T197" i="87" s="1"/>
  <c r="S197" i="87" a="1"/>
  <c r="S197" i="87" s="1"/>
  <c r="R197" i="87" a="1"/>
  <c r="R197" i="87" s="1"/>
  <c r="Q197" i="87" a="1"/>
  <c r="Q197" i="87" s="1"/>
  <c r="P197" i="87" a="1"/>
  <c r="P197" i="87" s="1"/>
  <c r="O197" i="87" a="1"/>
  <c r="O197" i="87" s="1"/>
  <c r="N197" i="87" a="1"/>
  <c r="N197" i="87" s="1"/>
  <c r="M197" i="87" a="1"/>
  <c r="M197" i="87" s="1"/>
  <c r="L197" i="87" a="1"/>
  <c r="L197" i="87" s="1"/>
  <c r="K197" i="87" a="1"/>
  <c r="K197" i="87" s="1"/>
  <c r="J197" i="87" a="1"/>
  <c r="J197" i="87" s="1"/>
  <c r="I197" i="87" a="1"/>
  <c r="I197" i="87" s="1"/>
  <c r="H197" i="87" a="1"/>
  <c r="H197" i="87" s="1"/>
  <c r="G197" i="87" a="1"/>
  <c r="G197" i="87" s="1"/>
  <c r="F197" i="87" a="1"/>
  <c r="F197" i="87" s="1"/>
  <c r="E197" i="87" a="1"/>
  <c r="E197" i="87" s="1"/>
  <c r="D197" i="87" a="1"/>
  <c r="D197" i="87" s="1"/>
  <c r="AH196" i="87" a="1"/>
  <c r="AH196" i="87" s="1"/>
  <c r="AG196" i="87" a="1"/>
  <c r="AG196" i="87" s="1"/>
  <c r="AF196" i="87" a="1"/>
  <c r="AF196" i="87" s="1"/>
  <c r="AE196" i="87" a="1"/>
  <c r="AE196" i="87" s="1"/>
  <c r="AD196" i="87" a="1"/>
  <c r="AD196" i="87" s="1"/>
  <c r="AC196" i="87" a="1"/>
  <c r="AC196" i="87" s="1"/>
  <c r="AB196" i="87" a="1"/>
  <c r="AB196" i="87" s="1"/>
  <c r="AA196" i="87" a="1"/>
  <c r="AA196" i="87" s="1"/>
  <c r="Z196" i="87" a="1"/>
  <c r="Z196" i="87" s="1"/>
  <c r="Y196" i="87" a="1"/>
  <c r="Y196" i="87" s="1"/>
  <c r="X196" i="87" a="1"/>
  <c r="X196" i="87" s="1"/>
  <c r="W196" i="87" a="1"/>
  <c r="W196" i="87" s="1"/>
  <c r="V196" i="87" a="1"/>
  <c r="V196" i="87" s="1"/>
  <c r="U196" i="87" a="1"/>
  <c r="U196" i="87" s="1"/>
  <c r="T196" i="87" a="1"/>
  <c r="T196" i="87" s="1"/>
  <c r="S196" i="87" a="1"/>
  <c r="S196" i="87" s="1"/>
  <c r="R196" i="87" a="1"/>
  <c r="R196" i="87" s="1"/>
  <c r="Q196" i="87" a="1"/>
  <c r="Q196" i="87" s="1"/>
  <c r="P196" i="87" a="1"/>
  <c r="P196" i="87" s="1"/>
  <c r="O196" i="87" a="1"/>
  <c r="O196" i="87" s="1"/>
  <c r="N196" i="87" a="1"/>
  <c r="N196" i="87" s="1"/>
  <c r="M196" i="87" a="1"/>
  <c r="M196" i="87" s="1"/>
  <c r="L196" i="87" a="1"/>
  <c r="L196" i="87" s="1"/>
  <c r="K196" i="87" a="1"/>
  <c r="K196" i="87" s="1"/>
  <c r="J196" i="87" a="1"/>
  <c r="J196" i="87" s="1"/>
  <c r="I196" i="87" a="1"/>
  <c r="I196" i="87" s="1"/>
  <c r="H196" i="87" a="1"/>
  <c r="H196" i="87" s="1"/>
  <c r="G196" i="87" a="1"/>
  <c r="G196" i="87" s="1"/>
  <c r="F196" i="87" a="1"/>
  <c r="F196" i="87" s="1"/>
  <c r="E196" i="87" a="1"/>
  <c r="E196" i="87" s="1"/>
  <c r="D196" i="87" a="1"/>
  <c r="D196" i="87" s="1"/>
  <c r="AH195" i="87" a="1"/>
  <c r="AH195" i="87" s="1"/>
  <c r="AG195" i="87" a="1"/>
  <c r="AG195" i="87" s="1"/>
  <c r="AF195" i="87" a="1"/>
  <c r="AF195" i="87" s="1"/>
  <c r="AE195" i="87" a="1"/>
  <c r="AE195" i="87" s="1"/>
  <c r="AD195" i="87" a="1"/>
  <c r="AD195" i="87" s="1"/>
  <c r="AC195" i="87" a="1"/>
  <c r="AC195" i="87" s="1"/>
  <c r="AB195" i="87" a="1"/>
  <c r="AB195" i="87" s="1"/>
  <c r="AA195" i="87" a="1"/>
  <c r="AA195" i="87" s="1"/>
  <c r="Z195" i="87" a="1"/>
  <c r="Z195" i="87" s="1"/>
  <c r="Y195" i="87" a="1"/>
  <c r="Y195" i="87" s="1"/>
  <c r="X195" i="87" a="1"/>
  <c r="X195" i="87" s="1"/>
  <c r="W195" i="87" a="1"/>
  <c r="W195" i="87" s="1"/>
  <c r="V195" i="87" a="1"/>
  <c r="V195" i="87" s="1"/>
  <c r="U195" i="87" a="1"/>
  <c r="U195" i="87" s="1"/>
  <c r="T195" i="87" a="1"/>
  <c r="T195" i="87" s="1"/>
  <c r="S195" i="87" a="1"/>
  <c r="S195" i="87" s="1"/>
  <c r="R195" i="87" a="1"/>
  <c r="R195" i="87" s="1"/>
  <c r="Q195" i="87" a="1"/>
  <c r="Q195" i="87" s="1"/>
  <c r="P195" i="87" a="1"/>
  <c r="P195" i="87" s="1"/>
  <c r="O195" i="87" a="1"/>
  <c r="O195" i="87" s="1"/>
  <c r="N195" i="87" a="1"/>
  <c r="N195" i="87" s="1"/>
  <c r="M195" i="87" a="1"/>
  <c r="M195" i="87" s="1"/>
  <c r="L195" i="87" a="1"/>
  <c r="L195" i="87" s="1"/>
  <c r="K195" i="87" a="1"/>
  <c r="K195" i="87" s="1"/>
  <c r="J195" i="87" a="1"/>
  <c r="J195" i="87" s="1"/>
  <c r="I195" i="87" a="1"/>
  <c r="I195" i="87" s="1"/>
  <c r="H195" i="87" a="1"/>
  <c r="H195" i="87" s="1"/>
  <c r="G195" i="87" a="1"/>
  <c r="G195" i="87" s="1"/>
  <c r="F195" i="87" a="1"/>
  <c r="F195" i="87" s="1"/>
  <c r="E195" i="87" a="1"/>
  <c r="E195" i="87" s="1"/>
  <c r="D195" i="87" a="1"/>
  <c r="D195" i="87" s="1"/>
  <c r="AH194" i="87" a="1"/>
  <c r="AH194" i="87" s="1"/>
  <c r="AG194" i="87" a="1"/>
  <c r="AG194" i="87" s="1"/>
  <c r="AF194" i="87" a="1"/>
  <c r="AF194" i="87" s="1"/>
  <c r="AE194" i="87" a="1"/>
  <c r="AE194" i="87" s="1"/>
  <c r="AD194" i="87" a="1"/>
  <c r="AD194" i="87" s="1"/>
  <c r="AC194" i="87" a="1"/>
  <c r="AC194" i="87" s="1"/>
  <c r="AB194" i="87" a="1"/>
  <c r="AB194" i="87" s="1"/>
  <c r="AA194" i="87" a="1"/>
  <c r="AA194" i="87" s="1"/>
  <c r="Z194" i="87" a="1"/>
  <c r="Z194" i="87" s="1"/>
  <c r="Y194" i="87" a="1"/>
  <c r="Y194" i="87" s="1"/>
  <c r="X194" i="87" a="1"/>
  <c r="X194" i="87" s="1"/>
  <c r="W194" i="87" a="1"/>
  <c r="W194" i="87" s="1"/>
  <c r="V194" i="87" a="1"/>
  <c r="V194" i="87" s="1"/>
  <c r="U194" i="87" a="1"/>
  <c r="U194" i="87" s="1"/>
  <c r="T194" i="87" a="1"/>
  <c r="T194" i="87" s="1"/>
  <c r="S194" i="87" a="1"/>
  <c r="S194" i="87" s="1"/>
  <c r="R194" i="87" a="1"/>
  <c r="R194" i="87" s="1"/>
  <c r="Q194" i="87" a="1"/>
  <c r="Q194" i="87" s="1"/>
  <c r="P194" i="87" a="1"/>
  <c r="P194" i="87" s="1"/>
  <c r="O194" i="87" a="1"/>
  <c r="O194" i="87" s="1"/>
  <c r="N194" i="87" a="1"/>
  <c r="N194" i="87" s="1"/>
  <c r="M194" i="87" a="1"/>
  <c r="M194" i="87" s="1"/>
  <c r="L194" i="87" a="1"/>
  <c r="L194" i="87" s="1"/>
  <c r="K194" i="87" a="1"/>
  <c r="K194" i="87" s="1"/>
  <c r="J194" i="87" a="1"/>
  <c r="J194" i="87" s="1"/>
  <c r="I194" i="87" a="1"/>
  <c r="I194" i="87" s="1"/>
  <c r="H194" i="87" a="1"/>
  <c r="H194" i="87" s="1"/>
  <c r="G194" i="87" a="1"/>
  <c r="G194" i="87" s="1"/>
  <c r="F194" i="87" a="1"/>
  <c r="F194" i="87" s="1"/>
  <c r="E194" i="87" a="1"/>
  <c r="E194" i="87" s="1"/>
  <c r="D194" i="87" a="1"/>
  <c r="D194" i="87" s="1"/>
  <c r="AH193" i="87" a="1"/>
  <c r="AH193" i="87" s="1"/>
  <c r="AG193" i="87" a="1"/>
  <c r="AG193" i="87" s="1"/>
  <c r="AF193" i="87" a="1"/>
  <c r="AF193" i="87" s="1"/>
  <c r="AE193" i="87" a="1"/>
  <c r="AE193" i="87" s="1"/>
  <c r="AD193" i="87" a="1"/>
  <c r="AD193" i="87" s="1"/>
  <c r="AC193" i="87" a="1"/>
  <c r="AC193" i="87" s="1"/>
  <c r="AB193" i="87" a="1"/>
  <c r="AB193" i="87" s="1"/>
  <c r="AA193" i="87" a="1"/>
  <c r="AA193" i="87" s="1"/>
  <c r="Z193" i="87" a="1"/>
  <c r="Z193" i="87" s="1"/>
  <c r="Y193" i="87" a="1"/>
  <c r="Y193" i="87" s="1"/>
  <c r="X193" i="87" a="1"/>
  <c r="X193" i="87" s="1"/>
  <c r="W193" i="87" a="1"/>
  <c r="W193" i="87" s="1"/>
  <c r="V193" i="87" a="1"/>
  <c r="V193" i="87" s="1"/>
  <c r="U193" i="87" a="1"/>
  <c r="U193" i="87" s="1"/>
  <c r="T193" i="87" a="1"/>
  <c r="T193" i="87" s="1"/>
  <c r="S193" i="87" a="1"/>
  <c r="S193" i="87" s="1"/>
  <c r="R193" i="87" a="1"/>
  <c r="R193" i="87" s="1"/>
  <c r="Q193" i="87" a="1"/>
  <c r="Q193" i="87" s="1"/>
  <c r="P193" i="87" a="1"/>
  <c r="P193" i="87" s="1"/>
  <c r="O193" i="87" a="1"/>
  <c r="O193" i="87" s="1"/>
  <c r="N193" i="87" a="1"/>
  <c r="N193" i="87" s="1"/>
  <c r="M193" i="87" a="1"/>
  <c r="M193" i="87" s="1"/>
  <c r="L193" i="87" a="1"/>
  <c r="L193" i="87" s="1"/>
  <c r="K193" i="87" a="1"/>
  <c r="K193" i="87" s="1"/>
  <c r="J193" i="87" a="1"/>
  <c r="J193" i="87" s="1"/>
  <c r="I193" i="87" a="1"/>
  <c r="I193" i="87" s="1"/>
  <c r="H193" i="87" a="1"/>
  <c r="H193" i="87" s="1"/>
  <c r="G193" i="87" a="1"/>
  <c r="G193" i="87" s="1"/>
  <c r="F193" i="87" a="1"/>
  <c r="F193" i="87" s="1"/>
  <c r="E193" i="87" a="1"/>
  <c r="E193" i="87" s="1"/>
  <c r="D193" i="87" a="1"/>
  <c r="D193" i="87" s="1"/>
  <c r="AH192" i="87" a="1"/>
  <c r="AH192" i="87" s="1"/>
  <c r="AG192" i="87" a="1"/>
  <c r="AG192" i="87" s="1"/>
  <c r="AF192" i="87" a="1"/>
  <c r="AF192" i="87" s="1"/>
  <c r="AE192" i="87" a="1"/>
  <c r="AE192" i="87" s="1"/>
  <c r="AD192" i="87" a="1"/>
  <c r="AD192" i="87" s="1"/>
  <c r="AC192" i="87" a="1"/>
  <c r="AC192" i="87" s="1"/>
  <c r="AB192" i="87" a="1"/>
  <c r="AB192" i="87" s="1"/>
  <c r="AA192" i="87" a="1"/>
  <c r="AA192" i="87" s="1"/>
  <c r="Z192" i="87" a="1"/>
  <c r="Z192" i="87" s="1"/>
  <c r="Y192" i="87" a="1"/>
  <c r="Y192" i="87" s="1"/>
  <c r="X192" i="87" a="1"/>
  <c r="X192" i="87" s="1"/>
  <c r="W192" i="87" a="1"/>
  <c r="W192" i="87" s="1"/>
  <c r="V192" i="87" a="1"/>
  <c r="V192" i="87" s="1"/>
  <c r="U192" i="87" a="1"/>
  <c r="U192" i="87" s="1"/>
  <c r="T192" i="87" a="1"/>
  <c r="T192" i="87" s="1"/>
  <c r="S192" i="87" a="1"/>
  <c r="S192" i="87" s="1"/>
  <c r="R192" i="87" a="1"/>
  <c r="R192" i="87" s="1"/>
  <c r="Q192" i="87" a="1"/>
  <c r="Q192" i="87" s="1"/>
  <c r="P192" i="87" a="1"/>
  <c r="P192" i="87" s="1"/>
  <c r="O192" i="87" a="1"/>
  <c r="O192" i="87" s="1"/>
  <c r="N192" i="87" a="1"/>
  <c r="N192" i="87" s="1"/>
  <c r="M192" i="87" a="1"/>
  <c r="M192" i="87" s="1"/>
  <c r="L192" i="87" a="1"/>
  <c r="L192" i="87" s="1"/>
  <c r="K192" i="87" a="1"/>
  <c r="K192" i="87" s="1"/>
  <c r="J192" i="87" a="1"/>
  <c r="J192" i="87" s="1"/>
  <c r="I192" i="87" a="1"/>
  <c r="I192" i="87" s="1"/>
  <c r="H192" i="87" a="1"/>
  <c r="H192" i="87" s="1"/>
  <c r="G192" i="87" a="1"/>
  <c r="G192" i="87" s="1"/>
  <c r="F192" i="87" a="1"/>
  <c r="F192" i="87" s="1"/>
  <c r="E192" i="87" a="1"/>
  <c r="E192" i="87" s="1"/>
  <c r="D192" i="87" a="1"/>
  <c r="D192" i="87" s="1"/>
  <c r="AH191" i="87" a="1"/>
  <c r="AH191" i="87" s="1"/>
  <c r="AG191" i="87" a="1"/>
  <c r="AG191" i="87" s="1"/>
  <c r="AF191" i="87" a="1"/>
  <c r="AF191" i="87" s="1"/>
  <c r="AE191" i="87" a="1"/>
  <c r="AE191" i="87" s="1"/>
  <c r="AD191" i="87" a="1"/>
  <c r="AD191" i="87" s="1"/>
  <c r="AC191" i="87" a="1"/>
  <c r="AC191" i="87" s="1"/>
  <c r="AB191" i="87" a="1"/>
  <c r="AB191" i="87" s="1"/>
  <c r="AA191" i="87" a="1"/>
  <c r="AA191" i="87" s="1"/>
  <c r="Z191" i="87" a="1"/>
  <c r="Z191" i="87" s="1"/>
  <c r="Y191" i="87" a="1"/>
  <c r="Y191" i="87" s="1"/>
  <c r="X191" i="87" a="1"/>
  <c r="X191" i="87" s="1"/>
  <c r="W191" i="87" a="1"/>
  <c r="W191" i="87" s="1"/>
  <c r="V191" i="87" a="1"/>
  <c r="V191" i="87" s="1"/>
  <c r="U191" i="87" a="1"/>
  <c r="U191" i="87" s="1"/>
  <c r="T191" i="87" a="1"/>
  <c r="T191" i="87" s="1"/>
  <c r="S191" i="87" a="1"/>
  <c r="S191" i="87" s="1"/>
  <c r="R191" i="87" a="1"/>
  <c r="R191" i="87" s="1"/>
  <c r="Q191" i="87" a="1"/>
  <c r="Q191" i="87" s="1"/>
  <c r="P191" i="87" a="1"/>
  <c r="P191" i="87" s="1"/>
  <c r="O191" i="87" a="1"/>
  <c r="O191" i="87" s="1"/>
  <c r="N191" i="87" a="1"/>
  <c r="N191" i="87" s="1"/>
  <c r="M191" i="87" a="1"/>
  <c r="M191" i="87" s="1"/>
  <c r="L191" i="87" a="1"/>
  <c r="L191" i="87" s="1"/>
  <c r="K191" i="87" a="1"/>
  <c r="K191" i="87" s="1"/>
  <c r="J191" i="87" a="1"/>
  <c r="J191" i="87" s="1"/>
  <c r="I191" i="87" a="1"/>
  <c r="I191" i="87" s="1"/>
  <c r="H191" i="87" a="1"/>
  <c r="H191" i="87" s="1"/>
  <c r="G191" i="87" a="1"/>
  <c r="G191" i="87" s="1"/>
  <c r="F191" i="87" a="1"/>
  <c r="F191" i="87" s="1"/>
  <c r="E191" i="87" a="1"/>
  <c r="E191" i="87" s="1"/>
  <c r="D191" i="87" a="1"/>
  <c r="D191" i="87" s="1"/>
  <c r="AH190" i="87" a="1"/>
  <c r="AH190" i="87" s="1"/>
  <c r="AG190" i="87" a="1"/>
  <c r="AG190" i="87" s="1"/>
  <c r="AF190" i="87" a="1"/>
  <c r="AF190" i="87" s="1"/>
  <c r="AE190" i="87" a="1"/>
  <c r="AE190" i="87" s="1"/>
  <c r="AD190" i="87" a="1"/>
  <c r="AD190" i="87" s="1"/>
  <c r="AC190" i="87" a="1"/>
  <c r="AC190" i="87" s="1"/>
  <c r="AB190" i="87" a="1"/>
  <c r="AB190" i="87" s="1"/>
  <c r="AA190" i="87" a="1"/>
  <c r="AA190" i="87" s="1"/>
  <c r="Z190" i="87" a="1"/>
  <c r="Z190" i="87" s="1"/>
  <c r="Y190" i="87" a="1"/>
  <c r="Y190" i="87" s="1"/>
  <c r="X190" i="87" a="1"/>
  <c r="X190" i="87" s="1"/>
  <c r="W190" i="87" a="1"/>
  <c r="W190" i="87" s="1"/>
  <c r="V190" i="87" a="1"/>
  <c r="V190" i="87" s="1"/>
  <c r="U190" i="87" a="1"/>
  <c r="U190" i="87" s="1"/>
  <c r="T190" i="87" a="1"/>
  <c r="T190" i="87" s="1"/>
  <c r="S190" i="87" a="1"/>
  <c r="S190" i="87" s="1"/>
  <c r="R190" i="87" a="1"/>
  <c r="R190" i="87" s="1"/>
  <c r="Q190" i="87" a="1"/>
  <c r="Q190" i="87" s="1"/>
  <c r="P190" i="87" a="1"/>
  <c r="P190" i="87" s="1"/>
  <c r="O190" i="87" a="1"/>
  <c r="O190" i="87" s="1"/>
  <c r="N190" i="87" a="1"/>
  <c r="N190" i="87" s="1"/>
  <c r="M190" i="87" a="1"/>
  <c r="M190" i="87" s="1"/>
  <c r="L190" i="87" a="1"/>
  <c r="L190" i="87" s="1"/>
  <c r="K190" i="87" a="1"/>
  <c r="K190" i="87" s="1"/>
  <c r="J190" i="87" a="1"/>
  <c r="J190" i="87" s="1"/>
  <c r="I190" i="87" a="1"/>
  <c r="I190" i="87" s="1"/>
  <c r="H190" i="87" a="1"/>
  <c r="H190" i="87" s="1"/>
  <c r="G190" i="87" a="1"/>
  <c r="G190" i="87" s="1"/>
  <c r="F190" i="87" a="1"/>
  <c r="F190" i="87" s="1"/>
  <c r="E190" i="87" a="1"/>
  <c r="E190" i="87" s="1"/>
  <c r="D190" i="87" a="1"/>
  <c r="D190" i="87" s="1"/>
  <c r="AH189" i="87" a="1"/>
  <c r="AH189" i="87" s="1"/>
  <c r="AG189" i="87" a="1"/>
  <c r="AG189" i="87" s="1"/>
  <c r="AF189" i="87" a="1"/>
  <c r="AF189" i="87" s="1"/>
  <c r="AE189" i="87" a="1"/>
  <c r="AE189" i="87" s="1"/>
  <c r="AD189" i="87" a="1"/>
  <c r="AD189" i="87" s="1"/>
  <c r="AC189" i="87" a="1"/>
  <c r="AC189" i="87" s="1"/>
  <c r="AB189" i="87" a="1"/>
  <c r="AB189" i="87" s="1"/>
  <c r="AA189" i="87" a="1"/>
  <c r="AA189" i="87" s="1"/>
  <c r="Z189" i="87" a="1"/>
  <c r="Z189" i="87" s="1"/>
  <c r="Y189" i="87" a="1"/>
  <c r="Y189" i="87" s="1"/>
  <c r="X189" i="87" a="1"/>
  <c r="X189" i="87" s="1"/>
  <c r="W189" i="87" a="1"/>
  <c r="W189" i="87" s="1"/>
  <c r="V189" i="87" a="1"/>
  <c r="V189" i="87" s="1"/>
  <c r="U189" i="87" a="1"/>
  <c r="U189" i="87" s="1"/>
  <c r="T189" i="87" a="1"/>
  <c r="T189" i="87" s="1"/>
  <c r="S189" i="87" a="1"/>
  <c r="S189" i="87" s="1"/>
  <c r="R189" i="87" a="1"/>
  <c r="R189" i="87" s="1"/>
  <c r="Q189" i="87" a="1"/>
  <c r="Q189" i="87" s="1"/>
  <c r="P189" i="87" a="1"/>
  <c r="P189" i="87" s="1"/>
  <c r="O189" i="87" a="1"/>
  <c r="O189" i="87" s="1"/>
  <c r="N189" i="87" a="1"/>
  <c r="N189" i="87" s="1"/>
  <c r="M189" i="87" a="1"/>
  <c r="M189" i="87" s="1"/>
  <c r="L189" i="87" a="1"/>
  <c r="L189" i="87" s="1"/>
  <c r="K189" i="87" a="1"/>
  <c r="K189" i="87" s="1"/>
  <c r="J189" i="87" a="1"/>
  <c r="J189" i="87" s="1"/>
  <c r="I189" i="87" a="1"/>
  <c r="I189" i="87" s="1"/>
  <c r="H189" i="87" a="1"/>
  <c r="H189" i="87" s="1"/>
  <c r="G189" i="87" a="1"/>
  <c r="G189" i="87" s="1"/>
  <c r="F189" i="87" a="1"/>
  <c r="F189" i="87" s="1"/>
  <c r="E189" i="87" a="1"/>
  <c r="E189" i="87" s="1"/>
  <c r="D189" i="87" a="1"/>
  <c r="D189" i="87" s="1"/>
  <c r="AH188" i="87" a="1"/>
  <c r="AH188" i="87" s="1"/>
  <c r="AG188" i="87" a="1"/>
  <c r="AG188" i="87" s="1"/>
  <c r="AF188" i="87" a="1"/>
  <c r="AF188" i="87" s="1"/>
  <c r="AE188" i="87" a="1"/>
  <c r="AE188" i="87" s="1"/>
  <c r="AD188" i="87" a="1"/>
  <c r="AD188" i="87" s="1"/>
  <c r="AC188" i="87" a="1"/>
  <c r="AC188" i="87" s="1"/>
  <c r="AB188" i="87" a="1"/>
  <c r="AB188" i="87" s="1"/>
  <c r="AA188" i="87" a="1"/>
  <c r="AA188" i="87" s="1"/>
  <c r="Z188" i="87" a="1"/>
  <c r="Z188" i="87" s="1"/>
  <c r="Y188" i="87" a="1"/>
  <c r="Y188" i="87" s="1"/>
  <c r="X188" i="87" a="1"/>
  <c r="X188" i="87" s="1"/>
  <c r="W188" i="87" a="1"/>
  <c r="W188" i="87" s="1"/>
  <c r="V188" i="87" a="1"/>
  <c r="V188" i="87" s="1"/>
  <c r="U188" i="87" a="1"/>
  <c r="U188" i="87" s="1"/>
  <c r="T188" i="87" a="1"/>
  <c r="T188" i="87" s="1"/>
  <c r="S188" i="87" a="1"/>
  <c r="S188" i="87" s="1"/>
  <c r="R188" i="87" a="1"/>
  <c r="R188" i="87" s="1"/>
  <c r="Q188" i="87" a="1"/>
  <c r="Q188" i="87" s="1"/>
  <c r="P188" i="87" a="1"/>
  <c r="P188" i="87" s="1"/>
  <c r="O188" i="87" a="1"/>
  <c r="O188" i="87" s="1"/>
  <c r="N188" i="87" a="1"/>
  <c r="N188" i="87" s="1"/>
  <c r="M188" i="87" a="1"/>
  <c r="M188" i="87" s="1"/>
  <c r="L188" i="87" a="1"/>
  <c r="L188" i="87" s="1"/>
  <c r="K188" i="87" a="1"/>
  <c r="K188" i="87" s="1"/>
  <c r="J188" i="87" a="1"/>
  <c r="J188" i="87" s="1"/>
  <c r="I188" i="87" a="1"/>
  <c r="I188" i="87" s="1"/>
  <c r="H188" i="87" a="1"/>
  <c r="H188" i="87" s="1"/>
  <c r="G188" i="87" a="1"/>
  <c r="G188" i="87" s="1"/>
  <c r="F188" i="87" a="1"/>
  <c r="F188" i="87" s="1"/>
  <c r="E188" i="87" a="1"/>
  <c r="E188" i="87" s="1"/>
  <c r="D188" i="87" a="1"/>
  <c r="D188" i="87" s="1"/>
  <c r="AH187" i="87" a="1"/>
  <c r="AH187" i="87" s="1"/>
  <c r="AG187" i="87" a="1"/>
  <c r="AG187" i="87" s="1"/>
  <c r="AF187" i="87" a="1"/>
  <c r="AF187" i="87" s="1"/>
  <c r="AE187" i="87" a="1"/>
  <c r="AE187" i="87" s="1"/>
  <c r="AD187" i="87" a="1"/>
  <c r="AD187" i="87" s="1"/>
  <c r="AC187" i="87" a="1"/>
  <c r="AC187" i="87" s="1"/>
  <c r="AB187" i="87" a="1"/>
  <c r="AB187" i="87" s="1"/>
  <c r="AA187" i="87" a="1"/>
  <c r="AA187" i="87" s="1"/>
  <c r="Z187" i="87" a="1"/>
  <c r="Z187" i="87" s="1"/>
  <c r="Y187" i="87" a="1"/>
  <c r="Y187" i="87" s="1"/>
  <c r="X187" i="87" a="1"/>
  <c r="X187" i="87" s="1"/>
  <c r="W187" i="87" a="1"/>
  <c r="W187" i="87" s="1"/>
  <c r="V187" i="87" a="1"/>
  <c r="V187" i="87" s="1"/>
  <c r="U187" i="87" a="1"/>
  <c r="U187" i="87" s="1"/>
  <c r="T187" i="87" a="1"/>
  <c r="T187" i="87" s="1"/>
  <c r="S187" i="87" a="1"/>
  <c r="S187" i="87" s="1"/>
  <c r="R187" i="87" a="1"/>
  <c r="R187" i="87" s="1"/>
  <c r="Q187" i="87" a="1"/>
  <c r="Q187" i="87" s="1"/>
  <c r="P187" i="87" a="1"/>
  <c r="P187" i="87" s="1"/>
  <c r="O187" i="87" a="1"/>
  <c r="O187" i="87" s="1"/>
  <c r="N187" i="87" a="1"/>
  <c r="N187" i="87" s="1"/>
  <c r="M187" i="87" a="1"/>
  <c r="M187" i="87" s="1"/>
  <c r="L187" i="87" a="1"/>
  <c r="L187" i="87" s="1"/>
  <c r="K187" i="87" a="1"/>
  <c r="K187" i="87" s="1"/>
  <c r="J187" i="87" a="1"/>
  <c r="J187" i="87" s="1"/>
  <c r="I187" i="87" a="1"/>
  <c r="I187" i="87" s="1"/>
  <c r="H187" i="87" a="1"/>
  <c r="H187" i="87" s="1"/>
  <c r="G187" i="87" a="1"/>
  <c r="G187" i="87" s="1"/>
  <c r="F187" i="87" a="1"/>
  <c r="F187" i="87" s="1"/>
  <c r="E187" i="87" a="1"/>
  <c r="E187" i="87" s="1"/>
  <c r="D187" i="87" a="1"/>
  <c r="D187" i="87" s="1"/>
  <c r="AH186" i="87" a="1"/>
  <c r="AH186" i="87" s="1"/>
  <c r="AG186" i="87" a="1"/>
  <c r="AG186" i="87" s="1"/>
  <c r="AF186" i="87" a="1"/>
  <c r="AF186" i="87" s="1"/>
  <c r="AE186" i="87" a="1"/>
  <c r="AE186" i="87" s="1"/>
  <c r="AD186" i="87" a="1"/>
  <c r="AD186" i="87" s="1"/>
  <c r="AC186" i="87" a="1"/>
  <c r="AC186" i="87" s="1"/>
  <c r="AB186" i="87" a="1"/>
  <c r="AB186" i="87" s="1"/>
  <c r="AA186" i="87" a="1"/>
  <c r="AA186" i="87" s="1"/>
  <c r="Z186" i="87" a="1"/>
  <c r="Z186" i="87" s="1"/>
  <c r="Y186" i="87" a="1"/>
  <c r="Y186" i="87" s="1"/>
  <c r="X186" i="87" a="1"/>
  <c r="X186" i="87" s="1"/>
  <c r="W186" i="87" a="1"/>
  <c r="W186" i="87" s="1"/>
  <c r="V186" i="87" a="1"/>
  <c r="V186" i="87" s="1"/>
  <c r="U186" i="87" a="1"/>
  <c r="U186" i="87" s="1"/>
  <c r="T186" i="87" a="1"/>
  <c r="T186" i="87" s="1"/>
  <c r="S186" i="87" a="1"/>
  <c r="S186" i="87" s="1"/>
  <c r="R186" i="87" a="1"/>
  <c r="R186" i="87" s="1"/>
  <c r="Q186" i="87" a="1"/>
  <c r="Q186" i="87" s="1"/>
  <c r="P186" i="87" a="1"/>
  <c r="P186" i="87" s="1"/>
  <c r="O186" i="87" a="1"/>
  <c r="O186" i="87" s="1"/>
  <c r="N186" i="87" a="1"/>
  <c r="N186" i="87" s="1"/>
  <c r="M186" i="87" a="1"/>
  <c r="M186" i="87" s="1"/>
  <c r="L186" i="87" a="1"/>
  <c r="L186" i="87" s="1"/>
  <c r="K186" i="87" a="1"/>
  <c r="K186" i="87" s="1"/>
  <c r="J186" i="87" a="1"/>
  <c r="J186" i="87" s="1"/>
  <c r="I186" i="87" a="1"/>
  <c r="I186" i="87" s="1"/>
  <c r="H186" i="87" a="1"/>
  <c r="H186" i="87" s="1"/>
  <c r="G186" i="87" a="1"/>
  <c r="G186" i="87" s="1"/>
  <c r="F186" i="87" a="1"/>
  <c r="F186" i="87" s="1"/>
  <c r="E186" i="87" a="1"/>
  <c r="E186" i="87" s="1"/>
  <c r="D186" i="87" a="1"/>
  <c r="D186" i="87" s="1"/>
  <c r="AH185" i="87" a="1"/>
  <c r="AH185" i="87" s="1"/>
  <c r="AG185" i="87" a="1"/>
  <c r="AG185" i="87" s="1"/>
  <c r="AF185" i="87" a="1"/>
  <c r="AF185" i="87" s="1"/>
  <c r="AE185" i="87" a="1"/>
  <c r="AE185" i="87" s="1"/>
  <c r="AD185" i="87" a="1"/>
  <c r="AD185" i="87" s="1"/>
  <c r="AC185" i="87" a="1"/>
  <c r="AC185" i="87" s="1"/>
  <c r="AB185" i="87" a="1"/>
  <c r="AB185" i="87" s="1"/>
  <c r="AA185" i="87" a="1"/>
  <c r="AA185" i="87" s="1"/>
  <c r="Z185" i="87" a="1"/>
  <c r="Z185" i="87" s="1"/>
  <c r="Y185" i="87" a="1"/>
  <c r="Y185" i="87" s="1"/>
  <c r="X185" i="87" a="1"/>
  <c r="X185" i="87" s="1"/>
  <c r="W185" i="87" a="1"/>
  <c r="W185" i="87" s="1"/>
  <c r="V185" i="87" a="1"/>
  <c r="V185" i="87" s="1"/>
  <c r="U185" i="87" a="1"/>
  <c r="U185" i="87" s="1"/>
  <c r="T185" i="87" a="1"/>
  <c r="T185" i="87" s="1"/>
  <c r="S185" i="87" a="1"/>
  <c r="S185" i="87" s="1"/>
  <c r="R185" i="87" a="1"/>
  <c r="R185" i="87" s="1"/>
  <c r="Q185" i="87" a="1"/>
  <c r="Q185" i="87" s="1"/>
  <c r="P185" i="87" a="1"/>
  <c r="P185" i="87" s="1"/>
  <c r="O185" i="87" a="1"/>
  <c r="O185" i="87" s="1"/>
  <c r="N185" i="87" a="1"/>
  <c r="N185" i="87" s="1"/>
  <c r="M185" i="87" a="1"/>
  <c r="M185" i="87" s="1"/>
  <c r="L185" i="87" a="1"/>
  <c r="L185" i="87" s="1"/>
  <c r="K185" i="87" a="1"/>
  <c r="K185" i="87" s="1"/>
  <c r="J185" i="87" a="1"/>
  <c r="J185" i="87" s="1"/>
  <c r="I185" i="87" a="1"/>
  <c r="I185" i="87" s="1"/>
  <c r="H185" i="87" a="1"/>
  <c r="H185" i="87" s="1"/>
  <c r="G185" i="87" a="1"/>
  <c r="G185" i="87" s="1"/>
  <c r="F185" i="87" a="1"/>
  <c r="F185" i="87" s="1"/>
  <c r="E185" i="87" a="1"/>
  <c r="E185" i="87" s="1"/>
  <c r="D185" i="87" a="1"/>
  <c r="D185" i="87" s="1"/>
  <c r="AH184" i="87" a="1"/>
  <c r="AH184" i="87" s="1"/>
  <c r="AG184" i="87" a="1"/>
  <c r="AG184" i="87" s="1"/>
  <c r="AF184" i="87" a="1"/>
  <c r="AF184" i="87" s="1"/>
  <c r="AE184" i="87" a="1"/>
  <c r="AE184" i="87" s="1"/>
  <c r="AD184" i="87" a="1"/>
  <c r="AD184" i="87" s="1"/>
  <c r="AC184" i="87" a="1"/>
  <c r="AC184" i="87" s="1"/>
  <c r="AB184" i="87" a="1"/>
  <c r="AB184" i="87" s="1"/>
  <c r="AA184" i="87" a="1"/>
  <c r="AA184" i="87" s="1"/>
  <c r="Z184" i="87" a="1"/>
  <c r="Z184" i="87" s="1"/>
  <c r="Y184" i="87" a="1"/>
  <c r="Y184" i="87" s="1"/>
  <c r="X184" i="87" a="1"/>
  <c r="X184" i="87" s="1"/>
  <c r="W184" i="87" a="1"/>
  <c r="W184" i="87" s="1"/>
  <c r="V184" i="87" a="1"/>
  <c r="V184" i="87" s="1"/>
  <c r="U184" i="87" a="1"/>
  <c r="U184" i="87" s="1"/>
  <c r="T184" i="87" a="1"/>
  <c r="T184" i="87" s="1"/>
  <c r="S184" i="87" a="1"/>
  <c r="S184" i="87" s="1"/>
  <c r="R184" i="87" a="1"/>
  <c r="R184" i="87" s="1"/>
  <c r="Q184" i="87" a="1"/>
  <c r="Q184" i="87" s="1"/>
  <c r="P184" i="87" a="1"/>
  <c r="P184" i="87" s="1"/>
  <c r="O184" i="87" a="1"/>
  <c r="O184" i="87" s="1"/>
  <c r="N184" i="87" a="1"/>
  <c r="N184" i="87" s="1"/>
  <c r="M184" i="87" a="1"/>
  <c r="M184" i="87" s="1"/>
  <c r="L184" i="87" a="1"/>
  <c r="L184" i="87" s="1"/>
  <c r="K184" i="87" a="1"/>
  <c r="K184" i="87" s="1"/>
  <c r="J184" i="87" a="1"/>
  <c r="J184" i="87" s="1"/>
  <c r="I184" i="87" a="1"/>
  <c r="I184" i="87" s="1"/>
  <c r="H184" i="87" a="1"/>
  <c r="H184" i="87" s="1"/>
  <c r="G184" i="87" a="1"/>
  <c r="G184" i="87" s="1"/>
  <c r="F184" i="87" a="1"/>
  <c r="F184" i="87" s="1"/>
  <c r="E184" i="87" a="1"/>
  <c r="E184" i="87" s="1"/>
  <c r="D184" i="87" a="1"/>
  <c r="D184" i="87" s="1"/>
  <c r="AH183" i="87" a="1"/>
  <c r="AH183" i="87" s="1"/>
  <c r="AG183" i="87" a="1"/>
  <c r="AG183" i="87" s="1"/>
  <c r="AF183" i="87" a="1"/>
  <c r="AF183" i="87" s="1"/>
  <c r="AE183" i="87" a="1"/>
  <c r="AE183" i="87" s="1"/>
  <c r="AD183" i="87" a="1"/>
  <c r="AD183" i="87" s="1"/>
  <c r="AC183" i="87" a="1"/>
  <c r="AC183" i="87" s="1"/>
  <c r="AB183" i="87" a="1"/>
  <c r="AB183" i="87" s="1"/>
  <c r="AA183" i="87" a="1"/>
  <c r="AA183" i="87" s="1"/>
  <c r="Z183" i="87" a="1"/>
  <c r="Z183" i="87" s="1"/>
  <c r="Y183" i="87" a="1"/>
  <c r="Y183" i="87" s="1"/>
  <c r="X183" i="87" a="1"/>
  <c r="X183" i="87" s="1"/>
  <c r="W183" i="87" a="1"/>
  <c r="W183" i="87" s="1"/>
  <c r="V183" i="87" a="1"/>
  <c r="V183" i="87" s="1"/>
  <c r="U183" i="87" a="1"/>
  <c r="U183" i="87" s="1"/>
  <c r="T183" i="87" a="1"/>
  <c r="T183" i="87" s="1"/>
  <c r="S183" i="87" a="1"/>
  <c r="S183" i="87" s="1"/>
  <c r="R183" i="87" a="1"/>
  <c r="R183" i="87" s="1"/>
  <c r="Q183" i="87" a="1"/>
  <c r="Q183" i="87" s="1"/>
  <c r="P183" i="87" a="1"/>
  <c r="P183" i="87" s="1"/>
  <c r="O183" i="87" a="1"/>
  <c r="O183" i="87" s="1"/>
  <c r="N183" i="87" a="1"/>
  <c r="N183" i="87" s="1"/>
  <c r="M183" i="87" a="1"/>
  <c r="M183" i="87" s="1"/>
  <c r="L183" i="87" a="1"/>
  <c r="L183" i="87" s="1"/>
  <c r="K183" i="87" a="1"/>
  <c r="K183" i="87" s="1"/>
  <c r="J183" i="87" a="1"/>
  <c r="J183" i="87" s="1"/>
  <c r="I183" i="87" a="1"/>
  <c r="I183" i="87" s="1"/>
  <c r="H183" i="87" a="1"/>
  <c r="H183" i="87" s="1"/>
  <c r="G183" i="87" a="1"/>
  <c r="G183" i="87" s="1"/>
  <c r="F183" i="87" a="1"/>
  <c r="F183" i="87" s="1"/>
  <c r="E183" i="87" a="1"/>
  <c r="E183" i="87" s="1"/>
  <c r="D183" i="87" a="1"/>
  <c r="D183" i="87" s="1"/>
  <c r="AH182" i="87" a="1"/>
  <c r="AH182" i="87" s="1"/>
  <c r="AG182" i="87" a="1"/>
  <c r="AG182" i="87" s="1"/>
  <c r="AF182" i="87" a="1"/>
  <c r="AF182" i="87" s="1"/>
  <c r="AE182" i="87" a="1"/>
  <c r="AE182" i="87" s="1"/>
  <c r="AD182" i="87" a="1"/>
  <c r="AD182" i="87" s="1"/>
  <c r="AC182" i="87" a="1"/>
  <c r="AC182" i="87" s="1"/>
  <c r="AB182" i="87" a="1"/>
  <c r="AB182" i="87" s="1"/>
  <c r="AA182" i="87" a="1"/>
  <c r="AA182" i="87" s="1"/>
  <c r="Z182" i="87" a="1"/>
  <c r="Z182" i="87" s="1"/>
  <c r="Y182" i="87" a="1"/>
  <c r="Y182" i="87" s="1"/>
  <c r="X182" i="87" a="1"/>
  <c r="X182" i="87" s="1"/>
  <c r="W182" i="87" a="1"/>
  <c r="W182" i="87" s="1"/>
  <c r="V182" i="87" a="1"/>
  <c r="V182" i="87" s="1"/>
  <c r="U182" i="87" a="1"/>
  <c r="U182" i="87" s="1"/>
  <c r="T182" i="87" a="1"/>
  <c r="T182" i="87" s="1"/>
  <c r="S182" i="87" a="1"/>
  <c r="S182" i="87" s="1"/>
  <c r="R182" i="87" a="1"/>
  <c r="R182" i="87" s="1"/>
  <c r="Q182" i="87" a="1"/>
  <c r="Q182" i="87" s="1"/>
  <c r="P182" i="87" a="1"/>
  <c r="P182" i="87" s="1"/>
  <c r="O182" i="87" a="1"/>
  <c r="O182" i="87" s="1"/>
  <c r="N182" i="87" a="1"/>
  <c r="N182" i="87" s="1"/>
  <c r="M182" i="87" a="1"/>
  <c r="M182" i="87" s="1"/>
  <c r="L182" i="87" a="1"/>
  <c r="L182" i="87" s="1"/>
  <c r="K182" i="87" a="1"/>
  <c r="K182" i="87" s="1"/>
  <c r="J182" i="87" a="1"/>
  <c r="J182" i="87" s="1"/>
  <c r="I182" i="87" a="1"/>
  <c r="I182" i="87" s="1"/>
  <c r="H182" i="87" a="1"/>
  <c r="H182" i="87" s="1"/>
  <c r="G182" i="87" a="1"/>
  <c r="G182" i="87" s="1"/>
  <c r="F182" i="87" a="1"/>
  <c r="F182" i="87" s="1"/>
  <c r="E182" i="87" a="1"/>
  <c r="E182" i="87" s="1"/>
  <c r="D182" i="87" a="1"/>
  <c r="D182" i="87" s="1"/>
  <c r="AH181" i="87" a="1"/>
  <c r="AH181" i="87" s="1"/>
  <c r="AG181" i="87" a="1"/>
  <c r="AG181" i="87" s="1"/>
  <c r="AF181" i="87" a="1"/>
  <c r="AF181" i="87" s="1"/>
  <c r="AE181" i="87" a="1"/>
  <c r="AE181" i="87" s="1"/>
  <c r="AD181" i="87" a="1"/>
  <c r="AD181" i="87" s="1"/>
  <c r="AC181" i="87" a="1"/>
  <c r="AC181" i="87" s="1"/>
  <c r="AB181" i="87" a="1"/>
  <c r="AB181" i="87" s="1"/>
  <c r="AA181" i="87" a="1"/>
  <c r="AA181" i="87" s="1"/>
  <c r="Z181" i="87" a="1"/>
  <c r="Z181" i="87" s="1"/>
  <c r="Y181" i="87" a="1"/>
  <c r="Y181" i="87" s="1"/>
  <c r="X181" i="87" a="1"/>
  <c r="X181" i="87" s="1"/>
  <c r="W181" i="87" a="1"/>
  <c r="W181" i="87" s="1"/>
  <c r="V181" i="87" a="1"/>
  <c r="V181" i="87" s="1"/>
  <c r="U181" i="87" a="1"/>
  <c r="U181" i="87" s="1"/>
  <c r="T181" i="87" a="1"/>
  <c r="T181" i="87" s="1"/>
  <c r="S181" i="87" a="1"/>
  <c r="S181" i="87" s="1"/>
  <c r="R181" i="87" a="1"/>
  <c r="R181" i="87" s="1"/>
  <c r="Q181" i="87" a="1"/>
  <c r="Q181" i="87" s="1"/>
  <c r="P181" i="87" a="1"/>
  <c r="P181" i="87" s="1"/>
  <c r="O181" i="87" a="1"/>
  <c r="O181" i="87" s="1"/>
  <c r="N181" i="87" a="1"/>
  <c r="N181" i="87" s="1"/>
  <c r="M181" i="87" a="1"/>
  <c r="M181" i="87" s="1"/>
  <c r="L181" i="87" a="1"/>
  <c r="L181" i="87" s="1"/>
  <c r="K181" i="87" a="1"/>
  <c r="K181" i="87" s="1"/>
  <c r="J181" i="87" a="1"/>
  <c r="J181" i="87" s="1"/>
  <c r="I181" i="87" a="1"/>
  <c r="I181" i="87" s="1"/>
  <c r="H181" i="87" a="1"/>
  <c r="H181" i="87" s="1"/>
  <c r="G181" i="87" a="1"/>
  <c r="G181" i="87" s="1"/>
  <c r="F181" i="87" a="1"/>
  <c r="F181" i="87" s="1"/>
  <c r="E181" i="87" a="1"/>
  <c r="E181" i="87" s="1"/>
  <c r="D181" i="87" a="1"/>
  <c r="D181" i="87" s="1"/>
  <c r="AH180" i="87" a="1"/>
  <c r="AH180" i="87" s="1"/>
  <c r="AG180" i="87" a="1"/>
  <c r="AG180" i="87" s="1"/>
  <c r="AF180" i="87" a="1"/>
  <c r="AF180" i="87" s="1"/>
  <c r="AE180" i="87" a="1"/>
  <c r="AE180" i="87" s="1"/>
  <c r="AD180" i="87" a="1"/>
  <c r="AD180" i="87" s="1"/>
  <c r="AC180" i="87" a="1"/>
  <c r="AC180" i="87" s="1"/>
  <c r="AB180" i="87" a="1"/>
  <c r="AB180" i="87" s="1"/>
  <c r="AA180" i="87" a="1"/>
  <c r="AA180" i="87" s="1"/>
  <c r="Z180" i="87" a="1"/>
  <c r="Z180" i="87" s="1"/>
  <c r="Y180" i="87" a="1"/>
  <c r="Y180" i="87" s="1"/>
  <c r="X180" i="87" a="1"/>
  <c r="X180" i="87" s="1"/>
  <c r="W180" i="87" a="1"/>
  <c r="W180" i="87" s="1"/>
  <c r="V180" i="87" a="1"/>
  <c r="V180" i="87" s="1"/>
  <c r="U180" i="87" a="1"/>
  <c r="U180" i="87" s="1"/>
  <c r="T180" i="87" a="1"/>
  <c r="T180" i="87" s="1"/>
  <c r="S180" i="87" a="1"/>
  <c r="S180" i="87" s="1"/>
  <c r="R180" i="87" a="1"/>
  <c r="R180" i="87" s="1"/>
  <c r="Q180" i="87" a="1"/>
  <c r="Q180" i="87" s="1"/>
  <c r="P180" i="87" a="1"/>
  <c r="P180" i="87" s="1"/>
  <c r="O180" i="87" a="1"/>
  <c r="O180" i="87" s="1"/>
  <c r="N180" i="87" a="1"/>
  <c r="N180" i="87" s="1"/>
  <c r="M180" i="87" a="1"/>
  <c r="M180" i="87" s="1"/>
  <c r="L180" i="87" a="1"/>
  <c r="L180" i="87" s="1"/>
  <c r="K180" i="87" a="1"/>
  <c r="K180" i="87" s="1"/>
  <c r="J180" i="87" a="1"/>
  <c r="J180" i="87" s="1"/>
  <c r="I180" i="87" a="1"/>
  <c r="I180" i="87" s="1"/>
  <c r="H180" i="87" a="1"/>
  <c r="H180" i="87" s="1"/>
  <c r="G180" i="87" a="1"/>
  <c r="G180" i="87" s="1"/>
  <c r="F180" i="87" a="1"/>
  <c r="F180" i="87" s="1"/>
  <c r="E180" i="87" a="1"/>
  <c r="E180" i="87" s="1"/>
  <c r="D180" i="87" a="1"/>
  <c r="D180" i="87" s="1"/>
  <c r="AH179" i="87" a="1"/>
  <c r="AH179" i="87" s="1"/>
  <c r="AG179" i="87" a="1"/>
  <c r="AG179" i="87" s="1"/>
  <c r="AF179" i="87" a="1"/>
  <c r="AF179" i="87" s="1"/>
  <c r="AE179" i="87" a="1"/>
  <c r="AE179" i="87" s="1"/>
  <c r="AD179" i="87" a="1"/>
  <c r="AD179" i="87" s="1"/>
  <c r="AC179" i="87" a="1"/>
  <c r="AC179" i="87" s="1"/>
  <c r="AB179" i="87" a="1"/>
  <c r="AB179" i="87" s="1"/>
  <c r="AA179" i="87" a="1"/>
  <c r="AA179" i="87" s="1"/>
  <c r="Z179" i="87" a="1"/>
  <c r="Z179" i="87" s="1"/>
  <c r="Y179" i="87" a="1"/>
  <c r="Y179" i="87" s="1"/>
  <c r="X179" i="87" a="1"/>
  <c r="X179" i="87" s="1"/>
  <c r="W179" i="87" a="1"/>
  <c r="W179" i="87" s="1"/>
  <c r="V179" i="87" a="1"/>
  <c r="V179" i="87" s="1"/>
  <c r="U179" i="87" a="1"/>
  <c r="U179" i="87" s="1"/>
  <c r="T179" i="87" a="1"/>
  <c r="T179" i="87" s="1"/>
  <c r="S179" i="87" a="1"/>
  <c r="S179" i="87" s="1"/>
  <c r="R179" i="87" a="1"/>
  <c r="R179" i="87" s="1"/>
  <c r="Q179" i="87" a="1"/>
  <c r="Q179" i="87" s="1"/>
  <c r="P179" i="87" a="1"/>
  <c r="P179" i="87" s="1"/>
  <c r="O179" i="87" a="1"/>
  <c r="O179" i="87" s="1"/>
  <c r="N179" i="87" a="1"/>
  <c r="N179" i="87" s="1"/>
  <c r="M179" i="87" a="1"/>
  <c r="M179" i="87" s="1"/>
  <c r="L179" i="87" a="1"/>
  <c r="L179" i="87" s="1"/>
  <c r="K179" i="87" a="1"/>
  <c r="K179" i="87" s="1"/>
  <c r="J179" i="87" a="1"/>
  <c r="J179" i="87" s="1"/>
  <c r="I179" i="87" a="1"/>
  <c r="I179" i="87" s="1"/>
  <c r="H179" i="87" a="1"/>
  <c r="H179" i="87" s="1"/>
  <c r="G179" i="87" a="1"/>
  <c r="G179" i="87" s="1"/>
  <c r="F179" i="87" a="1"/>
  <c r="F179" i="87" s="1"/>
  <c r="E179" i="87" a="1"/>
  <c r="E179" i="87" s="1"/>
  <c r="D179" i="87" a="1"/>
  <c r="D179" i="87" s="1"/>
  <c r="AH178" i="87" a="1"/>
  <c r="AH178" i="87" s="1"/>
  <c r="AG178" i="87" a="1"/>
  <c r="AG178" i="87" s="1"/>
  <c r="AF178" i="87" a="1"/>
  <c r="AF178" i="87" s="1"/>
  <c r="AE178" i="87" a="1"/>
  <c r="AE178" i="87" s="1"/>
  <c r="AD178" i="87" a="1"/>
  <c r="AD178" i="87" s="1"/>
  <c r="AC178" i="87" a="1"/>
  <c r="AC178" i="87" s="1"/>
  <c r="AB178" i="87" a="1"/>
  <c r="AB178" i="87" s="1"/>
  <c r="AA178" i="87" a="1"/>
  <c r="AA178" i="87" s="1"/>
  <c r="Z178" i="87" a="1"/>
  <c r="Z178" i="87" s="1"/>
  <c r="Y178" i="87" a="1"/>
  <c r="Y178" i="87" s="1"/>
  <c r="X178" i="87" a="1"/>
  <c r="X178" i="87" s="1"/>
  <c r="W178" i="87" a="1"/>
  <c r="W178" i="87" s="1"/>
  <c r="V178" i="87" a="1"/>
  <c r="V178" i="87" s="1"/>
  <c r="U178" i="87" a="1"/>
  <c r="U178" i="87" s="1"/>
  <c r="T178" i="87" a="1"/>
  <c r="T178" i="87" s="1"/>
  <c r="S178" i="87" a="1"/>
  <c r="S178" i="87" s="1"/>
  <c r="R178" i="87" a="1"/>
  <c r="R178" i="87" s="1"/>
  <c r="Q178" i="87" a="1"/>
  <c r="Q178" i="87" s="1"/>
  <c r="P178" i="87" a="1"/>
  <c r="P178" i="87" s="1"/>
  <c r="O178" i="87" a="1"/>
  <c r="O178" i="87" s="1"/>
  <c r="N178" i="87" a="1"/>
  <c r="N178" i="87" s="1"/>
  <c r="M178" i="87" a="1"/>
  <c r="M178" i="87" s="1"/>
  <c r="L178" i="87" a="1"/>
  <c r="L178" i="87" s="1"/>
  <c r="K178" i="87" a="1"/>
  <c r="K178" i="87" s="1"/>
  <c r="J178" i="87" a="1"/>
  <c r="J178" i="87" s="1"/>
  <c r="I178" i="87" a="1"/>
  <c r="I178" i="87" s="1"/>
  <c r="H178" i="87" a="1"/>
  <c r="H178" i="87" s="1"/>
  <c r="G178" i="87" a="1"/>
  <c r="G178" i="87" s="1"/>
  <c r="F178" i="87" a="1"/>
  <c r="F178" i="87" s="1"/>
  <c r="E178" i="87" a="1"/>
  <c r="E178" i="87" s="1"/>
  <c r="D178" i="87" a="1"/>
  <c r="D178" i="87" s="1"/>
  <c r="AH177" i="87" a="1"/>
  <c r="AH177" i="87" s="1"/>
  <c r="AG177" i="87" a="1"/>
  <c r="AG177" i="87" s="1"/>
  <c r="AF177" i="87" a="1"/>
  <c r="AF177" i="87" s="1"/>
  <c r="AE177" i="87" a="1"/>
  <c r="AE177" i="87" s="1"/>
  <c r="AD177" i="87" a="1"/>
  <c r="AD177" i="87" s="1"/>
  <c r="AC177" i="87" a="1"/>
  <c r="AC177" i="87" s="1"/>
  <c r="AB177" i="87" a="1"/>
  <c r="AB177" i="87" s="1"/>
  <c r="AA177" i="87" a="1"/>
  <c r="AA177" i="87" s="1"/>
  <c r="Z177" i="87" a="1"/>
  <c r="Z177" i="87" s="1"/>
  <c r="Y177" i="87" a="1"/>
  <c r="Y177" i="87" s="1"/>
  <c r="X177" i="87" a="1"/>
  <c r="X177" i="87" s="1"/>
  <c r="W177" i="87" a="1"/>
  <c r="W177" i="87" s="1"/>
  <c r="V177" i="87" a="1"/>
  <c r="V177" i="87" s="1"/>
  <c r="U177" i="87" a="1"/>
  <c r="U177" i="87" s="1"/>
  <c r="T177" i="87" a="1"/>
  <c r="T177" i="87" s="1"/>
  <c r="S177" i="87" a="1"/>
  <c r="S177" i="87" s="1"/>
  <c r="R177" i="87" a="1"/>
  <c r="R177" i="87" s="1"/>
  <c r="Q177" i="87" a="1"/>
  <c r="Q177" i="87" s="1"/>
  <c r="P177" i="87" a="1"/>
  <c r="P177" i="87" s="1"/>
  <c r="O177" i="87" a="1"/>
  <c r="O177" i="87" s="1"/>
  <c r="N177" i="87" a="1"/>
  <c r="N177" i="87" s="1"/>
  <c r="M177" i="87" a="1"/>
  <c r="M177" i="87" s="1"/>
  <c r="L177" i="87" a="1"/>
  <c r="L177" i="87" s="1"/>
  <c r="K177" i="87" a="1"/>
  <c r="K177" i="87" s="1"/>
  <c r="J177" i="87" a="1"/>
  <c r="J177" i="87" s="1"/>
  <c r="I177" i="87" a="1"/>
  <c r="I177" i="87" s="1"/>
  <c r="H177" i="87" a="1"/>
  <c r="H177" i="87" s="1"/>
  <c r="G177" i="87" a="1"/>
  <c r="G177" i="87" s="1"/>
  <c r="F177" i="87" a="1"/>
  <c r="F177" i="87" s="1"/>
  <c r="E177" i="87" a="1"/>
  <c r="E177" i="87" s="1"/>
  <c r="D177" i="87" a="1"/>
  <c r="D177" i="87" s="1"/>
  <c r="AH176" i="87" a="1"/>
  <c r="AH176" i="87" s="1"/>
  <c r="AG176" i="87" a="1"/>
  <c r="AG176" i="87" s="1"/>
  <c r="AF176" i="87" a="1"/>
  <c r="AF176" i="87" s="1"/>
  <c r="AE176" i="87" a="1"/>
  <c r="AE176" i="87" s="1"/>
  <c r="AD176" i="87" a="1"/>
  <c r="AD176" i="87" s="1"/>
  <c r="AC176" i="87" a="1"/>
  <c r="AC176" i="87" s="1"/>
  <c r="AB176" i="87" a="1"/>
  <c r="AB176" i="87" s="1"/>
  <c r="AA176" i="87" a="1"/>
  <c r="AA176" i="87" s="1"/>
  <c r="Z176" i="87" a="1"/>
  <c r="Z176" i="87" s="1"/>
  <c r="Y176" i="87" a="1"/>
  <c r="Y176" i="87" s="1"/>
  <c r="X176" i="87" a="1"/>
  <c r="X176" i="87" s="1"/>
  <c r="W176" i="87" a="1"/>
  <c r="W176" i="87" s="1"/>
  <c r="V176" i="87" a="1"/>
  <c r="V176" i="87" s="1"/>
  <c r="U176" i="87" a="1"/>
  <c r="U176" i="87" s="1"/>
  <c r="T176" i="87" a="1"/>
  <c r="T176" i="87" s="1"/>
  <c r="S176" i="87" a="1"/>
  <c r="S176" i="87" s="1"/>
  <c r="R176" i="87" a="1"/>
  <c r="R176" i="87" s="1"/>
  <c r="Q176" i="87" a="1"/>
  <c r="Q176" i="87" s="1"/>
  <c r="P176" i="87" a="1"/>
  <c r="P176" i="87" s="1"/>
  <c r="O176" i="87" a="1"/>
  <c r="O176" i="87" s="1"/>
  <c r="N176" i="87" a="1"/>
  <c r="N176" i="87" s="1"/>
  <c r="M176" i="87" a="1"/>
  <c r="M176" i="87" s="1"/>
  <c r="L176" i="87" a="1"/>
  <c r="L176" i="87" s="1"/>
  <c r="K176" i="87" a="1"/>
  <c r="K176" i="87" s="1"/>
  <c r="J176" i="87" a="1"/>
  <c r="J176" i="87" s="1"/>
  <c r="I176" i="87" a="1"/>
  <c r="I176" i="87" s="1"/>
  <c r="H176" i="87" a="1"/>
  <c r="H176" i="87" s="1"/>
  <c r="G176" i="87" a="1"/>
  <c r="G176" i="87" s="1"/>
  <c r="F176" i="87" a="1"/>
  <c r="F176" i="87" s="1"/>
  <c r="E176" i="87" a="1"/>
  <c r="E176" i="87" s="1"/>
  <c r="D176" i="87" a="1"/>
  <c r="D176" i="87" s="1"/>
  <c r="AH175" i="87" a="1"/>
  <c r="AH175" i="87" s="1"/>
  <c r="AG175" i="87" a="1"/>
  <c r="AG175" i="87" s="1"/>
  <c r="AF175" i="87" a="1"/>
  <c r="AF175" i="87" s="1"/>
  <c r="AE175" i="87" a="1"/>
  <c r="AE175" i="87" s="1"/>
  <c r="AD175" i="87" a="1"/>
  <c r="AD175" i="87" s="1"/>
  <c r="AC175" i="87" a="1"/>
  <c r="AC175" i="87" s="1"/>
  <c r="AB175" i="87" a="1"/>
  <c r="AB175" i="87" s="1"/>
  <c r="AA175" i="87" a="1"/>
  <c r="AA175" i="87" s="1"/>
  <c r="Z175" i="87" a="1"/>
  <c r="Z175" i="87" s="1"/>
  <c r="Y175" i="87" a="1"/>
  <c r="Y175" i="87" s="1"/>
  <c r="X175" i="87" a="1"/>
  <c r="X175" i="87" s="1"/>
  <c r="W175" i="87" a="1"/>
  <c r="W175" i="87" s="1"/>
  <c r="V175" i="87" a="1"/>
  <c r="V175" i="87" s="1"/>
  <c r="U175" i="87" a="1"/>
  <c r="U175" i="87" s="1"/>
  <c r="T175" i="87" a="1"/>
  <c r="T175" i="87" s="1"/>
  <c r="S175" i="87" a="1"/>
  <c r="S175" i="87" s="1"/>
  <c r="R175" i="87" a="1"/>
  <c r="R175" i="87" s="1"/>
  <c r="Q175" i="87" a="1"/>
  <c r="Q175" i="87" s="1"/>
  <c r="P175" i="87" a="1"/>
  <c r="P175" i="87" s="1"/>
  <c r="O175" i="87" a="1"/>
  <c r="O175" i="87" s="1"/>
  <c r="N175" i="87" a="1"/>
  <c r="N175" i="87" s="1"/>
  <c r="M175" i="87" a="1"/>
  <c r="M175" i="87" s="1"/>
  <c r="L175" i="87" a="1"/>
  <c r="L175" i="87" s="1"/>
  <c r="K175" i="87" a="1"/>
  <c r="K175" i="87" s="1"/>
  <c r="J175" i="87" a="1"/>
  <c r="J175" i="87" s="1"/>
  <c r="I175" i="87" a="1"/>
  <c r="I175" i="87" s="1"/>
  <c r="H175" i="87" a="1"/>
  <c r="H175" i="87" s="1"/>
  <c r="G175" i="87" a="1"/>
  <c r="G175" i="87" s="1"/>
  <c r="F175" i="87" a="1"/>
  <c r="F175" i="87" s="1"/>
  <c r="E175" i="87" a="1"/>
  <c r="E175" i="87" s="1"/>
  <c r="D175" i="87" a="1"/>
  <c r="D175" i="87" s="1"/>
  <c r="AH174" i="87" a="1"/>
  <c r="AH174" i="87" s="1"/>
  <c r="AG174" i="87" a="1"/>
  <c r="AG174" i="87" s="1"/>
  <c r="AF174" i="87" a="1"/>
  <c r="AF174" i="87" s="1"/>
  <c r="AE174" i="87" a="1"/>
  <c r="AE174" i="87" s="1"/>
  <c r="AD174" i="87" a="1"/>
  <c r="AD174" i="87" s="1"/>
  <c r="AC174" i="87" a="1"/>
  <c r="AC174" i="87" s="1"/>
  <c r="AB174" i="87" a="1"/>
  <c r="AB174" i="87" s="1"/>
  <c r="AA174" i="87" a="1"/>
  <c r="AA174" i="87" s="1"/>
  <c r="Z174" i="87" a="1"/>
  <c r="Z174" i="87" s="1"/>
  <c r="Y174" i="87" a="1"/>
  <c r="Y174" i="87" s="1"/>
  <c r="X174" i="87" a="1"/>
  <c r="X174" i="87" s="1"/>
  <c r="W174" i="87" a="1"/>
  <c r="W174" i="87" s="1"/>
  <c r="V174" i="87" a="1"/>
  <c r="V174" i="87" s="1"/>
  <c r="U174" i="87" a="1"/>
  <c r="U174" i="87" s="1"/>
  <c r="T174" i="87" a="1"/>
  <c r="T174" i="87" s="1"/>
  <c r="S174" i="87" a="1"/>
  <c r="S174" i="87" s="1"/>
  <c r="R174" i="87" a="1"/>
  <c r="R174" i="87" s="1"/>
  <c r="Q174" i="87" a="1"/>
  <c r="Q174" i="87" s="1"/>
  <c r="P174" i="87" a="1"/>
  <c r="P174" i="87" s="1"/>
  <c r="O174" i="87" a="1"/>
  <c r="O174" i="87" s="1"/>
  <c r="N174" i="87" a="1"/>
  <c r="N174" i="87" s="1"/>
  <c r="M174" i="87" a="1"/>
  <c r="M174" i="87" s="1"/>
  <c r="L174" i="87" a="1"/>
  <c r="L174" i="87" s="1"/>
  <c r="K174" i="87" a="1"/>
  <c r="K174" i="87" s="1"/>
  <c r="J174" i="87" a="1"/>
  <c r="J174" i="87" s="1"/>
  <c r="I174" i="87" a="1"/>
  <c r="I174" i="87" s="1"/>
  <c r="H174" i="87" a="1"/>
  <c r="H174" i="87" s="1"/>
  <c r="G174" i="87" a="1"/>
  <c r="G174" i="87" s="1"/>
  <c r="F174" i="87" a="1"/>
  <c r="F174" i="87" s="1"/>
  <c r="E174" i="87" a="1"/>
  <c r="E174" i="87" s="1"/>
  <c r="D174" i="87" a="1"/>
  <c r="D174" i="87" s="1"/>
  <c r="AH173" i="87" a="1"/>
  <c r="AH173" i="87" s="1"/>
  <c r="AG173" i="87" a="1"/>
  <c r="AG173" i="87" s="1"/>
  <c r="AF173" i="87" a="1"/>
  <c r="AF173" i="87" s="1"/>
  <c r="AE173" i="87" a="1"/>
  <c r="AE173" i="87" s="1"/>
  <c r="AD173" i="87" a="1"/>
  <c r="AD173" i="87" s="1"/>
  <c r="AC173" i="87" a="1"/>
  <c r="AC173" i="87" s="1"/>
  <c r="AB173" i="87" a="1"/>
  <c r="AB173" i="87" s="1"/>
  <c r="AA173" i="87" a="1"/>
  <c r="AA173" i="87" s="1"/>
  <c r="Z173" i="87" a="1"/>
  <c r="Z173" i="87" s="1"/>
  <c r="Y173" i="87" a="1"/>
  <c r="Y173" i="87" s="1"/>
  <c r="X173" i="87" a="1"/>
  <c r="X173" i="87" s="1"/>
  <c r="W173" i="87" a="1"/>
  <c r="W173" i="87" s="1"/>
  <c r="V173" i="87" a="1"/>
  <c r="V173" i="87" s="1"/>
  <c r="U173" i="87" a="1"/>
  <c r="U173" i="87" s="1"/>
  <c r="T173" i="87" a="1"/>
  <c r="T173" i="87" s="1"/>
  <c r="S173" i="87" a="1"/>
  <c r="S173" i="87" s="1"/>
  <c r="R173" i="87" a="1"/>
  <c r="R173" i="87" s="1"/>
  <c r="Q173" i="87" a="1"/>
  <c r="Q173" i="87" s="1"/>
  <c r="P173" i="87" a="1"/>
  <c r="P173" i="87" s="1"/>
  <c r="O173" i="87" a="1"/>
  <c r="O173" i="87" s="1"/>
  <c r="N173" i="87" a="1"/>
  <c r="N173" i="87" s="1"/>
  <c r="M173" i="87" a="1"/>
  <c r="M173" i="87" s="1"/>
  <c r="L173" i="87" a="1"/>
  <c r="L173" i="87" s="1"/>
  <c r="K173" i="87" a="1"/>
  <c r="K173" i="87" s="1"/>
  <c r="J173" i="87" a="1"/>
  <c r="J173" i="87" s="1"/>
  <c r="I173" i="87" a="1"/>
  <c r="I173" i="87" s="1"/>
  <c r="H173" i="87" a="1"/>
  <c r="H173" i="87" s="1"/>
  <c r="G173" i="87" a="1"/>
  <c r="G173" i="87" s="1"/>
  <c r="F173" i="87" a="1"/>
  <c r="F173" i="87" s="1"/>
  <c r="E173" i="87" a="1"/>
  <c r="E173" i="87" s="1"/>
  <c r="D173" i="87" a="1"/>
  <c r="D173" i="87" s="1"/>
  <c r="AH172" i="87" a="1"/>
  <c r="AH172" i="87" s="1"/>
  <c r="AG172" i="87" a="1"/>
  <c r="AG172" i="87" s="1"/>
  <c r="AF172" i="87" a="1"/>
  <c r="AF172" i="87" s="1"/>
  <c r="AE172" i="87" a="1"/>
  <c r="AE172" i="87" s="1"/>
  <c r="AD172" i="87" a="1"/>
  <c r="AD172" i="87" s="1"/>
  <c r="AC172" i="87" a="1"/>
  <c r="AC172" i="87" s="1"/>
  <c r="AB172" i="87" a="1"/>
  <c r="AB172" i="87" s="1"/>
  <c r="AA172" i="87" a="1"/>
  <c r="AA172" i="87" s="1"/>
  <c r="Z172" i="87" a="1"/>
  <c r="Z172" i="87" s="1"/>
  <c r="Y172" i="87" a="1"/>
  <c r="Y172" i="87" s="1"/>
  <c r="X172" i="87" a="1"/>
  <c r="X172" i="87" s="1"/>
  <c r="W172" i="87" a="1"/>
  <c r="W172" i="87" s="1"/>
  <c r="V172" i="87" a="1"/>
  <c r="V172" i="87" s="1"/>
  <c r="U172" i="87" a="1"/>
  <c r="U172" i="87" s="1"/>
  <c r="T172" i="87" a="1"/>
  <c r="T172" i="87" s="1"/>
  <c r="S172" i="87" a="1"/>
  <c r="S172" i="87" s="1"/>
  <c r="R172" i="87" a="1"/>
  <c r="R172" i="87" s="1"/>
  <c r="Q172" i="87" a="1"/>
  <c r="Q172" i="87" s="1"/>
  <c r="P172" i="87" a="1"/>
  <c r="P172" i="87" s="1"/>
  <c r="O172" i="87" a="1"/>
  <c r="O172" i="87" s="1"/>
  <c r="N172" i="87" a="1"/>
  <c r="N172" i="87" s="1"/>
  <c r="M172" i="87" a="1"/>
  <c r="M172" i="87" s="1"/>
  <c r="L172" i="87" a="1"/>
  <c r="L172" i="87" s="1"/>
  <c r="K172" i="87" a="1"/>
  <c r="K172" i="87" s="1"/>
  <c r="J172" i="87" a="1"/>
  <c r="J172" i="87" s="1"/>
  <c r="I172" i="87" a="1"/>
  <c r="I172" i="87" s="1"/>
  <c r="H172" i="87" a="1"/>
  <c r="H172" i="87" s="1"/>
  <c r="G172" i="87" a="1"/>
  <c r="G172" i="87" s="1"/>
  <c r="F172" i="87" a="1"/>
  <c r="F172" i="87" s="1"/>
  <c r="E172" i="87" a="1"/>
  <c r="E172" i="87" s="1"/>
  <c r="D172" i="87" a="1"/>
  <c r="D172" i="87" s="1"/>
  <c r="AH171" i="87" a="1"/>
  <c r="AH171" i="87" s="1"/>
  <c r="AG171" i="87" a="1"/>
  <c r="AG171" i="87" s="1"/>
  <c r="AF171" i="87" a="1"/>
  <c r="AF171" i="87" s="1"/>
  <c r="AE171" i="87" a="1"/>
  <c r="AE171" i="87" s="1"/>
  <c r="AD171" i="87" a="1"/>
  <c r="AD171" i="87" s="1"/>
  <c r="AC171" i="87" a="1"/>
  <c r="AC171" i="87" s="1"/>
  <c r="AB171" i="87" a="1"/>
  <c r="AB171" i="87" s="1"/>
  <c r="AA171" i="87" a="1"/>
  <c r="AA171" i="87" s="1"/>
  <c r="Z171" i="87" a="1"/>
  <c r="Z171" i="87" s="1"/>
  <c r="Y171" i="87" a="1"/>
  <c r="Y171" i="87" s="1"/>
  <c r="X171" i="87" a="1"/>
  <c r="X171" i="87" s="1"/>
  <c r="W171" i="87" a="1"/>
  <c r="W171" i="87" s="1"/>
  <c r="V171" i="87" a="1"/>
  <c r="V171" i="87" s="1"/>
  <c r="U171" i="87" a="1"/>
  <c r="U171" i="87" s="1"/>
  <c r="T171" i="87" a="1"/>
  <c r="T171" i="87" s="1"/>
  <c r="S171" i="87" a="1"/>
  <c r="S171" i="87" s="1"/>
  <c r="R171" i="87" a="1"/>
  <c r="R171" i="87" s="1"/>
  <c r="Q171" i="87" a="1"/>
  <c r="Q171" i="87" s="1"/>
  <c r="P171" i="87" a="1"/>
  <c r="P171" i="87" s="1"/>
  <c r="O171" i="87" a="1"/>
  <c r="O171" i="87" s="1"/>
  <c r="N171" i="87" a="1"/>
  <c r="N171" i="87" s="1"/>
  <c r="M171" i="87" a="1"/>
  <c r="M171" i="87" s="1"/>
  <c r="L171" i="87" a="1"/>
  <c r="L171" i="87" s="1"/>
  <c r="K171" i="87" a="1"/>
  <c r="K171" i="87" s="1"/>
  <c r="J171" i="87" a="1"/>
  <c r="J171" i="87" s="1"/>
  <c r="I171" i="87" a="1"/>
  <c r="I171" i="87" s="1"/>
  <c r="H171" i="87" a="1"/>
  <c r="H171" i="87" s="1"/>
  <c r="G171" i="87" a="1"/>
  <c r="G171" i="87" s="1"/>
  <c r="F171" i="87" a="1"/>
  <c r="F171" i="87" s="1"/>
  <c r="E171" i="87" a="1"/>
  <c r="E171" i="87" s="1"/>
  <c r="D171" i="87" a="1"/>
  <c r="D171" i="87" s="1"/>
  <c r="AH170" i="87" a="1"/>
  <c r="AH170" i="87" s="1"/>
  <c r="AG170" i="87" a="1"/>
  <c r="AG170" i="87" s="1"/>
  <c r="AF170" i="87" a="1"/>
  <c r="AF170" i="87" s="1"/>
  <c r="AE170" i="87" a="1"/>
  <c r="AE170" i="87" s="1"/>
  <c r="AD170" i="87" a="1"/>
  <c r="AD170" i="87" s="1"/>
  <c r="AC170" i="87" a="1"/>
  <c r="AC170" i="87" s="1"/>
  <c r="AB170" i="87" a="1"/>
  <c r="AB170" i="87" s="1"/>
  <c r="AA170" i="87" a="1"/>
  <c r="AA170" i="87" s="1"/>
  <c r="Z170" i="87" a="1"/>
  <c r="Z170" i="87" s="1"/>
  <c r="Y170" i="87" a="1"/>
  <c r="Y170" i="87" s="1"/>
  <c r="X170" i="87" a="1"/>
  <c r="X170" i="87" s="1"/>
  <c r="W170" i="87" a="1"/>
  <c r="W170" i="87" s="1"/>
  <c r="V170" i="87" a="1"/>
  <c r="V170" i="87" s="1"/>
  <c r="U170" i="87" a="1"/>
  <c r="U170" i="87" s="1"/>
  <c r="T170" i="87" a="1"/>
  <c r="T170" i="87" s="1"/>
  <c r="S170" i="87" a="1"/>
  <c r="S170" i="87" s="1"/>
  <c r="R170" i="87" a="1"/>
  <c r="R170" i="87" s="1"/>
  <c r="Q170" i="87" a="1"/>
  <c r="Q170" i="87" s="1"/>
  <c r="P170" i="87" a="1"/>
  <c r="P170" i="87" s="1"/>
  <c r="O170" i="87" a="1"/>
  <c r="O170" i="87" s="1"/>
  <c r="N170" i="87" a="1"/>
  <c r="N170" i="87" s="1"/>
  <c r="M170" i="87" a="1"/>
  <c r="M170" i="87" s="1"/>
  <c r="L170" i="87" a="1"/>
  <c r="L170" i="87" s="1"/>
  <c r="K170" i="87" a="1"/>
  <c r="K170" i="87" s="1"/>
  <c r="J170" i="87" a="1"/>
  <c r="J170" i="87" s="1"/>
  <c r="I170" i="87" a="1"/>
  <c r="I170" i="87" s="1"/>
  <c r="H170" i="87" a="1"/>
  <c r="H170" i="87" s="1"/>
  <c r="G170" i="87" a="1"/>
  <c r="G170" i="87" s="1"/>
  <c r="F170" i="87" a="1"/>
  <c r="F170" i="87" s="1"/>
  <c r="E170" i="87" a="1"/>
  <c r="E170" i="87" s="1"/>
  <c r="D170" i="87" a="1"/>
  <c r="D170" i="87" s="1"/>
  <c r="AH169" i="87" a="1"/>
  <c r="AH169" i="87" s="1"/>
  <c r="AG169" i="87" a="1"/>
  <c r="AG169" i="87" s="1"/>
  <c r="AF169" i="87" a="1"/>
  <c r="AF169" i="87" s="1"/>
  <c r="AE169" i="87" a="1"/>
  <c r="AE169" i="87" s="1"/>
  <c r="AD169" i="87" a="1"/>
  <c r="AD169" i="87" s="1"/>
  <c r="AC169" i="87" a="1"/>
  <c r="AC169" i="87" s="1"/>
  <c r="AB169" i="87" a="1"/>
  <c r="AB169" i="87" s="1"/>
  <c r="AA169" i="87" a="1"/>
  <c r="AA169" i="87" s="1"/>
  <c r="Z169" i="87" a="1"/>
  <c r="Z169" i="87" s="1"/>
  <c r="Y169" i="87" a="1"/>
  <c r="Y169" i="87" s="1"/>
  <c r="X169" i="87" a="1"/>
  <c r="X169" i="87" s="1"/>
  <c r="W169" i="87" a="1"/>
  <c r="W169" i="87" s="1"/>
  <c r="V169" i="87" a="1"/>
  <c r="V169" i="87" s="1"/>
  <c r="U169" i="87" a="1"/>
  <c r="U169" i="87" s="1"/>
  <c r="T169" i="87" a="1"/>
  <c r="T169" i="87" s="1"/>
  <c r="S169" i="87" a="1"/>
  <c r="S169" i="87" s="1"/>
  <c r="R169" i="87" a="1"/>
  <c r="R169" i="87" s="1"/>
  <c r="Q169" i="87" a="1"/>
  <c r="Q169" i="87" s="1"/>
  <c r="P169" i="87" a="1"/>
  <c r="P169" i="87" s="1"/>
  <c r="O169" i="87" a="1"/>
  <c r="O169" i="87" s="1"/>
  <c r="N169" i="87" a="1"/>
  <c r="N169" i="87" s="1"/>
  <c r="M169" i="87" a="1"/>
  <c r="M169" i="87" s="1"/>
  <c r="L169" i="87" a="1"/>
  <c r="L169" i="87" s="1"/>
  <c r="K169" i="87" a="1"/>
  <c r="K169" i="87" s="1"/>
  <c r="J169" i="87" a="1"/>
  <c r="J169" i="87" s="1"/>
  <c r="I169" i="87" a="1"/>
  <c r="I169" i="87" s="1"/>
  <c r="H169" i="87" a="1"/>
  <c r="H169" i="87" s="1"/>
  <c r="G169" i="87" a="1"/>
  <c r="G169" i="87" s="1"/>
  <c r="F169" i="87" a="1"/>
  <c r="F169" i="87" s="1"/>
  <c r="E169" i="87" a="1"/>
  <c r="E169" i="87" s="1"/>
  <c r="D169" i="87" a="1"/>
  <c r="D169" i="87" s="1"/>
  <c r="AH168" i="87" a="1"/>
  <c r="AH168" i="87" s="1"/>
  <c r="AG168" i="87" a="1"/>
  <c r="AG168" i="87" s="1"/>
  <c r="AF168" i="87" a="1"/>
  <c r="AF168" i="87" s="1"/>
  <c r="AE168" i="87" a="1"/>
  <c r="AE168" i="87" s="1"/>
  <c r="AD168" i="87" a="1"/>
  <c r="AD168" i="87" s="1"/>
  <c r="AC168" i="87" a="1"/>
  <c r="AC168" i="87" s="1"/>
  <c r="AB168" i="87" a="1"/>
  <c r="AB168" i="87" s="1"/>
  <c r="AA168" i="87" a="1"/>
  <c r="AA168" i="87" s="1"/>
  <c r="Z168" i="87" a="1"/>
  <c r="Z168" i="87" s="1"/>
  <c r="Y168" i="87" a="1"/>
  <c r="Y168" i="87" s="1"/>
  <c r="X168" i="87" a="1"/>
  <c r="X168" i="87" s="1"/>
  <c r="W168" i="87" a="1"/>
  <c r="W168" i="87" s="1"/>
  <c r="V168" i="87" a="1"/>
  <c r="V168" i="87" s="1"/>
  <c r="U168" i="87" a="1"/>
  <c r="U168" i="87" s="1"/>
  <c r="T168" i="87" a="1"/>
  <c r="T168" i="87" s="1"/>
  <c r="S168" i="87" a="1"/>
  <c r="S168" i="87" s="1"/>
  <c r="R168" i="87" a="1"/>
  <c r="R168" i="87" s="1"/>
  <c r="Q168" i="87" a="1"/>
  <c r="Q168" i="87" s="1"/>
  <c r="P168" i="87" a="1"/>
  <c r="P168" i="87" s="1"/>
  <c r="O168" i="87" a="1"/>
  <c r="O168" i="87" s="1"/>
  <c r="N168" i="87" a="1"/>
  <c r="N168" i="87" s="1"/>
  <c r="M168" i="87" a="1"/>
  <c r="M168" i="87" s="1"/>
  <c r="L168" i="87" a="1"/>
  <c r="L168" i="87" s="1"/>
  <c r="K168" i="87" a="1"/>
  <c r="K168" i="87" s="1"/>
  <c r="J168" i="87" a="1"/>
  <c r="J168" i="87" s="1"/>
  <c r="I168" i="87" a="1"/>
  <c r="I168" i="87" s="1"/>
  <c r="H168" i="87" a="1"/>
  <c r="H168" i="87" s="1"/>
  <c r="G168" i="87" a="1"/>
  <c r="G168" i="87" s="1"/>
  <c r="F168" i="87" a="1"/>
  <c r="F168" i="87" s="1"/>
  <c r="E168" i="87" a="1"/>
  <c r="E168" i="87" s="1"/>
  <c r="D168" i="87" a="1"/>
  <c r="D168" i="87" s="1"/>
  <c r="AH167" i="87" a="1"/>
  <c r="AH167" i="87" s="1"/>
  <c r="AG167" i="87" a="1"/>
  <c r="AG167" i="87" s="1"/>
  <c r="AF167" i="87" a="1"/>
  <c r="AF167" i="87" s="1"/>
  <c r="AE167" i="87" a="1"/>
  <c r="AE167" i="87" s="1"/>
  <c r="AD167" i="87" a="1"/>
  <c r="AD167" i="87" s="1"/>
  <c r="AC167" i="87" a="1"/>
  <c r="AC167" i="87" s="1"/>
  <c r="AB167" i="87" a="1"/>
  <c r="AB167" i="87" s="1"/>
  <c r="AA167" i="87" a="1"/>
  <c r="AA167" i="87" s="1"/>
  <c r="Z167" i="87" a="1"/>
  <c r="Z167" i="87" s="1"/>
  <c r="Y167" i="87" a="1"/>
  <c r="Y167" i="87" s="1"/>
  <c r="X167" i="87" a="1"/>
  <c r="X167" i="87" s="1"/>
  <c r="W167" i="87" a="1"/>
  <c r="W167" i="87" s="1"/>
  <c r="V167" i="87" a="1"/>
  <c r="V167" i="87" s="1"/>
  <c r="U167" i="87" a="1"/>
  <c r="U167" i="87" s="1"/>
  <c r="T167" i="87" a="1"/>
  <c r="T167" i="87" s="1"/>
  <c r="S167" i="87" a="1"/>
  <c r="S167" i="87" s="1"/>
  <c r="R167" i="87" a="1"/>
  <c r="R167" i="87" s="1"/>
  <c r="Q167" i="87" a="1"/>
  <c r="Q167" i="87" s="1"/>
  <c r="P167" i="87" a="1"/>
  <c r="P167" i="87" s="1"/>
  <c r="O167" i="87" a="1"/>
  <c r="O167" i="87" s="1"/>
  <c r="N167" i="87" a="1"/>
  <c r="N167" i="87" s="1"/>
  <c r="M167" i="87" a="1"/>
  <c r="M167" i="87" s="1"/>
  <c r="L167" i="87" a="1"/>
  <c r="L167" i="87" s="1"/>
  <c r="K167" i="87" a="1"/>
  <c r="K167" i="87" s="1"/>
  <c r="J167" i="87" a="1"/>
  <c r="J167" i="87" s="1"/>
  <c r="I167" i="87" a="1"/>
  <c r="I167" i="87" s="1"/>
  <c r="H167" i="87" a="1"/>
  <c r="H167" i="87" s="1"/>
  <c r="G167" i="87" a="1"/>
  <c r="G167" i="87" s="1"/>
  <c r="F167" i="87" a="1"/>
  <c r="F167" i="87" s="1"/>
  <c r="E167" i="87" a="1"/>
  <c r="E167" i="87" s="1"/>
  <c r="D167" i="87" a="1"/>
  <c r="D167" i="87" s="1"/>
  <c r="AH166" i="87" a="1"/>
  <c r="AH166" i="87" s="1"/>
  <c r="AG166" i="87" a="1"/>
  <c r="AG166" i="87" s="1"/>
  <c r="AF166" i="87" a="1"/>
  <c r="AF166" i="87" s="1"/>
  <c r="AE166" i="87" a="1"/>
  <c r="AE166" i="87" s="1"/>
  <c r="AD166" i="87" a="1"/>
  <c r="AD166" i="87" s="1"/>
  <c r="AC166" i="87" a="1"/>
  <c r="AC166" i="87" s="1"/>
  <c r="AB166" i="87" a="1"/>
  <c r="AB166" i="87" s="1"/>
  <c r="AA166" i="87" a="1"/>
  <c r="AA166" i="87" s="1"/>
  <c r="Z166" i="87" a="1"/>
  <c r="Z166" i="87" s="1"/>
  <c r="Y166" i="87" a="1"/>
  <c r="Y166" i="87" s="1"/>
  <c r="X166" i="87" a="1"/>
  <c r="X166" i="87" s="1"/>
  <c r="W166" i="87" a="1"/>
  <c r="W166" i="87" s="1"/>
  <c r="V166" i="87" a="1"/>
  <c r="V166" i="87" s="1"/>
  <c r="U166" i="87" a="1"/>
  <c r="U166" i="87" s="1"/>
  <c r="T166" i="87" a="1"/>
  <c r="T166" i="87" s="1"/>
  <c r="S166" i="87" a="1"/>
  <c r="S166" i="87" s="1"/>
  <c r="R166" i="87" a="1"/>
  <c r="R166" i="87" s="1"/>
  <c r="Q166" i="87" a="1"/>
  <c r="Q166" i="87" s="1"/>
  <c r="P166" i="87" a="1"/>
  <c r="P166" i="87" s="1"/>
  <c r="O166" i="87" a="1"/>
  <c r="O166" i="87" s="1"/>
  <c r="N166" i="87" a="1"/>
  <c r="N166" i="87" s="1"/>
  <c r="M166" i="87" a="1"/>
  <c r="M166" i="87" s="1"/>
  <c r="L166" i="87" a="1"/>
  <c r="L166" i="87" s="1"/>
  <c r="K166" i="87" a="1"/>
  <c r="K166" i="87" s="1"/>
  <c r="J166" i="87" a="1"/>
  <c r="J166" i="87" s="1"/>
  <c r="I166" i="87" a="1"/>
  <c r="I166" i="87" s="1"/>
  <c r="H166" i="87" a="1"/>
  <c r="H166" i="87" s="1"/>
  <c r="G166" i="87" a="1"/>
  <c r="G166" i="87" s="1"/>
  <c r="F166" i="87" a="1"/>
  <c r="F166" i="87" s="1"/>
  <c r="E166" i="87" a="1"/>
  <c r="E166" i="87" s="1"/>
  <c r="D166" i="87" a="1"/>
  <c r="D166" i="87" s="1"/>
  <c r="AH165" i="87" a="1"/>
  <c r="AH165" i="87" s="1"/>
  <c r="AG165" i="87" a="1"/>
  <c r="AG165" i="87" s="1"/>
  <c r="AF165" i="87" a="1"/>
  <c r="AF165" i="87" s="1"/>
  <c r="AE165" i="87" a="1"/>
  <c r="AE165" i="87" s="1"/>
  <c r="AD165" i="87" a="1"/>
  <c r="AD165" i="87" s="1"/>
  <c r="AC165" i="87" a="1"/>
  <c r="AC165" i="87" s="1"/>
  <c r="AB165" i="87" a="1"/>
  <c r="AB165" i="87" s="1"/>
  <c r="AA165" i="87" a="1"/>
  <c r="AA165" i="87" s="1"/>
  <c r="Z165" i="87" a="1"/>
  <c r="Z165" i="87" s="1"/>
  <c r="Y165" i="87" a="1"/>
  <c r="Y165" i="87" s="1"/>
  <c r="X165" i="87" a="1"/>
  <c r="X165" i="87" s="1"/>
  <c r="W165" i="87" a="1"/>
  <c r="W165" i="87" s="1"/>
  <c r="V165" i="87" a="1"/>
  <c r="V165" i="87" s="1"/>
  <c r="U165" i="87" a="1"/>
  <c r="U165" i="87" s="1"/>
  <c r="T165" i="87" a="1"/>
  <c r="T165" i="87" s="1"/>
  <c r="S165" i="87" a="1"/>
  <c r="S165" i="87" s="1"/>
  <c r="R165" i="87" a="1"/>
  <c r="R165" i="87" s="1"/>
  <c r="Q165" i="87" a="1"/>
  <c r="Q165" i="87" s="1"/>
  <c r="P165" i="87" a="1"/>
  <c r="P165" i="87" s="1"/>
  <c r="O165" i="87" a="1"/>
  <c r="O165" i="87" s="1"/>
  <c r="N165" i="87" a="1"/>
  <c r="N165" i="87" s="1"/>
  <c r="M165" i="87" a="1"/>
  <c r="M165" i="87" s="1"/>
  <c r="L165" i="87" a="1"/>
  <c r="L165" i="87" s="1"/>
  <c r="K165" i="87" a="1"/>
  <c r="K165" i="87" s="1"/>
  <c r="J165" i="87" a="1"/>
  <c r="J165" i="87" s="1"/>
  <c r="I165" i="87" a="1"/>
  <c r="I165" i="87" s="1"/>
  <c r="H165" i="87" a="1"/>
  <c r="H165" i="87" s="1"/>
  <c r="G165" i="87" a="1"/>
  <c r="G165" i="87" s="1"/>
  <c r="F165" i="87" a="1"/>
  <c r="F165" i="87" s="1"/>
  <c r="E165" i="87" a="1"/>
  <c r="E165" i="87" s="1"/>
  <c r="D165" i="87" a="1"/>
  <c r="D165" i="87" s="1"/>
  <c r="AH164" i="87" a="1"/>
  <c r="AH164" i="87" s="1"/>
  <c r="AG164" i="87" a="1"/>
  <c r="AG164" i="87" s="1"/>
  <c r="AF164" i="87" a="1"/>
  <c r="AF164" i="87" s="1"/>
  <c r="AE164" i="87" a="1"/>
  <c r="AE164" i="87" s="1"/>
  <c r="AD164" i="87" a="1"/>
  <c r="AD164" i="87" s="1"/>
  <c r="AC164" i="87" a="1"/>
  <c r="AC164" i="87" s="1"/>
  <c r="AB164" i="87" a="1"/>
  <c r="AB164" i="87" s="1"/>
  <c r="AA164" i="87" a="1"/>
  <c r="AA164" i="87" s="1"/>
  <c r="Z164" i="87" a="1"/>
  <c r="Z164" i="87" s="1"/>
  <c r="Y164" i="87" a="1"/>
  <c r="Y164" i="87" s="1"/>
  <c r="X164" i="87" a="1"/>
  <c r="X164" i="87" s="1"/>
  <c r="W164" i="87" a="1"/>
  <c r="W164" i="87" s="1"/>
  <c r="V164" i="87" a="1"/>
  <c r="V164" i="87" s="1"/>
  <c r="U164" i="87" a="1"/>
  <c r="U164" i="87" s="1"/>
  <c r="T164" i="87" a="1"/>
  <c r="T164" i="87" s="1"/>
  <c r="S164" i="87" a="1"/>
  <c r="S164" i="87" s="1"/>
  <c r="R164" i="87" a="1"/>
  <c r="R164" i="87" s="1"/>
  <c r="Q164" i="87" a="1"/>
  <c r="Q164" i="87" s="1"/>
  <c r="P164" i="87" a="1"/>
  <c r="P164" i="87" s="1"/>
  <c r="O164" i="87" a="1"/>
  <c r="O164" i="87" s="1"/>
  <c r="N164" i="87" a="1"/>
  <c r="N164" i="87" s="1"/>
  <c r="M164" i="87" a="1"/>
  <c r="M164" i="87" s="1"/>
  <c r="L164" i="87" a="1"/>
  <c r="L164" i="87" s="1"/>
  <c r="K164" i="87" a="1"/>
  <c r="K164" i="87" s="1"/>
  <c r="J164" i="87" a="1"/>
  <c r="J164" i="87" s="1"/>
  <c r="I164" i="87" a="1"/>
  <c r="I164" i="87" s="1"/>
  <c r="H164" i="87" a="1"/>
  <c r="H164" i="87" s="1"/>
  <c r="G164" i="87" a="1"/>
  <c r="G164" i="87" s="1"/>
  <c r="F164" i="87" a="1"/>
  <c r="F164" i="87" s="1"/>
  <c r="E164" i="87" a="1"/>
  <c r="E164" i="87" s="1"/>
  <c r="D164" i="87" a="1"/>
  <c r="D164" i="87" s="1"/>
  <c r="AH163" i="87" a="1"/>
  <c r="AH163" i="87" s="1"/>
  <c r="AG163" i="87" a="1"/>
  <c r="AG163" i="87" s="1"/>
  <c r="AF163" i="87" a="1"/>
  <c r="AF163" i="87" s="1"/>
  <c r="AE163" i="87" a="1"/>
  <c r="AE163" i="87" s="1"/>
  <c r="AD163" i="87" a="1"/>
  <c r="AD163" i="87" s="1"/>
  <c r="AC163" i="87" a="1"/>
  <c r="AC163" i="87" s="1"/>
  <c r="AB163" i="87" a="1"/>
  <c r="AB163" i="87" s="1"/>
  <c r="AA163" i="87" a="1"/>
  <c r="AA163" i="87" s="1"/>
  <c r="Z163" i="87" a="1"/>
  <c r="Z163" i="87" s="1"/>
  <c r="Y163" i="87" a="1"/>
  <c r="Y163" i="87" s="1"/>
  <c r="X163" i="87" a="1"/>
  <c r="X163" i="87" s="1"/>
  <c r="W163" i="87" a="1"/>
  <c r="W163" i="87" s="1"/>
  <c r="V163" i="87" a="1"/>
  <c r="V163" i="87" s="1"/>
  <c r="U163" i="87" a="1"/>
  <c r="U163" i="87" s="1"/>
  <c r="T163" i="87" a="1"/>
  <c r="T163" i="87" s="1"/>
  <c r="S163" i="87" a="1"/>
  <c r="S163" i="87" s="1"/>
  <c r="R163" i="87" a="1"/>
  <c r="R163" i="87" s="1"/>
  <c r="Q163" i="87" a="1"/>
  <c r="Q163" i="87" s="1"/>
  <c r="P163" i="87" a="1"/>
  <c r="P163" i="87" s="1"/>
  <c r="O163" i="87" a="1"/>
  <c r="O163" i="87" s="1"/>
  <c r="N163" i="87" a="1"/>
  <c r="N163" i="87" s="1"/>
  <c r="M163" i="87" a="1"/>
  <c r="M163" i="87" s="1"/>
  <c r="L163" i="87" a="1"/>
  <c r="L163" i="87" s="1"/>
  <c r="K163" i="87" a="1"/>
  <c r="K163" i="87" s="1"/>
  <c r="J163" i="87" a="1"/>
  <c r="J163" i="87" s="1"/>
  <c r="I163" i="87" a="1"/>
  <c r="I163" i="87" s="1"/>
  <c r="H163" i="87" a="1"/>
  <c r="H163" i="87" s="1"/>
  <c r="G163" i="87" a="1"/>
  <c r="G163" i="87" s="1"/>
  <c r="F163" i="87" a="1"/>
  <c r="F163" i="87" s="1"/>
  <c r="E163" i="87" a="1"/>
  <c r="E163" i="87" s="1"/>
  <c r="D163" i="87" a="1"/>
  <c r="D163" i="87" s="1"/>
  <c r="AH162" i="87" a="1"/>
  <c r="AH162" i="87" s="1"/>
  <c r="AG162" i="87" a="1"/>
  <c r="AG162" i="87" s="1"/>
  <c r="AF162" i="87" a="1"/>
  <c r="AF162" i="87" s="1"/>
  <c r="AE162" i="87" a="1"/>
  <c r="AE162" i="87" s="1"/>
  <c r="AD162" i="87" a="1"/>
  <c r="AD162" i="87" s="1"/>
  <c r="AC162" i="87" a="1"/>
  <c r="AC162" i="87" s="1"/>
  <c r="AB162" i="87" a="1"/>
  <c r="AB162" i="87" s="1"/>
  <c r="AA162" i="87" a="1"/>
  <c r="AA162" i="87" s="1"/>
  <c r="Z162" i="87" a="1"/>
  <c r="Z162" i="87" s="1"/>
  <c r="Y162" i="87" a="1"/>
  <c r="Y162" i="87" s="1"/>
  <c r="X162" i="87" a="1"/>
  <c r="X162" i="87" s="1"/>
  <c r="W162" i="87" a="1"/>
  <c r="W162" i="87" s="1"/>
  <c r="V162" i="87" a="1"/>
  <c r="V162" i="87" s="1"/>
  <c r="U162" i="87" a="1"/>
  <c r="U162" i="87" s="1"/>
  <c r="T162" i="87" a="1"/>
  <c r="T162" i="87" s="1"/>
  <c r="S162" i="87" a="1"/>
  <c r="S162" i="87" s="1"/>
  <c r="R162" i="87" a="1"/>
  <c r="R162" i="87" s="1"/>
  <c r="Q162" i="87" a="1"/>
  <c r="Q162" i="87" s="1"/>
  <c r="P162" i="87" a="1"/>
  <c r="P162" i="87" s="1"/>
  <c r="O162" i="87" a="1"/>
  <c r="O162" i="87" s="1"/>
  <c r="N162" i="87" a="1"/>
  <c r="N162" i="87" s="1"/>
  <c r="M162" i="87" a="1"/>
  <c r="M162" i="87" s="1"/>
  <c r="L162" i="87" a="1"/>
  <c r="L162" i="87" s="1"/>
  <c r="K162" i="87" a="1"/>
  <c r="K162" i="87" s="1"/>
  <c r="J162" i="87" a="1"/>
  <c r="J162" i="87" s="1"/>
  <c r="I162" i="87" a="1"/>
  <c r="I162" i="87" s="1"/>
  <c r="H162" i="87" a="1"/>
  <c r="H162" i="87" s="1"/>
  <c r="G162" i="87" a="1"/>
  <c r="G162" i="87" s="1"/>
  <c r="F162" i="87" a="1"/>
  <c r="F162" i="87" s="1"/>
  <c r="E162" i="87" a="1"/>
  <c r="E162" i="87" s="1"/>
  <c r="D162" i="87" a="1"/>
  <c r="D162" i="87" s="1"/>
  <c r="AH161" i="87" a="1"/>
  <c r="AH161" i="87" s="1"/>
  <c r="AG161" i="87" a="1"/>
  <c r="AG161" i="87" s="1"/>
  <c r="AF161" i="87" a="1"/>
  <c r="AF161" i="87" s="1"/>
  <c r="AE161" i="87" a="1"/>
  <c r="AE161" i="87" s="1"/>
  <c r="AD161" i="87" a="1"/>
  <c r="AD161" i="87" s="1"/>
  <c r="AC161" i="87" a="1"/>
  <c r="AC161" i="87" s="1"/>
  <c r="AB161" i="87" a="1"/>
  <c r="AB161" i="87" s="1"/>
  <c r="AA161" i="87" a="1"/>
  <c r="AA161" i="87" s="1"/>
  <c r="Z161" i="87" a="1"/>
  <c r="Z161" i="87" s="1"/>
  <c r="Y161" i="87" a="1"/>
  <c r="Y161" i="87" s="1"/>
  <c r="X161" i="87" a="1"/>
  <c r="X161" i="87" s="1"/>
  <c r="W161" i="87" a="1"/>
  <c r="W161" i="87" s="1"/>
  <c r="V161" i="87" a="1"/>
  <c r="V161" i="87" s="1"/>
  <c r="U161" i="87" a="1"/>
  <c r="U161" i="87" s="1"/>
  <c r="T161" i="87" a="1"/>
  <c r="T161" i="87" s="1"/>
  <c r="S161" i="87" a="1"/>
  <c r="S161" i="87" s="1"/>
  <c r="R161" i="87" a="1"/>
  <c r="R161" i="87" s="1"/>
  <c r="Q161" i="87" a="1"/>
  <c r="Q161" i="87" s="1"/>
  <c r="P161" i="87" a="1"/>
  <c r="P161" i="87" s="1"/>
  <c r="O161" i="87" a="1"/>
  <c r="O161" i="87" s="1"/>
  <c r="N161" i="87" a="1"/>
  <c r="N161" i="87" s="1"/>
  <c r="M161" i="87" a="1"/>
  <c r="M161" i="87" s="1"/>
  <c r="L161" i="87" a="1"/>
  <c r="L161" i="87" s="1"/>
  <c r="K161" i="87" a="1"/>
  <c r="K161" i="87" s="1"/>
  <c r="J161" i="87" a="1"/>
  <c r="J161" i="87" s="1"/>
  <c r="I161" i="87" a="1"/>
  <c r="I161" i="87" s="1"/>
  <c r="H161" i="87" a="1"/>
  <c r="H161" i="87" s="1"/>
  <c r="G161" i="87" a="1"/>
  <c r="G161" i="87" s="1"/>
  <c r="F161" i="87" a="1"/>
  <c r="F161" i="87" s="1"/>
  <c r="E161" i="87" a="1"/>
  <c r="E161" i="87" s="1"/>
  <c r="D161" i="87" a="1"/>
  <c r="D161" i="87" s="1"/>
  <c r="AH160" i="87" a="1"/>
  <c r="AH160" i="87" s="1"/>
  <c r="AG160" i="87" a="1"/>
  <c r="AG160" i="87" s="1"/>
  <c r="AF160" i="87" a="1"/>
  <c r="AF160" i="87" s="1"/>
  <c r="AE160" i="87" a="1"/>
  <c r="AE160" i="87" s="1"/>
  <c r="AD160" i="87" a="1"/>
  <c r="AD160" i="87" s="1"/>
  <c r="AC160" i="87" a="1"/>
  <c r="AC160" i="87" s="1"/>
  <c r="AB160" i="87" a="1"/>
  <c r="AB160" i="87" s="1"/>
  <c r="AA160" i="87" a="1"/>
  <c r="AA160" i="87" s="1"/>
  <c r="Z160" i="87" a="1"/>
  <c r="Z160" i="87" s="1"/>
  <c r="Y160" i="87" a="1"/>
  <c r="Y160" i="87" s="1"/>
  <c r="X160" i="87" a="1"/>
  <c r="X160" i="87" s="1"/>
  <c r="W160" i="87" a="1"/>
  <c r="W160" i="87" s="1"/>
  <c r="V160" i="87" a="1"/>
  <c r="V160" i="87" s="1"/>
  <c r="U160" i="87" a="1"/>
  <c r="U160" i="87" s="1"/>
  <c r="T160" i="87" a="1"/>
  <c r="T160" i="87" s="1"/>
  <c r="S160" i="87" a="1"/>
  <c r="S160" i="87" s="1"/>
  <c r="R160" i="87" a="1"/>
  <c r="R160" i="87" s="1"/>
  <c r="Q160" i="87" a="1"/>
  <c r="Q160" i="87" s="1"/>
  <c r="P160" i="87" a="1"/>
  <c r="P160" i="87" s="1"/>
  <c r="O160" i="87" a="1"/>
  <c r="O160" i="87" s="1"/>
  <c r="N160" i="87" a="1"/>
  <c r="N160" i="87" s="1"/>
  <c r="M160" i="87" a="1"/>
  <c r="M160" i="87" s="1"/>
  <c r="L160" i="87" a="1"/>
  <c r="L160" i="87" s="1"/>
  <c r="K160" i="87" a="1"/>
  <c r="K160" i="87" s="1"/>
  <c r="J160" i="87" a="1"/>
  <c r="J160" i="87" s="1"/>
  <c r="I160" i="87" a="1"/>
  <c r="I160" i="87" s="1"/>
  <c r="H160" i="87" a="1"/>
  <c r="H160" i="87" s="1"/>
  <c r="G160" i="87" a="1"/>
  <c r="G160" i="87" s="1"/>
  <c r="F160" i="87" a="1"/>
  <c r="F160" i="87" s="1"/>
  <c r="E160" i="87" a="1"/>
  <c r="E160" i="87" s="1"/>
  <c r="D160" i="87" a="1"/>
  <c r="D160" i="87" s="1"/>
  <c r="AH159" i="87" a="1"/>
  <c r="AH159" i="87" s="1"/>
  <c r="AG159" i="87" a="1"/>
  <c r="AG159" i="87" s="1"/>
  <c r="AF159" i="87" a="1"/>
  <c r="AF159" i="87" s="1"/>
  <c r="AE159" i="87" a="1"/>
  <c r="AE159" i="87" s="1"/>
  <c r="AD159" i="87" a="1"/>
  <c r="AD159" i="87" s="1"/>
  <c r="AC159" i="87" a="1"/>
  <c r="AC159" i="87" s="1"/>
  <c r="AB159" i="87" a="1"/>
  <c r="AB159" i="87" s="1"/>
  <c r="AA159" i="87" a="1"/>
  <c r="AA159" i="87" s="1"/>
  <c r="Z159" i="87" a="1"/>
  <c r="Z159" i="87" s="1"/>
  <c r="Y159" i="87" a="1"/>
  <c r="Y159" i="87" s="1"/>
  <c r="X159" i="87" a="1"/>
  <c r="X159" i="87" s="1"/>
  <c r="W159" i="87" a="1"/>
  <c r="W159" i="87" s="1"/>
  <c r="V159" i="87" a="1"/>
  <c r="V159" i="87" s="1"/>
  <c r="U159" i="87" a="1"/>
  <c r="U159" i="87" s="1"/>
  <c r="T159" i="87" a="1"/>
  <c r="T159" i="87" s="1"/>
  <c r="S159" i="87" a="1"/>
  <c r="S159" i="87" s="1"/>
  <c r="R159" i="87" a="1"/>
  <c r="R159" i="87" s="1"/>
  <c r="Q159" i="87" a="1"/>
  <c r="Q159" i="87" s="1"/>
  <c r="P159" i="87" a="1"/>
  <c r="P159" i="87" s="1"/>
  <c r="O159" i="87" a="1"/>
  <c r="O159" i="87" s="1"/>
  <c r="N159" i="87" a="1"/>
  <c r="N159" i="87" s="1"/>
  <c r="M159" i="87" a="1"/>
  <c r="M159" i="87" s="1"/>
  <c r="L159" i="87" a="1"/>
  <c r="L159" i="87" s="1"/>
  <c r="K159" i="87" a="1"/>
  <c r="K159" i="87" s="1"/>
  <c r="J159" i="87" a="1"/>
  <c r="J159" i="87" s="1"/>
  <c r="I159" i="87" a="1"/>
  <c r="I159" i="87" s="1"/>
  <c r="H159" i="87" a="1"/>
  <c r="H159" i="87" s="1"/>
  <c r="G159" i="87" a="1"/>
  <c r="G159" i="87" s="1"/>
  <c r="F159" i="87" a="1"/>
  <c r="F159" i="87" s="1"/>
  <c r="E159" i="87" a="1"/>
  <c r="E159" i="87" s="1"/>
  <c r="D159" i="87" a="1"/>
  <c r="D159" i="87" s="1"/>
  <c r="AH158" i="87" a="1"/>
  <c r="AH158" i="87" s="1"/>
  <c r="AG158" i="87" a="1"/>
  <c r="AG158" i="87" s="1"/>
  <c r="AF158" i="87" a="1"/>
  <c r="AF158" i="87" s="1"/>
  <c r="AE158" i="87" a="1"/>
  <c r="AE158" i="87" s="1"/>
  <c r="AD158" i="87" a="1"/>
  <c r="AD158" i="87" s="1"/>
  <c r="AC158" i="87" a="1"/>
  <c r="AC158" i="87" s="1"/>
  <c r="AB158" i="87" a="1"/>
  <c r="AB158" i="87" s="1"/>
  <c r="AA158" i="87" a="1"/>
  <c r="AA158" i="87" s="1"/>
  <c r="Z158" i="87" a="1"/>
  <c r="Z158" i="87" s="1"/>
  <c r="Y158" i="87" a="1"/>
  <c r="Y158" i="87" s="1"/>
  <c r="X158" i="87" a="1"/>
  <c r="X158" i="87" s="1"/>
  <c r="W158" i="87" a="1"/>
  <c r="W158" i="87" s="1"/>
  <c r="V158" i="87" a="1"/>
  <c r="V158" i="87" s="1"/>
  <c r="U158" i="87" a="1"/>
  <c r="U158" i="87" s="1"/>
  <c r="T158" i="87" a="1"/>
  <c r="T158" i="87" s="1"/>
  <c r="S158" i="87" a="1"/>
  <c r="S158" i="87" s="1"/>
  <c r="R158" i="87" a="1"/>
  <c r="R158" i="87" s="1"/>
  <c r="Q158" i="87" a="1"/>
  <c r="Q158" i="87" s="1"/>
  <c r="P158" i="87" a="1"/>
  <c r="P158" i="87" s="1"/>
  <c r="O158" i="87" a="1"/>
  <c r="O158" i="87" s="1"/>
  <c r="N158" i="87" a="1"/>
  <c r="N158"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AH157" i="87" a="1"/>
  <c r="AH157" i="87" s="1"/>
  <c r="AG157" i="87" a="1"/>
  <c r="AG157" i="87" s="1"/>
  <c r="AF157" i="87" a="1"/>
  <c r="AF157" i="87" s="1"/>
  <c r="AE157" i="87" a="1"/>
  <c r="AE157" i="87" s="1"/>
  <c r="AD157" i="87" a="1"/>
  <c r="AD157" i="87" s="1"/>
  <c r="AC157" i="87" a="1"/>
  <c r="AC157" i="87" s="1"/>
  <c r="AB157" i="87" a="1"/>
  <c r="AB157" i="87" s="1"/>
  <c r="AA157" i="87" a="1"/>
  <c r="AA157" i="87" s="1"/>
  <c r="Z157" i="87" a="1"/>
  <c r="Z157" i="87" s="1"/>
  <c r="Y157" i="87" a="1"/>
  <c r="Y157" i="87" s="1"/>
  <c r="X157" i="87" a="1"/>
  <c r="X157" i="87" s="1"/>
  <c r="W157" i="87" a="1"/>
  <c r="W157" i="87" s="1"/>
  <c r="V157" i="87" a="1"/>
  <c r="V157" i="87" s="1"/>
  <c r="U157" i="87" a="1"/>
  <c r="U157" i="87" s="1"/>
  <c r="T157" i="87" a="1"/>
  <c r="T157" i="87" s="1"/>
  <c r="S157" i="87" a="1"/>
  <c r="S157" i="87" s="1"/>
  <c r="R157" i="87" a="1"/>
  <c r="R157" i="87" s="1"/>
  <c r="Q157" i="87" a="1"/>
  <c r="Q157" i="87" s="1"/>
  <c r="P157" i="87" a="1"/>
  <c r="P157" i="87" s="1"/>
  <c r="O157" i="87" a="1"/>
  <c r="O157" i="87" s="1"/>
  <c r="N157" i="87" a="1"/>
  <c r="N157"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AH156" i="87" a="1"/>
  <c r="AH156" i="87" s="1"/>
  <c r="AG156" i="87" a="1"/>
  <c r="AG156" i="87" s="1"/>
  <c r="AF156" i="87" a="1"/>
  <c r="AF156" i="87" s="1"/>
  <c r="AE156" i="87" a="1"/>
  <c r="AE156" i="87" s="1"/>
  <c r="AD156" i="87" a="1"/>
  <c r="AD156" i="87" s="1"/>
  <c r="AC156" i="87" a="1"/>
  <c r="AC156" i="87" s="1"/>
  <c r="AB156" i="87" a="1"/>
  <c r="AB156" i="87" s="1"/>
  <c r="AA156" i="87" a="1"/>
  <c r="AA156" i="87" s="1"/>
  <c r="Z156" i="87" a="1"/>
  <c r="Z156" i="87" s="1"/>
  <c r="Y156" i="87" a="1"/>
  <c r="Y156" i="87" s="1"/>
  <c r="X156" i="87" a="1"/>
  <c r="X156" i="87" s="1"/>
  <c r="W156" i="87" a="1"/>
  <c r="W156" i="87" s="1"/>
  <c r="V156" i="87" a="1"/>
  <c r="V156" i="87" s="1"/>
  <c r="U156" i="87" a="1"/>
  <c r="U156" i="87" s="1"/>
  <c r="T156" i="87" a="1"/>
  <c r="T156" i="87" s="1"/>
  <c r="S156" i="87" a="1"/>
  <c r="S156" i="87" s="1"/>
  <c r="R156" i="87" a="1"/>
  <c r="R156" i="87" s="1"/>
  <c r="Q156" i="87" a="1"/>
  <c r="Q156" i="87" s="1"/>
  <c r="P156" i="87" a="1"/>
  <c r="P156" i="87" s="1"/>
  <c r="O156" i="87" a="1"/>
  <c r="O156" i="87" s="1"/>
  <c r="N156" i="87" a="1"/>
  <c r="N156"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AH155" i="87" a="1"/>
  <c r="AH155" i="87" s="1"/>
  <c r="AG155" i="87" a="1"/>
  <c r="AG155" i="87" s="1"/>
  <c r="AF155" i="87" a="1"/>
  <c r="AF155" i="87" s="1"/>
  <c r="AE155" i="87" a="1"/>
  <c r="AE155" i="87" s="1"/>
  <c r="AD155" i="87" a="1"/>
  <c r="AD155" i="87" s="1"/>
  <c r="AC155" i="87" a="1"/>
  <c r="AC155" i="87" s="1"/>
  <c r="AB155" i="87" a="1"/>
  <c r="AB155" i="87" s="1"/>
  <c r="AA155" i="87" a="1"/>
  <c r="AA155" i="87" s="1"/>
  <c r="Z155" i="87" a="1"/>
  <c r="Z155" i="87" s="1"/>
  <c r="Y155" i="87" a="1"/>
  <c r="Y155" i="87" s="1"/>
  <c r="X155" i="87" a="1"/>
  <c r="X155" i="87" s="1"/>
  <c r="W155" i="87" a="1"/>
  <c r="W155" i="87" s="1"/>
  <c r="V155" i="87" a="1"/>
  <c r="V155" i="87" s="1"/>
  <c r="U155" i="87" a="1"/>
  <c r="U155" i="87" s="1"/>
  <c r="T155" i="87" a="1"/>
  <c r="T155" i="87" s="1"/>
  <c r="S155" i="87" a="1"/>
  <c r="S155" i="87" s="1"/>
  <c r="R155" i="87" a="1"/>
  <c r="R155" i="87" s="1"/>
  <c r="Q155" i="87" a="1"/>
  <c r="Q155" i="87" s="1"/>
  <c r="P155" i="87" a="1"/>
  <c r="P155" i="87" s="1"/>
  <c r="O155" i="87" a="1"/>
  <c r="O155" i="87" s="1"/>
  <c r="N155" i="87" a="1"/>
  <c r="N155"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AH154" i="87" a="1"/>
  <c r="AH154" i="87" s="1"/>
  <c r="AG154" i="87" a="1"/>
  <c r="AG154" i="87" s="1"/>
  <c r="AF154" i="87" a="1"/>
  <c r="AF154" i="87" s="1"/>
  <c r="AE154" i="87" a="1"/>
  <c r="AE154" i="87" s="1"/>
  <c r="AD154" i="87" a="1"/>
  <c r="AD154" i="87" s="1"/>
  <c r="AC154" i="87" a="1"/>
  <c r="AC154" i="87" s="1"/>
  <c r="AB154" i="87" a="1"/>
  <c r="AB154" i="87" s="1"/>
  <c r="AA154" i="87" a="1"/>
  <c r="AA154" i="87" s="1"/>
  <c r="Z154" i="87" a="1"/>
  <c r="Z154" i="87" s="1"/>
  <c r="Y154" i="87" a="1"/>
  <c r="Y154" i="87" s="1"/>
  <c r="X154" i="87" a="1"/>
  <c r="X154" i="87" s="1"/>
  <c r="W154" i="87" a="1"/>
  <c r="W154" i="87" s="1"/>
  <c r="V154" i="87" a="1"/>
  <c r="V154" i="87" s="1"/>
  <c r="U154" i="87" a="1"/>
  <c r="U154" i="87" s="1"/>
  <c r="T154" i="87" a="1"/>
  <c r="T154" i="87" s="1"/>
  <c r="S154" i="87" a="1"/>
  <c r="S154" i="87" s="1"/>
  <c r="R154" i="87" a="1"/>
  <c r="R154" i="87" s="1"/>
  <c r="Q154" i="87" a="1"/>
  <c r="Q154" i="87" s="1"/>
  <c r="P154" i="87" a="1"/>
  <c r="P154" i="87" s="1"/>
  <c r="O154" i="87" a="1"/>
  <c r="O154" i="87" s="1"/>
  <c r="N154" i="87" a="1"/>
  <c r="N154" i="87" s="1"/>
  <c r="M154" i="87" a="1"/>
  <c r="M154" i="87" s="1"/>
  <c r="L154" i="87" a="1"/>
  <c r="L154" i="87" s="1"/>
  <c r="K154" i="87" a="1"/>
  <c r="K154" i="87" s="1"/>
  <c r="J154" i="87" a="1"/>
  <c r="J154" i="87" s="1"/>
  <c r="I154" i="87" a="1"/>
  <c r="I154" i="87" s="1"/>
  <c r="H154" i="87" a="1"/>
  <c r="H154" i="87" s="1"/>
  <c r="G154" i="87" a="1"/>
  <c r="G154" i="87" s="1"/>
  <c r="F154" i="87" a="1"/>
  <c r="F154" i="87" s="1"/>
  <c r="E154" i="87" a="1"/>
  <c r="E154" i="87" s="1"/>
  <c r="D154" i="87" a="1"/>
  <c r="D154" i="87" s="1"/>
  <c r="AH153" i="87" a="1"/>
  <c r="AH153" i="87" s="1"/>
  <c r="AG153" i="87" a="1"/>
  <c r="AG153" i="87" s="1"/>
  <c r="AF153" i="87" a="1"/>
  <c r="AF153" i="87" s="1"/>
  <c r="AE153" i="87" a="1"/>
  <c r="AE153" i="87" s="1"/>
  <c r="AD153" i="87" a="1"/>
  <c r="AD153" i="87" s="1"/>
  <c r="AC153" i="87" a="1"/>
  <c r="AC153" i="87" s="1"/>
  <c r="AB153" i="87" a="1"/>
  <c r="AB153" i="87" s="1"/>
  <c r="AA153" i="87" a="1"/>
  <c r="AA153" i="87" s="1"/>
  <c r="Z153" i="87" a="1"/>
  <c r="Z153" i="87" s="1"/>
  <c r="Y153" i="87" a="1"/>
  <c r="Y153" i="87" s="1"/>
  <c r="X153" i="87" a="1"/>
  <c r="X153" i="87" s="1"/>
  <c r="W153" i="87" a="1"/>
  <c r="W153" i="87" s="1"/>
  <c r="V153" i="87" a="1"/>
  <c r="V153" i="87" s="1"/>
  <c r="U153" i="87" a="1"/>
  <c r="U153" i="87" s="1"/>
  <c r="T153" i="87" a="1"/>
  <c r="T153" i="87" s="1"/>
  <c r="S153" i="87" a="1"/>
  <c r="S153" i="87" s="1"/>
  <c r="R153" i="87" a="1"/>
  <c r="R153" i="87" s="1"/>
  <c r="Q153" i="87" a="1"/>
  <c r="Q153" i="87" s="1"/>
  <c r="P153" i="87" a="1"/>
  <c r="P153" i="87" s="1"/>
  <c r="O153" i="87" a="1"/>
  <c r="O153" i="87" s="1"/>
  <c r="N153" i="87" a="1"/>
  <c r="N153" i="87" s="1"/>
  <c r="M153" i="87" a="1"/>
  <c r="M153" i="87" s="1"/>
  <c r="L153" i="87" a="1"/>
  <c r="L153" i="87" s="1"/>
  <c r="K153" i="87" a="1"/>
  <c r="K153" i="87" s="1"/>
  <c r="J153" i="87" a="1"/>
  <c r="J153" i="87" s="1"/>
  <c r="I153" i="87" a="1"/>
  <c r="I153" i="87" s="1"/>
  <c r="H153" i="87" a="1"/>
  <c r="H153" i="87" s="1"/>
  <c r="G153" i="87" a="1"/>
  <c r="G153" i="87" s="1"/>
  <c r="F153" i="87" a="1"/>
  <c r="F153" i="87" s="1"/>
  <c r="E153" i="87" a="1"/>
  <c r="E153" i="87" s="1"/>
  <c r="D153" i="87" a="1"/>
  <c r="D153" i="87" s="1"/>
  <c r="AH152" i="87" a="1"/>
  <c r="AH152" i="87" s="1"/>
  <c r="AG152" i="87" a="1"/>
  <c r="AG152" i="87" s="1"/>
  <c r="AF152" i="87" a="1"/>
  <c r="AF152" i="87" s="1"/>
  <c r="AE152" i="87" a="1"/>
  <c r="AE152" i="87" s="1"/>
  <c r="AD152" i="87" a="1"/>
  <c r="AD152" i="87" s="1"/>
  <c r="AC152" i="87" a="1"/>
  <c r="AC152" i="87" s="1"/>
  <c r="AB152" i="87" a="1"/>
  <c r="AB152" i="87" s="1"/>
  <c r="AA152" i="87" a="1"/>
  <c r="AA152" i="87" s="1"/>
  <c r="Z152" i="87" a="1"/>
  <c r="Z152" i="87" s="1"/>
  <c r="Y152" i="87" a="1"/>
  <c r="Y152" i="87" s="1"/>
  <c r="X152" i="87" a="1"/>
  <c r="X152" i="87" s="1"/>
  <c r="W152" i="87" a="1"/>
  <c r="W152" i="87" s="1"/>
  <c r="V152" i="87" a="1"/>
  <c r="V152" i="87" s="1"/>
  <c r="U152" i="87" a="1"/>
  <c r="U152" i="87" s="1"/>
  <c r="T152" i="87" a="1"/>
  <c r="T152" i="87" s="1"/>
  <c r="S152" i="87" a="1"/>
  <c r="S152" i="87" s="1"/>
  <c r="R152" i="87" a="1"/>
  <c r="R152" i="87" s="1"/>
  <c r="Q152" i="87" a="1"/>
  <c r="Q152" i="87" s="1"/>
  <c r="P152" i="87" a="1"/>
  <c r="P152" i="87" s="1"/>
  <c r="O152" i="87" a="1"/>
  <c r="O152" i="87" s="1"/>
  <c r="N152" i="87" a="1"/>
  <c r="N152" i="87" s="1"/>
  <c r="M152" i="87" a="1"/>
  <c r="M152" i="87" s="1"/>
  <c r="L152" i="87" a="1"/>
  <c r="L152" i="87" s="1"/>
  <c r="K152" i="87" a="1"/>
  <c r="K152" i="87" s="1"/>
  <c r="J152" i="87" a="1"/>
  <c r="J152" i="87" s="1"/>
  <c r="I152" i="87" a="1"/>
  <c r="I152" i="87" s="1"/>
  <c r="H152" i="87" a="1"/>
  <c r="H152" i="87" s="1"/>
  <c r="G152" i="87" a="1"/>
  <c r="G152" i="87" s="1"/>
  <c r="F152" i="87" a="1"/>
  <c r="F152" i="87" s="1"/>
  <c r="E152" i="87" a="1"/>
  <c r="E152" i="87" s="1"/>
  <c r="D152" i="87" a="1"/>
  <c r="D152" i="87" s="1"/>
  <c r="AH151" i="87" a="1"/>
  <c r="AH151" i="87" s="1"/>
  <c r="AG151" i="87" a="1"/>
  <c r="AG151" i="87" s="1"/>
  <c r="AF151" i="87" a="1"/>
  <c r="AF151" i="87" s="1"/>
  <c r="AE151" i="87" a="1"/>
  <c r="AE151" i="87" s="1"/>
  <c r="AD151" i="87" a="1"/>
  <c r="AD151" i="87" s="1"/>
  <c r="AC151" i="87" a="1"/>
  <c r="AC151" i="87" s="1"/>
  <c r="AB151" i="87" a="1"/>
  <c r="AB151" i="87" s="1"/>
  <c r="AA151" i="87" a="1"/>
  <c r="AA151" i="87" s="1"/>
  <c r="Z151" i="87" a="1"/>
  <c r="Z151" i="87" s="1"/>
  <c r="Y151" i="87" a="1"/>
  <c r="Y151" i="87" s="1"/>
  <c r="X151" i="87" a="1"/>
  <c r="X151" i="87" s="1"/>
  <c r="W151" i="87" a="1"/>
  <c r="W151" i="87" s="1"/>
  <c r="V151" i="87" a="1"/>
  <c r="V151" i="87" s="1"/>
  <c r="U151" i="87" a="1"/>
  <c r="U151" i="87" s="1"/>
  <c r="T151" i="87" a="1"/>
  <c r="T151" i="87" s="1"/>
  <c r="S151" i="87" a="1"/>
  <c r="S151" i="87" s="1"/>
  <c r="R151" i="87" a="1"/>
  <c r="R151" i="87" s="1"/>
  <c r="Q151" i="87" a="1"/>
  <c r="Q151" i="87" s="1"/>
  <c r="P151" i="87" a="1"/>
  <c r="P151" i="87" s="1"/>
  <c r="O151" i="87" a="1"/>
  <c r="O151" i="87" s="1"/>
  <c r="N151" i="87" a="1"/>
  <c r="N151" i="87" s="1"/>
  <c r="M151" i="87" a="1"/>
  <c r="M151" i="87" s="1"/>
  <c r="L151" i="87" a="1"/>
  <c r="L151" i="87" s="1"/>
  <c r="K151" i="87" a="1"/>
  <c r="K151" i="87" s="1"/>
  <c r="J151" i="87" a="1"/>
  <c r="J151" i="87" s="1"/>
  <c r="I151" i="87" a="1"/>
  <c r="I151" i="87" s="1"/>
  <c r="H151" i="87" a="1"/>
  <c r="H151" i="87" s="1"/>
  <c r="G151" i="87" a="1"/>
  <c r="G151" i="87" s="1"/>
  <c r="F151" i="87" a="1"/>
  <c r="F151" i="87" s="1"/>
  <c r="E151" i="87" a="1"/>
  <c r="E151" i="87" s="1"/>
  <c r="D151" i="87" a="1"/>
  <c r="D151" i="87" s="1"/>
  <c r="AH150" i="87" a="1"/>
  <c r="AH150" i="87" s="1"/>
  <c r="AG150" i="87" a="1"/>
  <c r="AG150" i="87" s="1"/>
  <c r="AF150" i="87" a="1"/>
  <c r="AF150" i="87" s="1"/>
  <c r="AE150" i="87" a="1"/>
  <c r="AE150" i="87" s="1"/>
  <c r="AD150" i="87" a="1"/>
  <c r="AD150" i="87" s="1"/>
  <c r="AC150" i="87" a="1"/>
  <c r="AC150" i="87" s="1"/>
  <c r="AB150" i="87" a="1"/>
  <c r="AB150" i="87" s="1"/>
  <c r="AA150" i="87" a="1"/>
  <c r="AA150" i="87" s="1"/>
  <c r="Z150" i="87" a="1"/>
  <c r="Z150" i="87" s="1"/>
  <c r="Y150" i="87" a="1"/>
  <c r="Y150" i="87" s="1"/>
  <c r="X150" i="87" a="1"/>
  <c r="X150" i="87" s="1"/>
  <c r="W150" i="87" a="1"/>
  <c r="W150" i="87" s="1"/>
  <c r="V150" i="87" a="1"/>
  <c r="V150" i="87" s="1"/>
  <c r="U150" i="87" a="1"/>
  <c r="U150" i="87" s="1"/>
  <c r="T150" i="87" a="1"/>
  <c r="T150" i="87" s="1"/>
  <c r="S150" i="87" a="1"/>
  <c r="S150" i="87" s="1"/>
  <c r="R150" i="87" a="1"/>
  <c r="R150" i="87" s="1"/>
  <c r="Q150" i="87" a="1"/>
  <c r="Q150" i="87" s="1"/>
  <c r="P150" i="87" a="1"/>
  <c r="P150" i="87" s="1"/>
  <c r="O150" i="87" a="1"/>
  <c r="O150" i="87" s="1"/>
  <c r="N150" i="87" a="1"/>
  <c r="N150" i="87" s="1"/>
  <c r="M150" i="87" a="1"/>
  <c r="M150" i="87" s="1"/>
  <c r="L150" i="87" a="1"/>
  <c r="L150" i="87" s="1"/>
  <c r="K150" i="87" a="1"/>
  <c r="K150" i="87" s="1"/>
  <c r="J150" i="87" a="1"/>
  <c r="J150" i="87" s="1"/>
  <c r="I150" i="87" a="1"/>
  <c r="I150" i="87" s="1"/>
  <c r="H150" i="87" a="1"/>
  <c r="H150" i="87" s="1"/>
  <c r="G150" i="87" a="1"/>
  <c r="G150" i="87" s="1"/>
  <c r="F150" i="87" a="1"/>
  <c r="F150" i="87" s="1"/>
  <c r="E150" i="87" a="1"/>
  <c r="E150" i="87" s="1"/>
  <c r="D150" i="87" a="1"/>
  <c r="D150" i="87" s="1"/>
  <c r="AH149" i="87" a="1"/>
  <c r="AH149" i="87" s="1"/>
  <c r="AG149" i="87" a="1"/>
  <c r="AG149" i="87" s="1"/>
  <c r="AF149" i="87" a="1"/>
  <c r="AF149" i="87" s="1"/>
  <c r="AE149" i="87" a="1"/>
  <c r="AE149" i="87" s="1"/>
  <c r="AD149" i="87" a="1"/>
  <c r="AD149" i="87" s="1"/>
  <c r="AC149" i="87" a="1"/>
  <c r="AC149" i="87" s="1"/>
  <c r="AB149" i="87" a="1"/>
  <c r="AB149" i="87" s="1"/>
  <c r="AA149" i="87" a="1"/>
  <c r="AA149" i="87" s="1"/>
  <c r="Z149" i="87" a="1"/>
  <c r="Z149" i="87" s="1"/>
  <c r="Y149" i="87" a="1"/>
  <c r="Y149" i="87" s="1"/>
  <c r="X149" i="87" a="1"/>
  <c r="X149" i="87" s="1"/>
  <c r="W149" i="87" a="1"/>
  <c r="W149" i="87" s="1"/>
  <c r="V149" i="87" a="1"/>
  <c r="V149" i="87" s="1"/>
  <c r="U149" i="87" a="1"/>
  <c r="U149" i="87" s="1"/>
  <c r="T149" i="87" a="1"/>
  <c r="T149" i="87" s="1"/>
  <c r="S149" i="87" a="1"/>
  <c r="S149" i="87" s="1"/>
  <c r="R149" i="87" a="1"/>
  <c r="R149" i="87" s="1"/>
  <c r="Q149" i="87" a="1"/>
  <c r="Q149" i="87" s="1"/>
  <c r="P149" i="87" a="1"/>
  <c r="P149" i="87" s="1"/>
  <c r="O149" i="87" a="1"/>
  <c r="O149" i="87" s="1"/>
  <c r="N149" i="87" a="1"/>
  <c r="N149" i="87" s="1"/>
  <c r="M149" i="87" a="1"/>
  <c r="M149" i="87" s="1"/>
  <c r="L149" i="87" a="1"/>
  <c r="L149" i="87" s="1"/>
  <c r="K149" i="87" a="1"/>
  <c r="K149" i="87" s="1"/>
  <c r="J149" i="87" a="1"/>
  <c r="J149" i="87" s="1"/>
  <c r="I149" i="87" a="1"/>
  <c r="I149" i="87" s="1"/>
  <c r="H149" i="87" a="1"/>
  <c r="H149" i="87" s="1"/>
  <c r="G149" i="87" a="1"/>
  <c r="G149" i="87" s="1"/>
  <c r="F149" i="87" a="1"/>
  <c r="F149" i="87" s="1"/>
  <c r="E149" i="87" a="1"/>
  <c r="E149" i="87" s="1"/>
  <c r="D149" i="87" a="1"/>
  <c r="D149" i="87" s="1"/>
  <c r="AH148" i="87" a="1"/>
  <c r="AH148" i="87" s="1"/>
  <c r="AG148" i="87" a="1"/>
  <c r="AG148" i="87" s="1"/>
  <c r="AF148" i="87" a="1"/>
  <c r="AF148" i="87" s="1"/>
  <c r="AE148" i="87" a="1"/>
  <c r="AE148" i="87" s="1"/>
  <c r="AD148" i="87" a="1"/>
  <c r="AD148" i="87" s="1"/>
  <c r="AC148" i="87" a="1"/>
  <c r="AC148" i="87" s="1"/>
  <c r="AB148" i="87" a="1"/>
  <c r="AB148" i="87" s="1"/>
  <c r="AA148" i="87" a="1"/>
  <c r="AA148" i="87" s="1"/>
  <c r="Z148" i="87" a="1"/>
  <c r="Z148" i="87" s="1"/>
  <c r="Y148" i="87" a="1"/>
  <c r="Y148" i="87" s="1"/>
  <c r="X148" i="87" a="1"/>
  <c r="X148" i="87" s="1"/>
  <c r="W148" i="87" a="1"/>
  <c r="W148" i="87" s="1"/>
  <c r="V148" i="87" a="1"/>
  <c r="V148" i="87" s="1"/>
  <c r="U148" i="87" a="1"/>
  <c r="U148" i="87" s="1"/>
  <c r="T148" i="87" a="1"/>
  <c r="T148" i="87" s="1"/>
  <c r="S148" i="87" a="1"/>
  <c r="S148" i="87" s="1"/>
  <c r="R148" i="87" a="1"/>
  <c r="R148" i="87" s="1"/>
  <c r="Q148" i="87" a="1"/>
  <c r="Q148" i="87" s="1"/>
  <c r="P148" i="87" a="1"/>
  <c r="P148" i="87" s="1"/>
  <c r="O148" i="87" a="1"/>
  <c r="O148" i="87" s="1"/>
  <c r="N148" i="87" a="1"/>
  <c r="N148" i="87" s="1"/>
  <c r="M148" i="87" a="1"/>
  <c r="M148" i="87" s="1"/>
  <c r="L148" i="87" a="1"/>
  <c r="L148" i="87" s="1"/>
  <c r="K148" i="87" a="1"/>
  <c r="K148" i="87" s="1"/>
  <c r="J148" i="87" a="1"/>
  <c r="J148" i="87" s="1"/>
  <c r="I148" i="87" a="1"/>
  <c r="I148" i="87" s="1"/>
  <c r="H148" i="87" a="1"/>
  <c r="H148" i="87" s="1"/>
  <c r="G148" i="87" a="1"/>
  <c r="G148" i="87" s="1"/>
  <c r="F148" i="87" a="1"/>
  <c r="F148" i="87" s="1"/>
  <c r="E148" i="87" a="1"/>
  <c r="E148" i="87" s="1"/>
  <c r="D148" i="87" a="1"/>
  <c r="D148" i="87" s="1"/>
  <c r="AH147" i="87" a="1"/>
  <c r="AH147" i="87" s="1"/>
  <c r="AG147" i="87" a="1"/>
  <c r="AG147" i="87" s="1"/>
  <c r="AF147" i="87" a="1"/>
  <c r="AF147" i="87" s="1"/>
  <c r="AE147" i="87" a="1"/>
  <c r="AE147" i="87" s="1"/>
  <c r="AD147" i="87" a="1"/>
  <c r="AD147" i="87" s="1"/>
  <c r="AC147" i="87" a="1"/>
  <c r="AC147" i="87" s="1"/>
  <c r="AB147" i="87" a="1"/>
  <c r="AB147" i="87" s="1"/>
  <c r="AA147" i="87" a="1"/>
  <c r="AA147" i="87" s="1"/>
  <c r="Z147" i="87" a="1"/>
  <c r="Z147" i="87" s="1"/>
  <c r="Y147" i="87" a="1"/>
  <c r="Y147" i="87" s="1"/>
  <c r="X147" i="87" a="1"/>
  <c r="X147" i="87" s="1"/>
  <c r="W147" i="87" a="1"/>
  <c r="W147" i="87" s="1"/>
  <c r="V147" i="87" a="1"/>
  <c r="V147" i="87" s="1"/>
  <c r="U147" i="87" a="1"/>
  <c r="U147" i="87" s="1"/>
  <c r="T147" i="87" a="1"/>
  <c r="T147" i="87" s="1"/>
  <c r="S147" i="87" a="1"/>
  <c r="S147" i="87" s="1"/>
  <c r="R147" i="87" a="1"/>
  <c r="R147" i="87" s="1"/>
  <c r="Q147" i="87" a="1"/>
  <c r="Q147" i="87" s="1"/>
  <c r="P147" i="87" a="1"/>
  <c r="P147" i="87" s="1"/>
  <c r="O147" i="87" a="1"/>
  <c r="O147" i="87" s="1"/>
  <c r="N147" i="87" a="1"/>
  <c r="N147" i="87" s="1"/>
  <c r="M147" i="87" a="1"/>
  <c r="M147" i="87" s="1"/>
  <c r="L147" i="87" a="1"/>
  <c r="L147" i="87" s="1"/>
  <c r="K147" i="87" a="1"/>
  <c r="K147" i="87" s="1"/>
  <c r="J147" i="87" a="1"/>
  <c r="J147" i="87" s="1"/>
  <c r="I147" i="87" a="1"/>
  <c r="I147" i="87" s="1"/>
  <c r="H147" i="87" a="1"/>
  <c r="H147" i="87" s="1"/>
  <c r="G147" i="87" a="1"/>
  <c r="G147" i="87" s="1"/>
  <c r="F147" i="87" a="1"/>
  <c r="F147" i="87" s="1"/>
  <c r="E147" i="87" a="1"/>
  <c r="E147" i="87" s="1"/>
  <c r="D147" i="87" a="1"/>
  <c r="D147" i="87" s="1"/>
  <c r="AH146" i="87" a="1"/>
  <c r="AH146" i="87" s="1"/>
  <c r="AG146" i="87" a="1"/>
  <c r="AG146" i="87" s="1"/>
  <c r="AF146" i="87" a="1"/>
  <c r="AF146" i="87" s="1"/>
  <c r="AE146" i="87" a="1"/>
  <c r="AE146" i="87" s="1"/>
  <c r="AD146" i="87" a="1"/>
  <c r="AD146" i="87" s="1"/>
  <c r="AC146" i="87" a="1"/>
  <c r="AC146" i="87" s="1"/>
  <c r="AB146" i="87" a="1"/>
  <c r="AB146" i="87" s="1"/>
  <c r="AA146" i="87" a="1"/>
  <c r="AA146" i="87" s="1"/>
  <c r="Z146" i="87" a="1"/>
  <c r="Z146" i="87" s="1"/>
  <c r="Y146" i="87" a="1"/>
  <c r="Y146" i="87" s="1"/>
  <c r="X146" i="87" a="1"/>
  <c r="X146" i="87" s="1"/>
  <c r="W146" i="87" a="1"/>
  <c r="W146" i="87" s="1"/>
  <c r="V146" i="87" a="1"/>
  <c r="V146" i="87" s="1"/>
  <c r="U146" i="87" a="1"/>
  <c r="U146" i="87" s="1"/>
  <c r="T146" i="87" a="1"/>
  <c r="T146" i="87" s="1"/>
  <c r="S146" i="87" a="1"/>
  <c r="S146" i="87" s="1"/>
  <c r="R146" i="87" a="1"/>
  <c r="R146" i="87" s="1"/>
  <c r="Q146" i="87" a="1"/>
  <c r="Q146" i="87" s="1"/>
  <c r="P146" i="87" a="1"/>
  <c r="P146" i="87" s="1"/>
  <c r="O146" i="87" a="1"/>
  <c r="O146" i="87" s="1"/>
  <c r="N146" i="87" a="1"/>
  <c r="N146" i="87" s="1"/>
  <c r="M146" i="87" a="1"/>
  <c r="M146" i="87" s="1"/>
  <c r="L146" i="87" a="1"/>
  <c r="L146" i="87" s="1"/>
  <c r="K146" i="87" a="1"/>
  <c r="K146" i="87" s="1"/>
  <c r="J146" i="87" a="1"/>
  <c r="J146" i="87" s="1"/>
  <c r="I146" i="87" a="1"/>
  <c r="I146" i="87" s="1"/>
  <c r="H146" i="87" a="1"/>
  <c r="H146" i="87" s="1"/>
  <c r="G146" i="87" a="1"/>
  <c r="G146" i="87" s="1"/>
  <c r="F146" i="87" a="1"/>
  <c r="F146" i="87" s="1"/>
  <c r="E146" i="87" a="1"/>
  <c r="E146" i="87" s="1"/>
  <c r="D146" i="87" a="1"/>
  <c r="D146" i="87" s="1"/>
  <c r="AH145" i="87" a="1"/>
  <c r="AH145" i="87" s="1"/>
  <c r="AG145" i="87" a="1"/>
  <c r="AG145" i="87" s="1"/>
  <c r="AF145" i="87" a="1"/>
  <c r="AF145" i="87" s="1"/>
  <c r="AE145" i="87" a="1"/>
  <c r="AE145" i="87" s="1"/>
  <c r="AD145" i="87" a="1"/>
  <c r="AD145" i="87" s="1"/>
  <c r="AC145" i="87" a="1"/>
  <c r="AC145" i="87" s="1"/>
  <c r="AB145" i="87" a="1"/>
  <c r="AB145" i="87" s="1"/>
  <c r="AA145" i="87" a="1"/>
  <c r="AA145" i="87" s="1"/>
  <c r="Z145" i="87" a="1"/>
  <c r="Z145" i="87" s="1"/>
  <c r="Y145" i="87" a="1"/>
  <c r="Y145" i="87" s="1"/>
  <c r="X145" i="87" a="1"/>
  <c r="X145" i="87" s="1"/>
  <c r="W145" i="87" a="1"/>
  <c r="W145" i="87" s="1"/>
  <c r="V145" i="87" a="1"/>
  <c r="V145" i="87" s="1"/>
  <c r="U145" i="87" a="1"/>
  <c r="U145" i="87" s="1"/>
  <c r="T145" i="87" a="1"/>
  <c r="T145" i="87" s="1"/>
  <c r="S145" i="87" a="1"/>
  <c r="S145" i="87" s="1"/>
  <c r="R145" i="87" a="1"/>
  <c r="R145" i="87" s="1"/>
  <c r="Q145" i="87" a="1"/>
  <c r="Q145" i="87" s="1"/>
  <c r="P145" i="87" a="1"/>
  <c r="P145" i="87" s="1"/>
  <c r="O145" i="87" a="1"/>
  <c r="O145" i="87" s="1"/>
  <c r="N145" i="87" a="1"/>
  <c r="N145" i="87" s="1"/>
  <c r="M145" i="87" a="1"/>
  <c r="M145" i="87" s="1"/>
  <c r="L145" i="87" a="1"/>
  <c r="L145" i="87" s="1"/>
  <c r="K145" i="87" a="1"/>
  <c r="K145" i="87" s="1"/>
  <c r="J145" i="87" a="1"/>
  <c r="J145" i="87" s="1"/>
  <c r="I145" i="87" a="1"/>
  <c r="I145" i="87" s="1"/>
  <c r="H145" i="87" a="1"/>
  <c r="H145" i="87" s="1"/>
  <c r="G145" i="87" a="1"/>
  <c r="G145" i="87" s="1"/>
  <c r="F145" i="87" a="1"/>
  <c r="F145" i="87" s="1"/>
  <c r="E145" i="87" a="1"/>
  <c r="E145" i="87" s="1"/>
  <c r="D145" i="87" a="1"/>
  <c r="D145" i="87" s="1"/>
  <c r="AH144" i="87" a="1"/>
  <c r="AH144" i="87" s="1"/>
  <c r="AG144" i="87" a="1"/>
  <c r="AG144" i="87" s="1"/>
  <c r="AF144" i="87" a="1"/>
  <c r="AF144" i="87" s="1"/>
  <c r="AE144" i="87" a="1"/>
  <c r="AE144" i="87" s="1"/>
  <c r="AD144" i="87" a="1"/>
  <c r="AD144" i="87" s="1"/>
  <c r="AC144" i="87" a="1"/>
  <c r="AC144" i="87" s="1"/>
  <c r="AB144" i="87" a="1"/>
  <c r="AB144" i="87" s="1"/>
  <c r="AA144" i="87" a="1"/>
  <c r="AA144" i="87" s="1"/>
  <c r="Z144" i="87" a="1"/>
  <c r="Z144" i="87" s="1"/>
  <c r="Y144" i="87" a="1"/>
  <c r="Y144" i="87" s="1"/>
  <c r="X144" i="87" a="1"/>
  <c r="X144" i="87" s="1"/>
  <c r="W144" i="87" a="1"/>
  <c r="W144" i="87" s="1"/>
  <c r="V144" i="87" a="1"/>
  <c r="V144" i="87" s="1"/>
  <c r="U144" i="87" a="1"/>
  <c r="U144" i="87" s="1"/>
  <c r="T144" i="87" a="1"/>
  <c r="T144" i="87" s="1"/>
  <c r="S144" i="87" a="1"/>
  <c r="S144" i="87" s="1"/>
  <c r="R144" i="87" a="1"/>
  <c r="R144" i="87" s="1"/>
  <c r="Q144" i="87" a="1"/>
  <c r="Q144" i="87" s="1"/>
  <c r="P144" i="87" a="1"/>
  <c r="P144" i="87" s="1"/>
  <c r="O144" i="87" a="1"/>
  <c r="O144" i="87" s="1"/>
  <c r="N144" i="87" a="1"/>
  <c r="N144" i="87" s="1"/>
  <c r="M144" i="87" a="1"/>
  <c r="M144" i="87" s="1"/>
  <c r="L144" i="87" a="1"/>
  <c r="L144" i="87" s="1"/>
  <c r="K144" i="87" a="1"/>
  <c r="K144" i="87" s="1"/>
  <c r="J144" i="87" a="1"/>
  <c r="J144" i="87" s="1"/>
  <c r="I144" i="87" a="1"/>
  <c r="I144" i="87" s="1"/>
  <c r="H144" i="87" a="1"/>
  <c r="H144" i="87" s="1"/>
  <c r="G144" i="87" a="1"/>
  <c r="G144" i="87" s="1"/>
  <c r="F144" i="87" a="1"/>
  <c r="F144" i="87" s="1"/>
  <c r="E144" i="87" a="1"/>
  <c r="E144" i="87" s="1"/>
  <c r="D144" i="87" a="1"/>
  <c r="D144" i="87" s="1"/>
  <c r="AH143" i="87" a="1"/>
  <c r="AH143" i="87" s="1"/>
  <c r="AG143" i="87" a="1"/>
  <c r="AG143" i="87" s="1"/>
  <c r="AF143" i="87" a="1"/>
  <c r="AF143" i="87" s="1"/>
  <c r="AE143" i="87" a="1"/>
  <c r="AE143" i="87" s="1"/>
  <c r="AD143" i="87" a="1"/>
  <c r="AD143" i="87" s="1"/>
  <c r="AC143" i="87" a="1"/>
  <c r="AC143" i="87" s="1"/>
  <c r="AB143" i="87" a="1"/>
  <c r="AB143" i="87" s="1"/>
  <c r="AA143" i="87" a="1"/>
  <c r="AA143" i="87" s="1"/>
  <c r="Z143" i="87" a="1"/>
  <c r="Z143" i="87" s="1"/>
  <c r="Y143" i="87" a="1"/>
  <c r="Y143" i="87" s="1"/>
  <c r="X143" i="87" a="1"/>
  <c r="X143" i="87" s="1"/>
  <c r="W143" i="87" a="1"/>
  <c r="W143" i="87" s="1"/>
  <c r="V143" i="87" a="1"/>
  <c r="V143" i="87" s="1"/>
  <c r="U143" i="87" a="1"/>
  <c r="U143" i="87" s="1"/>
  <c r="T143" i="87" a="1"/>
  <c r="T143" i="87" s="1"/>
  <c r="S143" i="87" a="1"/>
  <c r="S143" i="87" s="1"/>
  <c r="R143" i="87" a="1"/>
  <c r="R143" i="87" s="1"/>
  <c r="Q143" i="87" a="1"/>
  <c r="Q143" i="87" s="1"/>
  <c r="P143" i="87" a="1"/>
  <c r="P143" i="87" s="1"/>
  <c r="O143" i="87" a="1"/>
  <c r="O143" i="87" s="1"/>
  <c r="N143" i="87" a="1"/>
  <c r="N143" i="87" s="1"/>
  <c r="M143" i="87" a="1"/>
  <c r="M143" i="87" s="1"/>
  <c r="L143" i="87" a="1"/>
  <c r="L143" i="87" s="1"/>
  <c r="K143" i="87" a="1"/>
  <c r="K143" i="87" s="1"/>
  <c r="J143" i="87" a="1"/>
  <c r="J143" i="87" s="1"/>
  <c r="I143" i="87" a="1"/>
  <c r="I143" i="87" s="1"/>
  <c r="H143" i="87" a="1"/>
  <c r="H143" i="87" s="1"/>
  <c r="G143" i="87" a="1"/>
  <c r="G143" i="87" s="1"/>
  <c r="F143" i="87" a="1"/>
  <c r="F143" i="87" s="1"/>
  <c r="E143" i="87" a="1"/>
  <c r="E143" i="87" s="1"/>
  <c r="D143" i="87" a="1"/>
  <c r="D143" i="87" s="1"/>
  <c r="AH142" i="87" a="1"/>
  <c r="AH142" i="87" s="1"/>
  <c r="AG142" i="87" a="1"/>
  <c r="AG142" i="87" s="1"/>
  <c r="AF142" i="87" a="1"/>
  <c r="AF142" i="87" s="1"/>
  <c r="AE142" i="87" a="1"/>
  <c r="AE142" i="87" s="1"/>
  <c r="AD142" i="87" a="1"/>
  <c r="AD142" i="87" s="1"/>
  <c r="AC142" i="87" a="1"/>
  <c r="AC142" i="87" s="1"/>
  <c r="AB142" i="87" a="1"/>
  <c r="AB142" i="87" s="1"/>
  <c r="AA142" i="87" a="1"/>
  <c r="AA142" i="87" s="1"/>
  <c r="Z142" i="87" a="1"/>
  <c r="Z142" i="87" s="1"/>
  <c r="Y142" i="87" a="1"/>
  <c r="Y142" i="87" s="1"/>
  <c r="X142" i="87" a="1"/>
  <c r="X142" i="87" s="1"/>
  <c r="W142" i="87" a="1"/>
  <c r="W142" i="87" s="1"/>
  <c r="V142" i="87" a="1"/>
  <c r="V142" i="87" s="1"/>
  <c r="U142" i="87" a="1"/>
  <c r="U142" i="87" s="1"/>
  <c r="T142" i="87" a="1"/>
  <c r="T142" i="87" s="1"/>
  <c r="S142" i="87" a="1"/>
  <c r="S142" i="87" s="1"/>
  <c r="R142" i="87" a="1"/>
  <c r="R142" i="87" s="1"/>
  <c r="Q142" i="87" a="1"/>
  <c r="Q142" i="87" s="1"/>
  <c r="P142" i="87" a="1"/>
  <c r="P142" i="87" s="1"/>
  <c r="O142" i="87" a="1"/>
  <c r="O142" i="87" s="1"/>
  <c r="N142" i="87" a="1"/>
  <c r="N142" i="87" s="1"/>
  <c r="M142" i="87" a="1"/>
  <c r="M142" i="87" s="1"/>
  <c r="L142" i="87" a="1"/>
  <c r="L142" i="87" s="1"/>
  <c r="K142" i="87" a="1"/>
  <c r="K142" i="87" s="1"/>
  <c r="J142" i="87" a="1"/>
  <c r="J142" i="87" s="1"/>
  <c r="I142" i="87" a="1"/>
  <c r="I142" i="87" s="1"/>
  <c r="H142" i="87" a="1"/>
  <c r="H142" i="87" s="1"/>
  <c r="G142" i="87" a="1"/>
  <c r="G142" i="87" s="1"/>
  <c r="F142" i="87" a="1"/>
  <c r="F142" i="87" s="1"/>
  <c r="E142" i="87" a="1"/>
  <c r="E142" i="87" s="1"/>
  <c r="D142" i="87" a="1"/>
  <c r="D142" i="87" s="1"/>
  <c r="AH141" i="87" a="1"/>
  <c r="AH141" i="87" s="1"/>
  <c r="AG141" i="87" a="1"/>
  <c r="AG141" i="87" s="1"/>
  <c r="AF141" i="87" a="1"/>
  <c r="AF141" i="87" s="1"/>
  <c r="AE141" i="87" a="1"/>
  <c r="AE141" i="87" s="1"/>
  <c r="AD141" i="87" a="1"/>
  <c r="AD141" i="87" s="1"/>
  <c r="AC141" i="87" a="1"/>
  <c r="AC141" i="87" s="1"/>
  <c r="AB141" i="87" a="1"/>
  <c r="AB141" i="87" s="1"/>
  <c r="AA141" i="87" a="1"/>
  <c r="AA141" i="87" s="1"/>
  <c r="Z141" i="87" a="1"/>
  <c r="Z141" i="87" s="1"/>
  <c r="Y141" i="87" a="1"/>
  <c r="Y141" i="87" s="1"/>
  <c r="X141" i="87" a="1"/>
  <c r="X141" i="87" s="1"/>
  <c r="W141" i="87" a="1"/>
  <c r="W141" i="87" s="1"/>
  <c r="V141" i="87" a="1"/>
  <c r="V141" i="87" s="1"/>
  <c r="U141" i="87" a="1"/>
  <c r="U141" i="87" s="1"/>
  <c r="T141" i="87" a="1"/>
  <c r="T141" i="87" s="1"/>
  <c r="S141" i="87" a="1"/>
  <c r="S141" i="87" s="1"/>
  <c r="R141" i="87" a="1"/>
  <c r="R141" i="87" s="1"/>
  <c r="Q141" i="87" a="1"/>
  <c r="Q141" i="87" s="1"/>
  <c r="P141" i="87" a="1"/>
  <c r="P141" i="87" s="1"/>
  <c r="O141" i="87" a="1"/>
  <c r="O141" i="87" s="1"/>
  <c r="N141" i="87" a="1"/>
  <c r="N141" i="87" s="1"/>
  <c r="M141" i="87" a="1"/>
  <c r="M141" i="87" s="1"/>
  <c r="L141" i="87" a="1"/>
  <c r="L141" i="87" s="1"/>
  <c r="K141" i="87" a="1"/>
  <c r="K141" i="87" s="1"/>
  <c r="J141" i="87" a="1"/>
  <c r="J141" i="87" s="1"/>
  <c r="I141" i="87" a="1"/>
  <c r="I141" i="87" s="1"/>
  <c r="H141" i="87" a="1"/>
  <c r="H141" i="87" s="1"/>
  <c r="G141" i="87" a="1"/>
  <c r="G141" i="87" s="1"/>
  <c r="F141" i="87" a="1"/>
  <c r="F141" i="87" s="1"/>
  <c r="E141" i="87" a="1"/>
  <c r="E141" i="87" s="1"/>
  <c r="D141" i="87" a="1"/>
  <c r="D141" i="87" s="1"/>
  <c r="AH140" i="87" a="1"/>
  <c r="AH140" i="87" s="1"/>
  <c r="AG140" i="87" a="1"/>
  <c r="AG140" i="87" s="1"/>
  <c r="AF140" i="87" a="1"/>
  <c r="AF140" i="87" s="1"/>
  <c r="AE140" i="87" a="1"/>
  <c r="AE140" i="87" s="1"/>
  <c r="AD140" i="87" a="1"/>
  <c r="AD140" i="87" s="1"/>
  <c r="AC140" i="87" a="1"/>
  <c r="AC140" i="87" s="1"/>
  <c r="AB140" i="87" a="1"/>
  <c r="AB140" i="87" s="1"/>
  <c r="AA140" i="87" a="1"/>
  <c r="AA140" i="87" s="1"/>
  <c r="Z140" i="87" a="1"/>
  <c r="Z140" i="87" s="1"/>
  <c r="Y140" i="87" a="1"/>
  <c r="Y140" i="87" s="1"/>
  <c r="X140" i="87" a="1"/>
  <c r="X140" i="87" s="1"/>
  <c r="W140" i="87" a="1"/>
  <c r="W140" i="87" s="1"/>
  <c r="V140" i="87" a="1"/>
  <c r="V140" i="87" s="1"/>
  <c r="U140" i="87" a="1"/>
  <c r="U140" i="87" s="1"/>
  <c r="T140" i="87" a="1"/>
  <c r="T140" i="87" s="1"/>
  <c r="S140" i="87" a="1"/>
  <c r="S140" i="87" s="1"/>
  <c r="R140" i="87" a="1"/>
  <c r="R140" i="87" s="1"/>
  <c r="Q140" i="87" a="1"/>
  <c r="Q140" i="87" s="1"/>
  <c r="P140" i="87" a="1"/>
  <c r="P140" i="87" s="1"/>
  <c r="O140" i="87" a="1"/>
  <c r="O140" i="87" s="1"/>
  <c r="N140" i="87" a="1"/>
  <c r="N140" i="87" s="1"/>
  <c r="M140" i="87" a="1"/>
  <c r="M140" i="87" s="1"/>
  <c r="L140" i="87" a="1"/>
  <c r="L140" i="87" s="1"/>
  <c r="K140" i="87" a="1"/>
  <c r="K140" i="87" s="1"/>
  <c r="J140" i="87" a="1"/>
  <c r="J140" i="87" s="1"/>
  <c r="I140" i="87" a="1"/>
  <c r="I140" i="87" s="1"/>
  <c r="H140" i="87" a="1"/>
  <c r="H140" i="87" s="1"/>
  <c r="G140" i="87" a="1"/>
  <c r="G140" i="87" s="1"/>
  <c r="F140" i="87" a="1"/>
  <c r="F140" i="87" s="1"/>
  <c r="E140" i="87" a="1"/>
  <c r="E140" i="87" s="1"/>
  <c r="D140" i="87" a="1"/>
  <c r="D140" i="87" s="1"/>
  <c r="AH139" i="87" a="1"/>
  <c r="AH139" i="87" s="1"/>
  <c r="AG139" i="87" a="1"/>
  <c r="AG139" i="87" s="1"/>
  <c r="AF139" i="87" a="1"/>
  <c r="AF139" i="87" s="1"/>
  <c r="AE139" i="87" a="1"/>
  <c r="AE139" i="87" s="1"/>
  <c r="AD139" i="87" a="1"/>
  <c r="AD139" i="87" s="1"/>
  <c r="AC139" i="87" a="1"/>
  <c r="AC139" i="87" s="1"/>
  <c r="AB139" i="87" a="1"/>
  <c r="AB139" i="87" s="1"/>
  <c r="AA139" i="87" a="1"/>
  <c r="AA139" i="87" s="1"/>
  <c r="Z139" i="87" a="1"/>
  <c r="Z139" i="87" s="1"/>
  <c r="Y139" i="87" a="1"/>
  <c r="Y139" i="87" s="1"/>
  <c r="X139" i="87" a="1"/>
  <c r="X139" i="87" s="1"/>
  <c r="W139" i="87" a="1"/>
  <c r="W139" i="87" s="1"/>
  <c r="V139" i="87" a="1"/>
  <c r="V139" i="87" s="1"/>
  <c r="U139" i="87" a="1"/>
  <c r="U139" i="87" s="1"/>
  <c r="T139" i="87" a="1"/>
  <c r="T139" i="87" s="1"/>
  <c r="S139" i="87" a="1"/>
  <c r="S139" i="87" s="1"/>
  <c r="R139" i="87" a="1"/>
  <c r="R139" i="87" s="1"/>
  <c r="Q139" i="87" a="1"/>
  <c r="Q139" i="87" s="1"/>
  <c r="P139" i="87" a="1"/>
  <c r="P139" i="87" s="1"/>
  <c r="O139" i="87" a="1"/>
  <c r="O139" i="87" s="1"/>
  <c r="N139" i="87" a="1"/>
  <c r="N139" i="87" s="1"/>
  <c r="M139" i="87" a="1"/>
  <c r="M139" i="87" s="1"/>
  <c r="L139" i="87" a="1"/>
  <c r="L139" i="87" s="1"/>
  <c r="K139" i="87" a="1"/>
  <c r="K139" i="87" s="1"/>
  <c r="J139" i="87" a="1"/>
  <c r="J139" i="87" s="1"/>
  <c r="I139" i="87" a="1"/>
  <c r="I139" i="87" s="1"/>
  <c r="H139" i="87" a="1"/>
  <c r="H139" i="87" s="1"/>
  <c r="G139" i="87" a="1"/>
  <c r="G139" i="87" s="1"/>
  <c r="F139" i="87" a="1"/>
  <c r="F139" i="87" s="1"/>
  <c r="E139" i="87" a="1"/>
  <c r="E139" i="87" s="1"/>
  <c r="D139" i="87" a="1"/>
  <c r="D139" i="87" s="1"/>
  <c r="AH138" i="87" a="1"/>
  <c r="AH138" i="87" s="1"/>
  <c r="AG138" i="87" a="1"/>
  <c r="AG138" i="87" s="1"/>
  <c r="AF138" i="87" a="1"/>
  <c r="AF138" i="87" s="1"/>
  <c r="AE138" i="87" a="1"/>
  <c r="AE138" i="87" s="1"/>
  <c r="AD138" i="87" a="1"/>
  <c r="AD138" i="87" s="1"/>
  <c r="AC138" i="87" a="1"/>
  <c r="AC138" i="87" s="1"/>
  <c r="AB138" i="87" a="1"/>
  <c r="AB138" i="87" s="1"/>
  <c r="AA138" i="87" a="1"/>
  <c r="AA138" i="87" s="1"/>
  <c r="Z138" i="87" a="1"/>
  <c r="Z138" i="87" s="1"/>
  <c r="Y138" i="87" a="1"/>
  <c r="Y138" i="87" s="1"/>
  <c r="X138" i="87" a="1"/>
  <c r="X138" i="87" s="1"/>
  <c r="W138" i="87" a="1"/>
  <c r="W138" i="87" s="1"/>
  <c r="V138" i="87" a="1"/>
  <c r="V138" i="87" s="1"/>
  <c r="U138" i="87" a="1"/>
  <c r="U138" i="87" s="1"/>
  <c r="T138" i="87" a="1"/>
  <c r="T138" i="87" s="1"/>
  <c r="S138" i="87" a="1"/>
  <c r="S138" i="87" s="1"/>
  <c r="R138" i="87" a="1"/>
  <c r="R138" i="87" s="1"/>
  <c r="Q138" i="87" a="1"/>
  <c r="Q138" i="87" s="1"/>
  <c r="P138" i="87" a="1"/>
  <c r="P138" i="87" s="1"/>
  <c r="O138" i="87" a="1"/>
  <c r="O138" i="87" s="1"/>
  <c r="N138" i="87" a="1"/>
  <c r="N138" i="87" s="1"/>
  <c r="M138" i="87" a="1"/>
  <c r="M138" i="87" s="1"/>
  <c r="L138" i="87" a="1"/>
  <c r="L138" i="87" s="1"/>
  <c r="K138" i="87" a="1"/>
  <c r="K138" i="87" s="1"/>
  <c r="J138" i="87" a="1"/>
  <c r="J138" i="87" s="1"/>
  <c r="I138" i="87" a="1"/>
  <c r="I138" i="87" s="1"/>
  <c r="H138" i="87" a="1"/>
  <c r="H138" i="87" s="1"/>
  <c r="G138" i="87" a="1"/>
  <c r="G138" i="87" s="1"/>
  <c r="F138" i="87" a="1"/>
  <c r="F138" i="87" s="1"/>
  <c r="E138" i="87" a="1"/>
  <c r="E138" i="87" s="1"/>
  <c r="D138" i="87" a="1"/>
  <c r="D138" i="87" s="1"/>
  <c r="AH137" i="87" a="1"/>
  <c r="AH137" i="87" s="1"/>
  <c r="AG137" i="87" a="1"/>
  <c r="AG137" i="87" s="1"/>
  <c r="AF137" i="87" a="1"/>
  <c r="AF137" i="87" s="1"/>
  <c r="AE137" i="87" a="1"/>
  <c r="AE137" i="87" s="1"/>
  <c r="AD137" i="87" a="1"/>
  <c r="AD137" i="87" s="1"/>
  <c r="AC137" i="87" a="1"/>
  <c r="AC137" i="87" s="1"/>
  <c r="AB137" i="87" a="1"/>
  <c r="AB137" i="87" s="1"/>
  <c r="AA137" i="87" a="1"/>
  <c r="AA137" i="87" s="1"/>
  <c r="Z137" i="87" a="1"/>
  <c r="Z137" i="87" s="1"/>
  <c r="Y137" i="87" a="1"/>
  <c r="Y137" i="87" s="1"/>
  <c r="X137" i="87" a="1"/>
  <c r="X137" i="87" s="1"/>
  <c r="W137" i="87" a="1"/>
  <c r="W137" i="87" s="1"/>
  <c r="V137" i="87" a="1"/>
  <c r="V137" i="87" s="1"/>
  <c r="U137" i="87" a="1"/>
  <c r="U137" i="87" s="1"/>
  <c r="T137" i="87" a="1"/>
  <c r="T137" i="87" s="1"/>
  <c r="S137" i="87" a="1"/>
  <c r="S137" i="87" s="1"/>
  <c r="R137" i="87" a="1"/>
  <c r="R137" i="87" s="1"/>
  <c r="Q137" i="87" a="1"/>
  <c r="Q137" i="87" s="1"/>
  <c r="P137" i="87" a="1"/>
  <c r="P137" i="87" s="1"/>
  <c r="O137" i="87" a="1"/>
  <c r="O137" i="87" s="1"/>
  <c r="N137" i="87" a="1"/>
  <c r="N137" i="87" s="1"/>
  <c r="M137" i="87" a="1"/>
  <c r="M137" i="87" s="1"/>
  <c r="L137" i="87" a="1"/>
  <c r="L137" i="87" s="1"/>
  <c r="K137" i="87" a="1"/>
  <c r="K137" i="87" s="1"/>
  <c r="J137" i="87" a="1"/>
  <c r="J137" i="87" s="1"/>
  <c r="I137" i="87" a="1"/>
  <c r="I137" i="87" s="1"/>
  <c r="H137" i="87" a="1"/>
  <c r="H137" i="87" s="1"/>
  <c r="G137" i="87" a="1"/>
  <c r="G137" i="87" s="1"/>
  <c r="F137" i="87" a="1"/>
  <c r="F137" i="87" s="1"/>
  <c r="E137" i="87" a="1"/>
  <c r="E137" i="87" s="1"/>
  <c r="D137" i="87" a="1"/>
  <c r="D137" i="87" s="1"/>
  <c r="AH136" i="87" a="1"/>
  <c r="AH136" i="87" s="1"/>
  <c r="AG136" i="87" a="1"/>
  <c r="AG136" i="87" s="1"/>
  <c r="AF136" i="87" a="1"/>
  <c r="AF136" i="87" s="1"/>
  <c r="AE136" i="87" a="1"/>
  <c r="AE136" i="87" s="1"/>
  <c r="AD136" i="87" a="1"/>
  <c r="AD136" i="87" s="1"/>
  <c r="AC136" i="87" a="1"/>
  <c r="AC136" i="87" s="1"/>
  <c r="AB136" i="87" a="1"/>
  <c r="AB136" i="87" s="1"/>
  <c r="AA136" i="87" a="1"/>
  <c r="AA136" i="87" s="1"/>
  <c r="Z136" i="87" a="1"/>
  <c r="Z136" i="87" s="1"/>
  <c r="Y136" i="87" a="1"/>
  <c r="Y136" i="87" s="1"/>
  <c r="X136" i="87" a="1"/>
  <c r="X136" i="87" s="1"/>
  <c r="W136" i="87" a="1"/>
  <c r="W136" i="87" s="1"/>
  <c r="V136" i="87" a="1"/>
  <c r="V136" i="87" s="1"/>
  <c r="U136" i="87" a="1"/>
  <c r="U136" i="87" s="1"/>
  <c r="T136" i="87" a="1"/>
  <c r="T136" i="87" s="1"/>
  <c r="S136" i="87" a="1"/>
  <c r="S136" i="87" s="1"/>
  <c r="R136" i="87" a="1"/>
  <c r="R136" i="87" s="1"/>
  <c r="Q136" i="87" a="1"/>
  <c r="Q136" i="87" s="1"/>
  <c r="P136" i="87" a="1"/>
  <c r="P136" i="87" s="1"/>
  <c r="O136" i="87" a="1"/>
  <c r="O136" i="87" s="1"/>
  <c r="N136" i="87" a="1"/>
  <c r="N136" i="87" s="1"/>
  <c r="M136" i="87" a="1"/>
  <c r="M136" i="87" s="1"/>
  <c r="L136" i="87" a="1"/>
  <c r="L136" i="87" s="1"/>
  <c r="K136" i="87" a="1"/>
  <c r="K136" i="87" s="1"/>
  <c r="J136" i="87" a="1"/>
  <c r="J136" i="87" s="1"/>
  <c r="I136" i="87" a="1"/>
  <c r="I136" i="87" s="1"/>
  <c r="H136" i="87" a="1"/>
  <c r="H136" i="87" s="1"/>
  <c r="G136" i="87" a="1"/>
  <c r="G136" i="87" s="1"/>
  <c r="F136" i="87" a="1"/>
  <c r="F136" i="87" s="1"/>
  <c r="E136" i="87" a="1"/>
  <c r="E136" i="87" s="1"/>
  <c r="D136" i="87" a="1"/>
  <c r="D136" i="87" s="1"/>
  <c r="AH135" i="87" a="1"/>
  <c r="AH135" i="87" s="1"/>
  <c r="AG135" i="87" a="1"/>
  <c r="AG135" i="87" s="1"/>
  <c r="AF135" i="87" a="1"/>
  <c r="AF135" i="87" s="1"/>
  <c r="AE135" i="87" a="1"/>
  <c r="AE135" i="87" s="1"/>
  <c r="AD135" i="87" a="1"/>
  <c r="AD135" i="87" s="1"/>
  <c r="AC135" i="87" a="1"/>
  <c r="AC135" i="87" s="1"/>
  <c r="AB135" i="87" a="1"/>
  <c r="AB135" i="87" s="1"/>
  <c r="AA135" i="87" a="1"/>
  <c r="AA135" i="87" s="1"/>
  <c r="Z135" i="87" a="1"/>
  <c r="Z135" i="87" s="1"/>
  <c r="Y135" i="87" a="1"/>
  <c r="Y135" i="87" s="1"/>
  <c r="X135" i="87" a="1"/>
  <c r="X135" i="87" s="1"/>
  <c r="W135" i="87" a="1"/>
  <c r="W135" i="87" s="1"/>
  <c r="V135" i="87" a="1"/>
  <c r="V135" i="87" s="1"/>
  <c r="U135" i="87" a="1"/>
  <c r="U135" i="87" s="1"/>
  <c r="T135" i="87" a="1"/>
  <c r="T135" i="87" s="1"/>
  <c r="S135" i="87" a="1"/>
  <c r="S135" i="87" s="1"/>
  <c r="R135" i="87" a="1"/>
  <c r="R135" i="87" s="1"/>
  <c r="Q135" i="87" a="1"/>
  <c r="Q135" i="87" s="1"/>
  <c r="P135" i="87" a="1"/>
  <c r="P135" i="87" s="1"/>
  <c r="O135" i="87" a="1"/>
  <c r="O135" i="87" s="1"/>
  <c r="N135" i="87" a="1"/>
  <c r="N135" i="87" s="1"/>
  <c r="M135" i="87" a="1"/>
  <c r="M135" i="87" s="1"/>
  <c r="L135" i="87" a="1"/>
  <c r="L135" i="87" s="1"/>
  <c r="K135" i="87" a="1"/>
  <c r="K135" i="87" s="1"/>
  <c r="J135" i="87" a="1"/>
  <c r="J135" i="87" s="1"/>
  <c r="I135" i="87" a="1"/>
  <c r="I135" i="87" s="1"/>
  <c r="H135" i="87" a="1"/>
  <c r="H135" i="87" s="1"/>
  <c r="G135" i="87" a="1"/>
  <c r="G135" i="87" s="1"/>
  <c r="F135" i="87" a="1"/>
  <c r="F135" i="87" s="1"/>
  <c r="E135" i="87" a="1"/>
  <c r="E135" i="87" s="1"/>
  <c r="D135" i="87" a="1"/>
  <c r="D135" i="87" s="1"/>
  <c r="AH134" i="87" a="1"/>
  <c r="AH134" i="87" s="1"/>
  <c r="AG134" i="87" a="1"/>
  <c r="AG134" i="87" s="1"/>
  <c r="AF134" i="87" a="1"/>
  <c r="AF134" i="87" s="1"/>
  <c r="AE134" i="87" a="1"/>
  <c r="AE134" i="87" s="1"/>
  <c r="AD134" i="87" a="1"/>
  <c r="AD134" i="87" s="1"/>
  <c r="AC134" i="87" a="1"/>
  <c r="AC134" i="87" s="1"/>
  <c r="AB134" i="87" a="1"/>
  <c r="AB134" i="87" s="1"/>
  <c r="AA134" i="87" a="1"/>
  <c r="AA134" i="87" s="1"/>
  <c r="Z134" i="87" a="1"/>
  <c r="Z134" i="87" s="1"/>
  <c r="Y134" i="87" a="1"/>
  <c r="Y134" i="87" s="1"/>
  <c r="X134" i="87" a="1"/>
  <c r="X134" i="87" s="1"/>
  <c r="W134" i="87" a="1"/>
  <c r="W134" i="87" s="1"/>
  <c r="V134" i="87" a="1"/>
  <c r="V134" i="87" s="1"/>
  <c r="U134" i="87" a="1"/>
  <c r="U134" i="87" s="1"/>
  <c r="T134" i="87" a="1"/>
  <c r="T134" i="87" s="1"/>
  <c r="S134" i="87" a="1"/>
  <c r="S134" i="87" s="1"/>
  <c r="R134" i="87" a="1"/>
  <c r="R134" i="87" s="1"/>
  <c r="Q134" i="87" a="1"/>
  <c r="Q134" i="87" s="1"/>
  <c r="P134" i="87" a="1"/>
  <c r="P134" i="87" s="1"/>
  <c r="O134" i="87" a="1"/>
  <c r="O134" i="87" s="1"/>
  <c r="N134" i="87" a="1"/>
  <c r="N134" i="87" s="1"/>
  <c r="M134" i="87" a="1"/>
  <c r="M134" i="87" s="1"/>
  <c r="L134" i="87" a="1"/>
  <c r="L134" i="87" s="1"/>
  <c r="K134" i="87" a="1"/>
  <c r="K134" i="87" s="1"/>
  <c r="J134" i="87" a="1"/>
  <c r="J134" i="87" s="1"/>
  <c r="I134" i="87" a="1"/>
  <c r="I134" i="87" s="1"/>
  <c r="H134" i="87" a="1"/>
  <c r="H134" i="87" s="1"/>
  <c r="G134" i="87" a="1"/>
  <c r="G134" i="87" s="1"/>
  <c r="F134" i="87" a="1"/>
  <c r="F134" i="87" s="1"/>
  <c r="E134" i="87" a="1"/>
  <c r="E134" i="87" s="1"/>
  <c r="D134" i="87" a="1"/>
  <c r="D134" i="87" s="1"/>
  <c r="AH133" i="87" a="1"/>
  <c r="AH133" i="87" s="1"/>
  <c r="AG133" i="87" a="1"/>
  <c r="AG133" i="87" s="1"/>
  <c r="AF133" i="87" a="1"/>
  <c r="AF133" i="87" s="1"/>
  <c r="AE133" i="87" a="1"/>
  <c r="AE133" i="87" s="1"/>
  <c r="AD133" i="87" a="1"/>
  <c r="AD133" i="87" s="1"/>
  <c r="AC133" i="87" a="1"/>
  <c r="AC133" i="87" s="1"/>
  <c r="AB133" i="87" a="1"/>
  <c r="AB133" i="87" s="1"/>
  <c r="AA133" i="87" a="1"/>
  <c r="AA133" i="87" s="1"/>
  <c r="Z133" i="87" a="1"/>
  <c r="Z133" i="87" s="1"/>
  <c r="Y133" i="87" a="1"/>
  <c r="Y133" i="87" s="1"/>
  <c r="X133" i="87" a="1"/>
  <c r="X133" i="87" s="1"/>
  <c r="W133" i="87" a="1"/>
  <c r="W133" i="87" s="1"/>
  <c r="V133" i="87" a="1"/>
  <c r="V133" i="87" s="1"/>
  <c r="U133" i="87" a="1"/>
  <c r="U133" i="87" s="1"/>
  <c r="T133" i="87" a="1"/>
  <c r="T133" i="87" s="1"/>
  <c r="S133" i="87" a="1"/>
  <c r="S133" i="87" s="1"/>
  <c r="R133" i="87" a="1"/>
  <c r="R133" i="87" s="1"/>
  <c r="Q133" i="87" a="1"/>
  <c r="Q133" i="87" s="1"/>
  <c r="P133" i="87" a="1"/>
  <c r="P133" i="87" s="1"/>
  <c r="O133" i="87" a="1"/>
  <c r="O133" i="87" s="1"/>
  <c r="N133" i="87" a="1"/>
  <c r="N133" i="87" s="1"/>
  <c r="M133" i="87" a="1"/>
  <c r="M133" i="87" s="1"/>
  <c r="L133" i="87" a="1"/>
  <c r="L133" i="87" s="1"/>
  <c r="K133" i="87" a="1"/>
  <c r="K133" i="87" s="1"/>
  <c r="J133" i="87" a="1"/>
  <c r="J133" i="87" s="1"/>
  <c r="I133" i="87" a="1"/>
  <c r="I133" i="87" s="1"/>
  <c r="H133" i="87" a="1"/>
  <c r="H133" i="87" s="1"/>
  <c r="G133" i="87" a="1"/>
  <c r="G133" i="87" s="1"/>
  <c r="F133" i="87" a="1"/>
  <c r="F133" i="87" s="1"/>
  <c r="E133" i="87" a="1"/>
  <c r="E133" i="87" s="1"/>
  <c r="D133" i="87" a="1"/>
  <c r="D133" i="87" s="1"/>
  <c r="AH132" i="87" a="1"/>
  <c r="AH132" i="87" s="1"/>
  <c r="AG132" i="87" a="1"/>
  <c r="AG132" i="87" s="1"/>
  <c r="AF132" i="87" a="1"/>
  <c r="AF132" i="87" s="1"/>
  <c r="AE132" i="87" a="1"/>
  <c r="AE132" i="87" s="1"/>
  <c r="AD132" i="87" a="1"/>
  <c r="AD132" i="87" s="1"/>
  <c r="AC132" i="87" a="1"/>
  <c r="AC132" i="87" s="1"/>
  <c r="AB132" i="87" a="1"/>
  <c r="AB132" i="87" s="1"/>
  <c r="AA132" i="87" a="1"/>
  <c r="AA132" i="87" s="1"/>
  <c r="Z132" i="87" a="1"/>
  <c r="Z132" i="87" s="1"/>
  <c r="Y132" i="87" a="1"/>
  <c r="Y132" i="87" s="1"/>
  <c r="X132" i="87" a="1"/>
  <c r="X132" i="87" s="1"/>
  <c r="W132" i="87" a="1"/>
  <c r="W132" i="87" s="1"/>
  <c r="V132" i="87" a="1"/>
  <c r="V132" i="87" s="1"/>
  <c r="U132" i="87" a="1"/>
  <c r="U132" i="87" s="1"/>
  <c r="T132" i="87" a="1"/>
  <c r="T132" i="87" s="1"/>
  <c r="S132" i="87" a="1"/>
  <c r="S132" i="87" s="1"/>
  <c r="R132" i="87" a="1"/>
  <c r="R132" i="87" s="1"/>
  <c r="Q132" i="87" a="1"/>
  <c r="Q132" i="87" s="1"/>
  <c r="P132" i="87" a="1"/>
  <c r="P132" i="87" s="1"/>
  <c r="O132" i="87" a="1"/>
  <c r="O132" i="87" s="1"/>
  <c r="N132" i="87" a="1"/>
  <c r="N132" i="87" s="1"/>
  <c r="M132" i="87" a="1"/>
  <c r="M132" i="87" s="1"/>
  <c r="L132" i="87" a="1"/>
  <c r="L132" i="87" s="1"/>
  <c r="K132" i="87" a="1"/>
  <c r="K132" i="87" s="1"/>
  <c r="J132" i="87" a="1"/>
  <c r="J132" i="87" s="1"/>
  <c r="I132" i="87" a="1"/>
  <c r="I132" i="87" s="1"/>
  <c r="H132" i="87" a="1"/>
  <c r="H132" i="87" s="1"/>
  <c r="G132" i="87" a="1"/>
  <c r="G132" i="87" s="1"/>
  <c r="F132" i="87" a="1"/>
  <c r="F132" i="87" s="1"/>
  <c r="E132" i="87" a="1"/>
  <c r="E132" i="87" s="1"/>
  <c r="D132" i="87" a="1"/>
  <c r="D132" i="87" s="1"/>
  <c r="AH131" i="87" a="1"/>
  <c r="AH131" i="87" s="1"/>
  <c r="AG131" i="87" a="1"/>
  <c r="AG131" i="87" s="1"/>
  <c r="AF131" i="87" a="1"/>
  <c r="AF131" i="87" s="1"/>
  <c r="AE131" i="87" a="1"/>
  <c r="AE131" i="87" s="1"/>
  <c r="AD131" i="87" a="1"/>
  <c r="AD131" i="87" s="1"/>
  <c r="AC131" i="87" a="1"/>
  <c r="AC131" i="87" s="1"/>
  <c r="AB131" i="87" a="1"/>
  <c r="AB131" i="87" s="1"/>
  <c r="AA131" i="87" a="1"/>
  <c r="AA131" i="87" s="1"/>
  <c r="Z131" i="87" a="1"/>
  <c r="Z131" i="87" s="1"/>
  <c r="Y131" i="87" a="1"/>
  <c r="Y131" i="87" s="1"/>
  <c r="X131" i="87" a="1"/>
  <c r="X131" i="87" s="1"/>
  <c r="W131" i="87" a="1"/>
  <c r="W131" i="87" s="1"/>
  <c r="V131" i="87" a="1"/>
  <c r="V131" i="87" s="1"/>
  <c r="U131" i="87" a="1"/>
  <c r="U131" i="87" s="1"/>
  <c r="T131" i="87" a="1"/>
  <c r="T131" i="87" s="1"/>
  <c r="S131" i="87" a="1"/>
  <c r="S131" i="87" s="1"/>
  <c r="R131" i="87" a="1"/>
  <c r="R131" i="87" s="1"/>
  <c r="Q131" i="87" a="1"/>
  <c r="Q131" i="87" s="1"/>
  <c r="P131" i="87" a="1"/>
  <c r="P131" i="87" s="1"/>
  <c r="O131" i="87" a="1"/>
  <c r="O131" i="87" s="1"/>
  <c r="N131" i="87" a="1"/>
  <c r="N131" i="87" s="1"/>
  <c r="M131" i="87" a="1"/>
  <c r="M131" i="87" s="1"/>
  <c r="L131" i="87" a="1"/>
  <c r="L131" i="87" s="1"/>
  <c r="K131" i="87" a="1"/>
  <c r="K131" i="87" s="1"/>
  <c r="J131" i="87" a="1"/>
  <c r="J131" i="87" s="1"/>
  <c r="I131" i="87" a="1"/>
  <c r="I131" i="87" s="1"/>
  <c r="H131" i="87" a="1"/>
  <c r="H131" i="87" s="1"/>
  <c r="G131" i="87" a="1"/>
  <c r="G131" i="87" s="1"/>
  <c r="F131" i="87" a="1"/>
  <c r="F131" i="87" s="1"/>
  <c r="E131" i="87" a="1"/>
  <c r="E131" i="87" s="1"/>
  <c r="D131" i="87" a="1"/>
  <c r="D131" i="87" s="1"/>
  <c r="AH130" i="87" a="1"/>
  <c r="AH130" i="87" s="1"/>
  <c r="AG130" i="87" a="1"/>
  <c r="AG130" i="87" s="1"/>
  <c r="AF130" i="87" a="1"/>
  <c r="AF130" i="87" s="1"/>
  <c r="AE130" i="87" a="1"/>
  <c r="AE130" i="87" s="1"/>
  <c r="AD130" i="87" a="1"/>
  <c r="AD130" i="87" s="1"/>
  <c r="AC130" i="87" a="1"/>
  <c r="AC130" i="87" s="1"/>
  <c r="AB130" i="87" a="1"/>
  <c r="AB130" i="87" s="1"/>
  <c r="AA130" i="87" a="1"/>
  <c r="AA130" i="87" s="1"/>
  <c r="Z130" i="87" a="1"/>
  <c r="Z130" i="87" s="1"/>
  <c r="Y130" i="87" a="1"/>
  <c r="Y130" i="87" s="1"/>
  <c r="X130" i="87" a="1"/>
  <c r="X130" i="87" s="1"/>
  <c r="W130" i="87" a="1"/>
  <c r="W130" i="87" s="1"/>
  <c r="V130" i="87" a="1"/>
  <c r="V130" i="87" s="1"/>
  <c r="U130" i="87" a="1"/>
  <c r="U130" i="87" s="1"/>
  <c r="T130" i="87" a="1"/>
  <c r="T130" i="87" s="1"/>
  <c r="S130" i="87" a="1"/>
  <c r="S130" i="87" s="1"/>
  <c r="R130" i="87" a="1"/>
  <c r="R130" i="87" s="1"/>
  <c r="Q130" i="87" a="1"/>
  <c r="Q130" i="87" s="1"/>
  <c r="P130" i="87" a="1"/>
  <c r="P130" i="87" s="1"/>
  <c r="O130" i="87" a="1"/>
  <c r="O130" i="87" s="1"/>
  <c r="N130" i="87" a="1"/>
  <c r="N130" i="87" s="1"/>
  <c r="M130" i="87" a="1"/>
  <c r="M130" i="87" s="1"/>
  <c r="L130" i="87" a="1"/>
  <c r="L130" i="87" s="1"/>
  <c r="K130" i="87" a="1"/>
  <c r="K130" i="87" s="1"/>
  <c r="J130" i="87" a="1"/>
  <c r="J130" i="87" s="1"/>
  <c r="I130" i="87" a="1"/>
  <c r="I130" i="87" s="1"/>
  <c r="H130" i="87" a="1"/>
  <c r="H130" i="87" s="1"/>
  <c r="G130" i="87" a="1"/>
  <c r="G130" i="87" s="1"/>
  <c r="F130" i="87" a="1"/>
  <c r="F130" i="87" s="1"/>
  <c r="E130" i="87" a="1"/>
  <c r="E130" i="87" s="1"/>
  <c r="D130" i="87" a="1"/>
  <c r="D130" i="87" s="1"/>
  <c r="AH129" i="87" a="1"/>
  <c r="AH129" i="87" s="1"/>
  <c r="AG129" i="87" a="1"/>
  <c r="AG129" i="87" s="1"/>
  <c r="AF129" i="87" a="1"/>
  <c r="AF129" i="87" s="1"/>
  <c r="AE129" i="87" a="1"/>
  <c r="AE129" i="87" s="1"/>
  <c r="AD129" i="87" a="1"/>
  <c r="AD129" i="87" s="1"/>
  <c r="AC129" i="87" a="1"/>
  <c r="AC129" i="87" s="1"/>
  <c r="AB129" i="87" a="1"/>
  <c r="AB129" i="87" s="1"/>
  <c r="AA129" i="87" a="1"/>
  <c r="AA129" i="87" s="1"/>
  <c r="Z129" i="87" a="1"/>
  <c r="Z129" i="87" s="1"/>
  <c r="Y129" i="87" a="1"/>
  <c r="Y129" i="87" s="1"/>
  <c r="X129" i="87" a="1"/>
  <c r="X129" i="87" s="1"/>
  <c r="W129" i="87" a="1"/>
  <c r="W129" i="87" s="1"/>
  <c r="V129" i="87" a="1"/>
  <c r="V129" i="87" s="1"/>
  <c r="U129" i="87" a="1"/>
  <c r="U129" i="87" s="1"/>
  <c r="T129" i="87" a="1"/>
  <c r="T129" i="87" s="1"/>
  <c r="S129" i="87" a="1"/>
  <c r="S129" i="87" s="1"/>
  <c r="R129" i="87" a="1"/>
  <c r="R129" i="87" s="1"/>
  <c r="Q129" i="87" a="1"/>
  <c r="Q129" i="87" s="1"/>
  <c r="P129" i="87" a="1"/>
  <c r="P129" i="87" s="1"/>
  <c r="O129" i="87" a="1"/>
  <c r="O129" i="87" s="1"/>
  <c r="N129" i="87" a="1"/>
  <c r="N129" i="87" s="1"/>
  <c r="M129" i="87" a="1"/>
  <c r="M129" i="87" s="1"/>
  <c r="L129" i="87" a="1"/>
  <c r="L129" i="87" s="1"/>
  <c r="K129" i="87" a="1"/>
  <c r="K129" i="87" s="1"/>
  <c r="J129" i="87" a="1"/>
  <c r="J129" i="87" s="1"/>
  <c r="I129" i="87" a="1"/>
  <c r="I129" i="87" s="1"/>
  <c r="H129" i="87" a="1"/>
  <c r="H129" i="87" s="1"/>
  <c r="G129" i="87" a="1"/>
  <c r="G129" i="87" s="1"/>
  <c r="F129" i="87" a="1"/>
  <c r="F129" i="87" s="1"/>
  <c r="E129" i="87" a="1"/>
  <c r="E129" i="87" s="1"/>
  <c r="D129" i="87" a="1"/>
  <c r="D129" i="87" s="1"/>
  <c r="AH128" i="87" a="1"/>
  <c r="AH128" i="87" s="1"/>
  <c r="AG128" i="87" a="1"/>
  <c r="AG128" i="87" s="1"/>
  <c r="AF128" i="87" a="1"/>
  <c r="AF128" i="87" s="1"/>
  <c r="AE128" i="87" a="1"/>
  <c r="AE128" i="87" s="1"/>
  <c r="AD128" i="87" a="1"/>
  <c r="AD128" i="87" s="1"/>
  <c r="AC128" i="87" a="1"/>
  <c r="AC128" i="87" s="1"/>
  <c r="AB128" i="87" a="1"/>
  <c r="AB128" i="87" s="1"/>
  <c r="AA128" i="87" a="1"/>
  <c r="AA128" i="87" s="1"/>
  <c r="Z128" i="87" a="1"/>
  <c r="Z128" i="87" s="1"/>
  <c r="Y128" i="87" a="1"/>
  <c r="Y128" i="87" s="1"/>
  <c r="X128" i="87" a="1"/>
  <c r="X128" i="87" s="1"/>
  <c r="W128" i="87" a="1"/>
  <c r="W128" i="87" s="1"/>
  <c r="V128" i="87" a="1"/>
  <c r="V128" i="87" s="1"/>
  <c r="U128" i="87" a="1"/>
  <c r="U128" i="87" s="1"/>
  <c r="T128" i="87" a="1"/>
  <c r="T128" i="87" s="1"/>
  <c r="S128" i="87" a="1"/>
  <c r="S128" i="87" s="1"/>
  <c r="R128" i="87" a="1"/>
  <c r="R128" i="87" s="1"/>
  <c r="Q128" i="87" a="1"/>
  <c r="Q128" i="87" s="1"/>
  <c r="P128" i="87" a="1"/>
  <c r="P128" i="87" s="1"/>
  <c r="O128" i="87" a="1"/>
  <c r="O128" i="87" s="1"/>
  <c r="N128" i="87" a="1"/>
  <c r="N128" i="87" s="1"/>
  <c r="M128" i="87" a="1"/>
  <c r="M128" i="87" s="1"/>
  <c r="L128" i="87" a="1"/>
  <c r="L128" i="87" s="1"/>
  <c r="K128" i="87" a="1"/>
  <c r="K128" i="87" s="1"/>
  <c r="J128" i="87" a="1"/>
  <c r="J128" i="87" s="1"/>
  <c r="I128" i="87" a="1"/>
  <c r="I128" i="87" s="1"/>
  <c r="H128" i="87" a="1"/>
  <c r="H128" i="87" s="1"/>
  <c r="G128" i="87" a="1"/>
  <c r="G128" i="87" s="1"/>
  <c r="F128" i="87" a="1"/>
  <c r="F128" i="87" s="1"/>
  <c r="E128" i="87" a="1"/>
  <c r="E128" i="87" s="1"/>
  <c r="D128" i="87" a="1"/>
  <c r="D128" i="87" s="1"/>
  <c r="AH127" i="87" a="1"/>
  <c r="AH127" i="87" s="1"/>
  <c r="AG127" i="87" a="1"/>
  <c r="AG127" i="87" s="1"/>
  <c r="AF127" i="87" a="1"/>
  <c r="AF127" i="87" s="1"/>
  <c r="AE127" i="87" a="1"/>
  <c r="AE127" i="87" s="1"/>
  <c r="AD127" i="87" a="1"/>
  <c r="AD127" i="87" s="1"/>
  <c r="AC127" i="87" a="1"/>
  <c r="AC127" i="87" s="1"/>
  <c r="AB127" i="87" a="1"/>
  <c r="AB127" i="87" s="1"/>
  <c r="AA127" i="87" a="1"/>
  <c r="AA127" i="87" s="1"/>
  <c r="Z127" i="87" a="1"/>
  <c r="Z127" i="87" s="1"/>
  <c r="Y127" i="87" a="1"/>
  <c r="Y127" i="87" s="1"/>
  <c r="X127" i="87" a="1"/>
  <c r="X127" i="87" s="1"/>
  <c r="W127" i="87" a="1"/>
  <c r="W127" i="87" s="1"/>
  <c r="V127" i="87" a="1"/>
  <c r="V127" i="87" s="1"/>
  <c r="U127" i="87" a="1"/>
  <c r="U127" i="87" s="1"/>
  <c r="T127" i="87" a="1"/>
  <c r="T127" i="87" s="1"/>
  <c r="S127" i="87" a="1"/>
  <c r="S127" i="87" s="1"/>
  <c r="R127" i="87" a="1"/>
  <c r="R127" i="87" s="1"/>
  <c r="Q127" i="87" a="1"/>
  <c r="Q127" i="87" s="1"/>
  <c r="P127" i="87" a="1"/>
  <c r="P127" i="87" s="1"/>
  <c r="O127" i="87" a="1"/>
  <c r="O127" i="87" s="1"/>
  <c r="N127" i="87" a="1"/>
  <c r="N127" i="87" s="1"/>
  <c r="M127" i="87" a="1"/>
  <c r="M127" i="87" s="1"/>
  <c r="L127" i="87" a="1"/>
  <c r="L127" i="87" s="1"/>
  <c r="K127" i="87" a="1"/>
  <c r="K127" i="87" s="1"/>
  <c r="J127" i="87" a="1"/>
  <c r="J127" i="87" s="1"/>
  <c r="I127" i="87" a="1"/>
  <c r="I127" i="87" s="1"/>
  <c r="H127" i="87" a="1"/>
  <c r="H127" i="87" s="1"/>
  <c r="G127" i="87" a="1"/>
  <c r="G127" i="87" s="1"/>
  <c r="F127" i="87" a="1"/>
  <c r="F127" i="87" s="1"/>
  <c r="E127" i="87" a="1"/>
  <c r="E127" i="87" s="1"/>
  <c r="D127" i="87" a="1"/>
  <c r="D127" i="87" s="1"/>
  <c r="AH126" i="87" a="1"/>
  <c r="AH126" i="87" s="1"/>
  <c r="AG126" i="87" a="1"/>
  <c r="AG126" i="87" s="1"/>
  <c r="AF126" i="87" a="1"/>
  <c r="AF126" i="87" s="1"/>
  <c r="AE126" i="87" a="1"/>
  <c r="AE126" i="87" s="1"/>
  <c r="AD126" i="87" a="1"/>
  <c r="AD126" i="87" s="1"/>
  <c r="AC126" i="87" a="1"/>
  <c r="AC126" i="87" s="1"/>
  <c r="AB126" i="87" a="1"/>
  <c r="AB126" i="87" s="1"/>
  <c r="AA126" i="87" a="1"/>
  <c r="AA126" i="87" s="1"/>
  <c r="Z126" i="87" a="1"/>
  <c r="Z126" i="87" s="1"/>
  <c r="Y126" i="87" a="1"/>
  <c r="Y126" i="87" s="1"/>
  <c r="X126" i="87" a="1"/>
  <c r="X126" i="87" s="1"/>
  <c r="W126" i="87" a="1"/>
  <c r="W126" i="87" s="1"/>
  <c r="V126" i="87" a="1"/>
  <c r="V126" i="87" s="1"/>
  <c r="U126" i="87" a="1"/>
  <c r="U126" i="87" s="1"/>
  <c r="T126" i="87" a="1"/>
  <c r="T126" i="87" s="1"/>
  <c r="S126" i="87" a="1"/>
  <c r="S126" i="87" s="1"/>
  <c r="R126" i="87" a="1"/>
  <c r="R126" i="87" s="1"/>
  <c r="Q126" i="87" a="1"/>
  <c r="Q126" i="87" s="1"/>
  <c r="P126" i="87" a="1"/>
  <c r="P126" i="87" s="1"/>
  <c r="O126" i="87" a="1"/>
  <c r="O126" i="87" s="1"/>
  <c r="N126" i="87" a="1"/>
  <c r="N126" i="87" s="1"/>
  <c r="M126" i="87" a="1"/>
  <c r="M126" i="87" s="1"/>
  <c r="L126" i="87" a="1"/>
  <c r="L126" i="87" s="1"/>
  <c r="K126" i="87" a="1"/>
  <c r="K126" i="87" s="1"/>
  <c r="J126" i="87" a="1"/>
  <c r="J126" i="87" s="1"/>
  <c r="I126" i="87" a="1"/>
  <c r="I126" i="87" s="1"/>
  <c r="H126" i="87" a="1"/>
  <c r="H126" i="87" s="1"/>
  <c r="G126" i="87" a="1"/>
  <c r="G126" i="87" s="1"/>
  <c r="F126" i="87" a="1"/>
  <c r="F126" i="87" s="1"/>
  <c r="E126" i="87" a="1"/>
  <c r="E126" i="87" s="1"/>
  <c r="D126" i="87" a="1"/>
  <c r="D126" i="87" s="1"/>
  <c r="AH125" i="87" a="1"/>
  <c r="AH125" i="87" s="1"/>
  <c r="AG125" i="87" a="1"/>
  <c r="AG125" i="87" s="1"/>
  <c r="AF125" i="87" a="1"/>
  <c r="AF125" i="87" s="1"/>
  <c r="AE125" i="87" a="1"/>
  <c r="AE125" i="87" s="1"/>
  <c r="AD125" i="87" a="1"/>
  <c r="AD125" i="87" s="1"/>
  <c r="AC125" i="87" a="1"/>
  <c r="AC125" i="87" s="1"/>
  <c r="AB125" i="87" a="1"/>
  <c r="AB125" i="87" s="1"/>
  <c r="AA125" i="87" a="1"/>
  <c r="AA125" i="87" s="1"/>
  <c r="Z125" i="87" a="1"/>
  <c r="Z125" i="87" s="1"/>
  <c r="Y125" i="87" a="1"/>
  <c r="Y125" i="87" s="1"/>
  <c r="X125" i="87" a="1"/>
  <c r="X125" i="87" s="1"/>
  <c r="W125" i="87" a="1"/>
  <c r="W125" i="87" s="1"/>
  <c r="V125" i="87" a="1"/>
  <c r="V125" i="87" s="1"/>
  <c r="U125" i="87" a="1"/>
  <c r="U125" i="87" s="1"/>
  <c r="T125" i="87" a="1"/>
  <c r="T125" i="87" s="1"/>
  <c r="S125" i="87" a="1"/>
  <c r="S125" i="87" s="1"/>
  <c r="R125" i="87" a="1"/>
  <c r="R125" i="87" s="1"/>
  <c r="Q125" i="87" a="1"/>
  <c r="Q125" i="87" s="1"/>
  <c r="P125" i="87" a="1"/>
  <c r="P125" i="87" s="1"/>
  <c r="O125" i="87" a="1"/>
  <c r="O125" i="87" s="1"/>
  <c r="N125" i="87" a="1"/>
  <c r="N125" i="87" s="1"/>
  <c r="M125" i="87" a="1"/>
  <c r="M125" i="87" s="1"/>
  <c r="L125" i="87" a="1"/>
  <c r="L125" i="87" s="1"/>
  <c r="K125" i="87" a="1"/>
  <c r="K125" i="87" s="1"/>
  <c r="J125" i="87" a="1"/>
  <c r="J125" i="87" s="1"/>
  <c r="I125" i="87" a="1"/>
  <c r="I125" i="87" s="1"/>
  <c r="H125" i="87" a="1"/>
  <c r="H125" i="87" s="1"/>
  <c r="G125" i="87" a="1"/>
  <c r="G125" i="87" s="1"/>
  <c r="F125" i="87" a="1"/>
  <c r="F125" i="87" s="1"/>
  <c r="E125" i="87" a="1"/>
  <c r="E125" i="87" s="1"/>
  <c r="D125" i="87" a="1"/>
  <c r="D125" i="87" s="1"/>
  <c r="AH124" i="87" a="1"/>
  <c r="AH124" i="87" s="1"/>
  <c r="AG124" i="87" a="1"/>
  <c r="AG124" i="87" s="1"/>
  <c r="AF124" i="87" a="1"/>
  <c r="AF124" i="87" s="1"/>
  <c r="AE124" i="87" a="1"/>
  <c r="AE124" i="87" s="1"/>
  <c r="AD124" i="87" a="1"/>
  <c r="AD124" i="87" s="1"/>
  <c r="AC124" i="87" a="1"/>
  <c r="AC124" i="87" s="1"/>
  <c r="AB124" i="87" a="1"/>
  <c r="AB124" i="87" s="1"/>
  <c r="AA124" i="87" a="1"/>
  <c r="AA124" i="87" s="1"/>
  <c r="Z124" i="87" a="1"/>
  <c r="Z124" i="87" s="1"/>
  <c r="Y124" i="87" a="1"/>
  <c r="Y124" i="87" s="1"/>
  <c r="X124" i="87" a="1"/>
  <c r="X124" i="87" s="1"/>
  <c r="W124" i="87" a="1"/>
  <c r="W124" i="87" s="1"/>
  <c r="V124" i="87" a="1"/>
  <c r="V124" i="87" s="1"/>
  <c r="U124" i="87" a="1"/>
  <c r="U124" i="87" s="1"/>
  <c r="T124" i="87" a="1"/>
  <c r="T124" i="87" s="1"/>
  <c r="S124" i="87" a="1"/>
  <c r="S124" i="87" s="1"/>
  <c r="R124" i="87" a="1"/>
  <c r="R124" i="87" s="1"/>
  <c r="Q124" i="87" a="1"/>
  <c r="Q124" i="87" s="1"/>
  <c r="P124" i="87" a="1"/>
  <c r="P124" i="87" s="1"/>
  <c r="O124" i="87" a="1"/>
  <c r="O124" i="87" s="1"/>
  <c r="N124" i="87" a="1"/>
  <c r="N124" i="87" s="1"/>
  <c r="M124" i="87" a="1"/>
  <c r="M124" i="87" s="1"/>
  <c r="L124" i="87" a="1"/>
  <c r="L124" i="87" s="1"/>
  <c r="K124" i="87" a="1"/>
  <c r="K124" i="87" s="1"/>
  <c r="J124" i="87" a="1"/>
  <c r="J124" i="87" s="1"/>
  <c r="I124" i="87" a="1"/>
  <c r="I124" i="87" s="1"/>
  <c r="H124" i="87" a="1"/>
  <c r="H124" i="87" s="1"/>
  <c r="G124" i="87" a="1"/>
  <c r="G124" i="87" s="1"/>
  <c r="F124" i="87" a="1"/>
  <c r="F124" i="87" s="1"/>
  <c r="E124" i="87" a="1"/>
  <c r="E124" i="87" s="1"/>
  <c r="D124" i="87" a="1"/>
  <c r="D124" i="87" s="1"/>
  <c r="AH123" i="87" a="1"/>
  <c r="AH123" i="87" s="1"/>
  <c r="AG123" i="87" a="1"/>
  <c r="AG123" i="87" s="1"/>
  <c r="AF123" i="87" a="1"/>
  <c r="AF123" i="87" s="1"/>
  <c r="AE123" i="87" a="1"/>
  <c r="AE123" i="87" s="1"/>
  <c r="AD123" i="87" a="1"/>
  <c r="AD123" i="87" s="1"/>
  <c r="AC123" i="87" a="1"/>
  <c r="AC123" i="87" s="1"/>
  <c r="AB123" i="87" a="1"/>
  <c r="AB123" i="87" s="1"/>
  <c r="AA123" i="87" a="1"/>
  <c r="AA123" i="87" s="1"/>
  <c r="Z123" i="87" a="1"/>
  <c r="Z123" i="87" s="1"/>
  <c r="Y123" i="87" a="1"/>
  <c r="Y123" i="87" s="1"/>
  <c r="X123" i="87" a="1"/>
  <c r="X123" i="87" s="1"/>
  <c r="W123" i="87" a="1"/>
  <c r="W123" i="87" s="1"/>
  <c r="V123" i="87" a="1"/>
  <c r="V123" i="87" s="1"/>
  <c r="U123" i="87" a="1"/>
  <c r="U123" i="87" s="1"/>
  <c r="T123" i="87" a="1"/>
  <c r="T123" i="87" s="1"/>
  <c r="S123" i="87" a="1"/>
  <c r="S123" i="87" s="1"/>
  <c r="R123" i="87" a="1"/>
  <c r="R123" i="87" s="1"/>
  <c r="Q123" i="87" a="1"/>
  <c r="Q123" i="87" s="1"/>
  <c r="P123" i="87" a="1"/>
  <c r="P123" i="87" s="1"/>
  <c r="O123" i="87" a="1"/>
  <c r="O123" i="87" s="1"/>
  <c r="N123" i="87" a="1"/>
  <c r="N123" i="87" s="1"/>
  <c r="M123" i="87" a="1"/>
  <c r="M123" i="87" s="1"/>
  <c r="L123" i="87" a="1"/>
  <c r="L123" i="87" s="1"/>
  <c r="K123" i="87" a="1"/>
  <c r="K123" i="87" s="1"/>
  <c r="J123" i="87" a="1"/>
  <c r="J123" i="87" s="1"/>
  <c r="I123" i="87" a="1"/>
  <c r="I123" i="87" s="1"/>
  <c r="H123" i="87" a="1"/>
  <c r="H123" i="87" s="1"/>
  <c r="G123" i="87" a="1"/>
  <c r="G123" i="87" s="1"/>
  <c r="F123" i="87" a="1"/>
  <c r="F123" i="87" s="1"/>
  <c r="E123" i="87" a="1"/>
  <c r="E123" i="87" s="1"/>
  <c r="D123" i="87" a="1"/>
  <c r="D123" i="87" s="1"/>
  <c r="AH122" i="87" a="1"/>
  <c r="AH122" i="87" s="1"/>
  <c r="AG122" i="87" a="1"/>
  <c r="AG122" i="87" s="1"/>
  <c r="AF122" i="87" a="1"/>
  <c r="AF122" i="87" s="1"/>
  <c r="AE122" i="87" a="1"/>
  <c r="AE122" i="87" s="1"/>
  <c r="AD122" i="87" a="1"/>
  <c r="AD122" i="87" s="1"/>
  <c r="AC122" i="87" a="1"/>
  <c r="AC122" i="87" s="1"/>
  <c r="AB122" i="87" a="1"/>
  <c r="AB122" i="87" s="1"/>
  <c r="AA122" i="87" a="1"/>
  <c r="AA122" i="87" s="1"/>
  <c r="Z122" i="87" a="1"/>
  <c r="Z122" i="87" s="1"/>
  <c r="Y122" i="87" a="1"/>
  <c r="Y122" i="87" s="1"/>
  <c r="X122" i="87" a="1"/>
  <c r="X122" i="87" s="1"/>
  <c r="W122" i="87" a="1"/>
  <c r="W122" i="87" s="1"/>
  <c r="V122" i="87" a="1"/>
  <c r="V122" i="87" s="1"/>
  <c r="U122" i="87" a="1"/>
  <c r="U122" i="87" s="1"/>
  <c r="T122" i="87" a="1"/>
  <c r="T122" i="87" s="1"/>
  <c r="S122" i="87" a="1"/>
  <c r="S122" i="87" s="1"/>
  <c r="R122" i="87" a="1"/>
  <c r="R122" i="87" s="1"/>
  <c r="Q122" i="87" a="1"/>
  <c r="Q122" i="87" s="1"/>
  <c r="P122" i="87" a="1"/>
  <c r="P122" i="87" s="1"/>
  <c r="O122" i="87" a="1"/>
  <c r="O122" i="87" s="1"/>
  <c r="N122" i="87" a="1"/>
  <c r="N122" i="87" s="1"/>
  <c r="M122" i="87" a="1"/>
  <c r="M122" i="87" s="1"/>
  <c r="L122" i="87" a="1"/>
  <c r="L122" i="87" s="1"/>
  <c r="K122" i="87" a="1"/>
  <c r="K122" i="87" s="1"/>
  <c r="J122" i="87" a="1"/>
  <c r="J122" i="87" s="1"/>
  <c r="I122" i="87" a="1"/>
  <c r="I122" i="87" s="1"/>
  <c r="H122" i="87" a="1"/>
  <c r="H122" i="87" s="1"/>
  <c r="G122" i="87" a="1"/>
  <c r="G122" i="87" s="1"/>
  <c r="F122" i="87" a="1"/>
  <c r="F122" i="87" s="1"/>
  <c r="E122" i="87" a="1"/>
  <c r="E122" i="87" s="1"/>
  <c r="D122" i="87" a="1"/>
  <c r="D122" i="87" s="1"/>
  <c r="AH121" i="87" a="1"/>
  <c r="AH121" i="87" s="1"/>
  <c r="AG121" i="87" a="1"/>
  <c r="AG121" i="87" s="1"/>
  <c r="AF121" i="87" a="1"/>
  <c r="AF121" i="87" s="1"/>
  <c r="AE121" i="87" a="1"/>
  <c r="AE121" i="87" s="1"/>
  <c r="AD121" i="87" a="1"/>
  <c r="AD121" i="87" s="1"/>
  <c r="AC121" i="87" a="1"/>
  <c r="AC121" i="87" s="1"/>
  <c r="AB121" i="87" a="1"/>
  <c r="AB121" i="87" s="1"/>
  <c r="AA121" i="87" a="1"/>
  <c r="AA121" i="87" s="1"/>
  <c r="Z121" i="87" a="1"/>
  <c r="Z121" i="87" s="1"/>
  <c r="Y121" i="87" a="1"/>
  <c r="Y121" i="87" s="1"/>
  <c r="X121" i="87" a="1"/>
  <c r="X121" i="87" s="1"/>
  <c r="W121" i="87" a="1"/>
  <c r="W121" i="87" s="1"/>
  <c r="V121" i="87" a="1"/>
  <c r="V121" i="87" s="1"/>
  <c r="U121" i="87" a="1"/>
  <c r="U121" i="87" s="1"/>
  <c r="T121" i="87" a="1"/>
  <c r="T121" i="87" s="1"/>
  <c r="S121" i="87" a="1"/>
  <c r="S121" i="87" s="1"/>
  <c r="R121" i="87" a="1"/>
  <c r="R121" i="87" s="1"/>
  <c r="Q121" i="87" a="1"/>
  <c r="Q121" i="87" s="1"/>
  <c r="P121" i="87" a="1"/>
  <c r="P121" i="87" s="1"/>
  <c r="O121" i="87" a="1"/>
  <c r="O121" i="87" s="1"/>
  <c r="N121" i="87" a="1"/>
  <c r="N121" i="87" s="1"/>
  <c r="M121" i="87" a="1"/>
  <c r="M121" i="87" s="1"/>
  <c r="L121" i="87" a="1"/>
  <c r="L121" i="87" s="1"/>
  <c r="K121" i="87" a="1"/>
  <c r="K121" i="87" s="1"/>
  <c r="J121" i="87" a="1"/>
  <c r="J121" i="87" s="1"/>
  <c r="I121" i="87" a="1"/>
  <c r="I121" i="87" s="1"/>
  <c r="H121" i="87" a="1"/>
  <c r="H121" i="87" s="1"/>
  <c r="G121" i="87" a="1"/>
  <c r="G121" i="87" s="1"/>
  <c r="F121" i="87" a="1"/>
  <c r="F121" i="87" s="1"/>
  <c r="E121" i="87" a="1"/>
  <c r="E121" i="87" s="1"/>
  <c r="D121" i="87" a="1"/>
  <c r="D121" i="87" s="1"/>
  <c r="AH120" i="87" a="1"/>
  <c r="AH120" i="87" s="1"/>
  <c r="AG120" i="87" a="1"/>
  <c r="AG120" i="87" s="1"/>
  <c r="AF120" i="87" a="1"/>
  <c r="AF120" i="87" s="1"/>
  <c r="AE120" i="87" a="1"/>
  <c r="AE120" i="87" s="1"/>
  <c r="AD120" i="87" a="1"/>
  <c r="AD120" i="87" s="1"/>
  <c r="AC120" i="87" a="1"/>
  <c r="AC120" i="87" s="1"/>
  <c r="AB120" i="87" a="1"/>
  <c r="AB120" i="87" s="1"/>
  <c r="AA120" i="87" a="1"/>
  <c r="AA120" i="87" s="1"/>
  <c r="Z120" i="87" a="1"/>
  <c r="Z120" i="87" s="1"/>
  <c r="Y120" i="87" a="1"/>
  <c r="Y120" i="87" s="1"/>
  <c r="X120" i="87" a="1"/>
  <c r="X120" i="87" s="1"/>
  <c r="W120" i="87" a="1"/>
  <c r="W120" i="87" s="1"/>
  <c r="V120" i="87" a="1"/>
  <c r="V120" i="87" s="1"/>
  <c r="U120" i="87" a="1"/>
  <c r="U120" i="87" s="1"/>
  <c r="T120" i="87" a="1"/>
  <c r="T120" i="87" s="1"/>
  <c r="S120" i="87" a="1"/>
  <c r="S120" i="87" s="1"/>
  <c r="R120" i="87" a="1"/>
  <c r="R120" i="87" s="1"/>
  <c r="Q120" i="87" a="1"/>
  <c r="Q120" i="87" s="1"/>
  <c r="P120" i="87" a="1"/>
  <c r="P120" i="87" s="1"/>
  <c r="O120" i="87" a="1"/>
  <c r="O120" i="87" s="1"/>
  <c r="N120" i="87" a="1"/>
  <c r="N120" i="87" s="1"/>
  <c r="M120" i="87" a="1"/>
  <c r="M120" i="87" s="1"/>
  <c r="L120" i="87" a="1"/>
  <c r="L120" i="87" s="1"/>
  <c r="K120" i="87" a="1"/>
  <c r="K120" i="87" s="1"/>
  <c r="J120" i="87" a="1"/>
  <c r="J120" i="87" s="1"/>
  <c r="I120" i="87" a="1"/>
  <c r="I120" i="87" s="1"/>
  <c r="H120" i="87" a="1"/>
  <c r="H120" i="87" s="1"/>
  <c r="G120" i="87" a="1"/>
  <c r="G120" i="87" s="1"/>
  <c r="F120" i="87" a="1"/>
  <c r="F120" i="87" s="1"/>
  <c r="E120" i="87" a="1"/>
  <c r="E120" i="87" s="1"/>
  <c r="D120" i="87" a="1"/>
  <c r="D120" i="87" s="1"/>
  <c r="AH119" i="87" a="1"/>
  <c r="AH119" i="87" s="1"/>
  <c r="AG119" i="87" a="1"/>
  <c r="AG119" i="87" s="1"/>
  <c r="AF119" i="87" a="1"/>
  <c r="AF119" i="87" s="1"/>
  <c r="AE119" i="87" a="1"/>
  <c r="AE119" i="87" s="1"/>
  <c r="AD119" i="87" a="1"/>
  <c r="AD119" i="87" s="1"/>
  <c r="AC119" i="87" a="1"/>
  <c r="AC119" i="87" s="1"/>
  <c r="AB119" i="87" a="1"/>
  <c r="AB119" i="87" s="1"/>
  <c r="AA119" i="87" a="1"/>
  <c r="AA119" i="87" s="1"/>
  <c r="Z119" i="87" a="1"/>
  <c r="Z119" i="87" s="1"/>
  <c r="Y119" i="87" a="1"/>
  <c r="Y119" i="87" s="1"/>
  <c r="X119" i="87" a="1"/>
  <c r="X119" i="87" s="1"/>
  <c r="W119" i="87" a="1"/>
  <c r="W119" i="87" s="1"/>
  <c r="V119" i="87" a="1"/>
  <c r="V119" i="87" s="1"/>
  <c r="U119" i="87" a="1"/>
  <c r="U119" i="87" s="1"/>
  <c r="T119" i="87" a="1"/>
  <c r="T119" i="87" s="1"/>
  <c r="S119" i="87" a="1"/>
  <c r="S119" i="87" s="1"/>
  <c r="R119" i="87" a="1"/>
  <c r="R119" i="87" s="1"/>
  <c r="Q119" i="87" a="1"/>
  <c r="Q119" i="87" s="1"/>
  <c r="P119" i="87" a="1"/>
  <c r="P119" i="87" s="1"/>
  <c r="O119" i="87" a="1"/>
  <c r="O119" i="87" s="1"/>
  <c r="N119" i="87" a="1"/>
  <c r="N119" i="87" s="1"/>
  <c r="M119" i="87" a="1"/>
  <c r="M119" i="87" s="1"/>
  <c r="L119" i="87" a="1"/>
  <c r="L119" i="87" s="1"/>
  <c r="K119" i="87" a="1"/>
  <c r="K119" i="87" s="1"/>
  <c r="J119" i="87" a="1"/>
  <c r="J119" i="87" s="1"/>
  <c r="I119" i="87" a="1"/>
  <c r="I119" i="87" s="1"/>
  <c r="H119" i="87" a="1"/>
  <c r="H119" i="87" s="1"/>
  <c r="G119" i="87" a="1"/>
  <c r="G119" i="87" s="1"/>
  <c r="F119" i="87" a="1"/>
  <c r="F119" i="87" s="1"/>
  <c r="E119" i="87" a="1"/>
  <c r="E119" i="87" s="1"/>
  <c r="D119" i="87" a="1"/>
  <c r="D119" i="87" s="1"/>
  <c r="AH118" i="87" a="1"/>
  <c r="AH118" i="87" s="1"/>
  <c r="AG118" i="87" a="1"/>
  <c r="AG118" i="87" s="1"/>
  <c r="AF118" i="87" a="1"/>
  <c r="AF118" i="87" s="1"/>
  <c r="AE118" i="87" a="1"/>
  <c r="AE118" i="87" s="1"/>
  <c r="AD118" i="87" a="1"/>
  <c r="AD118" i="87" s="1"/>
  <c r="AC118" i="87" a="1"/>
  <c r="AC118" i="87" s="1"/>
  <c r="AB118" i="87" a="1"/>
  <c r="AB118" i="87" s="1"/>
  <c r="AA118" i="87" a="1"/>
  <c r="AA118" i="87" s="1"/>
  <c r="Z118" i="87" a="1"/>
  <c r="Z118" i="87" s="1"/>
  <c r="Y118" i="87" a="1"/>
  <c r="Y118" i="87" s="1"/>
  <c r="X118" i="87" a="1"/>
  <c r="X118" i="87" s="1"/>
  <c r="W118" i="87" a="1"/>
  <c r="W118" i="87" s="1"/>
  <c r="V118" i="87" a="1"/>
  <c r="V118" i="87" s="1"/>
  <c r="U118" i="87" a="1"/>
  <c r="U118" i="87" s="1"/>
  <c r="T118" i="87" a="1"/>
  <c r="T118" i="87" s="1"/>
  <c r="S118" i="87" a="1"/>
  <c r="S118" i="87" s="1"/>
  <c r="R118" i="87" a="1"/>
  <c r="R118" i="87" s="1"/>
  <c r="Q118" i="87" a="1"/>
  <c r="Q118" i="87" s="1"/>
  <c r="P118" i="87" a="1"/>
  <c r="P118" i="87" s="1"/>
  <c r="O118" i="87" a="1"/>
  <c r="O118" i="87" s="1"/>
  <c r="N118" i="87" a="1"/>
  <c r="N118" i="87" s="1"/>
  <c r="M118" i="87" a="1"/>
  <c r="M118" i="87" s="1"/>
  <c r="L118" i="87" a="1"/>
  <c r="L118" i="87" s="1"/>
  <c r="K118" i="87" a="1"/>
  <c r="K118" i="87" s="1"/>
  <c r="J118" i="87" a="1"/>
  <c r="J118" i="87" s="1"/>
  <c r="I118" i="87" a="1"/>
  <c r="I118" i="87" s="1"/>
  <c r="H118" i="87" a="1"/>
  <c r="H118" i="87" s="1"/>
  <c r="G118" i="87" a="1"/>
  <c r="G118" i="87" s="1"/>
  <c r="F118" i="87" a="1"/>
  <c r="F118" i="87" s="1"/>
  <c r="E118" i="87" a="1"/>
  <c r="E118" i="87" s="1"/>
  <c r="D118" i="87" a="1"/>
  <c r="D118" i="87" s="1"/>
  <c r="AH117" i="87" a="1"/>
  <c r="AH117" i="87" s="1"/>
  <c r="AG117" i="87" a="1"/>
  <c r="AG117" i="87" s="1"/>
  <c r="AF117" i="87" a="1"/>
  <c r="AF117" i="87" s="1"/>
  <c r="AE117" i="87" a="1"/>
  <c r="AE117" i="87" s="1"/>
  <c r="AD117" i="87" a="1"/>
  <c r="AD117" i="87" s="1"/>
  <c r="AC117" i="87" a="1"/>
  <c r="AC117" i="87" s="1"/>
  <c r="AB117" i="87" a="1"/>
  <c r="AB117" i="87" s="1"/>
  <c r="AA117" i="87" a="1"/>
  <c r="AA117" i="87" s="1"/>
  <c r="Z117" i="87" a="1"/>
  <c r="Z117" i="87" s="1"/>
  <c r="Y117" i="87" a="1"/>
  <c r="Y117" i="87" s="1"/>
  <c r="X117" i="87" a="1"/>
  <c r="X117" i="87" s="1"/>
  <c r="W117" i="87" a="1"/>
  <c r="W117" i="87" s="1"/>
  <c r="V117" i="87" a="1"/>
  <c r="V117" i="87" s="1"/>
  <c r="U117" i="87" a="1"/>
  <c r="U117" i="87" s="1"/>
  <c r="T117" i="87" a="1"/>
  <c r="T117" i="87" s="1"/>
  <c r="S117" i="87" a="1"/>
  <c r="S117" i="87" s="1"/>
  <c r="R117" i="87" a="1"/>
  <c r="R117" i="87" s="1"/>
  <c r="Q117" i="87" a="1"/>
  <c r="Q117" i="87" s="1"/>
  <c r="P117" i="87" a="1"/>
  <c r="P117" i="87" s="1"/>
  <c r="O117" i="87" a="1"/>
  <c r="O117" i="87" s="1"/>
  <c r="N117" i="87" a="1"/>
  <c r="N117" i="87" s="1"/>
  <c r="M117" i="87" a="1"/>
  <c r="M117" i="87" s="1"/>
  <c r="L117" i="87" a="1"/>
  <c r="L117" i="87" s="1"/>
  <c r="K117" i="87" a="1"/>
  <c r="K117" i="87" s="1"/>
  <c r="J117" i="87" a="1"/>
  <c r="J117" i="87" s="1"/>
  <c r="I117" i="87" a="1"/>
  <c r="I117" i="87" s="1"/>
  <c r="H117" i="87" a="1"/>
  <c r="H117" i="87" s="1"/>
  <c r="G117" i="87" a="1"/>
  <c r="G117" i="87" s="1"/>
  <c r="F117" i="87" a="1"/>
  <c r="F117" i="87" s="1"/>
  <c r="E117" i="87" a="1"/>
  <c r="E117" i="87" s="1"/>
  <c r="D117" i="87" a="1"/>
  <c r="D117" i="87" s="1"/>
  <c r="AH116" i="87" a="1"/>
  <c r="AH116" i="87" s="1"/>
  <c r="AG116" i="87" a="1"/>
  <c r="AG116" i="87" s="1"/>
  <c r="AF116" i="87" a="1"/>
  <c r="AF116" i="87" s="1"/>
  <c r="AE116" i="87" a="1"/>
  <c r="AE116" i="87" s="1"/>
  <c r="AD116" i="87" a="1"/>
  <c r="AD116" i="87" s="1"/>
  <c r="AC116" i="87" a="1"/>
  <c r="AC116" i="87" s="1"/>
  <c r="AB116" i="87" a="1"/>
  <c r="AB116" i="87" s="1"/>
  <c r="AA116" i="87" a="1"/>
  <c r="AA116" i="87" s="1"/>
  <c r="Z116" i="87" a="1"/>
  <c r="Z116" i="87" s="1"/>
  <c r="Y116" i="87" a="1"/>
  <c r="Y116" i="87" s="1"/>
  <c r="X116" i="87" a="1"/>
  <c r="X116" i="87" s="1"/>
  <c r="W116" i="87" a="1"/>
  <c r="W116" i="87" s="1"/>
  <c r="V116" i="87" a="1"/>
  <c r="V116" i="87" s="1"/>
  <c r="U116" i="87" a="1"/>
  <c r="U116" i="87" s="1"/>
  <c r="T116" i="87" a="1"/>
  <c r="T116" i="87" s="1"/>
  <c r="S116" i="87" a="1"/>
  <c r="S116" i="87" s="1"/>
  <c r="R116" i="87" a="1"/>
  <c r="R116" i="87" s="1"/>
  <c r="Q116" i="87" a="1"/>
  <c r="Q116" i="87" s="1"/>
  <c r="P116" i="87" a="1"/>
  <c r="P116" i="87" s="1"/>
  <c r="O116" i="87" a="1"/>
  <c r="O116" i="87" s="1"/>
  <c r="N116" i="87" a="1"/>
  <c r="N116" i="87" s="1"/>
  <c r="M116" i="87" a="1"/>
  <c r="M116" i="87" s="1"/>
  <c r="L116" i="87" a="1"/>
  <c r="L116" i="87" s="1"/>
  <c r="K116" i="87" a="1"/>
  <c r="K116" i="87" s="1"/>
  <c r="J116" i="87" a="1"/>
  <c r="J116" i="87" s="1"/>
  <c r="I116" i="87" a="1"/>
  <c r="I116" i="87" s="1"/>
  <c r="H116" i="87" a="1"/>
  <c r="H116" i="87" s="1"/>
  <c r="G116" i="87" a="1"/>
  <c r="G116" i="87" s="1"/>
  <c r="F116" i="87" a="1"/>
  <c r="F116" i="87" s="1"/>
  <c r="E116" i="87" a="1"/>
  <c r="E116" i="87" s="1"/>
  <c r="D116" i="87" a="1"/>
  <c r="D116" i="87" s="1"/>
  <c r="AH115" i="87" a="1"/>
  <c r="AH115" i="87" s="1"/>
  <c r="AG115" i="87" a="1"/>
  <c r="AG115" i="87" s="1"/>
  <c r="AF115" i="87" a="1"/>
  <c r="AF115" i="87" s="1"/>
  <c r="AE115" i="87" a="1"/>
  <c r="AE115" i="87" s="1"/>
  <c r="AD115" i="87" a="1"/>
  <c r="AD115" i="87" s="1"/>
  <c r="AC115" i="87" a="1"/>
  <c r="AC115" i="87" s="1"/>
  <c r="AB115" i="87" a="1"/>
  <c r="AB115" i="87" s="1"/>
  <c r="AA115" i="87" a="1"/>
  <c r="AA115" i="87" s="1"/>
  <c r="Z115" i="87" a="1"/>
  <c r="Z115" i="87" s="1"/>
  <c r="Y115" i="87" a="1"/>
  <c r="Y115" i="87" s="1"/>
  <c r="X115" i="87" a="1"/>
  <c r="X115" i="87" s="1"/>
  <c r="W115" i="87" a="1"/>
  <c r="W115" i="87" s="1"/>
  <c r="V115" i="87" a="1"/>
  <c r="V115" i="87" s="1"/>
  <c r="U115" i="87" a="1"/>
  <c r="U115" i="87" s="1"/>
  <c r="T115" i="87" a="1"/>
  <c r="T115" i="87" s="1"/>
  <c r="S115" i="87" a="1"/>
  <c r="S115" i="87" s="1"/>
  <c r="R115" i="87" a="1"/>
  <c r="R115" i="87" s="1"/>
  <c r="Q115" i="87" a="1"/>
  <c r="Q115" i="87" s="1"/>
  <c r="P115" i="87" a="1"/>
  <c r="P115" i="87" s="1"/>
  <c r="O115" i="87" a="1"/>
  <c r="O115" i="87" s="1"/>
  <c r="N115" i="87" a="1"/>
  <c r="N115" i="87" s="1"/>
  <c r="M115" i="87" a="1"/>
  <c r="M115" i="87" s="1"/>
  <c r="L115" i="87" a="1"/>
  <c r="L115" i="87" s="1"/>
  <c r="K115" i="87" a="1"/>
  <c r="K115" i="87" s="1"/>
  <c r="J115" i="87" a="1"/>
  <c r="J115" i="87" s="1"/>
  <c r="I115" i="87" a="1"/>
  <c r="I115" i="87" s="1"/>
  <c r="H115" i="87" a="1"/>
  <c r="H115" i="87" s="1"/>
  <c r="G115" i="87" a="1"/>
  <c r="G115" i="87" s="1"/>
  <c r="F115" i="87" a="1"/>
  <c r="F115" i="87" s="1"/>
  <c r="E115" i="87" a="1"/>
  <c r="E115" i="87" s="1"/>
  <c r="D115" i="87" a="1"/>
  <c r="D115" i="87" s="1"/>
  <c r="AH114" i="87" a="1"/>
  <c r="AH114" i="87" s="1"/>
  <c r="AG114" i="87" a="1"/>
  <c r="AG114" i="87" s="1"/>
  <c r="AF114" i="87" a="1"/>
  <c r="AF114" i="87" s="1"/>
  <c r="AE114" i="87" a="1"/>
  <c r="AE114" i="87" s="1"/>
  <c r="AD114" i="87" a="1"/>
  <c r="AD114" i="87" s="1"/>
  <c r="AC114" i="87" a="1"/>
  <c r="AC114" i="87" s="1"/>
  <c r="AB114" i="87" a="1"/>
  <c r="AB114" i="87" s="1"/>
  <c r="AA114" i="87" a="1"/>
  <c r="AA114" i="87" s="1"/>
  <c r="Z114" i="87" a="1"/>
  <c r="Z114" i="87" s="1"/>
  <c r="Y114" i="87" a="1"/>
  <c r="Y114" i="87" s="1"/>
  <c r="X114" i="87" a="1"/>
  <c r="X114" i="87" s="1"/>
  <c r="W114" i="87" a="1"/>
  <c r="W114" i="87" s="1"/>
  <c r="V114" i="87" a="1"/>
  <c r="V114" i="87" s="1"/>
  <c r="U114" i="87" a="1"/>
  <c r="U114" i="87" s="1"/>
  <c r="T114" i="87" a="1"/>
  <c r="T114" i="87" s="1"/>
  <c r="S114" i="87" a="1"/>
  <c r="S114" i="87" s="1"/>
  <c r="R114" i="87" a="1"/>
  <c r="R114" i="87" s="1"/>
  <c r="Q114" i="87" a="1"/>
  <c r="Q114" i="87" s="1"/>
  <c r="P114" i="87" a="1"/>
  <c r="P114" i="87" s="1"/>
  <c r="O114" i="87" a="1"/>
  <c r="O114" i="87" s="1"/>
  <c r="N114" i="87" a="1"/>
  <c r="N114" i="87" s="1"/>
  <c r="M114" i="87" a="1"/>
  <c r="M114" i="87" s="1"/>
  <c r="L114" i="87" a="1"/>
  <c r="L114" i="87" s="1"/>
  <c r="K114" i="87" a="1"/>
  <c r="K114" i="87" s="1"/>
  <c r="J114" i="87" a="1"/>
  <c r="J114" i="87" s="1"/>
  <c r="I114" i="87" a="1"/>
  <c r="I114" i="87" s="1"/>
  <c r="H114" i="87" a="1"/>
  <c r="H114" i="87" s="1"/>
  <c r="G114" i="87" a="1"/>
  <c r="G114" i="87" s="1"/>
  <c r="F114" i="87" a="1"/>
  <c r="F114" i="87" s="1"/>
  <c r="E114" i="87" a="1"/>
  <c r="E114" i="87" s="1"/>
  <c r="D114" i="87" a="1"/>
  <c r="D114" i="87" s="1"/>
  <c r="AH113" i="87" a="1"/>
  <c r="AH113" i="87" s="1"/>
  <c r="AG113" i="87" a="1"/>
  <c r="AG113" i="87" s="1"/>
  <c r="AF113" i="87" a="1"/>
  <c r="AF113" i="87" s="1"/>
  <c r="AE113" i="87" a="1"/>
  <c r="AE113" i="87" s="1"/>
  <c r="AD113" i="87" a="1"/>
  <c r="AD113" i="87" s="1"/>
  <c r="AC113" i="87" a="1"/>
  <c r="AC113" i="87" s="1"/>
  <c r="AB113" i="87" a="1"/>
  <c r="AB113" i="87" s="1"/>
  <c r="AA113" i="87" a="1"/>
  <c r="AA113" i="87" s="1"/>
  <c r="Z113" i="87" a="1"/>
  <c r="Z113" i="87" s="1"/>
  <c r="Y113" i="87" a="1"/>
  <c r="Y113" i="87" s="1"/>
  <c r="X113" i="87" a="1"/>
  <c r="X113" i="87" s="1"/>
  <c r="W113" i="87" a="1"/>
  <c r="W113" i="87" s="1"/>
  <c r="V113" i="87" a="1"/>
  <c r="V113" i="87" s="1"/>
  <c r="U113" i="87" a="1"/>
  <c r="U113" i="87" s="1"/>
  <c r="T113" i="87" a="1"/>
  <c r="T113" i="87" s="1"/>
  <c r="S113" i="87" a="1"/>
  <c r="S113" i="87" s="1"/>
  <c r="R113" i="87" a="1"/>
  <c r="R113" i="87" s="1"/>
  <c r="Q113" i="87" a="1"/>
  <c r="Q113" i="87" s="1"/>
  <c r="P113" i="87" a="1"/>
  <c r="P113" i="87" s="1"/>
  <c r="O113" i="87" a="1"/>
  <c r="O113" i="87" s="1"/>
  <c r="N113" i="87" a="1"/>
  <c r="N113" i="87" s="1"/>
  <c r="M113" i="87" a="1"/>
  <c r="M113" i="87" s="1"/>
  <c r="L113" i="87" a="1"/>
  <c r="L113" i="87" s="1"/>
  <c r="K113" i="87" a="1"/>
  <c r="K113" i="87" s="1"/>
  <c r="J113" i="87" a="1"/>
  <c r="J113" i="87" s="1"/>
  <c r="I113" i="87" a="1"/>
  <c r="I113" i="87" s="1"/>
  <c r="H113" i="87" a="1"/>
  <c r="H113" i="87" s="1"/>
  <c r="G113" i="87" a="1"/>
  <c r="G113" i="87" s="1"/>
  <c r="F113" i="87" a="1"/>
  <c r="F113" i="87" s="1"/>
  <c r="E113" i="87" a="1"/>
  <c r="E113" i="87" s="1"/>
  <c r="D113" i="87" a="1"/>
  <c r="D113" i="87" s="1"/>
  <c r="AH112" i="87" a="1"/>
  <c r="AH112" i="87" s="1"/>
  <c r="AG112" i="87" a="1"/>
  <c r="AG112" i="87" s="1"/>
  <c r="AF112" i="87" a="1"/>
  <c r="AF112" i="87" s="1"/>
  <c r="AE112" i="87" a="1"/>
  <c r="AE112" i="87" s="1"/>
  <c r="AD112" i="87" a="1"/>
  <c r="AD112" i="87" s="1"/>
  <c r="AC112" i="87" a="1"/>
  <c r="AC112" i="87" s="1"/>
  <c r="AB112" i="87" a="1"/>
  <c r="AB112" i="87" s="1"/>
  <c r="AA112" i="87" a="1"/>
  <c r="AA112" i="87" s="1"/>
  <c r="Z112" i="87" a="1"/>
  <c r="Z112" i="87" s="1"/>
  <c r="Y112" i="87" a="1"/>
  <c r="Y112" i="87" s="1"/>
  <c r="X112" i="87" a="1"/>
  <c r="X112" i="87" s="1"/>
  <c r="W112" i="87" a="1"/>
  <c r="W112" i="87" s="1"/>
  <c r="V112" i="87" a="1"/>
  <c r="V112" i="87" s="1"/>
  <c r="U112" i="87" a="1"/>
  <c r="U112" i="87" s="1"/>
  <c r="T112" i="87" a="1"/>
  <c r="T112" i="87" s="1"/>
  <c r="S112" i="87" a="1"/>
  <c r="S112" i="87" s="1"/>
  <c r="R112" i="87" a="1"/>
  <c r="R112" i="87" s="1"/>
  <c r="Q112" i="87" a="1"/>
  <c r="Q112" i="87" s="1"/>
  <c r="P112" i="87" a="1"/>
  <c r="P112" i="87" s="1"/>
  <c r="O112" i="87" a="1"/>
  <c r="O112" i="87" s="1"/>
  <c r="N112" i="87" a="1"/>
  <c r="N112" i="87" s="1"/>
  <c r="M112" i="87" a="1"/>
  <c r="M112" i="87" s="1"/>
  <c r="L112" i="87" a="1"/>
  <c r="L112" i="87" s="1"/>
  <c r="K112" i="87" a="1"/>
  <c r="K112" i="87" s="1"/>
  <c r="J112" i="87" a="1"/>
  <c r="J112" i="87" s="1"/>
  <c r="I112" i="87" a="1"/>
  <c r="I112" i="87" s="1"/>
  <c r="H112" i="87" a="1"/>
  <c r="H112" i="87" s="1"/>
  <c r="G112" i="87" a="1"/>
  <c r="G112" i="87" s="1"/>
  <c r="F112" i="87" a="1"/>
  <c r="F112" i="87" s="1"/>
  <c r="E112" i="87" a="1"/>
  <c r="E112" i="87" s="1"/>
  <c r="D112" i="87" a="1"/>
  <c r="D112" i="87" s="1"/>
  <c r="AH111" i="87" a="1"/>
  <c r="AH111" i="87" s="1"/>
  <c r="AG111" i="87" a="1"/>
  <c r="AG111" i="87" s="1"/>
  <c r="AF111" i="87" a="1"/>
  <c r="AF111" i="87" s="1"/>
  <c r="AE111" i="87" a="1"/>
  <c r="AE111" i="87" s="1"/>
  <c r="AD111" i="87" a="1"/>
  <c r="AD111" i="87" s="1"/>
  <c r="AC111" i="87" a="1"/>
  <c r="AC111" i="87" s="1"/>
  <c r="AB111" i="87" a="1"/>
  <c r="AB111" i="87" s="1"/>
  <c r="AA111" i="87" a="1"/>
  <c r="AA111" i="87" s="1"/>
  <c r="Z111" i="87" a="1"/>
  <c r="Z111" i="87" s="1"/>
  <c r="Y111" i="87" a="1"/>
  <c r="Y111" i="87" s="1"/>
  <c r="X111" i="87" a="1"/>
  <c r="X111" i="87" s="1"/>
  <c r="W111" i="87" a="1"/>
  <c r="W111" i="87" s="1"/>
  <c r="V111" i="87" a="1"/>
  <c r="V111" i="87" s="1"/>
  <c r="U111" i="87" a="1"/>
  <c r="U111" i="87" s="1"/>
  <c r="T111" i="87" a="1"/>
  <c r="T111" i="87" s="1"/>
  <c r="S111" i="87" a="1"/>
  <c r="S111" i="87" s="1"/>
  <c r="R111" i="87" a="1"/>
  <c r="R111" i="87" s="1"/>
  <c r="Q111" i="87" a="1"/>
  <c r="Q111" i="87" s="1"/>
  <c r="P111" i="87" a="1"/>
  <c r="P111" i="87" s="1"/>
  <c r="O111" i="87" a="1"/>
  <c r="O111" i="87" s="1"/>
  <c r="N111" i="87" a="1"/>
  <c r="N111" i="87" s="1"/>
  <c r="M111" i="87" a="1"/>
  <c r="M111" i="87" s="1"/>
  <c r="L111" i="87" a="1"/>
  <c r="L111" i="87" s="1"/>
  <c r="K111" i="87" a="1"/>
  <c r="K111" i="87" s="1"/>
  <c r="J111" i="87" a="1"/>
  <c r="J111" i="87" s="1"/>
  <c r="I111" i="87" a="1"/>
  <c r="I111" i="87" s="1"/>
  <c r="H111" i="87" a="1"/>
  <c r="H111" i="87" s="1"/>
  <c r="G111" i="87" a="1"/>
  <c r="G111" i="87" s="1"/>
  <c r="F111" i="87" a="1"/>
  <c r="F111" i="87" s="1"/>
  <c r="E111" i="87" a="1"/>
  <c r="E111" i="87" s="1"/>
  <c r="D111" i="87" a="1"/>
  <c r="D111" i="87" s="1"/>
  <c r="AH110" i="87" a="1"/>
  <c r="AH110" i="87" s="1"/>
  <c r="AG110" i="87" a="1"/>
  <c r="AG110" i="87" s="1"/>
  <c r="AF110" i="87" a="1"/>
  <c r="AF110" i="87" s="1"/>
  <c r="AE110" i="87" a="1"/>
  <c r="AE110" i="87" s="1"/>
  <c r="AD110" i="87" a="1"/>
  <c r="AD110" i="87" s="1"/>
  <c r="AC110" i="87" a="1"/>
  <c r="AC110" i="87" s="1"/>
  <c r="AB110" i="87" a="1"/>
  <c r="AB110" i="87" s="1"/>
  <c r="AA110" i="87" a="1"/>
  <c r="AA110" i="87" s="1"/>
  <c r="Z110" i="87" a="1"/>
  <c r="Z110" i="87" s="1"/>
  <c r="Y110" i="87" a="1"/>
  <c r="Y110" i="87" s="1"/>
  <c r="X110" i="87" a="1"/>
  <c r="X110" i="87" s="1"/>
  <c r="W110" i="87" a="1"/>
  <c r="W110" i="87" s="1"/>
  <c r="V110" i="87" a="1"/>
  <c r="V110" i="87" s="1"/>
  <c r="U110" i="87" a="1"/>
  <c r="U110" i="87" s="1"/>
  <c r="T110" i="87" a="1"/>
  <c r="T110" i="87" s="1"/>
  <c r="S110" i="87" a="1"/>
  <c r="S110" i="87" s="1"/>
  <c r="R110" i="87" a="1"/>
  <c r="R110" i="87" s="1"/>
  <c r="Q110" i="87" a="1"/>
  <c r="Q110" i="87" s="1"/>
  <c r="P110" i="87" a="1"/>
  <c r="P110" i="87" s="1"/>
  <c r="O110" i="87" a="1"/>
  <c r="O110" i="87" s="1"/>
  <c r="N110" i="87" a="1"/>
  <c r="N110" i="87" s="1"/>
  <c r="M110" i="87" a="1"/>
  <c r="M110" i="87" s="1"/>
  <c r="L110" i="87" a="1"/>
  <c r="L110" i="87" s="1"/>
  <c r="K110" i="87" a="1"/>
  <c r="K110" i="87" s="1"/>
  <c r="J110" i="87" a="1"/>
  <c r="J110" i="87" s="1"/>
  <c r="I110" i="87" a="1"/>
  <c r="I110" i="87" s="1"/>
  <c r="H110" i="87" a="1"/>
  <c r="H110" i="87" s="1"/>
  <c r="G110" i="87" a="1"/>
  <c r="G110" i="87" s="1"/>
  <c r="F110" i="87" a="1"/>
  <c r="F110" i="87" s="1"/>
  <c r="E110" i="87" a="1"/>
  <c r="E110" i="87" s="1"/>
  <c r="D110" i="87" a="1"/>
  <c r="D110" i="87" s="1"/>
  <c r="AH109" i="87" a="1"/>
  <c r="AH109" i="87" s="1"/>
  <c r="AG109" i="87" a="1"/>
  <c r="AG109" i="87" s="1"/>
  <c r="AF109" i="87" a="1"/>
  <c r="AF109" i="87" s="1"/>
  <c r="AE109" i="87" a="1"/>
  <c r="AE109" i="87" s="1"/>
  <c r="AD109" i="87" a="1"/>
  <c r="AD109" i="87" s="1"/>
  <c r="AC109" i="87" a="1"/>
  <c r="AC109" i="87" s="1"/>
  <c r="AB109" i="87" a="1"/>
  <c r="AB109" i="87" s="1"/>
  <c r="AA109" i="87" a="1"/>
  <c r="AA109" i="87" s="1"/>
  <c r="Z109" i="87" a="1"/>
  <c r="Z109" i="87" s="1"/>
  <c r="Y109" i="87" a="1"/>
  <c r="Y109" i="87" s="1"/>
  <c r="X109" i="87" a="1"/>
  <c r="X109" i="87" s="1"/>
  <c r="W109" i="87" a="1"/>
  <c r="W109" i="87" s="1"/>
  <c r="V109" i="87" a="1"/>
  <c r="V109" i="87" s="1"/>
  <c r="U109" i="87" a="1"/>
  <c r="U109" i="87" s="1"/>
  <c r="T109" i="87" a="1"/>
  <c r="T109" i="87" s="1"/>
  <c r="S109" i="87" a="1"/>
  <c r="S109" i="87" s="1"/>
  <c r="R109" i="87" a="1"/>
  <c r="R109" i="87" s="1"/>
  <c r="Q109" i="87" a="1"/>
  <c r="Q109" i="87" s="1"/>
  <c r="P109" i="87" a="1"/>
  <c r="P109" i="87" s="1"/>
  <c r="O109" i="87" a="1"/>
  <c r="O109" i="87" s="1"/>
  <c r="N109" i="87" a="1"/>
  <c r="N109" i="87" s="1"/>
  <c r="M109" i="87" a="1"/>
  <c r="M109" i="87" s="1"/>
  <c r="L109" i="87" a="1"/>
  <c r="L109" i="87" s="1"/>
  <c r="K109" i="87" a="1"/>
  <c r="K109" i="87" s="1"/>
  <c r="J109" i="87" a="1"/>
  <c r="J109" i="87" s="1"/>
  <c r="I109" i="87" a="1"/>
  <c r="I109" i="87" s="1"/>
  <c r="H109" i="87" a="1"/>
  <c r="H109" i="87" s="1"/>
  <c r="G109" i="87" a="1"/>
  <c r="G109" i="87" s="1"/>
  <c r="F109" i="87" a="1"/>
  <c r="F109" i="87" s="1"/>
  <c r="E109" i="87" a="1"/>
  <c r="E109" i="87" s="1"/>
  <c r="D109" i="87" a="1"/>
  <c r="D109" i="87" s="1"/>
  <c r="AH108" i="87" a="1"/>
  <c r="AH108" i="87" s="1"/>
  <c r="AG108" i="87" a="1"/>
  <c r="AG108" i="87" s="1"/>
  <c r="AF108" i="87" a="1"/>
  <c r="AF108" i="87" s="1"/>
  <c r="AE108" i="87" a="1"/>
  <c r="AE108" i="87" s="1"/>
  <c r="AD108" i="87" a="1"/>
  <c r="AD108" i="87" s="1"/>
  <c r="AC108" i="87" a="1"/>
  <c r="AC108" i="87" s="1"/>
  <c r="AB108" i="87" a="1"/>
  <c r="AB108" i="87" s="1"/>
  <c r="AA108" i="87" a="1"/>
  <c r="AA108" i="87" s="1"/>
  <c r="Z108" i="87" a="1"/>
  <c r="Z108" i="87" s="1"/>
  <c r="Y108" i="87" a="1"/>
  <c r="Y108" i="87" s="1"/>
  <c r="X108" i="87" a="1"/>
  <c r="X108" i="87" s="1"/>
  <c r="W108" i="87" a="1"/>
  <c r="W108" i="87" s="1"/>
  <c r="V108" i="87" a="1"/>
  <c r="V108" i="87" s="1"/>
  <c r="U108" i="87" a="1"/>
  <c r="U108" i="87" s="1"/>
  <c r="T108" i="87" a="1"/>
  <c r="T108" i="87" s="1"/>
  <c r="S108" i="87" a="1"/>
  <c r="S108" i="87" s="1"/>
  <c r="R108" i="87" a="1"/>
  <c r="R108" i="87" s="1"/>
  <c r="Q108" i="87" a="1"/>
  <c r="Q108" i="87" s="1"/>
  <c r="P108" i="87" a="1"/>
  <c r="P108" i="87" s="1"/>
  <c r="O108" i="87" a="1"/>
  <c r="O108" i="87" s="1"/>
  <c r="N108" i="87" a="1"/>
  <c r="N108" i="87" s="1"/>
  <c r="M108" i="87" a="1"/>
  <c r="M108" i="87" s="1"/>
  <c r="L108" i="87" a="1"/>
  <c r="L108" i="87" s="1"/>
  <c r="K108" i="87" a="1"/>
  <c r="K108" i="87" s="1"/>
  <c r="J108" i="87" a="1"/>
  <c r="J108" i="87" s="1"/>
  <c r="I108" i="87" a="1"/>
  <c r="I108" i="87" s="1"/>
  <c r="H108" i="87" a="1"/>
  <c r="H108" i="87" s="1"/>
  <c r="G108" i="87" a="1"/>
  <c r="G108" i="87" s="1"/>
  <c r="F108" i="87" a="1"/>
  <c r="F108" i="87" s="1"/>
  <c r="E108" i="87" a="1"/>
  <c r="E108" i="87" s="1"/>
  <c r="D108" i="87" a="1"/>
  <c r="D108" i="87" s="1"/>
  <c r="AH107" i="87" a="1"/>
  <c r="AH107" i="87" s="1"/>
  <c r="AG107" i="87" a="1"/>
  <c r="AG107" i="87" s="1"/>
  <c r="AF107" i="87" a="1"/>
  <c r="AF107" i="87" s="1"/>
  <c r="AE107" i="87" a="1"/>
  <c r="AE107" i="87" s="1"/>
  <c r="AD107" i="87" a="1"/>
  <c r="AD107" i="87" s="1"/>
  <c r="AC107" i="87" a="1"/>
  <c r="AC107" i="87" s="1"/>
  <c r="AB107" i="87" a="1"/>
  <c r="AB107" i="87" s="1"/>
  <c r="AA107" i="87" a="1"/>
  <c r="AA107" i="87" s="1"/>
  <c r="Z107" i="87" a="1"/>
  <c r="Z107" i="87" s="1"/>
  <c r="Y107" i="87" a="1"/>
  <c r="Y107" i="87" s="1"/>
  <c r="X107" i="87" a="1"/>
  <c r="X107" i="87" s="1"/>
  <c r="W107" i="87" a="1"/>
  <c r="W107" i="87" s="1"/>
  <c r="V107" i="87" a="1"/>
  <c r="V107" i="87" s="1"/>
  <c r="U107" i="87" a="1"/>
  <c r="U107" i="87" s="1"/>
  <c r="T107" i="87" a="1"/>
  <c r="T107" i="87" s="1"/>
  <c r="S107" i="87" a="1"/>
  <c r="S107" i="87" s="1"/>
  <c r="R107" i="87" a="1"/>
  <c r="R107" i="87" s="1"/>
  <c r="Q107" i="87" a="1"/>
  <c r="Q107" i="87" s="1"/>
  <c r="P107" i="87" a="1"/>
  <c r="P107" i="87" s="1"/>
  <c r="O107" i="87" a="1"/>
  <c r="O107" i="87" s="1"/>
  <c r="N107" i="87" a="1"/>
  <c r="N107" i="87" s="1"/>
  <c r="M107" i="87" a="1"/>
  <c r="M107" i="87" s="1"/>
  <c r="L107" i="87" a="1"/>
  <c r="L107" i="87" s="1"/>
  <c r="K107" i="87" a="1"/>
  <c r="K107" i="87" s="1"/>
  <c r="J107" i="87" a="1"/>
  <c r="J107" i="87" s="1"/>
  <c r="I107" i="87" a="1"/>
  <c r="I107" i="87" s="1"/>
  <c r="H107" i="87" a="1"/>
  <c r="H107" i="87" s="1"/>
  <c r="G107" i="87" a="1"/>
  <c r="G107" i="87" s="1"/>
  <c r="F107" i="87" a="1"/>
  <c r="F107" i="87" s="1"/>
  <c r="E107" i="87" a="1"/>
  <c r="E107" i="87" s="1"/>
  <c r="D107" i="87" a="1"/>
  <c r="D107" i="87" s="1"/>
  <c r="AH106" i="87" a="1"/>
  <c r="AH106" i="87" s="1"/>
  <c r="AG106" i="87" a="1"/>
  <c r="AG106" i="87" s="1"/>
  <c r="AF106" i="87" a="1"/>
  <c r="AF106" i="87" s="1"/>
  <c r="AE106" i="87" a="1"/>
  <c r="AE106" i="87" s="1"/>
  <c r="AD106" i="87" a="1"/>
  <c r="AD106" i="87" s="1"/>
  <c r="AC106" i="87" a="1"/>
  <c r="AC106" i="87" s="1"/>
  <c r="AB106" i="87" a="1"/>
  <c r="AB106" i="87" s="1"/>
  <c r="AA106" i="87" a="1"/>
  <c r="AA106" i="87" s="1"/>
  <c r="Z106" i="87" a="1"/>
  <c r="Z106" i="87" s="1"/>
  <c r="Y106" i="87" a="1"/>
  <c r="Y106" i="87" s="1"/>
  <c r="X106" i="87" a="1"/>
  <c r="X106" i="87" s="1"/>
  <c r="W106" i="87" a="1"/>
  <c r="W106" i="87" s="1"/>
  <c r="V106" i="87" a="1"/>
  <c r="V106" i="87" s="1"/>
  <c r="U106" i="87" a="1"/>
  <c r="U106" i="87" s="1"/>
  <c r="T106" i="87" a="1"/>
  <c r="T106" i="87" s="1"/>
  <c r="S106" i="87" a="1"/>
  <c r="S106" i="87" s="1"/>
  <c r="R106" i="87" a="1"/>
  <c r="R106" i="87" s="1"/>
  <c r="Q106" i="87" a="1"/>
  <c r="Q106" i="87" s="1"/>
  <c r="P106" i="87" a="1"/>
  <c r="P106" i="87" s="1"/>
  <c r="O106" i="87" a="1"/>
  <c r="O106" i="87" s="1"/>
  <c r="N106" i="87" a="1"/>
  <c r="N106" i="87" s="1"/>
  <c r="M106" i="87" a="1"/>
  <c r="M106" i="87" s="1"/>
  <c r="L106" i="87" a="1"/>
  <c r="L106" i="87" s="1"/>
  <c r="K106" i="87" a="1"/>
  <c r="K106" i="87" s="1"/>
  <c r="J106" i="87" a="1"/>
  <c r="J106" i="87" s="1"/>
  <c r="I106" i="87" a="1"/>
  <c r="I106" i="87" s="1"/>
  <c r="H106" i="87" a="1"/>
  <c r="H106" i="87" s="1"/>
  <c r="G106" i="87" a="1"/>
  <c r="G106" i="87" s="1"/>
  <c r="F106" i="87" a="1"/>
  <c r="F106" i="87" s="1"/>
  <c r="E106" i="87" a="1"/>
  <c r="E106" i="87" s="1"/>
  <c r="D106" i="87" a="1"/>
  <c r="D106" i="87" s="1"/>
  <c r="AH105" i="87" a="1"/>
  <c r="AH105" i="87" s="1"/>
  <c r="AG105" i="87" a="1"/>
  <c r="AG105" i="87" s="1"/>
  <c r="AF105" i="87" a="1"/>
  <c r="AF105" i="87" s="1"/>
  <c r="AE105" i="87" a="1"/>
  <c r="AE105" i="87" s="1"/>
  <c r="AD105" i="87" a="1"/>
  <c r="AD105" i="87" s="1"/>
  <c r="AC105" i="87" a="1"/>
  <c r="AC105" i="87" s="1"/>
  <c r="AB105" i="87" a="1"/>
  <c r="AB105" i="87" s="1"/>
  <c r="AA105" i="87" a="1"/>
  <c r="AA105" i="87" s="1"/>
  <c r="Z105" i="87" a="1"/>
  <c r="Z105" i="87" s="1"/>
  <c r="Y105" i="87" a="1"/>
  <c r="Y105" i="87" s="1"/>
  <c r="X105" i="87" a="1"/>
  <c r="X105" i="87" s="1"/>
  <c r="W105" i="87" a="1"/>
  <c r="W105" i="87" s="1"/>
  <c r="V105" i="87" a="1"/>
  <c r="V105" i="87" s="1"/>
  <c r="U105" i="87" a="1"/>
  <c r="U105" i="87" s="1"/>
  <c r="T105" i="87" a="1"/>
  <c r="T105" i="87" s="1"/>
  <c r="S105" i="87" a="1"/>
  <c r="S105" i="87" s="1"/>
  <c r="R105" i="87" a="1"/>
  <c r="R105" i="87" s="1"/>
  <c r="Q105" i="87" a="1"/>
  <c r="Q105" i="87" s="1"/>
  <c r="P105" i="87" a="1"/>
  <c r="P105" i="87" s="1"/>
  <c r="O105" i="87" a="1"/>
  <c r="O105" i="87" s="1"/>
  <c r="N105" i="87" a="1"/>
  <c r="N105" i="87" s="1"/>
  <c r="M105" i="87" a="1"/>
  <c r="M105" i="87" s="1"/>
  <c r="L105" i="87" a="1"/>
  <c r="L105" i="87" s="1"/>
  <c r="K105" i="87" a="1"/>
  <c r="K105" i="87" s="1"/>
  <c r="J105" i="87" a="1"/>
  <c r="J105" i="87" s="1"/>
  <c r="I105" i="87" a="1"/>
  <c r="I105" i="87" s="1"/>
  <c r="H105" i="87" a="1"/>
  <c r="H105" i="87" s="1"/>
  <c r="G105" i="87" a="1"/>
  <c r="G105" i="87" s="1"/>
  <c r="F105" i="87" a="1"/>
  <c r="F105" i="87" s="1"/>
  <c r="E105" i="87" a="1"/>
  <c r="E105" i="87" s="1"/>
  <c r="D105" i="87" a="1"/>
  <c r="D105" i="87" s="1"/>
  <c r="AH104" i="87" a="1"/>
  <c r="AH104" i="87" s="1"/>
  <c r="AG104" i="87" a="1"/>
  <c r="AG104" i="87" s="1"/>
  <c r="AF104" i="87" a="1"/>
  <c r="AF104" i="87" s="1"/>
  <c r="AE104" i="87" a="1"/>
  <c r="AE104" i="87" s="1"/>
  <c r="AD104" i="87" a="1"/>
  <c r="AD104" i="87" s="1"/>
  <c r="AC104" i="87" a="1"/>
  <c r="AC104" i="87" s="1"/>
  <c r="AB104" i="87" a="1"/>
  <c r="AB104" i="87" s="1"/>
  <c r="AA104" i="87" a="1"/>
  <c r="AA104" i="87" s="1"/>
  <c r="Z104" i="87" a="1"/>
  <c r="Z104" i="87" s="1"/>
  <c r="Y104" i="87" a="1"/>
  <c r="Y104" i="87" s="1"/>
  <c r="X104" i="87" a="1"/>
  <c r="X104" i="87" s="1"/>
  <c r="W104" i="87" a="1"/>
  <c r="W104" i="87" s="1"/>
  <c r="V104" i="87" a="1"/>
  <c r="V104" i="87" s="1"/>
  <c r="U104" i="87" a="1"/>
  <c r="U104" i="87" s="1"/>
  <c r="T104" i="87" a="1"/>
  <c r="T104" i="87" s="1"/>
  <c r="S104" i="87" a="1"/>
  <c r="S104" i="87" s="1"/>
  <c r="R104" i="87" a="1"/>
  <c r="R104" i="87" s="1"/>
  <c r="Q104" i="87" a="1"/>
  <c r="Q104" i="87" s="1"/>
  <c r="P104" i="87" a="1"/>
  <c r="P104" i="87" s="1"/>
  <c r="O104" i="87" a="1"/>
  <c r="O104" i="87" s="1"/>
  <c r="N104" i="87" a="1"/>
  <c r="N104" i="87" s="1"/>
  <c r="M104" i="87" a="1"/>
  <c r="M104" i="87" s="1"/>
  <c r="L104" i="87" a="1"/>
  <c r="L104" i="87" s="1"/>
  <c r="K104" i="87" a="1"/>
  <c r="K104" i="87" s="1"/>
  <c r="J104" i="87" a="1"/>
  <c r="J104" i="87" s="1"/>
  <c r="I104" i="87" a="1"/>
  <c r="I104" i="87" s="1"/>
  <c r="H104" i="87" a="1"/>
  <c r="H104" i="87" s="1"/>
  <c r="G104" i="87" a="1"/>
  <c r="G104" i="87" s="1"/>
  <c r="F104" i="87" a="1"/>
  <c r="F104" i="87" s="1"/>
  <c r="E104" i="87" a="1"/>
  <c r="E104" i="87" s="1"/>
  <c r="D104" i="87" a="1"/>
  <c r="D104" i="87" s="1"/>
  <c r="AH103" i="87" a="1"/>
  <c r="AH103" i="87" s="1"/>
  <c r="AG103" i="87" a="1"/>
  <c r="AG103" i="87" s="1"/>
  <c r="AF103" i="87" a="1"/>
  <c r="AF103" i="87" s="1"/>
  <c r="AE103" i="87" a="1"/>
  <c r="AE103" i="87" s="1"/>
  <c r="AD103" i="87" a="1"/>
  <c r="AD103" i="87" s="1"/>
  <c r="AC103" i="87" a="1"/>
  <c r="AC103" i="87" s="1"/>
  <c r="AB103" i="87" a="1"/>
  <c r="AB103" i="87" s="1"/>
  <c r="AA103" i="87" a="1"/>
  <c r="AA103" i="87" s="1"/>
  <c r="Z103" i="87" a="1"/>
  <c r="Z103" i="87" s="1"/>
  <c r="Y103" i="87" a="1"/>
  <c r="Y103" i="87" s="1"/>
  <c r="X103" i="87" a="1"/>
  <c r="X103" i="87" s="1"/>
  <c r="W103" i="87" a="1"/>
  <c r="W103" i="87" s="1"/>
  <c r="V103" i="87" a="1"/>
  <c r="V103" i="87" s="1"/>
  <c r="U103" i="87" a="1"/>
  <c r="U103" i="87" s="1"/>
  <c r="T103" i="87" a="1"/>
  <c r="T103" i="87" s="1"/>
  <c r="S103" i="87" a="1"/>
  <c r="S103" i="87" s="1"/>
  <c r="R103" i="87" a="1"/>
  <c r="R103" i="87" s="1"/>
  <c r="Q103" i="87" a="1"/>
  <c r="Q103" i="87" s="1"/>
  <c r="P103" i="87" a="1"/>
  <c r="P103" i="87" s="1"/>
  <c r="O103" i="87" a="1"/>
  <c r="O103" i="87" s="1"/>
  <c r="N103" i="87" a="1"/>
  <c r="N103" i="87" s="1"/>
  <c r="M103" i="87" a="1"/>
  <c r="M103" i="87" s="1"/>
  <c r="L103" i="87" a="1"/>
  <c r="L103" i="87" s="1"/>
  <c r="K103" i="87" a="1"/>
  <c r="K103" i="87" s="1"/>
  <c r="J103" i="87" a="1"/>
  <c r="J103" i="87" s="1"/>
  <c r="I103" i="87" a="1"/>
  <c r="I103" i="87" s="1"/>
  <c r="H103" i="87" a="1"/>
  <c r="H103" i="87" s="1"/>
  <c r="G103" i="87" a="1"/>
  <c r="G103" i="87" s="1"/>
  <c r="F103" i="87" a="1"/>
  <c r="F103" i="87" s="1"/>
  <c r="E103" i="87" a="1"/>
  <c r="E103" i="87" s="1"/>
  <c r="D103" i="87" a="1"/>
  <c r="D103" i="87" s="1"/>
  <c r="AH102" i="87" a="1"/>
  <c r="AH102" i="87" s="1"/>
  <c r="AG102" i="87" a="1"/>
  <c r="AG102" i="87" s="1"/>
  <c r="AF102" i="87" a="1"/>
  <c r="AF102" i="87" s="1"/>
  <c r="AE102" i="87" a="1"/>
  <c r="AE102" i="87" s="1"/>
  <c r="AD102" i="87" a="1"/>
  <c r="AD102" i="87" s="1"/>
  <c r="AC102" i="87" a="1"/>
  <c r="AC102" i="87" s="1"/>
  <c r="AB102" i="87" a="1"/>
  <c r="AB102" i="87" s="1"/>
  <c r="AA102" i="87" a="1"/>
  <c r="AA102" i="87" s="1"/>
  <c r="Z102" i="87" a="1"/>
  <c r="Z102" i="87" s="1"/>
  <c r="Y102" i="87" a="1"/>
  <c r="Y102" i="87" s="1"/>
  <c r="X102" i="87" a="1"/>
  <c r="X102" i="87" s="1"/>
  <c r="W102" i="87" a="1"/>
  <c r="W102" i="87" s="1"/>
  <c r="V102" i="87" a="1"/>
  <c r="V102" i="87" s="1"/>
  <c r="U102" i="87" a="1"/>
  <c r="U102" i="87" s="1"/>
  <c r="T102" i="87" a="1"/>
  <c r="T102" i="87" s="1"/>
  <c r="S102" i="87" a="1"/>
  <c r="S102" i="87" s="1"/>
  <c r="R102" i="87" a="1"/>
  <c r="R102" i="87" s="1"/>
  <c r="Q102" i="87" a="1"/>
  <c r="Q102" i="87" s="1"/>
  <c r="P102" i="87" a="1"/>
  <c r="P102" i="87" s="1"/>
  <c r="O102" i="87" a="1"/>
  <c r="O102" i="87" s="1"/>
  <c r="N102" i="87" a="1"/>
  <c r="N102" i="87" s="1"/>
  <c r="M102" i="87" a="1"/>
  <c r="M102" i="87" s="1"/>
  <c r="L102" i="87" a="1"/>
  <c r="L102" i="87" s="1"/>
  <c r="K102" i="87" a="1"/>
  <c r="K102" i="87" s="1"/>
  <c r="J102" i="87" a="1"/>
  <c r="J102" i="87" s="1"/>
  <c r="I102" i="87" a="1"/>
  <c r="I102" i="87" s="1"/>
  <c r="H102" i="87" a="1"/>
  <c r="H102" i="87" s="1"/>
  <c r="G102" i="87" a="1"/>
  <c r="G102" i="87" s="1"/>
  <c r="F102" i="87" a="1"/>
  <c r="F102" i="87" s="1"/>
  <c r="E102" i="87" a="1"/>
  <c r="E102" i="87" s="1"/>
  <c r="D102" i="87" a="1"/>
  <c r="D102" i="87" s="1"/>
  <c r="AH101" i="87" a="1"/>
  <c r="AH101" i="87" s="1"/>
  <c r="AG101" i="87" a="1"/>
  <c r="AG101" i="87" s="1"/>
  <c r="AF101" i="87" a="1"/>
  <c r="AF101" i="87" s="1"/>
  <c r="AE101" i="87" a="1"/>
  <c r="AE101" i="87" s="1"/>
  <c r="AD101" i="87" a="1"/>
  <c r="AD101" i="87" s="1"/>
  <c r="AC101" i="87" a="1"/>
  <c r="AC101" i="87" s="1"/>
  <c r="AB101" i="87" a="1"/>
  <c r="AB101" i="87" s="1"/>
  <c r="AA101" i="87" a="1"/>
  <c r="AA101" i="87" s="1"/>
  <c r="Z101" i="87" a="1"/>
  <c r="Z101" i="87" s="1"/>
  <c r="Y101" i="87" a="1"/>
  <c r="Y101" i="87" s="1"/>
  <c r="X101" i="87" a="1"/>
  <c r="X101" i="87" s="1"/>
  <c r="W101" i="87" a="1"/>
  <c r="W101" i="87" s="1"/>
  <c r="V101" i="87" a="1"/>
  <c r="V101" i="87" s="1"/>
  <c r="U101" i="87" a="1"/>
  <c r="U101" i="87" s="1"/>
  <c r="T101" i="87" a="1"/>
  <c r="T101" i="87" s="1"/>
  <c r="S101" i="87" a="1"/>
  <c r="S101" i="87" s="1"/>
  <c r="R101" i="87" a="1"/>
  <c r="R101" i="87" s="1"/>
  <c r="Q101" i="87" a="1"/>
  <c r="Q101" i="87" s="1"/>
  <c r="P101" i="87" a="1"/>
  <c r="P101" i="87" s="1"/>
  <c r="O101" i="87" a="1"/>
  <c r="O101" i="87" s="1"/>
  <c r="N101" i="87" a="1"/>
  <c r="N101" i="87" s="1"/>
  <c r="M101" i="87" a="1"/>
  <c r="M101" i="87" s="1"/>
  <c r="L101" i="87" a="1"/>
  <c r="L101" i="87" s="1"/>
  <c r="K101" i="87" a="1"/>
  <c r="K101" i="87" s="1"/>
  <c r="J101" i="87" a="1"/>
  <c r="J101" i="87" s="1"/>
  <c r="I101" i="87" a="1"/>
  <c r="I101" i="87" s="1"/>
  <c r="H101" i="87" a="1"/>
  <c r="H101" i="87" s="1"/>
  <c r="G101" i="87" a="1"/>
  <c r="G101" i="87" s="1"/>
  <c r="F101" i="87" a="1"/>
  <c r="F101" i="87" s="1"/>
  <c r="E101" i="87" a="1"/>
  <c r="E101" i="87" s="1"/>
  <c r="D101" i="87" a="1"/>
  <c r="D101" i="87" s="1"/>
  <c r="AH100" i="87" a="1"/>
  <c r="AH100" i="87" s="1"/>
  <c r="AG100" i="87" a="1"/>
  <c r="AG100" i="87" s="1"/>
  <c r="AF100" i="87" a="1"/>
  <c r="AF100" i="87" s="1"/>
  <c r="AE100" i="87" a="1"/>
  <c r="AE100" i="87" s="1"/>
  <c r="AD100" i="87" a="1"/>
  <c r="AD100" i="87" s="1"/>
  <c r="AC100" i="87" a="1"/>
  <c r="AC100" i="87" s="1"/>
  <c r="AB100" i="87" a="1"/>
  <c r="AB100" i="87" s="1"/>
  <c r="AA100" i="87" a="1"/>
  <c r="AA100" i="87" s="1"/>
  <c r="Z100" i="87" a="1"/>
  <c r="Z100" i="87" s="1"/>
  <c r="Y100" i="87" a="1"/>
  <c r="Y100" i="87" s="1"/>
  <c r="X100" i="87" a="1"/>
  <c r="X100" i="87" s="1"/>
  <c r="W100" i="87" a="1"/>
  <c r="W100" i="87" s="1"/>
  <c r="V100" i="87" a="1"/>
  <c r="V100" i="87" s="1"/>
  <c r="U100" i="87" a="1"/>
  <c r="U100" i="87" s="1"/>
  <c r="T100" i="87" a="1"/>
  <c r="T100" i="87" s="1"/>
  <c r="S100" i="87" a="1"/>
  <c r="S100" i="87" s="1"/>
  <c r="R100" i="87" a="1"/>
  <c r="R100" i="87" s="1"/>
  <c r="Q100" i="87" a="1"/>
  <c r="Q100" i="87" s="1"/>
  <c r="P100" i="87" a="1"/>
  <c r="P100" i="87" s="1"/>
  <c r="O100" i="87" a="1"/>
  <c r="O100" i="87" s="1"/>
  <c r="N100" i="87" a="1"/>
  <c r="N100" i="87" s="1"/>
  <c r="M100" i="87" a="1"/>
  <c r="M100" i="87" s="1"/>
  <c r="L100" i="87" a="1"/>
  <c r="L100" i="87" s="1"/>
  <c r="K100" i="87" a="1"/>
  <c r="K100" i="87" s="1"/>
  <c r="J100" i="87" a="1"/>
  <c r="J100" i="87" s="1"/>
  <c r="I100" i="87" a="1"/>
  <c r="I100" i="87" s="1"/>
  <c r="H100" i="87" a="1"/>
  <c r="H100" i="87" s="1"/>
  <c r="G100" i="87" a="1"/>
  <c r="G100" i="87" s="1"/>
  <c r="F100" i="87" a="1"/>
  <c r="F100" i="87" s="1"/>
  <c r="E100" i="87" a="1"/>
  <c r="E100" i="87" s="1"/>
  <c r="D100" i="87" a="1"/>
  <c r="D100" i="87" s="1"/>
  <c r="AH99" i="87" a="1"/>
  <c r="AH99" i="87" s="1"/>
  <c r="AG99" i="87" a="1"/>
  <c r="AG99" i="87" s="1"/>
  <c r="AF99" i="87" a="1"/>
  <c r="AF99" i="87" s="1"/>
  <c r="AE99" i="87" a="1"/>
  <c r="AE99" i="87" s="1"/>
  <c r="AD99" i="87" a="1"/>
  <c r="AD99" i="87" s="1"/>
  <c r="AC99" i="87" a="1"/>
  <c r="AC99" i="87" s="1"/>
  <c r="AB99" i="87" a="1"/>
  <c r="AB99" i="87" s="1"/>
  <c r="AA99" i="87" a="1"/>
  <c r="AA99" i="87" s="1"/>
  <c r="Z99" i="87" a="1"/>
  <c r="Z99" i="87" s="1"/>
  <c r="Y99" i="87" a="1"/>
  <c r="Y99" i="87" s="1"/>
  <c r="X99" i="87" a="1"/>
  <c r="X99" i="87" s="1"/>
  <c r="W99" i="87" a="1"/>
  <c r="W99" i="87" s="1"/>
  <c r="V99" i="87" a="1"/>
  <c r="V99" i="87" s="1"/>
  <c r="U99" i="87" a="1"/>
  <c r="U99" i="87" s="1"/>
  <c r="T99" i="87" a="1"/>
  <c r="T99" i="87" s="1"/>
  <c r="S99" i="87" a="1"/>
  <c r="S99" i="87" s="1"/>
  <c r="R99" i="87" a="1"/>
  <c r="R99" i="87" s="1"/>
  <c r="Q99" i="87" a="1"/>
  <c r="Q99" i="87" s="1"/>
  <c r="P99" i="87" a="1"/>
  <c r="P99" i="87" s="1"/>
  <c r="O99" i="87" a="1"/>
  <c r="O99" i="87" s="1"/>
  <c r="N99" i="87" a="1"/>
  <c r="N99" i="87" s="1"/>
  <c r="M99" i="87" a="1"/>
  <c r="M99" i="87" s="1"/>
  <c r="L99" i="87" a="1"/>
  <c r="L99" i="87" s="1"/>
  <c r="K99" i="87" a="1"/>
  <c r="K99" i="87" s="1"/>
  <c r="J99" i="87" a="1"/>
  <c r="J99" i="87" s="1"/>
  <c r="I99" i="87" a="1"/>
  <c r="I99" i="87" s="1"/>
  <c r="H99" i="87" a="1"/>
  <c r="H99" i="87" s="1"/>
  <c r="G99" i="87" a="1"/>
  <c r="G99" i="87" s="1"/>
  <c r="F99" i="87" a="1"/>
  <c r="F99" i="87" s="1"/>
  <c r="E99" i="87" a="1"/>
  <c r="E99" i="87" s="1"/>
  <c r="D99" i="87" a="1"/>
  <c r="D99" i="87" s="1"/>
  <c r="AH98" i="87" a="1"/>
  <c r="AH98" i="87" s="1"/>
  <c r="AG98" i="87" a="1"/>
  <c r="AG98" i="87" s="1"/>
  <c r="AF98" i="87" a="1"/>
  <c r="AF98" i="87" s="1"/>
  <c r="AE98" i="87" a="1"/>
  <c r="AE98" i="87" s="1"/>
  <c r="AD98" i="87" a="1"/>
  <c r="AD98" i="87" s="1"/>
  <c r="AC98" i="87" a="1"/>
  <c r="AC98" i="87" s="1"/>
  <c r="AB98" i="87" a="1"/>
  <c r="AB98" i="87" s="1"/>
  <c r="AA98" i="87" a="1"/>
  <c r="AA98" i="87" s="1"/>
  <c r="Z98" i="87" a="1"/>
  <c r="Z98" i="87" s="1"/>
  <c r="Y98" i="87" a="1"/>
  <c r="Y98" i="87" s="1"/>
  <c r="X98" i="87" a="1"/>
  <c r="X98" i="87" s="1"/>
  <c r="W98" i="87" a="1"/>
  <c r="W98" i="87" s="1"/>
  <c r="V98" i="87" a="1"/>
  <c r="V98" i="87" s="1"/>
  <c r="U98" i="87" a="1"/>
  <c r="U98" i="87" s="1"/>
  <c r="T98" i="87" a="1"/>
  <c r="T98" i="87" s="1"/>
  <c r="S98" i="87" a="1"/>
  <c r="S98" i="87" s="1"/>
  <c r="R98" i="87" a="1"/>
  <c r="R98" i="87" s="1"/>
  <c r="Q98" i="87" a="1"/>
  <c r="Q98" i="87" s="1"/>
  <c r="P98" i="87" a="1"/>
  <c r="P98" i="87" s="1"/>
  <c r="O98" i="87" a="1"/>
  <c r="O98" i="87" s="1"/>
  <c r="N98" i="87" a="1"/>
  <c r="N98" i="87" s="1"/>
  <c r="M98" i="87" a="1"/>
  <c r="M98" i="87" s="1"/>
  <c r="L98" i="87" a="1"/>
  <c r="L98" i="87" s="1"/>
  <c r="K98" i="87" a="1"/>
  <c r="K98" i="87" s="1"/>
  <c r="J98" i="87" a="1"/>
  <c r="J98" i="87" s="1"/>
  <c r="I98" i="87" a="1"/>
  <c r="I98" i="87" s="1"/>
  <c r="H98" i="87" a="1"/>
  <c r="H98" i="87" s="1"/>
  <c r="G98" i="87" a="1"/>
  <c r="G98" i="87" s="1"/>
  <c r="F98" i="87" a="1"/>
  <c r="F98" i="87" s="1"/>
  <c r="E98" i="87" a="1"/>
  <c r="E98" i="87" s="1"/>
  <c r="D98" i="87" a="1"/>
  <c r="D98" i="87" s="1"/>
  <c r="AH97" i="87" a="1"/>
  <c r="AH97" i="87" s="1"/>
  <c r="AG97" i="87" a="1"/>
  <c r="AG97" i="87" s="1"/>
  <c r="AF97" i="87" a="1"/>
  <c r="AF97" i="87" s="1"/>
  <c r="AE97" i="87" a="1"/>
  <c r="AE97" i="87" s="1"/>
  <c r="AD97" i="87" a="1"/>
  <c r="AD97" i="87" s="1"/>
  <c r="AC97" i="87" a="1"/>
  <c r="AC97" i="87" s="1"/>
  <c r="AB97" i="87" a="1"/>
  <c r="AB97" i="87" s="1"/>
  <c r="AA97" i="87" a="1"/>
  <c r="AA97" i="87" s="1"/>
  <c r="Z97" i="87" a="1"/>
  <c r="Z97" i="87" s="1"/>
  <c r="Y97" i="87" a="1"/>
  <c r="Y97" i="87" s="1"/>
  <c r="X97" i="87" a="1"/>
  <c r="X97" i="87" s="1"/>
  <c r="W97" i="87" a="1"/>
  <c r="W97" i="87" s="1"/>
  <c r="V97" i="87" a="1"/>
  <c r="V97" i="87" s="1"/>
  <c r="U97" i="87" a="1"/>
  <c r="U97" i="87" s="1"/>
  <c r="T97" i="87" a="1"/>
  <c r="T97" i="87" s="1"/>
  <c r="S97" i="87" a="1"/>
  <c r="S97" i="87" s="1"/>
  <c r="R97" i="87" a="1"/>
  <c r="R97" i="87" s="1"/>
  <c r="Q97" i="87" a="1"/>
  <c r="Q97" i="87" s="1"/>
  <c r="P97" i="87" a="1"/>
  <c r="P97" i="87" s="1"/>
  <c r="O97" i="87" a="1"/>
  <c r="O97" i="87" s="1"/>
  <c r="N97" i="87" a="1"/>
  <c r="N97" i="87" s="1"/>
  <c r="M97" i="87" a="1"/>
  <c r="M97" i="87" s="1"/>
  <c r="L97" i="87" a="1"/>
  <c r="L97" i="87" s="1"/>
  <c r="K97" i="87" a="1"/>
  <c r="K97" i="87" s="1"/>
  <c r="J97" i="87" a="1"/>
  <c r="J97" i="87" s="1"/>
  <c r="I97" i="87" a="1"/>
  <c r="I97" i="87" s="1"/>
  <c r="H97" i="87" a="1"/>
  <c r="H97" i="87" s="1"/>
  <c r="G97" i="87" a="1"/>
  <c r="G97" i="87" s="1"/>
  <c r="F97" i="87" a="1"/>
  <c r="F97" i="87" s="1"/>
  <c r="E97" i="87" a="1"/>
  <c r="E97" i="87" s="1"/>
  <c r="D97" i="87" a="1"/>
  <c r="D97" i="87" s="1"/>
  <c r="AH96" i="87" a="1"/>
  <c r="AH96" i="87" s="1"/>
  <c r="AG96" i="87" a="1"/>
  <c r="AG96" i="87" s="1"/>
  <c r="AF96" i="87" a="1"/>
  <c r="AF96" i="87" s="1"/>
  <c r="AE96" i="87" a="1"/>
  <c r="AE96" i="87" s="1"/>
  <c r="AD96" i="87" a="1"/>
  <c r="AD96" i="87" s="1"/>
  <c r="AC96" i="87" a="1"/>
  <c r="AC96" i="87" s="1"/>
  <c r="AB96" i="87" a="1"/>
  <c r="AB96" i="87" s="1"/>
  <c r="AA96" i="87" a="1"/>
  <c r="AA96" i="87" s="1"/>
  <c r="Z96" i="87" a="1"/>
  <c r="Z96" i="87" s="1"/>
  <c r="Y96" i="87" a="1"/>
  <c r="Y96" i="87" s="1"/>
  <c r="X96" i="87" a="1"/>
  <c r="X96" i="87" s="1"/>
  <c r="W96" i="87" a="1"/>
  <c r="W96" i="87" s="1"/>
  <c r="V96" i="87" a="1"/>
  <c r="V96" i="87" s="1"/>
  <c r="U96" i="87" a="1"/>
  <c r="U96" i="87" s="1"/>
  <c r="T96" i="87" a="1"/>
  <c r="T96" i="87" s="1"/>
  <c r="S96" i="87" a="1"/>
  <c r="S96" i="87" s="1"/>
  <c r="R96" i="87" a="1"/>
  <c r="R96" i="87" s="1"/>
  <c r="Q96" i="87" a="1"/>
  <c r="Q96" i="87" s="1"/>
  <c r="P96" i="87" a="1"/>
  <c r="P96" i="87" s="1"/>
  <c r="O96" i="87" a="1"/>
  <c r="O96" i="87" s="1"/>
  <c r="N96" i="87" a="1"/>
  <c r="N96" i="87" s="1"/>
  <c r="M96" i="87" a="1"/>
  <c r="M96" i="87" s="1"/>
  <c r="L96" i="87" a="1"/>
  <c r="L96" i="87" s="1"/>
  <c r="K96" i="87" a="1"/>
  <c r="K96" i="87" s="1"/>
  <c r="J96" i="87" a="1"/>
  <c r="J96" i="87" s="1"/>
  <c r="I96" i="87" a="1"/>
  <c r="I96" i="87" s="1"/>
  <c r="H96" i="87" a="1"/>
  <c r="H96" i="87" s="1"/>
  <c r="G96" i="87" a="1"/>
  <c r="G96" i="87" s="1"/>
  <c r="F96" i="87" a="1"/>
  <c r="F96" i="87" s="1"/>
  <c r="E96" i="87" a="1"/>
  <c r="E96" i="87" s="1"/>
  <c r="D96" i="87" a="1"/>
  <c r="D96" i="87" s="1"/>
  <c r="AH95" i="87" a="1"/>
  <c r="AH95" i="87" s="1"/>
  <c r="AG95" i="87" a="1"/>
  <c r="AG95" i="87" s="1"/>
  <c r="AF95" i="87" a="1"/>
  <c r="AF95" i="87" s="1"/>
  <c r="AE95" i="87" a="1"/>
  <c r="AE95" i="87" s="1"/>
  <c r="AD95" i="87" a="1"/>
  <c r="AD95" i="87" s="1"/>
  <c r="AC95" i="87" a="1"/>
  <c r="AC95" i="87" s="1"/>
  <c r="AB95" i="87" a="1"/>
  <c r="AB95" i="87" s="1"/>
  <c r="AA95" i="87" a="1"/>
  <c r="AA95" i="87" s="1"/>
  <c r="Z95" i="87" a="1"/>
  <c r="Z95" i="87" s="1"/>
  <c r="Y95" i="87" a="1"/>
  <c r="Y95" i="87" s="1"/>
  <c r="X95" i="87" a="1"/>
  <c r="X95" i="87" s="1"/>
  <c r="W95" i="87" a="1"/>
  <c r="W95" i="87" s="1"/>
  <c r="V95" i="87" a="1"/>
  <c r="V95" i="87" s="1"/>
  <c r="U95" i="87" a="1"/>
  <c r="U95" i="87" s="1"/>
  <c r="T95" i="87" a="1"/>
  <c r="T95" i="87" s="1"/>
  <c r="S95" i="87" a="1"/>
  <c r="S95" i="87" s="1"/>
  <c r="R95" i="87" a="1"/>
  <c r="R95" i="87" s="1"/>
  <c r="Q95" i="87" a="1"/>
  <c r="Q95" i="87" s="1"/>
  <c r="P95" i="87" a="1"/>
  <c r="P95" i="87" s="1"/>
  <c r="O95" i="87" a="1"/>
  <c r="O95" i="87" s="1"/>
  <c r="N95" i="87" a="1"/>
  <c r="N95" i="87" s="1"/>
  <c r="M95" i="87" a="1"/>
  <c r="M95" i="87" s="1"/>
  <c r="L95" i="87" a="1"/>
  <c r="L95" i="87" s="1"/>
  <c r="K95" i="87" a="1"/>
  <c r="K95" i="87" s="1"/>
  <c r="J95" i="87" a="1"/>
  <c r="J95" i="87" s="1"/>
  <c r="I95" i="87" a="1"/>
  <c r="I95" i="87" s="1"/>
  <c r="H95" i="87" a="1"/>
  <c r="H95" i="87" s="1"/>
  <c r="G95" i="87" a="1"/>
  <c r="G95" i="87" s="1"/>
  <c r="F95" i="87" a="1"/>
  <c r="F95" i="87" s="1"/>
  <c r="E95" i="87" a="1"/>
  <c r="E95" i="87" s="1"/>
  <c r="D95" i="87" a="1"/>
  <c r="D95" i="87" s="1"/>
  <c r="AH94" i="87" a="1"/>
  <c r="AH94" i="87" s="1"/>
  <c r="AG94" i="87" a="1"/>
  <c r="AG94" i="87" s="1"/>
  <c r="AF94" i="87" a="1"/>
  <c r="AF94" i="87" s="1"/>
  <c r="AE94" i="87" a="1"/>
  <c r="AE94" i="87" s="1"/>
  <c r="AD94" i="87" a="1"/>
  <c r="AD94" i="87" s="1"/>
  <c r="AC94" i="87" a="1"/>
  <c r="AC94" i="87" s="1"/>
  <c r="AB94" i="87" a="1"/>
  <c r="AB94" i="87" s="1"/>
  <c r="AA94" i="87" a="1"/>
  <c r="AA94" i="87" s="1"/>
  <c r="Z94" i="87" a="1"/>
  <c r="Z94" i="87" s="1"/>
  <c r="Y94" i="87" a="1"/>
  <c r="Y94" i="87" s="1"/>
  <c r="X94" i="87" a="1"/>
  <c r="X94" i="87" s="1"/>
  <c r="W94" i="87" a="1"/>
  <c r="W94" i="87" s="1"/>
  <c r="V94" i="87" a="1"/>
  <c r="V94" i="87" s="1"/>
  <c r="U94" i="87" a="1"/>
  <c r="U94" i="87" s="1"/>
  <c r="T94" i="87" a="1"/>
  <c r="T94" i="87" s="1"/>
  <c r="S94" i="87" a="1"/>
  <c r="S94" i="87" s="1"/>
  <c r="R94" i="87" a="1"/>
  <c r="R94" i="87" s="1"/>
  <c r="Q94" i="87" a="1"/>
  <c r="Q94" i="87" s="1"/>
  <c r="P94" i="87" a="1"/>
  <c r="P94" i="87" s="1"/>
  <c r="O94" i="87" a="1"/>
  <c r="O94" i="87" s="1"/>
  <c r="N94" i="87" a="1"/>
  <c r="N94" i="87" s="1"/>
  <c r="M94" i="87" a="1"/>
  <c r="M94" i="87" s="1"/>
  <c r="L94" i="87" a="1"/>
  <c r="L94" i="87" s="1"/>
  <c r="K94" i="87" a="1"/>
  <c r="K94" i="87" s="1"/>
  <c r="J94" i="87" a="1"/>
  <c r="J94" i="87" s="1"/>
  <c r="I94" i="87" a="1"/>
  <c r="I94" i="87" s="1"/>
  <c r="H94" i="87" a="1"/>
  <c r="H94" i="87" s="1"/>
  <c r="G94" i="87" a="1"/>
  <c r="G94" i="87" s="1"/>
  <c r="F94" i="87" a="1"/>
  <c r="F94" i="87" s="1"/>
  <c r="E94" i="87" a="1"/>
  <c r="E94" i="87" s="1"/>
  <c r="D94" i="87" a="1"/>
  <c r="D94" i="87" s="1"/>
  <c r="AH93" i="87" a="1"/>
  <c r="AH93" i="87" s="1"/>
  <c r="AG93" i="87" a="1"/>
  <c r="AG93" i="87" s="1"/>
  <c r="AF93" i="87" a="1"/>
  <c r="AF93" i="87" s="1"/>
  <c r="AE93" i="87" a="1"/>
  <c r="AE93" i="87" s="1"/>
  <c r="AD93" i="87" a="1"/>
  <c r="AD93" i="87" s="1"/>
  <c r="AC93" i="87" a="1"/>
  <c r="AC93" i="87" s="1"/>
  <c r="AB93" i="87" a="1"/>
  <c r="AB93" i="87" s="1"/>
  <c r="AA93" i="87" a="1"/>
  <c r="AA93" i="87" s="1"/>
  <c r="Z93" i="87" a="1"/>
  <c r="Z93" i="87" s="1"/>
  <c r="Y93" i="87" a="1"/>
  <c r="Y93" i="87" s="1"/>
  <c r="X93" i="87" a="1"/>
  <c r="X93" i="87" s="1"/>
  <c r="W93" i="87" a="1"/>
  <c r="W93" i="87" s="1"/>
  <c r="V93" i="87" a="1"/>
  <c r="V93" i="87" s="1"/>
  <c r="U93" i="87" a="1"/>
  <c r="U93" i="87" s="1"/>
  <c r="T93" i="87" a="1"/>
  <c r="T93" i="87" s="1"/>
  <c r="S93" i="87" a="1"/>
  <c r="S93" i="87" s="1"/>
  <c r="R93" i="87" a="1"/>
  <c r="R93" i="87" s="1"/>
  <c r="Q93" i="87" a="1"/>
  <c r="Q93" i="87" s="1"/>
  <c r="P93" i="87" a="1"/>
  <c r="P93" i="87" s="1"/>
  <c r="O93" i="87" a="1"/>
  <c r="O93" i="87" s="1"/>
  <c r="N93" i="87" a="1"/>
  <c r="N93" i="87" s="1"/>
  <c r="M93" i="87" a="1"/>
  <c r="M93" i="87" s="1"/>
  <c r="L93" i="87" a="1"/>
  <c r="L93" i="87" s="1"/>
  <c r="K93" i="87" a="1"/>
  <c r="K93" i="87" s="1"/>
  <c r="J93" i="87" a="1"/>
  <c r="J93" i="87" s="1"/>
  <c r="I93" i="87" a="1"/>
  <c r="I93" i="87" s="1"/>
  <c r="H93" i="87" a="1"/>
  <c r="H93" i="87" s="1"/>
  <c r="G93" i="87" a="1"/>
  <c r="G93" i="87" s="1"/>
  <c r="F93" i="87" a="1"/>
  <c r="F93" i="87" s="1"/>
  <c r="E93" i="87" a="1"/>
  <c r="E93" i="87" s="1"/>
  <c r="D93" i="87" a="1"/>
  <c r="D93" i="87" s="1"/>
  <c r="AH92" i="87" a="1"/>
  <c r="AH92" i="87" s="1"/>
  <c r="AG92" i="87" a="1"/>
  <c r="AG92" i="87" s="1"/>
  <c r="AF92" i="87" a="1"/>
  <c r="AF92" i="87" s="1"/>
  <c r="AE92" i="87" a="1"/>
  <c r="AE92" i="87" s="1"/>
  <c r="AD92" i="87" a="1"/>
  <c r="AD92" i="87" s="1"/>
  <c r="AC92" i="87" a="1"/>
  <c r="AC92" i="87" s="1"/>
  <c r="AB92" i="87" a="1"/>
  <c r="AB92" i="87" s="1"/>
  <c r="AA92" i="87" a="1"/>
  <c r="AA92" i="87" s="1"/>
  <c r="Z92" i="87" a="1"/>
  <c r="Z92" i="87" s="1"/>
  <c r="Y92" i="87" a="1"/>
  <c r="Y92" i="87" s="1"/>
  <c r="X92" i="87" a="1"/>
  <c r="X92" i="87" s="1"/>
  <c r="W92" i="87" a="1"/>
  <c r="W92" i="87" s="1"/>
  <c r="V92" i="87" a="1"/>
  <c r="V92" i="87" s="1"/>
  <c r="U92" i="87" a="1"/>
  <c r="U92" i="87" s="1"/>
  <c r="T92" i="87" a="1"/>
  <c r="T92" i="87" s="1"/>
  <c r="S92" i="87" a="1"/>
  <c r="S92" i="87" s="1"/>
  <c r="R92" i="87" a="1"/>
  <c r="R92" i="87" s="1"/>
  <c r="Q92" i="87" a="1"/>
  <c r="Q92" i="87" s="1"/>
  <c r="P92" i="87" a="1"/>
  <c r="P92" i="87" s="1"/>
  <c r="O92" i="87" a="1"/>
  <c r="O92" i="87" s="1"/>
  <c r="N92" i="87" a="1"/>
  <c r="N92" i="87" s="1"/>
  <c r="M92" i="87" a="1"/>
  <c r="M92" i="87" s="1"/>
  <c r="L92" i="87" a="1"/>
  <c r="L92" i="87" s="1"/>
  <c r="K92" i="87" a="1"/>
  <c r="K92" i="87" s="1"/>
  <c r="J92" i="87" a="1"/>
  <c r="J92" i="87" s="1"/>
  <c r="I92" i="87" a="1"/>
  <c r="I92" i="87" s="1"/>
  <c r="H92" i="87" a="1"/>
  <c r="H92" i="87" s="1"/>
  <c r="G92" i="87" a="1"/>
  <c r="G92" i="87" s="1"/>
  <c r="F92" i="87" a="1"/>
  <c r="F92" i="87" s="1"/>
  <c r="E92" i="87" a="1"/>
  <c r="E92" i="87" s="1"/>
  <c r="D92" i="87" a="1"/>
  <c r="D92" i="87" s="1"/>
  <c r="AH91" i="87" a="1"/>
  <c r="AH91" i="87" s="1"/>
  <c r="AG91" i="87" a="1"/>
  <c r="AG91" i="87" s="1"/>
  <c r="AF91" i="87" a="1"/>
  <c r="AF91" i="87" s="1"/>
  <c r="AE91" i="87" a="1"/>
  <c r="AE91" i="87" s="1"/>
  <c r="AD91" i="87" a="1"/>
  <c r="AD91" i="87" s="1"/>
  <c r="AC91" i="87" a="1"/>
  <c r="AC91" i="87" s="1"/>
  <c r="AB91" i="87" a="1"/>
  <c r="AB91" i="87" s="1"/>
  <c r="AA91" i="87" a="1"/>
  <c r="AA91" i="87" s="1"/>
  <c r="Z91" i="87" a="1"/>
  <c r="Z91" i="87" s="1"/>
  <c r="Y91" i="87" a="1"/>
  <c r="Y91" i="87" s="1"/>
  <c r="X91" i="87" a="1"/>
  <c r="X91" i="87" s="1"/>
  <c r="W91" i="87" a="1"/>
  <c r="W91" i="87" s="1"/>
  <c r="V91" i="87" a="1"/>
  <c r="V91" i="87" s="1"/>
  <c r="U91" i="87" a="1"/>
  <c r="U91" i="87" s="1"/>
  <c r="T91" i="87" a="1"/>
  <c r="T91" i="87" s="1"/>
  <c r="S91" i="87" a="1"/>
  <c r="S91" i="87" s="1"/>
  <c r="R91" i="87" a="1"/>
  <c r="R91" i="87" s="1"/>
  <c r="Q91" i="87" a="1"/>
  <c r="Q91" i="87" s="1"/>
  <c r="P91" i="87" a="1"/>
  <c r="P91" i="87" s="1"/>
  <c r="O91" i="87" a="1"/>
  <c r="O91" i="87" s="1"/>
  <c r="N91" i="87" a="1"/>
  <c r="N91" i="87" s="1"/>
  <c r="M91" i="87" a="1"/>
  <c r="M91" i="87" s="1"/>
  <c r="L91" i="87" a="1"/>
  <c r="L91" i="87" s="1"/>
  <c r="K91" i="87" a="1"/>
  <c r="K91" i="87" s="1"/>
  <c r="J91" i="87" a="1"/>
  <c r="J91" i="87" s="1"/>
  <c r="I91" i="87" a="1"/>
  <c r="I91" i="87" s="1"/>
  <c r="H91" i="87" a="1"/>
  <c r="H91" i="87" s="1"/>
  <c r="G91" i="87" a="1"/>
  <c r="G91" i="87" s="1"/>
  <c r="F91" i="87" a="1"/>
  <c r="F91" i="87" s="1"/>
  <c r="E91" i="87" a="1"/>
  <c r="E91" i="87" s="1"/>
  <c r="D91" i="87" a="1"/>
  <c r="D91" i="87" s="1"/>
  <c r="AH90" i="87" a="1"/>
  <c r="AH90" i="87" s="1"/>
  <c r="AG90" i="87" a="1"/>
  <c r="AG90" i="87" s="1"/>
  <c r="AF90" i="87" a="1"/>
  <c r="AF90" i="87" s="1"/>
  <c r="AE90" i="87" a="1"/>
  <c r="AE90" i="87" s="1"/>
  <c r="AD90" i="87" a="1"/>
  <c r="AD90" i="87" s="1"/>
  <c r="AC90" i="87" a="1"/>
  <c r="AC90" i="87" s="1"/>
  <c r="AB90" i="87" a="1"/>
  <c r="AB90" i="87" s="1"/>
  <c r="AA90" i="87" a="1"/>
  <c r="AA90" i="87" s="1"/>
  <c r="Z90" i="87" a="1"/>
  <c r="Z90" i="87" s="1"/>
  <c r="Y90" i="87" a="1"/>
  <c r="Y90" i="87" s="1"/>
  <c r="X90" i="87" a="1"/>
  <c r="X90" i="87" s="1"/>
  <c r="W90" i="87" a="1"/>
  <c r="W90" i="87" s="1"/>
  <c r="V90" i="87" a="1"/>
  <c r="V90" i="87" s="1"/>
  <c r="U90" i="87" a="1"/>
  <c r="U90" i="87" s="1"/>
  <c r="T90" i="87" a="1"/>
  <c r="T90" i="87" s="1"/>
  <c r="S90" i="87" a="1"/>
  <c r="S90" i="87" s="1"/>
  <c r="R90" i="87" a="1"/>
  <c r="R90" i="87" s="1"/>
  <c r="Q90" i="87" a="1"/>
  <c r="Q90" i="87" s="1"/>
  <c r="P90" i="87" a="1"/>
  <c r="P90" i="87" s="1"/>
  <c r="O90" i="87" a="1"/>
  <c r="O90" i="87" s="1"/>
  <c r="N90" i="87" a="1"/>
  <c r="N90" i="87" s="1"/>
  <c r="M90" i="87" a="1"/>
  <c r="M90" i="87" s="1"/>
  <c r="L90" i="87" a="1"/>
  <c r="L90" i="87" s="1"/>
  <c r="K90" i="87" a="1"/>
  <c r="K90" i="87" s="1"/>
  <c r="J90" i="87" a="1"/>
  <c r="J90" i="87" s="1"/>
  <c r="I90" i="87" a="1"/>
  <c r="I90" i="87" s="1"/>
  <c r="H90" i="87" a="1"/>
  <c r="H90" i="87" s="1"/>
  <c r="G90" i="87" a="1"/>
  <c r="G90" i="87" s="1"/>
  <c r="F90" i="87" a="1"/>
  <c r="F90" i="87" s="1"/>
  <c r="E90" i="87" a="1"/>
  <c r="E90" i="87" s="1"/>
  <c r="W12" i="80" s="1" a="1"/>
  <c r="W12" i="80" s="1"/>
  <c r="D90" i="87" a="1"/>
  <c r="D90" i="87" s="1"/>
  <c r="F83" i="87" a="1"/>
  <c r="F83" i="87" s="1"/>
  <c r="E83" i="87" a="1"/>
  <c r="E83" i="87" s="1"/>
  <c r="J91" i="86" s="1"/>
  <c r="D83" i="87" a="1"/>
  <c r="D83" i="87" s="1"/>
  <c r="D82" i="87" a="1"/>
  <c r="D82" i="87" s="1"/>
  <c r="D81" i="87" a="1"/>
  <c r="D81" i="87" s="1"/>
  <c r="F78" i="87" a="1"/>
  <c r="F78" i="87" s="1"/>
  <c r="E78" i="87" a="1"/>
  <c r="E78" i="87" s="1"/>
  <c r="I15" i="86" s="1"/>
  <c r="D78" i="87" a="1"/>
  <c r="D78" i="87" s="1"/>
  <c r="D77" i="87" a="1"/>
  <c r="D77" i="87" s="1"/>
  <c r="D76" i="87" a="1"/>
  <c r="D76" i="87" s="1"/>
  <c r="F73" i="87" a="1"/>
  <c r="F73" i="87" s="1"/>
  <c r="E73" i="87" a="1"/>
  <c r="E73" i="87" s="1"/>
  <c r="I33" i="108" s="1"/>
  <c r="O35" i="108" s="1" a="1"/>
  <c r="O35" i="108" s="1"/>
  <c r="S48" i="108" s="1"/>
  <c r="D73" i="87" a="1"/>
  <c r="D73" i="87" s="1"/>
  <c r="D72" i="87" a="1"/>
  <c r="D72" i="87" s="1"/>
  <c r="D71" i="87" a="1"/>
  <c r="D71" i="87" s="1"/>
  <c r="F68" i="87" a="1"/>
  <c r="F68" i="87" s="1"/>
  <c r="E68" i="87" a="1"/>
  <c r="E68" i="87" s="1"/>
  <c r="D68" i="87" a="1"/>
  <c r="D68" i="87" s="1"/>
  <c r="F67" i="87" a="1"/>
  <c r="F67" i="87" s="1"/>
  <c r="I19" i="84" s="1"/>
  <c r="E67" i="87" a="1"/>
  <c r="E67" i="87" s="1"/>
  <c r="I18" i="84" s="1"/>
  <c r="D67" i="87" a="1"/>
  <c r="D67" i="87" s="1"/>
  <c r="F66" i="87" a="1"/>
  <c r="F66" i="87" s="1"/>
  <c r="I16" i="84" s="1"/>
  <c r="E66" i="87" a="1"/>
  <c r="E66" i="87" s="1"/>
  <c r="I15" i="84" s="1"/>
  <c r="D66" i="87" a="1"/>
  <c r="D66" i="87" s="1"/>
  <c r="D64" i="87" a="1"/>
  <c r="D64" i="87" s="1"/>
  <c r="D63" i="87" a="1"/>
  <c r="D63" i="87" s="1"/>
  <c r="F60" i="87" a="1"/>
  <c r="F60" i="87" s="1"/>
  <c r="E60" i="87" a="1"/>
  <c r="E60" i="87" s="1"/>
  <c r="I50" i="82" s="1"/>
  <c r="D60" i="87" a="1"/>
  <c r="D60" i="87" s="1"/>
  <c r="D59" i="87" a="1"/>
  <c r="D59" i="87" s="1"/>
  <c r="D58" i="87" a="1"/>
  <c r="D58" i="87" s="1"/>
  <c r="E55" i="87" a="1"/>
  <c r="E55" i="87" s="1"/>
  <c r="D55" i="87" a="1"/>
  <c r="D55" i="87" s="1"/>
  <c r="E54" i="87" a="1"/>
  <c r="E54" i="87" s="1"/>
  <c r="D54" i="87" a="1"/>
  <c r="D54" i="87" s="1"/>
  <c r="E53" i="87" a="1"/>
  <c r="E53" i="87" s="1"/>
  <c r="D53" i="87" a="1"/>
  <c r="D53" i="87" s="1"/>
  <c r="E52" i="87" a="1"/>
  <c r="E52" i="87" s="1"/>
  <c r="D52" i="87" a="1"/>
  <c r="D52" i="87" s="1"/>
  <c r="E51" i="87" a="1"/>
  <c r="E51" i="87" s="1"/>
  <c r="D51" i="87" a="1"/>
  <c r="D51" i="87" s="1"/>
  <c r="D49" i="87" a="1"/>
  <c r="D49" i="87" s="1"/>
  <c r="D48" i="87" a="1"/>
  <c r="D48" i="87" s="1"/>
  <c r="I38" i="87" a="1"/>
  <c r="I38" i="87" s="1"/>
  <c r="H38" i="87" a="1"/>
  <c r="H38" i="87" s="1"/>
  <c r="G38" i="87" a="1"/>
  <c r="G38" i="87" s="1"/>
  <c r="F38" i="87" a="1"/>
  <c r="F38" i="87" s="1"/>
  <c r="E38" i="87" a="1"/>
  <c r="E38" i="87" s="1"/>
  <c r="D38" i="87" a="1"/>
  <c r="D38" i="87" s="1"/>
  <c r="G180" i="109" s="1"/>
  <c r="I37" i="87" a="1"/>
  <c r="I37" i="87" s="1"/>
  <c r="H37" i="87" a="1"/>
  <c r="H37" i="87" s="1"/>
  <c r="G37" i="87" a="1"/>
  <c r="G37" i="87" s="1"/>
  <c r="F37" i="87" a="1"/>
  <c r="F37" i="87" s="1"/>
  <c r="E37" i="87" a="1"/>
  <c r="E37" i="87" s="1"/>
  <c r="D37" i="87" a="1"/>
  <c r="D37" i="87" s="1"/>
  <c r="I36" i="87" a="1"/>
  <c r="I36" i="87" s="1"/>
  <c r="H36" i="87" a="1"/>
  <c r="H36" i="87" s="1"/>
  <c r="G36" i="87" a="1"/>
  <c r="G36" i="87" s="1"/>
  <c r="F36" i="87" a="1"/>
  <c r="F36" i="87" s="1"/>
  <c r="E36" i="87" a="1"/>
  <c r="E36" i="87" s="1"/>
  <c r="D36" i="87" a="1"/>
  <c r="D36" i="87" s="1"/>
  <c r="G190" i="109" s="1"/>
  <c r="I35" i="87" a="1"/>
  <c r="I35" i="87" s="1"/>
  <c r="H35" i="87" a="1"/>
  <c r="H35" i="87" s="1"/>
  <c r="G35" i="87" a="1"/>
  <c r="G35" i="87" s="1"/>
  <c r="F35" i="87" a="1"/>
  <c r="F35" i="87" s="1"/>
  <c r="E35" i="87" a="1"/>
  <c r="E35" i="87" s="1"/>
  <c r="D35" i="87" a="1"/>
  <c r="D35" i="87" s="1"/>
  <c r="G182" i="109" s="1"/>
  <c r="I34" i="87" a="1"/>
  <c r="I34" i="87" s="1"/>
  <c r="H34" i="87" a="1"/>
  <c r="H34" i="87" s="1"/>
  <c r="G34" i="87" a="1"/>
  <c r="G34" i="87" s="1"/>
  <c r="F34" i="87" a="1"/>
  <c r="F34" i="87" s="1"/>
  <c r="E34" i="87" a="1"/>
  <c r="E34" i="87" s="1"/>
  <c r="D34" i="87" a="1"/>
  <c r="D34" i="87" s="1"/>
  <c r="G184" i="109" s="1"/>
  <c r="I33" i="87" a="1"/>
  <c r="I33" i="87" s="1"/>
  <c r="H33" i="87" a="1"/>
  <c r="H33" i="87" s="1"/>
  <c r="G33" i="87" a="1"/>
  <c r="G33" i="87" s="1"/>
  <c r="F33" i="87" a="1"/>
  <c r="F33" i="87" s="1"/>
  <c r="E33" i="87" a="1"/>
  <c r="E33" i="87" s="1"/>
  <c r="D33" i="87" a="1"/>
  <c r="D33" i="87" s="1"/>
  <c r="G198" i="109" s="1"/>
  <c r="I32" i="87" a="1"/>
  <c r="I32" i="87" s="1"/>
  <c r="H32" i="87" a="1"/>
  <c r="H32" i="87" s="1"/>
  <c r="G32" i="87" a="1"/>
  <c r="G32" i="87" s="1"/>
  <c r="F32" i="87" a="1"/>
  <c r="F32" i="87" s="1"/>
  <c r="E32" i="87" a="1"/>
  <c r="E32" i="87" s="1"/>
  <c r="D32" i="87" a="1"/>
  <c r="D32" i="87" s="1"/>
  <c r="G191" i="109" s="1"/>
  <c r="I31" i="87" a="1"/>
  <c r="I31" i="87" s="1"/>
  <c r="H31" i="87" a="1"/>
  <c r="H31" i="87" s="1"/>
  <c r="G31" i="87" a="1"/>
  <c r="G31" i="87" s="1"/>
  <c r="F31" i="87" a="1"/>
  <c r="F31" i="87" s="1"/>
  <c r="E31" i="87" a="1"/>
  <c r="E31" i="87" s="1"/>
  <c r="D31" i="87" a="1"/>
  <c r="D31" i="87" s="1"/>
  <c r="G189" i="109" s="1"/>
  <c r="I30" i="87" a="1"/>
  <c r="I30" i="87" s="1"/>
  <c r="H30" i="87" a="1"/>
  <c r="H30" i="87" s="1"/>
  <c r="G30" i="87" a="1"/>
  <c r="G30" i="87" s="1"/>
  <c r="F30" i="87" a="1"/>
  <c r="F30" i="87" s="1"/>
  <c r="E30" i="87" a="1"/>
  <c r="E30" i="87" s="1"/>
  <c r="D30" i="87" a="1"/>
  <c r="D30" i="87" s="1"/>
  <c r="G188" i="109" s="1"/>
  <c r="I29" i="87" a="1"/>
  <c r="I29" i="87" s="1"/>
  <c r="H29" i="87" a="1"/>
  <c r="H29" i="87" s="1"/>
  <c r="G29" i="87" a="1"/>
  <c r="G29" i="87" s="1"/>
  <c r="F29" i="87" a="1"/>
  <c r="F29" i="87" s="1"/>
  <c r="E29" i="87" a="1"/>
  <c r="E29" i="87" s="1"/>
  <c r="D29" i="87" a="1"/>
  <c r="D29" i="87" s="1"/>
  <c r="G186" i="109" s="1"/>
  <c r="R28" i="87" a="1"/>
  <c r="R28" i="87" s="1"/>
  <c r="Q28" i="87" a="1"/>
  <c r="Q28" i="87" s="1"/>
  <c r="L28" i="87" a="1"/>
  <c r="L28" i="87" s="1"/>
  <c r="K28" i="87" a="1"/>
  <c r="K28" i="87" s="1"/>
  <c r="I28" i="87" a="1"/>
  <c r="I28" i="87" s="1"/>
  <c r="H28" i="87" a="1"/>
  <c r="H28" i="87" s="1"/>
  <c r="G28" i="87" a="1"/>
  <c r="G28" i="87" s="1"/>
  <c r="F28" i="87" a="1"/>
  <c r="F28" i="87" s="1"/>
  <c r="E28" i="87" a="1"/>
  <c r="E28" i="87" s="1"/>
  <c r="D28" i="87" a="1"/>
  <c r="D28" i="87" s="1"/>
  <c r="G187" i="109" s="1"/>
  <c r="R27" i="87" a="1"/>
  <c r="R27" i="87" s="1"/>
  <c r="Q27" i="87" a="1"/>
  <c r="Q27" i="87" s="1"/>
  <c r="L27" i="87" a="1"/>
  <c r="L27" i="87" s="1"/>
  <c r="K27" i="87" a="1"/>
  <c r="K27" i="87" s="1"/>
  <c r="I27" i="87" a="1"/>
  <c r="I27" i="87" s="1"/>
  <c r="H27" i="87" a="1"/>
  <c r="H27" i="87" s="1"/>
  <c r="G27" i="87" a="1"/>
  <c r="G27" i="87" s="1"/>
  <c r="F27" i="87" a="1"/>
  <c r="F27" i="87" s="1"/>
  <c r="E27" i="87" a="1"/>
  <c r="E27" i="87" s="1"/>
  <c r="D27" i="87" a="1"/>
  <c r="D27" i="87" s="1"/>
  <c r="G185" i="109" s="1"/>
  <c r="R26" i="87" a="1"/>
  <c r="R26" i="87" s="1"/>
  <c r="Q26" i="87" a="1"/>
  <c r="Q26" i="87" s="1"/>
  <c r="L26" i="87" a="1"/>
  <c r="L26" i="87" s="1"/>
  <c r="K26" i="87" a="1"/>
  <c r="K26" i="87" s="1"/>
  <c r="I26" i="87" a="1"/>
  <c r="I26" i="87" s="1"/>
  <c r="H26" i="87" a="1"/>
  <c r="H26" i="87" s="1"/>
  <c r="G26" i="87" a="1"/>
  <c r="G26" i="87" s="1"/>
  <c r="F26" i="87" a="1"/>
  <c r="F26" i="87" s="1"/>
  <c r="E26" i="87" a="1"/>
  <c r="E26" i="87" s="1"/>
  <c r="D26" i="87" a="1"/>
  <c r="D26" i="87" s="1"/>
  <c r="G179" i="109" s="1"/>
  <c r="R25" i="87" a="1"/>
  <c r="R25" i="87" s="1"/>
  <c r="Q25" i="87" a="1"/>
  <c r="Q25" i="87" s="1"/>
  <c r="L25" i="87" a="1"/>
  <c r="L25" i="87" s="1"/>
  <c r="K25" i="87" a="1"/>
  <c r="K25" i="87" s="1"/>
  <c r="I25" i="87" a="1"/>
  <c r="I25" i="87" s="1"/>
  <c r="H25" i="87" a="1"/>
  <c r="H25" i="87" s="1"/>
  <c r="G25" i="87" a="1"/>
  <c r="G25" i="87" s="1"/>
  <c r="F25" i="87" a="1"/>
  <c r="F25" i="87" s="1"/>
  <c r="E25" i="87" a="1"/>
  <c r="E25" i="87" s="1"/>
  <c r="D25" i="87" a="1"/>
  <c r="D25" i="87" s="1"/>
  <c r="G178" i="109" s="1"/>
  <c r="R24" i="87" a="1"/>
  <c r="R24" i="87" s="1"/>
  <c r="Q24" i="87" a="1"/>
  <c r="Q24" i="87" s="1"/>
  <c r="L24" i="87" a="1"/>
  <c r="L24" i="87" s="1"/>
  <c r="K24" i="87" a="1"/>
  <c r="K24" i="87" s="1"/>
  <c r="I24" i="87" a="1"/>
  <c r="I24" i="87" s="1"/>
  <c r="H24" i="87" a="1"/>
  <c r="H24" i="87" s="1"/>
  <c r="G24" i="87" a="1"/>
  <c r="G24" i="87" s="1"/>
  <c r="F24" i="87" a="1"/>
  <c r="F24" i="87" s="1"/>
  <c r="E24" i="87" a="1"/>
  <c r="E24" i="87" s="1"/>
  <c r="D24" i="87" a="1"/>
  <c r="D24" i="87" s="1"/>
  <c r="G193" i="109" s="1"/>
  <c r="V23" i="87" a="1"/>
  <c r="V23" i="87" s="1"/>
  <c r="R23" i="87" a="1"/>
  <c r="R23" i="87" s="1"/>
  <c r="Q23" i="87" a="1"/>
  <c r="Q23" i="87" s="1"/>
  <c r="L23" i="87" a="1"/>
  <c r="L23" i="87" s="1"/>
  <c r="K23" i="87" a="1"/>
  <c r="K23" i="87" s="1"/>
  <c r="I23" i="87" a="1"/>
  <c r="I23" i="87" s="1"/>
  <c r="H23" i="87" a="1"/>
  <c r="H23" i="87" s="1"/>
  <c r="G23" i="87" a="1"/>
  <c r="G23" i="87" s="1"/>
  <c r="F23" i="87" a="1"/>
  <c r="F23" i="87" s="1"/>
  <c r="E23" i="87" a="1"/>
  <c r="E23" i="87" s="1"/>
  <c r="D23" i="87" a="1"/>
  <c r="D23" i="87" s="1"/>
  <c r="G192" i="109" s="1"/>
  <c r="V22" i="87" a="1"/>
  <c r="V22" i="87" s="1"/>
  <c r="R22" i="87" a="1"/>
  <c r="R22" i="87" s="1"/>
  <c r="Q22" i="87" a="1"/>
  <c r="Q22" i="87" s="1"/>
  <c r="L22" i="87" a="1"/>
  <c r="L22" i="87" s="1"/>
  <c r="K22" i="87" a="1"/>
  <c r="K22" i="87" s="1"/>
  <c r="I22" i="87" a="1"/>
  <c r="I22" i="87" s="1"/>
  <c r="H22" i="87" a="1"/>
  <c r="H22" i="87" s="1"/>
  <c r="G22" i="87" a="1"/>
  <c r="G22" i="87" s="1"/>
  <c r="F22" i="87" a="1"/>
  <c r="F22" i="87" s="1"/>
  <c r="E22" i="87" a="1"/>
  <c r="E22" i="87" s="1"/>
  <c r="D22" i="87" a="1"/>
  <c r="D22" i="87" s="1"/>
  <c r="V21" i="87" a="1"/>
  <c r="V21" i="87" s="1"/>
  <c r="R21" i="87" a="1"/>
  <c r="R21" i="87" s="1"/>
  <c r="Q21" i="87" a="1"/>
  <c r="Q21" i="87" s="1"/>
  <c r="L21" i="87" a="1"/>
  <c r="L21" i="87" s="1"/>
  <c r="K21" i="87" a="1"/>
  <c r="K21" i="87" s="1"/>
  <c r="I21" i="87" a="1"/>
  <c r="I21" i="87" s="1"/>
  <c r="H21" i="87" a="1"/>
  <c r="H21" i="87" s="1"/>
  <c r="G21" i="87" a="1"/>
  <c r="G21" i="87" s="1"/>
  <c r="F21" i="87" a="1"/>
  <c r="F21" i="87" s="1"/>
  <c r="E21" i="87" a="1"/>
  <c r="E21" i="87" s="1"/>
  <c r="D21" i="87" a="1"/>
  <c r="D21" i="87" s="1"/>
  <c r="G181" i="109" s="1"/>
  <c r="V20" i="87" a="1"/>
  <c r="V20" i="87" s="1"/>
  <c r="R20" i="87" a="1"/>
  <c r="R20" i="87" s="1"/>
  <c r="Q20" i="87" a="1"/>
  <c r="Q20" i="87" s="1"/>
  <c r="L20" i="87" a="1"/>
  <c r="L20" i="87" s="1"/>
  <c r="K20" i="87" a="1"/>
  <c r="K20" i="87" s="1"/>
  <c r="I20" i="87" a="1"/>
  <c r="I20" i="87" s="1"/>
  <c r="H20" i="87" a="1"/>
  <c r="H20" i="87" s="1"/>
  <c r="G20" i="87" a="1"/>
  <c r="G20" i="87" s="1"/>
  <c r="F20" i="87" a="1"/>
  <c r="F20" i="87" s="1"/>
  <c r="E20" i="87" a="1"/>
  <c r="E20" i="87" s="1"/>
  <c r="D20" i="87" a="1"/>
  <c r="D20" i="87" s="1"/>
  <c r="P28" i="80" s="1"/>
  <c r="V18" i="87" a="1"/>
  <c r="V18" i="87" s="1"/>
  <c r="Q18" i="87" a="1"/>
  <c r="Q18" i="87" s="1"/>
  <c r="K18" i="87" a="1"/>
  <c r="K18" i="87" s="1"/>
  <c r="V17" i="87" a="1"/>
  <c r="V17" i="87" s="1"/>
  <c r="Q17" i="87" a="1"/>
  <c r="Q17" i="87" s="1"/>
  <c r="K17" i="87" a="1"/>
  <c r="K17" i="87" s="1"/>
  <c r="D7" i="87" a="1"/>
  <c r="D7" i="87" s="1"/>
  <c r="D6" i="87" a="1"/>
  <c r="D6" i="87" s="1"/>
  <c r="D5" i="87" a="1"/>
  <c r="D5" i="87" s="1"/>
  <c r="F99" i="86" a="1"/>
  <c r="F99" i="86" s="1"/>
  <c r="D96" i="86" a="1"/>
  <c r="D96" i="86" s="1"/>
  <c r="H89" i="86" a="1"/>
  <c r="H89" i="86" s="1"/>
  <c r="D89" i="86" a="1"/>
  <c r="D89" i="86" s="1"/>
  <c r="E87" i="86" a="1"/>
  <c r="E87" i="86" s="1"/>
  <c r="F94" i="86" s="1"/>
  <c r="E86" i="86" a="1"/>
  <c r="E86" i="86" s="1"/>
  <c r="D82" i="86" a="1"/>
  <c r="D82" i="86" s="1"/>
  <c r="D81" i="86" a="1"/>
  <c r="D81" i="86" s="1"/>
  <c r="D67" i="86"/>
  <c r="D66" i="86"/>
  <c r="D65" i="86"/>
  <c r="I59" i="86"/>
  <c r="I58" i="86"/>
  <c r="I55" i="86" a="1"/>
  <c r="I55" i="86" s="1"/>
  <c r="G55" i="86" a="1"/>
  <c r="G55" i="86" s="1"/>
  <c r="D55" i="86" a="1"/>
  <c r="D55" i="86" s="1"/>
  <c r="E53" i="86" a="1"/>
  <c r="E53" i="86" s="1"/>
  <c r="F77" i="86" s="1"/>
  <c r="E52" i="86" a="1"/>
  <c r="E52" i="86" s="1"/>
  <c r="D48" i="86" a="1"/>
  <c r="D48" i="86" s="1"/>
  <c r="D47" i="86" a="1"/>
  <c r="D47" i="86" s="1"/>
  <c r="I17" i="86"/>
  <c r="I16" i="86"/>
  <c r="I13" i="86" a="1"/>
  <c r="I13" i="86" s="1"/>
  <c r="G13" i="86" a="1"/>
  <c r="G13" i="86" s="1"/>
  <c r="D13" i="86" a="1"/>
  <c r="D13" i="86" s="1"/>
  <c r="E11" i="86" a="1"/>
  <c r="E11" i="86" s="1"/>
  <c r="F43" i="86" s="1"/>
  <c r="E10" i="86" a="1"/>
  <c r="E10" i="86" s="1"/>
  <c r="D6" i="86" a="1"/>
  <c r="D6" i="86" s="1"/>
  <c r="D5" i="86" a="1"/>
  <c r="D5" i="86" s="1"/>
  <c r="F151" i="85" a="1"/>
  <c r="F151" i="85" s="1"/>
  <c r="D148" i="85" a="1"/>
  <c r="D148" i="85" s="1"/>
  <c r="I127" i="85"/>
  <c r="I124" i="85" a="1"/>
  <c r="I124" i="85" s="1"/>
  <c r="G124" i="85" a="1"/>
  <c r="G124" i="85" s="1"/>
  <c r="D124" i="85" a="1"/>
  <c r="D124" i="85" s="1"/>
  <c r="E122" i="85" a="1"/>
  <c r="E122" i="85" s="1"/>
  <c r="F146" i="85" s="1"/>
  <c r="E121" i="85" a="1"/>
  <c r="E121" i="85" s="1"/>
  <c r="D117" i="85" a="1"/>
  <c r="D117" i="85" s="1"/>
  <c r="D116" i="85" a="1"/>
  <c r="D116" i="85" s="1"/>
  <c r="I97" i="85"/>
  <c r="I96" i="85" a="1"/>
  <c r="I96" i="85" s="1"/>
  <c r="G96" i="85" a="1"/>
  <c r="G96" i="85" s="1"/>
  <c r="D96" i="85" a="1"/>
  <c r="D96" i="85" s="1"/>
  <c r="E94" i="85" a="1"/>
  <c r="E94" i="85" s="1"/>
  <c r="G102" i="85" s="1"/>
  <c r="E93" i="85" a="1"/>
  <c r="E93" i="85" s="1"/>
  <c r="D89" i="85" a="1"/>
  <c r="D89" i="85" s="1"/>
  <c r="D88" i="85" a="1"/>
  <c r="D88" i="85" s="1"/>
  <c r="F84" i="85" a="1"/>
  <c r="F84" i="85" s="1"/>
  <c r="D81" i="85" a="1"/>
  <c r="D81" i="85" s="1"/>
  <c r="J52" i="85"/>
  <c r="J49" i="85" a="1"/>
  <c r="J49" i="85" s="1"/>
  <c r="H49" i="85" a="1"/>
  <c r="H49" i="85" s="1"/>
  <c r="D49" i="85" a="1"/>
  <c r="D49" i="85" s="1"/>
  <c r="E47" i="85" a="1"/>
  <c r="E47" i="85" s="1"/>
  <c r="F79" i="85" s="1"/>
  <c r="E46" i="85" a="1"/>
  <c r="E46" i="85" s="1"/>
  <c r="D42" i="85" a="1"/>
  <c r="D42" i="85" s="1"/>
  <c r="D41" i="85" a="1"/>
  <c r="D41" i="85" s="1"/>
  <c r="I14" i="85" a="1"/>
  <c r="I14" i="85" s="1"/>
  <c r="I13" i="85" a="1"/>
  <c r="I13" i="85" s="1"/>
  <c r="G13" i="85" a="1"/>
  <c r="G13" i="85" s="1"/>
  <c r="D13" i="85" a="1"/>
  <c r="D13" i="85" s="1"/>
  <c r="E11" i="85" a="1"/>
  <c r="E11" i="85" s="1"/>
  <c r="E10" i="85" a="1"/>
  <c r="E10" i="85" s="1"/>
  <c r="D6" i="85" a="1"/>
  <c r="D6" i="85" s="1"/>
  <c r="D5" i="85" a="1"/>
  <c r="D5" i="85" s="1"/>
  <c r="I17" i="84" a="1"/>
  <c r="I17" i="84" s="1"/>
  <c r="I14" i="84" a="1"/>
  <c r="I14" i="84" s="1"/>
  <c r="I13" i="84" a="1"/>
  <c r="I13" i="84" s="1"/>
  <c r="G13" i="84" a="1"/>
  <c r="G13" i="84" s="1"/>
  <c r="D13" i="84" a="1"/>
  <c r="D13" i="84" s="1"/>
  <c r="E11" i="84" a="1"/>
  <c r="E11" i="84" s="1"/>
  <c r="E10" i="84" a="1"/>
  <c r="E10" i="84" s="1"/>
  <c r="D6" i="84" a="1"/>
  <c r="D6" i="84" s="1"/>
  <c r="D5" i="84" a="1"/>
  <c r="D5" i="84" s="1"/>
  <c r="F55" i="83" a="1"/>
  <c r="F55" i="83" s="1"/>
  <c r="D52" i="83" a="1"/>
  <c r="D52" i="83" s="1"/>
  <c r="K47" i="83"/>
  <c r="I44" i="83" a="1"/>
  <c r="I44" i="83" s="1"/>
  <c r="D44" i="83" a="1"/>
  <c r="D44" i="83" s="1"/>
  <c r="E42" i="83" a="1"/>
  <c r="E42" i="83" s="1"/>
  <c r="F50" i="83" s="1"/>
  <c r="E41" i="83" a="1"/>
  <c r="E41" i="83" s="1"/>
  <c r="D37" i="83" a="1"/>
  <c r="D37" i="83" s="1"/>
  <c r="D36" i="83" a="1"/>
  <c r="D36" i="83" s="1"/>
  <c r="I30" i="83" a="1"/>
  <c r="I30" i="83" s="1"/>
  <c r="I29" i="83" a="1"/>
  <c r="I29" i="83" s="1"/>
  <c r="I28" i="83" a="1"/>
  <c r="I28" i="83" s="1"/>
  <c r="I27" i="83" a="1"/>
  <c r="I27" i="83" s="1"/>
  <c r="I26" i="83" a="1"/>
  <c r="I26" i="83" s="1"/>
  <c r="E71" i="86" s="1"/>
  <c r="I25" i="83" a="1"/>
  <c r="I25" i="83" s="1"/>
  <c r="E107" i="85" s="1"/>
  <c r="I24" i="83" a="1"/>
  <c r="I24" i="83" s="1"/>
  <c r="I23" i="83" a="1"/>
  <c r="I23" i="83" s="1"/>
  <c r="I15" i="83" a="1"/>
  <c r="I15" i="83" s="1"/>
  <c r="I14" i="83" a="1"/>
  <c r="I14" i="83" s="1"/>
  <c r="I13" i="83" a="1"/>
  <c r="I13" i="83" s="1"/>
  <c r="G13" i="83" a="1"/>
  <c r="G13" i="83" s="1"/>
  <c r="D13" i="83" a="1"/>
  <c r="D13" i="83" s="1"/>
  <c r="E11" i="83" a="1"/>
  <c r="E11" i="83" s="1"/>
  <c r="F32" i="83" s="1"/>
  <c r="E10" i="83" a="1"/>
  <c r="E10" i="83" s="1"/>
  <c r="D6" i="83" a="1"/>
  <c r="D6" i="83" s="1"/>
  <c r="D5" i="83" a="1"/>
  <c r="D5" i="83" s="1"/>
  <c r="I53" i="82" a="1"/>
  <c r="I53" i="82" s="1"/>
  <c r="I52" i="82"/>
  <c r="I49" i="82" a="1"/>
  <c r="I49" i="82" s="1"/>
  <c r="G49" i="82" a="1"/>
  <c r="G49" i="82" s="1"/>
  <c r="D49" i="82" a="1"/>
  <c r="D49" i="82" s="1"/>
  <c r="E47" i="82" a="1"/>
  <c r="E47" i="82" s="1"/>
  <c r="F78"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O113" i="81" a="1"/>
  <c r="O113" i="81" s="1"/>
  <c r="M110" i="81" a="1"/>
  <c r="M110" i="81" s="1"/>
  <c r="F85" i="81" a="1"/>
  <c r="F85" i="81" s="1"/>
  <c r="D82" i="81" a="1"/>
  <c r="D82" i="81" s="1"/>
  <c r="S80" i="81"/>
  <c r="S77" i="81" a="1"/>
  <c r="S77" i="81" s="1"/>
  <c r="Q77" i="81" a="1"/>
  <c r="Q77" i="81" s="1"/>
  <c r="M77" i="81" a="1"/>
  <c r="M77" i="81" s="1"/>
  <c r="N75" i="81" a="1"/>
  <c r="N75" i="81" s="1"/>
  <c r="N74" i="81" a="1"/>
  <c r="N74" i="81" s="1"/>
  <c r="M69" i="81" a="1"/>
  <c r="M69" i="81" s="1"/>
  <c r="M68" i="81" a="1"/>
  <c r="M68" i="81" s="1"/>
  <c r="I53" i="81"/>
  <c r="I52" i="81"/>
  <c r="I49" i="81" a="1"/>
  <c r="I49" i="81" s="1"/>
  <c r="G49" i="81" a="1"/>
  <c r="G49" i="81" s="1"/>
  <c r="D49" i="81" a="1"/>
  <c r="D49" i="81" s="1"/>
  <c r="E47" i="81" a="1"/>
  <c r="E47" i="81" s="1"/>
  <c r="E46" i="81" a="1"/>
  <c r="E46" i="81" s="1"/>
  <c r="D41" i="81" a="1"/>
  <c r="D41" i="81" s="1"/>
  <c r="D40" i="81" a="1"/>
  <c r="D40" i="81" s="1"/>
  <c r="R35" i="81" a="1"/>
  <c r="R35" i="81" s="1"/>
  <c r="P35" i="81" a="1"/>
  <c r="P35" i="81" s="1"/>
  <c r="M35" i="81" a="1"/>
  <c r="M35" i="81" s="1"/>
  <c r="N33" i="81" a="1"/>
  <c r="N33" i="81" s="1"/>
  <c r="V43" i="81" s="1"/>
  <c r="N32" i="81" a="1"/>
  <c r="N32" i="81" s="1"/>
  <c r="V44" i="81" s="1"/>
  <c r="M28" i="81" a="1"/>
  <c r="M28" i="81" s="1"/>
  <c r="M27" i="81" a="1"/>
  <c r="M27" i="81" s="1"/>
  <c r="R23" i="81" a="1"/>
  <c r="R23" i="81" s="1"/>
  <c r="P23" i="81" a="1"/>
  <c r="P23" i="81" s="1"/>
  <c r="M23" i="81" a="1"/>
  <c r="M23" i="81" s="1"/>
  <c r="N21" i="81" a="1"/>
  <c r="N21" i="81" s="1"/>
  <c r="S43" i="81" s="1"/>
  <c r="N20" i="81" a="1"/>
  <c r="N20" i="81" s="1"/>
  <c r="S44" i="81" s="1"/>
  <c r="M17" i="81" a="1"/>
  <c r="M17" i="81" s="1"/>
  <c r="M16" i="81" a="1"/>
  <c r="M16" i="81" s="1"/>
  <c r="I14" i="81" a="1"/>
  <c r="I14" i="81" s="1"/>
  <c r="I13" i="81" a="1"/>
  <c r="I13" i="81" s="1"/>
  <c r="G13" i="81" a="1"/>
  <c r="G13" i="81" s="1"/>
  <c r="D13" i="81" a="1"/>
  <c r="D13" i="81" s="1"/>
  <c r="R12" i="81" a="1"/>
  <c r="R12" i="81" s="1"/>
  <c r="P12" i="81" a="1"/>
  <c r="P12" i="81" s="1"/>
  <c r="M12" i="81" a="1"/>
  <c r="M12" i="81" s="1"/>
  <c r="E11" i="81" a="1"/>
  <c r="E11" i="81" s="1"/>
  <c r="N10" i="81" a="1"/>
  <c r="N10" i="81" s="1"/>
  <c r="R43" i="81" s="1"/>
  <c r="E10" i="81" a="1"/>
  <c r="E10" i="81" s="1"/>
  <c r="N9" i="81" a="1"/>
  <c r="N9" i="81" s="1"/>
  <c r="R44" i="81" s="1"/>
  <c r="M6" i="81" a="1"/>
  <c r="M6" i="81" s="1"/>
  <c r="D6" i="81" a="1"/>
  <c r="D6" i="81" s="1"/>
  <c r="M5" i="81" a="1"/>
  <c r="M5" i="81" s="1"/>
  <c r="D5" i="81" a="1"/>
  <c r="D5" i="81" s="1"/>
  <c r="G56" i="80"/>
  <c r="G55" i="80"/>
  <c r="G54" i="80"/>
  <c r="K44" i="80"/>
  <c r="K43" i="80"/>
  <c r="K42" i="80"/>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G53" i="83"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49" i="13"/>
  <c r="E48" i="13"/>
  <c r="E47" i="13"/>
  <c r="F38" i="13"/>
  <c r="E38" i="13"/>
  <c r="F37" i="13"/>
  <c r="E37" i="13"/>
  <c r="F36" i="13"/>
  <c r="E36" i="13"/>
  <c r="E561" i="107" a="1"/>
  <c r="E43" i="85" a="1"/>
  <c r="E7" i="85" a="1"/>
  <c r="E26" i="108" a="1"/>
  <c r="E7" i="108"/>
  <c r="L8" i="93" a="1"/>
  <c r="E100" i="107" a="1"/>
  <c r="E385" i="107" a="1"/>
  <c r="E7" i="100" a="1"/>
  <c r="E42" i="108"/>
  <c r="E7" i="82" a="1"/>
  <c r="E7" i="83" a="1"/>
  <c r="E290" i="107" a="1"/>
  <c r="N70" i="81" a="1"/>
  <c r="E355" i="107" a="1"/>
  <c r="E49" i="86" a="1"/>
  <c r="O42" i="108"/>
  <c r="E42" i="81" a="1"/>
  <c r="O26" i="108" a="1"/>
  <c r="E188" i="107" a="1"/>
  <c r="O61" i="108" a="1"/>
  <c r="E7" i="93" a="1"/>
  <c r="E8" i="89"/>
  <c r="E540" i="107"/>
  <c r="E50" i="101"/>
  <c r="E38" i="83" a="1"/>
  <c r="O79" i="108"/>
  <c r="E30" i="100" a="1"/>
  <c r="E7" i="92" a="1"/>
  <c r="E523" i="107"/>
  <c r="E79" i="108"/>
  <c r="E25" i="89"/>
  <c r="E7" i="81" a="1"/>
  <c r="E27" i="101"/>
  <c r="N49" i="99"/>
  <c r="E594" i="107" a="1"/>
  <c r="E90" i="85" a="1"/>
  <c r="O7" i="108"/>
  <c r="E418" i="107" a="1"/>
  <c r="E7" i="96" a="1"/>
  <c r="N26" i="99" a="1"/>
  <c r="E508" i="107"/>
  <c r="L7" i="92" a="1"/>
  <c r="E203" i="107" a="1"/>
  <c r="E151" i="107" a="1"/>
  <c r="E7" i="86" a="1"/>
  <c r="E43" i="82" a="1"/>
  <c r="E30" i="99"/>
  <c r="E258" i="107" a="1"/>
  <c r="E174" i="107" a="1"/>
  <c r="E7" i="107" a="1"/>
  <c r="N7" i="99" a="1"/>
  <c r="E323" i="107" a="1"/>
  <c r="E61" i="108" a="1"/>
  <c r="E99" i="96" a="1"/>
  <c r="E118" i="85" a="1"/>
  <c r="E83" i="86"/>
  <c r="E7" i="101" a="1"/>
  <c r="E7" i="99" a="1"/>
  <c r="E7" i="84" a="1"/>
  <c r="E28" i="93" l="1"/>
  <c r="E35" i="93"/>
  <c r="M27" i="93" a="1"/>
  <c r="M27" i="93" s="1"/>
  <c r="L27" i="93" a="1"/>
  <c r="L27" i="93" s="1"/>
  <c r="M38" i="93" a="1"/>
  <c r="M38" i="93" s="1"/>
  <c r="I13" i="101"/>
  <c r="O14" i="80" a="1"/>
  <c r="O14" i="80" s="1"/>
  <c r="L34" i="93" a="1"/>
  <c r="L34" i="93" s="1"/>
  <c r="M34" i="93" a="1"/>
  <c r="M34" i="93" s="1"/>
  <c r="M31" i="92" a="1"/>
  <c r="M31" i="92" s="1"/>
  <c r="I58" i="101" a="1"/>
  <c r="I58" i="101" s="1"/>
  <c r="I35" i="101" a="1"/>
  <c r="I35" i="101" s="1"/>
  <c r="I69" i="108"/>
  <c r="F468" i="107" a="1"/>
  <c r="F468" i="107" s="1"/>
  <c r="D270" i="107" a="1"/>
  <c r="K15" i="80" a="1"/>
  <c r="K15" i="80" s="1"/>
  <c r="I175" i="109"/>
  <c r="H195" i="109"/>
  <c r="E30" i="93"/>
  <c r="E37" i="93"/>
  <c r="I39" i="93"/>
  <c r="H39" i="93"/>
  <c r="G39" i="93"/>
  <c r="J39" i="93"/>
  <c r="M36" i="92" a="1"/>
  <c r="M36" i="92" s="1"/>
  <c r="M39" i="93" a="1"/>
  <c r="M39" i="93" s="1"/>
  <c r="I13" i="99"/>
  <c r="I17" i="101" a="1"/>
  <c r="I17" i="101" s="1"/>
  <c r="O19" i="104"/>
  <c r="Z15" i="80"/>
  <c r="E70" i="86"/>
  <c r="M25" i="93" a="1"/>
  <c r="M25" i="93" s="1"/>
  <c r="L25" i="93" a="1"/>
  <c r="L25" i="93" s="1"/>
  <c r="M27" i="92" a="1"/>
  <c r="M27" i="92" s="1"/>
  <c r="M32" i="92" a="1"/>
  <c r="M32" i="92" s="1"/>
  <c r="L32" i="92" a="1"/>
  <c r="L32" i="92" s="1"/>
  <c r="R19" i="104"/>
  <c r="I530" i="107" a="1"/>
  <c r="I530" i="107" s="1"/>
  <c r="J87" i="108"/>
  <c r="F467" i="107" a="1"/>
  <c r="F467" i="107" s="1"/>
  <c r="E301" i="107" a="1"/>
  <c r="E301" i="107" s="1"/>
  <c r="U16" i="80" a="1"/>
  <c r="U16" i="80" s="1"/>
  <c r="E33" i="93"/>
  <c r="E26" i="93"/>
  <c r="E31" i="93"/>
  <c r="E38" i="93"/>
  <c r="M32" i="93" a="1"/>
  <c r="M32" i="93" s="1"/>
  <c r="M28" i="93" a="1"/>
  <c r="M28" i="93" s="1"/>
  <c r="L28" i="93" a="1"/>
  <c r="L28" i="93" s="1"/>
  <c r="M40" i="93" a="1"/>
  <c r="M40" i="93" s="1"/>
  <c r="Q17" i="80" a="1"/>
  <c r="Q17" i="80" s="1"/>
  <c r="I126" i="85"/>
  <c r="I20" i="84"/>
  <c r="H28" i="84" s="1" a="1"/>
  <c r="H28" i="84" s="1"/>
  <c r="E33" i="92"/>
  <c r="E26" i="92"/>
  <c r="I26" i="92" s="1" a="1"/>
  <c r="I26" i="92" s="1"/>
  <c r="E38" i="92"/>
  <c r="M34" i="92" a="1"/>
  <c r="M34" i="92" s="1"/>
  <c r="L34" i="92" a="1"/>
  <c r="L34" i="92" s="1"/>
  <c r="M35" i="93" a="1"/>
  <c r="M35" i="93" s="1"/>
  <c r="L35" i="93" a="1"/>
  <c r="L35" i="93" s="1"/>
  <c r="I23" i="107" a="1"/>
  <c r="I23" i="107" s="1"/>
  <c r="E76" i="107" a="1"/>
  <c r="E76" i="107" s="1"/>
  <c r="J82" i="107" s="1" a="1"/>
  <c r="J82" i="107" s="1"/>
  <c r="E58" i="107" a="1"/>
  <c r="E58" i="107" s="1"/>
  <c r="E39" i="107" a="1"/>
  <c r="E39" i="107" s="1"/>
  <c r="I32" i="107" a="1"/>
  <c r="I32" i="107" s="1"/>
  <c r="I31" i="107" a="1"/>
  <c r="I31" i="107" s="1"/>
  <c r="I30" i="107" a="1"/>
  <c r="I30" i="107" s="1"/>
  <c r="I29" i="107" a="1"/>
  <c r="I29" i="107" s="1"/>
  <c r="M29" i="107" s="1" a="1"/>
  <c r="M29" i="107" s="1"/>
  <c r="I28" i="107" a="1"/>
  <c r="I28" i="107" s="1"/>
  <c r="M28" i="107" s="1" a="1"/>
  <c r="M28" i="107" s="1"/>
  <c r="I27" i="107" a="1"/>
  <c r="I27" i="107" s="1"/>
  <c r="M27" i="107" s="1" a="1"/>
  <c r="M27" i="107" s="1"/>
  <c r="I26" i="107" a="1"/>
  <c r="I26" i="107" s="1"/>
  <c r="I25" i="107" a="1"/>
  <c r="I25" i="107" s="1"/>
  <c r="M25" i="107" s="1" a="1"/>
  <c r="M25" i="107" s="1"/>
  <c r="I24" i="107" a="1"/>
  <c r="I24" i="107" s="1"/>
  <c r="G372" i="107" a="1"/>
  <c r="G372" i="107" s="1"/>
  <c r="G371" i="107" a="1"/>
  <c r="G371" i="107" s="1"/>
  <c r="G370" i="107" a="1"/>
  <c r="G370" i="107" s="1"/>
  <c r="J370" i="107" s="1" a="1"/>
  <c r="J370" i="107" s="1"/>
  <c r="G369" i="107" a="1"/>
  <c r="G369" i="107" s="1"/>
  <c r="G368" i="107" a="1"/>
  <c r="G368" i="107" s="1"/>
  <c r="G367" i="107" a="1"/>
  <c r="G367" i="107" s="1"/>
  <c r="G376" i="107" a="1"/>
  <c r="G376" i="107" s="1"/>
  <c r="G375" i="107" a="1"/>
  <c r="G375" i="107" s="1"/>
  <c r="G374" i="107" a="1"/>
  <c r="G374" i="107" s="1"/>
  <c r="G373" i="107" a="1"/>
  <c r="G373" i="107" s="1"/>
  <c r="J373" i="107" s="1" a="1"/>
  <c r="J373" i="107" s="1"/>
  <c r="M18" i="80" a="1"/>
  <c r="M18" i="80" s="1"/>
  <c r="E25" i="93"/>
  <c r="E32" i="93"/>
  <c r="M25" i="92" a="1"/>
  <c r="M25" i="92" s="1"/>
  <c r="L25" i="92" a="1"/>
  <c r="L25" i="92" s="1"/>
  <c r="M28" i="92" a="1"/>
  <c r="M28" i="92" s="1"/>
  <c r="I57" i="101" a="1"/>
  <c r="I57" i="101" s="1"/>
  <c r="G435" i="107" a="1"/>
  <c r="G435" i="107" s="1"/>
  <c r="G433" i="107" a="1"/>
  <c r="G433" i="107" s="1"/>
  <c r="G432" i="107" a="1"/>
  <c r="G432" i="107" s="1"/>
  <c r="G431" i="107" a="1"/>
  <c r="G431" i="107" s="1"/>
  <c r="G439" i="107" a="1"/>
  <c r="G439" i="107" s="1"/>
  <c r="G438" i="107" a="1"/>
  <c r="G438" i="107" s="1"/>
  <c r="G437" i="107" a="1"/>
  <c r="G437" i="107" s="1"/>
  <c r="H19" i="80"/>
  <c r="G430" i="107" a="1"/>
  <c r="G430" i="107" s="1"/>
  <c r="H430" i="107" s="1" a="1"/>
  <c r="H430" i="107" s="1"/>
  <c r="Q51" i="100"/>
  <c r="G97" i="86"/>
  <c r="G51" i="100"/>
  <c r="G83" i="81"/>
  <c r="G82" i="85"/>
  <c r="P64" i="99"/>
  <c r="G149" i="85"/>
  <c r="H65" i="101"/>
  <c r="G45" i="99"/>
  <c r="O576" i="107"/>
  <c r="G576" i="107"/>
  <c r="H42" i="101"/>
  <c r="L39" i="92" a="1"/>
  <c r="L39" i="92" s="1"/>
  <c r="M33" i="92" a="1"/>
  <c r="M33" i="92" s="1"/>
  <c r="L33" i="92" a="1"/>
  <c r="L33" i="92" s="1"/>
  <c r="N33" i="92" s="1" a="1"/>
  <c r="N33" i="92" s="1"/>
  <c r="E49" i="92" s="1"/>
  <c r="M29" i="93" a="1"/>
  <c r="M29" i="93" s="1"/>
  <c r="L29" i="93" a="1"/>
  <c r="L29" i="93" s="1"/>
  <c r="F164" i="107" a="1"/>
  <c r="F164" i="107" s="1"/>
  <c r="F163" i="107" a="1"/>
  <c r="F163" i="107" s="1"/>
  <c r="F162" i="107" a="1"/>
  <c r="F162" i="107" s="1"/>
  <c r="W19" i="80" a="1"/>
  <c r="W19" i="80" s="1"/>
  <c r="E27" i="93"/>
  <c r="E34" i="93"/>
  <c r="E36" i="93"/>
  <c r="E29" i="93"/>
  <c r="M37" i="92" a="1"/>
  <c r="M37" i="92" s="1"/>
  <c r="L37" i="92" a="1"/>
  <c r="L37" i="92" s="1"/>
  <c r="M36" i="93" a="1"/>
  <c r="M36" i="93" s="1"/>
  <c r="L36" i="93" a="1"/>
  <c r="L36" i="93" s="1"/>
  <c r="S20" i="80" a="1"/>
  <c r="S20" i="80" s="1"/>
  <c r="J40" i="93"/>
  <c r="I40" i="93"/>
  <c r="H40" i="93"/>
  <c r="G40" i="93"/>
  <c r="M26" i="93" a="1"/>
  <c r="M26" i="93" s="1"/>
  <c r="M29" i="92" a="1"/>
  <c r="M29" i="92" s="1"/>
  <c r="J123" i="96" a="1"/>
  <c r="J123" i="96" s="1"/>
  <c r="D116" i="96" a="1"/>
  <c r="D116" i="96" s="1"/>
  <c r="J116" i="96" s="1" a="1"/>
  <c r="J116" i="96" s="1"/>
  <c r="J137" i="96" a="1"/>
  <c r="J137" i="96" s="1"/>
  <c r="D157" i="96" a="1"/>
  <c r="D157" i="96" s="1"/>
  <c r="D21" i="96" a="1"/>
  <c r="D59" i="96" a="1"/>
  <c r="E18" i="98"/>
  <c r="K90" i="109"/>
  <c r="M89" i="109" s="1"/>
  <c r="T126" i="107" a="1"/>
  <c r="T126" i="107" s="1"/>
  <c r="AB122" i="107" a="1"/>
  <c r="AB122" i="107" s="1"/>
  <c r="T119" i="107" a="1"/>
  <c r="T119" i="107" s="1"/>
  <c r="P126" i="107" a="1"/>
  <c r="P126" i="107" s="1"/>
  <c r="X122" i="107" a="1"/>
  <c r="X122" i="107" s="1"/>
  <c r="P119" i="107" a="1"/>
  <c r="P119" i="107" s="1"/>
  <c r="AB125" i="107" a="1"/>
  <c r="AB125" i="107" s="1"/>
  <c r="T122" i="107" a="1"/>
  <c r="T122" i="107" s="1"/>
  <c r="X125" i="107" a="1"/>
  <c r="X125" i="107" s="1"/>
  <c r="P122" i="107" a="1"/>
  <c r="P122" i="107" s="1"/>
  <c r="AB128" i="107" a="1"/>
  <c r="AB128" i="107" s="1"/>
  <c r="T125" i="107" a="1"/>
  <c r="T125" i="107" s="1"/>
  <c r="AB121" i="107" a="1"/>
  <c r="AB121" i="107" s="1"/>
  <c r="X128" i="107" a="1"/>
  <c r="X128" i="107" s="1"/>
  <c r="P125" i="107" a="1"/>
  <c r="P125" i="107" s="1"/>
  <c r="X121" i="107" a="1"/>
  <c r="X121" i="107" s="1"/>
  <c r="F121" i="107" s="1"/>
  <c r="G121" i="107" s="1" a="1"/>
  <c r="G121" i="107" s="1"/>
  <c r="T128" i="107" a="1"/>
  <c r="T128" i="107" s="1"/>
  <c r="AB124" i="107" a="1"/>
  <c r="AB124" i="107" s="1"/>
  <c r="T121" i="107" a="1"/>
  <c r="T121" i="107" s="1"/>
  <c r="P128" i="107" a="1"/>
  <c r="P128" i="107" s="1"/>
  <c r="X124" i="107" a="1"/>
  <c r="X124" i="107" s="1"/>
  <c r="P121" i="107" a="1"/>
  <c r="P121" i="107" s="1"/>
  <c r="AB127" i="107" a="1"/>
  <c r="AB127" i="107" s="1"/>
  <c r="T124" i="107" a="1"/>
  <c r="T124" i="107" s="1"/>
  <c r="AB120" i="107" a="1"/>
  <c r="AB120" i="107" s="1"/>
  <c r="X127" i="107" a="1"/>
  <c r="X127" i="107" s="1"/>
  <c r="P124" i="107" a="1"/>
  <c r="P124" i="107" s="1"/>
  <c r="X120" i="107" a="1"/>
  <c r="X120" i="107" s="1"/>
  <c r="T127" i="107" a="1"/>
  <c r="T127" i="107" s="1"/>
  <c r="AB123" i="107" a="1"/>
  <c r="AB123" i="107" s="1"/>
  <c r="T120" i="107" a="1"/>
  <c r="T120" i="107" s="1"/>
  <c r="P127" i="107" a="1"/>
  <c r="P127" i="107" s="1"/>
  <c r="X123" i="107" a="1"/>
  <c r="X123" i="107" s="1"/>
  <c r="P120" i="107" a="1"/>
  <c r="P120" i="107" s="1"/>
  <c r="AB126" i="107" a="1"/>
  <c r="AB126" i="107" s="1"/>
  <c r="T123" i="107" a="1"/>
  <c r="T123" i="107" s="1"/>
  <c r="AB119" i="107" a="1"/>
  <c r="AB119" i="107" s="1"/>
  <c r="X126" i="107" a="1"/>
  <c r="X126" i="107" s="1"/>
  <c r="P123" i="107" a="1"/>
  <c r="P123" i="107" s="1"/>
  <c r="X119" i="107" a="1"/>
  <c r="X119" i="107" s="1"/>
  <c r="E302" i="107" a="1"/>
  <c r="E302" i="107" s="1"/>
  <c r="O21" i="80" a="1"/>
  <c r="O21" i="80" s="1"/>
  <c r="D164" i="79"/>
  <c r="J15" i="100"/>
  <c r="J34" i="92" a="1"/>
  <c r="J34" i="92" s="1"/>
  <c r="K31" i="92" a="1"/>
  <c r="K31" i="92" s="1"/>
  <c r="J28" i="92" a="1"/>
  <c r="J28" i="92" s="1"/>
  <c r="I34" i="92" a="1"/>
  <c r="I34" i="92" s="1"/>
  <c r="J31" i="92" a="1"/>
  <c r="J31" i="92" s="1"/>
  <c r="I28" i="92" a="1"/>
  <c r="I28" i="92" s="1"/>
  <c r="H34" i="92" a="1"/>
  <c r="H34" i="92" s="1"/>
  <c r="I31" i="92" a="1"/>
  <c r="I31" i="92" s="1"/>
  <c r="H28" i="92" a="1"/>
  <c r="H28" i="92" s="1"/>
  <c r="G34" i="92" a="1"/>
  <c r="G34" i="92" s="1"/>
  <c r="H31" i="92" a="1"/>
  <c r="H31" i="92" s="1"/>
  <c r="G28" i="92" a="1"/>
  <c r="G28" i="92" s="1"/>
  <c r="K38" i="92" a="1"/>
  <c r="K38" i="92" s="1"/>
  <c r="K35" i="92" a="1"/>
  <c r="K35" i="92" s="1"/>
  <c r="G31" i="92" a="1"/>
  <c r="G31" i="92" s="1"/>
  <c r="K29" i="92" a="1"/>
  <c r="K29" i="92" s="1"/>
  <c r="J26" i="92" a="1"/>
  <c r="J26" i="92" s="1"/>
  <c r="E25" i="92"/>
  <c r="G25" i="92" s="1" a="1"/>
  <c r="G25" i="92" s="1"/>
  <c r="Q25" i="92" s="1" a="1"/>
  <c r="Q25" i="92" s="1"/>
  <c r="J38" i="92" a="1"/>
  <c r="J38" i="92" s="1"/>
  <c r="E37" i="92"/>
  <c r="J37" i="92" s="1" a="1"/>
  <c r="J37" i="92" s="1"/>
  <c r="J35" i="92" a="1"/>
  <c r="J35" i="92" s="1"/>
  <c r="K32" i="92" a="1"/>
  <c r="K32" i="92" s="1"/>
  <c r="J29" i="92" a="1"/>
  <c r="J29" i="92" s="1"/>
  <c r="I38" i="92" a="1"/>
  <c r="I38" i="92" s="1"/>
  <c r="I35" i="92" a="1"/>
  <c r="I35" i="92" s="1"/>
  <c r="J32" i="92" a="1"/>
  <c r="J32" i="92" s="1"/>
  <c r="I29" i="92" a="1"/>
  <c r="I29" i="92" s="1"/>
  <c r="H38" i="92" a="1"/>
  <c r="H38" i="92" s="1"/>
  <c r="H35" i="92" a="1"/>
  <c r="H35" i="92" s="1"/>
  <c r="I32" i="92" a="1"/>
  <c r="I32" i="92" s="1"/>
  <c r="H29" i="92" a="1"/>
  <c r="H29" i="92" s="1"/>
  <c r="G26" i="92" a="1"/>
  <c r="G26" i="92" s="1"/>
  <c r="G38" i="92" a="1"/>
  <c r="G38" i="92" s="1"/>
  <c r="G35" i="92" a="1"/>
  <c r="G35" i="92" s="1"/>
  <c r="H32" i="92" a="1"/>
  <c r="H32" i="92" s="1"/>
  <c r="G29" i="92" a="1"/>
  <c r="G29" i="92" s="1"/>
  <c r="K27" i="92" a="1"/>
  <c r="K27" i="92" s="1"/>
  <c r="K39" i="92" a="1"/>
  <c r="K39" i="92" s="1"/>
  <c r="K36" i="92" a="1"/>
  <c r="K36" i="92" s="1"/>
  <c r="K33" i="92" a="1"/>
  <c r="K33" i="92" s="1"/>
  <c r="G32" i="92" a="1"/>
  <c r="G32" i="92" s="1"/>
  <c r="K30" i="92" a="1"/>
  <c r="K30" i="92" s="1"/>
  <c r="J27" i="92" a="1"/>
  <c r="J27" i="92" s="1"/>
  <c r="J39" i="92" a="1"/>
  <c r="J39" i="92" s="1"/>
  <c r="J36" i="92" a="1"/>
  <c r="J36" i="92" s="1"/>
  <c r="J33" i="92" a="1"/>
  <c r="J33" i="92" s="1"/>
  <c r="J30" i="92" a="1"/>
  <c r="J30" i="92" s="1"/>
  <c r="I27" i="92" a="1"/>
  <c r="I27" i="92" s="1"/>
  <c r="I39" i="92" a="1"/>
  <c r="I39" i="92" s="1"/>
  <c r="I36" i="92" a="1"/>
  <c r="I36" i="92" s="1"/>
  <c r="I33" i="92" a="1"/>
  <c r="I33" i="92" s="1"/>
  <c r="I30" i="92" a="1"/>
  <c r="I30" i="92" s="1"/>
  <c r="H27" i="92" a="1"/>
  <c r="H27" i="92" s="1"/>
  <c r="H39" i="92" a="1"/>
  <c r="H39" i="92" s="1"/>
  <c r="H36" i="92" a="1"/>
  <c r="H36" i="92" s="1"/>
  <c r="H33" i="92" a="1"/>
  <c r="H33" i="92" s="1"/>
  <c r="H30" i="92" a="1"/>
  <c r="H30" i="92" s="1"/>
  <c r="G27" i="92" a="1"/>
  <c r="G27" i="92" s="1"/>
  <c r="K25" i="92" a="1"/>
  <c r="K25" i="92" s="1"/>
  <c r="G39" i="92" a="1"/>
  <c r="G39" i="92" s="1"/>
  <c r="Q39" i="92" s="1" a="1"/>
  <c r="Q39" i="92" s="1"/>
  <c r="G36" i="92" a="1"/>
  <c r="G36" i="92" s="1"/>
  <c r="K34" i="92" a="1"/>
  <c r="K34" i="92" s="1"/>
  <c r="G33" i="92" a="1"/>
  <c r="G33" i="92" s="1"/>
  <c r="G30" i="92" a="1"/>
  <c r="G30" i="92" s="1"/>
  <c r="K28" i="92" a="1"/>
  <c r="K28" i="92" s="1"/>
  <c r="M33" i="93" a="1"/>
  <c r="M33" i="93" s="1"/>
  <c r="M30" i="93" a="1"/>
  <c r="M30" i="93" s="1"/>
  <c r="I17" i="97"/>
  <c r="E116" i="96" a="1"/>
  <c r="E116" i="96" s="1"/>
  <c r="E157" i="96" a="1"/>
  <c r="E157" i="96" s="1"/>
  <c r="J157" i="96" s="1" a="1"/>
  <c r="J157" i="96" s="1"/>
  <c r="E21" i="96" a="1"/>
  <c r="E59" i="96" a="1"/>
  <c r="I19" i="99" a="1"/>
  <c r="I19" i="99" s="1"/>
  <c r="I18" i="99" a="1"/>
  <c r="I18" i="99" s="1"/>
  <c r="D30" i="98"/>
  <c r="D26" i="98"/>
  <c r="D25" i="98"/>
  <c r="D24" i="98"/>
  <c r="F22" i="98"/>
  <c r="F17" i="98"/>
  <c r="D17" i="98"/>
  <c r="E72" i="86"/>
  <c r="E109" i="85"/>
  <c r="F109" i="85" s="1" a="1"/>
  <c r="F109" i="85" s="1"/>
  <c r="E141" i="85" s="1"/>
  <c r="I22" i="99"/>
  <c r="I17" i="99" s="1" a="1"/>
  <c r="I17" i="99" s="1"/>
  <c r="I177" i="109"/>
  <c r="H197" i="109"/>
  <c r="I176" i="109"/>
  <c r="H196" i="109"/>
  <c r="I15" i="89" a="1"/>
  <c r="I15" i="89" s="1"/>
  <c r="M35" i="92" a="1"/>
  <c r="M35" i="92" s="1"/>
  <c r="L35" i="92" a="1"/>
  <c r="L35" i="92" s="1"/>
  <c r="M37" i="93" a="1"/>
  <c r="M37" i="93" s="1"/>
  <c r="L37" i="93" a="1"/>
  <c r="L37" i="93" s="1"/>
  <c r="G457" i="107" a="1"/>
  <c r="G457" i="107" s="1"/>
  <c r="J457" i="107" s="1" a="1"/>
  <c r="J457" i="107" s="1"/>
  <c r="G456" i="107" a="1"/>
  <c r="G456" i="107" s="1"/>
  <c r="G455" i="107" a="1"/>
  <c r="G455" i="107" s="1"/>
  <c r="J455" i="107" s="1" a="1"/>
  <c r="J455" i="107" s="1"/>
  <c r="G454" i="107" a="1"/>
  <c r="G454" i="107" s="1"/>
  <c r="G453" i="107" a="1"/>
  <c r="G453" i="107" s="1"/>
  <c r="G452" i="107" a="1"/>
  <c r="G452" i="107" s="1"/>
  <c r="G451" i="107" a="1"/>
  <c r="G451" i="107" s="1"/>
  <c r="G450" i="107" a="1"/>
  <c r="G450" i="107" s="1"/>
  <c r="G449" i="107" a="1"/>
  <c r="G449" i="107" s="1"/>
  <c r="G448" i="107" a="1"/>
  <c r="G448" i="107" s="1"/>
  <c r="F139" i="107" a="1"/>
  <c r="F139" i="107" s="1"/>
  <c r="F138" i="107" a="1"/>
  <c r="F138" i="107" s="1"/>
  <c r="F137" i="107" a="1"/>
  <c r="F137" i="107" s="1"/>
  <c r="F136" i="107" a="1"/>
  <c r="F136" i="107" s="1"/>
  <c r="G136" i="107" s="1" a="1"/>
  <c r="G136" i="107" s="1"/>
  <c r="F466" i="107" a="1"/>
  <c r="F466" i="107" s="1"/>
  <c r="G466" i="107" s="1" a="1"/>
  <c r="G466" i="107" s="1"/>
  <c r="H12" i="80"/>
  <c r="E108" i="85"/>
  <c r="F108" i="85" s="1" a="1"/>
  <c r="F108" i="85" s="1"/>
  <c r="E140" i="85" s="1"/>
  <c r="G195" i="109"/>
  <c r="G194" i="109"/>
  <c r="G197" i="109"/>
  <c r="G196" i="109"/>
  <c r="P26" i="80"/>
  <c r="P25" i="80"/>
  <c r="D19" i="85" a="1"/>
  <c r="D60" i="81" a="1"/>
  <c r="D60" i="81" s="1"/>
  <c r="D23" i="86" a="1"/>
  <c r="D23" i="86" s="1"/>
  <c r="D59" i="85" a="1"/>
  <c r="D59" i="85" s="1"/>
  <c r="D58" i="82" a="1"/>
  <c r="D58" i="82" s="1"/>
  <c r="D19" i="81" a="1"/>
  <c r="P34" i="80"/>
  <c r="P33" i="80"/>
  <c r="P32" i="80"/>
  <c r="P31" i="80"/>
  <c r="P30" i="80"/>
  <c r="D19" i="82" a="1"/>
  <c r="P29" i="80"/>
  <c r="G183" i="109"/>
  <c r="P27" i="80"/>
  <c r="G177" i="109"/>
  <c r="G176" i="109"/>
  <c r="G175" i="109"/>
  <c r="G174" i="109"/>
  <c r="E105" i="85"/>
  <c r="F105" i="85" s="1" a="1"/>
  <c r="F105" i="85" s="1"/>
  <c r="E137" i="85" s="1"/>
  <c r="E68" i="86"/>
  <c r="M26" i="92" a="1"/>
  <c r="M26" i="92" s="1"/>
  <c r="M30" i="92" a="1"/>
  <c r="M30" i="92" s="1"/>
  <c r="L30" i="92" a="1"/>
  <c r="L30" i="92" s="1"/>
  <c r="L18" i="104"/>
  <c r="P111" i="81"/>
  <c r="E73" i="86"/>
  <c r="E110" i="85"/>
  <c r="F110" i="85" s="1" a="1"/>
  <c r="F110" i="85" s="1"/>
  <c r="E142" i="85" s="1"/>
  <c r="H194" i="109"/>
  <c r="I174" i="109"/>
  <c r="E74" i="86"/>
  <c r="E111" i="85"/>
  <c r="E75" i="86"/>
  <c r="E112" i="85"/>
  <c r="F112" i="85" s="1" a="1"/>
  <c r="F112" i="85" s="1"/>
  <c r="E144" i="85" s="1"/>
  <c r="M21" i="80" a="1"/>
  <c r="M21" i="80" s="1"/>
  <c r="Q20" i="80" a="1"/>
  <c r="Q20" i="80" s="1"/>
  <c r="U19" i="80" a="1"/>
  <c r="U19" i="80" s="1"/>
  <c r="Z18" i="80"/>
  <c r="K18" i="80" a="1"/>
  <c r="K18" i="80" s="1"/>
  <c r="O17" i="80" a="1"/>
  <c r="O17" i="80" s="1"/>
  <c r="S16" i="80" a="1"/>
  <c r="S16" i="80" s="1"/>
  <c r="W15" i="80" a="1"/>
  <c r="W15" i="80" s="1"/>
  <c r="H15" i="80"/>
  <c r="M14" i="80" a="1"/>
  <c r="M14" i="80" s="1"/>
  <c r="Q13" i="80" a="1"/>
  <c r="Q13" i="80" s="1"/>
  <c r="U12" i="80" a="1"/>
  <c r="U12" i="80" s="1"/>
  <c r="L21" i="80" a="1"/>
  <c r="L21" i="80" s="1"/>
  <c r="P20" i="80" a="1"/>
  <c r="P20" i="80" s="1"/>
  <c r="T19" i="80" a="1"/>
  <c r="T19" i="80" s="1"/>
  <c r="Y18" i="80"/>
  <c r="J18" i="80" a="1"/>
  <c r="J18" i="80" s="1"/>
  <c r="N17" i="80" a="1"/>
  <c r="N17" i="80" s="1"/>
  <c r="R16" i="80" a="1"/>
  <c r="R16" i="80" s="1"/>
  <c r="F15" i="80"/>
  <c r="L14" i="80" a="1"/>
  <c r="L14" i="80" s="1"/>
  <c r="P13" i="80" a="1"/>
  <c r="P13" i="80" s="1"/>
  <c r="T12" i="80" a="1"/>
  <c r="T12" i="80" s="1"/>
  <c r="Z21" i="80"/>
  <c r="K21" i="80" a="1"/>
  <c r="K21" i="80" s="1"/>
  <c r="O20" i="80" a="1"/>
  <c r="O20" i="80" s="1"/>
  <c r="S19" i="80" a="1"/>
  <c r="S19" i="80" s="1"/>
  <c r="W18" i="80" a="1"/>
  <c r="W18" i="80" s="1"/>
  <c r="H18" i="80"/>
  <c r="M17" i="80" a="1"/>
  <c r="M17" i="80" s="1"/>
  <c r="Q16" i="80" a="1"/>
  <c r="Q16" i="80" s="1"/>
  <c r="U15" i="80" a="1"/>
  <c r="U15" i="80" s="1"/>
  <c r="Z14" i="80"/>
  <c r="K14" i="80" a="1"/>
  <c r="K14" i="80" s="1"/>
  <c r="O13" i="80" a="1"/>
  <c r="O13" i="80" s="1"/>
  <c r="S12" i="80" a="1"/>
  <c r="S12" i="80" s="1"/>
  <c r="Y21" i="80"/>
  <c r="J21" i="80" a="1"/>
  <c r="J21" i="80" s="1"/>
  <c r="N20" i="80" a="1"/>
  <c r="N20" i="80" s="1"/>
  <c r="R19" i="80" a="1"/>
  <c r="R19" i="80" s="1"/>
  <c r="F18" i="80"/>
  <c r="L17" i="80" a="1"/>
  <c r="L17" i="80" s="1"/>
  <c r="P16" i="80" a="1"/>
  <c r="P16" i="80" s="1"/>
  <c r="T15" i="80" a="1"/>
  <c r="T15" i="80" s="1"/>
  <c r="Y14" i="80"/>
  <c r="J14" i="80" a="1"/>
  <c r="J14" i="80" s="1"/>
  <c r="N13" i="80" a="1"/>
  <c r="N13" i="80" s="1"/>
  <c r="R12" i="80" a="1"/>
  <c r="R12" i="80" s="1"/>
  <c r="W21" i="80" a="1"/>
  <c r="W21" i="80" s="1"/>
  <c r="H21" i="80"/>
  <c r="M20" i="80" a="1"/>
  <c r="M20" i="80" s="1"/>
  <c r="Q19" i="80" a="1"/>
  <c r="Q19" i="80" s="1"/>
  <c r="U18" i="80" a="1"/>
  <c r="U18" i="80" s="1"/>
  <c r="Z17" i="80"/>
  <c r="K17" i="80" a="1"/>
  <c r="K17" i="80" s="1"/>
  <c r="O16" i="80" a="1"/>
  <c r="O16" i="80" s="1"/>
  <c r="S15" i="80" a="1"/>
  <c r="S15" i="80" s="1"/>
  <c r="W14" i="80" a="1"/>
  <c r="W14" i="80" s="1"/>
  <c r="X14" i="80" s="1"/>
  <c r="H14" i="80"/>
  <c r="M13" i="80" a="1"/>
  <c r="M13" i="80" s="1"/>
  <c r="Q12" i="80" a="1"/>
  <c r="Q12" i="80" s="1"/>
  <c r="F21" i="80"/>
  <c r="L20" i="80" a="1"/>
  <c r="L20" i="80" s="1"/>
  <c r="P19" i="80" a="1"/>
  <c r="P19" i="80" s="1"/>
  <c r="T18" i="80" a="1"/>
  <c r="T18" i="80" s="1"/>
  <c r="Y17" i="80"/>
  <c r="J17" i="80" a="1"/>
  <c r="J17" i="80" s="1"/>
  <c r="N16" i="80" a="1"/>
  <c r="N16" i="80" s="1"/>
  <c r="R15" i="80" a="1"/>
  <c r="R15" i="80" s="1"/>
  <c r="F14" i="80"/>
  <c r="L13" i="80" a="1"/>
  <c r="L13" i="80" s="1"/>
  <c r="P12" i="80" a="1"/>
  <c r="P12" i="80" s="1"/>
  <c r="U21" i="80" a="1"/>
  <c r="U21" i="80" s="1"/>
  <c r="Z20" i="80"/>
  <c r="K20" i="80" a="1"/>
  <c r="K20" i="80" s="1"/>
  <c r="O19" i="80" a="1"/>
  <c r="O19" i="80" s="1"/>
  <c r="S18" i="80" a="1"/>
  <c r="S18" i="80" s="1"/>
  <c r="W17" i="80" a="1"/>
  <c r="W17" i="80" s="1"/>
  <c r="H17" i="80"/>
  <c r="M16" i="80" a="1"/>
  <c r="M16" i="80" s="1"/>
  <c r="Q15" i="80" a="1"/>
  <c r="Q15" i="80" s="1"/>
  <c r="U14" i="80" a="1"/>
  <c r="U14" i="80" s="1"/>
  <c r="Z13" i="80"/>
  <c r="K13" i="80" a="1"/>
  <c r="K13" i="80" s="1"/>
  <c r="O12" i="80" a="1"/>
  <c r="O12" i="80" s="1"/>
  <c r="Z221" i="107" s="1" a="1"/>
  <c r="Z221" i="107" s="1"/>
  <c r="T21" i="80" a="1"/>
  <c r="T21" i="80" s="1"/>
  <c r="Y20" i="80"/>
  <c r="J20" i="80" a="1"/>
  <c r="J20" i="80" s="1"/>
  <c r="N19" i="80" a="1"/>
  <c r="N19" i="80" s="1"/>
  <c r="R18" i="80" a="1"/>
  <c r="R18" i="80" s="1"/>
  <c r="F17" i="80"/>
  <c r="L16" i="80" a="1"/>
  <c r="L16" i="80" s="1"/>
  <c r="P15" i="80" a="1"/>
  <c r="P15" i="80" s="1"/>
  <c r="T14" i="80" a="1"/>
  <c r="T14" i="80" s="1"/>
  <c r="Y13" i="80"/>
  <c r="J13" i="80" a="1"/>
  <c r="J13" i="80" s="1"/>
  <c r="N12" i="80" a="1"/>
  <c r="N12" i="80" s="1"/>
  <c r="S21" i="80" a="1"/>
  <c r="S21" i="80" s="1"/>
  <c r="W20" i="80" a="1"/>
  <c r="W20" i="80" s="1"/>
  <c r="H20" i="80"/>
  <c r="M19" i="80" a="1"/>
  <c r="M19" i="80" s="1"/>
  <c r="Q18" i="80" a="1"/>
  <c r="Q18" i="80" s="1"/>
  <c r="U17" i="80" a="1"/>
  <c r="U17" i="80" s="1"/>
  <c r="Z16" i="80"/>
  <c r="K16" i="80" a="1"/>
  <c r="K16" i="80" s="1"/>
  <c r="O15" i="80" a="1"/>
  <c r="O15" i="80" s="1"/>
  <c r="S14" i="80" a="1"/>
  <c r="S14" i="80" s="1"/>
  <c r="W13" i="80" a="1"/>
  <c r="W13" i="80" s="1"/>
  <c r="H13" i="80"/>
  <c r="M12" i="80" a="1"/>
  <c r="M12" i="80" s="1"/>
  <c r="R21" i="80" a="1"/>
  <c r="R21" i="80" s="1"/>
  <c r="F20" i="80"/>
  <c r="L19" i="80" a="1"/>
  <c r="L19" i="80" s="1"/>
  <c r="P18" i="80" a="1"/>
  <c r="P18" i="80" s="1"/>
  <c r="T17" i="80" a="1"/>
  <c r="T17" i="80" s="1"/>
  <c r="Y16" i="80"/>
  <c r="J16" i="80" a="1"/>
  <c r="J16" i="80" s="1"/>
  <c r="N15" i="80" a="1"/>
  <c r="N15" i="80" s="1"/>
  <c r="R14" i="80" a="1"/>
  <c r="R14" i="80" s="1"/>
  <c r="F13" i="80"/>
  <c r="L12" i="80" a="1"/>
  <c r="L12" i="80" s="1"/>
  <c r="Q21" i="80" a="1"/>
  <c r="Q21" i="80" s="1"/>
  <c r="U20" i="80" a="1"/>
  <c r="U20" i="80" s="1"/>
  <c r="Z19" i="80"/>
  <c r="K19" i="80" a="1"/>
  <c r="K19" i="80" s="1"/>
  <c r="O18" i="80" a="1"/>
  <c r="O18" i="80" s="1"/>
  <c r="S17" i="80" a="1"/>
  <c r="S17" i="80" s="1"/>
  <c r="W16" i="80" a="1"/>
  <c r="W16" i="80" s="1"/>
  <c r="H16" i="80"/>
  <c r="M15" i="80" a="1"/>
  <c r="M15" i="80" s="1"/>
  <c r="Q14" i="80" a="1"/>
  <c r="Q14" i="80" s="1"/>
  <c r="U13" i="80" a="1"/>
  <c r="U13" i="80" s="1"/>
  <c r="Z12" i="80"/>
  <c r="K12" i="80" a="1"/>
  <c r="K12" i="80" s="1"/>
  <c r="P21" i="80" a="1"/>
  <c r="P21" i="80" s="1"/>
  <c r="T20" i="80" a="1"/>
  <c r="T20" i="80" s="1"/>
  <c r="Y19" i="80"/>
  <c r="J19" i="80" a="1"/>
  <c r="J19" i="80" s="1"/>
  <c r="N18" i="80" a="1"/>
  <c r="N18" i="80" s="1"/>
  <c r="R17" i="80" a="1"/>
  <c r="R17" i="80" s="1"/>
  <c r="F16" i="80"/>
  <c r="L15" i="80" a="1"/>
  <c r="L15" i="80" s="1"/>
  <c r="P14" i="80" a="1"/>
  <c r="P14" i="80" s="1"/>
  <c r="T13" i="80" a="1"/>
  <c r="T13" i="80" s="1"/>
  <c r="Y12" i="80"/>
  <c r="J12" i="80" a="1"/>
  <c r="J12" i="80" s="1"/>
  <c r="N21" i="80" a="1"/>
  <c r="N21" i="80" s="1"/>
  <c r="R20" i="80" a="1"/>
  <c r="R20" i="80" s="1"/>
  <c r="F19" i="80"/>
  <c r="L18" i="80" a="1"/>
  <c r="L18" i="80" s="1"/>
  <c r="P17" i="80" a="1"/>
  <c r="P17" i="80" s="1"/>
  <c r="T16" i="80" a="1"/>
  <c r="T16" i="80" s="1"/>
  <c r="Y15" i="80"/>
  <c r="J15" i="80" a="1"/>
  <c r="J15" i="80" s="1"/>
  <c r="N14" i="80" a="1"/>
  <c r="N14" i="80" s="1"/>
  <c r="R13" i="80" a="1"/>
  <c r="R13" i="80" s="1"/>
  <c r="F12" i="80"/>
  <c r="D170" i="79"/>
  <c r="J37" i="100"/>
  <c r="E69" i="86"/>
  <c r="E106" i="85"/>
  <c r="K40" i="93" a="1"/>
  <c r="K40" i="93" s="1"/>
  <c r="M38" i="92" a="1"/>
  <c r="M38" i="92" s="1"/>
  <c r="L38" i="92" a="1"/>
  <c r="L38" i="92" s="1"/>
  <c r="M31" i="93" a="1"/>
  <c r="M31" i="93" s="1"/>
  <c r="F481" i="107" a="1"/>
  <c r="F481" i="107" s="1"/>
  <c r="F480" i="107" a="1"/>
  <c r="F480" i="107" s="1"/>
  <c r="G480" i="107" s="1" a="1"/>
  <c r="G480" i="107" s="1"/>
  <c r="F479" i="107" a="1"/>
  <c r="F479" i="107" s="1"/>
  <c r="G479" i="107" s="1" a="1"/>
  <c r="G479" i="107" s="1"/>
  <c r="F470" i="107" a="1"/>
  <c r="F470" i="107" s="1"/>
  <c r="S13" i="80" a="1"/>
  <c r="S13" i="80" s="1"/>
  <c r="I20" i="91"/>
  <c r="E300" i="107" a="1"/>
  <c r="E300" i="107" s="1"/>
  <c r="AE243" i="107" a="1"/>
  <c r="AE243" i="107" s="1"/>
  <c r="AA237" i="107" a="1"/>
  <c r="AA237" i="107" s="1"/>
  <c r="AA240" i="107" a="1"/>
  <c r="AA240" i="107" s="1"/>
  <c r="S244" i="107" a="1"/>
  <c r="S244" i="107" s="1"/>
  <c r="I17" i="91"/>
  <c r="I18" i="91"/>
  <c r="L32" i="93" s="1" a="1"/>
  <c r="L32" i="93" s="1"/>
  <c r="W238" i="107" a="1"/>
  <c r="W238" i="107" s="1"/>
  <c r="AE241" i="107" a="1"/>
  <c r="AE241" i="107" s="1"/>
  <c r="W245" i="107" a="1"/>
  <c r="W245" i="107" s="1"/>
  <c r="G434" i="107" a="1"/>
  <c r="G434" i="107" s="1"/>
  <c r="H434" i="107" s="1" a="1"/>
  <c r="H434" i="107" s="1"/>
  <c r="I19" i="91"/>
  <c r="S246" i="107" a="1"/>
  <c r="S246" i="107" s="1"/>
  <c r="G436" i="107" a="1"/>
  <c r="G436" i="107" s="1"/>
  <c r="K39" i="93" a="1"/>
  <c r="K39" i="93" s="1"/>
  <c r="I68" i="108"/>
  <c r="E74" i="108" s="1" a="1"/>
  <c r="E74" i="108" s="1"/>
  <c r="J86" i="108" s="1"/>
  <c r="H24" i="100"/>
  <c r="I49" i="108"/>
  <c r="G468" i="107" a="1"/>
  <c r="G468" i="107" s="1"/>
  <c r="I15" i="101" a="1"/>
  <c r="I15" i="101" s="1"/>
  <c r="I16" i="101" a="1"/>
  <c r="I16" i="101" s="1"/>
  <c r="I15" i="99" a="1"/>
  <c r="I15" i="99" s="1"/>
  <c r="I20" i="99" a="1"/>
  <c r="I20" i="99" s="1"/>
  <c r="J627" i="107" a="1"/>
  <c r="J627" i="107" s="1"/>
  <c r="G162" i="107" a="1"/>
  <c r="G162" i="107" s="1"/>
  <c r="G138" i="107" a="1"/>
  <c r="G138" i="107" s="1"/>
  <c r="G137" i="107" a="1"/>
  <c r="G137" i="107" s="1"/>
  <c r="I138" i="107" a="1"/>
  <c r="I138" i="107" s="1"/>
  <c r="G163" i="107" a="1"/>
  <c r="G163" i="107" s="1"/>
  <c r="G470" i="107" a="1"/>
  <c r="G470" i="107" s="1"/>
  <c r="F74" i="108"/>
  <c r="E35" i="108" a="1"/>
  <c r="E35" i="108" s="1"/>
  <c r="I48" i="108" s="1"/>
  <c r="G469" i="107" a="1"/>
  <c r="G469" i="107" s="1"/>
  <c r="E61" i="108"/>
  <c r="O61" i="108"/>
  <c r="E26" i="108"/>
  <c r="O26" i="108"/>
  <c r="P19" i="108"/>
  <c r="F19" i="108"/>
  <c r="P55" i="108"/>
  <c r="F55" i="108"/>
  <c r="J67" i="107" a="1"/>
  <c r="J67" i="107" s="1"/>
  <c r="G65" i="107" a="1"/>
  <c r="G65" i="107" s="1"/>
  <c r="F379" i="107"/>
  <c r="G50" i="107" a="1"/>
  <c r="G50" i="107" s="1"/>
  <c r="G481" i="107" a="1"/>
  <c r="G481" i="107" s="1"/>
  <c r="F90" i="108"/>
  <c r="E188" i="107"/>
  <c r="E100" i="107"/>
  <c r="E174" i="107"/>
  <c r="E385" i="107"/>
  <c r="E7" i="107"/>
  <c r="E203" i="107"/>
  <c r="E151" i="107"/>
  <c r="E258" i="107"/>
  <c r="E418" i="107"/>
  <c r="E323" i="107"/>
  <c r="E355" i="107"/>
  <c r="E290" i="107"/>
  <c r="E561" i="107"/>
  <c r="E594" i="107"/>
  <c r="F642" i="107"/>
  <c r="F641" i="107"/>
  <c r="F639" i="107"/>
  <c r="F621" i="107"/>
  <c r="F638" i="107"/>
  <c r="F620" i="107"/>
  <c r="F142" i="107"/>
  <c r="F141" i="107"/>
  <c r="F145" i="107"/>
  <c r="F144" i="107"/>
  <c r="F131" i="107"/>
  <c r="F130" i="107"/>
  <c r="N573" i="107"/>
  <c r="F573" i="107"/>
  <c r="G51" i="107" a="1"/>
  <c r="G51" i="107" s="1"/>
  <c r="G47" i="107" a="1"/>
  <c r="G47" i="107" s="1"/>
  <c r="G49" i="107" a="1"/>
  <c r="G49" i="107" s="1"/>
  <c r="J48" i="107" a="1"/>
  <c r="J48" i="107" s="1"/>
  <c r="G45" i="107" a="1"/>
  <c r="G45" i="107" s="1"/>
  <c r="G48" i="107" a="1"/>
  <c r="G48" i="107" s="1"/>
  <c r="J64" i="107" a="1"/>
  <c r="J64" i="107" s="1"/>
  <c r="J68" i="107" a="1"/>
  <c r="J68" i="107" s="1"/>
  <c r="G67" i="107" a="1"/>
  <c r="G67" i="107" s="1"/>
  <c r="G63" i="107" a="1"/>
  <c r="G63" i="107" s="1"/>
  <c r="J70" i="107" a="1"/>
  <c r="J70" i="107" s="1"/>
  <c r="J66" i="107" a="1"/>
  <c r="J66" i="107" s="1"/>
  <c r="G70" i="107" a="1"/>
  <c r="G70" i="107" s="1"/>
  <c r="G66" i="107" a="1"/>
  <c r="G66" i="107" s="1"/>
  <c r="G62" i="107" a="1"/>
  <c r="G62" i="107" s="1"/>
  <c r="F94" i="107"/>
  <c r="F54" i="107"/>
  <c r="F93" i="107"/>
  <c r="F73" i="107"/>
  <c r="F53" i="107"/>
  <c r="F35" i="107"/>
  <c r="F91" i="107"/>
  <c r="F34" i="107"/>
  <c r="F90" i="107"/>
  <c r="F72" i="107"/>
  <c r="J42" i="107" a="1"/>
  <c r="J42" i="107" s="1"/>
  <c r="G42" i="107" a="1"/>
  <c r="G42" i="107" s="1"/>
  <c r="I139" i="107" a="1"/>
  <c r="I139" i="107" s="1"/>
  <c r="G139" i="107" a="1"/>
  <c r="G139" i="107" s="1"/>
  <c r="J47" i="107" a="1"/>
  <c r="J47" i="107" s="1"/>
  <c r="E167" i="107"/>
  <c r="H457" i="107" a="1"/>
  <c r="H457" i="107" s="1"/>
  <c r="I121" i="107" a="1"/>
  <c r="I121" i="107" s="1"/>
  <c r="J451" i="107" a="1"/>
  <c r="J451" i="107" s="1"/>
  <c r="J453" i="107" a="1"/>
  <c r="J453" i="107" s="1"/>
  <c r="J450" i="107" a="1"/>
  <c r="J450" i="107" s="1"/>
  <c r="J29" i="107" a="1"/>
  <c r="J29" i="107" s="1"/>
  <c r="J448" i="107" a="1"/>
  <c r="J448" i="107" s="1"/>
  <c r="J27" i="107" a="1"/>
  <c r="J27" i="107" s="1"/>
  <c r="J401" i="107" a="1"/>
  <c r="J401" i="107" s="1"/>
  <c r="J405" i="107" a="1"/>
  <c r="J405" i="107" s="1"/>
  <c r="J400" i="107" a="1"/>
  <c r="J400" i="107" s="1"/>
  <c r="J404" i="107" a="1"/>
  <c r="J404" i="107" s="1"/>
  <c r="J403" i="107" a="1"/>
  <c r="J403" i="107" s="1"/>
  <c r="J402" i="107" a="1"/>
  <c r="J402" i="107" s="1"/>
  <c r="J408" i="107" a="1"/>
  <c r="J408" i="107" s="1"/>
  <c r="J399" i="107" a="1"/>
  <c r="J399" i="107" s="1"/>
  <c r="J49" i="107" a="1"/>
  <c r="J49" i="107" s="1"/>
  <c r="F484" i="107"/>
  <c r="F473" i="107"/>
  <c r="F317" i="107"/>
  <c r="F501" i="107"/>
  <c r="F378" i="107"/>
  <c r="F348" i="107"/>
  <c r="F249" i="107"/>
  <c r="F483" i="107"/>
  <c r="F472" i="107"/>
  <c r="F460" i="107"/>
  <c r="F442" i="107"/>
  <c r="F411" i="107"/>
  <c r="F533" i="107"/>
  <c r="F347" i="107"/>
  <c r="F248" i="107"/>
  <c r="F167" i="107"/>
  <c r="F459" i="107"/>
  <c r="F441" i="107"/>
  <c r="F410" i="107"/>
  <c r="F555" i="107"/>
  <c r="F284" i="107"/>
  <c r="F166" i="107"/>
  <c r="F316" i="107"/>
  <c r="F283" i="107"/>
  <c r="K405" i="107"/>
  <c r="K400" i="107"/>
  <c r="K404" i="107"/>
  <c r="K408" i="107"/>
  <c r="K403" i="107"/>
  <c r="K402" i="107"/>
  <c r="K401" i="107"/>
  <c r="K399" i="107"/>
  <c r="F502" i="107"/>
  <c r="M32" i="107" a="1"/>
  <c r="M32" i="107" s="1"/>
  <c r="J449" i="107" a="1"/>
  <c r="J449" i="107" s="1"/>
  <c r="M30" i="107" a="1"/>
  <c r="M30" i="107" s="1"/>
  <c r="G46" i="107" a="1"/>
  <c r="G46" i="107" s="1"/>
  <c r="J63" i="107" a="1"/>
  <c r="J63" i="107" s="1"/>
  <c r="J80" i="107" a="1"/>
  <c r="J80" i="107" s="1"/>
  <c r="J406" i="107" a="1"/>
  <c r="J406" i="107" s="1"/>
  <c r="H431" i="107" a="1"/>
  <c r="H431" i="107" s="1"/>
  <c r="H433" i="107" a="1"/>
  <c r="H433" i="107" s="1"/>
  <c r="H435" i="107" a="1"/>
  <c r="H435" i="107" s="1"/>
  <c r="F251" i="107"/>
  <c r="J43" i="107" a="1"/>
  <c r="J43" i="107" s="1"/>
  <c r="J46" i="107" a="1"/>
  <c r="J46" i="107" s="1"/>
  <c r="J50" i="107" a="1"/>
  <c r="J50" i="107" s="1"/>
  <c r="G64" i="107" a="1"/>
  <c r="G64" i="107" s="1"/>
  <c r="G68" i="107" a="1"/>
  <c r="G68" i="107" s="1"/>
  <c r="F252" i="107"/>
  <c r="K406" i="107"/>
  <c r="M26" i="107" a="1"/>
  <c r="M26" i="107" s="1"/>
  <c r="G61" i="107" a="1"/>
  <c r="G61" i="107" s="1"/>
  <c r="G300" i="107"/>
  <c r="F296" i="107"/>
  <c r="J407" i="107" a="1"/>
  <c r="J407" i="107" s="1"/>
  <c r="J452" i="107" a="1"/>
  <c r="J452" i="107" s="1"/>
  <c r="I467" i="107" a="1"/>
  <c r="I467" i="107" s="1"/>
  <c r="G467" i="107" a="1"/>
  <c r="G467" i="107" s="1"/>
  <c r="E533" i="107" a="1"/>
  <c r="E533" i="107" s="1"/>
  <c r="G69" i="107" a="1"/>
  <c r="G69" i="107" s="1"/>
  <c r="J85" i="107" a="1"/>
  <c r="J85" i="107" s="1"/>
  <c r="I120" i="107" a="1"/>
  <c r="I120" i="107" s="1"/>
  <c r="G164" i="107" a="1"/>
  <c r="G164" i="107" s="1"/>
  <c r="J24" i="107" a="1"/>
  <c r="J24" i="107" s="1"/>
  <c r="G43" i="107" a="1"/>
  <c r="G43" i="107" s="1"/>
  <c r="J45" i="107" a="1"/>
  <c r="J45" i="107" s="1"/>
  <c r="G44" i="107" a="1"/>
  <c r="G44" i="107" s="1"/>
  <c r="K407" i="107"/>
  <c r="H432" i="107" a="1"/>
  <c r="H432" i="107" s="1"/>
  <c r="H453" i="107" a="1"/>
  <c r="H453" i="107" s="1"/>
  <c r="M31" i="107" a="1"/>
  <c r="M31" i="107" s="1"/>
  <c r="J51" i="107" a="1"/>
  <c r="J51" i="107" s="1"/>
  <c r="J65" i="107" a="1"/>
  <c r="J65" i="107" s="1"/>
  <c r="J69" i="107" a="1"/>
  <c r="J69" i="107" s="1"/>
  <c r="J44" i="107" a="1"/>
  <c r="J44" i="107" s="1"/>
  <c r="L339" i="107"/>
  <c r="J433" i="107" a="1"/>
  <c r="J433" i="107" s="1"/>
  <c r="J435" i="107" a="1"/>
  <c r="J435" i="107" s="1"/>
  <c r="H372" i="107" a="1"/>
  <c r="H372" i="107" s="1"/>
  <c r="J374" i="107" a="1"/>
  <c r="J374" i="107" s="1"/>
  <c r="H450" i="107" a="1"/>
  <c r="H450" i="107" s="1"/>
  <c r="K493" i="107" a="1"/>
  <c r="K493" i="107" s="1"/>
  <c r="K499" i="107" a="1"/>
  <c r="K499" i="107" s="1"/>
  <c r="K492" i="107" a="1"/>
  <c r="K492" i="107" s="1"/>
  <c r="K498" i="107" a="1"/>
  <c r="K498" i="107" s="1"/>
  <c r="K491" i="107" a="1"/>
  <c r="K491" i="107" s="1"/>
  <c r="H367" i="107" a="1"/>
  <c r="H367" i="107" s="1"/>
  <c r="J434" i="107" a="1"/>
  <c r="J434" i="107" s="1"/>
  <c r="K490" i="107" a="1"/>
  <c r="K490" i="107" s="1"/>
  <c r="L341" i="107"/>
  <c r="J376" i="107" a="1"/>
  <c r="J376" i="107" s="1"/>
  <c r="J369" i="107" a="1"/>
  <c r="J369" i="107" s="1"/>
  <c r="H376" i="107" a="1"/>
  <c r="H376" i="107" s="1"/>
  <c r="H369" i="107" a="1"/>
  <c r="H369" i="107" s="1"/>
  <c r="H371" i="107" a="1"/>
  <c r="H371" i="107" s="1"/>
  <c r="K342" i="107" a="1"/>
  <c r="K342" i="107" s="1"/>
  <c r="K341" i="107" a="1"/>
  <c r="K341" i="107" s="1"/>
  <c r="E348" i="107" s="1"/>
  <c r="I469" i="107" a="1"/>
  <c r="I469" i="107" s="1"/>
  <c r="L337" i="107"/>
  <c r="L345" i="107"/>
  <c r="L340" i="107"/>
  <c r="H449" i="107" a="1"/>
  <c r="H449" i="107" s="1"/>
  <c r="H451" i="107" a="1"/>
  <c r="H451" i="107" s="1"/>
  <c r="H452" i="107" a="1"/>
  <c r="H452" i="107" s="1"/>
  <c r="J630" i="107" a="1"/>
  <c r="J630" i="107" s="1"/>
  <c r="J613" i="107" a="1"/>
  <c r="J613" i="107" s="1"/>
  <c r="J631" i="107" a="1"/>
  <c r="J631" i="107" s="1"/>
  <c r="J614" i="107" a="1"/>
  <c r="J614" i="107" s="1"/>
  <c r="J609" i="107" a="1"/>
  <c r="J609" i="107" s="1"/>
  <c r="J632" i="107" a="1"/>
  <c r="J632" i="107" s="1"/>
  <c r="R17" i="104"/>
  <c r="L17" i="104"/>
  <c r="R14" i="104"/>
  <c r="L14" i="104"/>
  <c r="L11" i="104"/>
  <c r="O11" i="104"/>
  <c r="O10" i="104"/>
  <c r="L13" i="104"/>
  <c r="O13" i="104"/>
  <c r="L16" i="104"/>
  <c r="E7" i="101"/>
  <c r="E7" i="100"/>
  <c r="E30" i="100"/>
  <c r="P48" i="100"/>
  <c r="F48" i="100"/>
  <c r="E7" i="99"/>
  <c r="N7" i="99"/>
  <c r="N26" i="99"/>
  <c r="F42" i="99"/>
  <c r="O43" i="99"/>
  <c r="E99" i="96"/>
  <c r="E7" i="96"/>
  <c r="F192" i="96"/>
  <c r="F151" i="96"/>
  <c r="E7" i="93"/>
  <c r="L8" i="93"/>
  <c r="F58" i="93"/>
  <c r="F49" i="93"/>
  <c r="F57" i="93"/>
  <c r="F46" i="93"/>
  <c r="F56" i="93"/>
  <c r="F45" i="93"/>
  <c r="F55" i="93"/>
  <c r="F44" i="93"/>
  <c r="F52" i="93"/>
  <c r="F43" i="93"/>
  <c r="F51" i="93"/>
  <c r="F50" i="93"/>
  <c r="D39" i="93"/>
  <c r="L39" i="93" s="1" a="1"/>
  <c r="L39" i="93" s="1"/>
  <c r="D42" i="93"/>
  <c r="D30" i="93"/>
  <c r="L30" i="93" s="1" a="1"/>
  <c r="L30" i="93" s="1"/>
  <c r="D37" i="93"/>
  <c r="D28" i="93"/>
  <c r="D35" i="93"/>
  <c r="D26" i="93"/>
  <c r="L26" i="93" s="1" a="1"/>
  <c r="L26" i="93" s="1"/>
  <c r="D33" i="93"/>
  <c r="L33" i="93" s="1" a="1"/>
  <c r="L33" i="93" s="1"/>
  <c r="D40" i="93"/>
  <c r="L40" i="93" s="1" a="1"/>
  <c r="L40" i="93" s="1"/>
  <c r="D31" i="93"/>
  <c r="L31" i="93" s="1" a="1"/>
  <c r="L31" i="93" s="1"/>
  <c r="D38" i="93"/>
  <c r="L38" i="93" s="1" a="1"/>
  <c r="L38" i="93" s="1"/>
  <c r="D48" i="93"/>
  <c r="E7" i="92"/>
  <c r="L7" i="92"/>
  <c r="O33" i="92" a="1"/>
  <c r="O33" i="92" s="1"/>
  <c r="E50" i="92" s="1"/>
  <c r="F43" i="92"/>
  <c r="F52" i="92"/>
  <c r="F62" i="92"/>
  <c r="F44" i="92"/>
  <c r="D54" i="92"/>
  <c r="D29" i="92"/>
  <c r="L29" i="92" s="1" a="1"/>
  <c r="L29" i="92" s="1"/>
  <c r="F63" i="92"/>
  <c r="F45" i="92"/>
  <c r="F55" i="92"/>
  <c r="F64" i="92"/>
  <c r="D28" i="92"/>
  <c r="L28" i="92" s="1" a="1"/>
  <c r="L28" i="92" s="1"/>
  <c r="F46" i="92"/>
  <c r="F56" i="92"/>
  <c r="D48" i="92"/>
  <c r="F67" i="92"/>
  <c r="D32" i="92"/>
  <c r="F57" i="92"/>
  <c r="D27" i="92"/>
  <c r="L27" i="92" s="1" a="1"/>
  <c r="L27" i="92" s="1"/>
  <c r="F49" i="92"/>
  <c r="F68" i="92"/>
  <c r="D36" i="92"/>
  <c r="L36" i="92" s="1" a="1"/>
  <c r="L36" i="92" s="1"/>
  <c r="F58" i="92"/>
  <c r="D31" i="92"/>
  <c r="L31" i="92" s="1" a="1"/>
  <c r="L31" i="92" s="1"/>
  <c r="F50" i="92"/>
  <c r="F69" i="92"/>
  <c r="D26" i="92"/>
  <c r="L26" i="92" s="1" a="1"/>
  <c r="L26" i="92" s="1"/>
  <c r="D42" i="92"/>
  <c r="F51" i="92"/>
  <c r="F61" i="92"/>
  <c r="I21" i="91"/>
  <c r="E18" i="89" a="1"/>
  <c r="E18" i="89" s="1"/>
  <c r="F111" i="85" a="1"/>
  <c r="F111" i="85" s="1"/>
  <c r="E143" i="85" s="1"/>
  <c r="I57" i="86"/>
  <c r="F107" i="85" a="1"/>
  <c r="F107" i="85" s="1"/>
  <c r="E139" i="85" s="1"/>
  <c r="E49" i="86"/>
  <c r="E7" i="86"/>
  <c r="F106" i="85" a="1"/>
  <c r="F106" i="85" s="1"/>
  <c r="E138" i="85" s="1"/>
  <c r="E43" i="85"/>
  <c r="E118" i="85"/>
  <c r="E7" i="85"/>
  <c r="E90" i="85"/>
  <c r="G59" i="85"/>
  <c r="E7" i="84"/>
  <c r="E38" i="83"/>
  <c r="E7" i="83"/>
  <c r="H48" i="79"/>
  <c r="I51" i="82" s="1"/>
  <c r="E7" i="82"/>
  <c r="E43" i="82"/>
  <c r="F58" i="82"/>
  <c r="N70" i="81"/>
  <c r="E7" i="81"/>
  <c r="E42" i="81"/>
  <c r="O108" i="81"/>
  <c r="F80" i="81"/>
  <c r="F60" i="81"/>
  <c r="D40" i="80"/>
  <c r="E22" i="75"/>
  <c r="H51" i="79"/>
  <c r="E19" i="75"/>
  <c r="H53" i="79"/>
  <c r="H50" i="79"/>
  <c r="I38" i="99" s="1"/>
  <c r="H54" i="79"/>
  <c r="H52" i="79"/>
  <c r="H49" i="79"/>
  <c r="I59" i="101" s="1"/>
  <c r="E8" i="76" a="1"/>
  <c r="E8" i="76" s="1"/>
  <c r="S81" i="81" s="1"/>
  <c r="E10" i="76" a="1"/>
  <c r="E10" i="76" s="1"/>
  <c r="E9" i="76" a="1"/>
  <c r="E9" i="76" s="1"/>
  <c r="X17" i="80" l="1"/>
  <c r="D19" i="81"/>
  <c r="F19" i="81" s="1" a="1"/>
  <c r="F19" i="81" s="1"/>
  <c r="F36" i="81" a="1"/>
  <c r="F36" i="81" s="1"/>
  <c r="F22" i="81" a="1"/>
  <c r="F22" i="81" s="1"/>
  <c r="F35" i="81" a="1"/>
  <c r="F35" i="81" s="1"/>
  <c r="F21" i="81" a="1"/>
  <c r="F21" i="81" s="1"/>
  <c r="F34" i="81" a="1"/>
  <c r="F34" i="81" s="1"/>
  <c r="F20" i="81" a="1"/>
  <c r="F20" i="81" s="1"/>
  <c r="F33" i="81" a="1"/>
  <c r="F33" i="81" s="1"/>
  <c r="F32" i="81" a="1"/>
  <c r="F32" i="81" s="1"/>
  <c r="F31" i="81" a="1"/>
  <c r="F31" i="81" s="1"/>
  <c r="F30" i="81" a="1"/>
  <c r="F30" i="81" s="1"/>
  <c r="F29" i="81" a="1"/>
  <c r="F29" i="81" s="1"/>
  <c r="F28" i="81" a="1"/>
  <c r="F28" i="81" s="1"/>
  <c r="F27" i="81" a="1"/>
  <c r="F27" i="81" s="1"/>
  <c r="F26" i="81" a="1"/>
  <c r="F26" i="81" s="1"/>
  <c r="F25" i="81" a="1"/>
  <c r="F25" i="81" s="1"/>
  <c r="F37" i="81" a="1"/>
  <c r="F37" i="81" s="1"/>
  <c r="F23" i="81" a="1"/>
  <c r="F23" i="81" s="1"/>
  <c r="F24" i="81" a="1"/>
  <c r="F24" i="81" s="1"/>
  <c r="J135" i="96" a="1"/>
  <c r="J135" i="96" s="1"/>
  <c r="J121" i="96" a="1"/>
  <c r="J121" i="96" s="1"/>
  <c r="J185" i="96" a="1"/>
  <c r="J185" i="96" s="1"/>
  <c r="J168" i="96" a="1"/>
  <c r="J168" i="96" s="1"/>
  <c r="V15" i="80"/>
  <c r="X15" i="80" s="1"/>
  <c r="J177" i="96" a="1"/>
  <c r="J177" i="96" s="1"/>
  <c r="AL221" i="107" a="1"/>
  <c r="AL221" i="107" s="1"/>
  <c r="AE246" i="107" a="1"/>
  <c r="AE246" i="107" s="1"/>
  <c r="W243" i="107" a="1"/>
  <c r="W243" i="107" s="1"/>
  <c r="AE239" i="107" a="1"/>
  <c r="AE239" i="107" s="1"/>
  <c r="W237" i="107" a="1"/>
  <c r="W237" i="107" s="1"/>
  <c r="AA246" i="107" a="1"/>
  <c r="AA246" i="107" s="1"/>
  <c r="S243" i="107" a="1"/>
  <c r="S243" i="107" s="1"/>
  <c r="AA239" i="107" a="1"/>
  <c r="AA239" i="107" s="1"/>
  <c r="H37" i="92" a="1"/>
  <c r="H37" i="92" s="1"/>
  <c r="Q17" i="99"/>
  <c r="I14" i="101"/>
  <c r="I14" i="99"/>
  <c r="E19" i="98"/>
  <c r="J161" i="96" a="1"/>
  <c r="J161" i="96" s="1"/>
  <c r="J138" i="96" a="1"/>
  <c r="J138" i="96" s="1"/>
  <c r="J133" i="96" a="1"/>
  <c r="J133" i="96" s="1"/>
  <c r="R57" i="99"/>
  <c r="V221" i="107" a="1"/>
  <c r="V221" i="107" s="1"/>
  <c r="AA242" i="107" a="1"/>
  <c r="AA242" i="107" s="1"/>
  <c r="H25" i="92" a="1"/>
  <c r="H25" i="92" s="1"/>
  <c r="J173" i="96" a="1"/>
  <c r="J173" i="96" s="1"/>
  <c r="J159" i="96" a="1"/>
  <c r="J159" i="96" s="1"/>
  <c r="S237" i="107" a="1"/>
  <c r="S237" i="107" s="1"/>
  <c r="K32" i="93"/>
  <c r="J32" i="93"/>
  <c r="I32" i="93"/>
  <c r="H32" i="93"/>
  <c r="G32" i="93"/>
  <c r="J53" i="85"/>
  <c r="J50" i="85" s="1"/>
  <c r="I128" i="85"/>
  <c r="I125" i="85" s="1"/>
  <c r="F140" i="85" s="1" a="1"/>
  <c r="F140" i="85" s="1"/>
  <c r="I18" i="86"/>
  <c r="I14" i="86" s="1"/>
  <c r="S83" i="81"/>
  <c r="S78" i="81" s="1" a="1"/>
  <c r="S78" i="81" s="1"/>
  <c r="I54" i="81"/>
  <c r="I50" i="81" s="1"/>
  <c r="I60" i="86"/>
  <c r="I56" i="86" s="1"/>
  <c r="H29" i="84" a="1"/>
  <c r="H29" i="84" s="1"/>
  <c r="G88" i="107" a="1"/>
  <c r="G88" i="107" s="1"/>
  <c r="V13" i="80"/>
  <c r="W240" i="107" a="1"/>
  <c r="W240" i="107" s="1"/>
  <c r="D59" i="96"/>
  <c r="G59" i="96" s="1" a="1"/>
  <c r="G59" i="96" s="1"/>
  <c r="G88" i="96" a="1"/>
  <c r="G88" i="96" s="1"/>
  <c r="G79" i="96" a="1"/>
  <c r="G79" i="96" s="1"/>
  <c r="G72" i="96" a="1"/>
  <c r="G72" i="96" s="1"/>
  <c r="G64" i="96" a="1"/>
  <c r="G64" i="96" s="1"/>
  <c r="G86" i="96" a="1"/>
  <c r="G86" i="96" s="1"/>
  <c r="G78" i="96" a="1"/>
  <c r="G78" i="96" s="1"/>
  <c r="G71" i="96" a="1"/>
  <c r="G71" i="96" s="1"/>
  <c r="G63" i="96" a="1"/>
  <c r="G63" i="96" s="1"/>
  <c r="G85" i="96" a="1"/>
  <c r="G85" i="96" s="1"/>
  <c r="G77" i="96" a="1"/>
  <c r="G77" i="96" s="1"/>
  <c r="G69" i="96" a="1"/>
  <c r="G69" i="96" s="1"/>
  <c r="G62" i="96" a="1"/>
  <c r="G62" i="96" s="1"/>
  <c r="G92" i="96" a="1"/>
  <c r="G92" i="96" s="1"/>
  <c r="G84" i="96" a="1"/>
  <c r="G84" i="96" s="1"/>
  <c r="G76" i="96" a="1"/>
  <c r="G76" i="96" s="1"/>
  <c r="G68" i="96" a="1"/>
  <c r="G68" i="96" s="1"/>
  <c r="G61" i="96" a="1"/>
  <c r="G61" i="96" s="1"/>
  <c r="G91" i="96" a="1"/>
  <c r="G91" i="96" s="1"/>
  <c r="G83" i="96" a="1"/>
  <c r="G83" i="96" s="1"/>
  <c r="G75" i="96" a="1"/>
  <c r="G75" i="96" s="1"/>
  <c r="G67" i="96" a="1"/>
  <c r="G67" i="96" s="1"/>
  <c r="G60" i="96" a="1"/>
  <c r="G60" i="96" s="1"/>
  <c r="G90" i="96" a="1"/>
  <c r="G90" i="96" s="1"/>
  <c r="G82" i="96" a="1"/>
  <c r="G82" i="96" s="1"/>
  <c r="G74" i="96" a="1"/>
  <c r="G74" i="96" s="1"/>
  <c r="G66" i="96" a="1"/>
  <c r="G66" i="96" s="1"/>
  <c r="G89" i="96" a="1"/>
  <c r="G89" i="96" s="1"/>
  <c r="G80" i="96" a="1"/>
  <c r="G80" i="96" s="1"/>
  <c r="G73" i="96" a="1"/>
  <c r="G73" i="96" s="1"/>
  <c r="G65" i="96" a="1"/>
  <c r="G65" i="96" s="1"/>
  <c r="H370" i="107" a="1"/>
  <c r="H370" i="107" s="1"/>
  <c r="J25" i="107" a="1"/>
  <c r="J25" i="107" s="1"/>
  <c r="G85" i="107" a="1"/>
  <c r="G85" i="107" s="1"/>
  <c r="S239" i="107" a="1"/>
  <c r="S239" i="107" s="1"/>
  <c r="AA241" i="107" a="1"/>
  <c r="AA241" i="107" s="1"/>
  <c r="AA243" i="107" a="1"/>
  <c r="AA243" i="107" s="1"/>
  <c r="X13" i="80"/>
  <c r="V21" i="80"/>
  <c r="X21" i="80" s="1"/>
  <c r="H26" i="92" a="1"/>
  <c r="H26" i="92" s="1"/>
  <c r="J117" i="96" a="1"/>
  <c r="J117" i="96" s="1"/>
  <c r="J126" i="96" a="1"/>
  <c r="J126" i="96" s="1"/>
  <c r="J166" i="96" a="1"/>
  <c r="J166" i="96" s="1"/>
  <c r="K29" i="93"/>
  <c r="J29" i="93"/>
  <c r="I29" i="93"/>
  <c r="H29" i="93"/>
  <c r="G29" i="93"/>
  <c r="J25" i="93"/>
  <c r="I25" i="93"/>
  <c r="H25" i="93"/>
  <c r="G25" i="93"/>
  <c r="K25" i="93"/>
  <c r="J51" i="85"/>
  <c r="K38" i="93"/>
  <c r="J38" i="93"/>
  <c r="I38" i="93"/>
  <c r="H38" i="93"/>
  <c r="G38" i="93"/>
  <c r="Y221" i="107" a="1"/>
  <c r="S245" i="107" a="1"/>
  <c r="S245" i="107" s="1"/>
  <c r="V17" i="80"/>
  <c r="J119" i="96" a="1"/>
  <c r="J119" i="96" s="1"/>
  <c r="P33" i="92" a="1"/>
  <c r="P33" i="92" s="1"/>
  <c r="E51" i="92" s="1"/>
  <c r="I480" i="107" a="1"/>
  <c r="I480" i="107" s="1"/>
  <c r="E484" i="107" s="1"/>
  <c r="G84" i="107" a="1"/>
  <c r="G84" i="107" s="1"/>
  <c r="AE245" i="107" a="1"/>
  <c r="AE245" i="107" s="1"/>
  <c r="S238" i="107" a="1"/>
  <c r="S238" i="107" s="1"/>
  <c r="S240" i="107" a="1"/>
  <c r="S240" i="107" s="1"/>
  <c r="U221" i="107" a="1"/>
  <c r="AK221" i="107" a="1"/>
  <c r="J124" i="96" a="1"/>
  <c r="J124" i="96" s="1"/>
  <c r="J178" i="96" a="1"/>
  <c r="J178" i="96" s="1"/>
  <c r="H36" i="93"/>
  <c r="G36" i="93"/>
  <c r="K36" i="93"/>
  <c r="J36" i="93"/>
  <c r="I36" i="93"/>
  <c r="S79" i="81"/>
  <c r="K31" i="93"/>
  <c r="J31" i="93"/>
  <c r="I31" i="93"/>
  <c r="H31" i="93"/>
  <c r="G31" i="93"/>
  <c r="K37" i="93"/>
  <c r="J37" i="93"/>
  <c r="I37" i="93"/>
  <c r="H37" i="93"/>
  <c r="G37" i="93"/>
  <c r="AE244" i="107" a="1"/>
  <c r="AE244" i="107" s="1"/>
  <c r="AH221" i="107" a="1"/>
  <c r="AH221" i="107" s="1"/>
  <c r="K34" i="93"/>
  <c r="J34" i="93"/>
  <c r="I34" i="93"/>
  <c r="H34" i="93"/>
  <c r="G34" i="93"/>
  <c r="J38" i="100"/>
  <c r="K26" i="93"/>
  <c r="J26" i="93"/>
  <c r="I26" i="93"/>
  <c r="H26" i="93"/>
  <c r="G26" i="93"/>
  <c r="G30" i="93"/>
  <c r="K30" i="93"/>
  <c r="J30" i="93"/>
  <c r="I30" i="93"/>
  <c r="H30" i="93"/>
  <c r="H455" i="107" a="1"/>
  <c r="H455" i="107" s="1"/>
  <c r="J87" i="107" a="1"/>
  <c r="J87" i="107" s="1"/>
  <c r="H373" i="107" a="1"/>
  <c r="H373" i="107" s="1"/>
  <c r="G87" i="107" a="1"/>
  <c r="G87" i="107" s="1"/>
  <c r="G83" i="107" a="1"/>
  <c r="G83" i="107" s="1"/>
  <c r="AE238" i="107" a="1"/>
  <c r="AE238" i="107" s="1"/>
  <c r="W241" i="107" a="1"/>
  <c r="W241" i="107" s="1"/>
  <c r="W246" i="107" a="1"/>
  <c r="W246" i="107" s="1"/>
  <c r="P221" i="107" a="1"/>
  <c r="P221" i="107" s="1"/>
  <c r="O55" i="81" a="1"/>
  <c r="K26" i="92" a="1"/>
  <c r="K26" i="92" s="1"/>
  <c r="I37" i="92" a="1"/>
  <c r="I37" i="92" s="1"/>
  <c r="J176" i="96" a="1"/>
  <c r="J176" i="96" s="1"/>
  <c r="J136" i="96" a="1"/>
  <c r="J136" i="96" s="1"/>
  <c r="J122" i="96" a="1"/>
  <c r="J122" i="96" s="1"/>
  <c r="K27" i="93"/>
  <c r="Q27" i="93" s="1" a="1"/>
  <c r="Q27" i="93" s="1"/>
  <c r="J27" i="93"/>
  <c r="I27" i="93"/>
  <c r="O27" i="93" s="1" a="1"/>
  <c r="O27" i="93" s="1"/>
  <c r="H27" i="93"/>
  <c r="G27" i="93"/>
  <c r="J92" i="86"/>
  <c r="G33" i="93"/>
  <c r="K33" i="93"/>
  <c r="Q33" i="93" s="1" a="1"/>
  <c r="Q33" i="93" s="1"/>
  <c r="J33" i="93"/>
  <c r="I33" i="93"/>
  <c r="H33" i="93"/>
  <c r="G86" i="107" a="1"/>
  <c r="G86" i="107" s="1"/>
  <c r="J175" i="96" a="1"/>
  <c r="J175" i="96" s="1"/>
  <c r="G80" i="107" a="1"/>
  <c r="G80" i="107" s="1"/>
  <c r="R221" i="107" a="1"/>
  <c r="R221" i="107" s="1"/>
  <c r="D19" i="85"/>
  <c r="F19" i="85" s="1" a="1"/>
  <c r="F19" i="85" s="1"/>
  <c r="G19" i="85" s="1" a="1"/>
  <c r="G19" i="85" s="1"/>
  <c r="F33" i="85" a="1"/>
  <c r="F33" i="85" s="1"/>
  <c r="G33" i="85" s="1" a="1"/>
  <c r="G33" i="85" s="1"/>
  <c r="F26" i="85" a="1"/>
  <c r="F26" i="85" s="1"/>
  <c r="G26" i="85" s="1" a="1"/>
  <c r="G26" i="85" s="1"/>
  <c r="F32" i="85" a="1"/>
  <c r="F32" i="85" s="1"/>
  <c r="G32" i="85" s="1" a="1"/>
  <c r="G32" i="85" s="1"/>
  <c r="F25" i="85" a="1"/>
  <c r="F25" i="85" s="1"/>
  <c r="G25" i="85" s="1" a="1"/>
  <c r="G25" i="85" s="1"/>
  <c r="F31" i="85" a="1"/>
  <c r="F31" i="85" s="1"/>
  <c r="G31" i="85" s="1" a="1"/>
  <c r="G31" i="85" s="1"/>
  <c r="F24" i="85" a="1"/>
  <c r="F24" i="85" s="1"/>
  <c r="G24" i="85" s="1" a="1"/>
  <c r="G24" i="85" s="1"/>
  <c r="F37" i="85" a="1"/>
  <c r="F37" i="85" s="1"/>
  <c r="G37" i="85" s="1" a="1"/>
  <c r="G37" i="85" s="1"/>
  <c r="F30" i="85" a="1"/>
  <c r="F30" i="85" s="1"/>
  <c r="G30" i="85" s="1" a="1"/>
  <c r="G30" i="85" s="1"/>
  <c r="F23" i="85" a="1"/>
  <c r="F23" i="85" s="1"/>
  <c r="G23" i="85" s="1" a="1"/>
  <c r="G23" i="85" s="1"/>
  <c r="F36" i="85" a="1"/>
  <c r="F36" i="85" s="1"/>
  <c r="G36" i="85" s="1" a="1"/>
  <c r="G36" i="85" s="1"/>
  <c r="F29" i="85" a="1"/>
  <c r="F29" i="85" s="1"/>
  <c r="G29" i="85" s="1" a="1"/>
  <c r="G29" i="85" s="1"/>
  <c r="F22" i="85" a="1"/>
  <c r="F22" i="85" s="1"/>
  <c r="G22" i="85" s="1" a="1"/>
  <c r="G22" i="85" s="1"/>
  <c r="F35" i="85" a="1"/>
  <c r="F35" i="85" s="1"/>
  <c r="G35" i="85" s="1" a="1"/>
  <c r="G35" i="85" s="1"/>
  <c r="F28" i="85" a="1"/>
  <c r="F28" i="85" s="1"/>
  <c r="G28" i="85" s="1" a="1"/>
  <c r="G28" i="85" s="1"/>
  <c r="F21" i="85" a="1"/>
  <c r="F21" i="85" s="1"/>
  <c r="G21" i="85" s="1" a="1"/>
  <c r="G21" i="85" s="1"/>
  <c r="F34" i="85" a="1"/>
  <c r="F34" i="85" s="1"/>
  <c r="G34" i="85" s="1" a="1"/>
  <c r="G34" i="85" s="1"/>
  <c r="F27" i="85" a="1"/>
  <c r="F27" i="85" s="1"/>
  <c r="G27" i="85" s="1" a="1"/>
  <c r="G27" i="85" s="1"/>
  <c r="F20" i="85" a="1"/>
  <c r="F20" i="85" s="1"/>
  <c r="G20" i="85" s="1" a="1"/>
  <c r="G20" i="85" s="1"/>
  <c r="J25" i="92" a="1"/>
  <c r="J25" i="92" s="1"/>
  <c r="J144" i="96" a="1"/>
  <c r="J144" i="96" s="1"/>
  <c r="J164" i="96" a="1"/>
  <c r="J164" i="96" s="1"/>
  <c r="AG221" i="107" a="1"/>
  <c r="I25" i="92" a="1"/>
  <c r="I25" i="92" s="1"/>
  <c r="J134" i="96" a="1"/>
  <c r="J134" i="96" s="1"/>
  <c r="J162" i="96" a="1"/>
  <c r="J162" i="96" s="1"/>
  <c r="J174" i="96" a="1"/>
  <c r="J174" i="96" s="1"/>
  <c r="K46" i="83"/>
  <c r="J15" i="108"/>
  <c r="E21" i="101" a="1"/>
  <c r="E21" i="101" s="1"/>
  <c r="I56" i="101" s="1"/>
  <c r="E62" i="101" s="1" a="1"/>
  <c r="E62" i="101" s="1"/>
  <c r="H64" i="101" s="1"/>
  <c r="E67" i="101" s="1" a="1"/>
  <c r="E67" i="101" s="1"/>
  <c r="J163" i="96" a="1"/>
  <c r="J163" i="96" s="1"/>
  <c r="V19" i="80"/>
  <c r="X19" i="80" s="1"/>
  <c r="S84" i="81"/>
  <c r="I129" i="85"/>
  <c r="I55" i="81"/>
  <c r="J54" i="85"/>
  <c r="I53" i="108"/>
  <c r="W242" i="107" a="1"/>
  <c r="W242" i="107" s="1"/>
  <c r="J127" i="96" a="1"/>
  <c r="J127" i="96" s="1"/>
  <c r="Q221" i="107" a="1"/>
  <c r="V12" i="80"/>
  <c r="X12" i="80"/>
  <c r="G82" i="107" a="1"/>
  <c r="G82" i="107" s="1"/>
  <c r="J88" i="107" a="1"/>
  <c r="J88" i="107" s="1"/>
  <c r="J86" i="107" a="1"/>
  <c r="J86" i="107" s="1"/>
  <c r="AA244" i="107" a="1"/>
  <c r="AA244" i="107" s="1"/>
  <c r="W239" i="107" a="1"/>
  <c r="W239" i="107" s="1"/>
  <c r="O221" i="107" a="1"/>
  <c r="O221" i="107" s="1"/>
  <c r="V16" i="80"/>
  <c r="X16" i="80" s="1"/>
  <c r="AD221" i="107" a="1"/>
  <c r="AD221" i="107" s="1"/>
  <c r="D19" i="82"/>
  <c r="F19" i="82" s="1" a="1"/>
  <c r="F19" i="82" s="1"/>
  <c r="F29" i="82" a="1"/>
  <c r="F29" i="82" s="1"/>
  <c r="F28" i="82" a="1"/>
  <c r="F28" i="82" s="1"/>
  <c r="F27" i="82" a="1"/>
  <c r="F27" i="82" s="1"/>
  <c r="F26" i="82" a="1"/>
  <c r="F26" i="82" s="1"/>
  <c r="F25" i="82" a="1"/>
  <c r="F25" i="82" s="1"/>
  <c r="F24" i="82" a="1"/>
  <c r="F24" i="82" s="1"/>
  <c r="F37" i="82" a="1"/>
  <c r="F37" i="82" s="1"/>
  <c r="F23" i="82" a="1"/>
  <c r="F23" i="82" s="1"/>
  <c r="F36" i="82" a="1"/>
  <c r="F36" i="82" s="1"/>
  <c r="F22" i="82" a="1"/>
  <c r="F22" i="82" s="1"/>
  <c r="F35" i="82" a="1"/>
  <c r="F35" i="82" s="1"/>
  <c r="F21" i="82" a="1"/>
  <c r="F21" i="82" s="1"/>
  <c r="F34" i="82" a="1"/>
  <c r="F34" i="82" s="1"/>
  <c r="F20" i="82" a="1"/>
  <c r="F20" i="82" s="1"/>
  <c r="F33" i="82" a="1"/>
  <c r="F33" i="82" s="1"/>
  <c r="F32" i="82" a="1"/>
  <c r="F32" i="82" s="1"/>
  <c r="F30" i="82" a="1"/>
  <c r="F30" i="82" s="1"/>
  <c r="F31" i="82" a="1"/>
  <c r="F31" i="82" s="1"/>
  <c r="J160" i="96" a="1"/>
  <c r="J160" i="96" s="1"/>
  <c r="J179" i="96" a="1"/>
  <c r="J179" i="96" s="1"/>
  <c r="J132" i="96" a="1"/>
  <c r="J132" i="96" s="1"/>
  <c r="J88" i="108"/>
  <c r="E90" i="108" s="1" a="1"/>
  <c r="E90" i="108" s="1"/>
  <c r="J571" i="107" s="1"/>
  <c r="I50" i="108"/>
  <c r="O55" i="108" s="1" a="1"/>
  <c r="O55" i="108" s="1"/>
  <c r="R570" i="107" s="1"/>
  <c r="AE242" i="107" a="1"/>
  <c r="AE242" i="107" s="1"/>
  <c r="J84" i="107" a="1"/>
  <c r="J84" i="107" s="1"/>
  <c r="G81" i="107" a="1"/>
  <c r="G81" i="107" s="1"/>
  <c r="AA245" i="107" a="1"/>
  <c r="AA245" i="107" s="1"/>
  <c r="S241" i="107" a="1"/>
  <c r="S241" i="107" s="1"/>
  <c r="V20" i="80"/>
  <c r="X20" i="80" s="1"/>
  <c r="V14" i="80"/>
  <c r="J167" i="96" a="1"/>
  <c r="J167" i="96" s="1"/>
  <c r="D21" i="96"/>
  <c r="G186" i="96" a="1"/>
  <c r="G186" i="96" s="1"/>
  <c r="G176" i="96" a="1"/>
  <c r="G176" i="96" s="1"/>
  <c r="G143" i="96" a="1"/>
  <c r="G143" i="96" s="1"/>
  <c r="G124" i="96" a="1"/>
  <c r="G124" i="96" s="1"/>
  <c r="G117" i="96" a="1"/>
  <c r="G117" i="96" s="1"/>
  <c r="G166" i="96" a="1"/>
  <c r="G166" i="96" s="1"/>
  <c r="G159" i="96" a="1"/>
  <c r="G159" i="96" s="1"/>
  <c r="G142" i="96" a="1"/>
  <c r="G142" i="96" s="1"/>
  <c r="G133" i="96" a="1"/>
  <c r="G133" i="96" s="1"/>
  <c r="G54" i="96" a="1"/>
  <c r="G54" i="96" s="1"/>
  <c r="G46" i="96" a="1"/>
  <c r="G46" i="96" s="1"/>
  <c r="G38" i="96" a="1"/>
  <c r="G38" i="96" s="1"/>
  <c r="G30" i="96" a="1"/>
  <c r="G30" i="96" s="1"/>
  <c r="G23" i="96" a="1"/>
  <c r="G23" i="96" s="1"/>
  <c r="G184" i="96" a="1"/>
  <c r="G184" i="96" s="1"/>
  <c r="G175" i="96" a="1"/>
  <c r="G175" i="96" s="1"/>
  <c r="G141" i="96" a="1"/>
  <c r="G141" i="96" s="1"/>
  <c r="G123" i="96" a="1"/>
  <c r="G123" i="96" s="1"/>
  <c r="G183" i="96" a="1"/>
  <c r="G183" i="96" s="1"/>
  <c r="G165" i="96" a="1"/>
  <c r="G165" i="96" s="1"/>
  <c r="G158" i="96" a="1"/>
  <c r="G158" i="96" s="1"/>
  <c r="G140" i="96" a="1"/>
  <c r="G140" i="96" s="1"/>
  <c r="G132" i="96" a="1"/>
  <c r="G132" i="96" s="1"/>
  <c r="G53" i="96" a="1"/>
  <c r="G53" i="96" s="1"/>
  <c r="G45" i="96" a="1"/>
  <c r="G45" i="96" s="1"/>
  <c r="G37" i="96" a="1"/>
  <c r="G37" i="96" s="1"/>
  <c r="G29" i="96" a="1"/>
  <c r="G29" i="96" s="1"/>
  <c r="G22" i="96" a="1"/>
  <c r="G22" i="96" s="1"/>
  <c r="G182" i="96" a="1"/>
  <c r="G182" i="96" s="1"/>
  <c r="G174" i="96" a="1"/>
  <c r="G174" i="96" s="1"/>
  <c r="G139" i="96" a="1"/>
  <c r="G139" i="96" s="1"/>
  <c r="G131" i="96" a="1"/>
  <c r="G131" i="96" s="1"/>
  <c r="G122" i="96" a="1"/>
  <c r="G122" i="96" s="1"/>
  <c r="G181" i="96" a="1"/>
  <c r="G181" i="96" s="1"/>
  <c r="G164" i="96" a="1"/>
  <c r="G164" i="96" s="1"/>
  <c r="G130" i="96" a="1"/>
  <c r="G130" i="96" s="1"/>
  <c r="G52" i="96" a="1"/>
  <c r="G52" i="96" s="1"/>
  <c r="G44" i="96" a="1"/>
  <c r="G44" i="96" s="1"/>
  <c r="G36" i="96" a="1"/>
  <c r="G36" i="96" s="1"/>
  <c r="G28" i="96" a="1"/>
  <c r="G28" i="96" s="1"/>
  <c r="G173" i="96" a="1"/>
  <c r="G173" i="96" s="1"/>
  <c r="G129" i="96" a="1"/>
  <c r="G129" i="96" s="1"/>
  <c r="G121" i="96" a="1"/>
  <c r="G121" i="96" s="1"/>
  <c r="G180" i="96" a="1"/>
  <c r="G180" i="96" s="1"/>
  <c r="G172" i="96" a="1"/>
  <c r="G172" i="96" s="1"/>
  <c r="G163" i="96" a="1"/>
  <c r="G163" i="96" s="1"/>
  <c r="G137" i="96" a="1"/>
  <c r="G137" i="96" s="1"/>
  <c r="G128" i="96" a="1"/>
  <c r="G128" i="96" s="1"/>
  <c r="G51" i="96" a="1"/>
  <c r="G51" i="96" s="1"/>
  <c r="I51" i="96" s="1" a="1"/>
  <c r="I51" i="96" s="1"/>
  <c r="H146" i="96" s="1"/>
  <c r="G42" i="96" a="1"/>
  <c r="G42" i="96" s="1"/>
  <c r="G35" i="96" a="1"/>
  <c r="G35" i="96" s="1"/>
  <c r="G27" i="96" a="1"/>
  <c r="G27" i="96" s="1"/>
  <c r="G171" i="96" a="1"/>
  <c r="G171" i="96" s="1"/>
  <c r="G149" i="96" a="1"/>
  <c r="G149" i="96" s="1"/>
  <c r="G120" i="96" a="1"/>
  <c r="G120" i="96" s="1"/>
  <c r="G170" i="96" a="1"/>
  <c r="G170" i="96" s="1"/>
  <c r="G162" i="96" a="1"/>
  <c r="G162" i="96" s="1"/>
  <c r="G148" i="96" a="1"/>
  <c r="G148" i="96" s="1"/>
  <c r="G136" i="96" a="1"/>
  <c r="G136" i="96" s="1"/>
  <c r="G50" i="96" a="1"/>
  <c r="G50" i="96" s="1"/>
  <c r="G41" i="96" a="1"/>
  <c r="G41" i="96" s="1"/>
  <c r="G34" i="96" a="1"/>
  <c r="G34" i="96" s="1"/>
  <c r="G26" i="96" a="1"/>
  <c r="G26" i="96" s="1"/>
  <c r="G190" i="96" a="1"/>
  <c r="G190" i="96" s="1"/>
  <c r="G178" i="96" a="1"/>
  <c r="G178" i="96" s="1"/>
  <c r="G169" i="96" a="1"/>
  <c r="G169" i="96" s="1"/>
  <c r="G147" i="96" a="1"/>
  <c r="G147" i="96" s="1"/>
  <c r="G126" i="96" a="1"/>
  <c r="G126" i="96" s="1"/>
  <c r="G119" i="96" a="1"/>
  <c r="G119" i="96" s="1"/>
  <c r="G189" i="96" a="1"/>
  <c r="G189" i="96" s="1"/>
  <c r="G161" i="96" a="1"/>
  <c r="G161" i="96" s="1"/>
  <c r="G146" i="96" a="1"/>
  <c r="G146" i="96" s="1"/>
  <c r="G135" i="96" a="1"/>
  <c r="G135" i="96" s="1"/>
  <c r="G48" i="96" a="1"/>
  <c r="G48" i="96" s="1"/>
  <c r="G40" i="96" a="1"/>
  <c r="G40" i="96" s="1"/>
  <c r="I40" i="96" s="1" a="1"/>
  <c r="I40" i="96" s="1"/>
  <c r="H135" i="96" s="1"/>
  <c r="I135" i="96" s="1"/>
  <c r="K135" i="96" s="1" a="1"/>
  <c r="K135" i="96" s="1"/>
  <c r="G33" i="96" a="1"/>
  <c r="G33" i="96" s="1"/>
  <c r="G25" i="96" a="1"/>
  <c r="G25" i="96" s="1"/>
  <c r="G188" i="96" a="1"/>
  <c r="G188" i="96" s="1"/>
  <c r="G177" i="96" a="1"/>
  <c r="G177" i="96" s="1"/>
  <c r="G145" i="96" a="1"/>
  <c r="G145" i="96" s="1"/>
  <c r="G125" i="96" a="1"/>
  <c r="G125" i="96" s="1"/>
  <c r="G118" i="96" a="1"/>
  <c r="G118" i="96" s="1"/>
  <c r="G187" i="96" a="1"/>
  <c r="G187" i="96" s="1"/>
  <c r="G167" i="96" a="1"/>
  <c r="G167" i="96" s="1"/>
  <c r="G160" i="96" a="1"/>
  <c r="G160" i="96" s="1"/>
  <c r="G134" i="96" a="1"/>
  <c r="G134" i="96" s="1"/>
  <c r="G47" i="96" a="1"/>
  <c r="G47" i="96" s="1"/>
  <c r="G39" i="96" a="1"/>
  <c r="G39" i="96" s="1"/>
  <c r="G31" i="96" a="1"/>
  <c r="G31" i="96" s="1"/>
  <c r="I31" i="96" s="1" a="1"/>
  <c r="I31" i="96" s="1"/>
  <c r="H126" i="96" s="1"/>
  <c r="I126" i="96" s="1"/>
  <c r="K126" i="96" s="1" a="1"/>
  <c r="K126" i="96" s="1"/>
  <c r="G24" i="96" a="1"/>
  <c r="G24" i="96" s="1"/>
  <c r="J158" i="96" a="1"/>
  <c r="J158" i="96" s="1"/>
  <c r="I36" i="101"/>
  <c r="AE237" i="107" a="1"/>
  <c r="AE237" i="107" s="1"/>
  <c r="D270" i="107"/>
  <c r="F281" i="107" a="1"/>
  <c r="F281" i="107" s="1"/>
  <c r="F274" i="107" a="1"/>
  <c r="F274" i="107" s="1"/>
  <c r="E281" i="107"/>
  <c r="I281" i="107" s="1" a="1"/>
  <c r="I281" i="107" s="1"/>
  <c r="E274" i="107"/>
  <c r="F280" i="107" a="1"/>
  <c r="F280" i="107" s="1"/>
  <c r="F273" i="107" a="1"/>
  <c r="F273" i="107" s="1"/>
  <c r="G273" i="107" s="1" a="1"/>
  <c r="G273" i="107" s="1"/>
  <c r="E280" i="107"/>
  <c r="E273" i="107"/>
  <c r="F279" i="107" a="1"/>
  <c r="F279" i="107" s="1"/>
  <c r="I279" i="107" s="1" a="1"/>
  <c r="I279" i="107" s="1"/>
  <c r="F272" i="107" a="1"/>
  <c r="F272" i="107" s="1"/>
  <c r="E279" i="107"/>
  <c r="E272" i="107"/>
  <c r="G272" i="107" s="1" a="1"/>
  <c r="G272" i="107" s="1"/>
  <c r="F278" i="107" a="1"/>
  <c r="F278" i="107" s="1"/>
  <c r="F271" i="107" a="1"/>
  <c r="F271" i="107" s="1"/>
  <c r="E278" i="107"/>
  <c r="E271" i="107"/>
  <c r="F277" i="107" a="1"/>
  <c r="F277" i="107" s="1"/>
  <c r="G277" i="107" s="1" a="1"/>
  <c r="G277" i="107" s="1"/>
  <c r="E277" i="107"/>
  <c r="F276" i="107" a="1"/>
  <c r="F276" i="107" s="1"/>
  <c r="E276" i="107"/>
  <c r="I276" i="107" s="1" a="1"/>
  <c r="I276" i="107" s="1"/>
  <c r="F275" i="107" a="1"/>
  <c r="F275" i="107" s="1"/>
  <c r="E275" i="107"/>
  <c r="J83" i="107" a="1"/>
  <c r="J83" i="107" s="1"/>
  <c r="S242" i="107" a="1"/>
  <c r="S242" i="107" s="1"/>
  <c r="W244" i="107" a="1"/>
  <c r="W244" i="107" s="1"/>
  <c r="V18" i="80"/>
  <c r="X18" i="80" s="1"/>
  <c r="E59" i="96"/>
  <c r="H59" i="96" s="1" a="1"/>
  <c r="H59" i="96" s="1"/>
  <c r="H79" i="96" a="1"/>
  <c r="H79" i="96" s="1"/>
  <c r="H72" i="96" a="1"/>
  <c r="H72" i="96" s="1"/>
  <c r="H64" i="96" a="1"/>
  <c r="H64" i="96" s="1"/>
  <c r="H86" i="96" a="1"/>
  <c r="H86" i="96" s="1"/>
  <c r="H78" i="96" a="1"/>
  <c r="H78" i="96" s="1"/>
  <c r="H71" i="96" a="1"/>
  <c r="H71" i="96" s="1"/>
  <c r="H63" i="96" a="1"/>
  <c r="H63" i="96" s="1"/>
  <c r="H85" i="96" a="1"/>
  <c r="H85" i="96" s="1"/>
  <c r="H77" i="96" a="1"/>
  <c r="H77" i="96" s="1"/>
  <c r="H69" i="96" a="1"/>
  <c r="H69" i="96" s="1"/>
  <c r="H62" i="96" a="1"/>
  <c r="H62" i="96" s="1"/>
  <c r="H92" i="96" a="1"/>
  <c r="H92" i="96" s="1"/>
  <c r="H84" i="96" a="1"/>
  <c r="H84" i="96" s="1"/>
  <c r="H76" i="96" a="1"/>
  <c r="H76" i="96" s="1"/>
  <c r="H68" i="96" a="1"/>
  <c r="H68" i="96" s="1"/>
  <c r="H61" i="96" a="1"/>
  <c r="H61" i="96" s="1"/>
  <c r="H91" i="96" a="1"/>
  <c r="H91" i="96" s="1"/>
  <c r="H83" i="96" a="1"/>
  <c r="H83" i="96" s="1"/>
  <c r="I83" i="96" s="1" a="1"/>
  <c r="I83" i="96" s="1"/>
  <c r="H181" i="96" s="1"/>
  <c r="H75" i="96" a="1"/>
  <c r="H75" i="96" s="1"/>
  <c r="H67" i="96" a="1"/>
  <c r="H67" i="96" s="1"/>
  <c r="H60" i="96" a="1"/>
  <c r="H60" i="96" s="1"/>
  <c r="H90" i="96" a="1"/>
  <c r="H90" i="96" s="1"/>
  <c r="H82" i="96" a="1"/>
  <c r="H82" i="96" s="1"/>
  <c r="H74" i="96" a="1"/>
  <c r="H74" i="96" s="1"/>
  <c r="H66" i="96" a="1"/>
  <c r="H66" i="96" s="1"/>
  <c r="H89" i="96" a="1"/>
  <c r="H89" i="96" s="1"/>
  <c r="H80" i="96" a="1"/>
  <c r="H80" i="96" s="1"/>
  <c r="I80" i="96" s="1" a="1"/>
  <c r="I80" i="96" s="1"/>
  <c r="H178" i="96" s="1"/>
  <c r="I178" i="96" s="1"/>
  <c r="K178" i="96" s="1" a="1"/>
  <c r="K178" i="96" s="1"/>
  <c r="H73" i="96" a="1"/>
  <c r="H73" i="96" s="1"/>
  <c r="H65" i="96" a="1"/>
  <c r="H65" i="96" s="1"/>
  <c r="H88" i="96" a="1"/>
  <c r="H88" i="96" s="1"/>
  <c r="G37" i="92" a="1"/>
  <c r="G37" i="92" s="1"/>
  <c r="J118" i="96" a="1"/>
  <c r="J118" i="96" s="1"/>
  <c r="J120" i="96" a="1"/>
  <c r="J120" i="96" s="1"/>
  <c r="J165" i="96" a="1"/>
  <c r="J165" i="96" s="1"/>
  <c r="I51" i="81"/>
  <c r="K35" i="93"/>
  <c r="J35" i="93"/>
  <c r="I35" i="93"/>
  <c r="H35" i="93"/>
  <c r="G35" i="93"/>
  <c r="F27" i="80"/>
  <c r="G27" i="80" s="1"/>
  <c r="F42" i="80"/>
  <c r="G42" i="80" s="1"/>
  <c r="G18" i="80"/>
  <c r="I18" i="80" s="1"/>
  <c r="G17" i="80"/>
  <c r="I17" i="80" s="1"/>
  <c r="G16" i="80"/>
  <c r="I16" i="80" s="1"/>
  <c r="H56" i="80"/>
  <c r="F32" i="80"/>
  <c r="G32" i="80" s="1"/>
  <c r="G15" i="80"/>
  <c r="I15" i="80" s="1"/>
  <c r="F26" i="80"/>
  <c r="G26" i="80" s="1"/>
  <c r="F43" i="80"/>
  <c r="G43" i="80" s="1"/>
  <c r="G20" i="80"/>
  <c r="I20" i="80" s="1"/>
  <c r="F34" i="80"/>
  <c r="G34" i="80" s="1"/>
  <c r="F33" i="80"/>
  <c r="G33" i="80" s="1"/>
  <c r="F29" i="80"/>
  <c r="G29" i="80" s="1"/>
  <c r="G12" i="80"/>
  <c r="P45" i="81" s="1" a="1"/>
  <c r="P45" i="81" s="1"/>
  <c r="F44" i="80"/>
  <c r="G44" i="80" s="1"/>
  <c r="F25" i="80"/>
  <c r="G21" i="80"/>
  <c r="I21" i="80" s="1"/>
  <c r="G19" i="80"/>
  <c r="I19" i="80" s="1"/>
  <c r="F31" i="80"/>
  <c r="G31" i="80" s="1"/>
  <c r="G14" i="80"/>
  <c r="I14" i="80" s="1"/>
  <c r="H55" i="80"/>
  <c r="F30" i="80"/>
  <c r="G30" i="80" s="1"/>
  <c r="G13" i="80"/>
  <c r="I13" i="80" s="1"/>
  <c r="H54" i="80"/>
  <c r="F28" i="80"/>
  <c r="G28" i="80" s="1"/>
  <c r="J81" i="107" a="1"/>
  <c r="J81" i="107" s="1"/>
  <c r="AA238" i="107" a="1"/>
  <c r="AA238" i="107" s="1"/>
  <c r="AE240" i="107" a="1"/>
  <c r="AE240" i="107" s="1"/>
  <c r="F240" i="107" s="1" a="1"/>
  <c r="F240" i="107" s="1"/>
  <c r="AC221" i="107" a="1"/>
  <c r="E21" i="96"/>
  <c r="H21" i="96" s="1" a="1"/>
  <c r="H21" i="96" s="1"/>
  <c r="H54" i="96" a="1"/>
  <c r="H54" i="96" s="1"/>
  <c r="H46" i="96" a="1"/>
  <c r="H46" i="96" s="1"/>
  <c r="H38" i="96" a="1"/>
  <c r="H38" i="96" s="1"/>
  <c r="I38" i="96" s="1" a="1"/>
  <c r="I38" i="96" s="1"/>
  <c r="H133" i="96" s="1"/>
  <c r="I133" i="96" s="1"/>
  <c r="K133" i="96" s="1" a="1"/>
  <c r="K133" i="96" s="1"/>
  <c r="H30" i="96" a="1"/>
  <c r="H30" i="96" s="1"/>
  <c r="H23" i="96" a="1"/>
  <c r="H23" i="96" s="1"/>
  <c r="H53" i="96" a="1"/>
  <c r="H53" i="96" s="1"/>
  <c r="I53" i="96" s="1" a="1"/>
  <c r="I53" i="96" s="1"/>
  <c r="H148" i="96" s="1"/>
  <c r="H45" i="96" a="1"/>
  <c r="H45" i="96" s="1"/>
  <c r="H37" i="96" a="1"/>
  <c r="H37" i="96" s="1"/>
  <c r="H29" i="96" a="1"/>
  <c r="H29" i="96" s="1"/>
  <c r="I29" i="96" s="1" a="1"/>
  <c r="I29" i="96" s="1"/>
  <c r="H124" i="96" s="1"/>
  <c r="I124" i="96" s="1"/>
  <c r="K124" i="96" s="1" a="1"/>
  <c r="K124" i="96" s="1"/>
  <c r="H22" i="96" a="1"/>
  <c r="H22" i="96" s="1"/>
  <c r="H52" i="96" a="1"/>
  <c r="H52" i="96" s="1"/>
  <c r="H44" i="96" a="1"/>
  <c r="H44" i="96" s="1"/>
  <c r="I44" i="96" s="1" a="1"/>
  <c r="I44" i="96" s="1"/>
  <c r="H139" i="96" s="1"/>
  <c r="H36" i="96" a="1"/>
  <c r="H36" i="96" s="1"/>
  <c r="H28" i="96" a="1"/>
  <c r="H28" i="96" s="1"/>
  <c r="H51" i="96" a="1"/>
  <c r="H51" i="96" s="1"/>
  <c r="H42" i="96" a="1"/>
  <c r="H42" i="96" s="1"/>
  <c r="H35" i="96" a="1"/>
  <c r="H35" i="96" s="1"/>
  <c r="I35" i="96" s="1" a="1"/>
  <c r="I35" i="96" s="1"/>
  <c r="H130" i="96" s="1"/>
  <c r="H27" i="96" a="1"/>
  <c r="H27" i="96" s="1"/>
  <c r="H50" i="96" a="1"/>
  <c r="H50" i="96" s="1"/>
  <c r="H41" i="96" a="1"/>
  <c r="H41" i="96" s="1"/>
  <c r="H34" i="96" a="1"/>
  <c r="H34" i="96" s="1"/>
  <c r="H26" i="96" a="1"/>
  <c r="H26" i="96" s="1"/>
  <c r="H48" i="96" a="1"/>
  <c r="H48" i="96" s="1"/>
  <c r="H40" i="96" a="1"/>
  <c r="H40" i="96" s="1"/>
  <c r="H33" i="96" a="1"/>
  <c r="H33" i="96" s="1"/>
  <c r="H25" i="96" a="1"/>
  <c r="H25" i="96" s="1"/>
  <c r="I25" i="96" s="1" a="1"/>
  <c r="I25" i="96" s="1"/>
  <c r="H120" i="96" s="1"/>
  <c r="H47" i="96" a="1"/>
  <c r="H47" i="96" s="1"/>
  <c r="H39" i="96" a="1"/>
  <c r="H39" i="96" s="1"/>
  <c r="H31" i="96" a="1"/>
  <c r="H31" i="96" s="1"/>
  <c r="H24" i="96" a="1"/>
  <c r="H24" i="96" s="1"/>
  <c r="K37" i="92" a="1"/>
  <c r="K37" i="92" s="1"/>
  <c r="Q37" i="92" s="1" a="1"/>
  <c r="Q37" i="92" s="1"/>
  <c r="J125" i="96" a="1"/>
  <c r="J125" i="96" s="1"/>
  <c r="K28" i="93"/>
  <c r="J28" i="93"/>
  <c r="I28" i="93"/>
  <c r="H28" i="93"/>
  <c r="G28" i="93"/>
  <c r="O28" i="93" s="1" a="1"/>
  <c r="O28" i="93" s="1"/>
  <c r="E55" i="108" a="1"/>
  <c r="E55" i="108" s="1"/>
  <c r="J570" i="107" s="1"/>
  <c r="J32" i="107" a="1"/>
  <c r="J32" i="107" s="1"/>
  <c r="Q32" i="93" a="1"/>
  <c r="Q32" i="93" s="1"/>
  <c r="N38" i="92" a="1"/>
  <c r="N38" i="92" s="1"/>
  <c r="O38" i="92" a="1"/>
  <c r="O38" i="92" s="1"/>
  <c r="N39" i="92" a="1"/>
  <c r="N39" i="92" s="1"/>
  <c r="Q30" i="92" a="1"/>
  <c r="Q30" i="92" s="1"/>
  <c r="N30" i="92" a="1"/>
  <c r="N30" i="92" s="1"/>
  <c r="N25" i="92" a="1"/>
  <c r="N25" i="92" s="1"/>
  <c r="P30" i="92" a="1"/>
  <c r="P30" i="92" s="1"/>
  <c r="O30" i="92" a="1"/>
  <c r="O30" i="92" s="1"/>
  <c r="E639" i="107"/>
  <c r="E142" i="107"/>
  <c r="F120" i="107"/>
  <c r="G120" i="107" s="1" a="1"/>
  <c r="G120" i="107" s="1"/>
  <c r="F241" i="107" a="1"/>
  <c r="F241" i="107" s="1"/>
  <c r="E473" i="107"/>
  <c r="E472" i="107"/>
  <c r="J28" i="107" a="1"/>
  <c r="J28" i="107" s="1"/>
  <c r="E166" i="107"/>
  <c r="O74" i="108" a="1"/>
  <c r="O74" i="108" s="1"/>
  <c r="T86" i="108" s="1"/>
  <c r="O90" i="108" s="1" a="1"/>
  <c r="O90" i="108" s="1"/>
  <c r="R571" i="107" s="1"/>
  <c r="F127" i="107"/>
  <c r="I127" i="107" s="1" a="1"/>
  <c r="I127" i="107" s="1"/>
  <c r="F238" i="107" a="1"/>
  <c r="F238" i="107" s="1"/>
  <c r="F242" i="107" a="1"/>
  <c r="F242" i="107" s="1"/>
  <c r="E73" i="107"/>
  <c r="J31" i="107" a="1"/>
  <c r="J31" i="107" s="1"/>
  <c r="E483" i="107"/>
  <c r="J371" i="107" a="1"/>
  <c r="J371" i="107" s="1"/>
  <c r="F119" i="107"/>
  <c r="G119" i="107" s="1" a="1"/>
  <c r="G119" i="107" s="1"/>
  <c r="F245" i="107" a="1"/>
  <c r="F245" i="107" s="1"/>
  <c r="F237" i="107" a="1"/>
  <c r="F237" i="107" s="1"/>
  <c r="F125" i="107"/>
  <c r="G125" i="107" s="1" a="1"/>
  <c r="G125" i="107" s="1"/>
  <c r="F246" i="107" a="1"/>
  <c r="F246" i="107" s="1"/>
  <c r="H374" i="107" a="1"/>
  <c r="H374" i="107" s="1"/>
  <c r="F122" i="107"/>
  <c r="I122" i="107" s="1" a="1"/>
  <c r="I122" i="107" s="1"/>
  <c r="E141" i="107"/>
  <c r="F243" i="107" a="1"/>
  <c r="F243" i="107" s="1"/>
  <c r="E502" i="107"/>
  <c r="I271" i="107" a="1"/>
  <c r="I271" i="107" s="1"/>
  <c r="G271" i="107" a="1"/>
  <c r="G271" i="107" s="1"/>
  <c r="J30" i="107" a="1"/>
  <c r="J30" i="107" s="1"/>
  <c r="I273" i="107" a="1"/>
  <c r="I273" i="107" s="1"/>
  <c r="H438" i="107" a="1"/>
  <c r="H438" i="107" s="1"/>
  <c r="J438" i="107" a="1"/>
  <c r="J438" i="107" s="1"/>
  <c r="E411" i="107"/>
  <c r="I275" i="107" a="1"/>
  <c r="I275" i="107" s="1"/>
  <c r="G275" i="107" a="1"/>
  <c r="G275" i="107" s="1"/>
  <c r="H436" i="107" a="1"/>
  <c r="H436" i="107" s="1"/>
  <c r="J436" i="107" a="1"/>
  <c r="J436" i="107" s="1"/>
  <c r="I277" i="107" a="1"/>
  <c r="I277" i="107" s="1"/>
  <c r="F128" i="107"/>
  <c r="G279" i="107" a="1"/>
  <c r="G279" i="107" s="1"/>
  <c r="I119" i="107" a="1"/>
  <c r="I119" i="107" s="1"/>
  <c r="E53" i="107"/>
  <c r="G276" i="107" a="1"/>
  <c r="G276" i="107" s="1"/>
  <c r="E54" i="107"/>
  <c r="J454" i="107" a="1"/>
  <c r="J454" i="107" s="1"/>
  <c r="H454" i="107" a="1"/>
  <c r="H454" i="107" s="1"/>
  <c r="J79" i="107" a="1"/>
  <c r="J79" i="107" s="1"/>
  <c r="G79" i="107" a="1"/>
  <c r="G79" i="107" s="1"/>
  <c r="E90" i="107" s="1"/>
  <c r="I274" i="107" a="1"/>
  <c r="I274" i="107" s="1"/>
  <c r="G274" i="107" a="1"/>
  <c r="G274" i="107" s="1"/>
  <c r="H448" i="107" a="1"/>
  <c r="H448" i="107" s="1"/>
  <c r="H456" i="107" a="1"/>
  <c r="H456" i="107" s="1"/>
  <c r="J456" i="107" a="1"/>
  <c r="J456" i="107" s="1"/>
  <c r="F126" i="107"/>
  <c r="I280" i="107" a="1"/>
  <c r="I280" i="107" s="1"/>
  <c r="G280" i="107" a="1"/>
  <c r="G280" i="107" s="1"/>
  <c r="J439" i="107" a="1"/>
  <c r="J439" i="107" s="1"/>
  <c r="H439" i="107" a="1"/>
  <c r="H439" i="107" s="1"/>
  <c r="F124" i="107"/>
  <c r="F244" i="107" a="1"/>
  <c r="F244" i="107" s="1"/>
  <c r="J26" i="107" a="1"/>
  <c r="J26" i="107" s="1"/>
  <c r="E621" i="107"/>
  <c r="J372" i="107" a="1"/>
  <c r="J372" i="107" s="1"/>
  <c r="H368" i="107" a="1"/>
  <c r="H368" i="107" s="1"/>
  <c r="J368" i="107" a="1"/>
  <c r="J368" i="107" s="1"/>
  <c r="I272" i="107" a="1"/>
  <c r="I272" i="107" s="1"/>
  <c r="F123" i="107"/>
  <c r="F239" i="107" a="1"/>
  <c r="F239" i="107" s="1"/>
  <c r="J437" i="107" a="1"/>
  <c r="J437" i="107" s="1"/>
  <c r="H437" i="107" a="1"/>
  <c r="H437" i="107" s="1"/>
  <c r="J375" i="107" a="1"/>
  <c r="J375" i="107" s="1"/>
  <c r="H375" i="107" a="1"/>
  <c r="H375" i="107" s="1"/>
  <c r="M23" i="107" a="1"/>
  <c r="M23" i="107" s="1"/>
  <c r="E35" i="107" s="1"/>
  <c r="J23" i="107" a="1"/>
  <c r="J23" i="107" s="1"/>
  <c r="E72" i="107"/>
  <c r="I33" i="101"/>
  <c r="E39" i="101" s="1" a="1"/>
  <c r="E39" i="101" s="1"/>
  <c r="H41" i="101" s="1"/>
  <c r="E44" i="101" s="1" a="1"/>
  <c r="E44" i="101" s="1"/>
  <c r="E24" i="99" a="1"/>
  <c r="E24" i="99" s="1"/>
  <c r="I23" i="96" a="1"/>
  <c r="I23" i="96" s="1"/>
  <c r="H118" i="96" s="1"/>
  <c r="I118" i="96" s="1"/>
  <c r="K118" i="96" s="1" a="1"/>
  <c r="K118" i="96" s="1"/>
  <c r="I48" i="96" a="1"/>
  <c r="I48" i="96" s="1"/>
  <c r="H143" i="96" s="1"/>
  <c r="Q40" i="93" a="1"/>
  <c r="Q40" i="93" s="1"/>
  <c r="I27" i="96" a="1"/>
  <c r="I27" i="96" s="1"/>
  <c r="H122" i="96" s="1"/>
  <c r="I122" i="96" s="1"/>
  <c r="K122" i="96" s="1" a="1"/>
  <c r="K122" i="96" s="1"/>
  <c r="I45" i="96" a="1"/>
  <c r="I45" i="96" s="1"/>
  <c r="H140" i="96" s="1"/>
  <c r="I39" i="96" a="1"/>
  <c r="I39" i="96" s="1"/>
  <c r="H134" i="96" s="1"/>
  <c r="I30" i="96" a="1"/>
  <c r="I30" i="96" s="1"/>
  <c r="H125" i="96" s="1"/>
  <c r="I125" i="96" s="1"/>
  <c r="K125" i="96" s="1" a="1"/>
  <c r="K125" i="96" s="1"/>
  <c r="I59" i="96" a="1"/>
  <c r="I59" i="96" s="1"/>
  <c r="H157" i="96" s="1"/>
  <c r="I24" i="96" a="1"/>
  <c r="I24" i="96" s="1"/>
  <c r="H119" i="96" s="1"/>
  <c r="I50" i="96" a="1"/>
  <c r="I50" i="96" s="1"/>
  <c r="H145" i="96" s="1"/>
  <c r="I82" i="96" a="1"/>
  <c r="I82" i="96" s="1"/>
  <c r="H180" i="96" s="1"/>
  <c r="I74" i="96" a="1"/>
  <c r="I74" i="96" s="1"/>
  <c r="H172" i="96" s="1"/>
  <c r="I37" i="96" a="1"/>
  <c r="I37" i="96" s="1"/>
  <c r="H132" i="96" s="1"/>
  <c r="I132" i="96" s="1"/>
  <c r="K132" i="96" s="1" a="1"/>
  <c r="K132" i="96" s="1"/>
  <c r="I52" i="96" a="1"/>
  <c r="I52" i="96" s="1"/>
  <c r="H147" i="96" s="1"/>
  <c r="I34" i="96" a="1"/>
  <c r="I34" i="96" s="1"/>
  <c r="H129" i="96" s="1"/>
  <c r="I66" i="96" a="1"/>
  <c r="I66" i="96" s="1"/>
  <c r="H164" i="96" s="1"/>
  <c r="I164" i="96" s="1"/>
  <c r="K164" i="96" s="1" a="1"/>
  <c r="K164" i="96" s="1"/>
  <c r="I89" i="96" a="1"/>
  <c r="I89" i="96" s="1"/>
  <c r="H187" i="96" s="1"/>
  <c r="I92" i="96" a="1"/>
  <c r="I92" i="96" s="1"/>
  <c r="H190" i="96" s="1"/>
  <c r="I26" i="96" a="1"/>
  <c r="I26" i="96" s="1"/>
  <c r="H121" i="96" s="1"/>
  <c r="I121" i="96" s="1"/>
  <c r="K121" i="96" s="1" a="1"/>
  <c r="K121" i="96" s="1"/>
  <c r="I22" i="96" a="1"/>
  <c r="I22" i="96" s="1"/>
  <c r="H117" i="96" s="1"/>
  <c r="I117" i="96" s="1"/>
  <c r="K117" i="96" s="1" a="1"/>
  <c r="K117" i="96" s="1"/>
  <c r="I76" i="96" a="1"/>
  <c r="I76" i="96" s="1"/>
  <c r="H174" i="96" s="1"/>
  <c r="I174" i="96" s="1"/>
  <c r="K174" i="96" s="1" a="1"/>
  <c r="K174" i="96" s="1"/>
  <c r="I41" i="96" a="1"/>
  <c r="I41" i="96" s="1"/>
  <c r="H136" i="96" s="1"/>
  <c r="I136" i="96" s="1"/>
  <c r="K136" i="96" s="1" a="1"/>
  <c r="K136" i="96" s="1"/>
  <c r="I33" i="96" a="1"/>
  <c r="I33" i="96" s="1"/>
  <c r="H128" i="96" s="1"/>
  <c r="I71" i="96" a="1"/>
  <c r="I71" i="96" s="1"/>
  <c r="H169" i="96" s="1"/>
  <c r="I28" i="96" a="1"/>
  <c r="I28" i="96" s="1"/>
  <c r="H123" i="96" s="1"/>
  <c r="I123" i="96" s="1"/>
  <c r="K123" i="96" s="1" a="1"/>
  <c r="K123" i="96" s="1"/>
  <c r="I54" i="96" a="1"/>
  <c r="I54" i="96" s="1"/>
  <c r="H149" i="96" s="1"/>
  <c r="I78" i="96" a="1"/>
  <c r="I78" i="96" s="1"/>
  <c r="H176" i="96" s="1"/>
  <c r="I36" i="96" a="1"/>
  <c r="I36" i="96" s="1"/>
  <c r="H131" i="96" s="1"/>
  <c r="I42" i="96" a="1"/>
  <c r="I42" i="96" s="1"/>
  <c r="H137" i="96" s="1"/>
  <c r="I137" i="96" s="1"/>
  <c r="K137" i="96" s="1" a="1"/>
  <c r="K137" i="96" s="1"/>
  <c r="I68" i="96" a="1"/>
  <c r="I68" i="96" s="1"/>
  <c r="H166" i="96" s="1"/>
  <c r="I166" i="96" s="1"/>
  <c r="K166" i="96" s="1" a="1"/>
  <c r="K166" i="96" s="1"/>
  <c r="I86" i="96" a="1"/>
  <c r="I86" i="96" s="1"/>
  <c r="H184" i="96" s="1"/>
  <c r="I91" i="96" a="1"/>
  <c r="I91" i="96" s="1"/>
  <c r="H189" i="96" s="1"/>
  <c r="I63" i="96" a="1"/>
  <c r="I63" i="96" s="1"/>
  <c r="H161" i="96" s="1"/>
  <c r="I161" i="96" s="1"/>
  <c r="K161" i="96" s="1" a="1"/>
  <c r="K161" i="96" s="1"/>
  <c r="I75" i="96" a="1"/>
  <c r="I75" i="96" s="1"/>
  <c r="H173" i="96" s="1"/>
  <c r="I46" i="96" a="1"/>
  <c r="I46" i="96" s="1"/>
  <c r="H141" i="96" s="1"/>
  <c r="I84" i="96" a="1"/>
  <c r="I84" i="96" s="1"/>
  <c r="H182" i="96" s="1"/>
  <c r="I61" i="96" a="1"/>
  <c r="I61" i="96" s="1"/>
  <c r="H159" i="96" s="1"/>
  <c r="I159" i="96" s="1"/>
  <c r="K159" i="96" s="1" a="1"/>
  <c r="K159" i="96" s="1"/>
  <c r="I73" i="96" a="1"/>
  <c r="I73" i="96" s="1"/>
  <c r="H171" i="96" s="1"/>
  <c r="I47" i="96" a="1"/>
  <c r="I47" i="96" s="1"/>
  <c r="H142" i="96" s="1"/>
  <c r="Q32" i="92" a="1"/>
  <c r="Q32" i="92" s="1"/>
  <c r="P30" i="93" a="1"/>
  <c r="P30" i="93" s="1"/>
  <c r="O30" i="93" a="1"/>
  <c r="O30" i="93" s="1"/>
  <c r="N30" i="93" a="1"/>
  <c r="N30" i="93" s="1"/>
  <c r="Q30" i="93" a="1"/>
  <c r="Q30" i="93" s="1"/>
  <c r="P39" i="93" a="1"/>
  <c r="P39" i="93" s="1"/>
  <c r="O39" i="93" a="1"/>
  <c r="O39" i="93" s="1"/>
  <c r="N39" i="93" a="1"/>
  <c r="N39" i="93" s="1"/>
  <c r="Q39" i="93" a="1"/>
  <c r="Q39" i="93" s="1"/>
  <c r="P25" i="93" a="1"/>
  <c r="P25" i="93" s="1"/>
  <c r="O25" i="93" a="1"/>
  <c r="O25" i="93" s="1"/>
  <c r="N25" i="93" a="1"/>
  <c r="N25" i="93" s="1"/>
  <c r="P32" i="93" a="1"/>
  <c r="P32" i="93" s="1"/>
  <c r="O32" i="93" a="1"/>
  <c r="O32" i="93" s="1"/>
  <c r="N32" i="93" a="1"/>
  <c r="N32" i="93" s="1"/>
  <c r="P31" i="93" a="1"/>
  <c r="P31" i="93" s="1"/>
  <c r="O31" i="93" a="1"/>
  <c r="O31" i="93" s="1"/>
  <c r="N31" i="93" a="1"/>
  <c r="N31" i="93" s="1"/>
  <c r="Q31" i="93" a="1"/>
  <c r="Q31" i="93" s="1"/>
  <c r="P40" i="93" a="1"/>
  <c r="P40" i="93" s="1"/>
  <c r="O40" i="93" a="1"/>
  <c r="O40" i="93" s="1"/>
  <c r="N40" i="93" a="1"/>
  <c r="N40" i="93" s="1"/>
  <c r="P26" i="93" a="1"/>
  <c r="P26" i="93" s="1"/>
  <c r="O26" i="93" a="1"/>
  <c r="O26" i="93" s="1"/>
  <c r="N26" i="93" a="1"/>
  <c r="N26" i="93" s="1"/>
  <c r="P37" i="93" a="1"/>
  <c r="P37" i="93" s="1"/>
  <c r="O37" i="93" a="1"/>
  <c r="O37" i="93" s="1"/>
  <c r="N37" i="93" a="1"/>
  <c r="N37" i="93" s="1"/>
  <c r="O36" i="93" a="1"/>
  <c r="O36" i="93" s="1"/>
  <c r="N36" i="93" a="1"/>
  <c r="N36" i="93" s="1"/>
  <c r="Q36" i="93" a="1"/>
  <c r="Q36" i="93" s="1"/>
  <c r="P36" i="93" a="1"/>
  <c r="P36" i="93" s="1"/>
  <c r="Q37" i="93" a="1"/>
  <c r="Q37" i="93" s="1"/>
  <c r="N34" i="93" a="1"/>
  <c r="N34" i="93" s="1"/>
  <c r="P34" i="93" a="1"/>
  <c r="P34" i="93" s="1"/>
  <c r="O34" i="93" a="1"/>
  <c r="O34" i="93" s="1"/>
  <c r="Q35" i="93" a="1"/>
  <c r="Q35" i="93" s="1"/>
  <c r="P35" i="93" a="1"/>
  <c r="P35" i="93" s="1"/>
  <c r="O35" i="93" a="1"/>
  <c r="O35" i="93" s="1"/>
  <c r="N35" i="93" a="1"/>
  <c r="N35" i="93" s="1"/>
  <c r="P33" i="93" a="1"/>
  <c r="P33" i="93" s="1"/>
  <c r="O33" i="93" a="1"/>
  <c r="O33" i="93" s="1"/>
  <c r="N33" i="93" a="1"/>
  <c r="N33" i="93" s="1"/>
  <c r="Q25" i="93" a="1"/>
  <c r="Q25" i="93" s="1"/>
  <c r="Q26" i="93" a="1"/>
  <c r="Q26" i="93" s="1"/>
  <c r="O29" i="93" a="1"/>
  <c r="O29" i="93" s="1"/>
  <c r="N29" i="93" a="1"/>
  <c r="N29" i="93" s="1"/>
  <c r="Q29" i="93" a="1"/>
  <c r="Q29" i="93" s="1"/>
  <c r="P29" i="93" a="1"/>
  <c r="P29" i="93" s="1"/>
  <c r="P38" i="93" a="1"/>
  <c r="P38" i="93" s="1"/>
  <c r="O38" i="93" a="1"/>
  <c r="O38" i="93" s="1"/>
  <c r="N38" i="93" a="1"/>
  <c r="N38" i="93" s="1"/>
  <c r="Q38" i="93" a="1"/>
  <c r="Q38" i="93" s="1"/>
  <c r="N27" i="93" a="1"/>
  <c r="N27" i="93" s="1"/>
  <c r="P27" i="93" a="1"/>
  <c r="P27" i="93" s="1"/>
  <c r="Q28" i="93" a="1"/>
  <c r="Q28" i="93" s="1"/>
  <c r="P28" i="93" a="1"/>
  <c r="P28" i="93" s="1"/>
  <c r="N28" i="93" a="1"/>
  <c r="N28" i="93" s="1"/>
  <c r="P29" i="92" a="1"/>
  <c r="P29" i="92" s="1"/>
  <c r="O29" i="92" a="1"/>
  <c r="O29" i="92" s="1"/>
  <c r="N29" i="92" a="1"/>
  <c r="N29" i="92" s="1"/>
  <c r="P38" i="92" a="1"/>
  <c r="P38" i="92" s="1"/>
  <c r="Q29" i="92" a="1"/>
  <c r="Q29" i="92" s="1"/>
  <c r="N27" i="92" a="1"/>
  <c r="N27" i="92" s="1"/>
  <c r="Q27" i="92" a="1"/>
  <c r="Q27" i="92" s="1"/>
  <c r="P27" i="92" a="1"/>
  <c r="P27" i="92" s="1"/>
  <c r="O27" i="92" a="1"/>
  <c r="O27" i="92" s="1"/>
  <c r="O39" i="92" a="1"/>
  <c r="O39" i="92" s="1"/>
  <c r="P39" i="92" a="1"/>
  <c r="P39" i="92" s="1"/>
  <c r="Q33" i="92" a="1"/>
  <c r="Q33" i="92" s="1"/>
  <c r="E52" i="92" s="1"/>
  <c r="P31" i="92" a="1"/>
  <c r="P31" i="92" s="1"/>
  <c r="O31" i="92" a="1"/>
  <c r="O31" i="92" s="1"/>
  <c r="N31" i="92" a="1"/>
  <c r="N31" i="92" s="1"/>
  <c r="O37" i="92" a="1"/>
  <c r="O37" i="92" s="1"/>
  <c r="N37" i="92" a="1"/>
  <c r="N37" i="92" s="1"/>
  <c r="P37" i="92" a="1"/>
  <c r="P37" i="92" s="1"/>
  <c r="Q34" i="92" a="1"/>
  <c r="Q34" i="92" s="1"/>
  <c r="P34" i="92" a="1"/>
  <c r="P34" i="92" s="1"/>
  <c r="O34" i="92" a="1"/>
  <c r="O34" i="92" s="1"/>
  <c r="N34" i="92" a="1"/>
  <c r="N34" i="92" s="1"/>
  <c r="O25" i="92" a="1"/>
  <c r="O25" i="92" s="1"/>
  <c r="O32" i="92" a="1"/>
  <c r="O32" i="92" s="1"/>
  <c r="N32" i="92" a="1"/>
  <c r="N32" i="92" s="1"/>
  <c r="P32" i="92" a="1"/>
  <c r="P32" i="92" s="1"/>
  <c r="P25" i="92" a="1"/>
  <c r="P25" i="92" s="1"/>
  <c r="Q31" i="92" a="1"/>
  <c r="Q31" i="92" s="1"/>
  <c r="Q38" i="92" a="1"/>
  <c r="Q38" i="92" s="1"/>
  <c r="Q26" i="92" a="1"/>
  <c r="Q26" i="92" s="1"/>
  <c r="P26" i="92" a="1"/>
  <c r="P26" i="92" s="1"/>
  <c r="O26" i="92" a="1"/>
  <c r="O26" i="92" s="1"/>
  <c r="N26" i="92" a="1"/>
  <c r="N26" i="92" s="1"/>
  <c r="N36" i="92" a="1"/>
  <c r="N36" i="92" s="1"/>
  <c r="Q36" i="92" a="1"/>
  <c r="Q36" i="92" s="1"/>
  <c r="P36" i="92" a="1"/>
  <c r="P36" i="92" s="1"/>
  <c r="O36" i="92" a="1"/>
  <c r="O36" i="92" s="1"/>
  <c r="Q35" i="92" a="1"/>
  <c r="Q35" i="92" s="1"/>
  <c r="P35" i="92" a="1"/>
  <c r="P35" i="92" s="1"/>
  <c r="O35" i="92" a="1"/>
  <c r="O35" i="92" s="1"/>
  <c r="N35" i="92" a="1"/>
  <c r="N35" i="92" s="1"/>
  <c r="P28" i="92" a="1"/>
  <c r="P28" i="92" s="1"/>
  <c r="O28" i="92" a="1"/>
  <c r="O28" i="92" s="1"/>
  <c r="N28" i="92" a="1"/>
  <c r="N28" i="92" s="1"/>
  <c r="Q28" i="92" a="1"/>
  <c r="Q28" i="92" s="1"/>
  <c r="F141" i="85" a="1"/>
  <c r="F141" i="85" s="1"/>
  <c r="F73" i="86" a="1"/>
  <c r="F73" i="86" s="1"/>
  <c r="F142" i="85" a="1"/>
  <c r="F142" i="85" s="1"/>
  <c r="F139" i="85" a="1"/>
  <c r="F139" i="85" s="1"/>
  <c r="F144" i="85" a="1"/>
  <c r="F144" i="85" s="1"/>
  <c r="F68" i="86" a="1"/>
  <c r="F68" i="86" s="1"/>
  <c r="F143" i="85" a="1"/>
  <c r="F143" i="85" s="1"/>
  <c r="F75" i="86" a="1"/>
  <c r="F75" i="86" s="1"/>
  <c r="F71" i="86" a="1"/>
  <c r="F71" i="86" s="1"/>
  <c r="F72" i="86" a="1"/>
  <c r="F72" i="86" s="1"/>
  <c r="F69" i="86" a="1"/>
  <c r="F69" i="86" s="1"/>
  <c r="F70" i="86" a="1"/>
  <c r="F70" i="86" s="1"/>
  <c r="F74" i="86" a="1"/>
  <c r="F74" i="86" s="1"/>
  <c r="E16" i="13" a="1"/>
  <c r="E16" i="13" s="1"/>
  <c r="H16" i="13" s="1" a="1"/>
  <c r="H16" i="13" s="1"/>
  <c r="F138" i="85" l="1" a="1"/>
  <c r="F138" i="85" s="1"/>
  <c r="F137" i="85" a="1"/>
  <c r="F137" i="85" s="1"/>
  <c r="I120" i="96"/>
  <c r="K120" i="96" s="1" a="1"/>
  <c r="K120" i="96" s="1"/>
  <c r="G245" i="107" a="1"/>
  <c r="G245" i="107" s="1"/>
  <c r="I55" i="80"/>
  <c r="J55" i="80"/>
  <c r="I62" i="96" a="1"/>
  <c r="I62" i="96" s="1"/>
  <c r="H160" i="96" s="1"/>
  <c r="I160" i="96" s="1"/>
  <c r="K160" i="96" s="1" a="1"/>
  <c r="K160" i="96" s="1"/>
  <c r="G116" i="96" a="1"/>
  <c r="G116" i="96" s="1"/>
  <c r="G157" i="96" a="1"/>
  <c r="G157" i="96" s="1"/>
  <c r="G21" i="96" a="1"/>
  <c r="G21" i="96" s="1"/>
  <c r="I21" i="96" s="1" a="1"/>
  <c r="I21" i="96" s="1"/>
  <c r="H116" i="96" s="1"/>
  <c r="O45" i="81" a="1"/>
  <c r="I69" i="96" a="1"/>
  <c r="I69" i="96" s="1"/>
  <c r="H167" i="96" s="1"/>
  <c r="I167" i="96" s="1"/>
  <c r="K167" i="96" s="1" a="1"/>
  <c r="K167" i="96" s="1"/>
  <c r="I56" i="80"/>
  <c r="J56" i="80"/>
  <c r="I77" i="96" a="1"/>
  <c r="I77" i="96" s="1"/>
  <c r="H175" i="96" s="1"/>
  <c r="I175" i="96" s="1"/>
  <c r="K175" i="96" s="1" a="1"/>
  <c r="K175" i="96" s="1"/>
  <c r="Q221" i="107"/>
  <c r="S221" i="107" s="1" a="1"/>
  <c r="S221" i="107" s="1"/>
  <c r="S227" i="107" a="1"/>
  <c r="S227" i="107" s="1"/>
  <c r="F227" i="107" s="1" a="1"/>
  <c r="F227" i="107" s="1"/>
  <c r="S229" i="107" a="1"/>
  <c r="S229" i="107" s="1"/>
  <c r="S222" i="107" a="1"/>
  <c r="S222" i="107" s="1"/>
  <c r="S224" i="107" a="1"/>
  <c r="S224" i="107" s="1"/>
  <c r="S226" i="107" a="1"/>
  <c r="S226" i="107" s="1"/>
  <c r="S228" i="107" a="1"/>
  <c r="S228" i="107" s="1"/>
  <c r="S230" i="107" a="1"/>
  <c r="S230" i="107" s="1"/>
  <c r="S223" i="107" a="1"/>
  <c r="S223" i="107" s="1"/>
  <c r="S225" i="107" a="1"/>
  <c r="S225" i="107" s="1"/>
  <c r="I90" i="96" a="1"/>
  <c r="I90" i="96" s="1"/>
  <c r="H188" i="96" s="1"/>
  <c r="I85" i="96" a="1"/>
  <c r="I85" i="96" s="1"/>
  <c r="H183" i="96" s="1"/>
  <c r="I179" i="96" s="1"/>
  <c r="K179" i="96" s="1" a="1"/>
  <c r="K179" i="96" s="1"/>
  <c r="G278" i="107" a="1"/>
  <c r="G278" i="107" s="1"/>
  <c r="I278" i="107" a="1"/>
  <c r="I278" i="107" s="1"/>
  <c r="Q34" i="93" a="1"/>
  <c r="Q34" i="93" s="1"/>
  <c r="E52" i="93" s="1"/>
  <c r="I60" i="96" a="1"/>
  <c r="I60" i="96" s="1"/>
  <c r="H158" i="96" s="1"/>
  <c r="I158" i="96" s="1"/>
  <c r="K158" i="96" s="1" a="1"/>
  <c r="K158" i="96" s="1"/>
  <c r="I176" i="96"/>
  <c r="K176" i="96" s="1" a="1"/>
  <c r="K176" i="96" s="1"/>
  <c r="G281" i="107" a="1"/>
  <c r="G281" i="107" s="1"/>
  <c r="G25" i="80"/>
  <c r="E237" i="107" s="1" a="1"/>
  <c r="P55" i="81" a="1"/>
  <c r="F270" i="107" a="1"/>
  <c r="F270" i="107" s="1"/>
  <c r="E270" i="107"/>
  <c r="I67" i="96" a="1"/>
  <c r="I67" i="96" s="1"/>
  <c r="H165" i="96" s="1"/>
  <c r="I165" i="96" s="1"/>
  <c r="K165" i="96" s="1" a="1"/>
  <c r="K165" i="96" s="1"/>
  <c r="AC221" i="107"/>
  <c r="AE221" i="107" s="1" a="1"/>
  <c r="AE221" i="107" s="1"/>
  <c r="AE229" i="107" a="1"/>
  <c r="AE229" i="107" s="1"/>
  <c r="AE222" i="107" a="1"/>
  <c r="AE222" i="107" s="1"/>
  <c r="AE224" i="107" a="1"/>
  <c r="AE224" i="107" s="1"/>
  <c r="AE226" i="107" a="1"/>
  <c r="AE226" i="107" s="1"/>
  <c r="AE228" i="107" a="1"/>
  <c r="AE228" i="107" s="1"/>
  <c r="AE230" i="107" a="1"/>
  <c r="AE230" i="107" s="1"/>
  <c r="AE223" i="107" a="1"/>
  <c r="AE223" i="107" s="1"/>
  <c r="AE225" i="107" a="1"/>
  <c r="AE225" i="107" s="1"/>
  <c r="AE227" i="107" a="1"/>
  <c r="AE227" i="107" s="1"/>
  <c r="E305" i="107" a="1"/>
  <c r="E305" i="107" s="1"/>
  <c r="E25" i="84" a="1"/>
  <c r="AG221" i="107"/>
  <c r="AI221" i="107" s="1" a="1"/>
  <c r="AI221" i="107" s="1"/>
  <c r="AI224" i="107" a="1"/>
  <c r="AI224" i="107" s="1"/>
  <c r="AI226" i="107" a="1"/>
  <c r="AI226" i="107" s="1"/>
  <c r="AI228" i="107" a="1"/>
  <c r="AI228" i="107" s="1"/>
  <c r="AI230" i="107" a="1"/>
  <c r="AI230" i="107" s="1"/>
  <c r="AI223" i="107" a="1"/>
  <c r="AI223" i="107" s="1"/>
  <c r="AI225" i="107" a="1"/>
  <c r="AI225" i="107" s="1"/>
  <c r="AI227" i="107" a="1"/>
  <c r="AI227" i="107" s="1"/>
  <c r="AI229" i="107" a="1"/>
  <c r="AI229" i="107" s="1"/>
  <c r="AI222" i="107" a="1"/>
  <c r="AI222" i="107" s="1"/>
  <c r="I12" i="80"/>
  <c r="G244" i="107" a="1"/>
  <c r="G244" i="107" s="1"/>
  <c r="O55" i="81"/>
  <c r="W59" i="81"/>
  <c r="W58" i="81"/>
  <c r="S57" i="81" a="1"/>
  <c r="S57" i="81" s="1"/>
  <c r="V56" i="81" a="1"/>
  <c r="V56" i="81" s="1"/>
  <c r="T56" i="81"/>
  <c r="S56" i="81" a="1"/>
  <c r="S56" i="81" s="1"/>
  <c r="T59" i="81"/>
  <c r="R59" i="81" a="1"/>
  <c r="R59" i="81" s="1"/>
  <c r="V58" i="81" a="1"/>
  <c r="V58" i="81" s="1"/>
  <c r="S59" i="81" a="1"/>
  <c r="S59" i="81" s="1"/>
  <c r="R58" i="81" a="1"/>
  <c r="R58" i="81" s="1"/>
  <c r="R56" i="81" a="1"/>
  <c r="R56" i="81" s="1"/>
  <c r="T58" i="81"/>
  <c r="T57" i="81"/>
  <c r="V57" i="81" s="1" a="1"/>
  <c r="V57" i="81" s="1"/>
  <c r="W56" i="81"/>
  <c r="O98" i="81" s="1" a="1"/>
  <c r="O98" i="81" s="1"/>
  <c r="W57" i="81"/>
  <c r="O99" i="81" s="1" a="1"/>
  <c r="O99" i="81" s="1"/>
  <c r="P99" i="81" s="1" a="1"/>
  <c r="P99" i="81" s="1"/>
  <c r="R57" i="81" a="1"/>
  <c r="R57" i="81" s="1"/>
  <c r="S58" i="81" a="1"/>
  <c r="S58" i="81" s="1"/>
  <c r="V59" i="81" a="1"/>
  <c r="V59" i="81" s="1"/>
  <c r="Q57" i="81"/>
  <c r="I119" i="96"/>
  <c r="K119" i="96" s="1" a="1"/>
  <c r="K119" i="96" s="1"/>
  <c r="I64" i="96" a="1"/>
  <c r="I64" i="96" s="1"/>
  <c r="H162" i="96" s="1"/>
  <c r="I162" i="96" s="1"/>
  <c r="K162" i="96" s="1" a="1"/>
  <c r="K162" i="96" s="1"/>
  <c r="I173" i="96"/>
  <c r="K173" i="96" s="1" a="1"/>
  <c r="K173" i="96" s="1"/>
  <c r="G239" i="107" a="1"/>
  <c r="G239" i="107" s="1"/>
  <c r="I125" i="107" a="1"/>
  <c r="I125" i="107" s="1"/>
  <c r="Y221" i="107"/>
  <c r="AA221" i="107" s="1" a="1"/>
  <c r="AA221" i="107" s="1"/>
  <c r="AA229" i="107" a="1"/>
  <c r="AA229" i="107" s="1"/>
  <c r="AA222" i="107" a="1"/>
  <c r="AA222" i="107" s="1"/>
  <c r="AA224" i="107" a="1"/>
  <c r="AA224" i="107" s="1"/>
  <c r="AA226" i="107" a="1"/>
  <c r="AA226" i="107" s="1"/>
  <c r="AA228" i="107" a="1"/>
  <c r="AA228" i="107" s="1"/>
  <c r="AA230" i="107" a="1"/>
  <c r="AA230" i="107" s="1"/>
  <c r="AA223" i="107" a="1"/>
  <c r="AA223" i="107" s="1"/>
  <c r="AA225" i="107" a="1"/>
  <c r="AA225" i="107" s="1"/>
  <c r="AA227" i="107" a="1"/>
  <c r="AA227" i="107" s="1"/>
  <c r="I72" i="96" a="1"/>
  <c r="I72" i="96" s="1"/>
  <c r="H170" i="96" s="1"/>
  <c r="I168" i="96" s="1"/>
  <c r="K168" i="96" s="1" a="1"/>
  <c r="K168" i="96" s="1"/>
  <c r="G242" i="107" a="1"/>
  <c r="G242" i="107" s="1"/>
  <c r="I65" i="96" a="1"/>
  <c r="I65" i="96" s="1"/>
  <c r="H163" i="96" s="1"/>
  <c r="I163" i="96" s="1"/>
  <c r="K163" i="96" s="1" a="1"/>
  <c r="K163" i="96" s="1"/>
  <c r="I79" i="96" a="1"/>
  <c r="I79" i="96" s="1"/>
  <c r="H177" i="96" s="1"/>
  <c r="I177" i="96" s="1"/>
  <c r="K177" i="96" s="1" a="1"/>
  <c r="K177" i="96" s="1"/>
  <c r="E30" i="98"/>
  <c r="E20" i="98"/>
  <c r="I134" i="96"/>
  <c r="K134" i="96" s="1" a="1"/>
  <c r="K134" i="96" s="1"/>
  <c r="E91" i="107"/>
  <c r="I54" i="80"/>
  <c r="J54" i="80"/>
  <c r="F20" i="83" a="1"/>
  <c r="F20" i="83" s="1"/>
  <c r="G20" i="83" a="1"/>
  <c r="AK221" i="107"/>
  <c r="AM221" i="107" s="1" a="1"/>
  <c r="AM221" i="107" s="1"/>
  <c r="AM224" i="107" a="1"/>
  <c r="AM224" i="107" s="1"/>
  <c r="AM226" i="107" a="1"/>
  <c r="AM226" i="107" s="1"/>
  <c r="AM228" i="107" a="1"/>
  <c r="AM228" i="107" s="1"/>
  <c r="AM230" i="107" a="1"/>
  <c r="AM230" i="107" s="1"/>
  <c r="AM223" i="107" a="1"/>
  <c r="AM223" i="107" s="1"/>
  <c r="AM225" i="107" a="1"/>
  <c r="AM225" i="107" s="1"/>
  <c r="AM227" i="107" a="1"/>
  <c r="AM227" i="107" s="1"/>
  <c r="AM229" i="107" a="1"/>
  <c r="AM229" i="107" s="1"/>
  <c r="AM222" i="107" a="1"/>
  <c r="AM222" i="107" s="1"/>
  <c r="I88" i="96" a="1"/>
  <c r="I88" i="96" s="1"/>
  <c r="H186" i="96" s="1"/>
  <c r="U221" i="107"/>
  <c r="W221" i="107" s="1" a="1"/>
  <c r="W221" i="107" s="1"/>
  <c r="W227" i="107" a="1"/>
  <c r="W227" i="107" s="1"/>
  <c r="W229" i="107" a="1"/>
  <c r="W229" i="107" s="1"/>
  <c r="W222" i="107" a="1"/>
  <c r="W222" i="107" s="1"/>
  <c r="W224" i="107" a="1"/>
  <c r="W224" i="107" s="1"/>
  <c r="W226" i="107" a="1"/>
  <c r="W226" i="107" s="1"/>
  <c r="W228" i="107" a="1"/>
  <c r="W228" i="107" s="1"/>
  <c r="W230" i="107" a="1"/>
  <c r="W230" i="107" s="1"/>
  <c r="W223" i="107" a="1"/>
  <c r="W223" i="107" s="1"/>
  <c r="W225" i="107" a="1"/>
  <c r="W225" i="107" s="1"/>
  <c r="I36" i="99"/>
  <c r="E24" i="100"/>
  <c r="I24" i="100" s="1" a="1"/>
  <c r="I24" i="100" s="1"/>
  <c r="D45" i="100" s="1"/>
  <c r="E45" i="100" s="1" a="1"/>
  <c r="E45" i="100" s="1"/>
  <c r="E48" i="100" s="1"/>
  <c r="E642" i="107"/>
  <c r="G127" i="107" a="1"/>
  <c r="G127" i="107" s="1"/>
  <c r="E94" i="107"/>
  <c r="E61" i="92"/>
  <c r="E15" i="13" a="1"/>
  <c r="E15" i="13" s="1"/>
  <c r="F15" i="13" s="1"/>
  <c r="I15" i="13" s="1" a="1"/>
  <c r="I15" i="13" s="1"/>
  <c r="E378" i="107"/>
  <c r="E460" i="107"/>
  <c r="G122" i="107" a="1"/>
  <c r="G122" i="107" s="1"/>
  <c r="E459" i="107"/>
  <c r="E441" i="107"/>
  <c r="E442" i="107"/>
  <c r="E34" i="107"/>
  <c r="E93" i="107" s="1"/>
  <c r="I123" i="107" a="1"/>
  <c r="I123" i="107" s="1"/>
  <c r="G123" i="107" a="1"/>
  <c r="G123" i="107" s="1"/>
  <c r="G124" i="107" a="1"/>
  <c r="G124" i="107" s="1"/>
  <c r="I124" i="107" a="1"/>
  <c r="I124" i="107" s="1"/>
  <c r="E379" i="107"/>
  <c r="I270" i="107" a="1"/>
  <c r="I270" i="107" s="1"/>
  <c r="E284" i="107" s="1"/>
  <c r="G270" i="107" a="1"/>
  <c r="G270" i="107" s="1"/>
  <c r="E283" i="107" s="1"/>
  <c r="I126" i="107" a="1"/>
  <c r="I126" i="107" s="1"/>
  <c r="G126" i="107" a="1"/>
  <c r="G126" i="107" s="1"/>
  <c r="I128" i="107" a="1"/>
  <c r="I128" i="107" s="1"/>
  <c r="G128" i="107" a="1"/>
  <c r="G128" i="107" s="1"/>
  <c r="I157" i="96"/>
  <c r="K157" i="96" s="1" a="1"/>
  <c r="K157" i="96" s="1"/>
  <c r="I127" i="96"/>
  <c r="K127" i="96" s="1" a="1"/>
  <c r="K127" i="96" s="1"/>
  <c r="I144" i="96"/>
  <c r="K144" i="96" s="1" a="1"/>
  <c r="K144" i="96" s="1"/>
  <c r="I185" i="96"/>
  <c r="K185" i="96" s="1" a="1"/>
  <c r="K185" i="96" s="1"/>
  <c r="I138" i="96"/>
  <c r="K138" i="96" s="1" a="1"/>
  <c r="K138" i="96" s="1"/>
  <c r="I116" i="96"/>
  <c r="K116" i="96" s="1" a="1"/>
  <c r="K116" i="96" s="1"/>
  <c r="E43" i="92"/>
  <c r="E44" i="93"/>
  <c r="E51" i="93"/>
  <c r="E45" i="93"/>
  <c r="E43" i="93"/>
  <c r="E44" i="92"/>
  <c r="E46" i="93"/>
  <c r="E46" i="92"/>
  <c r="E55" i="92"/>
  <c r="E49" i="93"/>
  <c r="E56" i="92"/>
  <c r="E50" i="93"/>
  <c r="E57" i="92"/>
  <c r="E58" i="92"/>
  <c r="E63" i="92"/>
  <c r="E64" i="92"/>
  <c r="E62" i="92"/>
  <c r="E45" i="92"/>
  <c r="H15" i="13" a="1"/>
  <c r="H15" i="13" s="1"/>
  <c r="F16" i="13"/>
  <c r="I16" i="13" s="1" a="1"/>
  <c r="I16" i="13" s="1"/>
  <c r="E237" i="107" l="1"/>
  <c r="J240" i="107" a="1"/>
  <c r="J240" i="107" s="1"/>
  <c r="J246" i="107" a="1"/>
  <c r="J246" i="107" s="1"/>
  <c r="J244" i="107" a="1"/>
  <c r="J244" i="107" s="1"/>
  <c r="J243" i="107" a="1"/>
  <c r="J243" i="107" s="1"/>
  <c r="J241" i="107" a="1"/>
  <c r="J241" i="107" s="1"/>
  <c r="J239" i="107" a="1"/>
  <c r="J239" i="107" s="1"/>
  <c r="J238" i="107" a="1"/>
  <c r="J238" i="107" s="1"/>
  <c r="J242" i="107" a="1"/>
  <c r="J242" i="107" s="1"/>
  <c r="J245" i="107" a="1"/>
  <c r="J245" i="107" s="1"/>
  <c r="H243" i="107" a="1"/>
  <c r="H243" i="107" s="1"/>
  <c r="H242" i="107" a="1"/>
  <c r="H242" i="107" s="1"/>
  <c r="H245" i="107" a="1"/>
  <c r="H245" i="107" s="1"/>
  <c r="K245" i="107" a="1"/>
  <c r="K245" i="107" s="1"/>
  <c r="K242" i="107" a="1"/>
  <c r="K242" i="107" s="1"/>
  <c r="K243" i="107" a="1"/>
  <c r="K243" i="107" s="1"/>
  <c r="K241" i="107" a="1"/>
  <c r="K241" i="107" s="1"/>
  <c r="H246" i="107" a="1"/>
  <c r="H246" i="107" s="1"/>
  <c r="K240" i="107" a="1"/>
  <c r="K240" i="107" s="1"/>
  <c r="H244" i="107" a="1"/>
  <c r="H244" i="107" s="1"/>
  <c r="H240" i="107" a="1"/>
  <c r="H240" i="107" s="1"/>
  <c r="H238" i="107" a="1"/>
  <c r="H238" i="107" s="1"/>
  <c r="K239" i="107" a="1"/>
  <c r="K239" i="107" s="1"/>
  <c r="H239" i="107" a="1"/>
  <c r="H239" i="107" s="1"/>
  <c r="K246" i="107" a="1"/>
  <c r="K246" i="107" s="1"/>
  <c r="K238" i="107" a="1"/>
  <c r="K238" i="107" s="1"/>
  <c r="K244" i="107" a="1"/>
  <c r="K244" i="107" s="1"/>
  <c r="H241" i="107" a="1"/>
  <c r="H241" i="107" s="1"/>
  <c r="E36" i="98"/>
  <c r="E40" i="98"/>
  <c r="F224" i="107" a="1"/>
  <c r="F224" i="107" s="1"/>
  <c r="E21" i="81" a="1"/>
  <c r="E21" i="81" s="1"/>
  <c r="G21" i="81" s="1" a="1"/>
  <c r="G21" i="81" s="1"/>
  <c r="E26" i="81" a="1"/>
  <c r="E26" i="81" s="1"/>
  <c r="G26" i="81" s="1" a="1"/>
  <c r="G26" i="81" s="1"/>
  <c r="E35" i="81" a="1"/>
  <c r="E35" i="81" s="1"/>
  <c r="G35" i="81" s="1" a="1"/>
  <c r="G35" i="81" s="1"/>
  <c r="E37" i="82" a="1"/>
  <c r="E37" i="82" s="1"/>
  <c r="G37" i="82" s="1" a="1"/>
  <c r="G37" i="82" s="1"/>
  <c r="E76" i="82" s="1" a="1"/>
  <c r="E76" i="82" s="1"/>
  <c r="E19" i="81" a="1"/>
  <c r="E19" i="81" s="1"/>
  <c r="G19" i="81" s="1" a="1"/>
  <c r="G19" i="81" s="1"/>
  <c r="E31" i="82" a="1"/>
  <c r="E31" i="82" s="1"/>
  <c r="G31" i="82" s="1" a="1"/>
  <c r="G31" i="82" s="1"/>
  <c r="E70" i="82" s="1" a="1"/>
  <c r="E70" i="82" s="1"/>
  <c r="E30" i="82" a="1"/>
  <c r="E30" i="82" s="1"/>
  <c r="G30" i="82" s="1" a="1"/>
  <c r="G30" i="82" s="1"/>
  <c r="E69" i="82" s="1" a="1"/>
  <c r="E69" i="82" s="1"/>
  <c r="E27" i="82" a="1"/>
  <c r="E27" i="82" s="1"/>
  <c r="G27" i="82" s="1" a="1"/>
  <c r="G27" i="82" s="1"/>
  <c r="E66" i="82" s="1" a="1"/>
  <c r="E66" i="82" s="1"/>
  <c r="E33" i="82" a="1"/>
  <c r="E33" i="82" s="1"/>
  <c r="G33" i="82" s="1" a="1"/>
  <c r="G33" i="82" s="1"/>
  <c r="E72" i="82" s="1" a="1"/>
  <c r="E72" i="82" s="1"/>
  <c r="E34" i="81" a="1"/>
  <c r="E34" i="81" s="1"/>
  <c r="G34" i="81" s="1" a="1"/>
  <c r="G34" i="81" s="1"/>
  <c r="E22" i="82" a="1"/>
  <c r="E22" i="82" s="1"/>
  <c r="G22" i="82" s="1" a="1"/>
  <c r="G22" i="82" s="1"/>
  <c r="E61" i="82" s="1" a="1"/>
  <c r="E61" i="82" s="1"/>
  <c r="E37" i="81" a="1"/>
  <c r="E37" i="81" s="1"/>
  <c r="G37" i="81" s="1" a="1"/>
  <c r="G37" i="81" s="1"/>
  <c r="E27" i="81" a="1"/>
  <c r="E27" i="81" s="1"/>
  <c r="G27" i="81" s="1" a="1"/>
  <c r="G27" i="81" s="1"/>
  <c r="E20" i="82" a="1"/>
  <c r="E20" i="82" s="1"/>
  <c r="G20" i="82" s="1" a="1"/>
  <c r="G20" i="82" s="1"/>
  <c r="E59" i="82" s="1" a="1"/>
  <c r="E59" i="82" s="1"/>
  <c r="E30" i="81" a="1"/>
  <c r="E30" i="81" s="1"/>
  <c r="G30" i="81" s="1" a="1"/>
  <c r="G30" i="81" s="1"/>
  <c r="E20" i="81" a="1"/>
  <c r="E20" i="81" s="1"/>
  <c r="G20" i="81" s="1" a="1"/>
  <c r="G20" i="81" s="1"/>
  <c r="E35" i="82" a="1"/>
  <c r="E35" i="82" s="1"/>
  <c r="G35" i="82" s="1" a="1"/>
  <c r="G35" i="82" s="1"/>
  <c r="E74" i="82" s="1" a="1"/>
  <c r="E74" i="82" s="1"/>
  <c r="E24" i="81" a="1"/>
  <c r="E24" i="81" s="1"/>
  <c r="G24" i="81" s="1" a="1"/>
  <c r="G24" i="81" s="1"/>
  <c r="E28" i="82" a="1"/>
  <c r="E28" i="82" s="1"/>
  <c r="G28" i="82" s="1" a="1"/>
  <c r="G28" i="82" s="1"/>
  <c r="E67" i="82" s="1" a="1"/>
  <c r="E67" i="82" s="1"/>
  <c r="E26" i="82" a="1"/>
  <c r="E26" i="82" s="1"/>
  <c r="G26" i="82" s="1" a="1"/>
  <c r="G26" i="82" s="1"/>
  <c r="E65" i="82" s="1" a="1"/>
  <c r="E65" i="82" s="1"/>
  <c r="E25" i="81" a="1"/>
  <c r="E25" i="81" s="1"/>
  <c r="G25" i="81" s="1" a="1"/>
  <c r="G25" i="81" s="1"/>
  <c r="E28" i="81" a="1"/>
  <c r="E28" i="81" s="1"/>
  <c r="G28" i="81" s="1" a="1"/>
  <c r="G28" i="81" s="1"/>
  <c r="E32" i="81" a="1"/>
  <c r="E32" i="81" s="1"/>
  <c r="G32" i="81" s="1" a="1"/>
  <c r="G32" i="81" s="1"/>
  <c r="E19" i="82" a="1"/>
  <c r="E19" i="82" s="1"/>
  <c r="G19" i="82" s="1" a="1"/>
  <c r="G19" i="82" s="1"/>
  <c r="E58" i="82" s="1" a="1"/>
  <c r="E58" i="82" s="1"/>
  <c r="E32" i="82" a="1"/>
  <c r="E32" i="82" s="1"/>
  <c r="G32" i="82" s="1" a="1"/>
  <c r="G32" i="82" s="1"/>
  <c r="E71" i="82" s="1" a="1"/>
  <c r="E71" i="82" s="1"/>
  <c r="E23" i="82" a="1"/>
  <c r="E23" i="82" s="1"/>
  <c r="G23" i="82" s="1" a="1"/>
  <c r="G23" i="82" s="1"/>
  <c r="E62" i="82" s="1" a="1"/>
  <c r="E62" i="82" s="1"/>
  <c r="E221" i="107" a="1"/>
  <c r="E29" i="81" a="1"/>
  <c r="E29" i="81" s="1"/>
  <c r="G29" i="81" s="1" a="1"/>
  <c r="G29" i="81" s="1"/>
  <c r="E34" i="82" a="1"/>
  <c r="E34" i="82" s="1"/>
  <c r="G34" i="82" s="1" a="1"/>
  <c r="G34" i="82" s="1"/>
  <c r="E73" i="82" s="1" a="1"/>
  <c r="E73" i="82" s="1"/>
  <c r="E22" i="81" a="1"/>
  <c r="E22" i="81" s="1"/>
  <c r="G22" i="81" s="1" a="1"/>
  <c r="G22" i="81" s="1"/>
  <c r="E23" i="81" a="1"/>
  <c r="E23" i="81" s="1"/>
  <c r="G23" i="81" s="1" a="1"/>
  <c r="G23" i="81" s="1"/>
  <c r="E36" i="82" a="1"/>
  <c r="E36" i="82" s="1"/>
  <c r="G36" i="82" s="1" a="1"/>
  <c r="G36" i="82" s="1"/>
  <c r="E75" i="82" s="1" a="1"/>
  <c r="E75" i="82" s="1"/>
  <c r="E21" i="82" a="1"/>
  <c r="E21" i="82" s="1"/>
  <c r="G21" i="82" s="1" a="1"/>
  <c r="G21" i="82" s="1"/>
  <c r="E60" i="82" s="1" a="1"/>
  <c r="E60" i="82" s="1"/>
  <c r="E31" i="81" a="1"/>
  <c r="E31" i="81" s="1"/>
  <c r="G31" i="81" s="1" a="1"/>
  <c r="G31" i="81" s="1"/>
  <c r="E24" i="82" a="1"/>
  <c r="E24" i="82" s="1"/>
  <c r="G24" i="82" s="1" a="1"/>
  <c r="G24" i="82" s="1"/>
  <c r="E63" i="82" s="1" a="1"/>
  <c r="E63" i="82" s="1"/>
  <c r="E29" i="82" a="1"/>
  <c r="E29" i="82" s="1"/>
  <c r="G29" i="82" s="1" a="1"/>
  <c r="G29" i="82" s="1"/>
  <c r="E68" i="82" s="1" a="1"/>
  <c r="E68" i="82" s="1"/>
  <c r="E36" i="81" a="1"/>
  <c r="E36" i="81" s="1"/>
  <c r="G36" i="81" s="1" a="1"/>
  <c r="G36" i="81" s="1"/>
  <c r="E33" i="81" a="1"/>
  <c r="E33" i="81" s="1"/>
  <c r="G33" i="81" s="1" a="1"/>
  <c r="G33" i="81" s="1"/>
  <c r="E25" i="82" a="1"/>
  <c r="E25" i="82" s="1"/>
  <c r="G25" i="82" s="1" a="1"/>
  <c r="G25" i="82" s="1"/>
  <c r="E64" i="82" s="1" a="1"/>
  <c r="E64" i="82" s="1"/>
  <c r="F222" i="107" a="1"/>
  <c r="F222" i="107" s="1"/>
  <c r="G222" i="107" s="1" a="1"/>
  <c r="G222" i="107" s="1"/>
  <c r="F229" i="107" a="1"/>
  <c r="F229" i="107" s="1"/>
  <c r="G229" i="107" s="1" a="1"/>
  <c r="G229" i="107" s="1"/>
  <c r="G246" i="107" a="1"/>
  <c r="G246" i="107" s="1"/>
  <c r="F221" i="107" a="1"/>
  <c r="F221" i="107" s="1"/>
  <c r="G240" i="107" a="1"/>
  <c r="G240" i="107" s="1"/>
  <c r="G238" i="107" a="1"/>
  <c r="G238" i="107" s="1"/>
  <c r="G20" i="83"/>
  <c r="I20" i="83" s="1" a="1"/>
  <c r="I20" i="83" s="1"/>
  <c r="I21" i="83" a="1"/>
  <c r="I21" i="83" s="1"/>
  <c r="I22" i="83" a="1"/>
  <c r="I22" i="83" s="1"/>
  <c r="G243" i="107" a="1"/>
  <c r="G243" i="107" s="1"/>
  <c r="F225" i="107" a="1"/>
  <c r="F225" i="107" s="1"/>
  <c r="G225" i="107" s="1" a="1"/>
  <c r="G225" i="107" s="1"/>
  <c r="O45" i="81"/>
  <c r="W49" i="81"/>
  <c r="W48" i="81"/>
  <c r="R49" i="81" a="1"/>
  <c r="R49" i="81" s="1"/>
  <c r="V48" i="81" a="1"/>
  <c r="V48" i="81" s="1"/>
  <c r="S48" i="81" a="1"/>
  <c r="S48" i="81" s="1"/>
  <c r="S46" i="81" a="1"/>
  <c r="S46" i="81" s="1"/>
  <c r="Q49" i="81"/>
  <c r="V49" i="81" a="1"/>
  <c r="V49" i="81" s="1"/>
  <c r="W47" i="81"/>
  <c r="O89" i="81" s="1" a="1"/>
  <c r="O89" i="81" s="1"/>
  <c r="T47" i="81"/>
  <c r="U47" i="81" s="1"/>
  <c r="S47" i="81" a="1"/>
  <c r="S47" i="81" s="1"/>
  <c r="Q47" i="81"/>
  <c r="T46" i="81"/>
  <c r="U46" i="81" s="1"/>
  <c r="R48" i="81" a="1"/>
  <c r="R48" i="81" s="1"/>
  <c r="S49" i="81" a="1"/>
  <c r="S49" i="81" s="1"/>
  <c r="R47" i="81" a="1"/>
  <c r="R47" i="81" s="1"/>
  <c r="Q48" i="81"/>
  <c r="T48" i="81"/>
  <c r="U48" i="81" s="1"/>
  <c r="W46" i="81"/>
  <c r="O88" i="81" s="1" a="1"/>
  <c r="O88" i="81" s="1"/>
  <c r="Q46" i="81"/>
  <c r="T49" i="81"/>
  <c r="U49" i="81" s="1"/>
  <c r="R46" i="81" a="1"/>
  <c r="R46" i="81" s="1"/>
  <c r="F223" i="107" a="1"/>
  <c r="F223" i="107" s="1"/>
  <c r="G223" i="107" s="1" a="1"/>
  <c r="G223" i="107" s="1"/>
  <c r="F230" i="107" a="1"/>
  <c r="F230" i="107" s="1"/>
  <c r="G230" i="107" s="1" a="1"/>
  <c r="G230" i="107" s="1"/>
  <c r="G227" i="107" a="1"/>
  <c r="G227" i="107" s="1"/>
  <c r="E25" i="84"/>
  <c r="H25" i="84" s="1" a="1"/>
  <c r="H25" i="84" s="1"/>
  <c r="H27" i="84" a="1"/>
  <c r="H27" i="84" s="1"/>
  <c r="H26" i="84" a="1"/>
  <c r="H26" i="84" s="1"/>
  <c r="F228" i="107" a="1"/>
  <c r="F228" i="107" s="1"/>
  <c r="G228" i="107" s="1" a="1"/>
  <c r="G228" i="107" s="1"/>
  <c r="W55" i="81"/>
  <c r="O97" i="81" s="1" a="1"/>
  <c r="O97" i="81" s="1"/>
  <c r="T55" i="81"/>
  <c r="V55" i="81" a="1"/>
  <c r="V55" i="81" s="1"/>
  <c r="S55" i="81" a="1"/>
  <c r="S55" i="81" s="1"/>
  <c r="R55" i="81" a="1"/>
  <c r="R55" i="81" s="1"/>
  <c r="G305" i="107" a="1"/>
  <c r="G305" i="107" s="1"/>
  <c r="F305" i="107" a="1"/>
  <c r="H305" i="107" a="1"/>
  <c r="H305" i="107" s="1"/>
  <c r="U58" i="81"/>
  <c r="P55" i="81"/>
  <c r="U55" i="81" s="1"/>
  <c r="U57" i="81"/>
  <c r="U59" i="81"/>
  <c r="Q59" i="81"/>
  <c r="Q58" i="81"/>
  <c r="Q56" i="81"/>
  <c r="P98" i="81" s="1" a="1"/>
  <c r="P98" i="81" s="1"/>
  <c r="U56" i="81"/>
  <c r="F226" i="107" a="1"/>
  <c r="F226" i="107" s="1"/>
  <c r="G226" i="107" s="1" a="1"/>
  <c r="G226" i="107" s="1"/>
  <c r="G241" i="107" a="1"/>
  <c r="G241" i="107" s="1"/>
  <c r="G50" i="100"/>
  <c r="E53" i="100" s="1" a="1"/>
  <c r="E53" i="100" s="1"/>
  <c r="E14" i="13" a="1"/>
  <c r="E14" i="13" s="1"/>
  <c r="H14" i="13" s="1" a="1"/>
  <c r="H14" i="13" s="1"/>
  <c r="E130" i="107"/>
  <c r="E144" i="107" s="1"/>
  <c r="E131" i="107"/>
  <c r="E145" i="107" s="1"/>
  <c r="E192" i="96"/>
  <c r="E588" i="107" s="1"/>
  <c r="E67" i="92"/>
  <c r="E151" i="96"/>
  <c r="E68" i="92"/>
  <c r="E57" i="93"/>
  <c r="E70" i="92"/>
  <c r="I515" i="107" s="1"/>
  <c r="E56" i="93"/>
  <c r="E58" i="93"/>
  <c r="I516" i="107" s="1"/>
  <c r="E69" i="92"/>
  <c r="E55" i="93"/>
  <c r="G73" i="13"/>
  <c r="G74" i="13" s="1"/>
  <c r="G70" i="13"/>
  <c r="G71" i="13" s="1"/>
  <c r="E74" i="81" l="1" a="1"/>
  <c r="E74" i="81" s="1"/>
  <c r="E37" i="86"/>
  <c r="F37" i="86" s="1" a="1"/>
  <c r="F37" i="86" s="1"/>
  <c r="E33" i="85"/>
  <c r="H33" i="85" s="1" a="1"/>
  <c r="H33" i="85" s="1"/>
  <c r="E73" i="85" s="1"/>
  <c r="F73" i="85" s="1" a="1"/>
  <c r="F73" i="85" s="1"/>
  <c r="E78" i="82"/>
  <c r="E75" i="81" a="1"/>
  <c r="E75" i="81" s="1"/>
  <c r="E38" i="86"/>
  <c r="F38" i="86" s="1" a="1"/>
  <c r="F38" i="86" s="1"/>
  <c r="E34" i="85"/>
  <c r="H34" i="85" s="1" a="1"/>
  <c r="H34" i="85" s="1"/>
  <c r="E74" i="85" s="1"/>
  <c r="F74" i="85" s="1" a="1"/>
  <c r="F74" i="85" s="1"/>
  <c r="E31" i="84"/>
  <c r="W45" i="81"/>
  <c r="O87" i="81" s="1" a="1"/>
  <c r="O87" i="81" s="1"/>
  <c r="R45" i="81" a="1"/>
  <c r="R45" i="81" s="1"/>
  <c r="T45" i="81"/>
  <c r="U45" i="81" s="1"/>
  <c r="S45" i="81" a="1"/>
  <c r="S45" i="81" s="1"/>
  <c r="Q45" i="81"/>
  <c r="E73" i="81" a="1"/>
  <c r="E73" i="81" s="1"/>
  <c r="E36" i="86"/>
  <c r="F36" i="86" s="1" a="1"/>
  <c r="F36" i="86" s="1"/>
  <c r="E32" i="85"/>
  <c r="H32" i="85" s="1" a="1"/>
  <c r="H32" i="85" s="1"/>
  <c r="E72" i="85" s="1"/>
  <c r="F72" i="85" s="1" a="1"/>
  <c r="F72" i="85" s="1"/>
  <c r="E72" i="81" a="1"/>
  <c r="E72" i="81" s="1"/>
  <c r="E35" i="86"/>
  <c r="F35" i="86" s="1" a="1"/>
  <c r="F35" i="86" s="1"/>
  <c r="E31" i="85"/>
  <c r="H31" i="85" s="1" a="1"/>
  <c r="H31" i="85" s="1"/>
  <c r="E71" i="85" s="1"/>
  <c r="F71" i="85" s="1" a="1"/>
  <c r="F71" i="85" s="1"/>
  <c r="E77" i="81" a="1"/>
  <c r="E77" i="81" s="1"/>
  <c r="E40" i="86"/>
  <c r="F40" i="86" s="1" a="1"/>
  <c r="F40" i="86" s="1"/>
  <c r="E36" i="85"/>
  <c r="H36" i="85" s="1" a="1"/>
  <c r="H36" i="85" s="1"/>
  <c r="E76" i="85" s="1"/>
  <c r="F76" i="85" s="1" a="1"/>
  <c r="F76" i="85" s="1"/>
  <c r="E66" i="81" a="1"/>
  <c r="E66" i="81" s="1"/>
  <c r="E25" i="85"/>
  <c r="H25" i="85" s="1" a="1"/>
  <c r="H25" i="85" s="1"/>
  <c r="E65" i="85" s="1"/>
  <c r="F65" i="85" s="1" a="1"/>
  <c r="F65" i="85" s="1"/>
  <c r="E29" i="86"/>
  <c r="F29" i="86" s="1" a="1"/>
  <c r="F29" i="86" s="1"/>
  <c r="E103" i="85"/>
  <c r="F103" i="85" s="1" a="1"/>
  <c r="F103" i="85" s="1"/>
  <c r="E135" i="85" s="1"/>
  <c r="F135" i="85" s="1" a="1"/>
  <c r="F135" i="85" s="1"/>
  <c r="E66" i="86"/>
  <c r="F66" i="86" s="1" a="1"/>
  <c r="F66" i="86" s="1"/>
  <c r="E60" i="81" a="1"/>
  <c r="E60" i="81" s="1"/>
  <c r="E19" i="85"/>
  <c r="H19" i="85" s="1" a="1"/>
  <c r="H19" i="85" s="1"/>
  <c r="E59" i="85" s="1"/>
  <c r="F59" i="85" s="1" a="1"/>
  <c r="F59" i="85" s="1"/>
  <c r="E23" i="86"/>
  <c r="F23" i="86" s="1" a="1"/>
  <c r="F23" i="86" s="1"/>
  <c r="E69" i="81" a="1"/>
  <c r="E69" i="81" s="1"/>
  <c r="E32" i="86"/>
  <c r="F32" i="86" s="1" a="1"/>
  <c r="F32" i="86" s="1"/>
  <c r="E28" i="85"/>
  <c r="H28" i="85" s="1" a="1"/>
  <c r="H28" i="85" s="1"/>
  <c r="E68" i="85" s="1"/>
  <c r="F68" i="85" s="1" a="1"/>
  <c r="F68" i="85" s="1"/>
  <c r="E67" i="86"/>
  <c r="F67" i="86" s="1" a="1"/>
  <c r="F67" i="86" s="1"/>
  <c r="E104" i="85"/>
  <c r="F104" i="85" s="1" a="1"/>
  <c r="F104" i="85" s="1"/>
  <c r="E136" i="85" s="1"/>
  <c r="F136" i="85" s="1" a="1"/>
  <c r="F136" i="85" s="1"/>
  <c r="E27" i="86"/>
  <c r="F27" i="86" s="1" a="1"/>
  <c r="F27" i="86" s="1"/>
  <c r="E23" i="85"/>
  <c r="H23" i="85" s="1" a="1"/>
  <c r="H23" i="85" s="1"/>
  <c r="E63" i="85" s="1"/>
  <c r="F63" i="85" s="1" a="1"/>
  <c r="F63" i="85" s="1"/>
  <c r="E64" i="81" a="1"/>
  <c r="E64" i="81" s="1"/>
  <c r="E76" i="81" a="1"/>
  <c r="E76" i="81" s="1"/>
  <c r="E35" i="85"/>
  <c r="H35" i="85" s="1" a="1"/>
  <c r="H35" i="85" s="1"/>
  <c r="E75" i="85" s="1"/>
  <c r="F75" i="85" s="1" a="1"/>
  <c r="F75" i="85" s="1"/>
  <c r="E39" i="86"/>
  <c r="F39" i="86" s="1" a="1"/>
  <c r="F39" i="86" s="1"/>
  <c r="O92" i="81" a="1"/>
  <c r="O92" i="81" s="1"/>
  <c r="P92" i="81" s="1" a="1"/>
  <c r="P92" i="81" s="1"/>
  <c r="O96" i="81" a="1"/>
  <c r="O96" i="81" s="1"/>
  <c r="P96" i="81" s="1" a="1"/>
  <c r="P96" i="81" s="1"/>
  <c r="O91" i="81" a="1"/>
  <c r="O91" i="81" s="1"/>
  <c r="P91" i="81" s="1" a="1"/>
  <c r="P91" i="81" s="1"/>
  <c r="O90" i="81" a="1"/>
  <c r="O90" i="81" s="1"/>
  <c r="P90" i="81" s="1" a="1"/>
  <c r="P90" i="81" s="1"/>
  <c r="O104" i="81" a="1"/>
  <c r="O104" i="81" s="1"/>
  <c r="P104" i="81" s="1" a="1"/>
  <c r="P104" i="81" s="1"/>
  <c r="O106" i="81" a="1"/>
  <c r="O106" i="81" s="1"/>
  <c r="P106" i="81" s="1" a="1"/>
  <c r="P106" i="81" s="1"/>
  <c r="O94" i="81" a="1"/>
  <c r="O94" i="81" s="1"/>
  <c r="P94" i="81" s="1" a="1"/>
  <c r="P94" i="81" s="1"/>
  <c r="O103" i="81" a="1"/>
  <c r="O103" i="81" s="1"/>
  <c r="P103" i="81" s="1" a="1"/>
  <c r="P103" i="81" s="1"/>
  <c r="O102" i="81" a="1"/>
  <c r="O102" i="81" s="1"/>
  <c r="P102" i="81" s="1" a="1"/>
  <c r="P102" i="81" s="1"/>
  <c r="O95" i="81" a="1"/>
  <c r="O95" i="81" s="1"/>
  <c r="P95" i="81" s="1" a="1"/>
  <c r="P95" i="81" s="1"/>
  <c r="O100" i="81" a="1"/>
  <c r="O100" i="81" s="1"/>
  <c r="P100" i="81" s="1" a="1"/>
  <c r="P100" i="81" s="1"/>
  <c r="O101" i="81" a="1"/>
  <c r="O101" i="81" s="1"/>
  <c r="P101" i="81" s="1" a="1"/>
  <c r="P101" i="81" s="1"/>
  <c r="O93" i="81" a="1"/>
  <c r="O93" i="81" s="1"/>
  <c r="P93" i="81" s="1" a="1"/>
  <c r="P93" i="81" s="1"/>
  <c r="O105" i="81" a="1"/>
  <c r="O105" i="81" s="1"/>
  <c r="P105" i="81" s="1" a="1"/>
  <c r="P105" i="81" s="1"/>
  <c r="E63" i="81" a="1"/>
  <c r="E63" i="81" s="1"/>
  <c r="E26" i="86"/>
  <c r="F26" i="86" s="1" a="1"/>
  <c r="F26" i="86" s="1"/>
  <c r="E22" i="85"/>
  <c r="H22" i="85" s="1" a="1"/>
  <c r="H22" i="85" s="1"/>
  <c r="E62" i="85" s="1"/>
  <c r="F62" i="85" s="1" a="1"/>
  <c r="F62" i="85" s="1"/>
  <c r="E61" i="81" a="1"/>
  <c r="E61" i="81" s="1"/>
  <c r="E24" i="86"/>
  <c r="F24" i="86" s="1" a="1"/>
  <c r="F24" i="86" s="1"/>
  <c r="E20" i="85"/>
  <c r="H20" i="85" s="1" a="1"/>
  <c r="H20" i="85" s="1"/>
  <c r="E60" i="85" s="1"/>
  <c r="F60" i="85" s="1" a="1"/>
  <c r="F60" i="85" s="1"/>
  <c r="E67" i="81" a="1"/>
  <c r="E67" i="81" s="1"/>
  <c r="E30" i="86"/>
  <c r="F30" i="86" s="1" a="1"/>
  <c r="F30" i="86" s="1"/>
  <c r="E26" i="85"/>
  <c r="H26" i="85" s="1" a="1"/>
  <c r="H26" i="85" s="1"/>
  <c r="E66" i="85" s="1"/>
  <c r="F66" i="85" s="1" a="1"/>
  <c r="F66" i="85" s="1"/>
  <c r="V46" i="81" a="1"/>
  <c r="V46" i="81" s="1"/>
  <c r="V47" i="81" a="1"/>
  <c r="V47" i="81" s="1"/>
  <c r="P89" i="81" a="1"/>
  <c r="P89" i="81" s="1"/>
  <c r="E102" i="85"/>
  <c r="F102" i="85" s="1" a="1"/>
  <c r="F102" i="85" s="1"/>
  <c r="E134" i="85" s="1"/>
  <c r="F134" i="85" s="1" a="1"/>
  <c r="F134" i="85" s="1"/>
  <c r="E65" i="86"/>
  <c r="F65" i="86" s="1" a="1"/>
  <c r="F65" i="86" s="1"/>
  <c r="E32" i="83"/>
  <c r="K44" i="83" s="1"/>
  <c r="E71" i="81" a="1"/>
  <c r="E71" i="81" s="1"/>
  <c r="E34" i="86"/>
  <c r="F34" i="86" s="1" a="1"/>
  <c r="F34" i="86" s="1"/>
  <c r="E30" i="85"/>
  <c r="H30" i="85" s="1" a="1"/>
  <c r="H30" i="85" s="1"/>
  <c r="E70" i="85" s="1"/>
  <c r="F70" i="85" s="1" a="1"/>
  <c r="F70" i="85" s="1"/>
  <c r="E62" i="81" a="1"/>
  <c r="E62" i="81" s="1"/>
  <c r="E25" i="86"/>
  <c r="F25" i="86" s="1" a="1"/>
  <c r="F25" i="86" s="1"/>
  <c r="E21" i="85"/>
  <c r="H21" i="85" s="1" a="1"/>
  <c r="H21" i="85" s="1"/>
  <c r="E61" i="85" s="1"/>
  <c r="F61" i="85" s="1" a="1"/>
  <c r="F61" i="85" s="1"/>
  <c r="Q55" i="81"/>
  <c r="P97" i="81" s="1" a="1"/>
  <c r="P97" i="81" s="1"/>
  <c r="P88" i="81" a="1"/>
  <c r="P88" i="81" s="1"/>
  <c r="G224" i="107" a="1"/>
  <c r="G224" i="107" s="1"/>
  <c r="E65" i="81" a="1"/>
  <c r="E65" i="81" s="1"/>
  <c r="E28" i="86"/>
  <c r="F28" i="86" s="1" a="1"/>
  <c r="F28" i="86" s="1"/>
  <c r="E24" i="85"/>
  <c r="H24" i="85" s="1" a="1"/>
  <c r="H24" i="85" s="1"/>
  <c r="E64" i="85" s="1"/>
  <c r="F64" i="85" s="1" a="1"/>
  <c r="F64" i="85" s="1"/>
  <c r="E70" i="81" a="1"/>
  <c r="E70" i="81" s="1"/>
  <c r="E29" i="85"/>
  <c r="H29" i="85" s="1" a="1"/>
  <c r="H29" i="85" s="1"/>
  <c r="E69" i="85" s="1"/>
  <c r="F69" i="85" s="1" a="1"/>
  <c r="F69" i="85" s="1"/>
  <c r="E33" i="86"/>
  <c r="F33" i="86" s="1" a="1"/>
  <c r="F33" i="86" s="1"/>
  <c r="H228" i="107" a="1"/>
  <c r="H228" i="107" s="1"/>
  <c r="H222" i="107" a="1"/>
  <c r="H222" i="107" s="1"/>
  <c r="K226" i="107" a="1"/>
  <c r="K226" i="107" s="1"/>
  <c r="K223" i="107" a="1"/>
  <c r="K223" i="107" s="1"/>
  <c r="H229" i="107" a="1"/>
  <c r="H229" i="107" s="1"/>
  <c r="K229" i="107" a="1"/>
  <c r="K229" i="107" s="1"/>
  <c r="H223" i="107" a="1"/>
  <c r="H223" i="107" s="1"/>
  <c r="K227" i="107" a="1"/>
  <c r="K227" i="107" s="1"/>
  <c r="H224" i="107" a="1"/>
  <c r="H224" i="107" s="1"/>
  <c r="H230" i="107" a="1"/>
  <c r="H230" i="107" s="1"/>
  <c r="K225" i="107" a="1"/>
  <c r="K225" i="107" s="1"/>
  <c r="K230" i="107" a="1"/>
  <c r="K230" i="107" s="1"/>
  <c r="H225" i="107" a="1"/>
  <c r="H225" i="107" s="1"/>
  <c r="H226" i="107" a="1"/>
  <c r="H226" i="107" s="1"/>
  <c r="K222" i="107" a="1"/>
  <c r="K222" i="107" s="1"/>
  <c r="K228" i="107" a="1"/>
  <c r="K228" i="107" s="1"/>
  <c r="K224" i="107" a="1"/>
  <c r="K224" i="107" s="1"/>
  <c r="H227" i="107" a="1"/>
  <c r="H227" i="107" s="1"/>
  <c r="J225" i="107" a="1"/>
  <c r="J225" i="107" s="1"/>
  <c r="J230" i="107" a="1"/>
  <c r="J230" i="107" s="1"/>
  <c r="J229" i="107" a="1"/>
  <c r="J229" i="107" s="1"/>
  <c r="E221" i="107"/>
  <c r="J227" i="107" a="1"/>
  <c r="J227" i="107" s="1"/>
  <c r="J222" i="107" a="1"/>
  <c r="J222" i="107" s="1"/>
  <c r="J228" i="107" a="1"/>
  <c r="J228" i="107" s="1"/>
  <c r="J224" i="107" a="1"/>
  <c r="J224" i="107" s="1"/>
  <c r="J226" i="107" a="1"/>
  <c r="J226" i="107" s="1"/>
  <c r="J223" i="107" a="1"/>
  <c r="J223" i="107" s="1"/>
  <c r="E27" i="85"/>
  <c r="H27" i="85" s="1" a="1"/>
  <c r="H27" i="85" s="1"/>
  <c r="E67" i="85" s="1"/>
  <c r="F67" i="85" s="1" a="1"/>
  <c r="F67" i="85" s="1"/>
  <c r="E68" i="81" a="1"/>
  <c r="E68" i="81" s="1"/>
  <c r="E31" i="86"/>
  <c r="F31" i="86" s="1" a="1"/>
  <c r="F31" i="86" s="1"/>
  <c r="F305" i="107"/>
  <c r="J312" i="107" a="1"/>
  <c r="J312" i="107" s="1"/>
  <c r="J306" i="107" a="1"/>
  <c r="J306" i="107" s="1"/>
  <c r="J310" i="107" a="1"/>
  <c r="J310" i="107" s="1"/>
  <c r="I306" i="107" a="1"/>
  <c r="I306" i="107" s="1"/>
  <c r="I310" i="107" a="1"/>
  <c r="I310" i="107" s="1"/>
  <c r="I309" i="107" a="1"/>
  <c r="I309" i="107" s="1"/>
  <c r="J307" i="107" a="1"/>
  <c r="J307" i="107" s="1"/>
  <c r="I307" i="107" a="1"/>
  <c r="I307" i="107" s="1"/>
  <c r="J308" i="107" a="1"/>
  <c r="J308" i="107" s="1"/>
  <c r="J313" i="107" a="1"/>
  <c r="J313" i="107" s="1"/>
  <c r="I312" i="107" a="1"/>
  <c r="I312" i="107" s="1"/>
  <c r="I314" i="107" a="1"/>
  <c r="I314" i="107" s="1"/>
  <c r="J309" i="107" a="1"/>
  <c r="J309" i="107" s="1"/>
  <c r="J311" i="107" a="1"/>
  <c r="J311" i="107" s="1"/>
  <c r="I308" i="107" a="1"/>
  <c r="I308" i="107" s="1"/>
  <c r="I313" i="107" a="1"/>
  <c r="I313" i="107" s="1"/>
  <c r="J314" i="107" a="1"/>
  <c r="J314" i="107" s="1"/>
  <c r="I311" i="107" a="1"/>
  <c r="I311" i="107" s="1"/>
  <c r="E37" i="85"/>
  <c r="H37" i="85" s="1" a="1"/>
  <c r="H37" i="85" s="1"/>
  <c r="E77" i="85" s="1"/>
  <c r="F77" i="85" s="1" a="1"/>
  <c r="F77" i="85" s="1"/>
  <c r="E78" i="81" a="1"/>
  <c r="E78" i="81" s="1"/>
  <c r="E41" i="86"/>
  <c r="F41" i="86" s="1" a="1"/>
  <c r="F41" i="86" s="1"/>
  <c r="E35" i="98"/>
  <c r="Q14" i="99" s="1"/>
  <c r="N20" i="99" s="1" a="1"/>
  <c r="N20" i="99" s="1"/>
  <c r="R36" i="99" s="1"/>
  <c r="N43" i="99" s="1" a="1"/>
  <c r="N43" i="99" s="1"/>
  <c r="E42" i="98"/>
  <c r="J237" i="107" a="1"/>
  <c r="J237" i="107" s="1"/>
  <c r="K237" i="107" a="1"/>
  <c r="K237" i="107" s="1"/>
  <c r="H237" i="107" a="1"/>
  <c r="H237" i="107" s="1"/>
  <c r="G237" i="107" a="1"/>
  <c r="G237" i="107" s="1"/>
  <c r="E518" i="107" a="1"/>
  <c r="E518" i="107" s="1"/>
  <c r="E30" i="72"/>
  <c r="E25" i="72"/>
  <c r="E146" i="85" l="1"/>
  <c r="G148" i="85" s="1"/>
  <c r="E151" i="85" s="1" a="1"/>
  <c r="E151" i="85" s="1"/>
  <c r="R55" i="99"/>
  <c r="O24" i="100"/>
  <c r="S24" i="100" s="1" a="1"/>
  <c r="S24" i="100" s="1"/>
  <c r="N45" i="100" s="1"/>
  <c r="O45" i="100" s="1" a="1"/>
  <c r="O45" i="100" s="1"/>
  <c r="O48" i="100" s="1"/>
  <c r="E77" i="86"/>
  <c r="J90" i="86" s="1"/>
  <c r="V45" i="81" a="1"/>
  <c r="V45" i="81" s="1"/>
  <c r="P87" i="81" a="1"/>
  <c r="P87" i="81" s="1"/>
  <c r="N108" i="81" s="1"/>
  <c r="P110" i="81" s="1"/>
  <c r="N113" i="81" s="1" a="1"/>
  <c r="N113" i="81" s="1"/>
  <c r="G221" i="107" a="1"/>
  <c r="G221" i="107" s="1"/>
  <c r="E248" i="107" s="1"/>
  <c r="J221" i="107" a="1"/>
  <c r="J221" i="107" s="1"/>
  <c r="E249" i="107" s="1"/>
  <c r="K221" i="107" a="1"/>
  <c r="K221" i="107" s="1"/>
  <c r="E252" i="107" s="1"/>
  <c r="H221" i="107" a="1"/>
  <c r="H221" i="107" s="1"/>
  <c r="E251" i="107" s="1"/>
  <c r="J305" i="107" a="1"/>
  <c r="J305" i="107" s="1"/>
  <c r="E317" i="107" s="1"/>
  <c r="I305" i="107" a="1"/>
  <c r="I305" i="107" s="1"/>
  <c r="E316" i="107" s="1"/>
  <c r="E79" i="85"/>
  <c r="G81" i="85" s="1"/>
  <c r="E84" i="85" s="1" a="1"/>
  <c r="E84" i="85" s="1"/>
  <c r="E43" i="86"/>
  <c r="J89" i="86" s="1"/>
  <c r="E94" i="86" s="1" a="1"/>
  <c r="E94" i="86" s="1"/>
  <c r="G96" i="86" s="1"/>
  <c r="E99" i="86" s="1" a="1"/>
  <c r="E99" i="86" s="1"/>
  <c r="E80" i="81"/>
  <c r="G82" i="81" s="1"/>
  <c r="E85" i="81" s="1" a="1"/>
  <c r="E85" i="81" s="1"/>
  <c r="E27" i="72" a="1"/>
  <c r="E27" i="72" s="1"/>
  <c r="E22" i="72" a="1"/>
  <c r="E22" i="72" s="1"/>
  <c r="Q50" i="100" l="1"/>
  <c r="O53" i="100" s="1" a="1"/>
  <c r="O53" i="100" s="1"/>
  <c r="F14" i="13" a="1"/>
  <c r="F14" i="13" s="1"/>
  <c r="I14" i="13" s="1" a="1"/>
  <c r="I14" i="13" s="1"/>
  <c r="F72" i="13"/>
  <c r="F63" i="13"/>
  <c r="F61" i="13"/>
  <c r="F62" i="13" s="1"/>
  <c r="F70" i="13"/>
  <c r="F71" i="13" s="1"/>
  <c r="F75" i="13"/>
  <c r="F64" i="13"/>
  <c r="F65" i="13" s="1"/>
  <c r="F73" i="13"/>
  <c r="F74" i="13" s="1"/>
  <c r="F66" i="13"/>
  <c r="E23" i="13" a="1"/>
  <c r="E23" i="13" s="1"/>
  <c r="H23" i="13" s="1"/>
  <c r="E22" i="13" a="1"/>
  <c r="E22" i="13" s="1"/>
  <c r="H22" i="13" s="1" a="1"/>
  <c r="H22" i="13" s="1"/>
  <c r="E21" i="13" a="1"/>
  <c r="E21" i="13" s="1"/>
  <c r="E20" i="13" a="1"/>
  <c r="E20" i="13" s="1"/>
  <c r="H20" i="13" s="1"/>
  <c r="E19" i="13" a="1"/>
  <c r="E19" i="13" s="1"/>
  <c r="E18" i="13" a="1"/>
  <c r="E18" i="13" s="1"/>
  <c r="H18" i="13" s="1" a="1"/>
  <c r="H18" i="13" s="1"/>
  <c r="E17" i="13" a="1"/>
  <c r="E17" i="13" s="1"/>
  <c r="H17" i="13" s="1"/>
  <c r="E12" i="13" a="1"/>
  <c r="E12" i="13" s="1"/>
  <c r="H12" i="13" s="1" a="1"/>
  <c r="H12" i="13" s="1"/>
  <c r="E11" i="13" a="1"/>
  <c r="E11" i="13" s="1"/>
  <c r="H11" i="13" s="1" a="1"/>
  <c r="H11" i="13" s="1"/>
  <c r="E10" i="13" a="1"/>
  <c r="E10" i="13" s="1"/>
  <c r="E8" i="13" a="1"/>
  <c r="E8" i="13" s="1"/>
  <c r="F8" i="13" s="1"/>
  <c r="I8" i="13" s="1"/>
  <c r="F7" i="13" a="1"/>
  <c r="F7" i="13" s="1"/>
  <c r="I7" i="13" s="1" a="1"/>
  <c r="I7" i="13" s="1"/>
  <c r="E7" i="13" a="1"/>
  <c r="E7" i="13" s="1"/>
  <c r="H7" i="13" s="1" a="1"/>
  <c r="H7" i="13" s="1"/>
  <c r="D34" i="13" a="1"/>
  <c r="D45" i="13" a="1"/>
  <c r="E46" i="13" s="1"/>
  <c r="D30" i="13" a="1"/>
  <c r="D30" i="13" s="1"/>
  <c r="E13" i="72"/>
  <c r="E18" i="75"/>
  <c r="E20" i="75" s="1"/>
  <c r="E21" i="75" s="1"/>
  <c r="E20" i="72"/>
  <c r="D4" i="13" l="1"/>
  <c r="E30" i="88"/>
  <c r="K48" i="83"/>
  <c r="K45" i="83" s="1"/>
  <c r="E50" i="83" s="1" a="1"/>
  <c r="E50" i="83" s="1"/>
  <c r="J17" i="108"/>
  <c r="J14" i="108" s="1"/>
  <c r="I40" i="99"/>
  <c r="I37" i="99" s="1" a="1"/>
  <c r="I37" i="99" s="1"/>
  <c r="E42" i="99" s="1" a="1"/>
  <c r="E42" i="99" s="1"/>
  <c r="R59" i="99"/>
  <c r="R56" i="99" s="1" a="1"/>
  <c r="R56" i="99" s="1"/>
  <c r="N61" i="99" s="1" a="1"/>
  <c r="N61" i="99" s="1"/>
  <c r="F19" i="13"/>
  <c r="I19" i="13" s="1" a="1"/>
  <c r="I19" i="13" s="1"/>
  <c r="H19" i="13" a="1"/>
  <c r="H19" i="13" s="1"/>
  <c r="F21" i="13"/>
  <c r="I21" i="13" s="1" a="1"/>
  <c r="I21" i="13" s="1"/>
  <c r="H21" i="13" a="1"/>
  <c r="H21" i="13" s="1"/>
  <c r="F35" i="13"/>
  <c r="E35" i="13"/>
  <c r="D45" i="13"/>
  <c r="E45" i="13" s="1"/>
  <c r="E50" i="13" s="1"/>
  <c r="D34" i="13"/>
  <c r="F17" i="13"/>
  <c r="I17" i="13" s="1"/>
  <c r="F23" i="13"/>
  <c r="I23" i="13" s="1"/>
  <c r="F18" i="13"/>
  <c r="I18" i="13" s="1" a="1"/>
  <c r="I18" i="13" s="1"/>
  <c r="F11" i="13"/>
  <c r="I11" i="13" s="1" a="1"/>
  <c r="I11" i="13" s="1"/>
  <c r="F10" i="13"/>
  <c r="I10" i="13" s="1"/>
  <c r="H10" i="13"/>
  <c r="F12" i="13"/>
  <c r="I12" i="13" s="1" a="1"/>
  <c r="I12" i="13" s="1"/>
  <c r="H8" i="13"/>
  <c r="F20" i="13"/>
  <c r="I20" i="13" s="1"/>
  <c r="F22" i="13"/>
  <c r="I22" i="13" s="1" a="1"/>
  <c r="I22" i="13" s="1"/>
  <c r="G64" i="13"/>
  <c r="G65" i="13" s="1"/>
  <c r="G44" i="99" l="1"/>
  <c r="E47" i="99" s="1" a="1"/>
  <c r="E47" i="99" s="1"/>
  <c r="E13" i="13" a="1"/>
  <c r="E13" i="13" s="1"/>
  <c r="H13" i="13" s="1" a="1"/>
  <c r="H13" i="13" s="1"/>
  <c r="O19" i="108" a="1"/>
  <c r="O19" i="108" s="1"/>
  <c r="R569" i="107" s="1"/>
  <c r="M573" i="107" s="1" a="1"/>
  <c r="M573" i="107" s="1"/>
  <c r="O575" i="107" s="1"/>
  <c r="M578" i="107" s="1" a="1"/>
  <c r="M578" i="107" s="1"/>
  <c r="E19" i="108" a="1"/>
  <c r="E19" i="108" s="1"/>
  <c r="J569" i="107" s="1"/>
  <c r="E573" i="107" s="1" a="1"/>
  <c r="E573" i="107" s="1"/>
  <c r="G575" i="107" s="1"/>
  <c r="E578" i="107" s="1" a="1"/>
  <c r="E578" i="107" s="1"/>
  <c r="G52" i="83"/>
  <c r="E55" i="83" s="1" a="1"/>
  <c r="E55" i="83" s="1"/>
  <c r="E9" i="13" a="1"/>
  <c r="E9" i="13" s="1"/>
  <c r="P63" i="99"/>
  <c r="N66" i="99" s="1" a="1"/>
  <c r="N66" i="99" s="1"/>
  <c r="F13" i="13" a="1"/>
  <c r="F13" i="13" s="1"/>
  <c r="I13" i="13" s="1" a="1"/>
  <c r="I13" i="13" s="1"/>
  <c r="I37" i="88"/>
  <c r="E41" i="88" s="1"/>
  <c r="I46" i="88"/>
  <c r="E50" i="88" s="1"/>
  <c r="I38" i="88"/>
  <c r="I47" i="88"/>
  <c r="I39" i="88"/>
  <c r="I48" i="88"/>
  <c r="G61" i="13"/>
  <c r="G62" i="13" s="1"/>
  <c r="J34" i="89" l="1"/>
  <c r="E39" i="89" s="1" a="1"/>
  <c r="E39" i="89" s="1"/>
  <c r="E24" i="13" s="1" a="1"/>
  <c r="E24" i="13" s="1"/>
  <c r="I550" i="107"/>
  <c r="E555" i="107" s="1" a="1"/>
  <c r="E555" i="107" s="1"/>
  <c r="H9" i="13" a="1"/>
  <c r="H9" i="13" s="1"/>
  <c r="F9" i="13"/>
  <c r="I9" i="13" s="1" a="1"/>
  <c r="I9" i="13" s="1"/>
  <c r="J35" i="89"/>
  <c r="I551" i="107"/>
  <c r="H24" i="13" l="1"/>
  <c r="H25" i="13" s="1"/>
  <c r="E34" i="13" s="1"/>
  <c r="E39" i="13" s="1"/>
  <c r="F24" i="13"/>
  <c r="I24" i="13" s="1"/>
  <c r="I25" i="13" s="1"/>
  <c r="F34" i="13" s="1"/>
  <c r="F39" i="13" s="1"/>
  <c r="H74" i="13" l="1"/>
  <c r="H64" i="13"/>
  <c r="E56" i="13"/>
  <c r="H65" i="13" s="1"/>
  <c r="H70" i="13"/>
  <c r="H71" i="13"/>
  <c r="H62" i="13"/>
  <c r="H61" i="13"/>
  <c r="H73" i="13"/>
  <c r="I74" i="13"/>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<sst xmlns="http://schemas.openxmlformats.org/spreadsheetml/2006/main" count="2465" uniqueCount="982">
  <si>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</si>
  <si>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</si>
  <si>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</si>
  <si>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</si>
  <si>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</si>
  <si>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</si>
  <si>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</si>
  <si>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</si>
  <si>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</si>
  <si>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</si>
  <si>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</si>
  <si>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</si>
  <si>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</si>
  <si>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</si>
  <si>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</si>
  <si>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</si>
  <si>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</si>
  <si>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</si>
  <si>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</si>
  <si>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</si>
  <si>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</si>
  <si>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</si>
  <si>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</si>
  <si>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</si>
  <si>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</si>
  <si>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</si>
  <si>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</si>
  <si>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</si>
  <si>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</si>
  <si>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</si>
  <si>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</si>
  <si>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</si>
  <si>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</si>
  <si>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</si>
  <si>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</si>
  <si>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</si>
  <si>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</si>
  <si>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</si>
  <si>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</si>
  <si>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</si>
  <si>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</si>
  <si>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</si>
  <si>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</si>
  <si>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</si>
  <si>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</si>
  <si>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</si>
  <si>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</si>
  <si>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</si>
  <si>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</si>
  <si>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</si>
  <si>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</si>
  <si>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</si>
  <si>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</si>
  <si>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</si>
  <si>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</si>
  <si>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</si>
  <si>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</si>
  <si>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</si>
  <si>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</si>
  <si>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</si>
  <si>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</si>
  <si>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</si>
  <si>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</si>
  <si>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</si>
  <si>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</si>
  <si>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</si>
  <si>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</si>
  <si>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</si>
  <si>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</si>
  <si>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</si>
  <si>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</si>
  <si>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</si>
  <si>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</si>
  <si>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</si>
  <si>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</si>
  <si>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</si>
  <si>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</si>
  <si>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</si>
  <si>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</si>
  <si>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</si>
  <si>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</si>
  <si>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</si>
  <si>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</si>
  <si>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</si>
  <si>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</si>
  <si>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</si>
  <si>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</si>
  <si>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</si>
  <si>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</si>
  <si>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</si>
  <si>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</si>
  <si>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</si>
  <si>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</si>
  <si>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</si>
  <si>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</si>
  <si>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</si>
  <si>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</si>
  <si>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</si>
  <si>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</si>
  <si>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</si>
  <si>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</si>
  <si>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</si>
  <si>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</si>
  <si>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</si>
  <si>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</si>
  <si>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</si>
  <si>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</si>
  <si>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</si>
  <si>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</si>
  <si>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</si>
  <si>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</si>
  <si>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</si>
  <si>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</si>
  <si>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</si>
  <si>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</si>
  <si>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</si>
  <si>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</si>
  <si>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</si>
  <si>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</si>
  <si>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</si>
  <si>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</si>
  <si>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</si>
  <si>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</si>
  <si>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</si>
  <si>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</si>
  <si>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</si>
  <si>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</si>
  <si>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</si>
  <si>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</si>
  <si>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</si>
  <si>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</si>
  <si>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</si>
  <si>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</si>
  <si>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</si>
  <si>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</si>
  <si>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</si>
  <si>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</si>
  <si>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</si>
  <si>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</si>
  <si>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</si>
  <si>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</si>
  <si>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</si>
  <si>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</si>
  <si>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</si>
  <si>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</si>
  <si>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</si>
  <si>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</si>
  <si>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</si>
  <si>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</si>
  <si>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</si>
  <si>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</si>
  <si>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</si>
  <si>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</si>
  <si>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</si>
  <si>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</si>
  <si>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</si>
  <si>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</si>
  <si>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</si>
  <si>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</si>
  <si>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</si>
  <si>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</si>
  <si>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</si>
  <si>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</si>
  <si>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</si>
  <si>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</si>
  <si>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</si>
  <si>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</si>
  <si>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</si>
  <si>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</si>
  <si>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</si>
  <si>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</si>
  <si>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</si>
  <si>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</si>
  <si>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</si>
  <si>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</si>
  <si>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</si>
  <si>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</si>
  <si>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</si>
  <si>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</si>
  <si>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</si>
  <si>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</si>
  <si>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</si>
  <si>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</si>
  <si>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</si>
  <si>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</si>
  <si>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</si>
  <si>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</si>
  <si>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</si>
  <si>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</si>
  <si>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</si>
  <si>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</si>
  <si>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</si>
  <si>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</si>
  <si>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</si>
  <si>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</si>
  <si>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</si>
  <si>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</si>
  <si>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</si>
  <si>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</si>
  <si>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</si>
  <si>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</si>
  <si>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</si>
  <si>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</si>
  <si>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</si>
  <si>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</si>
  <si>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</si>
  <si>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</si>
  <si>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</si>
  <si>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</si>
  <si>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</si>
  <si>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</si>
  <si>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</si>
  <si>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</si>
  <si>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</si>
  <si>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</si>
  <si>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</si>
  <si>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</si>
  <si>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</si>
  <si>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</si>
  <si>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</si>
  <si>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</si>
  <si>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</si>
  <si>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</si>
  <si>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</si>
  <si>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</si>
  <si>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</si>
  <si>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</si>
  <si>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</si>
  <si>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</si>
  <si>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</si>
  <si>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</si>
  <si>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</si>
  <si>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</si>
  <si>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</si>
  <si>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</si>
  <si>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</si>
  <si>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</si>
  <si>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</si>
  <si>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</si>
  <si>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</si>
  <si>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</si>
  <si>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</si>
  <si>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</si>
  <si>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</si>
  <si>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</si>
  <si>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</si>
  <si>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</si>
  <si>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</si>
  <si>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</si>
  <si>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</si>
  <si>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</si>
  <si>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</si>
  <si>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</si>
  <si>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</si>
  <si>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</si>
  <si>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</si>
  <si>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</si>
  <si>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</si>
  <si>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</si>
  <si>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</si>
  <si>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</si>
  <si>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</si>
  <si>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</si>
  <si>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</si>
  <si>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</si>
  <si>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</si>
  <si>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</si>
  <si>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</si>
  <si>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</si>
  <si>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</si>
  <si>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</si>
  <si>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</si>
  <si>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</si>
  <si>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</si>
  <si>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</si>
  <si>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</si>
  <si>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</si>
  <si>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</si>
  <si>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</si>
  <si>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</si>
  <si>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</si>
  <si>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</si>
  <si>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</si>
  <si>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</si>
  <si>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</si>
  <si>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</si>
  <si>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</si>
  <si>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</si>
  <si>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</si>
  <si>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</si>
  <si>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</si>
  <si>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</si>
  <si>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</si>
  <si>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</si>
  <si>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</si>
  <si>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</si>
  <si>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</si>
  <si>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</si>
  <si>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</si>
  <si>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</si>
  <si>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</si>
  <si>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</si>
  <si>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</si>
  <si>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</si>
  <si>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</si>
  <si>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</si>
  <si>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</si>
  <si>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</si>
  <si>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</si>
  <si>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</si>
  <si>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</si>
  <si>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</si>
  <si>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</si>
  <si>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</si>
  <si>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</si>
  <si>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</si>
  <si>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</si>
  <si>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</si>
  <si>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</si>
  <si>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</si>
  <si>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</si>
  <si>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</si>
  <si>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</si>
  <si>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</si>
  <si>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</si>
  <si>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</si>
  <si>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</si>
  <si>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</si>
  <si>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</si>
  <si>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</si>
  <si>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</si>
  <si>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</si>
  <si>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</si>
  <si>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</si>
  <si>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</si>
  <si>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</si>
  <si>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</si>
  <si>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</si>
  <si>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</si>
  <si>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</si>
  <si>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</si>
  <si>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</si>
  <si>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</si>
  <si>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t>
    </r>
    <r>
      <rPr>
        <vertAlign val="subscript"/>
        <sz val="12"/>
        <color theme="1" tint="0.24994659260841701"/>
        <rFont val="Times New Roman"/>
        <family val="1"/>
      </rPr>
      <t>CO2e</t>
    </r>
  </si>
  <si>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</si>
  <si>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</si>
  <si>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</si>
  <si>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</si>
  <si>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</si>
  <si>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</si>
  <si>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</si>
  <si>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</si>
  <si>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</si>
  <si>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</si>
  <si>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</si>
  <si>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</si>
  <si>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</si>
  <si>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</si>
  <si>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</si>
  <si>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</si>
  <si>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</si>
  <si>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</si>
  <si>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</si>
  <si>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</si>
  <si>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</si>
  <si>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</si>
  <si>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</si>
  <si>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</si>
  <si>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</si>
  <si>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</si>
  <si>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</si>
  <si>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</si>
  <si>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</si>
  <si>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</si>
  <si>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</si>
  <si>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</si>
  <si>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</si>
  <si>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</si>
  <si>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</si>
  <si>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</si>
  <si>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</si>
  <si>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</si>
  <si>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</si>
  <si>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</si>
  <si>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</si>
  <si>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</si>
  <si>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</si>
  <si>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</si>
  <si>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</si>
  <si>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</si>
  <si>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</si>
  <si>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</si>
  <si>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</si>
  <si>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</si>
  <si>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</si>
  <si>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</si>
  <si>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</si>
  <si>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</si>
  <si>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</si>
  <si>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</si>
  <si>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</si>
  <si>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</si>
  <si>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</si>
  <si>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</si>
  <si>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</si>
  <si>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</si>
  <si>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</si>
  <si>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</si>
  <si>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</si>
  <si>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</si>
  <si>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</si>
  <si>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</si>
  <si>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</si>
  <si>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</si>
  <si>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</si>
  <si>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</si>
  <si>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</si>
  <si>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</si>
  <si>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</si>
  <si>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</si>
  <si>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</si>
  <si>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</si>
  <si>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</si>
  <si>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</si>
  <si>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</si>
  <si>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</si>
  <si>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</si>
  <si>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</si>
  <si>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</si>
  <si>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</si>
  <si>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</si>
  <si>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</si>
  <si>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</si>
  <si>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</si>
  <si>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</si>
  <si>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</si>
  <si>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</si>
  <si>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</si>
  <si>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</si>
  <si>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</si>
  <si>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</si>
  <si>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</si>
  <si>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</si>
  <si>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</si>
  <si>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</si>
  <si>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</si>
  <si>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</si>
  <si>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</si>
  <si>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</si>
  <si>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</si>
  <si>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</si>
  <si>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</si>
  <si>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</si>
  <si>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</si>
  <si>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</si>
  <si>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</si>
  <si>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</si>
  <si>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</si>
  <si>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</si>
  <si>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</si>
  <si>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</si>
  <si>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</si>
  <si>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</si>
  <si>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</si>
  <si>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</si>
  <si>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</si>
  <si>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</si>
  <si>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</si>
  <si>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</si>
  <si>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</si>
  <si>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</si>
  <si>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</si>
  <si>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</si>
  <si>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</si>
  <si>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</si>
  <si>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</si>
  <si>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</si>
  <si>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</si>
  <si>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</si>
  <si>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</si>
  <si>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</si>
  <si>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</si>
  <si>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</si>
  <si>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</si>
  <si>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</si>
  <si>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</si>
  <si>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</si>
  <si>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</si>
  <si>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</si>
  <si>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</si>
  <si>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</si>
  <si>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</si>
  <si>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</si>
  <si>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</si>
  <si>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</si>
  <si>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</si>
  <si>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</si>
  <si>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</si>
  <si>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</si>
  <si>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</si>
  <si>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</si>
  <si>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</si>
  <si>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</si>
  <si>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</si>
  <si>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</si>
  <si>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</si>
  <si>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</si>
  <si>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</si>
  <si>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</si>
  <si>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</si>
  <si>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</si>
  <si>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</si>
  <si>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</si>
  <si>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</si>
  <si>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</si>
  <si>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</si>
  <si>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</si>
  <si>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</si>
  <si>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</si>
  <si>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</si>
  <si>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</si>
  <si>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</si>
  <si>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</si>
  <si>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</si>
  <si>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</si>
  <si>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</si>
  <si>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</si>
  <si>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</si>
  <si>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</si>
  <si>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</si>
  <si>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</si>
  <si>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</si>
  <si>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</si>
  <si>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</si>
  <si>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</si>
  <si>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</si>
  <si>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</si>
  <si>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</si>
  <si>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</si>
  <si>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</si>
  <si>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</si>
  <si>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</si>
  <si>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</si>
  <si>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</si>
  <si>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</si>
  <si>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</si>
  <si>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</si>
  <si>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</si>
  <si>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</si>
  <si>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</si>
  <si>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</si>
  <si>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</si>
  <si>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</si>
  <si>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</si>
  <si>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</si>
  <si>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</si>
  <si>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</si>
  <si>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</si>
  <si>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</si>
  <si>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</si>
  <si>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</si>
  <si>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</si>
  <si>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</si>
  <si>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</si>
  <si>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</si>
  <si>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</si>
  <si>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</si>
  <si>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</si>
  <si>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</si>
  <si>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</si>
  <si>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</si>
  <si>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</si>
  <si>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</si>
  <si>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</si>
  <si>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</si>
  <si>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</si>
  <si>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</si>
  <si>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</si>
  <si>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</si>
  <si>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</si>
  <si>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</si>
  <si>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</si>
  <si>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</si>
  <si>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</si>
  <si>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</si>
  <si>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</si>
  <si>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</si>
  <si>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</si>
  <si>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</si>
  <si>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</si>
  <si>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</si>
  <si>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</si>
  <si>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</si>
  <si>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</si>
  <si>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</si>
  <si>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</si>
  <si>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</si>
  <si>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</si>
  <si>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</si>
  <si>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</si>
  <si>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</si>
  <si>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</si>
  <si>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</si>
  <si>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</si>
  <si>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</si>
  <si>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</si>
  <si>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</si>
  <si>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</si>
  <si>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</si>
  <si>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</si>
  <si>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</si>
  <si>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</si>
  <si>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</si>
  <si>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</si>
  <si>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</si>
  <si>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</si>
  <si>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</si>
  <si>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</si>
  <si>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</si>
  <si>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</si>
  <si>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</si>
  <si>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</si>
  <si>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</si>
  <si>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</si>
  <si>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</si>
  <si>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</si>
  <si>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</si>
  <si>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</si>
  <si>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</si>
  <si>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</si>
  <si>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</si>
  <si>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</si>
  <si>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</si>
  <si>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</si>
  <si>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</si>
  <si>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</si>
  <si>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</si>
  <si>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</si>
  <si>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</si>
  <si>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</si>
  <si>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</si>
  <si>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</si>
  <si>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</si>
  <si>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</si>
  <si>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</si>
  <si>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</si>
  <si>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</si>
  <si>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</si>
  <si>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</si>
  <si>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</si>
  <si>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</si>
  <si>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</si>
  <si>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</si>
  <si>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</si>
  <si>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</si>
  <si>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</si>
  <si>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</si>
  <si>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</si>
  <si>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</si>
  <si>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</si>
  <si>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</si>
  <si>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</si>
  <si>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</si>
  <si>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</si>
  <si>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</si>
  <si>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</si>
  <si>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</si>
  <si>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</si>
  <si>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</si>
  <si>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</si>
  <si>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</si>
  <si>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</si>
  <si>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</si>
  <si>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</si>
  <si>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</si>
  <si>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</si>
  <si>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</si>
  <si>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</si>
  <si>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</si>
  <si>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</si>
  <si>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</si>
  <si>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</si>
  <si>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</si>
  <si>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</si>
  <si>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</si>
  <si>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</si>
  <si>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</si>
  <si>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</si>
  <si>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</si>
  <si>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</si>
  <si>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</si>
  <si>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</si>
  <si>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</si>
  <si>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</si>
  <si>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</si>
  <si>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</si>
  <si>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</si>
  <si>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r>
      <t>E</t>
    </r>
    <r>
      <rPr>
        <b/>
        <vertAlign val="subscript"/>
        <sz val="16"/>
        <color theme="1" tint="0.24994659260841701"/>
        <rFont val="Times New Roman"/>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</si>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</sst>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2"/>
      <color theme="1"/>
      <name val="Times New Roman"/>
      <family val="2"/>
    </font>
    <font>
      <sz val="11"/>
      <color theme="1"/>
      <name val="Times New Roman"/>
      <family val="2"/>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scheme val="minor"/>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0" fillId="4" borderId="0">
      <alignment horizontal="left" vertical="center"/>
    </xf>
    <xf numFmtId="0" fontId="42" fillId="17" borderId="2">
      <alignment horizontal="center" vertical="center"/>
    </xf>
  </cellStyleXfs>
  <cellXfs count="261">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54" fillId="9" borderId="4" xfId="34" applyFont="1">
      <alignment horizontal="left" vertical="center" indent="1"/>
    </xf>
    <xf numFmtId="0" fontId="21" fillId="10" borderId="0" xfId="35">
      <alignment horizontal="left" vertical="center" indent="1"/>
    </xf>
    <xf numFmtId="0" fontId="33" fillId="13" borderId="11" xfId="39" applyBorder="1">
      <alignment horizontal="left" vertical="center"/>
    </xf>
    <xf numFmtId="0" fontId="57" fillId="4" borderId="0" xfId="0" applyFont="1" applyFill="1" applyAlignment="1">
      <alignment horizontal="center" vertical="center"/>
    </xf>
    <xf numFmtId="0" fontId="57" fillId="4" borderId="0" xfId="0" applyFont="1" applyFill="1"/>
    <xf numFmtId="0" fontId="58"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57" fillId="4" borderId="0" xfId="67" applyNumberFormat="1" applyFont="1" applyFill="1" applyBorder="1" applyAlignment="1" applyProtection="1">
      <alignment horizontal="center" wrapText="1"/>
      <protection locked="0"/>
    </xf>
    <xf numFmtId="1" fontId="57" fillId="4" borderId="0" xfId="67" applyNumberFormat="1" applyFont="1" applyFill="1" applyBorder="1" applyAlignment="1" applyProtection="1">
      <alignment horizontal="center" wrapText="1"/>
      <protection locked="0"/>
    </xf>
    <xf numFmtId="0" fontId="57" fillId="4" borderId="0" xfId="0" applyFont="1" applyFill="1" applyAlignment="1">
      <alignment horizontal="left" wrapText="1"/>
    </xf>
    <xf numFmtId="0" fontId="5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5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9" fillId="12" borderId="2" xfId="15" applyFont="1">
      <alignment horizontal="center" vertical="center"/>
    </xf>
    <xf numFmtId="9" fontId="0" fillId="0" borderId="18" xfId="68" applyFont="1" applyFill="1" applyBorder="1" applyAlignment="1">
      <alignment horizontal="center" vertical="center" wrapText="1"/>
    </xf>
    <xf numFmtId="4" fontId="56" fillId="0" borderId="2" xfId="17" applyFont="1" applyAlignment="1">
      <alignment horizontal="center" vertical="center" wrapTex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0" fillId="0" borderId="0" xfId="0" applyAlignment="1">
      <alignment wrapText="1"/>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3" fillId="4" borderId="1" xfId="8" applyFont="1" applyBorder="1">
      <alignment horizontal="left" vertical="center"/>
    </xf>
    <xf numFmtId="0" fontId="65" fillId="4" borderId="1" xfId="8" applyFont="1" applyBorder="1">
      <alignment horizontal="left" vertical="center"/>
    </xf>
    <xf numFmtId="0" fontId="66"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8"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6"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8" fillId="4" borderId="25" xfId="0" applyNumberFormat="1" applyFont="1" applyFill="1" applyBorder="1"/>
    <xf numFmtId="0" fontId="7"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75" fillId="2" borderId="0" xfId="8" applyFont="1" applyFill="1">
      <alignment horizontal="left" vertical="center"/>
    </xf>
    <xf numFmtId="0" fontId="76"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7" fillId="4" borderId="1" xfId="0" applyFont="1" applyFill="1" applyBorder="1"/>
    <xf numFmtId="0" fontId="79" fillId="4" borderId="1" xfId="0" applyFont="1" applyFill="1" applyBorder="1"/>
    <xf numFmtId="0" fontId="23" fillId="0" borderId="0" xfId="0" applyFont="1"/>
    <xf numFmtId="0" fontId="10" fillId="0" borderId="0" xfId="55"/>
    <xf numFmtId="0" fontId="1" fillId="0" borderId="0" xfId="69"/>
    <xf numFmtId="0" fontId="10" fillId="4" borderId="0" xfId="55" applyFill="1"/>
    <xf numFmtId="0" fontId="3" fillId="0" borderId="26" xfId="56" applyBorder="1">
      <alignment horizontal="center" vertical="center"/>
    </xf>
    <xf numFmtId="0" fontId="0" fillId="0" borderId="0" xfId="29" applyFont="1" applyFill="1" applyProtection="1">
      <alignment horizontal="center" vertical="center"/>
    </xf>
    <xf numFmtId="0" fontId="1" fillId="4" borderId="0" xfId="69" applyFill="1"/>
    <xf numFmtId="0" fontId="80" fillId="4" borderId="0" xfId="70">
      <alignment horizontal="left" vertical="center"/>
    </xf>
    <xf numFmtId="0" fontId="33" fillId="13" borderId="30" xfId="39" applyBorder="1">
      <alignment horizontal="left" vertical="center"/>
    </xf>
    <xf numFmtId="0" fontId="1" fillId="0" borderId="0" xfId="69" applyAlignment="1">
      <alignment horizontal="center" vertical="center" wrapText="1"/>
    </xf>
    <xf numFmtId="0" fontId="0" fillId="0" borderId="0" xfId="8" applyFont="1" applyFill="1" applyAlignment="1">
      <alignment horizontal="left" vertical="center" wrapText="1"/>
    </xf>
    <xf numFmtId="4" fontId="0" fillId="0" borderId="0" xfId="17" applyFont="1" applyBorder="1">
      <alignment horizontal="center" vertical="center"/>
    </xf>
    <xf numFmtId="0" fontId="42" fillId="17" borderId="2" xfId="71">
      <alignment horizontal="center" vertical="center"/>
    </xf>
    <xf numFmtId="0" fontId="55" fillId="6" borderId="0" xfId="8" applyFont="1" applyFill="1">
      <alignment horizontal="left" vertical="center"/>
    </xf>
    <xf numFmtId="0" fontId="71" fillId="4" borderId="2" xfId="52" applyFont="1">
      <alignment horizontal="center" vertical="center"/>
    </xf>
    <xf numFmtId="0" fontId="83" fillId="4" borderId="1" xfId="8" applyFont="1" applyBorder="1">
      <alignment horizontal="left" vertical="center"/>
    </xf>
    <xf numFmtId="4" fontId="26" fillId="4" borderId="2" xfId="63" applyNumberFormat="1">
      <alignment horizontal="left" vertical="center"/>
    </xf>
    <xf numFmtId="0" fontId="55"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F4B291D9-C933-4BDB-8933-42EB14C4E346}"/>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5CA1C4C8-80EF-424A-A369-9E322BCA24D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D14BBD3C-ACFD-4215-9072-16A4B4CFCB61}"/>
    <cellStyle name="Variable type other" xfId="64" xr:uid="{105BD9DE-B567-4DA0-87E6-C60A0ECC1C65}"/>
  </cellStyles>
  <dxfs count="39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394"/>
      <tableStyleElement type="headerRow" dxfId="393"/>
      <tableStyleElement type="totalRow" dxfId="392"/>
      <tableStyleElement type="firstColumn" dxfId="391"/>
      <tableStyleElement type="firstRowStripe" dxfId="390"/>
      <tableStyleElement type="secondRowStripe" dxfId="389"/>
    </tableStyle>
    <tableStyle name="Equation table" pivot="0" count="6" xr9:uid="{B247698E-E41D-4CCD-AA0A-C14817E9DE65}">
      <tableStyleElement type="wholeTable" dxfId="388"/>
      <tableStyleElement type="headerRow" dxfId="387"/>
      <tableStyleElement type="totalRow" dxfId="386"/>
      <tableStyleElement type="firstColumn" dxfId="385"/>
      <tableStyleElement type="firstRowStripe" dxfId="384"/>
      <tableStyleElement type="secondRowStripe" dxfId="38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RichValueTypes" Target="richData/rdRichValueType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22/10/relationships/richValueRel" Target="richData/richValueRel.xml"/><Relationship Id="rId52"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80927C8-B73E-4E33-8AA6-4075CA6819F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80927C8-B73E-4E33-8AA6-4075CA6819F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9DD85A0-5CE4-4169-B3D1-82F2399E011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9DD85A0-5CE4-4169-B3D1-82F2399E011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F0BB6A3-C6F7-4A72-A48E-DA20A8487AE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F0BB6A3-C6F7-4A72-A48E-DA20A8487AE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068132-C8FC-4079-A7A6-F7AF122CA72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E068132-C8FC-4079-A7A6-F7AF122CA72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6DA861D-9CD0-4CC0-AB9B-9B8FB0368AB7}"/>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46DA861D-9CD0-4CC0-AB9B-9B8FB0368AB7}"/>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3EA4344-E567-4917-A7BE-798FDEA0021A}"/>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3EA4344-E567-4917-A7BE-798FDEA0021A}"/>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48B725A-06DE-42B6-9BAE-E1A0FBFF18C0}"/>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48B725A-06DE-42B6-9BAE-E1A0FBFF18C0}"/>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185C77-53E9-4FB6-AECC-80E5A7BB8A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D185C77-53E9-4FB6-AECC-80E5A7BB8A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14A89C-748E-4E1D-9452-472B28B9371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B14A89C-748E-4E1D-9452-472B28B9371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771F88-9715-4DE5-A4A7-D13D8B095A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F771F88-9715-4DE5-A4A7-D13D8B095A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D83A89-3FCA-4B4B-A093-E54AE6D11D7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7D83A89-3FCA-4B4B-A093-E54AE6D11D7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801848-715D-49C8-939A-30EE0552783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7801848-715D-49C8-939A-30EE0552783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3DEE32-B6E3-43C0-9533-3F5112D8D59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93DEE32-B6E3-43C0-9533-3F5112D8D59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4F43BE-7AC2-4B06-AFA9-6D503A2266A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D4F43BE-7AC2-4B06-AFA9-6D503A2266A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E28EE72-45E6-46BD-80B5-718F6C8459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E28EE72-45E6-46BD-80B5-718F6C8459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47066E-9717-4021-B52B-9982FDAAA49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847066E-9717-4021-B52B-9982FDAAA49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ACEC494-1D9D-467E-80F4-0D6FDCCC53B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ACEC494-1D9D-467E-80F4-0D6FDCCC53B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271012-2760-455C-A3D6-0D79267ED4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4271012-2760-455C-A3D6-0D79267ED4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6743D1C-6E32-48EB-A8C0-43759E0AC6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6743D1C-6E32-48EB-A8C0-43759E0AC6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BB5A20B-22A8-4C3F-B87E-834113B9E23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BB5A20B-22A8-4C3F-B87E-834113B9E23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97BEFC-204C-45DA-B13B-EB07F00CF030}"/>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A797BEFC-204C-45DA-B13B-EB07F00CF030}"/>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93FA2D-64B1-4E3E-A40A-4A0E0485BF6E}"/>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FC93FA2D-64B1-4E3E-A40A-4A0E0485BF6E}"/>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CBA9CB5-4E95-4412-B670-A3E693A15F4E}"/>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CBA9CB5-4E95-4412-B670-A3E693A15F4E}"/>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FC9F118-E2AA-404B-BE67-D24C1CEC3605}"/>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6FC9F118-E2AA-404B-BE67-D24C1CEC3605}"/>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656EE73-2390-4751-BD42-DB1569A9C8B6}"/>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656EE73-2390-4751-BD42-DB1569A9C8B6}"/>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6A07E8-3FFF-4076-A72E-FAC592763E9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7B6A07E8-3FFF-4076-A72E-FAC592763E9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7BDC077-ADEB-4ECE-B636-99225081976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7BDC077-ADEB-4ECE-B636-99225081976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9C1E90-131E-4818-9C54-274CF8A3023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89C1E90-131E-4818-9C54-274CF8A3023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D5D334-2FB6-40FB-9802-E0998EFA9EBC}"/>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BD5D334-2FB6-40FB-9802-E0998EFA9EBC}"/>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B7EC35-6F68-4658-A4B6-82DA668489F8}"/>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0B7EC35-6F68-4658-A4B6-82DA668489F8}"/>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823506-8526-484E-9DAB-64F24BFE05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6823506-8526-484E-9DAB-64F24BFE05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587DCE-A7A6-4DBB-862B-6A3BD735CAF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9587DCE-A7A6-4DBB-862B-6A3BD735CAF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70ACC3-1257-4B62-AE17-C4F7328B2DE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670ACC3-1257-4B62-AE17-C4F7328B2DE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7D7FC0-8C79-4D59-A9F3-F75D3DBBBB9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A7D7FC0-8C79-4D59-A9F3-F75D3DBBBB9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81E6A4-4394-49C0-9D35-A28C315873D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B81E6A4-4394-49C0-9D35-A28C315873D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18F6839-42DC-4C3C-9A76-AA2017B5A1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18F6839-42DC-4C3C-9A76-AA2017B5A1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CC9CC88-A9EC-425E-B5BC-C6CBA527B238}"/>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CC9CC88-A9EC-425E-B5BC-C6CBA527B238}"/>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FE6FBC0-526C-4825-9E7D-9A8E80520FE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FE6FBC0-526C-4825-9E7D-9A8E80520FE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71C61D-5F1D-4CD8-ADF8-FE7927B235F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271C61D-5F1D-4CD8-ADF8-FE7927B235F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893C5F-4A99-4039-885B-45420BD818D3}"/>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2893C5F-4A99-4039-885B-45420BD818D3}"/>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AEA093-24AC-4475-8F55-45729428239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CAEA093-24AC-4475-8F55-45729428239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01D7039-3268-45B3-B459-1EDD43A03B70}"/>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01D7039-3268-45B3-B459-1EDD43A03B70}"/>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D651F8D-CAA6-4F85-8AC6-ACFF9754FF3C}"/>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D651F8D-CAA6-4F85-8AC6-ACFF9754FF3C}"/>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5C15410-EB0D-48F9-B21C-D6A22D5B8B71}"/>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65C15410-EB0D-48F9-B21C-D6A22D5B8B71}"/>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C8817EC-2CB1-45AF-BF88-A97DB3AE087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C8817EC-2CB1-45AF-BF88-A97DB3AE087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24F3195-C0C7-4A6F-9C10-C16DBBAF5FA9}"/>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F24F3195-C0C7-4A6F-9C10-C16DBBAF5FA9}"/>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238CC2A-6ED5-42DE-82F8-8330DA5BA114}"/>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238CC2A-6ED5-42DE-82F8-8330DA5BA114}"/>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AA29AC6-26DA-429C-B682-ADC1A69CBA85}"/>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9AA29AC6-26DA-429C-B682-ADC1A69CBA85}"/>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CA1FF96-AA58-4E13-82C5-98A4F2E8F16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0CA1FF96-AA58-4E13-82C5-98A4F2E8F16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17DFDF3-DFD6-4900-AA11-A783D38C6D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017DFDF3-DFD6-4900-AA11-A783D38C6D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86039DB4-40BB-421B-8097-205FA61DBADD}"/>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86039DB4-40BB-421B-8097-205FA61DBADD}"/>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A9EADB5F-01EA-40EE-9603-4B97042A7B6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A9EADB5F-01EA-40EE-9603-4B97042A7B6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AB5225C8-7262-4773-986F-251941A44BEB}"/>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AB5225C8-7262-4773-986F-251941A44BEB}"/>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3CDA4A21-FF6E-4046-9A50-21995E257D93}"/>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3CDA4A21-FF6E-4046-9A50-21995E257D93}"/>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F99615F-8C2D-4128-99FA-E4E456851A95}"/>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4F99615F-8C2D-4128-99FA-E4E456851A95}"/>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978BBBF-432C-43FD-A942-EC5C96432D74}"/>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978BBBF-432C-43FD-A942-EC5C96432D74}"/>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5D8BEF5A-C4BE-4BC4-8995-BF208B396884}"/>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5D8BEF5A-C4BE-4BC4-8995-BF208B396884}"/>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83078BE1-ADD1-4848-A2BE-F53F19FED9FB}"/>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83078BE1-ADD1-4848-A2BE-F53F19FED9FB}"/>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3BE77D-D472-480C-A0FF-EFCEB6F20C7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E3BE77D-D472-480C-A0FF-EFCEB6F20C7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0188E27-F896-426B-8A08-7D329EDCA7D5}"/>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0188E27-F896-426B-8A08-7D329EDCA7D5}"/>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0293B1E-FCD5-469A-A2BA-2E7ACD401EDA}"/>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0293B1E-FCD5-469A-A2BA-2E7ACD401EDA}"/>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0B9AC3-D510-4C7B-9EA7-2325C2D3EC2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20B9AC3-D510-4C7B-9EA7-2325C2D3EC2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E165E20-9C13-4FEC-B3A8-710C449CCFC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6E165E20-9C13-4FEC-B3A8-710C449CCFC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6E50506-A1F1-4994-83DC-D76E0B80A0A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6E50506-A1F1-4994-83DC-D76E0B80A0A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EBAD737-4182-4873-889B-29FAE2E5B745}"/>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EBAD737-4182-4873-889B-29FAE2E5B745}"/>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66FDC6A-14B2-45FE-B03B-0C7C1EA888A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666FDC6A-14B2-45FE-B03B-0C7C1EA888A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2DAA189-23DE-4CDD-8352-136D5E5919F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2DAA189-23DE-4CDD-8352-136D5E5919F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97E4F2D-C5DD-44C4-BC99-10E6052DD28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197E4F2D-C5DD-44C4-BC99-10E6052DD28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349E1F-5CE9-4036-96B7-1094964ECB9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A349E1F-5CE9-4036-96B7-1094964ECB9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7FB14C-8751-4065-B692-504CE09DCE2C}"/>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F7FB14C-8751-4065-B692-504CE09DCE2C}"/>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892A0A2E-72D3-423D-A7F4-35108FC2BF1E}"/>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5CF064F1-F581-4E6E-9053-390FFDE416A3}"/>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49EBA0DB-03A7-489C-AE1C-1BDDFC5D9BD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61E42D7-814A-4916-AEF1-EE61E1B84734}"/>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208B5005-C6CE-42F5-B419-9B16901FC9B8}"/>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ECB3513A-BAAD-44A3-8F3B-A163C5AEF3F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DF3F6C07-43B4-4189-8D8F-2A2A925F601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A81311D-1802-46ED-B3EE-049208DDE076}"/>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262EFA16-CDDE-43C1-80DB-7538E0E6159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C2EC3CF0-E722-41FA-B57B-475B9A8A8729}"/>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264343B-3B0B-46C8-A87F-831662FB8FBE}"/>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A1C39543-EE39-4864-B95A-35DE4F3B885D}"/>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66FE70F-08CE-4A8A-B36B-DB1E5392264D}"/>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441E11E8-8A68-44F3-800B-E4BF17F8115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8C9C85DD-4658-4CA5-A97B-6E1CEEACEF7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8C726AB-759F-42FE-A296-A023DC160C8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9D0DEDEE-D657-4F21-849F-166B919CE1C1}"/>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173F7FFE-2C3D-42C9-8742-45D10DAF0594}"/>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B8B0FCD-0A61-44D8-985D-770FC45ED5E7}"/>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54F6B13-5981-4C9F-9C63-AF72C13E8451}"/>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1417F7E0-9D68-426A-9C18-B3E8FE67718F}"/>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8C371B0B-961A-4272-A572-924FD324118B}"/>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B31C980A-0BB9-490E-AF9A-EE21352AE26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07E6D600-A52A-427F-AD48-95D527B9E3B6}"/>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991193A2-9848-4FA9-B213-05F42F6DDA8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16753918-B1B7-4271-A26C-25E485361992}"/>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D476CC15-BDAF-4C36-B089-FDC20D8E19A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85B9144-4F38-4E2D-8E1E-72AF0F4B0C5E}"/>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F419EA97-1A12-43A9-A30C-445C8454B403}"/>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54F180B-D736-4CAA-8B93-B1E01469E02F}"/>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FAFEDD4E-B173-49F6-88E8-9737DBDF5FBC}"/>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ECF13BFE-2D9A-4AC1-BF4A-B9CFA36EBB90}"/>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9E163358-EEA4-4CBC-800A-CB1420FF7FFE}"/>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4994D2D7-5E0F-414E-A773-C5BF96411A9E}"/>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CD85FD7-1AD8-42D3-9EBF-054CA5157A4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08F4C1F-2A57-49C9-BBC4-9D1067211AE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E178309-E3C9-4DF4-977A-89A1BD153E35}"/>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415E69-399E-4F8E-91B6-3B02743A79C3}" name="Table_Input_InorganicFertiliser_Brands" displayName="Table_Input_InorganicFertiliser_Brands" ref="D11:Z21" headerRowDxfId="382" dataDxfId="381" totalsRowDxfId="380">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2453A271-FF2E-476C-BBB5-8735F63F5C9C}" name="Product (select)" dataDxfId="379" totalsRowDxfId="378" dataCellStyle="Input select"/>
    <tableColumn id="23" xr3:uid="{4E838233-7025-41D3-B27A-0295662252B0}" name="Amount applied per hectare" totalsRowFunction="custom" dataDxfId="377" totalsRowDxfId="376">
      <totalsRowFormula>SUM(Table_Input_InorganicFertiliser_Brands[[#Headers],[#Data],[Amount applied per hectare]])</totalsRowFormula>
    </tableColumn>
    <tableColumn id="12" xr3:uid="{4E7DC71D-1D0E-4ECB-B2AA-F666439AC494}" name="Application unit" dataDxfId="375" totalsRowDxfId="374" dataCellStyle="Input number 2 decimal places"/>
    <tableColumn id="6" xr3:uid="{9C5FB9A1-87D9-4D9E-BFAF-696E29CD8E75}" name="Application area (ha)" dataDxfId="373" totalsRowDxfId="372">
      <calculatedColumnFormula>X_Cell_Fertiliser_AreaUnderCropping</calculatedColumnFormula>
    </tableColumn>
    <tableColumn id="9" xr3:uid="{997675C3-8D0B-42A4-B9C3-C7A4E3B98A0B}" name="Density" dataDxfId="371" totalsRowDxfId="370" dataCellStyle="Input number general calculated"/>
    <tableColumn id="1" xr3:uid="{D7ECF9B2-C502-406A-9284-969C72A66B07}" name="Total applied (kg)" dataDxfId="369" totalsRowDxfId="36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649B3D8-5A81-4D1E-A2C6-F197428889DE}" name="Ingredient 1" dataDxfId="367" totalsRowDxfId="366" dataCellStyle="Input number general calculated"/>
    <tableColumn id="4" xr3:uid="{9F582AD3-5A56-4202-810E-E8D9AB4DAF66}" name="Ingredient 1 percent" dataDxfId="365" dataCellStyle="Input number general calculated"/>
    <tableColumn id="7" xr3:uid="{79E5B719-CA11-4CFA-B7CC-6FAC5A6ECCE7}" name="Ingredient 2" dataDxfId="364" dataCellStyle="Input number general calculated"/>
    <tableColumn id="8" xr3:uid="{21C589B6-79F4-42A9-94CB-257FF2432967}" name="Ingredient 2 percent" dataDxfId="363" totalsRowDxfId="362" dataCellStyle="Input number general calculated"/>
    <tableColumn id="10" xr3:uid="{4C1CEA43-2A4B-4099-81CE-8350EF3A175F}" name="Ingredient 3" dataDxfId="361" totalsRowDxfId="360" dataCellStyle="Input number general calculated"/>
    <tableColumn id="11" xr3:uid="{35A13E4B-8A6E-4C8A-B57F-FDF25FE0BA2F}" name="Ingredient 3 percent" dataDxfId="359" totalsRowDxfId="358" dataCellStyle="Input number general calculated"/>
    <tableColumn id="13" xr3:uid="{4EE6B263-6620-4723-B0BD-93C84AB1AE60}" name="Ingredient 4" dataDxfId="357" totalsRowDxfId="356" dataCellStyle="Input number general calculated"/>
    <tableColumn id="14" xr3:uid="{4687CA10-0A9D-47BC-BF4F-C166A4C25716}" name="Ingredient 4 percent" dataDxfId="355" dataCellStyle="Input number general calculated"/>
    <tableColumn id="16" xr3:uid="{911DB17C-29E3-472C-A7ED-F5E72DFDE1A2}" name="Ingredient 5" dataDxfId="354" dataCellStyle="Input number general calculated"/>
    <tableColumn id="17" xr3:uid="{2E6F1505-8B57-4E81-8E24-92DFCA8C1331}" name="Ingredient 5 percent" dataDxfId="353" dataCellStyle="Input number general calculated"/>
    <tableColumn id="19" xr3:uid="{9BB6BECF-BCD4-4A44-BED4-DA35BCB59A03}" name="Ingredient 6" dataDxfId="352" dataCellStyle="Input number general calculated"/>
    <tableColumn id="20" xr3:uid="{943E9B27-5AD4-4A60-ADF0-2E9B72604A16}" name="Ingredient 6 percent" dataDxfId="351" dataCellStyle="Input number general calculated"/>
    <tableColumn id="21" xr3:uid="{E7563B86-AE3A-4C7A-BBE6-DB38386D4586}" name="% N (Ingredients)" dataDxfId="350" dataCellStyle="Input number general calculated"/>
    <tableColumn id="22" xr3:uid="{20E0C030-1AA4-48FC-BB2D-1D290EB2CA24}" name="% N (declared)" dataDxfId="349" dataCellStyle="Content normal"/>
    <tableColumn id="5" xr3:uid="{BA65FB08-71B1-4625-9C81-4E183D29B21B}" name="N application rate (kg/ha)" dataDxfId="348" totalsRowDxfId="347"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F4CCD83B-A540-4719-A8FB-5DFADEED86F5}" name="Urea source" dataDxfId="346" totalsRowDxfId="345" dataCellStyle="Input number general calculated"/>
    <tableColumn id="18" xr3:uid="{6D22C2BC-E0F4-4EBE-AEDC-2E3BC038F82C}" name="Ammonia source" dataDxfId="344" totalsRowDxfId="34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883CED1-C60F-4296-809F-B4C8B5856080}" name="Table_Input_InorganicFertiliser_Custom" displayName="Table_Input_InorganicFertiliser_Custom" ref="D24:R34" totalsRowShown="0" headerRowDxfId="342" dataDxfId="341">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2ABBC84-C5D3-476E-8662-43B959E44818}" name="Custom blend name" dataCellStyle="Input text"/>
    <tableColumn id="2" xr3:uid="{4CBC072E-79A8-4239-BA89-A3D3FE553A22}" name="Amount applied (kg / ha)" dataDxfId="340"/>
    <tableColumn id="3" xr3:uid="{D156699E-E234-4933-A7CB-BA485725D5D4}" name="Application area (ha)" dataDxfId="339" dataCellStyle="Input number 2 decimal places">
      <calculatedColumnFormula>X_Cell_Fertiliser_AreaUnderCropping</calculatedColumnFormula>
    </tableColumn>
    <tableColumn id="4" xr3:uid="{DA998894-48B0-44BE-852C-004F491EB07F}" name="Total applied (kg)" dataDxfId="338" dataCellStyle="Input number general calculated">
      <calculatedColumnFormula>Table_Input_InorganicFertiliser_Custom[[#This Row],[Amount applied (kg / ha)]]*Table_Input_InorganicFertiliser_Custom[[#This Row],[Application area (ha)]]</calculatedColumnFormula>
    </tableColumn>
    <tableColumn id="5" xr3:uid="{4CDEB753-D112-476D-825F-6CA64CF9FC15}" name="Ingredient 1 (select)" dataDxfId="337" dataCellStyle="Input select"/>
    <tableColumn id="6" xr3:uid="{49C5BD50-7F44-4CAE-985F-3742432A88BD}" name="Ingredient 1 percent" dataDxfId="336"/>
    <tableColumn id="8" xr3:uid="{AA6C33A8-02EA-4D2F-B278-DCAAC82B9B49}" name="Ingredient 2" dataDxfId="335" dataCellStyle="Input select"/>
    <tableColumn id="9" xr3:uid="{F13EB17E-36AF-48B9-9BF4-F596C1D2D80C}" name="Ingredient 2 percent" dataDxfId="334"/>
    <tableColumn id="11" xr3:uid="{B802AC56-35F6-41F1-BE67-0F8C354A84ED}" name="Ingredient 3" dataDxfId="333" dataCellStyle="Input select"/>
    <tableColumn id="12" xr3:uid="{C33CA6F0-4D17-4CE9-96A2-D6A1437E68C7}" name="Ingredient 3 percent" dataDxfId="332"/>
    <tableColumn id="14" xr3:uid="{1E1393C6-CC92-4529-AFEC-8DD19FBFC83D}" name="Ingredient 4" dataDxfId="331" dataCellStyle="Input select"/>
    <tableColumn id="15" xr3:uid="{1BF059D8-63FC-4D0D-8A29-33C2EFCC0486}" name="Ingredient 4 percent" dataCellStyle="Input percent"/>
    <tableColumn id="7" xr3:uid="{ACBA1FB8-354E-4C9C-AC6C-E014A5DA49A9}" name="N application rate (kg/ha)" dataDxfId="330" dataCellStyle="Input number general calculated"/>
    <tableColumn id="10" xr3:uid="{938E4BDE-42CC-4F17-9CB7-3C17C4BEDDE0}" name="Urea source (Select)" dataCellStyle="Input select"/>
    <tableColumn id="13" xr3:uid="{BF5C9B24-0626-488C-B338-53992E7CE58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53F7A9-0DC0-4DCC-ADF8-2A027DFB3DA1}" name="Table_Input_Lime" displayName="Table_Input_Lime" ref="D41:K44" totalsRowShown="0" headerRowDxfId="329" dataDxfId="328"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404121A-D9D6-42E9-BAA1-FAB5DB812A61}" name="Product" dataDxfId="327"/>
    <tableColumn id="2" xr3:uid="{F5C55D18-747B-4384-897F-6BFDE811CFDB}" name="Amount applied (t/hectare)" dataDxfId="326"/>
    <tableColumn id="4" xr3:uid="{A3030A3C-EF95-43DC-8B6A-F1D37059DAE8}" name="Application area (ha)" dataDxfId="325" dataCellStyle="Input number 2 decimal places">
      <calculatedColumnFormula>X_Cell_Fertiliser_AreaUnderCropping</calculatedColumnFormula>
    </tableColumn>
    <tableColumn id="3" xr3:uid="{3CD0E0D9-6822-4DED-A4CE-B10BC5B5A406}" name="Total amount applied (t)" dataDxfId="324" dataCellStyle="Input number general calculated">
      <calculatedColumnFormula>IFERROR(Table_Input_Lime[[#This Row],[Amount applied (t/hectare)]]*Table_Input_Lime[[#This Row],[Application area (ha)]], 0)</calculatedColumnFormula>
    </tableColumn>
    <tableColumn id="6" xr3:uid="{14980DA3-639B-46DE-B004-1905257302BB}" name="Percent Lime CaCO3" dataDxfId="323"/>
    <tableColumn id="8" xr3:uid="{45CB4C87-BCE8-4F71-B9F0-79B9478926FE}" name="Percent Dolomite CaMg(CO3)2" dataDxfId="322"/>
    <tableColumn id="7" xr3:uid="{13906B01-4EB1-4884-9E50-BD126C5B5560}" name="Percent Gypsum" dataDxfId="321"/>
    <tableColumn id="10" xr3:uid="{13B2D987-AE80-445B-B6FE-1FB8887DCD17}" name="Total" dataDxfId="32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64310D-2157-441F-9BBB-74D37BD2AB51}" name="Table_Input_OrganicFertiliser" displayName="Table_Input_OrganicFertiliser" ref="D53:J56" totalsRowShown="0" headerRowDxfId="319" dataDxfId="318"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45FBA99-CFB2-4C8B-BBDD-355F72E66F44}" name="Organic fertiliser type (select)" dataDxfId="317" dataCellStyle="Input select"/>
    <tableColumn id="5" xr3:uid="{1C5D5E33-C76F-4273-9837-4ED5E45EBF18}" name="Percentage of N in fertiliser" dataDxfId="316"/>
    <tableColumn id="2" xr3:uid="{BFA98251-FCE6-4FF1-AF4C-6A362BB557EB}" name="Amount applied (kg/hectare)" dataDxfId="315"/>
    <tableColumn id="11" xr3:uid="{3B94585B-06BA-4126-80F2-8A0216C1CC71}" name="Amount N applied (kg/hectare)" dataDxfId="314" dataCellStyle="Input number general calculated">
      <calculatedColumnFormula>Table_Input_OrganicFertiliser[[#This Row],[Amount applied (kg/hectare)]]*Table_Input_OrganicFertiliser[[#This Row],[Percentage of N in fertiliser]]</calculatedColumnFormula>
    </tableColumn>
    <tableColumn id="4" xr3:uid="{A9091F4D-EA68-4A4B-8FE3-E7949A900020}" name="Application area (ha)" dataDxfId="313" dataCellStyle="Input number 2 decimal places">
      <calculatedColumnFormula>X_Cell_Fertiliser_AreaUnderCropping</calculatedColumnFormula>
    </tableColumn>
    <tableColumn id="7" xr3:uid="{9999383E-4D1F-4015-80A5-DCE368089D11}" name="Total organic fertliser applied" dataDxfId="312" dataCellStyle="Input number general calculated">
      <calculatedColumnFormula>Table_Input_OrganicFertiliser[[#This Row],[Amount applied (kg/hectare)]]*Table_Input_OrganicFertiliser[[#This Row],[Application area (ha)]]</calculatedColumnFormula>
    </tableColumn>
    <tableColumn id="3" xr3:uid="{FB48A4A9-3ED7-414C-AF6C-006641D047AA}" name="Total nitrogen applied (kg)" dataDxfId="31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3845F3-C64F-4A06-BACC-C65C1090DA5B}" name="Table_Input_Fuel" displayName="Table_Input_Fuel" ref="D16:J21" totalsRowDxfId="31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ABDF876F-B468-4147-85D4-51DC54E26BAF}" name="Fuel use (select)" totalsRowFunction="average" totalsRowDxfId="309" dataCellStyle="Input select" totalsRowCellStyle="Input select"/>
    <tableColumn id="3" xr3:uid="{2B271DF7-B515-44CF-A6A2-99EEE0F3746A}" name="Fuel type (select)" totalsRowDxfId="308" dataCellStyle="Input select" totalsRowCellStyle="Input select"/>
    <tableColumn id="4" xr3:uid="{3259CA1B-33D1-4530-9652-4A5AB6E90BFE}" name="Amount purchased" totalsRowDxfId="307" totalsRowCellStyle="Content bold"/>
    <tableColumn id="6" xr3:uid="{8EA529DE-CB8F-4F8E-89BF-293DCAC8211A}" name="Amount unit" totalsRowDxfId="306" dataCellStyle="Input number general calculated" totalsRowCellStyle="Input text calculated"/>
    <tableColumn id="5" xr3:uid="{C888146E-AFE3-44BC-989A-185497329C7F}" name="Percent consumed" totalsRowDxfId="305" totalsRowCellStyle="Input percent">
      <calculatedColumnFormula>1</calculatedColumnFormula>
    </tableColumn>
    <tableColumn id="1" xr3:uid="{5839405D-A8D7-4CD1-956F-7C3FA1F0668A}" name="Amount consumed" totalsRowFunction="custom" totalsRowDxfId="30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FE6B3DB-FF2A-4A45-9189-EC2EB13B9EEF}" name="Amount consumed unit" totalsRowDxfId="30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E356799-6B1D-461E-A180-281F447F22AE}"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0B8E38B-FC4F-46DA-B464-63582BAC26D5}" name="Description"/>
    <tableColumn id="5" xr3:uid="{6EEB7CC6-7D9F-4CE6-9F1A-FB1823922D88}" name="Source (select)" dataCellStyle="Input select"/>
    <tableColumn id="2" xr3:uid="{A87E88AE-54C6-46C7-9779-AB3330DAE55B}" name="Generation date" dataDxfId="302"/>
    <tableColumn id="3" xr3:uid="{78ADE1D3-6323-44F8-BABF-B37BBE1D9D41}" name="Number of certificates"/>
    <tableColumn id="4" xr3:uid="{BEE1E371-1D3E-42A1-9D73-BEDDA424EA4E}" name="MWh" dataCellStyle="Input number general calculated">
      <calculatedColumnFormula>Table_Input_RECSurrendered[[#This Row],[Number of certificates]]</calculatedColumnFormula>
    </tableColumn>
    <tableColumn id="7" xr3:uid="{E8976738-E5EA-49A9-90BA-DCD2B9EA635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DFA49D8-3F39-4067-B67E-4D441D36534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BA15D79-C581-4218-9F2F-7A2765CB2D52}" name="Description"/>
    <tableColumn id="5" xr3:uid="{5CB05191-3D06-492E-B749-8B7B98AE8817}" name="Source" dataCellStyle="Input text calculated">
      <calculatedColumnFormula>"Issued for generated electricity"</calculatedColumnFormula>
    </tableColumn>
    <tableColumn id="2" xr3:uid="{82A59808-65D8-419E-8E22-28B9DDAB985D}" name="Generation date" dataDxfId="301"/>
    <tableColumn id="3" xr3:uid="{DC5DF637-9D2E-4E46-90F6-D4D17FB8794F}" name="Number of certificates"/>
    <tableColumn id="4" xr3:uid="{3527D92F-84B9-44D5-A95F-DC299F65F0AA}" name="MWh" dataCellStyle="Input number general calculated">
      <calculatedColumnFormula>Table_Input_RECConsumedByEntity[[#This Row],[Number of certificates]]</calculatedColumnFormula>
    </tableColumn>
    <tableColumn id="7" xr3:uid="{37409590-5EEC-4E6E-BD8D-32BF92B3A40F}"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6D3E1C0-9F84-4B79-96B0-E62A92A2E407}"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1A1450F8-9F0E-4FEC-A65C-A5039089ED48}" name="Product name" dataCellStyle="Input text"/>
    <tableColumn id="1" xr3:uid="{845C4AFF-0F67-46A5-A6B3-B66F69DB8028}" name="Type (select)" dataCellStyle="Input select"/>
    <tableColumn id="2" xr3:uid="{F46FF4C8-F305-46B8-A78A-83218EF11ACB}"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D9CA865-3066-49C3-8B5F-C1E0ADCB0A43}"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A1A22D42-74D6-426A-BFD4-96DD2B0463DC}" name="Product / service name" dataCellStyle="Input text"/>
    <tableColumn id="2" xr3:uid="{56480855-09C3-451E-805A-A2C7FD766DE3}" name="Amount" dataCellStyle="Input number general"/>
    <tableColumn id="3" xr3:uid="{B85A1218-478A-4DEA-B568-765E71F8ED48}"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95FC767-A586-4ACB-8E93-608CA3852AF8}"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5340018A-D134-4F38-91FF-2161750B8ECF}" name="Service provider / contractor" dataCellStyle="Input text"/>
    <tableColumn id="4" xr3:uid="{6CF30482-C0E1-4A95-A4B1-1DA056435F27}" name="Activity" dataCellStyle="Input text"/>
    <tableColumn id="2" xr3:uid="{0E22F3FE-3FBF-4533-9EA2-7FA31511F764}" name="Total amount" dataCellStyle="Input number general"/>
    <tableColumn id="3" xr3:uid="{598E300F-46EB-4450-AE23-28211AB5CC83}"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C76C8A3A-F041-41DE-9A4A-4C7C0D94D2A2}" name="Table_Input_Pesticides" displayName="Table_Input_Pesticides" ref="D9:R19" totalsRowShown="0" headerRowDxfId="300">
  <autoFilter ref="D9:R19" xr:uid="{BA52E4BB-C3D1-441A-A568-0AD50449E880}"/>
  <tableColumns count="15">
    <tableColumn id="1" xr3:uid="{831017EB-29DD-40AF-A71A-EEDB2817D69D}" name="Product name"/>
    <tableColumn id="2" xr3:uid="{48E9027E-6395-480F-A68F-8852E80049D2}" name="Amount applied per ha"/>
    <tableColumn id="7" xr3:uid="{A031CD88-4E4C-4E1A-A789-8EB83E0ECB09}" name="Application unit (select)" dataCellStyle="Input select"/>
    <tableColumn id="6" xr3:uid="{136DBCC8-0232-4A3C-A680-33B7535F639E}" name="Application area (ha)" dataCellStyle="Input number general"/>
    <tableColumn id="3" xr3:uid="{792CC850-90C3-4801-9CAB-D74A6BBFAE53}" name="Total applied" dataCellStyle="Input number general calculated">
      <calculatedColumnFormula>Table_Input_Pesticides[[#This Row],[Amount applied per ha]]*Table_Input_Pesticides[[#This Row],[Application area (ha)]]</calculatedColumnFormula>
    </tableColumn>
    <tableColumn id="5" xr3:uid="{4319FE4C-E1BD-4862-A4FF-007155D0F85D}" name="Constituent unit (select)" dataCellStyle="Input select"/>
    <tableColumn id="4" xr3:uid="{7864CCB2-A0C2-48E4-A08F-3B4A085F3952}" name="Active ingredient 1 (select)" dataCellStyle="Input select"/>
    <tableColumn id="8" xr3:uid="{BDE3A24A-46A6-4713-A3FE-7455A806D4D8}" name="Active ingredient 1 amount" dataCellStyle="Input number general"/>
    <tableColumn id="16" xr3:uid="{68480541-7655-4B23-B433-4D3DAD5A2417}"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B86CA7F-D389-4616-B0D0-E6F485C3F44F}" name="Active ingredient 2 (select)" dataCellStyle="Input select"/>
    <tableColumn id="11" xr3:uid="{AEB0CB55-085A-4186-9DCD-0F850A832D38}" name="Active ingredient 2 amount" dataCellStyle="Input number general"/>
    <tableColumn id="17" xr3:uid="{CE39DFAA-5177-4336-9490-3FA8207985F7}"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BBB40EA-CCA7-486B-8732-A93F0023C559}" name="Active ingredient 3 (select)" dataCellStyle="Input select"/>
    <tableColumn id="14" xr3:uid="{26DCAF27-13F0-454E-ABB4-3CF1079542FB}" name="Active ingredient 3 amount" dataCellStyle="Input number general"/>
    <tableColumn id="18" xr3:uid="{11E132F6-D183-4DA6-9AE9-C61AE3A45FD4}"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29F2E9F-AE30-4924-B781-5756BFC25F1E}"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2CF2C7C6-3E14-4E59-BBE7-D914B18F3955}" name="Route name"/>
    <tableColumn id="2" xr3:uid="{486E3674-701B-4168-BC8F-9530DC59E71D}" name="Freight type (select)" dataCellStyle="Input select"/>
    <tableColumn id="3" xr3:uid="{1DA556D7-55D5-439E-8523-B52F4564A104}" name="Route distance (km)"/>
    <tableColumn id="4" xr3:uid="{E6004397-9C2E-43C4-A5E0-C8CAA3B71D0C}" name="Average weight of freight per trip (t)"/>
    <tableColumn id="5" xr3:uid="{13FC792F-ADDA-496D-B833-56C84D89D7FC}"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E7E03723-AE61-4E25-9834-017C1ACE061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62F3A6BA-1B99-4F6E-89DE-F889B518C18B}" name="Route name"/>
    <tableColumn id="2" xr3:uid="{40D4EEFA-C89D-4DCA-8783-D92870D87CCE}" name="Freight type (select)" dataCellStyle="Input select"/>
    <tableColumn id="3" xr3:uid="{4502BBE5-2660-4B09-9F90-C42466434287}" name="Route distance (km)"/>
    <tableColumn id="4" xr3:uid="{4080D16F-7383-4B00-9D4D-EAD6B153E76E}" name="Average weight of freight per trip (t)"/>
    <tableColumn id="5" xr3:uid="{9F451BBF-8583-41EE-8DFC-3E9B39153E7B}"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26CDF1B-8DE4-48CE-9E5A-DEB79E6A318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85DE4B-5689-4CB9-BCBC-8E80FDF610DB}" name="Crop type">
      <calculatedColumnFormula array="1">Common_InputFunctions.Utility_DisplayArrayInTable(Agresidue_SourceData.CropAttributes_Data(),Table_SourceData_CropAttributes[[#Headers],[Crop type]], -1)</calculatedColumnFormula>
    </tableColumn>
    <tableColumn id="2" xr3:uid="{D177B7CF-55B8-417A-865D-E0A278C9B070}" name="Residue: Crop ratio">
      <calculatedColumnFormula array="1">Common_InputFunctions.Utility_DisplayArrayInTable(Agresidue_SourceData.CropAttributes_Data(),Table_SourceData_CropAttributes[[#Headers],[Crop type]], -1)</calculatedColumnFormula>
    </tableColumn>
    <tableColumn id="3" xr3:uid="{69F6F5AC-292B-46A9-893A-89695E59E31C}" name="Below-ground: above-ground residue ratio">
      <calculatedColumnFormula array="1">Common_InputFunctions.Utility_DisplayArrayInTable(Agresidue_SourceData.CropAttributes_Data(),Table_SourceData_CropAttributes[[#Headers],[Crop type]], -1)</calculatedColumnFormula>
    </tableColumn>
    <tableColumn id="4" xr3:uid="{D89244A2-6BE0-4551-99C1-2187099BD10E}" name="Dry matter content">
      <calculatedColumnFormula array="1">Common_InputFunctions.Utility_DisplayArrayInTable(Agresidue_SourceData.CropAttributes_Data(),Table_SourceData_CropAttributes[[#Headers],[Crop type]], -1)</calculatedColumnFormula>
    </tableColumn>
    <tableColumn id="5" xr3:uid="{29A45FFD-EA3B-4355-9946-560734A1B340}" name="Carbon fraction in dry matter">
      <calculatedColumnFormula array="1">Common_InputFunctions.Utility_DisplayArrayInTable(Agresidue_SourceData.CropAttributes_Data(),Table_SourceData_CropAttributes[[#Headers],[Crop type]], -1)</calculatedColumnFormula>
    </tableColumn>
    <tableColumn id="6" xr3:uid="{AD3037C2-3CF4-4949-AFF3-4AEF768A2777}" name="N content above-ground">
      <calculatedColumnFormula array="1">Common_InputFunctions.Utility_DisplayArrayInTable(Agresidue_SourceData.CropAttributes_Data(),Table_SourceData_CropAttributes[[#Headers],[Crop type]], -1)</calculatedColumnFormula>
    </tableColumn>
    <tableColumn id="7" xr3:uid="{E8B8E532-5335-4C7C-9F0E-383D26A02085}" name="N content below-ground">
      <calculatedColumnFormula array="1">Common_InputFunctions.Utility_DisplayArrayInTable(Agresidue_SourceData.CropAttributes_Data(),Table_SourceData_CropAttributes[[#Headers],[Crop type]], -1)</calculatedColumnFormula>
    </tableColumn>
    <tableColumn id="8" xr3:uid="{54281549-414E-4BF9-820F-141EC98587DE}"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59D995F-0E44-4E4E-B3ED-674711B6D37F}"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6E57F37-F4BB-4DBB-AD8C-34C48B32376D}" name="Table76" displayName="Table76" ref="D73:F89" totalsRowShown="0">
  <autoFilter ref="D73:F89" xr:uid="{7CD0B032-9881-4EF1-81E3-483C7C16D9D0}">
    <filterColumn colId="0" hiddenButton="1"/>
    <filterColumn colId="1" hiddenButton="1"/>
    <filterColumn colId="2" hiddenButton="1"/>
  </autoFilter>
  <tableColumns count="3">
    <tableColumn id="1" xr3:uid="{DE22E5C3-6E84-418A-8807-7AB2D63DB55A}" name="Crop type c">
      <calculatedColumnFormula array="1">Common_InputFunctions.Utility_DisplayArrayInTable(Agresidue_SourceData.CropFractionRemoved_Data(), Table76[[#Headers],[Crop type c]], 0)</calculatedColumnFormula>
    </tableColumn>
    <tableColumn id="2" xr3:uid="{2811EDA7-5BF5-4D53-AA03-1C89645AFF82}" name="State" dataDxfId="299">
      <calculatedColumnFormula array="1">Common_InputFunctions.Utility_DisplayArrayInTable(Agresidue_SourceData.CropFractionRemoved_Data(), Table76[[#Headers],[Crop type c]], 0)</calculatedColumnFormula>
    </tableColumn>
    <tableColumn id="3" xr3:uid="{F39A6B58-124E-48D0-8FE2-3DE470415B83}" name="Fraction removed" dataDxfId="29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B76ACCD-DEB1-4674-B54F-1396ABCAA1F5}" name="Table77" displayName="Table77" ref="D92:F235" totalsRowShown="0">
  <autoFilter ref="D92:F235" xr:uid="{1FA7CC86-1C1E-41FA-9AA1-AAD48AA2EEF0}">
    <filterColumn colId="0" hiddenButton="1"/>
    <filterColumn colId="1" hiddenButton="1"/>
    <filterColumn colId="2" hiddenButton="1"/>
  </autoFilter>
  <tableColumns count="3">
    <tableColumn id="1" xr3:uid="{DD27B261-7E7A-468C-B5DE-D7F9D3D17B55}" name="Crop type c">
      <calculatedColumnFormula array="1">Common_InputFunctions.Utility_DisplayArrayInTable(Agresidue_SourceData.CropFractionRemoved_CustomisedData(), Table77[[#Headers],[Crop type c]], 0)</calculatedColumnFormula>
    </tableColumn>
    <tableColumn id="2" xr3:uid="{E0615D23-E14C-49D7-A8CC-733FF7F1BD3D}" name="State" dataDxfId="297">
      <calculatedColumnFormula array="1">Common_InputFunctions.Utility_DisplayArrayInTable(Agresidue_SourceData.CropFractionRemoved_CustomisedData(), Table77[[#Headers],[Crop type c]], 0)</calculatedColumnFormula>
    </tableColumn>
    <tableColumn id="3" xr3:uid="{5AA9FD32-FDCA-4BA4-8ED0-6990C603BC50}" name="Fraction removed" dataDxfId="29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1D857CA-9FCC-489E-9861-F578C37A4AAF}" name="Table_SourceData_N2OEFOrganicFert" displayName="Table_SourceData_N2OEFOrganicFert" ref="D43:E45" totalsRowShown="0" dataDxfId="295" dataCellStyle="Content bold">
  <autoFilter ref="D43:E45" xr:uid="{2270AB6D-D03A-4D71-95C0-00BA6BB02732}">
    <filterColumn colId="0" hiddenButton="1"/>
    <filterColumn colId="1" hiddenButton="1"/>
  </autoFilter>
  <tableColumns count="2">
    <tableColumn id="1" xr3:uid="{D1C7E833-0991-492A-8DAD-3A913A718C30}" name="Climate zone type i" dataDxfId="294" dataCellStyle="Content bold">
      <calculatedColumnFormula array="1">Common_InputFunctions.Utility_DisplayArrayInTable(Agresidue_SourceData.N2OEFOrganicFertiliser_Data(), Table_SourceData_N2OEFOrganicFert[[#Headers],[Climate zone type i]], 0)</calculatedColumnFormula>
    </tableColumn>
    <tableColumn id="2" xr3:uid="{554D2BCE-4484-40BA-9D06-9C38E2BE1F0D}" name="EF i N2O" dataDxfId="29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D947A73-F042-4D8F-B05D-85D23EB5EDE3}" name="Table_SourceData_PastureAttributes" displayName="Table_SourceData_PastureAttributes" ref="D51:I56" totalsRowShown="0" dataDxfId="29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4094C2C-F36B-40A2-B594-BA4F01B0D554}" name="Pasture type" dataDxfId="291" dataCellStyle="Content normal">
      <calculatedColumnFormula array="1">Common_InputFunctions.Utility_DisplayArrayInTable(Agresidue_SourceData.PastureAttributes_Data(), Table_SourceData_PastureAttributes[[#Headers],[Pasture type]], 0)</calculatedColumnFormula>
    </tableColumn>
    <tableColumn id="2" xr3:uid="{EBB40E6F-73C1-4C43-B6BC-C9174ADEFE64}" name="Average Yield (t DM ha) Yp" dataDxfId="290" dataCellStyle="Content normal">
      <calculatedColumnFormula array="1">Common_InputFunctions.Utility_DisplayArrayInTable(Agresidue_SourceData.PastureAttributes_Data(), Table_SourceData_PastureAttributes[[#Headers],[Pasture type]], 0)</calculatedColumnFormula>
    </tableColumn>
    <tableColumn id="3" xr3:uid="{D854FFA4-5FA9-4B0D-9118-48C7F61395AE}" name="Below-ground: above-ground residue ratio RBGp" dataDxfId="289" dataCellStyle="Content normal">
      <calculatedColumnFormula array="1">Common_InputFunctions.Utility_DisplayArrayInTable(Agresidue_SourceData.PastureAttributes_Data(), Table_SourceData_PastureAttributes[[#Headers],[Pasture type]], 0)</calculatedColumnFormula>
    </tableColumn>
    <tableColumn id="4" xr3:uid="{819BD126-14C9-40C0-82BA-A3C67F9A4EE5}" name="N content Above-ground NCAGp" dataDxfId="288" dataCellStyle="Content normal">
      <calculatedColumnFormula array="1">Common_InputFunctions.Utility_DisplayArrayInTable(Agresidue_SourceData.PastureAttributes_Data(), Table_SourceData_PastureAttributes[[#Headers],[Pasture type]], 0)</calculatedColumnFormula>
    </tableColumn>
    <tableColumn id="5" xr3:uid="{CE7627F0-2BB6-4AB4-A820-9D8F19AD84B9}" name="N content Below-ground NCBGp" dataDxfId="287" dataCellStyle="Content normal">
      <calculatedColumnFormula array="1">Common_InputFunctions.Utility_DisplayArrayInTable(Agresidue_SourceData.PastureAttributes_Data(), Table_SourceData_PastureAttributes[[#Headers],[Pasture type]], 0)</calculatedColumnFormula>
    </tableColumn>
    <tableColumn id="6" xr3:uid="{F2B21311-7E23-4996-9A2B-D0B19E7CB5C1}" name="Fraction of pasture yield that is removed FFODp" dataDxfId="28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536DADD-4FA8-457A-9F1F-AA7EC287649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1CCF6AB3-FB0B-4B17-9103-40A895DD55D5}" name="Gas species">
      <calculatedColumnFormula array="1">Common_InputFunctions.Utility_DisplayArrayInTable(AgResidues_SourceData.BurningOfAgriculturalResiduesEFs_Data(), Table_SourceData_BurningResidueEFs[[#Headers],[Gas species]], 0)</calculatedColumnFormula>
    </tableColumn>
    <tableColumn id="2" xr3:uid="{7045C10B-D66E-41EB-A876-87A82B2FDB3B}" name="Emission factor EFg (Gg element in species/ Gg element in fuel burnt)" dataDxfId="285" dataCellStyle="Content normal">
      <calculatedColumnFormula array="1">Common_InputFunctions.Utility_DisplayArrayInTable(AgResidues_SourceData.BurningOfAgriculturalResiduesEFs_Data(), Table_SourceData_BurningResidueEFs[[#Headers],[Gas species]], 0)</calculatedColumnFormula>
    </tableColumn>
    <tableColumn id="3" xr3:uid="{269572C7-4E85-480D-9F5D-EA1473C1FBF7}" name="Elemental to molecular mass conversion factor (Cg)" dataDxfId="28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31610B9-B2C4-4EBE-9294-A9A85AF4A472}" name="Table_SourceData_CropPurposeAndYields" displayName="Table_SourceData_CropPurposeAndYields" ref="D7:K10" totalsRowShown="0" headerRowDxfId="28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9A5D3F6-77B2-4D31-8601-BD1FD1260E5E}" name="Purpose">
      <calculatedColumnFormula array="1">Common_InputFunctions.Utility_DisplayArrayInTable(Agresidue_SourceData.CropPurposeAndYield_Data(), Table_SourceData_CropPurposeAndYields[[#Headers],[Purpose]], 0)</calculatedColumnFormula>
    </tableColumn>
    <tableColumn id="2" xr3:uid="{91A16B9B-8FF4-4433-B08E-A35BCD7B3F7D}" name="Per hectare unit">
      <calculatedColumnFormula array="1">Common_InputFunctions.Utility_DisplayArrayInTable(Agresidue_SourceData.CropPurposeAndYield_Data(), Table_SourceData_CropPurposeAndYields[[#Headers],[Purpose]], 0)</calculatedColumnFormula>
    </tableColumn>
    <tableColumn id="3" xr3:uid="{852E8756-BFAA-41E1-A761-C0BC89AA8737}" name="harvest term">
      <calculatedColumnFormula array="1">Common_InputFunctions.Utility_DisplayArrayInTable(Agresidue_SourceData.CropPurposeAndYield_Data(), Table_SourceData_CropPurposeAndYields[[#Headers],[Purpose]], 0)</calculatedColumnFormula>
    </tableColumn>
    <tableColumn id="4" xr3:uid="{F1DD6219-FBB4-4C72-AA1D-1BA22547EBF3}" name="harvest endpoint">
      <calculatedColumnFormula array="1">Common_InputFunctions.Utility_DisplayArrayInTable(Agresidue_SourceData.CropPurposeAndYield_Data(), Table_SourceData_CropPurposeAndYields[[#Headers],[Purpose]], 0)</calculatedColumnFormula>
    </tableColumn>
    <tableColumn id="5" xr3:uid="{AF457346-2D3B-4ADA-8845-DDD9CB466936}" name="Harvest uit">
      <calculatedColumnFormula array="1">Common_InputFunctions.Utility_DisplayArrayInTable(Agresidue_SourceData.CropPurposeAndYield_Data(), Table_SourceData_CropPurposeAndYields[[#Headers],[Purpose]], 0)</calculatedColumnFormula>
    </tableColumn>
    <tableColumn id="6" xr3:uid="{2D678E6C-1C93-4315-95CB-75283C0AF632}" name="Yield note">
      <calculatedColumnFormula array="1">Common_InputFunctions.Utility_DisplayArrayInTable(Agresidue_SourceData.CropPurposeAndYield_Data(), Table_SourceData_CropPurposeAndYields[[#Headers],[Purpose]], 0)</calculatedColumnFormula>
    </tableColumn>
    <tableColumn id="8" xr3:uid="{3F9EF950-9883-4EDE-BFBF-3206820B008F}" name="Residue crop ratio note">
      <calculatedColumnFormula array="1">Common_InputFunctions.Utility_DisplayArrayInTable(Agresidue_SourceData.CropPurposeAndYield_Data(), Table_SourceData_CropPurposeAndYields[[#Headers],[Purpose]], 0)</calculatedColumnFormula>
    </tableColumn>
    <tableColumn id="9" xr3:uid="{F04C6B08-4E92-4CF2-97B6-05C7987AF8B7}"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7C1C13E-B963-4A65-BB74-488B2273ED80}" name="Table_SourceData_Fertiliser_IrrigationMethods65" displayName="Table_SourceData_Fertiliser_IrrigationMethods65" ref="N21:N26" totalsRowShown="0">
  <autoFilter ref="N21:N26" xr:uid="{1AC5909E-E06C-4A79-81E9-C25A0B6D9E90}">
    <filterColumn colId="0" hiddenButton="1"/>
  </autoFilter>
  <tableColumns count="1">
    <tableColumn id="1" xr3:uid="{9A40D00E-3D65-4A38-9242-3FD46CCE56A5}"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8DB4135-F653-4946-A353-4EB6886D727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1A9F63D5-8C43-4919-A81B-DC1E0896F3BC}" name="Symbol">
      <calculatedColumnFormula array="1">Common_InputFunctions.Utility_DisplayArrayInTable(CommonLivestock_SourceData.SourceData_Livestock_Common_SymbolsMMS_Data(), Table_Data_MMSSymbols[[#Headers],[Symbol]], 0)</calculatedColumnFormula>
    </tableColumn>
    <tableColumn id="2" xr3:uid="{57F116FB-5048-49CE-BF59-CF3432237FAA}" name="Manure management system">
      <calculatedColumnFormula array="1">Common_InputFunctions.Utility_DisplayArrayInTable(CommonLivestock_SourceData.SourceData_Livestock_Common_SymbolsMMS_Data(), Table_Data_MMSSymbols[[#Headers],[Symbol]], 0)</calculatedColumnFormula>
    </tableColumn>
    <tableColumn id="3" xr3:uid="{A62157E5-2397-4EE9-B6DD-3813BB6BE47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73A113D4-F43F-4A07-B1C5-BB7C77FE1A8F}" name="Table_SourceData_LivestockProduct_Beefcattle" displayName="Table_SourceData_LivestockProduct_Beefcattle" ref="D31:E39" totalsRowShown="0">
  <autoFilter ref="D31:E39" xr:uid="{953E8E36-CE90-4001-9CFA-9307A0C836A9}"/>
  <tableColumns count="2">
    <tableColumn id="1" xr3:uid="{B27FF7D8-D7B7-45AF-AD16-34B5EE40DBE7}" name="Product">
      <calculatedColumnFormula array="1">Common_InputFunctions.Utility_DisplayArrayInTable(CommonLivestock_SourceData.SourceData_Livestock_Product_BeefCattle_Data(),Table_SourceData_LivestockProduct_Beefcattle[[#Headers],[Product]],0)</calculatedColumnFormula>
    </tableColumn>
    <tableColumn id="2" xr3:uid="{FDA6A5AA-1812-4E4C-91D6-92948E1A6CB4}" name="Source region" dataDxfId="28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5C6219D6-9CA3-420A-A9F6-325E2CF3B35F}" name="Table_SourceData_LivestockProduct_Sheep" displayName="Table_SourceData_LivestockProduct_Sheep" ref="D43:E50" totalsRowShown="0" dataDxfId="281" dataCellStyle="Content normal">
  <autoFilter ref="D43:E50" xr:uid="{995536B5-6CA5-4D7D-A704-9B6B595C2491}"/>
  <tableColumns count="2">
    <tableColumn id="1" xr3:uid="{43C02E35-AC1A-41DB-A6E1-BB0D8A65C2B6}" name="Product" dataDxfId="28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02DEE75-624D-4357-8298-63E7CD9BC33B}" name="Source region" dataDxfId="27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F39E9A22-1B34-4E1B-91D9-E400911A489B}" name="Table_SourceData_LivestockProduct_Chickens" displayName="Table_SourceData_LivestockProduct_Chickens" ref="D54:E55" totalsRowShown="0" dataDxfId="278" dataCellStyle="Content normal">
  <autoFilter ref="D54:E55" xr:uid="{257D8456-031C-4EEF-A8C4-474F215C3208}"/>
  <tableColumns count="2">
    <tableColumn id="1" xr3:uid="{4BE4333F-3DED-416E-AD5F-1C4FA3603580}" name="Product" dataDxfId="27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C382960-0BA8-4354-ABD5-EBCD6CBE9DD7}" name="Source region" dataDxfId="27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BC8C33A-450E-4ED4-90E8-905D7BD6B7A2}" name="Table_SourceData_LivestockProduct_Dairycattle" displayName="Table_SourceData_LivestockProduct_Dairycattle" ref="D59:E60" totalsRowShown="0" dataDxfId="275" dataCellStyle="Content normal">
  <autoFilter ref="D59:E60" xr:uid="{71833C62-BA2B-4519-92E0-B189E393D12F}"/>
  <tableColumns count="2">
    <tableColumn id="1" xr3:uid="{94AE91E5-1A2B-4E82-B8B9-86740A52CE0C}" name="Product" dataDxfId="27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A3B0EED-4990-43EF-997D-7A65B73AF620}" name="Source region" dataDxfId="27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878D4E87-9776-4928-8938-3B346B9CDBE8}" name="Table_SourceData_LivestockProduct_Pigs" displayName="Table_SourceData_LivestockProduct_Pigs" ref="D64:E65" totalsRowShown="0" dataDxfId="272" dataCellStyle="Content normal">
  <autoFilter ref="D64:E65" xr:uid="{65FF5EF6-2A75-4137-9345-8328E2DA8F9C}"/>
  <tableColumns count="2">
    <tableColumn id="1" xr3:uid="{103EDDEB-EAAE-4BEA-8DF0-4C6F797A644B}" name="Product" dataDxfId="27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F454D6BB-DE4E-4B06-BEB5-6034874308D6}" name="Source region" dataDxfId="27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63D8D9F-D6B8-4D9A-A879-78D3D1B7F925}" name="Table_SourceData_ElectricityEFs" displayName="Table_SourceData_ElectricityEFs" ref="D9:F19" totalsRowShown="0" headerRowDxfId="269">
  <autoFilter ref="D9:F19" xr:uid="{3144A982-7A4D-4CF2-8790-1A30DAE3E0A4}">
    <filterColumn colId="0" hiddenButton="1"/>
    <filterColumn colId="1" hiddenButton="1"/>
    <filterColumn colId="2" hiddenButton="1"/>
  </autoFilter>
  <tableColumns count="3">
    <tableColumn id="1" xr3:uid="{0579A248-4CD2-4799-9DBB-921DB5BAA1C7}"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5F74CAEA-0A6D-4977-8256-1A21A6521B3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E9247D68-E7F4-45C1-9018-D4181C75CCC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7C927D5-64B2-488A-990C-2485029A49BB}"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B44A482-9545-4FE7-8A54-C43E99ED925C}"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086C86CC-AFDE-4D59-A473-303D31D2096B}"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84E13115-38B7-49D6-BCA3-E6B14B389A2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EA58AE9-BC23-4AF7-A237-24B50143C02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5F2C173C-13F3-4EE1-A472-D6348630E902}"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626CB4-BB67-45E5-BD36-A9466DDE106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8858901-2A52-4316-A85C-902534368DFA}"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4624A2B-763E-4EF9-A665-EDEE5E5D1F3A}" name="FNinorganic f">
      <calculatedColumnFormula array="1">Common_InputFunctions.Utility_DisplayArrayInTable(Fertiliser_SourceData.Fertiliser_ChemicalCompoundElements_Data(),Table_Fertiliser_ChemicalCompounds[[#Headers],[Fertiliser type f]], 0)</calculatedColumnFormula>
    </tableColumn>
    <tableColumn id="3" xr3:uid="{D666F9C4-8B7A-4465-BDCB-C7C9E55123F6}" name="FU f">
      <calculatedColumnFormula array="1">Common_InputFunctions.Utility_DisplayArrayInTable(Fertiliser_SourceData.Fertiliser_ChemicalCompoundElements_Data(),Table_Fertiliser_ChemicalCompounds[[#Headers],[Fertiliser type f]], 0)</calculatedColumnFormula>
    </tableColumn>
    <tableColumn id="4" xr3:uid="{28B7CB96-C221-4EA3-8C76-75BCE55437C9}" name="Basis">
      <calculatedColumnFormula array="1">Common_InputFunctions.Utility_DisplayArrayInTable(Fertiliser_SourceData.Fertiliser_ChemicalCompoundElements_Data(),Table_Fertiliser_ChemicalCompounds[[#Headers],[Fertiliser type f]], 0)</calculatedColumnFormula>
    </tableColumn>
    <tableColumn id="5" xr3:uid="{D22BE815-44E1-40BE-BF02-261A4F35A62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BF79A145-7BBB-4B65-BB90-5DF6BF3DD74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8F81123-5E9C-410F-A4C5-2DF1B934970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76B0F68-668B-4AD6-8C0C-0EE95213A9B7}" name="Company" totalsRowFunction="custom" totalsRowDxfId="26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05280162-63A8-4921-8940-916DA6F1AEBD}"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C7C1995-2512-4B59-B998-D7BB9BD1997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0F635E89-0621-46F8-8BCF-11F75FFFF0B0}"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227C769D-D6CE-40E1-B3A5-16937457D3E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7FB5B9E6-ED72-49F0-8EA8-483CC8DCB7AB}"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384B6DF2-CB1B-44C9-8109-F9B413D12590}"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5BCD4F93-9903-4848-9EDE-29B996D6B07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9944755C-EAB9-47FB-98A0-50163B9DCBE3}"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D889292E-6D55-4ABA-BA6A-A2403E2984D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27DADAD3-3B43-4886-99E8-A0C2D14B3125}"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DC6FED2D-2579-408F-9D0E-CA1B1350F2D3}" name="Ingredient 1" totalsRowFunction="custom" totalsRowCellStyle="Content normal">
      <totalsRowFormula array="1">Common_InputFunctions.Utility_DisplayArrayInTable(Fertiliser_SourceData.Fertiliser_Products_Data3(), FertiliserProducts[[#Headers],[Company]],61)</totalsRowFormula>
    </tableColumn>
    <tableColumn id="22" xr3:uid="{D6F8EA62-222F-44BA-87C1-1EED47B73AEF}"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B4587C09-9351-4137-AA41-4E3DC4E89334}"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8A90B22E-8DC8-4CCA-9A13-CF4C97D75D2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4DCCB853-A524-48C9-894B-FA38A20D0F0F}"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A378CEFB-5D03-4388-9F98-62E338E5D4D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235DB7C-91A8-44AE-AC8C-F2CBE8892A7C}"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733CA280-CAA9-4ED8-95F2-2C7C372C3C1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D9BE763C-CB6E-4B51-937E-48CBFCD5EFE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5D8A6C81-44E9-4EDF-BF0B-ACC22539E7D1}"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4E8CB3C-774A-4BF0-8982-5B2414C790D3}"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660D78A5-04B5-445B-89D1-3CE1BF55611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A53D6A23-DFE0-457C-A3D0-8756BCE36FED}"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43BB3BD9-6FB6-4A19-8DB0-D28297606CD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8912BD5F-8BFD-4B87-B2F8-271A33F7DF8B}"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66334AB5-2350-4A78-AE62-7114049A982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37AED15-2E5E-475E-AD5D-D2841836A84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E941163-A5C4-4980-8AD4-B8CBD827894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C7567D8A-B695-4834-B3E3-64BBC9826772}"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BA2461A4-F5D8-4A3E-A05C-E1F3DDBC51E8}" name="Ingredient 10 percent" totalsRow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CA11D64-42AA-4230-A836-BD65D701B4C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2BD5B1C-907D-4427-B553-8C9450FC5B01}" name="Fertiliser type f">
      <calculatedColumnFormula array="1">Common_InputFunctions.Utility_DisplayArrayInTable(Fertiliser_SourceData.Fertiliser_FracGASF_Data(), Table_SourceData_Fertiliser_FracGASF[[#Headers],[Fertiliser type f]], 0)</calculatedColumnFormula>
    </tableColumn>
    <tableColumn id="2" xr3:uid="{4439DD2A-5986-4144-A826-67A63C0DAD64}" name="FracGASF f" dataDxfId="26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E663439-6EA8-4906-9281-3BB776946E57}" name="Table_SourceData_Fertiliser_CropProdSystems" displayName="Table_SourceData_Fertiliser_CropProdSystems" ref="D41:D43" totalsRowShown="0">
  <autoFilter ref="D41:D43" xr:uid="{24F3A11E-40F5-4BB9-BFF4-A71FA2ADA0EF}">
    <filterColumn colId="0" hiddenButton="1"/>
  </autoFilter>
  <tableColumns count="1">
    <tableColumn id="1" xr3:uid="{30F394AD-E9CF-4C4D-AA1B-FB3BDF38EDCC}" name="Production system">
      <calculatedColumnFormula>#REF!</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AD5034D-CA92-44AC-8623-0A8913498712}"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3D4CDB7-C603-48D7-94B4-474B86E984E5}" name="Irrigation method"/>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192A07-6C5A-4A9B-AB04-7E543C404516}" name="Table_SourceData_Fertiliser_CropTypes" displayName="Table_SourceData_Fertiliser_CropTypes" ref="F41:F45" totalsRowShown="0">
  <autoFilter ref="F41:F45" xr:uid="{CB5044B5-FA3C-4AA2-B1AB-72F7E61D072F}">
    <filterColumn colId="0" hiddenButton="1"/>
  </autoFilter>
  <tableColumns count="1">
    <tableColumn id="1" xr3:uid="{20FFBAA5-5DB0-4B61-8C85-2171EC53407F}" name="Production system"/>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D81F151-CD5C-43AA-9AE5-8560FC8286EC}" name="Table_SourceData_OrganicFertiliserTypes" displayName="Table_SourceData_OrganicFertiliserTypes" ref="J41:J46" totalsRowShown="0">
  <autoFilter ref="J41:J46" xr:uid="{B44627B1-537E-4ABC-92C3-57282CEE5B40}">
    <filterColumn colId="0" hiddenButton="1"/>
  </autoFilter>
  <tableColumns count="1">
    <tableColumn id="1" xr3:uid="{3E231191-3E82-4F87-BD72-B9E1C710BE07}" name="Organic fertiliser typ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43BCDA7-4782-4988-8425-31CB606091D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9DEF744E-5DF8-44CB-8215-07B45285F9D7}"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4352E32-0DBA-4FA3-B34D-043676DDA704}" name="P"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2E078A6-B2AD-462F-9ABD-979F0446AB74}" name="EF"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A14CE9-4E93-4CDA-BD17-DB3BF444047E}" name="Table2" displayName="Table2" ref="K19:L28" totalsRowShown="0" dataDxfId="264" dataCellStyle="Content normal">
  <autoFilter ref="K19:L28" xr:uid="{27B93029-EB1F-4C4A-A946-CD673A8A6C46}">
    <filterColumn colId="0" hiddenButton="1"/>
    <filterColumn colId="1" hiddenButton="1"/>
  </autoFilter>
  <tableColumns count="2">
    <tableColumn id="1" xr3:uid="{28106951-B483-4C90-985B-19A67A4E806C}" name="Fertiliser type f" dataDxfId="263" dataCellStyle="Content normal">
      <calculatedColumnFormula array="1">Common_InputFunctions.Utility_DisplayArrayInTable(Fertiliser_SourceData.Fertiliser_FractionNCommonFertilisers_Data(), Table2[[#Headers],[Fertiliser type f]], 0)</calculatedColumnFormula>
    </tableColumn>
    <tableColumn id="2" xr3:uid="{4AD06E3A-B4CE-4EB5-8C87-2ACBBF552BD8}" name="FNinorganic f" dataDxfId="26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82156B0-4BED-406F-9CE6-F7A89668BE2B}" name="Table28" displayName="Table28" ref="Q19:R28" totalsRowShown="0" dataDxfId="261" dataCellStyle="Content normal">
  <autoFilter ref="Q19:R28" xr:uid="{791CEA59-796C-47AB-86BC-41E8F699030C}">
    <filterColumn colId="0" hiddenButton="1"/>
    <filterColumn colId="1" hiddenButton="1"/>
  </autoFilter>
  <tableColumns count="2">
    <tableColumn id="1" xr3:uid="{407FEC16-F822-48F8-B16F-645FA58F5711}" name="Fertiliser type f" dataDxfId="260" dataCellStyle="Content normal">
      <calculatedColumnFormula array="1">Common_InputFunctions.Utility_DisplayArrayInTable(Fertiliser_SourceData.Fertiliser_FractionUreaCommonFertilisers_Data(), Table28[[#Headers],[Fertiliser type f]], 0)</calculatedColumnFormula>
    </tableColumn>
    <tableColumn id="2" xr3:uid="{C064EB42-C171-4F5B-A7E6-80BE31261E87}" name="FNinorganic f" dataDxfId="25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34E31A0-7FB3-440C-AC35-C3A81E023CD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1C78B23-D51E-4650-8FAC-1F89CF08393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957C467-5E8A-4E33-9166-42A41316A939}" name="Table_Fuel_EFs_StationaryLiquid" displayName="Table_Fuel_EFs_StationaryLiquid" ref="D53:K77" totalsRowShown="0" headerRowDxfId="258" dataDxfId="25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971532A-6B51-4D2E-9159-05D80325C0BD}" name="Fuel combusted" dataDxfId="256">
      <calculatedColumnFormula array="1">Common_InputFunctions.Utility_DisplayArrayInTable(Fuel_SourceData.Fuel_Scope1Scope3EmissionFactorsStationaryLiquid_Data(), Table_Fuel_EFs_StationaryLiquid[[#Headers],[Fuel combusted]],0)</calculatedColumnFormula>
    </tableColumn>
    <tableColumn id="2" xr3:uid="{9A0E9EE0-3EA4-455B-BC1A-581C0A795CE9}" name="Energy Content Factor (GJ per unit of fuel)" dataDxfId="255">
      <calculatedColumnFormula array="1">Common_InputFunctions.Utility_DisplayArrayInTable(Fuel_SourceData.Fuel_Scope1Scope3EmissionFactorsStationaryLiquid_Data(), Table_Fuel_EFs_StationaryLiquid[[#Headers],[Fuel combusted]],0)</calculatedColumnFormula>
    </tableColumn>
    <tableColumn id="3" xr3:uid="{728A7B3E-6E5C-412E-9934-CBD91E99E397}" name="Fuel unit" dataDxfId="254">
      <calculatedColumnFormula array="1">Common_InputFunctions.Utility_DisplayArrayInTable(Fuel_SourceData.Fuel_Scope1Scope3EmissionFactorsStationaryLiquid_Data(), Table_Fuel_EFs_StationaryLiquid[[#Headers],[Fuel combusted]],0)</calculatedColumnFormula>
    </tableColumn>
    <tableColumn id="4" xr3:uid="{3862247E-A726-4192-9793-679A32908A84}" name="Scope 1 Emission Factor (kg CO2 - e / GJ) CO2" dataDxfId="253">
      <calculatedColumnFormula array="1">Common_InputFunctions.Utility_DisplayArrayInTable(Fuel_SourceData.Fuel_Scope1Scope3EmissionFactorsStationaryLiquid_Data(), Table_Fuel_EFs_StationaryLiquid[[#Headers],[Fuel combusted]],0)</calculatedColumnFormula>
    </tableColumn>
    <tableColumn id="5" xr3:uid="{E2122351-7E7B-4E29-8F8C-DEA509C17407}" name="Scope 1 Emission Factor (kg CO2 - e / GJ) CH4" dataDxfId="252">
      <calculatedColumnFormula array="1">Common_InputFunctions.Utility_DisplayArrayInTable(Fuel_SourceData.Fuel_Scope1Scope3EmissionFactorsStationaryLiquid_Data(), Table_Fuel_EFs_StationaryLiquid[[#Headers],[Fuel combusted]],0)</calculatedColumnFormula>
    </tableColumn>
    <tableColumn id="6" xr3:uid="{E641BB43-0BBA-48A8-B68D-C0AB98F5F2EF}" name="Scope 1 Emission Factor (kg CO2 - e / GJ) N2O" dataDxfId="251">
      <calculatedColumnFormula array="1">Common_InputFunctions.Utility_DisplayArrayInTable(Fuel_SourceData.Fuel_Scope1Scope3EmissionFactorsStationaryLiquid_Data(), Table_Fuel_EFs_StationaryLiquid[[#Headers],[Fuel combusted]],0)</calculatedColumnFormula>
    </tableColumn>
    <tableColumn id="7" xr3:uid="{0FD39D20-B2AB-49A1-8999-541AB634F962}" name="Scope 1 Emission Factor (kg CO2 - e / GJ) Combined gases" dataDxfId="250">
      <calculatedColumnFormula array="1">Common_InputFunctions.Utility_DisplayArrayInTable(Fuel_SourceData.Fuel_Scope1Scope3EmissionFactorsStationaryLiquid_Data(), Table_Fuel_EFs_StationaryLiquid[[#Headers],[Fuel combusted]],0)</calculatedColumnFormula>
    </tableColumn>
    <tableColumn id="8" xr3:uid="{67DC5C73-A2F1-4C9A-A655-FF7F7FABAC65}" name="Scope 3 Emission Factor (kg CO2 - e / GJ)" dataDxfId="24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03E4F99-92CB-4282-BF11-1EE5177101F4}" name="Table_Fuel_EFs_Transport" displayName="Table_Fuel_EFs_Transport" ref="D9:L34" totalsRowShown="0" headerRowDxfId="248" dataDxfId="24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83C40CF-BADA-41CC-8F8C-BFF315EEC1CA}" name="Transport type" dataDxfId="246">
      <calculatedColumnFormula array="1">Common_InputFunctions.Utility_DisplayArrayInTable(Fuel_SourceData.Fuel_Scope1Scope3EmissionFactorsTransport_Data(), Table_Fuel_EFs_Transport[[#Headers],[Transport type]], 0)</calculatedColumnFormula>
    </tableColumn>
    <tableColumn id="2" xr3:uid="{DE185C37-282C-498B-A847-B853454945C0}" name="Fuel combusted" dataDxfId="245">
      <calculatedColumnFormula array="1">Common_InputFunctions.Utility_DisplayArrayInTable(Fuel_SourceData.Fuel_Scope1Scope3EmissionFactorsTransport_Data(), Table_Fuel_EFs_Transport[[#Headers],[Transport type]], 0)</calculatedColumnFormula>
    </tableColumn>
    <tableColumn id="3" xr3:uid="{2698AE94-9552-4A84-92E9-042F31971DD9}" name="Energy Content Factor (GJ per unit of fuel)" dataDxfId="244">
      <calculatedColumnFormula array="1">Common_InputFunctions.Utility_DisplayArrayInTable(Fuel_SourceData.Fuel_Scope1Scope3EmissionFactorsTransport_Data(), Table_Fuel_EFs_Transport[[#Headers],[Transport type]], 0)</calculatedColumnFormula>
    </tableColumn>
    <tableColumn id="4" xr3:uid="{49C2FB6F-DAE6-456B-9B2F-DC60CADAC844}" name="Fuel unit" dataDxfId="243">
      <calculatedColumnFormula array="1">Common_InputFunctions.Utility_DisplayArrayInTable(Fuel_SourceData.Fuel_Scope1Scope3EmissionFactorsTransport_Data(), Table_Fuel_EFs_Transport[[#Headers],[Transport type]], 0)</calculatedColumnFormula>
    </tableColumn>
    <tableColumn id="8" xr3:uid="{FD2A1212-A9AB-49E2-AFE5-387029803184}" name="Scope 1 Emission Factor (kg CO2 - e / GJ) CO2" dataDxfId="242">
      <calculatedColumnFormula array="1">Common_InputFunctions.Utility_DisplayArrayInTable(Fuel_SourceData.Fuel_Scope1Scope3EmissionFactorsTransport_Data(), Table_Fuel_EFs_Transport[[#Headers],[Transport type]], 0)</calculatedColumnFormula>
    </tableColumn>
    <tableColumn id="9" xr3:uid="{B2E6059D-1F72-4EDA-AC40-6254E2AD30C5}" name="Scope 1 Emission Factor (kg CO2 - e / GJ) CH4" dataDxfId="241">
      <calculatedColumnFormula array="1">Common_InputFunctions.Utility_DisplayArrayInTable(Fuel_SourceData.Fuel_Scope1Scope3EmissionFactorsTransport_Data(), Table_Fuel_EFs_Transport[[#Headers],[Transport type]], 0)</calculatedColumnFormula>
    </tableColumn>
    <tableColumn id="10" xr3:uid="{67C5FCDC-8697-4BD2-81E3-78E320F3697B}" name="Scope 1 Emission Factor (kg CO2 - e / GJ) N2O" dataDxfId="240">
      <calculatedColumnFormula array="1">Common_InputFunctions.Utility_DisplayArrayInTable(Fuel_SourceData.Fuel_Scope1Scope3EmissionFactorsTransport_Data(), Table_Fuel_EFs_Transport[[#Headers],[Transport type]], 0)</calculatedColumnFormula>
    </tableColumn>
    <tableColumn id="11" xr3:uid="{8614D370-4D08-4484-AE2F-7FF494284363}" name="Scope 1 Emission Factor (kg CO2 - e / GJ) Combined gases" dataDxfId="239">
      <calculatedColumnFormula array="1">Common_InputFunctions.Utility_DisplayArrayInTable(Fuel_SourceData.Fuel_Scope1Scope3EmissionFactorsTransport_Data(), Table_Fuel_EFs_Transport[[#Headers],[Transport type]], 0)</calculatedColumnFormula>
    </tableColumn>
    <tableColumn id="12" xr3:uid="{D403CD7F-4E69-4E3B-92D9-A2AD0A1D5383}" name="Scope 3 Emission Factor (kg CO2 - e / GJ)" dataDxfId="23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CA25037-8997-4FC4-9B3F-4F0507B32AA5}" name="Table_FuelTypesPerUse" displayName="Table_FuelTypesPerUse" ref="D130:I139" totalsRowShown="0" headerRowDxfId="237" dataDxfId="23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AEA02C8-6840-4CBB-A14E-72E9383F4485}" name="Generators" dataDxfId="235"/>
    <tableColumn id="2" xr3:uid="{0A7E2823-96B7-4DD5-8FE6-95A7DFD0CB9B}" name="Power standalone machinery or heating" dataDxfId="234"/>
    <tableColumn id="3" xr3:uid="{8FDB481C-FCD9-4EF9-BADF-1E571C7423EC}" name="Aviation" dataDxfId="233"/>
    <tableColumn id="5" xr3:uid="{26FF06F6-93D2-42D0-807E-1AF4DB75DD33}" name="Cars and light commercial vehicles" dataDxfId="232"/>
    <tableColumn id="7" xr3:uid="{76FF2520-5568-4922-9674-6B9E6E23C755}" name="Off-road Agriculture and forestry equipment" dataDxfId="231" dataCellStyle="Content bold"/>
    <tableColumn id="8" xr3:uid="{23728D57-1311-4120-BC7D-DE14B34B33B8}" name="Vessels" dataDxfId="230" dataCellStyle="Content bol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C2D3C68-6499-4651-BB17-37C572E181EF}" name="Table_Fuel_EFs_StationaryGaseous" displayName="Table_Fuel_EFs_StationaryGaseous" ref="D86:J104" totalsRowShown="0" headerRowDxfId="229" dataDxfId="22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8F4CA44-A8E8-4DB6-AEF7-E420508BC0A9}" name="Fuel combusted" dataDxfId="227">
      <calculatedColumnFormula array="1">Common_InputFunctions.Utility_DisplayArrayInTable(Fuel_SourceData.Fuel_Scope1EmissionFactorsStationaryGaseous_Data(), Table_Fuel_EFs_StationaryGaseous[[#Headers],[Fuel combusted]],0)</calculatedColumnFormula>
    </tableColumn>
    <tableColumn id="2" xr3:uid="{5EA1979D-E589-40D6-A978-957B0CA45859}" name="Energy Content Factor (GJ per unit of fuel)" dataDxfId="226">
      <calculatedColumnFormula array="1">Common_InputFunctions.Utility_DisplayArrayInTable(Fuel_SourceData.Fuel_Scope1EmissionFactorsStationaryGaseous_Data(), Table_Fuel_EFs_StationaryGaseous[[#Headers],[Fuel combusted]],0)</calculatedColumnFormula>
    </tableColumn>
    <tableColumn id="3" xr3:uid="{6F7C24C8-A973-4EA7-89C3-7DDCFA862320}" name="Fuel unit" dataDxfId="225">
      <calculatedColumnFormula array="1">Common_InputFunctions.Utility_DisplayArrayInTable(Fuel_SourceData.Fuel_Scope1EmissionFactorsStationaryGaseous_Data(), Table_Fuel_EFs_StationaryGaseous[[#Headers],[Fuel combusted]],0)</calculatedColumnFormula>
    </tableColumn>
    <tableColumn id="4" xr3:uid="{FEE659DE-C149-4A52-9436-7362B20E90FB}" name="Scope 1 Emission Factor (kg CO2 - e / GJ) CO2" dataDxfId="224">
      <calculatedColumnFormula array="1">Common_InputFunctions.Utility_DisplayArrayInTable(Fuel_SourceData.Fuel_Scope1EmissionFactorsStationaryGaseous_Data(), Table_Fuel_EFs_StationaryGaseous[[#Headers],[Fuel combusted]],0)</calculatedColumnFormula>
    </tableColumn>
    <tableColumn id="5" xr3:uid="{C76E237B-CC0C-45DB-B53F-C03E85FBE506}" name="Scope 1 Emission Factor (kg CO2 - e / GJ) CH4" dataDxfId="223">
      <calculatedColumnFormula array="1">Common_InputFunctions.Utility_DisplayArrayInTable(Fuel_SourceData.Fuel_Scope1EmissionFactorsStationaryGaseous_Data(), Table_Fuel_EFs_StationaryGaseous[[#Headers],[Fuel combusted]],0)</calculatedColumnFormula>
    </tableColumn>
    <tableColumn id="6" xr3:uid="{A505FD52-0018-4378-A5CD-B7AF109CD0DE}" name="Scope 1 Emission Factor (kg CO2 - e / GJ) N2O" dataDxfId="222">
      <calculatedColumnFormula array="1">Common_InputFunctions.Utility_DisplayArrayInTable(Fuel_SourceData.Fuel_Scope1EmissionFactorsStationaryGaseous_Data(), Table_Fuel_EFs_StationaryGaseous[[#Headers],[Fuel combusted]],0)</calculatedColumnFormula>
    </tableColumn>
    <tableColumn id="7" xr3:uid="{FEAA9E4F-653B-4B01-B0D7-704201B28B99}" name="Scope 1 Emission Factor (kg CO2 - e / GJ) Combined gases" dataDxfId="22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D7A0F3F-D338-453E-B3D0-B08A19E6851C}" name="Table_Fuel_EFs_StationaryGaseous34" displayName="Table_Fuel_EFs_StationaryGaseous34" ref="D112:F120" headerRowDxfId="220" totalsRowDxfId="219">
  <autoFilter ref="D112:F120" xr:uid="{7D6CE29D-2354-4FAC-9965-9A66FFA42416}">
    <filterColumn colId="0" hiddenButton="1"/>
    <filterColumn colId="1" hiddenButton="1"/>
    <filterColumn colId="2" hiddenButton="1"/>
  </autoFilter>
  <tableColumns count="3">
    <tableColumn id="1" xr3:uid="{29D03E8A-8A16-4635-9885-6E83BDE30EEE}" name="State or territory" totalsRowDxfId="218">
      <calculatedColumnFormula array="1">Common_InputFunctions.Utility_DisplayArrayInTable(Fuel_SourceData.Fuel_Scope3EmissionFactorsStationaryGaseous_Data(), Table_Fuel_EFs_StationaryGaseous34[[#Headers],[State or territory]],0)</calculatedColumnFormula>
    </tableColumn>
    <tableColumn id="2" xr3:uid="{485D0155-ED15-47DA-887A-BD1C3B0D5FC5}" name="Metro" totalsRowDxfId="217">
      <calculatedColumnFormula array="1">Common_InputFunctions.Utility_DisplayArrayInTable(Fuel_SourceData.Fuel_Scope3EmissionFactorsStationaryGaseous_Data(), Table_Fuel_EFs_StationaryGaseous34[[#Headers],[State or territory]],0)</calculatedColumnFormula>
    </tableColumn>
    <tableColumn id="3" xr3:uid="{89E3A078-26A8-4E3A-BAB7-73E38F1BBFA1}" name="Non-metro" totalsRowDxfId="21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34AF588-FADF-4E9D-8053-F5EA44C733E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86CE77F-18EA-40DD-AC9D-34C7A52C8048}" name="Fuel type"/>
    <tableColumn id="2" xr3:uid="{C09F5CCC-1599-4597-B57F-6FF70CAD2EE4}" name="Unit"/>
    <tableColumn id="3" xr3:uid="{E5948B1D-01AA-439D-BBA5-DF67619A7CA7}" name="Input Unit" dataDxfId="215"/>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78170D9-4D18-45D2-B10E-8BB0DF5BF7DA}"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BC3CF3B-E308-4F04-902D-66842C3462D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A6559E0-165C-44AD-8FC3-FCC1A431FA83}" name="Fuel type q"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87A7F19-4B9D-43B9-A5DE-253B33E84815}" name="ECTrans,q (GJ/kL)"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E38DA21-2EA2-4661-A15D-89ACF78557C9}" name="Scope 1 CO2 EFTran,1,tq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7E48A4B-3D90-4FB2-82F5-BE3A9FF946CA}" name="Scope 1 CH4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67C96C5-F017-4DC1-89D8-AA5ADD99C2BC}" name="Scope 1 N2O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B79B2E87-15C9-4675-AB21-E6D701F0E27B}" name="Scope 3 EFTrans,3,q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E2A92BC-E721-4328-AD5C-9F61A0BF1972}"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C9270CA7-E072-4E23-B719-929F21BCF510}" name="Category" dataDxfId="208" dataCellStyle="Content normal">
      <calculatedColumnFormula array="1">Common_InputFunctions.Utility_DisplayArrayInTable(Scope3_SourceData.Scope3_Livestock_Data(), Table_SourceData_Scope3_Animals[[#Headers],[Category]], 0, 2)</calculatedColumnFormula>
    </tableColumn>
    <tableColumn id="2" xr3:uid="{C7BE176C-FE9B-4294-9B32-74860701ECDF}" name="Product" dataDxfId="207" dataCellStyle="Content normal">
      <calculatedColumnFormula array="1">Common_InputFunctions.Utility_DisplayArrayInTable(Scope3_SourceData.Scope3_Livestock_Data(), Table_SourceData_Scope3_Animals[[#Headers],[Category]], 0, 2)</calculatedColumnFormula>
    </tableColumn>
    <tableColumn id="3" xr3:uid="{0363BF62-0A05-45A3-B82D-D3F17E856CDE}" name="Region of origin" dataDxfId="206" dataCellStyle="Content normal">
      <calculatedColumnFormula array="1">Common_InputFunctions.Utility_DisplayArrayInTable(Scope3_SourceData.Scope3_Livestock_Data(), Table_SourceData_Scope3_Animals[[#Headers],[Category]], 0, 2)</calculatedColumnFormula>
    </tableColumn>
    <tableColumn id="8" xr3:uid="{0C52F199-1BF4-4062-84C4-2ADC9D7692EC}" name="Quantity Unit" dataDxfId="205" dataCellStyle="Content normal">
      <calculatedColumnFormula array="1">Common_InputFunctions.Utility_DisplayArrayInTable(Scope3_SourceData.Scope3_Livestock_Data(), Table_SourceData_Scope3_Animals[[#Headers],[Category]], 0, 2)</calculatedColumnFormula>
    </tableColumn>
    <tableColumn id="9" xr3:uid="{9B477A75-F4A2-4615-9EF9-63E0E75C0827}" name="AusLCI Emissions intensity" dataDxfId="204" dataCellStyle="Content normal">
      <calculatedColumnFormula array="1">Common_InputFunctions.Utility_DisplayArrayInTable(Scope3_SourceData.Scope3_Livestock_Data(), Table_SourceData_Scope3_Animals[[#Headers],[Category]], 0, 2)</calculatedColumnFormula>
    </tableColumn>
    <tableColumn id="10" xr3:uid="{EE790AC3-646D-430B-84D9-1DDDDCEE9F9A}" name="System boundary" dataDxfId="20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54B6352-7AD0-4C7B-B036-30A610E3B2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C2EF18EA-B2BB-47C4-AFBD-3E575E037FBE}" name="Category" dataDxfId="202" dataCellStyle="Content normal">
      <calculatedColumnFormula array="1">Common_InputFunctions.Utility_DisplayArrayInTable(Scope3_SourceData.Scope3_Chemicals_Data(), Table_SourceData_Scope3_ChemicalsCleaning[[#Headers],[Category]], 0, 2)</calculatedColumnFormula>
    </tableColumn>
    <tableColumn id="2" xr3:uid="{96D0CF7A-B76F-4C95-94FE-553EC775C7C6}" name="Product" dataDxfId="201" dataCellStyle="Content normal">
      <calculatedColumnFormula array="1">Common_InputFunctions.Utility_DisplayArrayInTable(Scope3_SourceData.Scope3_Chemicals_Data(), Table_SourceData_Scope3_ChemicalsCleaning[[#Headers],[Category]], 0, 2)</calculatedColumnFormula>
    </tableColumn>
    <tableColumn id="3" xr3:uid="{16590B8F-8732-42BD-B68B-1581E3F18C07}" name="Region of origin" dataDxfId="200" dataCellStyle="Content normal">
      <calculatedColumnFormula array="1">Common_InputFunctions.Utility_DisplayArrayInTable(Scope3_SourceData.Scope3_Chemicals_Data(), Table_SourceData_Scope3_ChemicalsCleaning[[#Headers],[Category]], 0, 2)</calculatedColumnFormula>
    </tableColumn>
    <tableColumn id="8" xr3:uid="{1C5A1DC3-35FF-4A7B-9777-DC2B3A61F066}" name="Quantity Unit" dataDxfId="199" dataCellStyle="Content normal">
      <calculatedColumnFormula array="1">Common_InputFunctions.Utility_DisplayArrayInTable(Scope3_SourceData.Scope3_Chemicals_Data(), Table_SourceData_Scope3_ChemicalsCleaning[[#Headers],[Category]], 0, 2)</calculatedColumnFormula>
    </tableColumn>
    <tableColumn id="9" xr3:uid="{FB9786B4-9854-4F64-A256-3D18E8A4788A}" name="AusLCI Emissions intensity" dataDxfId="198" dataCellStyle="Content normal">
      <calculatedColumnFormula array="1">Common_InputFunctions.Utility_DisplayArrayInTable(Scope3_SourceData.Scope3_Chemicals_Data(), Table_SourceData_Scope3_ChemicalsCleaning[[#Headers],[Category]], 0, 2)</calculatedColumnFormula>
    </tableColumn>
    <tableColumn id="10" xr3:uid="{CFD2A7CC-C56F-4146-9312-0FFEF4B6B05C}" name="System boundary" dataDxfId="19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C76B89E-3730-47A6-87B1-C2350E074B0F}" name="Table_SourceData_Scope3_Feed" displayName="Table_SourceData_Scope3_Feed" ref="D89:I159" totalsRowShown="0" dataDxfId="19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71EEC6C-8E1A-4A81-881B-2CB7148D60FE}" name="Category" dataDxfId="195" dataCellStyle="Content normal">
      <calculatedColumnFormula array="1">Common_InputFunctions.Utility_DisplayArrayInTable(Scope3_SourceData.Scope3_Feed_Data(), Table_SourceData_Scope3_Feed[[#Headers],[Category]], 0, 2)</calculatedColumnFormula>
    </tableColumn>
    <tableColumn id="2" xr3:uid="{AE5B4CF4-94B7-462E-871B-586E7C059296}" name="Product" dataDxfId="194" dataCellStyle="Content normal">
      <calculatedColumnFormula array="1">Common_InputFunctions.Utility_DisplayArrayInTable(Scope3_SourceData.Scope3_Feed_Data(), Table_SourceData_Scope3_Feed[[#Headers],[Category]], 0, 2)</calculatedColumnFormula>
    </tableColumn>
    <tableColumn id="3" xr3:uid="{2806C102-0224-4401-AA03-78EC00FC9533}" name="Region of origin" dataDxfId="193" dataCellStyle="Content normal">
      <calculatedColumnFormula array="1">Common_InputFunctions.Utility_DisplayArrayInTable(Scope3_SourceData.Scope3_Feed_Data(), Table_SourceData_Scope3_Feed[[#Headers],[Category]], 0, 2)</calculatedColumnFormula>
    </tableColumn>
    <tableColumn id="8" xr3:uid="{721897A4-A12C-4EE1-8A09-AAC33FB5B4AA}" name="Quantity Unit" dataDxfId="192" dataCellStyle="Content normal">
      <calculatedColumnFormula array="1">Common_InputFunctions.Utility_DisplayArrayInTable(Scope3_SourceData.Scope3_Feed_Data(), Table_SourceData_Scope3_Feed[[#Headers],[Category]], 0, 2)</calculatedColumnFormula>
    </tableColumn>
    <tableColumn id="9" xr3:uid="{277AEB7B-BCD1-4735-8695-1628B5FD9041}" name="AusLCI Emissions intensity" dataDxfId="191" dataCellStyle="Content normal">
      <calculatedColumnFormula array="1">Common_InputFunctions.Utility_DisplayArrayInTable(Scope3_SourceData.Scope3_Feed_Data(), Table_SourceData_Scope3_Feed[[#Headers],[Category]], 0, 2)</calculatedColumnFormula>
    </tableColumn>
    <tableColumn id="10" xr3:uid="{8C10A724-5998-4D3D-B43E-2A2899714A13}" name="System boundary" dataDxfId="19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E5AB7FB-B318-488A-BD44-198388FAB0F0}"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D38C1BC-BB73-470E-94F0-15341BB843EB}" name="Category">
      <calculatedColumnFormula array="1">Common_InputFunctions.Utility_DisplayArrayInTable(Scope3_SourceData.Scope3_InorganicFertilisers_Data(), Table_SourceData_Scope3_InorganicFertiliser[[#Headers],[Category]], 0, 2)</calculatedColumnFormula>
    </tableColumn>
    <tableColumn id="2" xr3:uid="{14068E13-8F7F-43B9-A067-0E44056D9084}" name="Product">
      <calculatedColumnFormula array="1">Common_InputFunctions.Utility_DisplayArrayInTable(Scope3_SourceData.Scope3_InorganicFertilisers_Data(), Table_SourceData_Scope3_InorganicFertiliser[[#Headers],[Category]], 0, 2)</calculatedColumnFormula>
    </tableColumn>
    <tableColumn id="3" xr3:uid="{9F524A1C-2E0E-49C4-A8A5-A24D2E403620}" name="Region of origin">
      <calculatedColumnFormula array="1">Common_InputFunctions.Utility_DisplayArrayInTable(Scope3_SourceData.Scope3_InorganicFertilisers_Data(), Table_SourceData_Scope3_InorganicFertiliser[[#Headers],[Category]], 0, 2)</calculatedColumnFormula>
    </tableColumn>
    <tableColumn id="4" xr3:uid="{69FCC239-1FC1-4E3B-A867-1487F48A756E}" name="Chemical compound"/>
    <tableColumn id="5" xr3:uid="{1B9B93B8-B222-4F8A-938C-BFD26F071237}" name="Urea source"/>
    <tableColumn id="6" xr3:uid="{2F50CF4C-69EB-443A-8C65-09F8E98B97E0}" name="Ammonia source"/>
    <tableColumn id="7" xr3:uid="{814FAC0E-6AF5-4F71-AE1C-F07CF777391D}" name="Quantity"/>
    <tableColumn id="8" xr3:uid="{6FBA325D-2521-45C0-8201-4C2C4FE6C0E0}" name="Quantity Unit">
      <calculatedColumnFormula array="1">Common_InputFunctions.Utility_DisplayArrayInTable(Scope3_SourceData.Scope3_InorganicFertilisers_Data(), Table_SourceData_Scope3_InorganicFertiliser[[#Headers],[Category]], 0, -2)</calculatedColumnFormula>
    </tableColumn>
    <tableColumn id="9" xr3:uid="{837850D5-D638-4447-B37E-84B7FA3AD98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A6F878CE-A13E-438B-A32D-B9B2A7C50AB3}" name="System boundary" dataDxfId="18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C3401CD-9982-44E9-A951-E829F53C60CD}" name="Table_SourceData_Scope3_Other" displayName="Table_SourceData_Scope3_Other" ref="D201:I209" totalsRowShown="0" dataDxfId="18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DF46FF7-30CC-4058-9918-1F3F8456C3ED}" name="Category" dataDxfId="187" dataCellStyle="Content normal">
      <calculatedColumnFormula array="1">Common_InputFunctions.Utility_DisplayArrayInTable(Scope3_SourceData.Scope3_Other_Data(), Table_SourceData_Scope3_Other[[#Headers],[Category]], 0, 2)</calculatedColumnFormula>
    </tableColumn>
    <tableColumn id="2" xr3:uid="{1D3A8854-B47A-488F-A45A-271E70EFD6F2}" name="Product" dataDxfId="186" dataCellStyle="Content normal">
      <calculatedColumnFormula array="1">Common_InputFunctions.Utility_DisplayArrayInTable(Scope3_SourceData.Scope3_Other_Data(), Table_SourceData_Scope3_Other[[#Headers],[Category]], 0, 2)</calculatedColumnFormula>
    </tableColumn>
    <tableColumn id="3" xr3:uid="{E5C0F0AB-FCE4-41CE-98CA-0944C78604AF}" name="Region of origin" dataDxfId="185" dataCellStyle="Content normal">
      <calculatedColumnFormula array="1">Common_InputFunctions.Utility_DisplayArrayInTable(Scope3_SourceData.Scope3_Other_Data(), Table_SourceData_Scope3_Other[[#Headers],[Category]], 0, 2)</calculatedColumnFormula>
    </tableColumn>
    <tableColumn id="8" xr3:uid="{6629E6DD-0FA9-4EDF-9085-1B519B4ADD94}" name="Quantity Unit" dataDxfId="184" dataCellStyle="Content normal">
      <calculatedColumnFormula array="1">Common_InputFunctions.Utility_DisplayArrayInTable(Scope3_SourceData.Scope3_Other_Data(), Table_SourceData_Scope3_Other[[#Headers],[Category]], 0, 2)</calculatedColumnFormula>
    </tableColumn>
    <tableColumn id="9" xr3:uid="{8FAABDB7-48F6-464C-A8AC-E06B3D8C4746}" name="AusLCI Emissions intensity" dataDxfId="183" dataCellStyle="Content normal">
      <calculatedColumnFormula array="1">Common_InputFunctions.Utility_DisplayArrayInTable(Scope3_SourceData.Scope3_Other_Data(), Table_SourceData_Scope3_Other[[#Headers],[Category]], 0, 2)</calculatedColumnFormula>
    </tableColumn>
    <tableColumn id="10" xr3:uid="{F46091AB-4799-4DAA-B9CE-E3812D431633}" name="System boundary" dataDxfId="18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9158EED-7613-474F-A75A-4986010E2283}" name="Table_SourceData_Scope3_Packaging" displayName="Table_SourceData_Scope3_Packaging" ref="D212:I216" totalsRowShown="0" dataDxfId="18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E5CB7692-F652-4FED-8E5F-05EFA12911C6}" name="Category" dataDxfId="180" dataCellStyle="Content normal">
      <calculatedColumnFormula array="1">Common_InputFunctions.Utility_DisplayArrayInTable(Scope3_SourceData.Scope3_Packaging_Data(), Table_SourceData_Scope3_Packaging[[#Headers],[Category]], 0, 2)</calculatedColumnFormula>
    </tableColumn>
    <tableColumn id="2" xr3:uid="{CBE21CFE-9224-44EA-93CC-9D2F728135F4}" name="Product" dataDxfId="179" dataCellStyle="Content normal">
      <calculatedColumnFormula array="1">Common_InputFunctions.Utility_DisplayArrayInTable(Scope3_SourceData.Scope3_Packaging_Data(), Table_SourceData_Scope3_Packaging[[#Headers],[Category]], 0, 2)</calculatedColumnFormula>
    </tableColumn>
    <tableColumn id="3" xr3:uid="{05FD22AF-AE57-4A10-ADE7-496BD533DFB5}" name="Region of origin" dataDxfId="178" dataCellStyle="Content normal">
      <calculatedColumnFormula array="1">Common_InputFunctions.Utility_DisplayArrayInTable(Scope3_SourceData.Scope3_Packaging_Data(), Table_SourceData_Scope3_Packaging[[#Headers],[Category]], 0, 2)</calculatedColumnFormula>
    </tableColumn>
    <tableColumn id="8" xr3:uid="{A2E3A399-8BC6-4CB0-A048-BB7B24CC5CCA}" name="Quantity Unit" dataDxfId="177" dataCellStyle="Content normal">
      <calculatedColumnFormula array="1">Common_InputFunctions.Utility_DisplayArrayInTable(Scope3_SourceData.Scope3_Packaging_Data(), Table_SourceData_Scope3_Packaging[[#Headers],[Category]], 0, 2)</calculatedColumnFormula>
    </tableColumn>
    <tableColumn id="9" xr3:uid="{8BC52F1E-3F7D-40FA-BCCA-EBBF3042F982}" name="AusLCI Emissions intensity" dataDxfId="176" dataCellStyle="Content normal">
      <calculatedColumnFormula array="1">Common_InputFunctions.Utility_DisplayArrayInTable(Scope3_SourceData.Scope3_Packaging_Data(), Table_SourceData_Scope3_Packaging[[#Headers],[Category]], 0, 2)</calculatedColumnFormula>
    </tableColumn>
    <tableColumn id="10" xr3:uid="{BF5B4FB0-EFF1-4D63-904E-2F8D928F7C43}" name="System boundary" dataDxfId="17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EE16231-7128-4B8B-B565-2AE310D9E538}" name="Table_SourceData_Scope3_Pesticides" displayName="Table_SourceData_Scope3_Pesticides" ref="D219:I231" totalsRowShown="0" dataDxfId="17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F15E59CC-45DC-4331-9611-3004949FE19D}" name="Category" dataDxfId="173" dataCellStyle="Content normal">
      <calculatedColumnFormula array="1">Common_InputFunctions.Utility_DisplayArrayInTable(Scope3_SourceData.Scope3_Pesticides_Data(), Table_SourceData_Scope3_Pesticides[[#Headers],[Category]], 0, 2)</calculatedColumnFormula>
    </tableColumn>
    <tableColumn id="2" xr3:uid="{29664C6E-CACF-43C7-80AA-D8C73E3C7409}" name="Product" dataDxfId="172" dataCellStyle="Content normal">
      <calculatedColumnFormula array="1">Common_InputFunctions.Utility_DisplayArrayInTable(Scope3_SourceData.Scope3_Pesticides_Data(), Table_SourceData_Scope3_Pesticides[[#Headers],[Category]], 0, 2)</calculatedColumnFormula>
    </tableColumn>
    <tableColumn id="3" xr3:uid="{FBF6E00F-5EE4-4A0A-8E4D-842FA033561E}" name="Region of origin" dataDxfId="171" dataCellStyle="Content normal">
      <calculatedColumnFormula array="1">Common_InputFunctions.Utility_DisplayArrayInTable(Scope3_SourceData.Scope3_Pesticides_Data(), Table_SourceData_Scope3_Pesticides[[#Headers],[Category]], 0, 2)</calculatedColumnFormula>
    </tableColumn>
    <tableColumn id="8" xr3:uid="{70673E5C-0D8F-492B-9C3E-CD6EC18B12F7}" name="Quantity Unit" dataDxfId="170" dataCellStyle="Content normal">
      <calculatedColumnFormula array="1">Common_InputFunctions.Utility_DisplayArrayInTable(Scope3_SourceData.Scope3_Pesticides_Data(), Table_SourceData_Scope3_Pesticides[[#Headers],[Category]], 0, 2)</calculatedColumnFormula>
    </tableColumn>
    <tableColumn id="9" xr3:uid="{A903ACAA-CC07-491D-A930-41B325B928F7}" name="AusLCI Emissions intensity" dataDxfId="169" dataCellStyle="Content normal">
      <calculatedColumnFormula array="1">Common_InputFunctions.Utility_DisplayArrayInTable(Scope3_SourceData.Scope3_Pesticides_Data(), Table_SourceData_Scope3_Pesticides[[#Headers],[Category]], 0, 2)</calculatedColumnFormula>
    </tableColumn>
    <tableColumn id="10" xr3:uid="{E802CEF4-4AA9-440D-90BC-B8A1165B4B9F}" name="System boundary" dataDxfId="16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685A021D-8EB7-4CF9-8F79-CB0D705CBA7C}" name="Table_SourceData_Scope3_SoilAmeliorants" displayName="Table_SourceData_Scope3_SoilAmeliorants" ref="D234:I237" totalsRowShown="0" dataDxfId="16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1B3928F6-5D5E-4560-900F-3DA395E6BD34}" name="Category" dataDxfId="166" dataCellStyle="Content normal">
      <calculatedColumnFormula array="1">Common_InputFunctions.Utility_DisplayArrayInTable(Scope3_SourceData.Scope3_SoilAmendments_Data(), Table_SourceData_Scope3_SoilAmeliorants[[#Headers],[Category]], 0, 2)</calculatedColumnFormula>
    </tableColumn>
    <tableColumn id="2" xr3:uid="{D8338D4B-6C0E-4A60-BD18-5C81BAECC156}" name="Product" dataDxfId="165" dataCellStyle="Content normal">
      <calculatedColumnFormula array="1">Common_InputFunctions.Utility_DisplayArrayInTable(Scope3_SourceData.Scope3_SoilAmendments_Data(), Table_SourceData_Scope3_SoilAmeliorants[[#Headers],[Category]], 0, 2)</calculatedColumnFormula>
    </tableColumn>
    <tableColumn id="3" xr3:uid="{2380B1E3-0F70-41F3-8D48-955883A00B6D}" name="Region of origin" dataDxfId="164" dataCellStyle="Content normal">
      <calculatedColumnFormula array="1">Common_InputFunctions.Utility_DisplayArrayInTable(Scope3_SourceData.Scope3_SoilAmendments_Data(), Table_SourceData_Scope3_SoilAmeliorants[[#Headers],[Category]], 0, 2)</calculatedColumnFormula>
    </tableColumn>
    <tableColumn id="8" xr3:uid="{DA2EBBA5-C01F-40A2-AAE6-CEC4C1DBAB59}" name="Quantity Unit" dataDxfId="163" dataCellStyle="Content normal">
      <calculatedColumnFormula array="1">Common_InputFunctions.Utility_DisplayArrayInTable(Scope3_SourceData.Scope3_SoilAmendments_Data(), Table_SourceData_Scope3_SoilAmeliorants[[#Headers],[Category]], 0, 2)</calculatedColumnFormula>
    </tableColumn>
    <tableColumn id="9" xr3:uid="{2DF74858-1046-4E96-AE77-64A4D001A2D5}" name="AusLCI Emissions intensity" dataDxfId="162" dataCellStyle="Content normal">
      <calculatedColumnFormula array="1">Common_InputFunctions.Utility_DisplayArrayInTable(Scope3_SourceData.Scope3_SoilAmendments_Data(), Table_SourceData_Scope3_SoilAmeliorants[[#Headers],[Category]], 0, 2)</calculatedColumnFormula>
    </tableColumn>
    <tableColumn id="10" xr3:uid="{A6A67D30-C43F-4416-813D-5F47149CF996}" name="System boundary" dataDxfId="16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C3C762C-1A44-427B-831F-2845C2649850}" name="Table_SourceData_Scope3_ChemicalsPharmacy" displayName="Table_SourceData_Scope3_ChemicalsPharmacy" ref="D82:I86" totalsRowShown="0" dataDxfId="16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ED6F0843-968F-4416-9BEF-7C041831EF3B}" name="Category" dataDxfId="159" dataCellStyle="Content normal">
      <calculatedColumnFormula array="1">Common_InputFunctions.Utility_DisplayArrayInTable(Scope3_SourceData.Scope3_Chemicals_Data(), Table_SourceData_Scope3_ChemicalsPharmacy[[#Headers],[Category]], -3, 2)</calculatedColumnFormula>
    </tableColumn>
    <tableColumn id="2" xr3:uid="{4A6582B2-FF34-4BDF-8095-A04EE84F63AD}" name="Product" dataDxfId="158" dataCellStyle="Content normal">
      <calculatedColumnFormula array="1">Common_InputFunctions.Utility_DisplayArrayInTable(Scope3_SourceData.Scope3_Chemicals_Data(), Table_SourceData_Scope3_ChemicalsPharmacy[[#Headers],[Category]], -3, 2)</calculatedColumnFormula>
    </tableColumn>
    <tableColumn id="3" xr3:uid="{E146964C-DBD6-4C14-A000-130A495E99AF}" name="Region of origin" dataDxfId="157" dataCellStyle="Content normal">
      <calculatedColumnFormula array="1">Common_InputFunctions.Utility_DisplayArrayInTable(Scope3_SourceData.Scope3_Chemicals_Data(), Table_SourceData_Scope3_ChemicalsPharmacy[[#Headers],[Category]], -3, 2)</calculatedColumnFormula>
    </tableColumn>
    <tableColumn id="8" xr3:uid="{8AC70B80-E947-423C-A422-0A0AD02066BD}" name="Quantity Unit" dataDxfId="156" dataCellStyle="Content normal">
      <calculatedColumnFormula array="1">Common_InputFunctions.Utility_DisplayArrayInTable(Scope3_SourceData.Scope3_Chemicals_Data(), Table_SourceData_Scope3_ChemicalsPharmacy[[#Headers],[Category]], -3, 2)</calculatedColumnFormula>
    </tableColumn>
    <tableColumn id="9" xr3:uid="{565FEDB6-CA75-4E0C-A336-73A1A1C4B576}" name="AusLCI Emissions intensity" dataDxfId="155" dataCellStyle="Content normal">
      <calculatedColumnFormula array="1">Common_InputFunctions.Utility_DisplayArrayInTable(Scope3_SourceData.Scope3_Chemicals_Data(), Table_SourceData_Scope3_ChemicalsPharmacy[[#Headers],[Category]], -3, 2)</calculatedColumnFormula>
    </tableColumn>
    <tableColumn id="10" xr3:uid="{AFA868E1-F316-4D42-BA5B-C722DE2223BE}" name="System boundary" dataDxfId="15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587D4129-A720-44F1-82B1-7FB413135925}" name="Table_SourceData_Scope3_LickBlocks" displayName="Table_SourceData_Scope3_LickBlocks" ref="D167:I170" totalsRowShown="0" headerRowDxfId="15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957EA411-4201-4E23-9D01-0E9F6D2CF98D}" name="Category" dataDxfId="152" dataCellStyle="Content normal">
      <calculatedColumnFormula array="1">Common_InputFunctions.Utility_DisplayArrayInTable(Scope3_SourceData.Scope3_Feed_Data(), Table_SourceData_Scope3_LickBlocks[[#Headers],[Category]], -73, 2)</calculatedColumnFormula>
    </tableColumn>
    <tableColumn id="2" xr3:uid="{44FAE63B-D3E6-4F32-B189-9660942D8703}" name="Product" dataDxfId="151" dataCellStyle="Content normal">
      <calculatedColumnFormula array="1">Common_InputFunctions.Utility_DisplayArrayInTable(Scope3_SourceData.Scope3_Feed_Data(), Table_SourceData_Scope3_LickBlocks[[#Headers],[Category]], -73, 2)</calculatedColumnFormula>
    </tableColumn>
    <tableColumn id="3" xr3:uid="{C815678B-3D1A-47DF-8B6C-3BD2AAF797DE}" name="Region of origin" dataDxfId="150" dataCellStyle="Content normal">
      <calculatedColumnFormula array="1">Common_InputFunctions.Utility_DisplayArrayInTable(Scope3_SourceData.Scope3_Feed_Data(), Table_SourceData_Scope3_LickBlocks[[#Headers],[Category]], -73, 2)</calculatedColumnFormula>
    </tableColumn>
    <tableColumn id="4" xr3:uid="{6E740290-779F-42EA-9995-C578D3C11B74}" name="Quantity Unit" dataDxfId="149" dataCellStyle="Content normal">
      <calculatedColumnFormula array="1">Common_InputFunctions.Utility_DisplayArrayInTable(Scope3_SourceData.Scope3_Feed_Data(), Table_SourceData_Scope3_LickBlocks[[#Headers],[Category]], -73, 2)</calculatedColumnFormula>
    </tableColumn>
    <tableColumn id="5" xr3:uid="{41BADFA8-13A3-403C-A615-EB69B363D4C9}" name="AusLCI Emissions intensity" dataDxfId="148" dataCellStyle="Content normal">
      <calculatedColumnFormula array="1">Common_InputFunctions.Utility_DisplayArrayInTable(Scope3_SourceData.Scope3_Feed_Data(), Table_SourceData_Scope3_LickBlocks[[#Headers],[Category]], -73, 2)</calculatedColumnFormula>
    </tableColumn>
    <tableColumn id="6" xr3:uid="{79F2B1B1-1550-4DC2-A1F7-0A214E08CBF6}" name="System boundary" dataDxfId="14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21DEF914-2435-4E14-8EC8-CC0B62EBB672}" name="Table_SourceData_Scope3_MixedRations" displayName="Table_SourceData_Scope3_MixedRations" ref="D161:I165" totalsRowShown="0" headerRowDxfId="14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9C152175-CE29-4924-905D-5786897F8F98}" name="Category" dataDxfId="145" dataCellStyle="Content normal">
      <calculatedColumnFormula array="1">Common_InputFunctions.Utility_DisplayArrayInTable(Scope3_SourceData.Scope3_Feed_Data(), Table_SourceData_Scope3_MixedRations[[#Headers],[Category]], -66, 2)</calculatedColumnFormula>
    </tableColumn>
    <tableColumn id="2" xr3:uid="{D7B16068-34CF-4037-ADE1-4B6C57247D09}" name="Product" dataDxfId="144" dataCellStyle="Content normal">
      <calculatedColumnFormula array="1">Common_InputFunctions.Utility_DisplayArrayInTable(Scope3_SourceData.Scope3_Feed_Data(), Table_SourceData_Scope3_MixedRations[[#Headers],[Category]], -66, 2)</calculatedColumnFormula>
    </tableColumn>
    <tableColumn id="3" xr3:uid="{F883C5FF-A941-411F-A246-DC84533018B8}" name="Region of origin" dataDxfId="143" dataCellStyle="Content normal">
      <calculatedColumnFormula array="1">Common_InputFunctions.Utility_DisplayArrayInTable(Scope3_SourceData.Scope3_Feed_Data(), Table_SourceData_Scope3_MixedRations[[#Headers],[Category]], -66, 2)</calculatedColumnFormula>
    </tableColumn>
    <tableColumn id="4" xr3:uid="{0AB76179-AE1C-4EAB-81E2-DDC46E0C0C88}" name="Quantity Unit" dataDxfId="142" dataCellStyle="Content normal">
      <calculatedColumnFormula array="1">Common_InputFunctions.Utility_DisplayArrayInTable(Scope3_SourceData.Scope3_Feed_Data(), Table_SourceData_Scope3_MixedRations[[#Headers],[Category]], -66, 2)</calculatedColumnFormula>
    </tableColumn>
    <tableColumn id="5" xr3:uid="{C371CA51-F4B0-411E-B3C0-40472C36E911}" name="AusLCI Emissions intensity" dataDxfId="141" dataCellStyle="Content normal">
      <calculatedColumnFormula array="1">Common_InputFunctions.Utility_DisplayArrayInTable(Scope3_SourceData.Scope3_Feed_Data(), Table_SourceData_Scope3_MixedRations[[#Headers],[Category]], -66, 2)</calculatedColumnFormula>
    </tableColumn>
    <tableColumn id="6" xr3:uid="{0B5E010F-BA84-4507-819F-2A5497E6B04B}" name="System boundary" dataDxfId="14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70C0E87-F952-4AB4-9526-D5B92904D279}"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E39AD30F-40A3-4192-9F2B-BEB833D04DB5}" name="Product">
      <calculatedColumnFormula>Table_SourceData_Scope3_Feed[[#This Row],[Product]]</calculatedColumnFormula>
    </tableColumn>
    <tableColumn id="2" xr3:uid="{74BFEE02-3247-4A1C-98D6-458DF4486475}"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7C5101EC-AE67-4014-97EF-754D6EEDF06E}"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C5E40E4F-7AE4-409C-BF00-1B0986416817}" name="Product">
      <calculatedColumnFormula>Table_SourceData_Scope3_Feed[[#This Row],[Product]]</calculatedColumnFormula>
    </tableColumn>
    <tableColumn id="2" xr3:uid="{DE535FA0-2EB0-46B5-B3BB-98111C5EDEC7}"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12CB8D2-F4AA-4176-A39F-752B5992B38D}" name="Table_ProductRegions_Maizegrain" displayName="Table_ProductRegions_Maizegrain" ref="K98:L105" totalsRowShown="0" headerRowDxfId="139" headerRowCellStyle="Content normal">
  <autoFilter ref="K98:L105" xr:uid="{70F320A7-5DBE-4A83-91E4-C9B3BDA564BD}">
    <filterColumn colId="0" hiddenButton="1"/>
    <filterColumn colId="1" hiddenButton="1"/>
  </autoFilter>
  <tableColumns count="2">
    <tableColumn id="1" xr3:uid="{BA733DAE-B950-4D60-8741-D25A283053A2}" name="Product">
      <calculatedColumnFormula>Table_SourceData_Scope3_Feed[[#This Row],[Product]]</calculatedColumnFormula>
    </tableColumn>
    <tableColumn id="2" xr3:uid="{28E188E2-35B0-46A1-BBE8-C13D5C82784D}"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40A75EF-83C2-4711-85BD-5E7D87C3ABD5}" name="Table_ProductRegions_Sorghumgrain" displayName="Table_ProductRegions_Sorghumgrain" ref="N105:O110" totalsRowShown="0" headerRowDxfId="138" headerRowCellStyle="Content normal">
  <autoFilter ref="N105:O110" xr:uid="{90205417-8A77-41A3-A4E2-624BD92B7269}">
    <filterColumn colId="0" hiddenButton="1"/>
    <filterColumn colId="1" hiddenButton="1"/>
  </autoFilter>
  <tableColumns count="2">
    <tableColumn id="1" xr3:uid="{411838E1-6929-43FB-94BB-8AAAEBCFF01B}" name="Product">
      <calculatedColumnFormula>Table_SourceData_Scope3_Feed[[#This Row],[Product]]</calculatedColumnFormula>
    </tableColumn>
    <tableColumn id="2" xr3:uid="{B4D801DD-3645-4823-B5BB-CEB9BACFFAFA}"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963A3CF-0869-4955-8A60-EC050AFC856F}" name="Table_ProductRegions_Wheatgrain" displayName="Table_ProductRegions_Wheatgrain" ref="K110:L118" totalsRowShown="0" headerRowDxfId="137" headerRowCellStyle="Content normal">
  <autoFilter ref="K110:L118" xr:uid="{9DD7D3AD-59A1-48FC-B80D-99C25A2A79F5}">
    <filterColumn colId="0" hiddenButton="1"/>
    <filterColumn colId="1" hiddenButton="1"/>
  </autoFilter>
  <tableColumns count="2">
    <tableColumn id="1" xr3:uid="{2ED4070B-A318-4DEB-A1AC-A51B95DF14EE}" name="Product">
      <calculatedColumnFormula>Table_SourceData_Scope3_Feed[[#This Row],[Product]]</calculatedColumnFormula>
    </tableColumn>
    <tableColumn id="2" xr3:uid="{0045B20B-1B27-40DA-8656-F1AE68D57BDE}"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6434324E-BD53-4D6E-A296-C953BDE67689}"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769C2985-D13B-4507-AEC7-FC7ED80ACC24}" name="Product">
      <calculatedColumnFormula>Table_SourceData_Scope3_Feed[[#This Row],[Product]]</calculatedColumnFormula>
    </tableColumn>
    <tableColumn id="2" xr3:uid="{3F9B3854-5685-4A7B-B556-F09BF827DBB3}"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DFC3421-7E2B-4C35-B5AE-297BC1DEAE92}"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648FC814-E3B1-472F-8E3F-9074D47C2E25}" name="Product">
      <calculatedColumnFormula>Table_SourceData_Scope3_Feed[[#This Row],[Product]]</calculatedColumnFormula>
    </tableColumn>
    <tableColumn id="2" xr3:uid="{CA150BBE-3CC3-4ED6-8E47-000EAFD271DA}"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33EFD01-BC4F-4D66-9E5C-C462B00A259D}"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AE58506-5CE6-42A6-8E2B-9D2E4BEEDD59}" name="Product">
      <calculatedColumnFormula>Table_SourceData_Scope3_Feed[[#This Row],[Product]]</calculatedColumnFormula>
    </tableColumn>
    <tableColumn id="2" xr3:uid="{6582C497-DAA3-477F-B945-816C59362910}"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A40717B8-FFE8-4167-B090-77081B66C3A4}"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8CD67FB7-2B82-44B1-97F0-1D285CCAF86B}" name="Product">
      <calculatedColumnFormula>Table_SourceData_Scope3_Feed[[#This Row],[Product]]</calculatedColumnFormula>
    </tableColumn>
    <tableColumn id="2" xr3:uid="{B72106FE-10DE-4F81-AE25-94422B0F8463}"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ACEB3A68-95BE-4FB4-92E0-64FC68100EAC}"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E4EE37CC-44D6-4B97-B7A4-7166D7DA8370}" name="Product">
      <calculatedColumnFormula>Table_SourceData_Scope3_Feed[[#This Row],[Product]]</calculatedColumnFormula>
    </tableColumn>
    <tableColumn id="2" xr3:uid="{FDB0A43B-22AE-43D1-9A9D-D6B5384B3D4D}"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94B1B30-D2BF-45BE-8728-A1C566291219}" name="Table_ProductRegions_Canolameal" displayName="Table_ProductRegions_Canolameal" ref="K151:L152" totalsRowShown="0" headerRowDxfId="136" headerRowCellStyle="Content normal" dataCellStyle="Content normal">
  <autoFilter ref="K151:L152" xr:uid="{58F78B6F-294E-4D4E-8E3B-BFE4FA85583E}">
    <filterColumn colId="0" hiddenButton="1"/>
    <filterColumn colId="1" hiddenButton="1"/>
  </autoFilter>
  <tableColumns count="2">
    <tableColumn id="1" xr3:uid="{B6B20B64-5359-4CC8-8A38-4DD7E43425C5}" name="Product" dataCellStyle="Content normal">
      <calculatedColumnFormula>Table_SourceData_Scope3_Feed[[#This Row],[Product]]</calculatedColumnFormula>
    </tableColumn>
    <tableColumn id="2" xr3:uid="{79922090-C4E3-4821-890C-6EFE04BC30C1}"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1E3254C-EC9A-4E91-B3BC-75445E9A8FE7}"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35B6A5A-AEB2-417C-BB90-9E8D57BD389D}" name="Product">
      <calculatedColumnFormula>Table_SourceData_Scope3_Feed[[#This Row],[Product]]</calculatedColumnFormula>
    </tableColumn>
    <tableColumn id="2" xr3:uid="{A380D595-2C16-47C7-8BF2-8F6B26771811}"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3149BA97-93E0-4439-A8C8-A51D2229BA97}"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36DE4502-49C4-4548-BA18-72A2D34430CF}" name="Product">
      <calculatedColumnFormula>Table_SourceData_Scope3_Feed[[#This Row],[Product]]</calculatedColumnFormula>
    </tableColumn>
    <tableColumn id="2" xr3:uid="{440D20A8-D7BB-4E64-97A6-0F5FDEAF5ACE}"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D5BEFD1-CBB9-4D1A-8D1C-AD450201DEAE}"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3AB3FA12-25DD-442B-89C2-D1F48D09A3F6}" name="Product">
      <calculatedColumnFormula>Table_SourceData_Scope3_Feed[[#This Row],[Product]]</calculatedColumnFormula>
    </tableColumn>
    <tableColumn id="2" xr3:uid="{48C72DA4-605F-40E2-B82E-956B8B8E32E8}"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4939593A-F524-49F5-838C-3F8BD29082FA}"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F0A22280-13BD-4450-BB85-7A30AB3AE633}" name="Product">
      <calculatedColumnFormula>Table_SourceData_Scope3_Feed[[#This Row],[Product]]</calculatedColumnFormula>
    </tableColumn>
    <tableColumn id="2" xr3:uid="{D8DB7490-71A8-4ADC-A5C1-26B361290317}"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60B133BC-F32A-434C-AC35-E9DBD00A0A91}"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1503712B-D24F-48DE-AD1F-256561C69162}" name="Product">
      <calculatedColumnFormula>Table_SourceData_Scope3_Feed[[#This Row],[Product]]</calculatedColumnFormula>
    </tableColumn>
    <tableColumn id="2" xr3:uid="{11AB69FE-AEA0-4BD3-A837-39127C2D0FD2}"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F1218A60-B1BE-418A-9810-B7BCFCB08013}"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B7E5E771-056D-44C2-8394-21343686A9D2}" name="Product">
      <calculatedColumnFormula>Table_SourceData_Scope3_Feed[[#This Row],[Product]]</calculatedColumnFormula>
    </tableColumn>
    <tableColumn id="2" xr3:uid="{B2D21645-BCF4-4AAC-9049-0BAE7AA6C189}"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52FB611-2DF9-4692-87AB-5B53725A8B2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C6E1674E-566A-47A1-8BC2-E21833E1679D}" name="Product">
      <calculatedColumnFormula>Table_SourceData_Scope3_Feed[[#This Row],[Product]]</calculatedColumnFormula>
    </tableColumn>
    <tableColumn id="2" xr3:uid="{5B91303B-C3A0-4320-A57E-752744CE0089}"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2568E43A-6D33-4FC6-A590-9CF799288194}"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BD90C45F-6455-451F-B023-E981FCFAB124}" name="Region"/>
    <tableColumn id="2" xr3:uid="{DDD299C8-5D39-47DB-A704-814DB9F1A927}" name="Scope3 regio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0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467D3D2-FAE8-4B4F-AD2F-273B449008EF}" name="Description" dataDxfId="99"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2F94D3-3463-4D1B-9368-573E2DF3C713}"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EF513EC-ABD0-4C61-A303-A913CB12CF49}" name="Description"/>
    <tableColumn id="5" xr3:uid="{1430DB6B-5B67-4248-B5D9-7ADA3E61647E}" name="Treatment type (select)" dataCellStyle="Input select"/>
    <tableColumn id="2" xr3:uid="{CE2DD452-9FF6-43F3-B7EB-B10BE063C90F}" name="Waste type (select)" dataCellStyle="Input select"/>
    <tableColumn id="3" xr3:uid="{F1A399FE-9086-47C5-AB26-ABB0A4A2925E}" name="Treatment location (select)" dataCellStyle="Input select"/>
    <tableColumn id="4" xr3:uid="{00281A68-4EAA-43A1-BC70-ECD83A12ED78}" name="Amount" dataCellStyle="Input number general"/>
    <tableColumn id="7" xr3:uid="{47BDB6C1-AA95-491E-B695-D1ECB6663769}"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14B32CE-1E5A-4ADE-AD0D-5F2EFEB0223C}"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C37F8C0-5E13-4060-A603-24CA0A4AB14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9952176A-FF9D-49E4-9C4E-4AAFB58B3678}"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F5BEE73C-7299-4F52-9C7E-09F85FDEE8A3}"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C46FEEBC-9AC7-482E-AD2C-7CCFCEA84AF7}"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67F943-5744-4DD2-96C2-0048E8B7833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6CB9555-D719-405F-8AB8-AF7E5F1722A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6EFA1DE-FB10-4514-9015-6986DA74B4A7}"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6CC978D1-9356-472D-B0E3-448A813D0647}" name="Table_WasteTypes_Landfill" displayName="Table_WasteTypes_Landfill" ref="I16:I27" totalsRowShown="0">
  <autoFilter ref="I16:I27" xr:uid="{99B942E3-1D24-4166-921C-DCC10960718D}">
    <filterColumn colId="0" hiddenButton="1"/>
  </autoFilter>
  <tableColumns count="1">
    <tableColumn id="1" xr3:uid="{9C5A3FC9-51D2-41FB-9A9A-BD6F1C06A44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722521-4E3D-4AB8-8DE7-3376F0261117}"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891E8995-90B4-4984-94A0-DC0CF4F17CA7}"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5E311DF4-F7EA-47F5-BC4D-8CC1411550B2}"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4E3CD0AA-9715-49A3-A247-06921BFFD4AF}"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E70EF12-A9BA-4574-84F9-D6BAF07D26C1}"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A62B4FF0-CA64-4233-8B4D-672B851433BA}" name="Waste type w" totalsRowDxfId="90" dataCellStyle="Content normal">
      <calculatedColumnFormula>E46</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6.bin"/><Relationship Id="rId4"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0.xml"/><Relationship Id="rId3" Type="http://schemas.openxmlformats.org/officeDocument/2006/relationships/table" Target="../tables/table15.xml"/><Relationship Id="rId7" Type="http://schemas.openxmlformats.org/officeDocument/2006/relationships/table" Target="../tables/table19.xml"/><Relationship Id="rId2" Type="http://schemas.openxmlformats.org/officeDocument/2006/relationships/table" Target="../tables/table14.xml"/><Relationship Id="rId1" Type="http://schemas.openxmlformats.org/officeDocument/2006/relationships/printerSettings" Target="../printerSettings/printerSettings19.bin"/><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 Id="rId9" Type="http://schemas.openxmlformats.org/officeDocument/2006/relationships/table" Target="../tables/table2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23.xml"/><Relationship Id="rId7" Type="http://schemas.openxmlformats.org/officeDocument/2006/relationships/table" Target="../tables/table27.xml"/><Relationship Id="rId2" Type="http://schemas.openxmlformats.org/officeDocument/2006/relationships/table" Target="../tables/table22.xml"/><Relationship Id="rId1" Type="http://schemas.openxmlformats.org/officeDocument/2006/relationships/printerSettings" Target="../printerSettings/printerSettings20.bin"/><Relationship Id="rId6" Type="http://schemas.openxmlformats.org/officeDocument/2006/relationships/table" Target="../tables/table26.xml"/><Relationship Id="rId5" Type="http://schemas.openxmlformats.org/officeDocument/2006/relationships/table" Target="../tables/table25.xml"/><Relationship Id="rId4" Type="http://schemas.openxmlformats.org/officeDocument/2006/relationships/table" Target="../tables/table24.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2" Type="http://schemas.openxmlformats.org/officeDocument/2006/relationships/table" Target="../tables/table30.xml"/><Relationship Id="rId1" Type="http://schemas.openxmlformats.org/officeDocument/2006/relationships/printerSettings" Target="../printerSettings/printerSettings21.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3.xml"/><Relationship Id="rId7" Type="http://schemas.openxmlformats.org/officeDocument/2006/relationships/table" Target="../tables/table47.xml"/><Relationship Id="rId2" Type="http://schemas.openxmlformats.org/officeDocument/2006/relationships/table" Target="../tables/table42.xml"/><Relationship Id="rId1" Type="http://schemas.openxmlformats.org/officeDocument/2006/relationships/table" Target="../tables/table41.xml"/><Relationship Id="rId6" Type="http://schemas.openxmlformats.org/officeDocument/2006/relationships/table" Target="../tables/table46.xml"/><Relationship Id="rId5" Type="http://schemas.openxmlformats.org/officeDocument/2006/relationships/table" Target="../tables/table45.xml"/><Relationship Id="rId4" Type="http://schemas.openxmlformats.org/officeDocument/2006/relationships/table" Target="../tables/table44.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5.xml"/><Relationship Id="rId13" Type="http://schemas.openxmlformats.org/officeDocument/2006/relationships/table" Target="../tables/table60.xml"/><Relationship Id="rId18" Type="http://schemas.openxmlformats.org/officeDocument/2006/relationships/table" Target="../tables/table65.xml"/><Relationship Id="rId26" Type="http://schemas.openxmlformats.org/officeDocument/2006/relationships/table" Target="../tables/table73.xml"/><Relationship Id="rId3" Type="http://schemas.openxmlformats.org/officeDocument/2006/relationships/table" Target="../tables/table50.xml"/><Relationship Id="rId21" Type="http://schemas.openxmlformats.org/officeDocument/2006/relationships/table" Target="../tables/table68.xml"/><Relationship Id="rId7" Type="http://schemas.openxmlformats.org/officeDocument/2006/relationships/table" Target="../tables/table54.xml"/><Relationship Id="rId12" Type="http://schemas.openxmlformats.org/officeDocument/2006/relationships/table" Target="../tables/table59.xml"/><Relationship Id="rId17" Type="http://schemas.openxmlformats.org/officeDocument/2006/relationships/table" Target="../tables/table64.xml"/><Relationship Id="rId25" Type="http://schemas.openxmlformats.org/officeDocument/2006/relationships/table" Target="../tables/table72.xml"/><Relationship Id="rId2" Type="http://schemas.openxmlformats.org/officeDocument/2006/relationships/table" Target="../tables/table49.xml"/><Relationship Id="rId16" Type="http://schemas.openxmlformats.org/officeDocument/2006/relationships/table" Target="../tables/table63.xml"/><Relationship Id="rId20" Type="http://schemas.openxmlformats.org/officeDocument/2006/relationships/table" Target="../tables/table67.xml"/><Relationship Id="rId29" Type="http://schemas.openxmlformats.org/officeDocument/2006/relationships/table" Target="../tables/table76.xml"/><Relationship Id="rId1" Type="http://schemas.openxmlformats.org/officeDocument/2006/relationships/table" Target="../tables/table48.xml"/><Relationship Id="rId6" Type="http://schemas.openxmlformats.org/officeDocument/2006/relationships/table" Target="../tables/table53.xml"/><Relationship Id="rId11" Type="http://schemas.openxmlformats.org/officeDocument/2006/relationships/table" Target="../tables/table58.xml"/><Relationship Id="rId24" Type="http://schemas.openxmlformats.org/officeDocument/2006/relationships/table" Target="../tables/table71.xml"/><Relationship Id="rId5" Type="http://schemas.openxmlformats.org/officeDocument/2006/relationships/table" Target="../tables/table52.xml"/><Relationship Id="rId15" Type="http://schemas.openxmlformats.org/officeDocument/2006/relationships/table" Target="../tables/table62.xml"/><Relationship Id="rId23" Type="http://schemas.openxmlformats.org/officeDocument/2006/relationships/table" Target="../tables/table70.xml"/><Relationship Id="rId28" Type="http://schemas.openxmlformats.org/officeDocument/2006/relationships/table" Target="../tables/table75.xml"/><Relationship Id="rId10" Type="http://schemas.openxmlformats.org/officeDocument/2006/relationships/table" Target="../tables/table57.xml"/><Relationship Id="rId19" Type="http://schemas.openxmlformats.org/officeDocument/2006/relationships/table" Target="../tables/table66.xml"/><Relationship Id="rId4" Type="http://schemas.openxmlformats.org/officeDocument/2006/relationships/table" Target="../tables/table51.xml"/><Relationship Id="rId9" Type="http://schemas.openxmlformats.org/officeDocument/2006/relationships/table" Target="../tables/table56.xml"/><Relationship Id="rId14" Type="http://schemas.openxmlformats.org/officeDocument/2006/relationships/table" Target="../tables/table61.xml"/><Relationship Id="rId22" Type="http://schemas.openxmlformats.org/officeDocument/2006/relationships/table" Target="../tables/table69.xml"/><Relationship Id="rId27" Type="http://schemas.openxmlformats.org/officeDocument/2006/relationships/table" Target="../tables/table74.xml"/><Relationship Id="rId30" Type="http://schemas.openxmlformats.org/officeDocument/2006/relationships/table" Target="../tables/table77.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18" Type="http://schemas.openxmlformats.org/officeDocument/2006/relationships/table" Target="../tables/table94.xml"/><Relationship Id="rId3" Type="http://schemas.openxmlformats.org/officeDocument/2006/relationships/table" Target="../tables/table79.xml"/><Relationship Id="rId21" Type="http://schemas.openxmlformats.org/officeDocument/2006/relationships/table" Target="../tables/table97.xml"/><Relationship Id="rId7" Type="http://schemas.openxmlformats.org/officeDocument/2006/relationships/table" Target="../tables/table83.xml"/><Relationship Id="rId12" Type="http://schemas.openxmlformats.org/officeDocument/2006/relationships/table" Target="../tables/table88.xml"/><Relationship Id="rId17" Type="http://schemas.openxmlformats.org/officeDocument/2006/relationships/table" Target="../tables/table93.xml"/><Relationship Id="rId2" Type="http://schemas.openxmlformats.org/officeDocument/2006/relationships/table" Target="../tables/table78.xml"/><Relationship Id="rId16" Type="http://schemas.openxmlformats.org/officeDocument/2006/relationships/table" Target="../tables/table92.xml"/><Relationship Id="rId20"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5" Type="http://schemas.openxmlformats.org/officeDocument/2006/relationships/table" Target="../tables/table91.xml"/><Relationship Id="rId10" Type="http://schemas.openxmlformats.org/officeDocument/2006/relationships/table" Target="../tables/table86.xml"/><Relationship Id="rId19" Type="http://schemas.openxmlformats.org/officeDocument/2006/relationships/table" Target="../tables/table95.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 Id="rId22" Type="http://schemas.openxmlformats.org/officeDocument/2006/relationships/table" Target="../tables/table98.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10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0"/>
  <sheetViews>
    <sheetView zoomScaleNormal="100" workbookViewId="0">
      <selection activeCell="A50" sqref="A50"/>
    </sheetView>
  </sheetViews>
  <sheetFormatPr defaultRowHeight="15" x14ac:dyDescent="0.25"/>
  <sheetData>
    <row r="1" spans="1:1" ht="25.5" x14ac:dyDescent="0.35">
      <c r="A1" s="16" t="e" vm="1">
        <v>#VALUE!</v>
      </c>
    </row>
    <row r="3" spans="1:1" ht="15.75" x14ac:dyDescent="0.25">
      <c r="A3" s="259"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Crop pasture farm input'!A1", "Crop pasture farm input")</f>
        <v>Crop pasture farm input</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Solid waste'!A1", "Solid waste")</f>
        <v>Solid waste</v>
      </c>
    </row>
    <row r="21" spans="1:1" ht="15.75" x14ac:dyDescent="0.25">
      <c r="A21" s="5" t="str">
        <f>HYPERLINK("#'Input - Data quality'!A1", "Data quality")</f>
        <v>Data quality</v>
      </c>
    </row>
    <row r="24" spans="1:1" x14ac:dyDescent="0.25">
      <c r="A24" s="6" t="s">
        <v>2</v>
      </c>
    </row>
    <row r="25" spans="1:1" ht="15.75" x14ac:dyDescent="0.25">
      <c r="A25" s="5" t="str">
        <f>HYPERLINK("#'5.1.1.1-2 Inorganic fert N2O'!A1", "5.1.1.1-2 Inorganic fert N2O")</f>
        <v>5.1.1.1-2 Inorganic fert N2O</v>
      </c>
    </row>
    <row r="26" spans="1:1" ht="15.75" x14ac:dyDescent="0.25">
      <c r="A26" s="5" t="str">
        <f>HYPERLINK("#'5.1.1.3-4 Inorganic fert CO2'!A1", "5.1.1.3-4 Inorganic fert CO2")</f>
        <v>5.1.1.3-4 Inorganic fert CO2</v>
      </c>
    </row>
    <row r="27" spans="1:1" ht="15.75" x14ac:dyDescent="0.25">
      <c r="A27" s="5" t="str">
        <f>HYPERLINK("#'5.2.1.1-2 Organic Fert N2O'!A1", "5.2.1.1-2 Organic fert N2O")</f>
        <v>5.2.1.1-2 Organic fert N2O</v>
      </c>
    </row>
    <row r="28" spans="1:1" ht="15.75" x14ac:dyDescent="0.25">
      <c r="A28" s="5" t="str">
        <f>HYPERLINK("#'5.3.1.1-2 Lime CO2'!A1", "5.3.1.1-2 Lime CO2")</f>
        <v>5.3.1.1-2 Lime CO2</v>
      </c>
    </row>
    <row r="29" spans="1:1" ht="15.75" x14ac:dyDescent="0.25">
      <c r="A29" s="5" t="str">
        <f>HYPERLINK("#'5.4.1.1-4 Atmos deposition'!A1", "5.4.1.1-4 Atmos. deposition")</f>
        <v>5.4.1.1-4 Atmos. deposition</v>
      </c>
    </row>
    <row r="30" spans="1:1" ht="15.75" x14ac:dyDescent="0.25">
      <c r="A30" s="5" t="str">
        <f>HYPERLINK("#'5.5.1.1-2 Leaching and runoff'!A1", "5.5.1.1-2 Leaching &amp; runoff")</f>
        <v>5.5.1.1-2 Leaching &amp; runoff</v>
      </c>
    </row>
    <row r="31" spans="1:1" ht="15.75" x14ac:dyDescent="0.25">
      <c r="A31" s="5" t="str">
        <f>HYPERLINK("#'6.1.1.1-2 Crop residue N2O'!A1", "6.1.1.1-2 Crop residue N2O")</f>
        <v>6.1.1.1-2 Crop residue N2O</v>
      </c>
    </row>
    <row r="32" spans="1:1" ht="15.75" x14ac:dyDescent="0.25">
      <c r="A32" s="5" t="str">
        <f>HYPERLINK("#'6.3.1.1-2 Leach runoff crop'!A1", "6.3.1.1-2 Leach &amp; runoff (crop)")</f>
        <v>6.3.1.1-2 Leach &amp; runoff (crop)</v>
      </c>
    </row>
    <row r="33" spans="1:1" ht="15.75" x14ac:dyDescent="0.25">
      <c r="A33" s="5" t="str">
        <f>HYPERLINK("#'6.4.1.1-2 Residue burning'!A1", "6.4.1.1-2 Residue burning")</f>
        <v>6.4.1.1-2 Residue burning</v>
      </c>
    </row>
    <row r="34" spans="1:1" ht="15.75" x14ac:dyDescent="0.25">
      <c r="A34" s="5" t="str">
        <f>HYPERLINK("#'8.1.1.1-2 Transport fuel'!A1", "8.1.1.1-2 Transport fuel")</f>
        <v>8.1.1.1-2 Transport fuel</v>
      </c>
    </row>
    <row r="35" spans="1:1" ht="15.75" x14ac:dyDescent="0.25">
      <c r="A35" s="5" t="str">
        <f>HYPERLINK("#'8.2.1.1-2 Stationary fuel'!A1", "8.2.1.1-2 Stationary fuel")</f>
        <v>8.2.1.1-2 Stationary fuel</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HYPERLINK("#'10.1.1-2 Solid waste treatment'!A1", "10.1.1-2 Solid waste treatment")</f>
        <v>10.1.1-2 Solid waste treatment</v>
      </c>
    </row>
    <row r="42" spans="1:1" x14ac:dyDescent="0.25">
      <c r="A42" s="94" t="s">
        <v>1</v>
      </c>
    </row>
    <row r="43" spans="1:1" ht="15.75" x14ac:dyDescent="0.25">
      <c r="A43" s="5" t="str">
        <f>HYPERLINK("#'Constants - Ag Residue'!A1", "Constants - Ag residue")</f>
        <v>Constants - Ag residue</v>
      </c>
    </row>
    <row r="44" spans="1:1" ht="15.75" x14ac:dyDescent="0.25">
      <c r="A44" s="5" t="str">
        <f>HYPERLINK("#'Constants - Common Livestock'!A1", "Constants - Common Livestock")</f>
        <v>Constants - Common Livestock</v>
      </c>
    </row>
    <row r="45" spans="1:1" ht="15.75" x14ac:dyDescent="0.25">
      <c r="A45" s="5" t="str">
        <f>HYPERLINK("#'Constants - Electricity'!A1", "Constants - Electricity")</f>
        <v>Constants - Electricity</v>
      </c>
    </row>
    <row r="46" spans="1:1" ht="15.75" x14ac:dyDescent="0.25">
      <c r="A46" s="5" t="str">
        <f>HYPERLINK("#'Constants - Fertiliser'!A1", "Constants - Fertiliser")</f>
        <v>Constants - Fertiliser</v>
      </c>
    </row>
    <row r="47" spans="1:1" ht="15.75" x14ac:dyDescent="0.25">
      <c r="A47" s="5" t="str">
        <f>HYPERLINK("#'Constants - Fuel'!A1", "Constants - Fuel")</f>
        <v>Constants - Fuel</v>
      </c>
    </row>
    <row r="48" spans="1:1" ht="15.75" x14ac:dyDescent="0.25">
      <c r="A48" s="5" t="str">
        <f>HYPERLINK("#'Constants - Scope 3'!A1", "Constants - Scope 3")</f>
        <v>Constants - Scope 3</v>
      </c>
    </row>
    <row r="49" spans="1:1" ht="15.75" x14ac:dyDescent="0.25">
      <c r="A49" s="5" t="str">
        <f>HYPERLINK("#'Constants - Common'!A1", "Constants - Common")</f>
        <v>Constants - Common</v>
      </c>
    </row>
    <row r="50" spans="1:1" ht="15.75" x14ac:dyDescent="0.25">
      <c r="A50"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7" zoomScaleNormal="100" workbookViewId="0">
      <selection activeCell="A50" sqref="A5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59"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2.0110749340000003</v>
      </c>
      <c r="F7" s="18" cm="1">
        <f t="array" ref="F7">VEERG_5_1_1_1__1_InorganicFertiliserApplicationN2OEmissions_Result_Method2</f>
        <v>2.0110749999999999</v>
      </c>
      <c r="G7" s="15" t="s">
        <v>12</v>
      </c>
      <c r="H7" s="18" cm="1">
        <f t="array" ref="H7">Common_Equations.Common_ConvertN2OToCO2e(E7,_xlfn.XLOOKUP("N2O", Table_GWPData[Gas],Table_GWPData[CO2-e factor]))</f>
        <v>532.93485751000003</v>
      </c>
      <c r="I7" s="18" cm="1">
        <f t="array" ref="I7">Common_Equations.Common_ConvertN2OToCO2e(F7,_xlfn.XLOOKUP("N2O", Table_GWPData[Gas],Table_GWPData[CO2-e factor]))</f>
        <v>532.93487500000003</v>
      </c>
      <c r="J7" s="15" t="s">
        <v>7</v>
      </c>
      <c r="K7" s="8"/>
    </row>
    <row r="8" spans="1:11" ht="20.100000000000001" customHeight="1" x14ac:dyDescent="0.25">
      <c r="A8" s="7" t="s">
        <v>0</v>
      </c>
      <c r="C8" s="8"/>
      <c r="D8" s="1" t="s">
        <v>139</v>
      </c>
      <c r="E8" s="18" cm="1">
        <f t="array" ref="E8">VEERG_5_1_1_3__1_InorganicFertiliserApplicationCO2Emissions_Result_Method1</f>
        <v>184.92752666666664</v>
      </c>
      <c r="F8" s="18">
        <f>E8</f>
        <v>184.92752666666664</v>
      </c>
      <c r="G8" s="15" t="s">
        <v>131</v>
      </c>
      <c r="H8" s="18">
        <f>E8</f>
        <v>184.92752666666664</v>
      </c>
      <c r="I8" s="18">
        <f>F8</f>
        <v>184.92752666666664</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5.5785714285714286E-2</v>
      </c>
      <c r="F9" s="18">
        <f>E9</f>
        <v>5.5785714285714286E-2</v>
      </c>
      <c r="G9" s="15" t="s">
        <v>12</v>
      </c>
      <c r="H9" s="18" cm="1">
        <f t="array" ref="H9">Common_Equations.Common_ConvertN2OToCO2e(E9,_xlfn.XLOOKUP("N2O", Table_GWPData[Gas],Table_GWPData[CO2-e factor]))</f>
        <v>14.783214285714285</v>
      </c>
      <c r="I9" s="18" cm="1">
        <f t="array" ref="I9">Common_Equations.Common_ConvertN2OToCO2e(F9,_xlfn.XLOOKUP("N2O", Table_GWPData[Gas],Table_GWPData[CO2-e factor]))</f>
        <v>14.783214285714285</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758.08333333333326</v>
      </c>
      <c r="F10" s="18">
        <f>E10</f>
        <v>758.08333333333326</v>
      </c>
      <c r="G10" s="15" t="s">
        <v>131</v>
      </c>
      <c r="H10" s="18">
        <f>E10</f>
        <v>758.08333333333326</v>
      </c>
      <c r="I10" s="18">
        <f>F10</f>
        <v>758.08333333333326</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1.6400999999999999E-2</v>
      </c>
      <c r="F11" s="18">
        <f>E11</f>
        <v>1.6400999999999999E-2</v>
      </c>
      <c r="G11" s="15" t="s">
        <v>12</v>
      </c>
      <c r="H11" s="18" cm="1">
        <f t="array" ref="H11">Common_Equations.Common_ConvertN2OToCO2e(E11,_xlfn.XLOOKUP("N2O", Table_GWPData[Gas],Table_GWPData[CO2-e factor]))</f>
        <v>4.3462649999999998</v>
      </c>
      <c r="I11" s="18" cm="1">
        <f t="array" ref="I11">Common_Equations.Common_ConvertN2OToCO2e(F11,_xlfn.XLOOKUP("N2O", Table_GWPData[Gas],Table_GWPData[CO2-e factor]))</f>
        <v>4.3462649999999998</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0.78791740368000007</v>
      </c>
      <c r="F12" s="18">
        <f>E12</f>
        <v>0.78791740368000007</v>
      </c>
      <c r="G12" s="15" t="s">
        <v>12</v>
      </c>
      <c r="H12" s="18" cm="1">
        <f t="array" ref="H12">Common_Equations.Common_ConvertN2OToCO2e(E12,_xlfn.XLOOKUP("N2O", Table_GWPData[Gas],Table_GWPData[CO2-e factor]))</f>
        <v>208.79811197520002</v>
      </c>
      <c r="I12" s="18" cm="1">
        <f t="array" ref="I12">Common_Equations.Common_ConvertN2OToCO2e(F12,_xlfn.XLOOKUP("N2O", Table_GWPData[Gas],Table_GWPData[CO2-e factor]))</f>
        <v>208.79811197520002</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0.66792000000000007</v>
      </c>
      <c r="F13" s="18" cm="1">
        <f t="array" ref="F13">VEERG_6_1_1_1__1__NitrousOxideEmissionsFromCropResidues_Result_Method2</f>
        <v>0.66792000000000007</v>
      </c>
      <c r="G13" s="15" t="s">
        <v>12</v>
      </c>
      <c r="H13" s="18" cm="1">
        <f t="array" ref="H13">Common_Equations.Common_ConvertN2OToCO2e(E13,_xlfn.XLOOKUP("N2O", Table_GWPData[Gas],Table_GWPData[CO2-e factor]))</f>
        <v>176.99880000000002</v>
      </c>
      <c r="I13" s="18" cm="1">
        <f t="array" ref="I13">Common_Equations.Common_ConvertN2OToCO2e(F13,_xlfn.XLOOKUP("N2O", Table_GWPData[Gas],Table_GWPData[CO2-e factor]))</f>
        <v>176.99880000000002</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0.35266175999999999</v>
      </c>
      <c r="F14" s="18" cm="1">
        <f t="array" ref="F14">VEERG_6_3_1_1__1__LeachingAndRunoffEmissionsCropAndPastureResidue_CropOnly_Result_Method2</f>
        <v>0.35266175999999999</v>
      </c>
      <c r="G14" s="15" t="s">
        <v>12</v>
      </c>
      <c r="H14" s="18" cm="1">
        <f t="array" ref="H14">Common_Equations.Common_ConvertN2OToCO2e(E14,_xlfn.XLOOKUP("N2O", Table_GWPData[Gas],Table_GWPData[CO2-e factor]))</f>
        <v>93.455366400000003</v>
      </c>
      <c r="I14" s="18" cm="1">
        <f t="array" ref="I14">Common_Equations.Common_ConvertN2OToCO2e(F14,_xlfn.XLOOKUP("N2O", Table_GWPData[Gas],Table_GWPData[CO2-e factor]))</f>
        <v>93.455366400000003</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0.12769302857142856</v>
      </c>
      <c r="F15" s="18">
        <f t="shared" ref="F15:F20" si="0">E15</f>
        <v>0.12769302857142856</v>
      </c>
      <c r="G15" s="15" t="s">
        <v>12</v>
      </c>
      <c r="H15" s="18" cm="1">
        <f t="array" ref="H15">Common_Equations.Common_ConvertN2OToCO2e(E15,_xlfn.XLOOKUP("N2O", Table_GWPData[Gas],Table_GWPData[CO2-e factor]))</f>
        <v>33.838652571428568</v>
      </c>
      <c r="I15" s="18" cm="1">
        <f t="array" ref="I15">Common_Equations.Common_ConvertN2OToCO2e(F15,_xlfn.XLOOKUP("N2O", Table_GWPData[Gas],Table_GWPData[CO2-e factor]))</f>
        <v>33.838652571428568</v>
      </c>
      <c r="J15" s="15" t="s">
        <v>7</v>
      </c>
      <c r="K15" s="8"/>
    </row>
    <row r="16" spans="1:11" ht="20.100000000000001" customHeight="1" x14ac:dyDescent="0.25">
      <c r="A16" s="5" t="str">
        <f>HYPERLINK("#'Input - Common farm inputs'!A1", "Common farm inputs")</f>
        <v>Common farm inputs</v>
      </c>
      <c r="C16" s="8"/>
      <c r="D16" s="1" t="s">
        <v>179</v>
      </c>
      <c r="E16" s="18" cm="1">
        <f t="array" ref="E16">VEERG_6_4_1_1__1__MethaneEmissionsFromBurningOfCropResidues_Result_Method1</f>
        <v>3.3264</v>
      </c>
      <c r="F16" s="18">
        <f t="shared" si="0"/>
        <v>3.3264</v>
      </c>
      <c r="G16" s="15" t="s">
        <v>6</v>
      </c>
      <c r="H16" s="18" cm="1">
        <f t="array" ref="H16">Common_Equations.Common_ConvertCH4ToCO2e(E16,_xlfn.XLOOKUP("CH4", Table_GWPData[Gas],Table_GWPData[CO2-e factor]))</f>
        <v>93.139200000000002</v>
      </c>
      <c r="I16" s="18" cm="1">
        <f t="array" ref="I16">Common_Equations.Common_ConvertCH4ToCO2e(F16,_xlfn.XLOOKUP("CH4", Table_GWPData[Gas],Table_GWPData[CO2-e factor]))</f>
        <v>93.139200000000002</v>
      </c>
      <c r="J16" s="15" t="s">
        <v>7</v>
      </c>
      <c r="K16" s="8"/>
    </row>
    <row r="17" spans="1:11" ht="20.100000000000001" customHeight="1" x14ac:dyDescent="0.25">
      <c r="A17" s="5" t="str">
        <f>HYPERLINK("#'Input - Crop pasture farm input'!A1", "Crop pasture farm input")</f>
        <v>Crop pasture farm input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Freight'!A1", "Freight")</f>
        <v>Freight</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Manure sent off-site'!A1", "Manure sent off-site")</f>
        <v>Manure sent off-site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A20" s="5" t="str">
        <f>HYPERLINK("#'Input - Solid waste'!A1", "Solid waste")</f>
        <v>Solid waste</v>
      </c>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A21" s="5" t="str">
        <f>HYPERLINK("#'Input - Data quality'!A1", "Data quality")</f>
        <v>Data quality</v>
      </c>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6" t="s">
        <v>2</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HYPERLINK("#'5.1.1.1-2 Inorganic fert N2O'!A1", "5.1.1.1-2 Inorganic fert N2O")</f>
        <v>5.1.1.1-2 Inorganic fert N2O</v>
      </c>
      <c r="C25" s="8"/>
      <c r="D25" s="14" t="s">
        <v>4</v>
      </c>
      <c r="E25" s="9"/>
      <c r="F25" s="9"/>
      <c r="G25" s="14"/>
      <c r="H25" s="19">
        <f>SUM(H7:H24)</f>
        <v>2421.4925077423422</v>
      </c>
      <c r="I25" s="19">
        <f>SUM(I7:I24)</f>
        <v>2421.4925252323424</v>
      </c>
      <c r="J25" s="15" t="s">
        <v>7</v>
      </c>
      <c r="K25" s="8"/>
    </row>
    <row r="26" spans="1:11" ht="20.100000000000001" customHeight="1" x14ac:dyDescent="0.3">
      <c r="A26" s="5" t="str">
        <f>HYPERLINK("#'5.1.1.3-4 Inorganic fert CO2'!A1", "5.1.1.3-4 Inorganic fert CO2")</f>
        <v>5.1.1.3-4 Inorganic fert CO2</v>
      </c>
      <c r="C26" s="8"/>
      <c r="D26" s="1"/>
      <c r="E26" s="1"/>
      <c r="F26" s="1"/>
      <c r="G26" s="1"/>
      <c r="H26" s="13"/>
      <c r="I26" s="8"/>
      <c r="J26" s="8"/>
      <c r="K26" s="8"/>
    </row>
    <row r="27" spans="1:11" ht="20.100000000000001" customHeight="1" x14ac:dyDescent="0.3">
      <c r="A27" s="5" t="str">
        <f>HYPERLINK("#'5.2.1.1-2 Organic Fert N2O'!A1", "5.2.1.1-2 Organic fert N2O")</f>
        <v>5.2.1.1-2 Organic fert N2O</v>
      </c>
      <c r="C27" s="8"/>
      <c r="D27" s="1"/>
      <c r="E27" s="1"/>
      <c r="F27" s="1"/>
      <c r="G27" s="1"/>
      <c r="H27" s="13"/>
      <c r="I27" s="8"/>
      <c r="J27" s="8"/>
      <c r="K27" s="8"/>
    </row>
    <row r="28" spans="1:11" ht="20.100000000000001" customHeight="1" x14ac:dyDescent="0.3">
      <c r="A28" s="5" t="str">
        <f>HYPERLINK("#'5.3.1.1-2 Lime CO2'!A1", "5.3.1.1-2 Lime CO2")</f>
        <v>5.3.1.1-2 Lime CO2</v>
      </c>
      <c r="C28" s="8"/>
      <c r="D28" s="1"/>
      <c r="E28" s="1"/>
      <c r="F28" s="1"/>
      <c r="G28" s="1"/>
      <c r="H28" s="13"/>
      <c r="I28" s="8"/>
      <c r="J28" s="8"/>
      <c r="K28" s="8"/>
    </row>
    <row r="29" spans="1:11" ht="20.100000000000001" customHeight="1" x14ac:dyDescent="0.3">
      <c r="A29" s="5" t="str">
        <f>HYPERLINK("#'5.4.1.1-4 Atmos deposition'!A1", "5.4.1.1-4 Atmos. deposition")</f>
        <v>5.4.1.1-4 Atmos. deposition</v>
      </c>
      <c r="C29" s="8"/>
      <c r="D29" s="2" t="s">
        <v>115</v>
      </c>
      <c r="E29" s="1"/>
      <c r="F29" s="1"/>
      <c r="G29" s="1"/>
      <c r="H29" s="13"/>
      <c r="I29" s="8"/>
      <c r="J29" s="8"/>
      <c r="K29" s="8"/>
    </row>
    <row r="30" spans="1:11" ht="20.100000000000001" customHeight="1" x14ac:dyDescent="0.3">
      <c r="A30" s="5" t="str">
        <f>HYPERLINK("#'5.5.1.1-2 Leaching and runoff'!A1", "5.5.1.1-2 Leaching &amp; runoff")</f>
        <v>5.5.1.1-2 Leaching &amp; runoff</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HYPERLINK("#'6.1.1.1-2 Crop residue N2O'!A1", "6.1.1.1-2 Crop residue N2O")</f>
        <v>6.1.1.1-2 Crop residue N2O</v>
      </c>
      <c r="C31" s="8"/>
      <c r="D31" s="1" t="s">
        <v>117</v>
      </c>
      <c r="E31" s="1"/>
      <c r="F31" s="1"/>
      <c r="G31" s="1"/>
      <c r="H31" s="13"/>
      <c r="I31" s="8"/>
      <c r="J31" s="8"/>
      <c r="K31" s="8"/>
    </row>
    <row r="32" spans="1:11" ht="20.100000000000001" customHeight="1" x14ac:dyDescent="0.3">
      <c r="A32" s="5" t="str">
        <f>HYPERLINK("#'6.3.1.1-2 Leach runoff crop'!A1", "6.3.1.1-2 Leach &amp; runoff (crop)")</f>
        <v>6.3.1.1-2 Leach &amp; runoff (crop)</v>
      </c>
      <c r="C32" s="8"/>
      <c r="D32" s="1"/>
      <c r="E32" s="1"/>
      <c r="F32" s="1"/>
      <c r="G32" s="1"/>
      <c r="H32" s="13"/>
      <c r="I32" s="8"/>
      <c r="J32" s="8"/>
      <c r="K32" s="8"/>
    </row>
    <row r="33" spans="1:11" ht="20.100000000000001" customHeight="1" x14ac:dyDescent="0.3">
      <c r="A33" s="5" t="str">
        <f>HYPERLINK("#'6.4.1.1-2 Residue burning'!A1", "6.4.1.1-2 Residue burning")</f>
        <v>6.4.1.1-2 Residue burning</v>
      </c>
      <c r="C33" s="8"/>
      <c r="D33" s="20" t="s">
        <v>116</v>
      </c>
      <c r="E33" s="20" t="s">
        <v>10</v>
      </c>
      <c r="F33" s="20" t="s">
        <v>11</v>
      </c>
      <c r="G33" s="1"/>
      <c r="H33" s="13"/>
      <c r="I33" s="8"/>
      <c r="J33" s="8"/>
      <c r="K33" s="8"/>
    </row>
    <row r="34" spans="1:11" ht="20.100000000000001" customHeight="1" x14ac:dyDescent="0.3">
      <c r="A34" s="5" t="str">
        <f>HYPERLINK("#'8.1.1.1-2 Transport fuel'!A1", "8.1.1.1-2 Transport fuel")</f>
        <v>8.1.1.1-2 Transport fuel</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0, IF(ISNUMBER(SEARCH("reporting", $D34)), Result_Enterprise_Method1, "Enter value"))</f>
        <v>2421.4925077423422</v>
      </c>
      <c r="F34" s="86">
        <f>IF(ISBLANK($D34), 0, IF(ISNUMBER(SEARCH("reporting", $D34)), Result_Enterprise_Method2, "Enter value"))</f>
        <v>2421.4925252323424</v>
      </c>
      <c r="G34" s="15" t="s">
        <v>7</v>
      </c>
      <c r="H34" s="13"/>
      <c r="I34" s="8"/>
      <c r="J34" s="8"/>
      <c r="K34" s="8"/>
    </row>
    <row r="35" spans="1:11" ht="20.100000000000001" customHeight="1" x14ac:dyDescent="0.3">
      <c r="A35" s="5" t="str">
        <f>HYPERLINK("#'8.2.1.1-2 Stationary fuel'!A1", "8.2.1.1-2 Stationary fuel")</f>
        <v>8.2.1.1-2 Stationary fuel</v>
      </c>
      <c r="C35" s="8"/>
      <c r="D35" s="1" t="str">
        <v>01 Jan 2026 to 31 Dec 2026</v>
      </c>
      <c r="E35" s="86" t="str">
        <f>IF(ISBLANK($D35), 0, IF(ISNUMBER(SEARCH("reporting", $D35)), Result_Enterprise_Method1, "Enter value"))</f>
        <v>Enter value</v>
      </c>
      <c r="F35" s="86" t="str">
        <f>IF(ISBLANK($D35), 0, IF(ISNUMBER(SEARCH("reporting", $D35)), Result_Enterprise_Method2, "Enter value"))</f>
        <v>Enter value</v>
      </c>
      <c r="G35" s="15" t="s">
        <v>7</v>
      </c>
      <c r="H35" s="13"/>
      <c r="I35" s="8"/>
      <c r="J35" s="8"/>
      <c r="K35" s="8"/>
    </row>
    <row r="36" spans="1:11" ht="20.100000000000001" customHeight="1" x14ac:dyDescent="0.3">
      <c r="A36" s="5" t="str">
        <f>HYPERLINK("#'14.1.1-2 Purchased electricity'!A1", "14.1.1-2 Purchased electricity")</f>
        <v>14.1.1-2 Purchased electricity</v>
      </c>
      <c r="C36" s="8"/>
      <c r="D36" s="1"/>
      <c r="E36" s="86">
        <f>IF(ISBLANK($D36), 0, IF(ISNUMBER(SEARCH("reporting", $D36)), Result_Enterprise_Method1, "Enter value"))</f>
        <v>0</v>
      </c>
      <c r="F36" s="86">
        <f>IF(ISBLANK($D36), 0, IF(ISNUMBER(SEARCH("reporting", $D36)), Result_Enterprise_Method2, "Enter value"))</f>
        <v>0</v>
      </c>
      <c r="G36" s="15" t="s">
        <v>7</v>
      </c>
      <c r="H36" s="13"/>
      <c r="I36" s="8"/>
      <c r="J36" s="8"/>
      <c r="K36" s="8"/>
    </row>
    <row r="37" spans="1:11" ht="20.100000000000001" customHeight="1" x14ac:dyDescent="0.3">
      <c r="A37" s="5" t="str">
        <f>HYPERLINK("#'15 Scope 3'!A1", "15 Scope 3")</f>
        <v>15 Scope 3</v>
      </c>
      <c r="C37" s="8"/>
      <c r="D37" s="1"/>
      <c r="E37" s="86">
        <f>IF(ISBLANK($D37), 0, IF(ISNUMBER(SEARCH("reporting", $D37)), Result_Enterprise_Method1, "Enter value"))</f>
        <v>0</v>
      </c>
      <c r="F37" s="86">
        <f>IF(ISBLANK($D37), 0, IF(ISNUMBER(SEARCH("reporting", $D37)), Result_Enterprise_Method2, "Enter value"))</f>
        <v>0</v>
      </c>
      <c r="G37" s="15" t="s">
        <v>7</v>
      </c>
      <c r="H37" s="13"/>
      <c r="I37" s="8"/>
      <c r="J37" s="8"/>
      <c r="K37" s="8"/>
    </row>
    <row r="38" spans="1:11" ht="20.100000000000001" customHeight="1" x14ac:dyDescent="0.3">
      <c r="A38" s="5" t="str">
        <f>HYPERLINK("#'Calcs - Manure sent off-site'!A1", "Calcs - Manure sent off-site")</f>
        <v>Calcs - Manure sent off-site</v>
      </c>
      <c r="C38" s="8"/>
      <c r="D38" s="88"/>
      <c r="E38" s="86">
        <f>IF(ISBLANK($D38), 0, IF(ISNUMBER(SEARCH("reporting", $D38)), Result_Enterprise_Method1, "Enter value"))</f>
        <v>0</v>
      </c>
      <c r="F38" s="86">
        <f>IF(ISBLANK($D38), 0, IF(ISNUMBER(SEARCH("reporting", $D38)), Result_Enterprise_Method2, "Enter value"))</f>
        <v>0</v>
      </c>
      <c r="G38" s="15" t="s">
        <v>7</v>
      </c>
      <c r="H38" s="13"/>
      <c r="I38" s="8"/>
      <c r="J38" s="8"/>
      <c r="K38" s="8"/>
    </row>
    <row r="39" spans="1:11" ht="20.100000000000001" customHeight="1" x14ac:dyDescent="0.3">
      <c r="A39" s="5" t="str">
        <f>HYPERLINK("#'10.1.1-2 Solid waste treatment'!A1", "10.1.1-2 Solid waste treatment")</f>
        <v>10.1.1-2 Solid waste treatment</v>
      </c>
      <c r="C39" s="8"/>
      <c r="D39" s="14" t="s">
        <v>132</v>
      </c>
      <c r="E39" s="19">
        <f>SUM(E34:E38)</f>
        <v>2421.4925077423422</v>
      </c>
      <c r="F39" s="19">
        <f>SUM(F34:F38)</f>
        <v>2421.4925252323424</v>
      </c>
      <c r="G39" s="1"/>
      <c r="H39" s="1"/>
      <c r="I39" s="1"/>
      <c r="J39" s="8"/>
      <c r="K39" s="8"/>
    </row>
    <row r="40" spans="1:11" ht="20.100000000000001" customHeight="1" x14ac:dyDescent="0.25">
      <c r="C40" s="8"/>
      <c r="D40" s="1"/>
      <c r="E40" s="1"/>
      <c r="F40" s="1"/>
      <c r="G40" s="1"/>
      <c r="H40" s="1"/>
      <c r="I40" s="1"/>
      <c r="J40" s="8"/>
      <c r="K40" s="8"/>
    </row>
    <row r="41" spans="1:11" ht="20.100000000000001" customHeight="1" x14ac:dyDescent="0.25">
      <c r="C41" s="8"/>
      <c r="D41" s="1"/>
      <c r="E41" s="1"/>
      <c r="F41" s="1"/>
      <c r="G41" s="1"/>
      <c r="H41" s="1"/>
      <c r="I41" s="1"/>
      <c r="J41" s="8"/>
      <c r="K41" s="8"/>
    </row>
    <row r="42" spans="1:11" ht="20.100000000000001" customHeight="1" x14ac:dyDescent="0.25">
      <c r="A42" s="94" t="s">
        <v>1</v>
      </c>
      <c r="C42" s="8"/>
      <c r="D42" s="2" t="s">
        <v>129</v>
      </c>
      <c r="E42" s="1"/>
      <c r="F42" s="1"/>
      <c r="G42" s="1"/>
      <c r="H42" s="1"/>
      <c r="I42" s="1"/>
      <c r="J42" s="8"/>
      <c r="K42" s="8"/>
    </row>
    <row r="43" spans="1:11" ht="20.100000000000001" customHeight="1" x14ac:dyDescent="0.25">
      <c r="A43" s="5" t="str">
        <f>HYPERLINK("#'Constants - Ag Residue'!A1", "Constants - Ag residue")</f>
        <v>Constants - Ag residue</v>
      </c>
      <c r="C43" s="8"/>
      <c r="D43" s="1"/>
      <c r="E43" s="1"/>
      <c r="F43" s="1"/>
      <c r="G43" s="1"/>
      <c r="H43" s="1"/>
      <c r="I43" s="1"/>
      <c r="J43" s="1"/>
      <c r="K43" s="8"/>
    </row>
    <row r="44" spans="1:11" ht="20.100000000000001" customHeight="1" x14ac:dyDescent="0.25">
      <c r="A44" s="5" t="str">
        <f>HYPERLINK("#'Constants - Common Livestock'!A1", "Constants - Common Livestock")</f>
        <v>Constants - Common Livestock</v>
      </c>
      <c r="C44" s="8"/>
      <c r="D44" s="20" t="s">
        <v>116</v>
      </c>
      <c r="E44" s="20" t="s">
        <v>130</v>
      </c>
      <c r="F44" s="1"/>
      <c r="G44" s="1"/>
      <c r="H44" s="1"/>
      <c r="I44" s="1"/>
      <c r="J44" s="1"/>
      <c r="K44" s="8"/>
    </row>
    <row r="45" spans="1:11" ht="20.100000000000001" customHeight="1" x14ac:dyDescent="0.25">
      <c r="A45" s="5" t="str">
        <f>HYPERLINK("#'Constants - Electricity'!A1", "Constants - Electricity")</f>
        <v>Constants - Electricity</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0, "Enter value")</f>
        <v>Enter value</v>
      </c>
      <c r="F45" s="15" t="s">
        <v>131</v>
      </c>
      <c r="G45" s="1"/>
      <c r="H45" s="1"/>
      <c r="I45" s="1"/>
      <c r="J45" s="1"/>
      <c r="K45" s="8"/>
    </row>
    <row r="46" spans="1:11" ht="20.100000000000001" customHeight="1" x14ac:dyDescent="0.25">
      <c r="A46" s="5" t="str">
        <f>HYPERLINK("#'Constants - Fertiliser'!A1", "Constants - Fertiliser")</f>
        <v>Constants - Fertiliser</v>
      </c>
      <c r="C46" s="8"/>
      <c r="D46" s="1" t="str">
        <v>01 Jan 2026 to 31 Dec 2026</v>
      </c>
      <c r="E46" s="86" t="str">
        <f t="shared" ref="E46:E49" si="2">IF(ISBLANK(D46), 0, "Enter value")</f>
        <v>Enter value</v>
      </c>
      <c r="F46" s="15" t="s">
        <v>131</v>
      </c>
      <c r="G46" s="1"/>
      <c r="H46" s="1"/>
      <c r="I46" s="1"/>
      <c r="J46" s="1"/>
      <c r="K46" s="8"/>
    </row>
    <row r="47" spans="1:11" ht="20.100000000000001" customHeight="1" x14ac:dyDescent="0.25">
      <c r="A47" s="5" t="str">
        <f>HYPERLINK("#'Constants - Fuel'!A1", "Constants - Fuel")</f>
        <v>Constants - Fuel</v>
      </c>
      <c r="C47" s="8"/>
      <c r="D47" s="1"/>
      <c r="E47" s="86">
        <f t="shared" si="2"/>
        <v>0</v>
      </c>
      <c r="F47" s="15" t="s">
        <v>131</v>
      </c>
      <c r="G47" s="1"/>
      <c r="H47" s="1"/>
      <c r="I47" s="1"/>
      <c r="J47" s="1"/>
      <c r="K47" s="8"/>
    </row>
    <row r="48" spans="1:11" ht="20.100000000000001" customHeight="1" x14ac:dyDescent="0.25">
      <c r="A48" s="5" t="str">
        <f>HYPERLINK("#'Constants - Scope 3'!A1", "Constants - Scope 3")</f>
        <v>Constants - Scope 3</v>
      </c>
      <c r="C48" s="8"/>
      <c r="D48" s="1"/>
      <c r="E48" s="86">
        <f t="shared" si="2"/>
        <v>0</v>
      </c>
      <c r="F48" s="15" t="s">
        <v>131</v>
      </c>
      <c r="G48" s="1"/>
      <c r="H48" s="1"/>
      <c r="I48" s="1"/>
      <c r="J48" s="1"/>
      <c r="K48" s="8"/>
    </row>
    <row r="49" spans="1:11" ht="20.100000000000001" customHeight="1" x14ac:dyDescent="0.25">
      <c r="A49" s="5" t="str">
        <f>HYPERLINK("#'Constants - Common'!A1", "Constants - Common")</f>
        <v>Constants - Common</v>
      </c>
      <c r="C49" s="8"/>
      <c r="D49" s="1"/>
      <c r="E49" s="86">
        <f t="shared" si="2"/>
        <v>0</v>
      </c>
      <c r="F49" s="15" t="s">
        <v>131</v>
      </c>
      <c r="G49" s="1"/>
      <c r="H49" s="1"/>
      <c r="I49" s="8"/>
      <c r="J49" s="8"/>
      <c r="K49" s="8"/>
    </row>
    <row r="50" spans="1:11" ht="20.100000000000001" customHeight="1" x14ac:dyDescent="0.3">
      <c r="A50" s="5" t="str">
        <f>HYPERLINK("#'Constants - Solid Waste'!A1", "Constants - Solid Waste")</f>
        <v>Constants - Solid Waste</v>
      </c>
      <c r="C50" s="8"/>
      <c r="D50" s="14" t="s">
        <v>133</v>
      </c>
      <c r="E50" s="19">
        <f>SUM(E45:E49)</f>
        <v>0</v>
      </c>
      <c r="F50" s="1"/>
      <c r="G50" s="1"/>
      <c r="H50" s="1"/>
      <c r="I50" s="1"/>
      <c r="J50" s="1"/>
      <c r="K50" s="8"/>
    </row>
    <row r="51" spans="1:11" ht="20.100000000000001" customHeight="1" x14ac:dyDescent="0.25">
      <c r="C51" s="8"/>
      <c r="D51" s="1"/>
      <c r="E51" s="1"/>
      <c r="F51" s="1"/>
      <c r="G51" s="1"/>
      <c r="H51" s="1"/>
      <c r="I51" s="1"/>
      <c r="J51" s="1"/>
      <c r="K51" s="8"/>
    </row>
    <row r="52" spans="1:11" ht="20.100000000000001" customHeight="1" x14ac:dyDescent="0.25">
      <c r="C52" s="8"/>
      <c r="D52" s="1"/>
      <c r="E52" s="1"/>
      <c r="F52" s="1"/>
      <c r="G52" s="1"/>
      <c r="H52" s="1"/>
      <c r="I52" s="1"/>
      <c r="J52" s="1"/>
      <c r="K52" s="8"/>
    </row>
    <row r="53" spans="1:11" ht="20.100000000000001" customHeight="1" x14ac:dyDescent="0.25">
      <c r="C53" s="8"/>
      <c r="D53" s="2" t="s">
        <v>119</v>
      </c>
      <c r="E53" s="1"/>
      <c r="F53" s="1"/>
      <c r="G53" s="1"/>
      <c r="H53" s="1"/>
      <c r="I53" s="1"/>
      <c r="J53" s="8"/>
      <c r="K53" s="8"/>
    </row>
    <row r="54" spans="1:11" ht="20.100000000000001" customHeight="1" x14ac:dyDescent="0.25">
      <c r="C54" s="8"/>
      <c r="D54" s="1"/>
      <c r="E54" s="1"/>
      <c r="F54" s="1"/>
      <c r="G54" s="1"/>
      <c r="H54" s="1"/>
      <c r="I54" s="1"/>
      <c r="J54" s="1"/>
      <c r="K54" s="8"/>
    </row>
    <row r="55" spans="1:11" ht="20.100000000000001" customHeight="1" x14ac:dyDescent="0.25">
      <c r="C55" s="8"/>
      <c r="D55" s="20"/>
      <c r="E55" s="20" t="s">
        <v>135</v>
      </c>
      <c r="F55" s="20" t="s">
        <v>136</v>
      </c>
      <c r="G55" s="1"/>
      <c r="H55" s="1"/>
      <c r="I55" s="1"/>
      <c r="J55" s="1"/>
      <c r="K55" s="8"/>
    </row>
    <row r="56" spans="1:11" ht="20.100000000000001" customHeight="1" x14ac:dyDescent="0.3">
      <c r="C56" s="8"/>
      <c r="D56" s="89" t="s">
        <v>134</v>
      </c>
      <c r="E56" s="87">
        <f>Result_EmissionsForWholeProductionCycle_Method1-Result_CarbonRemovalsFromPlantings</f>
        <v>2421.4925077423422</v>
      </c>
      <c r="F56" s="87">
        <f>Result_EmissionsForWholeProductionCycle_Method2-Result_CarbonRemovalsFromPlantings</f>
        <v>2421.4925252323424</v>
      </c>
      <c r="G56" s="1"/>
      <c r="H56" s="1"/>
      <c r="I56" s="1"/>
      <c r="J56" s="1"/>
      <c r="K56" s="8"/>
    </row>
    <row r="57" spans="1:11" ht="20.100000000000001" customHeight="1" x14ac:dyDescent="0.25">
      <c r="C57" s="8"/>
      <c r="D57" s="1"/>
      <c r="E57" s="1"/>
      <c r="F57" s="1"/>
      <c r="G57" s="1"/>
      <c r="H57" s="1"/>
      <c r="I57" s="1"/>
      <c r="J57" s="1"/>
      <c r="K57" s="8"/>
    </row>
    <row r="58" spans="1:11" ht="20.100000000000001" customHeight="1" x14ac:dyDescent="0.25">
      <c r="C58" s="8"/>
      <c r="D58" s="1"/>
      <c r="E58" s="1"/>
      <c r="F58" s="1"/>
      <c r="G58" s="1"/>
      <c r="H58" s="1"/>
      <c r="I58" s="1"/>
      <c r="J58" s="1"/>
      <c r="K58" s="8"/>
    </row>
    <row r="59" spans="1:11" ht="20.100000000000001" customHeight="1" x14ac:dyDescent="0.25">
      <c r="C59" s="8"/>
      <c r="D59" s="91" t="s">
        <v>171</v>
      </c>
      <c r="E59" s="1"/>
      <c r="F59" s="1"/>
      <c r="G59" s="1"/>
      <c r="H59" s="1"/>
      <c r="I59" s="1"/>
      <c r="J59" s="1"/>
      <c r="K59" s="8"/>
    </row>
    <row r="60" spans="1:11" ht="20.100000000000001" customHeight="1" x14ac:dyDescent="0.25">
      <c r="C60" s="8"/>
      <c r="D60" s="20" t="s">
        <v>137</v>
      </c>
      <c r="E60" s="20" t="s">
        <v>124</v>
      </c>
      <c r="F60" s="20" t="s">
        <v>120</v>
      </c>
      <c r="G60" s="20" t="s">
        <v>168</v>
      </c>
      <c r="H60" s="20" t="s">
        <v>122</v>
      </c>
      <c r="I60" s="20" t="s">
        <v>123</v>
      </c>
      <c r="J60" s="20" t="s">
        <v>121</v>
      </c>
      <c r="K60" s="8"/>
    </row>
    <row r="61" spans="1:11" ht="20.100000000000001" customHeight="1" x14ac:dyDescent="0.25">
      <c r="C61" s="8"/>
      <c r="D61" s="1" t="s">
        <v>173</v>
      </c>
      <c r="E61" s="1" t="s">
        <v>125</v>
      </c>
      <c r="F61" s="18">
        <f>'Input - Enterprise'!E22*'Input - Enterprise'!E23</f>
        <v>1000</v>
      </c>
      <c r="G61" s="18">
        <f>F61/(F61+F64)</f>
        <v>0.75187969924812026</v>
      </c>
      <c r="H61" s="18">
        <f>(Result_EmissionsForWholeProductionCycle_Method1/F61)*G61</f>
        <v>1.8206710584528887</v>
      </c>
      <c r="I61" s="18">
        <f>(Result_EmissionsForWholeProductionCycle_Method2/F61)*G61</f>
        <v>1.8206710716032648</v>
      </c>
      <c r="J61" s="15" t="s">
        <v>165</v>
      </c>
      <c r="K61" s="8"/>
    </row>
    <row r="62" spans="1:11" ht="20.100000000000001" customHeight="1" x14ac:dyDescent="0.25">
      <c r="C62" s="8"/>
      <c r="D62" s="1" t="s">
        <v>174</v>
      </c>
      <c r="E62" s="1" t="s">
        <v>125</v>
      </c>
      <c r="F62" s="18">
        <f>F61</f>
        <v>1000</v>
      </c>
      <c r="G62" s="18">
        <f>G61</f>
        <v>0.75187969924812026</v>
      </c>
      <c r="H62" s="18">
        <f>(Result_EmissionsForWholeProductionCycle_Method1/F62)*G62</f>
        <v>1.8206710584528887</v>
      </c>
      <c r="I62" s="18">
        <f>(Result_EmissionsForWholeProductionCycle_Method2/F62)*G62</f>
        <v>1.8206710716032648</v>
      </c>
      <c r="J62" s="15" t="s">
        <v>165</v>
      </c>
      <c r="K62" s="8"/>
    </row>
    <row r="63" spans="1:11" ht="20.100000000000001" customHeight="1" x14ac:dyDescent="0.25">
      <c r="C63" s="8"/>
      <c r="D63" s="1" t="s">
        <v>163</v>
      </c>
      <c r="E63" s="1" t="s">
        <v>128</v>
      </c>
      <c r="F63" s="18">
        <f>'Input - Enterprise'!E22*'Input - Enterprise'!E24</f>
        <v>1000</v>
      </c>
      <c r="G63" s="18" t="s">
        <v>127</v>
      </c>
      <c r="H63" s="18" t="s">
        <v>127</v>
      </c>
      <c r="I63" s="18" t="s">
        <v>127</v>
      </c>
      <c r="J63" s="15"/>
      <c r="K63" s="17"/>
    </row>
    <row r="64" spans="1:11" ht="20.100000000000001" customHeight="1" x14ac:dyDescent="0.25">
      <c r="C64" s="8"/>
      <c r="D64" s="1" t="s">
        <v>175</v>
      </c>
      <c r="E64" s="1" t="s">
        <v>126</v>
      </c>
      <c r="F64" s="18">
        <f>'Input - Enterprise'!E27*'Input - Enterprise'!E28</f>
        <v>330</v>
      </c>
      <c r="G64" s="18">
        <f>F64/(F61+F64)</f>
        <v>0.24812030075187969</v>
      </c>
      <c r="H64" s="18">
        <f>(Result_EmissionsForWholeProductionCycle_Method1/F64)*G64</f>
        <v>1.8206710584528887</v>
      </c>
      <c r="I64" s="18">
        <f>(Result_EmissionsForWholeProductionCycle_Method2/F64)*G64</f>
        <v>1.8206710716032648</v>
      </c>
      <c r="J64" s="15" t="s">
        <v>166</v>
      </c>
      <c r="K64" s="17"/>
    </row>
    <row r="65" spans="3:11" ht="20.100000000000001" customHeight="1" x14ac:dyDescent="0.25">
      <c r="C65" s="8"/>
      <c r="D65" s="1" t="s">
        <v>176</v>
      </c>
      <c r="E65" s="1" t="s">
        <v>126</v>
      </c>
      <c r="F65" s="18">
        <f>F64</f>
        <v>330</v>
      </c>
      <c r="G65" s="18">
        <f>G64</f>
        <v>0.24812030075187969</v>
      </c>
      <c r="H65" s="18">
        <f>(Result_NetEmissions_Method1/F65)*G65</f>
        <v>1.8206710584528887</v>
      </c>
      <c r="I65" s="18">
        <f>(Result_NetEmissions_Method2/F65)*G65</f>
        <v>1.8206710716032648</v>
      </c>
      <c r="J65" s="15" t="s">
        <v>166</v>
      </c>
      <c r="K65" s="17"/>
    </row>
    <row r="66" spans="3:11" ht="20.100000000000001" customHeight="1" x14ac:dyDescent="0.25">
      <c r="C66" s="8"/>
      <c r="D66" s="1" t="s">
        <v>164</v>
      </c>
      <c r="E66" s="1" t="s">
        <v>128</v>
      </c>
      <c r="F66" s="18">
        <f>'Input - Enterprise'!E27*'Input - Enterprise'!E29</f>
        <v>165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1000</v>
      </c>
      <c r="G70" s="18">
        <f>X_Cell_Enterprise_PercentIncomeFromGrain</f>
        <v>0.8</v>
      </c>
      <c r="H70" s="18">
        <f>Result_EmissionsForWholeProductionCycle_Method1*G70/F70</f>
        <v>1.9371940061938739</v>
      </c>
      <c r="I70" s="18">
        <f>Result_EmissionsForWholeProductionCycle_Method2*G70/F70</f>
        <v>1.9371940201858739</v>
      </c>
      <c r="J70" s="15" t="s">
        <v>165</v>
      </c>
      <c r="K70" s="17"/>
    </row>
    <row r="71" spans="3:11" ht="20.100000000000001" customHeight="1" x14ac:dyDescent="0.25">
      <c r="C71" s="8"/>
      <c r="D71" s="1" t="s">
        <v>174</v>
      </c>
      <c r="E71" s="1" t="s">
        <v>125</v>
      </c>
      <c r="F71" s="18">
        <f>F70</f>
        <v>1000</v>
      </c>
      <c r="G71" s="18">
        <f>G70</f>
        <v>0.8</v>
      </c>
      <c r="H71" s="18">
        <f>Result_EmissionsForWholeProductionCycle_Method1*G71/F71</f>
        <v>1.9371940061938739</v>
      </c>
      <c r="I71" s="18">
        <f>Result_EmissionsForWholeProductionCycle_Method2*G71/F71</f>
        <v>1.9371940201858739</v>
      </c>
      <c r="J71" s="15" t="s">
        <v>165</v>
      </c>
      <c r="K71" s="17"/>
    </row>
    <row r="72" spans="3:11" ht="20.100000000000001" customHeight="1" x14ac:dyDescent="0.25">
      <c r="C72" s="8"/>
      <c r="D72" s="1" t="s">
        <v>163</v>
      </c>
      <c r="E72" s="1" t="s">
        <v>128</v>
      </c>
      <c r="F72" s="18">
        <f>'Input - Enterprise'!E22*'Input - Enterprise'!E24</f>
        <v>1000</v>
      </c>
      <c r="G72" s="18" t="s">
        <v>127</v>
      </c>
      <c r="H72" s="18" t="s">
        <v>127</v>
      </c>
      <c r="I72" s="18" t="s">
        <v>127</v>
      </c>
      <c r="J72" s="15"/>
      <c r="K72" s="17"/>
    </row>
    <row r="73" spans="3:11" ht="20.100000000000001" customHeight="1" x14ac:dyDescent="0.25">
      <c r="C73" s="8"/>
      <c r="D73" s="1" t="s">
        <v>175</v>
      </c>
      <c r="E73" s="1" t="s">
        <v>126</v>
      </c>
      <c r="F73" s="18">
        <f>'Input - Enterprise'!E27*'Input - Enterprise'!E28</f>
        <v>330</v>
      </c>
      <c r="G73" s="18">
        <f>X_Cell_Enterprise_PercentIncomeFromGrain</f>
        <v>0.8</v>
      </c>
      <c r="H73" s="18">
        <f>Result_EmissionsForWholeProductionCycle_Method1*G73/F73</f>
        <v>5.8702848672541634</v>
      </c>
      <c r="I73" s="18">
        <f>Result_EmissionsForWholeProductionCycle_Method2*G73/F73</f>
        <v>5.8702849096541634</v>
      </c>
      <c r="J73" s="15" t="s">
        <v>166</v>
      </c>
      <c r="K73" s="17"/>
    </row>
    <row r="74" spans="3:11" ht="20.100000000000001" customHeight="1" x14ac:dyDescent="0.25">
      <c r="C74" s="8"/>
      <c r="D74" s="1" t="s">
        <v>176</v>
      </c>
      <c r="E74" s="1" t="s">
        <v>126</v>
      </c>
      <c r="F74" s="18">
        <f>F73</f>
        <v>330</v>
      </c>
      <c r="G74" s="18">
        <f>G73</f>
        <v>0.8</v>
      </c>
      <c r="H74" s="18">
        <f>Result_EmissionsForWholeProductionCycle_Method1*G74/F74</f>
        <v>5.8702848672541634</v>
      </c>
      <c r="I74" s="18">
        <f>Result_EmissionsForWholeProductionCycle_Method2*G74/F74</f>
        <v>5.8702849096541634</v>
      </c>
      <c r="J74" s="15" t="s">
        <v>166</v>
      </c>
      <c r="K74" s="17"/>
    </row>
    <row r="75" spans="3:11" ht="20.100000000000001" customHeight="1" x14ac:dyDescent="0.25">
      <c r="C75" s="8"/>
      <c r="D75" s="1" t="s">
        <v>164</v>
      </c>
      <c r="E75" s="1" t="s">
        <v>128</v>
      </c>
      <c r="F75" s="18">
        <f>'Input - Enterprise'!E27*'Input - Enterprise'!E29</f>
        <v>165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50"/>
  <sheetViews>
    <sheetView showGridLines="0" zoomScaleNormal="100" workbookViewId="0">
      <selection activeCell="A50" sqref="A5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101"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Crop pasture farm input'!A1", "Crop pasture farm input")</f>
        <v>Crop pasture farm input</v>
      </c>
    </row>
    <row r="18" spans="1:6" x14ac:dyDescent="0.25">
      <c r="A18" s="5" t="str">
        <f>HYPERLINK("#'Input - Freight'!A1", "Freight")</f>
        <v>Freight</v>
      </c>
      <c r="D18" s="1" t="s">
        <v>13</v>
      </c>
      <c r="E18" s="24">
        <v>45962</v>
      </c>
      <c r="F18" s="26" t="s">
        <v>93</v>
      </c>
    </row>
    <row r="19" spans="1:6" x14ac:dyDescent="0.25">
      <c r="A19" s="5" t="str">
        <f>HYPERLINK("#'Input - Manure sent off-site'!A1", "Manure sent off-site")</f>
        <v>Manure sent off-site</v>
      </c>
      <c r="D19" s="1" t="s">
        <v>14</v>
      </c>
      <c r="E19" s="24">
        <v>46112</v>
      </c>
      <c r="F19" s="26" t="s">
        <v>93</v>
      </c>
    </row>
    <row r="20" spans="1:6" x14ac:dyDescent="0.25">
      <c r="A20" s="5" t="str">
        <f>HYPERLINK("#'Input - Solid waste'!A1", "Solid waste")</f>
        <v>Solid waste</v>
      </c>
      <c r="D20" s="1" t="s">
        <v>15</v>
      </c>
      <c r="E20" s="25">
        <f>DATEDIF(E18,E19+1,"m")</f>
        <v>5</v>
      </c>
      <c r="F20" s="26" t="s">
        <v>118</v>
      </c>
    </row>
    <row r="21" spans="1:6" x14ac:dyDescent="0.25">
      <c r="A21" s="5" t="str">
        <f>HYPERLINK("#'Input - Data quality'!A1", "Data quality")</f>
        <v>Data quality</v>
      </c>
    </row>
    <row r="22" spans="1:6" x14ac:dyDescent="0.25">
      <c r="D22" s="1" t="s">
        <v>154</v>
      </c>
      <c r="E22" s="90" cm="1">
        <f t="array" ref="E22">IF(X_Cell_Crop_CropPurpose = "Cash grain crop", X_Cell_Crop_TotalProductionOfCrop, 0)</f>
        <v>10000</v>
      </c>
      <c r="F22" s="26" t="s">
        <v>19</v>
      </c>
    </row>
    <row r="23" spans="1:6" x14ac:dyDescent="0.25">
      <c r="D23" s="1" t="s">
        <v>158</v>
      </c>
      <c r="E23" s="28">
        <v>0.1</v>
      </c>
      <c r="F23" s="26" t="s">
        <v>153</v>
      </c>
    </row>
    <row r="24" spans="1:6" x14ac:dyDescent="0.25">
      <c r="A24" s="6" t="s">
        <v>2</v>
      </c>
      <c r="D24" s="1" t="s">
        <v>159</v>
      </c>
      <c r="E24" s="28">
        <v>0.1</v>
      </c>
      <c r="F24" s="26" t="s">
        <v>153</v>
      </c>
    </row>
    <row r="25" spans="1:6" x14ac:dyDescent="0.25">
      <c r="A25" s="5" t="str">
        <f>HYPERLINK("#'5.1.1.1-2 Inorganic fert N2O'!A1", "5.1.1.1-2 Inorganic fert N2O")</f>
        <v>5.1.1.1-2 Inorganic fert N2O</v>
      </c>
      <c r="D25" s="1" t="s">
        <v>160</v>
      </c>
      <c r="E25" s="29">
        <f>100%-E23-E24</f>
        <v>0.8</v>
      </c>
      <c r="F25" s="26" t="s">
        <v>153</v>
      </c>
    </row>
    <row r="26" spans="1:6" x14ac:dyDescent="0.25">
      <c r="A26" s="5" t="str">
        <f>HYPERLINK("#'5.1.1.3-4 Inorganic fert CO2'!A1", "5.1.1.3-4 Inorganic fert CO2")</f>
        <v>5.1.1.3-4 Inorganic fert CO2</v>
      </c>
    </row>
    <row r="27" spans="1:6" x14ac:dyDescent="0.25">
      <c r="A27" s="5" t="str">
        <f>HYPERLINK("#'5.2.1.1-2 Organic Fert N2O'!A1", "5.2.1.1-2 Organic fert N2O")</f>
        <v>5.2.1.1-2 Organic fert N2O</v>
      </c>
      <c r="D27" s="1" t="s">
        <v>156</v>
      </c>
      <c r="E27" s="90" cm="1">
        <f t="array" ref="E27">X_Cell_Crop_TotalResidueBaled</f>
        <v>1650</v>
      </c>
      <c r="F27" s="26" t="s">
        <v>19</v>
      </c>
    </row>
    <row r="28" spans="1:6" x14ac:dyDescent="0.25">
      <c r="A28" s="5" t="str">
        <f>HYPERLINK("#'5.3.1.1-2 Lime CO2'!A1", "5.3.1.1-2 Lime CO2")</f>
        <v>5.3.1.1-2 Lime CO2</v>
      </c>
      <c r="D28" s="1" t="s">
        <v>161</v>
      </c>
      <c r="E28" s="28">
        <v>0.2</v>
      </c>
      <c r="F28" s="26" t="s">
        <v>153</v>
      </c>
    </row>
    <row r="29" spans="1:6" x14ac:dyDescent="0.25">
      <c r="A29" s="5" t="str">
        <f>HYPERLINK("#'5.4.1.1-4 Atmos deposition'!A1", "5.4.1.1-4 Atmos. deposition")</f>
        <v>5.4.1.1-4 Atmos. deposition</v>
      </c>
      <c r="D29" s="1" t="s">
        <v>162</v>
      </c>
      <c r="E29" s="28">
        <v>0.1</v>
      </c>
      <c r="F29" s="26" t="s">
        <v>153</v>
      </c>
    </row>
    <row r="30" spans="1:6" x14ac:dyDescent="0.25">
      <c r="A30" s="5" t="str">
        <f>HYPERLINK("#'5.5.1.1-2 Leaching and runoff'!A1", "5.5.1.1-2 Leaching &amp; runoff")</f>
        <v>5.5.1.1-2 Leaching &amp; runoff</v>
      </c>
      <c r="D30" s="1" t="s">
        <v>160</v>
      </c>
      <c r="E30" s="29">
        <f>100%-E28-E29</f>
        <v>0.70000000000000007</v>
      </c>
      <c r="F30" s="26" t="s">
        <v>153</v>
      </c>
    </row>
    <row r="31" spans="1:6" x14ac:dyDescent="0.25">
      <c r="A31" s="5" t="str">
        <f>HYPERLINK("#'6.1.1.1-2 Crop residue N2O'!A1", "6.1.1.1-2 Crop residue N2O")</f>
        <v>6.1.1.1-2 Crop residue N2O</v>
      </c>
    </row>
    <row r="32" spans="1:6" x14ac:dyDescent="0.25">
      <c r="A32" s="5" t="str">
        <f>HYPERLINK("#'6.3.1.1-2 Leach runoff crop'!A1", "6.3.1.1-2 Leach &amp; runoff (crop)")</f>
        <v>6.3.1.1-2 Leach &amp; runoff (crop)</v>
      </c>
      <c r="D32" s="1" t="s">
        <v>155</v>
      </c>
      <c r="E32" s="28">
        <v>0.8</v>
      </c>
      <c r="F32" s="26" t="s">
        <v>153</v>
      </c>
    </row>
    <row r="33" spans="1:6" x14ac:dyDescent="0.25">
      <c r="A33" s="5" t="str">
        <f>HYPERLINK("#'6.4.1.1-2 Residue burning'!A1", "6.4.1.1-2 Residue burning")</f>
        <v>6.4.1.1-2 Residue burning</v>
      </c>
      <c r="D33" s="1" t="s">
        <v>157</v>
      </c>
      <c r="E33" s="28">
        <v>0.2</v>
      </c>
      <c r="F33" s="26" t="s">
        <v>153</v>
      </c>
    </row>
    <row r="34" spans="1:6" x14ac:dyDescent="0.25">
      <c r="A34" s="5" t="str">
        <f>HYPERLINK("#'8.1.1.1-2 Transport fuel'!A1", "8.1.1.1-2 Transport fuel")</f>
        <v>8.1.1.1-2 Transport fuel</v>
      </c>
    </row>
    <row r="35" spans="1:6" x14ac:dyDescent="0.25">
      <c r="A35" s="5" t="str">
        <f>HYPERLINK("#'8.2.1.1-2 Stationary fuel'!A1", "8.2.1.1-2 Stationary fuel")</f>
        <v>8.2.1.1-2 Stationary fuel</v>
      </c>
    </row>
    <row r="36" spans="1:6" x14ac:dyDescent="0.25">
      <c r="A36" s="5" t="str">
        <f>HYPERLINK("#'14.1.1-2 Purchased electricity'!A1", "14.1.1-2 Purchased electricity")</f>
        <v>14.1.1-2 Purchased electricity</v>
      </c>
    </row>
    <row r="37" spans="1:6" x14ac:dyDescent="0.25">
      <c r="A37" s="5" t="str">
        <f>HYPERLINK("#'15 Scope 3'!A1", "15 Scope 3")</f>
        <v>15 Scope 3</v>
      </c>
    </row>
    <row r="38" spans="1:6" x14ac:dyDescent="0.25">
      <c r="A38" s="5" t="str">
        <f>HYPERLINK("#'Calcs - Manure sent off-site'!A1", "Calcs - Manure sent off-site")</f>
        <v>Calcs - Manure sent off-site</v>
      </c>
    </row>
    <row r="39" spans="1:6" x14ac:dyDescent="0.25">
      <c r="A39" s="5" t="str">
        <f>HYPERLINK("#'10.1.1-2 Solid waste treatment'!A1", "10.1.1-2 Solid waste treatment")</f>
        <v>10.1.1-2 Solid waste treatment</v>
      </c>
    </row>
    <row r="42" spans="1:6" x14ac:dyDescent="0.25">
      <c r="A42" s="94" t="s">
        <v>1</v>
      </c>
    </row>
    <row r="43" spans="1:6" x14ac:dyDescent="0.25">
      <c r="A43" s="5" t="str">
        <f>HYPERLINK("#'Constants - Ag Residue'!A1", "Constants - Ag residue")</f>
        <v>Constants - Ag residue</v>
      </c>
    </row>
    <row r="44" spans="1:6" x14ac:dyDescent="0.25">
      <c r="A44" s="5" t="str">
        <f>HYPERLINK("#'Constants - Common Livestock'!A1", "Constants - Common Livestock")</f>
        <v>Constants - Common Livestock</v>
      </c>
    </row>
    <row r="45" spans="1:6" x14ac:dyDescent="0.25">
      <c r="A45" s="5" t="str">
        <f>HYPERLINK("#'Constants - Electricity'!A1", "Constants - Electricity")</f>
        <v>Constants - Electricity</v>
      </c>
    </row>
    <row r="46" spans="1:6" x14ac:dyDescent="0.25">
      <c r="A46" s="5" t="str">
        <f>HYPERLINK("#'Constants - Fertiliser'!A1", "Constants - Fertiliser")</f>
        <v>Constants - Fertiliser</v>
      </c>
    </row>
    <row r="47" spans="1:6" x14ac:dyDescent="0.25">
      <c r="A47" s="5" t="str">
        <f>HYPERLINK("#'Constants - Fuel'!A1", "Constants - Fuel")</f>
        <v>Constants - Fuel</v>
      </c>
    </row>
    <row r="48" spans="1:6"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50" sqref="A50"/>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101"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Common farm inputs'!A1", "Common farm inputs")</f>
        <v>Common farm inputs</v>
      </c>
      <c r="D16" s="22" t="s">
        <v>110</v>
      </c>
      <c r="E16" s="44">
        <v>1326</v>
      </c>
      <c r="F16" s="26" t="s">
        <v>109</v>
      </c>
      <c r="N16" s="52"/>
      <c r="O16" s="52"/>
    </row>
    <row r="17" spans="1:25" ht="20.100000000000001" customHeight="1" x14ac:dyDescent="0.25">
      <c r="A17" s="5" t="str">
        <f>HYPERLINK("#'Input - Crop pasture farm input'!A1", "Crop pasture farm input")</f>
        <v>Crop pasture farm input</v>
      </c>
      <c r="D17" s="1" t="s">
        <v>111</v>
      </c>
      <c r="E17" s="44">
        <v>7</v>
      </c>
      <c r="F17" s="26" t="s">
        <v>112</v>
      </c>
    </row>
    <row r="18" spans="1:25" ht="20.100000000000001" customHeight="1" x14ac:dyDescent="0.25">
      <c r="A18" s="5" t="str">
        <f>HYPERLINK("#'Input - Freight'!A1", "Freight")</f>
        <v>Freight</v>
      </c>
      <c r="D18" s="22" t="s">
        <v>113</v>
      </c>
      <c r="E18" s="25">
        <f>E15/E16</f>
        <v>0.45324283559577677</v>
      </c>
      <c r="F18" s="26"/>
    </row>
    <row r="19" spans="1:25" ht="20.100000000000001" customHeight="1" x14ac:dyDescent="0.25">
      <c r="A19" s="5" t="str">
        <f>HYPERLINK("#'Input - Manure sent off-site'!A1", "Manure sent off-site")</f>
        <v>Manure sent off-site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Solid waste'!A1", "Solid waste")</f>
        <v>Solid waste</v>
      </c>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Data quality'!A1", "Data quality")</f>
        <v>Data quality</v>
      </c>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row>
    <row r="24" spans="1:25" ht="20.100000000000001" customHeight="1" x14ac:dyDescent="0.25">
      <c r="A24" s="6" t="s">
        <v>2</v>
      </c>
    </row>
    <row r="25" spans="1:25" ht="20.100000000000001" customHeight="1" x14ac:dyDescent="0.25">
      <c r="A25" s="5" t="str">
        <f>HYPERLINK("#'5.1.1.1-2 Inorganic fert N2O'!A1", "5.1.1.1-2 Inorganic fert N2O")</f>
        <v>5.1.1.1-2 Inorganic fert N2O</v>
      </c>
      <c r="N25" s="43"/>
    </row>
    <row r="26" spans="1:25" ht="20.100000000000001" customHeight="1" x14ac:dyDescent="0.25">
      <c r="A26" s="5" t="str">
        <f>HYPERLINK("#'5.1.1.3-4 Inorganic fert CO2'!A1", "5.1.1.3-4 Inorganic fert CO2")</f>
        <v>5.1.1.3-4 Inorganic fert CO2</v>
      </c>
    </row>
    <row r="27" spans="1:25" ht="20.100000000000001" customHeight="1" x14ac:dyDescent="0.25">
      <c r="A27" s="5" t="str">
        <f>HYPERLINK("#'5.2.1.1-2 Organic Fert N2O'!A1", "5.2.1.1-2 Organic fert N2O")</f>
        <v>5.2.1.1-2 Organic fert N2O</v>
      </c>
    </row>
    <row r="28" spans="1:25" ht="20.100000000000001" customHeight="1" x14ac:dyDescent="0.25">
      <c r="A28" s="5" t="str">
        <f>HYPERLINK("#'5.3.1.1-2 Lime CO2'!A1", "5.3.1.1-2 Lime CO2")</f>
        <v>5.3.1.1-2 Lime CO2</v>
      </c>
    </row>
    <row r="29" spans="1:25" ht="20.100000000000001" customHeight="1" x14ac:dyDescent="0.25">
      <c r="A29" s="5" t="str">
        <f>HYPERLINK("#'5.4.1.1-4 Atmos deposition'!A1", "5.4.1.1-4 Atmos. deposition")</f>
        <v>5.4.1.1-4 Atmos. deposition</v>
      </c>
    </row>
    <row r="30" spans="1:25" ht="20.100000000000001" customHeight="1" x14ac:dyDescent="0.25">
      <c r="A30" s="5" t="str">
        <f>HYPERLINK("#'5.5.1.1-2 Leaching and runoff'!A1", "5.5.1.1-2 Leaching &amp; runoff")</f>
        <v>5.5.1.1-2 Leaching &amp; runoff</v>
      </c>
      <c r="L30" s="61"/>
      <c r="M30" s="61"/>
      <c r="N30" s="61"/>
      <c r="O30" s="61"/>
      <c r="P30" s="61"/>
      <c r="Q30" s="61"/>
      <c r="R30" s="61"/>
      <c r="S30" s="61"/>
      <c r="T30" s="61"/>
      <c r="U30" s="61"/>
      <c r="V30" s="61"/>
      <c r="W30" s="61"/>
      <c r="X30" s="61"/>
      <c r="Y30" s="61"/>
    </row>
    <row r="31" spans="1:25" ht="20.100000000000001" customHeight="1" x14ac:dyDescent="0.25">
      <c r="A31" s="5" t="str">
        <f>HYPERLINK("#'6.1.1.1-2 Crop residue N2O'!A1", "6.1.1.1-2 Crop residue N2O")</f>
        <v>6.1.1.1-2 Crop residue N2O</v>
      </c>
      <c r="L31" s="62"/>
      <c r="M31" s="62"/>
      <c r="N31" s="62"/>
      <c r="O31" s="62"/>
      <c r="P31" s="62"/>
      <c r="Q31" s="62"/>
      <c r="R31" s="62"/>
      <c r="S31" s="62"/>
      <c r="T31" s="62"/>
      <c r="U31" s="62"/>
      <c r="V31" s="62"/>
      <c r="W31" s="62"/>
      <c r="X31" s="62"/>
      <c r="Y31" s="62"/>
    </row>
    <row r="32" spans="1:25" ht="20.100000000000001" customHeight="1" x14ac:dyDescent="0.25">
      <c r="A32" s="5" t="str">
        <f>HYPERLINK("#'6.3.1.1-2 Leach runoff crop'!A1", "6.3.1.1-2 Leach &amp; runoff (crop)")</f>
        <v>6.3.1.1-2 Leach &amp; runoff (crop)</v>
      </c>
      <c r="L32" s="62"/>
      <c r="M32" s="62"/>
      <c r="N32" s="62"/>
      <c r="O32" s="62"/>
      <c r="P32" s="62"/>
      <c r="Q32" s="62"/>
      <c r="R32" s="62"/>
      <c r="S32" s="62"/>
      <c r="T32" s="62"/>
      <c r="U32" s="62"/>
      <c r="V32" s="62"/>
      <c r="W32" s="62"/>
      <c r="X32" s="62"/>
      <c r="Y32" s="62"/>
    </row>
    <row r="33" spans="1:25" ht="20.100000000000001" customHeight="1" x14ac:dyDescent="0.25">
      <c r="A33" s="5" t="str">
        <f>HYPERLINK("#'6.4.1.1-2 Residue burning'!A1", "6.4.1.1-2 Residue burning")</f>
        <v>6.4.1.1-2 Residue burning</v>
      </c>
      <c r="L33" s="62"/>
      <c r="M33" s="62"/>
      <c r="N33" s="62"/>
      <c r="O33" s="62"/>
      <c r="P33" s="62"/>
      <c r="Q33" s="62"/>
      <c r="R33" s="62"/>
      <c r="S33" s="62"/>
      <c r="T33" s="62"/>
      <c r="U33" s="62"/>
      <c r="V33" s="62"/>
      <c r="W33" s="62"/>
      <c r="X33" s="62"/>
      <c r="Y33" s="62"/>
    </row>
    <row r="34" spans="1:25" ht="20.100000000000001" customHeight="1" x14ac:dyDescent="0.25">
      <c r="A34" s="5" t="str">
        <f>HYPERLINK("#'8.1.1.1-2 Transport fuel'!A1", "8.1.1.1-2 Transport fuel")</f>
        <v>8.1.1.1-2 Transport fuel</v>
      </c>
      <c r="J34" s="64"/>
      <c r="K34" s="65"/>
      <c r="L34" s="62"/>
      <c r="M34" s="62"/>
      <c r="N34" s="62"/>
      <c r="O34" s="62"/>
      <c r="P34" s="62"/>
      <c r="Q34" s="62"/>
      <c r="R34" s="62"/>
      <c r="S34" s="62"/>
      <c r="T34" s="62"/>
      <c r="U34" s="62"/>
      <c r="V34" s="62"/>
      <c r="W34" s="62"/>
      <c r="X34" s="62"/>
      <c r="Y34" s="62"/>
    </row>
    <row r="35" spans="1:25" ht="20.100000000000001" customHeight="1" x14ac:dyDescent="0.25">
      <c r="A35" s="5" t="str">
        <f>HYPERLINK("#'8.2.1.1-2 Stationary fuel'!A1", "8.2.1.1-2 Stationary fuel")</f>
        <v>8.2.1.1-2 Stationary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HYPERLINK("#'14.1.1-2 Purchased electricity'!A1", "14.1.1-2 Purchased electricity")</f>
        <v>14.1.1-2 Purchased electricity</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HYPERLINK("#'15 Scope 3'!A1", "15 Scope 3")</f>
        <v>15 Scope 3</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HYPERLINK("#'Calcs - Manure sent off-site'!A1", "Calcs - Manure sent off-site")</f>
        <v>Calcs - Manure sent off-site</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HYPERLINK("#'10.1.1-2 Solid waste treatment'!A1", "10.1.1-2 Solid waste treatment")</f>
        <v>10.1.1-2 Solid waste treatment</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s="94" t="s">
        <v>1</v>
      </c>
    </row>
    <row r="43" spans="1:25" ht="20.100000000000001" customHeight="1" x14ac:dyDescent="0.25">
      <c r="A43" s="5" t="str">
        <f>HYPERLINK("#'Constants - Ag Residue'!A1", "Constants - Ag residue")</f>
        <v>Constants - Ag residue</v>
      </c>
    </row>
    <row r="44" spans="1:25" ht="20.100000000000001" customHeight="1" x14ac:dyDescent="0.25">
      <c r="A44" s="5" t="str">
        <f>HYPERLINK("#'Constants - Common Livestock'!A1", "Constants - Common Livestock")</f>
        <v>Constants - Common Livestock</v>
      </c>
    </row>
    <row r="45" spans="1:25" ht="20.100000000000001" customHeight="1" x14ac:dyDescent="0.25">
      <c r="A45" s="5" t="str">
        <f>HYPERLINK("#'Constants - Electricity'!A1", "Constants - Electricity")</f>
        <v>Constants - Electricity</v>
      </c>
      <c r="D45" s="2"/>
    </row>
    <row r="46" spans="1:25" ht="20.100000000000001" customHeight="1" x14ac:dyDescent="0.25">
      <c r="A46" s="5" t="str">
        <f>HYPERLINK("#'Constants - Fertiliser'!A1", "Constants - Fertiliser")</f>
        <v>Constants - Fertiliser</v>
      </c>
      <c r="D46" s="2"/>
    </row>
    <row r="47" spans="1:25" ht="20.100000000000001" customHeight="1" x14ac:dyDescent="0.25">
      <c r="A47" s="5" t="str">
        <f>HYPERLINK("#'Constants - Fuel'!A1", "Constants - Fuel")</f>
        <v>Constants - Fuel</v>
      </c>
      <c r="D47" s="73"/>
      <c r="E47" s="73"/>
      <c r="F47" s="73"/>
      <c r="G47" s="73"/>
      <c r="H47" s="73"/>
    </row>
    <row r="48" spans="1:25" ht="20.100000000000001" customHeight="1" x14ac:dyDescent="0.25">
      <c r="A48" s="5" t="str">
        <f>HYPERLINK("#'Constants - Scope 3'!A1", "Constants - Scope 3")</f>
        <v>Constants - Scope 3</v>
      </c>
      <c r="D48" s="74"/>
      <c r="E48" s="74"/>
      <c r="F48" s="75"/>
      <c r="G48" s="75"/>
      <c r="H48" s="74"/>
    </row>
    <row r="49" spans="1:8" ht="20.100000000000001" customHeight="1" x14ac:dyDescent="0.25">
      <c r="A49" s="5" t="str">
        <f>HYPERLINK("#'Constants - Common'!A1", "Constants - Common")</f>
        <v>Constants - Common</v>
      </c>
      <c r="D49" s="74"/>
      <c r="E49" s="74"/>
      <c r="F49" s="75"/>
      <c r="G49" s="75"/>
      <c r="H49" s="74"/>
    </row>
    <row r="50" spans="1:8" ht="20.100000000000001" customHeight="1" x14ac:dyDescent="0.25">
      <c r="A50" s="5" t="str">
        <f>HYPERLINK("#'Constants - Solid Waste'!A1", "Constants - Solid Waste")</f>
        <v>Constants - Solid Waste</v>
      </c>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A84-A90B-49C4-9BB2-513A9861B214}">
  <dimension ref="A1:H361"/>
  <sheetViews>
    <sheetView showGridLines="0" topLeftCell="A12"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651</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652</v>
      </c>
    </row>
    <row r="6" spans="1:8" ht="20.100000000000001" customHeight="1" x14ac:dyDescent="0.25"/>
    <row r="7" spans="1:8" ht="20.100000000000001" customHeight="1" x14ac:dyDescent="0.25">
      <c r="D7" s="46" t="s">
        <v>653</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654</v>
      </c>
      <c r="F9" s="26" t="s">
        <v>655</v>
      </c>
    </row>
    <row r="10" spans="1:8" ht="20.100000000000001" customHeight="1" x14ac:dyDescent="0.25">
      <c r="A10" s="5" t="str">
        <f>HYPERLINK("#'Input - Site'!A1", "Site")</f>
        <v>Site</v>
      </c>
      <c r="D10" s="1" t="s">
        <v>656</v>
      </c>
      <c r="E10" s="23" t="s">
        <v>657</v>
      </c>
      <c r="F10" s="26" t="s">
        <v>655</v>
      </c>
    </row>
    <row r="11" spans="1:8" ht="20.100000000000001" customHeight="1" x14ac:dyDescent="0.25">
      <c r="A11" s="101" t="str">
        <f>HYPERLINK("#'Input - Crop'!A1", "Crop")</f>
        <v>Crop</v>
      </c>
      <c r="D11" s="22" t="s">
        <v>63</v>
      </c>
      <c r="E11" s="23" t="s">
        <v>415</v>
      </c>
      <c r="F11" s="26" t="s">
        <v>655</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5">
        <v>1000</v>
      </c>
      <c r="F13" s="26" t="s">
        <v>658</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659</v>
      </c>
    </row>
    <row r="16" spans="1:8" ht="20.100000000000001" customHeight="1" x14ac:dyDescent="0.25">
      <c r="A16" s="5" t="str">
        <f>HYPERLINK("#'Input - Common farm inputs'!A1", "Common farm inputs")</f>
        <v>Common farm inputs</v>
      </c>
    </row>
    <row r="17" spans="1:6" ht="20.100000000000001" customHeight="1" x14ac:dyDescent="0.25">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86">
        <v>10</v>
      </c>
      <c r="F17" s="26"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5" t="str">
        <f>HYPERLINK("#'Input - Freight'!A1", "Freight")</f>
        <v>Freight</v>
      </c>
      <c r="D18" s="1" t="s">
        <v>660</v>
      </c>
      <c r="E18" s="2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5" t="str">
        <f>HYPERLINK("#'Input - Manure sent off-site'!A1", "Manure sent off-site")</f>
        <v>Manure sent off-site</v>
      </c>
      <c r="D19" s="1" t="s">
        <v>661</v>
      </c>
      <c r="E19" s="25">
        <f>X_Cell_Crop_YieldPerHectare*E18</f>
        <v>15</v>
      </c>
      <c r="F19" s="26" t="s">
        <v>662</v>
      </c>
    </row>
    <row r="20" spans="1:6" ht="20.100000000000001" customHeight="1" x14ac:dyDescent="0.25">
      <c r="A20" s="5" t="str">
        <f>HYPERLINK("#'Input - Solid waste'!A1", "Solid waste")</f>
        <v>Solid waste</v>
      </c>
      <c r="D20" s="1" t="s">
        <v>663</v>
      </c>
      <c r="E20" s="25">
        <f>X_Cell_Crop_YieldPerHectare+E19</f>
        <v>25</v>
      </c>
      <c r="F20" s="26" t="s">
        <v>662</v>
      </c>
    </row>
    <row r="21" spans="1:6" ht="20.100000000000001" customHeight="1" x14ac:dyDescent="0.25">
      <c r="A21" s="5" t="str">
        <f>HYPERLINK("#'Input - Data quality'!A1", "Data quality")</f>
        <v>Data quality</v>
      </c>
    </row>
    <row r="22" spans="1:6" ht="20.100000000000001" customHeight="1" x14ac:dyDescent="0.25">
      <c r="D22" s="88" t="s">
        <v>664</v>
      </c>
      <c r="E22" s="25">
        <f>X_Cell_Crop_YieldPerHectare*X_Cell_Crop_AreaUnderCropping</f>
        <v>10000</v>
      </c>
      <c r="F22" s="26" t="str">
        <f>"Tonnes " &amp; _xlfn.XLOOKUP(X_Cell_Crop_CropPurpose, Table_SourceData_CropPurposeAndYields[Purpose], Table_SourceData_CropPurposeAndYields[Harvest uit], FALSE)</f>
        <v>Tonnes grain</v>
      </c>
    </row>
    <row r="23" spans="1:6" ht="20.100000000000001" customHeight="1" x14ac:dyDescent="0.25"/>
    <row r="24" spans="1:6" ht="20.100000000000001" customHeight="1" x14ac:dyDescent="0.25">
      <c r="A24" s="6" t="s">
        <v>2</v>
      </c>
      <c r="D24" s="128" t="str">
        <f>"¹ " &amp; _xlfn.XLOOKUP(X_Cell_Crop_CropPurpose, Table_SourceData_CropPurposeAndYields[Purpose],Table_SourceData_CropPurposeAndYields[Yield note])</f>
        <v>¹ Yield is the grain harvested from the plant</v>
      </c>
    </row>
    <row r="25" spans="1:6" ht="20.100000000000001" customHeight="1" x14ac:dyDescent="0.25">
      <c r="A25" s="5" t="str">
        <f>HYPERLINK("#'5.1.1.1-2 Inorganic fert N2O'!A1", "5.1.1.1-2 Inorganic fert N2O")</f>
        <v>5.1.1.1-2 Inorganic fert N2O</v>
      </c>
      <c r="D25" s="128"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A26" s="5" t="str">
        <f>HYPERLINK("#'5.1.1.3-4 Inorganic fert CO2'!A1", "5.1.1.3-4 Inorganic fert CO2")</f>
        <v>5.1.1.3-4 Inorganic fert CO2</v>
      </c>
      <c r="D26" s="128" t="str">
        <f>"³ " &amp; _xlfn.XLOOKUP(X_Cell_Crop_CropPurpose,Table_SourceData_CropPurposeAndYields[Purpose],Table_SourceData_CropPurposeAndYields[Total production note])</f>
        <v>³ Total production is the total grain harvested</v>
      </c>
    </row>
    <row r="27" spans="1:6" ht="20.100000000000001" customHeight="1" x14ac:dyDescent="0.25">
      <c r="A27" s="5" t="str">
        <f>HYPERLINK("#'5.2.1.1-2 Organic Fert N2O'!A1", "5.2.1.1-2 Organic fert N2O")</f>
        <v>5.2.1.1-2 Organic fert N2O</v>
      </c>
    </row>
    <row r="28" spans="1:6" ht="20.100000000000001" customHeight="1" x14ac:dyDescent="0.25">
      <c r="A28" s="5" t="str">
        <f>HYPERLINK("#'5.3.1.1-2 Lime CO2'!A1", "5.3.1.1-2 Lime CO2")</f>
        <v>5.3.1.1-2 Lime CO2</v>
      </c>
      <c r="D28" s="2" t="s">
        <v>665</v>
      </c>
    </row>
    <row r="29" spans="1:6" ht="20.100000000000001" customHeight="1" x14ac:dyDescent="0.25">
      <c r="A29" s="5" t="str">
        <f>HYPERLINK("#'5.4.1.1-4 Atmos deposition'!A1", "5.4.1.1-4 Atmos. deposition")</f>
        <v>5.4.1.1-4 Atmos. deposition</v>
      </c>
    </row>
    <row r="30" spans="1:6" ht="20.100000000000001" customHeight="1" x14ac:dyDescent="0.25">
      <c r="A30" s="5" t="str">
        <f>HYPERLINK("#'5.5.1.1-2 Leaching and runoff'!A1", "5.5.1.1-2 Leaching &amp; runoff")</f>
        <v>5.5.1.1-2 Leaching &amp; runoff</v>
      </c>
      <c r="D30" s="1" t="str">
        <f>"Residue after " &amp; VLOOKUP(X_Cell_Crop_CropPurpose,'Constants - Ag Residue'!D8:G10, 4, FALSE)</f>
        <v>Residue after harvest</v>
      </c>
      <c r="E30" s="25">
        <f>E19*X_Cell_Crop_AreaUnderCropping</f>
        <v>15000</v>
      </c>
      <c r="F30" s="26" t="s">
        <v>666</v>
      </c>
    </row>
    <row r="31" spans="1:6" ht="20.100000000000001" customHeight="1" x14ac:dyDescent="0.25">
      <c r="A31" s="5" t="str">
        <f>HYPERLINK("#'6.1.1.1-2 Crop residue N2O'!A1", "6.1.1.1-2 Crop residue N2O")</f>
        <v>6.1.1.1-2 Crop residue N2O</v>
      </c>
    </row>
    <row r="32" spans="1:6" ht="20.100000000000001" customHeight="1" x14ac:dyDescent="0.25">
      <c r="A32" s="5" t="str">
        <f>HYPERLINK("#'6.3.1.1-2 Leach runoff crop'!A1", "6.3.1.1-2 Leach &amp; runoff (crop)")</f>
        <v>6.3.1.1-2 Leach &amp; runoff (crop)</v>
      </c>
      <c r="D32" s="91" t="s">
        <v>667</v>
      </c>
    </row>
    <row r="33" spans="1:8" ht="20.100000000000001" customHeight="1" x14ac:dyDescent="0.25">
      <c r="A33" s="5" t="str">
        <f>HYPERLINK("#'6.4.1.1-2 Residue burning'!A1", "6.4.1.1-2 Residue burning")</f>
        <v>6.4.1.1-2 Residue burning</v>
      </c>
      <c r="D33" s="1" t="s">
        <v>668</v>
      </c>
      <c r="E33" s="28">
        <v>0.11</v>
      </c>
      <c r="F33" s="26" t="s">
        <v>669</v>
      </c>
    </row>
    <row r="34" spans="1:8" ht="20.100000000000001" customHeight="1" x14ac:dyDescent="0.25">
      <c r="A34" s="5" t="str">
        <f>HYPERLINK("#'8.1.1.1-2 Transport fuel'!A1", "8.1.1.1-2 Transport fuel")</f>
        <v>8.1.1.1-2 Transport fuel</v>
      </c>
      <c r="D34" s="1" t="s">
        <v>670</v>
      </c>
      <c r="E34" s="86">
        <v>60</v>
      </c>
      <c r="F34" s="26" t="s">
        <v>671</v>
      </c>
    </row>
    <row r="35" spans="1:8" ht="20.100000000000001" customHeight="1" x14ac:dyDescent="0.25">
      <c r="A35" s="5" t="str">
        <f>HYPERLINK("#'8.2.1.1-2 Stationary fuel'!A1", "8.2.1.1-2 Stationary fuel")</f>
        <v>8.2.1.1-2 Stationary fuel</v>
      </c>
      <c r="D35" s="88" t="s">
        <v>672</v>
      </c>
      <c r="E35" s="229">
        <f>IFERROR((X_Cell_Crop_TotalResidueBaled*10^3)/X_Cell_Crop_AverageWeightPerBale, 0)</f>
        <v>27500</v>
      </c>
      <c r="F35" s="26" t="s">
        <v>673</v>
      </c>
    </row>
    <row r="36" spans="1:8" ht="20.100000000000001" customHeight="1" x14ac:dyDescent="0.25">
      <c r="A36" s="5" t="str">
        <f>HYPERLINK("#'14.1.1-2 Purchased electricity'!A1", "14.1.1-2 Purchased electricity")</f>
        <v>14.1.1-2 Purchased electricity</v>
      </c>
      <c r="D36" s="88" t="s">
        <v>674</v>
      </c>
      <c r="E36" s="25">
        <f>E30*X_Cell_Crop_PercentResidueBaled</f>
        <v>1650</v>
      </c>
      <c r="F36" s="26" t="s">
        <v>666</v>
      </c>
    </row>
    <row r="37" spans="1:8" ht="20.100000000000001" customHeight="1" x14ac:dyDescent="0.25">
      <c r="A37" s="5" t="str">
        <f>HYPERLINK("#'15 Scope 3'!A1", "15 Scope 3")</f>
        <v>15 Scope 3</v>
      </c>
      <c r="C37" s="115"/>
    </row>
    <row r="38" spans="1:8" ht="20.100000000000001" customHeight="1" x14ac:dyDescent="0.25">
      <c r="A38" s="5" t="str">
        <f>HYPERLINK("#'Calcs - Manure sent off-site'!A1", "Calcs - Manure sent off-site")</f>
        <v>Calcs - Manure sent off-site</v>
      </c>
      <c r="C38" s="115"/>
      <c r="D38" s="91" t="s">
        <v>675</v>
      </c>
    </row>
    <row r="39" spans="1:8" ht="20.100000000000001" customHeight="1" x14ac:dyDescent="0.25">
      <c r="A39" s="5" t="str">
        <f>HYPERLINK("#'10.1.1-2 Solid waste treatment'!A1", "10.1.1-2 Solid waste treatment")</f>
        <v>10.1.1-2 Solid waste treatment</v>
      </c>
      <c r="D39" s="1" t="s">
        <v>676</v>
      </c>
      <c r="E39" s="28">
        <v>0.3</v>
      </c>
      <c r="F39" s="26" t="s">
        <v>669</v>
      </c>
    </row>
    <row r="40" spans="1:8" s="127" customFormat="1" ht="20.100000000000001" customHeight="1" x14ac:dyDescent="0.25">
      <c r="A40"/>
      <c r="C40" s="1"/>
      <c r="D40" s="1" t="s">
        <v>677</v>
      </c>
      <c r="E40" s="25">
        <f>E30*X_Cell_Crop_PercentResidueBurned</f>
        <v>4500</v>
      </c>
      <c r="F40" s="26" t="s">
        <v>666</v>
      </c>
      <c r="G40" s="1"/>
      <c r="H40" s="1"/>
    </row>
    <row r="41" spans="1:8" s="127" customFormat="1" ht="20.100000000000001" customHeight="1" x14ac:dyDescent="0.25">
      <c r="A41"/>
      <c r="C41" s="1"/>
      <c r="D41" s="1"/>
      <c r="E41" s="1"/>
      <c r="F41" s="1"/>
      <c r="G41" s="1"/>
      <c r="H41" s="1"/>
    </row>
    <row r="42" spans="1:8" ht="20.100000000000001" customHeight="1" x14ac:dyDescent="0.25">
      <c r="A42" s="94" t="s">
        <v>1</v>
      </c>
      <c r="D42" s="1" t="s">
        <v>678</v>
      </c>
      <c r="E42" s="25">
        <f>E30-X_Cell_Crop_TotalResidueBaled-E40</f>
        <v>8850</v>
      </c>
      <c r="F42" s="26" t="s">
        <v>666</v>
      </c>
    </row>
    <row r="43" spans="1:8" ht="20.100000000000001" customHeight="1" x14ac:dyDescent="0.25">
      <c r="A43" s="5" t="str">
        <f>HYPERLINK("#'Constants - Ag Residue'!A1", "Constants - Ag residue")</f>
        <v>Constants - Ag residue</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row>
    <row r="46" spans="1:8" ht="20.100000000000001" customHeight="1" x14ac:dyDescent="0.25">
      <c r="A46" s="5" t="str">
        <f>HYPERLINK("#'Constants - Fertiliser'!A1", "Constants - Fertiliser")</f>
        <v>Constants - Fertiliser</v>
      </c>
    </row>
    <row r="47" spans="1:8" ht="20.100000000000001" customHeight="1" x14ac:dyDescent="0.25">
      <c r="A47" s="5" t="str">
        <f>HYPERLINK("#'Constants - Fuel'!A1", "Constants - Fuel")</f>
        <v>Constants - Fuel</v>
      </c>
    </row>
    <row r="48" spans="1:8" ht="20.100000000000001" customHeight="1" x14ac:dyDescent="0.25">
      <c r="A48" s="5" t="str">
        <f>HYPERLINK("#'Constants - Scope 3'!A1", "Constants - Scope 3")</f>
        <v>Constants - Scope 3</v>
      </c>
      <c r="D48" s="2"/>
    </row>
    <row r="49" spans="1:6" ht="20.100000000000001" customHeight="1" x14ac:dyDescent="0.25">
      <c r="A49" s="5" t="str">
        <f>HYPERLINK("#'Constants - Common'!A1", "Constants - Common")</f>
        <v>Constants - Common</v>
      </c>
    </row>
    <row r="50" spans="1:6" ht="20.100000000000001" customHeight="1" x14ac:dyDescent="0.25">
      <c r="A50" s="5" t="str">
        <f>HYPERLINK("#'Constants - Solid Waste'!A1", "Constants - Solid Waste")</f>
        <v>Constants - Solid Waste</v>
      </c>
      <c r="D50" s="22"/>
      <c r="F50" s="26"/>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8"/>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E6026C65-2606-494F-A241-CCF0CCE57DB0}">
      <formula1>INDIRECT("Table_SourceData_Fertiliser_IrrigationMethods[Irrigation method]")</formula1>
    </dataValidation>
    <dataValidation type="list" allowBlank="1" showInputMessage="1" showErrorMessage="1" sqref="E9" xr:uid="{09C3930D-0B8E-4277-8AC9-B553E26FB375}">
      <formula1>INDIRECT("Table_SourceData_CropAttributes[Crop type]")</formula1>
    </dataValidation>
    <dataValidation type="list" allowBlank="1" showInputMessage="1" showErrorMessage="1" sqref="E10" xr:uid="{6BADF903-9999-4DCE-A2D6-EEF604DAEAA4}">
      <formula1>INDIRECT("Table_SourceData_CropPurposeAndYields[Purpose]")</formula1>
    </dataValidation>
    <dataValidation type="list" allowBlank="1" showInputMessage="1" showErrorMessage="1" sqref="E64" xr:uid="{B37A5034-FC90-4F14-A409-E13C4B4AACD9}">
      <formula1>INDIRECT("Table_SourceData_Swine_CropProdSystems[Production system]")</formula1>
    </dataValidation>
    <dataValidation type="list" allowBlank="1" showInputMessage="1" showErrorMessage="1" sqref="E65" xr:uid="{52C955E9-48A4-47B4-A0AE-8A3DDEAA66D2}">
      <formula1>INDIRECT("Table_SourceData_Swine_IrrigationMethods[Irrigation method]")</formula1>
    </dataValidation>
    <dataValidation type="list" allowBlank="1" showInputMessage="1" showErrorMessage="1" sqref="E249 E254 E259 E293 E288 E283 E161 E149 E125 E137" xr:uid="{4E46A837-43EB-4C61-9927-279F6A38B65D}">
      <formula1>"Yes, No"</formula1>
    </dataValidation>
    <dataValidation type="list" allowBlank="1" showInputMessage="1" showErrorMessage="1" sqref="E225" xr:uid="{775DA1C2-D7D7-401A-B3BE-39449FD4FC80}">
      <formula1>INDIRECT("Table_SourceData_Dairy_ProductionSystemTemplates[Area]")</formula1>
    </dataValidation>
    <dataValidation type="list" allowBlank="1" showInputMessage="1" showErrorMessage="1" sqref="D277" xr:uid="{F0D41D90-ABBA-4A9E-8EDD-73DD93965C4F}">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50"/>
  <sheetViews>
    <sheetView showGridLines="0" zoomScaleNormal="100" workbookViewId="0">
      <selection activeCell="A50" sqref="A5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1000</v>
      </c>
    </row>
    <row r="11" spans="1:11" x14ac:dyDescent="0.25">
      <c r="A11" s="5" t="str">
        <f>HYPERLINK("#'Input - Crop'!A1", "Crop")</f>
        <v>Crop</v>
      </c>
    </row>
    <row r="12" spans="1:11" x14ac:dyDescent="0.25">
      <c r="A12" s="101"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5" t="str">
        <f>HYPERLINK("#'Input - Manure sent off-site'!A1", "Manure sent off-site")</f>
        <v>Manure sent off-site</v>
      </c>
    </row>
    <row r="20" spans="1:1" x14ac:dyDescent="0.25">
      <c r="A20" s="5" t="str">
        <f>HYPERLINK("#'Input - Solid waste'!A1", "Solid waste")</f>
        <v>Solid waste</v>
      </c>
    </row>
    <row r="21" spans="1:1" x14ac:dyDescent="0.25">
      <c r="A21" s="5" t="str">
        <f>HYPERLINK("#'Input - Data quality'!A1", "Data quality")</f>
        <v>Data quality</v>
      </c>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2" spans="1:1" x14ac:dyDescent="0.25">
      <c r="A42" s="94"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46581-E3DA-4858-A342-3B3EC4D5B404}">
  <dimension ref="A1:AA378"/>
  <sheetViews>
    <sheetView showGridLines="0"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244</v>
      </c>
    </row>
    <row r="2" spans="1:27" s="3" customFormat="1" ht="20.100000000000001" customHeight="1" x14ac:dyDescent="0.25">
      <c r="A2"/>
    </row>
    <row r="3" spans="1:27"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t="str">
        <f>HYPERLINK("#'Overview'!A1", "Overview")</f>
        <v>Overview</v>
      </c>
    </row>
    <row r="5" spans="1:27" ht="20.100000000000001" customHeight="1" x14ac:dyDescent="0.25">
      <c r="A5" s="5" t="str">
        <f>HYPERLINK("#'Results'!A1", "Results")</f>
        <v>Results</v>
      </c>
      <c r="D5" s="2" t="s">
        <v>245</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96" t="s">
        <v>246</v>
      </c>
      <c r="E7" s="54"/>
      <c r="F7" s="54"/>
      <c r="G7" s="54"/>
      <c r="H7" s="55"/>
      <c r="I7" s="97"/>
      <c r="J7" s="98"/>
      <c r="K7" s="99"/>
      <c r="L7" s="99"/>
      <c r="M7" s="99"/>
    </row>
    <row r="8" spans="1:27" ht="20.100000000000001" customHeight="1" x14ac:dyDescent="0.25">
      <c r="A8" s="7" t="s">
        <v>0</v>
      </c>
      <c r="D8" s="56" t="s">
        <v>247</v>
      </c>
      <c r="E8" s="57"/>
      <c r="F8" s="57"/>
      <c r="G8" s="58"/>
      <c r="H8" s="100"/>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1" t="s">
        <v>248</v>
      </c>
      <c r="E10" s="8"/>
      <c r="F10" s="8"/>
      <c r="G10" s="8"/>
      <c r="H10" s="8"/>
      <c r="I10" s="8"/>
      <c r="J10" s="8"/>
      <c r="K10" s="8"/>
      <c r="L10" s="8"/>
      <c r="M10" s="8"/>
    </row>
    <row r="11" spans="1:27" ht="20.100000000000001" customHeight="1" x14ac:dyDescent="0.25">
      <c r="A11" s="5" t="str">
        <f>HYPERLINK("#'Input - Crop'!A1", "Crop")</f>
        <v>Crop</v>
      </c>
      <c r="D11" s="102" t="s">
        <v>249</v>
      </c>
      <c r="E11" s="103" t="s">
        <v>250</v>
      </c>
      <c r="F11" s="104" t="s">
        <v>251</v>
      </c>
      <c r="G11" s="103" t="s">
        <v>252</v>
      </c>
      <c r="H11" s="104" t="s">
        <v>253</v>
      </c>
      <c r="I11" s="103" t="s">
        <v>254</v>
      </c>
      <c r="J11" s="102" t="s">
        <v>255</v>
      </c>
      <c r="K11" s="102" t="s">
        <v>256</v>
      </c>
      <c r="L11" s="102" t="s">
        <v>257</v>
      </c>
      <c r="M11" s="102" t="s">
        <v>258</v>
      </c>
      <c r="N11" s="102" t="s">
        <v>259</v>
      </c>
      <c r="O11" s="102" t="s">
        <v>260</v>
      </c>
      <c r="P11" s="102" t="s">
        <v>261</v>
      </c>
      <c r="Q11" s="102" t="s">
        <v>262</v>
      </c>
      <c r="R11" s="102" t="s">
        <v>263</v>
      </c>
      <c r="S11" s="102" t="s">
        <v>264</v>
      </c>
      <c r="T11" s="102" t="s">
        <v>265</v>
      </c>
      <c r="U11" s="102" t="s">
        <v>266</v>
      </c>
      <c r="V11" s="102" t="s">
        <v>267</v>
      </c>
      <c r="W11" s="102" t="s">
        <v>268</v>
      </c>
      <c r="X11" s="102" t="s">
        <v>269</v>
      </c>
      <c r="Y11" s="102" t="s">
        <v>270</v>
      </c>
      <c r="Z11" s="102" t="s">
        <v>271</v>
      </c>
    </row>
    <row r="12" spans="1:27" ht="20.100000000000001" customHeight="1" x14ac:dyDescent="0.25">
      <c r="A12" s="5" t="str">
        <f>HYPERLINK("#'Input - Fert Prod System'!A1", "Fert Prod System")</f>
        <v>Fert Prod System</v>
      </c>
      <c r="D12" s="105" t="s">
        <v>272</v>
      </c>
      <c r="E12" s="106">
        <v>100</v>
      </c>
      <c r="F12" s="25" t="str">
        <f>IFERROR(_xlfn.XLOOKUP(Table_Input_InorganicFertiliser_Brands[[#This Row],[Product (select)]],FertiliserProducts[Product],FertiliserProducts[Unit]), "kg")</f>
        <v>kg</v>
      </c>
      <c r="G12" s="106">
        <f t="shared" ref="G12" si="0">X_Cell_Fertiliser_AreaUnderCropping</f>
        <v>1000</v>
      </c>
      <c r="H12" s="107">
        <f>IFERROR(_xlfn.XLOOKUP(Table_Input_InorganicFertiliser_Brands[[#This Row],[Product (select)]],FertiliserProducts[Product],FertiliserProducts[Density]), 1)</f>
        <v>1</v>
      </c>
      <c r="I12" s="108">
        <f>(Table_Input_InorganicFertiliser_Brands[[#This Row],[Amount applied per hectare]]*Table_Input_InorganicFertiliser_Brands[[#This Row],[Density]])*Table_Input_InorganicFertiliser_Brands[[#This Row],[Application area (ha)]]</f>
        <v>100000</v>
      </c>
      <c r="J12" s="108"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8"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8"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8"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8"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8"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8"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8"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8"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8"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8"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8"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8" cm="1">
        <f t="array" ref="W12">IFERROR(Fertiliser_InputFunctions.Fertiliser_FertiliserProductLookup(Table_Input_InorganicFertiliser_Brands[[#This Row],[Product (select)]], "N declared", FertiliserProducts[#Data], FertiliserProducts[Product], FertiliserProducts[#Headers])*0.01, 0)</f>
        <v>0.46</v>
      </c>
      <c r="X12"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8" t="str">
        <f>IFERROR(_xlfn.XLOOKUP(Table_Input_InorganicFertiliser_Brands[[#This Row],[Product (select)]],FertiliserProducts[Product],FertiliserProducts[Urea source]), "")</f>
        <v/>
      </c>
      <c r="Z12" s="108" t="str">
        <f>IFERROR(_xlfn.XLOOKUP(Table_Input_InorganicFertiliser_Brands[[#This Row],[Product (select)]],FertiliserProducts[Product],FertiliserProducts[Ammonia source]), "")</f>
        <v/>
      </c>
    </row>
    <row r="13" spans="1:27" ht="20.100000000000001" customHeight="1" x14ac:dyDescent="0.25">
      <c r="A13" s="101" t="str">
        <f>HYPERLINK("#'Input - Fertiliser'!A1", "Fertiliser")</f>
        <v>Fertiliser</v>
      </c>
      <c r="D13" s="105" t="s">
        <v>273</v>
      </c>
      <c r="E13" s="106">
        <v>100</v>
      </c>
      <c r="F13" s="25" t="str">
        <f>IFERROR(_xlfn.XLOOKUP(Table_Input_InorganicFertiliser_Brands[[#This Row],[Product (select)]],FertiliserProducts[Product],FertiliserProducts[Unit]), "kg")</f>
        <v>kg</v>
      </c>
      <c r="G13" s="106">
        <f t="shared" ref="G13" si="1">X_Cell_Fertiliser_AreaUnderCropping</f>
        <v>1000</v>
      </c>
      <c r="H13" s="107">
        <f>IFERROR(_xlfn.XLOOKUP(Table_Input_InorganicFertiliser_Brands[[#This Row],[Product (select)]],FertiliserProducts[Product],FertiliserProducts[Density]), 1)</f>
        <v>1</v>
      </c>
      <c r="I13" s="108">
        <f>(Table_Input_InorganicFertiliser_Brands[[#This Row],[Amount applied per hectare]]*Table_Input_InorganicFertiliser_Brands[[#This Row],[Density]])*Table_Input_InorganicFertiliser_Brands[[#This Row],[Application area (ha)]]</f>
        <v>100000</v>
      </c>
      <c r="J13" s="108"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8"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8"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8"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8"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8"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8"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8"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8"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8"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8"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8"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09" cm="1">
        <f t="array" ref="W13">IFERROR(Fertiliser_InputFunctions.Fertiliser_FertiliserProductLookup(Table_Input_InorganicFertiliser_Brands[[#This Row],[Product (select)]], "N declared", FertiliserProducts[#Data], FertiliserProducts[Product], FertiliserProducts[#Headers])*0.01, 0)</f>
        <v>0.24</v>
      </c>
      <c r="X13"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8" t="str">
        <f>IFERROR(_xlfn.XLOOKUP(Table_Input_InorganicFertiliser_Brands[[#This Row],[Product (select)]],FertiliserProducts[Product],FertiliserProducts[Urea source]), "")</f>
        <v/>
      </c>
      <c r="Z13" s="108"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105" t="s">
        <v>274</v>
      </c>
      <c r="E14" s="106">
        <v>100</v>
      </c>
      <c r="F14" s="25" t="str">
        <f>IFERROR(_xlfn.XLOOKUP(Table_Input_InorganicFertiliser_Brands[[#This Row],[Product (select)]],FertiliserProducts[Product],FertiliserProducts[Unit]), "kg")</f>
        <v>kg</v>
      </c>
      <c r="G14" s="106">
        <f t="shared" ref="G14" si="2">X_Cell_Fertiliser_AreaUnderCropping</f>
        <v>1000</v>
      </c>
      <c r="H14" s="107">
        <f>IFERROR(_xlfn.XLOOKUP(Table_Input_InorganicFertiliser_Brands[[#This Row],[Product (select)]],FertiliserProducts[Product],FertiliserProducts[Density]), 1)</f>
        <v>1</v>
      </c>
      <c r="I14" s="108">
        <f>(Table_Input_InorganicFertiliser_Brands[[#This Row],[Amount applied per hectare]]*Table_Input_InorganicFertiliser_Brands[[#This Row],[Density]])*Table_Input_InorganicFertiliser_Brands[[#This Row],[Application area (ha)]]</f>
        <v>100000</v>
      </c>
      <c r="J14" s="108"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8"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8"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8"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8"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8"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8"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8"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8"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8"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8"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8"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09" cm="1">
        <f t="array" ref="W14">IFERROR(Fertiliser_InputFunctions.Fertiliser_FertiliserProductLookup(Table_Input_InorganicFertiliser_Brands[[#This Row],[Product (select)]], "N declared", FertiliserProducts[#Data], FertiliserProducts[Product], FertiliserProducts[#Headers])*0.01, 0)</f>
        <v>0.17899999999999999</v>
      </c>
      <c r="X14"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8" t="str">
        <f>IFERROR(_xlfn.XLOOKUP(Table_Input_InorganicFertiliser_Brands[[#This Row],[Product (select)]],FertiliserProducts[Product],FertiliserProducts[Urea source]), "")</f>
        <v/>
      </c>
      <c r="Z14" s="108"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105"/>
      <c r="E15" s="106"/>
      <c r="F15" s="25" t="str">
        <f>IFERROR(_xlfn.XLOOKUP(Table_Input_InorganicFertiliser_Brands[[#This Row],[Product (select)]],FertiliserProducts[Product],FertiliserProducts[Unit]), "kg")</f>
        <v>kg</v>
      </c>
      <c r="G15" s="106">
        <f t="shared" ref="G15" si="3">X_Cell_Fertiliser_AreaUnderCropping</f>
        <v>1000</v>
      </c>
      <c r="H15" s="107">
        <f>IFERROR(_xlfn.XLOOKUP(Table_Input_InorganicFertiliser_Brands[[#This Row],[Product (select)]],FertiliserProducts[Product],FertiliserProducts[Density]), 1)</f>
        <v>1</v>
      </c>
      <c r="I15" s="108">
        <f>(Table_Input_InorganicFertiliser_Brands[[#This Row],[Amount applied per hectare]]*Table_Input_InorganicFertiliser_Brands[[#This Row],[Density]])*Table_Input_InorganicFertiliser_Brands[[#This Row],[Application area (ha)]]</f>
        <v>0</v>
      </c>
      <c r="J15" s="108"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8"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8"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8"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8"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8"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8"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8"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8"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8"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8"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8"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09" cm="1">
        <f t="array" ref="W15">IFERROR(Fertiliser_InputFunctions.Fertiliser_FertiliserProductLookup(Table_Input_InorganicFertiliser_Brands[[#This Row],[Product (select)]], "N declared", FertiliserProducts[#Data], FertiliserProducts[Product], FertiliserProducts[#Headers])*0.01, 0)</f>
        <v>0</v>
      </c>
      <c r="X15"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8" t="str">
        <f>IFERROR(_xlfn.XLOOKUP(Table_Input_InorganicFertiliser_Brands[[#This Row],[Product (select)]],FertiliserProducts[Product],FertiliserProducts[Urea source]), "")</f>
        <v/>
      </c>
      <c r="Z15" s="108"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105"/>
      <c r="E16" s="106"/>
      <c r="F16" s="25" t="str">
        <f>IFERROR(_xlfn.XLOOKUP(Table_Input_InorganicFertiliser_Brands[[#This Row],[Product (select)]],FertiliserProducts[Product],FertiliserProducts[Unit]), "kg")</f>
        <v>kg</v>
      </c>
      <c r="G16" s="106">
        <f t="shared" ref="G16" si="4">X_Cell_Fertiliser_AreaUnderCropping</f>
        <v>1000</v>
      </c>
      <c r="H16" s="107">
        <f>IFERROR(_xlfn.XLOOKUP(Table_Input_InorganicFertiliser_Brands[[#This Row],[Product (select)]],FertiliserProducts[Product],FertiliserProducts[Density]), 1)</f>
        <v>1</v>
      </c>
      <c r="I16" s="108">
        <f>(Table_Input_InorganicFertiliser_Brands[[#This Row],[Amount applied per hectare]]*Table_Input_InorganicFertiliser_Brands[[#This Row],[Density]])*Table_Input_InorganicFertiliser_Brands[[#This Row],[Application area (ha)]]</f>
        <v>0</v>
      </c>
      <c r="J16" s="108"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8"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8"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8"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8"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8"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8"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8"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8"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8"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8"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8"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09" cm="1">
        <f t="array" ref="W16">IFERROR(Fertiliser_InputFunctions.Fertiliser_FertiliserProductLookup(Table_Input_InorganicFertiliser_Brands[[#This Row],[Product (select)]], "N declared", FertiliserProducts[#Data], FertiliserProducts[Product], FertiliserProducts[#Headers])*0.01, 0)</f>
        <v>0</v>
      </c>
      <c r="X16"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8" t="str">
        <f>IFERROR(_xlfn.XLOOKUP(Table_Input_InorganicFertiliser_Brands[[#This Row],[Product (select)]],FertiliserProducts[Product],FertiliserProducts[Urea source]), "")</f>
        <v/>
      </c>
      <c r="Z16" s="108" t="str">
        <f>IFERROR(_xlfn.XLOOKUP(Table_Input_InorganicFertiliser_Brands[[#This Row],[Product (select)]],FertiliserProducts[Product],FertiliserProducts[Ammonia source]), "")</f>
        <v/>
      </c>
    </row>
    <row r="17" spans="1:26" ht="20.100000000000001" customHeight="1" x14ac:dyDescent="0.25">
      <c r="A17" s="5" t="str">
        <f>HYPERLINK("#'Input - Crop pasture farm input'!A1", "Crop pasture farm input")</f>
        <v>Crop pasture farm input</v>
      </c>
      <c r="D17" s="105"/>
      <c r="E17" s="106"/>
      <c r="F17" s="25" t="str">
        <f>IFERROR(_xlfn.XLOOKUP(Table_Input_InorganicFertiliser_Brands[[#This Row],[Product (select)]],FertiliserProducts[Product],FertiliserProducts[Unit]), "kg")</f>
        <v>kg</v>
      </c>
      <c r="G17" s="106">
        <f t="shared" ref="G17" si="5">X_Cell_Fertiliser_AreaUnderCropping</f>
        <v>1000</v>
      </c>
      <c r="H17" s="107">
        <f>IFERROR(_xlfn.XLOOKUP(Table_Input_InorganicFertiliser_Brands[[#This Row],[Product (select)]],FertiliserProducts[Product],FertiliserProducts[Density]), 1)</f>
        <v>1</v>
      </c>
      <c r="I17" s="108">
        <f>(Table_Input_InorganicFertiliser_Brands[[#This Row],[Amount applied per hectare]]*Table_Input_InorganicFertiliser_Brands[[#This Row],[Density]])*Table_Input_InorganicFertiliser_Brands[[#This Row],[Application area (ha)]]</f>
        <v>0</v>
      </c>
      <c r="J17" s="108"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8"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8"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8"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8"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8"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8"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8"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8"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8"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8"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8"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09" cm="1">
        <f t="array" ref="W17">IFERROR(Fertiliser_InputFunctions.Fertiliser_FertiliserProductLookup(Table_Input_InorganicFertiliser_Brands[[#This Row],[Product (select)]], "N declared", FertiliserProducts[#Data], FertiliserProducts[Product], FertiliserProducts[#Headers])*0.01, 0)</f>
        <v>0</v>
      </c>
      <c r="X17"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8" t="str">
        <f>IFERROR(_xlfn.XLOOKUP(Table_Input_InorganicFertiliser_Brands[[#This Row],[Product (select)]],FertiliserProducts[Product],FertiliserProducts[Urea source]), "")</f>
        <v/>
      </c>
      <c r="Z17" s="108"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105"/>
      <c r="E18" s="106"/>
      <c r="F18" s="25" t="str">
        <f>IFERROR(_xlfn.XLOOKUP(Table_Input_InorganicFertiliser_Brands[[#This Row],[Product (select)]],FertiliserProducts[Product],FertiliserProducts[Unit]), "kg")</f>
        <v>kg</v>
      </c>
      <c r="G18" s="106">
        <f t="shared" ref="G18" si="6">X_Cell_Fertiliser_AreaUnderCropping</f>
        <v>1000</v>
      </c>
      <c r="H18" s="107">
        <f>IFERROR(_xlfn.XLOOKUP(Table_Input_InorganicFertiliser_Brands[[#This Row],[Product (select)]],FertiliserProducts[Product],FertiliserProducts[Density]), 1)</f>
        <v>1</v>
      </c>
      <c r="I18" s="108">
        <f>(Table_Input_InorganicFertiliser_Brands[[#This Row],[Amount applied per hectare]]*Table_Input_InorganicFertiliser_Brands[[#This Row],[Density]])*Table_Input_InorganicFertiliser_Brands[[#This Row],[Application area (ha)]]</f>
        <v>0</v>
      </c>
      <c r="J18" s="108"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8"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8"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8"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8"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8"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8"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8"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8"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8"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8"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8"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09" cm="1">
        <f t="array" ref="W18">IFERROR(Fertiliser_InputFunctions.Fertiliser_FertiliserProductLookup(Table_Input_InorganicFertiliser_Brands[[#This Row],[Product (select)]], "N declared", FertiliserProducts[#Data], FertiliserProducts[Product], FertiliserProducts[#Headers])*0.01, 0)</f>
        <v>0</v>
      </c>
      <c r="X18"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8" t="str">
        <f>IFERROR(_xlfn.XLOOKUP(Table_Input_InorganicFertiliser_Brands[[#This Row],[Product (select)]],FertiliserProducts[Product],FertiliserProducts[Urea source]), "")</f>
        <v/>
      </c>
      <c r="Z18" s="108" t="str">
        <f>IFERROR(_xlfn.XLOOKUP(Table_Input_InorganicFertiliser_Brands[[#This Row],[Product (select)]],FertiliserProducts[Product],FertiliserProducts[Ammonia source]), "")</f>
        <v/>
      </c>
    </row>
    <row r="19" spans="1:26" ht="20.100000000000001" customHeight="1" x14ac:dyDescent="0.25">
      <c r="A19" s="5" t="str">
        <f>HYPERLINK("#'Input - Manure sent off-site'!A1", "Manure sent off-site")</f>
        <v>Manure sent off-site</v>
      </c>
      <c r="D19" s="105"/>
      <c r="E19" s="106"/>
      <c r="F19" s="25" t="str">
        <f>IFERROR(_xlfn.XLOOKUP(Table_Input_InorganicFertiliser_Brands[[#This Row],[Product (select)]],FertiliserProducts[Product],FertiliserProducts[Unit]), "kg")</f>
        <v>kg</v>
      </c>
      <c r="G19" s="106">
        <f t="shared" ref="G19" si="7">X_Cell_Fertiliser_AreaUnderCropping</f>
        <v>1000</v>
      </c>
      <c r="H19" s="107">
        <f>IFERROR(_xlfn.XLOOKUP(Table_Input_InorganicFertiliser_Brands[[#This Row],[Product (select)]],FertiliserProducts[Product],FertiliserProducts[Density]), 1)</f>
        <v>1</v>
      </c>
      <c r="I19" s="108">
        <f>(Table_Input_InorganicFertiliser_Brands[[#This Row],[Amount applied per hectare]]*Table_Input_InorganicFertiliser_Brands[[#This Row],[Density]])*Table_Input_InorganicFertiliser_Brands[[#This Row],[Application area (ha)]]</f>
        <v>0</v>
      </c>
      <c r="J19" s="108"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8"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8"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8"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8"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8"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8"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8"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8"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8"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8"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8"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09" cm="1">
        <f t="array" ref="W19">IFERROR(Fertiliser_InputFunctions.Fertiliser_FertiliserProductLookup(Table_Input_InorganicFertiliser_Brands[[#This Row],[Product (select)]], "N declared", FertiliserProducts[#Data], FertiliserProducts[Product], FertiliserProducts[#Headers])*0.01, 0)</f>
        <v>0</v>
      </c>
      <c r="X19"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8" t="str">
        <f>IFERROR(_xlfn.XLOOKUP(Table_Input_InorganicFertiliser_Brands[[#This Row],[Product (select)]],FertiliserProducts[Product],FertiliserProducts[Urea source]), "")</f>
        <v/>
      </c>
      <c r="Z19" s="108" t="str">
        <f>IFERROR(_xlfn.XLOOKUP(Table_Input_InorganicFertiliser_Brands[[#This Row],[Product (select)]],FertiliserProducts[Product],FertiliserProducts[Ammonia source]), "")</f>
        <v/>
      </c>
    </row>
    <row r="20" spans="1:26" ht="20.100000000000001" customHeight="1" x14ac:dyDescent="0.25">
      <c r="A20" s="5" t="str">
        <f>HYPERLINK("#'Input - Solid waste'!A1", "Solid waste")</f>
        <v>Solid waste</v>
      </c>
      <c r="D20" s="105"/>
      <c r="E20" s="106"/>
      <c r="F20" s="25" t="str">
        <f>IFERROR(_xlfn.XLOOKUP(Table_Input_InorganicFertiliser_Brands[[#This Row],[Product (select)]],FertiliserProducts[Product],FertiliserProducts[Unit]), "kg")</f>
        <v>kg</v>
      </c>
      <c r="G20" s="106">
        <f t="shared" ref="G20" si="8">X_Cell_Fertiliser_AreaUnderCropping</f>
        <v>1000</v>
      </c>
      <c r="H20" s="107">
        <f>IFERROR(_xlfn.XLOOKUP(Table_Input_InorganicFertiliser_Brands[[#This Row],[Product (select)]],FertiliserProducts[Product],FertiliserProducts[Density]), 1)</f>
        <v>1</v>
      </c>
      <c r="I20" s="108">
        <f>(Table_Input_InorganicFertiliser_Brands[[#This Row],[Amount applied per hectare]]*Table_Input_InorganicFertiliser_Brands[[#This Row],[Density]])*Table_Input_InorganicFertiliser_Brands[[#This Row],[Application area (ha)]]</f>
        <v>0</v>
      </c>
      <c r="J20" s="108"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8"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8"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8"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8"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8"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8"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8"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8"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8"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8"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8"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09" cm="1">
        <f t="array" ref="W20">IFERROR(Fertiliser_InputFunctions.Fertiliser_FertiliserProductLookup(Table_Input_InorganicFertiliser_Brands[[#This Row],[Product (select)]], "N declared", FertiliserProducts[#Data], FertiliserProducts[Product], FertiliserProducts[#Headers])*0.01, 0)</f>
        <v>0</v>
      </c>
      <c r="X20"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8" t="str">
        <f>IFERROR(_xlfn.XLOOKUP(Table_Input_InorganicFertiliser_Brands[[#This Row],[Product (select)]],FertiliserProducts[Product],FertiliserProducts[Urea source]), "")</f>
        <v/>
      </c>
      <c r="Z20" s="108" t="str">
        <f>IFERROR(_xlfn.XLOOKUP(Table_Input_InorganicFertiliser_Brands[[#This Row],[Product (select)]],FertiliserProducts[Product],FertiliserProducts[Ammonia source]), "")</f>
        <v/>
      </c>
    </row>
    <row r="21" spans="1:26" ht="20.100000000000001" customHeight="1" x14ac:dyDescent="0.25">
      <c r="A21" s="5" t="str">
        <f>HYPERLINK("#'Input - Data quality'!A1", "Data quality")</f>
        <v>Data quality</v>
      </c>
      <c r="D21" s="105"/>
      <c r="E21" s="106"/>
      <c r="F21" s="25" t="str">
        <f>IFERROR(_xlfn.XLOOKUP(Table_Input_InorganicFertiliser_Brands[[#This Row],[Product (select)]],FertiliserProducts[Product],FertiliserProducts[Unit]), "kg")</f>
        <v>kg</v>
      </c>
      <c r="G21" s="106">
        <f t="shared" ref="G21" si="9">X_Cell_Fertiliser_AreaUnderCropping</f>
        <v>1000</v>
      </c>
      <c r="H21" s="107">
        <f>IFERROR(_xlfn.XLOOKUP(Table_Input_InorganicFertiliser_Brands[[#This Row],[Product (select)]],FertiliserProducts[Product],FertiliserProducts[Density]), 1)</f>
        <v>1</v>
      </c>
      <c r="I21" s="108">
        <f>(Table_Input_InorganicFertiliser_Brands[[#This Row],[Amount applied per hectare]]*Table_Input_InorganicFertiliser_Brands[[#This Row],[Density]])*Table_Input_InorganicFertiliser_Brands[[#This Row],[Application area (ha)]]</f>
        <v>0</v>
      </c>
      <c r="J21" s="108"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8"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8"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8"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8"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8"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8"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8"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8"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8"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8"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8"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8">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09" cm="1">
        <f t="array" ref="W21">IFERROR(Fertiliser_InputFunctions.Fertiliser_FertiliserProductLookup(Table_Input_InorganicFertiliser_Brands[[#This Row],[Product (select)]], "N declared", FertiliserProducts[#Data], FertiliserProducts[Product], FertiliserProducts[#Headers])*0.01, 0)</f>
        <v>0</v>
      </c>
      <c r="X21" s="108">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8" t="str">
        <f>IFERROR(_xlfn.XLOOKUP(Table_Input_InorganicFertiliser_Brands[[#This Row],[Product (select)]],FertiliserProducts[Product],FertiliserProducts[Urea source]), "")</f>
        <v/>
      </c>
      <c r="Z21" s="108" t="str">
        <f>IFERROR(_xlfn.XLOOKUP(Table_Input_InorganicFertiliser_Brands[[#This Row],[Product (select)]],FertiliserProducts[Product],FertiliserProducts[Ammonia source]), "")</f>
        <v/>
      </c>
    </row>
    <row r="22" spans="1:26" ht="20.100000000000001" customHeight="1" x14ac:dyDescent="0.25">
      <c r="D22" s="110"/>
      <c r="E22" s="111"/>
      <c r="F22" s="112"/>
      <c r="G22" s="112"/>
      <c r="H22" s="112"/>
      <c r="I22" s="112"/>
      <c r="J22" s="113"/>
      <c r="K22" s="113"/>
      <c r="L22" s="114"/>
      <c r="M22" s="114"/>
      <c r="N22" s="115"/>
      <c r="O22" s="115"/>
      <c r="P22" s="115"/>
      <c r="Q22" s="115"/>
      <c r="R22" s="115"/>
      <c r="S22" s="115"/>
      <c r="T22" s="115"/>
      <c r="U22" s="115"/>
      <c r="V22" s="115"/>
      <c r="W22" s="115"/>
      <c r="X22" s="115"/>
    </row>
    <row r="23" spans="1:26" ht="20.100000000000001" customHeight="1" x14ac:dyDescent="0.25">
      <c r="D23" s="116" t="s">
        <v>275</v>
      </c>
      <c r="E23" s="117"/>
      <c r="F23" s="117"/>
      <c r="G23" s="117"/>
      <c r="H23" s="117"/>
      <c r="I23" s="117"/>
      <c r="J23" s="117"/>
      <c r="K23" s="117"/>
      <c r="L23" s="117"/>
      <c r="M23" s="117"/>
      <c r="N23" s="115"/>
      <c r="O23" s="115"/>
      <c r="P23" s="115"/>
      <c r="Q23" s="115"/>
      <c r="R23" s="115"/>
      <c r="S23" s="115"/>
      <c r="T23" s="115"/>
      <c r="V23" s="115"/>
      <c r="W23" s="115"/>
      <c r="X23" s="115"/>
    </row>
    <row r="24" spans="1:26" ht="20.100000000000001" customHeight="1" x14ac:dyDescent="0.25">
      <c r="A24" s="6" t="s">
        <v>2</v>
      </c>
      <c r="D24" s="103" t="s">
        <v>276</v>
      </c>
      <c r="E24" s="103" t="s">
        <v>277</v>
      </c>
      <c r="F24" s="103" t="s">
        <v>252</v>
      </c>
      <c r="G24" s="103" t="s">
        <v>254</v>
      </c>
      <c r="H24" s="103" t="s">
        <v>278</v>
      </c>
      <c r="I24" s="103" t="s">
        <v>256</v>
      </c>
      <c r="J24" s="103" t="s">
        <v>257</v>
      </c>
      <c r="K24" s="103" t="s">
        <v>258</v>
      </c>
      <c r="L24" s="103" t="s">
        <v>259</v>
      </c>
      <c r="M24" s="103" t="s">
        <v>260</v>
      </c>
      <c r="N24" s="103" t="s">
        <v>261</v>
      </c>
      <c r="O24" s="103" t="s">
        <v>262</v>
      </c>
      <c r="P24" s="103" t="s">
        <v>269</v>
      </c>
      <c r="Q24" s="118" t="s">
        <v>279</v>
      </c>
      <c r="R24" s="118" t="s">
        <v>280</v>
      </c>
      <c r="S24" s="115"/>
      <c r="T24" s="115"/>
      <c r="V24" s="115"/>
      <c r="W24" s="115"/>
      <c r="X24" s="115"/>
    </row>
    <row r="25" spans="1:26" ht="20.100000000000001" customHeight="1" x14ac:dyDescent="0.25">
      <c r="A25" s="5" t="str">
        <f>HYPERLINK("#'5.1.1.1-2 Inorganic fert N2O'!A1", "5.1.1.1-2 Inorganic fert N2O")</f>
        <v>5.1.1.1-2 Inorganic fert N2O</v>
      </c>
      <c r="D25" s="44" t="s">
        <v>281</v>
      </c>
      <c r="E25" s="103">
        <v>100</v>
      </c>
      <c r="F25" s="106">
        <f t="shared" ref="F25:F34" si="10">X_Cell_Fertiliser_AreaUnderCropping</f>
        <v>1000</v>
      </c>
      <c r="G25" s="108">
        <f>Table_Input_InorganicFertiliser_Custom[[#This Row],[Amount applied (kg / ha)]]*Table_Input_InorganicFertiliser_Custom[[#This Row],[Application area (ha)]]</f>
        <v>100000</v>
      </c>
      <c r="H25" s="119" t="s">
        <v>282</v>
      </c>
      <c r="I25" s="120">
        <v>0.5</v>
      </c>
      <c r="J25" s="119" t="s">
        <v>283</v>
      </c>
      <c r="K25" s="120">
        <v>0.2</v>
      </c>
      <c r="L25" s="119" t="s">
        <v>284</v>
      </c>
      <c r="M25" s="120">
        <v>0.2</v>
      </c>
      <c r="N25" s="121" t="s">
        <v>285</v>
      </c>
      <c r="O25" s="28">
        <v>0.1</v>
      </c>
      <c r="P25"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15"/>
    </row>
    <row r="26" spans="1:26" ht="20.100000000000001" customHeight="1" x14ac:dyDescent="0.25">
      <c r="A26" s="5" t="str">
        <f>HYPERLINK("#'5.1.1.3-4 Inorganic fert CO2'!A1", "5.1.1.3-4 Inorganic fert CO2")</f>
        <v>5.1.1.3-4 Inorganic fert CO2</v>
      </c>
      <c r="D26" s="44" t="s">
        <v>286</v>
      </c>
      <c r="E26" s="103">
        <v>100</v>
      </c>
      <c r="F26" s="106">
        <f t="shared" si="10"/>
        <v>1000</v>
      </c>
      <c r="G26" s="108">
        <f>Table_Input_InorganicFertiliser_Custom[[#This Row],[Amount applied (kg / ha)]]*Table_Input_InorganicFertiliser_Custom[[#This Row],[Application area (ha)]]</f>
        <v>100000</v>
      </c>
      <c r="H26" s="119" t="s">
        <v>272</v>
      </c>
      <c r="I26" s="122">
        <v>1</v>
      </c>
      <c r="J26" s="119"/>
      <c r="K26" s="122"/>
      <c r="L26" s="119"/>
      <c r="M26" s="122"/>
      <c r="N26" s="121"/>
      <c r="O26" s="28"/>
      <c r="P26"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15"/>
      <c r="W26" s="88"/>
    </row>
    <row r="27" spans="1:26" ht="20.100000000000001" customHeight="1" x14ac:dyDescent="0.25">
      <c r="A27" s="5" t="str">
        <f>HYPERLINK("#'5.2.1.1-2 Organic Fert N2O'!A1", "5.2.1.1-2 Organic fert N2O")</f>
        <v>5.2.1.1-2 Organic fert N2O</v>
      </c>
      <c r="D27" s="44" t="s">
        <v>287</v>
      </c>
      <c r="E27" s="103">
        <v>100</v>
      </c>
      <c r="F27" s="106">
        <f t="shared" si="10"/>
        <v>1000</v>
      </c>
      <c r="G27" s="108">
        <f>Table_Input_InorganicFertiliser_Custom[[#This Row],[Amount applied (kg / ha)]]*Table_Input_InorganicFertiliser_Custom[[#This Row],[Application area (ha)]]</f>
        <v>100000</v>
      </c>
      <c r="H27" s="119" t="s">
        <v>288</v>
      </c>
      <c r="I27" s="122">
        <v>0.5</v>
      </c>
      <c r="J27" s="119"/>
      <c r="K27" s="122"/>
      <c r="L27" s="119"/>
      <c r="M27" s="122"/>
      <c r="N27" s="121"/>
      <c r="O27" s="28"/>
      <c r="P27"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15"/>
    </row>
    <row r="28" spans="1:26" ht="20.100000000000001" customHeight="1" x14ac:dyDescent="0.25">
      <c r="A28" s="5" t="str">
        <f>HYPERLINK("#'5.3.1.1-2 Lime CO2'!A1", "5.3.1.1-2 Lime CO2")</f>
        <v>5.3.1.1-2 Lime CO2</v>
      </c>
      <c r="D28" s="44"/>
      <c r="E28" s="103"/>
      <c r="F28" s="123">
        <f t="shared" si="10"/>
        <v>1000</v>
      </c>
      <c r="G28" s="108">
        <f>Table_Input_InorganicFertiliser_Custom[[#This Row],[Amount applied (kg / ha)]]*Table_Input_InorganicFertiliser_Custom[[#This Row],[Application area (ha)]]</f>
        <v>0</v>
      </c>
      <c r="H28" s="119"/>
      <c r="I28" s="122"/>
      <c r="J28" s="119"/>
      <c r="K28" s="122"/>
      <c r="L28" s="119"/>
      <c r="M28" s="122"/>
      <c r="N28" s="121"/>
      <c r="O28" s="28"/>
      <c r="P28"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5" t="str">
        <f>HYPERLINK("#'5.4.1.1-4 Atmos deposition'!A1", "5.4.1.1-4 Atmos. deposition")</f>
        <v>5.4.1.1-4 Atmos. deposition</v>
      </c>
      <c r="D29" s="44"/>
      <c r="E29" s="103"/>
      <c r="F29" s="123">
        <f t="shared" si="10"/>
        <v>1000</v>
      </c>
      <c r="G29" s="108">
        <f>Table_Input_InorganicFertiliser_Custom[[#This Row],[Amount applied (kg / ha)]]*Table_Input_InorganicFertiliser_Custom[[#This Row],[Application area (ha)]]</f>
        <v>0</v>
      </c>
      <c r="H29" s="119"/>
      <c r="I29" s="122"/>
      <c r="J29" s="119"/>
      <c r="K29" s="122"/>
      <c r="L29" s="119"/>
      <c r="M29" s="122"/>
      <c r="N29" s="121"/>
      <c r="O29" s="28"/>
      <c r="P29"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HYPERLINK("#'5.5.1.1-2 Leaching and runoff'!A1", "5.5.1.1-2 Leaching &amp; runoff")</f>
        <v>5.5.1.1-2 Leaching &amp; runoff</v>
      </c>
      <c r="D30" s="44"/>
      <c r="E30" s="103"/>
      <c r="F30" s="123">
        <f t="shared" si="10"/>
        <v>1000</v>
      </c>
      <c r="G30" s="108">
        <f>Table_Input_InorganicFertiliser_Custom[[#This Row],[Amount applied (kg / ha)]]*Table_Input_InorganicFertiliser_Custom[[#This Row],[Application area (ha)]]</f>
        <v>0</v>
      </c>
      <c r="H30" s="119"/>
      <c r="I30" s="122"/>
      <c r="J30" s="119"/>
      <c r="K30" s="122"/>
      <c r="L30" s="119"/>
      <c r="M30" s="122"/>
      <c r="N30" s="121"/>
      <c r="O30" s="28"/>
      <c r="P30"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HYPERLINK("#'6.1.1.1-2 Crop residue N2O'!A1", "6.1.1.1-2 Crop residue N2O")</f>
        <v>6.1.1.1-2 Crop residue N2O</v>
      </c>
      <c r="D31" s="44"/>
      <c r="E31" s="103"/>
      <c r="F31" s="123">
        <f t="shared" si="10"/>
        <v>1000</v>
      </c>
      <c r="G31" s="108">
        <f>Table_Input_InorganicFertiliser_Custom[[#This Row],[Amount applied (kg / ha)]]*Table_Input_InorganicFertiliser_Custom[[#This Row],[Application area (ha)]]</f>
        <v>0</v>
      </c>
      <c r="H31" s="119"/>
      <c r="I31" s="122"/>
      <c r="J31" s="119"/>
      <c r="K31" s="122"/>
      <c r="L31" s="119"/>
      <c r="M31" s="122"/>
      <c r="N31" s="121"/>
      <c r="O31" s="28"/>
      <c r="P31"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HYPERLINK("#'6.3.1.1-2 Leach runoff crop'!A1", "6.3.1.1-2 Leach &amp; runoff (crop)")</f>
        <v>6.3.1.1-2 Leach &amp; runoff (crop)</v>
      </c>
      <c r="D32" s="44"/>
      <c r="E32" s="103"/>
      <c r="F32" s="123">
        <f t="shared" si="10"/>
        <v>1000</v>
      </c>
      <c r="G32" s="108">
        <f>Table_Input_InorganicFertiliser_Custom[[#This Row],[Amount applied (kg / ha)]]*Table_Input_InorganicFertiliser_Custom[[#This Row],[Application area (ha)]]</f>
        <v>0</v>
      </c>
      <c r="H32" s="119"/>
      <c r="I32" s="122"/>
      <c r="J32" s="119"/>
      <c r="K32" s="122"/>
      <c r="L32" s="119"/>
      <c r="M32" s="122"/>
      <c r="N32" s="121"/>
      <c r="O32" s="28"/>
      <c r="P32"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HYPERLINK("#'6.4.1.1-2 Residue burning'!A1", "6.4.1.1-2 Residue burning")</f>
        <v>6.4.1.1-2 Residue burning</v>
      </c>
      <c r="D33" s="44"/>
      <c r="E33" s="103"/>
      <c r="F33" s="123">
        <f t="shared" si="10"/>
        <v>1000</v>
      </c>
      <c r="G33" s="108">
        <f>Table_Input_InorganicFertiliser_Custom[[#This Row],[Amount applied (kg / ha)]]*Table_Input_InorganicFertiliser_Custom[[#This Row],[Application area (ha)]]</f>
        <v>0</v>
      </c>
      <c r="H33" s="119"/>
      <c r="I33" s="122"/>
      <c r="J33" s="119"/>
      <c r="K33" s="122"/>
      <c r="L33" s="119"/>
      <c r="M33" s="122"/>
      <c r="N33" s="121"/>
      <c r="O33" s="28"/>
      <c r="P33"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HYPERLINK("#'8.1.1.1-2 Transport fuel'!A1", "8.1.1.1-2 Transport fuel")</f>
        <v>8.1.1.1-2 Transport fuel</v>
      </c>
      <c r="D34" s="44"/>
      <c r="E34" s="103"/>
      <c r="F34" s="123">
        <f t="shared" si="10"/>
        <v>1000</v>
      </c>
      <c r="G34" s="108">
        <f>Table_Input_InorganicFertiliser_Custom[[#This Row],[Amount applied (kg / ha)]]*Table_Input_InorganicFertiliser_Custom[[#This Row],[Application area (ha)]]</f>
        <v>0</v>
      </c>
      <c r="H34" s="119"/>
      <c r="I34" s="122"/>
      <c r="J34" s="119"/>
      <c r="K34" s="122"/>
      <c r="L34" s="119"/>
      <c r="M34" s="122"/>
      <c r="N34" s="121"/>
      <c r="O34" s="28"/>
      <c r="P34" s="10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HYPERLINK("#'8.2.1.1-2 Stationary fuel'!A1", "8.2.1.1-2 Stationary fuel")</f>
        <v>8.2.1.1-2 Stationary fuel</v>
      </c>
    </row>
    <row r="36" spans="1:27" ht="20.100000000000001" customHeight="1" x14ac:dyDescent="0.25">
      <c r="A36" s="5" t="str">
        <f>HYPERLINK("#'14.1.1-2 Purchased electricity'!A1", "14.1.1-2 Purchased electricity")</f>
        <v>14.1.1-2 Purchased electricity</v>
      </c>
      <c r="D36" s="2" t="s">
        <v>289</v>
      </c>
      <c r="E36" s="35"/>
      <c r="F36" s="35"/>
      <c r="G36" s="35"/>
      <c r="H36" s="35"/>
      <c r="I36" s="35"/>
      <c r="J36" s="35"/>
      <c r="K36" s="8"/>
      <c r="L36" s="8"/>
      <c r="M36" s="8"/>
    </row>
    <row r="37" spans="1:27" ht="20.100000000000001" customHeight="1" x14ac:dyDescent="0.25">
      <c r="A37" s="5" t="str">
        <f>HYPERLINK("#'15 Scope 3'!A1", "15 Scope 3")</f>
        <v>15 Scope 3</v>
      </c>
      <c r="D37" s="96" t="s">
        <v>290</v>
      </c>
      <c r="E37" s="54"/>
      <c r="F37" s="55"/>
      <c r="G37" s="96"/>
      <c r="H37" s="55"/>
      <c r="I37" s="35"/>
      <c r="J37" s="35"/>
      <c r="K37" s="8"/>
      <c r="L37" s="8"/>
      <c r="M37" s="35"/>
    </row>
    <row r="38" spans="1:27" ht="20.100000000000001" customHeight="1" x14ac:dyDescent="0.25">
      <c r="A38" s="5" t="str">
        <f>HYPERLINK("#'Calcs - Manure sent off-site'!A1", "Calcs - Manure sent off-site")</f>
        <v>Calcs - Manure sent off-site</v>
      </c>
      <c r="C38" s="115"/>
      <c r="D38" s="124" t="s">
        <v>291</v>
      </c>
      <c r="E38" s="125"/>
      <c r="F38" s="126"/>
      <c r="G38" s="124"/>
      <c r="H38" s="126"/>
      <c r="I38" s="8"/>
      <c r="J38" s="8"/>
      <c r="K38" s="8"/>
      <c r="L38" s="8"/>
      <c r="M38" s="8"/>
    </row>
    <row r="39" spans="1:27" ht="20.100000000000001" customHeight="1" x14ac:dyDescent="0.25">
      <c r="A39" s="5" t="str">
        <f>HYPERLINK("#'10.1.1-2 Solid waste treatment'!A1", "10.1.1-2 Solid waste treatment")</f>
        <v>10.1.1-2 Solid waste treatment</v>
      </c>
      <c r="C39" s="115"/>
      <c r="D39" s="56" t="s">
        <v>247</v>
      </c>
      <c r="E39" s="57"/>
      <c r="F39" s="57"/>
      <c r="G39" s="57"/>
      <c r="H39" s="58"/>
      <c r="I39" s="8"/>
      <c r="J39" s="8"/>
      <c r="K39" s="8"/>
      <c r="L39" s="8"/>
      <c r="M39" s="35"/>
    </row>
    <row r="40" spans="1:27" s="127" customFormat="1" ht="20.100000000000001" customHeight="1" x14ac:dyDescent="0.25">
      <c r="A40"/>
      <c r="C40" s="1"/>
      <c r="D40" s="128"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27" customFormat="1" ht="20.100000000000001" customHeight="1" x14ac:dyDescent="0.25">
      <c r="A41"/>
      <c r="C41" s="1"/>
      <c r="D41" s="129" t="s">
        <v>137</v>
      </c>
      <c r="E41" s="129" t="s">
        <v>292</v>
      </c>
      <c r="F41" s="129" t="s">
        <v>252</v>
      </c>
      <c r="G41" s="129" t="s">
        <v>293</v>
      </c>
      <c r="H41" s="129" t="s">
        <v>294</v>
      </c>
      <c r="I41" s="129" t="s">
        <v>295</v>
      </c>
      <c r="J41" s="129" t="s">
        <v>296</v>
      </c>
      <c r="K41" s="129" t="s">
        <v>4</v>
      </c>
      <c r="L41" s="1"/>
      <c r="M41" s="1"/>
      <c r="N41" s="1"/>
      <c r="O41" s="1"/>
      <c r="P41" s="1"/>
      <c r="Q41" s="1"/>
      <c r="R41" s="1"/>
      <c r="S41" s="115"/>
      <c r="T41" s="1"/>
      <c r="U41" s="1"/>
      <c r="V41" s="1"/>
      <c r="W41" s="1"/>
      <c r="X41" s="1"/>
      <c r="Y41" s="1"/>
      <c r="Z41" s="1"/>
      <c r="AA41" s="1"/>
    </row>
    <row r="42" spans="1:27" ht="20.100000000000001" customHeight="1" x14ac:dyDescent="0.25">
      <c r="A42" s="94" t="s">
        <v>1</v>
      </c>
      <c r="D42" s="130" t="s">
        <v>297</v>
      </c>
      <c r="E42" s="106">
        <v>1</v>
      </c>
      <c r="F42" s="106">
        <f>X_Cell_Fertiliser_AreaUnderCropping</f>
        <v>1000</v>
      </c>
      <c r="G42" s="108">
        <f>IFERROR(Table_Input_Lime[[#This Row],[Amount applied (t/hectare)]]*Table_Input_Lime[[#This Row],[Application area (ha)]], 0)</f>
        <v>1000</v>
      </c>
      <c r="H42" s="131">
        <v>0.8</v>
      </c>
      <c r="I42" s="131">
        <v>0.1</v>
      </c>
      <c r="J42" s="131">
        <v>0.1</v>
      </c>
      <c r="K42" s="132">
        <f>SUM(Table_Input_Lime[[#This Row],[Percent Lime CaCO3]:[Percent Gypsum]])</f>
        <v>1</v>
      </c>
      <c r="S42" s="115"/>
    </row>
    <row r="43" spans="1:27" ht="20.100000000000001" customHeight="1" x14ac:dyDescent="0.25">
      <c r="A43" s="5" t="str">
        <f>HYPERLINK("#'Constants - Ag Residue'!A1", "Constants - Ag residue")</f>
        <v>Constants - Ag residue</v>
      </c>
      <c r="D43" s="130" t="s">
        <v>298</v>
      </c>
      <c r="E43" s="106">
        <v>1</v>
      </c>
      <c r="F43" s="106">
        <f>X_Cell_Fertiliser_AreaUnderCropping</f>
        <v>1000</v>
      </c>
      <c r="G43" s="108">
        <f>IFERROR(Table_Input_Lime[[#This Row],[Amount applied (t/hectare)]]*Table_Input_Lime[[#This Row],[Application area (ha)]], 0)</f>
        <v>1000</v>
      </c>
      <c r="H43" s="131">
        <v>1</v>
      </c>
      <c r="I43" s="131"/>
      <c r="J43" s="131"/>
      <c r="K43" s="132">
        <f>SUM(Table_Input_Lime[[#This Row],[Percent Lime CaCO3]:[Percent Gypsum]])</f>
        <v>1</v>
      </c>
    </row>
    <row r="44" spans="1:27" ht="20.100000000000001" customHeight="1" x14ac:dyDescent="0.25">
      <c r="A44" s="5" t="str">
        <f>HYPERLINK("#'Constants - Common Livestock'!A1", "Constants - Common Livestock")</f>
        <v>Constants - Common Livestock</v>
      </c>
      <c r="D44" s="130" t="s">
        <v>299</v>
      </c>
      <c r="E44" s="106">
        <v>1</v>
      </c>
      <c r="F44" s="106">
        <f>X_Cell_Fertiliser_AreaUnderCropping</f>
        <v>1000</v>
      </c>
      <c r="G44" s="108">
        <f>IFERROR(Table_Input_Lime[[#This Row],[Amount applied (t/hectare)]]*Table_Input_Lime[[#This Row],[Application area (ha)]], 0)</f>
        <v>1000</v>
      </c>
      <c r="H44" s="131">
        <v>0</v>
      </c>
      <c r="I44" s="131"/>
      <c r="J44" s="131">
        <v>1</v>
      </c>
      <c r="K44" s="132">
        <f>SUM(Table_Input_Lime[[#This Row],[Percent Lime CaCO3]:[Percent Gypsum]])</f>
        <v>1</v>
      </c>
      <c r="L44" s="35"/>
    </row>
    <row r="45" spans="1:27" ht="20.100000000000001" customHeight="1" x14ac:dyDescent="0.25">
      <c r="A45" s="5" t="str">
        <f>HYPERLINK("#'Constants - Electricity'!A1", "Constants - Electricity")</f>
        <v>Constants - Electricity</v>
      </c>
      <c r="L45" s="35"/>
      <c r="M45" s="35"/>
    </row>
    <row r="46" spans="1:27" ht="20.100000000000001" customHeight="1" x14ac:dyDescent="0.25">
      <c r="A46" s="5" t="str">
        <f>HYPERLINK("#'Constants - Fertiliser'!A1", "Constants - Fertiliser")</f>
        <v>Constants - Fertiliser</v>
      </c>
      <c r="D46" s="8"/>
      <c r="E46" s="8"/>
      <c r="F46" s="8"/>
      <c r="G46" s="8"/>
      <c r="H46" s="8"/>
      <c r="I46" s="8"/>
      <c r="J46" s="8"/>
      <c r="L46" s="8"/>
      <c r="M46" s="35"/>
    </row>
    <row r="47" spans="1:27" ht="20.100000000000001" customHeight="1" x14ac:dyDescent="0.25">
      <c r="A47" s="5" t="str">
        <f>HYPERLINK("#'Constants - Fuel'!A1", "Constants - Fuel")</f>
        <v>Constants - Fuel</v>
      </c>
      <c r="D47" s="8"/>
      <c r="E47" s="8"/>
      <c r="F47" s="8"/>
      <c r="G47" s="8"/>
      <c r="H47" s="8"/>
      <c r="I47" s="8"/>
      <c r="J47" s="133"/>
      <c r="K47" s="35"/>
      <c r="L47" s="8"/>
      <c r="M47" s="8"/>
    </row>
    <row r="48" spans="1:27" ht="20.100000000000001" customHeight="1" x14ac:dyDescent="0.25">
      <c r="A48" s="5" t="str">
        <f>HYPERLINK("#'Constants - Scope 3'!A1", "Constants - Scope 3")</f>
        <v>Constants - Scope 3</v>
      </c>
      <c r="D48" s="2" t="s">
        <v>300</v>
      </c>
      <c r="E48" s="35"/>
      <c r="F48" s="35"/>
      <c r="G48" s="35"/>
      <c r="H48" s="8"/>
      <c r="I48" s="8"/>
      <c r="J48" s="8"/>
      <c r="K48" s="8"/>
      <c r="L48" s="8"/>
      <c r="M48" s="8"/>
    </row>
    <row r="49" spans="1:18" ht="20.100000000000001" customHeight="1" x14ac:dyDescent="0.25">
      <c r="A49" s="5" t="str">
        <f>HYPERLINK("#'Constants - Common'!A1", "Constants - Common")</f>
        <v>Constants - Common</v>
      </c>
      <c r="D49" s="8"/>
      <c r="E49" s="8"/>
      <c r="F49" s="8"/>
      <c r="G49" s="8"/>
      <c r="H49" s="8"/>
      <c r="I49" s="8"/>
      <c r="J49" s="8"/>
      <c r="K49" s="8"/>
      <c r="L49" s="8"/>
      <c r="M49" s="8"/>
      <c r="Q49" s="115"/>
      <c r="R49" s="115"/>
    </row>
    <row r="50" spans="1:18" ht="20.100000000000001" customHeight="1" x14ac:dyDescent="0.25">
      <c r="A50" s="5" t="str">
        <f>HYPERLINK("#'Constants - Solid Waste'!A1", "Constants - Solid Waste")</f>
        <v>Constants - Solid Waste</v>
      </c>
      <c r="D50" s="96" t="s">
        <v>290</v>
      </c>
      <c r="E50" s="54"/>
      <c r="F50" s="54"/>
      <c r="G50" s="54"/>
      <c r="H50" s="55"/>
      <c r="I50" s="8"/>
      <c r="J50" s="8"/>
      <c r="K50" s="8"/>
      <c r="L50" s="8"/>
      <c r="M50" s="8"/>
      <c r="O50" s="115"/>
      <c r="P50" s="115"/>
      <c r="Q50" s="115"/>
      <c r="R50" s="115"/>
    </row>
    <row r="51" spans="1:18" ht="20.100000000000001" customHeight="1" x14ac:dyDescent="0.25">
      <c r="D51" s="56" t="s">
        <v>247</v>
      </c>
      <c r="E51" s="57"/>
      <c r="F51" s="57"/>
      <c r="G51" s="57"/>
      <c r="H51" s="58"/>
      <c r="I51" s="8"/>
      <c r="J51" s="8"/>
      <c r="K51" s="8"/>
      <c r="L51" s="117"/>
      <c r="M51" s="115"/>
      <c r="N51" s="115"/>
      <c r="O51" s="115"/>
      <c r="P51" s="115"/>
    </row>
    <row r="52" spans="1:18" ht="20.100000000000001" customHeight="1" x14ac:dyDescent="0.25">
      <c r="D52" s="8"/>
      <c r="E52" s="8"/>
      <c r="F52" s="8"/>
      <c r="G52" s="8"/>
      <c r="H52" s="8"/>
      <c r="I52" s="8"/>
      <c r="J52" s="8"/>
      <c r="K52" s="8"/>
      <c r="L52" s="117"/>
      <c r="M52" s="115"/>
      <c r="N52" s="115"/>
    </row>
    <row r="53" spans="1:18" ht="20.100000000000001" customHeight="1" x14ac:dyDescent="0.25">
      <c r="D53" s="129" t="s">
        <v>301</v>
      </c>
      <c r="E53" s="129" t="s">
        <v>302</v>
      </c>
      <c r="F53" s="129" t="s">
        <v>303</v>
      </c>
      <c r="G53" s="129" t="s">
        <v>304</v>
      </c>
      <c r="H53" s="129" t="s">
        <v>252</v>
      </c>
      <c r="I53" s="129" t="s">
        <v>305</v>
      </c>
      <c r="J53" s="129" t="s">
        <v>306</v>
      </c>
      <c r="K53" s="117"/>
    </row>
    <row r="54" spans="1:18" ht="20.100000000000001" customHeight="1" x14ac:dyDescent="0.25">
      <c r="D54" s="105" t="s">
        <v>307</v>
      </c>
      <c r="E54" s="131">
        <v>0.3</v>
      </c>
      <c r="F54" s="106">
        <v>10</v>
      </c>
      <c r="G54" s="108">
        <f>Table_Input_OrganicFertiliser[[#This Row],[Amount applied (kg/hectare)]]*Table_Input_OrganicFertiliser[[#This Row],[Percentage of N in fertiliser]]</f>
        <v>3</v>
      </c>
      <c r="H54" s="106">
        <f>X_Cell_Fertiliser_AreaUnderCropping</f>
        <v>1000</v>
      </c>
      <c r="I54" s="108">
        <f>Table_Input_OrganicFertiliser[[#This Row],[Amount applied (kg/hectare)]]*Table_Input_OrganicFertiliser[[#This Row],[Application area (ha)]]</f>
        <v>10000</v>
      </c>
      <c r="J54" s="108">
        <f>IFERROR(Table_Input_OrganicFertiliser[[#This Row],[Amount N applied (kg/hectare)]]*Table_Input_OrganicFertiliser[[#This Row],[Application area (ha)]], 0)</f>
        <v>3000</v>
      </c>
      <c r="K54" s="117"/>
    </row>
    <row r="55" spans="1:18" ht="20.100000000000001" customHeight="1" x14ac:dyDescent="0.25">
      <c r="D55" s="105" t="s">
        <v>308</v>
      </c>
      <c r="E55" s="131">
        <v>0.25</v>
      </c>
      <c r="F55" s="106">
        <v>10</v>
      </c>
      <c r="G55" s="108">
        <f>Table_Input_OrganicFertiliser[[#This Row],[Amount applied (kg/hectare)]]*Table_Input_OrganicFertiliser[[#This Row],[Percentage of N in fertiliser]]</f>
        <v>2.5</v>
      </c>
      <c r="H55" s="106">
        <f>X_Cell_Fertiliser_AreaUnderCropping</f>
        <v>1000</v>
      </c>
      <c r="I55" s="108">
        <f>Table_Input_OrganicFertiliser[[#This Row],[Amount applied (kg/hectare)]]*Table_Input_OrganicFertiliser[[#This Row],[Application area (ha)]]</f>
        <v>10000</v>
      </c>
      <c r="J55" s="108">
        <f>IFERROR(Table_Input_OrganicFertiliser[[#This Row],[Amount N applied (kg/hectare)]]*Table_Input_OrganicFertiliser[[#This Row],[Application area (ha)]], 0)</f>
        <v>2500</v>
      </c>
    </row>
    <row r="56" spans="1:18" ht="20.100000000000001" customHeight="1" x14ac:dyDescent="0.25">
      <c r="D56" s="105" t="s">
        <v>309</v>
      </c>
      <c r="E56" s="131">
        <v>0.16</v>
      </c>
      <c r="F56" s="106">
        <v>10</v>
      </c>
      <c r="G56" s="108">
        <f>Table_Input_OrganicFertiliser[[#This Row],[Amount applied (kg/hectare)]]*Table_Input_OrganicFertiliser[[#This Row],[Percentage of N in fertiliser]]</f>
        <v>1.6</v>
      </c>
      <c r="H56" s="106">
        <f>X_Cell_Fertiliser_AreaUnderCropping</f>
        <v>1000</v>
      </c>
      <c r="I56" s="108">
        <f>Table_Input_OrganicFertiliser[[#This Row],[Amount applied (kg/hectare)]]*Table_Input_OrganicFertiliser[[#This Row],[Application area (ha)]]</f>
        <v>10000</v>
      </c>
      <c r="J56" s="108">
        <f>IFERROR(Table_Input_OrganicFertiliser[[#This Row],[Amount N applied (kg/hectare)]]*Table_Input_OrganicFertiliser[[#This Row],[Application area (ha)]], 0)</f>
        <v>1600</v>
      </c>
    </row>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128"/>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DF7ADD9B-3C89-4674-8B1E-422098E9FDCB}">
      <formula1>INDIRECT("FertiliserProducts[Product]")</formula1>
    </dataValidation>
    <dataValidation type="list" allowBlank="1" showInputMessage="1" showErrorMessage="1" sqref="Q25:R34" xr:uid="{15CEF210-06EB-46DE-A5E7-A23C3AD5577A}">
      <formula1>INDIRECT("Table_SourceData_Fertiliser_UreaAmmoniaSources[Source]")</formula1>
    </dataValidation>
    <dataValidation type="list" allowBlank="1" showInputMessage="1" showErrorMessage="1" sqref="D54:D56" xr:uid="{3DB65196-59DD-4270-91B7-1EC754B1DDB7}">
      <formula1>INDIRECT("Table_SourceData_OrganicFertiliserTypes[Organic fertiliser type]")</formula1>
    </dataValidation>
    <dataValidation type="list" allowBlank="1" showInputMessage="1" showErrorMessage="1" sqref="H25:H34 J25:J34 L25:L34 N25:N34" xr:uid="{D4DA7306-24EE-483B-9291-4BD9A99783AF}">
      <formula1>INDIRECT("Table_Fertiliser_ChemicalCompounds[Fertiliser type f]")</formula1>
    </dataValidation>
    <dataValidation type="list" allowBlank="1" showInputMessage="1" showErrorMessage="1" sqref="E81" xr:uid="{80ECCB98-EAA3-439A-9C31-9956B64810D3}">
      <formula1>INDIRECT("Table_SourceData_Swine_CropProdSystems[Production system]")</formula1>
    </dataValidation>
    <dataValidation type="list" allowBlank="1" showInputMessage="1" showErrorMessage="1" sqref="E82" xr:uid="{0B4A439C-97A1-4EAF-9BBA-A0975948AA16}">
      <formula1>INDIRECT("Table_SourceData_Swine_IrrigationMethods[Irrigation method]")</formula1>
    </dataValidation>
    <dataValidation type="list" allowBlank="1" showInputMessage="1" showErrorMessage="1" sqref="E266 E271 E276 E310 E305 E300 E178 E166 E142 E154" xr:uid="{034CD8B2-CE70-491D-9180-BCFB573FDE7B}">
      <formula1>"Yes, No"</formula1>
    </dataValidation>
    <dataValidation type="list" allowBlank="1" showInputMessage="1" showErrorMessage="1" sqref="E242" xr:uid="{77220E17-0779-4439-8999-F1EA4B528394}">
      <formula1>INDIRECT("Table_SourceData_Dairy_ProductionSystemTemplates[Area]")</formula1>
    </dataValidation>
    <dataValidation type="list" allowBlank="1" showInputMessage="1" showErrorMessage="1" sqref="D294" xr:uid="{F9CCE473-3952-4481-9E84-D69C9252DC6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CA30A-1242-4CE6-8B8A-506885807625}">
  <dimension ref="A1:K346"/>
  <sheetViews>
    <sheetView showGridLines="0" topLeftCell="A2"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485</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486</v>
      </c>
      <c r="E5" s="35"/>
      <c r="F5" s="35"/>
      <c r="G5" s="35"/>
      <c r="H5" s="35"/>
    </row>
    <row r="6" spans="1:11" ht="20.100000000000001" customHeight="1" x14ac:dyDescent="0.25">
      <c r="D6" s="8"/>
      <c r="E6" s="8"/>
      <c r="F6" s="8"/>
      <c r="G6" s="8"/>
      <c r="H6" s="8"/>
      <c r="I6" s="8"/>
      <c r="J6" s="8"/>
    </row>
    <row r="7" spans="1:11" ht="20.100000000000001" customHeight="1" x14ac:dyDescent="0.25">
      <c r="D7" s="1" t="s">
        <v>487</v>
      </c>
    </row>
    <row r="8" spans="1:11" ht="20.100000000000001" customHeight="1" x14ac:dyDescent="0.25">
      <c r="A8" s="7" t="s">
        <v>0</v>
      </c>
      <c r="D8" s="1" t="s">
        <v>488</v>
      </c>
    </row>
    <row r="9" spans="1:11" ht="20.100000000000001" customHeight="1" x14ac:dyDescent="0.25">
      <c r="A9" s="5" t="str">
        <f>HYPERLINK("#'Input - Enterprise'!A1", "Enterprise")</f>
        <v>Enterprise</v>
      </c>
      <c r="D9" s="1" t="s">
        <v>489</v>
      </c>
    </row>
    <row r="10" spans="1:11" ht="20.100000000000001" customHeight="1" x14ac:dyDescent="0.25">
      <c r="A10" s="5" t="str">
        <f>HYPERLINK("#'Input - Site'!A1", "Site")</f>
        <v>Site</v>
      </c>
    </row>
    <row r="11" spans="1:11" ht="20.100000000000001" customHeight="1" x14ac:dyDescent="0.25">
      <c r="A11" s="5" t="str">
        <f>HYPERLINK("#'Input - Crop'!A1", "Crop")</f>
        <v>Crop</v>
      </c>
      <c r="D11" s="1" t="s">
        <v>490</v>
      </c>
      <c r="E11" s="23" t="s">
        <v>491</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6" t="s">
        <v>458</v>
      </c>
      <c r="E13" s="54"/>
      <c r="F13" s="54"/>
      <c r="G13" s="54"/>
      <c r="H13" s="55"/>
    </row>
    <row r="14" spans="1:11" ht="20.100000000000001" customHeight="1" x14ac:dyDescent="0.25">
      <c r="A14" s="101" t="str">
        <f>HYPERLINK("#'Input - Fuel'!A1", "Fuel")</f>
        <v>Fuel</v>
      </c>
      <c r="D14" s="56" t="s">
        <v>492</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92" t="s">
        <v>493</v>
      </c>
      <c r="E16" s="92" t="s">
        <v>494</v>
      </c>
      <c r="F16" s="92" t="s">
        <v>495</v>
      </c>
      <c r="G16" s="92" t="s">
        <v>496</v>
      </c>
      <c r="H16" s="92" t="s">
        <v>497</v>
      </c>
      <c r="I16" s="92" t="s">
        <v>498</v>
      </c>
      <c r="J16" s="92" t="s">
        <v>499</v>
      </c>
    </row>
    <row r="17" spans="1:10" ht="20.100000000000001" customHeight="1" x14ac:dyDescent="0.25">
      <c r="A17" s="5" t="str">
        <f>HYPERLINK("#'Input - Crop pasture farm input'!A1", "Crop pasture farm input")</f>
        <v>Crop pasture farm input</v>
      </c>
      <c r="D17" s="23" t="s">
        <v>500</v>
      </c>
      <c r="E17" s="23" t="s">
        <v>501</v>
      </c>
      <c r="F17" s="183">
        <v>100</v>
      </c>
      <c r="G17" s="25" t="str" cm="1">
        <f t="array" ref="G17">Common_InputFunctions.Utility_LookupValueInTable(Table_Input_Fuel[[#This Row],[Fuel type (select)]],Table_FuelTypes_Units[Fuel type], Table_FuelTypes_Units[Input Unit])</f>
        <v>GJ</v>
      </c>
      <c r="H17" s="184">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23" t="s">
        <v>500</v>
      </c>
      <c r="E18" s="23" t="s">
        <v>502</v>
      </c>
      <c r="F18" s="183">
        <v>10000</v>
      </c>
      <c r="G18" s="25" t="str" cm="1">
        <f t="array" ref="G18">Common_InputFunctions.Utility_LookupValueInTable(Table_Input_Fuel[[#This Row],[Fuel type (select)]],Table_FuelTypes_Units[Fuel type], Table_FuelTypes_Units[Input Unit])</f>
        <v>L</v>
      </c>
      <c r="H18" s="185">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Manure sent off-site'!A1", "Manure sent off-site")</f>
        <v>Manure sent off-site</v>
      </c>
      <c r="D19" s="23" t="s">
        <v>503</v>
      </c>
      <c r="E19" s="23" t="s">
        <v>504</v>
      </c>
      <c r="F19" s="183">
        <v>10000</v>
      </c>
      <c r="G19" s="25" t="str" cm="1">
        <f t="array" ref="G19">Common_InputFunctions.Utility_LookupValueInTable(Table_Input_Fuel[[#This Row],[Fuel type (select)]],Table_FuelTypes_Units[Fuel type], Table_FuelTypes_Units[Input Unit])</f>
        <v>L</v>
      </c>
      <c r="H19" s="185">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Solid waste'!A1", "Solid waste")</f>
        <v>Solid waste</v>
      </c>
      <c r="D20" s="23" t="s">
        <v>505</v>
      </c>
      <c r="E20" s="23" t="s">
        <v>504</v>
      </c>
      <c r="F20" s="183">
        <v>10000</v>
      </c>
      <c r="G20" s="25" t="str" cm="1">
        <f t="array" ref="G20">Common_InputFunctions.Utility_LookupValueInTable(Table_Input_Fuel[[#This Row],[Fuel type (select)]],Table_FuelTypes_Units[Fuel type], Table_FuelTypes_Units[Input Unit])</f>
        <v>L</v>
      </c>
      <c r="H20" s="185">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Data quality'!A1", "Data quality")</f>
        <v>Data quality</v>
      </c>
      <c r="D21" s="186" t="s">
        <v>506</v>
      </c>
      <c r="E21" s="186" t="s">
        <v>507</v>
      </c>
      <c r="F21" s="183">
        <v>10000</v>
      </c>
      <c r="G21" s="187" t="str" cm="1">
        <f t="array" ref="G21">Common_InputFunctions.Utility_LookupValueInTable(Table_Input_Fuel[[#This Row],[Fuel type (select)]],Table_FuelTypes_Units[Fuel type], Table_FuelTypes_Units[Input Unit])</f>
        <v>L</v>
      </c>
      <c r="H21" s="188">
        <f>1</f>
        <v>1</v>
      </c>
      <c r="I21" s="18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c r="A24" s="6" t="s">
        <v>2</v>
      </c>
    </row>
    <row r="25" spans="1:10" ht="20.100000000000001" customHeight="1" x14ac:dyDescent="0.25">
      <c r="A25" s="5" t="str">
        <f>HYPERLINK("#'5.1.1.1-2 Inorganic fert N2O'!A1", "5.1.1.1-2 Inorganic fert N2O")</f>
        <v>5.1.1.1-2 Inorganic fert N2O</v>
      </c>
    </row>
    <row r="26" spans="1:10" ht="20.100000000000001" customHeight="1" x14ac:dyDescent="0.25">
      <c r="A26" s="5" t="str">
        <f>HYPERLINK("#'5.1.1.3-4 Inorganic fert CO2'!A1", "5.1.1.3-4 Inorganic fert CO2")</f>
        <v>5.1.1.3-4 Inorganic fert CO2</v>
      </c>
    </row>
    <row r="27" spans="1:10" ht="20.100000000000001" customHeight="1" x14ac:dyDescent="0.25">
      <c r="A27" s="5" t="str">
        <f>HYPERLINK("#'5.2.1.1-2 Organic Fert N2O'!A1", "5.2.1.1-2 Organic fert N2O")</f>
        <v>5.2.1.1-2 Organic fert N2O</v>
      </c>
    </row>
    <row r="28" spans="1:10" ht="20.100000000000001" customHeight="1" x14ac:dyDescent="0.25">
      <c r="A28" s="5" t="str">
        <f>HYPERLINK("#'5.3.1.1-2 Lime CO2'!A1", "5.3.1.1-2 Lime CO2")</f>
        <v>5.3.1.1-2 Lime CO2</v>
      </c>
    </row>
    <row r="29" spans="1:10" ht="20.100000000000001" customHeight="1" x14ac:dyDescent="0.25">
      <c r="A29" s="5" t="str">
        <f>HYPERLINK("#'5.4.1.1-4 Atmos deposition'!A1", "5.4.1.1-4 Atmos. deposition")</f>
        <v>5.4.1.1-4 Atmos. deposition</v>
      </c>
    </row>
    <row r="30" spans="1:10" ht="20.100000000000001" customHeight="1" x14ac:dyDescent="0.25">
      <c r="A30" s="5" t="str">
        <f>HYPERLINK("#'5.5.1.1-2 Leaching and runoff'!A1", "5.5.1.1-2 Leaching &amp; runoff")</f>
        <v>5.5.1.1-2 Leaching &amp; runoff</v>
      </c>
    </row>
    <row r="31" spans="1:10" ht="20.100000000000001" customHeight="1" x14ac:dyDescent="0.25">
      <c r="A31" s="5" t="str">
        <f>HYPERLINK("#'6.1.1.1-2 Crop residue N2O'!A1", "6.1.1.1-2 Crop residue N2O")</f>
        <v>6.1.1.1-2 Crop residue N2O</v>
      </c>
    </row>
    <row r="32" spans="1:10" ht="20.100000000000001" customHeight="1" x14ac:dyDescent="0.25">
      <c r="A32" s="5" t="str">
        <f>HYPERLINK("#'6.3.1.1-2 Leach runoff crop'!A1", "6.3.1.1-2 Leach &amp; runoff (crop)")</f>
        <v>6.3.1.1-2 Leach &amp; runoff (crop)</v>
      </c>
    </row>
    <row r="33" spans="1:11" ht="20.100000000000001" customHeight="1" x14ac:dyDescent="0.25">
      <c r="A33" s="5" t="str">
        <f>HYPERLINK("#'6.4.1.1-2 Residue burning'!A1", "6.4.1.1-2 Residue burning")</f>
        <v>6.4.1.1-2 Residue burning</v>
      </c>
    </row>
    <row r="34" spans="1:11" ht="20.100000000000001" customHeight="1" x14ac:dyDescent="0.25">
      <c r="A34" s="5" t="str">
        <f>HYPERLINK("#'8.1.1.1-2 Transport fuel'!A1", "8.1.1.1-2 Transport fuel")</f>
        <v>8.1.1.1-2 Transport fuel</v>
      </c>
    </row>
    <row r="35" spans="1:11" ht="20.100000000000001" customHeight="1" x14ac:dyDescent="0.25">
      <c r="A35" s="5" t="str">
        <f>HYPERLINK("#'8.2.1.1-2 Stationary fuel'!A1", "8.2.1.1-2 Stationary fuel")</f>
        <v>8.2.1.1-2 Stationary fuel</v>
      </c>
    </row>
    <row r="36" spans="1:11" ht="20.100000000000001" customHeight="1" x14ac:dyDescent="0.25">
      <c r="A36" s="5" t="str">
        <f>HYPERLINK("#'14.1.1-2 Purchased electricity'!A1", "14.1.1-2 Purchased electricity")</f>
        <v>14.1.1-2 Purchased electricity</v>
      </c>
    </row>
    <row r="37" spans="1:11" ht="20.100000000000001" customHeight="1" x14ac:dyDescent="0.25">
      <c r="A37" s="5" t="str">
        <f>HYPERLINK("#'15 Scope 3'!A1", "15 Scope 3")</f>
        <v>15 Scope 3</v>
      </c>
    </row>
    <row r="38" spans="1:11" ht="20.100000000000001" customHeight="1" x14ac:dyDescent="0.25">
      <c r="A38" s="5" t="str">
        <f>HYPERLINK("#'Calcs - Manure sent off-site'!A1", "Calcs - Manure sent off-site")</f>
        <v>Calcs - Manure sent off-site</v>
      </c>
      <c r="C38" s="115"/>
      <c r="K38" s="115"/>
    </row>
    <row r="39" spans="1:11" ht="20.100000000000001" customHeight="1" x14ac:dyDescent="0.25">
      <c r="A39" s="5" t="str">
        <f>HYPERLINK("#'10.1.1-2 Solid waste treatment'!A1", "10.1.1-2 Solid waste treatment")</f>
        <v>10.1.1-2 Solid waste treatment</v>
      </c>
      <c r="C39" s="115"/>
      <c r="K39" s="115"/>
    </row>
    <row r="40" spans="1:11" s="127" customFormat="1" ht="20.100000000000001" customHeight="1" x14ac:dyDescent="0.25">
      <c r="A40"/>
      <c r="C40" s="1"/>
      <c r="D40" s="1"/>
      <c r="E40" s="1"/>
      <c r="F40" s="1"/>
      <c r="G40" s="1"/>
      <c r="H40" s="1"/>
      <c r="I40" s="1"/>
      <c r="J40" s="1"/>
      <c r="K40" s="1"/>
    </row>
    <row r="41" spans="1:11" s="127" customFormat="1" ht="20.100000000000001" customHeight="1" x14ac:dyDescent="0.25">
      <c r="A41"/>
      <c r="C41" s="1"/>
      <c r="D41" s="1"/>
      <c r="E41" s="1"/>
      <c r="F41" s="1"/>
      <c r="G41" s="1"/>
      <c r="H41" s="1"/>
      <c r="I41" s="1"/>
      <c r="J41" s="1"/>
      <c r="K41" s="1"/>
    </row>
    <row r="42" spans="1:11" ht="20.100000000000001" customHeight="1" x14ac:dyDescent="0.25">
      <c r="A42" s="94" t="s">
        <v>1</v>
      </c>
    </row>
    <row r="43" spans="1:11" ht="20.100000000000001" customHeight="1" x14ac:dyDescent="0.25">
      <c r="A43" s="5" t="str">
        <f>HYPERLINK("#'Constants - Ag Residue'!A1", "Constants - Ag residue")</f>
        <v>Constants - Ag residue</v>
      </c>
    </row>
    <row r="44" spans="1:11" ht="20.100000000000001" customHeight="1" x14ac:dyDescent="0.25">
      <c r="A44" s="5" t="str">
        <f>HYPERLINK("#'Constants - Common Livestock'!A1", "Constants - Common Livestock")</f>
        <v>Constants - Common Livestock</v>
      </c>
    </row>
    <row r="45" spans="1:11" ht="20.100000000000001" customHeight="1" x14ac:dyDescent="0.25">
      <c r="A45" s="5" t="str">
        <f>HYPERLINK("#'Constants - Electricity'!A1", "Constants - Electricity")</f>
        <v>Constants - Electricity</v>
      </c>
    </row>
    <row r="46" spans="1:11" ht="20.100000000000001" customHeight="1" x14ac:dyDescent="0.25">
      <c r="A46" s="5" t="str">
        <f>HYPERLINK("#'Constants - Fertiliser'!A1", "Constants - Fertiliser")</f>
        <v>Constants - Fertiliser</v>
      </c>
    </row>
    <row r="47" spans="1:11" ht="20.100000000000001" customHeight="1" x14ac:dyDescent="0.25">
      <c r="A47" s="5" t="str">
        <f>HYPERLINK("#'Constants - Fuel'!A1", "Constants - Fuel")</f>
        <v>Constants - Fuel</v>
      </c>
    </row>
    <row r="48" spans="1: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8"/>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33E9ABB2-E428-448A-9490-D4E863C29718}">
      <formula1>_xlfn.TRIMRANGE(INDIRECT("Table_FuelTypesPerUse["&amp;D17&amp;"]"))</formula1>
    </dataValidation>
    <dataValidation type="list" allowBlank="1" showInputMessage="1" showErrorMessage="1" sqref="D17:D21" xr:uid="{59BFABBD-4A1A-442E-B35E-FB9194FA3B9E}">
      <formula1>INDIRECT("Table_FuelTypesPerUse[#Headers]")</formula1>
    </dataValidation>
    <dataValidation type="list" allowBlank="1" showInputMessage="1" showErrorMessage="1" sqref="E11" xr:uid="{D8A4F301-9299-4B3E-9516-94FC84E45E89}">
      <formula1>"Metro, Non-metro"</formula1>
    </dataValidation>
    <dataValidation type="list" allowBlank="1" showInputMessage="1" showErrorMessage="1" sqref="D29:D30" xr:uid="{5AF53D57-6740-47E7-8CF6-16E33DF8778B}">
      <formula1>INDIRECT("Table_SourceData_OrganicFertiliserTypes[Organic fertiliser type]")</formula1>
    </dataValidation>
    <dataValidation type="list" allowBlank="1" showInputMessage="1" showErrorMessage="1" sqref="E49" xr:uid="{2B7C6CD6-E915-4A29-B5A7-529D05577F67}">
      <formula1>INDIRECT("Table_SourceData_Swine_CropProdSystems[Production system]")</formula1>
    </dataValidation>
    <dataValidation type="list" allowBlank="1" showInputMessage="1" showErrorMessage="1" sqref="E50" xr:uid="{4C95916F-FB3E-46CF-9F35-724588A1DE61}">
      <formula1>INDIRECT("Table_SourceData_Swine_IrrigationMethods[Irrigation method]")</formula1>
    </dataValidation>
    <dataValidation type="list" allowBlank="1" showInputMessage="1" showErrorMessage="1" sqref="E234 E239 E244 E278 E273 E268 E146 E134 E110 E122" xr:uid="{C87323F0-5FEA-410D-A803-A995CD70EBB9}">
      <formula1>"Yes, No"</formula1>
    </dataValidation>
    <dataValidation type="list" allowBlank="1" showInputMessage="1" showErrorMessage="1" sqref="E210" xr:uid="{81986B34-E5A9-455C-8DC5-E8F5C2D3B9A0}">
      <formula1>INDIRECT("Table_SourceData_Dairy_ProductionSystemTemplates[Area]")</formula1>
    </dataValidation>
    <dataValidation type="list" allowBlank="1" showInputMessage="1" showErrorMessage="1" sqref="D262" xr:uid="{32A6776E-40A3-4AC4-9086-9BF8AFE5984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E87CD-A79A-4B40-ADDD-4482AC429871}">
  <dimension ref="A1:L365"/>
  <sheetViews>
    <sheetView showGridLines="0" topLeftCell="A24"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439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440</v>
      </c>
      <c r="E5" s="23" t="s">
        <v>441</v>
      </c>
      <c r="F5" s="26" t="s">
        <v>100</v>
      </c>
    </row>
    <row r="6" spans="1:10" ht="20.100000000000001" customHeight="1" x14ac:dyDescent="0.25">
      <c r="E6" s="12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8"/>
      <c r="D8" s="148"/>
      <c r="E8" s="148"/>
      <c r="F8" s="148"/>
      <c r="G8" s="148"/>
      <c r="H8" s="148"/>
      <c r="I8" s="148"/>
      <c r="J8" s="148"/>
    </row>
    <row r="9" spans="1:10" ht="20.100000000000001" customHeight="1" x14ac:dyDescent="0.25">
      <c r="A9" s="5" t="str">
        <f>HYPERLINK("#'Input - Enterprise'!A1", "Enterprise")</f>
        <v>Enterprise</v>
      </c>
      <c r="D9" s="2" t="s">
        <v>442</v>
      </c>
    </row>
    <row r="10" spans="1:10" ht="20.100000000000001" customHeight="1" x14ac:dyDescent="0.25">
      <c r="A10" s="5" t="str">
        <f>HYPERLINK("#'Input - Site'!A1", "Site")</f>
        <v>Site</v>
      </c>
    </row>
    <row r="11" spans="1:10" ht="20.100000000000001" customHeight="1" x14ac:dyDescent="0.25">
      <c r="A11" s="5" t="str">
        <f>HYPERLINK("#'Input - Crop'!A1", "Crop")</f>
        <v>Crop</v>
      </c>
      <c r="D11" s="91" t="s">
        <v>443</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444</v>
      </c>
      <c r="E13" s="49"/>
      <c r="F13" s="8"/>
    </row>
    <row r="14" spans="1:10" ht="20.100000000000001" customHeight="1" x14ac:dyDescent="0.25">
      <c r="A14" s="5" t="str">
        <f>HYPERLINK("#'Input - Fuel'!A1", "Fuel")</f>
        <v>Fuel</v>
      </c>
      <c r="D14" s="8"/>
      <c r="E14" s="8"/>
      <c r="F14" s="8"/>
    </row>
    <row r="15" spans="1:10" ht="20.100000000000001" customHeight="1" x14ac:dyDescent="0.25">
      <c r="A15" s="101" t="str">
        <f>HYPERLINK("#'Input - Electricity'!A1", "Electricity")</f>
        <v>Electricity</v>
      </c>
      <c r="D15" s="1" t="s">
        <v>445</v>
      </c>
      <c r="E15" s="175">
        <v>30000</v>
      </c>
      <c r="F15" s="26" t="s">
        <v>446</v>
      </c>
    </row>
    <row r="16" spans="1:10" ht="20.100000000000001" customHeight="1" x14ac:dyDescent="0.25">
      <c r="A16" s="5" t="str">
        <f>HYPERLINK("#'Input - Common farm inputs'!A1", "Common farm inputs")</f>
        <v>Common farm inputs</v>
      </c>
      <c r="D16" s="1" t="s">
        <v>447</v>
      </c>
      <c r="E16" s="25" t="str">
        <f>IF(X_Cell_Site_State="Western Australia", X_Cell_Site_Region, X_Cell_Site_State)</f>
        <v>Western Australia - Outback (South)</v>
      </c>
      <c r="F16" s="8"/>
    </row>
    <row r="17" spans="1:11" ht="20.100000000000001" customHeight="1" x14ac:dyDescent="0.25">
      <c r="A17" s="5" t="str">
        <f>HYPERLINK("#'Input - Crop pasture farm input'!A1", "Crop pasture farm input")</f>
        <v>Crop pasture farm input</v>
      </c>
      <c r="D17" s="1" t="s">
        <v>448</v>
      </c>
      <c r="E17" s="23" t="s">
        <v>449</v>
      </c>
      <c r="F17" s="26" t="s">
        <v>100</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c r="C20" s="148"/>
      <c r="D20" s="148"/>
      <c r="E20" s="148"/>
      <c r="F20" s="148"/>
      <c r="G20" s="148"/>
      <c r="H20" s="148"/>
      <c r="I20" s="148"/>
      <c r="J20" s="148"/>
    </row>
    <row r="21" spans="1:11" ht="20.100000000000001" customHeight="1" x14ac:dyDescent="0.25">
      <c r="A21" s="5" t="str">
        <f>HYPERLINK("#'Input - Data quality'!A1", "Data quality")</f>
        <v>Data quality</v>
      </c>
      <c r="D21" s="2" t="s">
        <v>450</v>
      </c>
    </row>
    <row r="22" spans="1:11" ht="20.100000000000001" customHeight="1" x14ac:dyDescent="0.25">
      <c r="E22" s="128" t="str">
        <f>IF(E16="ACT", "", "ALERT: Your farm is not in the ACT, so the JRPP is not applicable")</f>
        <v>ALERT: Your farm is not in the ACT, so the JRPP is not applicable</v>
      </c>
    </row>
    <row r="23" spans="1:11" ht="20.100000000000001" customHeight="1" x14ac:dyDescent="0.25">
      <c r="D23" s="1" t="s">
        <v>451</v>
      </c>
      <c r="E23" s="175">
        <v>30000</v>
      </c>
      <c r="F23" s="26" t="s">
        <v>446</v>
      </c>
    </row>
    <row r="24" spans="1:11" ht="20.100000000000001" customHeight="1" x14ac:dyDescent="0.25">
      <c r="A24" s="6" t="s">
        <v>2</v>
      </c>
      <c r="D24" s="1" t="s">
        <v>452</v>
      </c>
      <c r="E24" s="28">
        <v>0.1</v>
      </c>
      <c r="F24" s="26" t="s">
        <v>153</v>
      </c>
    </row>
    <row r="25" spans="1:11" ht="20.100000000000001" customHeight="1" x14ac:dyDescent="0.25">
      <c r="A25" s="5" t="str">
        <f>HYPERLINK("#'5.1.1.1-2 Inorganic fert N2O'!A1", "5.1.1.1-2 Inorganic fert N2O")</f>
        <v>5.1.1.1-2 Inorganic fert N2O</v>
      </c>
      <c r="D25" s="1" t="s">
        <v>453</v>
      </c>
      <c r="E25" s="28">
        <v>0.1</v>
      </c>
      <c r="F25" s="26" t="s">
        <v>153</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c r="D27" s="1" t="s">
        <v>454</v>
      </c>
      <c r="E27" s="175">
        <v>10000</v>
      </c>
      <c r="F27" s="26" t="s">
        <v>446</v>
      </c>
    </row>
    <row r="28" spans="1:11" ht="20.100000000000001" customHeight="1" x14ac:dyDescent="0.25">
      <c r="A28" s="5" t="str">
        <f>HYPERLINK("#'5.3.1.1-2 Lime CO2'!A1", "5.3.1.1-2 Lime CO2")</f>
        <v>5.3.1.1-2 Lime CO2</v>
      </c>
    </row>
    <row r="29" spans="1:11" ht="20.100000000000001" customHeight="1" x14ac:dyDescent="0.25">
      <c r="A29" s="5" t="str">
        <f>HYPERLINK("#'5.4.1.1-4 Atmos deposition'!A1", "5.4.1.1-4 Atmos. deposition")</f>
        <v>5.4.1.1-4 Atmos. deposition</v>
      </c>
      <c r="D29" s="1" t="s">
        <v>455</v>
      </c>
      <c r="E29" s="176" t="str">
        <f>TEXT(X_Cell_Site_StartDate, "dd mmm yyyy")</f>
        <v>01 Jan 2025</v>
      </c>
      <c r="K29" s="127"/>
    </row>
    <row r="30" spans="1:11" ht="20.100000000000001" customHeight="1" x14ac:dyDescent="0.25">
      <c r="A30" s="5" t="str">
        <f>HYPERLINK("#'5.5.1.1-2 Leaching and runoff'!A1", "5.5.1.1-2 Leaching &amp; runoff")</f>
        <v>5.5.1.1-2 Leaching &amp; runoff</v>
      </c>
      <c r="D30" s="1" t="s">
        <v>456</v>
      </c>
      <c r="E30" s="176" t="str">
        <f>TEXT(X_Cell_Site_EndDate, "dd mmm yyyy")</f>
        <v>31 Dec 2025</v>
      </c>
      <c r="K30" s="127"/>
    </row>
    <row r="31" spans="1:11" ht="20.100000000000001" customHeight="1" x14ac:dyDescent="0.25">
      <c r="A31" s="5" t="str">
        <f>HYPERLINK("#'6.1.1.1-2 Crop residue N2O'!A1", "6.1.1.1-2 Crop residue N2O")</f>
        <v>6.1.1.1-2 Crop residue N2O</v>
      </c>
      <c r="K31" s="127"/>
    </row>
    <row r="32" spans="1:11" ht="20.100000000000001" customHeight="1" x14ac:dyDescent="0.25">
      <c r="A32" s="5" t="str">
        <f>HYPERLINK("#'6.3.1.1-2 Leach runoff crop'!A1", "6.3.1.1-2 Leach &amp; runoff (crop)")</f>
        <v>6.3.1.1-2 Leach &amp; runoff (crop)</v>
      </c>
      <c r="D32" s="91" t="s">
        <v>457</v>
      </c>
      <c r="K32" s="127"/>
    </row>
    <row r="33" spans="1:12" ht="20.100000000000001" customHeight="1" x14ac:dyDescent="0.25">
      <c r="A33" s="5" t="str">
        <f>HYPERLINK("#'6.4.1.1-2 Residue burning'!A1", "6.4.1.1-2 Residue burning")</f>
        <v>6.4.1.1-2 Residue burning</v>
      </c>
      <c r="K33" s="127"/>
    </row>
    <row r="34" spans="1:12" ht="20.100000000000001" customHeight="1" x14ac:dyDescent="0.25">
      <c r="A34" s="5" t="str">
        <f>HYPERLINK("#'8.1.1.1-2 Transport fuel'!A1", "8.1.1.1-2 Transport fuel")</f>
        <v>8.1.1.1-2 Transport fuel</v>
      </c>
      <c r="D34" s="46" t="s">
        <v>458</v>
      </c>
      <c r="E34" s="49"/>
      <c r="K34" s="127"/>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c r="D36" s="92" t="s">
        <v>202</v>
      </c>
      <c r="E36" s="92" t="s">
        <v>459</v>
      </c>
      <c r="F36" s="92" t="s">
        <v>460</v>
      </c>
      <c r="G36" s="92" t="s">
        <v>461</v>
      </c>
      <c r="H36" s="92" t="s">
        <v>462</v>
      </c>
      <c r="I36" s="92" t="s">
        <v>463</v>
      </c>
      <c r="L36" s="127"/>
    </row>
    <row r="37" spans="1:12" ht="20.100000000000001" customHeight="1" x14ac:dyDescent="0.25">
      <c r="A37" s="5" t="str">
        <f>HYPERLINK("#'15 Scope 3'!A1", "15 Scope 3")</f>
        <v>15 Scope 3</v>
      </c>
      <c r="D37" s="30" t="s">
        <v>464</v>
      </c>
      <c r="E37" s="23" t="s">
        <v>465</v>
      </c>
      <c r="F37" s="177">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27"/>
    </row>
    <row r="38" spans="1:12" ht="20.100000000000001" customHeight="1" x14ac:dyDescent="0.25">
      <c r="A38" s="5" t="str">
        <f>HYPERLINK("#'Calcs - Manure sent off-site'!A1", "Calcs - Manure sent off-site")</f>
        <v>Calcs - Manure sent off-site</v>
      </c>
      <c r="D38" s="30" t="s">
        <v>466</v>
      </c>
      <c r="E38" s="23" t="s">
        <v>467</v>
      </c>
      <c r="F38" s="177">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A39" s="5" t="str">
        <f>HYPERLINK("#'10.1.1-2 Solid waste treatment'!A1", "10.1.1-2 Solid waste treatment")</f>
        <v>10.1.1-2 Solid waste treatment</v>
      </c>
      <c r="D39" s="30" t="s">
        <v>468</v>
      </c>
      <c r="E39" s="23" t="s">
        <v>465</v>
      </c>
      <c r="F39" s="177">
        <v>45438</v>
      </c>
      <c r="G39" s="30">
        <v>5</v>
      </c>
      <c r="H39" s="25">
        <f>Table_Input_RECSurrendered[[#This Row],[Number of certificates]]</f>
        <v>5</v>
      </c>
      <c r="I39" s="25" t="str">
        <f>IF(DATEDIF(Table_Input_RECSurrendered[[#This Row],[Generation date]],DATEVALUE($E$30),"M")&gt;36,"Ineligible - older than 36 months","Elegible")</f>
        <v>Elegible</v>
      </c>
    </row>
    <row r="40" spans="1:12" s="127" customFormat="1" ht="20.100000000000001" customHeight="1" x14ac:dyDescent="0.25">
      <c r="A40"/>
      <c r="C40" s="1"/>
      <c r="D40" s="1"/>
      <c r="E40" s="1"/>
      <c r="F40" s="1"/>
      <c r="G40" s="1"/>
      <c r="H40" s="1"/>
      <c r="I40" s="1"/>
      <c r="J40" s="1"/>
    </row>
    <row r="41" spans="1:12" s="127" customFormat="1" ht="20.100000000000001" customHeight="1" x14ac:dyDescent="0.25">
      <c r="A41"/>
      <c r="C41" s="1"/>
      <c r="D41" s="1" t="s">
        <v>469</v>
      </c>
      <c r="E41" s="25">
        <f>SUMIF(Table_Input_RECSurrendered[Elegibility], "Elegible", Table_Input_RECSurrendered[MWh])</f>
        <v>5</v>
      </c>
      <c r="F41" s="26" t="s">
        <v>462</v>
      </c>
      <c r="G41" s="1"/>
      <c r="H41" s="1"/>
      <c r="I41" s="1"/>
      <c r="J41" s="1"/>
      <c r="L41" s="127" t="s">
        <v>470</v>
      </c>
    </row>
    <row r="42" spans="1:12" ht="20.100000000000001" customHeight="1" x14ac:dyDescent="0.25">
      <c r="A42" s="94" t="s">
        <v>1</v>
      </c>
      <c r="C42" s="115"/>
    </row>
    <row r="43" spans="1:12" ht="20.100000000000001" customHeight="1" x14ac:dyDescent="0.25">
      <c r="A43" s="5" t="str">
        <f>HYPERLINK("#'Constants - Ag Residue'!A1", "Constants - Ag residue")</f>
        <v>Constants - Ag residue</v>
      </c>
      <c r="C43" s="115"/>
      <c r="D43" s="91" t="s">
        <v>471</v>
      </c>
      <c r="J43" s="115"/>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c r="D45" s="92" t="s">
        <v>202</v>
      </c>
      <c r="E45" s="92" t="s">
        <v>403</v>
      </c>
      <c r="F45" s="92" t="s">
        <v>460</v>
      </c>
      <c r="G45" s="92" t="s">
        <v>461</v>
      </c>
      <c r="H45" s="92" t="s">
        <v>462</v>
      </c>
      <c r="I45" s="92" t="s">
        <v>463</v>
      </c>
    </row>
    <row r="46" spans="1:12" ht="20.100000000000001" customHeight="1" x14ac:dyDescent="0.25">
      <c r="A46" s="5" t="str">
        <f>HYPERLINK("#'Constants - Fertiliser'!A1", "Constants - Fertiliser")</f>
        <v>Constants - Fertiliser</v>
      </c>
      <c r="D46" s="30" t="s">
        <v>472</v>
      </c>
      <c r="E46" s="178" t="str">
        <f>"Issued for generated electricity"</f>
        <v>Issued for generated electricity</v>
      </c>
      <c r="F46" s="177">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Fuel'!A1", "Constants - Fuel")</f>
        <v>Constants - Fuel</v>
      </c>
      <c r="D47" s="30" t="s">
        <v>473</v>
      </c>
      <c r="E47" s="178" t="str">
        <f>"Issued for generated electricity"</f>
        <v>Issued for generated electricity</v>
      </c>
      <c r="F47" s="177">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Scope 3'!A1", "Constants - Scope 3")</f>
        <v>Constants - Scope 3</v>
      </c>
      <c r="D48" s="179">
        <v>45597</v>
      </c>
      <c r="E48" s="178" t="str">
        <f>"Issued for generated electricity"</f>
        <v>Issued for generated electricity</v>
      </c>
      <c r="F48" s="177">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Common'!A1", "Constants - Common")</f>
        <v>Constants - Common</v>
      </c>
    </row>
    <row r="50" spans="1:6" ht="20.100000000000001" customHeight="1" x14ac:dyDescent="0.25">
      <c r="A50" s="5" t="str">
        <f>HYPERLINK("#'Constants - Solid Waste'!A1", "Constants - Solid Waste")</f>
        <v>Constants - Solid Waste</v>
      </c>
      <c r="D50" s="1" t="s">
        <v>474</v>
      </c>
      <c r="E50" s="25">
        <f>SUMIF(Table_Input_RECConsumedByEntity[Elegibility], "Elegible", Table_Input_RECConsumedByEntity[Number of certificates])</f>
        <v>0</v>
      </c>
      <c r="F50" s="26" t="s">
        <v>462</v>
      </c>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c r="D55" s="180"/>
    </row>
    <row r="56" spans="1:6" ht="20.100000000000001" customHeight="1" x14ac:dyDescent="0.25">
      <c r="D56" s="180"/>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8"/>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844EB415-228E-45DF-A4ED-C1F19CB14E45}">
      <formula1>"Location-based (simpler), Market-based (more complex)"</formula1>
    </dataValidation>
    <dataValidation type="list" allowBlank="1" showInputMessage="1" showErrorMessage="1" sqref="E37:E39" xr:uid="{0B1B64B6-36DB-48F5-9AA5-8924217FB4E2}">
      <formula1>"Purchased certificate, Issued for generated electricity"</formula1>
    </dataValidation>
    <dataValidation type="list" allowBlank="1" showInputMessage="1" showErrorMessage="1" sqref="E17" xr:uid="{D7B2FF85-EB5B-426D-9DBB-430F2C2D28A1}">
      <formula1>INDIRECT("Table_SourceData_ElectricityEFs[State, Territory or grid description]")</formula1>
    </dataValidation>
    <dataValidation type="list" allowBlank="1" showInputMessage="1" showErrorMessage="1" sqref="E69" xr:uid="{EEF41C5F-AC1E-4FCF-8181-EBC293F54353}">
      <formula1>INDIRECT("Table_SourceData_Swine_IrrigationMethods[Irrigation method]")</formula1>
    </dataValidation>
    <dataValidation type="list" allowBlank="1" showInputMessage="1" showErrorMessage="1" sqref="E253 E258 E263 E297 E292 E287 E165 E153 E129 E141" xr:uid="{5AFA5A5B-568B-4433-93DF-A023EB828F9C}">
      <formula1>"Yes, No"</formula1>
    </dataValidation>
    <dataValidation type="list" allowBlank="1" showInputMessage="1" showErrorMessage="1" sqref="E229" xr:uid="{F41ED304-EE12-431E-95F1-C81F43E30C37}">
      <formula1>INDIRECT("Table_SourceData_Dairy_ProductionSystemTemplates[Area]")</formula1>
    </dataValidation>
    <dataValidation type="list" allowBlank="1" showInputMessage="1" showErrorMessage="1" sqref="D281" xr:uid="{616571AD-E51F-4801-939A-757A132E755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A846F-4FB6-418F-97C8-572CA8068EF8}">
  <sheetPr>
    <tabColor theme="5" tint="-0.249977111117893"/>
  </sheetPr>
  <dimension ref="A1:S227"/>
  <sheetViews>
    <sheetView showGridLines="0" topLeftCell="A5" zoomScaleNormal="100" workbookViewId="0">
      <selection activeCell="A50" sqref="A50"/>
    </sheetView>
  </sheetViews>
  <sheetFormatPr defaultRowHeight="15.75" x14ac:dyDescent="0.25"/>
  <cols>
    <col min="1" max="1" width="30.7109375" style="238" customWidth="1"/>
    <col min="2" max="2" width="4.7109375" style="23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238"/>
  </cols>
  <sheetData>
    <row r="1" spans="1:19" ht="30" customHeight="1" x14ac:dyDescent="0.35">
      <c r="A1" s="16" t="e" vm="1">
        <v>#VALUE!</v>
      </c>
      <c r="C1" s="38" t="s">
        <v>728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729</v>
      </c>
      <c r="E5" s="35"/>
      <c r="F5" s="35"/>
      <c r="G5" s="35"/>
      <c r="H5" s="35"/>
      <c r="I5" s="35"/>
      <c r="J5" s="35"/>
    </row>
    <row r="6" spans="1:19" ht="20.100000000000001" customHeight="1" x14ac:dyDescent="0.25">
      <c r="A6"/>
      <c r="C6" s="1"/>
    </row>
    <row r="7" spans="1:19" ht="20.100000000000001" customHeight="1" x14ac:dyDescent="0.25">
      <c r="A7"/>
      <c r="C7" s="1"/>
      <c r="D7" s="92" t="s">
        <v>730</v>
      </c>
      <c r="E7" s="92" t="s">
        <v>731</v>
      </c>
      <c r="F7" s="92" t="s">
        <v>732</v>
      </c>
    </row>
    <row r="8" spans="1:19" ht="20.100000000000001" customHeight="1" x14ac:dyDescent="0.25">
      <c r="A8" s="7" t="s">
        <v>0</v>
      </c>
      <c r="C8" s="1"/>
      <c r="D8" s="44" t="s">
        <v>733</v>
      </c>
      <c r="E8" s="23" t="s">
        <v>734</v>
      </c>
      <c r="F8" s="86">
        <v>100</v>
      </c>
    </row>
    <row r="9" spans="1:19" ht="20.100000000000001" customHeight="1" x14ac:dyDescent="0.25">
      <c r="A9" s="5" t="str">
        <f>HYPERLINK("#'Input - Enterprise'!A1", "Enterprise")</f>
        <v>Enterprise</v>
      </c>
      <c r="C9" s="1"/>
      <c r="D9" s="44" t="s">
        <v>735</v>
      </c>
      <c r="E9" s="186" t="s">
        <v>736</v>
      </c>
      <c r="F9" s="241">
        <v>100</v>
      </c>
    </row>
    <row r="10" spans="1:19" ht="20.100000000000001" customHeight="1" x14ac:dyDescent="0.25">
      <c r="A10" s="5" t="str">
        <f>HYPERLINK("#'Input - Site'!A1", "Site")</f>
        <v>Site</v>
      </c>
      <c r="D10" s="44" t="s">
        <v>737</v>
      </c>
      <c r="E10" s="186" t="s">
        <v>738</v>
      </c>
      <c r="F10" s="241">
        <v>100</v>
      </c>
    </row>
    <row r="11" spans="1:19" ht="20.100000000000001" customHeight="1" x14ac:dyDescent="0.25">
      <c r="A11" s="5" t="str">
        <f>HYPERLINK("#'Input - Crop'!A1", "Crop")</f>
        <v>Crop</v>
      </c>
      <c r="D11" s="44" t="s">
        <v>737</v>
      </c>
      <c r="E11" s="186" t="s">
        <v>738</v>
      </c>
      <c r="F11" s="241">
        <v>100</v>
      </c>
    </row>
    <row r="12" spans="1:19" ht="20.100000000000001" customHeight="1" x14ac:dyDescent="0.25">
      <c r="A12" s="5" t="str">
        <f>HYPERLINK("#'Input - Fert Prod System'!A1", "Fert Prod System")</f>
        <v>Fert Prod System</v>
      </c>
      <c r="C12" s="1"/>
      <c r="D12" s="44" t="s">
        <v>733</v>
      </c>
      <c r="E12" s="186" t="s">
        <v>734</v>
      </c>
      <c r="F12" s="241">
        <v>100</v>
      </c>
    </row>
    <row r="13" spans="1:19" ht="20.100000000000001" customHeight="1" x14ac:dyDescent="0.25">
      <c r="A13" s="5" t="str">
        <f>HYPERLINK("#'Input - Fertiliser'!A1", "Fertiliser")</f>
        <v>Fertiliser</v>
      </c>
      <c r="C13" s="1"/>
      <c r="D13" s="44" t="s">
        <v>733</v>
      </c>
      <c r="E13" s="186" t="s">
        <v>734</v>
      </c>
      <c r="F13" s="241">
        <v>100</v>
      </c>
    </row>
    <row r="14" spans="1:19" ht="20.100000000000001" customHeight="1" x14ac:dyDescent="0.25">
      <c r="A14" s="5" t="str">
        <f>HYPERLINK("#'Input - Fuel'!A1", "Fuel")</f>
        <v>Fuel</v>
      </c>
      <c r="D14" s="44"/>
      <c r="E14" s="23"/>
      <c r="F14" s="86"/>
    </row>
    <row r="15" spans="1:19" ht="20.100000000000001" customHeight="1" x14ac:dyDescent="0.25">
      <c r="A15" s="5" t="str">
        <f>HYPERLINK("#'Input - Electricity'!A1", "Electricity")</f>
        <v>Electricity</v>
      </c>
      <c r="D15" s="44"/>
      <c r="E15" s="23"/>
      <c r="F15" s="86"/>
    </row>
    <row r="16" spans="1:19" ht="20.100000000000001" customHeight="1" x14ac:dyDescent="0.25">
      <c r="A16" s="101" t="str">
        <f>HYPERLINK("#'Input - Common farm inputs'!A1", "Common farm inputs")</f>
        <v>Common farm inputs</v>
      </c>
      <c r="D16" s="44"/>
      <c r="E16" s="23"/>
      <c r="F16" s="86"/>
    </row>
    <row r="17" spans="1:10" ht="20.100000000000001" customHeight="1" x14ac:dyDescent="0.25">
      <c r="A17" s="5" t="str">
        <f>HYPERLINK("#'Input - Crop pasture farm input'!A1", "Crop pasture farm input")</f>
        <v>Crop pasture farm input</v>
      </c>
      <c r="C17" s="1"/>
      <c r="D17" s="44"/>
      <c r="E17" s="23"/>
      <c r="F17" s="86"/>
    </row>
    <row r="18" spans="1:10" ht="20.100000000000001" customHeight="1" x14ac:dyDescent="0.25">
      <c r="A18" s="5" t="str">
        <f>HYPERLINK("#'Input - Freight'!A1", "Freight")</f>
        <v>Freight</v>
      </c>
      <c r="C18" s="1"/>
    </row>
    <row r="19" spans="1:10" ht="20.100000000000001" customHeight="1" x14ac:dyDescent="0.25">
      <c r="A19" s="5" t="str">
        <f>HYPERLINK("#'Input - Manure sent off-site'!A1", "Manure sent off-site")</f>
        <v>Manure sent off-site</v>
      </c>
    </row>
    <row r="20" spans="1:10" ht="20.100000000000001" customHeight="1" x14ac:dyDescent="0.25">
      <c r="A20" s="5" t="str">
        <f>HYPERLINK("#'Input - Solid waste'!A1", "Solid waste")</f>
        <v>Solid waste</v>
      </c>
      <c r="D20" s="2" t="s">
        <v>739</v>
      </c>
    </row>
    <row r="21" spans="1:10" ht="20.100000000000001" customHeight="1" x14ac:dyDescent="0.25">
      <c r="A21" s="5" t="str">
        <f>HYPERLINK("#'Input - Data quality'!A1", "Data quality")</f>
        <v>Data quality</v>
      </c>
      <c r="D21" s="36"/>
      <c r="I21" s="35"/>
      <c r="J21" s="35"/>
    </row>
    <row r="22" spans="1:10" ht="20.100000000000001" customHeight="1" x14ac:dyDescent="0.25">
      <c r="A22"/>
      <c r="D22" s="242" t="s">
        <v>740</v>
      </c>
      <c r="E22" s="242" t="s">
        <v>741</v>
      </c>
      <c r="F22" s="242" t="s">
        <v>742</v>
      </c>
      <c r="G22" s="242" t="s">
        <v>496</v>
      </c>
    </row>
    <row r="23" spans="1:10" ht="20.100000000000001" customHeight="1" x14ac:dyDescent="0.25">
      <c r="A23"/>
      <c r="D23" s="44" t="s">
        <v>743</v>
      </c>
      <c r="E23" s="44" t="s">
        <v>744</v>
      </c>
      <c r="F23" s="86">
        <v>10000</v>
      </c>
      <c r="G23" s="23" t="s">
        <v>745</v>
      </c>
    </row>
    <row r="24" spans="1:10" ht="20.100000000000001" customHeight="1" x14ac:dyDescent="0.25">
      <c r="A24" s="6" t="s">
        <v>2</v>
      </c>
      <c r="D24" s="44" t="s">
        <v>746</v>
      </c>
      <c r="E24" s="44" t="s">
        <v>747</v>
      </c>
      <c r="F24" s="86">
        <v>1000</v>
      </c>
      <c r="G24" s="23" t="s">
        <v>748</v>
      </c>
    </row>
    <row r="25" spans="1:10" ht="20.100000000000001" customHeight="1" x14ac:dyDescent="0.25">
      <c r="A25" s="5" t="str">
        <f>HYPERLINK("#'5.1.1.1-2 Inorganic fert N2O'!A1", "5.1.1.1-2 Inorganic fert N2O")</f>
        <v>5.1.1.1-2 Inorganic fert N2O</v>
      </c>
      <c r="C25" s="1"/>
      <c r="D25" s="44"/>
      <c r="E25" s="44"/>
      <c r="F25" s="86"/>
      <c r="G25" s="23"/>
    </row>
    <row r="26" spans="1:10" ht="20.100000000000001" customHeight="1" x14ac:dyDescent="0.25">
      <c r="A26" s="5" t="str">
        <f>HYPERLINK("#'5.1.1.3-4 Inorganic fert CO2'!A1", "5.1.1.3-4 Inorganic fert CO2")</f>
        <v>5.1.1.3-4 Inorganic fert CO2</v>
      </c>
      <c r="C26" s="1"/>
      <c r="D26" s="44"/>
      <c r="E26" s="44"/>
      <c r="F26" s="86"/>
      <c r="G26" s="23"/>
    </row>
    <row r="27" spans="1:10" ht="20.100000000000001" customHeight="1" x14ac:dyDescent="0.25">
      <c r="A27" s="5" t="str">
        <f>HYPERLINK("#'5.2.1.1-2 Organic Fert N2O'!A1", "5.2.1.1-2 Organic fert N2O")</f>
        <v>5.2.1.1-2 Organic fert N2O</v>
      </c>
      <c r="C27" s="1"/>
      <c r="D27" s="44"/>
      <c r="E27" s="44"/>
      <c r="F27" s="86"/>
      <c r="G27" s="23"/>
    </row>
    <row r="28" spans="1:10" ht="20.100000000000001" customHeight="1" x14ac:dyDescent="0.25">
      <c r="A28" s="5" t="str">
        <f>HYPERLINK("#'5.3.1.1-2 Lime CO2'!A1", "5.3.1.1-2 Lime CO2")</f>
        <v>5.3.1.1-2 Lime CO2</v>
      </c>
      <c r="D28" s="44"/>
      <c r="E28" s="44"/>
      <c r="F28" s="86"/>
      <c r="G28" s="23"/>
    </row>
    <row r="29" spans="1:10" ht="20.100000000000001" customHeight="1" x14ac:dyDescent="0.25">
      <c r="A29" s="5" t="str">
        <f>HYPERLINK("#'5.4.1.1-4 Atmos deposition'!A1", "5.4.1.1-4 Atmos. deposition")</f>
        <v>5.4.1.1-4 Atmos. deposition</v>
      </c>
      <c r="D29" s="44"/>
      <c r="E29" s="44"/>
      <c r="F29" s="86"/>
      <c r="G29" s="23"/>
    </row>
    <row r="30" spans="1:10" ht="20.100000000000001" customHeight="1" x14ac:dyDescent="0.25">
      <c r="A30" s="5" t="str">
        <f>HYPERLINK("#'5.5.1.1-2 Leaching and runoff'!A1", "5.5.1.1-2 Leaching &amp; runoff")</f>
        <v>5.5.1.1-2 Leaching &amp; runoff</v>
      </c>
      <c r="D30" s="44"/>
      <c r="E30" s="44"/>
      <c r="F30" s="86"/>
      <c r="G30" s="23"/>
    </row>
    <row r="31" spans="1:10" ht="20.100000000000001" customHeight="1" x14ac:dyDescent="0.25">
      <c r="A31" s="5" t="str">
        <f>HYPERLINK("#'6.1.1.1-2 Crop residue N2O'!A1", "6.1.1.1-2 Crop residue N2O")</f>
        <v>6.1.1.1-2 Crop residue N2O</v>
      </c>
      <c r="D31" s="44"/>
      <c r="E31" s="44"/>
      <c r="F31" s="86"/>
      <c r="G31" s="23"/>
    </row>
    <row r="32" spans="1:10" ht="20.100000000000001" customHeight="1" x14ac:dyDescent="0.25">
      <c r="A32" s="5" t="str">
        <f>HYPERLINK("#'6.3.1.1-2 Leach runoff crop'!A1", "6.3.1.1-2 Leach &amp; runoff (crop)")</f>
        <v>6.3.1.1-2 Leach &amp; runoff (crop)</v>
      </c>
      <c r="D32" s="44"/>
      <c r="E32" s="44"/>
      <c r="F32" s="86"/>
      <c r="G32" s="23"/>
    </row>
    <row r="33" spans="1:6" ht="20.100000000000001" customHeight="1" x14ac:dyDescent="0.25">
      <c r="A33" s="5" t="str">
        <f>HYPERLINK("#'6.4.1.1-2 Residue burning'!A1", "6.4.1.1-2 Residue burning")</f>
        <v>6.4.1.1-2 Residue burning</v>
      </c>
    </row>
    <row r="34" spans="1:6" ht="20.100000000000001" customHeight="1" x14ac:dyDescent="0.25">
      <c r="A34" s="5" t="str">
        <f>HYPERLINK("#'8.1.1.1-2 Transport fuel'!A1", "8.1.1.1-2 Transport fuel")</f>
        <v>8.1.1.1-2 Transport fuel</v>
      </c>
    </row>
    <row r="35" spans="1:6" ht="20.100000000000001" customHeight="1" x14ac:dyDescent="0.25">
      <c r="A35" s="5" t="str">
        <f>HYPERLINK("#'8.2.1.1-2 Stationary fuel'!A1", "8.2.1.1-2 Stationary fuel")</f>
        <v>8.2.1.1-2 Stationary fuel</v>
      </c>
      <c r="D35" s="2" t="s">
        <v>749</v>
      </c>
    </row>
    <row r="36" spans="1:6" ht="20.100000000000001" customHeight="1" x14ac:dyDescent="0.25">
      <c r="A36" s="5" t="str">
        <f>HYPERLINK("#'14.1.1-2 Purchased electricity'!A1", "14.1.1-2 Purchased electricity")</f>
        <v>14.1.1-2 Purchased electricity</v>
      </c>
      <c r="D36" s="36"/>
    </row>
    <row r="37" spans="1:6" ht="20.100000000000001" customHeight="1" x14ac:dyDescent="0.25">
      <c r="A37" s="5" t="str">
        <f>HYPERLINK("#'15 Scope 3'!A1", "15 Scope 3")</f>
        <v>15 Scope 3</v>
      </c>
      <c r="D37" s="92" t="s">
        <v>750</v>
      </c>
      <c r="E37" s="92" t="s">
        <v>588</v>
      </c>
      <c r="F37" s="92" t="s">
        <v>496</v>
      </c>
    </row>
    <row r="38" spans="1:6" ht="20.100000000000001" customHeight="1" x14ac:dyDescent="0.25">
      <c r="A38" s="5" t="str">
        <f>HYPERLINK("#'Calcs - Manure sent off-site'!A1", "Calcs - Manure sent off-site")</f>
        <v>Calcs - Manure sent off-site</v>
      </c>
      <c r="D38" s="44" t="s">
        <v>751</v>
      </c>
      <c r="E38" s="86">
        <v>1000</v>
      </c>
      <c r="F38" s="44" t="s">
        <v>327</v>
      </c>
    </row>
    <row r="39" spans="1:6" ht="20.100000000000001" customHeight="1" x14ac:dyDescent="0.25">
      <c r="A39" s="5" t="str">
        <f>HYPERLINK("#'10.1.1-2 Solid waste treatment'!A1", "10.1.1-2 Solid waste treatment")</f>
        <v>10.1.1-2 Solid waste treatment</v>
      </c>
      <c r="D39" s="44"/>
      <c r="E39" s="86"/>
      <c r="F39" s="44"/>
    </row>
    <row r="40" spans="1:6" ht="20.100000000000001" customHeight="1" x14ac:dyDescent="0.25">
      <c r="A40"/>
      <c r="D40" s="44"/>
      <c r="E40" s="86"/>
      <c r="F40" s="44"/>
    </row>
    <row r="41" spans="1:6" ht="20.100000000000001" customHeight="1" x14ac:dyDescent="0.25">
      <c r="A41"/>
      <c r="D41" s="44"/>
      <c r="E41" s="86"/>
      <c r="F41" s="44"/>
    </row>
    <row r="42" spans="1:6" ht="20.100000000000001" customHeight="1" x14ac:dyDescent="0.25">
      <c r="A42" s="94" t="s">
        <v>1</v>
      </c>
      <c r="D42" s="44"/>
      <c r="E42" s="86"/>
      <c r="F42" s="44"/>
    </row>
    <row r="43" spans="1:6" ht="20.100000000000001" customHeight="1" x14ac:dyDescent="0.25">
      <c r="A43" s="5" t="str">
        <f>HYPERLINK("#'Constants - Ag Residue'!A1", "Constants - Ag residue")</f>
        <v>Constants - Ag residue</v>
      </c>
      <c r="D43" s="44"/>
      <c r="E43" s="86"/>
      <c r="F43" s="44"/>
    </row>
    <row r="44" spans="1:6" ht="20.100000000000001" customHeight="1" x14ac:dyDescent="0.25">
      <c r="A44" s="5" t="str">
        <f>HYPERLINK("#'Constants - Common Livestock'!A1", "Constants - Common Livestock")</f>
        <v>Constants - Common Livestock</v>
      </c>
      <c r="C44" s="1"/>
      <c r="D44" s="44"/>
      <c r="E44" s="86"/>
      <c r="F44" s="44"/>
    </row>
    <row r="45" spans="1:6" ht="20.100000000000001" customHeight="1" x14ac:dyDescent="0.25">
      <c r="A45" s="5" t="str">
        <f>HYPERLINK("#'Constants - Electricity'!A1", "Constants - Electricity")</f>
        <v>Constants - Electricity</v>
      </c>
      <c r="C45" s="1"/>
      <c r="D45" s="44"/>
      <c r="E45" s="86"/>
      <c r="F45" s="44"/>
    </row>
    <row r="46" spans="1:6" ht="20.100000000000001" customHeight="1" x14ac:dyDescent="0.25">
      <c r="A46" s="5" t="str">
        <f>HYPERLINK("#'Constants - Fertiliser'!A1", "Constants - Fertiliser")</f>
        <v>Constants - Fertiliser</v>
      </c>
      <c r="C46" s="1"/>
      <c r="D46" s="44"/>
      <c r="E46" s="86"/>
      <c r="F46" s="44"/>
    </row>
    <row r="47" spans="1:6" ht="20.100000000000001" customHeight="1" x14ac:dyDescent="0.25">
      <c r="A47" s="5" t="str">
        <f>HYPERLINK("#'Constants - Fuel'!A1", "Constants - Fuel")</f>
        <v>Constants - Fuel</v>
      </c>
      <c r="C47" s="1"/>
      <c r="D47" s="44"/>
      <c r="E47" s="86"/>
      <c r="F47" s="44"/>
    </row>
    <row r="48" spans="1:6" ht="20.100000000000001" customHeight="1" x14ac:dyDescent="0.25">
      <c r="A48" s="5" t="str">
        <f>HYPERLINK("#'Constants - Scope 3'!A1", "Constants - Scope 3")</f>
        <v>Constants - Scope 3</v>
      </c>
      <c r="C48" s="1"/>
    </row>
    <row r="49" spans="1:3" ht="20.100000000000001" customHeight="1" x14ac:dyDescent="0.25">
      <c r="A49" s="5" t="str">
        <f>HYPERLINK("#'Constants - Common'!A1", "Constants - Common")</f>
        <v>Constants - Common</v>
      </c>
      <c r="C49" s="1"/>
    </row>
    <row r="50" spans="1:3" ht="20.100000000000001" customHeight="1" x14ac:dyDescent="0.25">
      <c r="A50" s="5" t="str">
        <f>HYPERLINK("#'Constants - Solid Waste'!A1", "Constants - Solid Waste")</f>
        <v>Constants - Solid Waste</v>
      </c>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3"/>
    </row>
    <row r="120" spans="1:16" ht="20.100000000000001" customHeight="1" x14ac:dyDescent="0.25">
      <c r="A120"/>
      <c r="J120" s="35"/>
      <c r="P120" s="243"/>
    </row>
    <row r="121" spans="1:16" ht="20.100000000000001" customHeight="1" x14ac:dyDescent="0.25">
      <c r="A121"/>
      <c r="J121" s="2"/>
      <c r="P121" s="243"/>
    </row>
    <row r="122" spans="1:16" ht="20.100000000000001" customHeight="1" x14ac:dyDescent="0.25">
      <c r="A122"/>
      <c r="G122" s="35"/>
      <c r="H122" s="1"/>
      <c r="J122" s="1"/>
      <c r="P122" s="243"/>
    </row>
    <row r="123" spans="1:16" ht="20.100000000000001" customHeight="1" x14ac:dyDescent="0.25">
      <c r="A123"/>
      <c r="G123" s="35"/>
      <c r="H123" s="1"/>
      <c r="J123" s="1"/>
      <c r="P123" s="243"/>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8"/>
    </row>
    <row r="166" spans="11:19" ht="20.100000000000001" customHeight="1" x14ac:dyDescent="0.25">
      <c r="S166" s="238"/>
    </row>
    <row r="167" spans="11:19" ht="20.100000000000001" customHeight="1" x14ac:dyDescent="0.25">
      <c r="S167" s="238"/>
    </row>
    <row r="168" spans="11:19" ht="20.100000000000001" customHeight="1" x14ac:dyDescent="0.25">
      <c r="S168" s="238"/>
    </row>
    <row r="169" spans="11:19" ht="20.100000000000001" customHeight="1" x14ac:dyDescent="0.25">
      <c r="S169" s="238"/>
    </row>
    <row r="170" spans="11:19" ht="20.100000000000001" customHeight="1" x14ac:dyDescent="0.25">
      <c r="S170" s="238"/>
    </row>
    <row r="171" spans="11:19" ht="20.100000000000001" customHeight="1" x14ac:dyDescent="0.25">
      <c r="S171" s="238"/>
    </row>
    <row r="172" spans="11:19" ht="20.100000000000001" customHeight="1" x14ac:dyDescent="0.25">
      <c r="S172" s="238"/>
    </row>
    <row r="173" spans="11:19" ht="20.100000000000001" customHeight="1" x14ac:dyDescent="0.25">
      <c r="S173" s="238"/>
    </row>
    <row r="174" spans="11:19" ht="20.100000000000001" customHeight="1" x14ac:dyDescent="0.25">
      <c r="S174" s="238"/>
    </row>
    <row r="175" spans="11:19" ht="20.100000000000001" customHeight="1" x14ac:dyDescent="0.25">
      <c r="S175" s="238"/>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8"/>
    </row>
    <row r="181" spans="11:19" ht="20.100000000000001" customHeight="1" x14ac:dyDescent="0.25">
      <c r="S181" s="238"/>
    </row>
    <row r="182" spans="11:19" ht="20.100000000000001" customHeight="1" x14ac:dyDescent="0.25">
      <c r="S182" s="238"/>
    </row>
    <row r="183" spans="11:19" ht="20.100000000000001" customHeight="1" x14ac:dyDescent="0.25">
      <c r="S183" s="238"/>
    </row>
    <row r="184" spans="11:19" ht="20.100000000000001" customHeight="1" x14ac:dyDescent="0.25">
      <c r="S184" s="238"/>
    </row>
    <row r="185" spans="11:19" ht="20.100000000000001" customHeight="1" x14ac:dyDescent="0.25">
      <c r="S185" s="238"/>
    </row>
    <row r="186" spans="11:19" ht="20.100000000000001" customHeight="1" x14ac:dyDescent="0.25">
      <c r="S186" s="238"/>
    </row>
    <row r="187" spans="11:19" ht="20.100000000000001" customHeight="1" x14ac:dyDescent="0.25">
      <c r="S187" s="238"/>
    </row>
    <row r="188" spans="11:19" ht="20.100000000000001" customHeight="1" x14ac:dyDescent="0.25">
      <c r="S188" s="238"/>
    </row>
    <row r="189" spans="11:19" ht="20.100000000000001" customHeight="1" x14ac:dyDescent="0.25">
      <c r="S189" s="238"/>
    </row>
    <row r="190" spans="11:19" ht="20.100000000000001" customHeight="1" x14ac:dyDescent="0.25">
      <c r="S190" s="23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A83C1DEB-3F57-4DAF-AC60-CE800527087A}">
      <formula1>INDIRECT("Table_Scope3_AquacultureFeedBait[Feed / Bait ingredient]")</formula1>
    </dataValidation>
    <dataValidation type="list" allowBlank="1" showInputMessage="1" showErrorMessage="1" sqref="G23:G32" xr:uid="{79B396FA-D195-4EEA-9B8C-CDA3641DB996}">
      <formula1>"Hour, Hectare"</formula1>
    </dataValidation>
    <dataValidation type="list" allowBlank="1" showInputMessage="1" showErrorMessage="1" sqref="E8:E17" xr:uid="{A4742D70-4773-47FF-ACD1-98199B987DB3}">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07F70-C8F6-438B-AFF0-CA193F7FC8B9}">
  <sheetPr>
    <tabColor theme="5" tint="-0.249977111117893"/>
  </sheetPr>
  <dimension ref="A1:S160"/>
  <sheetViews>
    <sheetView showGridLines="0" zoomScaleNormal="100" workbookViewId="0">
      <selection activeCell="A50" sqref="A50"/>
    </sheetView>
  </sheetViews>
  <sheetFormatPr defaultRowHeight="15.75" x14ac:dyDescent="0.25"/>
  <cols>
    <col min="1" max="1" width="3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6" customFormat="1" ht="25.5" x14ac:dyDescent="0.35">
      <c r="C1" s="16" t="s">
        <v>752</v>
      </c>
    </row>
    <row r="2" spans="1:19" s="3" customFormat="1" x14ac:dyDescent="0.25">
      <c r="A2"/>
    </row>
    <row r="3" spans="1:19" ht="20.25" x14ac:dyDescent="0.25">
      <c r="A3" s="5" t="str">
        <f>HYPERLINK("#'Home'!A1", "Home")</f>
        <v>Home</v>
      </c>
      <c r="C3" s="39"/>
      <c r="D3" s="39"/>
      <c r="E3" s="39"/>
      <c r="F3" s="39"/>
      <c r="G3" s="39"/>
      <c r="H3" s="39"/>
      <c r="I3" s="39"/>
      <c r="J3" s="39"/>
      <c r="K3" s="39"/>
      <c r="L3" s="39"/>
      <c r="M3" s="39"/>
      <c r="N3" s="39"/>
      <c r="O3" s="39"/>
      <c r="P3" s="39"/>
      <c r="Q3" s="39"/>
      <c r="R3" s="39"/>
      <c r="S3" s="39"/>
    </row>
    <row r="4" spans="1:19" x14ac:dyDescent="0.25">
      <c r="A4" s="5" t="str">
        <f>HYPERLINK("#'Overview'!A1", "Overview")</f>
        <v>Overview</v>
      </c>
    </row>
    <row r="5" spans="1:19" ht="18.75" x14ac:dyDescent="0.25">
      <c r="A5" s="5" t="str">
        <f>HYPERLINK("#'Results'!A1", "Results")</f>
        <v>Results</v>
      </c>
      <c r="D5" s="244" t="s">
        <v>753</v>
      </c>
      <c r="E5" s="243"/>
      <c r="F5" s="243"/>
      <c r="G5" s="243"/>
      <c r="H5" s="243"/>
      <c r="I5" s="243"/>
      <c r="J5" s="243"/>
    </row>
    <row r="6" spans="1:19" x14ac:dyDescent="0.25">
      <c r="A6"/>
      <c r="D6" s="245" t="s">
        <v>754</v>
      </c>
      <c r="E6" s="245"/>
      <c r="F6" s="96"/>
      <c r="G6" s="55"/>
      <c r="H6" s="35"/>
      <c r="I6" s="35"/>
      <c r="J6" s="35"/>
    </row>
    <row r="7" spans="1:19" x14ac:dyDescent="0.25">
      <c r="A7"/>
      <c r="D7" s="56" t="s">
        <v>755</v>
      </c>
      <c r="E7" s="57"/>
      <c r="F7" s="57"/>
      <c r="G7" s="58"/>
      <c r="H7" s="35"/>
      <c r="I7" s="35"/>
      <c r="J7" s="35"/>
    </row>
    <row r="8" spans="1:19" x14ac:dyDescent="0.25">
      <c r="A8" s="7" t="s">
        <v>0</v>
      </c>
      <c r="D8" s="243"/>
      <c r="E8" s="243"/>
      <c r="F8" s="243"/>
      <c r="G8" s="243"/>
      <c r="H8" s="243"/>
      <c r="I8" s="243"/>
      <c r="J8" s="243"/>
      <c r="K8" s="128"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128"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128"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46" t="s">
        <v>730</v>
      </c>
      <c r="E9" s="246" t="s">
        <v>756</v>
      </c>
      <c r="F9" s="246" t="s">
        <v>757</v>
      </c>
      <c r="G9" s="246" t="s">
        <v>252</v>
      </c>
      <c r="H9" s="246" t="s">
        <v>758</v>
      </c>
      <c r="I9" s="246" t="s">
        <v>759</v>
      </c>
      <c r="J9" s="246" t="s">
        <v>760</v>
      </c>
      <c r="K9" s="247" t="s">
        <v>761</v>
      </c>
      <c r="L9" s="247" t="s">
        <v>762</v>
      </c>
      <c r="M9" s="247" t="s">
        <v>763</v>
      </c>
      <c r="N9" s="247" t="s">
        <v>764</v>
      </c>
      <c r="O9" s="247" t="s">
        <v>765</v>
      </c>
      <c r="P9" s="247" t="s">
        <v>766</v>
      </c>
      <c r="Q9" s="247" t="s">
        <v>767</v>
      </c>
      <c r="R9" s="247" t="s">
        <v>768</v>
      </c>
    </row>
    <row r="10" spans="1:19" x14ac:dyDescent="0.25">
      <c r="A10" s="5" t="str">
        <f>HYPERLINK("#'Input - Site'!A1", "Site")</f>
        <v>Site</v>
      </c>
      <c r="D10" s="93" t="s">
        <v>769</v>
      </c>
      <c r="E10" s="248">
        <v>10</v>
      </c>
      <c r="F10" s="23" t="s">
        <v>325</v>
      </c>
      <c r="G10" s="86">
        <v>100</v>
      </c>
      <c r="H10" s="25">
        <f>Table_Input_Pesticides[[#This Row],[Amount applied per ha]]*Table_Input_Pesticides[[#This Row],[Application area (ha)]]</f>
        <v>1000</v>
      </c>
      <c r="I10" s="23" t="s">
        <v>770</v>
      </c>
      <c r="J10" s="23" t="s">
        <v>771</v>
      </c>
      <c r="K10" s="86">
        <v>100</v>
      </c>
      <c r="L10" s="25">
        <f>Table_Input_Pesticides[[#This Row],[Total applied]]*Table_Input_Pesticides[[#This Row],[Active ingredient 1 amount]]*IF(Table_Input_Pesticides[[#This Row],[Constituent unit (select)]]="fraction of product", 1, 10^-3)</f>
        <v>100</v>
      </c>
      <c r="M10" s="23" t="s">
        <v>771</v>
      </c>
      <c r="N10" s="86">
        <v>100</v>
      </c>
      <c r="O10" s="25">
        <f>Table_Input_Pesticides[[#This Row],[Total applied]]*Table_Input_Pesticides[[#This Row],[Active ingredient 2 amount]]*IF(Table_Input_Pesticides[[#This Row],[Constituent unit (select)]]="fraction of product", 1, 10^-3)</f>
        <v>100</v>
      </c>
      <c r="P10" s="23" t="s">
        <v>772</v>
      </c>
      <c r="Q10" s="86">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Crop'!A1", "Crop")</f>
        <v>Crop</v>
      </c>
      <c r="D11" s="93" t="s">
        <v>773</v>
      </c>
      <c r="E11" s="248">
        <v>10</v>
      </c>
      <c r="F11" s="23" t="s">
        <v>774</v>
      </c>
      <c r="G11" s="86">
        <v>100</v>
      </c>
      <c r="H11" s="25">
        <f>Table_Input_Pesticides[[#This Row],[Amount applied per ha]]*Table_Input_Pesticides[[#This Row],[Application area (ha)]]</f>
        <v>1000</v>
      </c>
      <c r="I11" s="23" t="s">
        <v>770</v>
      </c>
      <c r="J11" s="23" t="s">
        <v>771</v>
      </c>
      <c r="K11" s="86">
        <v>100</v>
      </c>
      <c r="L11" s="25">
        <f>Table_Input_Pesticides[[#This Row],[Total applied]]*Table_Input_Pesticides[[#This Row],[Active ingredient 1 amount]]*IF(Table_Input_Pesticides[[#This Row],[Constituent unit (select)]]="fraction of product", 1, 10^-3)</f>
        <v>100</v>
      </c>
      <c r="M11" s="23" t="s">
        <v>775</v>
      </c>
      <c r="N11" s="86">
        <v>100</v>
      </c>
      <c r="O11" s="25">
        <f>Table_Input_Pesticides[[#This Row],[Total applied]]*Table_Input_Pesticides[[#This Row],[Active ingredient 2 amount]]*IF(Table_Input_Pesticides[[#This Row],[Constituent unit (select)]]="fraction of product", 1, 10^-3)</f>
        <v>100</v>
      </c>
      <c r="P11" s="23" t="s">
        <v>776</v>
      </c>
      <c r="Q11" s="86">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Fert Prod System'!A1", "Fert Prod System")</f>
        <v>Fert Prod System</v>
      </c>
      <c r="D12" s="93" t="s">
        <v>777</v>
      </c>
      <c r="E12" s="248">
        <v>10</v>
      </c>
      <c r="F12" s="23" t="s">
        <v>325</v>
      </c>
      <c r="G12" s="86">
        <v>100</v>
      </c>
      <c r="H12" s="25">
        <f>Table_Input_Pesticides[[#This Row],[Amount applied per ha]]*Table_Input_Pesticides[[#This Row],[Application area (ha)]]</f>
        <v>1000</v>
      </c>
      <c r="I12" s="23" t="s">
        <v>770</v>
      </c>
      <c r="J12" s="23" t="s">
        <v>771</v>
      </c>
      <c r="K12" s="86">
        <v>100</v>
      </c>
      <c r="L12" s="25">
        <f>Table_Input_Pesticides[[#This Row],[Total applied]]*Table_Input_Pesticides[[#This Row],[Active ingredient 1 amount]]*IF(Table_Input_Pesticides[[#This Row],[Constituent unit (select)]]="fraction of product", 1, 10^-3)</f>
        <v>100</v>
      </c>
      <c r="M12" s="23" t="s">
        <v>778</v>
      </c>
      <c r="N12" s="86">
        <v>100</v>
      </c>
      <c r="O12" s="25">
        <f>Table_Input_Pesticides[[#This Row],[Total applied]]*Table_Input_Pesticides[[#This Row],[Active ingredient 2 amount]]*IF(Table_Input_Pesticides[[#This Row],[Constituent unit (select)]]="fraction of product", 1, 10^-3)</f>
        <v>100</v>
      </c>
      <c r="P12" s="23" t="s">
        <v>779</v>
      </c>
      <c r="Q12" s="86">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Fertiliser'!A1", "Fertiliser")</f>
        <v>Fertiliser</v>
      </c>
      <c r="D13" s="93"/>
      <c r="E13" s="248"/>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t="str">
        <f>HYPERLINK("#'Input - Fuel'!A1", "Fuel")</f>
        <v>Fuel</v>
      </c>
      <c r="D14" s="93"/>
      <c r="E14" s="248"/>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t="str">
        <f>HYPERLINK("#'Input - Electricity'!A1", "Electricity")</f>
        <v>Electricity</v>
      </c>
      <c r="D15" s="93"/>
      <c r="E15" s="248"/>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t="str">
        <f>HYPERLINK("#'Input - Common farm inputs'!A1", "Common farm inputs")</f>
        <v>Common farm inputs</v>
      </c>
      <c r="D16" s="93"/>
      <c r="E16" s="248"/>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101" t="str">
        <f>HYPERLINK("#'Input - Crop pasture farm input'!A1", "Crop pasture farm input")</f>
        <v>Crop pasture farm input</v>
      </c>
      <c r="D17" s="93"/>
      <c r="E17" s="248"/>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t="str">
        <f>HYPERLINK("#'Input - Freight'!A1", "Freight")</f>
        <v>Freight</v>
      </c>
      <c r="D18" s="93"/>
      <c r="E18" s="248"/>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t="str">
        <f>HYPERLINK("#'Input - Manure sent off-site'!A1", "Manure sent off-site")</f>
        <v>Manure sent off-site</v>
      </c>
      <c r="D19" s="93"/>
      <c r="E19" s="248"/>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t="str">
        <f>HYPERLINK("#'Input - Solid waste'!A1", "Solid waste")</f>
        <v>Solid waste</v>
      </c>
    </row>
    <row r="21" spans="1:18" x14ac:dyDescent="0.25">
      <c r="A21" s="5" t="str">
        <f>HYPERLINK("#'Input - Data quality'!A1", "Data quality")</f>
        <v>Data quality</v>
      </c>
    </row>
    <row r="22" spans="1:18" ht="23.25" x14ac:dyDescent="0.25">
      <c r="A22"/>
      <c r="D22" s="2" t="s">
        <v>780</v>
      </c>
      <c r="E22" s="240"/>
      <c r="F22" s="240"/>
    </row>
    <row r="23" spans="1:18" x14ac:dyDescent="0.25">
      <c r="A23"/>
      <c r="D23" s="1" t="str">
        <f>'Constants - Scope 3'!E204</f>
        <v>Barley grain (for seed)</v>
      </c>
      <c r="E23" s="86">
        <v>500</v>
      </c>
      <c r="F23" s="26" t="s">
        <v>327</v>
      </c>
    </row>
    <row r="24" spans="1:18" x14ac:dyDescent="0.25">
      <c r="A24" s="6" t="s">
        <v>2</v>
      </c>
      <c r="D24" s="1" t="str">
        <f>'Constants - Scope 3'!E205</f>
        <v>Maize grain (for seed)</v>
      </c>
      <c r="E24" s="86">
        <v>600</v>
      </c>
      <c r="F24" s="26" t="s">
        <v>327</v>
      </c>
    </row>
    <row r="25" spans="1:18" x14ac:dyDescent="0.25">
      <c r="A25" s="5" t="str">
        <f>HYPERLINK("#'5.1.1.1-2 Inorganic fert N2O'!A1", "5.1.1.1-2 Inorganic fert N2O")</f>
        <v>5.1.1.1-2 Inorganic fert N2O</v>
      </c>
      <c r="D25" s="1" t="str">
        <f>'Constants - Scope 3'!E207</f>
        <v>Oat grain (for seed)</v>
      </c>
      <c r="E25" s="86">
        <v>700</v>
      </c>
      <c r="F25" s="26" t="s">
        <v>327</v>
      </c>
    </row>
    <row r="26" spans="1:18" x14ac:dyDescent="0.25">
      <c r="A26" s="5" t="str">
        <f>HYPERLINK("#'5.1.1.3-4 Inorganic fert CO2'!A1", "5.1.1.3-4 Inorganic fert CO2")</f>
        <v>5.1.1.3-4 Inorganic fert CO2</v>
      </c>
      <c r="D26" s="1" t="str">
        <f>'Constants - Scope 3'!E208</f>
        <v>Sorghum grain (for seed)</v>
      </c>
      <c r="E26" s="86">
        <v>800</v>
      </c>
      <c r="F26" s="26" t="s">
        <v>327</v>
      </c>
    </row>
    <row r="27" spans="1:18" x14ac:dyDescent="0.25">
      <c r="A27" s="5" t="str">
        <f>HYPERLINK("#'5.2.1.1-2 Organic Fert N2O'!A1", "5.2.1.1-2 Organic fert N2O")</f>
        <v>5.2.1.1-2 Organic fert N2O</v>
      </c>
      <c r="D27" s="1" t="str">
        <f>'Constants - Scope 3'!E209</f>
        <v>Wheat grain (for seed)</v>
      </c>
      <c r="E27" s="86">
        <v>900</v>
      </c>
      <c r="F27" s="26" t="s">
        <v>327</v>
      </c>
    </row>
    <row r="28" spans="1:18" x14ac:dyDescent="0.25">
      <c r="A28" s="5" t="str">
        <f>HYPERLINK("#'5.3.1.1-2 Lime CO2'!A1", "5.3.1.1-2 Lime CO2")</f>
        <v>5.3.1.1-2 Lime CO2</v>
      </c>
    </row>
    <row r="29" spans="1:18" x14ac:dyDescent="0.25">
      <c r="A29" s="5" t="str">
        <f>HYPERLINK("#'5.4.1.1-4 Atmos deposition'!A1", "5.4.1.1-4 Atmos. deposition")</f>
        <v>5.4.1.1-4 Atmos. deposition</v>
      </c>
    </row>
    <row r="30" spans="1:18" x14ac:dyDescent="0.25">
      <c r="A30" s="5" t="str">
        <f>HYPERLINK("#'5.5.1.1-2 Leaching and runoff'!A1", "5.5.1.1-2 Leaching &amp; runoff")</f>
        <v>5.5.1.1-2 Leaching &amp; runoff</v>
      </c>
    </row>
    <row r="31" spans="1:18" x14ac:dyDescent="0.25">
      <c r="A31" s="5" t="str">
        <f>HYPERLINK("#'6.1.1.1-2 Crop residue N2O'!A1", "6.1.1.1-2 Crop residue N2O")</f>
        <v>6.1.1.1-2 Crop residue N2O</v>
      </c>
    </row>
    <row r="32" spans="1:18"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0" spans="1:1" x14ac:dyDescent="0.25">
      <c r="A40"/>
    </row>
    <row r="41" spans="1:1" x14ac:dyDescent="0.25">
      <c r="A41"/>
    </row>
    <row r="42" spans="1:1" x14ac:dyDescent="0.25">
      <c r="A42" s="94"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1B79C42E-C7E3-4E35-B449-BAEADC25DB9B}">
      <formula1>INDIRECT("Table_SourceData_Scope3_Pesticides[Product]")</formula1>
    </dataValidation>
    <dataValidation type="list" allowBlank="1" showInputMessage="1" showErrorMessage="1" sqref="I10:I19" xr:uid="{AE628AD3-7AD0-4C6A-8CB1-DA51300A594D}">
      <formula1>"grams/litre or grams/kg, fraction of product"</formula1>
    </dataValidation>
    <dataValidation type="list" allowBlank="1" showInputMessage="1" showErrorMessage="1" sqref="F10:F19" xr:uid="{E102FA6A-D84D-48DD-8C57-5BA93D90242A}">
      <formula1>"kg / hectare, litre / hectare"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E19D3-AF5D-427F-ACF1-43B042EB624B}">
  <sheetPr>
    <tabColor theme="5" tint="-0.249977111117893"/>
  </sheetPr>
  <dimension ref="A1:J160"/>
  <sheetViews>
    <sheetView showGridLines="0" zoomScaleNormal="100" workbookViewId="0">
      <selection activeCell="A50" sqref="A50"/>
    </sheetView>
  </sheetViews>
  <sheetFormatPr defaultRowHeight="15.75" x14ac:dyDescent="0.25"/>
  <cols>
    <col min="1" max="1" width="3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6" customFormat="1" ht="30" customHeight="1" x14ac:dyDescent="0.35">
      <c r="C1" s="16" t="s">
        <v>781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782</v>
      </c>
    </row>
    <row r="7" spans="1:10" ht="20.100000000000001" customHeight="1" x14ac:dyDescent="0.25">
      <c r="A7"/>
    </row>
    <row r="8" spans="1:10" ht="20.100000000000001" customHeight="1" x14ac:dyDescent="0.25">
      <c r="A8" s="7" t="s">
        <v>0</v>
      </c>
      <c r="D8" s="30" t="s">
        <v>783</v>
      </c>
      <c r="E8" s="30" t="s">
        <v>784</v>
      </c>
      <c r="F8" s="30" t="s">
        <v>785</v>
      </c>
      <c r="G8" s="30" t="s">
        <v>786</v>
      </c>
      <c r="H8" s="30" t="s">
        <v>787</v>
      </c>
    </row>
    <row r="9" spans="1:10" ht="20.100000000000001" customHeight="1" x14ac:dyDescent="0.25">
      <c r="A9" s="5" t="str">
        <f>HYPERLINK("#'Input - Enterprise'!A1", "Enterprise")</f>
        <v>Enterprise</v>
      </c>
      <c r="D9" s="30" t="s">
        <v>788</v>
      </c>
      <c r="E9" s="23" t="s">
        <v>789</v>
      </c>
      <c r="F9" s="30">
        <v>986</v>
      </c>
      <c r="G9" s="30">
        <v>10</v>
      </c>
      <c r="H9" s="30">
        <v>52</v>
      </c>
    </row>
    <row r="10" spans="1:10" ht="20.100000000000001" customHeight="1" x14ac:dyDescent="0.25">
      <c r="A10" s="5" t="str">
        <f>HYPERLINK("#'Input - Site'!A1", "Site")</f>
        <v>Site</v>
      </c>
      <c r="D10" s="30" t="s">
        <v>790</v>
      </c>
      <c r="E10" s="23" t="s">
        <v>791</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Common farm inputs'!A1", "Common farm inputs")</f>
        <v>Common farm inputs</v>
      </c>
      <c r="D16" s="30"/>
      <c r="E16" s="23"/>
      <c r="F16" s="30"/>
      <c r="G16" s="30"/>
      <c r="H16" s="30"/>
    </row>
    <row r="17" spans="1:8" ht="20.100000000000001" customHeight="1" x14ac:dyDescent="0.25">
      <c r="A17" s="5" t="str">
        <f>HYPERLINK("#'Input - Crop pasture farm input'!A1", "Crop pasture farm input")</f>
        <v>Crop pasture farm input</v>
      </c>
      <c r="D17" s="30"/>
      <c r="E17" s="23"/>
      <c r="F17" s="30"/>
      <c r="G17" s="30"/>
      <c r="H17" s="30"/>
    </row>
    <row r="18" spans="1:8" ht="20.100000000000001" customHeight="1" x14ac:dyDescent="0.25">
      <c r="A18" s="101" t="str">
        <f>HYPERLINK("#'Input - Freight'!A1", "Freight")</f>
        <v>Freight</v>
      </c>
      <c r="D18" s="30"/>
      <c r="E18" s="23"/>
      <c r="F18" s="30"/>
      <c r="G18" s="30"/>
      <c r="H18" s="30"/>
    </row>
    <row r="19" spans="1:8" ht="20.100000000000001" customHeight="1" x14ac:dyDescent="0.25">
      <c r="A19" s="5" t="str">
        <f>HYPERLINK("#'Input - Manure sent off-site'!A1", "Manure sent off-site")</f>
        <v>Manure sent off-site</v>
      </c>
    </row>
    <row r="20" spans="1:8" ht="20.100000000000001" customHeight="1" x14ac:dyDescent="0.25">
      <c r="A20" s="5" t="str">
        <f>HYPERLINK("#'Input - Solid waste'!A1", "Solid waste")</f>
        <v>Solid waste</v>
      </c>
    </row>
    <row r="21" spans="1:8" ht="20.100000000000001" customHeight="1" x14ac:dyDescent="0.25">
      <c r="A21" s="5" t="str">
        <f>HYPERLINK("#'Input - Data quality'!A1", "Data quality")</f>
        <v>Data quality</v>
      </c>
    </row>
    <row r="22" spans="1:8" ht="20.100000000000001" customHeight="1" x14ac:dyDescent="0.25">
      <c r="A22"/>
      <c r="D22" s="2" t="s">
        <v>792</v>
      </c>
    </row>
    <row r="23" spans="1:8" ht="20.100000000000001" customHeight="1" x14ac:dyDescent="0.25">
      <c r="A23"/>
    </row>
    <row r="24" spans="1:8" ht="20.100000000000001" customHeight="1" x14ac:dyDescent="0.25">
      <c r="A24" s="6" t="s">
        <v>2</v>
      </c>
      <c r="D24" s="30" t="s">
        <v>783</v>
      </c>
      <c r="E24" s="30" t="s">
        <v>784</v>
      </c>
      <c r="F24" s="30" t="s">
        <v>785</v>
      </c>
      <c r="G24" s="30" t="s">
        <v>786</v>
      </c>
      <c r="H24" s="30" t="s">
        <v>787</v>
      </c>
    </row>
    <row r="25" spans="1:8" ht="20.100000000000001" customHeight="1" x14ac:dyDescent="0.25">
      <c r="A25" s="5" t="str">
        <f>HYPERLINK("#'5.1.1.1-2 Inorganic fert N2O'!A1", "5.1.1.1-2 Inorganic fert N2O")</f>
        <v>5.1.1.1-2 Inorganic fert N2O</v>
      </c>
      <c r="D25" s="30" t="s">
        <v>793</v>
      </c>
      <c r="E25" s="23" t="s">
        <v>789</v>
      </c>
      <c r="F25" s="30">
        <v>65</v>
      </c>
      <c r="G25" s="30">
        <v>20</v>
      </c>
      <c r="H25" s="30">
        <v>52</v>
      </c>
    </row>
    <row r="26" spans="1:8" ht="20.100000000000001" customHeight="1" x14ac:dyDescent="0.25">
      <c r="A26" s="5" t="str">
        <f>HYPERLINK("#'5.1.1.3-4 Inorganic fert CO2'!A1", "5.1.1.3-4 Inorganic fert CO2")</f>
        <v>5.1.1.3-4 Inorganic fert CO2</v>
      </c>
      <c r="D26" s="30"/>
      <c r="E26" s="23"/>
      <c r="F26" s="30"/>
      <c r="G26" s="30"/>
      <c r="H26" s="30"/>
    </row>
    <row r="27" spans="1:8" ht="20.100000000000001" customHeight="1" x14ac:dyDescent="0.25">
      <c r="A27" s="5" t="str">
        <f>HYPERLINK("#'5.2.1.1-2 Organic Fert N2O'!A1", "5.2.1.1-2 Organic fert N2O")</f>
        <v>5.2.1.1-2 Organic fert N2O</v>
      </c>
      <c r="D27" s="30"/>
      <c r="E27" s="23"/>
      <c r="F27" s="30"/>
      <c r="G27" s="30"/>
      <c r="H27" s="30"/>
    </row>
    <row r="28" spans="1:8" ht="20.100000000000001" customHeight="1" x14ac:dyDescent="0.25">
      <c r="A28" s="5" t="str">
        <f>HYPERLINK("#'5.3.1.1-2 Lime CO2'!A1", "5.3.1.1-2 Lime CO2")</f>
        <v>5.3.1.1-2 Lime CO2</v>
      </c>
      <c r="D28" s="30"/>
      <c r="E28" s="23"/>
      <c r="F28" s="30"/>
      <c r="G28" s="30"/>
      <c r="H28" s="30"/>
    </row>
    <row r="29" spans="1:8" ht="20.100000000000001" customHeight="1" x14ac:dyDescent="0.25">
      <c r="A29" s="5" t="str">
        <f>HYPERLINK("#'5.4.1.1-4 Atmos deposition'!A1", "5.4.1.1-4 Atmos. deposition")</f>
        <v>5.4.1.1-4 Atmos. deposition</v>
      </c>
      <c r="D29" s="30"/>
      <c r="E29" s="23"/>
      <c r="F29" s="30"/>
      <c r="G29" s="30"/>
      <c r="H29" s="30"/>
    </row>
    <row r="30" spans="1:8" ht="20.100000000000001" customHeight="1" x14ac:dyDescent="0.25">
      <c r="A30" s="5" t="str">
        <f>HYPERLINK("#'5.5.1.1-2 Leaching and runoff'!A1", "5.5.1.1-2 Leaching &amp; runoff")</f>
        <v>5.5.1.1-2 Leaching &amp; runoff</v>
      </c>
      <c r="D30" s="30"/>
      <c r="E30" s="23"/>
      <c r="F30" s="30"/>
      <c r="G30" s="30"/>
      <c r="H30" s="30"/>
    </row>
    <row r="31" spans="1:8" ht="20.100000000000001" customHeight="1" x14ac:dyDescent="0.25">
      <c r="A31" s="5" t="str">
        <f>HYPERLINK("#'6.1.1.1-2 Crop residue N2O'!A1", "6.1.1.1-2 Crop residue N2O")</f>
        <v>6.1.1.1-2 Crop residue N2O</v>
      </c>
      <c r="D31" s="30"/>
      <c r="E31" s="23"/>
      <c r="F31" s="30"/>
      <c r="G31" s="30"/>
      <c r="H31" s="30"/>
    </row>
    <row r="32" spans="1:8" ht="20.100000000000001" customHeight="1" x14ac:dyDescent="0.25">
      <c r="A32" s="5" t="str">
        <f>HYPERLINK("#'6.3.1.1-2 Leach runoff crop'!A1", "6.3.1.1-2 Leach &amp; runoff (crop)")</f>
        <v>6.3.1.1-2 Leach &amp; runoff (crop)</v>
      </c>
      <c r="D32" s="30"/>
      <c r="E32" s="23"/>
      <c r="F32" s="30"/>
      <c r="G32" s="30"/>
      <c r="H32" s="30"/>
    </row>
    <row r="33" spans="1:8" ht="20.100000000000001" customHeight="1" x14ac:dyDescent="0.25">
      <c r="A33" s="5" t="str">
        <f>HYPERLINK("#'6.4.1.1-2 Residue burning'!A1", "6.4.1.1-2 Residue burning")</f>
        <v>6.4.1.1-2 Residue burning</v>
      </c>
      <c r="D33" s="30"/>
      <c r="E33" s="23"/>
      <c r="F33" s="30"/>
      <c r="G33" s="30"/>
      <c r="H33" s="30"/>
    </row>
    <row r="34" spans="1:8" ht="20.100000000000001" customHeight="1" x14ac:dyDescent="0.25">
      <c r="A34" s="5" t="str">
        <f>HYPERLINK("#'8.1.1.1-2 Transport fuel'!A1", "8.1.1.1-2 Transport fuel")</f>
        <v>8.1.1.1-2 Transport fuel</v>
      </c>
      <c r="D34" s="30"/>
      <c r="E34" s="23"/>
      <c r="F34" s="30"/>
      <c r="G34" s="30"/>
      <c r="H34" s="30"/>
    </row>
    <row r="35" spans="1:8" ht="20.100000000000001" customHeight="1" x14ac:dyDescent="0.25">
      <c r="A35" s="5" t="str">
        <f>HYPERLINK("#'8.2.1.1-2 Stationary fuel'!A1", "8.2.1.1-2 Stationary fuel")</f>
        <v>8.2.1.1-2 Stationary fuel</v>
      </c>
    </row>
    <row r="36" spans="1:8" ht="20.100000000000001" customHeight="1" x14ac:dyDescent="0.25">
      <c r="A36" s="5" t="str">
        <f>HYPERLINK("#'14.1.1-2 Purchased electricity'!A1", "14.1.1-2 Purchased electricity")</f>
        <v>14.1.1-2 Purchased electricity</v>
      </c>
    </row>
    <row r="37" spans="1:8" ht="20.100000000000001" customHeight="1" x14ac:dyDescent="0.25">
      <c r="A37" s="5" t="str">
        <f>HYPERLINK("#'15 Scope 3'!A1", "15 Scope 3")</f>
        <v>15 Scope 3</v>
      </c>
    </row>
    <row r="38" spans="1:8" ht="20.100000000000001" customHeight="1" x14ac:dyDescent="0.25">
      <c r="A38" s="5" t="str">
        <f>HYPERLINK("#'Calcs - Manure sent off-site'!A1", "Calcs - Manure sent off-site")</f>
        <v>Calcs - Manure sent off-site</v>
      </c>
    </row>
    <row r="39" spans="1:8" ht="20.100000000000001" customHeight="1" x14ac:dyDescent="0.25">
      <c r="A39" s="5" t="str">
        <f>HYPERLINK("#'10.1.1-2 Solid waste treatment'!A1", "10.1.1-2 Solid waste treatment")</f>
        <v>10.1.1-2 Solid waste treatment</v>
      </c>
    </row>
    <row r="40" spans="1:8" ht="20.100000000000001" customHeight="1" x14ac:dyDescent="0.25">
      <c r="A40"/>
    </row>
    <row r="41" spans="1:8" ht="20.100000000000001" customHeight="1" x14ac:dyDescent="0.25">
      <c r="A41"/>
    </row>
    <row r="42" spans="1:8" ht="20.100000000000001" customHeight="1" x14ac:dyDescent="0.25">
      <c r="A42" s="94" t="s">
        <v>1</v>
      </c>
    </row>
    <row r="43" spans="1:8" ht="20.100000000000001" customHeight="1" x14ac:dyDescent="0.25">
      <c r="A43" s="5" t="str">
        <f>HYPERLINK("#'Constants - Ag Residue'!A1", "Constants - Ag residue")</f>
        <v>Constants - Ag residue</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row>
    <row r="46" spans="1:8" ht="20.100000000000001" customHeight="1" x14ac:dyDescent="0.25">
      <c r="A46" s="5" t="str">
        <f>HYPERLINK("#'Constants - Fertiliser'!A1", "Constants - Fertiliser")</f>
        <v>Constants - Fertiliser</v>
      </c>
    </row>
    <row r="47" spans="1:8" ht="20.100000000000001" customHeight="1" x14ac:dyDescent="0.25">
      <c r="A47" s="5" t="str">
        <f>HYPERLINK("#'Constants - Fuel'!A1", "Constants - Fuel")</f>
        <v>Constants - Fuel</v>
      </c>
    </row>
    <row r="48" spans="1:8"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43D8B2F1-0E38-4E4E-B68D-F6646958B5E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B7F61-9372-4DAD-895B-2DAE9B76F4D6}">
  <sheetPr>
    <tabColor theme="5" tint="-0.249977111117893"/>
  </sheetPr>
  <dimension ref="A1:K160"/>
  <sheetViews>
    <sheetView showGridLines="0" zoomScaleNormal="100" workbookViewId="0">
      <selection activeCell="A50" sqref="A50"/>
    </sheetView>
  </sheetViews>
  <sheetFormatPr defaultRowHeight="15.75" x14ac:dyDescent="0.25"/>
  <cols>
    <col min="1" max="1" width="3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25.5" x14ac:dyDescent="0.35">
      <c r="A1" s="16" t="e" vm="1">
        <v>#VALUE!</v>
      </c>
      <c r="C1" s="16" t="s">
        <v>794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795</v>
      </c>
    </row>
    <row r="6" spans="1:11" x14ac:dyDescent="0.25">
      <c r="A6"/>
    </row>
    <row r="7" spans="1:11" x14ac:dyDescent="0.25">
      <c r="A7"/>
      <c r="D7" s="1" t="s">
        <v>796</v>
      </c>
    </row>
    <row r="8" spans="1:11" ht="18.75" x14ac:dyDescent="0.25">
      <c r="A8" s="7" t="s">
        <v>0</v>
      </c>
      <c r="D8" s="1" t="s">
        <v>797</v>
      </c>
    </row>
    <row r="9" spans="1:11" x14ac:dyDescent="0.25">
      <c r="A9" s="5" t="str">
        <f>HYPERLINK("#'Input - Enterprise'!A1", "Enterprise")</f>
        <v>Enterprise</v>
      </c>
    </row>
    <row r="10" spans="1:11" x14ac:dyDescent="0.25">
      <c r="A10" s="5" t="str">
        <f>HYPERLINK("#'Input - Site'!A1", "Site")</f>
        <v>Site</v>
      </c>
      <c r="D10" s="1" t="s">
        <v>798</v>
      </c>
      <c r="F10" s="86">
        <v>1000</v>
      </c>
      <c r="G10" s="26" t="s">
        <v>799</v>
      </c>
    </row>
    <row r="11" spans="1:11" x14ac:dyDescent="0.25">
      <c r="A11" s="5" t="str">
        <f>HYPERLINK("#'Input - Crop'!A1", "Crop")</f>
        <v>Crop</v>
      </c>
      <c r="D11" s="1" t="s">
        <v>800</v>
      </c>
      <c r="F11" s="86">
        <v>2000</v>
      </c>
      <c r="G11" s="26" t="s">
        <v>799</v>
      </c>
    </row>
    <row r="12" spans="1:11" x14ac:dyDescent="0.25">
      <c r="A12" s="5" t="str">
        <f>HYPERLINK("#'Input - Fert Prod System'!A1", "Fert Prod System")</f>
        <v>Fert Prod System</v>
      </c>
    </row>
    <row r="13" spans="1:11" x14ac:dyDescent="0.25">
      <c r="A13" s="5" t="str">
        <f>HYPERLINK("#'Input - Fertiliser'!A1", "Fertiliser")</f>
        <v>Fertiliser</v>
      </c>
      <c r="D13" s="1" t="s">
        <v>801</v>
      </c>
      <c r="F13" s="23" t="s">
        <v>184</v>
      </c>
      <c r="G13" s="26" t="s">
        <v>100</v>
      </c>
    </row>
    <row r="14" spans="1:11" x14ac:dyDescent="0.25">
      <c r="A14" s="5" t="str">
        <f>HYPERLINK("#'Input - Fuel'!A1", "Fuel")</f>
        <v>Fuel</v>
      </c>
      <c r="D14" s="1" t="s">
        <v>802</v>
      </c>
      <c r="F14" s="23" t="s">
        <v>415</v>
      </c>
      <c r="G14" s="26" t="s">
        <v>100</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101" t="str">
        <f>HYPERLINK("#'Input - Manure sent off-site'!A1", "Manure sent off-site")</f>
        <v>Manure sent off-site</v>
      </c>
    </row>
    <row r="20" spans="1:1" x14ac:dyDescent="0.25">
      <c r="A20" s="5" t="str">
        <f>HYPERLINK("#'Input - Solid waste'!A1", "Solid waste")</f>
        <v>Solid waste</v>
      </c>
    </row>
    <row r="21" spans="1:1" x14ac:dyDescent="0.25">
      <c r="A21" s="5" t="str">
        <f>HYPERLINK("#'Input - Data quality'!A1", "Data quality")</f>
        <v>Data quality</v>
      </c>
    </row>
    <row r="22" spans="1:1" x14ac:dyDescent="0.25">
      <c r="A22"/>
    </row>
    <row r="23" spans="1:1" x14ac:dyDescent="0.25">
      <c r="A23"/>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0" spans="1:1" x14ac:dyDescent="0.25">
      <c r="A40"/>
    </row>
    <row r="41" spans="1:1" x14ac:dyDescent="0.25">
      <c r="A41"/>
    </row>
    <row r="42" spans="1:1" x14ac:dyDescent="0.25">
      <c r="A42" s="94"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BE4CA216-2EED-4B35-8A14-B82C4BBF8314}">
      <formula1>INDIRECT("Table_SourceData_Fertiliser_IrrigationMethods[Irrigation method]")</formula1>
    </dataValidation>
    <dataValidation type="list" allowBlank="1" showInputMessage="1" showErrorMessage="1" sqref="F13" xr:uid="{9635A539-A9F4-4314-A91C-99051262334B}">
      <formula1>INDIRECT("Table_SourceData_Fertiliser_CropProdSystems[Production system]")</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7A653-90B1-4E56-A172-4287F3117B8F}">
  <dimension ref="A1:X342"/>
  <sheetViews>
    <sheetView showGridLines="0" topLeftCell="F80"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310</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4" t="s">
        <v>311</v>
      </c>
      <c r="E7" s="134"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312</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312</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5" t="str" cm="1">
        <f t="array" ref="M12:N13">_xlfn.CHOOSECOLS(Fertiliser_Equations_InorganicN2O.VEERG_5_1_1_2__1_EmissionFactorIrrigatedMaize_Arguments(), 1, 2)</f>
        <v>N_fjIrrigatedMaize</v>
      </c>
      <c r="N12" s="136" t="str">
        <v>application rate of inorganic fertiliser type f in the irrigated maize crop</v>
      </c>
      <c r="O12" s="137"/>
      <c r="P12" s="135" t="str" cm="1">
        <f t="array" ref="P12:Q13">_xlfn.CHOOSECOLS(Fertiliser_Equations_InorganicN2O.VEERG_5_1_1_2__1_EmissionFactorIrrigatedMaize_Arguments(), 3,4)</f>
        <v>kg N/ha</v>
      </c>
      <c r="Q12" s="138" t="str">
        <v>Input</v>
      </c>
      <c r="R12" s="140" t="str" cm="1">
        <f t="array" aca="1" ref="R12" ca="1">HYPERLINK(Common_InputFunctions.Utility_SourceHyperlink($M$41), $M$41)</f>
        <v>M2_Table_FertApplications</v>
      </c>
      <c r="S12" s="141"/>
    </row>
    <row r="13" spans="1:24" ht="20.100000000000001" customHeight="1" x14ac:dyDescent="0.25">
      <c r="A13" s="5" t="str">
        <f>HYPERLINK("#'Input - Fertiliser'!A1", "Fertiliser")</f>
        <v>Fertiliser</v>
      </c>
      <c r="D13" s="135" t="str" cm="1">
        <f t="array" ref="D13:E14">_xlfn.CHOOSECOLS(Fertiliser_Equations_InorganicN2O.VEERG_5_1_1_1__2_MassOfNitrogenInInorganicFertiliser_Arguments(), 1,2)</f>
        <v>TM_jf</v>
      </c>
      <c r="E13" s="135" t="str">
        <v>total mass of inorganic fertiliser type f applied to production system j</v>
      </c>
      <c r="F13" s="135"/>
      <c r="G13" s="135" t="str" cm="1">
        <f t="array" ref="G13:H14">_xlfn.CHOOSECOLS(Fertiliser_Equations_InorganicN2O.VEERG_5_1_1_1__2_MassOfNitrogenInInorganicFertiliser_Arguments(), 3,4)</f>
        <v>kg</v>
      </c>
      <c r="H13" s="138" t="str">
        <v>Input</v>
      </c>
      <c r="I13" s="142" t="str" cm="1">
        <f t="array" aca="1" ref="I13" ca="1">HYPERLINK(Common_InputFunctions.Utility_SourceHyperlink($D$16), $D$16)</f>
        <v>Table_MN_j_f</v>
      </c>
      <c r="M13" s="135" t="str">
        <v>f</v>
      </c>
      <c r="N13" s="136" t="str">
        <v>Inorganic fertiliser type</v>
      </c>
      <c r="O13" s="137"/>
      <c r="P13" s="135" t="str">
        <v/>
      </c>
      <c r="Q13" s="139" t="str">
        <v>Constant</v>
      </c>
      <c r="R13" s="136" t="s">
        <v>313</v>
      </c>
      <c r="S13" s="141"/>
    </row>
    <row r="14" spans="1:24" ht="20.100000000000001" customHeight="1" x14ac:dyDescent="0.25">
      <c r="A14" s="5" t="str">
        <f>HYPERLINK("#'Input - Fuel'!A1", "Fuel")</f>
        <v>Fuel</v>
      </c>
      <c r="D14" s="135" t="str">
        <v>FN_inorganicf</v>
      </c>
      <c r="E14" s="136" t="str">
        <v xml:space="preserve">fraction of nitrogen in inorganic fertiliser type f </v>
      </c>
      <c r="F14" s="144"/>
      <c r="G14" s="135" t="str">
        <v>kg N/kg</v>
      </c>
      <c r="H14" s="139" t="str">
        <v>Constant</v>
      </c>
      <c r="I14" s="142"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Common farm inputs'!A1", "Common farm inputs")</f>
        <v>Common farm inputs</v>
      </c>
      <c r="D16" s="145" t="s">
        <v>314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Crop pasture farm input'!A1", "Crop pasture farm input")</f>
        <v>Crop pasture farm input</v>
      </c>
      <c r="D17" s="146" t="s">
        <v>315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Freight'!A1", "Freight")</f>
        <v>Freight</v>
      </c>
      <c r="D18" s="147" t="s">
        <v>316</v>
      </c>
      <c r="E18" s="92" t="s">
        <v>317</v>
      </c>
      <c r="F18" s="147" t="s">
        <v>318</v>
      </c>
      <c r="G18" s="147" t="s">
        <v>319</v>
      </c>
    </row>
    <row r="19" spans="1:19"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312</v>
      </c>
      <c r="N20" s="1" t="str" cm="1">
        <f t="array" ref="N20">Fertiliser_Equations_InorganicN2O.VEERG_5_1_1_2__2_EmissionFactorNonIrrigatedGrainsHighRainfall_Variable()</f>
        <v>EF_fjNonIrrigatedGrainsN2O</v>
      </c>
    </row>
    <row r="21" spans="1:19" ht="20.100000000000001" customHeight="1" x14ac:dyDescent="0.25">
      <c r="A21" s="5" t="str">
        <f>HYPERLINK("#'Input - Data quality'!A1", "Data quality")</f>
        <v>Data quality</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121</v>
      </c>
      <c r="N21" s="15" t="str" cm="1">
        <f t="array" ref="N21">Fertiliser_Equations_InorganicN2O.VEERG_5_1_1_2__2_EmissionFactorNonIrrigatedGrainsHighRainfall_Unit()</f>
        <v>kg N2O-N/kg N applied</v>
      </c>
    </row>
    <row r="22" spans="1:19"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5" t="str" cm="1">
        <f t="array" ref="M23:N24">_xlfn.CHOOSECOLS(Fertiliser_Equations_InorganicN2O.VEERG_5_1_1_2__2_EmissionFactorNonIrrigatedGrainsHighRainfall_Arguments(), 1, 2)</f>
        <v>N_fjNonIrrigatedGrains</v>
      </c>
      <c r="N23" s="136" t="str">
        <v>application rate of inorganic fertiliser type f in the grains crop</v>
      </c>
      <c r="O23" s="137"/>
      <c r="P23" s="135" t="str" cm="1">
        <f t="array" ref="P23:Q24">_xlfn.CHOOSECOLS(Fertiliser_Equations_InorganicN2O.VEERG_5_1_1_2__2_EmissionFactorNonIrrigatedGrainsHighRainfall_Arguments(), 3,4)</f>
        <v>kg N/ha</v>
      </c>
      <c r="Q23" s="138" t="str">
        <v>Input</v>
      </c>
      <c r="R23" s="140" t="str" cm="1">
        <f t="array" aca="1" ref="R23" ca="1">HYPERLINK(Common_InputFunctions.Utility_SourceHyperlink($M$41), $M$41)</f>
        <v>M2_Table_FertApplications</v>
      </c>
      <c r="S23" s="144"/>
    </row>
    <row r="24" spans="1:19"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35" t="str">
        <v>f</v>
      </c>
      <c r="N24" s="136" t="str">
        <v>Inorganic fertiliser type</v>
      </c>
      <c r="O24" s="137"/>
      <c r="P24" s="135" t="str">
        <v/>
      </c>
      <c r="Q24" s="139" t="str">
        <v>Constant</v>
      </c>
      <c r="R24" s="136" t="s">
        <v>313</v>
      </c>
      <c r="S24" s="144"/>
    </row>
    <row r="25" spans="1:19" ht="20.100000000000001" customHeight="1" x14ac:dyDescent="0.25">
      <c r="A25" s="143" t="str">
        <f>HYPERLINK("#'5.1.1.1-2 Inorganic fert N2O'!A1", "5.1.1.1-2 Inorganic fert N2O")</f>
        <v>5.1.1.1-2 Inorganic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HYPERLINK("#'5.1.1.3-4 Inorganic fert CO2'!A1", "5.1.1.3-4 Inorganic fert CO2")</f>
        <v>5.1.1.3-4 Inorganic fert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A27" s="5" t="str">
        <f>HYPERLINK("#'5.2.1.1-2 Organic Fert N2O'!A1", "5.2.1.1-2 Organic fert N2O")</f>
        <v>5.2.1.1-2 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A28" s="5" t="str">
        <f>HYPERLINK("#'5.3.1.1-2 Lime CO2'!A1", "5.3.1.1-2 Lime CO2")</f>
        <v>5.3.1.1-2 Lime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5" t="str">
        <f>HYPERLINK("#'5.4.1.1-4 Atmos deposition'!A1", "5.4.1.1-4 Atmos. deposition")</f>
        <v>5.4.1.1-4 Atmos. deposition</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t="str">
        <f>HYPERLINK("#'5.5.1.1-2 Leaching and runoff'!A1", "5.5.1.1-2 Leaching &amp; runoff")</f>
        <v>5.5.1.1-2 Leaching &amp; runoff</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HYPERLINK("#'6.1.1.1-2 Crop residue N2O'!A1", "6.1.1.1-2 Crop residue N2O")</f>
        <v>6.1.1.1-2 Crop residue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HYPERLINK("#'6.3.1.1-2 Leach runoff crop'!A1", "6.3.1.1-2 Leach &amp; runoff (crop)")</f>
        <v>6.3.1.1-2 Leach &amp; runoff (crop)</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312</v>
      </c>
      <c r="N32" s="1" t="str" cm="1">
        <f t="array" ref="N32">Fertiliser_Equations_InorganicN2O.VEERG_5_1_1_2__3_EmissionFactorCotton_Variable()</f>
        <v>EF_fjCottonN2O</v>
      </c>
    </row>
    <row r="33" spans="1:23" ht="20.100000000000001" customHeight="1" x14ac:dyDescent="0.25">
      <c r="A33" s="5" t="str">
        <f>HYPERLINK("#'6.4.1.1-2 Residue burning'!A1", "6.4.1.1-2 Residue burning")</f>
        <v>6.4.1.1-2 Residue burning</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121</v>
      </c>
      <c r="N33" s="15" t="str" cm="1">
        <f t="array" ref="N33">Fertiliser_Equations_InorganicN2O.VEERG_5_1_1_2__3_EmissionFactorCotton_Unit()</f>
        <v>kg N2O-N/kg N applied</v>
      </c>
    </row>
    <row r="34" spans="1:23" ht="20.100000000000001" customHeight="1" x14ac:dyDescent="0.25">
      <c r="A34" s="5" t="str">
        <f>HYPERLINK("#'8.1.1.1-2 Transport fuel'!A1", "8.1.1.1-2 Transport fuel")</f>
        <v>8.1.1.1-2 Transport fuel</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HYPERLINK("#'8.2.1.1-2 Stationary fuel'!A1", "8.2.1.1-2 Stationary fuel")</f>
        <v>8.2.1.1-2 Stationary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35" t="str" cm="1">
        <f t="array" ref="M35:N36">_xlfn.CHOOSECOLS(Fertiliser_Equations_InorganicN2O.VEERG_5_1_1_2__3_EmissionFactorCotton_Arguments(), 1, 2)</f>
        <v>N_fjCotton</v>
      </c>
      <c r="N35" s="136" t="str">
        <v>application rate of inorganic fertiliser type f in the cotton crop</v>
      </c>
      <c r="O35" s="137"/>
      <c r="P35" s="136" t="str" cm="1">
        <f t="array" ref="P35:Q36">_xlfn.CHOOSECOLS(Fertiliser_Equations_InorganicN2O.VEERG_5_1_1_2__3_EmissionFactorCotton_Arguments(), 3,4)</f>
        <v>kg N/ha</v>
      </c>
      <c r="Q35" s="138" t="str">
        <v>Input</v>
      </c>
      <c r="R35" s="140" t="str" cm="1">
        <f t="array" aca="1" ref="R35" ca="1">HYPERLINK(Common_InputFunctions.Utility_SourceHyperlink($M$41), $M$41)</f>
        <v>M2_Table_FertApplications</v>
      </c>
      <c r="S35" s="144"/>
    </row>
    <row r="36" spans="1:23" ht="20.100000000000001" customHeight="1" x14ac:dyDescent="0.25">
      <c r="A36" s="5" t="str">
        <f>HYPERLINK("#'14.1.1-2 Purchased electricity'!A1", "14.1.1-2 Purchased electricity")</f>
        <v>14.1.1-2 Purchased electricity</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35" t="str">
        <v>f</v>
      </c>
      <c r="N36" s="136" t="str">
        <v>Inorganic fertiliser type</v>
      </c>
      <c r="O36" s="137"/>
      <c r="P36" s="136" t="str">
        <v/>
      </c>
      <c r="Q36" s="139" t="str">
        <v>Constant</v>
      </c>
      <c r="R36" s="136" t="s">
        <v>313</v>
      </c>
      <c r="S36" s="144"/>
    </row>
    <row r="37" spans="1:23" ht="20.100000000000001" customHeight="1" x14ac:dyDescent="0.25">
      <c r="A37" s="5" t="str">
        <f>HYPERLINK("#'15 Scope 3'!A1", "15 Scope 3")</f>
        <v>15 Scope 3</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HYPERLINK("#'Calcs - Manure sent off-site'!A1", "Calcs - Manure sent off-site")</f>
        <v>Calcs - Manure sent off-site</v>
      </c>
      <c r="N38" s="128"/>
      <c r="O38" s="128"/>
      <c r="P38" s="128"/>
    </row>
    <row r="39" spans="1:23" ht="20.100000000000001" customHeight="1" x14ac:dyDescent="0.25">
      <c r="A39" s="5" t="str">
        <f>HYPERLINK("#'10.1.1-2 Solid waste treatment'!A1", "10.1.1-2 Solid waste treatment")</f>
        <v>10.1.1-2 Solid waste treatment</v>
      </c>
      <c r="C39" s="148"/>
      <c r="D39" s="148"/>
      <c r="E39" s="148"/>
      <c r="F39" s="148"/>
      <c r="G39" s="148"/>
      <c r="H39" s="148"/>
      <c r="I39" s="148"/>
      <c r="J39" s="148"/>
      <c r="M39" s="128" t="s">
        <v>320</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c r="M40" s="80" t="s">
        <v>321</v>
      </c>
      <c r="N40" s="80"/>
      <c r="O40" s="80"/>
      <c r="P40" s="80"/>
      <c r="Q40" s="80"/>
      <c r="R40" s="80"/>
      <c r="S40" s="80"/>
    </row>
    <row r="41" spans="1:23" ht="20.100000000000001" customHeight="1" x14ac:dyDescent="0.25">
      <c r="D41" s="27" t="str" cm="1">
        <f t="array" ref="D41">Fertiliser_Equations_InorganicN2O.VEERG_5_1_1_1__1_InorganicFertiliserApplicationN2OEmissions_Source()</f>
        <v>VEERG 2026: 5.1.1.1, Equation (1)</v>
      </c>
      <c r="M41" s="145" t="s">
        <v>322</v>
      </c>
      <c r="T41" s="149" t="s">
        <v>323</v>
      </c>
    </row>
    <row r="42" spans="1:23" ht="20.100000000000001" customHeight="1" x14ac:dyDescent="0.25">
      <c r="A42" s="94" t="s">
        <v>1</v>
      </c>
      <c r="D42" s="134" t="s">
        <v>311</v>
      </c>
      <c r="E42" s="134" t="str" cm="1">
        <f t="array" aca="1" ref="E42" ca="1">Common_InputFunctions.Utility_DisplayFunctionName($E$60)</f>
        <v>=Fertiliser_Equations_InorganicN2O.VEERG_5_1_1_1__1_InorganicFertiliserApplicationN2OEmissions</v>
      </c>
      <c r="F42" s="26"/>
      <c r="M42" s="146" t="s">
        <v>324</v>
      </c>
    </row>
    <row r="43" spans="1:23" ht="20.100000000000001" customHeight="1" x14ac:dyDescent="0.25">
      <c r="A43" s="5" t="str">
        <f>HYPERLINK("#'Constants - Ag Residue'!A1", "Constants - Ag residue")</f>
        <v>Constants - Ag residue</v>
      </c>
      <c r="F43" s="26"/>
      <c r="O43" s="150" t="s">
        <v>325</v>
      </c>
      <c r="P43" s="150" t="s">
        <v>326</v>
      </c>
      <c r="Q43" s="150" t="s">
        <v>327</v>
      </c>
      <c r="R43" s="150" t="str">
        <f>$N$10</f>
        <v>kg N2O-N/kg N applied</v>
      </c>
      <c r="S43" s="150" t="str">
        <f>$N$21</f>
        <v>kg N2O-N/kg N applied</v>
      </c>
      <c r="T43" s="150" t="s">
        <v>325</v>
      </c>
      <c r="U43" s="150" t="s">
        <v>327</v>
      </c>
      <c r="V43" s="150" t="str">
        <f>$N$33</f>
        <v>kg N2O-N/kg N applied</v>
      </c>
      <c r="W43" s="150" t="s">
        <v>328</v>
      </c>
    </row>
    <row r="44" spans="1:23" ht="20.100000000000001" customHeight="1" x14ac:dyDescent="0.25">
      <c r="A44" s="5" t="str">
        <f>HYPERLINK("#'Constants - Common Livestock'!A1", "Constants - Common Livestock")</f>
        <v>Constants - Common Livestock</v>
      </c>
      <c r="F44" s="26"/>
      <c r="M44" s="147" t="s">
        <v>329</v>
      </c>
      <c r="N44" s="92" t="s">
        <v>329</v>
      </c>
      <c r="O44" s="92" t="s">
        <v>330</v>
      </c>
      <c r="P44" s="92" t="s">
        <v>331</v>
      </c>
      <c r="Q44" s="147" t="s">
        <v>332</v>
      </c>
      <c r="R44" s="147" t="str">
        <f>N9</f>
        <v>EF_fjIrrigatedMaizeN2O</v>
      </c>
      <c r="S44" s="147" t="str">
        <f>N20</f>
        <v>EF_fjNonIrrigatedGrainsN2O</v>
      </c>
      <c r="T44" s="147" t="s">
        <v>333</v>
      </c>
      <c r="U44" s="147" t="s">
        <v>334</v>
      </c>
      <c r="V44" s="147" t="str">
        <f>N32</f>
        <v>EF_fjCottonN2O</v>
      </c>
      <c r="W44" s="147" t="s">
        <v>335</v>
      </c>
    </row>
    <row r="45" spans="1:23" ht="20.100000000000001" customHeight="1" x14ac:dyDescent="0.25">
      <c r="A45" s="5" t="str">
        <f>HYPERLINK("#'Constants - Electricity'!A1", "Constants - Electricity")</f>
        <v>Constants - Electricity</v>
      </c>
      <c r="F45" s="26"/>
      <c r="M45" s="25" t="s">
        <v>336</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Fertiliser'!A1", "Constants - Fertiliser")</f>
        <v>Constants - Fertiliser</v>
      </c>
      <c r="D46" s="88" t="s">
        <v>312</v>
      </c>
      <c r="E46" s="1" t="str" cm="1">
        <f t="array" ref="E46">Fertiliser_Equations_InorganicN2O.VEERG_5_1_1_1__1_InorganicFertiliserApplicationN2OEmissions_Variable()</f>
        <v>E_N2O</v>
      </c>
      <c r="F46" s="26"/>
      <c r="M46" s="25" t="s">
        <v>336</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1:23" ht="20.100000000000001" customHeight="1" x14ac:dyDescent="0.25">
      <c r="A47" s="5" t="str">
        <f>HYPERLINK("#'Constants - Fuel'!A1", "Constants - Fuel")</f>
        <v>Constants - Fuel</v>
      </c>
      <c r="D47" s="88" t="s">
        <v>121</v>
      </c>
      <c r="E47" s="15" t="str" cm="1">
        <f t="array" ref="E47">Fertiliser_Equations_InorganicN2O.VEERG_5_1_1_1__1_InorganicFertiliserApplicationN2OEmissions_Unit()</f>
        <v>t N2O</v>
      </c>
      <c r="F47" s="26"/>
      <c r="M47" s="25" t="s">
        <v>336</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1:23" ht="20.100000000000001" customHeight="1" x14ac:dyDescent="0.25">
      <c r="A48" s="5" t="str">
        <f>HYPERLINK("#'Constants - Scope 3'!A1", "Constants - Scope 3")</f>
        <v>Constants - Scope 3</v>
      </c>
      <c r="F48" s="26"/>
      <c r="M48" s="25" t="s">
        <v>336</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s="5" t="str">
        <f>HYPERLINK("#'Constants - Common'!A1", "Constants - Common")</f>
        <v>Constants - Common</v>
      </c>
      <c r="D49" s="135" t="str" cm="1">
        <f t="array" ref="D49:E55">_xlfn.CHOOSECOLS(Fertiliser_Equations_InorganicN2O.VEERG_5_1_1_1__1_InorganicFertiliserApplicationN2OEmissions_Arguments(), 1, 2)</f>
        <v>MN_jf</v>
      </c>
      <c r="E49" s="136" t="str">
        <v>mass of nitrogen in inorganic fertiliser type f applied to production system j</v>
      </c>
      <c r="F49" s="137"/>
      <c r="G49" s="135" t="str" cm="1">
        <f t="array" ref="G49:H55">_xlfn.CHOOSECOLS(Fertiliser_Equations_InorganicN2O.VEERG_5_1_1_1__1_InorganicFertiliserApplicationN2OEmissions_Arguments(), 3,4)</f>
        <v>kg N</v>
      </c>
      <c r="H49" s="139" t="str">
        <v>Calculated from 5.1.1.1 (2)</v>
      </c>
      <c r="I49" s="142" t="str" cm="1">
        <f t="array" aca="1" ref="I49" ca="1">HYPERLINK(Common_InputFunctions.Utility_SourceHyperlink(D16), D16)</f>
        <v>Table_MN_j_f</v>
      </c>
      <c r="M49" s="25" t="s">
        <v>336</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s="5" t="str">
        <f>HYPERLINK("#'Constants - Solid Waste'!A1", "Constants - Solid Waste")</f>
        <v>Constants - Solid Waste</v>
      </c>
      <c r="D50" s="135" t="str">
        <v>EF_jN2O</v>
      </c>
      <c r="E50" s="136" t="str">
        <v>emission factor for nitrous oxide for inorganic fertilisers</v>
      </c>
      <c r="F50" s="137"/>
      <c r="G50" s="135" t="str">
        <v>kg N2O-N/kg N applied</v>
      </c>
      <c r="H50" s="139" t="str">
        <v>Constant</v>
      </c>
      <c r="I50" s="135">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336</v>
      </c>
      <c r="N50" s="25">
        <v>0</v>
      </c>
      <c r="O50" s="25">
        <v>0</v>
      </c>
      <c r="P50" s="25">
        <v>1000</v>
      </c>
      <c r="Q50" s="25"/>
      <c r="R50" s="25"/>
      <c r="S50" s="25"/>
      <c r="T50" s="25"/>
      <c r="U50" s="25"/>
      <c r="V50" s="25"/>
      <c r="W50" s="25"/>
    </row>
    <row r="51" spans="1:23" ht="20.100000000000001" customHeight="1" x14ac:dyDescent="0.25">
      <c r="D51" s="135" t="str">
        <v>C_N2O</v>
      </c>
      <c r="E51" s="136" t="str">
        <v>factor to convert elemental mass of nitrous oxide to molecular mass</v>
      </c>
      <c r="F51" s="137"/>
      <c r="G51" s="135" t="str">
        <v/>
      </c>
      <c r="H51" s="139" t="str">
        <v>Constant</v>
      </c>
      <c r="I51" s="135">
        <f>Common_InputFunctions.Utility_LookupValueInTableNumber("N2O",Table_GasToMolecularConversionFactor[Gas],Table_GasToMolecularConversionFactor[Conversion factor combined])</f>
        <v>1.5714285714285714</v>
      </c>
      <c r="M51" s="25" t="s">
        <v>336</v>
      </c>
      <c r="N51" s="25">
        <v>0</v>
      </c>
      <c r="O51" s="25">
        <v>0</v>
      </c>
      <c r="P51" s="25">
        <v>1000</v>
      </c>
      <c r="Q51" s="25"/>
      <c r="R51" s="25"/>
      <c r="S51" s="25"/>
      <c r="T51" s="25"/>
      <c r="U51" s="25"/>
      <c r="V51" s="25"/>
      <c r="W51" s="25"/>
    </row>
    <row r="52" spans="1:23" ht="20.100000000000001" customHeight="1" x14ac:dyDescent="0.25">
      <c r="D52" s="135" t="str">
        <v>j</v>
      </c>
      <c r="E52" s="136" t="str">
        <v>Production system</v>
      </c>
      <c r="F52" s="137"/>
      <c r="G52" s="135" t="str">
        <v/>
      </c>
      <c r="H52" s="138" t="str">
        <v>Input</v>
      </c>
      <c r="I52" s="135" t="str">
        <f>X_Cell_Fertiliser_ProductionSystem</f>
        <v>Crop</v>
      </c>
      <c r="M52" s="25" t="s">
        <v>336</v>
      </c>
      <c r="N52" s="25">
        <v>0</v>
      </c>
      <c r="O52" s="25">
        <v>0</v>
      </c>
      <c r="P52" s="25">
        <v>1000</v>
      </c>
      <c r="Q52" s="25"/>
      <c r="R52" s="25"/>
      <c r="S52" s="25"/>
      <c r="T52" s="25"/>
      <c r="U52" s="25"/>
      <c r="V52" s="25"/>
      <c r="W52" s="25"/>
    </row>
    <row r="53" spans="1:23" ht="20.100000000000001" customHeight="1" x14ac:dyDescent="0.25">
      <c r="D53" s="135" t="str">
        <v>f</v>
      </c>
      <c r="E53" s="136" t="str">
        <v>Inorganic fertiliser type</v>
      </c>
      <c r="F53" s="137"/>
      <c r="G53" s="135" t="str">
        <v/>
      </c>
      <c r="H53" s="139" t="str">
        <v>Constant</v>
      </c>
      <c r="I53" s="135" t="str">
        <f>"See " &amp; D57</f>
        <v>See M1_Table_E_N2O</v>
      </c>
      <c r="M53" s="25" t="s">
        <v>336</v>
      </c>
      <c r="N53" s="25">
        <v>0</v>
      </c>
      <c r="O53" s="25">
        <v>0</v>
      </c>
      <c r="P53" s="25">
        <v>1000</v>
      </c>
      <c r="Q53" s="25"/>
      <c r="R53" s="25"/>
      <c r="S53" s="25"/>
      <c r="T53" s="25"/>
      <c r="U53" s="25"/>
      <c r="V53" s="25"/>
      <c r="W53" s="25"/>
    </row>
    <row r="54" spans="1:23" ht="20.100000000000001" customHeight="1" x14ac:dyDescent="0.25">
      <c r="D54" s="135" t="str">
        <v>ir</v>
      </c>
      <c r="E54" s="136" t="str">
        <v>irrigation method</v>
      </c>
      <c r="F54" s="137"/>
      <c r="G54" s="135" t="str">
        <v/>
      </c>
      <c r="H54" s="138" t="str">
        <v>Input</v>
      </c>
      <c r="I54" s="135" t="str">
        <f>X_Cell_Fertiliser_IrrigationMethod</f>
        <v>Sprinkler irrigation</v>
      </c>
      <c r="M54" s="25" t="s">
        <v>336</v>
      </c>
      <c r="N54" s="25">
        <v>0</v>
      </c>
      <c r="O54" s="25">
        <v>0</v>
      </c>
      <c r="P54" s="25">
        <v>1000</v>
      </c>
      <c r="Q54" s="25"/>
      <c r="R54" s="25"/>
      <c r="S54" s="25"/>
      <c r="T54" s="25"/>
      <c r="U54" s="25"/>
      <c r="V54" s="25"/>
      <c r="W54" s="25"/>
    </row>
    <row r="55" spans="1:23" ht="20.100000000000001" customHeight="1" x14ac:dyDescent="0.25">
      <c r="D55" s="135" t="str">
        <v>z</v>
      </c>
      <c r="E55" s="136" t="str">
        <v>rainfall zone</v>
      </c>
      <c r="F55" s="137"/>
      <c r="G55" s="135" t="str">
        <v/>
      </c>
      <c r="H55" s="138" t="str">
        <v>Input</v>
      </c>
      <c r="I55" s="135" t="str">
        <f>X_Cell_Site_RainfallZone</f>
        <v>High rainfall</v>
      </c>
      <c r="M55" s="25" t="s">
        <v>337</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1:23" ht="20.100000000000001" customHeight="1" x14ac:dyDescent="0.25">
      <c r="F56" s="26"/>
      <c r="M56" s="25" t="s">
        <v>337</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1:23" ht="20.100000000000001" customHeight="1" x14ac:dyDescent="0.25">
      <c r="D57" s="145" t="s">
        <v>338</v>
      </c>
      <c r="F57" s="26"/>
      <c r="M57" s="25" t="s">
        <v>337</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1:23" ht="20.100000000000001" customHeight="1" x14ac:dyDescent="0.25">
      <c r="D58" s="146" t="s">
        <v>339</v>
      </c>
      <c r="F58" s="26"/>
      <c r="M58" s="25" t="s">
        <v>337</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D59" s="147" t="s">
        <v>316</v>
      </c>
      <c r="E59" s="147" t="s">
        <v>340</v>
      </c>
      <c r="M59" s="25" t="s">
        <v>337</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337</v>
      </c>
      <c r="N60" s="25">
        <v>0</v>
      </c>
      <c r="O60" s="25">
        <v>0</v>
      </c>
      <c r="P60" s="25">
        <v>1000</v>
      </c>
      <c r="Q60" s="25"/>
      <c r="R60" s="25"/>
      <c r="S60" s="25"/>
      <c r="T60" s="25"/>
      <c r="U60" s="25"/>
      <c r="V60" s="25"/>
      <c r="W60" s="25"/>
    </row>
    <row r="61" spans="1:23" ht="20.100000000000001" customHeight="1" x14ac:dyDescent="0.25">
      <c r="D61" s="25" t="str">
        <v>Diammonium phosphate (DAP)</v>
      </c>
      <c r="E61" s="25" cm="1">
        <f t="array" ref="E61">Fertiliser_Equations_InorganicN2O.VEERG_5_1_1_1__1_InorganicFertiliserApplicationN2OEmissions(G20,$I$50,$I$51)</f>
        <v>0</v>
      </c>
      <c r="M61" s="25" t="s">
        <v>337</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1.2759999340000001</v>
      </c>
      <c r="M62" s="25" t="s">
        <v>337</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337</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337</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0.13640000000000002</v>
      </c>
      <c r="L67" s="148"/>
      <c r="M67" s="148"/>
      <c r="N67" s="148"/>
      <c r="O67" s="148"/>
      <c r="P67" s="148"/>
      <c r="Q67" s="148"/>
      <c r="R67" s="148"/>
      <c r="S67" s="148"/>
      <c r="T67" s="148"/>
      <c r="U67" s="148"/>
      <c r="V67" s="148"/>
      <c r="W67" s="148"/>
      <c r="X67" s="148"/>
    </row>
    <row r="68" spans="4:24" ht="20.100000000000001" customHeight="1" x14ac:dyDescent="0.25">
      <c r="D68" s="25" t="str">
        <v>Nitrogen - Nitrate</v>
      </c>
      <c r="E68" s="25" cm="1">
        <f t="array" ref="E68">Fertiliser_Equations_InorganicN2O.VEERG_5_1_1_1__1_InorganicFertiliserApplicationN2OEmissions(G27,$I$50,$I$51)</f>
        <v>6.0499999999999998E-2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34" t="s">
        <v>311</v>
      </c>
      <c r="N70" s="134"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312</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121</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0.45292500000000002</v>
      </c>
      <c r="M77" s="135" t="str" cm="1">
        <f t="array" ref="M77:N84">_xlfn.CHOOSECOLS(Fertiliser_Equations_InorganicN2O.VEERG_5_1_1_1__1_InorganicFertiliserApplicationN2OEmissions_Arguments_Method2(), 1, 2)</f>
        <v>MN_jf</v>
      </c>
      <c r="N77" s="136" t="str">
        <v>mass of nitrogen in inorganic fertiliser type f applied to production system j</v>
      </c>
      <c r="O77" s="137"/>
      <c r="P77" s="144"/>
      <c r="Q77" s="135" t="str" cm="1">
        <f t="array" ref="Q77:R84">_xlfn.CHOOSECOLS(Fertiliser_Equations_InorganicN2O.VEERG_5_1_1_1__1_InorganicFertiliserApplicationN2OEmissions_Arguments_Method2(), 3,4)</f>
        <v>kg N</v>
      </c>
      <c r="R77" s="139" t="str">
        <v>Calculated from 5.1.1.1 (2)</v>
      </c>
      <c r="S77" s="142"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8.5250000000000006E-2</v>
      </c>
      <c r="M78" s="135" t="str">
        <v>EF_jN2O</v>
      </c>
      <c r="N78" s="136" t="str">
        <v>emission factor for nitrous oxide for inorganic fertilisers</v>
      </c>
      <c r="O78" s="137"/>
      <c r="P78" s="144"/>
      <c r="Q78" s="135" t="str">
        <v>kg N2O-N/kg N applied</v>
      </c>
      <c r="R78" s="139" t="str">
        <v>Calculated from 5.1.1.2 (1)(2)(3)</v>
      </c>
      <c r="S78" s="135" t="str" cm="1">
        <f t="array" ref="S78">_xlfn.IFS(
  AND(S80="crop", S81="grains", S83="not irrigated", S84="high rainfall"), $S$44,
  AND(S80="Crop", S81="maize", S83&lt;&gt;"not irrigated"), $R$44,
  AND(S80="Crop", S81="cotton"), $V$44,
  TRUE, $W$44
)</f>
        <v>EF_jN2O</v>
      </c>
    </row>
    <row r="79" spans="4:24" ht="20.100000000000001" customHeight="1" x14ac:dyDescent="0.25">
      <c r="M79" s="135" t="str">
        <v>C_N2O</v>
      </c>
      <c r="N79" s="136" t="str">
        <v>factor to convert elemental mass of nitrous oxide to molecular mass</v>
      </c>
      <c r="O79" s="137"/>
      <c r="P79" s="144"/>
      <c r="Q79" s="135" t="str">
        <v/>
      </c>
      <c r="R79" s="139" t="str">
        <v>Constant</v>
      </c>
      <c r="S79" s="135">
        <f>Common_InputFunctions.Utility_LookupValueInTableNumber("N2O",Table_GasToMolecularConversionFactor[Gas],Table_GasToMolecularConversionFactor[Conversion factor combined])</f>
        <v>1.5714285714285714</v>
      </c>
    </row>
    <row r="80" spans="4:24" ht="20.100000000000001" customHeight="1" x14ac:dyDescent="0.25">
      <c r="D80" s="151" t="s">
        <v>341</v>
      </c>
      <c r="E80" s="152">
        <f>SUM(E60:E78)</f>
        <v>2.0110749340000003</v>
      </c>
      <c r="F80" s="153" t="str">
        <f>$E$47</f>
        <v>t N2O</v>
      </c>
      <c r="M80" s="135" t="str">
        <v>j</v>
      </c>
      <c r="N80" s="136" t="str">
        <v>Production system</v>
      </c>
      <c r="O80" s="137"/>
      <c r="P80" s="144"/>
      <c r="Q80" s="135" t="str">
        <v/>
      </c>
      <c r="R80" s="138" t="str">
        <v>Input</v>
      </c>
      <c r="S80" s="135" t="str">
        <f>X_Cell_Fertiliser_ProductionSystem</f>
        <v>Crop</v>
      </c>
    </row>
    <row r="81" spans="4:19" ht="20.100000000000001" customHeight="1" x14ac:dyDescent="0.25">
      <c r="M81" s="135" t="str">
        <v>c</v>
      </c>
      <c r="N81" s="136" t="str">
        <v>Crop type</v>
      </c>
      <c r="O81" s="137"/>
      <c r="P81" s="144"/>
      <c r="Q81" s="135" t="str">
        <v/>
      </c>
      <c r="R81" s="138" t="str">
        <v>Input</v>
      </c>
      <c r="S81" s="135" t="str">
        <f>X_Cell_Fertiliser_CropType</f>
        <v>Grains</v>
      </c>
    </row>
    <row r="82" spans="4:19" ht="20.100000000000001" customHeight="1" x14ac:dyDescent="0.25">
      <c r="D82" s="135" t="str" cm="1">
        <f t="array" ref="D82:E83">Common_Equations.Common_ConvertN2OToCO2e_Arguments()</f>
        <v>EN2O</v>
      </c>
      <c r="E82" s="136" t="str">
        <v>Nitrous oxide emissions (t N2O)</v>
      </c>
      <c r="F82" s="154"/>
      <c r="G82" s="25">
        <f>VEERG_5_1_1_1__1_InorganicFertiliserApplicationN2OEmissions_Result_Method1</f>
        <v>2.0110749340000003</v>
      </c>
      <c r="M82" s="135" t="str">
        <v>f</v>
      </c>
      <c r="N82" s="136" t="str">
        <v>Inorganic fertiliser type</v>
      </c>
      <c r="O82" s="137"/>
      <c r="P82" s="144"/>
      <c r="Q82" s="135" t="str">
        <v/>
      </c>
      <c r="R82" s="139" t="str">
        <v>Constant</v>
      </c>
      <c r="S82" s="135" t="s">
        <v>342</v>
      </c>
    </row>
    <row r="83" spans="4:19" ht="20.100000000000001" customHeight="1" x14ac:dyDescent="0.25">
      <c r="D83" s="135" t="str">
        <v>GWPN2O</v>
      </c>
      <c r="E83" s="136" t="str">
        <v>Global warming potential for nitrous oxide (t CO2-e / t N2O)</v>
      </c>
      <c r="F83" s="154"/>
      <c r="G83" s="25">
        <f>Common_InputFunctions.Utility_LookupValueInTableNumber("N2O",Table_GWPData[Gas],Table_GWPData[CO2-e factor])</f>
        <v>265</v>
      </c>
      <c r="M83" s="135" t="str">
        <v>ir</v>
      </c>
      <c r="N83" s="136" t="str">
        <v>irrigation method</v>
      </c>
      <c r="O83" s="137"/>
      <c r="P83" s="144"/>
      <c r="Q83" s="135" t="str">
        <v/>
      </c>
      <c r="R83" s="138" t="str">
        <v>Input</v>
      </c>
      <c r="S83" s="135" t="str">
        <f>X_Cell_Fertiliser_IrrigationMethod</f>
        <v>Sprinkler irrigation</v>
      </c>
    </row>
    <row r="84" spans="4:19" ht="20.100000000000001" customHeight="1" x14ac:dyDescent="0.25">
      <c r="M84" s="136" t="str">
        <v>z</v>
      </c>
      <c r="N84" s="136" t="str">
        <v>rainfall zone</v>
      </c>
      <c r="O84" s="137"/>
      <c r="P84" s="137"/>
      <c r="Q84" s="135" t="str">
        <v/>
      </c>
      <c r="R84" s="138" t="str">
        <v>Input</v>
      </c>
      <c r="S84" s="135" t="str">
        <f>X_Cell_Site_RainfallZone</f>
        <v>High rainfall</v>
      </c>
    </row>
    <row r="85" spans="4:19" ht="20.100000000000001" customHeight="1" x14ac:dyDescent="0.25">
      <c r="D85" s="148" t="s">
        <v>343</v>
      </c>
      <c r="E85" s="148" cm="1">
        <f t="array" ref="E85">Common_Equations.Common_ConvertN2OToCO2e(G82,G83)</f>
        <v>532.93485751000003</v>
      </c>
      <c r="F85" s="155" t="str" cm="1">
        <f t="array" ref="F85">Common_Equations.Common_ConvertN2OToCO2e_Unit()</f>
        <v>t CO2e</v>
      </c>
    </row>
    <row r="86" spans="4:19" ht="20.100000000000001" customHeight="1" x14ac:dyDescent="0.25">
      <c r="M86" s="147" t="s">
        <v>329</v>
      </c>
      <c r="N86" s="147" t="s">
        <v>329</v>
      </c>
      <c r="O86" s="147" t="s">
        <v>344</v>
      </c>
      <c r="P86" s="147" t="s">
        <v>340</v>
      </c>
    </row>
    <row r="87" spans="4:19" ht="20.100000000000001" customHeight="1" x14ac:dyDescent="0.25">
      <c r="M87" s="25" t="s">
        <v>336</v>
      </c>
      <c r="N87" s="25" t="str" cm="1">
        <f t="array" ref="N87:N96">Table_Input_InorganicFertiliser_Brands[Product (select)]</f>
        <v>Urea</v>
      </c>
      <c r="O87" s="25" cm="1">
        <f t="array" ref="O87">_xlfn.XLOOKUP(N87,$N$45:$N$64,_xlfn.XLOOKUP($S$78,$R$44:$W$44,$R$45:$W$64), "")</f>
        <v>7.0000000000000001E-3</v>
      </c>
      <c r="P87" s="25" cm="1">
        <f t="array" ref="P87">Fertiliser_Equations_InorganicN2O.VEERG_5_1_1_1__1_InorganicFertiliserApplicationN2OEmissions(Q45,O87,$S$79)</f>
        <v>0.50600000000000001</v>
      </c>
    </row>
    <row r="88" spans="4:19" ht="20.100000000000001" customHeight="1" x14ac:dyDescent="0.25">
      <c r="M88" s="25" t="s">
        <v>336</v>
      </c>
      <c r="N88" s="25" t="str">
        <v>Boost-It</v>
      </c>
      <c r="O88" s="25" cm="1">
        <f t="array" ref="O88">_xlfn.XLOOKUP(N88,$N$45:$N$64,_xlfn.XLOOKUP($S$78,$R$44:$W$44,$R$45:$W$64), "")</f>
        <v>7.0000000000000001E-3</v>
      </c>
      <c r="P88" s="25" cm="1">
        <f t="array" ref="P88">Fertiliser_Equations_InorganicN2O.VEERG_5_1_1_1__1_InorganicFertiliserApplicationN2OEmissions(Q46,O88,$S$79)</f>
        <v>0.26400000000000001</v>
      </c>
    </row>
    <row r="89" spans="4:19" ht="20.100000000000001" customHeight="1" x14ac:dyDescent="0.25">
      <c r="M89" s="25" t="s">
        <v>336</v>
      </c>
      <c r="N89" s="25" t="str">
        <v>Cal-Gran 50/50</v>
      </c>
      <c r="O89" s="25" cm="1">
        <f t="array" ref="O89">_xlfn.XLOOKUP(N89,$N$45:$N$64,_xlfn.XLOOKUP($S$78,$R$44:$W$44,$R$45:$W$64), "")</f>
        <v>7.0000000000000001E-3</v>
      </c>
      <c r="P89" s="25" cm="1">
        <f t="array" ref="P89">Fertiliser_Equations_InorganicN2O.VEERG_5_1_1_1__1_InorganicFertiliserApplicationN2OEmissions(Q47,O89,$S$79)</f>
        <v>0.19690000000000002</v>
      </c>
    </row>
    <row r="90" spans="4:19" ht="20.100000000000001" customHeight="1" x14ac:dyDescent="0.25">
      <c r="M90" s="25" t="s">
        <v>336</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336</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336</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336</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336</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336</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336</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337</v>
      </c>
      <c r="N97" s="25" t="str" cm="1">
        <f t="array" ref="N97:N106">Table_Input_InorganicFertiliser_Custom[Custom blend name]</f>
        <v>My first custom blend</v>
      </c>
      <c r="O97" s="25" cm="1">
        <f t="array" ref="O97">_xlfn.XLOOKUP(N97,$N$45:$N$64,_xlfn.XLOOKUP($S$78,$R$44:$W$44,$R$45:$W$64), "")</f>
        <v>7.0000000000000001E-3</v>
      </c>
      <c r="P97" s="25" cm="1">
        <f t="array" ref="P97">Fertiliser_Equations_InorganicN2O.VEERG_5_1_1_1__1_InorganicFertiliserApplicationN2OEmissions(Q55,O97,$S$79)</f>
        <v>8.5250000000000006E-2</v>
      </c>
    </row>
    <row r="98" spans="13:16" ht="20.100000000000001" customHeight="1" x14ac:dyDescent="0.25">
      <c r="M98" s="25" t="s">
        <v>337</v>
      </c>
      <c r="N98" s="25" t="str">
        <v>My second custom blend</v>
      </c>
      <c r="O98" s="25" cm="1">
        <f t="array" ref="O98">_xlfn.XLOOKUP(N98,$N$45:$N$64,_xlfn.XLOOKUP($S$78,$R$44:$W$44,$R$45:$W$64), "")</f>
        <v>7.0000000000000001E-3</v>
      </c>
      <c r="P98" s="25" cm="1">
        <f t="array" ref="P98">Fertiliser_Equations_InorganicN2O.VEERG_5_1_1_1__1_InorganicFertiliserApplicationN2OEmissions(Q56,O98,$S$79)</f>
        <v>0.50600000000000001</v>
      </c>
    </row>
    <row r="99" spans="13:16" ht="20.100000000000001" customHeight="1" x14ac:dyDescent="0.25">
      <c r="M99" s="25" t="s">
        <v>337</v>
      </c>
      <c r="N99" s="25" t="str">
        <v>My third custom blend</v>
      </c>
      <c r="O99" s="25" cm="1">
        <f t="array" ref="O99">_xlfn.XLOOKUP(N99,$N$45:$N$64,_xlfn.XLOOKUP($S$78,$R$44:$W$44,$R$45:$W$64), "")</f>
        <v>7.0000000000000001E-3</v>
      </c>
      <c r="P99" s="25" cm="1">
        <f t="array" ref="P99">Fertiliser_Equations_InorganicN2O.VEERG_5_1_1_1__1_InorganicFertiliserApplicationN2OEmissions(Q57,O99,$S$79)</f>
        <v>0.45292500000000002</v>
      </c>
    </row>
    <row r="100" spans="13:16" ht="20.100000000000001" customHeight="1" x14ac:dyDescent="0.25">
      <c r="M100" s="25" t="s">
        <v>337</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337</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337</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337</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337</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337</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337</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51" t="s">
        <v>341</v>
      </c>
      <c r="N108" s="152">
        <f>SUM(P87:P106)</f>
        <v>2.0110749999999999</v>
      </c>
      <c r="O108" s="153" t="str">
        <f>$E$47</f>
        <v>t N2O</v>
      </c>
    </row>
    <row r="109" spans="13:16" ht="20.100000000000001" customHeight="1" x14ac:dyDescent="0.25"/>
    <row r="110" spans="13:16" ht="20.100000000000001" customHeight="1" x14ac:dyDescent="0.25">
      <c r="M110" s="135" t="str" cm="1">
        <f t="array" ref="M110:N111">Common_Equations.Common_ConvertN2OToCO2e_Arguments()</f>
        <v>EN2O</v>
      </c>
      <c r="N110" s="136" t="str">
        <v>Nitrous oxide emissions (t N2O)</v>
      </c>
      <c r="O110" s="154"/>
      <c r="P110" s="25">
        <f>VEERG_5_1_1_1__1_InorganicFertiliserApplicationN2OEmissions_Result_Method2</f>
        <v>2.0110749999999999</v>
      </c>
    </row>
    <row r="111" spans="13:16" ht="20.100000000000001" customHeight="1" x14ac:dyDescent="0.25">
      <c r="M111" s="135" t="str">
        <v>GWPN2O</v>
      </c>
      <c r="N111" s="136" t="str">
        <v>Global warming potential for nitrous oxide (t CO2-e / t N2O)</v>
      </c>
      <c r="O111" s="154"/>
      <c r="P111" s="25">
        <f>Common_InputFunctions.Utility_LookupValueInTableNumber("N2O",Table_GWPData[Gas],Table_GWPData[CO2-e factor])</f>
        <v>265</v>
      </c>
    </row>
    <row r="112" spans="13:16" ht="20.100000000000001" customHeight="1" x14ac:dyDescent="0.25"/>
    <row r="113" spans="13:15" ht="20.100000000000001" customHeight="1" x14ac:dyDescent="0.25">
      <c r="M113" s="148" t="s">
        <v>343</v>
      </c>
      <c r="N113" s="148" cm="1">
        <f t="array" ref="N113">Common_Equations.Common_ConvertN2OToCO2e(P110,P111)</f>
        <v>532.93487500000003</v>
      </c>
      <c r="O113" s="155"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9111D90F-9985-4B31-B0CA-94F259B810DE}"/>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2BCEF-3DDC-4C6E-BE46-471EF7989358}">
  <dimension ref="A1:U165"/>
  <sheetViews>
    <sheetView showGridLines="0" topLeftCell="A9"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345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4" t="s">
        <v>311</v>
      </c>
      <c r="E7" s="134"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312</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5" t="str" cm="1">
        <f t="array" ref="D13:E14">_xlfn.CHOOSECOLS(Fertiliser_Equations_InorganicCO2.VEERG_5_1_1_3__2_MassOfUreaInInorganicFertiliser_Arguments(), 1, 2)</f>
        <v>TM_jf</v>
      </c>
      <c r="E13" s="136" t="str">
        <v>total mass of inorganic fertiliser type f applied to production system j</v>
      </c>
      <c r="F13" s="144"/>
      <c r="G13" s="135" t="str" cm="1">
        <f t="array" ref="G13:H14">_xlfn.CHOOSECOLS(Fertiliser_Equations_InorganicCO2.VEERG_5_1_1_3__2_MassOfUreaInInorganicFertiliser_Arguments(), 3, 4)</f>
        <v>kg</v>
      </c>
      <c r="H13" s="138" t="str">
        <v>Input</v>
      </c>
      <c r="I13" s="142" t="str" cm="1">
        <f t="array" aca="1" ref="I13" ca="1">HYPERLINK(Common_InputFunctions.Utility_SourceHyperlink($D$16), $D$16)</f>
        <v>Table_MU_j_f</v>
      </c>
    </row>
    <row r="14" spans="1:21" ht="20.100000000000001" customHeight="1" x14ac:dyDescent="0.25">
      <c r="A14" s="5" t="str">
        <f>HYPERLINK("#'Input - Fuel'!A1", "Fuel")</f>
        <v>Fuel</v>
      </c>
      <c r="D14" s="135" t="str">
        <v>FU_f</v>
      </c>
      <c r="E14" s="136" t="str">
        <v>fraction of urea in fertiliser type f</v>
      </c>
      <c r="F14" s="144"/>
      <c r="G14" s="135" t="str">
        <v>kg urea/kg</v>
      </c>
      <c r="H14" s="139" t="str">
        <v>Lookup</v>
      </c>
      <c r="I14" s="142"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45" t="s">
        <v>346</v>
      </c>
    </row>
    <row r="17" spans="1:7" ht="20.100000000000001" customHeight="1" x14ac:dyDescent="0.25">
      <c r="A17" s="5" t="str">
        <f>HYPERLINK("#'Input - Crop pasture farm input'!A1", "Crop pasture farm input")</f>
        <v>Crop pasture farm input</v>
      </c>
      <c r="D17" s="146" t="s">
        <v>347</v>
      </c>
    </row>
    <row r="18" spans="1:7" ht="20.100000000000001" customHeight="1" x14ac:dyDescent="0.25">
      <c r="A18" s="5" t="str">
        <f>HYPERLINK("#'Input - Freight'!A1", "Freight")</f>
        <v>Freight</v>
      </c>
      <c r="D18" s="147" t="s">
        <v>316</v>
      </c>
      <c r="E18" s="92" t="s">
        <v>317</v>
      </c>
      <c r="F18" s="147" t="s">
        <v>348</v>
      </c>
      <c r="G18" s="147" t="s">
        <v>349</v>
      </c>
    </row>
    <row r="19" spans="1:7"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Data quality'!A1", "Data quality")</f>
        <v>Data quality</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HYPERLINK("#'5.1.1.1-2 Inorganic fert N2O'!A1", "5.1.1.1-2 Inorganic fert N2O")</f>
        <v>5.1.1.1-2 Inorganic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143" t="str">
        <f>HYPERLINK("#'5.1.1.3-4 Inorganic fert CO2'!A1", "5.1.1.3-4 Inorganic fert CO2")</f>
        <v>5.1.1.3-4 Inorganic fert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HYPERLINK("#'5.2.1.1-2 Organic Fert N2O'!A1", "5.2.1.1-2 Organic fert N2O")</f>
        <v>5.2.1.1-2 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HYPERLINK("#'5.3.1.1-2 Lime CO2'!A1", "5.3.1.1-2 Lime CO2")</f>
        <v>5.3.1.1-2 Lime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HYPERLINK("#'5.4.1.1-4 Atmos deposition'!A1", "5.4.1.1-4 Atmos. deposition")</f>
        <v>5.4.1.1-4 Atmos. deposition</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HYPERLINK("#'5.5.1.1-2 Leaching and runoff'!A1", "5.5.1.1-2 Leaching &amp; runoff")</f>
        <v>5.5.1.1-2 Leaching &amp; runoff</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HYPERLINK("#'6.1.1.1-2 Crop residue N2O'!A1", "6.1.1.1-2 Crop residue N2O")</f>
        <v>6.1.1.1-2 Crop residue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HYPERLINK("#'6.3.1.1-2 Leach runoff crop'!A1", "6.3.1.1-2 Leach &amp; runoff (crop)")</f>
        <v>6.3.1.1-2 Leach &amp; runoff (crop)</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HYPERLINK("#'6.4.1.1-2 Residue burning'!A1", "6.4.1.1-2 Residue burning")</f>
        <v>6.4.1.1-2 Residue burning</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HYPERLINK("#'8.1.1.1-2 Transport fuel'!A1", "8.1.1.1-2 Transport fuel")</f>
        <v>8.1.1.1-2 Transport fuel</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HYPERLINK("#'8.2.1.1-2 Stationary fuel'!A1", "8.2.1.1-2 Stationary fuel")</f>
        <v>8.2.1.1-2 Stationary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HYPERLINK("#'14.1.1-2 Purchased electricity'!A1", "14.1.1-2 Purchased electricity")</f>
        <v>14.1.1-2 Purchased electricity</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HYPERLINK("#'15 Scope 3'!A1", "15 Scope 3")</f>
        <v>15 Scope 3</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HYPERLINK("#'10.1.1-2 Solid waste treatment'!A1", "10.1.1-2 Solid waste treatment")</f>
        <v>10.1.1-2 Solid waste treatment</v>
      </c>
    </row>
    <row r="40" spans="1:12" ht="20.100000000000001" customHeight="1" x14ac:dyDescent="0.25">
      <c r="C40" s="148"/>
      <c r="D40" s="148"/>
      <c r="E40" s="148"/>
      <c r="F40" s="148"/>
      <c r="G40" s="148"/>
      <c r="H40" s="148"/>
      <c r="I40" s="148"/>
      <c r="J40" s="148"/>
      <c r="K40" s="148"/>
      <c r="L40" s="148"/>
    </row>
    <row r="41" spans="1:12" ht="20.100000000000001" customHeight="1" x14ac:dyDescent="0.2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94" t="s">
        <v>1</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Ag Residue'!A1", "Constants - Ag residue")</f>
        <v>Constants - Ag residue</v>
      </c>
      <c r="D43" s="134" t="s">
        <v>311</v>
      </c>
      <c r="E43" s="134"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c r="D46" s="88" t="s">
        <v>312</v>
      </c>
      <c r="E46" s="1" t="str" cm="1">
        <f t="array" ref="E46">Fertiliser_Equations_InorganicCO2.VEERG_5_1_1_3__1_InorganicFertiliserApplicationCO2Emissions_Variable()</f>
        <v>E_CO2</v>
      </c>
    </row>
    <row r="47" spans="1:12" ht="20.100000000000001" customHeight="1" x14ac:dyDescent="0.25">
      <c r="A47" s="5" t="str">
        <f>HYPERLINK("#'Constants - Fuel'!A1", "Constants - Fuel")</f>
        <v>Constants - Fuel</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Scope 3'!A1", "Constants - Scope 3")</f>
        <v>Constants - Scope 3</v>
      </c>
    </row>
    <row r="49" spans="1:9" ht="20.100000000000001" customHeight="1" x14ac:dyDescent="0.25">
      <c r="A49" s="5" t="str">
        <f>HYPERLINK("#'Constants - Common'!A1", "Constants - Common")</f>
        <v>Constants - Common</v>
      </c>
      <c r="D49" s="135" t="str" cm="1">
        <f t="array" ref="D49:E53">_xlfn.CHOOSECOLS(Fertiliser_Equations_InorganicCO2.VEERG_5_1_1_3__1_InorganicFertiliserApplicationCO2Emissions_Arguments(), 1, 2)</f>
        <v>MU_jf</v>
      </c>
      <c r="E49" s="136" t="str">
        <v>mass of urea of inorganic fertiliser type f applied to production system j</v>
      </c>
      <c r="F49" s="144"/>
      <c r="G49" s="135" t="str" cm="1">
        <f t="array" ref="G49:H53">_xlfn.CHOOSECOLS(Fertiliser_Equations_InorganicCO2.VEERG_5_1_1_3__1_InorganicFertiliserApplicationCO2Emissions_Arguments(), 3,4)</f>
        <v>kg urea</v>
      </c>
      <c r="H49" s="139" t="str">
        <v>Calculated</v>
      </c>
      <c r="I49" s="142" t="str" cm="1">
        <f t="array" aca="1" ref="I49" ca="1">HYPERLINK(Common_InputFunctions.Utility_SourceHyperlink($D$16), $D$16)</f>
        <v>Table_MU_j_f</v>
      </c>
    </row>
    <row r="50" spans="1:9" ht="20.100000000000001" customHeight="1" x14ac:dyDescent="0.25">
      <c r="A50" s="5" t="str">
        <f>HYPERLINK("#'Constants - Solid Waste'!A1", "Constants - Solid Waste")</f>
        <v>Constants - Solid Waste</v>
      </c>
      <c r="D50" s="135" t="str">
        <v>EF_ureaCO2</v>
      </c>
      <c r="E50" s="136" t="str">
        <v>emission factor for carbon emissions from urea-based fertilisers</v>
      </c>
      <c r="F50" s="144"/>
      <c r="G50" s="135" t="str">
        <v>kg C/kg urea</v>
      </c>
      <c r="H50" s="139" t="str">
        <v>Constant</v>
      </c>
      <c r="I50" s="135">
        <f>Fertiliser_EFUreaCO2_Data</f>
        <v>0.2</v>
      </c>
    </row>
    <row r="51" spans="1:9" ht="20.100000000000001" customHeight="1" x14ac:dyDescent="0.25">
      <c r="D51" s="135" t="str">
        <v>C_CO2</v>
      </c>
      <c r="E51" s="136" t="str">
        <v>factor to convert elemental mass of carbon to molecular mass of carbon dioxide</v>
      </c>
      <c r="F51" s="144"/>
      <c r="G51" s="135" t="str">
        <v/>
      </c>
      <c r="H51" s="139" t="str">
        <v>Constant</v>
      </c>
      <c r="I51" s="135">
        <f>Common_InputFunctions.Utility_LookupValueInTableNumber("CO2",Table_GasToMolecularConversionFactor[Gas], Table_GasToMolecularConversionFactor[Conversion factor combined])</f>
        <v>3.6666666666666665</v>
      </c>
    </row>
    <row r="52" spans="1:9" ht="20.100000000000001" customHeight="1" x14ac:dyDescent="0.25">
      <c r="D52" s="135" t="str">
        <v>j</v>
      </c>
      <c r="E52" s="136" t="str">
        <v>Production system</v>
      </c>
      <c r="F52" s="144"/>
      <c r="G52" s="135" t="str">
        <v/>
      </c>
      <c r="H52" s="138" t="str">
        <v>Input</v>
      </c>
      <c r="I52" s="135" t="str">
        <f>X_Cell_Fertiliser_ProductionSystem</f>
        <v>Crop</v>
      </c>
    </row>
    <row r="53" spans="1:9" ht="20.100000000000001" customHeight="1" x14ac:dyDescent="0.25">
      <c r="D53" s="135" t="str">
        <v>f</v>
      </c>
      <c r="E53" s="136" t="str">
        <v>Inorganic fertiliser type</v>
      </c>
      <c r="F53" s="144"/>
      <c r="G53" s="135" t="str">
        <v/>
      </c>
      <c r="H53" s="139" t="str">
        <v>Lookup</v>
      </c>
      <c r="I53" s="142" t="str" cm="1">
        <f t="array" aca="1" ref="I53" ca="1">HYPERLINK(Common_InputFunctions.Utility_SourceHyperlink($D$16), $D$16)</f>
        <v>Table_MU_j_f</v>
      </c>
    </row>
    <row r="54" spans="1:9" ht="20.100000000000001" customHeight="1" x14ac:dyDescent="0.25"/>
    <row r="55" spans="1:9" ht="20.100000000000001" customHeight="1" x14ac:dyDescent="0.25">
      <c r="D55" s="145" t="s">
        <v>350</v>
      </c>
    </row>
    <row r="56" spans="1:9" ht="20.100000000000001" customHeight="1" x14ac:dyDescent="0.25">
      <c r="D56" s="146" t="s">
        <v>351</v>
      </c>
    </row>
    <row r="57" spans="1:9" ht="20.100000000000001" customHeight="1" x14ac:dyDescent="0.25">
      <c r="D57" s="147" t="s">
        <v>316</v>
      </c>
      <c r="E57" s="147" t="s">
        <v>340</v>
      </c>
    </row>
    <row r="58" spans="1: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184.92752666666664</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51" t="s">
        <v>352</v>
      </c>
      <c r="E78" s="152">
        <f>SUM(E58:E76)</f>
        <v>184.92752666666664</v>
      </c>
      <c r="F78" s="153"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6277-25EA-4A0B-9BAB-4ADDD38058AC}">
  <dimension ref="A1:U165"/>
  <sheetViews>
    <sheetView showGridLines="0" topLeftCell="A5"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353</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4" t="s">
        <v>311</v>
      </c>
      <c r="E7" s="134"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312</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5" t="str" cm="1">
        <f t="array" ref="D13:E15">_xlfn.CHOOSECOLS(Fertiliser_Equations_OrganicN2O.VEERG_5_2_1_1__2_MassOfNitrogenInOrganicFertiliser_Arguments(), 1, 2)</f>
        <v>M_organicjf</v>
      </c>
      <c r="E13" s="136" t="str">
        <v>mass of organic fertiliser type f applied to production system j</v>
      </c>
      <c r="F13" s="144"/>
      <c r="G13" s="156" t="str" cm="1">
        <f t="array" ref="G13:H15">_xlfn.CHOOSECOLS(Fertiliser_Equations_OrganicN2O.VEERG_5_2_1_1__2_MassOfNitrogenInOrganicFertiliser_Arguments(), 3,4)</f>
        <v>kg</v>
      </c>
      <c r="H13" s="138" t="str">
        <v>Input</v>
      </c>
      <c r="I13" s="142" t="str" cm="1">
        <f t="array" aca="1" ref="I13" ca="1">HYPERLINK(Common_InputFunctions.Utility_SourceHyperlink($D$17), $D$17)</f>
        <v>Table_MNSoil_j_f</v>
      </c>
    </row>
    <row r="14" spans="1:21" ht="20.100000000000001" customHeight="1" x14ac:dyDescent="0.25">
      <c r="A14" s="5" t="str">
        <f>HYPERLINK("#'Input - Fuel'!A1", "Fuel")</f>
        <v>Fuel</v>
      </c>
      <c r="D14" s="135" t="str">
        <v>FN_organicf</v>
      </c>
      <c r="E14" s="136" t="str">
        <v>nitrogen fraction of organic fertiliser type f</v>
      </c>
      <c r="F14" s="144"/>
      <c r="G14" s="156" t="str">
        <v>kg N/kg</v>
      </c>
      <c r="H14" s="138" t="str">
        <v>Input</v>
      </c>
      <c r="I14" s="142" t="str" cm="1">
        <f t="array" aca="1" ref="I14" ca="1">HYPERLINK(Common_InputFunctions.Utility_SourceHyperlink($D$17), $D$17)</f>
        <v>Table_MNSoil_j_f</v>
      </c>
    </row>
    <row r="15" spans="1:21" ht="20.100000000000001" customHeight="1" x14ac:dyDescent="0.25">
      <c r="A15" s="5" t="str">
        <f>HYPERLINK("#'Input - Electricity'!A1", "Electricity")</f>
        <v>Electricity</v>
      </c>
      <c r="D15" s="135" t="str">
        <v>f</v>
      </c>
      <c r="E15" s="136" t="str">
        <v>Organic fertiliser type</v>
      </c>
      <c r="F15" s="144"/>
      <c r="G15" s="156" t="str">
        <v/>
      </c>
      <c r="H15" s="138" t="str">
        <v>Input</v>
      </c>
      <c r="I15" s="142"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Crop pasture farm input'!A1", "Crop pasture farm input")</f>
        <v>Crop pasture farm input</v>
      </c>
      <c r="D17" s="145" t="s">
        <v>354</v>
      </c>
    </row>
    <row r="18" spans="1:10" ht="20.100000000000001" customHeight="1" x14ac:dyDescent="0.25">
      <c r="A18" s="5" t="str">
        <f>HYPERLINK("#'Input - Freight'!A1", "Freight")</f>
        <v>Freight</v>
      </c>
      <c r="D18" s="146" t="s">
        <v>355</v>
      </c>
    </row>
    <row r="19" spans="1:10" ht="20.100000000000001" customHeight="1" x14ac:dyDescent="0.25">
      <c r="A19" s="5" t="str">
        <f>HYPERLINK("#'Input - Manure sent off-site'!A1", "Manure sent off-site")</f>
        <v>Manure sent off-site</v>
      </c>
      <c r="D19" s="92" t="s">
        <v>356</v>
      </c>
      <c r="E19" s="92" t="s">
        <v>357</v>
      </c>
      <c r="F19" s="92" t="s">
        <v>252</v>
      </c>
      <c r="G19" s="157" t="s">
        <v>358</v>
      </c>
      <c r="H19" s="92" t="s">
        <v>359</v>
      </c>
      <c r="I19" s="157" t="s">
        <v>360</v>
      </c>
    </row>
    <row r="20" spans="1:10" ht="20.100000000000001" customHeight="1" x14ac:dyDescent="0.25">
      <c r="A20" s="5" t="str">
        <f>HYPERLINK("#'Input - Solid waste'!A1", "Solid waste")</f>
        <v>Solid waste</v>
      </c>
      <c r="D20" s="25" t="str" cm="1">
        <f t="array" ref="D20:D22">Table_Input_OrganicFertiliser[Organic fertiliser type (select)]</f>
        <v>Manure - Other</v>
      </c>
      <c r="E20" s="158" cm="1">
        <f t="array" ref="E20:E22">Table_Input_OrganicFertiliser[Amount applied (kg/hectare)]</f>
        <v>10</v>
      </c>
      <c r="F20" s="158" cm="1">
        <f t="array" ref="F20:F22">Table_Input_OrganicFertiliser[Application area (ha)]</f>
        <v>1000</v>
      </c>
      <c r="G20" s="25" cm="1">
        <f t="array" ref="G20:G22">Table_Input_OrganicFertiliser[Amount applied (kg/hectare)]*Table_Input_OrganicFertiliser[Application area (ha)]</f>
        <v>10000</v>
      </c>
      <c r="H20" s="159"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Data quality'!A1", "Data quality")</f>
        <v>Data quality</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D23" s="25"/>
      <c r="E23" s="25"/>
      <c r="F23" s="25"/>
      <c r="G23" s="25"/>
      <c r="H23" s="25"/>
      <c r="I23" s="25" cm="1">
        <f t="array" ref="I23">Fertiliser_Equations_Organic.VEERG_5_2_1_1__2_MassOfNitrogenInOrganicFertiliser(G23,H23)</f>
        <v>0</v>
      </c>
    </row>
    <row r="24" spans="1:10" ht="20.100000000000001" customHeight="1" x14ac:dyDescent="0.25">
      <c r="A24" s="6" t="s">
        <v>2</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HYPERLINK("#'5.1.1.1-2 Inorganic fert N2O'!A1", "5.1.1.1-2 Inorganic fert N2O")</f>
        <v>5.1.1.1-2 Inorganic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HYPERLINK("#'5.1.1.3-4 Inorganic fert CO2'!A1", "5.1.1.3-4 Inorganic fert CO2")</f>
        <v>5.1.1.3-4 Inorganic fert CO2</v>
      </c>
      <c r="D26" s="25"/>
      <c r="E26" s="25"/>
      <c r="F26" s="25"/>
      <c r="G26" s="25"/>
      <c r="H26" s="25"/>
      <c r="I26" s="25" cm="1">
        <f t="array" ref="I26">Fertiliser_Equations_Organic.VEERG_5_2_1_1__2_MassOfNitrogenInOrganicFertiliser(G26,H26)</f>
        <v>0</v>
      </c>
    </row>
    <row r="27" spans="1:10" ht="20.100000000000001" customHeight="1" x14ac:dyDescent="0.25">
      <c r="A27" s="143" t="str">
        <f>HYPERLINK("#'5.2.1.1-2 Organic Fert N2O'!A1", "5.2.1.1-2 Organic fert N2O")</f>
        <v>5.2.1.1-2 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HYPERLINK("#'5.3.1.1-2 Lime CO2'!A1", "5.3.1.1-2 Lime CO2")</f>
        <v>5.3.1.1-2 Lime CO2</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HYPERLINK("#'5.4.1.1-4 Atmos deposition'!A1", "5.4.1.1-4 Atmos. deposition")</f>
        <v>5.4.1.1-4 Atmos. deposition</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HYPERLINK("#'5.5.1.1-2 Leaching and runoff'!A1", "5.5.1.1-2 Leaching &amp; runoff")</f>
        <v>5.5.1.1-2 Leaching &amp; runoff</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HYPERLINK("#'6.1.1.1-2 Crop residue N2O'!A1", "6.1.1.1-2 Crop residue N2O")</f>
        <v>6.1.1.1-2 Crop residue N2O</v>
      </c>
      <c r="D31" s="160"/>
      <c r="E31" s="160"/>
      <c r="F31" s="160"/>
      <c r="G31" s="160"/>
      <c r="H31" s="160"/>
      <c r="I31" s="160"/>
      <c r="J31" s="160"/>
    </row>
    <row r="32" spans="1:10" ht="20.100000000000001" customHeight="1" x14ac:dyDescent="0.25">
      <c r="A32" s="5" t="str">
        <f>HYPERLINK("#'6.3.1.1-2 Leach runoff crop'!A1", "6.3.1.1-2 Leach &amp; runoff (crop)")</f>
        <v>6.3.1.1-2 Leach &amp; runoff (crop)</v>
      </c>
      <c r="D32" s="161" t="s">
        <v>361</v>
      </c>
      <c r="E32" s="161">
        <f>SUM(I20:I30)</f>
        <v>7100</v>
      </c>
      <c r="F32" s="162" t="str">
        <f>$E$11</f>
        <v>kg N</v>
      </c>
      <c r="G32" s="160"/>
      <c r="H32" s="160"/>
      <c r="I32" s="160"/>
      <c r="J32" s="160"/>
    </row>
    <row r="33" spans="1:12" ht="20.100000000000001" customHeight="1" x14ac:dyDescent="0.25">
      <c r="A33" s="5" t="str">
        <f>HYPERLINK("#'6.4.1.1-2 Residue burning'!A1", "6.4.1.1-2 Residue burning")</f>
        <v>6.4.1.1-2 Residue burning</v>
      </c>
    </row>
    <row r="34" spans="1:12" ht="20.100000000000001" customHeight="1" x14ac:dyDescent="0.25">
      <c r="A34" s="5" t="str">
        <f>HYPERLINK("#'8.1.1.1-2 Transport fuel'!A1", "8.1.1.1-2 Transport fuel")</f>
        <v>8.1.1.1-2 Transport fuel</v>
      </c>
    </row>
    <row r="35" spans="1:12" ht="20.100000000000001" customHeight="1" x14ac:dyDescent="0.25">
      <c r="A35" s="5" t="str">
        <f>HYPERLINK("#'8.2.1.1-2 Stationary fuel'!A1", "8.2.1.1-2 Stationary fuel")</f>
        <v>8.2.1.1-2 Stationary fuel</v>
      </c>
      <c r="C35" s="163"/>
      <c r="D35" s="163"/>
      <c r="E35" s="163"/>
      <c r="F35" s="163"/>
      <c r="G35" s="163"/>
      <c r="H35" s="163"/>
      <c r="I35" s="163"/>
      <c r="J35" s="163"/>
      <c r="K35" s="163"/>
      <c r="L35" s="163"/>
    </row>
    <row r="36" spans="1:12" ht="20.100000000000001"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HYPERLINK("#'15 Scope 3'!A1", "15 Scope 3")</f>
        <v>15 Scope 3</v>
      </c>
      <c r="D37" s="27" t="str" cm="1">
        <f t="array" ref="D37">Fertiliser_Equations_OrganicN2O.VEERG_5_2_1_1__1_OrganicFertiliserApplicationN2OEmissions_Source()</f>
        <v>VEERG 2026: 5.2.1.1, Equation (1)</v>
      </c>
    </row>
    <row r="38" spans="1:12" ht="20.100000000000001" customHeight="1" x14ac:dyDescent="0.25">
      <c r="A38" s="5" t="str">
        <f>HYPERLINK("#'Calcs - Manure sent off-site'!A1", "Calcs - Manure sent off-site")</f>
        <v>Calcs - Manure sent off-site</v>
      </c>
      <c r="D38" s="134" t="s">
        <v>311</v>
      </c>
      <c r="E38" s="134" t="str" cm="1">
        <f t="array" aca="1" ref="E38" ca="1">Common_InputFunctions.Utility_DisplayFunctionName($I$20)</f>
        <v>=Fertiliser_Equations_OrganicN2O.VEERG_5_2_1_1__2_MassOfNitrogenInOrganicFertiliser</v>
      </c>
    </row>
    <row r="39" spans="1:12" ht="20.100000000000001" customHeight="1" x14ac:dyDescent="0.25">
      <c r="A39" s="5" t="str">
        <f>HYPERLINK("#'10.1.1-2 Solid waste treatment'!A1", "10.1.1-2 Solid waste treatment")</f>
        <v>10.1.1-2 Solid waste treatment</v>
      </c>
    </row>
    <row r="40" spans="1:12" ht="20.100000000000001" customHeight="1" x14ac:dyDescent="0.25"/>
    <row r="41" spans="1:12" ht="20.100000000000001" customHeight="1" x14ac:dyDescent="0.25">
      <c r="D41" s="88" t="s">
        <v>312</v>
      </c>
      <c r="E41" s="1" t="str" cm="1">
        <f t="array" ref="E41">Fertiliser_Equations_OrganicN2O.VEERG_5_2_1_1__1_OrganicFertiliserApplicationN2OEmissions_Variable()</f>
        <v>E_N2O</v>
      </c>
    </row>
    <row r="42" spans="1:12" ht="20.100000000000001" customHeight="1" x14ac:dyDescent="0.25">
      <c r="A42" s="94" t="s">
        <v>1</v>
      </c>
      <c r="D42" s="88" t="s">
        <v>121</v>
      </c>
      <c r="E42" s="15" t="str" cm="1">
        <f t="array" ref="E42">Fertiliser_Equations_OrganicN2O.VEERG_5_2_1_1__1_OrganicFertiliserApplicationN2OEmissions_Unit()</f>
        <v>t N2O</v>
      </c>
    </row>
    <row r="43" spans="1:12" ht="20.100000000000001" customHeight="1" x14ac:dyDescent="0.25">
      <c r="A43" s="5" t="str">
        <f>HYPERLINK("#'Constants - Ag Residue'!A1", "Constants - Ag residue")</f>
        <v>Constants - Ag residue</v>
      </c>
    </row>
    <row r="44" spans="1:12" ht="20.100000000000001" customHeight="1" x14ac:dyDescent="0.25">
      <c r="A44" s="5" t="str">
        <f>HYPERLINK("#'Constants - Common Livestock'!A1", "Constants - Common Livestock")</f>
        <v>Constants - Common Livestock</v>
      </c>
      <c r="D44" s="156" t="str" cm="1">
        <f t="array" ref="D44:E48">_xlfn.CHOOSECOLS(Fertiliser_Equations_OrganicN2O.VEERG_5_2_1_1__1_OrganicFertiliserApplicationN2OEmissions_Arguments(), 1, 2)</f>
        <v>MNSoil_jf</v>
      </c>
      <c r="E44" s="164" t="str">
        <v>mass of nitrogen in organic fertiliser type f applied to production system j</v>
      </c>
      <c r="F44" s="165"/>
      <c r="G44" s="165"/>
      <c r="H44" s="166"/>
      <c r="I44" s="156" t="str" cm="1">
        <f t="array" ref="I44:J48">_xlfn.CHOOSECOLS(Fertiliser_Equations_OrganicN2O.VEERG_5_2_1_1__1_OrganicFertiliserApplicationN2OEmissions_Arguments(), 3,4)</f>
        <v>kg N</v>
      </c>
      <c r="J44" s="139" t="str">
        <v>Calculated from 5.2.1.1 (2)</v>
      </c>
      <c r="K44" s="156">
        <f>$E$32</f>
        <v>7100</v>
      </c>
    </row>
    <row r="45" spans="1:12" ht="20.100000000000001" customHeight="1" x14ac:dyDescent="0.25">
      <c r="A45" s="5" t="str">
        <f>HYPERLINK("#'Constants - Electricity'!A1", "Constants - Electricity")</f>
        <v>Constants - Electricity</v>
      </c>
      <c r="D45" s="156" t="str">
        <v>EF_N2Oi</v>
      </c>
      <c r="E45" s="164" t="str">
        <v>emission factor for direct nitrous oxide emissions from organic fertiliser applied to soils and aquatic systems in climate zone i</v>
      </c>
      <c r="F45" s="165"/>
      <c r="G45" s="165"/>
      <c r="H45" s="166"/>
      <c r="I45" s="156" t="str">
        <v>kg N2O-N/kg N</v>
      </c>
      <c r="J45" s="139" t="str">
        <v>Lookup</v>
      </c>
      <c r="K45" s="156">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Fertiliser'!A1", "Constants - Fertiliser")</f>
        <v>Constants - Fertiliser</v>
      </c>
      <c r="D46" s="156" t="str">
        <v>C_N2O</v>
      </c>
      <c r="E46" s="164" t="str">
        <v>factor to convert elemental mass of nitrous oxide to molecular mass</v>
      </c>
      <c r="F46" s="165"/>
      <c r="G46" s="165"/>
      <c r="H46" s="166"/>
      <c r="I46" s="156" t="str">
        <v/>
      </c>
      <c r="J46" s="139" t="str">
        <v>Constant</v>
      </c>
      <c r="K46" s="135">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Fuel'!A1", "Constants - Fuel")</f>
        <v>Constants - Fuel</v>
      </c>
      <c r="D47" s="156" t="str">
        <v>j</v>
      </c>
      <c r="E47" s="164" t="str">
        <v>Production system</v>
      </c>
      <c r="F47" s="165"/>
      <c r="G47" s="165"/>
      <c r="H47" s="166"/>
      <c r="I47" s="156" t="str">
        <v/>
      </c>
      <c r="J47" s="138" t="str">
        <v>Input</v>
      </c>
      <c r="K47" s="156" t="str">
        <f>X_Cell_Fertiliser_ProductionSystem</f>
        <v>Crop</v>
      </c>
    </row>
    <row r="48" spans="1:12" ht="20.100000000000001" customHeight="1" x14ac:dyDescent="0.25">
      <c r="A48" s="5" t="str">
        <f>HYPERLINK("#'Constants - Scope 3'!A1", "Constants - Scope 3")</f>
        <v>Constants - Scope 3</v>
      </c>
      <c r="D48" s="156" t="str">
        <v>i</v>
      </c>
      <c r="E48" s="164" t="str">
        <v>Wet or dry climate zone</v>
      </c>
      <c r="F48" s="165"/>
      <c r="G48" s="165"/>
      <c r="H48" s="166"/>
      <c r="I48" s="156" t="str">
        <v/>
      </c>
      <c r="J48" s="138" t="str">
        <v>Input</v>
      </c>
      <c r="K48" s="156" t="str">
        <f>X_Cell_Site_WetOrDryClimateZone</f>
        <v>Dry climate zone</v>
      </c>
    </row>
    <row r="49" spans="1:7" ht="20.100000000000001" customHeight="1" x14ac:dyDescent="0.25">
      <c r="A49" s="5" t="str">
        <f>HYPERLINK("#'Constants - Common'!A1", "Constants - Common")</f>
        <v>Constants - Common</v>
      </c>
    </row>
    <row r="50" spans="1:7" ht="20.100000000000001" customHeight="1" x14ac:dyDescent="0.25">
      <c r="A50" s="5" t="str">
        <f>HYPERLINK("#'Constants - Solid Waste'!A1", "Constants - Solid Waste")</f>
        <v>Constants - Solid Waste</v>
      </c>
      <c r="D50" s="151" t="s">
        <v>341</v>
      </c>
      <c r="E50" s="152" cm="1">
        <f t="array" ref="E50">Fertiliser_Equations_OrganicN2O.VEERG_5_2_1_1__1_OrganicFertiliserApplicationN2OEmissions(K44,K45,K46)</f>
        <v>5.5785714285714286E-2</v>
      </c>
      <c r="F50" s="153" t="str">
        <f>$E$42</f>
        <v>t N2O</v>
      </c>
    </row>
    <row r="51" spans="1:7" ht="20.100000000000001" customHeight="1" x14ac:dyDescent="0.25"/>
    <row r="52" spans="1:7" ht="20.100000000000001" customHeight="1" x14ac:dyDescent="0.25">
      <c r="D52" s="135" t="str" cm="1">
        <f t="array" ref="D52:E53">Common_Equations.Common_ConvertN2OToCO2e_Arguments()</f>
        <v>EN2O</v>
      </c>
      <c r="E52" s="136" t="str">
        <v>Nitrous oxide emissions (t N2O)</v>
      </c>
      <c r="F52" s="154"/>
      <c r="G52" s="25">
        <f>VEERG_5_2_1_1__2_MassOfNitrogenInOrganicFertiliser_Result_Method1</f>
        <v>5.5785714285714286E-2</v>
      </c>
    </row>
    <row r="53" spans="1:7" ht="20.100000000000001" customHeight="1" x14ac:dyDescent="0.25">
      <c r="D53" s="135" t="str">
        <v>GWPN2O</v>
      </c>
      <c r="E53" s="136" t="str">
        <v>Global warming potential for nitrous oxide (t CO2-e / t N2O)</v>
      </c>
      <c r="F53" s="154"/>
      <c r="G53" s="25">
        <f>Common_InputFunctions.Utility_LookupValueInTableNumber("N2O",Table_GWPData[Gas],Table_GWPData[CO2-e factor])</f>
        <v>265</v>
      </c>
    </row>
    <row r="54" spans="1:7" ht="20.100000000000001" customHeight="1" x14ac:dyDescent="0.25"/>
    <row r="55" spans="1:7" ht="20.100000000000001" customHeight="1" x14ac:dyDescent="0.25">
      <c r="D55" s="148" t="s">
        <v>343</v>
      </c>
      <c r="E55" s="148" cm="1">
        <f t="array" ref="E55">Common_Equations.Common_ConvertN2OToCO2e(G52,G53)</f>
        <v>14.783214285714285</v>
      </c>
      <c r="F55" s="155"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4E5B2-EC7D-4AF9-A3E4-4AABFA54D341}">
  <dimension ref="A1:U165"/>
  <sheetViews>
    <sheetView showGridLines="0" topLeftCell="A9"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362</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4" t="s">
        <v>311</v>
      </c>
      <c r="E7" s="134"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312</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6" t="str" cm="1">
        <f t="array" ref="D13:E20">_xlfn.CHOOSECOLS(Fertiliser_Equations_Lime.VEERG_5_3_1_1__1_LimeApplicationCO2Emissions_Arguments(), 1, 2)</f>
        <v>M_lime</v>
      </c>
      <c r="E13" s="164" t="str">
        <v>total mass of lime applied to production system</v>
      </c>
      <c r="F13" s="166"/>
      <c r="G13" s="156" t="str" cm="1">
        <f t="array" ref="G13:H20">_xlfn.CHOOSECOLS(Fertiliser_Equations_Lime.VEERG_5_3_1_1__1_LimeApplicationCO2Emissions_Arguments(), 3,4)</f>
        <v>kg</v>
      </c>
      <c r="H13" s="138" t="str">
        <v>Input</v>
      </c>
      <c r="I13" s="142" t="str" cm="1">
        <f t="array" aca="1" ref="I13" ca="1">HYPERLINK(Common_InputFunctions.Utility_SourceHyperlink($D$22), $D$22)</f>
        <v>Table_E_lime</v>
      </c>
    </row>
    <row r="14" spans="1:21" ht="20.100000000000001" customHeight="1" x14ac:dyDescent="0.25">
      <c r="A14" s="5" t="str">
        <f>HYPERLINK("#'Input - Fuel'!A1", "Fuel")</f>
        <v>Fuel</v>
      </c>
      <c r="D14" s="156" t="str">
        <v>FracLime</v>
      </c>
      <c r="E14" s="164" t="str">
        <v>fraction of lime as limestone (CaCO3)</v>
      </c>
      <c r="F14" s="166"/>
      <c r="G14" s="156" t="str">
        <v>fraction</v>
      </c>
      <c r="H14" s="138" t="str">
        <v>Input</v>
      </c>
      <c r="I14" s="142" t="str" cm="1">
        <f t="array" aca="1" ref="I14" ca="1">HYPERLINK(Common_InputFunctions.Utility_SourceHyperlink($D$22), $D$22)</f>
        <v>Table_E_lime</v>
      </c>
    </row>
    <row r="15" spans="1:21" ht="20.100000000000001" customHeight="1" x14ac:dyDescent="0.25">
      <c r="A15" s="5" t="str">
        <f>HYPERLINK("#'Input - Electricity'!A1", "Electricity")</f>
        <v>Electricity</v>
      </c>
      <c r="D15" s="156" t="str">
        <v>P_lime</v>
      </c>
      <c r="E15" s="164" t="str">
        <v>fractional purity of limestone</v>
      </c>
      <c r="F15" s="166"/>
      <c r="G15" s="156" t="str">
        <v>fraction</v>
      </c>
      <c r="H15" s="139" t="str">
        <v>Constant</v>
      </c>
      <c r="I15" s="156">
        <f>'Constants - Fertiliser'!$E$66</f>
        <v>0.9</v>
      </c>
    </row>
    <row r="16" spans="1:21" ht="20.100000000000001" customHeight="1" x14ac:dyDescent="0.25">
      <c r="A16" s="5" t="str">
        <f>HYPERLINK("#'Input - Common farm inputs'!A1", "Common farm inputs")</f>
        <v>Common farm inputs</v>
      </c>
      <c r="D16" s="156" t="str">
        <v>EF_lime</v>
      </c>
      <c r="E16" s="164" t="str">
        <v>emission factor for limestone fraction of lime</v>
      </c>
      <c r="F16" s="166"/>
      <c r="G16" s="156" t="str">
        <v>kg C/kg</v>
      </c>
      <c r="H16" s="139" t="str">
        <v>Constant</v>
      </c>
      <c r="I16" s="156">
        <f>'Constants - Fertiliser'!$F$66</f>
        <v>0.12</v>
      </c>
    </row>
    <row r="17" spans="1:9" ht="20.100000000000001" customHeight="1" x14ac:dyDescent="0.25">
      <c r="A17" s="5" t="str">
        <f>HYPERLINK("#'Input - Crop pasture farm input'!A1", "Crop pasture farm input")</f>
        <v>Crop pasture farm input</v>
      </c>
      <c r="D17" s="156" t="str">
        <v>FracDol</v>
      </c>
      <c r="E17" s="164" t="str">
        <v>fraction of lime as dolomite</v>
      </c>
      <c r="F17" s="166"/>
      <c r="G17" s="156" t="str">
        <v>fraction</v>
      </c>
      <c r="H17" s="138" t="str">
        <v>Input</v>
      </c>
      <c r="I17" s="142" t="str" cm="1">
        <f t="array" aca="1" ref="I17" ca="1">HYPERLINK(Common_InputFunctions.Utility_SourceHyperlink($D$22), $D$22)</f>
        <v>Table_E_lime</v>
      </c>
    </row>
    <row r="18" spans="1:9" ht="20.100000000000001" customHeight="1" x14ac:dyDescent="0.25">
      <c r="A18" s="5" t="str">
        <f>HYPERLINK("#'Input - Freight'!A1", "Freight")</f>
        <v>Freight</v>
      </c>
      <c r="D18" s="156" t="str">
        <v>P_dol</v>
      </c>
      <c r="E18" s="164" t="str">
        <v>fractional purity of dolomite</v>
      </c>
      <c r="F18" s="166"/>
      <c r="G18" s="156" t="str">
        <v>fraction</v>
      </c>
      <c r="H18" s="139" t="str">
        <v>Constant</v>
      </c>
      <c r="I18" s="156">
        <f>'Constants - Fertiliser'!$E$67</f>
        <v>0.95</v>
      </c>
    </row>
    <row r="19" spans="1:9" ht="20.100000000000001" customHeight="1" x14ac:dyDescent="0.25">
      <c r="A19" s="5" t="str">
        <f>HYPERLINK("#'Input - Manure sent off-site'!A1", "Manure sent off-site")</f>
        <v>Manure sent off-site</v>
      </c>
      <c r="D19" s="156" t="str">
        <v>EF_dol</v>
      </c>
      <c r="E19" s="164" t="str">
        <v>emission factor for dolomite fraction of lime</v>
      </c>
      <c r="F19" s="166"/>
      <c r="G19" s="156" t="str">
        <v>kg C/kg</v>
      </c>
      <c r="H19" s="139" t="str">
        <v>Constant</v>
      </c>
      <c r="I19" s="156">
        <f>'Constants - Fertiliser'!$F$67</f>
        <v>0.13</v>
      </c>
    </row>
    <row r="20" spans="1:9" ht="20.100000000000001" customHeight="1" x14ac:dyDescent="0.25">
      <c r="A20" s="5" t="str">
        <f>HYPERLINK("#'Input - Solid waste'!A1", "Solid waste")</f>
        <v>Solid waste</v>
      </c>
      <c r="D20" s="156" t="str">
        <v>C_CO2</v>
      </c>
      <c r="E20" s="164" t="str">
        <v>factor to convert elemental mass of carbon dioxide to molecular mass</v>
      </c>
      <c r="F20" s="166"/>
      <c r="G20" s="156" t="str">
        <v/>
      </c>
      <c r="H20" s="139" t="str">
        <v>Constant</v>
      </c>
      <c r="I20" s="135">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Data quality'!A1", "Data quality")</f>
        <v>Data quality</v>
      </c>
    </row>
    <row r="22" spans="1:9" ht="20.100000000000001" customHeight="1" x14ac:dyDescent="0.25">
      <c r="D22" s="145" t="s">
        <v>363</v>
      </c>
    </row>
    <row r="23" spans="1:9" ht="20.100000000000001" customHeight="1" x14ac:dyDescent="0.25">
      <c r="D23" s="146" t="s">
        <v>289</v>
      </c>
    </row>
    <row r="24" spans="1:9" ht="20.100000000000001" customHeight="1" x14ac:dyDescent="0.25">
      <c r="A24" s="6" t="s">
        <v>2</v>
      </c>
      <c r="D24" s="92" t="s">
        <v>364</v>
      </c>
      <c r="E24" s="92" t="s">
        <v>365</v>
      </c>
      <c r="F24" s="92" t="s">
        <v>366</v>
      </c>
      <c r="G24" s="92" t="s">
        <v>367</v>
      </c>
      <c r="H24" s="147" t="s">
        <v>368</v>
      </c>
    </row>
    <row r="25" spans="1:9" ht="20.100000000000001" customHeight="1" x14ac:dyDescent="0.25">
      <c r="A25" s="5" t="str">
        <f>HYPERLINK("#'5.1.1.1-2 Inorganic fert N2O'!A1", "5.1.1.1-2 Inorganic fert N2O")</f>
        <v>5.1.1.1-2 Inorganic fert N2O</v>
      </c>
      <c r="D25" s="25" t="str" cm="1">
        <f t="array" ref="D25:D27">Table_Input_Lime[Product]</f>
        <v>Lime product 1</v>
      </c>
      <c r="E25" s="167" cm="1">
        <f t="array" ref="E25:E27">Table_Input_Lime[Total amount applied (t)]*10^3</f>
        <v>1000000</v>
      </c>
      <c r="F25" s="168" cm="1">
        <f t="array" ref="F25:F27">Table_Input_Lime[Percent Lime CaCO3]</f>
        <v>0.8</v>
      </c>
      <c r="G25" s="168"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HYPERLINK("#'5.1.1.3-4 Inorganic fert CO2'!A1", "5.1.1.3-4 Inorganic fert CO2")</f>
        <v>5.1.1.3-4 Inorganic fert CO2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HYPERLINK("#'5.2.1.1-2 Organic Fert N2O'!A1", "5.2.1.1-2 Organic fert N2O")</f>
        <v>5.2.1.1-2 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143" t="str">
        <f>HYPERLINK("#'5.3.1.1-2 Lime CO2'!A1", "5.3.1.1-2 Lime CO2")</f>
        <v>5.3.1.1-2 Lime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HYPERLINK("#'5.4.1.1-4 Atmos deposition'!A1", "5.4.1.1-4 Atmos. deposition")</f>
        <v>5.4.1.1-4 Atmos. deposition</v>
      </c>
      <c r="D29" s="25"/>
      <c r="E29" s="25"/>
      <c r="F29" s="25"/>
      <c r="G29" s="25"/>
      <c r="H29" s="25" cm="1">
        <f t="array" ref="H29">Fertiliser_Equations_Lime.VEERG_5_3_1_1__1_LimeApplicationCO2Emissions(E29,F29,$I$15,$I$16,G29,$I$18,$I$19,$I$20)</f>
        <v>0</v>
      </c>
    </row>
    <row r="30" spans="1:9" ht="20.100000000000001" customHeight="1" x14ac:dyDescent="0.25">
      <c r="A30" s="5" t="str">
        <f>HYPERLINK("#'5.5.1.1-2 Leaching and runoff'!A1", "5.5.1.1-2 Leaching &amp; runoff")</f>
        <v>5.5.1.1-2 Leaching &amp; runoff</v>
      </c>
    </row>
    <row r="31" spans="1:9" ht="20.100000000000001" customHeight="1" x14ac:dyDescent="0.25">
      <c r="A31" s="5" t="str">
        <f>HYPERLINK("#'6.1.1.1-2 Crop residue N2O'!A1", "6.1.1.1-2 Crop residue N2O")</f>
        <v>6.1.1.1-2 Crop residue N2O</v>
      </c>
      <c r="D31" s="151" t="s">
        <v>369</v>
      </c>
      <c r="E31" s="152">
        <f>SUM(H25:H29)</f>
        <v>758.08333333333326</v>
      </c>
      <c r="F31" s="169" t="s">
        <v>131</v>
      </c>
    </row>
    <row r="32" spans="1:9" ht="20.100000000000001" customHeight="1" x14ac:dyDescent="0.25">
      <c r="A32" s="5" t="str">
        <f>HYPERLINK("#'6.3.1.1-2 Leach runoff crop'!A1", "6.3.1.1-2 Leach &amp; runoff (crop)")</f>
        <v>6.3.1.1-2 Leach &amp; runoff (crop)</v>
      </c>
    </row>
    <row r="33" spans="1:1" ht="20.100000000000001" customHeight="1" x14ac:dyDescent="0.25">
      <c r="A33" s="5" t="str">
        <f>HYPERLINK("#'6.4.1.1-2 Residue burning'!A1", "6.4.1.1-2 Residue burning")</f>
        <v>6.4.1.1-2 Residue burning</v>
      </c>
    </row>
    <row r="34" spans="1:1" ht="20.100000000000001" customHeight="1" x14ac:dyDescent="0.25">
      <c r="A34" s="5" t="str">
        <f>HYPERLINK("#'8.1.1.1-2 Transport fuel'!A1", "8.1.1.1-2 Transport fuel")</f>
        <v>8.1.1.1-2 Transport fuel</v>
      </c>
    </row>
    <row r="35" spans="1:1" ht="20.100000000000001" customHeight="1" x14ac:dyDescent="0.25">
      <c r="A35" s="5" t="str">
        <f>HYPERLINK("#'8.2.1.1-2 Stationary fuel'!A1", "8.2.1.1-2 Stationary fuel")</f>
        <v>8.2.1.1-2 Stationary fuel</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HYPERLINK("#'10.1.1-2 Solid waste treatment'!A1", "10.1.1-2 Solid waste treatment")</f>
        <v>10.1.1-2 Solid waste treatment</v>
      </c>
    </row>
    <row r="40" spans="1:1" ht="20.100000000000001" customHeight="1" x14ac:dyDescent="0.25"/>
    <row r="41" spans="1:1" ht="20.100000000000001" customHeight="1" x14ac:dyDescent="0.25"/>
    <row r="42" spans="1:1" ht="20.100000000000001" customHeight="1" x14ac:dyDescent="0.25">
      <c r="A42" s="94" t="s">
        <v>1</v>
      </c>
    </row>
    <row r="43" spans="1:1" ht="20.100000000000001" customHeight="1" x14ac:dyDescent="0.25">
      <c r="A43" s="5" t="str">
        <f>HYPERLINK("#'Constants - Ag Residue'!A1", "Constants - Ag residue")</f>
        <v>Constants - Ag residue</v>
      </c>
    </row>
    <row r="44" spans="1:1" ht="20.100000000000001" customHeight="1" x14ac:dyDescent="0.25">
      <c r="A44" s="5" t="str">
        <f>HYPERLINK("#'Constants - Common Livestock'!A1", "Constants - Common Livestock")</f>
        <v>Constants - Common Livestock</v>
      </c>
    </row>
    <row r="45" spans="1:1" ht="20.100000000000001" customHeight="1" x14ac:dyDescent="0.25">
      <c r="A45" s="5" t="str">
        <f>HYPERLINK("#'Constants - Electricity'!A1", "Constants - Electricity")</f>
        <v>Constants - Electricity</v>
      </c>
    </row>
    <row r="46" spans="1:1" ht="20.100000000000001" customHeight="1" x14ac:dyDescent="0.25">
      <c r="A46" s="5" t="str">
        <f>HYPERLINK("#'Constants - Fertiliser'!A1", "Constants - Fertiliser")</f>
        <v>Constants - Fertiliser</v>
      </c>
    </row>
    <row r="47" spans="1:1" ht="20.100000000000001" customHeight="1" x14ac:dyDescent="0.25">
      <c r="A47" s="5" t="str">
        <f>HYPERLINK("#'Constants - Fuel'!A1", "Constants - Fuel")</f>
        <v>Constants - Fuel</v>
      </c>
    </row>
    <row r="48" spans="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59112-8A8D-42F4-BCFB-F442D57DAD29}">
  <dimension ref="A1:U165"/>
  <sheetViews>
    <sheetView showGridLines="0" topLeftCell="A107"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370</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4" t="s">
        <v>311</v>
      </c>
      <c r="E7" s="134"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312</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6" t="str" cm="1">
        <f t="array" ref="D13:E14">_xlfn.CHOOSECOLS(Fertiliser_Equations_AtmosphericDeposition.VEERG_5_4_1_1__2_MassOfNitrogenVolatilisedFromInorganicFertiliser_Arguments(), 1, 2)</f>
        <v>MN_jf</v>
      </c>
      <c r="E13" s="164" t="str">
        <v>mass of nitrogen in inorganic fertiliser applied</v>
      </c>
      <c r="F13" s="166"/>
      <c r="G13" s="156" t="str" cm="1">
        <f t="array" ref="G13:H14">_xlfn.CHOOSECOLS(Fertiliser_Equations_AtmosphericDeposition.VEERG_5_4_1_1__2_MassOfNitrogenVolatilisedFromInorganicFertiliser_Arguments(), 3,4)</f>
        <v>kg N</v>
      </c>
      <c r="H13" s="139" t="str">
        <v>Calculated from 5.1.1.1 (2)</v>
      </c>
      <c r="I13" s="142" t="str" cm="1">
        <f t="array" aca="1" ref="I13" ca="1">HYPERLINK(Common_InputFunctions.Utility_SourceHyperlink($D$16),$D$16)</f>
        <v>Table_M_vol_inorganic_j_f</v>
      </c>
    </row>
    <row r="14" spans="1:21" ht="20.100000000000001" customHeight="1" x14ac:dyDescent="0.25">
      <c r="A14" s="5" t="str">
        <f>HYPERLINK("#'Input - Fuel'!A1", "Fuel")</f>
        <v>Fuel</v>
      </c>
      <c r="D14" s="156" t="str">
        <v>FracGASF_f</v>
      </c>
      <c r="E14" s="164" t="str">
        <v>fraction of inorganic fertiliser that volatilises</v>
      </c>
      <c r="F14" s="166"/>
      <c r="G14" s="156" t="str">
        <v>(kg NH3-N + NOx-N)/kg N</v>
      </c>
      <c r="H14" s="139" t="str">
        <v>Constant</v>
      </c>
      <c r="I14" s="142"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45" t="s">
        <v>371</v>
      </c>
    </row>
    <row r="17" spans="1:8" ht="20.100000000000001" customHeight="1" x14ac:dyDescent="0.25">
      <c r="A17" s="5" t="str">
        <f>HYPERLINK("#'Input - Crop pasture farm input'!A1", "Crop pasture farm input")</f>
        <v>Crop pasture farm input</v>
      </c>
      <c r="D17" s="146" t="s">
        <v>372</v>
      </c>
    </row>
    <row r="18" spans="1:8" ht="20.100000000000001" customHeight="1" x14ac:dyDescent="0.25">
      <c r="A18" s="5" t="str">
        <f>HYPERLINK("#'Input - Freight'!A1", "Freight")</f>
        <v>Freight</v>
      </c>
      <c r="D18" s="147" t="s">
        <v>373</v>
      </c>
      <c r="E18" s="147" t="s">
        <v>374</v>
      </c>
      <c r="F18" s="147" t="s">
        <v>375</v>
      </c>
      <c r="G18" s="170" t="s">
        <v>376</v>
      </c>
      <c r="H18" s="170" t="s">
        <v>377</v>
      </c>
    </row>
    <row r="19" spans="1:8"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Solid waste'!A1", "Solid waste")</f>
        <v>Solid waste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Data quality'!A1", "Data quality")</f>
        <v>Data quality</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6" t="s">
        <v>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HYPERLINK("#'5.1.1.1-2 Inorganic fert N2O'!A1", "5.1.1.1-2 Inorganic fert N2O")</f>
        <v>5.1.1.1-2 Inorganic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HYPERLINK("#'5.1.1.3-4 Inorganic fert CO2'!A1", "5.1.1.3-4 Inorganic fert CO2")</f>
        <v>5.1.1.3-4 Inorganic fert CO2</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A27" s="5" t="str">
        <f>HYPERLINK("#'5.2.1.1-2 Organic Fert N2O'!A1", "5.2.1.1-2 Organic fert N2O")</f>
        <v>5.2.1.1-2 Organic fert N2O</v>
      </c>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A28" s="5" t="str">
        <f>HYPERLINK("#'5.3.1.1-2 Lime CO2'!A1", "5.3.1.1-2 Lime CO2")</f>
        <v>5.3.1.1-2 Lime CO2</v>
      </c>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143" t="str">
        <f>HYPERLINK("#'5.4.1.1-4 Atmos deposition'!A1", "5.4.1.1-4 Atmos. deposition")</f>
        <v>5.4.1.1-4 Atmos. deposition</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HYPERLINK("#'5.5.1.1-2 Leaching and runoff'!A1", "5.5.1.1-2 Leaching &amp; runoff")</f>
        <v>5.5.1.1-2 Leaching &amp; runoff</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HYPERLINK("#'6.1.1.1-2 Crop residue N2O'!A1", "6.1.1.1-2 Crop residue N2O")</f>
        <v>6.1.1.1-2 Crop residue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HYPERLINK("#'6.3.1.1-2 Leach runoff crop'!A1", "6.3.1.1-2 Leach &amp; runoff (crop)")</f>
        <v>6.3.1.1-2 Leach &amp; runoff (crop)</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HYPERLINK("#'6.4.1.1-2 Residue burning'!A1", "6.4.1.1-2 Residue burning")</f>
        <v>6.4.1.1-2 Residue burning</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HYPERLINK("#'8.1.1.1-2 Transport fuel'!A1", "8.1.1.1-2 Transport fuel")</f>
        <v>8.1.1.1-2 Transport fuel</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HYPERLINK("#'8.2.1.1-2 Stationary fuel'!A1", "8.2.1.1-2 Stationary fuel")</f>
        <v>8.2.1.1-2 Stationary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HYPERLINK("#'14.1.1-2 Purchased electricity'!A1", "14.1.1-2 Purchased electricity")</f>
        <v>14.1.1-2 Purchased electricity</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HYPERLINK("#'15 Scope 3'!A1", "15 Scope 3")</f>
        <v>15 Scope 3</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HYPERLINK("#'10.1.1-2 Solid waste treatment'!A1", "10.1.1-2 Solid waste treatment")</f>
        <v>10.1.1-2 Solid waste treatment</v>
      </c>
    </row>
    <row r="40" spans="1:12" ht="20.100000000000001" customHeight="1" x14ac:dyDescent="0.25">
      <c r="C40" s="163"/>
      <c r="D40" s="163"/>
      <c r="E40" s="163"/>
      <c r="F40" s="163"/>
      <c r="G40" s="163"/>
      <c r="H40" s="163"/>
      <c r="I40" s="163"/>
      <c r="J40" s="163"/>
      <c r="K40" s="163"/>
      <c r="L40" s="163"/>
    </row>
    <row r="41" spans="1:12" ht="20.100000000000001" customHeight="1" x14ac:dyDescent="0.2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94" t="s">
        <v>1</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Ag Residue'!A1", "Constants - Ag residue")</f>
        <v>Constants - Ag residue</v>
      </c>
      <c r="D43" s="134" t="s">
        <v>311</v>
      </c>
      <c r="E43" s="134"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c r="D46" s="88" t="s">
        <v>312</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Fuel'!A1", "Constants - Fuel")</f>
        <v>Constants - Fuel</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Scope 3'!A1", "Constants - Scope 3")</f>
        <v>Constants - Scope 3</v>
      </c>
    </row>
    <row r="49" spans="1:10" ht="20.100000000000001" customHeight="1" x14ac:dyDescent="0.25">
      <c r="A49" s="5" t="str">
        <f>HYPERLINK("#'Constants - Common'!A1", "Constants - Common")</f>
        <v>Constants - Common</v>
      </c>
      <c r="D49" s="156" t="str" cm="1">
        <f t="array" ref="D49:E54">_xlfn.CHOOSECOLS(Fertiliser_Equations_AtmosphericDeposition.VEERG_5_4_1_1__1_InorganicFertiliserAtmosphericDepositionN2OEmissions_Arguments(), 1, 2)</f>
        <v>M_volinorganicjf</v>
      </c>
      <c r="E49" s="164" t="str">
        <v>mass of nitrogen volatilised from inorganic fertiliser applied to production system</v>
      </c>
      <c r="F49" s="165"/>
      <c r="G49" s="166"/>
      <c r="H49" s="156" t="str" cm="1">
        <f t="array" ref="H49:I54">_xlfn.CHOOSECOLS(Fertiliser_Equations_AtmosphericDeposition.VEERG_5_4_1_1__1_InorganicFertiliserAtmosphericDepositionN2OEmissions_Arguments(), 3,4)</f>
        <v>kg N</v>
      </c>
      <c r="I49" s="139" t="str">
        <v>Calculated from 5.4.1.1 (2)</v>
      </c>
      <c r="J49" s="142" t="str" cm="1">
        <f t="array" aca="1" ref="J49" ca="1">HYPERLINK(Common_InputFunctions.Utility_SourceHyperlink($D$16),$D$16)</f>
        <v>Table_M_vol_inorganic_j_f</v>
      </c>
    </row>
    <row r="50" spans="1:10" ht="20.100000000000001" customHeight="1" x14ac:dyDescent="0.25">
      <c r="A50" s="5" t="str">
        <f>HYPERLINK("#'Constants - Solid Waste'!A1", "Constants - Solid Waste")</f>
        <v>Constants - Solid Waste</v>
      </c>
      <c r="D50" s="156" t="str">
        <v>EF_N2Oj</v>
      </c>
      <c r="E50" s="164" t="str">
        <v>emission factor for atmospheric deposition</v>
      </c>
      <c r="F50" s="165"/>
      <c r="G50" s="166"/>
      <c r="H50" s="156" t="str">
        <v>kg N2O-N/kg N</v>
      </c>
      <c r="I50" s="139" t="str">
        <v>Constant</v>
      </c>
      <c r="J50" s="156">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56" t="str">
        <v>C_N2O</v>
      </c>
      <c r="E51" s="164" t="str">
        <v>factor to convert elemental mass of nitrous oxide to molecular mass</v>
      </c>
      <c r="F51" s="165"/>
      <c r="G51" s="166"/>
      <c r="H51" s="156" t="str">
        <v/>
      </c>
      <c r="I51" s="139" t="str">
        <v>Constant</v>
      </c>
      <c r="J51" s="135">
        <f>Common_InputFunctions.Utility_LookupValueInTableNumber("N2O",Table_GasToMolecularConversionFactor[Gas],Table_GasToMolecularConversionFactor[Conversion factor combined])</f>
        <v>1.5714285714285714</v>
      </c>
    </row>
    <row r="52" spans="1:10" ht="20.100000000000001" customHeight="1" x14ac:dyDescent="0.25">
      <c r="D52" s="156" t="str">
        <v>j</v>
      </c>
      <c r="E52" s="164" t="str">
        <v>Production system</v>
      </c>
      <c r="F52" s="165"/>
      <c r="G52" s="166"/>
      <c r="H52" s="156" t="str">
        <v/>
      </c>
      <c r="I52" s="138" t="str">
        <v>Input</v>
      </c>
      <c r="J52" s="156" t="str">
        <f>X_Cell_Fertiliser_ProductionSystem</f>
        <v>Crop</v>
      </c>
    </row>
    <row r="53" spans="1:10" ht="20.100000000000001" customHeight="1" x14ac:dyDescent="0.25">
      <c r="D53" s="156" t="str">
        <v>ir</v>
      </c>
      <c r="E53" s="164" t="str">
        <v>irrigation method</v>
      </c>
      <c r="F53" s="165"/>
      <c r="G53" s="166"/>
      <c r="H53" s="156" t="str">
        <v/>
      </c>
      <c r="I53" s="138" t="str">
        <v>Input</v>
      </c>
      <c r="J53" s="156" t="str">
        <f>X_Cell_Fertiliser_IrrigationMethod</f>
        <v>Sprinkler irrigation</v>
      </c>
    </row>
    <row r="54" spans="1:10" ht="20.100000000000001" customHeight="1" x14ac:dyDescent="0.25">
      <c r="D54" s="156" t="str">
        <v>r</v>
      </c>
      <c r="E54" s="164" t="str">
        <v>rainfall region</v>
      </c>
      <c r="F54" s="165"/>
      <c r="G54" s="166"/>
      <c r="H54" s="156" t="str">
        <v/>
      </c>
      <c r="I54" s="138" t="str">
        <v>Input</v>
      </c>
      <c r="J54" s="156" t="str">
        <f>X_Cell_Site_RainfallZone</f>
        <v>High rainfall</v>
      </c>
    </row>
    <row r="55" spans="1:10" ht="20.100000000000001" customHeight="1" x14ac:dyDescent="0.25"/>
    <row r="56" spans="1:10" ht="20.100000000000001" customHeight="1" x14ac:dyDescent="0.25">
      <c r="D56" s="145" t="s">
        <v>378</v>
      </c>
    </row>
    <row r="57" spans="1:10" ht="20.100000000000001" customHeight="1" x14ac:dyDescent="0.25">
      <c r="D57" s="146" t="s">
        <v>379</v>
      </c>
    </row>
    <row r="58" spans="1:10" ht="20.100000000000001" customHeight="1" x14ac:dyDescent="0.25">
      <c r="D58" s="147" t="s">
        <v>373</v>
      </c>
      <c r="E58" s="170" t="s">
        <v>377</v>
      </c>
      <c r="F58" s="170" t="s">
        <v>380</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17399.999100000001</v>
      </c>
      <c r="F61" s="25" cm="1">
        <f t="array" ref="F61">Fertiliser_Equations_AtmosphericDeposition.VEERG_5_4_1_1__1_InorganicFertiliserAtmosphericDepositionN2OEmissions(E61,$J$50,$J$51)</f>
        <v>0.19139999010000003</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1.0912E-2</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6.0499999999999996E-4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3.6234000000000002E-2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8.5249999999999996E-4</v>
      </c>
    </row>
    <row r="78" spans="4:6" ht="20.100000000000001" customHeight="1" x14ac:dyDescent="0.25"/>
    <row r="79" spans="4:6" ht="20.100000000000001" customHeight="1" x14ac:dyDescent="0.25">
      <c r="D79" s="151" t="s">
        <v>381</v>
      </c>
      <c r="E79" s="152">
        <f>SUM(F59:F77)</f>
        <v>0.24000349010000002</v>
      </c>
      <c r="F79" s="153" t="str">
        <f>$E$47</f>
        <v>t N2O</v>
      </c>
    </row>
    <row r="80" spans="4:6" ht="20.100000000000001" customHeight="1" x14ac:dyDescent="0.25"/>
    <row r="81" spans="3:12" ht="20.100000000000001" customHeight="1" x14ac:dyDescent="0.25">
      <c r="D81" s="135" t="str" cm="1">
        <f t="array" ref="D81:E82">Common_Equations.Common_ConvertN2OToCO2e_Arguments()</f>
        <v>EN2O</v>
      </c>
      <c r="E81" s="136" t="str">
        <v>Nitrous oxide emissions (t N2O)</v>
      </c>
      <c r="F81" s="154"/>
      <c r="G81" s="25">
        <f>VEERG_5_4_1_1__1_InorganicFertiliserAtmosphericDepositionN2OEmissions_Result_Method1</f>
        <v>0.24000349010000002</v>
      </c>
    </row>
    <row r="82" spans="3:12" ht="20.100000000000001" customHeight="1" x14ac:dyDescent="0.25">
      <c r="D82" s="135" t="str">
        <v>GWPN2O</v>
      </c>
      <c r="E82" s="136" t="str">
        <v>Global warming potential for nitrous oxide (t CO2-e / t N2O)</v>
      </c>
      <c r="F82" s="154"/>
      <c r="G82" s="25">
        <f>Common_InputFunctions.Utility_LookupValueInTableNumber("N2O",Table_GWPData[Gas],Table_GWPData[CO2-e factor])</f>
        <v>265</v>
      </c>
    </row>
    <row r="83" spans="3:12" ht="20.100000000000001" customHeight="1" x14ac:dyDescent="0.25"/>
    <row r="84" spans="3:12" ht="20.100000000000001" customHeight="1" x14ac:dyDescent="0.25">
      <c r="D84" s="148" t="s">
        <v>343</v>
      </c>
      <c r="E84" s="148" cm="1">
        <f t="array" ref="E84">Common_Equations.Common_ConvertN2OToCO2e(G81,G82)</f>
        <v>63.600924876500002</v>
      </c>
      <c r="F84" s="15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3"/>
      <c r="D87" s="163"/>
      <c r="E87" s="163"/>
      <c r="F87" s="163"/>
      <c r="G87" s="163"/>
      <c r="H87" s="163"/>
      <c r="I87" s="163"/>
      <c r="J87" s="163"/>
      <c r="K87" s="163"/>
      <c r="L87" s="163"/>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4" t="s">
        <v>311</v>
      </c>
      <c r="E90" s="134"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312</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6" t="str" cm="1">
        <f t="array" ref="D96:E97">_xlfn.CHOOSECOLS(Fertiliser_Equations_AtmosphericDeposition.VEERG_5_4_1_3__2_MassOfNitrogenVolatilisedFromOrganicFertiliser_Arguments(), 1, 2)</f>
        <v>MNSoil_jf</v>
      </c>
      <c r="E96" s="156" t="str">
        <v>mass of nitrogen in organic fertiliser type f applied to production system j</v>
      </c>
      <c r="F96" s="156"/>
      <c r="G96" s="156" t="str" cm="1">
        <f t="array" ref="G96:H97">_xlfn.CHOOSECOLS(Fertiliser_Equations_AtmosphericDeposition.VEERG_5_4_1_3__2_MassOfNitrogenVolatilisedFromOrganicFertiliser_Arguments(), 3,4)</f>
        <v>kg N</v>
      </c>
      <c r="H96" s="139" t="str">
        <v>Calculated from 5.2.1.1 (2)</v>
      </c>
      <c r="I96" s="142" t="str" cm="1">
        <f t="array" aca="1" ref="I96" ca="1">HYPERLINK(Common_InputFunctions.Utility_SourceHyperlink($D$99), $D$99)</f>
        <v>Table_M_vol_organic_j_f</v>
      </c>
    </row>
    <row r="97" spans="4:9" ht="20.100000000000001" customHeight="1" x14ac:dyDescent="0.25">
      <c r="D97" s="156" t="str">
        <v>FracGASM_soil</v>
      </c>
      <c r="E97" s="156" t="str">
        <v>fraction of organic fertiliser N that volatilises</v>
      </c>
      <c r="F97" s="156"/>
      <c r="G97" s="156" t="str">
        <v>(kg NH3-N + NOx-N)/kg N</v>
      </c>
      <c r="H97" s="139" t="str">
        <v>Constant</v>
      </c>
      <c r="I97" s="156">
        <f>Fertiliser_FracGASMSoil_Data</f>
        <v>0.21</v>
      </c>
    </row>
    <row r="98" spans="4:9" ht="20.100000000000001" customHeight="1" x14ac:dyDescent="0.25"/>
    <row r="99" spans="4:9" ht="20.100000000000001" customHeight="1" x14ac:dyDescent="0.25">
      <c r="D99" s="145" t="s">
        <v>382</v>
      </c>
    </row>
    <row r="100" spans="4:9" ht="20.100000000000001" customHeight="1" x14ac:dyDescent="0.25">
      <c r="D100" s="146" t="s">
        <v>383</v>
      </c>
    </row>
    <row r="101" spans="4:9" ht="20.100000000000001" customHeight="1" x14ac:dyDescent="0.25">
      <c r="D101" s="92" t="s">
        <v>356</v>
      </c>
      <c r="E101" s="157" t="s">
        <v>360</v>
      </c>
      <c r="F101" s="157" t="s">
        <v>384</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3"/>
      <c r="D115" s="163"/>
      <c r="E115" s="163"/>
      <c r="F115" s="163"/>
      <c r="G115" s="163"/>
      <c r="H115" s="163"/>
      <c r="I115" s="163"/>
      <c r="J115" s="163"/>
      <c r="K115" s="163"/>
      <c r="L115" s="163"/>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4" t="s">
        <v>311</v>
      </c>
      <c r="E118" s="134"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312</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6" t="str" cm="1">
        <f t="array" ref="D124:E129">_xlfn.CHOOSECOLS(Fertiliser_Equations_AtmosphericDeposition.VEERG_5_4_1_3__1_OrganicFertiliserAtmosphericDepositionN2OEmissions_Arguments(), 1, 2)</f>
        <v>M_volorganicjf</v>
      </c>
      <c r="E124" s="164" t="str">
        <v>mass of nitrogen volatilised from organic fertiliser applied to production system</v>
      </c>
      <c r="F124" s="166"/>
      <c r="G124" s="156" t="str" cm="1">
        <f t="array" ref="G124:H129">_xlfn.CHOOSECOLS(Fertiliser_Equations_AtmosphericDeposition.VEERG_5_4_1_3__1_OrganicFertiliserAtmosphericDepositionN2OEmissions_Arguments(), 3,4)</f>
        <v>kg N</v>
      </c>
      <c r="H124" s="139" t="str">
        <v>Calculated from 5.4.1.3 (2)</v>
      </c>
      <c r="I124" s="142" t="str" cm="1">
        <f t="array" aca="1" ref="I124" ca="1">HYPERLINK(Common_InputFunctions.Utility_SourceHyperlink($D$99), $D$99)</f>
        <v>Table_M_vol_organic_j_f</v>
      </c>
    </row>
    <row r="125" spans="3:12" ht="20.100000000000001" customHeight="1" x14ac:dyDescent="0.25">
      <c r="D125" s="156" t="str">
        <v>EF_N2Oj</v>
      </c>
      <c r="E125" s="164" t="str">
        <v>emission factor for atmospheric deposition in production system j</v>
      </c>
      <c r="F125" s="166"/>
      <c r="G125" s="156" t="str">
        <v>kg N2O-N/kg N</v>
      </c>
      <c r="H125" s="139" t="str">
        <v>Constant</v>
      </c>
      <c r="I125" s="156">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6" t="str">
        <v>C_N2O</v>
      </c>
      <c r="E126" s="164" t="str">
        <v>factor to convert elemental mass of nitrous oxide to molecular mass</v>
      </c>
      <c r="F126" s="166"/>
      <c r="G126" s="156" t="str">
        <v/>
      </c>
      <c r="H126" s="139" t="str">
        <v>Constant</v>
      </c>
      <c r="I126" s="135">
        <f>Common_InputFunctions.Utility_LookupValueInTableNumber("N2O",Table_GasToMolecularConversionFactor[Gas],Table_GasToMolecularConversionFactor[Conversion factor combined])</f>
        <v>1.5714285714285714</v>
      </c>
    </row>
    <row r="127" spans="3:12" ht="20.100000000000001" customHeight="1" x14ac:dyDescent="0.25">
      <c r="D127" s="156" t="str">
        <v>j</v>
      </c>
      <c r="E127" s="164" t="str">
        <v>Production system</v>
      </c>
      <c r="F127" s="166"/>
      <c r="G127" s="156" t="str">
        <v/>
      </c>
      <c r="H127" s="138" t="str">
        <v>Input</v>
      </c>
      <c r="I127" s="156" t="str">
        <f>X_Cell_Fertiliser_ProductionSystem</f>
        <v>Crop</v>
      </c>
    </row>
    <row r="128" spans="3:12" ht="20.100000000000001" customHeight="1" x14ac:dyDescent="0.25">
      <c r="D128" s="156" t="str">
        <v>ir</v>
      </c>
      <c r="E128" s="164" t="str">
        <v>irrigation method</v>
      </c>
      <c r="F128" s="166"/>
      <c r="G128" s="156" t="str">
        <v/>
      </c>
      <c r="H128" s="138" t="str">
        <v>Input</v>
      </c>
      <c r="I128" s="156" t="str">
        <f>X_Cell_Fertiliser_IrrigationMethod</f>
        <v>Sprinkler irrigation</v>
      </c>
    </row>
    <row r="129" spans="4:9" ht="20.100000000000001" customHeight="1" x14ac:dyDescent="0.25">
      <c r="D129" s="156" t="str">
        <v>r</v>
      </c>
      <c r="E129" s="164" t="str">
        <v>rainfall region</v>
      </c>
      <c r="F129" s="166"/>
      <c r="G129" s="156" t="str">
        <v/>
      </c>
      <c r="H129" s="138" t="str">
        <v>Input</v>
      </c>
      <c r="I129" s="156" t="str">
        <f>X_Cell_Site_RainfallZone</f>
        <v>High rainfall</v>
      </c>
    </row>
    <row r="130" spans="4:9" ht="20.100000000000001" customHeight="1" x14ac:dyDescent="0.25"/>
    <row r="131" spans="4:9" ht="20.100000000000001" customHeight="1" x14ac:dyDescent="0.25">
      <c r="D131" s="145" t="s">
        <v>385</v>
      </c>
    </row>
    <row r="132" spans="4:9" ht="20.100000000000001" customHeight="1" x14ac:dyDescent="0.25">
      <c r="D132" s="146" t="s">
        <v>386</v>
      </c>
    </row>
    <row r="133" spans="4:9" ht="20.100000000000001" customHeight="1" x14ac:dyDescent="0.25">
      <c r="D133" s="92" t="s">
        <v>356</v>
      </c>
      <c r="E133" s="157" t="s">
        <v>384</v>
      </c>
      <c r="F133" s="157" t="s">
        <v>387</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6.9299999999999995E-3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5.7750000000000006E-3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3.6959999999999996E-3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51" t="s">
        <v>388</v>
      </c>
      <c r="E146" s="152">
        <f>SUM(F134:F144)</f>
        <v>1.6400999999999999E-2</v>
      </c>
      <c r="F146" s="153" t="str">
        <f>$E$122</f>
        <v>t N2O</v>
      </c>
    </row>
    <row r="147" spans="4:7" ht="20.100000000000001" customHeight="1" x14ac:dyDescent="0.25"/>
    <row r="148" spans="4:7" ht="20.100000000000001" customHeight="1" x14ac:dyDescent="0.25">
      <c r="D148" s="135" t="str" cm="1">
        <f t="array" ref="D148:E149">Common_Equations.Common_ConvertN2OToCO2e_Arguments()</f>
        <v>EN2O</v>
      </c>
      <c r="E148" s="136" t="str">
        <v>Nitrous oxide emissions (t N2O)</v>
      </c>
      <c r="F148" s="154"/>
      <c r="G148" s="25">
        <f>VEERG_5_4_1_3__1_OrganicFertiliserAtmosphericDepositionN2OEmissions_Result_Method1</f>
        <v>1.6400999999999999E-2</v>
      </c>
    </row>
    <row r="149" spans="4:7" ht="20.100000000000001" customHeight="1" x14ac:dyDescent="0.25">
      <c r="D149" s="135" t="str">
        <v>GWPN2O</v>
      </c>
      <c r="E149" s="136" t="str">
        <v>Global warming potential for nitrous oxide (t CO2-e / t N2O)</v>
      </c>
      <c r="F149" s="154"/>
      <c r="G149" s="25">
        <f>Common_InputFunctions.Utility_LookupValueInTableNumber("N2O",Table_GWPData[Gas],Table_GWPData[CO2-e factor])</f>
        <v>265</v>
      </c>
    </row>
    <row r="150" spans="4:7" ht="20.100000000000001" customHeight="1" x14ac:dyDescent="0.25"/>
    <row r="151" spans="4:7" ht="20.100000000000001" customHeight="1" x14ac:dyDescent="0.25">
      <c r="D151" s="148" t="s">
        <v>343</v>
      </c>
      <c r="E151" s="148" cm="1">
        <f t="array" ref="E151">Common_Equations.Common_ConvertN2OToCO2e(G148,G149)</f>
        <v>4.3462649999999998</v>
      </c>
      <c r="F151" s="15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ADDB4-1491-4146-ABE8-52DA185D2243}">
  <dimension ref="A1:T165"/>
  <sheetViews>
    <sheetView showGridLines="0" topLeftCell="A1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389</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4" t="s">
        <v>311</v>
      </c>
      <c r="E7" s="134"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312</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6" t="str" cm="1">
        <f t="array" ref="D13:E18">_xlfn.CHOOSECOLS(Fertiliser_Equations_LeachingAndRunoff.VEERG_5_5_1_1__2_MassOfNitrogenLeachedFromInorganicFertiliser_Arguments(), 1, 2)</f>
        <v>MN_jf</v>
      </c>
      <c r="E13" s="164" t="str">
        <v>mass of nitrogen in inorganic fertiliser</v>
      </c>
      <c r="F13" s="166"/>
      <c r="G13" s="156" t="str" cm="1">
        <f t="array" ref="G13:H18">_xlfn.CHOOSECOLS(Fertiliser_Equations_LeachingAndRunoff.VEERG_5_5_1_1__2_MassOfNitrogenLeachedFromInorganicFertiliser_Arguments(), 3,4)</f>
        <v>kg N</v>
      </c>
      <c r="H13" s="139" t="str">
        <v>Calculated from 5.1.1.1 (2)</v>
      </c>
      <c r="I13" s="142" t="str" cm="1">
        <f t="array" aca="1" ref="I13" ca="1">HYPERLINK(Common_InputFunctions.Utility_SourceHyperlink(D20), D20)</f>
        <v>Table_M_leach_inorganic_j</v>
      </c>
    </row>
    <row r="14" spans="1:20" ht="20.100000000000001" customHeight="1" x14ac:dyDescent="0.25">
      <c r="A14" s="5" t="str">
        <f>HYPERLINK("#'Input - Fuel'!A1", "Fuel")</f>
        <v>Fuel</v>
      </c>
      <c r="D14" s="156" t="str">
        <v>FracWETj</v>
      </c>
      <c r="E14" s="164" t="str">
        <v>fraction of N available for leaching and runoff</v>
      </c>
      <c r="F14" s="166"/>
      <c r="G14" s="156" t="str">
        <v>fraction</v>
      </c>
      <c r="H14" s="139" t="str">
        <v>Constant</v>
      </c>
      <c r="I14" s="156">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6" t="str">
        <v>FracLEACH</v>
      </c>
      <c r="E15" s="164" t="str">
        <v>fraction of N that is lost through leaching and runoff</v>
      </c>
      <c r="F15" s="166"/>
      <c r="G15" s="156" t="str">
        <v>fraction</v>
      </c>
      <c r="H15" s="139" t="str">
        <v>Constant</v>
      </c>
      <c r="I15" s="156">
        <f>Fertiliser_FracLEACH_Data</f>
        <v>0.24</v>
      </c>
    </row>
    <row r="16" spans="1:20" ht="20.100000000000001" customHeight="1" x14ac:dyDescent="0.25">
      <c r="A16" s="5" t="str">
        <f>HYPERLINK("#'Input - Common farm inputs'!A1", "Common farm inputs")</f>
        <v>Common farm inputs</v>
      </c>
      <c r="D16" s="156" t="str">
        <v>z</v>
      </c>
      <c r="E16" s="164" t="str">
        <v>location in leaching zone</v>
      </c>
      <c r="F16" s="166"/>
      <c r="G16" s="156" t="str">
        <v/>
      </c>
      <c r="H16" s="138" t="str">
        <v>Input</v>
      </c>
      <c r="I16" s="156" t="str">
        <f>X_Cell_Site_LeachingZone</f>
        <v>NO - Not in leaching zone</v>
      </c>
    </row>
    <row r="17" spans="1:9" ht="20.100000000000001" customHeight="1" x14ac:dyDescent="0.25">
      <c r="A17" s="5" t="str">
        <f>HYPERLINK("#'Input - Crop pasture farm input'!A1", "Crop pasture farm input")</f>
        <v>Crop pasture farm input</v>
      </c>
      <c r="D17" s="156" t="str">
        <v>j</v>
      </c>
      <c r="E17" s="164" t="str">
        <v>production system</v>
      </c>
      <c r="F17" s="166"/>
      <c r="G17" s="156" t="str">
        <v/>
      </c>
      <c r="H17" s="138" t="str">
        <v>Input</v>
      </c>
      <c r="I17" s="156" t="str">
        <f>X_Cell_Fertiliser_ProductionSystem</f>
        <v>Crop</v>
      </c>
    </row>
    <row r="18" spans="1:9" ht="20.100000000000001" customHeight="1" x14ac:dyDescent="0.25">
      <c r="A18" s="5" t="str">
        <f>HYPERLINK("#'Input - Freight'!A1", "Freight")</f>
        <v>Freight</v>
      </c>
      <c r="D18" s="156" t="str">
        <v>ir</v>
      </c>
      <c r="E18" s="164" t="str">
        <v>irrigation method</v>
      </c>
      <c r="F18" s="166"/>
      <c r="G18" s="156" t="str">
        <v/>
      </c>
      <c r="H18" s="138" t="str">
        <v>Input</v>
      </c>
      <c r="I18" s="156" t="str">
        <f>X_Cell_Fertiliser_IrrigationMethod</f>
        <v>Sprinkler irrigation</v>
      </c>
    </row>
    <row r="19" spans="1:9" ht="20.100000000000001" customHeight="1" x14ac:dyDescent="0.25">
      <c r="A19" s="5" t="str">
        <f>HYPERLINK("#'Input - Manure sent off-site'!A1", "Manure sent off-site")</f>
        <v>Manure sent off-site</v>
      </c>
    </row>
    <row r="20" spans="1:9" ht="20.100000000000001" customHeight="1" x14ac:dyDescent="0.25">
      <c r="A20" s="5" t="str">
        <f>HYPERLINK("#'Input - Solid waste'!A1", "Solid waste")</f>
        <v>Solid waste</v>
      </c>
      <c r="D20" s="145" t="s">
        <v>390</v>
      </c>
    </row>
    <row r="21" spans="1:9" ht="20.100000000000001" customHeight="1" x14ac:dyDescent="0.25">
      <c r="A21" s="5" t="str">
        <f>HYPERLINK("#'Input - Data quality'!A1", "Data quality")</f>
        <v>Data quality</v>
      </c>
      <c r="D21" s="146" t="s">
        <v>391</v>
      </c>
    </row>
    <row r="22" spans="1:9" ht="20.100000000000001" customHeight="1" x14ac:dyDescent="0.25">
      <c r="D22" s="147" t="s">
        <v>316</v>
      </c>
      <c r="E22" s="147" t="s">
        <v>374</v>
      </c>
      <c r="F22" s="147" t="s">
        <v>392</v>
      </c>
    </row>
    <row r="23" spans="1:9" ht="20.100000000000001" customHeight="1" x14ac:dyDescent="0.25">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6" t="s">
        <v>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HYPERLINK("#'5.1.1.1-2 Inorganic fert N2O'!A1", "5.1.1.1-2 Inorganic fert N2O")</f>
        <v>5.1.1.1-2 Inorganic fert N2O</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HYPERLINK("#'5.1.1.3-4 Inorganic fert CO2'!A1", "5.1.1.3-4 Inorganic fert CO2")</f>
        <v>5.1.1.3-4 Inorganic fert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HYPERLINK("#'5.2.1.1-2 Organic Fert N2O'!A1", "5.2.1.1-2 Organic fert N2O")</f>
        <v>5.2.1.1-2 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HYPERLINK("#'5.3.1.1-2 Lime CO2'!A1", "5.3.1.1-2 Lime CO2")</f>
        <v>5.3.1.1-2 Lime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HYPERLINK("#'5.4.1.1-4 Atmos deposition'!A1", "5.4.1.1-4 Atmos. deposition")</f>
        <v>5.4.1.1-4 Atmos. deposition</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143" t="str">
        <f>HYPERLINK("#'5.5.1.1-2 Leaching and runoff'!A1", "5.5.1.1-2 Leaching &amp; runoff")</f>
        <v>5.5.1.1-2 Leaching &amp; runoff</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HYPERLINK("#'6.1.1.1-2 Crop residue N2O'!A1", "6.1.1.1-2 Crop residue N2O")</f>
        <v>6.1.1.1-2 Crop residue N2O</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HYPERLINK("#'6.3.1.1-2 Leach runoff crop'!A1", "6.3.1.1-2 Leach &amp; runoff (crop)")</f>
        <v>6.3.1.1-2 Leach &amp; runoff (crop)</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HYPERLINK("#'6.4.1.1-2 Residue burning'!A1", "6.4.1.1-2 Residue burning")</f>
        <v>6.4.1.1-2 Residue burning</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HYPERLINK("#'8.1.1.1-2 Transport fuel'!A1", "8.1.1.1-2 Transport fuel")</f>
        <v>8.1.1.1-2 Transport fuel</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HYPERLINK("#'8.2.1.1-2 Stationary fuel'!A1", "8.2.1.1-2 Stationary fuel")</f>
        <v>8.2.1.1-2 Stationary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HYPERLINK("#'14.1.1-2 Purchased electricity'!A1", "14.1.1-2 Purchased electricity")</f>
        <v>14.1.1-2 Purchased electricity</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HYPERLINK("#'15 Scope 3'!A1", "15 Scope 3")</f>
        <v>15 Scope 3</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HYPERLINK("#'Calcs - Manure sent off-site'!A1", "Calcs - Manure sent off-site")</f>
        <v>Calcs - Manure sent off-site</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HYPERLINK("#'10.1.1-2 Solid waste treatment'!A1", "10.1.1-2 Solid waste treatment")</f>
        <v>10.1.1-2 Solid waste treatment</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94" t="s">
        <v>1</v>
      </c>
    </row>
    <row r="43" spans="1:11" ht="20.100000000000001" customHeight="1" x14ac:dyDescent="0.25">
      <c r="A43" s="5" t="str">
        <f>HYPERLINK("#'Constants - Ag Residue'!A1", "Constants - Ag residue")</f>
        <v>Constants - Ag residue</v>
      </c>
      <c r="D43" s="161" t="s">
        <v>393</v>
      </c>
      <c r="E43" s="148">
        <f>SUM(F23:F41)</f>
        <v>43877.99856</v>
      </c>
      <c r="F43" s="155" t="str">
        <f>$E$11</f>
        <v>kg N</v>
      </c>
    </row>
    <row r="44" spans="1:11" ht="20.100000000000001" customHeight="1" x14ac:dyDescent="0.25">
      <c r="A44" s="5" t="str">
        <f>HYPERLINK("#'Constants - Common Livestock'!A1", "Constants - Common Livestock")</f>
        <v>Constants - Common Livestock</v>
      </c>
    </row>
    <row r="45" spans="1:11" ht="20.100000000000001" customHeight="1" x14ac:dyDescent="0.25">
      <c r="A45" s="5" t="str">
        <f>HYPERLINK("#'Constants - Electricity'!A1", "Constants - Electricity")</f>
        <v>Constants - Electricity</v>
      </c>
      <c r="C45" s="171"/>
      <c r="D45" s="171"/>
      <c r="E45" s="171"/>
      <c r="F45" s="171"/>
      <c r="G45" s="171"/>
      <c r="H45" s="171"/>
      <c r="I45" s="171"/>
      <c r="J45" s="171"/>
      <c r="K45" s="171"/>
    </row>
    <row r="46" spans="1:11" ht="20.100000000000001" customHeight="1" x14ac:dyDescent="0.25">
      <c r="A46" s="5" t="str">
        <f>HYPERLINK("#'Constants - Fertiliser'!A1", "Constants - Fertiliser")</f>
        <v>Constants - Fertiliser</v>
      </c>
    </row>
    <row r="47" spans="1:11" ht="20.100000000000001" customHeight="1" x14ac:dyDescent="0.25">
      <c r="A47" s="5" t="str">
        <f>HYPERLINK("#'Constants - Fuel'!A1", "Constants - Fuel")</f>
        <v>Constants - Fuel</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Scope 3'!A1", "Constants - Scope 3")</f>
        <v>Constants - Scope 3</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Common'!A1", "Constants - Common")</f>
        <v>Constants - Common</v>
      </c>
      <c r="D49" s="134" t="s">
        <v>311</v>
      </c>
      <c r="E49" s="134"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Solid Waste'!A1", "Constants - Solid Waste")</f>
        <v>Constants - Solid Waste</v>
      </c>
    </row>
    <row r="51" spans="1:9" ht="20.100000000000001" customHeight="1" x14ac:dyDescent="0.25"/>
    <row r="52" spans="1:9" ht="20.100000000000001" customHeight="1" x14ac:dyDescent="0.25">
      <c r="D52" s="88" t="s">
        <v>312</v>
      </c>
      <c r="E52" s="1" t="str" cm="1">
        <f t="array" ref="E52">Fertiliser_Equations_LeachingAndRunoff.VEERG_5_5_1_1__3_MassOfNitrogenLeachedFromOrganicFertiliser_Variable()</f>
        <v>M_leachorganicj</v>
      </c>
    </row>
    <row r="53" spans="1:9" ht="20.100000000000001" customHeight="1" x14ac:dyDescent="0.25">
      <c r="D53" s="88" t="s">
        <v>121</v>
      </c>
      <c r="E53" s="15" t="str" cm="1">
        <f t="array" ref="E53">Fertiliser_Equations_LeachingAndRunoff.VEERG_5_5_1_1__3_MassOfNitrogenLeachedFromOrganicFertiliser_Unit()</f>
        <v>kg N</v>
      </c>
    </row>
    <row r="54" spans="1:9" ht="20.100000000000001" customHeight="1" x14ac:dyDescent="0.25"/>
    <row r="55" spans="1:9" ht="20.100000000000001" customHeight="1" x14ac:dyDescent="0.25">
      <c r="D55" s="156" t="str" cm="1">
        <f t="array" ref="D55:E60">_xlfn.CHOOSECOLS(Fertiliser_Equations_LeachingAndRunoff.VEERG_5_5_1_1__3_MassOfNitrogenLeachedFromOrganicFertiliser_Arguments(), 1, 2)</f>
        <v>MNSoil_jf</v>
      </c>
      <c r="E55" s="164" t="str">
        <v>mass of nitrogen in organic fertiliser</v>
      </c>
      <c r="F55" s="166"/>
      <c r="G55" s="156" t="str" cm="1">
        <f t="array" ref="G55:H60">_xlfn.CHOOSECOLS(Fertiliser_Equations_LeachingAndRunoff.VEERG_5_5_1_1__3_MassOfNitrogenLeachedFromOrganicFertiliser_Arguments(), 3,4)</f>
        <v>kg N</v>
      </c>
      <c r="H55" s="139" t="str">
        <v>Calculated from 5.2.1.1 (2)</v>
      </c>
      <c r="I55" s="142" t="str" cm="1">
        <f t="array" aca="1" ref="I55" ca="1">HYPERLINK(Common_InputFunctions.Utility_SourceHyperlink(D62), D62)</f>
        <v>Table_M_leach_organic_j</v>
      </c>
    </row>
    <row r="56" spans="1:9" ht="20.100000000000001" customHeight="1" x14ac:dyDescent="0.25">
      <c r="D56" s="156" t="str">
        <v>FracWETj</v>
      </c>
      <c r="E56" s="164" t="str">
        <v>fraction of N available for leaching and runoff</v>
      </c>
      <c r="F56" s="166"/>
      <c r="G56" s="156" t="str">
        <v>fraction</v>
      </c>
      <c r="H56" s="139" t="str">
        <v>Constant</v>
      </c>
      <c r="I56" s="156">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D57" s="156" t="str">
        <v>FracLEACH</v>
      </c>
      <c r="E57" s="164" t="str">
        <v>fraction of N that is lost through leaching and runoff</v>
      </c>
      <c r="F57" s="166"/>
      <c r="G57" s="156" t="str">
        <v>fraction</v>
      </c>
      <c r="H57" s="139" t="str">
        <v>Constant</v>
      </c>
      <c r="I57" s="156">
        <f>Fertiliser_FracLEACH_Data</f>
        <v>0.24</v>
      </c>
    </row>
    <row r="58" spans="1:9" ht="20.100000000000001" customHeight="1" x14ac:dyDescent="0.25">
      <c r="D58" s="156" t="str">
        <v>z</v>
      </c>
      <c r="E58" s="164" t="str">
        <v>location in leaching zone</v>
      </c>
      <c r="F58" s="166"/>
      <c r="G58" s="156" t="str">
        <v/>
      </c>
      <c r="H58" s="138" t="str">
        <v>Input</v>
      </c>
      <c r="I58" s="156" t="str">
        <f>X_Cell_Site_LeachingZone</f>
        <v>NO - Not in leaching zone</v>
      </c>
    </row>
    <row r="59" spans="1:9" ht="20.100000000000001" customHeight="1" x14ac:dyDescent="0.25">
      <c r="D59" s="156" t="str">
        <v>j</v>
      </c>
      <c r="E59" s="164" t="str">
        <v>production system</v>
      </c>
      <c r="F59" s="166"/>
      <c r="G59" s="156" t="str">
        <v/>
      </c>
      <c r="H59" s="138" t="str">
        <v>Input</v>
      </c>
      <c r="I59" s="156" t="str">
        <f>X_Cell_Fertiliser_ProductionSystem</f>
        <v>Crop</v>
      </c>
    </row>
    <row r="60" spans="1:9" ht="20.100000000000001" customHeight="1" x14ac:dyDescent="0.25">
      <c r="D60" s="156" t="str">
        <v>ir</v>
      </c>
      <c r="E60" s="164" t="str">
        <v>irrigation method</v>
      </c>
      <c r="F60" s="166"/>
      <c r="G60" s="156" t="str">
        <v/>
      </c>
      <c r="H60" s="138" t="str">
        <v>Input</v>
      </c>
      <c r="I60" s="156" t="str">
        <f>X_Cell_Fertiliser_IrrigationMethod</f>
        <v>Sprinkler irrigation</v>
      </c>
    </row>
    <row r="61" spans="1:9" ht="20.100000000000001" customHeight="1" x14ac:dyDescent="0.25"/>
    <row r="62" spans="1:9" ht="20.100000000000001" customHeight="1" x14ac:dyDescent="0.25">
      <c r="D62" s="145" t="s">
        <v>394</v>
      </c>
    </row>
    <row r="63" spans="1:9" ht="20.100000000000001" customHeight="1" x14ac:dyDescent="0.25">
      <c r="D63" s="146" t="s">
        <v>395</v>
      </c>
    </row>
    <row r="64" spans="1:9" ht="20.100000000000001" customHeight="1" x14ac:dyDescent="0.25">
      <c r="D64" s="92" t="s">
        <v>356</v>
      </c>
      <c r="E64" s="172" t="s">
        <v>360</v>
      </c>
      <c r="F64" s="147" t="s">
        <v>396</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61" t="s">
        <v>397</v>
      </c>
      <c r="E77" s="148">
        <f>SUM(F65:F75)</f>
        <v>1704</v>
      </c>
      <c r="F77" s="155" t="str">
        <f>$E$53</f>
        <v>kg N</v>
      </c>
    </row>
    <row r="78" spans="3:11" ht="20.100000000000001" customHeight="1" x14ac:dyDescent="0.25"/>
    <row r="79" spans="3:11" ht="20.100000000000001" customHeight="1" x14ac:dyDescent="0.25">
      <c r="C79" s="171"/>
      <c r="D79" s="171"/>
      <c r="E79" s="171"/>
      <c r="F79" s="171"/>
      <c r="G79" s="171"/>
      <c r="H79" s="171"/>
      <c r="I79" s="171"/>
      <c r="J79" s="171"/>
      <c r="K79" s="171"/>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4" t="s">
        <v>311</v>
      </c>
      <c r="E83" s="134"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312</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6" t="str" cm="1">
        <f t="array" ref="D89:E92">_xlfn.CHOOSECOLS(Fertiliser_Equations_LeachingAndRunoff.VEERG_5_5_1_1__1_FertiliserLeachingAndRunoffN2OEmissions_Arguments(), 1, 2)</f>
        <v>M_leachinorganicj</v>
      </c>
      <c r="E89" s="164" t="str">
        <v>mass of nitrogen lost through leaching and runoff from inorganic fertiliser application in production system j</v>
      </c>
      <c r="F89" s="165"/>
      <c r="G89" s="166"/>
      <c r="H89" s="156" t="str" cm="1">
        <f t="array" ref="H89:I92">_xlfn.CHOOSECOLS(Fertiliser_Equations_LeachingAndRunoff.VEERG_5_5_1_1__1_FertiliserLeachingAndRunoffN2OEmissions_Arguments(), 3,4)</f>
        <v>kg N</v>
      </c>
      <c r="I89" s="139" t="str">
        <v>Calculated from 5.5.1.1 (2)</v>
      </c>
      <c r="J89" s="156">
        <f>$E$43</f>
        <v>43877.99856</v>
      </c>
    </row>
    <row r="90" spans="4:10" ht="20.100000000000001" customHeight="1" x14ac:dyDescent="0.25">
      <c r="D90" s="156" t="str">
        <v>M_leachorganicj</v>
      </c>
      <c r="E90" s="164" t="str">
        <v>mass of nitrogen lost through leaching and runoff from organic fertiliser application</v>
      </c>
      <c r="F90" s="165"/>
      <c r="G90" s="166"/>
      <c r="H90" s="156" t="str">
        <v>kg N</v>
      </c>
      <c r="I90" s="139" t="str">
        <v>Calculated from 5.5.1.1 (3)</v>
      </c>
      <c r="J90" s="156">
        <f>$E$77</f>
        <v>1704</v>
      </c>
    </row>
    <row r="91" spans="4:10" ht="20.100000000000001" customHeight="1" x14ac:dyDescent="0.25">
      <c r="D91" s="156" t="str">
        <v>EF_leach</v>
      </c>
      <c r="E91" s="164" t="str">
        <v>emission factor for nitrogen leaching and runoff</v>
      </c>
      <c r="F91" s="165"/>
      <c r="G91" s="166"/>
      <c r="H91" s="156" t="str">
        <v>kg N2O-N/kg N</v>
      </c>
      <c r="I91" s="139" t="str">
        <v>Constant</v>
      </c>
      <c r="J91" s="156">
        <f>Fertiliser_EFLeach_Data</f>
        <v>1.0999999999999999E-2</v>
      </c>
    </row>
    <row r="92" spans="4:10" ht="20.100000000000001" customHeight="1" x14ac:dyDescent="0.25">
      <c r="D92" s="156" t="str">
        <v>C_N2O</v>
      </c>
      <c r="E92" s="164" t="str">
        <v>factor to convert elemental mass of nitrous oxide to molecular mass</v>
      </c>
      <c r="F92" s="165"/>
      <c r="G92" s="166"/>
      <c r="H92" s="156" t="str">
        <v/>
      </c>
      <c r="I92" s="139" t="str">
        <v>Constant</v>
      </c>
      <c r="J92" s="135">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51" t="s">
        <v>398</v>
      </c>
      <c r="E94" s="152" cm="1">
        <f t="array" ref="E94">Fertiliser_Equations_LeachingAndRunoff.VEERG_5_5_1_1__1_FertiliserLeachingAndRunoffN2OEmissions(J89,J90,J91,J92)</f>
        <v>0.78791740368000007</v>
      </c>
      <c r="F94" s="153" t="str">
        <f>$E$87</f>
        <v>t N2O</v>
      </c>
    </row>
    <row r="95" spans="4:10" ht="20.100000000000001" customHeight="1" x14ac:dyDescent="0.25"/>
    <row r="96" spans="4:10" ht="20.100000000000001" customHeight="1" x14ac:dyDescent="0.25">
      <c r="D96" s="135" t="str" cm="1">
        <f t="array" ref="D96:E97">Common_Equations.Common_ConvertN2OToCO2e_Arguments()</f>
        <v>EN2O</v>
      </c>
      <c r="E96" s="136" t="str">
        <v>Nitrous oxide emissions (t N2O)</v>
      </c>
      <c r="F96" s="154"/>
      <c r="G96" s="25">
        <f>VEERG_5_5_1_1__1_FertiliserLeachingAndRunoffN2OEmissions_result_Method1</f>
        <v>0.78791740368000007</v>
      </c>
    </row>
    <row r="97" spans="4:7" ht="20.100000000000001" customHeight="1" x14ac:dyDescent="0.25">
      <c r="D97" s="135" t="str">
        <v>GWPN2O</v>
      </c>
      <c r="E97" s="136" t="str">
        <v>Global warming potential for nitrous oxide (t CO2-e / t N2O)</v>
      </c>
      <c r="F97" s="154"/>
      <c r="G97" s="25">
        <f>Common_InputFunctions.Utility_LookupValueInTableNumber("N2O",Table_GWPData[Gas],Table_GWPData[CO2-e factor])</f>
        <v>265</v>
      </c>
    </row>
    <row r="98" spans="4:7" ht="20.100000000000001" customHeight="1" x14ac:dyDescent="0.25"/>
    <row r="99" spans="4:7" ht="20.100000000000001" customHeight="1" x14ac:dyDescent="0.25">
      <c r="D99" s="148" t="s">
        <v>343</v>
      </c>
      <c r="E99" s="148" cm="1">
        <f t="array" ref="E99">Common_Equations.Common_ConvertN2OToCO2e(G96,G97)</f>
        <v>208.79811197520002</v>
      </c>
      <c r="F99" s="15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0DD2-6E16-406E-B31C-39900D41DD3E}">
  <dimension ref="A1:T342"/>
  <sheetViews>
    <sheetView showGridLines="0"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679</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4" t="s">
        <v>311</v>
      </c>
      <c r="E7" s="134" t="str" cm="1">
        <f t="array" aca="1" ref="E7" ca="1">Common_InputFunctions.Utility_DisplayFunctionName(E24)</f>
        <v>=AgResidue_Equations_CropResidue.VEERG_6_1_1_1__2__MassOfNitrogenInCropResidues</v>
      </c>
      <c r="F7" s="8"/>
      <c r="G7" s="8"/>
      <c r="H7" s="8"/>
      <c r="J7" s="8"/>
      <c r="L7" s="8"/>
      <c r="M7" s="134" t="s">
        <v>311</v>
      </c>
      <c r="N7" s="134" t="str" cm="1">
        <f t="array" aca="1" ref="N7" ca="1">Common_InputFunctions.Utility_DisplayFunctionName(N20)</f>
        <v>=AgResidue_Equations_CropResidue.VEERG_6_1_1_2__1__FractionOfCropResidueRemovedBaled</v>
      </c>
      <c r="O7" s="8"/>
      <c r="P7" s="8"/>
      <c r="Q7" s="8"/>
    </row>
    <row r="8" spans="1:20" ht="20.100000000000001" customHeight="1" x14ac:dyDescent="0.25">
      <c r="A8" s="7" t="s">
        <v>0</v>
      </c>
      <c r="F8" s="8"/>
      <c r="G8" s="8"/>
      <c r="H8" s="8"/>
      <c r="J8" s="8"/>
      <c r="L8" s="8"/>
      <c r="M8" s="8"/>
      <c r="N8" s="8"/>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312</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8" t="s">
        <v>312</v>
      </c>
      <c r="N11" s="1" t="str" cm="1">
        <f t="array" ref="N11">AgResidue_Equations_CropResidue.VEERG_6_1_1_2__1__FractionOfCropResidueRemovedBaled_Variable()</f>
        <v>FFOD_c</v>
      </c>
      <c r="O11" s="8"/>
      <c r="P11" s="8"/>
      <c r="Q11" s="8"/>
    </row>
    <row r="12" spans="1:20" ht="20.100000000000001" customHeight="1" x14ac:dyDescent="0.25">
      <c r="A12" s="5" t="str">
        <f>HYPERLINK("#'Input - Fert Prod System'!A1", "Fert Prod System")</f>
        <v>Fert Prod System</v>
      </c>
      <c r="D12" s="8"/>
      <c r="E12" s="8"/>
      <c r="F12" s="8"/>
      <c r="G12" s="8"/>
      <c r="J12" s="8"/>
      <c r="L12" s="8"/>
      <c r="M12" s="88" t="s">
        <v>121</v>
      </c>
      <c r="N12" s="15" t="str" cm="1">
        <f t="array" ref="N12">AgResidue_Equations_CropResidue.VEERG_6_1_1_2__1__FractionOfCropResidueRemovedBaled_Unit()</f>
        <v>fraction</v>
      </c>
      <c r="O12" s="8"/>
      <c r="P12" s="8"/>
      <c r="Q12" s="8"/>
    </row>
    <row r="13" spans="1:20" ht="20.100000000000001" customHeight="1" x14ac:dyDescent="0.25">
      <c r="A13" s="5" t="str">
        <f>HYPERLINK("#'Input - Fertiliser'!A1", "Fertiliser")</f>
        <v>Fertiliser</v>
      </c>
      <c r="D13" s="156" t="str" cm="1">
        <f t="array" ref="D13:E22">_xlfn.CHOOSECOLS(AgResidue_Equations_CropResidue.VEERG_6_1_1_1__2__MassOfNitrogenInCropResidues_Arguments(), 1, 2)</f>
        <v>P_c</v>
      </c>
      <c r="E13" s="164" t="str">
        <v>annual production of crop c</v>
      </c>
      <c r="F13" s="166"/>
      <c r="G13" s="156" t="str" cm="1">
        <f t="array" ref="G13:H22">_xlfn.CHOOSECOLS(AgResidue_Equations_CropResidue.VEERG_6_1_1_1__2__MassOfNitrogenInCropResidues_Arguments(), 3,4)</f>
        <v>kg</v>
      </c>
      <c r="H13" s="138" t="str">
        <v>Input</v>
      </c>
      <c r="I13" s="156">
        <f>X_Cell_Crop_TotalProductionOfCrop*10^3</f>
        <v>10000000</v>
      </c>
      <c r="J13" s="8"/>
      <c r="L13" s="8"/>
      <c r="M13" s="8"/>
      <c r="N13" s="8"/>
      <c r="O13" s="8"/>
      <c r="P13" s="8"/>
    </row>
    <row r="14" spans="1:20" ht="20.100000000000001" customHeight="1" x14ac:dyDescent="0.25">
      <c r="A14" s="5" t="str">
        <f>HYPERLINK("#'Input - Fuel'!A1", "Fuel")</f>
        <v>Fuel</v>
      </c>
      <c r="D14" s="156" t="str">
        <v>R_AGc</v>
      </c>
      <c r="E14" s="164" t="str">
        <v>residue to crop ratio for crop c</v>
      </c>
      <c r="F14" s="166"/>
      <c r="G14" s="156" t="str">
        <v/>
      </c>
      <c r="H14" s="139" t="str">
        <v>Constant</v>
      </c>
      <c r="I14" s="156">
        <f>'Input - Crop'!$E$18</f>
        <v>1.5</v>
      </c>
      <c r="J14" s="8"/>
      <c r="L14" s="8"/>
      <c r="M14" s="156" t="str" cm="1">
        <f t="array" ref="M14:N18">_xlfn.CHOOSECOLS(AgResidue_Equations_CropResidue.VEERG_6_1_1_2__1__FractionOfCropResidueRemovedBaled_Arguments(), 1, 2)</f>
        <v>B</v>
      </c>
      <c r="N14" s="156" t="str">
        <v>number of bales generated</v>
      </c>
      <c r="O14" s="156" t="str" cm="1">
        <f t="array" ref="O14:P18">_xlfn.CHOOSECOLS(AgResidue_Equations_CropResidue.VEERG_6_1_1_2__1__FractionOfCropResidueRemovedBaled_Arguments(), 3,4)</f>
        <v/>
      </c>
      <c r="P14" s="138" t="str">
        <v>Input</v>
      </c>
      <c r="Q14" s="230">
        <f>X_Cell_Crop_NumberOfBales</f>
        <v>27500</v>
      </c>
    </row>
    <row r="15" spans="1:20" ht="20.100000000000001" customHeight="1" x14ac:dyDescent="0.25">
      <c r="A15" s="5" t="str">
        <f>HYPERLINK("#'Input - Electricity'!A1", "Electricity")</f>
        <v>Electricity</v>
      </c>
      <c r="D15" s="156" t="str">
        <v>R_BGc</v>
      </c>
      <c r="E15" s="164" t="str">
        <v>below ground-residue to above ground residue ratio for crop c</v>
      </c>
      <c r="F15" s="166"/>
      <c r="G15" s="156" t="str">
        <v/>
      </c>
      <c r="H15" s="139" t="str">
        <v>Constant</v>
      </c>
      <c r="I15" s="156" cm="1">
        <f t="array" ref="I15">Common_InputFunctions.Utility_LookupValueInTableNumber($I$21,Table_SourceData_CropAttributes[Crop type],Table_SourceData_CropAttributes[Below-ground: above-ground residue ratio])</f>
        <v>0.28999999999999998</v>
      </c>
      <c r="L15" s="8"/>
      <c r="M15" s="156" t="str">
        <v>M_B</v>
      </c>
      <c r="N15" s="156" t="str">
        <v>mass of each bale</v>
      </c>
      <c r="O15" s="156" t="str">
        <v>kg</v>
      </c>
      <c r="P15" s="138" t="str">
        <v>Input</v>
      </c>
      <c r="Q15" s="156">
        <f>X_Cell_Crop_AverageWeightPerBale</f>
        <v>60</v>
      </c>
    </row>
    <row r="16" spans="1:20" ht="20.100000000000001" customHeight="1" x14ac:dyDescent="0.25">
      <c r="A16" s="5" t="str">
        <f>HYPERLINK("#'Input - Common farm inputs'!A1", "Common farm inputs")</f>
        <v>Common farm inputs</v>
      </c>
      <c r="D16" s="156" t="str">
        <v>F_c</v>
      </c>
      <c r="E16" s="164" t="str">
        <v>fraction of crop residue that is burnt for crop c</v>
      </c>
      <c r="F16" s="166"/>
      <c r="G16" s="156" t="str">
        <v>fraction</v>
      </c>
      <c r="H16" s="138" t="str">
        <v>Input</v>
      </c>
      <c r="I16" s="156">
        <f>X_Cell_Crop_PercentResidueBurned</f>
        <v>0.3</v>
      </c>
      <c r="L16" s="8"/>
      <c r="M16" s="156" t="str">
        <v>P_c</v>
      </c>
      <c r="N16" s="156" t="str">
        <v>annual production of crop c</v>
      </c>
      <c r="O16" s="156" t="str">
        <v>kg</v>
      </c>
      <c r="P16" s="138" t="str">
        <v>Input</v>
      </c>
      <c r="Q16" s="156">
        <f>X_Cell_Crop_TotalProductionOfCrop*10^3</f>
        <v>10000000</v>
      </c>
    </row>
    <row r="17" spans="1:20" ht="20.100000000000001" customHeight="1" x14ac:dyDescent="0.25">
      <c r="A17" s="5" t="str">
        <f>HYPERLINK("#'Input - Crop pasture farm input'!A1", "Crop pasture farm input")</f>
        <v>Crop pasture farm input</v>
      </c>
      <c r="D17" s="156" t="str">
        <v>FFOD_c</v>
      </c>
      <c r="E17" s="164" t="str">
        <v>fraction of the crop residue that is removed for crop c</v>
      </c>
      <c r="F17" s="166"/>
      <c r="G17" s="156" t="str">
        <v>fraction</v>
      </c>
      <c r="H17" s="139" t="str">
        <v>Constant</v>
      </c>
      <c r="I17" s="156" cm="1">
        <f t="array" ref="I17">IF(ISNUMBER(_xlfn.XLOOKUP(1, (Table77[Crop type c]=$I$21)*(Table77[State]=$I$22),Table77[Fraction removed])), _xlfn.XLOOKUP(1, (Table77[Crop type c]=$I$21)*(Table77[State]=$I$22),Table77[Fraction removed]), 0)</f>
        <v>0.11</v>
      </c>
      <c r="L17" s="8"/>
      <c r="M17" s="156" t="str">
        <v>R_AGc</v>
      </c>
      <c r="N17" s="156" t="str">
        <v>residue to crop ratio for crop c</v>
      </c>
      <c r="O17" s="156" t="str">
        <v/>
      </c>
      <c r="P17" s="139" t="str">
        <v>Constant</v>
      </c>
      <c r="Q17" s="156">
        <f>'Input - Crop'!$E$18</f>
        <v>1.5</v>
      </c>
    </row>
    <row r="18" spans="1:20" ht="20.100000000000001" customHeight="1" x14ac:dyDescent="0.25">
      <c r="A18" s="5" t="str">
        <f>HYPERLINK("#'Input - Freight'!A1", "Freight")</f>
        <v>Freight</v>
      </c>
      <c r="D18" s="156" t="str">
        <v>DM_c</v>
      </c>
      <c r="E18" s="164" t="str">
        <v>dry matter content of crop c</v>
      </c>
      <c r="F18" s="166"/>
      <c r="G18" s="156" t="str">
        <v>kg dry weight/kg crop residue</v>
      </c>
      <c r="H18" s="139" t="str">
        <v>Constant</v>
      </c>
      <c r="I18" s="156" cm="1">
        <f t="array" ref="I18">Common_InputFunctions.Utility_LookupValueInTableNumber($I$21,Table_SourceData_CropAttributes[Crop type],Table_SourceData_CropAttributes[Dry matter content])</f>
        <v>0.88</v>
      </c>
      <c r="L18" s="8"/>
      <c r="M18" s="156" t="str">
        <v>c</v>
      </c>
      <c r="N18" s="156" t="str">
        <v>Crop type</v>
      </c>
      <c r="O18" s="156" t="str">
        <v/>
      </c>
      <c r="P18" s="138" t="str">
        <v>Input</v>
      </c>
      <c r="Q18" s="156" t="str">
        <f>X_Cell_Crop_CropType</f>
        <v>Wheat</v>
      </c>
    </row>
    <row r="19" spans="1:20" ht="20.100000000000001" customHeight="1" x14ac:dyDescent="0.25">
      <c r="A19" s="5" t="str">
        <f>HYPERLINK("#'Input - Manure sent off-site'!A1", "Manure sent off-site")</f>
        <v>Manure sent off-site</v>
      </c>
      <c r="D19" s="156" t="str">
        <v>NC_AGc</v>
      </c>
      <c r="E19" s="164" t="str">
        <v>nitrogen content of above-ground crop residue of crop c</v>
      </c>
      <c r="F19" s="166"/>
      <c r="G19" s="156" t="str">
        <v>kg N/kg DM</v>
      </c>
      <c r="H19" s="139" t="str">
        <v>Constant</v>
      </c>
      <c r="I19" s="156"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5">
      <c r="A20" s="5" t="str">
        <f>HYPERLINK("#'Input - Solid waste'!A1", "Solid waste")</f>
        <v>Solid waste</v>
      </c>
      <c r="D20" s="156" t="str">
        <v>NC_BGc</v>
      </c>
      <c r="E20" s="164" t="str">
        <v>nitrogen content of below-ground crop residue of crop c</v>
      </c>
      <c r="F20" s="166"/>
      <c r="G20" s="156" t="str">
        <v>kg N/kg DM</v>
      </c>
      <c r="H20" s="139" t="str">
        <v>Constant</v>
      </c>
      <c r="I20" s="156" cm="1">
        <f t="array" ref="I20">Common_InputFunctions.Utility_LookupValueInTableNumber($I$21,Table_SourceData_CropAttributes[Crop type],Table_SourceData_CropAttributes[N content below-ground])</f>
        <v>0.01</v>
      </c>
      <c r="L20" s="8"/>
      <c r="M20" s="161" t="s">
        <v>680</v>
      </c>
      <c r="N20" s="148" cm="1">
        <f t="array" ref="N20">AgResidue_Equations_CropResidue.VEERG_6_1_1_2__1__FractionOfCropResidueRemovedBaled(Q14,Q15,Q16,Q17)</f>
        <v>0.11</v>
      </c>
    </row>
    <row r="21" spans="1:20" ht="20.100000000000001" customHeight="1" x14ac:dyDescent="0.25">
      <c r="A21" s="5" t="str">
        <f>HYPERLINK("#'Input - Data quality'!A1", "Data quality")</f>
        <v>Data quality</v>
      </c>
      <c r="D21" s="156" t="str">
        <v>c</v>
      </c>
      <c r="E21" s="164" t="str">
        <v>Crop type</v>
      </c>
      <c r="F21" s="166"/>
      <c r="G21" s="156" t="str">
        <v/>
      </c>
      <c r="H21" s="138" t="str">
        <v>Input</v>
      </c>
      <c r="I21" s="156" t="str">
        <f>X_Cell_Crop_CropType</f>
        <v>Wheat</v>
      </c>
      <c r="L21" s="8"/>
      <c r="M21" s="8"/>
      <c r="N21" s="8"/>
      <c r="O21" s="8"/>
      <c r="P21" s="8"/>
      <c r="Q21" s="8"/>
    </row>
    <row r="22" spans="1:20" ht="20.100000000000001" customHeight="1" x14ac:dyDescent="0.25">
      <c r="D22" s="156" t="str">
        <v>State</v>
      </c>
      <c r="E22" s="164" t="str">
        <v>State or territory</v>
      </c>
      <c r="F22" s="166"/>
      <c r="G22" s="156" t="str">
        <v/>
      </c>
      <c r="H22" s="138" t="str">
        <v>Input</v>
      </c>
      <c r="I22" s="156" t="str">
        <f>Common_InputFunctions.Utility_ConvertStateCommonNameToAbbreviation(X_Cell_Site_State,Table_AustralianStates[Common Name],Table_AustralianStates[Abbreviation])</f>
        <v>WA</v>
      </c>
      <c r="L22" s="8"/>
      <c r="M22" s="8"/>
      <c r="N22" s="8"/>
      <c r="O22" s="8"/>
      <c r="P22" s="8"/>
      <c r="Q22" s="8"/>
    </row>
    <row r="23" spans="1:20" ht="20.100000000000001" customHeight="1" x14ac:dyDescent="0.25">
      <c r="D23" s="8"/>
      <c r="E23" s="8"/>
      <c r="F23" s="8"/>
      <c r="G23" s="8"/>
      <c r="H23" s="8"/>
      <c r="L23" s="148"/>
      <c r="M23" s="148"/>
      <c r="N23" s="148"/>
      <c r="O23" s="148"/>
      <c r="P23" s="148"/>
      <c r="Q23" s="148"/>
      <c r="R23" s="148"/>
      <c r="S23" s="148"/>
      <c r="T23" s="148"/>
    </row>
    <row r="24" spans="1:20" ht="20.100000000000001" customHeight="1" x14ac:dyDescent="0.25">
      <c r="A24" s="6" t="s">
        <v>2</v>
      </c>
      <c r="D24" s="161" t="s">
        <v>681</v>
      </c>
      <c r="E24" s="231" cm="1">
        <f t="array" ref="E24">AgResidue_Equations_CropResidue.VEERG_6_1_1_1__2__MassOfNitrogenInCropResidues(I13,I14,I16,I17,I18,I19,I15,I20)</f>
        <v>85008</v>
      </c>
      <c r="F24" s="162" t="str">
        <f>$E$11</f>
        <v>kg N</v>
      </c>
      <c r="M24" s="2" t="str" cm="1">
        <f t="array" ref="M24">AgResidue_Equations_CropResidue.VEERG_6_1_1_1__2__MassOfNitrogenInCropResidues_Title()</f>
        <v>Mass of nitrogen in crop residues returned to the soil</v>
      </c>
      <c r="N24" s="8"/>
      <c r="O24" s="8"/>
      <c r="P24" s="8"/>
      <c r="Q24" s="8"/>
    </row>
    <row r="25" spans="1:20" ht="20.100000000000001" customHeight="1" x14ac:dyDescent="0.25">
      <c r="A25" s="5" t="str">
        <f>HYPERLINK("#'5.1.1.1-2 Inorganic fert N2O'!A1", "5.1.1.1-2 Inorganic fert N2O")</f>
        <v>5.1.1.1-2 Inorganic fert N2O</v>
      </c>
      <c r="D25" s="88"/>
      <c r="E25" s="8"/>
      <c r="F25" s="8"/>
      <c r="G25" s="8"/>
      <c r="H25" s="8"/>
      <c r="L25" s="8"/>
      <c r="M25" s="27" t="str" cm="1">
        <f t="array" ref="M25">AgResidue_Equations_CropResidue.VEERG_6_1_1_1__2__MassOfNitrogenInCropResidues_Source()</f>
        <v>VEERG 2026: 6.1.1.1, Equation (2)</v>
      </c>
      <c r="N25" s="8"/>
      <c r="O25" s="8"/>
      <c r="P25" s="8"/>
      <c r="Q25" s="8"/>
    </row>
    <row r="26" spans="1:20" ht="20.100000000000001" customHeight="1" x14ac:dyDescent="0.25">
      <c r="A26" s="5" t="str">
        <f>HYPERLINK("#'5.1.1.3-4 Inorganic fert CO2'!A1", "5.1.1.3-4 Inorganic fert CO2")</f>
        <v>5.1.1.3-4 Inorganic fert CO2</v>
      </c>
      <c r="D26" s="8"/>
      <c r="E26" s="8"/>
      <c r="F26" s="8"/>
      <c r="G26" s="8"/>
      <c r="H26" s="8"/>
      <c r="L26" s="8"/>
      <c r="M26" s="134" t="s">
        <v>311</v>
      </c>
      <c r="N26" s="134" t="str" cm="1">
        <f t="array" aca="1" ref="N26" ca="1">Common_InputFunctions.Utility_DisplayFunctionName(N43)</f>
        <v>=AgResidue_Equations_CropResidue.VEERG_6_1_1_1__2__MassOfNitrogenInCropResidues</v>
      </c>
      <c r="O26" s="8"/>
      <c r="P26" s="8"/>
      <c r="Q26" s="8"/>
    </row>
    <row r="27" spans="1:20" ht="20.100000000000001" customHeight="1" x14ac:dyDescent="0.25">
      <c r="A27" s="5" t="str">
        <f>HYPERLINK("#'5.2.1.1-2 Organic Fert N2O'!A1", "5.2.1.1-2 Organic fert N2O")</f>
        <v>5.2.1.1-2 Organic fert N2O</v>
      </c>
      <c r="D27" s="232"/>
      <c r="E27" s="232"/>
      <c r="F27" s="232"/>
      <c r="G27" s="232"/>
      <c r="H27" s="232"/>
      <c r="I27" s="232"/>
      <c r="L27" s="8"/>
      <c r="O27" s="8"/>
      <c r="P27" s="8"/>
      <c r="Q27" s="8"/>
    </row>
    <row r="28" spans="1:20" ht="20.100000000000001" customHeight="1" x14ac:dyDescent="0.25">
      <c r="A28" s="5" t="str">
        <f>HYPERLINK("#'5.3.1.1-2 Lime CO2'!A1", "5.3.1.1-2 Lime CO2")</f>
        <v>5.3.1.1-2 Lime CO2</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100000000000001" customHeight="1" x14ac:dyDescent="0.25">
      <c r="A29" s="5" t="str">
        <f>HYPERLINK("#'5.4.1.1-4 Atmos deposition'!A1", "5.4.1.1-4 Atmos. deposition")</f>
        <v>5.4.1.1-4 Atmos. deposition</v>
      </c>
      <c r="D29" s="27" t="str" cm="1">
        <f t="array" ref="D29">AgResidue_Equations_CropResidue.VEERG_6_1_1_1__1__NitrousOxideEmissionsFromCropResidues_Source()</f>
        <v>VEERG 2026: 6.1.1.1, Equation (1)</v>
      </c>
      <c r="E29" s="8"/>
      <c r="F29" s="8"/>
      <c r="G29" s="8"/>
      <c r="H29" s="8"/>
      <c r="J29" s="8"/>
      <c r="L29" s="8"/>
      <c r="M29" s="88" t="s">
        <v>312</v>
      </c>
      <c r="N29" s="1" t="str" cm="1">
        <f t="array" ref="N29">AgResidue_Equations_CropResidue.VEERG_6_1_1_1__2__MassOfNitrogenInCropResidues_Variable()</f>
        <v>M_c</v>
      </c>
      <c r="O29" s="8"/>
      <c r="P29" s="8"/>
      <c r="Q29" s="8"/>
    </row>
    <row r="30" spans="1:20" ht="20.100000000000001" customHeight="1" x14ac:dyDescent="0.25">
      <c r="A30" s="5" t="str">
        <f>HYPERLINK("#'5.5.1.1-2 Leaching and runoff'!A1", "5.5.1.1-2 Leaching &amp; runoff")</f>
        <v>5.5.1.1-2 Leaching &amp; runoff</v>
      </c>
      <c r="D30" s="134" t="s">
        <v>311</v>
      </c>
      <c r="E30" s="134" t="str">
        <f ca="1">Common_InputFunctions.Utility_DisplayFunctionName(VEERG_6_1_1_1__1__NitrousOxideEmissionsFromCropResidues_Result_Method1)</f>
        <v>=AgResidue_Equations_CropResidue.VEERG_6_1_1_1__1__NitrousOxideEmissionsFromCropResidues</v>
      </c>
      <c r="F30" s="8"/>
      <c r="G30" s="8"/>
      <c r="H30" s="8"/>
      <c r="L30" s="8"/>
      <c r="M30" s="88" t="s">
        <v>121</v>
      </c>
      <c r="N30" s="15" t="str" cm="1">
        <f t="array" ref="N30">AgResidue_Equations_CropResidue.VEERG_6_1_1_1__2__MassOfNitrogenInCropResidues_Unit()</f>
        <v>kg N</v>
      </c>
      <c r="O30" s="8"/>
      <c r="P30" s="8"/>
      <c r="Q30" s="8"/>
    </row>
    <row r="31" spans="1:20" ht="20.100000000000001" customHeight="1" x14ac:dyDescent="0.25">
      <c r="A31" s="143" t="str">
        <f>HYPERLINK("#'6.1.1.1-2 Crop residue N2O'!A1", "6.1.1.1-2 Crop residue N2O")</f>
        <v>6.1.1.1-2 Crop residue N2O</v>
      </c>
      <c r="F31" s="8"/>
      <c r="G31" s="8"/>
      <c r="H31" s="8"/>
      <c r="J31" s="8"/>
      <c r="L31" s="8"/>
      <c r="M31" s="8"/>
      <c r="N31" s="8"/>
      <c r="O31" s="8"/>
      <c r="P31" s="8"/>
    </row>
    <row r="32" spans="1:20" ht="20.100000000000001" customHeight="1" x14ac:dyDescent="0.25">
      <c r="A32" s="5" t="str">
        <f>HYPERLINK("#'6.3.1.1-2 Leach runoff crop'!A1", "6.3.1.1-2 Leach &amp; runoff (crop)")</f>
        <v>6.3.1.1-2 Leach &amp; runoff (crop)</v>
      </c>
      <c r="D32" s="8"/>
      <c r="E32" s="8"/>
      <c r="F32" s="8"/>
      <c r="G32" s="8"/>
      <c r="H32" s="8"/>
      <c r="J32" s="8"/>
      <c r="L32" s="8"/>
      <c r="M32" s="156" t="str" cm="1">
        <f t="array" ref="M32:N41">_xlfn.CHOOSECOLS(AgResidue_Equations_CropResidue.VEERG_6_1_1_1__2__MassOfNitrogenInCropResidues_Arguments_Method2(), 1, 2)</f>
        <v>P_c</v>
      </c>
      <c r="N32" s="164" t="str">
        <v>annual production of crop c</v>
      </c>
      <c r="O32" s="166"/>
      <c r="P32" s="156" t="str" cm="1">
        <f t="array" ref="P32:Q41">_xlfn.CHOOSECOLS(AgResidue_Equations_CropResidue.VEERG_6_1_1_1__2__MassOfNitrogenInCropResidues_Arguments_Method2(), 3,4)</f>
        <v>kg</v>
      </c>
      <c r="Q32" s="138" t="str">
        <v>Input</v>
      </c>
      <c r="R32" s="156"/>
    </row>
    <row r="33" spans="1:20" ht="20.100000000000001" customHeight="1" x14ac:dyDescent="0.25">
      <c r="A33" s="5" t="str">
        <f>HYPERLINK("#'6.4.1.1-2 Residue burning'!A1", "6.4.1.1-2 Residue burning")</f>
        <v>6.4.1.1-2 Residue burning</v>
      </c>
      <c r="D33" s="88" t="s">
        <v>312</v>
      </c>
      <c r="E33" s="1" t="str" cm="1">
        <f t="array" ref="E33">AgResidue_Equations_CropResidue.VEERG_6_1_1_1__1__NitrousOxideEmissionsFromCropResidues_Variable()</f>
        <v>E</v>
      </c>
      <c r="F33" s="8"/>
      <c r="G33" s="8"/>
      <c r="H33" s="8"/>
      <c r="J33" s="8"/>
      <c r="M33" s="156" t="str">
        <v>R_AGc</v>
      </c>
      <c r="N33" s="164" t="str">
        <v>residue to crop ratio for crop c</v>
      </c>
      <c r="O33" s="166"/>
      <c r="P33" s="156" t="str">
        <v/>
      </c>
      <c r="Q33" s="139" t="str">
        <v>Constant</v>
      </c>
      <c r="R33" s="156"/>
    </row>
    <row r="34" spans="1:20" ht="20.100000000000001" customHeight="1" x14ac:dyDescent="0.25">
      <c r="A34" s="5" t="str">
        <f>HYPERLINK("#'8.1.1.1-2 Transport fuel'!A1", "8.1.1.1-2 Transport fuel")</f>
        <v>8.1.1.1-2 Transport fuel</v>
      </c>
      <c r="D34" s="88" t="s">
        <v>121</v>
      </c>
      <c r="E34" s="15" t="str" cm="1">
        <f t="array" ref="E34">AgResidue_Equations_CropResidue.VEERG_6_1_1_1__1__NitrousOxideEmissionsFromCropResidues_Unit()</f>
        <v>t N2O</v>
      </c>
      <c r="F34" s="8"/>
      <c r="G34" s="8"/>
      <c r="H34" s="8"/>
      <c r="J34" s="8"/>
      <c r="M34" s="156" t="str">
        <v>R_BGc</v>
      </c>
      <c r="N34" s="164" t="str">
        <v>below ground-residue to above ground residue ratio for crop c</v>
      </c>
      <c r="O34" s="166"/>
      <c r="P34" s="156" t="str">
        <v/>
      </c>
      <c r="Q34" s="139" t="str">
        <v>Constant</v>
      </c>
      <c r="R34" s="156"/>
    </row>
    <row r="35" spans="1:20" ht="20.100000000000001" customHeight="1" x14ac:dyDescent="0.25">
      <c r="A35" s="5" t="str">
        <f>HYPERLINK("#'8.2.1.1-2 Stationary fuel'!A1", "8.2.1.1-2 Stationary fuel")</f>
        <v>8.2.1.1-2 Stationary fuel</v>
      </c>
      <c r="D35" s="8"/>
      <c r="E35" s="8"/>
      <c r="F35" s="8"/>
      <c r="G35" s="8"/>
      <c r="H35" s="8"/>
      <c r="J35" s="8"/>
      <c r="M35" s="156" t="str">
        <v>F_c</v>
      </c>
      <c r="N35" s="164" t="str">
        <v>fraction of crop residue that is burnt for crop c</v>
      </c>
      <c r="O35" s="166"/>
      <c r="P35" s="156" t="str">
        <v>fraction</v>
      </c>
      <c r="Q35" s="138" t="str">
        <v>Input</v>
      </c>
      <c r="R35" s="156"/>
    </row>
    <row r="36" spans="1:20" ht="20.100000000000001" customHeight="1" x14ac:dyDescent="0.25">
      <c r="A36" s="5" t="str">
        <f>HYPERLINK("#'14.1.1-2 Purchased electricity'!A1", "14.1.1-2 Purchased electricity")</f>
        <v>14.1.1-2 Purchased electricity</v>
      </c>
      <c r="D36" s="156" t="str" cm="1">
        <f t="array" ref="D36:E40">_xlfn.CHOOSECOLS(AgResidue_Equations_CropResidue.VEERG_6_1_1_1__1__NitrousOxideEmissionsFromCropResidues_Arguments(), 1, 2)</f>
        <v>M_c</v>
      </c>
      <c r="E36" s="164" t="str">
        <v>mass of nitrogen in crop c residues returned to the soil</v>
      </c>
      <c r="F36" s="166"/>
      <c r="G36" s="156" t="str" cm="1">
        <f t="array" ref="G36:H40">_xlfn.CHOOSECOLS(AgResidue_Equations_CropResidue.VEERG_6_1_1_1__1__NitrousOxideEmissionsFromCropResidues_Arguments(), 3,4)</f>
        <v>kg N</v>
      </c>
      <c r="H36" s="139" t="str">
        <v>Calculated from 6.1.1.1 (2)</v>
      </c>
      <c r="I36" s="156">
        <f>VEERG_6_1_1_1__2__MassOfNitrogenInCropResidues_Result_Method1</f>
        <v>85008</v>
      </c>
      <c r="J36" s="8"/>
      <c r="M36" s="156" t="str">
        <v>FFOD_c</v>
      </c>
      <c r="N36" s="164" t="str">
        <v>fraction of the crop residue that is removed for crop c</v>
      </c>
      <c r="O36" s="166"/>
      <c r="P36" s="156" t="str">
        <v>fraction</v>
      </c>
      <c r="Q36" s="139" t="str">
        <v>Calculated from 6.1.1.2 (1)</v>
      </c>
      <c r="R36" s="156">
        <f>VEERG_6_1_1_2__1__FractionOfCropResidueRemovedBaled_Result</f>
        <v>0.11</v>
      </c>
    </row>
    <row r="37" spans="1:20" ht="20.100000000000001" customHeight="1" x14ac:dyDescent="0.25">
      <c r="A37" s="5" t="str">
        <f>HYPERLINK("#'15 Scope 3'!A1", "15 Scope 3")</f>
        <v>15 Scope 3</v>
      </c>
      <c r="D37" s="156" t="str">
        <v>EF_Ni</v>
      </c>
      <c r="E37" s="164" t="str">
        <v>emission factor for crop residues returned to the soil</v>
      </c>
      <c r="F37" s="166"/>
      <c r="G37" s="156" t="str">
        <v>kg N2O-N/kg N</v>
      </c>
      <c r="H37" s="139" t="str">
        <v>Constant</v>
      </c>
      <c r="I37" s="156" cm="1">
        <f t="array" ref="I37">Common_InputFunctions.Utility_LookupValueInTableNumber(I40,Table_SourceData_N2OEFOrganicFert[Climate zone type i],Table_SourceData_N2OEFOrganicFert[EF i N2O])</f>
        <v>5.0000000000000001E-3</v>
      </c>
      <c r="J37" s="8"/>
      <c r="M37" s="156" t="str">
        <v>DM_c</v>
      </c>
      <c r="N37" s="164" t="str">
        <v>dry matter content of crop c</v>
      </c>
      <c r="O37" s="166"/>
      <c r="P37" s="156" t="str">
        <v>kg dry weight/kg crop residue</v>
      </c>
      <c r="Q37" s="139" t="str">
        <v>Constant</v>
      </c>
      <c r="R37" s="156"/>
    </row>
    <row r="38" spans="1:20" ht="20.100000000000001" customHeight="1" x14ac:dyDescent="0.25">
      <c r="A38" s="5" t="str">
        <f>HYPERLINK("#'Calcs - Manure sent off-site'!A1", "Calcs - Manure sent off-site")</f>
        <v>Calcs - Manure sent off-site</v>
      </c>
      <c r="D38" s="156" t="str">
        <v>C_N2O</v>
      </c>
      <c r="E38" s="164" t="str">
        <v>factor to convert elemental mass of nitrous oxide to molecular mass</v>
      </c>
      <c r="F38" s="166"/>
      <c r="G38" s="156" t="str">
        <v>dimensionless</v>
      </c>
      <c r="H38" s="139" t="str">
        <v>Constant</v>
      </c>
      <c r="I38" s="156">
        <f>Common_InputFunctions.Utility_LookupValueInTableNumber("N2O",Table_GasToMolecularConversionFactor[Gas],Table_GasToMolecularConversionFactor[Conversion factor combined])</f>
        <v>1.5714285714285714</v>
      </c>
      <c r="J38" s="8"/>
      <c r="M38" s="156" t="str">
        <v>NC_AGc</v>
      </c>
      <c r="N38" s="164" t="str">
        <v>nitrogen content of above-ground crop residue of crop c</v>
      </c>
      <c r="O38" s="166"/>
      <c r="P38" s="156" t="str">
        <v>kg N/kg DM</v>
      </c>
      <c r="Q38" s="139" t="str">
        <v>Constant</v>
      </c>
      <c r="R38" s="156"/>
    </row>
    <row r="39" spans="1:20" ht="20.100000000000001" customHeight="1" x14ac:dyDescent="0.25">
      <c r="A39" s="5" t="str">
        <f>HYPERLINK("#'10.1.1-2 Solid waste treatment'!A1", "10.1.1-2 Solid waste treatment")</f>
        <v>10.1.1-2 Solid waste treatment</v>
      </c>
      <c r="D39" s="156" t="str">
        <v>c</v>
      </c>
      <c r="E39" s="164" t="str">
        <v>Crop type</v>
      </c>
      <c r="F39" s="166"/>
      <c r="G39" s="156" t="str">
        <v/>
      </c>
      <c r="H39" s="138" t="str">
        <v>Input</v>
      </c>
      <c r="I39" s="156" t="str">
        <f>X_Cell_Crop_CropType</f>
        <v>Wheat</v>
      </c>
      <c r="J39" s="8"/>
      <c r="M39" s="156" t="str">
        <v>NC_BGc</v>
      </c>
      <c r="N39" s="164" t="str">
        <v>nitrogen content of below-ground crop residue of crop c</v>
      </c>
      <c r="O39" s="166"/>
      <c r="P39" s="156" t="str">
        <v>kg N/kg DM</v>
      </c>
      <c r="Q39" s="139" t="str">
        <v>Constant</v>
      </c>
      <c r="R39" s="156"/>
    </row>
    <row r="40" spans="1:20" ht="20.100000000000001" customHeight="1" x14ac:dyDescent="0.25">
      <c r="D40" s="156" t="str">
        <v>i</v>
      </c>
      <c r="E40" s="164" t="str">
        <v>Wet or dry climate zone</v>
      </c>
      <c r="F40" s="166"/>
      <c r="G40" s="156" t="str">
        <v/>
      </c>
      <c r="H40" s="138" t="str">
        <v>Input</v>
      </c>
      <c r="I40" s="156" t="str">
        <f>X_Cell_Site_WetOrDryClimateZone</f>
        <v>Dry climate zone</v>
      </c>
      <c r="M40" s="156" t="str">
        <v>c</v>
      </c>
      <c r="N40" s="164" t="str">
        <v>Crop type</v>
      </c>
      <c r="O40" s="166"/>
      <c r="P40" s="156" t="str">
        <v/>
      </c>
      <c r="Q40" s="138" t="str">
        <v>Input</v>
      </c>
      <c r="R40" s="156"/>
    </row>
    <row r="41" spans="1:20" ht="20.100000000000001" customHeight="1" x14ac:dyDescent="0.25">
      <c r="D41" s="8"/>
      <c r="E41" s="8"/>
      <c r="F41" s="8"/>
      <c r="G41" s="8"/>
      <c r="H41" s="8"/>
      <c r="M41" s="156" t="str">
        <v>State</v>
      </c>
      <c r="N41" s="164" t="str">
        <v>State or territory</v>
      </c>
      <c r="O41" s="166"/>
      <c r="P41" s="156" t="str">
        <v/>
      </c>
      <c r="Q41" s="138" t="str">
        <v>Input</v>
      </c>
      <c r="R41" s="156"/>
    </row>
    <row r="42" spans="1:20" ht="20.100000000000001" customHeight="1" x14ac:dyDescent="0.25">
      <c r="A42" s="94" t="s">
        <v>1</v>
      </c>
      <c r="D42" s="151" t="s">
        <v>341</v>
      </c>
      <c r="E42" s="152" cm="1">
        <f t="array" ref="E42">AgResidue_Equations_CropResidue.VEERG_6_1_1_1__1__NitrousOxideEmissionsFromCropResidues(I36,I37,I38)</f>
        <v>0.66792000000000007</v>
      </c>
      <c r="F42" s="153" t="str">
        <f>$E$34</f>
        <v>t N2O</v>
      </c>
      <c r="H42" s="8"/>
      <c r="M42" s="8"/>
      <c r="N42" s="8"/>
      <c r="O42" s="8"/>
      <c r="P42" s="8"/>
      <c r="Q42" s="8"/>
    </row>
    <row r="43" spans="1:20" ht="20.100000000000001" customHeight="1" x14ac:dyDescent="0.25">
      <c r="A43" s="5" t="str">
        <f>HYPERLINK("#'Constants - Ag Residue'!A1", "Constants - Ag residue")</f>
        <v>Constants - Ag residue</v>
      </c>
      <c r="H43" s="8"/>
      <c r="M43" s="161" t="s">
        <v>681</v>
      </c>
      <c r="N43" s="231" cm="1">
        <f t="array" ref="N43">AgResidue_Equations_CropResidue.VEERG_6_1_1_1__2__MassOfNitrogenInCropResidues(I13,I14,I16,R36,I18,I19,I15,I20)</f>
        <v>85008</v>
      </c>
      <c r="O43" s="162" t="str">
        <f>$E$11</f>
        <v>kg N</v>
      </c>
    </row>
    <row r="44" spans="1:20" ht="20.100000000000001" customHeight="1" x14ac:dyDescent="0.25">
      <c r="A44" s="5" t="str">
        <f>HYPERLINK("#'Constants - Common Livestock'!A1", "Constants - Common Livestock")</f>
        <v>Constants - Common Livestock</v>
      </c>
      <c r="D44" s="135" t="str" cm="1">
        <f t="array" ref="D44:E45">Common_Equations.Common_ConvertN2OToCO2e_Arguments()</f>
        <v>EN2O</v>
      </c>
      <c r="E44" s="136" t="str">
        <v>Nitrous oxide emissions (t N2O)</v>
      </c>
      <c r="F44" s="154"/>
      <c r="G44" s="25">
        <f>VEERG_6_1_1_1__1__NitrousOxideEmissionsFromCropResidues_Result_Method1</f>
        <v>0.66792000000000007</v>
      </c>
      <c r="M44" s="88"/>
      <c r="N44" s="8"/>
      <c r="O44" s="8"/>
      <c r="P44" s="8"/>
      <c r="Q44" s="8"/>
    </row>
    <row r="45" spans="1:20" ht="20.100000000000001" customHeight="1" x14ac:dyDescent="0.25">
      <c r="A45" s="5" t="str">
        <f>HYPERLINK("#'Constants - Electricity'!A1", "Constants - Electricity")</f>
        <v>Constants - Electricity</v>
      </c>
      <c r="D45" s="135" t="str">
        <v>GWPN2O</v>
      </c>
      <c r="E45" s="136" t="str">
        <v>Global warming potential for nitrous oxide (t CO2-e / t N2O)</v>
      </c>
      <c r="F45" s="154"/>
      <c r="G45" s="25">
        <f>Common_InputFunctions.Utility_LookupValueInTableNumber("N2O",Table_GWPData[Gas],Table_GWPData[CO2-e factor])</f>
        <v>265</v>
      </c>
      <c r="J45" s="8"/>
      <c r="M45" s="8"/>
      <c r="N45" s="8"/>
      <c r="O45" s="8"/>
      <c r="P45" s="8"/>
      <c r="Q45" s="8"/>
    </row>
    <row r="46" spans="1:20" ht="20.100000000000001" customHeight="1" x14ac:dyDescent="0.25">
      <c r="A46" s="5" t="str">
        <f>HYPERLINK("#'Constants - Fertiliser'!A1", "Constants - Fertiliser")</f>
        <v>Constants - Fertiliser</v>
      </c>
      <c r="H46" s="8"/>
      <c r="J46" s="8"/>
      <c r="L46" s="232"/>
      <c r="M46" s="232"/>
      <c r="N46" s="232"/>
      <c r="O46" s="232"/>
      <c r="P46" s="232"/>
      <c r="Q46" s="232"/>
      <c r="R46" s="232"/>
      <c r="S46" s="232"/>
      <c r="T46" s="232"/>
    </row>
    <row r="47" spans="1:20" ht="20.100000000000001" customHeight="1" x14ac:dyDescent="0.25">
      <c r="A47" s="5" t="str">
        <f>HYPERLINK("#'Constants - Fuel'!A1", "Constants - Fuel")</f>
        <v>Constants - Fuel</v>
      </c>
      <c r="D47" s="148" t="s">
        <v>343</v>
      </c>
      <c r="E47" s="148" cm="1">
        <f t="array" ref="E47">Common_Equations.Common_ConvertN2OToCO2e(G44,G45)</f>
        <v>176.99880000000002</v>
      </c>
      <c r="F47" s="155"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100000000000001" customHeight="1" x14ac:dyDescent="0.25">
      <c r="A48" s="5" t="str">
        <f>HYPERLINK("#'Constants - Scope 3'!A1", "Constants - Scope 3")</f>
        <v>Constants - Scope 3</v>
      </c>
      <c r="D48" s="8"/>
      <c r="E48" s="8"/>
      <c r="F48" s="233"/>
      <c r="G48" s="8"/>
      <c r="H48" s="8"/>
      <c r="I48" s="8"/>
      <c r="J48" s="8"/>
      <c r="M48" s="27" t="str" cm="1">
        <f t="array" ref="M48">AgResidue_Equations_CropResidue.VEERG_6_1_1_1__1__NitrousOxideEmissionsFromCropResidues_Source()</f>
        <v>VEERG 2026: 6.1.1.1, Equation (1)</v>
      </c>
      <c r="N48" s="8"/>
      <c r="O48" s="8"/>
      <c r="P48" s="8"/>
      <c r="Q48" s="8"/>
    </row>
    <row r="49" spans="1:18" ht="20.100000000000001" customHeight="1" x14ac:dyDescent="0.25">
      <c r="A49" s="5" t="str">
        <f>HYPERLINK("#'Constants - Common'!A1", "Constants - Common")</f>
        <v>Constants - Common</v>
      </c>
      <c r="J49" s="8"/>
      <c r="L49" s="8"/>
      <c r="M49" s="134" t="s">
        <v>311</v>
      </c>
      <c r="N49" s="134" t="str">
        <f ca="1">Common_InputFunctions.Utility_DisplayFunctionName(VEERG_6_1_1_1__1__NitrousOxideEmissionsFromCropResidues_Result_Method2)</f>
        <v>=AgResidue_Equations_CropResidue.VEERG_6_1_1_1__1__NitrousOxideEmissionsFromCropResidues</v>
      </c>
      <c r="O49" s="8"/>
      <c r="P49" s="8"/>
      <c r="Q49" s="8"/>
    </row>
    <row r="50" spans="1:18" ht="20.100000000000001" customHeight="1" x14ac:dyDescent="0.25">
      <c r="A50" s="5" t="str">
        <f>HYPERLINK("#'Constants - Solid Waste'!A1", "Constants - Solid Waste")</f>
        <v>Constants - Solid Waste</v>
      </c>
      <c r="J50" s="8"/>
      <c r="L50" s="8"/>
      <c r="O50" s="8"/>
      <c r="P50" s="8"/>
      <c r="Q50" s="8"/>
    </row>
    <row r="51" spans="1:18" ht="20.100000000000001" customHeight="1" x14ac:dyDescent="0.25">
      <c r="J51" s="8"/>
      <c r="L51" s="8"/>
      <c r="M51" s="8"/>
      <c r="N51" s="8"/>
      <c r="O51" s="8"/>
      <c r="P51" s="8"/>
      <c r="Q51" s="8"/>
    </row>
    <row r="52" spans="1:18" ht="20.100000000000001" customHeight="1" x14ac:dyDescent="0.25">
      <c r="J52" s="8"/>
      <c r="L52" s="8"/>
      <c r="M52" s="88" t="s">
        <v>312</v>
      </c>
      <c r="N52" s="1" t="str" cm="1">
        <f t="array" ref="N52">AgResidue_Equations_CropResidue.VEERG_6_1_1_1__1__NitrousOxideEmissionsFromCropResidues_Variable()</f>
        <v>E</v>
      </c>
      <c r="O52" s="8"/>
      <c r="P52" s="8"/>
      <c r="Q52" s="8"/>
    </row>
    <row r="53" spans="1:18" ht="20.100000000000001" customHeight="1" x14ac:dyDescent="0.25">
      <c r="L53" s="8"/>
      <c r="M53" s="88" t="s">
        <v>121</v>
      </c>
      <c r="N53" s="15" t="str" cm="1">
        <f t="array" ref="N53">AgResidue_Equations_CropResidue.VEERG_6_1_1_1__1__NitrousOxideEmissionsFromCropResidues_Unit()</f>
        <v>t N2O</v>
      </c>
      <c r="O53" s="8"/>
      <c r="P53" s="8"/>
      <c r="Q53" s="8"/>
    </row>
    <row r="54" spans="1:18" ht="20.100000000000001" customHeight="1" x14ac:dyDescent="0.25">
      <c r="L54" s="8"/>
      <c r="M54" s="8"/>
      <c r="N54" s="8"/>
      <c r="O54" s="8"/>
      <c r="P54" s="8"/>
      <c r="Q54" s="8"/>
    </row>
    <row r="55" spans="1:18" ht="20.100000000000001" customHeight="1" x14ac:dyDescent="0.25">
      <c r="L55" s="8"/>
      <c r="M55" s="156" t="str" cm="1">
        <f t="array" ref="M55:N59">_xlfn.CHOOSECOLS(AgResidue_Equations_CropResidue.VEERG_6_1_1_1__1__NitrousOxideEmissionsFromCropResidues_Arguments(), 1, 2)</f>
        <v>M_c</v>
      </c>
      <c r="N55" s="164" t="str">
        <v>mass of nitrogen in crop c residues returned to the soil</v>
      </c>
      <c r="O55" s="166"/>
      <c r="P55" s="156" t="str" cm="1">
        <f t="array" ref="P55:Q59">_xlfn.CHOOSECOLS(AgResidue_Equations_CropResidue.VEERG_6_1_1_1__1__NitrousOxideEmissionsFromCropResidues_Arguments(), 3,4)</f>
        <v>kg N</v>
      </c>
      <c r="Q55" s="139" t="str">
        <v>Calculated from 6.1.1.1 (2)</v>
      </c>
      <c r="R55" s="156">
        <f>VEERG_6_1_1_1__2__MassOfNitrogenInCropResidues_Result_Method2</f>
        <v>85008</v>
      </c>
    </row>
    <row r="56" spans="1:18" ht="20.100000000000001" customHeight="1" x14ac:dyDescent="0.25">
      <c r="L56" s="8"/>
      <c r="M56" s="156" t="str">
        <v>EF_Ni</v>
      </c>
      <c r="N56" s="164" t="str">
        <v>emission factor for crop residues returned to the soil</v>
      </c>
      <c r="O56" s="166"/>
      <c r="P56" s="156" t="str">
        <v>kg N2O-N/kg N</v>
      </c>
      <c r="Q56" s="139" t="str">
        <v>Constant</v>
      </c>
      <c r="R56" s="156" cm="1">
        <f t="array" ref="R56">Common_InputFunctions.Utility_LookupValueInTableNumber(R59,Table_SourceData_N2OEFOrganicFert[Climate zone type i],Table_SourceData_N2OEFOrganicFert[EF i N2O])</f>
        <v>5.0000000000000001E-3</v>
      </c>
    </row>
    <row r="57" spans="1:18" ht="20.100000000000001" customHeight="1" x14ac:dyDescent="0.25">
      <c r="L57" s="8"/>
      <c r="M57" s="156" t="str">
        <v>C_N2O</v>
      </c>
      <c r="N57" s="164" t="str">
        <v>factor to convert elemental mass of nitrous oxide to molecular mass</v>
      </c>
      <c r="O57" s="166"/>
      <c r="P57" s="156" t="str">
        <v>dimensionless</v>
      </c>
      <c r="Q57" s="139" t="str">
        <v>Constant</v>
      </c>
      <c r="R57" s="156">
        <f>Common_InputFunctions.Utility_LookupValueInTableNumber("N2O",Table_GasToMolecularConversionFactor[Gas],Table_GasToMolecularConversionFactor[Conversion factor combined])</f>
        <v>1.5714285714285714</v>
      </c>
    </row>
    <row r="58" spans="1:18" ht="20.100000000000001" customHeight="1" x14ac:dyDescent="0.25">
      <c r="L58" s="8"/>
      <c r="M58" s="156" t="str">
        <v>c</v>
      </c>
      <c r="N58" s="164" t="str">
        <v>Crop type</v>
      </c>
      <c r="O58" s="166"/>
      <c r="P58" s="156" t="str">
        <v/>
      </c>
      <c r="Q58" s="138" t="str">
        <v>Input</v>
      </c>
      <c r="R58" s="156" t="str">
        <f>X_Cell_Crop_CropType</f>
        <v>Wheat</v>
      </c>
    </row>
    <row r="59" spans="1:18" ht="20.100000000000001" customHeight="1" x14ac:dyDescent="0.25">
      <c r="L59" s="8"/>
      <c r="M59" s="156" t="str">
        <v>i</v>
      </c>
      <c r="N59" s="164" t="str">
        <v>Wet or dry climate zone</v>
      </c>
      <c r="O59" s="166"/>
      <c r="P59" s="156" t="str">
        <v/>
      </c>
      <c r="Q59" s="138" t="str">
        <v>Input</v>
      </c>
      <c r="R59" s="156" t="str">
        <f>X_Cell_Site_WetOrDryClimateZone</f>
        <v>Dry climate zone</v>
      </c>
    </row>
    <row r="60" spans="1:18" ht="20.100000000000001" customHeight="1" x14ac:dyDescent="0.25">
      <c r="L60" s="8"/>
      <c r="M60" s="8"/>
      <c r="N60" s="8"/>
      <c r="O60" s="8"/>
      <c r="P60" s="8"/>
      <c r="Q60" s="8"/>
    </row>
    <row r="61" spans="1:18" ht="20.100000000000001" customHeight="1" x14ac:dyDescent="0.25">
      <c r="L61" s="8"/>
      <c r="M61" s="151" t="s">
        <v>341</v>
      </c>
      <c r="N61" s="152" cm="1">
        <f t="array" ref="N61">AgResidue_Equations_CropResidue.VEERG_6_1_1_1__1__NitrousOxideEmissionsFromCropResidues(R55,R56,R57)</f>
        <v>0.66792000000000007</v>
      </c>
      <c r="O61" s="153" t="str">
        <f>$E$34</f>
        <v>t N2O</v>
      </c>
      <c r="Q61" s="8"/>
    </row>
    <row r="62" spans="1:18" ht="20.100000000000001" customHeight="1" x14ac:dyDescent="0.25">
      <c r="L62" s="8"/>
      <c r="Q62" s="8"/>
    </row>
    <row r="63" spans="1:18" ht="20.100000000000001" customHeight="1" x14ac:dyDescent="0.25">
      <c r="L63" s="8"/>
      <c r="M63" s="135" t="str" cm="1">
        <f t="array" ref="M63:N64">Common_Equations.Common_ConvertN2OToCO2e_Arguments()</f>
        <v>EN2O</v>
      </c>
      <c r="N63" s="136" t="str">
        <v>Nitrous oxide emissions (t N2O)</v>
      </c>
      <c r="O63" s="154"/>
      <c r="P63" s="25">
        <f>VEERG_6_1_1_1__1__NitrousOxideEmissionsFromCropResidues_Result_Method2</f>
        <v>0.66792000000000007</v>
      </c>
    </row>
    <row r="64" spans="1:18" ht="20.100000000000001" customHeight="1" x14ac:dyDescent="0.25">
      <c r="L64" s="8"/>
      <c r="M64" s="135" t="str">
        <v>GWPN2O</v>
      </c>
      <c r="N64" s="136" t="str">
        <v>Global warming potential for nitrous oxide (t CO2-e / t N2O)</v>
      </c>
      <c r="O64" s="154"/>
      <c r="P64" s="25">
        <f>Common_InputFunctions.Utility_LookupValueInTableNumber("N2O",Table_GWPData[Gas],Table_GWPData[CO2-e factor])</f>
        <v>265</v>
      </c>
    </row>
    <row r="65" spans="12:18" ht="20.100000000000001" customHeight="1" x14ac:dyDescent="0.25">
      <c r="L65" s="8"/>
      <c r="Q65" s="8"/>
    </row>
    <row r="66" spans="12:18" ht="20.100000000000001" customHeight="1" x14ac:dyDescent="0.25">
      <c r="L66" s="8"/>
      <c r="M66" s="148" t="s">
        <v>343</v>
      </c>
      <c r="N66" s="148" cm="1">
        <f t="array" ref="N66">Common_Equations.Common_ConvertN2OToCO2e(P63,P64)</f>
        <v>176.99880000000002</v>
      </c>
      <c r="O66" s="155" t="str" cm="1">
        <f t="array" ref="O66">Common_Equations.Common_ConvertN2OToCO2e_Unit()</f>
        <v>t CO2e</v>
      </c>
      <c r="Q66" s="8"/>
    </row>
    <row r="67" spans="12:18" ht="20.100000000000001" customHeight="1" x14ac:dyDescent="0.25">
      <c r="L67" s="8"/>
      <c r="M67" s="8"/>
      <c r="N67" s="8"/>
      <c r="O67" s="233"/>
      <c r="P67" s="8"/>
      <c r="Q67" s="8"/>
      <c r="R67" s="8"/>
    </row>
    <row r="68" spans="12:18" ht="20.100000000000001" customHeight="1" x14ac:dyDescent="0.25">
      <c r="L68" s="8"/>
    </row>
    <row r="69" spans="12:18" ht="20.100000000000001" customHeight="1" x14ac:dyDescent="0.25">
      <c r="L69" s="8"/>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8"/>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81E96E0A-2E88-461F-AC00-C7B70A0C54C5}"/>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F74B1-E647-44D7-8C01-90EDBC31C784}">
  <dimension ref="A1:T165"/>
  <sheetViews>
    <sheetView showGridLines="0" topLeftCell="A14"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682</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4" t="s">
        <v>311</v>
      </c>
      <c r="E7" s="134" t="str" cm="1">
        <f t="array" aca="1" ref="E7" ca="1">Common_InputFunctions.Utility_DisplayFunctionName(I24)</f>
        <v>=AgResidue_Equations_Leaching.VEERG_6_3_1_1__2__MassOfNitrogenLostThroughLeachingAndRunoff</v>
      </c>
      <c r="F7" s="134"/>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312</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6" t="str" cm="1">
        <f t="array" ref="D13:E19">_xlfn.CHOOSECOLS(AgResidue_Equations_Leaching.VEERG_6_3_1_1__2__MassOfNitrogenLostThroughLeachingAndRunoff_Arguments(), 1,2)</f>
        <v>M_cp</v>
      </c>
      <c r="E13" s="164" t="str">
        <v>mass of nitrogen in crop residues c or pasture residues p applied to soils</v>
      </c>
      <c r="F13" s="165"/>
      <c r="G13" s="166"/>
      <c r="H13" s="156" t="str" cm="1">
        <f t="array" ref="H13:I19">_xlfn.CHOOSECOLS(AgResidue_Equations_Leaching.VEERG_6_3_1_1__2__MassOfNitrogenLostThroughLeachingAndRunoff_Arguments(), 3,4)</f>
        <v>kg N</v>
      </c>
      <c r="I13" s="139" t="str">
        <v>Calc from 6.1.1.1 (2) and 6.2.1.1 (2)</v>
      </c>
      <c r="J13" s="142" t="str" cm="1">
        <f t="array" aca="1" ref="J13" ca="1">HYPERLINK(Common_InputFunctions.Utility_SourceHyperlink($D$21), $D$21)</f>
        <v>M1_Table_M_leach_cp</v>
      </c>
      <c r="K13" s="8"/>
    </row>
    <row r="14" spans="1:20" ht="20.100000000000001" customHeight="1" x14ac:dyDescent="0.25">
      <c r="A14" s="5" t="str">
        <f>HYPERLINK("#'Input - Fuel'!A1", "Fuel")</f>
        <v>Fuel</v>
      </c>
      <c r="C14" s="8"/>
      <c r="D14" s="156" t="str">
        <v>FracWET_j</v>
      </c>
      <c r="E14" s="164" t="str">
        <v>fraction of N that is available for leaching and runoff from the leaching zone z and irrigation type ir</v>
      </c>
      <c r="F14" s="165"/>
      <c r="G14" s="166"/>
      <c r="H14" s="156" t="str">
        <v>fraction</v>
      </c>
      <c r="I14" s="139" t="str">
        <v>Constant</v>
      </c>
      <c r="J14" s="142"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6" t="str">
        <v>FracLEACH</v>
      </c>
      <c r="E15" s="164" t="str">
        <v>fraction of N that is lost through leaching and runoff</v>
      </c>
      <c r="F15" s="165"/>
      <c r="G15" s="166"/>
      <c r="H15" s="156" t="str">
        <v>fraction</v>
      </c>
      <c r="I15" s="139" t="str">
        <v>Constant</v>
      </c>
      <c r="J15" s="156">
        <f>'Constants - Common'!$E$164</f>
        <v>0.24</v>
      </c>
      <c r="K15" s="8"/>
    </row>
    <row r="16" spans="1:20" ht="20.100000000000001" customHeight="1" x14ac:dyDescent="0.25">
      <c r="A16" s="5" t="str">
        <f>HYPERLINK("#'Input - Common farm inputs'!A1", "Common farm inputs")</f>
        <v>Common farm inputs</v>
      </c>
      <c r="C16" s="8"/>
      <c r="D16" s="156" t="str">
        <v>z</v>
      </c>
      <c r="E16" s="164" t="str">
        <v>Location in leaching zone</v>
      </c>
      <c r="F16" s="165"/>
      <c r="G16" s="166"/>
      <c r="H16" s="156" t="str">
        <v/>
      </c>
      <c r="I16" s="138" t="str">
        <v>Input</v>
      </c>
      <c r="J16" s="142" t="str" cm="1">
        <f t="array" aca="1" ref="J16" ca="1">HYPERLINK(Common_InputFunctions.Utility_SourceHyperlink($D$21), $D$21)</f>
        <v>M1_Table_M_leach_cp</v>
      </c>
      <c r="K16" s="8"/>
    </row>
    <row r="17" spans="1:20" ht="20.100000000000001" customHeight="1" x14ac:dyDescent="0.25">
      <c r="A17" s="5" t="str">
        <f>HYPERLINK("#'Input - Crop pasture farm input'!A1", "Crop pasture farm input")</f>
        <v>Crop pasture farm input</v>
      </c>
      <c r="C17" s="8"/>
      <c r="D17" s="156" t="str">
        <v>c</v>
      </c>
      <c r="E17" s="164" t="str">
        <v>Crop residue type</v>
      </c>
      <c r="F17" s="165"/>
      <c r="G17" s="166"/>
      <c r="H17" s="156" t="str">
        <v/>
      </c>
      <c r="I17" s="138" t="str">
        <v>Input</v>
      </c>
      <c r="J17" s="156" t="str">
        <f>X_Cell_Crop_CropType</f>
        <v>Wheat</v>
      </c>
      <c r="K17" s="8"/>
    </row>
    <row r="18" spans="1:20" ht="20.100000000000001" customHeight="1" x14ac:dyDescent="0.25">
      <c r="A18" s="5" t="str">
        <f>HYPERLINK("#'Input - Freight'!A1", "Freight")</f>
        <v>Freight</v>
      </c>
      <c r="C18" s="8"/>
      <c r="D18" s="156" t="str">
        <v>p</v>
      </c>
      <c r="E18" s="164" t="str">
        <v>Pasture residue type</v>
      </c>
      <c r="F18" s="165"/>
      <c r="G18" s="166"/>
      <c r="H18" s="156" t="str">
        <v/>
      </c>
      <c r="I18" s="138" t="str">
        <v>Input</v>
      </c>
      <c r="J18" s="156" t="s">
        <v>127</v>
      </c>
      <c r="K18" s="8"/>
    </row>
    <row r="19" spans="1:20" ht="20.100000000000001" customHeight="1" x14ac:dyDescent="0.25">
      <c r="A19" s="5" t="str">
        <f>HYPERLINK("#'Input - Manure sent off-site'!A1", "Manure sent off-site")</f>
        <v>Manure sent off-site</v>
      </c>
      <c r="C19" s="8"/>
      <c r="D19" s="156" t="str">
        <v>ir</v>
      </c>
      <c r="E19" s="164" t="str">
        <v>Irrigation type</v>
      </c>
      <c r="F19" s="165"/>
      <c r="G19" s="166"/>
      <c r="H19" s="156" t="str">
        <v/>
      </c>
      <c r="I19" s="138" t="str">
        <v>Input</v>
      </c>
      <c r="J19" s="142" t="str" cm="1">
        <f t="array" aca="1" ref="J19" ca="1">HYPERLINK(Common_InputFunctions.Utility_SourceHyperlink($D$21), $D$21)</f>
        <v>M1_Table_M_leach_cp</v>
      </c>
      <c r="K19" s="8"/>
    </row>
    <row r="20" spans="1:20" ht="20.100000000000001" customHeight="1" x14ac:dyDescent="0.25">
      <c r="A20" s="5" t="str">
        <f>HYPERLINK("#'Input - Solid waste'!A1", "Solid waste")</f>
        <v>Solid waste</v>
      </c>
      <c r="C20" s="8"/>
      <c r="D20" s="8"/>
      <c r="E20" s="8"/>
      <c r="F20" s="8"/>
      <c r="G20" s="8"/>
      <c r="H20" s="8"/>
      <c r="I20" s="8"/>
      <c r="J20" s="8"/>
      <c r="K20" s="8"/>
    </row>
    <row r="21" spans="1:20" ht="20.100000000000001" customHeight="1" x14ac:dyDescent="0.25">
      <c r="A21" s="5" t="str">
        <f>HYPERLINK("#'Input - Data quality'!A1", "Data quality")</f>
        <v>Data quality</v>
      </c>
      <c r="C21" s="8"/>
      <c r="D21" s="145" t="s">
        <v>683</v>
      </c>
      <c r="E21" s="8"/>
      <c r="F21" s="8"/>
      <c r="G21" s="8"/>
      <c r="H21" s="8"/>
      <c r="I21" s="8"/>
      <c r="J21" s="8"/>
      <c r="K21" s="8"/>
      <c r="N21" s="145" t="s">
        <v>684</v>
      </c>
      <c r="O21" s="8"/>
      <c r="P21" s="8"/>
      <c r="Q21" s="8"/>
      <c r="R21" s="8"/>
      <c r="S21" s="8"/>
    </row>
    <row r="22" spans="1:20" ht="20.100000000000001" customHeight="1" x14ac:dyDescent="0.25">
      <c r="C22" s="8"/>
      <c r="D22" s="146" t="s">
        <v>685</v>
      </c>
      <c r="E22" s="8"/>
      <c r="F22" s="8"/>
      <c r="G22" s="8"/>
      <c r="H22" s="8"/>
      <c r="I22" s="8"/>
      <c r="J22" s="8"/>
      <c r="K22" s="8"/>
      <c r="N22" s="146" t="s">
        <v>686</v>
      </c>
      <c r="O22" s="8"/>
      <c r="P22" s="8"/>
      <c r="Q22" s="8"/>
      <c r="R22" s="8"/>
      <c r="S22" s="8"/>
    </row>
    <row r="23" spans="1:20" ht="20.100000000000001" customHeight="1" x14ac:dyDescent="0.25">
      <c r="C23" s="8"/>
      <c r="D23" s="92" t="s">
        <v>687</v>
      </c>
      <c r="E23" s="147" t="s">
        <v>688</v>
      </c>
      <c r="F23" s="92" t="s">
        <v>689</v>
      </c>
      <c r="G23" s="92" t="s">
        <v>103</v>
      </c>
      <c r="H23" s="147" t="s">
        <v>690</v>
      </c>
      <c r="I23" s="147" t="s">
        <v>691</v>
      </c>
      <c r="J23" s="8"/>
      <c r="K23" s="8"/>
      <c r="N23" s="92" t="s">
        <v>687</v>
      </c>
      <c r="O23" s="147" t="s">
        <v>688</v>
      </c>
      <c r="P23" s="92" t="s">
        <v>689</v>
      </c>
      <c r="Q23" s="92" t="s">
        <v>103</v>
      </c>
      <c r="R23" s="147" t="s">
        <v>690</v>
      </c>
      <c r="S23" s="147" t="s">
        <v>691</v>
      </c>
    </row>
    <row r="24" spans="1:20" ht="20.100000000000001" customHeight="1" x14ac:dyDescent="0.25">
      <c r="A24" s="6" t="s">
        <v>2</v>
      </c>
      <c r="D24" s="25" t="s">
        <v>184</v>
      </c>
      <c r="E24" s="25">
        <f>'6.1.1.1-2 Crop residue N2O'!$E$24</f>
        <v>85008</v>
      </c>
      <c r="F24" s="25" t="str">
        <f>X_Cell_Crop_IrrigationMethod</f>
        <v>Sprinkler irrigation</v>
      </c>
      <c r="G24" s="25" t="str">
        <f>X_Cell_Site_LeachingZone</f>
        <v>NO - Not in leaching zone</v>
      </c>
      <c r="H24" s="25">
        <f>CommonCropping_InputFunctions.CommonCropping_GetFracWET(G24,F24,Table_SourceData_FracWET[Is in leaching zone],Table_SourceData_FracWET[FracWET], Table_SourceData_FracWETIrrigation[Irrigation type i],Table_SourceData_FracWETIrrigation[FracWET])</f>
        <v>1</v>
      </c>
      <c r="I24" s="25" cm="1">
        <f t="array" ref="I24">AgResidue_Equations_Leaching.VEERG_6_3_1_1__2__MassOfNitrogenLostThroughLeachingAndRunoff(E24,H24,$J$15)</f>
        <v>20401.919999999998</v>
      </c>
      <c r="N24" s="25"/>
      <c r="O24" s="25">
        <f>'6.1.1.1-2 Crop residue N2O'!$N$43</f>
        <v>85008</v>
      </c>
      <c r="P24" s="25"/>
      <c r="Q24" s="25"/>
      <c r="R24" s="25"/>
      <c r="S24" s="25" cm="1">
        <f t="array" ref="S24">AgResidue_Equations_Leaching.VEERG_6_3_1_1__2__MassOfNitrogenLostThroughLeachingAndRunoff(O24,H24,$J$15)</f>
        <v>20401.919999999998</v>
      </c>
    </row>
    <row r="25" spans="1:20" ht="20.100000000000001" customHeight="1" x14ac:dyDescent="0.25">
      <c r="A25" s="5" t="str">
        <f>HYPERLINK("#'5.1.1.1-2 Inorganic fert N2O'!A1", "5.1.1.1-2 Inorganic fert N2O")</f>
        <v>5.1.1.1-2 Inorganic fert N2O</v>
      </c>
      <c r="D25" s="25" t="s">
        <v>409</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HYPERLINK("#'5.1.1.3-4 Inorganic fert CO2'!A1", "5.1.1.3-4 Inorganic fert CO2")</f>
        <v>5.1.1.3-4 Inorganic fert CO2</v>
      </c>
    </row>
    <row r="27" spans="1:20" ht="20.100000000000001" customHeight="1" x14ac:dyDescent="0.25">
      <c r="A27" s="5" t="str">
        <f>HYPERLINK("#'5.2.1.1-2 Organic Fert N2O'!A1", "5.2.1.1-2 Organic fert N2O")</f>
        <v>5.2.1.1-2 Organic fert N2O</v>
      </c>
      <c r="C27" s="232"/>
      <c r="D27" s="232"/>
      <c r="E27" s="232"/>
      <c r="F27" s="232"/>
      <c r="G27" s="232"/>
      <c r="H27" s="232"/>
      <c r="I27" s="232"/>
      <c r="J27" s="232"/>
      <c r="K27" s="232"/>
      <c r="M27" s="232"/>
      <c r="N27" s="232"/>
      <c r="O27" s="232"/>
      <c r="P27" s="232"/>
      <c r="Q27" s="232"/>
      <c r="R27" s="232"/>
      <c r="S27" s="232"/>
      <c r="T27" s="232"/>
    </row>
    <row r="28" spans="1:20" ht="20.100000000000001" customHeight="1" x14ac:dyDescent="0.25">
      <c r="A28" s="5" t="str">
        <f>HYPERLINK("#'5.3.1.1-2 Lime CO2'!A1", "5.3.1.1-2 Lime CO2")</f>
        <v>5.3.1.1-2 Lime CO2</v>
      </c>
      <c r="C28" s="8"/>
      <c r="D28" s="2" t="str" cm="1">
        <f t="array" ref="D28">AgResidue_Equations_Leaching.VEERG_6_3_1_1__1__LeachingAndRunoffEmissionsCropAndPastureResidue_Title()</f>
        <v>Nitrous oxide leaching and runoff emissions from crop and pasture residues returned to the soil</v>
      </c>
      <c r="E28" s="8"/>
      <c r="F28" s="234"/>
      <c r="G28" s="8"/>
      <c r="H28" s="8"/>
      <c r="I28" s="8"/>
      <c r="J28" s="8"/>
      <c r="K28" s="8"/>
    </row>
    <row r="29" spans="1:20" ht="20.100000000000001" customHeight="1" x14ac:dyDescent="0.25">
      <c r="A29" s="5" t="str">
        <f>HYPERLINK("#'5.4.1.1-4 Atmos deposition'!A1", "5.4.1.1-4 Atmos. deposition")</f>
        <v>5.4.1.1-4 Atmos. deposition</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HYPERLINK("#'5.5.1.1-2 Leaching and runoff'!A1", "5.5.1.1-2 Leaching &amp; runoff")</f>
        <v>5.5.1.1-2 Leaching &amp; runoff</v>
      </c>
      <c r="C30" s="8"/>
      <c r="D30" s="134" t="s">
        <v>311</v>
      </c>
      <c r="E30" s="134"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HYPERLINK("#'6.1.1.1-2 Crop residue N2O'!A1", "6.1.1.1-2 Crop residue N2O")</f>
        <v>6.1.1.1-2 Crop residue N2O</v>
      </c>
      <c r="C31" s="8"/>
      <c r="D31" s="8"/>
      <c r="E31" s="8"/>
      <c r="F31" s="8"/>
      <c r="G31" s="8"/>
      <c r="H31" s="8"/>
      <c r="I31" s="8"/>
      <c r="J31" s="8"/>
      <c r="K31" s="8"/>
    </row>
    <row r="32" spans="1:20" ht="20.100000000000001" customHeight="1" x14ac:dyDescent="0.25">
      <c r="A32" s="143" t="str">
        <f>HYPERLINK("#'6.3.1.1-2 Leach runoff crop'!A1", "6.3.1.1-2 Leach &amp; runoff (crop)")</f>
        <v>6.3.1.1-2 Leach &amp; runoff (crop)</v>
      </c>
      <c r="C32" s="8"/>
      <c r="D32" s="8"/>
      <c r="E32" s="8"/>
      <c r="F32" s="27"/>
      <c r="G32" s="8"/>
      <c r="H32" s="8"/>
      <c r="I32" s="8"/>
      <c r="J32" s="8"/>
      <c r="K32" s="8"/>
    </row>
    <row r="33" spans="1:17" ht="20.100000000000001" customHeight="1" x14ac:dyDescent="0.25">
      <c r="A33" s="5" t="str">
        <f>HYPERLINK("#'6.4.1.1-2 Residue burning'!A1", "6.4.1.1-2 Residue burning")</f>
        <v>6.4.1.1-2 Residue burning</v>
      </c>
      <c r="C33" s="8"/>
      <c r="D33" s="12" t="s">
        <v>312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HYPERLINK("#'8.1.1.1-2 Transport fuel'!A1", "8.1.1.1-2 Transport fuel")</f>
        <v>8.1.1.1-2 Transport fuel</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HYPERLINK("#'8.2.1.1-2 Stationary fuel'!A1", "8.2.1.1-2 Stationary fuel")</f>
        <v>8.2.1.1-2 Stationary fuel</v>
      </c>
      <c r="C35" s="8"/>
      <c r="D35" s="8"/>
      <c r="E35" s="8"/>
      <c r="F35" s="8"/>
      <c r="G35" s="8"/>
      <c r="H35" s="8"/>
      <c r="I35" s="8"/>
      <c r="J35" s="8"/>
      <c r="K35" s="8"/>
    </row>
    <row r="36" spans="1:17" ht="20.100000000000001" customHeight="1" x14ac:dyDescent="0.25">
      <c r="A36" s="5" t="str">
        <f>HYPERLINK("#'14.1.1-2 Purchased electricity'!A1", "14.1.1-2 Purchased electricity")</f>
        <v>14.1.1-2 Purchased electricity</v>
      </c>
      <c r="C36" s="8"/>
      <c r="D36" s="156" t="str" cm="1">
        <f t="array" ref="D36:E40">_xlfn.CHOOSECOLS(AgResidue_Equations_Leaching.VEERG_6_3_1_1__1__LeachingAndRunoffEmissionsCropAndPastureResidue_Arguments(),1,2)</f>
        <v>M_leachcp</v>
      </c>
      <c r="E36" s="164" t="str">
        <v>mass of nitrogen lost through leaching and runoff from the crop residue c or pasture residue p</v>
      </c>
      <c r="F36" s="165"/>
      <c r="G36" s="166"/>
      <c r="H36" s="156" t="str" cm="1">
        <f t="array" ref="H36:I40">_xlfn.CHOOSECOLS(AgResidue_Equations_Leaching.VEERG_6_3_1_1__1__LeachingAndRunoffEmissionsCropAndPastureResidue_Arguments(),3,4)</f>
        <v>kg N</v>
      </c>
      <c r="I36" s="139" t="str">
        <v>Calculated from 6.3.1.1 (2)</v>
      </c>
      <c r="J36" s="156" t="str" cm="1">
        <f t="array" aca="1" ref="J36" ca="1">HYPERLINK(Common_InputFunctions.Utility_SourceHyperlink($D$21), $D$21)</f>
        <v>M1_Table_M_leach_cp</v>
      </c>
      <c r="K36" s="8"/>
    </row>
    <row r="37" spans="1:17" ht="20.100000000000001" customHeight="1" x14ac:dyDescent="0.25">
      <c r="A37" s="5" t="str">
        <f>HYPERLINK("#'15 Scope 3'!A1", "15 Scope 3")</f>
        <v>15 Scope 3</v>
      </c>
      <c r="C37" s="8"/>
      <c r="D37" s="156" t="str">
        <v>EF_leach</v>
      </c>
      <c r="E37" s="164" t="str">
        <v>emission factor for leaching and runoff</v>
      </c>
      <c r="F37" s="165"/>
      <c r="G37" s="166"/>
      <c r="H37" s="156" t="str">
        <v>kg N2O-N/kg N</v>
      </c>
      <c r="I37" s="139" t="str">
        <v>Constant</v>
      </c>
      <c r="J37" s="156">
        <f>'Constants - Common'!$E$170</f>
        <v>1.0999999999999999E-2</v>
      </c>
      <c r="K37" s="8"/>
    </row>
    <row r="38" spans="1:17" ht="20.100000000000001" customHeight="1" x14ac:dyDescent="0.25">
      <c r="A38" s="5" t="str">
        <f>HYPERLINK("#'Calcs - Manure sent off-site'!A1", "Calcs - Manure sent off-site")</f>
        <v>Calcs - Manure sent off-site</v>
      </c>
      <c r="C38" s="8"/>
      <c r="D38" s="156" t="str">
        <v>C_N2O</v>
      </c>
      <c r="E38" s="164" t="str">
        <v>factor to convert elemental mass of nitrous oxide to molecular mass</v>
      </c>
      <c r="F38" s="165"/>
      <c r="G38" s="166"/>
      <c r="H38" s="156" t="str">
        <v>dimensionless</v>
      </c>
      <c r="I38" s="139" t="str">
        <v>Constant</v>
      </c>
      <c r="J38" s="156">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HYPERLINK("#'10.1.1-2 Solid waste treatment'!A1", "10.1.1-2 Solid waste treatment")</f>
        <v>10.1.1-2 Solid waste treatment</v>
      </c>
      <c r="C39" s="8"/>
      <c r="D39" s="156" t="str">
        <v>c</v>
      </c>
      <c r="E39" s="164" t="str">
        <v>Crop residue type</v>
      </c>
      <c r="F39" s="165"/>
      <c r="G39" s="166"/>
      <c r="H39" s="156" t="str">
        <v/>
      </c>
      <c r="I39" s="138" t="str">
        <v>Input</v>
      </c>
      <c r="J39" s="156" t="str">
        <f>X_Cell_Crop_CropType</f>
        <v>Wheat</v>
      </c>
      <c r="K39" s="8"/>
    </row>
    <row r="40" spans="1:17" ht="20.100000000000001" customHeight="1" x14ac:dyDescent="0.25">
      <c r="C40" s="8"/>
      <c r="D40" s="156" t="str">
        <v>p</v>
      </c>
      <c r="E40" s="164" t="str">
        <v>Pasture residue type</v>
      </c>
      <c r="F40" s="165"/>
      <c r="G40" s="166"/>
      <c r="H40" s="156" t="str">
        <v/>
      </c>
      <c r="I40" s="138" t="str">
        <v>Input</v>
      </c>
      <c r="J40" s="156" t="s">
        <v>127</v>
      </c>
      <c r="K40" s="8"/>
    </row>
    <row r="41" spans="1:17" ht="20.100000000000001" customHeight="1" x14ac:dyDescent="0.25">
      <c r="C41" s="8"/>
      <c r="D41" s="8"/>
      <c r="E41" s="8"/>
      <c r="F41" s="8"/>
      <c r="G41" s="8"/>
      <c r="H41" s="8"/>
      <c r="I41" s="8"/>
      <c r="J41" s="8"/>
      <c r="K41" s="8"/>
    </row>
    <row r="42" spans="1:17" ht="20.100000000000001" customHeight="1" x14ac:dyDescent="0.25">
      <c r="A42" s="94" t="s">
        <v>1</v>
      </c>
      <c r="C42" s="8"/>
      <c r="D42" s="145" t="s">
        <v>338</v>
      </c>
      <c r="E42" s="8"/>
      <c r="F42" s="8"/>
      <c r="G42" s="8"/>
      <c r="H42" s="8"/>
      <c r="I42" s="8"/>
      <c r="J42" s="8"/>
      <c r="K42" s="8"/>
      <c r="N42" s="145" t="s">
        <v>338</v>
      </c>
      <c r="O42" s="8"/>
      <c r="P42" s="8"/>
      <c r="Q42" s="8"/>
    </row>
    <row r="43" spans="1:17" ht="20.100000000000001" customHeight="1" x14ac:dyDescent="0.25">
      <c r="A43" s="5" t="str">
        <f>HYPERLINK("#'Constants - Ag Residue'!A1", "Constants - Ag residue")</f>
        <v>Constants - Ag residue</v>
      </c>
      <c r="C43" s="8"/>
      <c r="D43" s="146" t="s">
        <v>692</v>
      </c>
      <c r="E43" s="8"/>
      <c r="F43" s="8"/>
      <c r="G43" s="8"/>
      <c r="H43" s="8"/>
      <c r="I43" s="8"/>
      <c r="J43" s="8"/>
      <c r="K43" s="8"/>
      <c r="N43" s="146" t="s">
        <v>692</v>
      </c>
      <c r="O43" s="8"/>
      <c r="P43" s="8"/>
      <c r="Q43" s="8"/>
    </row>
    <row r="44" spans="1:17" ht="20.100000000000001" customHeight="1" x14ac:dyDescent="0.25">
      <c r="A44" s="5" t="str">
        <f>HYPERLINK("#'Constants - Common Livestock'!A1", "Constants - Common Livestock")</f>
        <v>Constants - Common Livestock</v>
      </c>
      <c r="C44" s="8"/>
      <c r="D44" s="147" t="s">
        <v>691</v>
      </c>
      <c r="E44" s="147" t="s">
        <v>693</v>
      </c>
      <c r="F44" s="8"/>
      <c r="G44" s="8"/>
      <c r="H44" s="8"/>
      <c r="I44" s="8"/>
      <c r="J44" s="8"/>
      <c r="K44" s="8"/>
      <c r="N44" s="147" t="s">
        <v>691</v>
      </c>
      <c r="O44" s="147" t="s">
        <v>693</v>
      </c>
      <c r="P44" s="8"/>
      <c r="Q44" s="8"/>
    </row>
    <row r="45" spans="1:17" ht="20.100000000000001" customHeight="1" x14ac:dyDescent="0.25">
      <c r="A45" s="5" t="str">
        <f>HYPERLINK("#'Constants - Electricity'!A1", "Constants - Electricity")</f>
        <v>Constants - Electricity</v>
      </c>
      <c r="C45" s="8"/>
      <c r="D45" s="25">
        <f>I24</f>
        <v>20401.919999999998</v>
      </c>
      <c r="E45" s="25" cm="1">
        <f t="array" ref="E45">AgResidue_Equations_Leaching.VEERG_6_3_1_1__1__LeachingAndRunoffEmissionsCropAndPastureResidue(D45,$J$37,$J$38)</f>
        <v>0.35266175999999999</v>
      </c>
      <c r="F45" s="8"/>
      <c r="G45" s="8"/>
      <c r="H45" s="8"/>
      <c r="I45" s="8"/>
      <c r="J45" s="8"/>
      <c r="K45" s="8"/>
      <c r="N45" s="25">
        <f>S24</f>
        <v>20401.919999999998</v>
      </c>
      <c r="O45" s="25" cm="1">
        <f t="array" ref="O45">AgResidue_Equations_Leaching.VEERG_6_3_1_1__1__LeachingAndRunoffEmissionsCropAndPastureResidue(N45,$J$37,$J$38)</f>
        <v>0.35266175999999999</v>
      </c>
      <c r="P45" s="8"/>
      <c r="Q45" s="8"/>
    </row>
    <row r="46" spans="1:17" ht="20.100000000000001" customHeight="1" x14ac:dyDescent="0.25">
      <c r="A46" s="5" t="str">
        <f>HYPERLINK("#'Constants - Fertiliser'!A1", "Constants - Fertiliser")</f>
        <v>Constants - Fertiliser</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Fuel'!A1", "Constants - Fuel")</f>
        <v>Constants - Fuel</v>
      </c>
      <c r="C47" s="8"/>
      <c r="F47" s="8"/>
      <c r="G47" s="8"/>
      <c r="H47" s="8"/>
      <c r="I47" s="8"/>
      <c r="J47" s="8"/>
      <c r="K47" s="8"/>
      <c r="P47" s="8"/>
      <c r="Q47" s="8"/>
    </row>
    <row r="48" spans="1:17" ht="20.100000000000001" customHeight="1" x14ac:dyDescent="0.4">
      <c r="A48" s="5" t="str">
        <f>HYPERLINK("#'Constants - Scope 3'!A1", "Constants - Scope 3")</f>
        <v>Constants - Scope 3</v>
      </c>
      <c r="C48" s="8"/>
      <c r="D48" s="235" t="s">
        <v>694</v>
      </c>
      <c r="E48" s="236">
        <f>SUM(E45:E46)</f>
        <v>0.35266175999999999</v>
      </c>
      <c r="F48" s="153" t="str">
        <f>$E$34</f>
        <v>t N2O</v>
      </c>
      <c r="G48" s="8"/>
      <c r="H48" s="8"/>
      <c r="I48" s="8"/>
      <c r="J48" s="8"/>
      <c r="K48" s="8"/>
      <c r="N48" s="235" t="s">
        <v>694</v>
      </c>
      <c r="O48" s="236">
        <f>SUM(O45:O46)</f>
        <v>0.35266175999999999</v>
      </c>
      <c r="P48" s="153" t="str">
        <f>$E$34</f>
        <v>t N2O</v>
      </c>
      <c r="Q48" s="8"/>
    </row>
    <row r="49" spans="1:17" ht="20.100000000000001" customHeight="1" x14ac:dyDescent="0.25">
      <c r="A49" s="5" t="str">
        <f>HYPERLINK("#'Constants - Common'!A1", "Constants - Common")</f>
        <v>Constants - Common</v>
      </c>
      <c r="D49" s="8"/>
      <c r="E49" s="8"/>
      <c r="F49" s="8"/>
      <c r="G49" s="8"/>
      <c r="N49" s="8"/>
      <c r="O49" s="8"/>
      <c r="P49" s="8"/>
      <c r="Q49" s="8"/>
    </row>
    <row r="50" spans="1:17" ht="20.100000000000001" customHeight="1" x14ac:dyDescent="0.25">
      <c r="A50" s="5" t="str">
        <f>HYPERLINK("#'Constants - Solid Waste'!A1", "Constants - Solid Waste")</f>
        <v>Constants - Solid Waste</v>
      </c>
      <c r="D50" s="135" t="str" cm="1">
        <f t="array" ref="D50:E51">Common_Equations.Common_ConvertN2OToCO2e_Arguments()</f>
        <v>EN2O</v>
      </c>
      <c r="E50" s="136" t="str">
        <v>Nitrous oxide emissions (t N2O)</v>
      </c>
      <c r="F50" s="154"/>
      <c r="G50" s="25">
        <f>VEERG_6_3_1_1__1__LeachingAndRunoffEmissionsCropAndPastureResidue_CropOnly_Result_Method1</f>
        <v>0.35266175999999999</v>
      </c>
      <c r="N50" s="135" t="str" cm="1">
        <f t="array" ref="N50:O51">Common_Equations.Common_ConvertN2OToCO2e_Arguments()</f>
        <v>EN2O</v>
      </c>
      <c r="O50" s="136" t="str">
        <v>Nitrous oxide emissions (t N2O)</v>
      </c>
      <c r="P50" s="154"/>
      <c r="Q50" s="25">
        <f>VEERG_6_3_1_1__1__LeachingAndRunoffEmissionsCropAndPastureResidue_CropOnly_Result_Method2</f>
        <v>0.35266175999999999</v>
      </c>
    </row>
    <row r="51" spans="1:17" ht="20.100000000000001" customHeight="1" x14ac:dyDescent="0.25">
      <c r="D51" s="135" t="str">
        <v>GWPN2O</v>
      </c>
      <c r="E51" s="136" t="str">
        <v>Global warming potential for nitrous oxide (t CO2-e / t N2O)</v>
      </c>
      <c r="F51" s="154"/>
      <c r="G51" s="25">
        <f>Common_InputFunctions.Utility_LookupValueInTableNumber("N2O",Table_GWPData[Gas],Table_GWPData[CO2-e factor])</f>
        <v>265</v>
      </c>
      <c r="H51" s="8"/>
      <c r="I51" s="8"/>
      <c r="N51" s="135" t="str">
        <v>GWPN2O</v>
      </c>
      <c r="O51" s="136" t="str">
        <v>Global warming potential for nitrous oxide (t CO2-e / t N2O)</v>
      </c>
      <c r="P51" s="154"/>
      <c r="Q51" s="25">
        <f>Common_InputFunctions.Utility_LookupValueInTableNumber("N2O",Table_GWPData[Gas],Table_GWPData[CO2-e factor])</f>
        <v>265</v>
      </c>
    </row>
    <row r="52" spans="1:17" ht="20.100000000000001" customHeight="1" x14ac:dyDescent="0.25">
      <c r="H52" s="8"/>
      <c r="I52" s="8"/>
    </row>
    <row r="53" spans="1:17" ht="20.100000000000001" customHeight="1" x14ac:dyDescent="0.25">
      <c r="D53" s="148" t="s">
        <v>343</v>
      </c>
      <c r="E53" s="148" cm="1">
        <f t="array" ref="E53">Common_Equations.Common_ConvertN2OToCO2e(G50,G51)</f>
        <v>93.455366400000003</v>
      </c>
      <c r="F53" s="155" t="str" cm="1">
        <f t="array" ref="F53">Common_Equations.Common_ConvertN2OToCO2e_Unit()</f>
        <v>t CO2e</v>
      </c>
      <c r="I53" s="8"/>
      <c r="N53" s="148" t="s">
        <v>343</v>
      </c>
      <c r="O53" s="148" cm="1">
        <f t="array" ref="O53">Common_Equations.Common_ConvertN2OToCO2e(Q50,Q51)</f>
        <v>93.455366400000003</v>
      </c>
      <c r="P53" s="155" t="str" cm="1">
        <f t="array" ref="P53">Common_Equations.Common_ConvertN2OToCO2e_Unit()</f>
        <v>t CO2e</v>
      </c>
    </row>
    <row r="54" spans="1:17" ht="20.100000000000001" customHeight="1" x14ac:dyDescent="0.25">
      <c r="I54" s="8"/>
    </row>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EEA3D-1C81-4F7E-82CE-7DCB8D4E82A5}">
  <dimension ref="A1:S165"/>
  <sheetViews>
    <sheetView showGridLines="0" topLeftCell="A3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695</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4" t="s">
        <v>311</v>
      </c>
      <c r="E7" s="134"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312</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6" t="str" cm="1">
        <f t="array" ref="D13:E19">_xlfn.CHOOSECOLS(AgResidue_Equations_FieldBurning.VEERG_6_4_1_1__3__MassOfCropResidueBurnt_Arguments(), 1, 2)</f>
        <v>P_c</v>
      </c>
      <c r="E13" s="164" t="str">
        <v>annual production of crop type c</v>
      </c>
      <c r="F13" s="166"/>
      <c r="G13" s="156" t="str" cm="1">
        <f t="array" ref="G13:H19">_xlfn.CHOOSECOLS(AgResidue_Equations_FieldBurning.VEERG_6_4_1_1__3__MassOfCropResidueBurnt_Arguments(), 3,4)</f>
        <v>kg</v>
      </c>
      <c r="H13" s="138" t="str">
        <v>Input</v>
      </c>
      <c r="I13" s="156">
        <f>X_Cell_Crop_TotalProductionOfCrop*10^3</f>
        <v>10000000</v>
      </c>
    </row>
    <row r="14" spans="1:19" ht="20.100000000000001" customHeight="1" x14ac:dyDescent="0.25">
      <c r="A14" s="5" t="str">
        <f>HYPERLINK("#'Input - Fuel'!A1", "Fuel")</f>
        <v>Fuel</v>
      </c>
      <c r="D14" s="156" t="str">
        <v>R_AGc</v>
      </c>
      <c r="E14" s="164" t="str">
        <v>residue to crop ratio of crop type c</v>
      </c>
      <c r="F14" s="166"/>
      <c r="G14" s="156" t="str">
        <v>kg crop residue/kg crop</v>
      </c>
      <c r="H14" s="139" t="str">
        <v>Constant</v>
      </c>
      <c r="I14" s="156">
        <f>'Input - Crop'!$E$18</f>
        <v>1.5</v>
      </c>
    </row>
    <row r="15" spans="1:19" ht="20.100000000000001" customHeight="1" x14ac:dyDescent="0.25">
      <c r="A15" s="5" t="str">
        <f>HYPERLINK("#'Input - Electricity'!A1", "Electricity")</f>
        <v>Electricity</v>
      </c>
      <c r="D15" s="156" t="str">
        <v>S_c</v>
      </c>
      <c r="E15" s="164" t="str">
        <v>fraction of residues of crop type c remaining at burning</v>
      </c>
      <c r="F15" s="166"/>
      <c r="G15" s="156" t="str">
        <v>fraction</v>
      </c>
      <c r="H15" s="139" t="str">
        <v>Constant</v>
      </c>
      <c r="I15" s="156"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Common farm inputs'!A1", "Common farm inputs")</f>
        <v>Common farm inputs</v>
      </c>
      <c r="D16" s="156" t="str">
        <v>DM_c</v>
      </c>
      <c r="E16" s="164" t="str">
        <v>dry matter content of crop type c</v>
      </c>
      <c r="F16" s="166"/>
      <c r="G16" s="156" t="str">
        <v>kg dry weight/kg crop residue</v>
      </c>
      <c r="H16" s="139" t="str">
        <v>Constant</v>
      </c>
      <c r="I16" s="156"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Crop pasture farm input'!A1", "Crop pasture farm input")</f>
        <v>Crop pasture farm input</v>
      </c>
      <c r="D17" s="156" t="str">
        <v>Z_c</v>
      </c>
      <c r="E17" s="164" t="str">
        <v>burning efficiency (ratio of fuel burnt to fuel load) of crop type c</v>
      </c>
      <c r="F17" s="166"/>
      <c r="G17" s="156" t="str">
        <v/>
      </c>
      <c r="H17" s="139" t="str">
        <v>Constant</v>
      </c>
      <c r="I17" s="156" cm="1">
        <f t="array" ref="I17">Common_InputFunctions.Utility_LookupValueInTableNumber($I$19,Table_SourceData_CropAttributes[Crop type],Table_SourceData_CropAttributes[Fraction burnt])</f>
        <v>0.9</v>
      </c>
    </row>
    <row r="18" spans="1:10" ht="20.100000000000001" customHeight="1" x14ac:dyDescent="0.25">
      <c r="A18" s="5" t="str">
        <f>HYPERLINK("#'Input - Freight'!A1", "Freight")</f>
        <v>Freight</v>
      </c>
      <c r="D18" s="156" t="str">
        <v>F_c</v>
      </c>
      <c r="E18" s="164" t="str">
        <v>fraction of the annual production of crop type c that is burnt</v>
      </c>
      <c r="F18" s="166"/>
      <c r="G18" s="156" t="str">
        <v>fraction</v>
      </c>
      <c r="H18" s="139" t="str">
        <v>Constant</v>
      </c>
      <c r="I18" s="156">
        <f>X_Cell_Crop_PercentResidueBurned</f>
        <v>0.3</v>
      </c>
    </row>
    <row r="19" spans="1:10" ht="20.100000000000001" customHeight="1" x14ac:dyDescent="0.25">
      <c r="A19" s="5" t="str">
        <f>HYPERLINK("#'Input - Manure sent off-site'!A1", "Manure sent off-site")</f>
        <v>Manure sent off-site</v>
      </c>
      <c r="D19" s="156" t="str">
        <v>c</v>
      </c>
      <c r="E19" s="164" t="str">
        <v>Crop type</v>
      </c>
      <c r="F19" s="166"/>
      <c r="G19" s="156" t="str">
        <v/>
      </c>
      <c r="H19" s="138" t="str">
        <v>Input</v>
      </c>
      <c r="I19" s="156" t="str">
        <f>X_Cell_Crop_CropType</f>
        <v>Wheat</v>
      </c>
    </row>
    <row r="20" spans="1:10" ht="20.100000000000001" customHeight="1" x14ac:dyDescent="0.25">
      <c r="A20" s="5" t="str">
        <f>HYPERLINK("#'Input - Solid waste'!A1", "Solid waste")</f>
        <v>Solid waste</v>
      </c>
    </row>
    <row r="21" spans="1:10" ht="20.100000000000001" customHeight="1" x14ac:dyDescent="0.25">
      <c r="A21" s="5" t="str">
        <f>HYPERLINK("#'Input - Data quality'!A1", "Data quality")</f>
        <v>Data quality</v>
      </c>
      <c r="D21" s="161" t="s">
        <v>696</v>
      </c>
      <c r="E21" s="148" cm="1">
        <f t="array" ref="E21">AgResidue_Equations_FieldBurning.VEERG_6_4_1_1__3__MassOfCropResidueBurnt(I13,I14,I15,I16,I17,I18)</f>
        <v>1782000</v>
      </c>
      <c r="F21" s="155"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A24" s="6" t="s">
        <v>2</v>
      </c>
      <c r="C24" s="148"/>
      <c r="D24" s="148"/>
      <c r="E24" s="148"/>
      <c r="F24" s="148"/>
      <c r="G24" s="148"/>
      <c r="H24" s="148"/>
      <c r="I24" s="148"/>
      <c r="J24" s="148"/>
    </row>
    <row r="25" spans="1:10" ht="20.100000000000001" customHeight="1" x14ac:dyDescent="0.25">
      <c r="A25" s="5" t="str">
        <f>HYPERLINK("#'5.1.1.1-2 Inorganic fert N2O'!A1", "5.1.1.1-2 Inorganic fert N2O")</f>
        <v>5.1.1.1-2 Inorganic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HYPERLINK("#'5.1.1.3-4 Inorganic fert CO2'!A1", "5.1.1.3-4 Inorganic fert CO2")</f>
        <v>5.1.1.3-4 Inorganic fert CO2</v>
      </c>
      <c r="D26" s="27" t="str" cm="1">
        <f t="array" ref="D26">AgResidue_Equations_FieldBurning.VEERG_6_4_1_1__2__NitrousOxideEmissionsFromBurningOfCropResidues_Source()</f>
        <v>VEERG 2026: 6.4.1.1, Equation (2)</v>
      </c>
    </row>
    <row r="27" spans="1:10" ht="20.100000000000001" customHeight="1" x14ac:dyDescent="0.25">
      <c r="A27" s="5" t="str">
        <f>HYPERLINK("#'5.2.1.1-2 Organic Fert N2O'!A1", "5.2.1.1-2 Organic fert N2O")</f>
        <v>5.2.1.1-2 Organic fert N2O</v>
      </c>
      <c r="D27" s="134" t="s">
        <v>311</v>
      </c>
      <c r="E27" s="134"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c r="A28" s="5" t="str">
        <f>HYPERLINK("#'5.3.1.1-2 Lime CO2'!A1", "5.3.1.1-2 Lime CO2")</f>
        <v>5.3.1.1-2 Lime CO2</v>
      </c>
    </row>
    <row r="29" spans="1:10" ht="20.100000000000001" customHeight="1" x14ac:dyDescent="0.25">
      <c r="A29" s="5" t="str">
        <f>HYPERLINK("#'5.4.1.1-4 Atmos deposition'!A1", "5.4.1.1-4 Atmos. deposition")</f>
        <v>5.4.1.1-4 Atmos. deposition</v>
      </c>
    </row>
    <row r="30" spans="1:10" ht="20.100000000000001" customHeight="1" x14ac:dyDescent="0.25">
      <c r="A30" s="5" t="str">
        <f>HYPERLINK("#'5.5.1.1-2 Leaching and runoff'!A1", "5.5.1.1-2 Leaching &amp; runoff")</f>
        <v>5.5.1.1-2 Leaching &amp; runoff</v>
      </c>
      <c r="D30" s="88" t="s">
        <v>312</v>
      </c>
      <c r="E30" s="1" t="str" cm="1">
        <f t="array" ref="E30">AgResidue_Equations_FieldBurning.VEERG_6_4_1_1__2__NitrousOxideEmissionsFromBurningOfCropResidues_Variable()</f>
        <v>EN2O</v>
      </c>
    </row>
    <row r="31" spans="1:10" ht="20.100000000000001" customHeight="1" x14ac:dyDescent="0.25">
      <c r="A31" s="5" t="str">
        <f>HYPERLINK("#'6.1.1.1-2 Crop residue N2O'!A1", "6.1.1.1-2 Crop residue N2O")</f>
        <v>6.1.1.1-2 Crop residue N2O</v>
      </c>
      <c r="D31" s="88" t="s">
        <v>121</v>
      </c>
      <c r="E31" s="15" t="str" cm="1">
        <f t="array" ref="E31">AgResidue_Equations_FieldBurning.VEERG_6_4_1_1__2__NitrousOxideEmissionsFromBurningOfCropResidues_Unit()</f>
        <v>t N2O</v>
      </c>
    </row>
    <row r="32" spans="1:10" ht="20.100000000000001" customHeight="1" x14ac:dyDescent="0.25">
      <c r="A32" s="5" t="str">
        <f>HYPERLINK("#'6.3.1.1-2 Leach runoff crop'!A1", "6.3.1.1-2 Leach &amp; runoff (crop)")</f>
        <v>6.3.1.1-2 Leach &amp; runoff (crop)</v>
      </c>
    </row>
    <row r="33" spans="1:10" ht="20.100000000000001" customHeight="1" x14ac:dyDescent="0.25">
      <c r="A33" s="143" t="str">
        <f>HYPERLINK("#'6.4.1.1-2 Residue burning'!A1", "6.4.1.1-2 Residue burning")</f>
        <v>6.4.1.1-2 Residue burning</v>
      </c>
      <c r="D33" s="156" t="str" cm="1">
        <f t="array" ref="D33:E37">_xlfn.CHOOSECOLS(AgResidue_Equations_FieldBurning.VEERG_6_4_1_1__2__NitrousOxideEmissionsFromBurningOfCropResidues_Arguments(), 1, 2)</f>
        <v>M_burnc</v>
      </c>
      <c r="E33" s="164" t="str">
        <v>mass of residue burnt for crop type c</v>
      </c>
      <c r="F33" s="166"/>
      <c r="G33" s="156" t="str" cm="1">
        <f t="array" ref="G33:H37">_xlfn.CHOOSECOLS(AgResidue_Equations_FieldBurning.VEERG_6_4_1_1__2__NitrousOxideEmissionsFromBurningOfCropResidues_Arguments(), 3,4)</f>
        <v>kg</v>
      </c>
      <c r="H33" s="139" t="str">
        <v>Calculated from 6.4.1.1 (3)</v>
      </c>
      <c r="I33" s="156">
        <f>$E$21</f>
        <v>1782000</v>
      </c>
    </row>
    <row r="34" spans="1:10" ht="20.100000000000001" customHeight="1" x14ac:dyDescent="0.25">
      <c r="A34" s="5" t="str">
        <f>HYPERLINK("#'8.1.1.1-2 Transport fuel'!A1", "8.1.1.1-2 Transport fuel")</f>
        <v>8.1.1.1-2 Transport fuel</v>
      </c>
      <c r="D34" s="156" t="str">
        <v>NC_AGc</v>
      </c>
      <c r="E34" s="164" t="str">
        <v>nitrogen content in the above-ground residue of crop type c</v>
      </c>
      <c r="F34" s="166"/>
      <c r="G34" s="156" t="str">
        <v>kg N/kg DM</v>
      </c>
      <c r="H34" s="139" t="str">
        <v>Constant</v>
      </c>
      <c r="I34" s="156"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HYPERLINK("#'8.2.1.1-2 Stationary fuel'!A1", "8.2.1.1-2 Stationary fuel")</f>
        <v>8.2.1.1-2 Stationary fuel</v>
      </c>
      <c r="D35" s="156" t="str">
        <v>EF_N2O</v>
      </c>
      <c r="E35" s="164" t="str">
        <v>emission factor for nitrous oxide from burning of crop residues</v>
      </c>
      <c r="F35" s="166"/>
      <c r="G35" s="156" t="str">
        <v>kg N2O/kg N2O burnt</v>
      </c>
      <c r="H35" s="139" t="str">
        <v>Constant</v>
      </c>
      <c r="I35" s="156"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HYPERLINK("#'14.1.1-2 Purchased electricity'!A1", "14.1.1-2 Purchased electricity")</f>
        <v>14.1.1-2 Purchased electricity</v>
      </c>
      <c r="D36" s="156" t="str">
        <v>C_N2O</v>
      </c>
      <c r="E36" s="164" t="str">
        <v>factor to convert elemental mass of nitrous oxide to molecular mass</v>
      </c>
      <c r="F36" s="166"/>
      <c r="G36" s="156" t="str">
        <v>dimensionless</v>
      </c>
      <c r="H36" s="139" t="str">
        <v>Constant</v>
      </c>
      <c r="I36" s="156">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HYPERLINK("#'15 Scope 3'!A1", "15 Scope 3")</f>
        <v>15 Scope 3</v>
      </c>
      <c r="D37" s="156" t="str">
        <v>c</v>
      </c>
      <c r="E37" s="164" t="str">
        <v>Crop type</v>
      </c>
      <c r="F37" s="166"/>
      <c r="G37" s="156" t="str">
        <v/>
      </c>
      <c r="H37" s="138" t="str">
        <v>Input</v>
      </c>
      <c r="I37" s="156" t="str">
        <f>X_Cell_Crop_CropType</f>
        <v>Wheat</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HYPERLINK("#'10.1.1-2 Solid waste treatment'!A1", "10.1.1-2 Solid waste treatment")</f>
        <v>10.1.1-2 Solid waste treatment</v>
      </c>
      <c r="D39" s="151" t="s">
        <v>341</v>
      </c>
      <c r="E39" s="152" cm="1">
        <f t="array" ref="E39">AgResidue_Equations_FieldBurning.VEERG_6_4_1_1__2__NitrousOxideEmissionsFromBurningOfCropResidues(I33,I34,I35,I36)</f>
        <v>0.12769302857142856</v>
      </c>
      <c r="F39" s="153"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135" t="str" cm="1">
        <f t="array" ref="D41:E42">Common_Equations.Common_ConvertN2OToCO2e_Arguments()</f>
        <v>EN2O</v>
      </c>
      <c r="E41" s="136" t="str">
        <v>Nitrous oxide emissions (t N2O)</v>
      </c>
      <c r="F41" s="154"/>
      <c r="G41" s="141"/>
      <c r="H41" s="25">
        <f>VEERG_6_4_1_1__2__NitrousOxideEmissionsFromBurningOfCropResidues_Result_Method1</f>
        <v>0.12769302857142856</v>
      </c>
    </row>
    <row r="42" spans="1:10" ht="20.100000000000001" customHeight="1" x14ac:dyDescent="0.25">
      <c r="A42" s="94" t="s">
        <v>1</v>
      </c>
      <c r="D42" s="135" t="str">
        <v>GWPN2O</v>
      </c>
      <c r="E42" s="136" t="str">
        <v>Global warming potential for nitrous oxide (t CO2-e / t N2O)</v>
      </c>
      <c r="F42" s="154"/>
      <c r="G42" s="141"/>
      <c r="H42" s="25">
        <f>Common_InputFunctions.Utility_LookupValueInTableNumber("N2O",Table_GWPData[Gas],Table_GWPData[CO2-e factor])</f>
        <v>265</v>
      </c>
    </row>
    <row r="43" spans="1:10" ht="20.100000000000001" customHeight="1" x14ac:dyDescent="0.25">
      <c r="A43" s="5" t="str">
        <f>HYPERLINK("#'Constants - Ag Residue'!A1", "Constants - Ag residue")</f>
        <v>Constants - Ag residue</v>
      </c>
      <c r="H43" s="8"/>
    </row>
    <row r="44" spans="1:10" ht="20.100000000000001" customHeight="1" x14ac:dyDescent="0.25">
      <c r="A44" s="5" t="str">
        <f>HYPERLINK("#'Constants - Common Livestock'!A1", "Constants - Common Livestock")</f>
        <v>Constants - Common Livestock</v>
      </c>
      <c r="D44" s="148" t="s">
        <v>343</v>
      </c>
      <c r="E44" s="148" cm="1">
        <f t="array" ref="E44">Common_Equations.Common_ConvertN2OToCO2e(H41,H42)</f>
        <v>33.838652571428568</v>
      </c>
      <c r="F44" s="155" t="str" cm="1">
        <f t="array" ref="F44">Common_Equations.Common_ConvertN2OToCO2e_Unit()</f>
        <v>t CO2e</v>
      </c>
      <c r="H44" s="8"/>
    </row>
    <row r="45" spans="1:10" ht="20.100000000000001" customHeight="1" x14ac:dyDescent="0.25">
      <c r="A45" s="5" t="str">
        <f>HYPERLINK("#'Constants - Electricity'!A1", "Constants - Electricity")</f>
        <v>Constants - Electricity</v>
      </c>
    </row>
    <row r="46" spans="1:10" ht="20.100000000000001" customHeight="1" x14ac:dyDescent="0.25">
      <c r="A46" s="5" t="str">
        <f>HYPERLINK("#'Constants - Fertiliser'!A1", "Constants - Fertiliser")</f>
        <v>Constants - Fertiliser</v>
      </c>
    </row>
    <row r="47" spans="1:10" ht="20.100000000000001" customHeight="1" x14ac:dyDescent="0.25">
      <c r="A47" s="5" t="str">
        <f>HYPERLINK("#'Constants - Fuel'!A1", "Constants - Fuel")</f>
        <v>Constants - Fuel</v>
      </c>
      <c r="C47" s="148"/>
      <c r="D47" s="148"/>
      <c r="E47" s="148"/>
      <c r="F47" s="148"/>
      <c r="G47" s="148"/>
      <c r="H47" s="148"/>
      <c r="I47" s="148"/>
      <c r="J47" s="148"/>
    </row>
    <row r="48" spans="1:10" ht="20.100000000000001" customHeight="1" x14ac:dyDescent="0.25">
      <c r="A48" s="5" t="str">
        <f>HYPERLINK("#'Constants - Scope 3'!A1", "Constants - Scope 3")</f>
        <v>Constants - Scope 3</v>
      </c>
      <c r="D48" s="2" t="str" cm="1">
        <f t="array" ref="D48">AgResidue_Equations_FieldBurning.VEERG_6_4_1_1__1__MethaneEmissionsFromBurningOfCropResidues_Title()</f>
        <v>Methane emissions from the burning of crop residues</v>
      </c>
    </row>
    <row r="49" spans="1:9" ht="20.100000000000001" customHeight="1" x14ac:dyDescent="0.25">
      <c r="A49" s="5" t="str">
        <f>HYPERLINK("#'Constants - Common'!A1", "Constants - Common")</f>
        <v>Constants - Common</v>
      </c>
      <c r="D49" s="27" t="str" cm="1">
        <f t="array" ref="D49">AgResidue_Equations_FieldBurning.VEERG_6_4_1_1__1__MethaneEmissionsFromBurningOfCropResidues_Source()</f>
        <v>VEERG 2026: 6.4.1.1, Equation (1)</v>
      </c>
    </row>
    <row r="50" spans="1:9" ht="20.100000000000001" customHeight="1" x14ac:dyDescent="0.25">
      <c r="A50" s="5" t="str">
        <f>HYPERLINK("#'Constants - Solid Waste'!A1", "Constants - Solid Waste")</f>
        <v>Constants - Solid Waste</v>
      </c>
      <c r="D50" s="134" t="s">
        <v>311</v>
      </c>
      <c r="E50" s="134" t="str">
        <f ca="1">Common_InputFunctions.Utility_DisplayFunctionName(VEERG_6_4_1_1__1__MethaneEmissionsFromBurningOfCropResidues_Result_Method1)</f>
        <v>=AgResidue_Equations_FieldBurning.VEERG_6_4_1_1__1__MethaneEmissionsFromBurningOfCropResidues</v>
      </c>
    </row>
    <row r="51" spans="1:9" ht="20.100000000000001" customHeight="1" x14ac:dyDescent="0.25"/>
    <row r="52" spans="1:9" ht="20.100000000000001" customHeight="1" x14ac:dyDescent="0.25"/>
    <row r="53" spans="1:9" ht="20.100000000000001" customHeight="1" x14ac:dyDescent="0.25">
      <c r="D53" s="88" t="s">
        <v>312</v>
      </c>
      <c r="E53" s="1" t="str" cm="1">
        <f t="array" ref="E53">AgResidue_Equations_FieldBurning.VEERG_6_4_1_1__1__MethaneEmissionsFromBurningOfCropResidues_Variable()</f>
        <v>ECH4</v>
      </c>
      <c r="F53" s="27"/>
    </row>
    <row r="54" spans="1:9" ht="20.100000000000001" customHeight="1" x14ac:dyDescent="0.25">
      <c r="D54" s="88" t="s">
        <v>121</v>
      </c>
      <c r="E54" s="15" t="str" cm="1">
        <f t="array" ref="E54">AgResidue_Equations_FieldBurning.VEERG_6_4_1_1__1__MethaneEmissionsFromBurningOfCropResidues_Unit()</f>
        <v>t CH4</v>
      </c>
    </row>
    <row r="55" spans="1:9" ht="20.100000000000001" customHeight="1" x14ac:dyDescent="0.25"/>
    <row r="56" spans="1:9" ht="20.100000000000001" customHeight="1" x14ac:dyDescent="0.25">
      <c r="D56" s="156" t="str" cm="1">
        <f t="array" ref="D56:E60">_xlfn.CHOOSECOLS(AgResidue_Equations_FieldBurning.VEERG_6_4_1_1__1__MethaneEmissionsFromBurningOfCropResidues_Arguments(), 1,2)</f>
        <v>M_burnc</v>
      </c>
      <c r="E56" s="164" t="str">
        <v>mass of residue burnt for crop type c</v>
      </c>
      <c r="F56" s="166"/>
      <c r="G56" s="156" t="str" cm="1">
        <f t="array" ref="G56:H60">_xlfn.CHOOSECOLS(AgResidue_Equations_FieldBurning.VEERG_6_4_1_1__1__MethaneEmissionsFromBurningOfCropResidues_Arguments(), 3,4)</f>
        <v>kg</v>
      </c>
      <c r="H56" s="139" t="str">
        <v>Calculated from 6.4.1.1 (3)</v>
      </c>
      <c r="I56" s="156">
        <f>$E$21</f>
        <v>1782000</v>
      </c>
    </row>
    <row r="57" spans="1:9" ht="20.100000000000001" customHeight="1" x14ac:dyDescent="0.25">
      <c r="D57" s="156" t="str">
        <v>CC_c</v>
      </c>
      <c r="E57" s="164" t="str">
        <v>carbon mass fraction in the residues of crop type c</v>
      </c>
      <c r="F57" s="166"/>
      <c r="G57" s="156" t="str">
        <v>fraction</v>
      </c>
      <c r="H57" s="139" t="str">
        <v>Constant</v>
      </c>
      <c r="I57" s="156" cm="1">
        <f t="array" ref="I57">Common_InputFunctions.Utility_LookupValueInTableNumber($I$60,Table_SourceData_CropAttributes[Crop type],Table_SourceData_CropAttributes[Carbon fraction in dry matter])</f>
        <v>0.4</v>
      </c>
    </row>
    <row r="58" spans="1:9" ht="20.100000000000001" customHeight="1" x14ac:dyDescent="0.25">
      <c r="D58" s="156" t="str">
        <v>EF_CH4</v>
      </c>
      <c r="E58" s="164" t="str">
        <v>emission factor for methane from burning of crop residues</v>
      </c>
      <c r="F58" s="166"/>
      <c r="G58" s="156" t="str">
        <v>kg CH4 / kg CH4 burnt</v>
      </c>
      <c r="H58" s="139" t="str">
        <v>Constant</v>
      </c>
      <c r="I58" s="156"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5">
      <c r="D59" s="156" t="str">
        <v>C_CH4</v>
      </c>
      <c r="E59" s="164" t="str">
        <v>factor to convert elemental mass of methane to molecular mass</v>
      </c>
      <c r="F59" s="166"/>
      <c r="G59" s="156" t="str">
        <v>dimensionless</v>
      </c>
      <c r="H59" s="139" t="str">
        <v>Constant</v>
      </c>
      <c r="I59" s="156">
        <f>Common_InputFunctions.Utility_LookupValueInTableNumber("CH4",Table_GasToMolecularConversionFactor[Gas],Table_GasToMolecularConversionFactor[Conversion factor combined])</f>
        <v>1.3333333333333333</v>
      </c>
    </row>
    <row r="60" spans="1:9" ht="20.100000000000001" customHeight="1" x14ac:dyDescent="0.25">
      <c r="D60" s="156" t="str">
        <v>c</v>
      </c>
      <c r="E60" s="164" t="str">
        <v>Crop type</v>
      </c>
      <c r="F60" s="166"/>
      <c r="G60" s="156" t="str">
        <v/>
      </c>
      <c r="H60" s="138" t="str">
        <v>Input</v>
      </c>
      <c r="I60" s="156" t="str">
        <f>X_Cell_Crop_CropType</f>
        <v>Wheat</v>
      </c>
    </row>
    <row r="61" spans="1:9" ht="20.100000000000001" customHeight="1" x14ac:dyDescent="0.25"/>
    <row r="62" spans="1:9" ht="20.100000000000001" customHeight="1" x14ac:dyDescent="0.25">
      <c r="D62" s="151" t="s">
        <v>697</v>
      </c>
      <c r="E62" s="152" cm="1">
        <f t="array" ref="E62">AgResidue_Equations_FieldBurning.VEERG_6_4_1_1__1__MethaneEmissionsFromBurningOfCropResidues(I56,I57,I58,I59)</f>
        <v>3.3264</v>
      </c>
      <c r="F62" s="153" t="str">
        <f>E54</f>
        <v>t CH4</v>
      </c>
    </row>
    <row r="63" spans="1:9" ht="20.100000000000001" customHeight="1" x14ac:dyDescent="0.25"/>
    <row r="64" spans="1:9" ht="20.100000000000001" customHeight="1" x14ac:dyDescent="0.25">
      <c r="D64" s="135" t="str" cm="1">
        <f t="array" ref="D64:E65">Common_Equations.Common_ConvertCH4ToCO2e_Arguments()</f>
        <v>ECH4</v>
      </c>
      <c r="E64" s="136" t="str">
        <v>Methane emissions (t CH4)</v>
      </c>
      <c r="F64" s="154"/>
      <c r="G64" s="141"/>
      <c r="H64" s="25">
        <f>VEERG_6_4_1_1__1__MethaneEmissionsFromBurningOfCropResidues_Result_Method1</f>
        <v>3.3264</v>
      </c>
    </row>
    <row r="65" spans="4:8" ht="20.100000000000001" customHeight="1" x14ac:dyDescent="0.25">
      <c r="D65" s="135" t="str">
        <v>GWPCH4</v>
      </c>
      <c r="E65" s="136" t="str">
        <v>Global warming potential for methane (t CO2-e / t CH4)</v>
      </c>
      <c r="F65" s="154"/>
      <c r="G65" s="141"/>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8" t="s">
        <v>343</v>
      </c>
      <c r="E67" s="148" cm="1">
        <f t="array" ref="E67">Common_Equations.Common_ConvertCH4ToCO2e(H64,H65)</f>
        <v>93.139200000000002</v>
      </c>
      <c r="F67" s="155"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81DF2-DF3F-49FA-950B-15F6DCDC202B}">
  <dimension ref="A1:R342"/>
  <sheetViews>
    <sheetView showGridLines="0" topLeftCell="E45"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508</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0"/>
      <c r="P5" s="160"/>
      <c r="Q5" s="160"/>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60"/>
      <c r="P6" s="160"/>
      <c r="Q6" s="160"/>
    </row>
    <row r="7" spans="1:18" ht="20.100000000000001" customHeight="1" x14ac:dyDescent="0.25">
      <c r="D7" s="134" t="s">
        <v>311</v>
      </c>
      <c r="E7" s="134" t="str" cm="1">
        <f t="array" aca="1" ref="E7" ca="1">Common_InputFunctions.Utility_DisplayFunctionName(N25)</f>
        <v>=Fuel_Equations.VEERG_8_1_1_1__1_FuelCombustionTransport</v>
      </c>
      <c r="K7" s="134" t="s">
        <v>311</v>
      </c>
      <c r="L7" s="134" t="str" cm="1">
        <f t="array" aca="1" ref="L7" ca="1">Common_InputFunctions.Utility_DisplayFunctionName(Q25)</f>
        <v>=Scope3_Equations.VEERG_15_11_1_1__2_UpstreamTransportFuelEmissions</v>
      </c>
      <c r="O7" s="160"/>
      <c r="P7" s="160"/>
      <c r="Q7" s="160"/>
    </row>
    <row r="8" spans="1:18" ht="20.100000000000001" customHeight="1" x14ac:dyDescent="0.25">
      <c r="A8" s="7" t="s">
        <v>0</v>
      </c>
      <c r="E8" s="134"/>
      <c r="L8" s="134"/>
      <c r="O8" s="160"/>
      <c r="P8" s="160"/>
      <c r="Q8" s="160"/>
    </row>
    <row r="9" spans="1:18" ht="20.100000000000001" customHeight="1" x14ac:dyDescent="0.25">
      <c r="A9" s="5" t="str">
        <f>HYPERLINK("#'Input - Enterprise'!A1", "Enterprise")</f>
        <v>Enterprise</v>
      </c>
      <c r="G9" s="27"/>
      <c r="O9" s="160"/>
      <c r="P9" s="160"/>
      <c r="Q9" s="160"/>
    </row>
    <row r="10" spans="1:18" ht="20.100000000000001" customHeight="1" x14ac:dyDescent="0.25">
      <c r="A10" s="5" t="str">
        <f>HYPERLINK("#'Input - Site'!A1", "Site")</f>
        <v>Site</v>
      </c>
      <c r="O10" s="160"/>
      <c r="P10" s="160"/>
      <c r="Q10" s="160"/>
    </row>
    <row r="11" spans="1:18" ht="20.100000000000001" customHeight="1" x14ac:dyDescent="0.25">
      <c r="A11" s="5" t="str">
        <f>HYPERLINK("#'Input - Crop'!A1", "Crop")</f>
        <v>Crop</v>
      </c>
      <c r="D11" s="88" t="s">
        <v>312</v>
      </c>
      <c r="E11" s="1" t="str" cm="1">
        <f t="array" ref="E11">Fuel_Equations.VEERG_8_1_1_1__1_FuelCombustionTransport_Variable()</f>
        <v>E_g</v>
      </c>
      <c r="K11" s="88" t="s">
        <v>312</v>
      </c>
      <c r="L11" s="1" t="str" cm="1">
        <f t="array" ref="L11">Scope3_Equations.VEERG_15_11_1_1__2_UpstreamTransportFuelEmissions_Variable()</f>
        <v>E_WTTtransq</v>
      </c>
      <c r="O11" s="160"/>
      <c r="P11" s="160"/>
      <c r="Q11" s="160"/>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6" t="str" cm="1">
        <f t="array" ref="D14:E20">_xlfn.CHOOSECOLS(Fuel_Equations.VEERG_8_1_1_1__1_FuelCombustionTransport_Arguments(), 1,2)</f>
        <v>Q_Transtq</v>
      </c>
      <c r="E14" s="164" t="str">
        <v>Amount of fuel type q combusted for transport energy purposes</v>
      </c>
      <c r="F14" s="166"/>
      <c r="G14" s="156" t="str" cm="1">
        <f t="array" ref="G14:H20">_xlfn.CHOOSECOLS(Fuel_Equations.VEERG_8_1_1_1__1_FuelCombustionTransport_Arguments(), 3,4)</f>
        <v>Varies based on fuel type: kL, m3, GJ</v>
      </c>
      <c r="H14" s="138" t="str">
        <v>Input</v>
      </c>
      <c r="I14" s="142" t="str" cm="1">
        <f t="array" aca="1" ref="I14" ca="1">HYPERLINK(Common_InputFunctions.Utility_SourceHyperlink($D$22), $D$22)</f>
        <v>Table_E_g</v>
      </c>
      <c r="K14" s="156" t="str" cm="1">
        <f t="array" ref="K14:L16">_xlfn.CHOOSECOLS(Scope3_Equations.VEERG_15_11_1_1__2_UpstreamTransportFuelEmissions_Arguments(),1,2)</f>
        <v>Q_Transq</v>
      </c>
      <c r="L14" s="156" t="str">
        <v>amount of fuel q combusted for transport energy purposes</v>
      </c>
      <c r="M14" s="156"/>
      <c r="N14" s="156" t="str" cm="1">
        <f t="array" ref="N14:O16">_xlfn.CHOOSECOLS(Scope3_Equations.VEERG_15_11_1_1__2_UpstreamTransportFuelEmissions_Arguments(),3,4)</f>
        <v>kL</v>
      </c>
      <c r="O14" s="138" t="str">
        <v>Input</v>
      </c>
      <c r="P14" s="142" t="str" cm="1">
        <f t="array" aca="1" ref="P14" ca="1">HYPERLINK(Common_InputFunctions.Utility_SourceHyperlink($D$22), $D$22)</f>
        <v>Table_E_g</v>
      </c>
      <c r="Q14" s="160"/>
    </row>
    <row r="15" spans="1:18" ht="20.100000000000001" customHeight="1" x14ac:dyDescent="0.25">
      <c r="A15" s="5" t="str">
        <f>HYPERLINK("#'Input - Electricity'!A1", "Electricity")</f>
        <v>Electricity</v>
      </c>
      <c r="D15" s="156" t="str">
        <v>EC_Transq</v>
      </c>
      <c r="E15" s="164" t="str">
        <v>Energy content factor for transport energy purposes</v>
      </c>
      <c r="F15" s="166"/>
      <c r="G15" s="156" t="str">
        <v>GJ / unit of fuel</v>
      </c>
      <c r="H15" s="139" t="str">
        <v>Constant</v>
      </c>
      <c r="I15" s="142" t="str" cm="1">
        <f t="array" aca="1" ref="I15" ca="1">HYPERLINK(Common_InputFunctions.Utility_SourceHyperlink($D$22), $D$22)</f>
        <v>Table_E_g</v>
      </c>
      <c r="K15" s="156" t="str">
        <v>EC_Transq</v>
      </c>
      <c r="L15" s="156" t="str">
        <v>energy content factor for transport energy purposes</v>
      </c>
      <c r="M15" s="156"/>
      <c r="N15" s="156" t="str">
        <v>GJ/kL or GJ/m3</v>
      </c>
      <c r="O15" s="139" t="str">
        <v>Constant</v>
      </c>
      <c r="P15" s="142" t="str" cm="1">
        <f t="array" aca="1" ref="P15" ca="1">HYPERLINK(Common_InputFunctions.Utility_SourceHyperlink($D$22), $D$22)</f>
        <v>Table_E_g</v>
      </c>
      <c r="Q15" s="160"/>
    </row>
    <row r="16" spans="1:18" ht="20.100000000000001" customHeight="1" x14ac:dyDescent="0.25">
      <c r="A16" s="5" t="str">
        <f>HYPERLINK("#'Input - Common farm inputs'!A1", "Common farm inputs")</f>
        <v>Common farm inputs</v>
      </c>
      <c r="D16" s="156" t="str">
        <v>EF_Trans1tqg</v>
      </c>
      <c r="E16" s="164" t="str">
        <v>Scope 1 emission factor for transport energy purposes for each greenhouse gas</v>
      </c>
      <c r="F16" s="166"/>
      <c r="G16" s="156" t="str">
        <v>kg CO2e / GJ</v>
      </c>
      <c r="H16" s="139" t="str">
        <v>Constant</v>
      </c>
      <c r="I16" s="142" t="str" cm="1">
        <f t="array" aca="1" ref="I16" ca="1">HYPERLINK(Common_InputFunctions.Utility_SourceHyperlink($D$22), $D$22)</f>
        <v>Table_E_g</v>
      </c>
      <c r="K16" s="156" t="str">
        <v>EF_Trans3q</v>
      </c>
      <c r="L16" s="156" t="str">
        <v>scope 3 emission factor for transport energy purposes</v>
      </c>
      <c r="M16" s="156"/>
      <c r="N16" s="156" t="str">
        <v>kg CO2e/GJ</v>
      </c>
      <c r="O16" s="139" t="str">
        <v>Constant</v>
      </c>
      <c r="P16" s="142" t="str" cm="1">
        <f t="array" aca="1" ref="P16" ca="1">HYPERLINK(Common_InputFunctions.Utility_SourceHyperlink($D$22), $D$22)</f>
        <v>Table_E_g</v>
      </c>
      <c r="Q16" s="160"/>
    </row>
    <row r="17" spans="1:17" ht="20.100000000000001" customHeight="1" x14ac:dyDescent="0.25">
      <c r="A17" s="5" t="str">
        <f>HYPERLINK("#'Input - Crop pasture farm input'!A1", "Crop pasture farm input")</f>
        <v>Crop pasture farm input</v>
      </c>
      <c r="D17" s="156" t="str">
        <v>q</v>
      </c>
      <c r="E17" s="164" t="str">
        <v>Fuel type</v>
      </c>
      <c r="F17" s="166"/>
      <c r="G17" s="156" t="str">
        <v/>
      </c>
      <c r="H17" s="139" t="str">
        <v>Constant</v>
      </c>
      <c r="I17" s="142"/>
      <c r="J17" s="160"/>
      <c r="P17" s="160"/>
      <c r="Q17" s="160"/>
    </row>
    <row r="18" spans="1:17" ht="20.100000000000001" customHeight="1" x14ac:dyDescent="0.25">
      <c r="A18" s="5" t="str">
        <f>HYPERLINK("#'Input - Freight'!A1", "Freight")</f>
        <v>Freight</v>
      </c>
      <c r="D18" s="156" t="str">
        <v>Trans</v>
      </c>
      <c r="E18" s="164" t="str">
        <v>Transport combustion</v>
      </c>
      <c r="F18" s="166"/>
      <c r="G18" s="156" t="str">
        <v/>
      </c>
      <c r="H18" s="139" t="str">
        <v>Constant</v>
      </c>
      <c r="I18" s="142"/>
      <c r="J18" s="160"/>
      <c r="L18" s="160"/>
      <c r="M18" s="160"/>
      <c r="N18" s="160"/>
      <c r="O18" s="160"/>
      <c r="P18" s="160"/>
      <c r="Q18" s="160"/>
    </row>
    <row r="19" spans="1:17" ht="20.100000000000001" customHeight="1" x14ac:dyDescent="0.25">
      <c r="A19" s="5" t="str">
        <f>HYPERLINK("#'Input - Manure sent off-site'!A1", "Manure sent off-site")</f>
        <v>Manure sent off-site</v>
      </c>
      <c r="D19" s="156" t="str">
        <v>g</v>
      </c>
      <c r="E19" s="164" t="str">
        <v>Greenhouse gas</v>
      </c>
      <c r="F19" s="166"/>
      <c r="G19" s="156" t="str">
        <v/>
      </c>
      <c r="H19" s="139" t="str">
        <v>Constant</v>
      </c>
      <c r="I19" s="142"/>
      <c r="J19" s="160"/>
      <c r="L19" s="160"/>
      <c r="M19" s="160"/>
      <c r="N19" s="160"/>
      <c r="O19" s="160"/>
      <c r="P19" s="160"/>
      <c r="Q19" s="160"/>
    </row>
    <row r="20" spans="1:17" ht="20.100000000000001" customHeight="1" x14ac:dyDescent="0.25">
      <c r="A20" s="5" t="str">
        <f>HYPERLINK("#'Input - Solid waste'!A1", "Solid waste")</f>
        <v>Solid waste</v>
      </c>
      <c r="D20" s="156" t="str">
        <v>1</v>
      </c>
      <c r="E20" s="164" t="str">
        <v>Scope 1</v>
      </c>
      <c r="F20" s="166"/>
      <c r="G20" s="156" t="str">
        <v/>
      </c>
      <c r="H20" s="139" t="str">
        <v>Constant</v>
      </c>
      <c r="I20" s="142"/>
      <c r="J20" s="160"/>
      <c r="L20" s="160"/>
      <c r="M20" s="160"/>
      <c r="N20" s="160"/>
      <c r="O20" s="160"/>
      <c r="P20" s="160"/>
      <c r="Q20" s="160"/>
    </row>
    <row r="21" spans="1:17" ht="20.100000000000001" customHeight="1" x14ac:dyDescent="0.25">
      <c r="A21" s="5" t="str">
        <f>HYPERLINK("#'Input - Data quality'!A1", "Data quality")</f>
        <v>Data quality</v>
      </c>
      <c r="O21" s="160"/>
      <c r="P21" s="160"/>
      <c r="Q21" s="160"/>
    </row>
    <row r="22" spans="1:17" ht="20.100000000000001" customHeight="1" x14ac:dyDescent="0.25">
      <c r="D22" s="145" t="s">
        <v>509</v>
      </c>
    </row>
    <row r="23" spans="1:17" ht="20.100000000000001" customHeight="1" x14ac:dyDescent="0.25">
      <c r="D23" s="146" t="s">
        <v>510</v>
      </c>
    </row>
    <row r="24" spans="1:17" ht="20.100000000000001" customHeight="1" x14ac:dyDescent="0.25">
      <c r="A24" s="6" t="s">
        <v>2</v>
      </c>
      <c r="D24" s="147" t="s">
        <v>511</v>
      </c>
      <c r="E24" s="147" t="s">
        <v>512</v>
      </c>
      <c r="F24" s="147" t="s">
        <v>513</v>
      </c>
      <c r="G24" s="147" t="s">
        <v>514</v>
      </c>
      <c r="H24" s="147" t="s">
        <v>515</v>
      </c>
      <c r="I24" s="147" t="s">
        <v>516</v>
      </c>
      <c r="J24" s="147" t="s">
        <v>517</v>
      </c>
      <c r="K24" s="147" t="s">
        <v>518</v>
      </c>
      <c r="L24" s="92" t="s">
        <v>519</v>
      </c>
      <c r="M24" s="147" t="s">
        <v>520</v>
      </c>
      <c r="N24" s="147" t="s">
        <v>521</v>
      </c>
      <c r="O24" s="147" t="s">
        <v>522</v>
      </c>
      <c r="P24" s="147" t="s">
        <v>523</v>
      </c>
      <c r="Q24" s="147" t="s">
        <v>524</v>
      </c>
    </row>
    <row r="25" spans="1:17" ht="20.100000000000001" customHeight="1" x14ac:dyDescent="0.25">
      <c r="A25" s="5" t="str">
        <f>HYPERLINK("#'5.1.1.1-2 Inorganic fert N2O'!A1", "5.1.1.1-2 Inorganic fert N2O")</f>
        <v>5.1.1.1-2 Inorganic fert N2O</v>
      </c>
      <c r="D25" s="35" t="str">
        <f>Table_FuelTypesPerUse[[#Headers],[Cars and light commercial vehicles]]</f>
        <v>Cars and light commercial vehicles</v>
      </c>
      <c r="E25" s="189" t="str">
        <f>'Constants - Fuel'!$E$10</f>
        <v>Gasoline</v>
      </c>
      <c r="F25" s="18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8" cm="1">
        <f t="array" ref="L25">Fuel_InputFunctions.Fuel_TotalConsumption(Table_Input_Fuel[Amount consumed], Table_Input_Fuel[Fuel use (select)], D25, Table_Input_Fuel[Fuel type (select)],F25)</f>
        <v>0</v>
      </c>
      <c r="M25" s="168" t="str" cm="1">
        <f t="array" ref="M25">Common_InputFunctions.Utility_LookupValueInTable(F25,Table_FuelTypes_Units[Fuel type],Table_FuelTypes_Units[Unit])</f>
        <v>kL</v>
      </c>
      <c r="N25" s="190" cm="1">
        <f t="array" ref="N25">Fuel_Equations.VEERG_8_1_1_1__1_FuelCombustionTransport($L25,$G25,$H25)</f>
        <v>0</v>
      </c>
      <c r="O25" s="190" cm="1">
        <f t="array" ref="O25">Fuel_Equations.VEERG_8_1_1_1__1_FuelCombustionTransport($L25,$G25,$I25)</f>
        <v>0</v>
      </c>
      <c r="P25" s="190" cm="1">
        <f t="array" ref="P25">Fuel_Equations.VEERG_8_1_1_1__1_FuelCombustionTransport($L25,$G25,$J25)</f>
        <v>0</v>
      </c>
      <c r="Q25" s="190" cm="1">
        <f t="array" ref="Q25">Scope3_Equations.VEERG_15_11_1_1__2_UpstreamTransportFuelEmissions(L25,G25,K25)</f>
        <v>0</v>
      </c>
    </row>
    <row r="26" spans="1:17" ht="20.100000000000001" customHeight="1" x14ac:dyDescent="0.25">
      <c r="A26" s="5" t="str">
        <f>HYPERLINK("#'5.1.1.3-4 Inorganic fert CO2'!A1", "5.1.1.3-4 Inorganic fert CO2")</f>
        <v>5.1.1.3-4 Inorganic fert CO2</v>
      </c>
      <c r="D26" s="191" t="str">
        <f t="shared" ref="D26:D32" si="0">$D$25</f>
        <v>Cars and light commercial vehicles</v>
      </c>
      <c r="E26" s="189" t="str">
        <f>'Constants - Fuel'!$E$11</f>
        <v>Diesel oil</v>
      </c>
      <c r="F26" s="18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8" cm="1">
        <f t="array" ref="L26">Fuel_InputFunctions.Fuel_TotalConsumption(Table_Input_Fuel[Amount consumed], Table_Input_Fuel[Fuel use (select)], D26, Table_Input_Fuel[Fuel type (select)],F26)</f>
        <v>10</v>
      </c>
      <c r="M26" s="168" t="str" cm="1">
        <f t="array" ref="M26">Common_InputFunctions.Utility_LookupValueInTable(F26,Table_FuelTypes_Units[Fuel type],Table_FuelTypes_Units[Unit])</f>
        <v>kL</v>
      </c>
      <c r="N26" s="190" cm="1">
        <f t="array" ref="N26">Fuel_Equations.VEERG_8_1_1_1__1_FuelCombustionTransport($L26,$G26,$H26)</f>
        <v>26.981400000000001</v>
      </c>
      <c r="O26" s="190" cm="1">
        <f t="array" ref="O26">Fuel_Equations.VEERG_8_1_1_1__1_FuelCombustionTransport($L26,$G26,$I26)</f>
        <v>3.8600000000000001E-3</v>
      </c>
      <c r="P26" s="190" cm="1">
        <f t="array" ref="P26">Fuel_Equations.VEERG_8_1_1_1__1_FuelCombustionTransport($L26,$G26,$J26)</f>
        <v>0.193</v>
      </c>
      <c r="Q26" s="190" cm="1">
        <f t="array" ref="Q26">Scope3_Equations.VEERG_15_11_1_1__2_UpstreamTransportFuelEmissions(L26,G26,K26)</f>
        <v>6.6778000000000004</v>
      </c>
    </row>
    <row r="27" spans="1:17" ht="20.100000000000001" customHeight="1" x14ac:dyDescent="0.25">
      <c r="A27" s="5" t="str">
        <f>HYPERLINK("#'5.2.1.1-2 Organic Fert N2O'!A1", "5.2.1.1-2 Organic fert N2O")</f>
        <v>5.2.1.1-2 Organic fert N2O</v>
      </c>
      <c r="D27" s="191" t="str">
        <f t="shared" si="0"/>
        <v>Cars and light commercial vehicles</v>
      </c>
      <c r="E27" s="189" t="str">
        <f>'Constants - Fuel'!$E$12</f>
        <v>Liquefied petroleum gas (LPG)</v>
      </c>
      <c r="F27" s="18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8" cm="1">
        <f t="array" ref="L27">Fuel_InputFunctions.Fuel_TotalConsumption(Table_Input_Fuel[Amount consumed], Table_Input_Fuel[Fuel use (select)], D27, Table_Input_Fuel[Fuel type (select)],F27)</f>
        <v>0</v>
      </c>
      <c r="M27" s="168" t="str" cm="1">
        <f t="array" ref="M27">Common_InputFunctions.Utility_LookupValueInTable(F27,Table_FuelTypes_Units[Fuel type],Table_FuelTypes_Units[Unit])</f>
        <v>kL</v>
      </c>
      <c r="N27" s="190" cm="1">
        <f t="array" ref="N27">Fuel_Equations.VEERG_8_1_1_1__1_FuelCombustionTransport($L27,$G27,$H27)</f>
        <v>0</v>
      </c>
      <c r="O27" s="190" cm="1">
        <f t="array" ref="O27">Fuel_Equations.VEERG_8_1_1_1__1_FuelCombustionTransport($L27,$G27,$I27)</f>
        <v>0</v>
      </c>
      <c r="P27" s="190" cm="1">
        <f t="array" ref="P27">Fuel_Equations.VEERG_8_1_1_1__1_FuelCombustionTransport($L27,$G27,$J27)</f>
        <v>0</v>
      </c>
      <c r="Q27" s="190" cm="1">
        <f t="array" ref="Q27">Scope3_Equations.VEERG_15_11_1_1__2_UpstreamTransportFuelEmissions(L27,G27,K27)</f>
        <v>0</v>
      </c>
    </row>
    <row r="28" spans="1:17" ht="20.100000000000001" customHeight="1" x14ac:dyDescent="0.25">
      <c r="A28" s="5" t="str">
        <f>HYPERLINK("#'5.3.1.1-2 Lime CO2'!A1", "5.3.1.1-2 Lime CO2")</f>
        <v>5.3.1.1-2 Lime CO2</v>
      </c>
      <c r="D28" s="191" t="str">
        <f t="shared" si="0"/>
        <v>Cars and light commercial vehicles</v>
      </c>
      <c r="E28" s="189" t="str">
        <f>'Constants - Fuel'!$E$13</f>
        <v>Fuel oil</v>
      </c>
      <c r="F28" s="18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8" cm="1">
        <f t="array" ref="L28">Fuel_InputFunctions.Fuel_TotalConsumption(Table_Input_Fuel[Amount consumed], Table_Input_Fuel[Fuel use (select)], D28, Table_Input_Fuel[Fuel type (select)],F28)</f>
        <v>0</v>
      </c>
      <c r="M28" s="168" t="str" cm="1">
        <f t="array" ref="M28">Common_InputFunctions.Utility_LookupValueInTable(F28,Table_FuelTypes_Units[Fuel type],Table_FuelTypes_Units[Unit])</f>
        <v>kL</v>
      </c>
      <c r="N28" s="190" cm="1">
        <f t="array" ref="N28">Fuel_Equations.VEERG_8_1_1_1__1_FuelCombustionTransport($L28,$G28,$H28)</f>
        <v>0</v>
      </c>
      <c r="O28" s="190" cm="1">
        <f t="array" ref="O28">Fuel_Equations.VEERG_8_1_1_1__1_FuelCombustionTransport($L28,$G28,$I28)</f>
        <v>0</v>
      </c>
      <c r="P28" s="190" cm="1">
        <f t="array" ref="P28">Fuel_Equations.VEERG_8_1_1_1__1_FuelCombustionTransport($L28,$G28,$J28)</f>
        <v>0</v>
      </c>
      <c r="Q28" s="190" cm="1">
        <f t="array" ref="Q28">Scope3_Equations.VEERG_15_11_1_1__2_UpstreamTransportFuelEmissions(L28,G28,K28)</f>
        <v>0</v>
      </c>
    </row>
    <row r="29" spans="1:17" ht="20.100000000000001" customHeight="1" x14ac:dyDescent="0.25">
      <c r="A29" s="5" t="str">
        <f>HYPERLINK("#'5.4.1.1-4 Atmos deposition'!A1", "5.4.1.1-4 Atmos. deposition")</f>
        <v>5.4.1.1-4 Atmos. deposition</v>
      </c>
      <c r="D29" s="191" t="str">
        <f t="shared" si="0"/>
        <v>Cars and light commercial vehicles</v>
      </c>
      <c r="E29" s="189" t="str">
        <f>'Constants - Fuel'!$E$14</f>
        <v>Ethanol</v>
      </c>
      <c r="F29" s="18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8" cm="1">
        <f t="array" ref="L29">Fuel_InputFunctions.Fuel_TotalConsumption(Table_Input_Fuel[Amount consumed], Table_Input_Fuel[Fuel use (select)], D29, Table_Input_Fuel[Fuel type (select)],F29)</f>
        <v>0</v>
      </c>
      <c r="M29" s="168" t="str" cm="1">
        <f t="array" ref="M29">Common_InputFunctions.Utility_LookupValueInTable(F29,Table_FuelTypes_Units[Fuel type],Table_FuelTypes_Units[Unit])</f>
        <v>kL</v>
      </c>
      <c r="N29" s="190" cm="1">
        <f t="array" ref="N29">Fuel_Equations.VEERG_8_1_1_1__1_FuelCombustionTransport($L29,$G29,$H29)</f>
        <v>0</v>
      </c>
      <c r="O29" s="190" cm="1">
        <f t="array" ref="O29">Fuel_Equations.VEERG_8_1_1_1__1_FuelCombustionTransport($L29,$G29,$I29)</f>
        <v>0</v>
      </c>
      <c r="P29" s="190" cm="1">
        <f t="array" ref="P29">Fuel_Equations.VEERG_8_1_1_1__1_FuelCombustionTransport($L29,$G29,$J29)</f>
        <v>0</v>
      </c>
      <c r="Q29" s="190" cm="1">
        <f t="array" ref="Q29">Scope3_Equations.VEERG_15_11_1_1__2_UpstreamTransportFuelEmissions(L29,G29,IF(ISNUMBER(K29),K29,0))</f>
        <v>0</v>
      </c>
    </row>
    <row r="30" spans="1:17" ht="20.100000000000001" customHeight="1" x14ac:dyDescent="0.25">
      <c r="A30" s="5" t="str">
        <f>HYPERLINK("#'5.5.1.1-2 Leaching and runoff'!A1", "5.5.1.1-2 Leaching &amp; runoff")</f>
        <v>5.5.1.1-2 Leaching &amp; runoff</v>
      </c>
      <c r="D30" s="191" t="str">
        <f t="shared" si="0"/>
        <v>Cars and light commercial vehicles</v>
      </c>
      <c r="E30" s="189" t="str">
        <f>'Constants - Fuel'!$E$15</f>
        <v>Biodiesel</v>
      </c>
      <c r="F30" s="18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8" cm="1">
        <f t="array" ref="L30">Fuel_InputFunctions.Fuel_TotalConsumption(Table_Input_Fuel[Amount consumed], Table_Input_Fuel[Fuel use (select)], D30, Table_Input_Fuel[Fuel type (select)],F30)</f>
        <v>0</v>
      </c>
      <c r="M30" s="168" t="str" cm="1">
        <f t="array" ref="M30">Common_InputFunctions.Utility_LookupValueInTable(F30,Table_FuelTypes_Units[Fuel type],Table_FuelTypes_Units[Unit])</f>
        <v>kL</v>
      </c>
      <c r="N30" s="190" cm="1">
        <f t="array" ref="N30">Fuel_Equations.VEERG_8_1_1_1__1_FuelCombustionTransport($L30,$G30,$H30)</f>
        <v>0</v>
      </c>
      <c r="O30" s="190" cm="1">
        <f t="array" ref="O30">Fuel_Equations.VEERG_8_1_1_1__1_FuelCombustionTransport($L30,$G30,$I30)</f>
        <v>0</v>
      </c>
      <c r="P30" s="190" cm="1">
        <f t="array" ref="P30">Fuel_Equations.VEERG_8_1_1_1__1_FuelCombustionTransport($L30,$G30,$J30)</f>
        <v>0</v>
      </c>
      <c r="Q30" s="190" cm="1">
        <f t="array" ref="Q30">Scope3_Equations.VEERG_15_11_1_1__2_UpstreamTransportFuelEmissions(L30,G30,IF(ISNUMBER(K30),K30,0))</f>
        <v>0</v>
      </c>
    </row>
    <row r="31" spans="1:17" ht="20.100000000000001" customHeight="1" x14ac:dyDescent="0.25">
      <c r="A31" s="5" t="str">
        <f>HYPERLINK("#'6.1.1.1-2 Crop residue N2O'!A1", "6.1.1.1-2 Crop residue N2O")</f>
        <v>6.1.1.1-2 Crop residue N2O</v>
      </c>
      <c r="D31" s="191" t="str">
        <f t="shared" si="0"/>
        <v>Cars and light commercial vehicles</v>
      </c>
      <c r="E31" s="189" t="str">
        <f>'Constants - Fuel'!$E$16</f>
        <v>Renewable diesel</v>
      </c>
      <c r="F31" s="18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8" cm="1">
        <f t="array" ref="L31">Fuel_InputFunctions.Fuel_TotalConsumption(Table_Input_Fuel[Amount consumed], Table_Input_Fuel[Fuel use (select)], D31, Table_Input_Fuel[Fuel type (select)],F31)</f>
        <v>0</v>
      </c>
      <c r="M31" s="168" t="str" cm="1">
        <f t="array" ref="M31">Common_InputFunctions.Utility_LookupValueInTable(F31,Table_FuelTypes_Units[Fuel type],Table_FuelTypes_Units[Unit])</f>
        <v>kL</v>
      </c>
      <c r="N31" s="190" cm="1">
        <f t="array" ref="N31">Fuel_Equations.VEERG_8_1_1_1__1_FuelCombustionTransport($L31,$G31,$H31)</f>
        <v>0</v>
      </c>
      <c r="O31" s="190" cm="1">
        <f t="array" ref="O31">Fuel_Equations.VEERG_8_1_1_1__1_FuelCombustionTransport($L31,$G31,$I31)</f>
        <v>0</v>
      </c>
      <c r="P31" s="190" cm="1">
        <f t="array" ref="P31">Fuel_Equations.VEERG_8_1_1_1__1_FuelCombustionTransport($L31,$G31,$J31)</f>
        <v>0</v>
      </c>
      <c r="Q31" s="190" cm="1">
        <f t="array" ref="Q31">Scope3_Equations.VEERG_15_11_1_1__2_UpstreamTransportFuelEmissions(L31,G31,IF(ISNUMBER(K31),K31,0))</f>
        <v>0</v>
      </c>
    </row>
    <row r="32" spans="1:17" ht="20.100000000000001" customHeight="1" x14ac:dyDescent="0.25">
      <c r="A32" s="5" t="str">
        <f>HYPERLINK("#'6.3.1.1-2 Leach runoff crop'!A1", "6.3.1.1-2 Leach &amp; runoff (crop)")</f>
        <v>6.3.1.1-2 Leach &amp; runoff (crop)</v>
      </c>
      <c r="D32" s="191" t="str">
        <f t="shared" si="0"/>
        <v>Cars and light commercial vehicles</v>
      </c>
      <c r="E32" s="189" t="str">
        <f>'Constants - Fuel'!$E$17</f>
        <v>Other biofuels</v>
      </c>
      <c r="F32" s="18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7" t="str" cm="1">
        <f t="array" ref="K32">IFERROR(_xlfn.XLOOKUP(1, (Table_Fuel_EFs_Transport[Fuel combusted]=$E32)*(Table_Fuel_EFs_Transport[Transport type]=$D$25), Table_Fuel_EFs_Transport[Scope 3 Emission Factor (kg CO2 - e / GJ)]), 0)</f>
        <v>NE</v>
      </c>
      <c r="L32" s="192" cm="1">
        <f t="array" ref="L32">Fuel_InputFunctions.Fuel_TotalConsumption(Table_Input_Fuel[Amount consumed], Table_Input_Fuel[Fuel use (select)], D32, Table_Input_Fuel[Fuel type (select)],F32)</f>
        <v>0</v>
      </c>
      <c r="M32" s="168" t="str" cm="1">
        <f t="array" ref="M32">Common_InputFunctions.Utility_LookupValueInTable(F32,Table_FuelTypes_Units[Fuel type],Table_FuelTypes_Units[Unit])</f>
        <v>kL</v>
      </c>
      <c r="N32" s="193" cm="1">
        <f t="array" ref="N32">Fuel_Equations.VEERG_8_1_1_1__1_FuelCombustionTransport($L32,$G32,$H32)</f>
        <v>0</v>
      </c>
      <c r="O32" s="193" cm="1">
        <f t="array" ref="O32">Fuel_Equations.VEERG_8_1_1_1__1_FuelCombustionTransport($L32,$G32,$I32)</f>
        <v>0</v>
      </c>
      <c r="P32" s="193" cm="1">
        <f t="array" ref="P32">Fuel_Equations.VEERG_8_1_1_1__1_FuelCombustionTransport($L32,$G32,$J32)</f>
        <v>0</v>
      </c>
      <c r="Q32" s="190" cm="1">
        <f t="array" ref="Q32">Scope3_Equations.VEERG_15_11_1_1__2_UpstreamTransportFuelEmissions(L32,G32,IF(ISNUMBER(K32),K32,0))</f>
        <v>0</v>
      </c>
    </row>
    <row r="33" spans="1:17" ht="20.100000000000001" customHeight="1" x14ac:dyDescent="0.25">
      <c r="A33" s="5" t="str">
        <f>HYPERLINK("#'6.4.1.1-2 Residue burning'!A1", "6.4.1.1-2 Residue burning")</f>
        <v>6.4.1.1-2 Residue burning</v>
      </c>
      <c r="D33" s="194" t="str">
        <f>Table_FuelTypesPerUse[[#Headers],[Off-road Agriculture and forestry equipment]]</f>
        <v>Off-road Agriculture and forestry equipment</v>
      </c>
      <c r="E33" s="195" t="str">
        <f>'Constants - Fuel'!$E$11</f>
        <v>Diesel oil</v>
      </c>
      <c r="F33" s="195" t="str">
        <f>'Constants - Fuel'!H131</f>
        <v>Diesel</v>
      </c>
      <c r="G33" s="196" cm="1">
        <f t="array" ref="G33">IFERROR(_xlfn.XLOOKUP(1, (Table_Fuel_EFs_Transport[Fuel combusted]=$E33)*(Table_Fuel_EFs_Transport[Transport type]=$D$33), Table_Fuel_EFs_Transport[Energy Content Factor (GJ per unit of fuel)]), 0)</f>
        <v>38.6</v>
      </c>
      <c r="H33" s="196" cm="1">
        <f t="array" ref="H33">IFERROR(_xlfn.XLOOKUP(1, (Table_Fuel_EFs_Transport[Fuel combusted]=$E33)*(Table_Fuel_EFs_Transport[Transport type]=$D$33), Table_Fuel_EFs_Transport[Scope 1 Emission Factor (kg CO2 - e / GJ) CO2]), 0)</f>
        <v>69.900000000000006</v>
      </c>
      <c r="I33" s="196" cm="1">
        <f t="array" ref="I33">IFERROR(_xlfn.XLOOKUP(1, (Table_Fuel_EFs_Transport[Fuel combusted]=$E33)*(Table_Fuel_EFs_Transport[Transport type]=$D$33), Table_Fuel_EFs_Transport[Scope 1 Emission Factor (kg CO2 - e / GJ) CH4]), 0)</f>
        <v>0.3</v>
      </c>
      <c r="J33" s="196" cm="1">
        <f t="array" ref="J33">IFERROR(_xlfn.XLOOKUP(1, (Table_Fuel_EFs_Transport[Fuel combusted]=$E33)*(Table_Fuel_EFs_Transport[Transport type]=$D$33), Table_Fuel_EFs_Transport[Scope 1 Emission Factor (kg CO2 - e / GJ) N2O]), 0)</f>
        <v>0.5</v>
      </c>
      <c r="K33" s="197" cm="1">
        <f t="array" ref="K33">IFERROR(_xlfn.XLOOKUP(1, (Table_Fuel_EFs_Transport[Fuel combusted]=$E33)*(Table_Fuel_EFs_Transport[Transport type]=$D$25), Table_Fuel_EFs_Transport[Scope 3 Emission Factor (kg CO2 - e / GJ)]), 0)</f>
        <v>17.3</v>
      </c>
      <c r="L33" s="198" cm="1">
        <f t="array" ref="L33">Fuel_InputFunctions.Fuel_TotalConsumption(Table_Input_Fuel[Amount consumed], Table_Input_Fuel[Fuel use (select)], D33, Table_Input_Fuel[Fuel type (select)],F33)</f>
        <v>10</v>
      </c>
      <c r="M33" s="199" t="str" cm="1">
        <f t="array" ref="M33">Common_InputFunctions.Utility_LookupValueInTable(F33,Table_FuelTypes_Units[Fuel type],Table_FuelTypes_Units[Unit])</f>
        <v>kL</v>
      </c>
      <c r="N33" s="200" cm="1">
        <f t="array" ref="N33">Fuel_Equations.VEERG_8_1_1_1__1_FuelCombustionTransport($L33,$G33,$H33)</f>
        <v>26.981400000000001</v>
      </c>
      <c r="O33" s="200" cm="1">
        <f t="array" ref="O33">Fuel_Equations.VEERG_8_1_1_1__1_FuelCombustionTransport($L33,$G33,$I33)</f>
        <v>0.1158</v>
      </c>
      <c r="P33" s="200" cm="1">
        <f t="array" ref="P33">Fuel_Equations.VEERG_8_1_1_1__1_FuelCombustionTransport($L33,$G33,$J33)</f>
        <v>0.193</v>
      </c>
      <c r="Q33" s="201" cm="1">
        <f t="array" ref="Q33">Scope3_Equations.VEERG_15_11_1_1__2_UpstreamTransportFuelEmissions(L33,G33,K33)</f>
        <v>6.6778000000000004</v>
      </c>
    </row>
    <row r="34" spans="1:17" ht="20.100000000000001" customHeight="1" x14ac:dyDescent="0.25">
      <c r="A34" s="143" t="str">
        <f>HYPERLINK("#'8.1.1.1-2 Transport fuel'!A1", "8.1.1.1-2 Transport fuel")</f>
        <v>8.1.1.1-2 Transport fuel</v>
      </c>
      <c r="D34" s="194" t="str">
        <f>Table_FuelTypesPerUse[[#Headers],[Aviation]]</f>
        <v>Aviation</v>
      </c>
      <c r="E34" s="195" t="str">
        <f>'Constants - Fuel'!$E$28</f>
        <v>Gasoline for use as fuel in an aircraft</v>
      </c>
      <c r="F34" s="195" t="str">
        <f>'Constants - Fuel'!$F$131</f>
        <v>Avgas</v>
      </c>
      <c r="G34" s="202" cm="1">
        <f t="array" ref="G34">IFERROR(_xlfn.XLOOKUP(1, (Table_Fuel_EFs_Transport[Fuel combusted]=$E34)*(Table_Fuel_EFs_Transport[Transport type]=$D$34), Table_Fuel_EFs_Transport[Energy Content Factor (GJ per unit of fuel)]), 0)</f>
        <v>33.1</v>
      </c>
      <c r="H34" s="202" cm="1">
        <f t="array" ref="H34">IFERROR(_xlfn.XLOOKUP(1, (Table_Fuel_EFs_Transport[Fuel combusted]=$E34)*(Table_Fuel_EFs_Transport[Transport type]=$D$34), Table_Fuel_EFs_Transport[Scope 1 Emission Factor (kg CO2 - e / GJ) CO2]), 0)</f>
        <v>67</v>
      </c>
      <c r="I34" s="202" cm="1">
        <f t="array" ref="I34">IFERROR(_xlfn.XLOOKUP(1, (Table_Fuel_EFs_Transport[Fuel combusted]=$E34)*(Table_Fuel_EFs_Transport[Transport type]=$D$34), Table_Fuel_EFs_Transport[Scope 1 Emission Factor (kg CO2 - e / GJ) CH4]), 0)</f>
        <v>0.06</v>
      </c>
      <c r="J34" s="202" cm="1">
        <f t="array" ref="J34">IFERROR(_xlfn.XLOOKUP(1, (Table_Fuel_EFs_Transport[Fuel combusted]=$E34)*(Table_Fuel_EFs_Transport[Transport type]=$D$34), Table_Fuel_EFs_Transport[Scope 1 Emission Factor (kg CO2 - e / GJ) N2O]), 0)</f>
        <v>0.6</v>
      </c>
      <c r="K34" s="202" cm="1">
        <f t="array" ref="K34">IFERROR(_xlfn.XLOOKUP(1, (Table_Fuel_EFs_Transport[Fuel combusted]=$E34)*(Table_Fuel_EFs_Transport[Transport type]=$D$25), Table_Fuel_EFs_Transport[Scope 3 Emission Factor (kg CO2 - e / GJ)]), 0)</f>
        <v>0</v>
      </c>
      <c r="L34" s="199" cm="1">
        <f t="array" ref="L34">Fuel_InputFunctions.Fuel_TotalConsumption(Table_Input_Fuel[Amount consumed], Table_Input_Fuel[Fuel use (select)], D34, Table_Input_Fuel[Fuel type (select)],F34)</f>
        <v>0</v>
      </c>
      <c r="M34" s="199" t="str" cm="1">
        <f t="array" ref="M34">Common_InputFunctions.Utility_LookupValueInTable(F34,Table_FuelTypes_Units[Fuel type],Table_FuelTypes_Units[Unit])</f>
        <v>kL</v>
      </c>
      <c r="N34" s="200" cm="1">
        <f t="array" ref="N34">Fuel_Equations.VEERG_8_1_1_1__1_FuelCombustionTransport($L34,$G34,$H34)</f>
        <v>0</v>
      </c>
      <c r="O34" s="200" cm="1">
        <f t="array" ref="O34">Fuel_Equations.VEERG_8_1_1_1__1_FuelCombustionTransport($L34,$G34,$I34)</f>
        <v>0</v>
      </c>
      <c r="P34" s="200" cm="1">
        <f t="array" ref="P34">Fuel_Equations.VEERG_8_1_1_1__1_FuelCombustionTransport($L34,$G34,$J34)</f>
        <v>0</v>
      </c>
      <c r="Q34" s="200" cm="1">
        <f t="array" ref="Q34">Scope3_Equations.VEERG_15_11_1_1__2_UpstreamTransportFuelEmissions(L34,G34,K34)</f>
        <v>0</v>
      </c>
    </row>
    <row r="35" spans="1:17" ht="20.100000000000001" customHeight="1" x14ac:dyDescent="0.25">
      <c r="A35" s="5" t="str">
        <f>HYPERLINK("#'8.2.1.1-2 Stationary fuel'!A1", "8.2.1.1-2 Stationary fuel")</f>
        <v>8.2.1.1-2 Stationary fuel</v>
      </c>
      <c r="D35" s="191" t="str">
        <f>$D$34</f>
        <v>Aviation</v>
      </c>
      <c r="E35" s="189" t="str">
        <f>'Constants - Fuel'!$E$29</f>
        <v>Kerosene for use as fuel in an aircraft</v>
      </c>
      <c r="F35" s="18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8" cm="1">
        <f t="array" ref="L35">Fuel_InputFunctions.Fuel_TotalConsumption(Table_Input_Fuel[Amount consumed], Table_Input_Fuel[Fuel use (select)], D35, Table_Input_Fuel[Fuel type (select)],F35)</f>
        <v>0</v>
      </c>
      <c r="M35" s="168" t="str" cm="1">
        <f t="array" ref="M35">Common_InputFunctions.Utility_LookupValueInTable(F35,Table_FuelTypes_Units[Fuel type],Table_FuelTypes_Units[Unit])</f>
        <v>kL</v>
      </c>
      <c r="N35" s="190" cm="1">
        <f t="array" ref="N35">Fuel_Equations.VEERG_8_1_1_1__1_FuelCombustionTransport($L35,$G35,$H35)</f>
        <v>0</v>
      </c>
      <c r="O35" s="190" cm="1">
        <f t="array" ref="O35">Fuel_Equations.VEERG_8_1_1_1__1_FuelCombustionTransport($L35,$G35,$I35)</f>
        <v>0</v>
      </c>
      <c r="P35" s="190" cm="1">
        <f t="array" ref="P35">Fuel_Equations.VEERG_8_1_1_1__1_FuelCombustionTransport($L35,$G35,$J35)</f>
        <v>0</v>
      </c>
      <c r="Q35" s="190" cm="1">
        <f t="array" ref="Q35">Scope3_Equations.VEERG_15_11_1_1__2_UpstreamTransportFuelEmissions(L35,G35,K35)</f>
        <v>0</v>
      </c>
    </row>
    <row r="36" spans="1:17" ht="20.100000000000001" customHeight="1" x14ac:dyDescent="0.25">
      <c r="A36" s="5" t="str">
        <f>HYPERLINK("#'14.1.1-2 Purchased electricity'!A1", "14.1.1-2 Purchased electricity")</f>
        <v>14.1.1-2 Purchased electricity</v>
      </c>
      <c r="D36" s="191" t="str">
        <f>$D$34</f>
        <v>Aviation</v>
      </c>
      <c r="E36" s="189" t="str">
        <f>'Constants - Fuel'!$E$30</f>
        <v>Renewable aviation kerosene</v>
      </c>
      <c r="F36" s="189" t="str">
        <f>'Constants - Fuel'!$F$133</f>
        <v>Renewable aviation kerosene</v>
      </c>
      <c r="G36" s="187" cm="1">
        <f t="array" ref="G36">IFERROR(_xlfn.XLOOKUP(1, (Table_Fuel_EFs_Transport[Fuel combusted]=$E36)*(Table_Fuel_EFs_Transport[Transport type]=$D$34), Table_Fuel_EFs_Transport[Energy Content Factor (GJ per unit of fuel)]), 0)</f>
        <v>36.799999999999997</v>
      </c>
      <c r="H36" s="187" cm="1">
        <f t="array" ref="H36">IFERROR(_xlfn.XLOOKUP(1, (Table_Fuel_EFs_Transport[Fuel combusted]=$E36)*(Table_Fuel_EFs_Transport[Transport type]=$D$34), Table_Fuel_EFs_Transport[Scope 1 Emission Factor (kg CO2 - e / GJ) CO2]), 0)</f>
        <v>0</v>
      </c>
      <c r="I36" s="187" cm="1">
        <f t="array" ref="I36">IFERROR(_xlfn.XLOOKUP(1, (Table_Fuel_EFs_Transport[Fuel combusted]=$E36)*(Table_Fuel_EFs_Transport[Transport type]=$D$34), Table_Fuel_EFs_Transport[Scope 1 Emission Factor (kg CO2 - e / GJ) CH4]), 0)</f>
        <v>0.01</v>
      </c>
      <c r="J36" s="187" cm="1">
        <f t="array" ref="J36">IFERROR(_xlfn.XLOOKUP(1, (Table_Fuel_EFs_Transport[Fuel combusted]=$E36)*(Table_Fuel_EFs_Transport[Transport type]=$D$34), Table_Fuel_EFs_Transport[Scope 1 Emission Factor (kg CO2 - e / GJ) N2O]), 0)</f>
        <v>0.6</v>
      </c>
      <c r="K36" s="187" cm="1">
        <f t="array" ref="K36">IFERROR(_xlfn.XLOOKUP(1, (Table_Fuel_EFs_Transport[Fuel combusted]=$E36)*(Table_Fuel_EFs_Transport[Transport type]=$D$25), Table_Fuel_EFs_Transport[Scope 3 Emission Factor (kg CO2 - e / GJ)]), 0)</f>
        <v>0</v>
      </c>
      <c r="L36" s="192" cm="1">
        <f t="array" ref="L36">Fuel_InputFunctions.Fuel_TotalConsumption(Table_Input_Fuel[Amount consumed], Table_Input_Fuel[Fuel use (select)], D36, Table_Input_Fuel[Fuel type (select)],F36)</f>
        <v>0</v>
      </c>
      <c r="M36" s="168" t="str" cm="1">
        <f t="array" ref="M36">Common_InputFunctions.Utility_LookupValueInTable(F36,Table_FuelTypes_Units[Fuel type],Table_FuelTypes_Units[Unit])</f>
        <v>kL</v>
      </c>
      <c r="N36" s="190" cm="1">
        <f t="array" ref="N36">Fuel_Equations.VEERG_8_1_1_1__1_FuelCombustionTransport($L36,$G36,$H36)</f>
        <v>0</v>
      </c>
      <c r="O36" s="190" cm="1">
        <f t="array" ref="O36">Fuel_Equations.VEERG_8_1_1_1__1_FuelCombustionTransport($L36,$G36,$I36)</f>
        <v>0</v>
      </c>
      <c r="P36" s="190" cm="1">
        <f t="array" ref="P36">Fuel_Equations.VEERG_8_1_1_1__1_FuelCombustionTransport($L36,$G36,$J36)</f>
        <v>0</v>
      </c>
      <c r="Q36" s="193" cm="1">
        <f t="array" ref="Q36">Scope3_Equations.VEERG_15_11_1_1__2_UpstreamTransportFuelEmissions(L36,G36,K36)</f>
        <v>0</v>
      </c>
    </row>
    <row r="37" spans="1:17" ht="20.100000000000001" customHeight="1" x14ac:dyDescent="0.25">
      <c r="A37" s="5" t="str">
        <f>HYPERLINK("#'15 Scope 3'!A1", "15 Scope 3")</f>
        <v>15 Scope 3</v>
      </c>
      <c r="D37" s="194" t="str">
        <f>Table_FuelTypesPerUse[[#Headers],[Vessels]]</f>
        <v>Vessels</v>
      </c>
      <c r="E37" s="195" t="str">
        <f>'Constants - Fuel'!$E$10</f>
        <v>Gasoline</v>
      </c>
      <c r="F37" s="195" t="str">
        <f>'Constants - Fuel'!$I$131</f>
        <v>Petrol</v>
      </c>
      <c r="G37" s="202" cm="1">
        <f t="array" ref="G37">IFERROR(_xlfn.XLOOKUP(1, (Table_Fuel_EFs_Transport[Fuel combusted]=$E37)*(Table_Fuel_EFs_Transport[Transport type]=$D$37), Table_Fuel_EFs_Transport[Energy Content Factor (GJ per unit of fuel)]), 0)</f>
        <v>34.200000000000003</v>
      </c>
      <c r="H37" s="202" cm="1">
        <f t="array" ref="H37">IFERROR(_xlfn.XLOOKUP(1, (Table_Fuel_EFs_Transport[Fuel combusted]=$E37)*(Table_Fuel_EFs_Transport[Transport type]=$D$37), Table_Fuel_EFs_Transport[Scope 1 Emission Factor (kg CO2 - e / GJ) CO2]), 0)</f>
        <v>67.400000000000006</v>
      </c>
      <c r="I37" s="202" cm="1">
        <f t="array" ref="I37">IFERROR(_xlfn.XLOOKUP(1, (Table_Fuel_EFs_Transport[Fuel combusted]=$E37)*(Table_Fuel_EFs_Transport[Transport type]=$D$37), Table_Fuel_EFs_Transport[Scope 1 Emission Factor (kg CO2 - e / GJ) CH4]), 0)</f>
        <v>10.1</v>
      </c>
      <c r="J37" s="202" cm="1">
        <f t="array" ref="J37">IFERROR(_xlfn.XLOOKUP(1, (Table_Fuel_EFs_Transport[Fuel combusted]=$E37)*(Table_Fuel_EFs_Transport[Transport type]=$D$37), Table_Fuel_EFs_Transport[Scope 1 Emission Factor (kg CO2 - e / GJ) N2O]), 0)</f>
        <v>0.3</v>
      </c>
      <c r="K37" s="202" cm="1">
        <f t="array" ref="K37">IFERROR(_xlfn.XLOOKUP(1, (Table_Fuel_EFs_Transport[Fuel combusted]=$E37)*(Table_Fuel_EFs_Transport[Transport type]=$D$25), Table_Fuel_EFs_Transport[Scope 3 Emission Factor (kg CO2 - e / GJ)]), 0)</f>
        <v>17.2</v>
      </c>
      <c r="L37" s="199" cm="1">
        <f t="array" ref="L37">Fuel_InputFunctions.Fuel_TotalConsumption(Table_Input_Fuel[Amount consumed], Table_Input_Fuel[Fuel use (select)], D37, Table_Input_Fuel[Fuel type (select)],F37)</f>
        <v>0</v>
      </c>
      <c r="M37" s="203" t="str" cm="1">
        <f t="array" ref="M37">Common_InputFunctions.Utility_LookupValueInTable(F37,Table_FuelTypes_Units[Fuel type],Table_FuelTypes_Units[Unit])</f>
        <v>kL</v>
      </c>
      <c r="N37" s="200" cm="1">
        <f t="array" ref="N37">Fuel_Equations.VEERG_8_1_1_1__1_FuelCombustionTransport($L37,$G37,$H37)</f>
        <v>0</v>
      </c>
      <c r="O37" s="200" cm="1">
        <f t="array" ref="O37">Fuel_Equations.VEERG_8_1_1_1__1_FuelCombustionTransport($L37,$G37,$I37)</f>
        <v>0</v>
      </c>
      <c r="P37" s="200" cm="1">
        <f t="array" ref="P37">Fuel_Equations.VEERG_8_1_1_1__1_FuelCombustionTransport($L37,$G37,$J37)</f>
        <v>0</v>
      </c>
      <c r="Q37" s="200" cm="1">
        <f t="array" ref="Q37">Scope3_Equations.VEERG_15_11_1_1__2_UpstreamTransportFuelEmissions(L37,G37,K37)</f>
        <v>0</v>
      </c>
    </row>
    <row r="38" spans="1:17" ht="20.100000000000001" customHeight="1" x14ac:dyDescent="0.25">
      <c r="A38" s="5" t="str">
        <f>HYPERLINK("#'Calcs - Manure sent off-site'!A1", "Calcs - Manure sent off-site")</f>
        <v>Calcs - Manure sent off-site</v>
      </c>
      <c r="D38" s="191" t="str">
        <f>$D$37</f>
        <v>Vessels</v>
      </c>
      <c r="E38" s="189" t="str">
        <f>'Constants - Fuel'!$E$11</f>
        <v>Diesel oil</v>
      </c>
      <c r="F38" s="18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8" cm="1">
        <f t="array" ref="L38">Fuel_InputFunctions.Fuel_TotalConsumption(Table_Input_Fuel[Amount consumed], Table_Input_Fuel[Fuel use (select)], D38, Table_Input_Fuel[Fuel type (select)],F38)</f>
        <v>0</v>
      </c>
      <c r="M38" s="168" t="str" cm="1">
        <f t="array" ref="M38">Common_InputFunctions.Utility_LookupValueInTable(F38,Table_FuelTypes_Units[Fuel type],Table_FuelTypes_Units[Unit])</f>
        <v>kL</v>
      </c>
      <c r="N38" s="190" cm="1">
        <f t="array" ref="N38">Fuel_Equations.VEERG_8_1_1_1__1_FuelCombustionTransport($L38,$G38,$H38)</f>
        <v>0</v>
      </c>
      <c r="O38" s="190" cm="1">
        <f t="array" ref="O38">Fuel_Equations.VEERG_8_1_1_1__1_FuelCombustionTransport($L38,$G38,$I38)</f>
        <v>0</v>
      </c>
      <c r="P38" s="190" cm="1">
        <f t="array" ref="P38">Fuel_Equations.VEERG_8_1_1_1__1_FuelCombustionTransport($L38,$G38,$J38)</f>
        <v>0</v>
      </c>
      <c r="Q38" s="190" cm="1">
        <f t="array" ref="Q38">Scope3_Equations.VEERG_15_11_1_1__2_UpstreamTransportFuelEmissions(L38,G38,K38)</f>
        <v>0</v>
      </c>
    </row>
    <row r="39" spans="1:17" ht="20.100000000000001" customHeight="1" x14ac:dyDescent="0.25">
      <c r="A39" s="5" t="str">
        <f>HYPERLINK("#'10.1.1-2 Solid waste treatment'!A1", "10.1.1-2 Solid waste treatment")</f>
        <v>10.1.1-2 Solid waste treatment</v>
      </c>
      <c r="D39" s="191" t="str">
        <f>$D$37</f>
        <v>Vessels</v>
      </c>
      <c r="E39" s="189" t="str">
        <f>'Constants - Fuel'!E33</f>
        <v>Fuel Oil</v>
      </c>
      <c r="F39" s="18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8" cm="1">
        <f t="array" ref="L39">Fuel_InputFunctions.Fuel_TotalConsumption(Table_Input_Fuel[Amount consumed], Table_Input_Fuel[Fuel use (select)], D39, Table_Input_Fuel[Fuel type (select)],F39)</f>
        <v>10</v>
      </c>
      <c r="M39" s="168" t="str" cm="1">
        <f t="array" ref="M39">Common_InputFunctions.Utility_LookupValueInTable(F39,Table_FuelTypes_Units[Fuel type],Table_FuelTypes_Units[Unit])</f>
        <v>kL</v>
      </c>
      <c r="N39" s="190" cm="1">
        <f t="array" ref="N39">Fuel_Equations.VEERG_8_1_1_1__1_FuelCombustionTransport($L39,$G39,$H39)</f>
        <v>29.219199999999997</v>
      </c>
      <c r="O39" s="190" cm="1">
        <f t="array" ref="O39">Fuel_Equations.VEERG_8_1_1_1__1_FuelCombustionTransport($L39,$G39,$I39)</f>
        <v>7.9400000000000012E-2</v>
      </c>
      <c r="P39" s="190" cm="1">
        <f t="array" ref="P39">Fuel_Equations.VEERG_8_1_1_1__1_FuelCombustionTransport($L39,$G39,$J39)</f>
        <v>0.19850000000000001</v>
      </c>
      <c r="Q39" s="190" cm="1">
        <f t="array" ref="Q39">Scope3_Equations.VEERG_15_11_1_1__2_UpstreamTransportFuelEmissions(L39,G39,K39)</f>
        <v>7.1459999999999999</v>
      </c>
    </row>
    <row r="40" spans="1:17" ht="20.100000000000001" customHeight="1" x14ac:dyDescent="0.25">
      <c r="H40" s="160"/>
      <c r="I40" s="160"/>
      <c r="J40" s="160"/>
      <c r="L40" s="160"/>
      <c r="M40" s="160"/>
      <c r="N40" s="160"/>
      <c r="O40" s="160"/>
      <c r="P40" s="160"/>
      <c r="Q40" s="160"/>
    </row>
    <row r="41" spans="1:17" ht="20.100000000000001" customHeight="1" x14ac:dyDescent="0.25">
      <c r="H41" s="160"/>
      <c r="I41" s="160"/>
      <c r="J41" s="160"/>
      <c r="L41" s="160"/>
      <c r="M41" s="160"/>
      <c r="N41" s="160"/>
      <c r="O41" s="160"/>
      <c r="P41" s="160"/>
      <c r="Q41" s="160"/>
    </row>
    <row r="42" spans="1:17" ht="20.100000000000001" customHeight="1" x14ac:dyDescent="0.25">
      <c r="A42" s="94" t="s">
        <v>1</v>
      </c>
      <c r="D42" s="204" t="str">
        <f>"Total scope 1 - " &amp; D25</f>
        <v>Total scope 1 - Cars and light commercial vehicles</v>
      </c>
      <c r="E42" s="205"/>
      <c r="F42" s="206"/>
    </row>
    <row r="43" spans="1:17" ht="20.100000000000001" customHeight="1" x14ac:dyDescent="0.25">
      <c r="A43" s="5" t="str">
        <f>HYPERLINK("#'Constants - Ag Residue'!A1", "Constants - Ag residue")</f>
        <v>Constants - Ag residue</v>
      </c>
      <c r="D43" s="35" t="s">
        <v>525</v>
      </c>
      <c r="E43" s="207">
        <f>SUM(N25:N32)+N("Partial sum")</f>
        <v>26.981400000000001</v>
      </c>
      <c r="F43" s="26" t="str">
        <f>$E$12</f>
        <v>t CO2-e</v>
      </c>
    </row>
    <row r="44" spans="1:17" ht="20.100000000000001" customHeight="1" x14ac:dyDescent="0.25">
      <c r="A44" s="5" t="str">
        <f>HYPERLINK("#'Constants - Common Livestock'!A1", "Constants - Common Livestock")</f>
        <v>Constants - Common Livestock</v>
      </c>
      <c r="D44" s="35" t="s">
        <v>526</v>
      </c>
      <c r="E44" s="207">
        <f>SUM(O25:O32)+N("Partial sum")</f>
        <v>3.8600000000000001E-3</v>
      </c>
      <c r="F44" s="26" t="str">
        <f t="shared" ref="F44:F46" si="1">$E$12</f>
        <v>t CO2-e</v>
      </c>
    </row>
    <row r="45" spans="1:17" ht="20.100000000000001" customHeight="1" x14ac:dyDescent="0.25">
      <c r="A45" s="5" t="str">
        <f>HYPERLINK("#'Constants - Electricity'!A1", "Constants - Electricity")</f>
        <v>Constants - Electricity</v>
      </c>
      <c r="D45" s="35" t="s">
        <v>527</v>
      </c>
      <c r="E45" s="207">
        <f>SUM(P25:P32)+N("Partial sum")</f>
        <v>0.193</v>
      </c>
      <c r="F45" s="26" t="str">
        <f t="shared" si="1"/>
        <v>t CO2-e</v>
      </c>
    </row>
    <row r="46" spans="1:17" ht="20.100000000000001" customHeight="1" x14ac:dyDescent="0.25">
      <c r="A46" s="5" t="str">
        <f>HYPERLINK("#'Constants - Fertiliser'!A1", "Constants - Fertiliser")</f>
        <v>Constants - Fertiliser</v>
      </c>
      <c r="D46" s="35" t="s">
        <v>528</v>
      </c>
      <c r="E46" s="207">
        <f>SUM(Q25:Q32)+N("Partial sum")</f>
        <v>6.6778000000000004</v>
      </c>
      <c r="F46" s="26" t="str">
        <f t="shared" si="1"/>
        <v>t CO2-e</v>
      </c>
    </row>
    <row r="47" spans="1:17" ht="20.100000000000001" customHeight="1" x14ac:dyDescent="0.25">
      <c r="A47" s="5" t="str">
        <f>HYPERLINK("#'Constants - Fuel'!A1", "Constants - Fuel")</f>
        <v>Constants - Fuel</v>
      </c>
      <c r="D47" s="160"/>
      <c r="E47" s="160"/>
      <c r="F47" s="160"/>
    </row>
    <row r="48" spans="1:17" ht="20.100000000000001" customHeight="1" x14ac:dyDescent="0.25">
      <c r="A48" s="5" t="str">
        <f>HYPERLINK("#'Constants - Scope 3'!A1", "Constants - Scope 3")</f>
        <v>Constants - Scope 3</v>
      </c>
      <c r="D48" s="204" t="str">
        <f>"Total scope 1 - " &amp; D33</f>
        <v>Total scope 1 - Off-road Agriculture and forestry equipment</v>
      </c>
      <c r="E48" s="208"/>
      <c r="F48" s="206"/>
      <c r="H48" s="160"/>
      <c r="I48" s="160"/>
      <c r="J48" s="160"/>
      <c r="L48" s="160"/>
      <c r="M48" s="160"/>
      <c r="N48" s="160"/>
      <c r="O48" s="160"/>
      <c r="P48" s="160"/>
      <c r="Q48" s="160"/>
    </row>
    <row r="49" spans="1:17" ht="20.100000000000001" customHeight="1" x14ac:dyDescent="0.25">
      <c r="A49" s="5" t="str">
        <f>HYPERLINK("#'Constants - Common'!A1", "Constants - Common")</f>
        <v>Constants - Common</v>
      </c>
      <c r="D49" s="35" t="s">
        <v>525</v>
      </c>
      <c r="E49" s="207">
        <f>SUM(N33:N33)+N("Partial sum")</f>
        <v>26.981400000000001</v>
      </c>
      <c r="F49" s="26" t="str">
        <f t="shared" ref="F49:F52" si="2">$E$12</f>
        <v>t CO2-e</v>
      </c>
      <c r="H49" s="160"/>
      <c r="I49" s="160"/>
      <c r="J49" s="160"/>
      <c r="L49" s="160"/>
      <c r="M49" s="160"/>
      <c r="N49" s="160"/>
      <c r="O49" s="160"/>
      <c r="P49" s="160"/>
      <c r="Q49" s="160"/>
    </row>
    <row r="50" spans="1:17" ht="20.100000000000001" customHeight="1" x14ac:dyDescent="0.25">
      <c r="A50" s="5" t="str">
        <f>HYPERLINK("#'Constants - Solid Waste'!A1", "Constants - Solid Waste")</f>
        <v>Constants - Solid Waste</v>
      </c>
      <c r="D50" s="35" t="s">
        <v>526</v>
      </c>
      <c r="E50" s="207">
        <f>SUM(O33:O33)+N("Partial sum")</f>
        <v>0.1158</v>
      </c>
      <c r="F50" s="26" t="str">
        <f t="shared" si="2"/>
        <v>t CO2-e</v>
      </c>
      <c r="H50" s="160"/>
      <c r="I50" s="160"/>
      <c r="J50" s="160"/>
      <c r="L50" s="160"/>
      <c r="M50" s="160"/>
      <c r="N50" s="160"/>
      <c r="O50" s="160"/>
      <c r="P50" s="160"/>
      <c r="Q50" s="160"/>
    </row>
    <row r="51" spans="1:17" ht="20.100000000000001" customHeight="1" x14ac:dyDescent="0.25">
      <c r="D51" s="35" t="s">
        <v>527</v>
      </c>
      <c r="E51" s="207">
        <f>SUM(P33:P33)+N("Partial sum")</f>
        <v>0.193</v>
      </c>
      <c r="F51" s="26" t="str">
        <f t="shared" si="2"/>
        <v>t CO2-e</v>
      </c>
      <c r="H51" s="160"/>
      <c r="I51" s="160"/>
      <c r="J51" s="160"/>
      <c r="L51" s="160"/>
      <c r="M51" s="160"/>
      <c r="N51" s="160"/>
      <c r="O51" s="160"/>
      <c r="P51" s="160"/>
      <c r="Q51" s="160"/>
    </row>
    <row r="52" spans="1:17" ht="20.100000000000001" customHeight="1" x14ac:dyDescent="0.25">
      <c r="D52" s="35" t="s">
        <v>528</v>
      </c>
      <c r="E52" s="207">
        <f>SUM(Q33)+N("Partial sum")</f>
        <v>6.6778000000000004</v>
      </c>
      <c r="F52" s="26" t="str">
        <f t="shared" si="2"/>
        <v>t CO2-e</v>
      </c>
      <c r="H52" s="160"/>
      <c r="I52" s="160"/>
      <c r="J52" s="160"/>
      <c r="L52" s="160"/>
      <c r="M52" s="160"/>
      <c r="N52" s="160"/>
      <c r="O52" s="160"/>
      <c r="P52" s="160"/>
      <c r="Q52" s="160"/>
    </row>
    <row r="53" spans="1:17" ht="20.100000000000001" customHeight="1" x14ac:dyDescent="0.25">
      <c r="D53" s="160"/>
      <c r="E53" s="209"/>
      <c r="F53" s="160"/>
      <c r="G53" s="160"/>
      <c r="H53" s="160"/>
      <c r="I53" s="160"/>
      <c r="J53" s="160"/>
      <c r="L53" s="160"/>
      <c r="M53" s="160"/>
      <c r="N53" s="160"/>
      <c r="O53" s="160"/>
      <c r="P53" s="160"/>
      <c r="Q53" s="160"/>
    </row>
    <row r="54" spans="1:17" ht="20.100000000000001" customHeight="1" x14ac:dyDescent="0.25">
      <c r="D54" s="204" t="str">
        <f>"Total scope 1 - " &amp; D34</f>
        <v>Total scope 1 - Aviation</v>
      </c>
      <c r="E54" s="208"/>
      <c r="F54" s="206"/>
      <c r="G54" s="160"/>
      <c r="H54" s="160"/>
      <c r="I54" s="160"/>
      <c r="J54" s="160"/>
      <c r="L54" s="160"/>
      <c r="M54" s="160"/>
      <c r="N54" s="160"/>
      <c r="O54" s="160"/>
      <c r="P54" s="160"/>
      <c r="Q54" s="160"/>
    </row>
    <row r="55" spans="1:17" ht="20.100000000000001" customHeight="1" x14ac:dyDescent="0.25">
      <c r="D55" s="35" t="s">
        <v>525</v>
      </c>
      <c r="E55" s="207">
        <f>SUM(N34:N36)+N("Partial sum")</f>
        <v>0</v>
      </c>
      <c r="F55" s="26" t="str">
        <f t="shared" ref="F55:F58" si="3">$E$12</f>
        <v>t CO2-e</v>
      </c>
      <c r="G55" s="160"/>
      <c r="H55" s="160"/>
      <c r="I55" s="160"/>
      <c r="J55" s="160"/>
      <c r="L55" s="160"/>
      <c r="M55" s="160"/>
      <c r="N55" s="160"/>
      <c r="O55" s="160"/>
      <c r="P55" s="160"/>
      <c r="Q55" s="160"/>
    </row>
    <row r="56" spans="1:17" ht="20.100000000000001" customHeight="1" x14ac:dyDescent="0.25">
      <c r="D56" s="35" t="s">
        <v>526</v>
      </c>
      <c r="E56" s="207">
        <f>SUM(O34:O36)+N("Partial sum")</f>
        <v>0</v>
      </c>
      <c r="F56" s="26" t="str">
        <f t="shared" si="3"/>
        <v>t CO2-e</v>
      </c>
      <c r="G56" s="160"/>
      <c r="H56" s="160"/>
      <c r="I56" s="160"/>
      <c r="J56" s="160"/>
      <c r="L56" s="160"/>
      <c r="M56" s="160"/>
      <c r="N56" s="160"/>
      <c r="O56" s="160"/>
      <c r="P56" s="160"/>
      <c r="Q56" s="160"/>
    </row>
    <row r="57" spans="1:17" ht="20.100000000000001" customHeight="1" x14ac:dyDescent="0.25">
      <c r="D57" s="35" t="s">
        <v>527</v>
      </c>
      <c r="E57" s="207">
        <f>SUM(P34:P36)+N("Partial sum")</f>
        <v>0</v>
      </c>
      <c r="F57" s="26" t="str">
        <f t="shared" si="3"/>
        <v>t CO2-e</v>
      </c>
      <c r="G57" s="160"/>
      <c r="H57" s="160"/>
      <c r="I57" s="160"/>
      <c r="J57" s="160"/>
      <c r="L57" s="160"/>
      <c r="M57" s="160"/>
      <c r="N57" s="160"/>
      <c r="O57" s="160"/>
      <c r="P57" s="160"/>
      <c r="Q57" s="160"/>
    </row>
    <row r="58" spans="1:17" ht="20.100000000000001" customHeight="1" x14ac:dyDescent="0.25">
      <c r="D58" s="35" t="s">
        <v>528</v>
      </c>
      <c r="E58" s="207">
        <f>SUM(Q34:Q36)+N("Partial sum")</f>
        <v>0</v>
      </c>
      <c r="F58" s="26" t="str">
        <f t="shared" si="3"/>
        <v>t CO2-e</v>
      </c>
      <c r="G58" s="160"/>
      <c r="H58" s="160"/>
      <c r="I58" s="160"/>
      <c r="J58" s="160"/>
      <c r="L58" s="160"/>
      <c r="M58" s="160"/>
      <c r="N58" s="160"/>
      <c r="O58" s="160"/>
      <c r="P58" s="160"/>
      <c r="Q58" s="160"/>
    </row>
    <row r="59" spans="1:17" ht="20.100000000000001" customHeight="1" x14ac:dyDescent="0.25">
      <c r="D59" s="160"/>
      <c r="E59" s="209"/>
      <c r="F59" s="160"/>
      <c r="G59" s="160"/>
      <c r="H59" s="160"/>
      <c r="I59" s="160"/>
      <c r="J59" s="160"/>
      <c r="L59" s="160"/>
      <c r="M59" s="160"/>
      <c r="N59" s="160"/>
      <c r="O59" s="160"/>
      <c r="P59" s="160"/>
      <c r="Q59" s="160"/>
    </row>
    <row r="60" spans="1:17" ht="20.100000000000001" customHeight="1" x14ac:dyDescent="0.25">
      <c r="D60" s="204" t="str">
        <f>"Total scope 1 - " &amp; D37</f>
        <v>Total scope 1 - Vessels</v>
      </c>
      <c r="E60" s="208"/>
      <c r="F60" s="206"/>
      <c r="G60" s="160"/>
      <c r="H60" s="160"/>
      <c r="I60" s="160"/>
      <c r="J60" s="160"/>
      <c r="L60" s="160"/>
      <c r="M60" s="160"/>
      <c r="N60" s="160"/>
      <c r="O60" s="160"/>
      <c r="P60" s="160"/>
      <c r="Q60" s="160"/>
    </row>
    <row r="61" spans="1:17" ht="20.100000000000001" customHeight="1" x14ac:dyDescent="0.25">
      <c r="D61" s="35" t="s">
        <v>525</v>
      </c>
      <c r="E61" s="207">
        <f>SUM(N37:N39)+N("Partial sum")</f>
        <v>29.219199999999997</v>
      </c>
      <c r="F61" s="26" t="str">
        <f t="shared" ref="F61:F64" si="4">$E$12</f>
        <v>t CO2-e</v>
      </c>
      <c r="G61" s="160"/>
      <c r="H61" s="160"/>
      <c r="I61" s="160"/>
      <c r="J61" s="160"/>
      <c r="L61" s="160"/>
      <c r="M61" s="160"/>
      <c r="N61" s="160"/>
      <c r="O61" s="160"/>
      <c r="P61" s="160"/>
      <c r="Q61" s="160"/>
    </row>
    <row r="62" spans="1:17" ht="20.100000000000001" customHeight="1" x14ac:dyDescent="0.25">
      <c r="D62" s="35" t="s">
        <v>526</v>
      </c>
      <c r="E62" s="207">
        <f>SUM(O37:O39)+N("Partial sum")</f>
        <v>7.9400000000000012E-2</v>
      </c>
      <c r="F62" s="26" t="str">
        <f t="shared" si="4"/>
        <v>t CO2-e</v>
      </c>
      <c r="G62" s="160"/>
      <c r="H62" s="160"/>
      <c r="I62" s="160"/>
      <c r="J62" s="160"/>
      <c r="L62" s="160"/>
      <c r="M62" s="160"/>
      <c r="N62" s="160"/>
      <c r="O62" s="160"/>
      <c r="P62" s="160"/>
      <c r="Q62" s="160"/>
    </row>
    <row r="63" spans="1:17" ht="20.100000000000001" customHeight="1" x14ac:dyDescent="0.25">
      <c r="D63" s="35" t="s">
        <v>527</v>
      </c>
      <c r="E63" s="207">
        <f>SUM(P37:P39)+N("Partial sum")</f>
        <v>0.19850000000000001</v>
      </c>
      <c r="F63" s="26" t="str">
        <f t="shared" si="4"/>
        <v>t CO2-e</v>
      </c>
      <c r="G63" s="160"/>
      <c r="H63" s="160"/>
      <c r="I63" s="160"/>
      <c r="J63" s="160"/>
      <c r="L63" s="160"/>
      <c r="M63" s="160"/>
      <c r="N63" s="160"/>
      <c r="O63" s="160"/>
      <c r="P63" s="160"/>
      <c r="Q63" s="160"/>
    </row>
    <row r="64" spans="1:17" ht="20.100000000000001" customHeight="1" x14ac:dyDescent="0.25">
      <c r="D64" s="35" t="s">
        <v>528</v>
      </c>
      <c r="E64" s="207">
        <f>SUM(Q37:Q39)+N("Partial sum")</f>
        <v>7.1459999999999999</v>
      </c>
      <c r="F64" s="26" t="str">
        <f t="shared" si="4"/>
        <v>t CO2-e</v>
      </c>
      <c r="G64" s="160"/>
      <c r="H64" s="160"/>
      <c r="I64" s="160"/>
      <c r="J64" s="160"/>
      <c r="L64" s="160"/>
      <c r="M64" s="160"/>
      <c r="N64" s="160"/>
      <c r="O64" s="160"/>
      <c r="P64" s="160"/>
      <c r="Q64" s="160"/>
    </row>
    <row r="65" spans="4:17" ht="20.100000000000001" customHeight="1" x14ac:dyDescent="0.25">
      <c r="G65" s="160"/>
      <c r="H65" s="160"/>
      <c r="I65" s="160"/>
      <c r="J65" s="160"/>
      <c r="L65" s="160"/>
      <c r="M65" s="160"/>
      <c r="N65" s="160"/>
      <c r="O65" s="160"/>
      <c r="P65" s="160"/>
      <c r="Q65" s="160"/>
    </row>
    <row r="66" spans="4:17" ht="20.100000000000001" customHeight="1" x14ac:dyDescent="0.25">
      <c r="D66" s="204" t="s">
        <v>529</v>
      </c>
      <c r="E66" s="210"/>
      <c r="F66" s="206"/>
      <c r="G66" s="160"/>
      <c r="H66" s="160"/>
      <c r="I66" s="160"/>
      <c r="J66" s="160"/>
      <c r="L66" s="160"/>
      <c r="M66" s="160"/>
      <c r="N66" s="160"/>
      <c r="O66" s="160"/>
      <c r="P66" s="160"/>
      <c r="Q66" s="160"/>
    </row>
    <row r="67" spans="4:17" ht="20.100000000000001" customHeight="1" x14ac:dyDescent="0.25">
      <c r="D67" s="35" t="s">
        <v>525</v>
      </c>
      <c r="E67" s="207">
        <f>E43+E49+E55+E61</f>
        <v>83.182000000000002</v>
      </c>
      <c r="F67" s="26" t="str">
        <f t="shared" ref="F67:F70" si="5">$E$12</f>
        <v>t CO2-e</v>
      </c>
      <c r="G67" s="160"/>
    </row>
    <row r="68" spans="4:17" ht="20.100000000000001" customHeight="1" x14ac:dyDescent="0.25">
      <c r="D68" s="35" t="s">
        <v>526</v>
      </c>
      <c r="E68" s="207">
        <f t="shared" ref="E68:E70" si="6">E44+E50+E56+E62</f>
        <v>0.19906000000000001</v>
      </c>
      <c r="F68" s="26" t="str">
        <f t="shared" si="5"/>
        <v>t CO2-e</v>
      </c>
      <c r="G68" s="160"/>
    </row>
    <row r="69" spans="4:17" ht="20.100000000000001" customHeight="1" x14ac:dyDescent="0.25">
      <c r="D69" s="35" t="s">
        <v>527</v>
      </c>
      <c r="E69" s="207">
        <f t="shared" si="6"/>
        <v>0.58450000000000002</v>
      </c>
      <c r="F69" s="26" t="str">
        <f t="shared" si="5"/>
        <v>t CO2-e</v>
      </c>
      <c r="G69" s="160"/>
    </row>
    <row r="70" spans="4:17" ht="20.100000000000001" customHeight="1" x14ac:dyDescent="0.25">
      <c r="D70" s="35" t="s">
        <v>528</v>
      </c>
      <c r="E70" s="207">
        <f t="shared" si="6"/>
        <v>20.5016</v>
      </c>
      <c r="F70" s="26" t="str">
        <f t="shared" si="5"/>
        <v>t CO2-e</v>
      </c>
      <c r="G70" s="160"/>
    </row>
    <row r="71" spans="4:17" ht="20.100000000000001" customHeight="1" x14ac:dyDescent="0.25">
      <c r="G71" s="16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7FC26763-B923-4C2E-ADF3-D5DB0C55FA2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F4EA8-32EA-447B-9B0A-E151EC0647AE}">
  <dimension ref="A1:R165"/>
  <sheetViews>
    <sheetView showGridLines="0" topLeftCell="A3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530</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0"/>
      <c r="P5" s="160"/>
      <c r="Q5" s="160"/>
      <c r="R5" s="160"/>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60"/>
      <c r="P6" s="160"/>
      <c r="Q6" s="160"/>
      <c r="R6" s="160"/>
    </row>
    <row r="7" spans="1:18" ht="20.100000000000001" customHeight="1" x14ac:dyDescent="0.25">
      <c r="D7" s="134" t="s">
        <v>311</v>
      </c>
      <c r="E7" s="134"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60"/>
      <c r="P7" s="160"/>
      <c r="Q7" s="160"/>
      <c r="R7" s="160"/>
    </row>
    <row r="8" spans="1:18" ht="20.100000000000001" customHeight="1" x14ac:dyDescent="0.25">
      <c r="A8" s="7" t="s">
        <v>0</v>
      </c>
      <c r="K8" s="134" t="s">
        <v>311</v>
      </c>
      <c r="L8" s="134" t="str" cm="1">
        <f t="array" aca="1" ref="L8" ca="1">Common_InputFunctions.Utility_DisplayFunctionName(Q25)</f>
        <v>=Fuel_Equations.VEERG_8_2_1_1__1_FuelCombustionStationary</v>
      </c>
      <c r="O8" s="160"/>
      <c r="P8" s="160"/>
      <c r="Q8" s="160"/>
      <c r="R8" s="160"/>
    </row>
    <row r="9" spans="1:18" ht="20.100000000000001" customHeight="1" x14ac:dyDescent="0.25">
      <c r="A9" s="5" t="str">
        <f>HYPERLINK("#'Input - Enterprise'!A1", "Enterprise")</f>
        <v>Enterprise</v>
      </c>
      <c r="G9" s="27"/>
      <c r="O9" s="160"/>
      <c r="P9" s="160"/>
      <c r="Q9" s="160"/>
      <c r="R9" s="160"/>
    </row>
    <row r="10" spans="1:18" ht="20.100000000000001" customHeight="1" x14ac:dyDescent="0.25">
      <c r="A10" s="5" t="str">
        <f>HYPERLINK("#'Input - Site'!A1", "Site")</f>
        <v>Site</v>
      </c>
      <c r="O10" s="160"/>
      <c r="P10" s="160"/>
      <c r="Q10" s="160"/>
      <c r="R10" s="160"/>
    </row>
    <row r="11" spans="1:18" ht="20.100000000000001" customHeight="1" x14ac:dyDescent="0.25">
      <c r="A11" s="5" t="str">
        <f>HYPERLINK("#'Input - Crop'!A1", "Crop")</f>
        <v>Crop</v>
      </c>
      <c r="D11" s="88" t="s">
        <v>312</v>
      </c>
      <c r="E11" s="1" t="str" cm="1">
        <f t="array" ref="E11">Fuel_Equations.VEERG_8_2_1_1__1_FuelCombustionStationary_Variable()</f>
        <v>E_g</v>
      </c>
      <c r="K11" s="88" t="s">
        <v>312</v>
      </c>
      <c r="L11" s="1" t="str" cm="1">
        <f t="array" ref="L11">Scope3_Equations.VEERG_15_11_1_1__3_UpstreamStationaryFuelEmissions_Variable()</f>
        <v>E_WTTSCq</v>
      </c>
      <c r="O11" s="160"/>
      <c r="P11" s="160"/>
      <c r="Q11" s="160"/>
      <c r="R11" s="160"/>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6" t="str" cm="1">
        <f t="array" ref="D14:E20">_xlfn.CHOOSECOLS(Fuel_Equations.VEERG_8_2_1_1__1_FuelCombustionStationary_Arguments(), 1,2)</f>
        <v>Q_SCq</v>
      </c>
      <c r="E14" s="164" t="str">
        <v>Amount of fuel type q used for stationary combustion operations</v>
      </c>
      <c r="F14" s="166"/>
      <c r="G14" s="156" t="str" cm="1">
        <f t="array" ref="G14:H20">_xlfn.CHOOSECOLS(Fuel_Equations.VEERG_8_2_1_1__1_FuelCombustionStationary_Arguments(), 3,4)</f>
        <v>Varies based on fuel type: kL, m3, GJ</v>
      </c>
      <c r="H14" s="138" t="str">
        <v>Input</v>
      </c>
      <c r="I14" s="142" t="str" cm="1">
        <f t="array" aca="1" ref="I14" ca="1">HYPERLINK(Common_InputFunctions.Utility_SourceHyperlink($D$22), $D$22)</f>
        <v>Table_E_g</v>
      </c>
      <c r="K14" s="156" t="str" cm="1">
        <f t="array" ref="K14:L18">_xlfn.CHOOSECOLS(Scope3_Equations.VEERG_15_11_1_1__3_UpstreamStationaryFuelEmissions_Arguments(),1,2)</f>
        <v>Q_SCq</v>
      </c>
      <c r="L14" s="156" t="str">
        <v>amount of fuel q used for stationary combustion operations</v>
      </c>
      <c r="M14" s="156"/>
      <c r="N14" s="156" t="str" cm="1">
        <f t="array" ref="N14:O18">_xlfn.CHOOSECOLS(Scope3_Equations.VEERG_15_11_1_1__3_UpstreamStationaryFuelEmissions_Arguments(),3,4)</f>
        <v>kL</v>
      </c>
      <c r="O14" s="138" t="str">
        <v>Input</v>
      </c>
      <c r="P14" s="142" t="str" cm="1">
        <f t="array" aca="1" ref="P14" ca="1">HYPERLINK(Common_InputFunctions.Utility_SourceHyperlink($D$22), $D$22)</f>
        <v>Table_E_g</v>
      </c>
      <c r="Q14" s="160"/>
    </row>
    <row r="15" spans="1:18" ht="20.100000000000001" customHeight="1" x14ac:dyDescent="0.25">
      <c r="A15" s="5" t="str">
        <f>HYPERLINK("#'Input - Electricity'!A1", "Electricity")</f>
        <v>Electricity</v>
      </c>
      <c r="D15" s="156" t="str">
        <v>EC_SCq</v>
      </c>
      <c r="E15" s="164" t="str">
        <v>Energy content factor for stationary combustion operations</v>
      </c>
      <c r="F15" s="166"/>
      <c r="G15" s="156" t="str">
        <v>GJ / unit of fuel</v>
      </c>
      <c r="H15" s="139" t="str">
        <v>Constant</v>
      </c>
      <c r="I15" s="142" t="str" cm="1">
        <f t="array" aca="1" ref="I15" ca="1">HYPERLINK(Common_InputFunctions.Utility_SourceHyperlink($D$22), $D$22)</f>
        <v>Table_E_g</v>
      </c>
      <c r="K15" s="156" t="str">
        <v>EC_SCq</v>
      </c>
      <c r="L15" s="156" t="str">
        <v>energy content factor for stationary combustion operations</v>
      </c>
      <c r="M15" s="156"/>
      <c r="N15" s="156" t="str">
        <v>GJ/kL</v>
      </c>
      <c r="O15" s="139" t="str">
        <v>Constant</v>
      </c>
      <c r="P15" s="142" t="str" cm="1">
        <f t="array" aca="1" ref="P15" ca="1">HYPERLINK(Common_InputFunctions.Utility_SourceHyperlink($D$22), $D$22)</f>
        <v>Table_E_g</v>
      </c>
      <c r="Q15" s="160"/>
    </row>
    <row r="16" spans="1:18" ht="20.100000000000001" customHeight="1" x14ac:dyDescent="0.25">
      <c r="A16" s="5" t="str">
        <f>HYPERLINK("#'Input - Common farm inputs'!A1", "Common farm inputs")</f>
        <v>Common farm inputs</v>
      </c>
      <c r="D16" s="156" t="str">
        <v>EF_SC1qg</v>
      </c>
      <c r="E16" s="164" t="str">
        <v>Scope 1 emission factor for stationary combustion for each greenhouse gas</v>
      </c>
      <c r="F16" s="166"/>
      <c r="G16" s="156" t="str">
        <v>kg CO2e / GJ</v>
      </c>
      <c r="H16" s="139" t="str">
        <v>Constant</v>
      </c>
      <c r="I16" s="142" t="str" cm="1">
        <f t="array" aca="1" ref="I16" ca="1">HYPERLINK(Common_InputFunctions.Utility_SourceHyperlink($D$22), $D$22)</f>
        <v>Table_E_g</v>
      </c>
      <c r="K16" s="156" t="str">
        <v>EF_SC3q</v>
      </c>
      <c r="L16" s="156" t="str">
        <v>scope 3 emission factor for stationary combustion operations</v>
      </c>
      <c r="M16" s="156"/>
      <c r="N16" s="156" t="str">
        <v>kg CO2e/GJ</v>
      </c>
      <c r="O16" s="139" t="str">
        <v>Constant</v>
      </c>
      <c r="P16" s="142" t="str" cm="1">
        <f t="array" aca="1" ref="P16" ca="1">HYPERLINK(Common_InputFunctions.Utility_SourceHyperlink($D$22), $D$22)</f>
        <v>Table_E_g</v>
      </c>
      <c r="Q16" s="160"/>
    </row>
    <row r="17" spans="1:17" ht="20.100000000000001" customHeight="1" x14ac:dyDescent="0.25">
      <c r="A17" s="5" t="str">
        <f>HYPERLINK("#'Input - Crop pasture farm input'!A1", "Crop pasture farm input")</f>
        <v>Crop pasture farm input</v>
      </c>
      <c r="D17" s="156" t="str">
        <v>q</v>
      </c>
      <c r="E17" s="164" t="str">
        <v>Fuel type</v>
      </c>
      <c r="F17" s="166"/>
      <c r="G17" s="156" t="str">
        <v/>
      </c>
      <c r="H17" s="139" t="str">
        <v>Constant</v>
      </c>
      <c r="I17" s="142"/>
      <c r="J17" s="160"/>
      <c r="K17" s="156" t="str">
        <v>i</v>
      </c>
      <c r="L17" s="164" t="str">
        <v>state</v>
      </c>
      <c r="M17" s="166"/>
      <c r="N17" s="156" t="str">
        <v/>
      </c>
      <c r="O17" s="138" t="str">
        <v>Input</v>
      </c>
      <c r="P17" s="156" t="str">
        <f>X_Cell_Site_State</f>
        <v>Western Australia</v>
      </c>
      <c r="Q17" s="160"/>
    </row>
    <row r="18" spans="1:17" ht="20.100000000000001" customHeight="1" x14ac:dyDescent="0.25">
      <c r="A18" s="5" t="str">
        <f>HYPERLINK("#'Input - Freight'!A1", "Freight")</f>
        <v>Freight</v>
      </c>
      <c r="D18" s="156" t="str">
        <v>SC</v>
      </c>
      <c r="E18" s="164" t="str">
        <v>Stationary combustion</v>
      </c>
      <c r="F18" s="166"/>
      <c r="G18" s="156" t="str">
        <v/>
      </c>
      <c r="H18" s="139" t="str">
        <v>Constant</v>
      </c>
      <c r="I18" s="142"/>
      <c r="J18" s="160"/>
      <c r="K18" s="156" t="str">
        <v>m</v>
      </c>
      <c r="L18" s="164" t="str">
        <v>metropolitan/non-metropolitan location</v>
      </c>
      <c r="M18" s="166"/>
      <c r="N18" s="156" t="str">
        <v/>
      </c>
      <c r="O18" s="138" t="str">
        <v>Input</v>
      </c>
      <c r="P18" s="156" t="str">
        <f>X_Cell_Fuel_IsMetroLocation</f>
        <v>Metro</v>
      </c>
      <c r="Q18" s="160"/>
    </row>
    <row r="19" spans="1:17" ht="20.100000000000001" customHeight="1" x14ac:dyDescent="0.25">
      <c r="A19" s="5" t="str">
        <f>HYPERLINK("#'Input - Manure sent off-site'!A1", "Manure sent off-site")</f>
        <v>Manure sent off-site</v>
      </c>
      <c r="D19" s="156" t="str">
        <v>g</v>
      </c>
      <c r="E19" s="164" t="str">
        <v>Greenhouse gas</v>
      </c>
      <c r="F19" s="166"/>
      <c r="G19" s="156" t="str">
        <v/>
      </c>
      <c r="H19" s="139" t="str">
        <v>Constant</v>
      </c>
      <c r="I19" s="142"/>
      <c r="J19" s="160"/>
      <c r="L19" s="160"/>
      <c r="N19" s="160"/>
      <c r="O19" s="160"/>
      <c r="P19" s="160"/>
      <c r="Q19" s="160"/>
    </row>
    <row r="20" spans="1:17" ht="20.100000000000001" customHeight="1" x14ac:dyDescent="0.25">
      <c r="A20" s="5" t="str">
        <f>HYPERLINK("#'Input - Solid waste'!A1", "Solid waste")</f>
        <v>Solid waste</v>
      </c>
      <c r="D20" s="156" t="str">
        <v>1</v>
      </c>
      <c r="E20" s="164" t="str">
        <v>Scope 1</v>
      </c>
      <c r="F20" s="166"/>
      <c r="G20" s="156" t="str">
        <v/>
      </c>
      <c r="H20" s="139" t="str">
        <v>Constant</v>
      </c>
      <c r="I20" s="142"/>
      <c r="J20" s="160"/>
      <c r="L20" s="160"/>
      <c r="N20" s="160"/>
      <c r="O20" s="160"/>
      <c r="P20" s="160"/>
      <c r="Q20" s="160"/>
    </row>
    <row r="21" spans="1:17" ht="20.100000000000001" customHeight="1" x14ac:dyDescent="0.25">
      <c r="A21" s="5" t="str">
        <f>HYPERLINK("#'Input - Data quality'!A1", "Data quality")</f>
        <v>Data quality</v>
      </c>
      <c r="O21" s="160"/>
      <c r="P21" s="160"/>
      <c r="Q21" s="160"/>
    </row>
    <row r="22" spans="1:17" ht="20.100000000000001" customHeight="1" x14ac:dyDescent="0.25">
      <c r="D22" s="145" t="s">
        <v>509</v>
      </c>
    </row>
    <row r="23" spans="1:17" ht="20.100000000000001" customHeight="1" x14ac:dyDescent="0.25">
      <c r="D23" s="146" t="s">
        <v>531</v>
      </c>
    </row>
    <row r="24" spans="1:17" ht="20.100000000000001" customHeight="1" x14ac:dyDescent="0.25">
      <c r="A24" s="6" t="s">
        <v>2</v>
      </c>
      <c r="D24" s="147" t="s">
        <v>511</v>
      </c>
      <c r="E24" s="147" t="s">
        <v>512</v>
      </c>
      <c r="F24" s="147" t="s">
        <v>513</v>
      </c>
      <c r="G24" s="147" t="s">
        <v>532</v>
      </c>
      <c r="H24" s="147" t="s">
        <v>533</v>
      </c>
      <c r="I24" s="147" t="s">
        <v>534</v>
      </c>
      <c r="J24" s="147" t="s">
        <v>535</v>
      </c>
      <c r="K24" s="147" t="s">
        <v>536</v>
      </c>
      <c r="L24" s="92" t="s">
        <v>537</v>
      </c>
      <c r="M24" s="147" t="s">
        <v>520</v>
      </c>
      <c r="N24" s="147" t="s">
        <v>521</v>
      </c>
      <c r="O24" s="147" t="s">
        <v>522</v>
      </c>
      <c r="P24" s="147" t="s">
        <v>523</v>
      </c>
      <c r="Q24" s="147" t="s">
        <v>538</v>
      </c>
    </row>
    <row r="25" spans="1:17" ht="20.100000000000001" customHeight="1" x14ac:dyDescent="0.25">
      <c r="A25" s="5" t="str">
        <f>HYPERLINK("#'5.1.1.1-2 Inorganic fert N2O'!A1", "5.1.1.1-2 Inorganic fert N2O")</f>
        <v>5.1.1.1-2 Inorganic fert N2O</v>
      </c>
      <c r="D25" s="35" t="str">
        <f>Table_FuelTypesPerUse[[#Headers],[Generators]]</f>
        <v>Generators</v>
      </c>
      <c r="E25" s="189" t="str">
        <f>'Constants - Fuel'!$D$58</f>
        <v>Automotive gasoline / petrol (other than for use as fuel in an aircraft)</v>
      </c>
      <c r="F25" s="18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8" cm="1">
        <f t="array" ref="L25">Fuel_InputFunctions.Fuel_TotalConsumption(Table_Input_Fuel[Amount consumed], Table_Input_Fuel[Fuel use (select)], D25, Table_Input_Fuel[Fuel type (select)],F25)</f>
        <v>0</v>
      </c>
      <c r="M25" s="168" t="str" cm="1">
        <f t="array" ref="M25">Common_InputFunctions.Utility_LookupValueInTable(F25,Table_FuelTypes_Units[Fuel type],Table_FuelTypes_Units[Unit])</f>
        <v>kL</v>
      </c>
      <c r="N25" s="211" cm="1">
        <f t="array" ref="N25">Fuel_Equations.VEERG_8_2_1_1__1_FuelCombustionStationary($L25,$G25,H25)</f>
        <v>0</v>
      </c>
      <c r="O25" s="211" cm="1">
        <f t="array" ref="O25">Fuel_Equations.VEERG_8_2_1_1__1_FuelCombustionStationary($L25,$G25,I25)</f>
        <v>0</v>
      </c>
      <c r="P25" s="211" cm="1">
        <f t="array" ref="P25">Fuel_Equations.VEERG_8_2_1_1__1_FuelCombustionStationary($L25,$G25,J25)</f>
        <v>0</v>
      </c>
      <c r="Q25" s="211" cm="1">
        <f t="array" ref="Q25">Fuel_Equations.VEERG_8_2_1_1__1_FuelCombustionStationary($L25,$G25,IF(ISNUMBER(K25), K25, 0))</f>
        <v>0</v>
      </c>
    </row>
    <row r="26" spans="1:17" ht="20.100000000000001" customHeight="1" x14ac:dyDescent="0.25">
      <c r="A26" s="5" t="str">
        <f>HYPERLINK("#'5.1.1.3-4 Inorganic fert CO2'!A1", "5.1.1.3-4 Inorganic fert CO2")</f>
        <v>5.1.1.3-4 Inorganic fert CO2</v>
      </c>
      <c r="D26" s="191" t="str">
        <f t="shared" ref="D26:D31" si="0">$D$25</f>
        <v>Generators</v>
      </c>
      <c r="E26" s="189" t="str">
        <f>'Constants - Fuel'!$D$63</f>
        <v>Diesel oil</v>
      </c>
      <c r="F26" s="18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8" cm="1">
        <f t="array" ref="L26">Fuel_InputFunctions.Fuel_TotalConsumption(Table_Input_Fuel[Amount consumed], Table_Input_Fuel[Fuel use (select)], D26, Table_Input_Fuel[Fuel type (select)],F26)</f>
        <v>0</v>
      </c>
      <c r="M26" s="168" t="str" cm="1">
        <f t="array" ref="M26">Common_InputFunctions.Utility_LookupValueInTable(F26,Table_FuelTypes_Units[Fuel type],Table_FuelTypes_Units[Unit])</f>
        <v>kL</v>
      </c>
      <c r="N26" s="211" cm="1">
        <f t="array" ref="N26">Fuel_Equations.VEERG_8_2_1_1__1_FuelCombustionStationary($L26,$G26,H26)</f>
        <v>0</v>
      </c>
      <c r="O26" s="211" cm="1">
        <f t="array" ref="O26">Fuel_Equations.VEERG_8_2_1_1__1_FuelCombustionStationary($L26,$G26,I26)</f>
        <v>0</v>
      </c>
      <c r="P26" s="211" cm="1">
        <f t="array" ref="P26">Fuel_Equations.VEERG_8_2_1_1__1_FuelCombustionStationary($L26,$G26,J26)</f>
        <v>0</v>
      </c>
      <c r="Q26" s="211" cm="1">
        <f t="array" ref="Q26">Fuel_Equations.VEERG_8_2_1_1__1_FuelCombustionStationary($L26,$G26,IF(ISNUMBER(K26), K26, 0))</f>
        <v>0</v>
      </c>
    </row>
    <row r="27" spans="1:17" ht="20.100000000000001" customHeight="1" x14ac:dyDescent="0.25">
      <c r="A27" s="5" t="str">
        <f>HYPERLINK("#'5.2.1.1-2 Organic Fert N2O'!A1", "5.2.1.1-2 Organic fert N2O")</f>
        <v>5.2.1.1-2 Organic fert N2O</v>
      </c>
      <c r="D27" s="191" t="str">
        <f t="shared" si="0"/>
        <v>Generators</v>
      </c>
      <c r="E27" s="189" t="str">
        <f>'Constants - Fuel'!$D$67</f>
        <v>Liquefied petroleum gas (LPG)</v>
      </c>
      <c r="F27" s="18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8" cm="1">
        <f t="array" ref="L27">Fuel_InputFunctions.Fuel_TotalConsumption(Table_Input_Fuel[Amount consumed], Table_Input_Fuel[Fuel use (select)], D27, Table_Input_Fuel[Fuel type (select)],F27)</f>
        <v>0</v>
      </c>
      <c r="M27" s="168" t="str" cm="1">
        <f t="array" ref="M27">Common_InputFunctions.Utility_LookupValueInTable(F27,Table_FuelTypes_Units[Fuel type],Table_FuelTypes_Units[Unit])</f>
        <v>kL</v>
      </c>
      <c r="N27" s="211" cm="1">
        <f t="array" ref="N27">Fuel_Equations.VEERG_8_2_1_1__1_FuelCombustionStationary($L27,$G27,H27)</f>
        <v>0</v>
      </c>
      <c r="O27" s="211" cm="1">
        <f t="array" ref="O27">Fuel_Equations.VEERG_8_2_1_1__1_FuelCombustionStationary($L27,$G27,I27)</f>
        <v>0</v>
      </c>
      <c r="P27" s="211" cm="1">
        <f t="array" ref="P27">Fuel_Equations.VEERG_8_2_1_1__1_FuelCombustionStationary($L27,$G27,J27)</f>
        <v>0</v>
      </c>
      <c r="Q27" s="211" cm="1">
        <f t="array" ref="Q27">Fuel_Equations.VEERG_8_2_1_1__1_FuelCombustionStationary($L27,$G27,IF(ISNUMBER(K27), K27, 0))</f>
        <v>0</v>
      </c>
    </row>
    <row r="28" spans="1:17" ht="20.100000000000001" customHeight="1" x14ac:dyDescent="0.25">
      <c r="A28" s="5" t="str">
        <f>HYPERLINK("#'5.3.1.1-2 Lime CO2'!A1", "5.3.1.1-2 Lime CO2")</f>
        <v>5.3.1.1-2 Lime CO2</v>
      </c>
      <c r="D28" s="191" t="str">
        <f t="shared" si="0"/>
        <v>Generators</v>
      </c>
      <c r="E28" s="189" t="str">
        <f>'Constants - Fuel'!$D$73</f>
        <v>Biodiesel</v>
      </c>
      <c r="F28" s="18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8" cm="1">
        <f t="array" ref="L28">Fuel_InputFunctions.Fuel_TotalConsumption(Table_Input_Fuel[Amount consumed], Table_Input_Fuel[Fuel use (select)], D28, Table_Input_Fuel[Fuel type (select)],F28)</f>
        <v>0</v>
      </c>
      <c r="M28" s="168" t="str" cm="1">
        <f t="array" ref="M28">Common_InputFunctions.Utility_LookupValueInTable(F28,Table_FuelTypes_Units[Fuel type],Table_FuelTypes_Units[Unit])</f>
        <v>kL</v>
      </c>
      <c r="N28" s="211" cm="1">
        <f t="array" ref="N28">Fuel_Equations.VEERG_8_2_1_1__1_FuelCombustionStationary($L28,$G28,H28)</f>
        <v>0</v>
      </c>
      <c r="O28" s="211" cm="1">
        <f t="array" ref="O28">Fuel_Equations.VEERG_8_2_1_1__1_FuelCombustionStationary($L28,$G28,I28)</f>
        <v>0</v>
      </c>
      <c r="P28" s="211" cm="1">
        <f t="array" ref="P28">Fuel_Equations.VEERG_8_2_1_1__1_FuelCombustionStationary($L28,$G28,J28)</f>
        <v>0</v>
      </c>
      <c r="Q28" s="211" cm="1">
        <f t="array" ref="Q28">Fuel_Equations.VEERG_8_2_1_1__1_FuelCombustionStationary($L28,$G28,IF(ISNUMBER(K28), K28, 0))</f>
        <v>0</v>
      </c>
    </row>
    <row r="29" spans="1:17" ht="20.100000000000001" customHeight="1" x14ac:dyDescent="0.25">
      <c r="A29" s="5" t="str">
        <f>HYPERLINK("#'5.4.1.1-4 Atmos deposition'!A1", "5.4.1.1-4 Atmos. deposition")</f>
        <v>5.4.1.1-4 Atmos. deposition</v>
      </c>
      <c r="D29" s="191" t="str">
        <f t="shared" si="0"/>
        <v>Generators</v>
      </c>
      <c r="E29" s="189" t="str">
        <f>'Constants - Fuel'!$D$74</f>
        <v>Ethanol for use as a fuel in an internal combustion engine</v>
      </c>
      <c r="F29" s="18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8" cm="1">
        <f t="array" ref="L29">Fuel_InputFunctions.Fuel_TotalConsumption(Table_Input_Fuel[Amount consumed], Table_Input_Fuel[Fuel use (select)], D29, Table_Input_Fuel[Fuel type (select)],F29)</f>
        <v>0</v>
      </c>
      <c r="M29" s="168" t="str" cm="1">
        <f t="array" ref="M29">Common_InputFunctions.Utility_LookupValueInTable(F29,Table_FuelTypes_Units[Fuel type],Table_FuelTypes_Units[Unit])</f>
        <v>kL</v>
      </c>
      <c r="N29" s="211" cm="1">
        <f t="array" ref="N29">Fuel_Equations.VEERG_8_2_1_1__1_FuelCombustionStationary($L29,$G29,H29)</f>
        <v>0</v>
      </c>
      <c r="O29" s="211" cm="1">
        <f t="array" ref="O29">Fuel_Equations.VEERG_8_2_1_1__1_FuelCombustionStationary($L29,$G29,I29)</f>
        <v>0</v>
      </c>
      <c r="P29" s="211" cm="1">
        <f t="array" ref="P29">Fuel_Equations.VEERG_8_2_1_1__1_FuelCombustionStationary($L29,$G29,J29)</f>
        <v>0</v>
      </c>
      <c r="Q29" s="211" cm="1">
        <f t="array" ref="Q29">Fuel_Equations.VEERG_8_2_1_1__1_FuelCombustionStationary($L29,$G29,IF(ISNUMBER(K29), K29, 0))</f>
        <v>0</v>
      </c>
    </row>
    <row r="30" spans="1:17" ht="20.100000000000001" customHeight="1" x14ac:dyDescent="0.25">
      <c r="A30" s="5" t="str">
        <f>HYPERLINK("#'5.5.1.1-2 Leaching and runoff'!A1", "5.5.1.1-2 Leaching &amp; runoff")</f>
        <v>5.5.1.1-2 Leaching &amp; runoff</v>
      </c>
      <c r="D30" s="191" t="str">
        <f t="shared" si="0"/>
        <v>Generators</v>
      </c>
      <c r="E30" s="189" t="str">
        <f>'Constants - Fuel'!$D$75</f>
        <v>Biofuels other than those mentioned in the items above and below</v>
      </c>
      <c r="F30" s="18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8" cm="1">
        <f t="array" ref="L30">Fuel_InputFunctions.Fuel_TotalConsumption(Table_Input_Fuel[Amount consumed], Table_Input_Fuel[Fuel use (select)], D30, Table_Input_Fuel[Fuel type (select)],F30)</f>
        <v>0</v>
      </c>
      <c r="M30" s="168" t="str" cm="1">
        <f t="array" ref="M30">Common_InputFunctions.Utility_LookupValueInTable(F30,Table_FuelTypes_Units[Fuel type],Table_FuelTypes_Units[Unit])</f>
        <v>kL</v>
      </c>
      <c r="N30" s="211" cm="1">
        <f t="array" ref="N30">Fuel_Equations.VEERG_8_2_1_1__1_FuelCombustionStationary($L30,$G30,H30)</f>
        <v>0</v>
      </c>
      <c r="O30" s="211" cm="1">
        <f t="array" ref="O30">Fuel_Equations.VEERG_8_2_1_1__1_FuelCombustionStationary($L30,$G30,I30)</f>
        <v>0</v>
      </c>
      <c r="P30" s="211" cm="1">
        <f t="array" ref="P30">Fuel_Equations.VEERG_8_2_1_1__1_FuelCombustionStationary($L30,$G30,J30)</f>
        <v>0</v>
      </c>
      <c r="Q30" s="211" cm="1">
        <f t="array" ref="Q30">Fuel_Equations.VEERG_8_2_1_1__1_FuelCombustionStationary($L30,$G30,IF(ISNUMBER(K30), K30, 0))</f>
        <v>0</v>
      </c>
    </row>
    <row r="31" spans="1:17" ht="20.100000000000001" customHeight="1" x14ac:dyDescent="0.25">
      <c r="A31" s="5" t="str">
        <f>HYPERLINK("#'6.1.1.1-2 Crop residue N2O'!A1", "6.1.1.1-2 Crop residue N2O")</f>
        <v>6.1.1.1-2 Crop residue N2O</v>
      </c>
      <c r="D31" s="191" t="str">
        <f t="shared" si="0"/>
        <v>Generators</v>
      </c>
      <c r="E31" s="189" t="str">
        <f>'Constants - Fuel'!$D$77</f>
        <v>Renewable diesel</v>
      </c>
      <c r="F31" s="189" t="str">
        <f>'Constants - Fuel'!D137</f>
        <v>Renewable diesel</v>
      </c>
      <c r="G31" s="187">
        <f>IFERROR(_xlfn.XLOOKUP($E31, Table_Fuel_EFs_StationaryLiquid[Fuel combusted], Table_Fuel_EFs_StationaryLiquid[Energy Content Factor (GJ per unit of fuel)]),0)</f>
        <v>38.6</v>
      </c>
      <c r="H31" s="187">
        <f>IFERROR(_xlfn.XLOOKUP($E31, Table_Fuel_EFs_StationaryLiquid[Fuel combusted], Table_Fuel_EFs_StationaryLiquid[Scope 1 Emission Factor (kg CO2 - e / GJ) CO2]),0)</f>
        <v>0</v>
      </c>
      <c r="I31" s="187">
        <f>IFERROR(_xlfn.XLOOKUP($E31, Table_Fuel_EFs_StationaryLiquid[Fuel combusted], Table_Fuel_EFs_StationaryLiquid[Scope 1 Emission Factor (kg CO2 - e / GJ) CH4]),0)</f>
        <v>0.1</v>
      </c>
      <c r="J31" s="187">
        <f>IFERROR(_xlfn.XLOOKUP($E31, Table_Fuel_EFs_StationaryLiquid[Fuel combusted], Table_Fuel_EFs_StationaryLiquid[Scope 1 Emission Factor (kg CO2 - e / GJ) N2O]),0)</f>
        <v>0.2</v>
      </c>
      <c r="K31" s="187" t="str">
        <f>IFERROR(_xlfn.XLOOKUP($E31, Table_Fuel_EFs_StationaryLiquid[Fuel combusted], Table_Fuel_EFs_StationaryLiquid[Scope 3 Emission Factor (kg CO2 - e / GJ)]),0)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2" cm="1">
        <f t="array" ref="N31">Fuel_Equations.VEERG_8_2_1_1__1_FuelCombustionStationary($L31,$G31,H31)</f>
        <v>0</v>
      </c>
      <c r="O31" s="212" cm="1">
        <f t="array" ref="O31">Fuel_Equations.VEERG_8_2_1_1__1_FuelCombustionStationary($L31,$G31,I31)</f>
        <v>0</v>
      </c>
      <c r="P31" s="212" cm="1">
        <f t="array" ref="P31">Fuel_Equations.VEERG_8_2_1_1__1_FuelCombustionStationary($L31,$G31,J31)</f>
        <v>0</v>
      </c>
      <c r="Q31" s="212" cm="1">
        <f t="array" ref="Q31">Fuel_Equations.VEERG_8_2_1_1__1_FuelCombustionStationary($L31,$G31,IF(ISNUMBER(K31), K31, 0))</f>
        <v>0</v>
      </c>
    </row>
    <row r="32" spans="1:17" ht="20.100000000000001" customHeight="1" x14ac:dyDescent="0.25">
      <c r="A32" s="5" t="str">
        <f>HYPERLINK("#'6.3.1.1-2 Leach runoff crop'!A1", "6.3.1.1-2 Leach &amp; runoff (crop)")</f>
        <v>6.3.1.1-2 Leach &amp; runoff (crop)</v>
      </c>
      <c r="D32" s="194" t="str">
        <f>Table_FuelTypesPerUse[[#Headers],[Power standalone machinery or heating]]</f>
        <v>Power standalone machinery or heating</v>
      </c>
      <c r="E32" s="195" t="str">
        <f>'Constants - Fuel'!$D$58</f>
        <v>Automotive gasoline / petrol (other than for use as fuel in an aircraft)</v>
      </c>
      <c r="F32" s="195" t="str">
        <f>'Constants - Fuel'!E131</f>
        <v>Petrol</v>
      </c>
      <c r="G32" s="202">
        <f>IFERROR(_xlfn.XLOOKUP($E32, Table_Fuel_EFs_StationaryLiquid[Fuel combusted], Table_Fuel_EFs_StationaryLiquid[Energy Content Factor (GJ per unit of fuel)]),0)</f>
        <v>34.200000000000003</v>
      </c>
      <c r="H32" s="202">
        <f>IFERROR(_xlfn.XLOOKUP($E32, Table_Fuel_EFs_StationaryLiquid[Fuel combusted], Table_Fuel_EFs_StationaryLiquid[Scope 1 Emission Factor (kg CO2 - e / GJ) CO2]),0)</f>
        <v>67.400000000000006</v>
      </c>
      <c r="I32" s="202">
        <f>IFERROR(_xlfn.XLOOKUP($E32, Table_Fuel_EFs_StationaryLiquid[Fuel combusted], Table_Fuel_EFs_StationaryLiquid[Scope 1 Emission Factor (kg CO2 - e / GJ) CH4]),0)</f>
        <v>0.2</v>
      </c>
      <c r="J32" s="202">
        <f>IFERROR(_xlfn.XLOOKUP($E32, Table_Fuel_EFs_StationaryLiquid[Fuel combusted], Table_Fuel_EFs_StationaryLiquid[Scope 1 Emission Factor (kg CO2 - e / GJ) N2O]),0)</f>
        <v>0.2</v>
      </c>
      <c r="K32" s="202">
        <f>IFERROR(_xlfn.XLOOKUP($E32, Table_Fuel_EFs_StationaryLiquid[Fuel combusted], Table_Fuel_EFs_StationaryLiquid[Scope 3 Emission Factor (kg CO2 - e / GJ)]),0)</f>
        <v>17.2</v>
      </c>
      <c r="L32" s="198" cm="1">
        <f t="array" ref="L32">Fuel_InputFunctions.Fuel_TotalConsumption(Table_Input_Fuel[Amount consumed], Table_Input_Fuel[Fuel use (select)], D32, Table_Input_Fuel[Fuel type (select)],F32)</f>
        <v>10</v>
      </c>
      <c r="M32" s="199" t="str" cm="1">
        <f t="array" ref="M32">Common_InputFunctions.Utility_LookupValueInTable(F32,Table_FuelTypes_Units[Fuel type],Table_FuelTypes_Units[Unit])</f>
        <v>kL</v>
      </c>
      <c r="N32" s="213" cm="1">
        <f t="array" ref="N32">Fuel_Equations.VEERG_8_2_1_1__1_FuelCombustionStationary($L32,$G32,H32)</f>
        <v>23.050800000000002</v>
      </c>
      <c r="O32" s="213" cm="1">
        <f t="array" ref="O32">Fuel_Equations.VEERG_8_2_1_1__1_FuelCombustionStationary($L32,$G32,I32)</f>
        <v>6.8400000000000002E-2</v>
      </c>
      <c r="P32" s="213" cm="1">
        <f t="array" ref="P32">Fuel_Equations.VEERG_8_2_1_1__1_FuelCombustionStationary($L32,$G32,J32)</f>
        <v>6.8400000000000002E-2</v>
      </c>
      <c r="Q32" s="213" cm="1">
        <f t="array" ref="Q32">Fuel_Equations.VEERG_8_2_1_1__1_FuelCombustionStationary($L32,$G32,IF(ISNUMBER(K32), K32, 0))</f>
        <v>5.8823999999999996</v>
      </c>
    </row>
    <row r="33" spans="1:17" ht="20.100000000000001" customHeight="1" x14ac:dyDescent="0.25">
      <c r="A33" s="5" t="str">
        <f>HYPERLINK("#'6.4.1.1-2 Residue burning'!A1", "6.4.1.1-2 Residue burning")</f>
        <v>6.4.1.1-2 Residue burning</v>
      </c>
      <c r="D33" s="191" t="str">
        <f t="shared" ref="D33:D40" si="1">$D$32</f>
        <v>Power standalone machinery or heating</v>
      </c>
      <c r="E33" s="189" t="str">
        <f>'Constants - Fuel'!$D$63</f>
        <v>Diesel oil</v>
      </c>
      <c r="F33" s="18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11" cm="1">
        <f t="array" ref="N33">Fuel_Equations.VEERG_8_2_1_1__1_FuelCombustionStationary($L33,$G33,H33)</f>
        <v>0</v>
      </c>
      <c r="O33" s="211" cm="1">
        <f t="array" ref="O33">Fuel_Equations.VEERG_8_2_1_1__1_FuelCombustionStationary($L33,$G33,I33)</f>
        <v>0</v>
      </c>
      <c r="P33" s="211" cm="1">
        <f t="array" ref="P33">Fuel_Equations.VEERG_8_2_1_1__1_FuelCombustionStationary($L33,$G33,J33)</f>
        <v>0</v>
      </c>
      <c r="Q33" s="211" cm="1">
        <f t="array" ref="Q33">Fuel_Equations.VEERG_8_2_1_1__1_FuelCombustionStationary($L33,$G33,IF(ISNUMBER(K33), K33, 0))</f>
        <v>0</v>
      </c>
    </row>
    <row r="34" spans="1:17" ht="20.100000000000001" customHeight="1" x14ac:dyDescent="0.25">
      <c r="A34" s="5" t="str">
        <f>HYPERLINK("#'8.1.1.1-2 Transport fuel'!A1", "8.1.1.1-2 Transport fuel")</f>
        <v>8.1.1.1-2 Transport fuel</v>
      </c>
      <c r="D34" s="191" t="str">
        <f t="shared" si="1"/>
        <v>Power standalone machinery or heating</v>
      </c>
      <c r="E34" s="189" t="str">
        <f>'Constants - Fuel'!$D$67</f>
        <v>Liquefied petroleum gas (LPG)</v>
      </c>
      <c r="F34" s="18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11" cm="1">
        <f t="array" ref="N34">Fuel_Equations.VEERG_8_2_1_1__1_FuelCombustionStationary($L34,$G34,H34)</f>
        <v>0</v>
      </c>
      <c r="O34" s="211" cm="1">
        <f t="array" ref="O34">Fuel_Equations.VEERG_8_2_1_1__1_FuelCombustionStationary($L34,$G34,I34)</f>
        <v>0</v>
      </c>
      <c r="P34" s="211" cm="1">
        <f t="array" ref="P34">Fuel_Equations.VEERG_8_2_1_1__1_FuelCombustionStationary($L34,$G34,J34)</f>
        <v>0</v>
      </c>
      <c r="Q34" s="211" cm="1">
        <f t="array" ref="Q34">Fuel_Equations.VEERG_8_2_1_1__1_FuelCombustionStationary($L34,$G34,IF(ISNUMBER(K34), K34, 0))</f>
        <v>0</v>
      </c>
    </row>
    <row r="35" spans="1:17" ht="20.100000000000001" customHeight="1" x14ac:dyDescent="0.25">
      <c r="A35" s="143" t="str">
        <f>HYPERLINK("#'8.2.1.1-2 Stationary fuel'!A1", "8.2.1.1-2 Stationary fuel")</f>
        <v>8.2.1.1-2 Stationary fuel</v>
      </c>
      <c r="D35" s="191" t="str">
        <f t="shared" si="1"/>
        <v>Power standalone machinery or heating</v>
      </c>
      <c r="E35" s="189" t="str">
        <f>'Constants - Fuel'!$D$73</f>
        <v>Biodiesel</v>
      </c>
      <c r="F35" s="18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11" cm="1">
        <f t="array" ref="N35">Fuel_Equations.VEERG_8_2_1_1__1_FuelCombustionStationary($L35,$G35,H35)</f>
        <v>0</v>
      </c>
      <c r="O35" s="211" cm="1">
        <f t="array" ref="O35">Fuel_Equations.VEERG_8_2_1_1__1_FuelCombustionStationary($L35,$G35,I35)</f>
        <v>0</v>
      </c>
      <c r="P35" s="211" cm="1">
        <f t="array" ref="P35">Fuel_Equations.VEERG_8_2_1_1__1_FuelCombustionStationary($L35,$G35,J35)</f>
        <v>0</v>
      </c>
      <c r="Q35" s="211" cm="1">
        <f t="array" ref="Q35">Fuel_Equations.VEERG_8_2_1_1__1_FuelCombustionStationary($L35,$G35,IF(ISNUMBER(K35), K35, 0))</f>
        <v>0</v>
      </c>
    </row>
    <row r="36" spans="1:17" ht="20.100000000000001" customHeight="1" x14ac:dyDescent="0.25">
      <c r="A36" s="5" t="str">
        <f>HYPERLINK("#'14.1.1-2 Purchased electricity'!A1", "14.1.1-2 Purchased electricity")</f>
        <v>14.1.1-2 Purchased electricity</v>
      </c>
      <c r="D36" s="191" t="str">
        <f t="shared" si="1"/>
        <v>Power standalone machinery or heating</v>
      </c>
      <c r="E36" s="189" t="str">
        <f>'Constants - Fuel'!$D$74</f>
        <v>Ethanol for use as a fuel in an internal combustion engine</v>
      </c>
      <c r="F36" s="18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11" cm="1">
        <f t="array" ref="N36">Fuel_Equations.VEERG_8_2_1_1__1_FuelCombustionStationary($L36,$G36,H36)</f>
        <v>0</v>
      </c>
      <c r="O36" s="211" cm="1">
        <f t="array" ref="O36">Fuel_Equations.VEERG_8_2_1_1__1_FuelCombustionStationary($L36,$G36,I36)</f>
        <v>0</v>
      </c>
      <c r="P36" s="211" cm="1">
        <f t="array" ref="P36">Fuel_Equations.VEERG_8_2_1_1__1_FuelCombustionStationary($L36,$G36,J36)</f>
        <v>0</v>
      </c>
      <c r="Q36" s="211" cm="1">
        <f t="array" ref="Q36">Fuel_Equations.VEERG_8_2_1_1__1_FuelCombustionStationary($L36,$G36,IF(ISNUMBER(K36), K36, 0))</f>
        <v>0</v>
      </c>
    </row>
    <row r="37" spans="1:17" ht="20.100000000000001" customHeight="1" x14ac:dyDescent="0.25">
      <c r="A37" s="5" t="str">
        <f>HYPERLINK("#'15 Scope 3'!A1", "15 Scope 3")</f>
        <v>15 Scope 3</v>
      </c>
      <c r="D37" s="191" t="str">
        <f t="shared" si="1"/>
        <v>Power standalone machinery or heating</v>
      </c>
      <c r="E37" s="189" t="str">
        <f>'Constants - Fuel'!$D$75</f>
        <v>Biofuels other than those mentioned in the items above and below</v>
      </c>
      <c r="F37" s="18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11" cm="1">
        <f t="array" ref="N37">Fuel_Equations.VEERG_8_2_1_1__1_FuelCombustionStationary($L37,$G37,H37)</f>
        <v>0</v>
      </c>
      <c r="O37" s="211" cm="1">
        <f t="array" ref="O37">Fuel_Equations.VEERG_8_2_1_1__1_FuelCombustionStationary($L37,$G37,I37)</f>
        <v>0</v>
      </c>
      <c r="P37" s="211" cm="1">
        <f t="array" ref="P37">Fuel_Equations.VEERG_8_2_1_1__1_FuelCombustionStationary($L37,$G37,J37)</f>
        <v>0</v>
      </c>
      <c r="Q37" s="211" cm="1">
        <f t="array" ref="Q37">Fuel_Equations.VEERG_8_2_1_1__1_FuelCombustionStationary($L37,$G37,IF(ISNUMBER(K37), K37, 0))</f>
        <v>0</v>
      </c>
    </row>
    <row r="38" spans="1:17" ht="20.100000000000001" customHeight="1" x14ac:dyDescent="0.25">
      <c r="A38" s="5" t="str">
        <f>HYPERLINK("#'Calcs - Manure sent off-site'!A1", "Calcs - Manure sent off-site")</f>
        <v>Calcs - Manure sent off-site</v>
      </c>
      <c r="D38" s="191" t="str">
        <f t="shared" si="1"/>
        <v>Power standalone machinery or heating</v>
      </c>
      <c r="E38" s="189" t="str">
        <f>'Constants - Fuel'!$D$77</f>
        <v>Renewable diesel</v>
      </c>
      <c r="F38" s="18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11" cm="1">
        <f t="array" ref="N38">Fuel_Equations.VEERG_8_2_1_1__1_FuelCombustionStationary($L38,$G38,H38)</f>
        <v>0</v>
      </c>
      <c r="O38" s="211" cm="1">
        <f t="array" ref="O38">Fuel_Equations.VEERG_8_2_1_1__1_FuelCombustionStationary($L38,$G38,I38)</f>
        <v>0</v>
      </c>
      <c r="P38" s="211" cm="1">
        <f t="array" ref="P38">Fuel_Equations.VEERG_8_2_1_1__1_FuelCombustionStationary($L38,$G38,J38)</f>
        <v>0</v>
      </c>
      <c r="Q38" s="211" cm="1">
        <f t="array" ref="Q38">Fuel_Equations.VEERG_8_2_1_1__1_FuelCombustionStationary($L38,$G38,IF(ISNUMBER(K38), K38, 0))</f>
        <v>0</v>
      </c>
    </row>
    <row r="39" spans="1:17" ht="20.100000000000001" customHeight="1" x14ac:dyDescent="0.25">
      <c r="A39" s="5" t="str">
        <f>HYPERLINK("#'10.1.1-2 Solid waste treatment'!A1", "10.1.1-2 Solid waste treatment")</f>
        <v>10.1.1-2 Solid waste treatment</v>
      </c>
      <c r="D39" s="191" t="str">
        <f t="shared" si="1"/>
        <v>Power standalone machinery or heating</v>
      </c>
      <c r="E39" s="189" t="str">
        <f>'Constants - Fuel'!$D$103</f>
        <v>Natural gas distributed in a pipeline - Gigajoules</v>
      </c>
      <c r="F39" s="18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8" cm="1">
        <f t="array" ref="L39">Fuel_InputFunctions.Fuel_TotalConsumption(Table_Input_Fuel[Amount consumed], Table_Input_Fuel[Fuel use (select)], D39, Table_Input_Fuel[Fuel type (select)],F39)</f>
        <v>0</v>
      </c>
      <c r="M39" s="168" t="str" cm="1">
        <f t="array" ref="M39">Common_InputFunctions.Utility_LookupValueInTable(F39,Table_FuelTypes_Units[Fuel type],Table_FuelTypes_Units[Unit])</f>
        <v>GJ</v>
      </c>
      <c r="N39" s="211" cm="1">
        <f t="array" ref="N39">Fuel_Equations.VEERG_8_2_1_1__1_FuelCombustionStationary($L39,$G39,H39)</f>
        <v>0</v>
      </c>
      <c r="O39" s="211" cm="1">
        <f t="array" ref="O39">Fuel_Equations.VEERG_8_2_1_1__1_FuelCombustionStationary($L39,$G39,I39)</f>
        <v>0</v>
      </c>
      <c r="P39" s="211" cm="1">
        <f t="array" ref="P39">Fuel_Equations.VEERG_8_2_1_1__1_FuelCombustionStationary($L39,$G39,J39)</f>
        <v>0</v>
      </c>
      <c r="Q39" s="211" cm="1">
        <f t="array" ref="Q39">Fuel_Equations.VEERG_8_2_1_1__1_FuelCombustionStationary($L39,$G39,IF(ISNUMBER(K39), K39, 0))</f>
        <v>0</v>
      </c>
    </row>
    <row r="40" spans="1:17" ht="20.100000000000001" customHeight="1" x14ac:dyDescent="0.25">
      <c r="D40" s="191" t="str">
        <f t="shared" si="1"/>
        <v>Power standalone machinery or heating</v>
      </c>
      <c r="E40" s="189" t="str">
        <f>'Constants - Fuel'!$D$104</f>
        <v>Town gas - Gigajoules</v>
      </c>
      <c r="F40" s="18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8" cm="1">
        <f t="array" ref="L40">Fuel_InputFunctions.Fuel_TotalConsumption(Table_Input_Fuel[Amount consumed], Table_Input_Fuel[Fuel use (select)], D40, Table_Input_Fuel[Fuel type (select)],F40)</f>
        <v>100</v>
      </c>
      <c r="M40" s="168" t="str" cm="1">
        <f t="array" ref="M40">Common_InputFunctions.Utility_LookupValueInTable(F40,Table_FuelTypes_Units[Fuel type],Table_FuelTypes_Units[Unit])</f>
        <v>GJ</v>
      </c>
      <c r="N40" s="211" cm="1">
        <f t="array" ref="N40">Fuel_Equations.VEERG_8_2_1_1__1_FuelCombustionStationary($L40,$G40,H40)</f>
        <v>6.0200000000000005</v>
      </c>
      <c r="O40" s="211" cm="1">
        <f t="array" ref="O40">Fuel_Equations.VEERG_8_2_1_1__1_FuelCombustionStationary($L40,$G40,I40)</f>
        <v>4.0000000000000001E-3</v>
      </c>
      <c r="P40" s="211" cm="1">
        <f t="array" ref="P40">Fuel_Equations.VEERG_8_2_1_1__1_FuelCombustionStationary($L40,$G40,J40)</f>
        <v>3.0000000000000001E-3</v>
      </c>
      <c r="Q40" s="211" cm="1">
        <f t="array" ref="Q40">Fuel_Equations.VEERG_8_2_1_1__1_FuelCombustionStationary($L40,$G40,IF(ISNUMBER(K40), K40, 0))</f>
        <v>0.41</v>
      </c>
    </row>
    <row r="41" spans="1:17" ht="20.100000000000001" customHeight="1" x14ac:dyDescent="0.25"/>
    <row r="42" spans="1:17" ht="20.100000000000001" customHeight="1" x14ac:dyDescent="0.25">
      <c r="A42" s="94" t="s">
        <v>1</v>
      </c>
      <c r="D42" s="204" t="str">
        <f>"Total scope 1 - " &amp; D25</f>
        <v>Total scope 1 - Generators</v>
      </c>
      <c r="E42" s="205"/>
      <c r="F42" s="206"/>
    </row>
    <row r="43" spans="1:17" ht="20.100000000000001" customHeight="1" x14ac:dyDescent="0.25">
      <c r="A43" s="5" t="str">
        <f>HYPERLINK("#'Constants - Ag Residue'!A1", "Constants - Ag residue")</f>
        <v>Constants - Ag residue</v>
      </c>
      <c r="D43" s="35" t="s">
        <v>525</v>
      </c>
      <c r="E43" s="207">
        <f>SUM(N25:N31)+N("Partial sum")</f>
        <v>0</v>
      </c>
      <c r="F43" s="26" t="str">
        <f>$E$12</f>
        <v>t CO2-e</v>
      </c>
    </row>
    <row r="44" spans="1:17" ht="20.100000000000001" customHeight="1" x14ac:dyDescent="0.25">
      <c r="A44" s="5" t="str">
        <f>HYPERLINK("#'Constants - Common Livestock'!A1", "Constants - Common Livestock")</f>
        <v>Constants - Common Livestock</v>
      </c>
      <c r="D44" s="35" t="s">
        <v>526</v>
      </c>
      <c r="E44" s="207">
        <f>SUM(O25:O31)+N("Partial sum")</f>
        <v>0</v>
      </c>
      <c r="F44" s="26" t="str">
        <f t="shared" ref="F44:F46" si="2">$E$12</f>
        <v>t CO2-e</v>
      </c>
    </row>
    <row r="45" spans="1:17" ht="20.100000000000001" customHeight="1" x14ac:dyDescent="0.25">
      <c r="A45" s="5" t="str">
        <f>HYPERLINK("#'Constants - Electricity'!A1", "Constants - Electricity")</f>
        <v>Constants - Electricity</v>
      </c>
      <c r="D45" s="35" t="s">
        <v>527</v>
      </c>
      <c r="E45" s="207">
        <f>SUM(P25:P31)+N("Partial sum")</f>
        <v>0</v>
      </c>
      <c r="F45" s="26" t="str">
        <f t="shared" si="2"/>
        <v>t CO2-e</v>
      </c>
    </row>
    <row r="46" spans="1:17" ht="20.100000000000001" customHeight="1" x14ac:dyDescent="0.25">
      <c r="A46" s="5" t="str">
        <f>HYPERLINK("#'Constants - Fertiliser'!A1", "Constants - Fertiliser")</f>
        <v>Constants - Fertiliser</v>
      </c>
      <c r="D46" s="35" t="s">
        <v>528</v>
      </c>
      <c r="E46" s="207">
        <f>SUM(Q25:Q31)+N("Partial sum")</f>
        <v>0</v>
      </c>
      <c r="F46" s="26" t="str">
        <f t="shared" si="2"/>
        <v>t CO2-e</v>
      </c>
    </row>
    <row r="47" spans="1:17" ht="20.100000000000001" customHeight="1" x14ac:dyDescent="0.25">
      <c r="A47" s="5" t="str">
        <f>HYPERLINK("#'Constants - Fuel'!A1", "Constants - Fuel")</f>
        <v>Constants - Fuel</v>
      </c>
      <c r="H47" s="160"/>
      <c r="I47" s="160"/>
      <c r="J47" s="160"/>
      <c r="L47" s="160"/>
      <c r="N47" s="160"/>
      <c r="O47" s="160"/>
      <c r="P47" s="160"/>
      <c r="Q47" s="160"/>
    </row>
    <row r="48" spans="1:17" ht="20.100000000000001" customHeight="1" x14ac:dyDescent="0.25">
      <c r="A48" s="5" t="str">
        <f>HYPERLINK("#'Constants - Scope 3'!A1", "Constants - Scope 3")</f>
        <v>Constants - Scope 3</v>
      </c>
      <c r="D48" s="204" t="str">
        <f>"Total scope 1 - " &amp; D32</f>
        <v>Total scope 1 - Power standalone machinery or heating</v>
      </c>
      <c r="E48" s="208"/>
      <c r="F48" s="206"/>
      <c r="H48" s="160"/>
      <c r="I48" s="160"/>
      <c r="J48" s="160"/>
      <c r="L48" s="160"/>
      <c r="N48" s="160"/>
      <c r="O48" s="160"/>
      <c r="P48" s="160"/>
      <c r="Q48" s="160"/>
    </row>
    <row r="49" spans="1:17" ht="20.100000000000001" customHeight="1" x14ac:dyDescent="0.25">
      <c r="A49" s="5" t="str">
        <f>HYPERLINK("#'Constants - Common'!A1", "Constants - Common")</f>
        <v>Constants - Common</v>
      </c>
      <c r="D49" s="35" t="s">
        <v>525</v>
      </c>
      <c r="E49" s="207">
        <f>SUM(N32:N40)+N("Partial sum")</f>
        <v>29.070800000000002</v>
      </c>
      <c r="F49" s="26" t="str">
        <f t="shared" ref="F49:F52" si="3">$E$12</f>
        <v>t CO2-e</v>
      </c>
      <c r="H49" s="160"/>
      <c r="I49" s="160"/>
      <c r="J49" s="160"/>
      <c r="L49" s="160"/>
      <c r="N49" s="160"/>
      <c r="O49" s="160"/>
      <c r="P49" s="160"/>
      <c r="Q49" s="160"/>
    </row>
    <row r="50" spans="1:17" ht="20.100000000000001" customHeight="1" x14ac:dyDescent="0.25">
      <c r="A50" s="5" t="str">
        <f>HYPERLINK("#'Constants - Solid Waste'!A1", "Constants - Solid Waste")</f>
        <v>Constants - Solid Waste</v>
      </c>
      <c r="D50" s="35" t="s">
        <v>526</v>
      </c>
      <c r="E50" s="207">
        <f>SUM(O32:O40)+N("Partial sum")</f>
        <v>7.2400000000000006E-2</v>
      </c>
      <c r="F50" s="26" t="str">
        <f t="shared" si="3"/>
        <v>t CO2-e</v>
      </c>
      <c r="H50" s="160"/>
      <c r="I50" s="160"/>
      <c r="J50" s="160"/>
      <c r="L50" s="160"/>
      <c r="N50" s="160"/>
      <c r="O50" s="160"/>
      <c r="P50" s="160"/>
      <c r="Q50" s="160"/>
    </row>
    <row r="51" spans="1:17" ht="20.100000000000001" customHeight="1" x14ac:dyDescent="0.25">
      <c r="D51" s="35" t="s">
        <v>527</v>
      </c>
      <c r="E51" s="207">
        <f>SUM(P32:P40)+N("Partial sum")</f>
        <v>7.1400000000000005E-2</v>
      </c>
      <c r="F51" s="26" t="str">
        <f t="shared" si="3"/>
        <v>t CO2-e</v>
      </c>
      <c r="H51" s="160"/>
      <c r="I51" s="160"/>
      <c r="J51" s="160"/>
      <c r="L51" s="160"/>
      <c r="N51" s="160"/>
      <c r="O51" s="160"/>
      <c r="P51" s="160"/>
      <c r="Q51" s="160"/>
    </row>
    <row r="52" spans="1:17" ht="20.100000000000001" customHeight="1" x14ac:dyDescent="0.25">
      <c r="D52" s="35" t="s">
        <v>528</v>
      </c>
      <c r="E52" s="207">
        <f>SUM(Q32:Q40)+N("Partial sum")</f>
        <v>6.2923999999999998</v>
      </c>
      <c r="F52" s="26" t="str">
        <f t="shared" si="3"/>
        <v>t CO2-e</v>
      </c>
      <c r="G52" s="160"/>
      <c r="H52" s="160"/>
      <c r="I52" s="160"/>
      <c r="J52" s="160"/>
      <c r="L52" s="160"/>
      <c r="N52" s="160"/>
      <c r="O52" s="160"/>
      <c r="P52" s="160"/>
      <c r="Q52" s="160"/>
    </row>
    <row r="53" spans="1:17" ht="20.100000000000001" customHeight="1" x14ac:dyDescent="0.25">
      <c r="G53" s="160"/>
      <c r="H53" s="160"/>
      <c r="I53" s="160"/>
      <c r="J53" s="160"/>
      <c r="L53" s="160"/>
      <c r="N53" s="160"/>
      <c r="O53" s="160"/>
      <c r="P53" s="160"/>
      <c r="Q53" s="160"/>
    </row>
    <row r="54" spans="1:17" ht="20.100000000000001" customHeight="1" x14ac:dyDescent="0.25">
      <c r="D54" s="204" t="s">
        <v>539</v>
      </c>
      <c r="E54" s="208"/>
      <c r="F54" s="206"/>
      <c r="G54" s="160"/>
      <c r="H54" s="160"/>
      <c r="I54" s="160"/>
      <c r="J54" s="160"/>
      <c r="L54" s="160"/>
      <c r="N54" s="160"/>
      <c r="O54" s="160"/>
      <c r="P54" s="160"/>
      <c r="Q54" s="160"/>
    </row>
    <row r="55" spans="1:17" ht="20.100000000000001" customHeight="1" x14ac:dyDescent="0.25">
      <c r="D55" s="35" t="s">
        <v>525</v>
      </c>
      <c r="E55" s="207">
        <f>E43+E49</f>
        <v>29.070800000000002</v>
      </c>
      <c r="F55" s="26" t="str">
        <f t="shared" ref="F55:F58" si="4">$E$12</f>
        <v>t CO2-e</v>
      </c>
      <c r="G55" s="160"/>
      <c r="H55" s="160"/>
      <c r="I55" s="160"/>
      <c r="J55" s="160"/>
      <c r="L55" s="160"/>
      <c r="N55" s="160"/>
      <c r="O55" s="160"/>
      <c r="P55" s="160"/>
      <c r="Q55" s="160"/>
    </row>
    <row r="56" spans="1:17" ht="20.100000000000001" customHeight="1" x14ac:dyDescent="0.25">
      <c r="D56" s="35" t="s">
        <v>526</v>
      </c>
      <c r="E56" s="207">
        <f>E44+E50</f>
        <v>7.2400000000000006E-2</v>
      </c>
      <c r="F56" s="26" t="str">
        <f t="shared" si="4"/>
        <v>t CO2-e</v>
      </c>
      <c r="H56" s="160"/>
    </row>
    <row r="57" spans="1:17" ht="20.100000000000001" customHeight="1" x14ac:dyDescent="0.25">
      <c r="D57" s="35" t="s">
        <v>527</v>
      </c>
      <c r="E57" s="207">
        <f>E45+E51</f>
        <v>7.1400000000000005E-2</v>
      </c>
      <c r="F57" s="26" t="str">
        <f t="shared" si="4"/>
        <v>t CO2-e</v>
      </c>
      <c r="G57" s="160"/>
      <c r="H57" s="160"/>
      <c r="I57" s="160"/>
      <c r="J57" s="160"/>
      <c r="L57" s="160"/>
      <c r="N57" s="160"/>
      <c r="O57" s="160"/>
      <c r="P57" s="160"/>
      <c r="Q57" s="160"/>
    </row>
    <row r="58" spans="1:17" ht="20.100000000000001" customHeight="1" x14ac:dyDescent="0.25">
      <c r="D58" s="35" t="s">
        <v>528</v>
      </c>
      <c r="E58" s="207">
        <f>E46+E52</f>
        <v>6.2923999999999998</v>
      </c>
      <c r="F58" s="26" t="str">
        <f t="shared" si="4"/>
        <v>t CO2-e</v>
      </c>
      <c r="G58" s="160"/>
      <c r="H58" s="160"/>
      <c r="I58" s="160"/>
      <c r="J58" s="160"/>
      <c r="L58" s="160"/>
      <c r="N58" s="160"/>
      <c r="O58" s="160"/>
      <c r="P58" s="160"/>
      <c r="Q58" s="160"/>
    </row>
    <row r="59" spans="1:17" ht="20.100000000000001" customHeight="1" x14ac:dyDescent="0.25">
      <c r="G59" s="160"/>
      <c r="H59" s="160"/>
      <c r="I59" s="160"/>
      <c r="J59" s="160"/>
      <c r="L59" s="160"/>
      <c r="N59" s="160"/>
      <c r="O59" s="160"/>
      <c r="P59" s="160"/>
      <c r="Q59" s="160"/>
    </row>
    <row r="60" spans="1:17" ht="20.100000000000001" customHeight="1" x14ac:dyDescent="0.25">
      <c r="G60" s="160"/>
      <c r="H60" s="160"/>
      <c r="I60" s="160"/>
      <c r="J60" s="160"/>
      <c r="L60" s="160"/>
      <c r="N60" s="160"/>
      <c r="O60" s="160"/>
      <c r="P60" s="160"/>
      <c r="Q60" s="160"/>
    </row>
    <row r="61" spans="1:17" ht="20.100000000000001" customHeight="1" x14ac:dyDescent="0.25">
      <c r="G61" s="160"/>
      <c r="H61" s="160"/>
      <c r="I61" s="160"/>
      <c r="J61" s="160"/>
      <c r="L61" s="160"/>
      <c r="N61" s="160"/>
      <c r="O61" s="160"/>
      <c r="P61" s="160"/>
      <c r="Q61" s="160"/>
    </row>
    <row r="62" spans="1:17" ht="20.100000000000001" customHeight="1" x14ac:dyDescent="0.25">
      <c r="G62" s="160"/>
      <c r="H62" s="160"/>
      <c r="I62" s="160"/>
      <c r="J62" s="160"/>
      <c r="L62" s="160"/>
      <c r="N62" s="160"/>
      <c r="O62" s="160"/>
      <c r="P62" s="160"/>
      <c r="Q62" s="160"/>
    </row>
    <row r="63" spans="1:17" ht="20.100000000000001" customHeight="1" x14ac:dyDescent="0.25">
      <c r="G63" s="160"/>
      <c r="H63" s="160"/>
      <c r="I63" s="160"/>
      <c r="J63" s="160"/>
      <c r="L63" s="160"/>
      <c r="N63" s="160"/>
      <c r="O63" s="160"/>
      <c r="P63" s="160"/>
      <c r="Q63" s="160"/>
    </row>
    <row r="64" spans="1:17" ht="20.100000000000001" customHeight="1" x14ac:dyDescent="0.25">
      <c r="G64" s="160"/>
      <c r="H64" s="160"/>
      <c r="I64" s="160"/>
      <c r="J64" s="160"/>
      <c r="L64" s="160"/>
      <c r="N64" s="160"/>
      <c r="O64" s="160"/>
      <c r="P64" s="160"/>
      <c r="Q64" s="160"/>
    </row>
    <row r="65" spans="7:17" ht="20.100000000000001" customHeight="1" x14ac:dyDescent="0.25">
      <c r="G65" s="160"/>
      <c r="H65" s="160"/>
      <c r="I65" s="160"/>
      <c r="J65" s="160"/>
      <c r="L65" s="160"/>
      <c r="N65" s="160"/>
      <c r="O65" s="160"/>
      <c r="P65" s="160"/>
      <c r="Q65" s="160"/>
    </row>
    <row r="66" spans="7:17" ht="20.100000000000001" customHeight="1" x14ac:dyDescent="0.25">
      <c r="G66" s="160"/>
      <c r="H66" s="160"/>
      <c r="I66" s="160"/>
      <c r="J66" s="160"/>
      <c r="L66" s="160"/>
      <c r="N66" s="160"/>
      <c r="O66" s="160"/>
      <c r="P66" s="160"/>
      <c r="Q66" s="160"/>
    </row>
    <row r="67" spans="7:17" ht="20.100000000000001" customHeight="1" x14ac:dyDescent="0.25">
      <c r="G67" s="160"/>
    </row>
    <row r="68" spans="7:17" ht="20.100000000000001" customHeight="1" x14ac:dyDescent="0.25">
      <c r="G68" s="160"/>
    </row>
    <row r="69" spans="7:17" ht="20.100000000000001" customHeight="1" x14ac:dyDescent="0.25">
      <c r="G69" s="160"/>
    </row>
    <row r="70" spans="7:17" ht="20.100000000000001" customHeight="1" x14ac:dyDescent="0.25">
      <c r="G70" s="160"/>
    </row>
    <row r="71" spans="7:17" ht="20.100000000000001" customHeight="1" x14ac:dyDescent="0.25">
      <c r="G71" s="16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F41-024D-4D25-8B4A-245CD3D64BD0}">
  <dimension ref="A1:K342"/>
  <sheetViews>
    <sheetView showGridLines="0" topLeftCell="C1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475</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4" t="s">
        <v>311</v>
      </c>
      <c r="E8" s="134"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312</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6" t="str" cm="1">
        <f t="array" ref="D14:E16">_xlfn.CHOOSECOLS(Electricity_Equations.VEERG_14_1_1__1_LocationBasedScopeElectricityEmissions_Arguments(),1,2)</f>
        <v>Q_elec</v>
      </c>
      <c r="E14" s="164" t="str">
        <v>amount of electricity purchased from the grid</v>
      </c>
      <c r="F14" s="166"/>
      <c r="G14" s="156" t="str" cm="1">
        <f t="array" ref="G14:H16">_xlfn.CHOOSECOLS(Electricity_Equations.VEERG_14_1_1__1_LocationBasedScopeElectricityEmissions_Arguments(),3,4)</f>
        <v>kWh</v>
      </c>
      <c r="H14" s="138" t="str">
        <v>Input</v>
      </c>
      <c r="I14" s="164">
        <f>X_Cell_Electricity_Location_AmountPurchasedInkWh</f>
        <v>30000</v>
      </c>
      <c r="J14" s="166"/>
    </row>
    <row r="15" spans="1:11" ht="20.100000000000001" customHeight="1" x14ac:dyDescent="0.25">
      <c r="A15" s="5" t="str">
        <f>HYPERLINK("#'Input - Electricity'!A1", "Electricity")</f>
        <v>Electricity</v>
      </c>
      <c r="D15" s="156" t="str">
        <v>EF_2elec</v>
      </c>
      <c r="E15" s="164" t="str">
        <v>location-based Scope 2 emission factor for electricity</v>
      </c>
      <c r="F15" s="166"/>
      <c r="G15" s="156" t="str">
        <v>kg CO2e/kWh</v>
      </c>
      <c r="H15" s="139" t="str">
        <v>Constant</v>
      </c>
      <c r="I15" s="164" cm="1">
        <f t="array" ref="I15">Common_InputFunctions.Utility_LookupValueInTableNumber(I16,Table_SourceData_ElectricityEFs[State, Territory or grid description],Table_SourceData_ElectricityEFs[Scope 2 Emission Factors (kg CO2-e/kWh)])</f>
        <v>0.56000000000000005</v>
      </c>
      <c r="J15" s="166"/>
    </row>
    <row r="16" spans="1:11" ht="20.100000000000001" customHeight="1" x14ac:dyDescent="0.25">
      <c r="A16" s="5" t="str">
        <f>HYPERLINK("#'Input - Common farm inputs'!A1", "Common farm inputs")</f>
        <v>Common farm inputs</v>
      </c>
      <c r="D16" s="156" t="str">
        <v>g</v>
      </c>
      <c r="E16" s="164" t="str">
        <v>Grid electricity was purchased from</v>
      </c>
      <c r="F16" s="166"/>
      <c r="G16" s="156" t="str">
        <v/>
      </c>
      <c r="H16" s="138" t="str">
        <v>Input</v>
      </c>
      <c r="I16" s="164" t="str">
        <f>X_Cell_Electricity_Location_GridElectricityPurchasedFrom</f>
        <v>Western Australia - North Western Interconnected System (NWIS)</v>
      </c>
      <c r="J16" s="166"/>
    </row>
    <row r="17" spans="1:11" ht="20.100000000000001" customHeight="1" x14ac:dyDescent="0.25">
      <c r="A17" s="5" t="str">
        <f>HYPERLINK("#'Input - Crop pasture farm input'!A1", "Crop pasture farm input")</f>
        <v>Crop pasture farm input</v>
      </c>
    </row>
    <row r="18" spans="1:11" ht="20.100000000000001" customHeight="1" x14ac:dyDescent="0.25">
      <c r="A18" s="5" t="str">
        <f>HYPERLINK("#'Input - Freight'!A1", "Freight")</f>
        <v>Freight</v>
      </c>
      <c r="D18" s="151" t="s">
        <v>476</v>
      </c>
      <c r="E18" s="152" cm="1">
        <f t="array" ref="E18">Electricity_Equations.VEERG_14_1_1__1_LocationBasedScopeElectricityEmissions(I14,I15)</f>
        <v>16.8</v>
      </c>
      <c r="F18" s="153" t="str">
        <f>$E$12</f>
        <v>t CO2e</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A21" s="5" t="str">
        <f>HYPERLINK("#'Input - Data quality'!A1", "Data quality")</f>
        <v>Data quality</v>
      </c>
      <c r="C21" s="148"/>
      <c r="D21" s="148"/>
      <c r="E21" s="148"/>
      <c r="F21" s="148"/>
      <c r="G21" s="148"/>
      <c r="H21" s="148"/>
      <c r="I21" s="148"/>
      <c r="J21" s="148"/>
      <c r="K21" s="148"/>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D23" s="27" t="str" cm="1">
        <f t="array" ref="D23">Electricity_Equations.VEERG_14_1_2__1_MarketBasedScopeElectricityEmissions_Source()</f>
        <v>VEERG 2026: 14.1.2, Equation (1)</v>
      </c>
    </row>
    <row r="24" spans="1:11" ht="20.100000000000001" customHeight="1" x14ac:dyDescent="0.25">
      <c r="A24" s="6" t="s">
        <v>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HYPERLINK("#'5.1.1.1-2 Inorganic fert N2O'!A1", "5.1.1.1-2 Inorganic fert N2O")</f>
        <v>5.1.1.1-2 Inorganic fert N2O</v>
      </c>
      <c r="D25" s="134" t="s">
        <v>311</v>
      </c>
      <c r="E25" s="134"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row>
    <row r="28" spans="1:11" ht="20.100000000000001" customHeight="1" x14ac:dyDescent="0.25">
      <c r="A28" s="5" t="str">
        <f>HYPERLINK("#'5.3.1.1-2 Lime CO2'!A1", "5.3.1.1-2 Lime CO2")</f>
        <v>5.3.1.1-2 Lime CO2</v>
      </c>
      <c r="D28" s="88" t="s">
        <v>312</v>
      </c>
      <c r="E28" s="1" t="str" cm="1">
        <f t="array" ref="E28">Electricity_Equations.VEERG_14_1_2__1_MarketBasedScopeElectricityEmissions_Variable()</f>
        <v>E_2elec</v>
      </c>
    </row>
    <row r="29" spans="1:11" ht="20.100000000000001" customHeight="1" x14ac:dyDescent="0.25">
      <c r="A29" s="5" t="str">
        <f>HYPERLINK("#'5.4.1.1-4 Atmos deposition'!A1", "5.4.1.1-4 Atmos. deposition")</f>
        <v>5.4.1.1-4 Atmos. deposition</v>
      </c>
      <c r="D29" s="88" t="s">
        <v>121</v>
      </c>
      <c r="E29" s="15" t="str" cm="1">
        <f t="array" ref="E29">Electricity_Equations.VEERG_14_1_2__1_MarketBasedScopeElectricityEmissions_Unit()</f>
        <v>t CO2e</v>
      </c>
    </row>
    <row r="30" spans="1:11" ht="20.100000000000001" customHeight="1" x14ac:dyDescent="0.25">
      <c r="A30" s="5" t="str">
        <f>HYPERLINK("#'5.5.1.1-2 Leaching and runoff'!A1", "5.5.1.1-2 Leaching &amp; runoff")</f>
        <v>5.5.1.1-2 Leaching &amp; runoff</v>
      </c>
    </row>
    <row r="31" spans="1:11" ht="20.100000000000001" customHeight="1" x14ac:dyDescent="0.25">
      <c r="A31" s="5" t="str">
        <f>HYPERLINK("#'6.1.1.1-2 Crop residue N2O'!A1", "6.1.1.1-2 Crop residue N2O")</f>
        <v>6.1.1.1-2 Crop residue N2O</v>
      </c>
      <c r="D31" s="156" t="str" cm="1">
        <f t="array" ref="D31:E37">_xlfn.CHOOSECOLS(Electricity_Equations.VEERG_14_1_2__1_MarketBasedScopeElectricityEmissions_Arguments(),1,2)</f>
        <v>Q_elec</v>
      </c>
      <c r="E31" s="164" t="str">
        <v>amount of electricity purchased from the grid</v>
      </c>
      <c r="F31" s="165"/>
      <c r="G31" s="165"/>
      <c r="H31" s="156" t="str" cm="1">
        <f t="array" ref="H31:I37">_xlfn.CHOOSECOLS(Electricity_Equations.VEERG_14_1_2__1_MarketBasedScopeElectricityEmissions_Arguments(),3,4)</f>
        <v>kWh</v>
      </c>
      <c r="I31" s="138" t="str">
        <v>Input</v>
      </c>
      <c r="J31" s="156">
        <f>X_Cell_Electricity_Market_AmountPurchasedExcludingGreenPower</f>
        <v>30000</v>
      </c>
    </row>
    <row r="32" spans="1:11" ht="20.100000000000001" customHeight="1" x14ac:dyDescent="0.25">
      <c r="A32" s="5" t="str">
        <f>HYPERLINK("#'6.3.1.1-2 Leach runoff crop'!A1", "6.3.1.1-2 Leach &amp; runoff (crop)")</f>
        <v>6.3.1.1-2 Leach &amp; runoff (crop)</v>
      </c>
      <c r="D32" s="156" t="str">
        <v>RPP</v>
      </c>
      <c r="E32" s="164" t="str">
        <v>Renewable Power Percentage under the Large-scale Renewable Energy Target (LRET)</v>
      </c>
      <c r="F32" s="165"/>
      <c r="G32" s="165"/>
      <c r="H32" s="156" t="str">
        <v>per cent</v>
      </c>
      <c r="I32" s="138" t="str">
        <v>Input</v>
      </c>
      <c r="J32" s="181">
        <f>X_Cell_Electricity_Market_RenewablePowerPercentage</f>
        <v>0.1</v>
      </c>
    </row>
    <row r="33" spans="1:10" ht="20.100000000000001" customHeight="1" x14ac:dyDescent="0.25">
      <c r="A33" s="5" t="str">
        <f>HYPERLINK("#'6.4.1.1-2 Residue burning'!A1", "6.4.1.1-2 Residue burning")</f>
        <v>6.4.1.1-2 Residue burning</v>
      </c>
      <c r="D33" s="156" t="str">
        <v>JRPP</v>
      </c>
      <c r="E33" s="164" t="str">
        <v>jurisdictional renewable power percentage for the applicable period (ACT only)</v>
      </c>
      <c r="F33" s="165"/>
      <c r="G33" s="165"/>
      <c r="H33" s="156" t="str">
        <v>per cent</v>
      </c>
      <c r="I33" s="138" t="str">
        <v>Input</v>
      </c>
      <c r="J33" s="181" t="str">
        <f>IF(J37="ACT", X_Cell_Electricity_Market_JurisdictionalRenewablePowerPercentage, "N/A")</f>
        <v>N/A</v>
      </c>
    </row>
    <row r="34" spans="1:10" ht="20.100000000000001" customHeight="1" x14ac:dyDescent="0.25">
      <c r="A34" s="5" t="str">
        <f>HYPERLINK("#'8.1.1.1-2 Transport fuel'!A1", "8.1.1.1-2 Transport fuel")</f>
        <v>8.1.1.1-2 Transport fuel</v>
      </c>
      <c r="D34" s="156" t="str">
        <v>REC_surrendered</v>
      </c>
      <c r="E34" s="164" t="str">
        <v>Renewable Energy Certificates voluntarily surrendered in the reporting year</v>
      </c>
      <c r="F34" s="165"/>
      <c r="G34" s="165"/>
      <c r="H34" s="156" t="str">
        <v>MWh</v>
      </c>
      <c r="I34" s="138" t="str">
        <v>Input</v>
      </c>
      <c r="J34" s="156">
        <f>(X_Cell_Electricity_Market_AmountPurchasedGreenPower*10^-3)+X_Cell_TotalElegibleVoluntarilySurrenderedRECs</f>
        <v>15</v>
      </c>
    </row>
    <row r="35" spans="1:10" ht="20.100000000000001" customHeight="1" x14ac:dyDescent="0.25">
      <c r="A35" s="5" t="str">
        <f>HYPERLINK("#'8.2.1.1-2 Stationary fuel'!A1", "8.2.1.1-2 Stationary fuel")</f>
        <v>8.2.1.1-2 Stationary fuel</v>
      </c>
      <c r="D35" s="156" t="str">
        <v>REC_onsite</v>
      </c>
      <c r="E35" s="164" t="str">
        <v>Renewable Energy Certificates issued for electricity produced on-site during the year and consumed by the entity</v>
      </c>
      <c r="F35" s="165"/>
      <c r="G35" s="165"/>
      <c r="H35" s="156" t="str">
        <v>MWh</v>
      </c>
      <c r="I35" s="138" t="str">
        <v>Input</v>
      </c>
      <c r="J35" s="156">
        <f>X_Cell_TotalElegibleRECsForElectricityProducedOnSite</f>
        <v>0</v>
      </c>
    </row>
    <row r="36" spans="1:10" ht="20.100000000000001" customHeight="1" x14ac:dyDescent="0.25">
      <c r="A36" s="143" t="str">
        <f>HYPERLINK("#'14.1.1-2 Purchased electricity'!A1", "14.1.1-2 Purchased electricity")</f>
        <v>14.1.1-2 Purchased electricity</v>
      </c>
      <c r="D36" s="156" t="str">
        <v>EF_RMF2elec</v>
      </c>
      <c r="E36" s="164" t="str">
        <v>Scope 2 residual mix emission factor for electricity</v>
      </c>
      <c r="F36" s="165"/>
      <c r="G36" s="165"/>
      <c r="H36" s="156" t="str">
        <v>kg CO2e/kWh</v>
      </c>
      <c r="I36" s="139" t="str">
        <v>Constant</v>
      </c>
      <c r="J36" s="156" cm="1">
        <f t="array" ref="J36">Table_SourceData_ElectricityEFsMarketBased[Scope 2 EF (kg CO2-e/kWh)]</f>
        <v>0.81</v>
      </c>
    </row>
    <row r="37" spans="1:10" ht="20.100000000000001" customHeight="1" x14ac:dyDescent="0.25">
      <c r="A37" s="5" t="str">
        <f>HYPERLINK("#'15 Scope 3'!A1", "15 Scope 3")</f>
        <v>15 Scope 3</v>
      </c>
      <c r="D37" s="156" t="str">
        <v>i</v>
      </c>
      <c r="E37" s="164" t="str">
        <v>state</v>
      </c>
      <c r="F37" s="165"/>
      <c r="G37" s="166"/>
      <c r="H37" s="156" t="str">
        <v/>
      </c>
      <c r="I37" s="138" t="str">
        <v>Input</v>
      </c>
      <c r="J37" s="156" t="str">
        <f>X_Cell_Site_State</f>
        <v>Western Australia</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HYPERLINK("#'10.1.1-2 Solid waste treatment'!A1", "10.1.1-2 Solid waste treatment")</f>
        <v>10.1.1-2 Solid waste treatment</v>
      </c>
      <c r="D39" s="151" t="s">
        <v>476</v>
      </c>
      <c r="E39" s="152" cm="1">
        <f t="array" ref="E39">Electricity_Equations.VEERG_14_1_2__1_MarketBasedScopeElectricityEmissionsVariation(J31,J32,IF(ISNUMBER(J33), J33, 0),J34,J35,J36)</f>
        <v>9.7200000000000006</v>
      </c>
      <c r="F39" s="153" t="str">
        <f>E29</f>
        <v>t CO2e</v>
      </c>
    </row>
    <row r="40" spans="1:10" ht="20.100000000000001" customHeight="1" x14ac:dyDescent="0.25">
      <c r="H40" s="1" t="s">
        <v>470</v>
      </c>
    </row>
    <row r="41" spans="1:10" ht="20.100000000000001" customHeight="1" x14ac:dyDescent="0.25"/>
    <row r="42" spans="1:10" ht="20.100000000000001" customHeight="1" x14ac:dyDescent="0.25">
      <c r="A42" s="94" t="s">
        <v>1</v>
      </c>
    </row>
    <row r="43" spans="1:10" ht="20.100000000000001" customHeight="1" x14ac:dyDescent="0.25">
      <c r="A43" s="5" t="str">
        <f>HYPERLINK("#'Constants - Ag Residue'!A1", "Constants - Ag residue")</f>
        <v>Constants - Ag residue</v>
      </c>
    </row>
    <row r="44" spans="1:10" ht="20.100000000000001" customHeight="1" x14ac:dyDescent="0.25">
      <c r="A44" s="5" t="str">
        <f>HYPERLINK("#'Constants - Common Livestock'!A1", "Constants - Common Livestock")</f>
        <v>Constants - Common Livestock</v>
      </c>
      <c r="E44" s="115"/>
    </row>
    <row r="45" spans="1:10" ht="20.100000000000001" customHeight="1" x14ac:dyDescent="0.25">
      <c r="A45" s="5" t="str">
        <f>HYPERLINK("#'Constants - Electricity'!A1", "Constants - Electricity")</f>
        <v>Constants - Electricity</v>
      </c>
    </row>
    <row r="46" spans="1:10" ht="20.100000000000001" customHeight="1" x14ac:dyDescent="0.25">
      <c r="A46" s="5" t="str">
        <f>HYPERLINK("#'Constants - Fertiliser'!A1", "Constants - Fertiliser")</f>
        <v>Constants - Fertiliser</v>
      </c>
    </row>
    <row r="47" spans="1:10" ht="20.100000000000001" customHeight="1" x14ac:dyDescent="0.25">
      <c r="A47" s="5" t="str">
        <f>HYPERLINK("#'Constants - Fuel'!A1", "Constants - Fuel")</f>
        <v>Constants - Fuel</v>
      </c>
    </row>
    <row r="48" spans="1:10"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7C538287-3C73-42FF-94E5-AF9AC7EDED62}"/>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81006-A0FB-4A08-8734-C9CDEA80FA5D}">
  <sheetPr>
    <tabColor theme="9" tint="-0.249977111117893"/>
  </sheetPr>
  <dimension ref="A1:AO642"/>
  <sheetViews>
    <sheetView showGridLines="0" tabSelected="1" topLeftCell="A138" zoomScaleNormal="100" workbookViewId="0">
      <selection activeCell="E165" sqref="E165"/>
    </sheetView>
  </sheetViews>
  <sheetFormatPr defaultRowHeight="15.75" x14ac:dyDescent="0.25"/>
  <cols>
    <col min="1" max="1" width="3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31" customFormat="1" ht="30" customHeight="1" x14ac:dyDescent="0.35">
      <c r="A1" s="16" t="e" vm="1">
        <v>#VALUE!</v>
      </c>
      <c r="C1" s="31" t="s">
        <v>803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4" t="s">
        <v>311</v>
      </c>
      <c r="E7" s="134"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4"/>
    </row>
    <row r="10" spans="1:41" ht="20.100000000000001" customHeight="1" x14ac:dyDescent="0.25">
      <c r="A10" s="5" t="str">
        <f>HYPERLINK("#'Input - Site'!A1", "Site")</f>
        <v>Site</v>
      </c>
      <c r="D10" s="88" t="s">
        <v>312</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6" t="str" cm="1">
        <f t="array" ref="D13:E17">_xlfn.CHOOSECOLS(Scope3_Equations.VEERG_15_1_1_1__1_EmissionsFromPurchasedLivestock_Arguments(),1,2)</f>
        <v>N_co</v>
      </c>
      <c r="E13" s="164" t="str">
        <v>number of animals purchased in livestock type c from origin o</v>
      </c>
      <c r="F13" s="166"/>
      <c r="G13" s="156" t="str" cm="1">
        <f t="array" ref="G13:H17">_xlfn.CHOOSECOLS(Scope3_Equations.VEERG_15_1_1_1__1_EmissionsFromPurchasedLivestock_Arguments(),3,4)</f>
        <v>head</v>
      </c>
      <c r="H13" s="249" t="str">
        <v>Input</v>
      </c>
    </row>
    <row r="14" spans="1:41" ht="20.100000000000001" customHeight="1" x14ac:dyDescent="0.25">
      <c r="A14" s="5" t="str">
        <f>HYPERLINK("#'Input - Fuel'!A1", "Fuel")</f>
        <v>Fuel</v>
      </c>
      <c r="D14" s="156" t="str">
        <v>W_co</v>
      </c>
      <c r="E14" s="164" t="str">
        <v>average liveweight of purchased livestock at point of purchase</v>
      </c>
      <c r="F14" s="166"/>
      <c r="G14" s="156" t="str">
        <v>kg/head</v>
      </c>
      <c r="H14" s="249" t="str">
        <v>Input</v>
      </c>
    </row>
    <row r="15" spans="1:41" ht="20.100000000000001" customHeight="1" x14ac:dyDescent="0.25">
      <c r="A15" s="5" t="str">
        <f>HYPERLINK("#'Input - Electricity'!A1", "Electricity")</f>
        <v>Electricity</v>
      </c>
      <c r="D15" s="156" t="str">
        <v>EF_co</v>
      </c>
      <c r="E15" s="164" t="str">
        <v>emission factor per livestock type and origin</v>
      </c>
      <c r="F15" s="166"/>
      <c r="G15" s="156" t="str">
        <v>kg CO2e/kg</v>
      </c>
      <c r="H15" s="139" t="str">
        <v>Constant</v>
      </c>
    </row>
    <row r="16" spans="1:41" ht="20.100000000000001" customHeight="1" x14ac:dyDescent="0.25">
      <c r="A16" s="5" t="str">
        <f>HYPERLINK("#'Input - Common farm inputs'!A1", "Common farm inputs")</f>
        <v>Common farm inputs</v>
      </c>
      <c r="D16" s="156" t="str">
        <v>c</v>
      </c>
      <c r="E16" s="164" t="str">
        <v>livestock type</v>
      </c>
      <c r="F16" s="166"/>
      <c r="G16" s="156" t="str">
        <v/>
      </c>
      <c r="H16" s="249" t="str">
        <v>Input</v>
      </c>
    </row>
    <row r="17" spans="1:16" ht="20.100000000000001" customHeight="1" x14ac:dyDescent="0.25">
      <c r="A17" s="5" t="str">
        <f>HYPERLINK("#'Input - Crop pasture farm input'!A1", "Crop pasture farm input")</f>
        <v>Crop pasture farm input</v>
      </c>
      <c r="D17" s="156" t="str">
        <v>o</v>
      </c>
      <c r="E17" s="164" t="str">
        <v>origin</v>
      </c>
      <c r="F17" s="166"/>
      <c r="G17" s="156" t="str">
        <v/>
      </c>
      <c r="H17" s="249" t="str">
        <v>Input</v>
      </c>
    </row>
    <row r="18" spans="1:16" ht="20.100000000000001" customHeight="1" x14ac:dyDescent="0.25">
      <c r="A18" s="5" t="str">
        <f>HYPERLINK("#'Input - Freight'!A1", "Freight")</f>
        <v>Freight</v>
      </c>
    </row>
    <row r="19" spans="1:16" ht="20.100000000000001" customHeight="1" x14ac:dyDescent="0.25">
      <c r="A19" s="5" t="str">
        <f>HYPERLINK("#'Input - Manure sent off-site'!A1", "Manure sent off-site")</f>
        <v>Manure sent off-site</v>
      </c>
      <c r="D19" s="46" t="s">
        <v>804</v>
      </c>
      <c r="E19" s="48"/>
      <c r="F19" s="49"/>
    </row>
    <row r="20" spans="1:16" ht="20.100000000000001" customHeight="1" x14ac:dyDescent="0.25">
      <c r="A20" s="5" t="str">
        <f>HYPERLINK("#'Input - Solid waste'!A1", "Solid waste")</f>
        <v>Solid waste</v>
      </c>
    </row>
    <row r="21" spans="1:16" ht="20.100000000000001" customHeight="1" x14ac:dyDescent="0.25">
      <c r="A21" s="5" t="str">
        <f>HYPERLINK("#'Input - Data quality'!A1", "Data quality")</f>
        <v>Data quality</v>
      </c>
      <c r="D21" s="244" t="s">
        <v>805</v>
      </c>
    </row>
    <row r="22" spans="1:16" ht="20.100000000000001" customHeight="1" x14ac:dyDescent="0.25">
      <c r="A22"/>
      <c r="D22" s="92" t="s">
        <v>806</v>
      </c>
      <c r="E22" s="250" t="s">
        <v>807</v>
      </c>
      <c r="F22" s="250" t="s">
        <v>808</v>
      </c>
      <c r="G22" s="250" t="s">
        <v>809</v>
      </c>
      <c r="H22" s="250" t="s">
        <v>810</v>
      </c>
      <c r="I22" s="147" t="s">
        <v>811</v>
      </c>
      <c r="J22" s="147" t="s">
        <v>812</v>
      </c>
      <c r="K22" s="250" t="s">
        <v>813</v>
      </c>
      <c r="L22" s="92" t="s">
        <v>814</v>
      </c>
      <c r="M22" s="147" t="s">
        <v>815</v>
      </c>
      <c r="N22" s="92" t="s">
        <v>816</v>
      </c>
      <c r="O22" s="92" t="s">
        <v>817</v>
      </c>
      <c r="P22" s="92" t="s">
        <v>818</v>
      </c>
    </row>
    <row r="23" spans="1:16" ht="20.100000000000001" customHeight="1" x14ac:dyDescent="0.25">
      <c r="A23"/>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1" cm="1">
        <f t="array" ref="J23">Scope3_Equations.VEERG_15_1_1_1__1_EmissionsFromPurchasedLivestock(G23,H23,I23)</f>
        <v>0</v>
      </c>
      <c r="K23" s="25"/>
      <c r="L23" s="86">
        <v>20</v>
      </c>
      <c r="M23" s="251" cm="1">
        <f t="array" ref="M23">Scope3_Equations.VEERG_15_1_1_1__1_EmissionsFromPurchasedLivestock(G23,K23,IF(L23, L23, I23))</f>
        <v>0</v>
      </c>
      <c r="N23" s="44" t="s">
        <v>819</v>
      </c>
      <c r="O23" s="23" t="s">
        <v>820</v>
      </c>
      <c r="P23" s="239" t="s">
        <v>821</v>
      </c>
    </row>
    <row r="24" spans="1:16" ht="20.100000000000001" customHeight="1" x14ac:dyDescent="0.25">
      <c r="A24" s="6" t="s">
        <v>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1" cm="1">
        <f t="array" ref="J24">Scope3_Equations.VEERG_15_1_1_1__1_EmissionsFromPurchasedLivestock(G24,H24,I24)</f>
        <v>0</v>
      </c>
      <c r="K24" s="25"/>
      <c r="L24" s="86">
        <v>13</v>
      </c>
      <c r="M24" s="251" cm="1">
        <f t="array" ref="M24">Scope3_Equations.VEERG_15_1_1_1__1_EmissionsFromPurchasedLivestock(G24,K24,IF(L24, L24, I24))</f>
        <v>0</v>
      </c>
      <c r="N24" s="44"/>
      <c r="O24" s="23"/>
      <c r="P24" s="44"/>
    </row>
    <row r="25" spans="1:16" ht="20.100000000000001" customHeight="1" x14ac:dyDescent="0.25">
      <c r="A25" s="5" t="str">
        <f>HYPERLINK("#'5.1.1.1-2 Inorganic fert N2O'!A1", "5.1.1.1-2 Inorganic fert N2O")</f>
        <v>5.1.1.1-2 Inorganic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1" cm="1">
        <f t="array" ref="J25">Scope3_Equations.VEERG_15_1_1_1__1_EmissionsFromPurchasedLivestock(G25,H25,I25)</f>
        <v>0</v>
      </c>
      <c r="K25" s="25"/>
      <c r="L25" s="86"/>
      <c r="M25" s="251" cm="1">
        <f t="array" ref="M25">Scope3_Equations.VEERG_15_1_1_1__1_EmissionsFromPurchasedLivestock(G25,K25,IF(L25, L25, I25))</f>
        <v>0</v>
      </c>
      <c r="N25" s="44"/>
      <c r="O25" s="23"/>
      <c r="P25" s="44"/>
    </row>
    <row r="26" spans="1:16" ht="20.100000000000001" customHeight="1" x14ac:dyDescent="0.25">
      <c r="A26" s="5" t="str">
        <f>HYPERLINK("#'5.1.1.3-4 Inorganic fert CO2'!A1", "5.1.1.3-4 Inorganic fert CO2")</f>
        <v>5.1.1.3-4 Inorganic fert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1" cm="1">
        <f t="array" ref="J26">Scope3_Equations.VEERG_15_1_1_1__1_EmissionsFromPurchasedLivestock(G26,H26,I26)</f>
        <v>0</v>
      </c>
      <c r="K26" s="25"/>
      <c r="L26" s="86"/>
      <c r="M26" s="251" cm="1">
        <f t="array" ref="M26">Scope3_Equations.VEERG_15_1_1_1__1_EmissionsFromPurchasedLivestock(G26,K26,IF(L26, L26, I26))</f>
        <v>0</v>
      </c>
      <c r="N26" s="44"/>
      <c r="O26" s="23"/>
      <c r="P26" s="44"/>
    </row>
    <row r="27" spans="1:16" ht="20.100000000000001" customHeight="1" x14ac:dyDescent="0.25">
      <c r="A27" s="5" t="str">
        <f>HYPERLINK("#'5.2.1.1-2 Organic Fert N2O'!A1", "5.2.1.1-2 Organic fert N2O")</f>
        <v>5.2.1.1-2 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1" cm="1">
        <f t="array" ref="J27">Scope3_Equations.VEERG_15_1_1_1__1_EmissionsFromPurchasedLivestock(G27,H27,I27)</f>
        <v>0</v>
      </c>
      <c r="K27" s="25"/>
      <c r="L27" s="86"/>
      <c r="M27" s="251" cm="1">
        <f t="array" ref="M27">Scope3_Equations.VEERG_15_1_1_1__1_EmissionsFromPurchasedLivestock(G27,K27,IF(L27, L27, I27))</f>
        <v>0</v>
      </c>
      <c r="N27" s="44"/>
      <c r="O27" s="23"/>
      <c r="P27" s="44"/>
    </row>
    <row r="28" spans="1:16" ht="20.100000000000001" customHeight="1" x14ac:dyDescent="0.25">
      <c r="A28" s="5" t="str">
        <f>HYPERLINK("#'5.3.1.1-2 Lime CO2'!A1", "5.3.1.1-2 Lime CO2")</f>
        <v>5.3.1.1-2 Lime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1" cm="1">
        <f t="array" ref="J28">Scope3_Equations.VEERG_15_1_1_1__1_EmissionsFromPurchasedLivestock(G28,H28,I28)</f>
        <v>0</v>
      </c>
      <c r="K28" s="25"/>
      <c r="L28" s="86"/>
      <c r="M28" s="251" cm="1">
        <f t="array" ref="M28">Scope3_Equations.VEERG_15_1_1_1__1_EmissionsFromPurchasedLivestock(G28,K28,IF(L28, L28, I28))</f>
        <v>0</v>
      </c>
      <c r="N28" s="44"/>
      <c r="O28" s="23"/>
      <c r="P28" s="44"/>
    </row>
    <row r="29" spans="1:16" ht="20.100000000000001" customHeight="1" x14ac:dyDescent="0.25">
      <c r="A29" s="5" t="str">
        <f>HYPERLINK("#'5.4.1.1-4 Atmos deposition'!A1", "5.4.1.1-4 Atmos. deposition")</f>
        <v>5.4.1.1-4 Atmos. deposition</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1" cm="1">
        <f t="array" ref="J29">Scope3_Equations.VEERG_15_1_1_1__1_EmissionsFromPurchasedLivestock(G29,H29,I29)</f>
        <v>0</v>
      </c>
      <c r="K29" s="25"/>
      <c r="L29" s="86"/>
      <c r="M29" s="251" cm="1">
        <f t="array" ref="M29">Scope3_Equations.VEERG_15_1_1_1__1_EmissionsFromPurchasedLivestock(G29,K29,IF(L29, L29, I29))</f>
        <v>0</v>
      </c>
      <c r="N29" s="44"/>
      <c r="O29" s="23"/>
      <c r="P29" s="44"/>
    </row>
    <row r="30" spans="1:16" ht="20.100000000000001" customHeight="1" x14ac:dyDescent="0.25">
      <c r="A30" s="5" t="str">
        <f>HYPERLINK("#'5.5.1.1-2 Leaching and runoff'!A1", "5.5.1.1-2 Leaching &amp; runoff")</f>
        <v>5.5.1.1-2 Leaching &amp; runoff</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1" cm="1">
        <f t="array" ref="J30">Scope3_Equations.VEERG_15_1_1_1__1_EmissionsFromPurchasedLivestock(G30,H30,I30)</f>
        <v>0</v>
      </c>
      <c r="K30" s="25"/>
      <c r="L30" s="86"/>
      <c r="M30" s="251" cm="1">
        <f t="array" ref="M30">Scope3_Equations.VEERG_15_1_1_1__1_EmissionsFromPurchasedLivestock(G30,K30,IF(L30, L30, I30))</f>
        <v>0</v>
      </c>
      <c r="N30" s="44"/>
      <c r="O30" s="23"/>
      <c r="P30" s="44"/>
    </row>
    <row r="31" spans="1:16" ht="20.100000000000001" customHeight="1" x14ac:dyDescent="0.25">
      <c r="A31" s="5" t="str">
        <f>HYPERLINK("#'6.1.1.1-2 Crop residue N2O'!A1", "6.1.1.1-2 Crop residue N2O")</f>
        <v>6.1.1.1-2 Crop residue N2O</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1" cm="1">
        <f t="array" ref="J31">Scope3_Equations.VEERG_15_1_1_1__1_EmissionsFromPurchasedLivestock(G31,H31,I31)</f>
        <v>0</v>
      </c>
      <c r="K31" s="25"/>
      <c r="L31" s="86"/>
      <c r="M31" s="251" cm="1">
        <f t="array" ref="M31">Scope3_Equations.VEERG_15_1_1_1__1_EmissionsFromPurchasedLivestock(G31,K31,IF(L31, L31, I31))</f>
        <v>0</v>
      </c>
      <c r="N31" s="44"/>
      <c r="O31" s="23"/>
      <c r="P31" s="44"/>
    </row>
    <row r="32" spans="1:16" ht="20.100000000000001" customHeight="1" x14ac:dyDescent="0.25">
      <c r="A32" s="5" t="str">
        <f>HYPERLINK("#'6.3.1.1-2 Leach runoff crop'!A1", "6.3.1.1-2 Leach &amp; runoff (crop)")</f>
        <v>6.3.1.1-2 Leach &amp; runoff (crop)</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1" cm="1">
        <f t="array" ref="J32">Scope3_Equations.VEERG_15_1_1_1__1_EmissionsFromPurchasedLivestock(G32,H32,I32)</f>
        <v>0</v>
      </c>
      <c r="K32" s="25"/>
      <c r="L32" s="86"/>
      <c r="M32" s="251" cm="1">
        <f t="array" ref="M32">Scope3_Equations.VEERG_15_1_1_1__1_EmissionsFromPurchasedLivestock(G32,K32,IF(L32, L32, I32))</f>
        <v>0</v>
      </c>
      <c r="N32" s="44"/>
      <c r="O32" s="23"/>
      <c r="P32" s="44"/>
    </row>
    <row r="33" spans="1:13" ht="20.100000000000001" customHeight="1" x14ac:dyDescent="0.25">
      <c r="A33" s="5" t="str">
        <f>HYPERLINK("#'6.4.1.1-2 Residue burning'!A1", "6.4.1.1-2 Residue burning")</f>
        <v>6.4.1.1-2 Residue burning</v>
      </c>
    </row>
    <row r="34" spans="1:13" ht="20.100000000000001" customHeight="1" x14ac:dyDescent="0.25">
      <c r="A34" s="5" t="str">
        <f>HYPERLINK("#'8.1.1.1-2 Transport fuel'!A1", "8.1.1.1-2 Transport fuel")</f>
        <v>8.1.1.1-2 Transport fuel</v>
      </c>
      <c r="D34" s="161" t="s">
        <v>822</v>
      </c>
      <c r="E34" s="148">
        <f>SUM(J23:J32)</f>
        <v>0</v>
      </c>
      <c r="F34" s="155" t="str">
        <f>$E$11</f>
        <v>t CO2e</v>
      </c>
    </row>
    <row r="35" spans="1:13" ht="20.100000000000001" customHeight="1" x14ac:dyDescent="0.25">
      <c r="A35" s="5" t="str">
        <f>HYPERLINK("#'8.2.1.1-2 Stationary fuel'!A1", "8.2.1.1-2 Stationary fuel")</f>
        <v>8.2.1.1-2 Stationary fuel</v>
      </c>
      <c r="D35" s="161" t="s">
        <v>823</v>
      </c>
      <c r="E35" s="148">
        <f>SUM(M23:M32)</f>
        <v>0</v>
      </c>
      <c r="F35" s="155" t="str">
        <f>$E$11</f>
        <v>t CO2e</v>
      </c>
    </row>
    <row r="36" spans="1:13" ht="20.100000000000001" customHeight="1" x14ac:dyDescent="0.25">
      <c r="A36" s="5" t="str">
        <f>HYPERLINK("#'14.1.1-2 Purchased electricity'!A1", "14.1.1-2 Purchased electricity")</f>
        <v>14.1.1-2 Purchased electricity</v>
      </c>
    </row>
    <row r="37" spans="1:13" ht="20.100000000000001" customHeight="1" x14ac:dyDescent="0.25">
      <c r="A37" s="143" t="str">
        <f>HYPERLINK("#'15 Scope 3'!A1", "15 Scope 3")</f>
        <v>15 Scope 3</v>
      </c>
    </row>
    <row r="38" spans="1:13" ht="20.100000000000001" customHeight="1" x14ac:dyDescent="0.25">
      <c r="A38" s="5" t="str">
        <f>HYPERLINK("#'Calcs - Manure sent off-site'!A1", "Calcs - Manure sent off-site")</f>
        <v>Calcs - Manure sent off-site</v>
      </c>
      <c r="D38" s="244" t="s">
        <v>824</v>
      </c>
    </row>
    <row r="39" spans="1:13" ht="20.100000000000001" customHeight="1" x14ac:dyDescent="0.25">
      <c r="A39" s="5" t="str">
        <f>HYPERLINK("#'10.1.1-2 Solid waste treatment'!A1", "10.1.1-2 Solid waste treatment")</f>
        <v>10.1.1-2 Solid waste treatment</v>
      </c>
      <c r="D39" s="156" t="s">
        <v>825</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row>
    <row r="41" spans="1:13" ht="20.100000000000001" customHeight="1" x14ac:dyDescent="0.25">
      <c r="A41"/>
      <c r="D41" s="92" t="s">
        <v>806</v>
      </c>
      <c r="E41" s="250" t="s">
        <v>809</v>
      </c>
      <c r="F41" s="250" t="s">
        <v>810</v>
      </c>
      <c r="G41" s="147" t="s">
        <v>812</v>
      </c>
      <c r="H41" s="250" t="s">
        <v>813</v>
      </c>
      <c r="I41" s="92" t="s">
        <v>814</v>
      </c>
      <c r="J41" s="147" t="s">
        <v>815</v>
      </c>
      <c r="K41" s="92" t="s">
        <v>816</v>
      </c>
      <c r="L41" s="92" t="s">
        <v>817</v>
      </c>
      <c r="M41" s="92" t="s">
        <v>818</v>
      </c>
    </row>
    <row r="42" spans="1:13" ht="20.100000000000001" customHeight="1" x14ac:dyDescent="0.25">
      <c r="A42" s="94" t="s">
        <v>1</v>
      </c>
      <c r="D42" s="25"/>
      <c r="E42" s="25"/>
      <c r="F42" s="25"/>
      <c r="G42" s="251" cm="1">
        <f t="array" ref="G42">Scope3_Equations.VEERG_15_1_1_1__1_EmissionsFromPurchasedLivestock(E42,F42,$E$39)</f>
        <v>0</v>
      </c>
      <c r="H42" s="25"/>
      <c r="I42" s="86">
        <v>4</v>
      </c>
      <c r="J42" s="251" cm="1">
        <f t="array" ref="J42">Scope3_Equations.VEERG_15_1_1_1__1_EmissionsFromPurchasedLivestock(E42,H42,IF(I42,I42,$E$39))</f>
        <v>0</v>
      </c>
      <c r="K42" s="44" t="s">
        <v>819</v>
      </c>
      <c r="L42" s="23" t="s">
        <v>820</v>
      </c>
      <c r="M42" s="239" t="s">
        <v>821</v>
      </c>
    </row>
    <row r="43" spans="1:13" ht="20.100000000000001" customHeight="1" x14ac:dyDescent="0.25">
      <c r="A43" s="5" t="str">
        <f>HYPERLINK("#'Constants - Ag Residue'!A1", "Constants - Ag residue")</f>
        <v>Constants - Ag residue</v>
      </c>
      <c r="D43" s="25"/>
      <c r="E43" s="25"/>
      <c r="F43" s="25"/>
      <c r="G43" s="251" cm="1">
        <f t="array" ref="G43">Scope3_Equations.VEERG_15_1_1_1__1_EmissionsFromPurchasedLivestock(E43,F43,$E$39)</f>
        <v>0</v>
      </c>
      <c r="H43" s="25"/>
      <c r="I43" s="86"/>
      <c r="J43" s="251" cm="1">
        <f t="array" ref="J43">Scope3_Equations.VEERG_15_1_1_1__1_EmissionsFromPurchasedLivestock(E43,H43,IF(I43,I43,$E$39))</f>
        <v>0</v>
      </c>
      <c r="K43" s="44"/>
      <c r="L43" s="23"/>
      <c r="M43" s="44"/>
    </row>
    <row r="44" spans="1:13" ht="20.100000000000001" customHeight="1" x14ac:dyDescent="0.25">
      <c r="A44" s="5" t="str">
        <f>HYPERLINK("#'Constants - Common Livestock'!A1", "Constants - Common Livestock")</f>
        <v>Constants - Common Livestock</v>
      </c>
      <c r="D44" s="25"/>
      <c r="E44" s="25"/>
      <c r="F44" s="25"/>
      <c r="G44" s="251" cm="1">
        <f t="array" ref="G44">Scope3_Equations.VEERG_15_1_1_1__1_EmissionsFromPurchasedLivestock(E44,F44,$E$39)</f>
        <v>0</v>
      </c>
      <c r="H44" s="25"/>
      <c r="I44" s="86"/>
      <c r="J44" s="251" cm="1">
        <f t="array" ref="J44">Scope3_Equations.VEERG_15_1_1_1__1_EmissionsFromPurchasedLivestock(E44,H44,IF(I44,I44,$E$39))</f>
        <v>0</v>
      </c>
      <c r="K44" s="44"/>
      <c r="L44" s="23"/>
      <c r="M44" s="44"/>
    </row>
    <row r="45" spans="1:13" ht="20.100000000000001" customHeight="1" x14ac:dyDescent="0.25">
      <c r="A45" s="5" t="str">
        <f>HYPERLINK("#'Constants - Electricity'!A1", "Constants - Electricity")</f>
        <v>Constants - Electricity</v>
      </c>
      <c r="D45" s="25"/>
      <c r="E45" s="25"/>
      <c r="F45" s="25"/>
      <c r="G45" s="251" cm="1">
        <f t="array" ref="G45">Scope3_Equations.VEERG_15_1_1_1__1_EmissionsFromPurchasedLivestock(E45,F45,$E$39)</f>
        <v>0</v>
      </c>
      <c r="H45" s="25"/>
      <c r="I45" s="86"/>
      <c r="J45" s="251" cm="1">
        <f t="array" ref="J45">Scope3_Equations.VEERG_15_1_1_1__1_EmissionsFromPurchasedLivestock(E45,H45,IF(I45,I45,$E$39))</f>
        <v>0</v>
      </c>
      <c r="K45" s="44"/>
      <c r="L45" s="23"/>
      <c r="M45" s="44"/>
    </row>
    <row r="46" spans="1:13" ht="20.100000000000001" customHeight="1" x14ac:dyDescent="0.25">
      <c r="A46" s="5" t="str">
        <f>HYPERLINK("#'Constants - Fertiliser'!A1", "Constants - Fertiliser")</f>
        <v>Constants - Fertiliser</v>
      </c>
      <c r="D46" s="25"/>
      <c r="E46" s="25"/>
      <c r="F46" s="25"/>
      <c r="G46" s="251" cm="1">
        <f t="array" ref="G46">Scope3_Equations.VEERG_15_1_1_1__1_EmissionsFromPurchasedLivestock(E46,F46,$E$39)</f>
        <v>0</v>
      </c>
      <c r="H46" s="25"/>
      <c r="I46" s="86"/>
      <c r="J46" s="251" cm="1">
        <f t="array" ref="J46">Scope3_Equations.VEERG_15_1_1_1__1_EmissionsFromPurchasedLivestock(E46,H46,IF(I46,I46,$E$39))</f>
        <v>0</v>
      </c>
      <c r="K46" s="44"/>
      <c r="L46" s="23"/>
      <c r="M46" s="44"/>
    </row>
    <row r="47" spans="1:13" ht="20.100000000000001" customHeight="1" x14ac:dyDescent="0.25">
      <c r="A47" s="5" t="str">
        <f>HYPERLINK("#'Constants - Fuel'!A1", "Constants - Fuel")</f>
        <v>Constants - Fuel</v>
      </c>
      <c r="D47" s="25"/>
      <c r="E47" s="25"/>
      <c r="F47" s="25"/>
      <c r="G47" s="251" cm="1">
        <f t="array" ref="G47">Scope3_Equations.VEERG_15_1_1_1__1_EmissionsFromPurchasedLivestock(E47,F47,$E$39)</f>
        <v>0</v>
      </c>
      <c r="H47" s="25"/>
      <c r="I47" s="86"/>
      <c r="J47" s="251" cm="1">
        <f t="array" ref="J47">Scope3_Equations.VEERG_15_1_1_1__1_EmissionsFromPurchasedLivestock(E47,H47,IF(I47,I47,$E$39))</f>
        <v>0</v>
      </c>
      <c r="K47" s="44"/>
      <c r="L47" s="23"/>
      <c r="M47" s="44"/>
    </row>
    <row r="48" spans="1:13" ht="20.100000000000001" customHeight="1" x14ac:dyDescent="0.25">
      <c r="A48" s="5" t="str">
        <f>HYPERLINK("#'Constants - Scope 3'!A1", "Constants - Scope 3")</f>
        <v>Constants - Scope 3</v>
      </c>
      <c r="D48" s="25"/>
      <c r="E48" s="25"/>
      <c r="F48" s="25"/>
      <c r="G48" s="251" cm="1">
        <f t="array" ref="G48">Scope3_Equations.VEERG_15_1_1_1__1_EmissionsFromPurchasedLivestock(E48,F48,$E$39)</f>
        <v>0</v>
      </c>
      <c r="H48" s="25"/>
      <c r="I48" s="86"/>
      <c r="J48" s="251" cm="1">
        <f t="array" ref="J48">Scope3_Equations.VEERG_15_1_1_1__1_EmissionsFromPurchasedLivestock(E48,H48,IF(I48,I48,$E$39))</f>
        <v>0</v>
      </c>
      <c r="K48" s="44"/>
      <c r="L48" s="23"/>
      <c r="M48" s="44"/>
    </row>
    <row r="49" spans="1:13" ht="20.100000000000001" customHeight="1" x14ac:dyDescent="0.25">
      <c r="A49" s="5" t="str">
        <f>HYPERLINK("#'Constants - Common'!A1", "Constants - Common")</f>
        <v>Constants - Common</v>
      </c>
      <c r="D49" s="25"/>
      <c r="E49" s="25"/>
      <c r="F49" s="25"/>
      <c r="G49" s="251" cm="1">
        <f t="array" ref="G49">Scope3_Equations.VEERG_15_1_1_1__1_EmissionsFromPurchasedLivestock(E49,F49,$E$39)</f>
        <v>0</v>
      </c>
      <c r="H49" s="25"/>
      <c r="I49" s="86"/>
      <c r="J49" s="251" cm="1">
        <f t="array" ref="J49">Scope3_Equations.VEERG_15_1_1_1__1_EmissionsFromPurchasedLivestock(E49,H49,IF(I49,I49,$E$39))</f>
        <v>0</v>
      </c>
      <c r="K49" s="44"/>
      <c r="L49" s="23"/>
      <c r="M49" s="44"/>
    </row>
    <row r="50" spans="1:13" ht="20.100000000000001" customHeight="1" x14ac:dyDescent="0.25">
      <c r="A50" s="5" t="str">
        <f>HYPERLINK("#'Constants - Solid Waste'!A1", "Constants - Solid Waste")</f>
        <v>Constants - Solid Waste</v>
      </c>
      <c r="D50" s="25"/>
      <c r="E50" s="25"/>
      <c r="F50" s="25"/>
      <c r="G50" s="251" cm="1">
        <f t="array" ref="G50">Scope3_Equations.VEERG_15_1_1_1__1_EmissionsFromPurchasedLivestock(E50,F50,$E$39)</f>
        <v>0</v>
      </c>
      <c r="H50" s="25"/>
      <c r="I50" s="86"/>
      <c r="J50" s="251" cm="1">
        <f t="array" ref="J50">Scope3_Equations.VEERG_15_1_1_1__1_EmissionsFromPurchasedLivestock(E50,H50,IF(I50,I50,$E$39))</f>
        <v>0</v>
      </c>
      <c r="K50" s="44"/>
      <c r="L50" s="23"/>
      <c r="M50" s="44"/>
    </row>
    <row r="51" spans="1:13" ht="20.100000000000001" customHeight="1" x14ac:dyDescent="0.25">
      <c r="A51"/>
      <c r="D51" s="25"/>
      <c r="E51" s="25"/>
      <c r="F51" s="25"/>
      <c r="G51" s="251" cm="1">
        <f t="array" ref="G51">Scope3_Equations.VEERG_15_1_1_1__1_EmissionsFromPurchasedLivestock(E51,F51,$E$39)</f>
        <v>0</v>
      </c>
      <c r="H51" s="25"/>
      <c r="I51" s="86"/>
      <c r="J51" s="251"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61" t="s">
        <v>826</v>
      </c>
      <c r="E53" s="148">
        <f>SUM(G42:G51)</f>
        <v>0</v>
      </c>
      <c r="F53" s="155" t="str">
        <f>$E$11</f>
        <v>t CO2e</v>
      </c>
    </row>
    <row r="54" spans="1:13" ht="20.100000000000001" customHeight="1" x14ac:dyDescent="0.25">
      <c r="A54"/>
      <c r="D54" s="161" t="s">
        <v>827</v>
      </c>
      <c r="E54" s="148">
        <f>SUM(J42:J51)</f>
        <v>0</v>
      </c>
      <c r="F54" s="155" t="str">
        <f>$E$11</f>
        <v>t CO2e</v>
      </c>
    </row>
    <row r="55" spans="1:13" ht="20.100000000000001" customHeight="1" x14ac:dyDescent="0.25">
      <c r="A55"/>
    </row>
    <row r="56" spans="1:13" ht="20.100000000000001" customHeight="1" x14ac:dyDescent="0.25">
      <c r="A56"/>
    </row>
    <row r="57" spans="1:13" ht="20.100000000000001" customHeight="1" x14ac:dyDescent="0.25">
      <c r="A57"/>
      <c r="D57" s="244" t="s">
        <v>828</v>
      </c>
    </row>
    <row r="58" spans="1:13" ht="20.100000000000001" customHeight="1" x14ac:dyDescent="0.25">
      <c r="A58"/>
      <c r="D58" s="156" t="s">
        <v>825</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92" t="s">
        <v>806</v>
      </c>
      <c r="E60" s="250" t="s">
        <v>809</v>
      </c>
      <c r="F60" s="250" t="s">
        <v>810</v>
      </c>
      <c r="G60" s="147" t="s">
        <v>812</v>
      </c>
      <c r="H60" s="250" t="s">
        <v>813</v>
      </c>
      <c r="I60" s="92" t="s">
        <v>814</v>
      </c>
      <c r="J60" s="147" t="s">
        <v>815</v>
      </c>
      <c r="K60" s="92" t="s">
        <v>816</v>
      </c>
      <c r="L60" s="92" t="s">
        <v>817</v>
      </c>
      <c r="M60" s="92" t="s">
        <v>818</v>
      </c>
    </row>
    <row r="61" spans="1:13" ht="20.100000000000001" customHeight="1" x14ac:dyDescent="0.25">
      <c r="A61"/>
      <c r="D61" s="25"/>
      <c r="E61" s="25"/>
      <c r="F61" s="25"/>
      <c r="G61" s="251" cm="1">
        <f t="array" ref="G61">Scope3_Equations.VEERG_15_1_1_1__1_EmissionsFromPurchasedLivestock(E61,F61,$E$58)</f>
        <v>0</v>
      </c>
      <c r="H61" s="25"/>
      <c r="I61" s="86">
        <v>3.38</v>
      </c>
      <c r="J61" s="251" cm="1">
        <f t="array" ref="J61">Scope3_Equations.VEERG_15_1_1_1__1_EmissionsFromPurchasedLivestock(E61,H61,IF(I61, I61,$E$58))</f>
        <v>0</v>
      </c>
      <c r="K61" s="44"/>
      <c r="L61" s="23"/>
      <c r="M61" s="239"/>
    </row>
    <row r="62" spans="1:13" ht="20.100000000000001" customHeight="1" x14ac:dyDescent="0.25">
      <c r="A62"/>
      <c r="D62" s="25"/>
      <c r="E62" s="25"/>
      <c r="F62" s="25"/>
      <c r="G62" s="251" cm="1">
        <f t="array" ref="G62">Scope3_Equations.VEERG_15_1_1_1__1_EmissionsFromPurchasedLivestock(E62,F62,$E$58)</f>
        <v>0</v>
      </c>
      <c r="H62" s="25"/>
      <c r="I62" s="86">
        <v>3.3</v>
      </c>
      <c r="J62" s="251" cm="1">
        <f t="array" ref="J62">Scope3_Equations.VEERG_15_1_1_1__1_EmissionsFromPurchasedLivestock(E62,H62,IF(I62, I62,$E$58))</f>
        <v>0</v>
      </c>
      <c r="K62" s="44"/>
      <c r="L62" s="23"/>
      <c r="M62" s="44"/>
    </row>
    <row r="63" spans="1:13" ht="20.100000000000001" customHeight="1" x14ac:dyDescent="0.25">
      <c r="A63"/>
      <c r="D63" s="25"/>
      <c r="E63" s="25"/>
      <c r="F63" s="25"/>
      <c r="G63" s="251" cm="1">
        <f t="array" ref="G63">Scope3_Equations.VEERG_15_1_1_1__1_EmissionsFromPurchasedLivestock(E63,F63,$E$58)</f>
        <v>0</v>
      </c>
      <c r="H63" s="25"/>
      <c r="I63" s="86"/>
      <c r="J63" s="251" cm="1">
        <f t="array" ref="J63">Scope3_Equations.VEERG_15_1_1_1__1_EmissionsFromPurchasedLivestock(E63,H63,IF(I63, I63,$E$58))</f>
        <v>0</v>
      </c>
      <c r="K63" s="44"/>
      <c r="L63" s="23"/>
      <c r="M63" s="44"/>
    </row>
    <row r="64" spans="1:13" ht="20.100000000000001" customHeight="1" x14ac:dyDescent="0.25">
      <c r="A64"/>
      <c r="D64" s="25"/>
      <c r="E64" s="25"/>
      <c r="F64" s="25"/>
      <c r="G64" s="251" cm="1">
        <f t="array" ref="G64">Scope3_Equations.VEERG_15_1_1_1__1_EmissionsFromPurchasedLivestock(E64,F64,$E$58)</f>
        <v>0</v>
      </c>
      <c r="H64" s="25"/>
      <c r="I64" s="86"/>
      <c r="J64" s="251" cm="1">
        <f t="array" ref="J64">Scope3_Equations.VEERG_15_1_1_1__1_EmissionsFromPurchasedLivestock(E64,H64,IF(I64, I64,$E$58))</f>
        <v>0</v>
      </c>
      <c r="K64" s="44"/>
      <c r="L64" s="23"/>
      <c r="M64" s="44"/>
    </row>
    <row r="65" spans="1:13" ht="20.100000000000001" customHeight="1" x14ac:dyDescent="0.25">
      <c r="A65"/>
      <c r="D65" s="25"/>
      <c r="E65" s="25"/>
      <c r="F65" s="25"/>
      <c r="G65" s="251" cm="1">
        <f t="array" ref="G65">Scope3_Equations.VEERG_15_1_1_1__1_EmissionsFromPurchasedLivestock(E65,F65,$E$58)</f>
        <v>0</v>
      </c>
      <c r="H65" s="25"/>
      <c r="I65" s="86"/>
      <c r="J65" s="251" cm="1">
        <f t="array" ref="J65">Scope3_Equations.VEERG_15_1_1_1__1_EmissionsFromPurchasedLivestock(E65,H65,IF(I65, I65,$E$58))</f>
        <v>0</v>
      </c>
      <c r="K65" s="44"/>
      <c r="L65" s="23"/>
      <c r="M65" s="44"/>
    </row>
    <row r="66" spans="1:13" ht="20.100000000000001" customHeight="1" x14ac:dyDescent="0.25">
      <c r="A66"/>
      <c r="D66" s="25"/>
      <c r="E66" s="25"/>
      <c r="F66" s="25"/>
      <c r="G66" s="251" cm="1">
        <f t="array" ref="G66">Scope3_Equations.VEERG_15_1_1_1__1_EmissionsFromPurchasedLivestock(E66,F66,$E$58)</f>
        <v>0</v>
      </c>
      <c r="H66" s="25"/>
      <c r="I66" s="86"/>
      <c r="J66" s="251" cm="1">
        <f t="array" ref="J66">Scope3_Equations.VEERG_15_1_1_1__1_EmissionsFromPurchasedLivestock(E66,H66,IF(I66, I66,$E$58))</f>
        <v>0</v>
      </c>
      <c r="K66" s="44"/>
      <c r="L66" s="23"/>
      <c r="M66" s="44"/>
    </row>
    <row r="67" spans="1:13" ht="20.100000000000001" customHeight="1" x14ac:dyDescent="0.25">
      <c r="A67"/>
      <c r="D67" s="25"/>
      <c r="E67" s="25"/>
      <c r="F67" s="25"/>
      <c r="G67" s="251" cm="1">
        <f t="array" ref="G67">Scope3_Equations.VEERG_15_1_1_1__1_EmissionsFromPurchasedLivestock(E67,F67,$E$58)</f>
        <v>0</v>
      </c>
      <c r="H67" s="25"/>
      <c r="I67" s="86"/>
      <c r="J67" s="251" cm="1">
        <f t="array" ref="J67">Scope3_Equations.VEERG_15_1_1_1__1_EmissionsFromPurchasedLivestock(E67,H67,IF(I67, I67,$E$58))</f>
        <v>0</v>
      </c>
      <c r="K67" s="44"/>
      <c r="L67" s="23"/>
      <c r="M67" s="44"/>
    </row>
    <row r="68" spans="1:13" ht="20.100000000000001" customHeight="1" x14ac:dyDescent="0.25">
      <c r="A68"/>
      <c r="D68" s="25"/>
      <c r="E68" s="25"/>
      <c r="F68" s="25"/>
      <c r="G68" s="251" cm="1">
        <f t="array" ref="G68">Scope3_Equations.VEERG_15_1_1_1__1_EmissionsFromPurchasedLivestock(E68,F68,$E$58)</f>
        <v>0</v>
      </c>
      <c r="H68" s="25"/>
      <c r="I68" s="86"/>
      <c r="J68" s="251" cm="1">
        <f t="array" ref="J68">Scope3_Equations.VEERG_15_1_1_1__1_EmissionsFromPurchasedLivestock(E68,H68,IF(I68, I68,$E$58))</f>
        <v>0</v>
      </c>
      <c r="K68" s="44"/>
      <c r="L68" s="23"/>
      <c r="M68" s="44"/>
    </row>
    <row r="69" spans="1:13" ht="20.100000000000001" customHeight="1" x14ac:dyDescent="0.25">
      <c r="A69"/>
      <c r="D69" s="25"/>
      <c r="E69" s="25"/>
      <c r="F69" s="25"/>
      <c r="G69" s="251" cm="1">
        <f t="array" ref="G69">Scope3_Equations.VEERG_15_1_1_1__1_EmissionsFromPurchasedLivestock(E69,F69,$E$58)</f>
        <v>0</v>
      </c>
      <c r="H69" s="25"/>
      <c r="I69" s="86"/>
      <c r="J69" s="251" cm="1">
        <f t="array" ref="J69">Scope3_Equations.VEERG_15_1_1_1__1_EmissionsFromPurchasedLivestock(E69,H69,IF(I69, I69,$E$58))</f>
        <v>0</v>
      </c>
      <c r="K69" s="44"/>
      <c r="L69" s="23"/>
      <c r="M69" s="44"/>
    </row>
    <row r="70" spans="1:13" ht="20.100000000000001" customHeight="1" x14ac:dyDescent="0.25">
      <c r="A70"/>
      <c r="D70" s="25"/>
      <c r="E70" s="25"/>
      <c r="F70" s="25"/>
      <c r="G70" s="251" cm="1">
        <f t="array" ref="G70">Scope3_Equations.VEERG_15_1_1_1__1_EmissionsFromPurchasedLivestock(E70,F70,$E$58)</f>
        <v>0</v>
      </c>
      <c r="H70" s="25"/>
      <c r="I70" s="86"/>
      <c r="J70" s="251"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61" t="s">
        <v>829</v>
      </c>
      <c r="E72" s="148">
        <f>SUM(G61:G70)</f>
        <v>0</v>
      </c>
      <c r="F72" s="155" t="str">
        <f>$E$11</f>
        <v>t CO2e</v>
      </c>
    </row>
    <row r="73" spans="1:13" ht="20.100000000000001" customHeight="1" x14ac:dyDescent="0.25">
      <c r="A73"/>
      <c r="D73" s="161" t="s">
        <v>830</v>
      </c>
      <c r="E73" s="148">
        <f>SUM(J61:J70)</f>
        <v>0</v>
      </c>
      <c r="F73" s="155" t="str">
        <f>$E$11</f>
        <v>t CO2e</v>
      </c>
    </row>
    <row r="74" spans="1:13" ht="20.100000000000001" customHeight="1" x14ac:dyDescent="0.25">
      <c r="A74"/>
    </row>
    <row r="75" spans="1:13" ht="20.100000000000001" customHeight="1" x14ac:dyDescent="0.25">
      <c r="A75"/>
      <c r="D75" s="244" t="s">
        <v>831</v>
      </c>
    </row>
    <row r="76" spans="1:13" ht="20.100000000000001" customHeight="1" x14ac:dyDescent="0.25">
      <c r="A76"/>
      <c r="D76" s="156" t="s">
        <v>825</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2" t="s">
        <v>806</v>
      </c>
      <c r="E78" s="250" t="s">
        <v>809</v>
      </c>
      <c r="F78" s="250" t="s">
        <v>810</v>
      </c>
      <c r="G78" s="147" t="s">
        <v>812</v>
      </c>
      <c r="H78" s="250" t="s">
        <v>813</v>
      </c>
      <c r="I78" s="92" t="s">
        <v>814</v>
      </c>
      <c r="J78" s="147" t="s">
        <v>815</v>
      </c>
      <c r="K78" s="92" t="s">
        <v>816</v>
      </c>
      <c r="L78" s="92" t="s">
        <v>817</v>
      </c>
      <c r="M78" s="92" t="s">
        <v>818</v>
      </c>
    </row>
    <row r="79" spans="1:13" ht="20.100000000000001" customHeight="1" x14ac:dyDescent="0.25">
      <c r="A79"/>
      <c r="D79" s="25"/>
      <c r="E79" s="25"/>
      <c r="F79" s="25"/>
      <c r="G79" s="251" cm="1">
        <f t="array" ref="G79">Scope3_Equations.VEERG_15_1_1_1__1_EmissionsFromPurchasedLivestock(E79,F79,$E$76)</f>
        <v>0</v>
      </c>
      <c r="H79" s="25"/>
      <c r="I79" s="86">
        <v>1.3</v>
      </c>
      <c r="J79" s="251" cm="1">
        <f t="array" ref="J79">Scope3_Equations.VEERG_15_1_1_1__1_EmissionsFromPurchasedLivestock(E79,H79,IF(I79, I79,$E$76))</f>
        <v>0</v>
      </c>
      <c r="K79" s="44"/>
      <c r="L79" s="23"/>
      <c r="M79" s="239"/>
    </row>
    <row r="80" spans="1:13" ht="20.100000000000001" customHeight="1" x14ac:dyDescent="0.25">
      <c r="A80"/>
      <c r="D80" s="25"/>
      <c r="E80" s="25"/>
      <c r="F80" s="25"/>
      <c r="G80" s="251" cm="1">
        <f t="array" ref="G80">Scope3_Equations.VEERG_15_1_1_1__1_EmissionsFromPurchasedLivestock(E80,F80,$E$76)</f>
        <v>0</v>
      </c>
      <c r="H80" s="25"/>
      <c r="I80" s="86"/>
      <c r="J80" s="251" cm="1">
        <f t="array" ref="J80">Scope3_Equations.VEERG_15_1_1_1__1_EmissionsFromPurchasedLivestock(E80,H80,IF(I80, I80,$E$76))</f>
        <v>0</v>
      </c>
      <c r="K80" s="44"/>
      <c r="L80" s="23"/>
      <c r="M80" s="44"/>
    </row>
    <row r="81" spans="1:13" ht="20.100000000000001" customHeight="1" x14ac:dyDescent="0.25">
      <c r="A81"/>
      <c r="D81" s="25"/>
      <c r="E81" s="25"/>
      <c r="F81" s="25"/>
      <c r="G81" s="251" cm="1">
        <f t="array" ref="G81">Scope3_Equations.VEERG_15_1_1_1__1_EmissionsFromPurchasedLivestock(E81,F81,$E$76)</f>
        <v>0</v>
      </c>
      <c r="H81" s="25"/>
      <c r="I81" s="86"/>
      <c r="J81" s="251" cm="1">
        <f t="array" ref="J81">Scope3_Equations.VEERG_15_1_1_1__1_EmissionsFromPurchasedLivestock(E81,H81,IF(I81, I81,$E$76))</f>
        <v>0</v>
      </c>
      <c r="K81" s="44"/>
      <c r="L81" s="23"/>
      <c r="M81" s="44"/>
    </row>
    <row r="82" spans="1:13" ht="20.100000000000001" customHeight="1" x14ac:dyDescent="0.25">
      <c r="A82"/>
      <c r="D82" s="25"/>
      <c r="E82" s="25"/>
      <c r="F82" s="25"/>
      <c r="G82" s="251" cm="1">
        <f t="array" ref="G82">Scope3_Equations.VEERG_15_1_1_1__1_EmissionsFromPurchasedLivestock(E82,F82,$E$76)</f>
        <v>0</v>
      </c>
      <c r="H82" s="25"/>
      <c r="I82" s="86"/>
      <c r="J82" s="251" cm="1">
        <f t="array" ref="J82">Scope3_Equations.VEERG_15_1_1_1__1_EmissionsFromPurchasedLivestock(E82,H82,IF(I82, I82,$E$76))</f>
        <v>0</v>
      </c>
      <c r="K82" s="44"/>
      <c r="L82" s="23"/>
      <c r="M82" s="44"/>
    </row>
    <row r="83" spans="1:13" ht="20.100000000000001" customHeight="1" x14ac:dyDescent="0.25">
      <c r="A83"/>
      <c r="D83" s="25"/>
      <c r="E83" s="25"/>
      <c r="F83" s="25"/>
      <c r="G83" s="251" cm="1">
        <f t="array" ref="G83">Scope3_Equations.VEERG_15_1_1_1__1_EmissionsFromPurchasedLivestock(E83,F83,$E$76)</f>
        <v>0</v>
      </c>
      <c r="H83" s="25"/>
      <c r="I83" s="86"/>
      <c r="J83" s="251" cm="1">
        <f t="array" ref="J83">Scope3_Equations.VEERG_15_1_1_1__1_EmissionsFromPurchasedLivestock(E83,H83,IF(I83, I83,$E$76))</f>
        <v>0</v>
      </c>
      <c r="K83" s="44"/>
      <c r="L83" s="23"/>
      <c r="M83" s="44"/>
    </row>
    <row r="84" spans="1:13" ht="20.100000000000001" customHeight="1" x14ac:dyDescent="0.25">
      <c r="A84"/>
      <c r="D84" s="25"/>
      <c r="E84" s="25"/>
      <c r="F84" s="25"/>
      <c r="G84" s="251" cm="1">
        <f t="array" ref="G84">Scope3_Equations.VEERG_15_1_1_1__1_EmissionsFromPurchasedLivestock(E84,F84,$E$76)</f>
        <v>0</v>
      </c>
      <c r="H84" s="25"/>
      <c r="I84" s="86"/>
      <c r="J84" s="251" cm="1">
        <f t="array" ref="J84">Scope3_Equations.VEERG_15_1_1_1__1_EmissionsFromPurchasedLivestock(E84,H84,IF(I84, I84,$E$76))</f>
        <v>0</v>
      </c>
      <c r="K84" s="44"/>
      <c r="L84" s="23"/>
      <c r="M84" s="44"/>
    </row>
    <row r="85" spans="1:13" ht="20.100000000000001" customHeight="1" x14ac:dyDescent="0.25">
      <c r="A85"/>
      <c r="D85" s="25"/>
      <c r="E85" s="25"/>
      <c r="F85" s="25"/>
      <c r="G85" s="251" cm="1">
        <f t="array" ref="G85">Scope3_Equations.VEERG_15_1_1_1__1_EmissionsFromPurchasedLivestock(E85,F85,$E$76)</f>
        <v>0</v>
      </c>
      <c r="H85" s="25"/>
      <c r="I85" s="86"/>
      <c r="J85" s="251" cm="1">
        <f t="array" ref="J85">Scope3_Equations.VEERG_15_1_1_1__1_EmissionsFromPurchasedLivestock(E85,H85,IF(I85, I85,$E$76))</f>
        <v>0</v>
      </c>
      <c r="K85" s="44"/>
      <c r="L85" s="23"/>
      <c r="M85" s="44"/>
    </row>
    <row r="86" spans="1:13" ht="20.100000000000001" customHeight="1" x14ac:dyDescent="0.25">
      <c r="A86"/>
      <c r="D86" s="25"/>
      <c r="E86" s="25"/>
      <c r="F86" s="25"/>
      <c r="G86" s="251" cm="1">
        <f t="array" ref="G86">Scope3_Equations.VEERG_15_1_1_1__1_EmissionsFromPurchasedLivestock(E86,F86,$E$76)</f>
        <v>0</v>
      </c>
      <c r="H86" s="25"/>
      <c r="I86" s="86"/>
      <c r="J86" s="251" cm="1">
        <f t="array" ref="J86">Scope3_Equations.VEERG_15_1_1_1__1_EmissionsFromPurchasedLivestock(E86,H86,IF(I86, I86,$E$76))</f>
        <v>0</v>
      </c>
      <c r="K86" s="44"/>
      <c r="L86" s="23"/>
      <c r="M86" s="44"/>
    </row>
    <row r="87" spans="1:13" ht="20.100000000000001" customHeight="1" x14ac:dyDescent="0.25">
      <c r="A87"/>
      <c r="D87" s="25"/>
      <c r="E87" s="25"/>
      <c r="F87" s="25"/>
      <c r="G87" s="251" cm="1">
        <f t="array" ref="G87">Scope3_Equations.VEERG_15_1_1_1__1_EmissionsFromPurchasedLivestock(E87,F87,$E$76)</f>
        <v>0</v>
      </c>
      <c r="H87" s="25"/>
      <c r="I87" s="86"/>
      <c r="J87" s="251" cm="1">
        <f t="array" ref="J87">Scope3_Equations.VEERG_15_1_1_1__1_EmissionsFromPurchasedLivestock(E87,H87,IF(I87, I87,$E$76))</f>
        <v>0</v>
      </c>
      <c r="K87" s="44"/>
      <c r="L87" s="23"/>
      <c r="M87" s="44"/>
    </row>
    <row r="88" spans="1:13" ht="20.100000000000001" customHeight="1" x14ac:dyDescent="0.25">
      <c r="A88"/>
      <c r="D88" s="25"/>
      <c r="E88" s="25"/>
      <c r="F88" s="25"/>
      <c r="G88" s="251" cm="1">
        <f t="array" ref="G88">Scope3_Equations.VEERG_15_1_1_1__1_EmissionsFromPurchasedLivestock(E88,F88,$E$76)</f>
        <v>0</v>
      </c>
      <c r="H88" s="25"/>
      <c r="I88" s="86"/>
      <c r="J88" s="251"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61" t="s">
        <v>832</v>
      </c>
      <c r="E90" s="148">
        <f>SUM(G79:G88)</f>
        <v>0</v>
      </c>
      <c r="F90" s="155" t="str">
        <f>$E$11</f>
        <v>t CO2e</v>
      </c>
    </row>
    <row r="91" spans="1:13" ht="20.100000000000001" customHeight="1" x14ac:dyDescent="0.25">
      <c r="A91"/>
      <c r="D91" s="161" t="s">
        <v>833</v>
      </c>
      <c r="E91" s="148">
        <f>SUM(J79:J88)</f>
        <v>0</v>
      </c>
      <c r="F91" s="155" t="str">
        <f>$E$11</f>
        <v>t CO2e</v>
      </c>
    </row>
    <row r="92" spans="1:13" ht="20.100000000000001" customHeight="1" x14ac:dyDescent="0.25">
      <c r="A92"/>
    </row>
    <row r="93" spans="1:13" ht="20.100000000000001" customHeight="1" x14ac:dyDescent="0.25">
      <c r="A93"/>
      <c r="D93" s="151" t="s">
        <v>812</v>
      </c>
      <c r="E93" s="152">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153" t="str">
        <f>$E$11</f>
        <v>t CO2e</v>
      </c>
    </row>
    <row r="94" spans="1:13" ht="20.100000000000001" customHeight="1" x14ac:dyDescent="0.25">
      <c r="A94"/>
      <c r="D94" s="151" t="s">
        <v>815</v>
      </c>
      <c r="E94" s="152">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153" t="str">
        <f>$E$11</f>
        <v>t CO2e</v>
      </c>
    </row>
    <row r="95" spans="1:13" ht="20.100000000000001" customHeight="1" x14ac:dyDescent="0.25">
      <c r="A95"/>
    </row>
    <row r="96" spans="1:13" ht="20.100000000000001" customHeight="1" x14ac:dyDescent="0.25">
      <c r="A96"/>
    </row>
    <row r="97" spans="1:41" ht="20.100000000000001" customHeight="1" x14ac:dyDescent="0.25">
      <c r="A97"/>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4" t="s">
        <v>311</v>
      </c>
      <c r="E100" s="134"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4"/>
    </row>
    <row r="103" spans="1:41" ht="20.100000000000001" customHeight="1" x14ac:dyDescent="0.25">
      <c r="A103"/>
      <c r="D103" s="88" t="s">
        <v>312</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6" t="str" cm="1">
        <f t="array" ref="D106:E108">_xlfn.CHOOSECOLS(Scope3_Equations.VEERG_15_2_1_1__1_EmissionsFromPurchasedFeed_Arguments(),1,2)</f>
        <v>Q_j</v>
      </c>
      <c r="E106" s="164" t="str">
        <v>quantity of feed type j purchased</v>
      </c>
      <c r="F106" s="166"/>
      <c r="G106" s="156" t="str" cm="1">
        <f t="array" ref="G106:H108">_xlfn.CHOOSECOLS(Scope3_Equations.VEERG_15_2_1_1__1_EmissionsFromPurchasedFeed_Arguments(),3,4)</f>
        <v>t</v>
      </c>
      <c r="H106" s="249" t="str">
        <v>Input</v>
      </c>
    </row>
    <row r="107" spans="1:41" ht="20.100000000000001" customHeight="1" x14ac:dyDescent="0.25">
      <c r="A107"/>
      <c r="D107" s="156" t="str">
        <v>EF_j</v>
      </c>
      <c r="E107" s="164" t="str">
        <v>emission factor of purchased feed</v>
      </c>
      <c r="F107" s="166"/>
      <c r="G107" s="156" t="str">
        <v>kg CO2e/kg</v>
      </c>
      <c r="H107" s="249" t="str">
        <v>Constant</v>
      </c>
    </row>
    <row r="108" spans="1:41" ht="20.100000000000001" customHeight="1" x14ac:dyDescent="0.25">
      <c r="A108"/>
      <c r="D108" s="156" t="str">
        <v>j</v>
      </c>
      <c r="E108" s="164" t="str">
        <v>feed type</v>
      </c>
      <c r="F108" s="166"/>
      <c r="G108" s="156" t="str">
        <v/>
      </c>
      <c r="H108" s="139" t="str">
        <v>Input</v>
      </c>
    </row>
    <row r="109" spans="1:41" ht="20.100000000000001" customHeight="1" x14ac:dyDescent="0.25">
      <c r="A109"/>
    </row>
    <row r="110" spans="1:41" ht="20.100000000000001" customHeight="1" x14ac:dyDescent="0.25">
      <c r="A110"/>
      <c r="D110" s="244" t="s">
        <v>834</v>
      </c>
    </row>
    <row r="111" spans="1:41" ht="20.100000000000001" customHeight="1" x14ac:dyDescent="0.25">
      <c r="A111"/>
    </row>
    <row r="112" spans="1:41" ht="20.100000000000001" customHeight="1" x14ac:dyDescent="0.25">
      <c r="A112"/>
      <c r="D112" s="96" t="s">
        <v>835</v>
      </c>
      <c r="E112" s="55"/>
      <c r="F112" s="96"/>
      <c r="G112" s="54"/>
      <c r="H112" s="55"/>
    </row>
    <row r="113" spans="1:28" ht="20.100000000000001" customHeight="1" x14ac:dyDescent="0.25">
      <c r="A113"/>
      <c r="D113" s="124" t="s">
        <v>836</v>
      </c>
      <c r="E113" s="126"/>
      <c r="F113" s="124"/>
      <c r="G113" s="125"/>
      <c r="H113" s="126"/>
    </row>
    <row r="114" spans="1:28" ht="20.100000000000001" customHeight="1" x14ac:dyDescent="0.25">
      <c r="A114"/>
      <c r="D114" s="56" t="s">
        <v>837</v>
      </c>
      <c r="E114" s="58"/>
      <c r="F114" s="56"/>
      <c r="G114" s="57"/>
      <c r="H114" s="58"/>
    </row>
    <row r="115" spans="1:28" ht="20.100000000000001" customHeight="1" x14ac:dyDescent="0.25">
      <c r="A115"/>
    </row>
    <row r="116" spans="1:28" ht="20.100000000000001" customHeight="1" x14ac:dyDescent="0.25">
      <c r="A116"/>
      <c r="D116" s="46" t="s">
        <v>838</v>
      </c>
      <c r="E116" s="48"/>
      <c r="F116" s="49"/>
    </row>
    <row r="117" spans="1:28" ht="20.100000000000001" customHeight="1" x14ac:dyDescent="0.25">
      <c r="A117"/>
    </row>
    <row r="118" spans="1:28" ht="20.100000000000001" customHeight="1" x14ac:dyDescent="0.25">
      <c r="A118"/>
      <c r="D118" s="92" t="s">
        <v>839</v>
      </c>
      <c r="E118" s="92" t="s">
        <v>840</v>
      </c>
      <c r="F118" s="147" t="s">
        <v>841</v>
      </c>
      <c r="G118" s="147" t="s">
        <v>812</v>
      </c>
      <c r="H118" s="92" t="s">
        <v>842</v>
      </c>
      <c r="I118" s="147" t="s">
        <v>815</v>
      </c>
      <c r="J118" s="92" t="s">
        <v>816</v>
      </c>
      <c r="K118" s="92" t="s">
        <v>817</v>
      </c>
      <c r="L118" s="92" t="s">
        <v>818</v>
      </c>
      <c r="M118" s="147" t="s">
        <v>255</v>
      </c>
      <c r="N118" s="147" t="s">
        <v>843</v>
      </c>
      <c r="O118" s="147" t="s">
        <v>256</v>
      </c>
      <c r="P118" s="147" t="s">
        <v>844</v>
      </c>
      <c r="Q118" s="147" t="s">
        <v>257</v>
      </c>
      <c r="R118" s="147" t="s">
        <v>845</v>
      </c>
      <c r="S118" s="147" t="s">
        <v>258</v>
      </c>
      <c r="T118" s="147" t="s">
        <v>846</v>
      </c>
      <c r="U118" s="147" t="s">
        <v>259</v>
      </c>
      <c r="V118" s="147" t="s">
        <v>847</v>
      </c>
      <c r="W118" s="147" t="s">
        <v>260</v>
      </c>
      <c r="X118" s="147" t="s">
        <v>848</v>
      </c>
      <c r="Y118" s="147" t="s">
        <v>261</v>
      </c>
      <c r="Z118" s="147" t="s">
        <v>849</v>
      </c>
      <c r="AA118" s="147" t="s">
        <v>262</v>
      </c>
      <c r="AB118" s="147" t="s">
        <v>850</v>
      </c>
    </row>
    <row r="119" spans="1:28" ht="20.100000000000001" customHeight="1" x14ac:dyDescent="0.25">
      <c r="A119"/>
      <c r="D119" s="25"/>
      <c r="E119" s="25"/>
      <c r="F119" s="25">
        <f t="shared" ref="F119:F128" si="0">IFERROR((O119*P119)+(S119*T119)+(W119*X119)+(AA119*AB119), 0)</f>
        <v>0</v>
      </c>
      <c r="G119" s="251" cm="1">
        <f t="array" ref="G119">Scope3_Equations.VEERG_15_2_1_1__1_EmissionsFromPurchasedFeed(E119,F119)</f>
        <v>0</v>
      </c>
      <c r="H119" s="86">
        <v>0.04</v>
      </c>
      <c r="I119" s="251" cm="1">
        <f t="array" ref="I119">Scope3_Equations.VEERG_15_2_1_1__1_EmissionsFromPurchasedFeed(E119,IF(H119,H119, F119))</f>
        <v>0</v>
      </c>
      <c r="J119" s="44"/>
      <c r="K119" s="23"/>
      <c r="L119" s="239"/>
      <c r="M119" s="25"/>
      <c r="N119" s="25"/>
      <c r="O119" s="25"/>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0</v>
      </c>
      <c r="Q119" s="25"/>
      <c r="R119" s="25"/>
      <c r="S119" s="25"/>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v>
      </c>
      <c r="U119" s="25"/>
      <c r="V119" s="25"/>
      <c r="W119" s="25"/>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v>
      </c>
      <c r="Y119" s="25"/>
      <c r="Z119" s="25"/>
      <c r="AA119" s="25"/>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v>
      </c>
    </row>
    <row r="120" spans="1:28" ht="20.100000000000001" customHeight="1" x14ac:dyDescent="0.25">
      <c r="A120"/>
      <c r="D120" s="25"/>
      <c r="E120" s="25"/>
      <c r="F120" s="25">
        <f t="shared" si="0"/>
        <v>0</v>
      </c>
      <c r="G120" s="251" cm="1">
        <f t="array" ref="G120">Scope3_Equations.VEERG_15_2_1_1__1_EmissionsFromPurchasedFeed(E120,F120)</f>
        <v>0</v>
      </c>
      <c r="H120" s="86">
        <v>0.03</v>
      </c>
      <c r="I120" s="251" cm="1">
        <f t="array" ref="I120">Scope3_Equations.VEERG_15_2_1_1__1_EmissionsFromPurchasedFeed(E120,IF(H120,H120, F120))</f>
        <v>0</v>
      </c>
      <c r="J120" s="44"/>
      <c r="K120" s="23"/>
      <c r="L120" s="44"/>
      <c r="M120" s="25"/>
      <c r="N120" s="25"/>
      <c r="O120" s="25"/>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c r="R120" s="25"/>
      <c r="S120" s="25"/>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v>
      </c>
      <c r="U120" s="25"/>
      <c r="V120" s="25"/>
      <c r="W120" s="25"/>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c r="Z120" s="25"/>
      <c r="AA120" s="25"/>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c r="E121" s="25"/>
      <c r="F121" s="25">
        <f t="shared" si="0"/>
        <v>0</v>
      </c>
      <c r="G121" s="251" cm="1">
        <f t="array" ref="G121">Scope3_Equations.VEERG_15_2_1_1__1_EmissionsFromPurchasedFeed(E121,F121)</f>
        <v>0</v>
      </c>
      <c r="H121" s="86">
        <v>0.14000000000000001</v>
      </c>
      <c r="I121" s="251" cm="1">
        <f t="array" ref="I121">Scope3_Equations.VEERG_15_2_1_1__1_EmissionsFromPurchasedFeed(E121,IF(H121,H121, F121))</f>
        <v>0</v>
      </c>
      <c r="J121" s="44"/>
      <c r="K121" s="23"/>
      <c r="L121" s="44"/>
      <c r="M121" s="25"/>
      <c r="N121" s="25"/>
      <c r="O121" s="25"/>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c r="R121" s="25"/>
      <c r="S121" s="25"/>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v>
      </c>
      <c r="U121" s="25"/>
      <c r="V121" s="25"/>
      <c r="W121" s="25"/>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c r="Z121" s="25"/>
      <c r="AA121" s="25"/>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c r="E122" s="25"/>
      <c r="F122" s="25">
        <f t="shared" si="0"/>
        <v>0</v>
      </c>
      <c r="G122" s="251" cm="1">
        <f t="array" ref="G122">Scope3_Equations.VEERG_15_2_1_1__1_EmissionsFromPurchasedFeed(E122,F122)</f>
        <v>0</v>
      </c>
      <c r="H122" s="86"/>
      <c r="I122" s="251" cm="1">
        <f t="array" ref="I122">Scope3_Equations.VEERG_15_2_1_1__1_EmissionsFromPurchasedFeed(E122,IF(H122,H122, F122))</f>
        <v>0</v>
      </c>
      <c r="J122" s="44"/>
      <c r="K122" s="23"/>
      <c r="L122" s="44"/>
      <c r="M122" s="25"/>
      <c r="N122" s="25"/>
      <c r="O122" s="25"/>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v>
      </c>
      <c r="Q122" s="25"/>
      <c r="R122" s="25"/>
      <c r="S122" s="25"/>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c r="V122" s="25"/>
      <c r="W122" s="25"/>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c r="Z122" s="25"/>
      <c r="AA122" s="25"/>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c r="E123" s="25"/>
      <c r="F123" s="25">
        <f t="shared" si="0"/>
        <v>0</v>
      </c>
      <c r="G123" s="251" cm="1">
        <f t="array" ref="G123">Scope3_Equations.VEERG_15_2_1_1__1_EmissionsFromPurchasedFeed(E123,F123)</f>
        <v>0</v>
      </c>
      <c r="H123" s="86"/>
      <c r="I123" s="251" cm="1">
        <f t="array" ref="I123">Scope3_Equations.VEERG_15_2_1_1__1_EmissionsFromPurchasedFeed(E123,IF(H123,H123, F123))</f>
        <v>0</v>
      </c>
      <c r="J123" s="44"/>
      <c r="K123" s="23"/>
      <c r="L123" s="44"/>
      <c r="M123" s="25"/>
      <c r="N123" s="25"/>
      <c r="O123" s="25"/>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c r="R123" s="25"/>
      <c r="S123" s="25"/>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c r="V123" s="25"/>
      <c r="W123" s="25"/>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c r="Z123" s="25"/>
      <c r="AA123" s="25"/>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c r="E124" s="25"/>
      <c r="F124" s="25">
        <f t="shared" si="0"/>
        <v>0</v>
      </c>
      <c r="G124" s="251" cm="1">
        <f t="array" ref="G124">Scope3_Equations.VEERG_15_2_1_1__1_EmissionsFromPurchasedFeed(E124,F124)</f>
        <v>0</v>
      </c>
      <c r="H124" s="86"/>
      <c r="I124" s="251" cm="1">
        <f t="array" ref="I124">Scope3_Equations.VEERG_15_2_1_1__1_EmissionsFromPurchasedFeed(E124,IF(H124,H124, F124))</f>
        <v>0</v>
      </c>
      <c r="J124" s="44"/>
      <c r="K124" s="23"/>
      <c r="L124" s="44"/>
      <c r="M124" s="25"/>
      <c r="N124" s="25"/>
      <c r="O124" s="25"/>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c r="R124" s="25"/>
      <c r="S124" s="25"/>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c r="V124" s="25"/>
      <c r="W124" s="25"/>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c r="Z124" s="25"/>
      <c r="AA124" s="25"/>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c r="E125" s="25"/>
      <c r="F125" s="25">
        <f t="shared" si="0"/>
        <v>0</v>
      </c>
      <c r="G125" s="251" cm="1">
        <f t="array" ref="G125">Scope3_Equations.VEERG_15_2_1_1__1_EmissionsFromPurchasedFeed(E125,F125)</f>
        <v>0</v>
      </c>
      <c r="H125" s="86"/>
      <c r="I125" s="251" cm="1">
        <f t="array" ref="I125">Scope3_Equations.VEERG_15_2_1_1__1_EmissionsFromPurchasedFeed(E125,IF(H125,H125, F125))</f>
        <v>0</v>
      </c>
      <c r="J125" s="44"/>
      <c r="K125" s="23"/>
      <c r="L125" s="44"/>
      <c r="M125" s="25"/>
      <c r="N125" s="25"/>
      <c r="O125" s="25"/>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c r="R125" s="25"/>
      <c r="S125" s="25"/>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c r="V125" s="25"/>
      <c r="W125" s="25"/>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c r="Z125" s="25"/>
      <c r="AA125" s="25"/>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c r="E126" s="25"/>
      <c r="F126" s="25">
        <f t="shared" si="0"/>
        <v>0</v>
      </c>
      <c r="G126" s="251" cm="1">
        <f t="array" ref="G126">Scope3_Equations.VEERG_15_2_1_1__1_EmissionsFromPurchasedFeed(E126,F126)</f>
        <v>0</v>
      </c>
      <c r="H126" s="86"/>
      <c r="I126" s="251" cm="1">
        <f t="array" ref="I126">Scope3_Equations.VEERG_15_2_1_1__1_EmissionsFromPurchasedFeed(E126,IF(H126,H126, F126))</f>
        <v>0</v>
      </c>
      <c r="J126" s="44"/>
      <c r="K126" s="23"/>
      <c r="L126" s="44"/>
      <c r="M126" s="25"/>
      <c r="N126" s="25"/>
      <c r="O126" s="25"/>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c r="R126" s="25"/>
      <c r="S126" s="25"/>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c r="V126" s="25"/>
      <c r="W126" s="25"/>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c r="Z126" s="25"/>
      <c r="AA126" s="25"/>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c r="E127" s="25"/>
      <c r="F127" s="25">
        <f t="shared" si="0"/>
        <v>0</v>
      </c>
      <c r="G127" s="251" cm="1">
        <f t="array" ref="G127">Scope3_Equations.VEERG_15_2_1_1__1_EmissionsFromPurchasedFeed(E127,F127)</f>
        <v>0</v>
      </c>
      <c r="H127" s="86"/>
      <c r="I127" s="251" cm="1">
        <f t="array" ref="I127">Scope3_Equations.VEERG_15_2_1_1__1_EmissionsFromPurchasedFeed(E127,IF(H127,H127, F127))</f>
        <v>0</v>
      </c>
      <c r="J127" s="44"/>
      <c r="K127" s="23"/>
      <c r="L127" s="44"/>
      <c r="M127" s="25"/>
      <c r="N127" s="25"/>
      <c r="O127" s="25"/>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c r="R127" s="25"/>
      <c r="S127" s="25"/>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c r="V127" s="25"/>
      <c r="W127" s="25"/>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c r="Z127" s="25"/>
      <c r="AA127" s="25"/>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c r="E128" s="25"/>
      <c r="F128" s="25">
        <f t="shared" si="0"/>
        <v>0</v>
      </c>
      <c r="G128" s="251" cm="1">
        <f t="array" ref="G128">Scope3_Equations.VEERG_15_2_1_1__1_EmissionsFromPurchasedFeed(E128,F128)</f>
        <v>0</v>
      </c>
      <c r="H128" s="86"/>
      <c r="I128" s="251" cm="1">
        <f t="array" ref="I128">Scope3_Equations.VEERG_15_2_1_1__1_EmissionsFromPurchasedFeed(E128,IF(H128,H128, F128))</f>
        <v>0</v>
      </c>
      <c r="J128" s="44"/>
      <c r="K128" s="23"/>
      <c r="L128" s="44"/>
      <c r="M128" s="25"/>
      <c r="N128" s="25"/>
      <c r="O128" s="25"/>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c r="R128" s="25"/>
      <c r="S128" s="25"/>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c r="V128" s="25"/>
      <c r="W128" s="25"/>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c r="Z128" s="25"/>
      <c r="AA128" s="25"/>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61" t="s">
        <v>812</v>
      </c>
      <c r="E130" s="148">
        <f>SUM(G119:G128)</f>
        <v>0</v>
      </c>
      <c r="F130" s="155" t="str">
        <f>$E$104</f>
        <v>t CO2e</v>
      </c>
    </row>
    <row r="131" spans="1:12" ht="20.100000000000001" customHeight="1" x14ac:dyDescent="0.25">
      <c r="A131"/>
      <c r="D131" s="161" t="s">
        <v>815</v>
      </c>
      <c r="E131" s="148">
        <f>SUM(I119:I128)</f>
        <v>0</v>
      </c>
      <c r="F131" s="155"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4" t="s">
        <v>851</v>
      </c>
    </row>
    <row r="135" spans="1:12" ht="20.100000000000001" customHeight="1" x14ac:dyDescent="0.25">
      <c r="A135"/>
      <c r="D135" s="92" t="s">
        <v>137</v>
      </c>
      <c r="E135" s="92" t="s">
        <v>840</v>
      </c>
      <c r="F135" s="147" t="s">
        <v>841</v>
      </c>
      <c r="G135" s="147" t="s">
        <v>812</v>
      </c>
      <c r="H135" s="92" t="s">
        <v>842</v>
      </c>
      <c r="I135" s="147" t="s">
        <v>815</v>
      </c>
      <c r="J135" s="92" t="s">
        <v>816</v>
      </c>
      <c r="K135" s="92" t="s">
        <v>817</v>
      </c>
      <c r="L135" s="92" t="s">
        <v>818</v>
      </c>
    </row>
    <row r="136" spans="1:12" ht="20.100000000000001" customHeight="1" x14ac:dyDescent="0.25">
      <c r="A136"/>
      <c r="D136" s="25"/>
      <c r="E136" s="25">
        <f>IFERROR(X_Cell_FarmInputs_FeedRations_Chickens, 0)</f>
        <v>0</v>
      </c>
      <c r="F136" s="25" cm="1">
        <f t="array" ref="F136">Common_InputFunctions.Utility_LookupValueInTableNumber(D136,Table_SourceData_Scope3_MixedRations[Product],Table_SourceData_Scope3_MixedRations[AusLCI Emissions intensity])</f>
        <v>0</v>
      </c>
      <c r="G136" s="251" cm="1">
        <f t="array" ref="G136">Scope3_Equations.VEERG_15_2_1_1__1_EmissionsFromPurchasedFeed(E136,F136)</f>
        <v>0</v>
      </c>
      <c r="H136" s="86">
        <v>0.5</v>
      </c>
      <c r="I136" s="251" cm="1">
        <f t="array" ref="I136">Scope3_Equations.VEERG_15_2_1_1__1_EmissionsFromPurchasedFeed(E136,IF(H136,H136, F136))</f>
        <v>0</v>
      </c>
      <c r="J136" s="44"/>
      <c r="K136" s="23"/>
      <c r="L136" s="239"/>
    </row>
    <row r="137" spans="1:12" ht="20.100000000000001" customHeight="1" x14ac:dyDescent="0.25">
      <c r="A137"/>
      <c r="D137" s="25"/>
      <c r="E137" s="25">
        <f>IFERROR(X_Cell_FarmInputs_FeedRations_DairyCalves, 0)</f>
        <v>0</v>
      </c>
      <c r="F137" s="25" cm="1">
        <f t="array" ref="F137">Common_InputFunctions.Utility_LookupValueInTableNumber(D137,Table_SourceData_Scope3_MixedRations[Product],Table_SourceData_Scope3_MixedRations[AusLCI Emissions intensity])</f>
        <v>0</v>
      </c>
      <c r="G137" s="251" cm="1">
        <f t="array" ref="G137">Scope3_Equations.VEERG_15_2_1_1__1_EmissionsFromPurchasedFeed(E137,F137)</f>
        <v>0</v>
      </c>
      <c r="H137" s="86">
        <v>0.4</v>
      </c>
      <c r="I137" s="251" cm="1">
        <f t="array" ref="I137">Scope3_Equations.VEERG_15_2_1_1__1_EmissionsFromPurchasedFeed(E137,IF(H137,H137, F137))</f>
        <v>0</v>
      </c>
      <c r="J137" s="44"/>
      <c r="K137" s="23"/>
      <c r="L137" s="44"/>
    </row>
    <row r="138" spans="1:12" ht="20.100000000000001" customHeight="1" x14ac:dyDescent="0.25">
      <c r="A138"/>
      <c r="D138" s="25"/>
      <c r="E138" s="25">
        <f>IFERROR(X_Cell_FarmInputs_FeedRations_DairyCows, 0)</f>
        <v>0</v>
      </c>
      <c r="F138" s="25" cm="1">
        <f t="array" ref="F138">Common_InputFunctions.Utility_LookupValueInTableNumber(D138,Table_SourceData_Scope3_MixedRations[Product],Table_SourceData_Scope3_MixedRations[AusLCI Emissions intensity])</f>
        <v>0</v>
      </c>
      <c r="G138" s="251" cm="1">
        <f t="array" ref="G138">Scope3_Equations.VEERG_15_2_1_1__1_EmissionsFromPurchasedFeed(E138,F138)</f>
        <v>0</v>
      </c>
      <c r="H138" s="86">
        <v>0</v>
      </c>
      <c r="I138" s="251" cm="1">
        <f t="array" ref="I138">Scope3_Equations.VEERG_15_2_1_1__1_EmissionsFromPurchasedFeed(E138,IF(H138,H138, F138))</f>
        <v>0</v>
      </c>
      <c r="J138" s="44"/>
      <c r="K138" s="23"/>
      <c r="L138" s="44"/>
    </row>
    <row r="139" spans="1:12" ht="20.100000000000001" customHeight="1" x14ac:dyDescent="0.25">
      <c r="A139"/>
      <c r="D139" s="25"/>
      <c r="E139" s="25">
        <f>IFERROR(X_Cell_FarmInputs_FeedRations_Pigs, 0)</f>
        <v>0</v>
      </c>
      <c r="F139" s="25" cm="1">
        <f t="array" ref="F139">Common_InputFunctions.Utility_LookupValueInTableNumber(D139,Table_SourceData_Scope3_MixedRations[Product],Table_SourceData_Scope3_MixedRations[AusLCI Emissions intensity])</f>
        <v>0</v>
      </c>
      <c r="G139" s="251" cm="1">
        <f t="array" ref="G139">Scope3_Equations.VEERG_15_2_1_1__1_EmissionsFromPurchasedFeed(E139,F139)</f>
        <v>0</v>
      </c>
      <c r="H139" s="86">
        <v>0</v>
      </c>
      <c r="I139" s="251" cm="1">
        <f t="array" ref="I139">Scope3_Equations.VEERG_15_2_1_1__1_EmissionsFromPurchasedFeed(E139,IF(H139,H139, F139))</f>
        <v>0</v>
      </c>
      <c r="J139" s="44"/>
      <c r="K139" s="23"/>
      <c r="L139" s="44"/>
    </row>
    <row r="140" spans="1:12" ht="20.100000000000001" customHeight="1" x14ac:dyDescent="0.25">
      <c r="A140"/>
    </row>
    <row r="141" spans="1:12" ht="20.100000000000001" customHeight="1" x14ac:dyDescent="0.25">
      <c r="A141"/>
      <c r="D141" s="161" t="s">
        <v>812</v>
      </c>
      <c r="E141" s="148">
        <f>SUM(G136:G139)</f>
        <v>0</v>
      </c>
      <c r="F141" s="155" t="str">
        <f>$E$104</f>
        <v>t CO2e</v>
      </c>
    </row>
    <row r="142" spans="1:12" ht="20.100000000000001" customHeight="1" x14ac:dyDescent="0.25">
      <c r="A142"/>
      <c r="D142" s="161" t="s">
        <v>815</v>
      </c>
      <c r="E142" s="148">
        <f>SUM(I136:I139)</f>
        <v>0</v>
      </c>
      <c r="F142" s="155" t="str">
        <f>$E$104</f>
        <v>t CO2e</v>
      </c>
    </row>
    <row r="143" spans="1:12" ht="20.100000000000001" customHeight="1" x14ac:dyDescent="0.25">
      <c r="A143"/>
    </row>
    <row r="144" spans="1:12" ht="20.100000000000001" customHeight="1" x14ac:dyDescent="0.25">
      <c r="A144"/>
      <c r="D144" s="151" t="s">
        <v>812</v>
      </c>
      <c r="E144" s="152">
        <f>E130+E141</f>
        <v>0</v>
      </c>
      <c r="F144" s="153" t="str">
        <f>$E$104</f>
        <v>t CO2e</v>
      </c>
    </row>
    <row r="145" spans="1:41" ht="20.100000000000001" customHeight="1" x14ac:dyDescent="0.25">
      <c r="A145"/>
      <c r="D145" s="151" t="s">
        <v>815</v>
      </c>
      <c r="E145" s="152">
        <f>E131+E142</f>
        <v>0</v>
      </c>
      <c r="F145" s="153"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4" t="s">
        <v>311</v>
      </c>
      <c r="E151" s="134"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4"/>
    </row>
    <row r="154" spans="1:41" ht="20.100000000000001" customHeight="1" x14ac:dyDescent="0.25">
      <c r="A154"/>
      <c r="D154" s="88" t="s">
        <v>312</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6" t="str" cm="1">
        <f t="array" ref="D157:E159">_xlfn.CHOOSECOLS(Scope3_Equations.VEERG_15_3_1_1__1_EmissionsFromPurchasedMineralSupplements_Arguments(),1,2)</f>
        <v>Q_m</v>
      </c>
      <c r="E157" s="164" t="str">
        <v>total quantity of mineral supplement type m used</v>
      </c>
      <c r="F157" s="166"/>
      <c r="G157" s="156" t="str" cm="1">
        <f t="array" ref="G157:H159">_xlfn.CHOOSECOLS(Scope3_Equations.VEERG_15_3_1_1__1_EmissionsFromPurchasedMineralSupplements_Arguments(),3,4)</f>
        <v>t</v>
      </c>
      <c r="H157" s="249" t="str">
        <v>Input</v>
      </c>
    </row>
    <row r="158" spans="1:41" ht="20.100000000000001" customHeight="1" x14ac:dyDescent="0.25">
      <c r="A158"/>
      <c r="D158" s="156" t="str">
        <v>EF_m</v>
      </c>
      <c r="E158" s="164" t="str">
        <v>emission factor of purchased mineral supplement</v>
      </c>
      <c r="F158" s="166"/>
      <c r="G158" s="156" t="str">
        <v>kg CO2e/kg</v>
      </c>
      <c r="H158" s="249" t="str">
        <v>Constant</v>
      </c>
    </row>
    <row r="159" spans="1:41" ht="20.100000000000001" customHeight="1" x14ac:dyDescent="0.25">
      <c r="A159"/>
      <c r="D159" s="156" t="str">
        <v>m</v>
      </c>
      <c r="E159" s="164" t="str">
        <v>mineral supplement type</v>
      </c>
      <c r="F159" s="166"/>
      <c r="G159" s="156" t="str">
        <v/>
      </c>
      <c r="H159" s="139" t="str">
        <v>Input</v>
      </c>
    </row>
    <row r="160" spans="1:41" ht="20.100000000000001" customHeight="1" x14ac:dyDescent="0.25">
      <c r="A160"/>
    </row>
    <row r="161" spans="3:41" ht="20.100000000000001" customHeight="1" x14ac:dyDescent="0.25">
      <c r="D161" s="92" t="s">
        <v>137</v>
      </c>
      <c r="E161" s="92" t="s">
        <v>852</v>
      </c>
      <c r="F161" s="147" t="s">
        <v>853</v>
      </c>
      <c r="G161" s="147" t="s">
        <v>812</v>
      </c>
      <c r="H161" s="92" t="s">
        <v>854</v>
      </c>
      <c r="I161" s="147" t="s">
        <v>815</v>
      </c>
      <c r="J161" s="92" t="s">
        <v>816</v>
      </c>
      <c r="K161" s="92" t="s">
        <v>817</v>
      </c>
      <c r="L161" s="92" t="s">
        <v>818</v>
      </c>
    </row>
    <row r="162" spans="3:41" ht="20.100000000000001" customHeight="1" x14ac:dyDescent="0.25">
      <c r="D162" s="25"/>
      <c r="E162" s="25">
        <f>IFERROR(X_Cell_FarmInputs_LickBlocks_DrySeasonMix, 0)</f>
        <v>0</v>
      </c>
      <c r="F162" s="25" cm="1">
        <f t="array" ref="F162">Common_InputFunctions.Utility_LookupValueInTableNumber(D162,Table_SourceData_Scope3_LickBlocks[Product],Table_SourceData_Scope3_LickBlocks[AusLCI Emissions intensity])</f>
        <v>0</v>
      </c>
      <c r="G162" s="251" cm="1">
        <f t="array" ref="G162">Scope3_Equations.VEERG_15_3_1_1__1_EmissionsFromPurchasedMineralSupplements(E162,F162)</f>
        <v>0</v>
      </c>
      <c r="H162" s="86">
        <v>0.8</v>
      </c>
      <c r="I162" s="251" cm="1">
        <f t="array" ref="I162">Scope3_Equations.VEERG_15_3_1_1__1_EmissionsFromPurchasedMineralSupplements(E162,IF(H162, H162, F162))</f>
        <v>0</v>
      </c>
      <c r="J162" s="44"/>
      <c r="K162" s="23"/>
      <c r="L162" s="239"/>
    </row>
    <row r="163" spans="3:41" ht="20.100000000000001" customHeight="1" x14ac:dyDescent="0.25">
      <c r="D163" s="25"/>
      <c r="E163" s="25">
        <f>IFERROR(X_Cell_FarmInputs_LickBlocks_Mineral, 0)</f>
        <v>0</v>
      </c>
      <c r="F163" s="25" cm="1">
        <f t="array" ref="F163">Common_InputFunctions.Utility_LookupValueInTableNumber(D163,Table_SourceData_Scope3_LickBlocks[Product],Table_SourceData_Scope3_LickBlocks[AusLCI Emissions intensity])</f>
        <v>0</v>
      </c>
      <c r="G163" s="251" cm="1">
        <f t="array" ref="G163">Scope3_Equations.VEERG_15_3_1_1__1_EmissionsFromPurchasedMineralSupplements(E163,F163)</f>
        <v>0</v>
      </c>
      <c r="H163" s="86">
        <v>0.6</v>
      </c>
      <c r="I163" s="251" cm="1">
        <f t="array" ref="I163">Scope3_Equations.VEERG_15_3_1_1__1_EmissionsFromPurchasedMineralSupplements(E163,IF(H163, H163, F163))</f>
        <v>0</v>
      </c>
      <c r="J163" s="44"/>
      <c r="K163" s="23"/>
      <c r="L163" s="44"/>
    </row>
    <row r="164" spans="3:41" ht="20.100000000000001" customHeight="1" x14ac:dyDescent="0.25">
      <c r="D164" s="25"/>
      <c r="E164" s="25">
        <f>IFERROR(X_Cell_FarmInputs_LickBlocks_Weaner, 0)</f>
        <v>0</v>
      </c>
      <c r="F164" s="25" cm="1">
        <f t="array" ref="F164">Common_InputFunctions.Utility_LookupValueInTableNumber(D164,Table_SourceData_Scope3_LickBlocks[Product],Table_SourceData_Scope3_LickBlocks[AusLCI Emissions intensity])</f>
        <v>0</v>
      </c>
      <c r="G164" s="251" cm="1">
        <f t="array" ref="G164">Scope3_Equations.VEERG_15_3_1_1__1_EmissionsFromPurchasedMineralSupplements(E164,F164)</f>
        <v>0</v>
      </c>
      <c r="H164" s="86">
        <v>0.2</v>
      </c>
      <c r="I164" s="251" cm="1">
        <f t="array" ref="I164">Scope3_Equations.VEERG_15_3_1_1__1_EmissionsFromPurchasedMineralSupplements(E164,IF(H164, H164, F164))</f>
        <v>0</v>
      </c>
      <c r="J164" s="44"/>
      <c r="K164" s="23"/>
      <c r="L164" s="44"/>
    </row>
    <row r="165" spans="3:41" ht="20.100000000000001" customHeight="1" x14ac:dyDescent="0.25"/>
    <row r="166" spans="3:41" ht="20.100000000000001" customHeight="1" x14ac:dyDescent="0.25">
      <c r="D166" s="151" t="s">
        <v>812</v>
      </c>
      <c r="E166" s="152">
        <f>SUM(G162:G164)</f>
        <v>0</v>
      </c>
      <c r="F166" s="153" t="str">
        <f>$E$155</f>
        <v>t CO2e</v>
      </c>
    </row>
    <row r="167" spans="3:41" ht="20.100000000000001" customHeight="1" x14ac:dyDescent="0.25">
      <c r="D167" s="151" t="s">
        <v>815</v>
      </c>
      <c r="E167" s="152">
        <f>SUM(I162:I164)</f>
        <v>0</v>
      </c>
      <c r="F167" s="153" t="str">
        <f>$E$155</f>
        <v>t CO2e</v>
      </c>
    </row>
    <row r="168" spans="3:41" ht="20.100000000000001" customHeight="1" x14ac:dyDescent="0.25"/>
    <row r="169" spans="3:41" ht="20.100000000000001" customHeight="1" x14ac:dyDescent="0.25"/>
    <row r="170" spans="3:41" ht="20.100000000000001" customHeight="1" x14ac:dyDescent="0.25">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148"/>
      <c r="AH170" s="148"/>
      <c r="AI170" s="148"/>
      <c r="AJ170" s="148"/>
      <c r="AK170" s="148"/>
      <c r="AL170" s="148"/>
      <c r="AM170" s="148"/>
      <c r="AN170" s="148"/>
      <c r="AO170" s="148"/>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4" t="s">
        <v>311</v>
      </c>
      <c r="E174" s="134"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312</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6" t="str" cm="1">
        <f t="array" ref="D180:E183">_xlfn.CHOOSECOLS(Scope3_Equations.VEERG_15_4_1_1__X_EmissionFactorFromPurchasedFertiliserComponents_Arguments(),1,2)</f>
        <v>F_cf</v>
      </c>
      <c r="E180" s="164" t="str">
        <v>fraction of component c contained within the inorganic fertiliser f</v>
      </c>
      <c r="F180" s="166"/>
      <c r="G180" s="156" t="str" cm="1">
        <f t="array" ref="G180:H183">_xlfn.CHOOSECOLS(Scope3_Equations.VEERG_15_4_1_1__X_EmissionFactorFromPurchasedFertiliserComponents_Arguments(),3,4)</f>
        <v>wt%</v>
      </c>
      <c r="H180" s="249" t="str">
        <v>Input</v>
      </c>
    </row>
    <row r="181" spans="4:8" ht="20.100000000000001" customHeight="1" x14ac:dyDescent="0.25">
      <c r="D181" s="156" t="str">
        <v>EF_c</v>
      </c>
      <c r="E181" s="164" t="str">
        <v>emission factor for the production of component c</v>
      </c>
      <c r="F181" s="166"/>
      <c r="G181" s="156" t="str">
        <v>kg CO2e/kg component</v>
      </c>
      <c r="H181" s="139" t="str">
        <v>Constant</v>
      </c>
    </row>
    <row r="182" spans="4:8" ht="20.100000000000001" customHeight="1" x14ac:dyDescent="0.25">
      <c r="D182" s="156" t="str">
        <v>c</v>
      </c>
      <c r="E182" s="164" t="str">
        <v>fertiliser component</v>
      </c>
      <c r="F182" s="166"/>
      <c r="G182" s="156" t="str">
        <v/>
      </c>
      <c r="H182" s="249" t="str">
        <v>Input</v>
      </c>
    </row>
    <row r="183" spans="4:8" ht="20.100000000000001" customHeight="1" x14ac:dyDescent="0.25">
      <c r="D183" s="156" t="str">
        <v>f</v>
      </c>
      <c r="E183" s="164" t="str">
        <v>inorganic fertiliser type</v>
      </c>
      <c r="F183" s="166"/>
      <c r="G183" s="156" t="str">
        <v/>
      </c>
      <c r="H183" s="249"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4" t="s">
        <v>311</v>
      </c>
      <c r="E188" s="134"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312</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6" t="str" cm="1">
        <f t="array" ref="D194:E197">_xlfn.CHOOSECOLS(Scope3_Equations.VEERG_15_4_1_1__1_EmissionsFromPurchasedFertiliser_Arguments(),1,2)</f>
        <v>TM_jf</v>
      </c>
      <c r="E194" s="156" t="str">
        <v>quantity of inorganic fertiliser type f purchased and applied to production system j</v>
      </c>
      <c r="F194" s="156"/>
      <c r="G194" s="156" t="str" cm="1">
        <f t="array" ref="G194:H197">_xlfn.CHOOSECOLS(Scope3_Equations.VEERG_15_4_1_1__1_EmissionsFromPurchasedFertiliser_Arguments(),3,4)</f>
        <v>kg</v>
      </c>
      <c r="H194" s="249" t="str">
        <v>Input</v>
      </c>
    </row>
    <row r="195" spans="4:8" ht="20.100000000000001" customHeight="1" x14ac:dyDescent="0.25">
      <c r="D195" s="156" t="str">
        <v>EF_f</v>
      </c>
      <c r="E195" s="156" t="str">
        <v>emission factor of purchased inorganic fertiliser</v>
      </c>
      <c r="F195" s="156"/>
      <c r="G195" s="156" t="str">
        <v>kg CO2e/kg</v>
      </c>
      <c r="H195" s="139" t="str">
        <v>Constant</v>
      </c>
    </row>
    <row r="196" spans="4:8" ht="20.100000000000001" customHeight="1" x14ac:dyDescent="0.25">
      <c r="D196" s="156" t="str">
        <v>j</v>
      </c>
      <c r="E196" s="156" t="str">
        <v>production system</v>
      </c>
      <c r="F196" s="156"/>
      <c r="G196" s="156" t="str">
        <v/>
      </c>
      <c r="H196" s="249" t="str">
        <v>Input</v>
      </c>
    </row>
    <row r="197" spans="4:8" ht="20.100000000000001" customHeight="1" x14ac:dyDescent="0.25">
      <c r="D197" s="156" t="str">
        <v>f</v>
      </c>
      <c r="E197" s="156" t="str">
        <v>inorganic fertiliser type</v>
      </c>
      <c r="F197" s="156"/>
      <c r="G197" s="156" t="str">
        <v/>
      </c>
      <c r="H197" s="249"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4" t="s">
        <v>311</v>
      </c>
      <c r="E203" s="134"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312</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6" t="str" cm="1">
        <f t="array" ref="D209:E214">_xlfn.CHOOSECOLS(Scope3_Equations.VEERG_15_4_1_1__2_EmissionsFromPurchasedFertiliserComponents_Arguments(),1,2)</f>
        <v>F_cf</v>
      </c>
      <c r="E209" s="164" t="str">
        <v>fraction of component c contained within the inorganic fertiliser f</v>
      </c>
      <c r="F209" s="166"/>
      <c r="G209" s="156" t="str" cm="1">
        <f t="array" ref="G209:H214">_xlfn.CHOOSECOLS(Scope3_Equations.VEERG_15_4_1_1__2_EmissionsFromPurchasedFertiliserComponents_Arguments(),3,4)</f>
        <v>wt%</v>
      </c>
      <c r="H209" s="249" t="str">
        <v>Input</v>
      </c>
    </row>
    <row r="210" spans="4:40" ht="20.100000000000001" customHeight="1" x14ac:dyDescent="0.25">
      <c r="D210" s="156" t="str">
        <v>TM_jf</v>
      </c>
      <c r="E210" s="164" t="str">
        <v>quantity of inorganic fertiliser type f purchased and applied to production system j</v>
      </c>
      <c r="F210" s="166"/>
      <c r="G210" s="156" t="str">
        <v>kg</v>
      </c>
      <c r="H210" s="139" t="str">
        <v>Input</v>
      </c>
    </row>
    <row r="211" spans="4:40" ht="20.100000000000001" customHeight="1" x14ac:dyDescent="0.25">
      <c r="D211" s="156" t="str">
        <v>EF_c</v>
      </c>
      <c r="E211" s="164" t="str">
        <v>emission factor for the production of component c</v>
      </c>
      <c r="F211" s="166"/>
      <c r="G211" s="156" t="str">
        <v>kg CO2e/kg component</v>
      </c>
      <c r="H211" s="139" t="str">
        <v>Constant</v>
      </c>
    </row>
    <row r="212" spans="4:40" ht="20.100000000000001" customHeight="1" x14ac:dyDescent="0.25">
      <c r="D212" s="156" t="str">
        <v>c</v>
      </c>
      <c r="E212" s="164" t="str">
        <v>fertiliser component</v>
      </c>
      <c r="F212" s="166"/>
      <c r="G212" s="156" t="str">
        <v/>
      </c>
      <c r="H212" s="249" t="str">
        <v>Input</v>
      </c>
    </row>
    <row r="213" spans="4:40" ht="20.100000000000001" customHeight="1" x14ac:dyDescent="0.25">
      <c r="D213" s="156" t="str">
        <v>f</v>
      </c>
      <c r="E213" s="164" t="str">
        <v>inorganic fertiliser type</v>
      </c>
      <c r="F213" s="166"/>
      <c r="G213" s="156" t="str">
        <v/>
      </c>
      <c r="H213" s="249" t="str">
        <v>Input</v>
      </c>
    </row>
    <row r="214" spans="4:40" ht="20.100000000000001" customHeight="1" x14ac:dyDescent="0.25">
      <c r="D214" s="156" t="str">
        <v>j</v>
      </c>
      <c r="E214" s="164" t="str">
        <v>production system</v>
      </c>
      <c r="F214" s="166"/>
      <c r="G214" s="156" t="str">
        <v/>
      </c>
      <c r="H214" s="249" t="str">
        <v>Input</v>
      </c>
    </row>
    <row r="215" spans="4:40" ht="20.100000000000001" customHeight="1" x14ac:dyDescent="0.25"/>
    <row r="216" spans="4:40" ht="20.100000000000001" customHeight="1" x14ac:dyDescent="0.25">
      <c r="D216" s="244"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92" t="s">
        <v>137</v>
      </c>
      <c r="E220" s="92" t="s">
        <v>857</v>
      </c>
      <c r="F220" s="147" t="s">
        <v>858</v>
      </c>
      <c r="G220" s="147" t="s">
        <v>859</v>
      </c>
      <c r="H220" s="147" t="s">
        <v>860</v>
      </c>
      <c r="I220" s="92" t="s">
        <v>861</v>
      </c>
      <c r="J220" s="147" t="s">
        <v>862</v>
      </c>
      <c r="K220" s="147" t="s">
        <v>863</v>
      </c>
      <c r="L220" s="92" t="s">
        <v>816</v>
      </c>
      <c r="M220" s="92" t="s">
        <v>817</v>
      </c>
      <c r="N220" s="92" t="s">
        <v>818</v>
      </c>
      <c r="O220" s="147" t="s">
        <v>270</v>
      </c>
      <c r="P220" s="147" t="s">
        <v>271</v>
      </c>
      <c r="Q220" s="147" t="s">
        <v>255</v>
      </c>
      <c r="R220" s="147" t="s">
        <v>256</v>
      </c>
      <c r="S220" s="147" t="s">
        <v>864</v>
      </c>
      <c r="T220" s="92" t="s">
        <v>865</v>
      </c>
      <c r="U220" s="147" t="s">
        <v>257</v>
      </c>
      <c r="V220" s="147" t="s">
        <v>258</v>
      </c>
      <c r="W220" s="147" t="s">
        <v>866</v>
      </c>
      <c r="X220" s="92" t="s">
        <v>867</v>
      </c>
      <c r="Y220" s="147" t="s">
        <v>259</v>
      </c>
      <c r="Z220" s="147" t="s">
        <v>260</v>
      </c>
      <c r="AA220" s="147" t="s">
        <v>868</v>
      </c>
      <c r="AB220" s="92" t="s">
        <v>869</v>
      </c>
      <c r="AC220" s="147" t="s">
        <v>261</v>
      </c>
      <c r="AD220" s="147" t="s">
        <v>262</v>
      </c>
      <c r="AE220" s="147" t="s">
        <v>870</v>
      </c>
      <c r="AF220" s="92" t="s">
        <v>871</v>
      </c>
      <c r="AG220" s="147" t="s">
        <v>263</v>
      </c>
      <c r="AH220" s="147" t="s">
        <v>264</v>
      </c>
      <c r="AI220" s="147" t="s">
        <v>872</v>
      </c>
      <c r="AJ220" s="92" t="s">
        <v>873</v>
      </c>
      <c r="AK220" s="147" t="s">
        <v>265</v>
      </c>
      <c r="AL220" s="147" t="s">
        <v>266</v>
      </c>
      <c r="AM220" s="147" t="s">
        <v>874</v>
      </c>
      <c r="AN220" s="92" t="s">
        <v>875</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51"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51" cm="1">
        <f t="array" ref="J221">Scope3_Equations.VEERG_15_4_1_1__1_EmissionsFromPurchasedFertiliser(E221,I221)</f>
        <v>40</v>
      </c>
      <c r="K221" s="2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3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51"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51" cm="1">
        <f t="array" ref="J222">Scope3_Equations.VEERG_15_4_1_1__1_EmissionsFromPurchasedFertiliser(E222,I222)</f>
        <v>90</v>
      </c>
      <c r="K222" s="2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51"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51" cm="1">
        <f t="array" ref="J223">Scope3_Equations.VEERG_15_4_1_1__1_EmissionsFromPurchasedFertiliser(E223,I223)</f>
        <v>40</v>
      </c>
      <c r="K223" s="2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51"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51" cm="1">
        <f t="array" ref="J224">Scope3_Equations.VEERG_15_4_1_1__1_EmissionsFromPurchasedFertiliser(E224,I224)</f>
        <v>0</v>
      </c>
      <c r="K224" s="2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51"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51" cm="1">
        <f t="array" ref="J225">Scope3_Equations.VEERG_15_4_1_1__1_EmissionsFromPurchasedFertiliser(E225,I225)</f>
        <v>0</v>
      </c>
      <c r="K225" s="2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1"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1" cm="1">
        <f t="array" ref="J226">Scope3_Equations.VEERG_15_4_1_1__1_EmissionsFromPurchasedFertiliser(E226,I226)</f>
        <v>0</v>
      </c>
      <c r="K226" s="2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1"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1" cm="1">
        <f t="array" ref="J227">Scope3_Equations.VEERG_15_4_1_1__1_EmissionsFromPurchasedFertiliser(E227,I227)</f>
        <v>0</v>
      </c>
      <c r="K227" s="2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1"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1" cm="1">
        <f t="array" ref="J228">Scope3_Equations.VEERG_15_4_1_1__1_EmissionsFromPurchasedFertiliser(E228,I228)</f>
        <v>0</v>
      </c>
      <c r="K228" s="2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1"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1" cm="1">
        <f t="array" ref="J229">Scope3_Equations.VEERG_15_4_1_1__1_EmissionsFromPurchasedFertiliser(E229,I229)</f>
        <v>0</v>
      </c>
      <c r="K229" s="2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1"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1" cm="1">
        <f t="array" ref="J230">Scope3_Equations.VEERG_15_4_1_1__1_EmissionsFromPurchasedFertiliser(E230,I230)</f>
        <v>0</v>
      </c>
      <c r="K230" s="2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4"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92" t="s">
        <v>839</v>
      </c>
      <c r="E236" s="92" t="s">
        <v>857</v>
      </c>
      <c r="F236" s="147" t="s">
        <v>858</v>
      </c>
      <c r="G236" s="147" t="s">
        <v>859</v>
      </c>
      <c r="H236" s="147" t="s">
        <v>860</v>
      </c>
      <c r="I236" s="92" t="s">
        <v>861</v>
      </c>
      <c r="J236" s="147" t="s">
        <v>862</v>
      </c>
      <c r="K236" s="147" t="s">
        <v>863</v>
      </c>
      <c r="L236" s="92" t="s">
        <v>816</v>
      </c>
      <c r="M236" s="92" t="s">
        <v>817</v>
      </c>
      <c r="N236" s="92" t="s">
        <v>818</v>
      </c>
      <c r="O236" s="147" t="s">
        <v>270</v>
      </c>
      <c r="P236" s="147" t="s">
        <v>271</v>
      </c>
      <c r="Q236" s="147" t="s">
        <v>255</v>
      </c>
      <c r="R236" s="147" t="s">
        <v>256</v>
      </c>
      <c r="S236" s="147" t="s">
        <v>864</v>
      </c>
      <c r="T236" s="92" t="s">
        <v>865</v>
      </c>
      <c r="U236" s="147" t="s">
        <v>257</v>
      </c>
      <c r="V236" s="147" t="s">
        <v>258</v>
      </c>
      <c r="W236" s="147" t="s">
        <v>866</v>
      </c>
      <c r="X236" s="92" t="s">
        <v>867</v>
      </c>
      <c r="Y236" s="147" t="s">
        <v>259</v>
      </c>
      <c r="Z236" s="147" t="s">
        <v>260</v>
      </c>
      <c r="AA236" s="147" t="s">
        <v>868</v>
      </c>
      <c r="AB236" s="92" t="s">
        <v>869</v>
      </c>
      <c r="AC236" s="147" t="s">
        <v>261</v>
      </c>
      <c r="AD236" s="147" t="s">
        <v>262</v>
      </c>
      <c r="AE236" s="147" t="s">
        <v>870</v>
      </c>
      <c r="AF236" s="92"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1"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51" cm="1">
        <f t="array" ref="J237">Scope3_Equations.VEERG_15_4_1_1__1_EmissionsFromPurchasedFertiliser(E237,I237)</f>
        <v>40</v>
      </c>
      <c r="K237" s="2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9"/>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51"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51" cm="1">
        <f t="array" ref="J238">Scope3_Equations.VEERG_15_4_1_1__1_EmissionsFromPurchasedFertiliser(E238,I238)</f>
        <v>90</v>
      </c>
      <c r="K238" s="2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51"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51" cm="1">
        <f t="array" ref="J239">Scope3_Equations.VEERG_15_4_1_1__1_EmissionsFromPurchasedFertiliser(E239,I239)</f>
        <v>40</v>
      </c>
      <c r="K239" s="2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1"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1" cm="1">
        <f t="array" ref="J240">Scope3_Equations.VEERG_15_4_1_1__1_EmissionsFromPurchasedFertiliser(E240,I240)</f>
        <v>0</v>
      </c>
      <c r="K240" s="2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1"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1" cm="1">
        <f t="array" ref="J241">Scope3_Equations.VEERG_15_4_1_1__1_EmissionsFromPurchasedFertiliser(E241,I241)</f>
        <v>0</v>
      </c>
      <c r="K241" s="2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1"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1" cm="1">
        <f t="array" ref="J242">Scope3_Equations.VEERG_15_4_1_1__1_EmissionsFromPurchasedFertiliser(E242,I242)</f>
        <v>0</v>
      </c>
      <c r="K242" s="2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1"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1" cm="1">
        <f t="array" ref="J243">Scope3_Equations.VEERG_15_4_1_1__1_EmissionsFromPurchasedFertiliser(E243,I243)</f>
        <v>0</v>
      </c>
      <c r="K243" s="2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1"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1" cm="1">
        <f t="array" ref="J244">Scope3_Equations.VEERG_15_4_1_1__1_EmissionsFromPurchasedFertiliser(E244,I244)</f>
        <v>0</v>
      </c>
      <c r="K244" s="2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1"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1" cm="1">
        <f t="array" ref="J245">Scope3_Equations.VEERG_15_4_1_1__1_EmissionsFromPurchasedFertiliser(E245,I245)</f>
        <v>0</v>
      </c>
      <c r="K245" s="2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1"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1" cm="1">
        <f t="array" ref="J246">Scope3_Equations.VEERG_15_4_1_1__1_EmissionsFromPurchasedFertiliser(E246,I246)</f>
        <v>0</v>
      </c>
      <c r="K246" s="2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2" t="s">
        <v>878</v>
      </c>
      <c r="E248" s="152">
        <f>SUM(G221:G230)+SUM(G237:G246)</f>
        <v>453.31033520000005</v>
      </c>
      <c r="F248" s="153" t="str">
        <f>$E$155</f>
        <v>t CO2e</v>
      </c>
    </row>
    <row r="249" spans="3:41" ht="20.100000000000001" customHeight="1" x14ac:dyDescent="0.25">
      <c r="D249" s="252" t="s">
        <v>879</v>
      </c>
      <c r="E249" s="152">
        <f>SUM(J221:J230)+SUM(J237:J246)</f>
        <v>340</v>
      </c>
      <c r="F249" s="153" t="str">
        <f>$E$155</f>
        <v>t CO2e</v>
      </c>
    </row>
    <row r="250" spans="3:41" ht="20.100000000000001" customHeight="1" x14ac:dyDescent="0.25"/>
    <row r="251" spans="3:41" ht="20.100000000000001" customHeight="1" x14ac:dyDescent="0.25">
      <c r="D251" s="252" t="s">
        <v>880</v>
      </c>
      <c r="E251" s="152">
        <f>SUM(H221:H230)+SUM(H237:H246)</f>
        <v>453.31033520000005</v>
      </c>
      <c r="F251" s="153" t="str">
        <f>$E$155</f>
        <v>t CO2e</v>
      </c>
    </row>
    <row r="252" spans="3:41" ht="20.100000000000001" customHeight="1" x14ac:dyDescent="0.25">
      <c r="D252" s="252" t="s">
        <v>881</v>
      </c>
      <c r="E252" s="152">
        <f>SUM(K221:K230)+SUM(K237:K246)</f>
        <v>437.4303352</v>
      </c>
      <c r="F252" s="153" t="str">
        <f>$E$155</f>
        <v>t CO2e</v>
      </c>
    </row>
    <row r="253" spans="3:41" ht="20.100000000000001" customHeight="1" x14ac:dyDescent="0.25"/>
    <row r="254" spans="3:41" ht="20.100000000000001" customHeight="1" x14ac:dyDescent="0.25"/>
    <row r="255" spans="3:41" ht="20.100000000000001" customHeight="1" x14ac:dyDescent="0.25">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c r="AA255" s="148"/>
      <c r="AB255" s="148"/>
      <c r="AC255" s="148"/>
      <c r="AD255" s="148"/>
      <c r="AE255" s="148"/>
      <c r="AF255" s="148"/>
      <c r="AG255" s="148"/>
      <c r="AH255" s="148"/>
      <c r="AI255" s="148"/>
      <c r="AJ255" s="148"/>
      <c r="AK255" s="148"/>
      <c r="AL255" s="148"/>
      <c r="AM255" s="148"/>
      <c r="AN255" s="148"/>
      <c r="AO255" s="148"/>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4" t="s">
        <v>311</v>
      </c>
      <c r="E258" s="134"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312</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6" t="str" cm="1">
        <f t="array" ref="D265:E267">_xlfn.CHOOSECOLS(Scope3_Equations.VEERG_15_5_1_1__1_EmissionsFromPurchasedAgrichemicals_Arguments(),1,2)</f>
        <v>Q_h</v>
      </c>
      <c r="E265" s="164" t="str">
        <v>quantity of active ingredients in agrichemical type h purchased and applied to soils</v>
      </c>
      <c r="F265" s="166"/>
      <c r="G265" s="156" t="str" cm="1">
        <f t="array" ref="G265:H267">_xlfn.CHOOSECOLS(Scope3_Equations.VEERG_15_5_1_1__1_EmissionsFromPurchasedAgrichemicals_Arguments(),3,4)</f>
        <v>kg ai</v>
      </c>
      <c r="H265" s="249" t="str">
        <v>Input</v>
      </c>
    </row>
    <row r="266" spans="4:9" x14ac:dyDescent="0.25">
      <c r="D266" s="156" t="str">
        <v>EF_h</v>
      </c>
      <c r="E266" s="164" t="str">
        <v>emission factor for purchased agrichemical active ingredient</v>
      </c>
      <c r="F266" s="166"/>
      <c r="G266" s="156" t="str">
        <v>kg CO2e/kg ai</v>
      </c>
      <c r="H266" s="139" t="str">
        <v>Constant</v>
      </c>
    </row>
    <row r="267" spans="4:9" x14ac:dyDescent="0.25">
      <c r="D267" s="156" t="str">
        <v>h</v>
      </c>
      <c r="E267" s="164" t="str">
        <v>agrichemical type</v>
      </c>
      <c r="F267" s="166"/>
      <c r="G267" s="156" t="str">
        <v/>
      </c>
      <c r="H267" s="249" t="str">
        <v>Input</v>
      </c>
    </row>
    <row r="269" spans="4:9" ht="17.25" x14ac:dyDescent="0.25">
      <c r="D269" s="92" t="s">
        <v>882</v>
      </c>
      <c r="E269" s="92" t="s">
        <v>254</v>
      </c>
      <c r="F269" s="147" t="s">
        <v>883</v>
      </c>
      <c r="G269" s="147" t="s">
        <v>812</v>
      </c>
      <c r="H269" s="92" t="s">
        <v>884</v>
      </c>
      <c r="I269" s="147" t="s">
        <v>815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2" t="s">
        <v>812</v>
      </c>
      <c r="E283" s="152">
        <f>SUM(G270:G281)</f>
        <v>7.5159999999999991</v>
      </c>
      <c r="F283" s="153" t="str">
        <f>$E$155</f>
        <v>t CO2e</v>
      </c>
    </row>
    <row r="284" spans="3:41" ht="20.25" x14ac:dyDescent="0.25">
      <c r="D284" s="252" t="s">
        <v>815</v>
      </c>
      <c r="E284" s="152">
        <f>SUM(I270:I281)</f>
        <v>7.4959999999999996</v>
      </c>
      <c r="F284" s="153" t="str">
        <f>$E$155</f>
        <v>t CO2e</v>
      </c>
    </row>
    <row r="287" spans="3:41" x14ac:dyDescent="0.25">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c r="AA287" s="148"/>
      <c r="AB287" s="148"/>
      <c r="AC287" s="148"/>
      <c r="AD287" s="148"/>
      <c r="AE287" s="148"/>
      <c r="AF287" s="148"/>
      <c r="AG287" s="148"/>
      <c r="AH287" s="148"/>
      <c r="AI287" s="148"/>
      <c r="AJ287" s="148"/>
      <c r="AK287" s="148"/>
      <c r="AL287" s="148"/>
      <c r="AM287" s="148"/>
      <c r="AN287" s="148"/>
      <c r="AO287" s="148"/>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4" t="s">
        <v>311</v>
      </c>
      <c r="E290" s="134" t="str" cm="1">
        <f t="array" aca="1" ref="E290" ca="1">Common_InputFunctions.Utility_DisplayFunctionName(I305)</f>
        <v>=Scope3_Equations.VEERG_15_6_1_1__1_EmissionsFromPurchasedLime</v>
      </c>
    </row>
    <row r="293" spans="4:13" x14ac:dyDescent="0.25">
      <c r="D293" s="88" t="s">
        <v>312</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6" t="str" cm="1">
        <f t="array" ref="D296:E297">_xlfn.CHOOSECOLS(Scope3_Equations.VEERG_15_6_1_1__1_EmissionsFromPurchasedLime_Arguments(),1,2)</f>
        <v>M_lime</v>
      </c>
      <c r="E296" s="156" t="str">
        <v>total quantity of lime applied to soils</v>
      </c>
      <c r="F296" s="156" t="str" cm="1">
        <f t="array" ref="F296:G297">_xlfn.CHOOSECOLS(Scope3_Equations.VEERG_15_6_1_1__1_EmissionsFromPurchasedLime_Arguments(),3,4)</f>
        <v>t</v>
      </c>
      <c r="G296" s="249" t="str">
        <v>Input</v>
      </c>
    </row>
    <row r="297" spans="4:13" x14ac:dyDescent="0.25">
      <c r="D297" s="156" t="str">
        <v>EF_l</v>
      </c>
      <c r="E297" s="156" t="str">
        <v>emission factor for purchased lime</v>
      </c>
      <c r="F297" s="156" t="str">
        <v>t CO2e/t</v>
      </c>
      <c r="G297" s="139" t="str">
        <v>Constant</v>
      </c>
    </row>
    <row r="299" spans="4:13" x14ac:dyDescent="0.25">
      <c r="E299" s="147" t="s">
        <v>135</v>
      </c>
      <c r="F299" s="92"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2" t="s">
        <v>730</v>
      </c>
      <c r="E304" s="250" t="s">
        <v>888</v>
      </c>
      <c r="F304" s="92" t="s">
        <v>889</v>
      </c>
      <c r="G304" s="92" t="s">
        <v>890</v>
      </c>
      <c r="H304" s="92" t="s">
        <v>891</v>
      </c>
      <c r="I304" s="147" t="s">
        <v>812</v>
      </c>
      <c r="J304" s="147" t="s">
        <v>892</v>
      </c>
      <c r="K304" s="92" t="s">
        <v>816</v>
      </c>
      <c r="L304" s="92" t="s">
        <v>817</v>
      </c>
      <c r="M304" s="92" t="s">
        <v>818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51" cm="1">
        <f t="array" ref="I305">Scope3_Equations.VEERG_15_6_1_1__1_EmissionsFromPurchasedLime(F305,$E$300)+
Scope3_Equations.VEERG_15_6_1_1__1_EmissionsFromPurchasedLime(G305,$E$301)+
Scope3_Equations.VEERG_15_6_1_1__1_EmissionsFromPurchasedLime(H305,$E$302)</f>
        <v>5.1839999999999997E-2</v>
      </c>
      <c r="J305" s="251"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51" cm="1">
        <f t="array" ref="I306">Scope3_Equations.VEERG_15_6_1_1__1_EmissionsFromPurchasedLime(F306,$E$300)+
Scope3_Equations.VEERG_15_6_1_1__1_EmissionsFromPurchasedLime(G306,$E$301)+
Scope3_Equations.VEERG_15_6_1_1__1_EmissionsFromPurchasedLime(H306,$E$302)</f>
        <v>4.8500000000000001E-2</v>
      </c>
      <c r="J306" s="251"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51" cm="1">
        <f t="array" ref="I307">Scope3_Equations.VEERG_15_6_1_1__1_EmissionsFromPurchasedLime(F307,$E$300)+
Scope3_Equations.VEERG_15_6_1_1__1_EmissionsFromPurchasedLime(G307,$E$301)+
Scope3_Equations.VEERG_15_6_1_1__1_EmissionsFromPurchasedLime(H307,$E$302)</f>
        <v>6.5199999999999994E-2</v>
      </c>
      <c r="J307" s="251"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51" cm="1">
        <f t="array" ref="I308">Scope3_Equations.VEERG_15_6_1_1__1_EmissionsFromPurchasedLime(F308,$E$300)+
Scope3_Equations.VEERG_15_6_1_1__1_EmissionsFromPurchasedLime(G308,$E$301)+
Scope3_Equations.VEERG_15_6_1_1__1_EmissionsFromPurchasedLime(H308,$E$302)</f>
        <v>0</v>
      </c>
      <c r="J308" s="251"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1" cm="1">
        <f t="array" ref="I309">Scope3_Equations.VEERG_15_6_1_1__1_EmissionsFromPurchasedLime(F309,$E$300)+
Scope3_Equations.VEERG_15_6_1_1__1_EmissionsFromPurchasedLime(G309,$E$301)+
Scope3_Equations.VEERG_15_6_1_1__1_EmissionsFromPurchasedLime(H309,$E$302)</f>
        <v>0</v>
      </c>
      <c r="J309" s="251"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1" cm="1">
        <f t="array" ref="I310">Scope3_Equations.VEERG_15_6_1_1__1_EmissionsFromPurchasedLime(F310,$E$300)+
Scope3_Equations.VEERG_15_6_1_1__1_EmissionsFromPurchasedLime(G310,$E$301)+
Scope3_Equations.VEERG_15_6_1_1__1_EmissionsFromPurchasedLime(H310,$E$302)</f>
        <v>0</v>
      </c>
      <c r="J310" s="251"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1" cm="1">
        <f t="array" ref="I311">Scope3_Equations.VEERG_15_6_1_1__1_EmissionsFromPurchasedLime(F311,$E$300)+
Scope3_Equations.VEERG_15_6_1_1__1_EmissionsFromPurchasedLime(G311,$E$301)+
Scope3_Equations.VEERG_15_6_1_1__1_EmissionsFromPurchasedLime(H311,$E$302)</f>
        <v>0</v>
      </c>
      <c r="J311" s="251"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1" cm="1">
        <f t="array" ref="I312">Scope3_Equations.VEERG_15_6_1_1__1_EmissionsFromPurchasedLime(F312,$E$300)+
Scope3_Equations.VEERG_15_6_1_1__1_EmissionsFromPurchasedLime(G312,$E$301)+
Scope3_Equations.VEERG_15_6_1_1__1_EmissionsFromPurchasedLime(H312,$E$302)</f>
        <v>0</v>
      </c>
      <c r="J312" s="251"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1" cm="1">
        <f t="array" ref="I313">Scope3_Equations.VEERG_15_6_1_1__1_EmissionsFromPurchasedLime(F313,$E$300)+
Scope3_Equations.VEERG_15_6_1_1__1_EmissionsFromPurchasedLime(G313,$E$301)+
Scope3_Equations.VEERG_15_6_1_1__1_EmissionsFromPurchasedLime(H313,$E$302)</f>
        <v>0</v>
      </c>
      <c r="J313" s="251"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1" cm="1">
        <f t="array" ref="I314">Scope3_Equations.VEERG_15_6_1_1__1_EmissionsFromPurchasedLime(F314,$E$300)+
Scope3_Equations.VEERG_15_6_1_1__1_EmissionsFromPurchasedLime(G314,$E$301)+
Scope3_Equations.VEERG_15_6_1_1__1_EmissionsFromPurchasedLime(H314,$E$302)</f>
        <v>0</v>
      </c>
      <c r="J314" s="251"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2" t="s">
        <v>812</v>
      </c>
      <c r="E316" s="152">
        <f>SUM(I305:I314)</f>
        <v>0.16553999999999999</v>
      </c>
      <c r="F316" s="153" t="str">
        <f>$E$155</f>
        <v>t CO2e</v>
      </c>
    </row>
    <row r="317" spans="3:41" ht="20.25" x14ac:dyDescent="0.25">
      <c r="D317" s="252" t="s">
        <v>815</v>
      </c>
      <c r="E317" s="152">
        <f>SUM(J305:J314)</f>
        <v>0.14399999999999999</v>
      </c>
      <c r="F317" s="153" t="str">
        <f>$E$155</f>
        <v>t CO2e</v>
      </c>
    </row>
    <row r="320" spans="3:41" x14ac:dyDescent="0.25">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c r="AA320" s="148"/>
      <c r="AB320" s="148"/>
      <c r="AC320" s="148"/>
      <c r="AD320" s="148"/>
      <c r="AE320" s="148"/>
      <c r="AF320" s="148"/>
      <c r="AG320" s="148"/>
      <c r="AH320" s="148"/>
      <c r="AI320" s="148"/>
      <c r="AJ320" s="148"/>
      <c r="AK320" s="148"/>
      <c r="AL320" s="148"/>
      <c r="AM320" s="148"/>
      <c r="AN320" s="148"/>
      <c r="AO320" s="148"/>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4" t="s">
        <v>311</v>
      </c>
      <c r="E323" s="134" t="str" cm="1">
        <f t="array" aca="1" ref="E323" ca="1">Common_InputFunctions.Utility_DisplayFunctionName(K336)</f>
        <v>=Scope3_Equations.VEERG_15_7_1_1__1_EmissionsFromPurchasedServices</v>
      </c>
    </row>
    <row r="325" spans="4:15" x14ac:dyDescent="0.25">
      <c r="H325" s="1" t="s">
        <v>893</v>
      </c>
    </row>
    <row r="326" spans="4:15" x14ac:dyDescent="0.25">
      <c r="D326" s="88" t="s">
        <v>312</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6" t="str" cm="1">
        <f t="array" ref="D329:E331">_xlfn.CHOOSECOLS(Scope3_Equations.VEERG_15_7_1_1__1_EmissionsFromPurchasedServices_Arguments(),1,2)</f>
        <v>A_p</v>
      </c>
      <c r="E329" s="164" t="str">
        <v>activity data of the service that was purchased</v>
      </c>
      <c r="F329" s="166"/>
      <c r="G329" s="156" t="str" cm="1">
        <f t="array" ref="G329:H331">_xlfn.CHOOSECOLS(Scope3_Equations.VEERG_15_7_1_1__1_EmissionsFromPurchasedServices_Arguments(),3,4)</f>
        <v>ha or h</v>
      </c>
      <c r="H329" s="249" t="str">
        <v>Input</v>
      </c>
    </row>
    <row r="330" spans="4:15" x14ac:dyDescent="0.25">
      <c r="D330" s="156" t="str">
        <v>EF_p</v>
      </c>
      <c r="E330" s="164" t="str">
        <v>life cycle emission factor for the purchased service</v>
      </c>
      <c r="F330" s="166"/>
      <c r="G330" s="156" t="str">
        <v>kg CO2e/ha or kg CO2e/h</v>
      </c>
      <c r="H330" s="139" t="str">
        <v>Constant</v>
      </c>
    </row>
    <row r="331" spans="4:15" x14ac:dyDescent="0.25">
      <c r="D331" s="156" t="str">
        <v>p</v>
      </c>
      <c r="E331" s="164" t="str">
        <v>service type</v>
      </c>
      <c r="F331" s="166"/>
      <c r="G331" s="156" t="str">
        <v/>
      </c>
      <c r="H331" s="249" t="str">
        <v>Input</v>
      </c>
    </row>
    <row r="333" spans="4:15" x14ac:dyDescent="0.25">
      <c r="D333" s="36" t="s">
        <v>894</v>
      </c>
    </row>
    <row r="335" spans="4:15" x14ac:dyDescent="0.25">
      <c r="D335" s="92" t="s">
        <v>740</v>
      </c>
      <c r="E335" s="92" t="s">
        <v>741</v>
      </c>
      <c r="F335" s="92" t="s">
        <v>742</v>
      </c>
      <c r="G335" s="92" t="s">
        <v>496</v>
      </c>
      <c r="H335" s="147" t="s">
        <v>895</v>
      </c>
      <c r="I335" s="147" t="s">
        <v>896</v>
      </c>
      <c r="J335" s="92" t="s">
        <v>897</v>
      </c>
      <c r="K335" s="147" t="s">
        <v>898</v>
      </c>
      <c r="L335" s="147" t="s">
        <v>899</v>
      </c>
      <c r="M335" s="92" t="s">
        <v>816</v>
      </c>
      <c r="N335" s="92" t="s">
        <v>817</v>
      </c>
      <c r="O335" s="92" t="s">
        <v>818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1"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1"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1"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1"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1"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1"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1"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1"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1"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1" cm="1">
        <f t="array" ref="K345">Scope3_Equations.VEERG_15_7_1_1__1_EmissionsFromPurchasedServices(F345,J345)</f>
        <v>0</v>
      </c>
      <c r="L345" s="25" t="str">
        <f t="shared" si="1"/>
        <v>t CO2e / 0</v>
      </c>
      <c r="M345" s="44"/>
      <c r="N345" s="23"/>
      <c r="O345" s="44"/>
    </row>
    <row r="347" spans="3:41" ht="20.25" x14ac:dyDescent="0.25">
      <c r="D347" s="252" t="s">
        <v>812</v>
      </c>
      <c r="E347" s="152" t="s">
        <v>900</v>
      </c>
      <c r="F347" s="153" t="str">
        <f>$E$155</f>
        <v>t CO2e</v>
      </c>
    </row>
    <row r="348" spans="3:41" ht="20.25" x14ac:dyDescent="0.25">
      <c r="D348" s="252" t="s">
        <v>815</v>
      </c>
      <c r="E348" s="152">
        <f>SUM(K336:K345)</f>
        <v>42</v>
      </c>
      <c r="F348" s="153" t="str">
        <f>$E$155</f>
        <v>t CO2e</v>
      </c>
    </row>
    <row r="351" spans="3:41" x14ac:dyDescent="0.25">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c r="AG351" s="148"/>
      <c r="AH351" s="148"/>
      <c r="AI351" s="148"/>
      <c r="AJ351" s="148"/>
      <c r="AK351" s="148"/>
      <c r="AL351" s="148"/>
      <c r="AM351" s="148"/>
      <c r="AN351" s="148"/>
      <c r="AO351" s="148"/>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4" t="s">
        <v>311</v>
      </c>
      <c r="E355" s="134" t="str" cm="1">
        <f t="array" aca="1" ref="E355" ca="1">Common_InputFunctions.Utility_DisplayFunctionName(H367)</f>
        <v>=Scope3_Equations.VEERG_15_8_1_1__1_EmissionsFromPurchasedPackaging</v>
      </c>
    </row>
    <row r="359" spans="4:13" x14ac:dyDescent="0.25">
      <c r="D359" s="88" t="s">
        <v>312</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6" t="str" cm="1">
        <f t="array" ref="D362:E364">_xlfn.CHOOSECOLS(Scope3_Equations.VEERG_15_8_1_1__1_EmissionsFromPurchasedPackaging_Arguments(),1,2)</f>
        <v>Q_p</v>
      </c>
      <c r="E362" s="156" t="str">
        <v>units of packaging type p</v>
      </c>
      <c r="F362" s="156" t="str" cm="1">
        <f t="array" ref="F362:G364">_xlfn.CHOOSECOLS(Scope3_Equations.VEERG_15_8_1_1__1_EmissionsFromPurchasedPackaging_Arguments(),3,4)</f>
        <v>units</v>
      </c>
      <c r="G362" s="249" t="str">
        <v>Input</v>
      </c>
    </row>
    <row r="363" spans="4:13" x14ac:dyDescent="0.25">
      <c r="D363" s="156" t="str">
        <v>EF_p</v>
      </c>
      <c r="E363" s="156" t="str">
        <v>emission factor for packaging type p</v>
      </c>
      <c r="F363" s="156" t="str">
        <v>kg CO2e/unit</v>
      </c>
      <c r="G363" s="139" t="str">
        <v>Constant</v>
      </c>
    </row>
    <row r="364" spans="4:13" x14ac:dyDescent="0.25">
      <c r="D364" s="156" t="str">
        <v>p</v>
      </c>
      <c r="E364" s="156" t="str">
        <v>packaging type</v>
      </c>
      <c r="F364" s="156" t="str">
        <v/>
      </c>
      <c r="G364" s="249" t="str">
        <v>Input</v>
      </c>
    </row>
    <row r="366" spans="4:13" ht="17.25" x14ac:dyDescent="0.25">
      <c r="D366" s="92" t="s">
        <v>806</v>
      </c>
      <c r="E366" s="250" t="s">
        <v>901</v>
      </c>
      <c r="F366" s="250" t="s">
        <v>902</v>
      </c>
      <c r="G366" s="147" t="s">
        <v>903</v>
      </c>
      <c r="H366" s="147" t="s">
        <v>812</v>
      </c>
      <c r="I366" s="92" t="s">
        <v>904</v>
      </c>
      <c r="J366" s="147" t="s">
        <v>815</v>
      </c>
      <c r="K366" s="92" t="s">
        <v>816</v>
      </c>
      <c r="L366" s="92" t="s">
        <v>817</v>
      </c>
      <c r="M366" s="92" t="s">
        <v>818</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51" cm="1">
        <f t="array" ref="H367">Scope3_Equations.VEERG_15_8_1_1__1_EmissionsFromPurchasedPackaging(F367,G367)</f>
        <v>0</v>
      </c>
      <c r="I367" s="86">
        <v>3</v>
      </c>
      <c r="J367" s="251"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51" cm="1">
        <f t="array" ref="H368">Scope3_Equations.VEERG_15_8_1_1__1_EmissionsFromPurchasedPackaging(F368,G368)</f>
        <v>0</v>
      </c>
      <c r="I368" s="86"/>
      <c r="J368" s="251"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51" cm="1">
        <f t="array" ref="H369">Scope3_Equations.VEERG_15_8_1_1__1_EmissionsFromPurchasedPackaging(F369,G369)</f>
        <v>0</v>
      </c>
      <c r="I369" s="86"/>
      <c r="J369" s="251"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51" cm="1">
        <f t="array" ref="H370">Scope3_Equations.VEERG_15_8_1_1__1_EmissionsFromPurchasedPackaging(F370,G370)</f>
        <v>0</v>
      </c>
      <c r="I370" s="86"/>
      <c r="J370" s="251"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51" cm="1">
        <f t="array" ref="H371">Scope3_Equations.VEERG_15_8_1_1__1_EmissionsFromPurchasedPackaging(F371,G371)</f>
        <v>0</v>
      </c>
      <c r="I371" s="86"/>
      <c r="J371" s="251"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51" cm="1">
        <f t="array" ref="H372">Scope3_Equations.VEERG_15_8_1_1__1_EmissionsFromPurchasedPackaging(F372,G372)</f>
        <v>0</v>
      </c>
      <c r="I372" s="86"/>
      <c r="J372" s="251"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51" cm="1">
        <f t="array" ref="H373">Scope3_Equations.VEERG_15_8_1_1__1_EmissionsFromPurchasedPackaging(F373,G373)</f>
        <v>0</v>
      </c>
      <c r="I373" s="86"/>
      <c r="J373" s="251"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51" cm="1">
        <f t="array" ref="H374">Scope3_Equations.VEERG_15_8_1_1__1_EmissionsFromPurchasedPackaging(F374,G374)</f>
        <v>0</v>
      </c>
      <c r="I374" s="86"/>
      <c r="J374" s="251"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51" cm="1">
        <f t="array" ref="H375">Scope3_Equations.VEERG_15_8_1_1__1_EmissionsFromPurchasedPackaging(F375,G375)</f>
        <v>0</v>
      </c>
      <c r="I375" s="86"/>
      <c r="J375" s="251"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51" cm="1">
        <f t="array" ref="H376">Scope3_Equations.VEERG_15_8_1_1__1_EmissionsFromPurchasedPackaging(F376,G376)</f>
        <v>0</v>
      </c>
      <c r="I376" s="86"/>
      <c r="J376" s="251" cm="1">
        <f t="array" ref="J376">Scope3_Equations.VEERG_15_8_1_1__1_EmissionsFromPurchasedPackaging(F376,IF(I376,I376,G376))</f>
        <v>0</v>
      </c>
      <c r="K376" s="44"/>
      <c r="L376" s="23"/>
      <c r="M376" s="44"/>
    </row>
    <row r="378" spans="3:41" ht="20.25" x14ac:dyDescent="0.25">
      <c r="D378" s="252" t="s">
        <v>812</v>
      </c>
      <c r="E378" s="152">
        <f>SUM(H367:H376)</f>
        <v>0</v>
      </c>
      <c r="F378" s="153" t="str">
        <f>$E$155</f>
        <v>t CO2e</v>
      </c>
    </row>
    <row r="379" spans="3:41" ht="20.25" x14ac:dyDescent="0.25">
      <c r="D379" s="252" t="s">
        <v>815</v>
      </c>
      <c r="E379" s="152">
        <f>SUM(J367:J376)</f>
        <v>0</v>
      </c>
      <c r="F379" s="153" t="str">
        <f>$E$155</f>
        <v>t CO2e</v>
      </c>
    </row>
    <row r="382" spans="3:41" x14ac:dyDescent="0.25">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c r="AA382" s="148"/>
      <c r="AB382" s="148"/>
      <c r="AC382" s="148"/>
      <c r="AD382" s="148"/>
      <c r="AE382" s="148"/>
      <c r="AF382" s="148"/>
      <c r="AG382" s="148"/>
      <c r="AH382" s="148"/>
      <c r="AI382" s="148"/>
      <c r="AJ382" s="148"/>
      <c r="AK382" s="148"/>
      <c r="AL382" s="148"/>
      <c r="AM382" s="148"/>
      <c r="AN382" s="148"/>
      <c r="AO382" s="148"/>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4" t="s">
        <v>311</v>
      </c>
      <c r="E385" s="134" t="str" cm="1">
        <f t="array" aca="1" ref="E385" ca="1">Common_InputFunctions.Utility_DisplayFunctionName(J399)</f>
        <v>=Scope3_Equations.VEERG_15_9_1_1__1_EmissionsFromPurchasedGrowMedia</v>
      </c>
    </row>
    <row r="388" spans="4:14" x14ac:dyDescent="0.25">
      <c r="G388" s="134"/>
    </row>
    <row r="389" spans="4:14" x14ac:dyDescent="0.25">
      <c r="D389" s="88" t="s">
        <v>312</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6" t="str" cm="1">
        <f t="array" ref="D392:E394">_xlfn.CHOOSECOLS(Scope3_Equations.VEERG_15_9_1_1__1_EmissionsFromPurchasedGrowMedia_Arguments(),1,2)</f>
        <v>Q_g</v>
      </c>
      <c r="E392" s="156" t="str">
        <v>total quantity of grow media type g</v>
      </c>
      <c r="F392" s="156" t="str" cm="1">
        <f t="array" ref="F392:G394">_xlfn.CHOOSECOLS(Scope3_Equations.VEERG_15_9_1_1__1_EmissionsFromPurchasedGrowMedia_Arguments(),3,4)</f>
        <v>kg or m3</v>
      </c>
      <c r="G392" s="249" t="str">
        <v>Input</v>
      </c>
    </row>
    <row r="393" spans="4:14" x14ac:dyDescent="0.25">
      <c r="D393" s="156" t="str">
        <v>EF_g</v>
      </c>
      <c r="E393" s="156" t="str">
        <v>emission factor for grow media type g</v>
      </c>
      <c r="F393" s="156" t="str">
        <v>kg CO2e/kg or kg CO2e/m3</v>
      </c>
      <c r="G393" s="139" t="str">
        <v>Constant</v>
      </c>
    </row>
    <row r="394" spans="4:14" x14ac:dyDescent="0.25">
      <c r="D394" s="156" t="str">
        <v>g</v>
      </c>
      <c r="E394" s="156" t="str">
        <v>grow media type</v>
      </c>
      <c r="F394" s="156" t="str">
        <v/>
      </c>
      <c r="G394" s="249" t="str">
        <v>Input</v>
      </c>
    </row>
    <row r="396" spans="4:14" x14ac:dyDescent="0.25">
      <c r="D396" s="36" t="s">
        <v>894</v>
      </c>
    </row>
    <row r="398" spans="4:14" x14ac:dyDescent="0.25">
      <c r="D398" s="92" t="s">
        <v>905</v>
      </c>
      <c r="E398" s="92" t="s">
        <v>742</v>
      </c>
      <c r="F398" s="92" t="s">
        <v>496</v>
      </c>
      <c r="G398" s="147" t="s">
        <v>895</v>
      </c>
      <c r="H398" s="147" t="s">
        <v>896</v>
      </c>
      <c r="I398" s="92" t="s">
        <v>897</v>
      </c>
      <c r="J398" s="147" t="s">
        <v>898</v>
      </c>
      <c r="K398" s="147" t="s">
        <v>899</v>
      </c>
      <c r="L398" s="92" t="s">
        <v>816</v>
      </c>
      <c r="M398" s="92" t="s">
        <v>817</v>
      </c>
      <c r="N398" s="92" t="s">
        <v>818</v>
      </c>
    </row>
    <row r="399" spans="4:14" x14ac:dyDescent="0.25">
      <c r="D399" s="25"/>
      <c r="E399" s="25"/>
      <c r="F399" s="25"/>
      <c r="G399" s="25" t="s">
        <v>900</v>
      </c>
      <c r="H399" s="25" t="s">
        <v>900</v>
      </c>
      <c r="I399" s="86">
        <v>4</v>
      </c>
      <c r="J399" s="251"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900</v>
      </c>
      <c r="H400" s="25" t="s">
        <v>900</v>
      </c>
      <c r="I400" s="86">
        <v>2</v>
      </c>
      <c r="J400" s="251"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900</v>
      </c>
      <c r="H401" s="25" t="s">
        <v>900</v>
      </c>
      <c r="I401" s="86"/>
      <c r="J401" s="251"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900</v>
      </c>
      <c r="H402" s="25" t="s">
        <v>900</v>
      </c>
      <c r="I402" s="86"/>
      <c r="J402" s="251"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900</v>
      </c>
      <c r="H403" s="25" t="s">
        <v>900</v>
      </c>
      <c r="I403" s="86"/>
      <c r="J403" s="251"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900</v>
      </c>
      <c r="H404" s="25" t="s">
        <v>900</v>
      </c>
      <c r="I404" s="86"/>
      <c r="J404" s="251"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900</v>
      </c>
      <c r="H405" s="25" t="s">
        <v>900</v>
      </c>
      <c r="I405" s="86"/>
      <c r="J405" s="251"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900</v>
      </c>
      <c r="H406" s="25" t="s">
        <v>900</v>
      </c>
      <c r="I406" s="86"/>
      <c r="J406" s="251"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900</v>
      </c>
      <c r="H407" s="25" t="s">
        <v>900</v>
      </c>
      <c r="I407" s="86"/>
      <c r="J407" s="251"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900</v>
      </c>
      <c r="H408" s="25" t="s">
        <v>900</v>
      </c>
      <c r="I408" s="86"/>
      <c r="J408" s="251" cm="1">
        <f t="array" ref="J408">Scope3_Equations.VEERG_15_9_1_1__1_EmissionsFromPurchasedGrowMedia(E408,I408)</f>
        <v>0</v>
      </c>
      <c r="K408" s="25" t="str">
        <f t="shared" si="2"/>
        <v xml:space="preserve">t CO2e / </v>
      </c>
      <c r="L408" s="44"/>
      <c r="M408" s="23"/>
      <c r="N408" s="44"/>
    </row>
    <row r="410" spans="3:41" ht="20.25" x14ac:dyDescent="0.25">
      <c r="D410" s="252" t="s">
        <v>812</v>
      </c>
      <c r="E410" s="152" t="s">
        <v>900</v>
      </c>
      <c r="F410" s="153" t="str">
        <f>$E$155</f>
        <v>t CO2e</v>
      </c>
    </row>
    <row r="411" spans="3:41" ht="20.25" x14ac:dyDescent="0.25">
      <c r="D411" s="252" t="s">
        <v>815</v>
      </c>
      <c r="E411" s="152">
        <f>SUM(J399:J408)</f>
        <v>0</v>
      </c>
      <c r="F411" s="153" t="str">
        <f>$E$155</f>
        <v>t CO2e</v>
      </c>
    </row>
    <row r="414" spans="3:41" x14ac:dyDescent="0.25">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c r="AC414" s="148"/>
      <c r="AD414" s="148"/>
      <c r="AE414" s="148"/>
      <c r="AF414" s="148"/>
      <c r="AG414" s="148"/>
      <c r="AH414" s="148"/>
      <c r="AI414" s="148"/>
      <c r="AJ414" s="148"/>
      <c r="AK414" s="148"/>
      <c r="AL414" s="148"/>
      <c r="AM414" s="148"/>
      <c r="AN414" s="148"/>
      <c r="AO414" s="148"/>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906</v>
      </c>
    </row>
    <row r="418" spans="4:13" x14ac:dyDescent="0.25">
      <c r="D418" s="134" t="s">
        <v>311</v>
      </c>
      <c r="E418" s="134" t="str" cm="1">
        <f t="array" aca="1" ref="E418" ca="1">Common_InputFunctions.Utility_DisplayFunctionName(H430)</f>
        <v>=Scope3_Equations.VEERG_15_10_1_1__1_OtherPurchasedGoodsAndServices</v>
      </c>
    </row>
    <row r="421" spans="4:13" x14ac:dyDescent="0.25">
      <c r="D421" s="88" t="s">
        <v>312</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6" t="str" cm="1">
        <f t="array" ref="D424:E425">_xlfn.CHOOSECOLS(Scope3_Equations.VEERG_15_10_1_1__1_OtherPurchasedGoodsAndServices_Arguments(),1,2)</f>
        <v>activity_data</v>
      </c>
      <c r="E424" s="164" t="str">
        <v>measured activity for the purchased good or service</v>
      </c>
      <c r="F424" s="166"/>
      <c r="G424" s="156" t="str" cm="1">
        <f t="array" ref="G424:H425">_xlfn.CHOOSECOLS(Scope3_Equations.VEERG_15_10_1_1__1_OtherPurchasedGoodsAndServices_Arguments(),3,4)</f>
        <v>varies</v>
      </c>
      <c r="H424" s="249" t="str">
        <v>Input</v>
      </c>
    </row>
    <row r="425" spans="4:13" x14ac:dyDescent="0.25">
      <c r="D425" s="156" t="str">
        <v>emission_factor</v>
      </c>
      <c r="E425" s="164" t="str">
        <v>lifecycle emissions per unit of activity</v>
      </c>
      <c r="F425" s="166"/>
      <c r="G425" s="156" t="str">
        <v>varies</v>
      </c>
      <c r="H425" s="139" t="str">
        <v>Constant</v>
      </c>
    </row>
    <row r="427" spans="4:13" ht="18.75" x14ac:dyDescent="0.25">
      <c r="D427" s="244" t="s">
        <v>907</v>
      </c>
    </row>
    <row r="429" spans="4:13" x14ac:dyDescent="0.25">
      <c r="D429" s="92" t="s">
        <v>806</v>
      </c>
      <c r="E429" s="250" t="s">
        <v>908</v>
      </c>
      <c r="F429" s="250" t="s">
        <v>909</v>
      </c>
      <c r="G429" s="147" t="s">
        <v>122</v>
      </c>
      <c r="H429" s="147" t="s">
        <v>812</v>
      </c>
      <c r="I429" s="92" t="s">
        <v>123</v>
      </c>
      <c r="J429" s="147" t="s">
        <v>815</v>
      </c>
      <c r="K429" s="92" t="s">
        <v>816</v>
      </c>
      <c r="L429" s="92" t="s">
        <v>817</v>
      </c>
      <c r="M429" s="92" t="s">
        <v>818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1" cm="1">
        <f t="array" ref="H430">Scope3_Equations.VEERG_15_10_1_1__1_OtherPurchasedGoodsAndServices(F430,G430*10^-3)</f>
        <v>9.0700000000000003E-2</v>
      </c>
      <c r="I430" s="86">
        <v>1.3</v>
      </c>
      <c r="J430" s="251"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1" cm="1">
        <f t="array" ref="H431">Scope3_Equations.VEERG_15_10_1_1__1_OtherPurchasedGoodsAndServices(F431,G431*10^-3)</f>
        <v>7.22E-2</v>
      </c>
      <c r="I431" s="86">
        <v>8</v>
      </c>
      <c r="J431" s="251"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1" cm="1">
        <f t="array" ref="H432">Scope3_Equations.VEERG_15_10_1_1__1_OtherPurchasedGoodsAndServices(F432,G432*10^-3)</f>
        <v>8.0399999999999999E-2</v>
      </c>
      <c r="I432" s="86">
        <v>4</v>
      </c>
      <c r="J432" s="251"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1" cm="1">
        <f t="array" ref="H433">Scope3_Equations.VEERG_15_10_1_1__1_OtherPurchasedGoodsAndServices(F433,G433*10^-3)</f>
        <v>8.0399999999999999E-2</v>
      </c>
      <c r="I433" s="86">
        <v>3</v>
      </c>
      <c r="J433" s="251"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1" cm="1">
        <f t="array" ref="H434">Scope3_Equations.VEERG_15_10_1_1__1_OtherPurchasedGoodsAndServices(F434,G434*10^-3)</f>
        <v>9.0700000000000003E-2</v>
      </c>
      <c r="I434" s="86">
        <v>6</v>
      </c>
      <c r="J434" s="251"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1" cm="1">
        <f t="array" ref="H435">Scope3_Equations.VEERG_15_10_1_1__1_OtherPurchasedGoodsAndServices(F435,G435*10^-3)</f>
        <v>9.0700000000000003E-2</v>
      </c>
      <c r="I435" s="86">
        <v>5</v>
      </c>
      <c r="J435" s="251"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1" cm="1">
        <f t="array" ref="H436">Scope3_Equations.VEERG_15_10_1_1__1_OtherPurchasedGoodsAndServices(F436,G436*10^-3)</f>
        <v>0</v>
      </c>
      <c r="I436" s="86"/>
      <c r="J436" s="251"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1" cm="1">
        <f t="array" ref="H437">Scope3_Equations.VEERG_15_10_1_1__1_OtherPurchasedGoodsAndServices(F437,G437*10^-3)</f>
        <v>0</v>
      </c>
      <c r="I437" s="86"/>
      <c r="J437" s="251"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1" cm="1">
        <f t="array" ref="H438">Scope3_Equations.VEERG_15_10_1_1__1_OtherPurchasedGoodsAndServices(F438,G438*10^-3)</f>
        <v>0</v>
      </c>
      <c r="I438" s="86"/>
      <c r="J438" s="251"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1" cm="1">
        <f t="array" ref="H439">Scope3_Equations.VEERG_15_10_1_1__1_OtherPurchasedGoodsAndServices(F439,G439*10^-3)</f>
        <v>0</v>
      </c>
      <c r="I439" s="86"/>
      <c r="J439" s="251" cm="1">
        <f t="array" ref="J439">Scope3_Equations.VEERG_15_10_1_1__1_OtherPurchasedGoodsAndServices(F439,IF(I439,I439,G439)*10^-3)</f>
        <v>0</v>
      </c>
      <c r="K439" s="44"/>
      <c r="L439" s="23"/>
      <c r="M439" s="44"/>
    </row>
    <row r="441" spans="4:13" ht="20.25" x14ac:dyDescent="0.25">
      <c r="D441" s="252" t="s">
        <v>812</v>
      </c>
      <c r="E441" s="152">
        <f>SUM(H430:H439)</f>
        <v>0.50509999999999999</v>
      </c>
      <c r="F441" s="153" t="str">
        <f>$E$155</f>
        <v>t CO2e</v>
      </c>
    </row>
    <row r="442" spans="4:13" ht="20.25" x14ac:dyDescent="0.25">
      <c r="D442" s="252" t="s">
        <v>815</v>
      </c>
      <c r="E442" s="152">
        <f>SUM(J430:J439)</f>
        <v>2.73</v>
      </c>
      <c r="F442" s="153" t="str">
        <f>$E$155</f>
        <v>t CO2e</v>
      </c>
    </row>
    <row r="445" spans="4:13" ht="18.75" x14ac:dyDescent="0.25">
      <c r="D445" s="244" t="s">
        <v>910</v>
      </c>
    </row>
    <row r="447" spans="4:13" x14ac:dyDescent="0.25">
      <c r="D447" s="92" t="s">
        <v>806</v>
      </c>
      <c r="E447" s="250" t="s">
        <v>908</v>
      </c>
      <c r="F447" s="250" t="s">
        <v>911</v>
      </c>
      <c r="G447" s="147" t="s">
        <v>912</v>
      </c>
      <c r="H447" s="147" t="s">
        <v>812</v>
      </c>
      <c r="I447" s="92" t="s">
        <v>913</v>
      </c>
      <c r="J447" s="147" t="s">
        <v>815</v>
      </c>
      <c r="K447" s="92" t="s">
        <v>816</v>
      </c>
      <c r="L447" s="92" t="s">
        <v>817</v>
      </c>
      <c r="M447" s="92" t="s">
        <v>818</v>
      </c>
    </row>
    <row r="448" spans="4:13" x14ac:dyDescent="0.25">
      <c r="D448" s="25"/>
      <c r="E448" s="25"/>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0</v>
      </c>
      <c r="H448" s="251" cm="1">
        <f t="array" ref="H448">Scope3_Equations.VEERG_15_10_1_1__1_OtherPurchasedGoodsAndServices(F448,G448*10^-3)</f>
        <v>0</v>
      </c>
      <c r="I448" s="86">
        <v>0.05</v>
      </c>
      <c r="J448" s="251" cm="1">
        <f t="array" ref="J448">Scope3_Equations.VEERG_15_10_1_1__1_OtherPurchasedGoodsAndServices(F448,IF(I448,I448,G448)*10^-3)</f>
        <v>5.0000000000000001E-3</v>
      </c>
      <c r="K448" s="44"/>
      <c r="L448" s="23"/>
      <c r="M448" s="44"/>
    </row>
    <row r="449" spans="4:13" x14ac:dyDescent="0.25">
      <c r="D449" s="25"/>
      <c r="E449" s="25"/>
      <c r="F449" s="25">
        <v>100</v>
      </c>
      <c r="G449" s="25" cm="1">
        <f t="array" ref="G449">Common_InputFunctions.Utility_LookupValueInTableNumber(E449,Table_SourceData_Scope3_ChemicalsPharmacy[Product],Table_SourceData_Scope3_ChemicalsPharmacy[AusLCI Emissions intensity])</f>
        <v>0</v>
      </c>
      <c r="H449" s="251" cm="1">
        <f t="array" ref="H449">Scope3_Equations.VEERG_15_10_1_1__1_OtherPurchasedGoodsAndServices(F449,G449*10^-3)</f>
        <v>0</v>
      </c>
      <c r="I449" s="86">
        <v>0.01</v>
      </c>
      <c r="J449" s="251" cm="1">
        <f t="array" ref="J449">Scope3_Equations.VEERG_15_10_1_1__1_OtherPurchasedGoodsAndServices(F449,IF(I449,I449,G449)*10^-3)</f>
        <v>1E-3</v>
      </c>
      <c r="K449" s="44"/>
      <c r="L449" s="23"/>
      <c r="M449" s="44"/>
    </row>
    <row r="450" spans="4:13" x14ac:dyDescent="0.25">
      <c r="D450" s="25"/>
      <c r="E450" s="25"/>
      <c r="F450" s="25">
        <v>100</v>
      </c>
      <c r="G450" s="25" cm="1">
        <f t="array" ref="G450">Common_InputFunctions.Utility_LookupValueInTableNumber(E450,Table_SourceData_Scope3_ChemicalsPharmacy[Product],Table_SourceData_Scope3_ChemicalsPharmacy[AusLCI Emissions intensity])</f>
        <v>0</v>
      </c>
      <c r="H450" s="251" cm="1">
        <f t="array" ref="H450">Scope3_Equations.VEERG_15_10_1_1__1_OtherPurchasedGoodsAndServices(F450,G450*10^-3)</f>
        <v>0</v>
      </c>
      <c r="I450" s="86">
        <v>0.01</v>
      </c>
      <c r="J450" s="251" cm="1">
        <f t="array" ref="J450">Scope3_Equations.VEERG_15_10_1_1__1_OtherPurchasedGoodsAndServices(F450,IF(I450,I450,G450)*10^-3)</f>
        <v>1E-3</v>
      </c>
      <c r="K450" s="44"/>
      <c r="L450" s="23"/>
      <c r="M450" s="44"/>
    </row>
    <row r="451" spans="4:13" x14ac:dyDescent="0.25">
      <c r="D451" s="25"/>
      <c r="E451" s="25"/>
      <c r="F451" s="25">
        <v>100</v>
      </c>
      <c r="G451" s="25" cm="1">
        <f t="array" ref="G451">Common_InputFunctions.Utility_LookupValueInTableNumber(E451,Table_SourceData_Scope3_ChemicalsPharmacy[Product],Table_SourceData_Scope3_ChemicalsPharmacy[AusLCI Emissions intensity])</f>
        <v>0</v>
      </c>
      <c r="H451" s="251" cm="1">
        <f t="array" ref="H451">Scope3_Equations.VEERG_15_10_1_1__1_OtherPurchasedGoodsAndServices(F451,G451*10^-3)</f>
        <v>0</v>
      </c>
      <c r="I451" s="86">
        <v>4.0000000000000001E-3</v>
      </c>
      <c r="J451" s="251" cm="1">
        <f t="array" ref="J451">Scope3_Equations.VEERG_15_10_1_1__1_OtherPurchasedGoodsAndServices(F451,IF(I451,I451,G451)*10^-3)</f>
        <v>3.9999999999999996E-4</v>
      </c>
      <c r="K451" s="44"/>
      <c r="L451" s="23"/>
      <c r="M451" s="44"/>
    </row>
    <row r="452" spans="4:13" x14ac:dyDescent="0.25">
      <c r="D452" s="25"/>
      <c r="E452" s="25"/>
      <c r="F452" s="25">
        <v>100</v>
      </c>
      <c r="G452" s="25" cm="1">
        <f t="array" ref="G452">Common_InputFunctions.Utility_LookupValueInTableNumber(E452,Table_SourceData_Scope3_ChemicalsPharmacy[Product],Table_SourceData_Scope3_ChemicalsPharmacy[AusLCI Emissions intensity])</f>
        <v>0</v>
      </c>
      <c r="H452" s="251" cm="1">
        <f t="array" ref="H452">Scope3_Equations.VEERG_15_10_1_1__1_OtherPurchasedGoodsAndServices(F452,G452*10^-3)</f>
        <v>0</v>
      </c>
      <c r="I452" s="86">
        <v>0.05</v>
      </c>
      <c r="J452" s="251" cm="1">
        <f t="array" ref="J452">Scope3_Equations.VEERG_15_10_1_1__1_OtherPurchasedGoodsAndServices(F452,IF(I452,I452,G452)*10^-3)</f>
        <v>5.0000000000000001E-3</v>
      </c>
      <c r="K452" s="44"/>
      <c r="L452" s="23"/>
      <c r="M452" s="44"/>
    </row>
    <row r="453" spans="4:13" x14ac:dyDescent="0.25">
      <c r="D453" s="25"/>
      <c r="E453" s="25"/>
      <c r="F453" s="25">
        <v>100</v>
      </c>
      <c r="G453" s="25" cm="1">
        <f t="array" ref="G453">Common_InputFunctions.Utility_LookupValueInTableNumber(E453,Table_SourceData_Scope3_ChemicalsPharmacy[Product],Table_SourceData_Scope3_ChemicalsPharmacy[AusLCI Emissions intensity])</f>
        <v>0</v>
      </c>
      <c r="H453" s="251" cm="1">
        <f t="array" ref="H453">Scope3_Equations.VEERG_15_10_1_1__1_OtherPurchasedGoodsAndServices(F453,G453*10^-3)</f>
        <v>0</v>
      </c>
      <c r="I453" s="86">
        <v>0.01</v>
      </c>
      <c r="J453" s="251" cm="1">
        <f t="array" ref="J453">Scope3_Equations.VEERG_15_10_1_1__1_OtherPurchasedGoodsAndServices(F453,IF(I453,I453,G453)*10^-3)</f>
        <v>1E-3</v>
      </c>
      <c r="K453" s="44"/>
      <c r="L453" s="23"/>
      <c r="M453" s="44"/>
    </row>
    <row r="454" spans="4:13" x14ac:dyDescent="0.25">
      <c r="D454" s="25"/>
      <c r="E454" s="25"/>
      <c r="F454" s="25">
        <v>0</v>
      </c>
      <c r="G454" s="25" cm="1">
        <f t="array" ref="G454">Common_InputFunctions.Utility_LookupValueInTableNumber(E454,Table_SourceData_Scope3_ChemicalsPharmacy[Product],Table_SourceData_Scope3_ChemicalsPharmacy[AusLCI Emissions intensity])</f>
        <v>0</v>
      </c>
      <c r="H454" s="251" cm="1">
        <f t="array" ref="H454">Scope3_Equations.VEERG_15_10_1_1__1_OtherPurchasedGoodsAndServices(F454,G454*10^-3)</f>
        <v>0</v>
      </c>
      <c r="I454" s="86"/>
      <c r="J454" s="251" cm="1">
        <f t="array" ref="J454">Scope3_Equations.VEERG_15_10_1_1__1_OtherPurchasedGoodsAndServices(F454,IF(I454,I454,G454)*10^-3)</f>
        <v>0</v>
      </c>
      <c r="K454" s="44"/>
      <c r="L454" s="23"/>
      <c r="M454" s="44"/>
    </row>
    <row r="455" spans="4:13" x14ac:dyDescent="0.25">
      <c r="D455" s="25"/>
      <c r="E455" s="25"/>
      <c r="F455" s="25">
        <v>0</v>
      </c>
      <c r="G455" s="25" cm="1">
        <f t="array" ref="G455">Common_InputFunctions.Utility_LookupValueInTableNumber(E455,Table_SourceData_Scope3_ChemicalsPharmacy[Product],Table_SourceData_Scope3_ChemicalsPharmacy[AusLCI Emissions intensity])</f>
        <v>0</v>
      </c>
      <c r="H455" s="251" cm="1">
        <f t="array" ref="H455">Scope3_Equations.VEERG_15_10_1_1__1_OtherPurchasedGoodsAndServices(F455,G455*10^-3)</f>
        <v>0</v>
      </c>
      <c r="I455" s="86"/>
      <c r="J455" s="251" cm="1">
        <f t="array" ref="J455">Scope3_Equations.VEERG_15_10_1_1__1_OtherPurchasedGoodsAndServices(F455,IF(I455,I455,G455)*10^-3)</f>
        <v>0</v>
      </c>
      <c r="K455" s="44"/>
      <c r="L455" s="23"/>
      <c r="M455" s="44"/>
    </row>
    <row r="456" spans="4:13" x14ac:dyDescent="0.25">
      <c r="D456" s="25"/>
      <c r="E456" s="25"/>
      <c r="F456" s="25">
        <v>0</v>
      </c>
      <c r="G456" s="25" cm="1">
        <f t="array" ref="G456">Common_InputFunctions.Utility_LookupValueInTableNumber(E456,Table_SourceData_Scope3_ChemicalsPharmacy[Product],Table_SourceData_Scope3_ChemicalsPharmacy[AusLCI Emissions intensity])</f>
        <v>0</v>
      </c>
      <c r="H456" s="251" cm="1">
        <f t="array" ref="H456">Scope3_Equations.VEERG_15_10_1_1__1_OtherPurchasedGoodsAndServices(F456,G456*10^-3)</f>
        <v>0</v>
      </c>
      <c r="I456" s="86"/>
      <c r="J456" s="251" cm="1">
        <f t="array" ref="J456">Scope3_Equations.VEERG_15_10_1_1__1_OtherPurchasedGoodsAndServices(F456,IF(I456,I456,G456)*10^-3)</f>
        <v>0</v>
      </c>
      <c r="K456" s="44"/>
      <c r="L456" s="23"/>
      <c r="M456" s="44"/>
    </row>
    <row r="457" spans="4:13" x14ac:dyDescent="0.25">
      <c r="D457" s="25"/>
      <c r="E457" s="25"/>
      <c r="F457" s="25">
        <v>0</v>
      </c>
      <c r="G457" s="25" cm="1">
        <f t="array" ref="G457">Common_InputFunctions.Utility_LookupValueInTableNumber(E457,Table_SourceData_Scope3_ChemicalsPharmacy[Product],Table_SourceData_Scope3_ChemicalsPharmacy[AusLCI Emissions intensity])</f>
        <v>0</v>
      </c>
      <c r="H457" s="251" cm="1">
        <f t="array" ref="H457">Scope3_Equations.VEERG_15_10_1_1__1_OtherPurchasedGoodsAndServices(F457,G457*10^-3)</f>
        <v>0</v>
      </c>
      <c r="I457" s="86"/>
      <c r="J457" s="251" cm="1">
        <f t="array" ref="J457">Scope3_Equations.VEERG_15_10_1_1__1_OtherPurchasedGoodsAndServices(F457,IF(I457,I457,G457)*10^-3)</f>
        <v>0</v>
      </c>
      <c r="K457" s="44"/>
      <c r="L457" s="23"/>
      <c r="M457" s="44"/>
    </row>
    <row r="459" spans="4:13" ht="20.25" x14ac:dyDescent="0.25">
      <c r="D459" s="252" t="s">
        <v>812</v>
      </c>
      <c r="E459" s="152">
        <f>SUM(H448:H457)</f>
        <v>0</v>
      </c>
      <c r="F459" s="153" t="str">
        <f>$E$155</f>
        <v>t CO2e</v>
      </c>
    </row>
    <row r="460" spans="4:13" ht="20.25" x14ac:dyDescent="0.25">
      <c r="D460" s="252" t="s">
        <v>815</v>
      </c>
      <c r="E460" s="152">
        <f>SUM(J448:J457)</f>
        <v>1.3400000000000002E-2</v>
      </c>
      <c r="F460" s="153" t="str">
        <f>$E$155</f>
        <v>t CO2e</v>
      </c>
    </row>
    <row r="463" spans="4:13" ht="18.75" x14ac:dyDescent="0.25">
      <c r="D463" s="244" t="s">
        <v>780</v>
      </c>
    </row>
    <row r="465" spans="4:12" x14ac:dyDescent="0.25">
      <c r="D465" s="92" t="s">
        <v>730</v>
      </c>
      <c r="E465" s="92" t="s">
        <v>914</v>
      </c>
      <c r="F465" s="147" t="s">
        <v>912</v>
      </c>
      <c r="G465" s="147" t="s">
        <v>812</v>
      </c>
      <c r="H465" s="92" t="s">
        <v>913</v>
      </c>
      <c r="I465" s="147" t="s">
        <v>815</v>
      </c>
      <c r="J465" s="92" t="s">
        <v>816</v>
      </c>
      <c r="K465" s="92" t="s">
        <v>817</v>
      </c>
      <c r="L465" s="92" t="s">
        <v>818</v>
      </c>
    </row>
    <row r="466" spans="4:12" x14ac:dyDescent="0.25">
      <c r="D466" s="25" t="str">
        <f>'Input - Crop pasture farm input'!D23</f>
        <v>Barley grain (for seed)</v>
      </c>
      <c r="E466" s="25">
        <f>IFERROR(X_Cell_FarmInputs_Seed_BarleyGrain, 0)</f>
        <v>500</v>
      </c>
      <c r="F466" s="25" cm="1">
        <f t="array" ref="F466">Common_InputFunctions.Utility_LookupValueInTableNumber(D466,Table_SourceData_Scope3_Other[Product],Table_SourceData_Scope3_Other[AusLCI Emissions intensity])</f>
        <v>0.23899999999999999</v>
      </c>
      <c r="G466" s="251" cm="1">
        <f t="array" ref="G466">Scope3_Equations.VEERG_15_10_1_1__1_OtherPurchasedGoodsAndServices(E466,F466*10^-3)</f>
        <v>0.1195</v>
      </c>
      <c r="H466" s="86">
        <v>0.2</v>
      </c>
      <c r="I466" s="251"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IFERROR(X_Cell_FarmInputs_Seed_MaizeGrain, 0)</f>
        <v>600</v>
      </c>
      <c r="F467" s="25" cm="1">
        <f t="array" ref="F467">Common_InputFunctions.Utility_LookupValueInTableNumber(D467,Table_SourceData_Scope3_Other[Product],Table_SourceData_Scope3_Other[AusLCI Emissions intensity])</f>
        <v>0.18099999999999999</v>
      </c>
      <c r="G467" s="251" cm="1">
        <f t="array" ref="G467">Scope3_Equations.VEERG_15_10_1_1__1_OtherPurchasedGoodsAndServices(E467,F467*10^-3)</f>
        <v>0.1086</v>
      </c>
      <c r="H467" s="86"/>
      <c r="I467" s="251"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IFERROR(X_Cell_FarmInputs_Seed_OatGrain, 0)</f>
        <v>700</v>
      </c>
      <c r="F468" s="25" cm="1">
        <f t="array" ref="F468">Common_InputFunctions.Utility_LookupValueInTableNumber(D468,Table_SourceData_Scope3_Other[Product],Table_SourceData_Scope3_Other[AusLCI Emissions intensity])</f>
        <v>0.27</v>
      </c>
      <c r="G468" s="251" cm="1">
        <f t="array" ref="G468">Scope3_Equations.VEERG_15_10_1_1__1_OtherPurchasedGoodsAndServices(E468,F468*10^-3)</f>
        <v>0.189</v>
      </c>
      <c r="H468" s="86">
        <v>0.2</v>
      </c>
      <c r="I468" s="251"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IFERROR(X_Cell_FarmInputs_Seed_SorghumGrain, 0)</f>
        <v>800</v>
      </c>
      <c r="F469" s="25" cm="1">
        <f t="array" ref="F469">Common_InputFunctions.Utility_LookupValueInTableNumber(D469,Table_SourceData_Scope3_Other[Product],Table_SourceData_Scope3_Other[AusLCI Emissions intensity])</f>
        <v>0.23200000000000001</v>
      </c>
      <c r="G469" s="251" cm="1">
        <f t="array" ref="G469">Scope3_Equations.VEERG_15_10_1_1__1_OtherPurchasedGoodsAndServices(E469,F469*10^-3)</f>
        <v>0.18560000000000001</v>
      </c>
      <c r="H469" s="86"/>
      <c r="I469" s="251"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IFERROR(X_Cell_FarmInputs_Seed_WheatGrain, 0)</f>
        <v>900</v>
      </c>
      <c r="F470" s="25" cm="1">
        <f t="array" ref="F470">Common_InputFunctions.Utility_LookupValueInTableNumber(D470,Table_SourceData_Scope3_Other[Product],Table_SourceData_Scope3_Other[AusLCI Emissions intensity])</f>
        <v>0.26800000000000002</v>
      </c>
      <c r="G470" s="251" cm="1">
        <f t="array" ref="G470">Scope3_Equations.VEERG_15_10_1_1__1_OtherPurchasedGoodsAndServices(E470,F470*10^-3)</f>
        <v>0.2412</v>
      </c>
      <c r="H470" s="86">
        <v>0.2</v>
      </c>
      <c r="I470" s="251" cm="1">
        <f t="array" ref="I470">Scope3_Equations.VEERG_15_10_1_1__1_OtherPurchasedGoodsAndServices(E470,IF(H470,H470,F470)*10^-3)</f>
        <v>0.18000000000000002</v>
      </c>
      <c r="J470" s="44"/>
      <c r="K470" s="23"/>
      <c r="L470" s="44"/>
    </row>
    <row r="472" spans="4:12" ht="20.25" x14ac:dyDescent="0.25">
      <c r="D472" s="252" t="s">
        <v>812</v>
      </c>
      <c r="E472" s="152">
        <f>SUM(G466:G470)</f>
        <v>0.84389999999999998</v>
      </c>
      <c r="F472" s="153" t="str">
        <f>$E$155</f>
        <v>t CO2e</v>
      </c>
    </row>
    <row r="473" spans="4:12" ht="20.25" x14ac:dyDescent="0.25">
      <c r="D473" s="252" t="s">
        <v>815</v>
      </c>
      <c r="E473" s="152">
        <f>SUM(I466:I470)</f>
        <v>0.71420000000000006</v>
      </c>
      <c r="F473" s="153" t="str">
        <f>$E$155</f>
        <v>t CO2e</v>
      </c>
    </row>
    <row r="476" spans="4:12" ht="18.75" x14ac:dyDescent="0.25">
      <c r="D476" s="244" t="s">
        <v>915</v>
      </c>
    </row>
    <row r="478" spans="4:12" x14ac:dyDescent="0.25">
      <c r="D478" s="92" t="s">
        <v>730</v>
      </c>
      <c r="E478" s="92" t="s">
        <v>914</v>
      </c>
      <c r="F478" s="147" t="s">
        <v>912</v>
      </c>
      <c r="G478" s="147" t="s">
        <v>812</v>
      </c>
      <c r="H478" s="92" t="s">
        <v>913</v>
      </c>
      <c r="I478" s="147" t="s">
        <v>815</v>
      </c>
      <c r="J478" s="92" t="s">
        <v>816</v>
      </c>
      <c r="K478" s="92" t="s">
        <v>817</v>
      </c>
      <c r="L478" s="92" t="s">
        <v>818</v>
      </c>
    </row>
    <row r="479" spans="4:12" x14ac:dyDescent="0.25">
      <c r="D479" s="25"/>
      <c r="E479" s="25">
        <f>IFERROR(X_Cell_FarmInputs_Misc_AnimalEarTagsLarge, 0)</f>
        <v>0</v>
      </c>
      <c r="F479" s="25" cm="1">
        <f t="array" ref="F479">Common_InputFunctions.Utility_LookupValueInTableNumber(D479,Table_SourceData_Scope3_Other[Product],Table_SourceData_Scope3_Other[AusLCI Emissions intensity])</f>
        <v>0</v>
      </c>
      <c r="G479" s="251" cm="1">
        <f t="array" ref="G479">Scope3_Equations.VEERG_15_10_1_1__1_OtherPurchasedGoodsAndServices(E479,F479*10^-3)</f>
        <v>0</v>
      </c>
      <c r="H479" s="86">
        <v>0.2</v>
      </c>
      <c r="I479" s="251" cm="1">
        <f t="array" ref="I479">Scope3_Equations.VEERG_15_10_1_1__1_OtherPurchasedGoodsAndServices(E479,IF(H479,H479,F479)*10^-3)</f>
        <v>0</v>
      </c>
      <c r="J479" s="44"/>
      <c r="K479" s="23"/>
      <c r="L479" s="44"/>
    </row>
    <row r="480" spans="4:12" x14ac:dyDescent="0.25">
      <c r="D480" s="25"/>
      <c r="E480" s="25">
        <f>IFERROR(X_Cell_FarmInputs_Misc_AnimalEarTagsSmall, 0)</f>
        <v>0</v>
      </c>
      <c r="F480" s="25" cm="1">
        <f t="array" ref="F480">Common_InputFunctions.Utility_LookupValueInTableNumber(D480,Table_SourceData_Scope3_Other[Product],Table_SourceData_Scope3_Other[AusLCI Emissions intensity])</f>
        <v>0</v>
      </c>
      <c r="G480" s="251" cm="1">
        <f t="array" ref="G480">Scope3_Equations.VEERG_15_10_1_1__1_OtherPurchasedGoodsAndServices(E480,F480*10^-3)</f>
        <v>0</v>
      </c>
      <c r="H480" s="86"/>
      <c r="I480" s="251" cm="1">
        <f t="array" ref="I480">Scope3_Equations.VEERG_15_10_1_1__1_OtherPurchasedGoodsAndServices(E480,IF(H480,H480,F480)*10^-3)</f>
        <v>0</v>
      </c>
      <c r="J480" s="44"/>
      <c r="K480" s="23"/>
      <c r="L480" s="44"/>
    </row>
    <row r="481" spans="4:14" x14ac:dyDescent="0.25">
      <c r="D481" s="25"/>
      <c r="E481" s="25">
        <f>IFERROR(X_Cell_FarmInputs_Misc_NylonNetting, 0)</f>
        <v>0</v>
      </c>
      <c r="F481" s="25" cm="1">
        <f t="array" ref="F481">Common_InputFunctions.Utility_LookupValueInTableNumber(D481,Table_SourceData_Scope3_Other[Product],Table_SourceData_Scope3_Other[AusLCI Emissions intensity])</f>
        <v>0</v>
      </c>
      <c r="G481" s="251" cm="1">
        <f t="array" ref="G481">Scope3_Equations.VEERG_15_10_1_1__1_OtherPurchasedGoodsAndServices(E481,F481*10^-3)</f>
        <v>0</v>
      </c>
      <c r="H481" s="86">
        <v>0.2</v>
      </c>
      <c r="I481" s="251" cm="1">
        <f t="array" ref="I481">Scope3_Equations.VEERG_15_10_1_1__1_OtherPurchasedGoodsAndServices(E481,IF(H481,H481,F481)*10^-3)</f>
        <v>0</v>
      </c>
      <c r="J481" s="44"/>
      <c r="K481" s="23"/>
      <c r="L481" s="44"/>
    </row>
    <row r="483" spans="4:14" ht="20.25" x14ac:dyDescent="0.25">
      <c r="D483" s="252" t="s">
        <v>812</v>
      </c>
      <c r="E483" s="152">
        <f>SUM(G479:G481)</f>
        <v>0</v>
      </c>
      <c r="F483" s="153" t="str">
        <f>$E$155</f>
        <v>t CO2e</v>
      </c>
    </row>
    <row r="484" spans="4:14" ht="20.25" x14ac:dyDescent="0.25">
      <c r="D484" s="252" t="s">
        <v>815</v>
      </c>
      <c r="E484" s="152">
        <f>SUM(I479:I481)</f>
        <v>0</v>
      </c>
      <c r="F484" s="153" t="str">
        <f>$E$155</f>
        <v>t CO2e</v>
      </c>
    </row>
    <row r="487" spans="4:14" ht="18.75" x14ac:dyDescent="0.25">
      <c r="D487" s="244" t="s">
        <v>916</v>
      </c>
    </row>
    <row r="489" spans="4:14" x14ac:dyDescent="0.25">
      <c r="D489" s="92" t="s">
        <v>730</v>
      </c>
      <c r="E489" s="92" t="s">
        <v>588</v>
      </c>
      <c r="F489" s="92" t="s">
        <v>496</v>
      </c>
      <c r="G489" s="147" t="s">
        <v>895</v>
      </c>
      <c r="H489" s="147" t="s">
        <v>896</v>
      </c>
      <c r="I489" s="92" t="s">
        <v>897</v>
      </c>
      <c r="J489" s="92" t="s">
        <v>917</v>
      </c>
      <c r="K489" s="147" t="s">
        <v>898</v>
      </c>
      <c r="L489" s="92" t="s">
        <v>816</v>
      </c>
      <c r="M489" s="92" t="s">
        <v>817</v>
      </c>
      <c r="N489" s="92" t="s">
        <v>818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918</v>
      </c>
      <c r="K490" s="251"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918</v>
      </c>
      <c r="K491" s="251"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1"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1"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1"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1"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1"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1"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1"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1" cm="1">
        <f t="array" ref="K499">Scope3_Equations.VEERG_15_10_1_1__1_OtherPurchasedGoodsAndServices(E499,IF(J499="kg / amount unit", I499*10^-3, I499))</f>
        <v>0</v>
      </c>
      <c r="L499" s="44"/>
      <c r="M499" s="23"/>
      <c r="N499" s="44"/>
    </row>
    <row r="501" spans="3:41" ht="20.25" x14ac:dyDescent="0.25">
      <c r="D501" s="252" t="s">
        <v>812</v>
      </c>
      <c r="E501" s="152" t="s">
        <v>900</v>
      </c>
      <c r="F501" s="153" t="str">
        <f>$E$155</f>
        <v>t CO2e</v>
      </c>
    </row>
    <row r="502" spans="3:41" ht="20.25" x14ac:dyDescent="0.25">
      <c r="D502" s="252" t="s">
        <v>815</v>
      </c>
      <c r="E502" s="152">
        <f>SUM(K490:K499)</f>
        <v>4000</v>
      </c>
      <c r="F502" s="153" t="str">
        <f>$E$155</f>
        <v>t CO2e</v>
      </c>
    </row>
    <row r="505" spans="3:41" x14ac:dyDescent="0.25">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c r="AC505" s="148"/>
      <c r="AD505" s="148"/>
      <c r="AE505" s="148"/>
      <c r="AF505" s="148"/>
      <c r="AG505" s="148"/>
      <c r="AH505" s="148"/>
      <c r="AI505" s="148"/>
      <c r="AJ505" s="148"/>
      <c r="AK505" s="148"/>
      <c r="AL505" s="148"/>
      <c r="AM505" s="148"/>
      <c r="AN505" s="148"/>
      <c r="AO505" s="148"/>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4" t="s">
        <v>311</v>
      </c>
      <c r="E508" s="134" t="str">
        <f ca="1">Common_InputFunctions.Utility_DisplayFunctionName(VEERG_15_11_1_1__1_TotalUpstreamEmissionsFromFuel_Result)</f>
        <v>=Scope3_Equations.VEERG_15_11_1_1__1_TotalUpstreamEmissionsFromFuel</v>
      </c>
    </row>
    <row r="512" spans="3:41" x14ac:dyDescent="0.25">
      <c r="D512" s="88" t="s">
        <v>312</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6" t="str" cm="1">
        <f t="array" ref="D515:E516">_xlfn.CHOOSECOLS(Scope3_Equations.VEERG_15_11_1_1__1_TotalUpstreamEmissionsFromFuel_Arguments(),1,2)</f>
        <v>E_WTTtransq</v>
      </c>
      <c r="E515" s="164" t="str">
        <v>upstream emissions from scope 1 transport fuel use</v>
      </c>
      <c r="F515" s="166"/>
      <c r="G515" s="156" t="str" cm="1">
        <f t="array" ref="G515:H516">_xlfn.CHOOSECOLS(Scope3_Equations.VEERG_15_11_1_1__1_TotalUpstreamEmissionsFromFuel_Arguments(),3,4)</f>
        <v>t CO2e</v>
      </c>
      <c r="H515" s="139" t="str">
        <v>Calculated by 15.11.1.1 (2)</v>
      </c>
      <c r="I515" s="156">
        <f>VEERG_8_1_1_1__1_FuelCombustionTransport_Result</f>
        <v>20.5016</v>
      </c>
    </row>
    <row r="516" spans="3:41" x14ac:dyDescent="0.25">
      <c r="D516" s="156" t="str">
        <v>E_WTTSCq</v>
      </c>
      <c r="E516" s="164" t="str">
        <v>upstream emissions from scope 1 stationary combustion fuel use</v>
      </c>
      <c r="F516" s="166"/>
      <c r="G516" s="156" t="str">
        <v>t CO2e</v>
      </c>
      <c r="H516" s="139" t="str">
        <v>Calculated by 15.11.1.1 (3)</v>
      </c>
      <c r="I516" s="156">
        <f>VEERG_8_2_1_1__1_FuelCombustionStationary_Result</f>
        <v>6.2923999999999998</v>
      </c>
    </row>
    <row r="518" spans="3:41" ht="20.25" x14ac:dyDescent="0.25">
      <c r="D518" s="252" t="s">
        <v>919</v>
      </c>
      <c r="E518" s="152" cm="1">
        <f t="array" ref="E518">Scope3_Equations.VEERG_15_11_1_1__1_TotalUpstreamEmissionsFromFuel(I515,I516)</f>
        <v>26.794</v>
      </c>
      <c r="F518" s="153" t="str">
        <f>$E$155</f>
        <v>t CO2e</v>
      </c>
    </row>
    <row r="520" spans="3:41" x14ac:dyDescent="0.25">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c r="AA520" s="148"/>
      <c r="AB520" s="148"/>
      <c r="AC520" s="148"/>
      <c r="AD520" s="148"/>
      <c r="AE520" s="148"/>
      <c r="AF520" s="148"/>
      <c r="AG520" s="148"/>
      <c r="AH520" s="148"/>
      <c r="AI520" s="148"/>
      <c r="AJ520" s="148"/>
      <c r="AK520" s="148"/>
      <c r="AL520" s="148"/>
      <c r="AM520" s="148"/>
      <c r="AN520" s="148"/>
      <c r="AO520" s="148"/>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4" t="s">
        <v>311</v>
      </c>
      <c r="E523" s="134" t="str">
        <f ca="1">Common_InputFunctions.Utility_DisplayFunctionName(VEERG_15_12_1_1__1_UpstreamPurchasedElectricityLocationBased_Result)</f>
        <v>=Scope3_Equations.VEERG_15_12_1_1__1_UpstreamPurchasedElectricityLocationBased</v>
      </c>
    </row>
    <row r="526" spans="3:41" x14ac:dyDescent="0.25">
      <c r="D526" s="88" t="s">
        <v>312</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6" t="str" cm="1">
        <f t="array" ref="D529:E531">_xlfn.CHOOSECOLS(Scope3_Equations.VEERG_15_12_1_1__1_UpstreamPurchasedElectricityLocationBased_Arguments(),1,2)</f>
        <v>Q_elec</v>
      </c>
      <c r="E529" s="156" t="str">
        <v>amount of electricity purchased from the grid</v>
      </c>
      <c r="F529" s="156"/>
      <c r="G529" s="156" t="str" cm="1">
        <f t="array" ref="G529:H531">_xlfn.CHOOSECOLS(Scope3_Equations.VEERG_15_12_1_1__1_UpstreamPurchasedElectricityLocationBased_Arguments(),3,4)</f>
        <v>kWh</v>
      </c>
      <c r="H529" s="249" t="str">
        <v>Input</v>
      </c>
      <c r="I529" s="164">
        <f>X_Cell_Electricity_Location_AmountPurchasedInkWh</f>
        <v>30000</v>
      </c>
      <c r="J529" s="166"/>
    </row>
    <row r="530" spans="3:41" x14ac:dyDescent="0.25">
      <c r="D530" s="156" t="str">
        <v>EF_3elec</v>
      </c>
      <c r="E530" s="156" t="str">
        <v>scope 3 emission factor for purchased electricity</v>
      </c>
      <c r="F530" s="156"/>
      <c r="G530" s="156" t="str">
        <v>kg CO2e/kWh</v>
      </c>
      <c r="H530" s="139" t="str">
        <v>Constant</v>
      </c>
      <c r="I530" s="164"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56" t="str">
        <v>g</v>
      </c>
      <c r="E531" s="164" t="str">
        <v>grid electricity was purchased from</v>
      </c>
      <c r="F531" s="166"/>
      <c r="G531" s="156" t="str">
        <v/>
      </c>
      <c r="H531" s="249" t="str">
        <v>Input</v>
      </c>
      <c r="I531" s="164" t="str">
        <f>X_Cell_Electricity_Location_GridElectricityPurchasedFrom</f>
        <v>Western Australia - North Western Interconnected System (NWIS)</v>
      </c>
      <c r="J531" s="166"/>
    </row>
    <row r="533" spans="3:41" ht="20.25" x14ac:dyDescent="0.25">
      <c r="D533" s="252" t="s">
        <v>920</v>
      </c>
      <c r="E533" s="152" cm="1">
        <f t="array" ref="E533">Scope3_Equations.VEERG_15_12_1_1__1_UpstreamPurchasedElectricityLocationBased(I529,I530)</f>
        <v>2.7</v>
      </c>
      <c r="F533" s="153" t="str">
        <f>$E$155</f>
        <v>t CO2e</v>
      </c>
    </row>
    <row r="536" spans="3:41" x14ac:dyDescent="0.25">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c r="AC536" s="148"/>
      <c r="AD536" s="148"/>
      <c r="AE536" s="148"/>
      <c r="AF536" s="148"/>
      <c r="AG536" s="148"/>
      <c r="AH536" s="148"/>
      <c r="AI536" s="148"/>
      <c r="AJ536" s="148"/>
      <c r="AK536" s="148"/>
      <c r="AL536" s="148"/>
      <c r="AM536" s="148"/>
      <c r="AN536" s="148"/>
      <c r="AO536" s="148"/>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4" t="s">
        <v>311</v>
      </c>
      <c r="E540" s="134" t="str">
        <f ca="1">Common_InputFunctions.Utility_DisplayFunctionName(VEERG_15_12_1_2__1_UpstreamPurchasedElectricityMarketBasedVariation_Result)</f>
        <v>=Scope3_Equations.VEERG_15_12_1_2__1_UpstreamPurchasedElectricityMarketBasedVariation</v>
      </c>
    </row>
    <row r="544" spans="3:41" x14ac:dyDescent="0.25">
      <c r="D544" s="88" t="s">
        <v>312</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6" t="str" cm="1">
        <f t="array" ref="D547:E553">_xlfn.CHOOSECOLS(Scope3_Equations.VEERG_15_12_1_2__1_UpstreamPurchasedElectricityMarketBased_Arguments(),1,2)</f>
        <v>Q_elec</v>
      </c>
      <c r="E547" s="164" t="str">
        <v>amount of electricity purchased from the grid</v>
      </c>
      <c r="F547" s="166"/>
      <c r="G547" s="156" t="str" cm="1">
        <f t="array" ref="G547:H553">_xlfn.CHOOSECOLS(Scope3_Equations.VEERG_15_12_1_2__1_UpstreamPurchasedElectricityMarketBased_Arguments(),3,4)</f>
        <v>kWh</v>
      </c>
      <c r="H547" s="249" t="str">
        <v>Input</v>
      </c>
      <c r="I547" s="253">
        <f>X_Cell_Electricity_Market_AmountPurchasedExcludingGreenPower</f>
        <v>30000</v>
      </c>
    </row>
    <row r="548" spans="3:41" x14ac:dyDescent="0.25">
      <c r="D548" s="156" t="str">
        <v>RPP</v>
      </c>
      <c r="E548" s="164" t="str">
        <v>renewable power percentage under LRET for the applicable period</v>
      </c>
      <c r="F548" s="166"/>
      <c r="G548" s="156" t="str">
        <v>fraction</v>
      </c>
      <c r="H548" s="249" t="str">
        <v>Input</v>
      </c>
      <c r="I548" s="181">
        <f>X_Cell_Electricity_Market_RenewablePowerPercentage</f>
        <v>0.1</v>
      </c>
    </row>
    <row r="549" spans="3:41" x14ac:dyDescent="0.25">
      <c r="D549" s="156" t="str">
        <v>JRPP</v>
      </c>
      <c r="E549" s="164" t="str">
        <v>jurisdictional renewable power percentage for the applicable period</v>
      </c>
      <c r="F549" s="166"/>
      <c r="G549" s="156" t="str">
        <v>fraction</v>
      </c>
      <c r="H549" s="249" t="str">
        <v>Input</v>
      </c>
      <c r="I549" s="181">
        <f>X_Cell_Electricity_Market_JurisdictionalRenewablePowerPercentage</f>
        <v>0.1</v>
      </c>
    </row>
    <row r="550" spans="3:41" x14ac:dyDescent="0.25">
      <c r="D550" s="156" t="str">
        <v>REC_surrendered</v>
      </c>
      <c r="E550" s="164" t="str">
        <v>eligible renewable energy certificates voluntarily surrendered</v>
      </c>
      <c r="F550" s="166"/>
      <c r="G550" s="156" t="str">
        <v>MWh</v>
      </c>
      <c r="H550" s="249" t="str">
        <v>Input</v>
      </c>
      <c r="I550" s="156">
        <f>(X_Cell_Electricity_Market_AmountPurchasedGreenPower*10^-3)+X_Cell_TotalElegibleVoluntarilySurrenderedRECs</f>
        <v>15</v>
      </c>
    </row>
    <row r="551" spans="3:41" x14ac:dyDescent="0.25">
      <c r="D551" s="156" t="str">
        <v>REC_onsite</v>
      </c>
      <c r="E551" s="164" t="str">
        <v>eligible renewable energy certificates issued for onsite generated electricity</v>
      </c>
      <c r="F551" s="166"/>
      <c r="G551" s="156" t="str">
        <v>MWh</v>
      </c>
      <c r="H551" s="249" t="str">
        <v>Input</v>
      </c>
      <c r="I551" s="156">
        <f>X_Cell_TotalElegibleRECsForElectricityProducedOnSite</f>
        <v>0</v>
      </c>
    </row>
    <row r="552" spans="3:41" x14ac:dyDescent="0.25">
      <c r="D552" s="156" t="str">
        <v>EF_RMF3elec</v>
      </c>
      <c r="E552" s="164" t="str">
        <v>scope 3 residual mix emission factor for electricity</v>
      </c>
      <c r="F552" s="166"/>
      <c r="G552" s="156" t="str">
        <v>kg CO2e/kWh</v>
      </c>
      <c r="H552" s="139" t="str">
        <v>Constant</v>
      </c>
      <c r="I552" s="156" cm="1">
        <f t="array" ref="I552">Table_SourceData_ElectricityEFsMarketBased[Scope 3 EF (kg CO2-e/kWh)]</f>
        <v>0.1</v>
      </c>
    </row>
    <row r="553" spans="3:41" x14ac:dyDescent="0.25">
      <c r="D553" s="156" t="str">
        <v>i</v>
      </c>
      <c r="E553" s="164" t="str">
        <v>state</v>
      </c>
      <c r="F553" s="166"/>
      <c r="G553" s="156" t="str">
        <v/>
      </c>
      <c r="H553" s="249" t="str">
        <v>Input</v>
      </c>
      <c r="I553" s="156" t="str">
        <f>X_Cell_Site_State</f>
        <v>Western Australia</v>
      </c>
    </row>
    <row r="555" spans="3:41" ht="20.25" x14ac:dyDescent="0.25">
      <c r="D555" s="252" t="s">
        <v>920</v>
      </c>
      <c r="E555" s="152" cm="1">
        <f t="array" ref="E555">Scope3_Equations.VEERG_15_12_1_2__1_UpstreamPurchasedElectricityMarketBasedVariation(I547,I548,I549,I550,I551,I552)</f>
        <v>0.9</v>
      </c>
      <c r="F555" s="153" t="str">
        <f>$E$155</f>
        <v>t CO2e</v>
      </c>
    </row>
    <row r="558" spans="3:41" x14ac:dyDescent="0.25">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c r="AA558" s="148"/>
      <c r="AB558" s="148"/>
      <c r="AC558" s="148"/>
      <c r="AD558" s="148"/>
      <c r="AE558" s="148"/>
      <c r="AF558" s="148"/>
      <c r="AG558" s="148"/>
      <c r="AH558" s="148"/>
      <c r="AI558" s="148"/>
      <c r="AJ558" s="148"/>
      <c r="AK558" s="148"/>
      <c r="AL558" s="148"/>
      <c r="AM558" s="148"/>
      <c r="AN558" s="148"/>
      <c r="AO558" s="148"/>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4" t="s">
        <v>311</v>
      </c>
      <c r="E561" s="134" t="str" cm="1">
        <f t="array" aca="1" ref="E561" ca="1">Common_InputFunctions.Utility_DisplayFunctionName(E573)</f>
        <v>=Scope3_Equations.VEERG_15_13_1_1__1_EmissionsFromManureSentOffSite</v>
      </c>
    </row>
    <row r="564" spans="4:18" x14ac:dyDescent="0.25">
      <c r="D564" s="88" t="s">
        <v>312</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6" t="str" cm="1">
        <f t="array" ref="D569:E571">_xlfn.CHOOSECOLS(Scope3_Equations.VEERG_15_13_1_1__1_EmissionsFromManureSentOffSite_Arguments(),1,2)</f>
        <v>E_N2O</v>
      </c>
      <c r="E569" s="164" t="str">
        <v>direct nitrous oxide emissions from application of manure to soils outside of scope 1 boundary</v>
      </c>
      <c r="F569" s="165"/>
      <c r="G569" s="166"/>
      <c r="H569" s="156" t="str" cm="1">
        <f t="array" ref="H569:I571">_xlfn.CHOOSECOLS(Scope3_Equations.VEERG_15_13_1_1__1_EmissionsFromManureSentOffSite_Arguments(),3,4)</f>
        <v>t N2O</v>
      </c>
      <c r="I569" s="139" t="str">
        <v>Calculated</v>
      </c>
      <c r="J569" s="156">
        <f>VEERG_5_2_1_1__1_OrganicFertiliserApplicationN2OEmissions_Result_Method1</f>
        <v>7.8571428571428577E-3</v>
      </c>
      <c r="L569" s="156" t="str" cm="1">
        <f t="array" ref="L569:M571">_xlfn.CHOOSECOLS(Scope3_Equations.VEERG_15_13_1_1__1_EmissionsFromManureSentOffSite_Arguments(),1,2)</f>
        <v>E_N2O</v>
      </c>
      <c r="M569" s="164" t="str">
        <v>direct nitrous oxide emissions from application of manure to soils outside of scope 1 boundary</v>
      </c>
      <c r="N569" s="165"/>
      <c r="O569" s="166"/>
      <c r="P569" s="156" t="str" cm="1">
        <f t="array" ref="P569:Q571">_xlfn.CHOOSECOLS(Scope3_Equations.VEERG_15_13_1_1__1_EmissionsFromManureSentOffSite_Arguments(),3,4)</f>
        <v>t N2O</v>
      </c>
      <c r="Q569" s="139" t="str">
        <v>Calculated</v>
      </c>
      <c r="R569" s="156">
        <f>VEERG_5_2_1_1__1_OrganicFertiliserApplicationN2OEmissions_Result_Method2</f>
        <v>1.5714285714285715E-2</v>
      </c>
    </row>
    <row r="570" spans="4:18" x14ac:dyDescent="0.25">
      <c r="D570" s="156" t="str">
        <v>E_ad</v>
      </c>
      <c r="E570" s="164" t="str">
        <v>nitrous oxide emissions from atmospheric deposition of manure to soils</v>
      </c>
      <c r="F570" s="165"/>
      <c r="G570" s="166"/>
      <c r="H570" s="156" t="str">
        <v>t N2O</v>
      </c>
      <c r="I570" s="139" t="str">
        <v>Calculated</v>
      </c>
      <c r="J570" s="156">
        <f>VEERG_5_4_1_3__1_OrganicFertiliserAtmosphericDepositionN2OEmissions_Result_Method1</f>
        <v>2.31E-3</v>
      </c>
      <c r="L570" s="156" t="str">
        <v>E_ad</v>
      </c>
      <c r="M570" s="164" t="str">
        <v>nitrous oxide emissions from atmospheric deposition of manure to soils</v>
      </c>
      <c r="N570" s="165"/>
      <c r="O570" s="166"/>
      <c r="P570" s="156" t="str">
        <v>t N2O</v>
      </c>
      <c r="Q570" s="139" t="str">
        <v>Calculated</v>
      </c>
      <c r="R570" s="156">
        <f>VEERG_5_4_1_3__1_OrganicFertiliserAtmosphericDepositionN2OEmissions_Result_Method2</f>
        <v>4.62E-3</v>
      </c>
    </row>
    <row r="571" spans="4:18" x14ac:dyDescent="0.25">
      <c r="D571" s="156" t="str">
        <v>E_leach</v>
      </c>
      <c r="E571" s="164" t="str">
        <v>nitrous oxide emissions from nitrogen leaching and runoff of manure to soils</v>
      </c>
      <c r="F571" s="165"/>
      <c r="G571" s="166"/>
      <c r="H571" s="156" t="str">
        <v>t N2O</v>
      </c>
      <c r="I571" s="139" t="str">
        <v>Calculated</v>
      </c>
      <c r="J571" s="156">
        <f>VEERG_5_5_1_1__1_FertiliserLeachingAndRunoffN2OEmissions_Result_Method1</f>
        <v>4.1485714285714277E-3</v>
      </c>
      <c r="L571" s="156" t="str">
        <v>E_leach</v>
      </c>
      <c r="M571" s="164" t="str">
        <v>nitrous oxide emissions from nitrogen leaching and runoff of manure to soils</v>
      </c>
      <c r="N571" s="165"/>
      <c r="O571" s="166"/>
      <c r="P571" s="156" t="str">
        <v>t N2O</v>
      </c>
      <c r="Q571" s="139" t="str">
        <v>Calculated</v>
      </c>
      <c r="R571" s="156">
        <f>VEERG_5_5_1_1__1_FertiliserLeachingAndRunoffN2OEmissions_Result_Method2</f>
        <v>8.2971428571428554E-3</v>
      </c>
    </row>
    <row r="573" spans="4:18" ht="20.25" x14ac:dyDescent="0.25">
      <c r="D573" s="252" t="s">
        <v>920</v>
      </c>
      <c r="E573" s="152" cm="1">
        <f t="array" ref="E573">Scope3_Equations.VEERG_15_13_1_1__1_EmissionsFromManureSentOffSite(J569,J570,J571)</f>
        <v>1.4315714285714286E-2</v>
      </c>
      <c r="F573" s="153" t="str">
        <f>$E$565</f>
        <v>t N2O</v>
      </c>
      <c r="L573" s="252" t="s">
        <v>920</v>
      </c>
      <c r="M573" s="152" cm="1">
        <f t="array" ref="M573">Scope3_Equations.VEERG_15_13_1_1__1_EmissionsFromManureSentOffSite(R569,R570,R571)</f>
        <v>2.8631428571428572E-2</v>
      </c>
      <c r="N573" s="153" t="str">
        <f>$E$565</f>
        <v>t N2O</v>
      </c>
    </row>
    <row r="575" spans="4:18" x14ac:dyDescent="0.25">
      <c r="D575" s="135" t="str" cm="1">
        <f t="array" ref="D575:E576">Common_Equations.Common_ConvertN2OToCO2e_Arguments()</f>
        <v>EN2O</v>
      </c>
      <c r="E575" s="136" t="str">
        <v>Nitrous oxide emissions (t N2O)</v>
      </c>
      <c r="F575" s="154"/>
      <c r="G575" s="25">
        <f>E573</f>
        <v>1.4315714285714286E-2</v>
      </c>
      <c r="L575" s="135" t="str" cm="1">
        <f t="array" ref="L575:M576">Common_Equations.Common_ConvertN2OToCO2e_Arguments()</f>
        <v>EN2O</v>
      </c>
      <c r="M575" s="136" t="str">
        <v>Nitrous oxide emissions (t N2O)</v>
      </c>
      <c r="N575" s="154"/>
      <c r="O575" s="25">
        <f>M573</f>
        <v>2.8631428571428572E-2</v>
      </c>
    </row>
    <row r="576" spans="4:18" x14ac:dyDescent="0.25">
      <c r="D576" s="135" t="str">
        <v>GWPN2O</v>
      </c>
      <c r="E576" s="136" t="str">
        <v>Global warming potential for nitrous oxide (t CO2-e / t N2O)</v>
      </c>
      <c r="F576" s="154"/>
      <c r="G576" s="25">
        <f>Common_InputFunctions.Utility_LookupValueInTableNumber("N2O",Table_GWPData[Gas],Table_GWPData[CO2-e factor])</f>
        <v>265</v>
      </c>
      <c r="L576" s="135" t="str">
        <v>GWPN2O</v>
      </c>
      <c r="M576" s="136" t="str">
        <v>Global warming potential for nitrous oxide (t CO2-e / t N2O)</v>
      </c>
      <c r="N576" s="154"/>
      <c r="O576" s="25">
        <f>Common_InputFunctions.Utility_LookupValueInTableNumber("N2O",Table_GWPData[Gas],Table_GWPData[CO2-e factor])</f>
        <v>265</v>
      </c>
    </row>
    <row r="578" spans="3:41" ht="18.75" x14ac:dyDescent="0.25">
      <c r="D578" s="148" t="s">
        <v>343</v>
      </c>
      <c r="E578" s="148" cm="1">
        <f t="array" ref="E578">Common_Equations.Common_ConvertN2OToCO2e(G575,G576)</f>
        <v>3.7936642857142857</v>
      </c>
      <c r="F578" s="155" t="str" cm="1">
        <f t="array" ref="F578">Common_Equations.Common_ConvertN2OToCO2e_Unit()</f>
        <v>t CO2e</v>
      </c>
      <c r="L578" s="148" t="s">
        <v>343</v>
      </c>
      <c r="M578" s="148" cm="1">
        <f t="array" ref="M578">Common_Equations.Common_ConvertN2OToCO2e(O575,O576)</f>
        <v>7.5873285714285714</v>
      </c>
      <c r="N578" s="155" t="str" cm="1">
        <f t="array" ref="N578">Common_Equations.Common_ConvertN2OToCO2e_Unit()</f>
        <v>t CO2e</v>
      </c>
    </row>
    <row r="581" spans="3:41" x14ac:dyDescent="0.25">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c r="AA581" s="148"/>
      <c r="AB581" s="148"/>
      <c r="AC581" s="148"/>
      <c r="AD581" s="148"/>
      <c r="AE581" s="148"/>
      <c r="AF581" s="148"/>
      <c r="AG581" s="148"/>
      <c r="AH581" s="148"/>
      <c r="AI581" s="148"/>
      <c r="AJ581" s="148"/>
      <c r="AK581" s="148"/>
      <c r="AL581" s="148"/>
      <c r="AM581" s="148"/>
      <c r="AN581" s="148"/>
      <c r="AO581" s="148"/>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312</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2" t="s">
        <v>920</v>
      </c>
      <c r="E588" s="152">
        <f>VEERG_10_1_1_1__1_EmissionsFromWasteManagement_Scope3_Result_Method1</f>
        <v>441.15000000000003</v>
      </c>
      <c r="F588" s="153" t="str">
        <f>E586</f>
        <v>t CO2e</v>
      </c>
    </row>
    <row r="591" spans="3:41" x14ac:dyDescent="0.25">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c r="AA591" s="148"/>
      <c r="AB591" s="148"/>
      <c r="AC591" s="148"/>
      <c r="AD591" s="148"/>
      <c r="AE591" s="148"/>
      <c r="AF591" s="148"/>
      <c r="AG591" s="148"/>
      <c r="AH591" s="148"/>
      <c r="AI591" s="148"/>
      <c r="AJ591" s="148"/>
      <c r="AK591" s="148"/>
      <c r="AL591" s="148"/>
      <c r="AM591" s="148"/>
      <c r="AN591" s="148"/>
      <c r="AO591" s="148"/>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4" t="s">
        <v>311</v>
      </c>
      <c r="E594" s="134" t="str" cm="1">
        <f t="array" aca="1" ref="E594" ca="1">Common_InputFunctions.Utility_DisplayFunctionName(J609)</f>
        <v>=Scope3_Equations.VEERG_15_14_1_1__1_EmbeddedEmissionsFromUpstreamFreight</v>
      </c>
    </row>
    <row r="598" spans="4:13" x14ac:dyDescent="0.25">
      <c r="D598" s="88" t="s">
        <v>312</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6" t="str" cm="1">
        <f t="array" ref="D601:E604">_xlfn.CHOOSECOLS(Scope3_Equations.VEERG_15_14_1_1__1_EmbeddedEmissionsFromUpstreamFreight_Arguments(),1,2)</f>
        <v>W_f</v>
      </c>
      <c r="E601" s="164" t="str">
        <v>total mass of goods transported per freight type f</v>
      </c>
      <c r="F601" s="166"/>
      <c r="G601" s="156" t="str" cm="1">
        <f t="array" ref="G601:H604">_xlfn.CHOOSECOLS(Scope3_Equations.VEERG_15_14_1_1__1_EmbeddedEmissionsFromUpstreamFreight_Arguments(),3,4)</f>
        <v>t</v>
      </c>
      <c r="H601" s="249" t="str">
        <v>Input</v>
      </c>
    </row>
    <row r="602" spans="4:13" x14ac:dyDescent="0.25">
      <c r="D602" s="156" t="str">
        <v>D_f</v>
      </c>
      <c r="E602" s="164" t="str">
        <v>total distance transported per freight type f</v>
      </c>
      <c r="F602" s="166"/>
      <c r="G602" s="156" t="str">
        <v>km</v>
      </c>
      <c r="H602" s="249" t="str">
        <v>Input</v>
      </c>
    </row>
    <row r="603" spans="4:13" x14ac:dyDescent="0.25">
      <c r="D603" s="156" t="str">
        <v>EF_f</v>
      </c>
      <c r="E603" s="164" t="str">
        <v>emission factor for freight type f</v>
      </c>
      <c r="F603" s="166"/>
      <c r="G603" s="156" t="str">
        <v>t CO2e/(t km)</v>
      </c>
      <c r="H603" s="139" t="str">
        <v>Constant</v>
      </c>
    </row>
    <row r="604" spans="4:13" x14ac:dyDescent="0.25">
      <c r="D604" s="156" t="str">
        <v>f</v>
      </c>
      <c r="E604" s="164" t="str">
        <v>freight type</v>
      </c>
      <c r="F604" s="166"/>
      <c r="G604" s="156" t="str">
        <v/>
      </c>
      <c r="H604" s="249" t="str">
        <v>Input</v>
      </c>
    </row>
    <row r="606" spans="4:13" ht="18.75" x14ac:dyDescent="0.25">
      <c r="D606" s="244" t="s">
        <v>782</v>
      </c>
    </row>
    <row r="608" spans="4:13" ht="17.25" x14ac:dyDescent="0.25">
      <c r="D608" s="92" t="s">
        <v>921</v>
      </c>
      <c r="E608" s="92" t="s">
        <v>922</v>
      </c>
      <c r="F608" s="92" t="s">
        <v>923</v>
      </c>
      <c r="G608" s="147" t="s">
        <v>924</v>
      </c>
      <c r="H608" s="147" t="s">
        <v>812</v>
      </c>
      <c r="I608" s="92" t="s">
        <v>861</v>
      </c>
      <c r="J608" s="147" t="s">
        <v>815</v>
      </c>
      <c r="K608" s="92" t="s">
        <v>816</v>
      </c>
      <c r="L608" s="92" t="s">
        <v>817</v>
      </c>
      <c r="M608" s="92" t="s">
        <v>818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61" t="s">
        <v>925</v>
      </c>
      <c r="E620" s="148" t="s">
        <v>900</v>
      </c>
      <c r="F620" s="155" t="str">
        <f>$E$104</f>
        <v>t CO2e</v>
      </c>
    </row>
    <row r="621" spans="4:13" x14ac:dyDescent="0.25">
      <c r="D621" s="161" t="s">
        <v>926</v>
      </c>
      <c r="E621" s="148">
        <f>SUM(J609:J618)</f>
        <v>5146700</v>
      </c>
      <c r="F621" s="155" t="str">
        <f>$E$104</f>
        <v>t CO2e</v>
      </c>
    </row>
    <row r="624" spans="4:13" ht="18.75" x14ac:dyDescent="0.25">
      <c r="D624" s="244" t="s">
        <v>792</v>
      </c>
    </row>
    <row r="626" spans="4:13" ht="17.25" x14ac:dyDescent="0.25">
      <c r="D626" s="92" t="s">
        <v>921</v>
      </c>
      <c r="E626" s="92" t="s">
        <v>922</v>
      </c>
      <c r="F626" s="92" t="s">
        <v>923</v>
      </c>
      <c r="G626" s="147" t="s">
        <v>924</v>
      </c>
      <c r="H626" s="147" t="s">
        <v>812</v>
      </c>
      <c r="I626" s="92" t="s">
        <v>861</v>
      </c>
      <c r="J626" s="147" t="s">
        <v>815</v>
      </c>
      <c r="K626" s="92" t="s">
        <v>816</v>
      </c>
      <c r="L626" s="92" t="s">
        <v>817</v>
      </c>
      <c r="M626" s="92" t="s">
        <v>818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61" t="s">
        <v>927</v>
      </c>
      <c r="E638" s="148" t="s">
        <v>900</v>
      </c>
      <c r="F638" s="155" t="str">
        <f>$E$104</f>
        <v>t CO2e</v>
      </c>
    </row>
    <row r="639" spans="4:13" x14ac:dyDescent="0.25">
      <c r="D639" s="161" t="s">
        <v>928</v>
      </c>
      <c r="E639" s="148">
        <f>SUM(J627:J636)</f>
        <v>432640</v>
      </c>
      <c r="F639" s="155" t="str">
        <f>$E$104</f>
        <v>t CO2e</v>
      </c>
    </row>
    <row r="641" spans="4:6" ht="20.25" x14ac:dyDescent="0.25">
      <c r="D641" s="151" t="s">
        <v>812</v>
      </c>
      <c r="E641" s="152" t="s">
        <v>900</v>
      </c>
      <c r="F641" s="153" t="str">
        <f>$E$104</f>
        <v>t CO2e</v>
      </c>
    </row>
    <row r="642" spans="4:6" ht="20.25" x14ac:dyDescent="0.25">
      <c r="D642" s="151" t="s">
        <v>815</v>
      </c>
      <c r="E642" s="152">
        <f>VEERG_15_14_1_1__1_EmbeddedEmissionsFromUpstreamFreight_Incoming_Result_Method2+VEERG_15_14_1_1__1_EmbeddedEmissionsFromUpstreamFreight_Outgoing_Result_Method2</f>
        <v>5579340</v>
      </c>
      <c r="F642" s="153" t="str">
        <f>$E$104</f>
        <v>t CO2e</v>
      </c>
    </row>
  </sheetData>
  <dataValidations count="2">
    <dataValidation type="list" allowBlank="1" showInputMessage="1" showErrorMessage="1" sqref="J490:J499" xr:uid="{B577C1D1-C7A2-4EAA-9696-F70F4170DE08}">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0549E0D0-5145-4246-A40C-77431E54E279}">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66FD6-DC05-4A39-AFD9-9B5E419AAB6F}">
  <sheetPr>
    <tabColor theme="9" tint="-0.249977111117893"/>
  </sheetPr>
  <dimension ref="A1:U160"/>
  <sheetViews>
    <sheetView showGridLines="0" topLeftCell="C56" zoomScaleNormal="100" workbookViewId="0">
      <selection activeCell="A50" sqref="A50"/>
    </sheetView>
  </sheetViews>
  <sheetFormatPr defaultRowHeight="15.75" x14ac:dyDescent="0.25"/>
  <cols>
    <col min="1" max="1" width="3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6" t="e" vm="1">
        <v>#VALUE!</v>
      </c>
      <c r="C1" s="31" t="s">
        <v>929</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4" t="s">
        <v>311</v>
      </c>
      <c r="E7" s="134" t="str">
        <f ca="1">Common_InputFunctions.Utility_DisplayFunctionName(VEERG_5_2_1_1__1_OrganicFertiliserApplicationN2OEmissions_Result_Method1)</f>
        <v>=Fertiliser_Equations_OrganicN2O.VEERG_5_2_1_1__1_OrganicFertiliserApplicationN2OEmissions</v>
      </c>
      <c r="N7" s="134" t="s">
        <v>311</v>
      </c>
      <c r="O7" s="134"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312</v>
      </c>
      <c r="E10" s="1" t="str" cm="1">
        <f t="array" ref="E10">Fertiliser_Equations_OrganicN2O.VEERG_5_2_1_1__1_OrganicFertiliserApplicationN2OEmissions_Variable()</f>
        <v>E_N2O</v>
      </c>
      <c r="N10" s="88" t="s">
        <v>312</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6" t="str" cm="1">
        <f t="array" ref="D13:E17">_xlfn.CHOOSECOLS(Fertiliser_Equations_OrganicN2O.VEERG_5_2_1_1__1_OrganicFertiliserApplicationN2OEmissions_Arguments(), 1, 2)</f>
        <v>MNSoil_jf</v>
      </c>
      <c r="E13" s="164" t="str">
        <v>mass of nitrogen in organic fertiliser type f applied to production system j</v>
      </c>
      <c r="F13" s="165"/>
      <c r="G13" s="166"/>
      <c r="H13" s="156" t="str" cm="1">
        <f t="array" ref="H13:I17">_xlfn.CHOOSECOLS(Fertiliser_Equations_OrganicN2O.VEERG_5_2_1_1__1_OrganicFertiliserApplicationN2OEmissions_Arguments(), 3,4)</f>
        <v>kg N</v>
      </c>
      <c r="I13" s="139" t="str">
        <v>Calculated from 5.2.1.1 (2)</v>
      </c>
      <c r="J13" s="156">
        <f>X_Cell_ManureSentOffsite_MassNitrogenManure_Method1</f>
        <v>1000</v>
      </c>
      <c r="N13" s="156" t="str" cm="1">
        <f t="array" ref="N13:O17">_xlfn.CHOOSECOLS(Fertiliser_Equations_OrganicN2O.VEERG_5_2_1_1__1_OrganicFertiliserApplicationN2OEmissions_Arguments(), 1, 2)</f>
        <v>MNSoil_jf</v>
      </c>
      <c r="O13" s="164" t="str">
        <v>mass of nitrogen in organic fertiliser type f applied to production system j</v>
      </c>
      <c r="P13" s="165"/>
      <c r="Q13" s="166"/>
      <c r="R13" s="156" t="str" cm="1">
        <f t="array" ref="R13:S17">_xlfn.CHOOSECOLS(Fertiliser_Equations_OrganicN2O.VEERG_5_2_1_1__1_OrganicFertiliserApplicationN2OEmissions_Arguments(), 3,4)</f>
        <v>kg N</v>
      </c>
      <c r="S13" s="139" t="str">
        <v>Calculated from 5.2.1.1 (2)</v>
      </c>
      <c r="T13" s="156">
        <f>X_Cell_ManureSentOffsite_MassNitrogenManure_Method2</f>
        <v>2000</v>
      </c>
    </row>
    <row r="14" spans="1:21" ht="20.100000000000001" customHeight="1" x14ac:dyDescent="0.25">
      <c r="A14" s="5" t="str">
        <f>HYPERLINK("#'Input - Fuel'!A1", "Fuel")</f>
        <v>Fuel</v>
      </c>
      <c r="D14" s="156" t="str">
        <v>EF_N2Oi</v>
      </c>
      <c r="E14" s="164" t="str">
        <v>emission factor for direct nitrous oxide emissions from organic fertiliser applied to soils and aquatic systems in climate zone i</v>
      </c>
      <c r="F14" s="165"/>
      <c r="G14" s="166"/>
      <c r="H14" s="156" t="str">
        <v>kg N2O-N/kg N</v>
      </c>
      <c r="I14" s="139" t="str">
        <v>Lookup</v>
      </c>
      <c r="J14" s="156">
        <f>Common_InputFunctions.Utility_LookupValueInTableNumber(J17, Table_SourceData_Common_EFOrganicFertCropResidues[Climate Zone],Table_SourceData_Common_EFOrganicFertCropResidues[EFNi &amp; EFN2Oi])</f>
        <v>5.0000000000000001E-3</v>
      </c>
      <c r="N14" s="156" t="str">
        <v>EF_N2Oi</v>
      </c>
      <c r="O14" s="164" t="str">
        <v>emission factor for direct nitrous oxide emissions from organic fertiliser applied to soils and aquatic systems in climate zone i</v>
      </c>
      <c r="P14" s="165"/>
      <c r="Q14" s="166"/>
      <c r="R14" s="156" t="str">
        <v>kg N2O-N/kg N</v>
      </c>
      <c r="S14" s="139" t="str">
        <v>Lookup</v>
      </c>
      <c r="T14" s="156"/>
    </row>
    <row r="15" spans="1:21" ht="20.100000000000001" customHeight="1" x14ac:dyDescent="0.25">
      <c r="A15" s="5" t="str">
        <f>HYPERLINK("#'Input - Electricity'!A1", "Electricity")</f>
        <v>Electricity</v>
      </c>
      <c r="D15" s="156" t="str">
        <v>C_N2O</v>
      </c>
      <c r="E15" s="164" t="str">
        <v>factor to convert elemental mass of nitrous oxide to molecular mass</v>
      </c>
      <c r="F15" s="165"/>
      <c r="G15" s="166"/>
      <c r="H15" s="156" t="str">
        <v/>
      </c>
      <c r="I15" s="139" t="str">
        <v>Constant</v>
      </c>
      <c r="J15" s="156">
        <f>Common_InputFunctions.Utility_LookupValueInTableNumber("N2O",Table_GasToMolecularConversionFactor[Gas],Table_GasToMolecularConversionFactor[Conversion factor combined])</f>
        <v>1.5714285714285714</v>
      </c>
      <c r="N15" s="156" t="str">
        <v>C_N2O</v>
      </c>
      <c r="O15" s="164" t="str">
        <v>factor to convert elemental mass of nitrous oxide to molecular mass</v>
      </c>
      <c r="P15" s="165"/>
      <c r="Q15" s="166"/>
      <c r="R15" s="156" t="str">
        <v/>
      </c>
      <c r="S15" s="139" t="str">
        <v>Constant</v>
      </c>
      <c r="T15" s="156"/>
    </row>
    <row r="16" spans="1:21" ht="20.100000000000001" customHeight="1" x14ac:dyDescent="0.25">
      <c r="A16" s="5" t="str">
        <f>HYPERLINK("#'Input - Common farm inputs'!A1", "Common farm inputs")</f>
        <v>Common farm inputs</v>
      </c>
      <c r="D16" s="156" t="str">
        <v>j</v>
      </c>
      <c r="E16" s="164" t="str">
        <v>Production system</v>
      </c>
      <c r="F16" s="165"/>
      <c r="G16" s="166"/>
      <c r="H16" s="156" t="str">
        <v/>
      </c>
      <c r="I16" s="249" t="str">
        <v>Input</v>
      </c>
      <c r="J16" s="156" t="str">
        <f>X_Cell_ManureSentOffsite_ManureProductionSystem</f>
        <v>Crop</v>
      </c>
      <c r="N16" s="156" t="str">
        <v>j</v>
      </c>
      <c r="O16" s="164" t="str">
        <v>Production system</v>
      </c>
      <c r="P16" s="165"/>
      <c r="Q16" s="166"/>
      <c r="R16" s="156" t="str">
        <v/>
      </c>
      <c r="S16" s="249" t="str">
        <v>Input</v>
      </c>
      <c r="T16" s="156"/>
    </row>
    <row r="17" spans="1:20" ht="20.100000000000001" customHeight="1" x14ac:dyDescent="0.25">
      <c r="A17" s="5" t="str">
        <f>HYPERLINK("#'Input - Crop pasture farm input'!A1", "Crop pasture farm input")</f>
        <v>Crop pasture farm input</v>
      </c>
      <c r="D17" s="156" t="str">
        <v>i</v>
      </c>
      <c r="E17" s="164" t="str">
        <v>Wet or dry climate zone</v>
      </c>
      <c r="F17" s="165"/>
      <c r="G17" s="166"/>
      <c r="H17" s="156" t="str">
        <v/>
      </c>
      <c r="I17" s="249" t="str">
        <v>Input</v>
      </c>
      <c r="J17" s="156" t="str">
        <f>X_Cell_Site_WetOrDryClimateZone</f>
        <v>Dry climate zone</v>
      </c>
      <c r="N17" s="156" t="str">
        <v>i</v>
      </c>
      <c r="O17" s="164" t="str">
        <v>Wet or dry climate zone</v>
      </c>
      <c r="P17" s="165"/>
      <c r="Q17" s="166"/>
      <c r="R17" s="156" t="str">
        <v/>
      </c>
      <c r="S17" s="249" t="str">
        <v>Input</v>
      </c>
      <c r="T17" s="156"/>
    </row>
    <row r="18" spans="1:20" ht="20.100000000000001" customHeight="1" x14ac:dyDescent="0.25">
      <c r="A18" s="5" t="str">
        <f>HYPERLINK("#'Input - Freight'!A1", "Freight")</f>
        <v>Freight</v>
      </c>
    </row>
    <row r="19" spans="1:20" ht="20.100000000000001" customHeight="1" x14ac:dyDescent="0.25">
      <c r="A19" s="5" t="str">
        <f>HYPERLINK("#'Input - Manure sent off-site'!A1", "Manure sent off-site")</f>
        <v>Manure sent off-site</v>
      </c>
      <c r="D19" s="151" t="s">
        <v>341</v>
      </c>
      <c r="E19" s="152" cm="1">
        <f t="array" ref="E19">Fertiliser_Equations_OrganicN2O.VEERG_5_2_1_1__1_OrganicFertiliserApplicationN2OEmissions(J13,J14,J15)</f>
        <v>7.8571428571428577E-3</v>
      </c>
      <c r="F19" s="153" t="str">
        <f>$E$11</f>
        <v>t N2O</v>
      </c>
      <c r="N19" s="151" t="s">
        <v>341</v>
      </c>
      <c r="O19" s="152" cm="1">
        <f t="array" ref="O19">Fertiliser_Equations_OrganicN2O.VEERG_5_2_1_1__1_OrganicFertiliserApplicationN2OEmissions(T13,J14,J15)</f>
        <v>1.5714285714285715E-2</v>
      </c>
      <c r="P19" s="153" t="str">
        <f>$E$11</f>
        <v>t N2O</v>
      </c>
    </row>
    <row r="20" spans="1:20" ht="20.100000000000001" customHeight="1" x14ac:dyDescent="0.25">
      <c r="A20" s="5" t="str">
        <f>HYPERLINK("#'Input - Solid waste'!A1", "Solid waste")</f>
        <v>Solid waste</v>
      </c>
    </row>
    <row r="21" spans="1:20" ht="20.100000000000001" customHeight="1" x14ac:dyDescent="0.25">
      <c r="A21" s="5" t="str">
        <f>HYPERLINK("#'Input - Data quality'!A1", "Data quality")</f>
        <v>Data quality</v>
      </c>
    </row>
    <row r="22" spans="1:20" ht="20.100000000000001" customHeight="1" x14ac:dyDescent="0.25">
      <c r="A22"/>
    </row>
    <row r="23" spans="1:20" ht="20.100000000000001" customHeight="1" x14ac:dyDescent="0.25">
      <c r="A23"/>
    </row>
    <row r="24" spans="1:20" ht="20.100000000000001" customHeight="1" x14ac:dyDescent="0.25">
      <c r="A24" s="6" t="s">
        <v>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HYPERLINK("#'5.1.1.1-2 Inorganic fert N2O'!A1", "5.1.1.1-2 Inorganic fert N2O")</f>
        <v>5.1.1.1-2 Inorganic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HYPERLINK("#'5.1.1.3-4 Inorganic fert CO2'!A1", "5.1.1.3-4 Inorganic fert CO2")</f>
        <v>5.1.1.3-4 Inorganic fert CO2</v>
      </c>
      <c r="D26" s="134" t="s">
        <v>311</v>
      </c>
      <c r="E26" s="134" t="str" cm="1">
        <f t="array" aca="1" ref="E26" ca="1">Common_InputFunctions.Utility_DisplayFunctionName(E35)</f>
        <v>=Fertiliser_Equations_AtmosphericDeposition.VEERG_5_4_1_3__2_MassOfNitrogenVolatilisedFromOrganicFertiliser</v>
      </c>
      <c r="N26" s="134" t="s">
        <v>311</v>
      </c>
      <c r="O26" s="134"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HYPERLINK("#'5.2.1.1-2 Organic Fert N2O'!A1", "5.2.1.1-2 Organic fert N2O")</f>
        <v>5.2.1.1-2 Organic fert N2O</v>
      </c>
    </row>
    <row r="28" spans="1:20" ht="20.100000000000001" customHeight="1" x14ac:dyDescent="0.25">
      <c r="A28" s="5" t="str">
        <f>HYPERLINK("#'5.3.1.1-2 Lime CO2'!A1", "5.3.1.1-2 Lime CO2")</f>
        <v>5.3.1.1-2 Lime CO2</v>
      </c>
    </row>
    <row r="29" spans="1:20" ht="20.100000000000001" customHeight="1" x14ac:dyDescent="0.25">
      <c r="A29" s="5" t="str">
        <f>HYPERLINK("#'5.4.1.1-4 Atmos deposition'!A1", "5.4.1.1-4 Atmos. deposition")</f>
        <v>5.4.1.1-4 Atmos. deposition</v>
      </c>
      <c r="D29" s="88" t="s">
        <v>312</v>
      </c>
      <c r="E29" s="1" t="str" cm="1">
        <f t="array" ref="E29">Fertiliser_Equations_AtmosphericDeposition.VEERG_5_4_1_3__2_MassOfNitrogenVolatilisedFromOrganicFertiliser_Variable()</f>
        <v>M_volorganicjf</v>
      </c>
      <c r="N29" s="88" t="s">
        <v>312</v>
      </c>
      <c r="O29" s="1" t="str" cm="1">
        <f t="array" ref="O29">Fertiliser_Equations_AtmosphericDeposition.VEERG_5_4_1_3__2_MassOfNitrogenVolatilisedFromOrganicFertiliser_Variable()</f>
        <v>M_volorganicjf</v>
      </c>
    </row>
    <row r="30" spans="1:20" ht="20.100000000000001" customHeight="1" x14ac:dyDescent="0.25">
      <c r="A30" s="5" t="str">
        <f>HYPERLINK("#'5.5.1.1-2 Leaching and runoff'!A1", "5.5.1.1-2 Leaching &amp; runoff")</f>
        <v>5.5.1.1-2 Leaching &amp; runoff</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HYPERLINK("#'6.1.1.1-2 Crop residue N2O'!A1", "6.1.1.1-2 Crop residue N2O")</f>
        <v>6.1.1.1-2 Crop residue N2O</v>
      </c>
    </row>
    <row r="32" spans="1:20" ht="20.100000000000001" customHeight="1" x14ac:dyDescent="0.25">
      <c r="A32" s="5" t="str">
        <f>HYPERLINK("#'6.3.1.1-2 Leach runoff crop'!A1", "6.3.1.1-2 Leach &amp; runoff (crop)")</f>
        <v>6.3.1.1-2 Leach &amp; runoff (crop)</v>
      </c>
      <c r="D32" s="156" t="str" cm="1">
        <f t="array" ref="D32:E33">_xlfn.CHOOSECOLS(Fertiliser_Equations_AtmosphericDeposition.VEERG_5_4_1_3__2_MassOfNitrogenVolatilisedFromOrganicFertiliser_Arguments(), 1, 2)</f>
        <v>MNSoil_jf</v>
      </c>
      <c r="E32" s="156" t="str">
        <v>mass of nitrogen in organic fertiliser type f applied to production system j</v>
      </c>
      <c r="F32" s="156"/>
      <c r="G32" s="156" t="str" cm="1">
        <f t="array" ref="G32:H33">_xlfn.CHOOSECOLS(Fertiliser_Equations_AtmosphericDeposition.VEERG_5_4_1_3__2_MassOfNitrogenVolatilisedFromOrganicFertiliser_Arguments(), 3,4)</f>
        <v>kg N</v>
      </c>
      <c r="H32" s="139" t="str">
        <v>Calculated from 5.2.1.1 (2)</v>
      </c>
      <c r="I32" s="156">
        <f>X_Cell_ManureSentOffsite_MassNitrogenManure_Method1</f>
        <v>1000</v>
      </c>
      <c r="N32" s="156" t="str" cm="1">
        <f t="array" ref="N32:O33">_xlfn.CHOOSECOLS(Fertiliser_Equations_AtmosphericDeposition.VEERG_5_4_1_3__2_MassOfNitrogenVolatilisedFromOrganicFertiliser_Arguments(), 1, 2)</f>
        <v>MNSoil_jf</v>
      </c>
      <c r="O32" s="156" t="str">
        <v>mass of nitrogen in organic fertiliser type f applied to production system j</v>
      </c>
      <c r="P32" s="156"/>
      <c r="Q32" s="156" t="str" cm="1">
        <f t="array" ref="Q32:R33">_xlfn.CHOOSECOLS(Fertiliser_Equations_AtmosphericDeposition.VEERG_5_4_1_3__2_MassOfNitrogenVolatilisedFromOrganicFertiliser_Arguments(), 3,4)</f>
        <v>kg N</v>
      </c>
      <c r="R32" s="139" t="str">
        <v>Calculated from 5.2.1.1 (2)</v>
      </c>
      <c r="S32" s="156">
        <f>X_Cell_ManureSentOffsite_MassNitrogenManure_Method2</f>
        <v>2000</v>
      </c>
    </row>
    <row r="33" spans="1:19" ht="20.100000000000001" customHeight="1" x14ac:dyDescent="0.25">
      <c r="A33" s="5" t="str">
        <f>HYPERLINK("#'6.4.1.1-2 Residue burning'!A1", "6.4.1.1-2 Residue burning")</f>
        <v>6.4.1.1-2 Residue burning</v>
      </c>
      <c r="D33" s="156" t="str">
        <v>FracGASM_soil</v>
      </c>
      <c r="E33" s="156" t="str">
        <v>fraction of organic fertiliser N that volatilises</v>
      </c>
      <c r="F33" s="156"/>
      <c r="G33" s="156" t="str">
        <v>(kg NH3-N + NOx-N)/kg N</v>
      </c>
      <c r="H33" s="139" t="str">
        <v>Constant</v>
      </c>
      <c r="I33" s="156">
        <f>Fertiliser_FracGASMSoil_Data</f>
        <v>0.21</v>
      </c>
      <c r="N33" s="156" t="str">
        <v>FracGASM_soil</v>
      </c>
      <c r="O33" s="156" t="str">
        <v>fraction of organic fertiliser N that volatilises</v>
      </c>
      <c r="P33" s="156"/>
      <c r="Q33" s="156" t="str">
        <v>(kg NH3-N + NOx-N)/kg N</v>
      </c>
      <c r="R33" s="139" t="str">
        <v>Constant</v>
      </c>
      <c r="S33" s="156"/>
    </row>
    <row r="34" spans="1:19" ht="20.100000000000001" customHeight="1" x14ac:dyDescent="0.25">
      <c r="A34" s="5" t="str">
        <f>HYPERLINK("#'8.1.1.1-2 Transport fuel'!A1", "8.1.1.1-2 Transport fuel")</f>
        <v>8.1.1.1-2 Transport fuel</v>
      </c>
    </row>
    <row r="35" spans="1:19" ht="20.100000000000001" customHeight="1" x14ac:dyDescent="0.25">
      <c r="A35" s="5" t="str">
        <f>HYPERLINK("#'8.2.1.1-2 Stationary fuel'!A1", "8.2.1.1-2 Stationary fuel")</f>
        <v>8.2.1.1-2 Stationary fuel</v>
      </c>
      <c r="D35" s="161" t="s">
        <v>930</v>
      </c>
      <c r="E35" s="148" cm="1">
        <f t="array" ref="E35">Fertiliser_Equations_AtmosphericDeposition.VEERG_5_4_1_3__2_MassOfNitrogenVolatilisedFromOrganicFertiliser(I32,I33)</f>
        <v>210</v>
      </c>
      <c r="F35" s="155" t="str">
        <f>E30</f>
        <v>kg N</v>
      </c>
      <c r="N35" s="161" t="s">
        <v>930</v>
      </c>
      <c r="O35" s="148" cm="1">
        <f t="array" ref="O35">Fertiliser_Equations_AtmosphericDeposition.VEERG_5_4_1_3__2_MassOfNitrogenVolatilisedFromOrganicFertiliser(S32,I33)</f>
        <v>420</v>
      </c>
      <c r="P35" s="155" t="str">
        <f>O30</f>
        <v>kg N</v>
      </c>
    </row>
    <row r="36" spans="1:19" ht="20.100000000000001" customHeight="1" x14ac:dyDescent="0.25">
      <c r="A36" s="5" t="str">
        <f>HYPERLINK("#'14.1.1-2 Purchased electricity'!A1", "14.1.1-2 Purchased electricity")</f>
        <v>14.1.1-2 Purchased electricity</v>
      </c>
    </row>
    <row r="37" spans="1:19" ht="20.100000000000001" customHeight="1" x14ac:dyDescent="0.25">
      <c r="A37" s="5" t="str">
        <f>HYPERLINK("#'15 Scope 3'!A1", "15 Scope 3")</f>
        <v>15 Scope 3</v>
      </c>
    </row>
    <row r="38" spans="1:19" ht="20.100000000000001" customHeight="1" x14ac:dyDescent="0.25">
      <c r="A38" s="143" t="str">
        <f>HYPERLINK("#'Calcs - Manure sent off-site'!A1", "Calcs - Manure sent off-site")</f>
        <v>Calcs - Manure sent off-site</v>
      </c>
    </row>
    <row r="39" spans="1:19" ht="20.100000000000001" customHeight="1" x14ac:dyDescent="0.25">
      <c r="A39" s="5" t="str">
        <f>HYPERLINK("#'10.1.1-2 Solid waste treatment'!A1", "10.1.1-2 Solid waste treatment")</f>
        <v>10.1.1-2 Solid waste treatment</v>
      </c>
    </row>
    <row r="40" spans="1:19" ht="20.100000000000001" customHeight="1" x14ac:dyDescent="0.25">
      <c r="A40"/>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94" t="s">
        <v>1</v>
      </c>
      <c r="D42" s="134" t="s">
        <v>311</v>
      </c>
      <c r="E42" s="134" t="str">
        <f ca="1">Common_InputFunctions.Utility_DisplayFunctionName(VEERG_5_4_1_3__1_OrganicFertiliserAtmosphericDepositionN2OEmissions_Result_Method1)</f>
        <v>=Fertiliser_Equations_AtmosphericDeposition.VEERG_5_4_1_3__1_OrganicFertiliserAtmosphericDepositionN2OEmissions</v>
      </c>
      <c r="N42" s="134" t="s">
        <v>311</v>
      </c>
      <c r="O42" s="134"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HYPERLINK("#'Constants - Ag Residue'!A1", "Constants - Ag residue")</f>
        <v>Constants - Ag residue</v>
      </c>
    </row>
    <row r="44" spans="1:19" ht="20.100000000000001" customHeight="1" x14ac:dyDescent="0.25">
      <c r="A44" s="5" t="str">
        <f>HYPERLINK("#'Constants - Common Livestock'!A1", "Constants - Common Livestock")</f>
        <v>Constants - Common Livestock</v>
      </c>
    </row>
    <row r="45" spans="1:19" ht="20.100000000000001" customHeight="1" x14ac:dyDescent="0.25">
      <c r="A45" s="5" t="str">
        <f>HYPERLINK("#'Constants - Electricity'!A1", "Constants - Electricity")</f>
        <v>Constants - Electricity</v>
      </c>
      <c r="D45" s="88" t="s">
        <v>312</v>
      </c>
      <c r="E45" s="1" t="str" cm="1">
        <f t="array" ref="E45">Fertiliser_Equations_AtmosphericDeposition.VEERG_5_4_1_3__1_OrganicFertiliserAtmosphericDepositionN2OEmissions_Variable()</f>
        <v>E_adorganic</v>
      </c>
      <c r="N45" s="88" t="s">
        <v>312</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Fertiliser'!A1", "Constants - Fertiliser")</f>
        <v>Constants - Fertiliser</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Fuel'!A1", "Constants - Fuel")</f>
        <v>Constants - Fuel</v>
      </c>
    </row>
    <row r="48" spans="1:19" ht="20.100000000000001" customHeight="1" x14ac:dyDescent="0.25">
      <c r="A48" s="5" t="str">
        <f>HYPERLINK("#'Constants - Scope 3'!A1", "Constants - Scope 3")</f>
        <v>Constants - Scope 3</v>
      </c>
      <c r="D48" s="156" t="str" cm="1">
        <f t="array" ref="D48:E53">_xlfn.CHOOSECOLS(Fertiliser_Equations_AtmosphericDeposition.VEERG_5_4_1_3__1_OrganicFertiliserAtmosphericDepositionN2OEmissions_Arguments(), 1, 2)</f>
        <v>M_volorganicjf</v>
      </c>
      <c r="E48" s="164" t="str">
        <v>mass of nitrogen volatilised from organic fertiliser applied to production system</v>
      </c>
      <c r="F48" s="166"/>
      <c r="G48" s="156" t="str" cm="1">
        <f t="array" ref="G48:H53">_xlfn.CHOOSECOLS(Fertiliser_Equations_AtmosphericDeposition.VEERG_5_4_1_3__1_OrganicFertiliserAtmosphericDepositionN2OEmissions_Arguments(), 3,4)</f>
        <v>kg N</v>
      </c>
      <c r="H48" s="139" t="str">
        <v>Calculated from 5.4.1.3 (2)</v>
      </c>
      <c r="I48" s="156">
        <f>E35</f>
        <v>210</v>
      </c>
      <c r="N48" s="156" t="str" cm="1">
        <f t="array" ref="N48:O53">_xlfn.CHOOSECOLS(Fertiliser_Equations_AtmosphericDeposition.VEERG_5_4_1_3__1_OrganicFertiliserAtmosphericDepositionN2OEmissions_Arguments(), 1, 2)</f>
        <v>M_volorganicjf</v>
      </c>
      <c r="O48" s="164" t="str">
        <v>mass of nitrogen volatilised from organic fertiliser applied to production system</v>
      </c>
      <c r="P48" s="166"/>
      <c r="Q48" s="156" t="str" cm="1">
        <f t="array" ref="Q48:R53">_xlfn.CHOOSECOLS(Fertiliser_Equations_AtmosphericDeposition.VEERG_5_4_1_3__1_OrganicFertiliserAtmosphericDepositionN2OEmissions_Arguments(), 3,4)</f>
        <v>kg N</v>
      </c>
      <c r="R48" s="139" t="str">
        <v>Calculated from 5.4.1.3 (2)</v>
      </c>
      <c r="S48" s="156">
        <f>O35</f>
        <v>420</v>
      </c>
    </row>
    <row r="49" spans="1:19" ht="20.100000000000001" customHeight="1" x14ac:dyDescent="0.25">
      <c r="A49" s="5" t="str">
        <f>HYPERLINK("#'Constants - Common'!A1", "Constants - Common")</f>
        <v>Constants - Common</v>
      </c>
      <c r="D49" s="156" t="str">
        <v>EF_N2Oj</v>
      </c>
      <c r="E49" s="164" t="str">
        <v>emission factor for atmospheric deposition in production system j</v>
      </c>
      <c r="F49" s="166"/>
      <c r="G49" s="156" t="str">
        <v>kg N2O-N/kg N</v>
      </c>
      <c r="H49" s="139" t="str">
        <v>Constant</v>
      </c>
      <c r="I49" s="15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6" t="str">
        <v>EF_N2Oj</v>
      </c>
      <c r="O49" s="164" t="str">
        <v>emission factor for atmospheric deposition in production system j</v>
      </c>
      <c r="P49" s="166"/>
      <c r="Q49" s="156" t="str">
        <v>kg N2O-N/kg N</v>
      </c>
      <c r="R49" s="139" t="str">
        <v>Constant</v>
      </c>
      <c r="S49" s="156"/>
    </row>
    <row r="50" spans="1:19" ht="20.100000000000001" customHeight="1" x14ac:dyDescent="0.25">
      <c r="A50" s="5" t="str">
        <f>HYPERLINK("#'Constants - Solid Waste'!A1", "Constants - Solid Waste")</f>
        <v>Constants - Solid Waste</v>
      </c>
      <c r="D50" s="156" t="str">
        <v>C_N2O</v>
      </c>
      <c r="E50" s="164" t="str">
        <v>factor to convert elemental mass of nitrous oxide to molecular mass</v>
      </c>
      <c r="F50" s="166"/>
      <c r="G50" s="156" t="str">
        <v/>
      </c>
      <c r="H50" s="139" t="str">
        <v>Constant</v>
      </c>
      <c r="I50" s="135">
        <f>Common_InputFunctions.Utility_LookupValueInTableNumber("N2O",Table_GasToMolecularConversionFactor[Gas],Table_GasToMolecularConversionFactor[Conversion factor combined])</f>
        <v>1.5714285714285714</v>
      </c>
      <c r="N50" s="156" t="str">
        <v>C_N2O</v>
      </c>
      <c r="O50" s="164" t="str">
        <v>factor to convert elemental mass of nitrous oxide to molecular mass</v>
      </c>
      <c r="P50" s="166"/>
      <c r="Q50" s="156" t="str">
        <v/>
      </c>
      <c r="R50" s="139" t="str">
        <v>Constant</v>
      </c>
      <c r="S50" s="135"/>
    </row>
    <row r="51" spans="1:19" ht="20.100000000000001" customHeight="1" x14ac:dyDescent="0.25">
      <c r="A51"/>
      <c r="D51" s="156" t="str">
        <v>j</v>
      </c>
      <c r="E51" s="164" t="str">
        <v>Production system</v>
      </c>
      <c r="F51" s="166"/>
      <c r="G51" s="156" t="str">
        <v/>
      </c>
      <c r="H51" s="249" t="str">
        <v>Input</v>
      </c>
      <c r="I51" s="156" t="str">
        <f>X_Cell_ManureSentOffsite_ManureProductionSystem</f>
        <v>Crop</v>
      </c>
      <c r="N51" s="156" t="str">
        <v>j</v>
      </c>
      <c r="O51" s="164" t="str">
        <v>Production system</v>
      </c>
      <c r="P51" s="166"/>
      <c r="Q51" s="156" t="str">
        <v/>
      </c>
      <c r="R51" s="249" t="str">
        <v>Input</v>
      </c>
      <c r="S51" s="156"/>
    </row>
    <row r="52" spans="1:19" ht="20.100000000000001" customHeight="1" x14ac:dyDescent="0.25">
      <c r="A52"/>
      <c r="D52" s="156" t="str">
        <v>ir</v>
      </c>
      <c r="E52" s="164" t="str">
        <v>irrigation method</v>
      </c>
      <c r="F52" s="166"/>
      <c r="G52" s="156" t="str">
        <v/>
      </c>
      <c r="H52" s="249" t="str">
        <v>Input</v>
      </c>
      <c r="I52" s="156" t="str">
        <f>X_Cell_ManureSentOffsite_ManureIrrigationMethod</f>
        <v>Sprinkler irrigation</v>
      </c>
      <c r="N52" s="156" t="str">
        <v>ir</v>
      </c>
      <c r="O52" s="164" t="str">
        <v>irrigation method</v>
      </c>
      <c r="P52" s="166"/>
      <c r="Q52" s="156" t="str">
        <v/>
      </c>
      <c r="R52" s="249" t="str">
        <v>Input</v>
      </c>
      <c r="S52" s="156"/>
    </row>
    <row r="53" spans="1:19" ht="20.100000000000001" customHeight="1" x14ac:dyDescent="0.25">
      <c r="A53"/>
      <c r="D53" s="156" t="str">
        <v>r</v>
      </c>
      <c r="E53" s="164" t="str">
        <v>rainfall region</v>
      </c>
      <c r="F53" s="166"/>
      <c r="G53" s="156" t="str">
        <v/>
      </c>
      <c r="H53" s="249" t="str">
        <v>Input</v>
      </c>
      <c r="I53" s="156" t="str">
        <f>X_Cell_Site_RainfallZone</f>
        <v>High rainfall</v>
      </c>
      <c r="N53" s="156" t="str">
        <v>r</v>
      </c>
      <c r="O53" s="164" t="str">
        <v>rainfall region</v>
      </c>
      <c r="P53" s="166"/>
      <c r="Q53" s="156" t="str">
        <v/>
      </c>
      <c r="R53" s="249" t="str">
        <v>Input</v>
      </c>
      <c r="S53" s="156"/>
    </row>
    <row r="54" spans="1:19" ht="20.100000000000001" customHeight="1" x14ac:dyDescent="0.25">
      <c r="A54"/>
    </row>
    <row r="55" spans="1:19" ht="20.100000000000001" customHeight="1" x14ac:dyDescent="0.25">
      <c r="A55"/>
      <c r="D55" s="151" t="s">
        <v>381</v>
      </c>
      <c r="E55" s="152" cm="1">
        <f t="array" ref="E55">Fertiliser_Equations_AtmosphericDeposition.VEERG_5_4_1_3__1_OrganicFertiliserAtmosphericDepositionN2OEmissions(I48,I49,I50)</f>
        <v>2.31E-3</v>
      </c>
      <c r="F55" s="153" t="str">
        <f>$E$46</f>
        <v>t N2O</v>
      </c>
      <c r="N55" s="151" t="s">
        <v>381</v>
      </c>
      <c r="O55" s="152" cm="1">
        <f t="array" ref="O55">Fertiliser_Equations_AtmosphericDeposition.VEERG_5_4_1_3__1_OrganicFertiliserAtmosphericDepositionN2OEmissions(S48,I49,I50)</f>
        <v>4.62E-3</v>
      </c>
      <c r="P55" s="153"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4" t="s">
        <v>311</v>
      </c>
      <c r="E61" s="134" t="str" cm="1">
        <f t="array" aca="1" ref="E61" ca="1">Common_InputFunctions.Utility_DisplayFunctionName(E74)</f>
        <v>=Fertiliser_Equations_LeachingAndRunoff.VEERG_5_5_1_1__3_MassOfNitrogenLeachedFromOrganicFertiliser</v>
      </c>
      <c r="N61" s="134" t="s">
        <v>311</v>
      </c>
      <c r="O61" s="134"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312</v>
      </c>
      <c r="E64" s="1" t="str" cm="1">
        <f t="array" ref="E64">Fertiliser_Equations_LeachingAndRunoff.VEERG_5_5_1_1__3_MassOfNitrogenLeachedFromOrganicFertiliser_Variable()</f>
        <v>M_leachorganicj</v>
      </c>
      <c r="N64" s="88" t="s">
        <v>312</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6" t="str" cm="1">
        <f t="array" ref="D67:E72">_xlfn.CHOOSECOLS(Fertiliser_Equations_LeachingAndRunoff.VEERG_5_5_1_1__3_MassOfNitrogenLeachedFromOrganicFertiliser_Arguments(), 1, 2)</f>
        <v>MNSoil_jf</v>
      </c>
      <c r="E67" s="164" t="str">
        <v>mass of nitrogen in organic fertiliser</v>
      </c>
      <c r="F67" s="166"/>
      <c r="G67" s="156" t="str" cm="1">
        <f t="array" ref="G67:H72">_xlfn.CHOOSECOLS(Fertiliser_Equations_LeachingAndRunoff.VEERG_5_5_1_1__3_MassOfNitrogenLeachedFromOrganicFertiliser_Arguments(), 3,4)</f>
        <v>kg N</v>
      </c>
      <c r="H67" s="139" t="str">
        <v>Calculated from 5.2.1.1 (2)</v>
      </c>
      <c r="I67" s="156">
        <f>X_Cell_ManureSentOffsite_MassNitrogenManure_Method1</f>
        <v>1000</v>
      </c>
      <c r="N67" s="156" t="str" cm="1">
        <f t="array" ref="N67:O72">_xlfn.CHOOSECOLS(Fertiliser_Equations_LeachingAndRunoff.VEERG_5_5_1_1__3_MassOfNitrogenLeachedFromOrganicFertiliser_Arguments(), 1, 2)</f>
        <v>MNSoil_jf</v>
      </c>
      <c r="O67" s="164" t="str">
        <v>mass of nitrogen in organic fertiliser</v>
      </c>
      <c r="P67" s="166"/>
      <c r="Q67" s="156" t="str" cm="1">
        <f t="array" ref="Q67:R72">_xlfn.CHOOSECOLS(Fertiliser_Equations_LeachingAndRunoff.VEERG_5_5_1_1__3_MassOfNitrogenLeachedFromOrganicFertiliser_Arguments(), 3,4)</f>
        <v>kg N</v>
      </c>
      <c r="R67" s="139" t="str">
        <v>Calculated from 5.2.1.1 (2)</v>
      </c>
      <c r="S67" s="156">
        <f>X_Cell_ManureSentOffsite_MassNitrogenManure_Method2</f>
        <v>2000</v>
      </c>
    </row>
    <row r="68" spans="1:19" ht="20.100000000000001" customHeight="1" x14ac:dyDescent="0.25">
      <c r="A68"/>
      <c r="D68" s="156" t="str">
        <v>FracWETj</v>
      </c>
      <c r="E68" s="164" t="str">
        <v>fraction of N available for leaching and runoff</v>
      </c>
      <c r="F68" s="166"/>
      <c r="G68" s="156" t="str">
        <v>fraction</v>
      </c>
      <c r="H68" s="139" t="str">
        <v>Constant</v>
      </c>
      <c r="I68" s="156">
        <f>Common_InputFunctions.CommonCropping_GetFracWET(I70,I72,Table_SourceData_FracWET[Is in leaching zone],Table_SourceData_FracWET[FracWET],Table_SourceData_FracWETIrrigation[Irrigation type i],Table_SourceData_FracWETIrrigation[FracWET])</f>
        <v>1</v>
      </c>
      <c r="N68" s="156" t="str">
        <v>FracWETj</v>
      </c>
      <c r="O68" s="164" t="str">
        <v>fraction of N available for leaching and runoff</v>
      </c>
      <c r="P68" s="166"/>
      <c r="Q68" s="156" t="str">
        <v>fraction</v>
      </c>
      <c r="R68" s="139" t="str">
        <v>Constant</v>
      </c>
      <c r="S68" s="156"/>
    </row>
    <row r="69" spans="1:19" ht="20.100000000000001" customHeight="1" x14ac:dyDescent="0.25">
      <c r="A69"/>
      <c r="D69" s="156" t="str">
        <v>FracLEACH</v>
      </c>
      <c r="E69" s="164" t="str">
        <v>fraction of N that is lost through leaching and runoff</v>
      </c>
      <c r="F69" s="166"/>
      <c r="G69" s="156" t="str">
        <v>fraction</v>
      </c>
      <c r="H69" s="139" t="str">
        <v>Constant</v>
      </c>
      <c r="I69" s="156">
        <f>Fertiliser_FracLEACH_Data</f>
        <v>0.24</v>
      </c>
      <c r="N69" s="156" t="str">
        <v>FracLEACH</v>
      </c>
      <c r="O69" s="164" t="str">
        <v>fraction of N that is lost through leaching and runoff</v>
      </c>
      <c r="P69" s="166"/>
      <c r="Q69" s="156" t="str">
        <v>fraction</v>
      </c>
      <c r="R69" s="139" t="str">
        <v>Constant</v>
      </c>
      <c r="S69" s="156"/>
    </row>
    <row r="70" spans="1:19" ht="20.100000000000001" customHeight="1" x14ac:dyDescent="0.25">
      <c r="A70"/>
      <c r="D70" s="156" t="str">
        <v>z</v>
      </c>
      <c r="E70" s="164" t="str">
        <v>location in leaching zone</v>
      </c>
      <c r="F70" s="166"/>
      <c r="G70" s="156" t="str">
        <v/>
      </c>
      <c r="H70" s="249" t="str">
        <v>Input</v>
      </c>
      <c r="I70" s="156" t="str">
        <f>X_Cell_Site_LeachingZone</f>
        <v>NO - Not in leaching zone</v>
      </c>
      <c r="N70" s="156" t="str">
        <v>z</v>
      </c>
      <c r="O70" s="164" t="str">
        <v>location in leaching zone</v>
      </c>
      <c r="P70" s="166"/>
      <c r="Q70" s="156" t="str">
        <v/>
      </c>
      <c r="R70" s="249" t="str">
        <v>Input</v>
      </c>
      <c r="S70" s="156"/>
    </row>
    <row r="71" spans="1:19" ht="20.100000000000001" customHeight="1" x14ac:dyDescent="0.25">
      <c r="A71"/>
      <c r="D71" s="156" t="str">
        <v>j</v>
      </c>
      <c r="E71" s="164" t="str">
        <v>production system</v>
      </c>
      <c r="F71" s="166"/>
      <c r="G71" s="156" t="str">
        <v/>
      </c>
      <c r="H71" s="249" t="str">
        <v>Input</v>
      </c>
      <c r="I71" s="156" t="str">
        <f>X_Cell_ManureSentOffsite_ManureProductionSystem</f>
        <v>Crop</v>
      </c>
      <c r="N71" s="156" t="str">
        <v>j</v>
      </c>
      <c r="O71" s="164" t="str">
        <v>production system</v>
      </c>
      <c r="P71" s="166"/>
      <c r="Q71" s="156" t="str">
        <v/>
      </c>
      <c r="R71" s="249" t="str">
        <v>Input</v>
      </c>
      <c r="S71" s="156"/>
    </row>
    <row r="72" spans="1:19" ht="20.100000000000001" customHeight="1" x14ac:dyDescent="0.25">
      <c r="A72"/>
      <c r="D72" s="156" t="str">
        <v>ir</v>
      </c>
      <c r="E72" s="164" t="str">
        <v>irrigation method</v>
      </c>
      <c r="F72" s="166"/>
      <c r="G72" s="156" t="str">
        <v/>
      </c>
      <c r="H72" s="249" t="str">
        <v>Input</v>
      </c>
      <c r="I72" s="156" t="str">
        <f>X_Cell_ManureSentOffsite_ManureIrrigationMethod</f>
        <v>Sprinkler irrigation</v>
      </c>
      <c r="N72" s="156" t="str">
        <v>ir</v>
      </c>
      <c r="O72" s="164" t="str">
        <v>irrigation method</v>
      </c>
      <c r="P72" s="166"/>
      <c r="Q72" s="156" t="str">
        <v/>
      </c>
      <c r="R72" s="249" t="str">
        <v>Input</v>
      </c>
      <c r="S72" s="156"/>
    </row>
    <row r="73" spans="1:19" ht="20.100000000000001" customHeight="1" x14ac:dyDescent="0.25">
      <c r="A73"/>
    </row>
    <row r="74" spans="1:19" ht="20.100000000000001" customHeight="1" x14ac:dyDescent="0.25">
      <c r="A74"/>
      <c r="D74" s="161" t="s">
        <v>931</v>
      </c>
      <c r="E74" s="148" cm="1">
        <f t="array" ref="E74">Fertiliser_Equations_LeachingAndRunoff.VEERG_5_5_1_1__3_MassOfNitrogenLeachedFromOrganicFertiliser(I67,I68,I69)</f>
        <v>240</v>
      </c>
      <c r="F74" s="155" t="str">
        <f>$E$65</f>
        <v>kg N</v>
      </c>
      <c r="N74" s="161" t="s">
        <v>931</v>
      </c>
      <c r="O74" s="148" cm="1">
        <f t="array" ref="O74">Fertiliser_Equations_LeachingAndRunoff.VEERG_5_5_1_1__3_MassOfNitrogenLeachedFromOrganicFertiliser(S67,I68,I69)</f>
        <v>480</v>
      </c>
      <c r="P74" s="155"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4" t="s">
        <v>311</v>
      </c>
      <c r="E79" s="134" t="str">
        <f ca="1">Common_InputFunctions.Utility_DisplayFunctionName(VEERG_5_5_1_1__1_FertiliserLeachingAndRunoffN2OEmissions_Result_Method1)</f>
        <v>=Fertiliser_Equations_LeachingAndRunoff.VEERG_5_5_1_1__1_FertiliserLeachingAndRunoffN2OEmissions</v>
      </c>
      <c r="N79" s="134" t="s">
        <v>311</v>
      </c>
      <c r="O79" s="134"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312</v>
      </c>
      <c r="E82" s="1" t="str" cm="1">
        <f t="array" ref="E82">Fertiliser_Equations_LeachingAndRunoff.VEERG_5_5_1_1__1_FertiliserLeachingAndRunoffN2OEmissions_Variable()</f>
        <v>E_fertleach</v>
      </c>
      <c r="N82" s="88" t="s">
        <v>312</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6" t="str" cm="1">
        <f t="array" ref="D85:E88">_xlfn.CHOOSECOLS(Fertiliser_Equations_LeachingAndRunoff.VEERG_5_5_1_1__1_FertiliserLeachingAndRunoffN2OEmissions_Arguments(), 1, 2)</f>
        <v>M_leachinorganicj</v>
      </c>
      <c r="E85" s="164" t="str">
        <v>mass of nitrogen lost through leaching and runoff from inorganic fertiliser application in production system j</v>
      </c>
      <c r="F85" s="165"/>
      <c r="G85" s="166"/>
      <c r="H85" s="156" t="str" cm="1">
        <f t="array" ref="H85:I88">_xlfn.CHOOSECOLS(Fertiliser_Equations_LeachingAndRunoff.VEERG_5_5_1_1__1_FertiliserLeachingAndRunoffN2OEmissions_Arguments(), 3,4)</f>
        <v>kg N</v>
      </c>
      <c r="I85" s="139" t="str">
        <v>Calculated from 5.5.1.1 (2)</v>
      </c>
      <c r="J85" s="156">
        <v>0</v>
      </c>
      <c r="N85" s="156" t="str" cm="1">
        <f t="array" ref="N85:O88">_xlfn.CHOOSECOLS(Fertiliser_Equations_LeachingAndRunoff.VEERG_5_5_1_1__1_FertiliserLeachingAndRunoffN2OEmissions_Arguments(), 1, 2)</f>
        <v>M_leachinorganicj</v>
      </c>
      <c r="O85" s="164" t="str">
        <v>mass of nitrogen lost through leaching and runoff from inorganic fertiliser application in production system j</v>
      </c>
      <c r="P85" s="165"/>
      <c r="Q85" s="166"/>
      <c r="R85" s="156" t="str" cm="1">
        <f t="array" ref="R85:S88">_xlfn.CHOOSECOLS(Fertiliser_Equations_LeachingAndRunoff.VEERG_5_5_1_1__1_FertiliserLeachingAndRunoffN2OEmissions_Arguments(), 3,4)</f>
        <v>kg N</v>
      </c>
      <c r="S85" s="139" t="str">
        <v>Calculated from 5.5.1.1 (2)</v>
      </c>
      <c r="T85" s="156"/>
    </row>
    <row r="86" spans="1:20" x14ac:dyDescent="0.25">
      <c r="A86"/>
      <c r="D86" s="156" t="str">
        <v>M_leachorganicj</v>
      </c>
      <c r="E86" s="164" t="str">
        <v>mass of nitrogen lost through leaching and runoff from organic fertiliser application</v>
      </c>
      <c r="F86" s="165"/>
      <c r="G86" s="166"/>
      <c r="H86" s="156" t="str">
        <v>kg N</v>
      </c>
      <c r="I86" s="139" t="str">
        <v>Calculated from 5.5.1.1 (3)</v>
      </c>
      <c r="J86" s="156">
        <f>E74</f>
        <v>240</v>
      </c>
      <c r="N86" s="156" t="str">
        <v>M_leachorganicj</v>
      </c>
      <c r="O86" s="164" t="str">
        <v>mass of nitrogen lost through leaching and runoff from organic fertiliser application</v>
      </c>
      <c r="P86" s="165"/>
      <c r="Q86" s="166"/>
      <c r="R86" s="156" t="str">
        <v>kg N</v>
      </c>
      <c r="S86" s="139" t="str">
        <v>Calculated from 5.5.1.1 (3)</v>
      </c>
      <c r="T86" s="156">
        <f>O74</f>
        <v>480</v>
      </c>
    </row>
    <row r="87" spans="1:20" x14ac:dyDescent="0.25">
      <c r="A87"/>
      <c r="D87" s="156" t="str">
        <v>EF_leach</v>
      </c>
      <c r="E87" s="164" t="str">
        <v>emission factor for nitrogen leaching and runoff</v>
      </c>
      <c r="F87" s="165"/>
      <c r="G87" s="166"/>
      <c r="H87" s="156" t="str">
        <v>kg N2O-N/kg N</v>
      </c>
      <c r="I87" s="139" t="str">
        <v>Constant</v>
      </c>
      <c r="J87" s="156">
        <f>Fertiliser_EFLeach_Data</f>
        <v>1.0999999999999999E-2</v>
      </c>
      <c r="N87" s="156" t="str">
        <v>EF_leach</v>
      </c>
      <c r="O87" s="164" t="str">
        <v>emission factor for nitrogen leaching and runoff</v>
      </c>
      <c r="P87" s="165"/>
      <c r="Q87" s="166"/>
      <c r="R87" s="156" t="str">
        <v>kg N2O-N/kg N</v>
      </c>
      <c r="S87" s="139" t="str">
        <v>Constant</v>
      </c>
      <c r="T87" s="156"/>
    </row>
    <row r="88" spans="1:20" x14ac:dyDescent="0.25">
      <c r="A88"/>
      <c r="D88" s="156" t="str">
        <v>C_N2O</v>
      </c>
      <c r="E88" s="164" t="str">
        <v>factor to convert elemental mass of nitrous oxide to molecular mass</v>
      </c>
      <c r="F88" s="165"/>
      <c r="G88" s="166"/>
      <c r="H88" s="156" t="str">
        <v/>
      </c>
      <c r="I88" s="139" t="str">
        <v>Constant</v>
      </c>
      <c r="J88" s="135">
        <f>Common_InputFunctions.Utility_LookupValueInTableNumber("N2O",Table_GasToMolecularConversionFactor[Gas],Table_GasToMolecularConversionFactor[Conversion factor combined])</f>
        <v>1.5714285714285714</v>
      </c>
      <c r="N88" s="156" t="str">
        <v>C_N2O</v>
      </c>
      <c r="O88" s="164" t="str">
        <v>factor to convert elemental mass of nitrous oxide to molecular mass</v>
      </c>
      <c r="P88" s="165"/>
      <c r="Q88" s="166"/>
      <c r="R88" s="156" t="str">
        <v/>
      </c>
      <c r="S88" s="139" t="str">
        <v>Constant</v>
      </c>
      <c r="T88" s="135"/>
    </row>
    <row r="89" spans="1:20" x14ac:dyDescent="0.25">
      <c r="A89"/>
    </row>
    <row r="90" spans="1:20" ht="23.25" x14ac:dyDescent="0.25">
      <c r="A90"/>
      <c r="D90" s="151" t="s">
        <v>398</v>
      </c>
      <c r="E90" s="152" cm="1">
        <f t="array" ref="E90">Fertiliser_Equations_LeachingAndRunoff.VEERG_5_5_1_1__1_FertiliserLeachingAndRunoffN2OEmissions(J85,J86,J87,J88)</f>
        <v>4.1485714285714277E-3</v>
      </c>
      <c r="F90" s="153" t="str">
        <f>$E$83</f>
        <v>t N2O</v>
      </c>
      <c r="N90" s="151" t="s">
        <v>398</v>
      </c>
      <c r="O90" s="152" cm="1">
        <f t="array" ref="O90">Fertiliser_Equations_LeachingAndRunoff.VEERG_5_5_1_1__1_FertiliserLeachingAndRunoffN2OEmissions(J85,T86,J87,J88)</f>
        <v>8.2971428571428554E-3</v>
      </c>
      <c r="P90" s="153"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163AE-0130-433D-A1D1-9695E11BA8EA}">
  <dimension ref="A1:AI235"/>
  <sheetViews>
    <sheetView showGridLines="0" topLeftCell="B1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7" t="s">
        <v>699</v>
      </c>
      <c r="E7" s="237" t="s">
        <v>700</v>
      </c>
      <c r="F7" s="237" t="s">
        <v>701</v>
      </c>
      <c r="G7" s="237" t="s">
        <v>702</v>
      </c>
      <c r="H7" s="237" t="s">
        <v>703</v>
      </c>
      <c r="I7" s="237" t="s">
        <v>704</v>
      </c>
      <c r="J7" s="237" t="s">
        <v>705</v>
      </c>
      <c r="K7" s="237" t="s">
        <v>706</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Common farm inputs'!A1", "Common farm inputs")</f>
        <v>Common 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Crop pasture farm input'!A1", "Crop pasture farm input")</f>
        <v>Crop pasture farm input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Freight'!A1", "Freight")</f>
        <v>Freight</v>
      </c>
      <c r="D18" s="8"/>
      <c r="E18" s="8"/>
      <c r="F18" s="8"/>
      <c r="G18" s="8"/>
      <c r="H18" s="8"/>
      <c r="I18" s="8"/>
      <c r="J18" s="8"/>
      <c r="K18" s="8"/>
      <c r="L18" s="8"/>
    </row>
    <row r="19" spans="1:14" ht="20.100000000000001" customHeight="1" x14ac:dyDescent="0.25">
      <c r="A19" s="5" t="str">
        <f>HYPERLINK("#'Input - Manure sent off-site'!A1", "Manure sent off-site")</f>
        <v>Manure sent off-site</v>
      </c>
      <c r="D19" t="s">
        <v>185</v>
      </c>
      <c r="E19" t="s">
        <v>707</v>
      </c>
      <c r="F19" t="s">
        <v>708</v>
      </c>
      <c r="G19" t="s">
        <v>709</v>
      </c>
      <c r="H19" t="s">
        <v>710</v>
      </c>
      <c r="I19" t="s">
        <v>711</v>
      </c>
      <c r="J19" t="s">
        <v>712</v>
      </c>
      <c r="K19" t="s">
        <v>713</v>
      </c>
      <c r="L19" t="s">
        <v>714</v>
      </c>
      <c r="N19" s="2" t="s">
        <v>406</v>
      </c>
    </row>
    <row r="20" spans="1:14" ht="20.100000000000001" customHeight="1" x14ac:dyDescent="0.25">
      <c r="A20" s="5" t="str">
        <f>HYPERLINK("#'Input - Solid waste'!A1", "Solid waste")</f>
        <v>Solid waste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Data quality'!A1", "Data quality")</f>
        <v>Data quality</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410</v>
      </c>
    </row>
    <row r="23" spans="1:14" ht="20.100000000000001" customHeight="1" x14ac:dyDescent="0.2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413</v>
      </c>
    </row>
    <row r="24" spans="1:14" ht="20.100000000000001" customHeight="1" x14ac:dyDescent="0.25">
      <c r="A24" s="6" t="s">
        <v>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415</v>
      </c>
    </row>
    <row r="25" spans="1:14" ht="20.100000000000001" customHeight="1" x14ac:dyDescent="0.25">
      <c r="A25" s="5" t="str">
        <f>HYPERLINK("#'5.1.1.1-2 Inorganic fert N2O'!A1", "5.1.1.1-2 Inorganic fert N2O")</f>
        <v>5.1.1.1-2 Inorganic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418</v>
      </c>
    </row>
    <row r="26" spans="1:14" ht="20.100000000000001" customHeight="1" x14ac:dyDescent="0.25">
      <c r="A26" s="5" t="str">
        <f>HYPERLINK("#'5.1.1.3-4 Inorganic fert CO2'!A1", "5.1.1.3-4 Inorganic fert CO2")</f>
        <v>5.1.1.3-4 Inorganic fert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419</v>
      </c>
    </row>
    <row r="27" spans="1:14" ht="20.100000000000001" customHeight="1" x14ac:dyDescent="0.25">
      <c r="A27" s="5" t="str">
        <f>HYPERLINK("#'5.2.1.1-2 Organic Fert N2O'!A1", "5.2.1.1-2 Organic fert N2O")</f>
        <v>5.2.1.1-2 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HYPERLINK("#'5.3.1.1-2 Lime CO2'!A1", "5.3.1.1-2 Lime CO2")</f>
        <v>5.3.1.1-2 Lime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HYPERLINK("#'5.4.1.1-4 Atmos deposition'!A1", "5.4.1.1-4 Atmos. deposition")</f>
        <v>5.4.1.1-4 Atmos. deposition</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HYPERLINK("#'5.5.1.1-2 Leaching and runoff'!A1", "5.5.1.1-2 Leaching &amp; runoff")</f>
        <v>5.5.1.1-2 Leaching &amp; runoff</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HYPERLINK("#'6.1.1.1-2 Crop residue N2O'!A1", "6.1.1.1-2 Crop residue N2O")</f>
        <v>6.1.1.1-2 Crop residue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HYPERLINK("#'6.3.1.1-2 Leach runoff crop'!A1", "6.3.1.1-2 Leach &amp; runoff (crop)")</f>
        <v>6.3.1.1-2 Leach &amp; runoff (crop)</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HYPERLINK("#'6.4.1.1-2 Residue burning'!A1", "6.4.1.1-2 Residue burning")</f>
        <v>6.4.1.1-2 Residue burning</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HYPERLINK("#'8.1.1.1-2 Transport fuel'!A1", "8.1.1.1-2 Transport fuel")</f>
        <v>8.1.1.1-2 Transport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HYPERLINK("#'8.2.1.1-2 Stationary fuel'!A1", "8.2.1.1-2 Stationary fuel")</f>
        <v>8.2.1.1-2 Stationary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HYPERLINK("#'Calcs - Manure sent off-site'!A1", "Calcs - Manure sent off-site")</f>
        <v>Calcs - Manure sent off-site</v>
      </c>
      <c r="D38" s="8"/>
      <c r="E38" s="8"/>
      <c r="F38" s="8"/>
      <c r="G38" s="8"/>
      <c r="H38" s="8"/>
      <c r="I38" s="8"/>
      <c r="J38" s="8"/>
      <c r="K38" s="8"/>
      <c r="L38" s="8"/>
    </row>
    <row r="39" spans="1:13" ht="20.100000000000001" customHeight="1" x14ac:dyDescent="0.25">
      <c r="A39" s="5" t="str">
        <f>HYPERLINK("#'10.1.1-2 Solid waste treatment'!A1", "10.1.1-2 Solid waste treatment")</f>
        <v>10.1.1-2 Solid waste treatment</v>
      </c>
      <c r="D39" s="8"/>
      <c r="E39" s="8"/>
      <c r="F39" s="8"/>
      <c r="G39" s="8"/>
      <c r="H39" s="8"/>
      <c r="I39" s="8"/>
      <c r="J39" s="8"/>
      <c r="K39" s="8"/>
      <c r="L39" s="8"/>
    </row>
    <row r="40" spans="1:13" ht="20.100000000000001" customHeight="1" x14ac:dyDescent="0.25">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D41" s="27" t="str" cm="1">
        <f t="array" ref="D41">Agresidue_SourceData.N2OEFOrganicFertiliser_Source()</f>
        <v>VEERG 2026: Table A.2.1.4</v>
      </c>
      <c r="E41" s="35"/>
      <c r="F41" s="35"/>
      <c r="G41" s="8"/>
      <c r="H41" s="8"/>
      <c r="I41" s="8"/>
      <c r="J41" s="8"/>
      <c r="K41" s="8"/>
      <c r="L41" s="8"/>
    </row>
    <row r="42" spans="1:13" ht="20.100000000000001" customHeight="1" x14ac:dyDescent="0.25">
      <c r="A42" s="94" t="s">
        <v>1</v>
      </c>
      <c r="D42" s="27"/>
      <c r="E42" s="35"/>
      <c r="F42" s="35"/>
      <c r="H42" s="8"/>
      <c r="I42" s="8"/>
      <c r="M42" s="35"/>
    </row>
    <row r="43" spans="1:13" ht="20.100000000000001" customHeight="1" x14ac:dyDescent="0.25">
      <c r="A43" s="95" t="str">
        <f>HYPERLINK("#'Constants - Ag Residue'!A1", "Constants - Ag residue")</f>
        <v>Constants - Ag residue</v>
      </c>
      <c r="D43" s="173" t="s">
        <v>715</v>
      </c>
      <c r="E43" s="173" t="s">
        <v>716</v>
      </c>
      <c r="F43" s="35"/>
      <c r="H43" s="8"/>
      <c r="I43" s="8"/>
      <c r="M43" s="35"/>
    </row>
    <row r="44" spans="1:13" ht="20.100000000000001" customHeight="1" x14ac:dyDescent="0.25">
      <c r="A44" s="5" t="str">
        <f>HYPERLINK("#'Constants - Common Livestock'!A1", "Constants - Common Livestock")</f>
        <v>Constants - Common Livestock</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Electricity'!A1", "Constants - Electricity")</f>
        <v>Constants - Electricity</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Fertiliser'!A1", "Constants - Fertiliser")</f>
        <v>Constants - Fertiliser</v>
      </c>
      <c r="H46" s="8"/>
      <c r="I46" s="8"/>
      <c r="M46" s="35"/>
    </row>
    <row r="47" spans="1:13" ht="20.100000000000001" customHeight="1" x14ac:dyDescent="0.25">
      <c r="A47" s="5" t="str">
        <f>HYPERLINK("#'Constants - Fuel'!A1", "Constants - Fuel")</f>
        <v>Constants - Fuel</v>
      </c>
      <c r="M47" s="35"/>
    </row>
    <row r="48" spans="1:13" ht="20.100000000000001" customHeight="1" x14ac:dyDescent="0.25">
      <c r="A48" s="5" t="str">
        <f>HYPERLINK("#'Constants - Scope 3'!A1", "Constants - Scope 3")</f>
        <v>Constants - Scope 3</v>
      </c>
      <c r="D48" s="2" t="str" cm="1">
        <f t="array" ref="D48">Agresidue_SourceData.PastureAttributes_Title()</f>
        <v>Table A.2.1.3 Pasture attributes</v>
      </c>
      <c r="K48" s="8"/>
      <c r="L48" s="8"/>
    </row>
    <row r="49" spans="1:12" ht="20.100000000000001" customHeight="1" x14ac:dyDescent="0.25">
      <c r="A49" s="5" t="str">
        <f>HYPERLINK("#'Constants - Common'!A1", "Constants - Common")</f>
        <v>Constants - Common</v>
      </c>
      <c r="D49" s="27" t="str" cm="1">
        <f t="array" ref="D49">Agresidue_SourceData.PastureAttributes_Source()</f>
        <v>VEERG 2026: Table A.2.1.3: Pasture attributes</v>
      </c>
      <c r="K49" s="8"/>
      <c r="L49" s="8"/>
    </row>
    <row r="50" spans="1:12" ht="20.100000000000001" customHeight="1" x14ac:dyDescent="0.25">
      <c r="A50" s="5" t="str">
        <f>HYPERLINK("#'Constants - Solid Waste'!A1", "Constants - Solid Waste")</f>
        <v>Constants - Solid Waste</v>
      </c>
      <c r="K50" s="8"/>
      <c r="L50" s="8"/>
    </row>
    <row r="51" spans="1:12" ht="20.100000000000001" customHeight="1" x14ac:dyDescent="0.25">
      <c r="D51" s="30" t="s">
        <v>717</v>
      </c>
      <c r="E51" s="30" t="s">
        <v>718</v>
      </c>
      <c r="F51" s="30" t="s">
        <v>719</v>
      </c>
      <c r="G51" s="30" t="s">
        <v>720</v>
      </c>
      <c r="H51" s="30" t="s">
        <v>721</v>
      </c>
      <c r="I51" s="30" t="s">
        <v>722</v>
      </c>
      <c r="K51" s="8"/>
      <c r="L51" s="8"/>
    </row>
    <row r="52" spans="1: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H57" s="8"/>
    </row>
    <row r="58" spans="1:12" ht="20.100000000000001" customHeight="1" x14ac:dyDescent="0.25"/>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723</v>
      </c>
      <c r="E62" s="30" t="s">
        <v>724</v>
      </c>
      <c r="F62" s="30" t="s">
        <v>725</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726</v>
      </c>
      <c r="E73" t="s">
        <v>98</v>
      </c>
      <c r="F73" t="s">
        <v>727</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726</v>
      </c>
      <c r="E92" t="s">
        <v>98</v>
      </c>
      <c r="F92" t="s">
        <v>727</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9C30E-778C-44E2-A341-8BD09C9E1434}">
  <dimension ref="A1:M160"/>
  <sheetViews>
    <sheetView showGridLines="0" topLeftCell="A10" zoomScaleNormal="100" workbookViewId="0">
      <selection activeCell="A50" sqref="A50"/>
    </sheetView>
  </sheetViews>
  <sheetFormatPr defaultRowHeight="15.75" x14ac:dyDescent="0.25"/>
  <cols>
    <col min="1" max="1" width="30.7109375" style="238" customWidth="1"/>
    <col min="2" max="2" width="4.7109375" style="238" customWidth="1"/>
    <col min="3" max="3" width="4.7109375" style="1" customWidth="1"/>
    <col min="4" max="8" width="30.7109375" style="1" customWidth="1"/>
    <col min="9" max="9" width="30.85546875" style="1" customWidth="1"/>
    <col min="10" max="13" width="30.7109375" style="1" customWidth="1"/>
    <col min="14" max="16" width="30.7109375" style="238" customWidth="1"/>
    <col min="17" max="16384" width="9.140625" style="238"/>
  </cols>
  <sheetData>
    <row r="1" spans="1:13" ht="30" customHeight="1" x14ac:dyDescent="0.35">
      <c r="A1" s="16" t="e" vm="1">
        <v>#VALUE!</v>
      </c>
      <c r="C1" s="31" t="s">
        <v>967</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968</v>
      </c>
      <c r="E9" s="30" t="s">
        <v>969</v>
      </c>
      <c r="F9" s="30" t="s">
        <v>970</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Common farm inputs'!A1", "Common farm inputs")</f>
        <v>Common 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Crop pasture farm input'!A1", "Crop pasture farm input")</f>
        <v>Crop pasture farm input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Freight'!A1", "Freight")</f>
        <v>Freight</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Manure sent off-site'!A1", "Manure sent off-site")</f>
        <v>Manure sent off-site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Solid waste'!A1", "Solid waste")</f>
        <v>Solid waste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Data quality'!A1", "Data quality")</f>
        <v>Data quality</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6" t="s">
        <v>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HYPERLINK("#'5.1.1.1-2 Inorganic fert N2O'!A1", "5.1.1.1-2 Inorganic fert N2O")</f>
        <v>5.1.1.1-2 Inorganic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HYPERLINK("#'5.1.1.3-4 Inorganic fert CO2'!A1", "5.1.1.3-4 Inorganic fert CO2")</f>
        <v>5.1.1.3-4 Inorganic fert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HYPERLINK("#'5.2.1.1-2 Organic Fert N2O'!A1", "5.2.1.1-2 Organic fert N2O")</f>
        <v>5.2.1.1-2 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HYPERLINK("#'5.3.1.1-2 Lime CO2'!A1", "5.3.1.1-2 Lime CO2")</f>
        <v>5.3.1.1-2 Lime CO2</v>
      </c>
      <c r="G28" s="35"/>
      <c r="H28" s="35"/>
    </row>
    <row r="29" spans="1:8" ht="20.100000000000001" customHeight="1" x14ac:dyDescent="0.25">
      <c r="A29" s="5" t="str">
        <f>HYPERLINK("#'5.4.1.1-4 Atmos deposition'!A1", "5.4.1.1-4 Atmos. deposition")</f>
        <v>5.4.1.1-4 Atmos. deposition</v>
      </c>
      <c r="D29" s="2" t="str" cm="1">
        <f t="array" ref="D29">CommonLivestock_SourceData.SourceData_Livestock_Product_BeefCattle_Title()</f>
        <v>Beef cattle products for scope 3</v>
      </c>
    </row>
    <row r="30" spans="1:8" ht="20.100000000000001" customHeight="1" x14ac:dyDescent="0.25">
      <c r="A30" s="5" t="str">
        <f>HYPERLINK("#'5.5.1.1-2 Leaching and runoff'!A1", "5.5.1.1-2 Leaching &amp; runoff")</f>
        <v>5.5.1.1-2 Leaching &amp; runoff</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HYPERLINK("#'6.1.1.1-2 Crop residue N2O'!A1", "6.1.1.1-2 Crop residue N2O")</f>
        <v>6.1.1.1-2 Crop residue N2O</v>
      </c>
      <c r="D31" s="30" t="s">
        <v>137</v>
      </c>
      <c r="E31" s="30" t="s">
        <v>971</v>
      </c>
      <c r="F31" s="1" t="s">
        <v>972</v>
      </c>
    </row>
    <row r="32" spans="1:8" ht="20.100000000000001" customHeight="1" x14ac:dyDescent="0.25">
      <c r="A32" s="5" t="str">
        <f>HYPERLINK("#'6.3.1.1-2 Leach runoff crop'!A1", "6.3.1.1-2 Leach &amp; runoff (crop)")</f>
        <v>6.3.1.1-2 Leach &amp; runoff (crop)</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HYPERLINK("#'6.4.1.1-2 Residue burning'!A1", "6.4.1.1-2 Residue burning")</f>
        <v>6.4.1.1-2 Residue burning</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HYPERLINK("#'8.1.1.1-2 Transport fuel'!A1", "8.1.1.1-2 Transport fuel")</f>
        <v>8.1.1.1-2 Transport fuel</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HYPERLINK("#'8.2.1.1-2 Stationary fuel'!A1", "8.2.1.1-2 Stationary fuel")</f>
        <v>8.2.1.1-2 Stationary fuel</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HYPERLINK("#'Calcs - Manure sent off-site'!A1", "Calcs - Manure sent off-site")</f>
        <v>Calcs - Manure sent off-site</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HYPERLINK("#'10.1.1-2 Solid waste treatment'!A1", "10.1.1-2 Solid waste treatment")</f>
        <v>10.1.1-2 Solid waste treatment</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row>
    <row r="41" spans="1:6" ht="20.100000000000001" customHeight="1" x14ac:dyDescent="0.25">
      <c r="A41"/>
      <c r="D41" s="2" t="str" cm="1">
        <f t="array" ref="D41">CommonLivestock_SourceData.SourceData_Livestock_Product_Sheep_Title()</f>
        <v>Sheep products for scope 3</v>
      </c>
    </row>
    <row r="42" spans="1:6" ht="20.100000000000001" customHeight="1" x14ac:dyDescent="0.25">
      <c r="A42" s="94" t="s">
        <v>1</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Ag Residue'!A1", "Constants - Ag residue")</f>
        <v>Constants - Ag residue</v>
      </c>
      <c r="D43" s="30" t="s">
        <v>137</v>
      </c>
      <c r="E43" s="30" t="s">
        <v>971</v>
      </c>
      <c r="F43" s="1" t="s">
        <v>973</v>
      </c>
    </row>
    <row r="44" spans="1:6" ht="20.100000000000001" customHeight="1" x14ac:dyDescent="0.25">
      <c r="A44" s="95" t="str">
        <f>HYPERLINK("#'Constants - Common Livestock'!A1", "Constants - Common Livestock")</f>
        <v>Constants - Common Livestock</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Electricity'!A1", "Constants - Electricity")</f>
        <v>Constants - Electricity</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Fertiliser'!A1", "Constants - Fertiliser")</f>
        <v>Constants - Fertiliser</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Fuel'!A1", "Constants - Fuel")</f>
        <v>Constants - Fuel</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Scope 3'!A1", "Constants - Scope 3")</f>
        <v>Constants - Scope 3</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Common'!A1", "Constants - Common")</f>
        <v>Constants - Common</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Solid Waste'!A1", "Constants - Solid Waste")</f>
        <v>Constants - Solid Waste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971</v>
      </c>
      <c r="F54" s="1" t="s">
        <v>974</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971</v>
      </c>
      <c r="F59" s="1" t="s">
        <v>975</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971</v>
      </c>
      <c r="F64" s="1" t="s">
        <v>976</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2E966-77E3-432C-ADA7-CE67D2903D20}">
  <dimension ref="A1:AI165"/>
  <sheetViews>
    <sheetView showGridLines="0" topLeftCell="A7"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477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2" t="s">
        <v>478</v>
      </c>
      <c r="E9" s="182" t="s">
        <v>479</v>
      </c>
      <c r="F9" s="182" t="s">
        <v>480</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Manure sent off-site'!A1", "Manure sent off-site")</f>
        <v>Manure sent off-site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Solid waste'!A1", "Solid waste")</f>
        <v>Solid waste</v>
      </c>
    </row>
    <row r="21" spans="1:8" ht="20.100000000000001"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5">
      <c r="D22" s="27"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A24" s="6" t="s">
        <v>2</v>
      </c>
      <c r="D24" s="173" t="s">
        <v>478</v>
      </c>
      <c r="E24" s="173" t="s">
        <v>481</v>
      </c>
      <c r="F24" s="173" t="s">
        <v>482</v>
      </c>
      <c r="G24" s="173" t="s">
        <v>483</v>
      </c>
      <c r="H24" s="173" t="s">
        <v>484</v>
      </c>
    </row>
    <row r="25" spans="1:8" ht="20.100000000000001" customHeight="1" x14ac:dyDescent="0.25">
      <c r="A25" s="5" t="str">
        <f>HYPERLINK("#'5.1.1.1-2 Inorganic fert N2O'!A1", "5.1.1.1-2 Inorganic fert N2O")</f>
        <v>5.1.1.1-2 Inorganic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HYPERLINK("#'5.1.1.3-4 Inorganic fert CO2'!A1", "5.1.1.3-4 Inorganic fert CO2")</f>
        <v>5.1.1.3-4 Inorganic fert CO2</v>
      </c>
    </row>
    <row r="27" spans="1:8" ht="20.100000000000001" customHeight="1" x14ac:dyDescent="0.25">
      <c r="A27" s="5" t="str">
        <f>HYPERLINK("#'5.2.1.1-2 Organic Fert N2O'!A1", "5.2.1.1-2 Organic fert N2O")</f>
        <v>5.2.1.1-2 Organic fert N2O</v>
      </c>
    </row>
    <row r="28" spans="1:8" ht="20.100000000000001" customHeight="1" x14ac:dyDescent="0.25">
      <c r="A28" s="5" t="str">
        <f>HYPERLINK("#'5.3.1.1-2 Lime CO2'!A1", "5.3.1.1-2 Lime CO2")</f>
        <v>5.3.1.1-2 Lime CO2</v>
      </c>
    </row>
    <row r="29" spans="1:8" ht="20.100000000000001" customHeight="1" x14ac:dyDescent="0.25">
      <c r="A29" s="5" t="str">
        <f>HYPERLINK("#'5.4.1.1-4 Atmos deposition'!A1", "5.4.1.1-4 Atmos. deposition")</f>
        <v>5.4.1.1-4 Atmos. deposition</v>
      </c>
    </row>
    <row r="30" spans="1:8" ht="20.100000000000001" customHeight="1" x14ac:dyDescent="0.25">
      <c r="A30" s="5" t="str">
        <f>HYPERLINK("#'5.5.1.1-2 Leaching and runoff'!A1", "5.5.1.1-2 Leaching &amp; runoff")</f>
        <v>5.5.1.1-2 Leaching &amp; runoff</v>
      </c>
    </row>
    <row r="31" spans="1:8" ht="20.100000000000001" customHeight="1" x14ac:dyDescent="0.25">
      <c r="A31" s="5" t="str">
        <f>HYPERLINK("#'6.1.1.1-2 Crop residue N2O'!A1", "6.1.1.1-2 Crop residue N2O")</f>
        <v>6.1.1.1-2 Crop residue N2O</v>
      </c>
    </row>
    <row r="32" spans="1:8" ht="20.100000000000001" customHeight="1" x14ac:dyDescent="0.25">
      <c r="A32" s="5" t="str">
        <f>HYPERLINK("#'6.3.1.1-2 Leach runoff crop'!A1", "6.3.1.1-2 Leach &amp; runoff (crop)")</f>
        <v>6.3.1.1-2 Leach &amp; runoff (crop)</v>
      </c>
    </row>
    <row r="33" spans="1:1" ht="20.100000000000001" customHeight="1" x14ac:dyDescent="0.25">
      <c r="A33" s="5" t="str">
        <f>HYPERLINK("#'6.4.1.1-2 Residue burning'!A1", "6.4.1.1-2 Residue burning")</f>
        <v>6.4.1.1-2 Residue burning</v>
      </c>
    </row>
    <row r="34" spans="1:1" ht="20.100000000000001" customHeight="1" x14ac:dyDescent="0.25">
      <c r="A34" s="5" t="str">
        <f>HYPERLINK("#'8.1.1.1-2 Transport fuel'!A1", "8.1.1.1-2 Transport fuel")</f>
        <v>8.1.1.1-2 Transport fuel</v>
      </c>
    </row>
    <row r="35" spans="1:1" ht="20.100000000000001" customHeight="1" x14ac:dyDescent="0.25">
      <c r="A35" s="5" t="str">
        <f>HYPERLINK("#'8.2.1.1-2 Stationary fuel'!A1", "8.2.1.1-2 Stationary fuel")</f>
        <v>8.2.1.1-2 Stationary fuel</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HYPERLINK("#'10.1.1-2 Solid waste treatment'!A1", "10.1.1-2 Solid waste treatment")</f>
        <v>10.1.1-2 Solid waste treatment</v>
      </c>
    </row>
    <row r="40" spans="1:1" ht="20.100000000000001" customHeight="1" x14ac:dyDescent="0.25"/>
    <row r="41" spans="1:1" ht="20.100000000000001" customHeight="1" x14ac:dyDescent="0.25"/>
    <row r="42" spans="1:1" ht="20.100000000000001" customHeight="1" x14ac:dyDescent="0.25">
      <c r="A42" s="94" t="s">
        <v>1</v>
      </c>
    </row>
    <row r="43" spans="1:1" ht="20.100000000000001" customHeight="1" x14ac:dyDescent="0.25">
      <c r="A43" s="5" t="str">
        <f>HYPERLINK("#'Constants - Ag Residue'!A1", "Constants - Ag residue")</f>
        <v>Constants - Ag residue</v>
      </c>
    </row>
    <row r="44" spans="1:1" ht="20.100000000000001" customHeight="1" x14ac:dyDescent="0.25">
      <c r="A44" s="5" t="str">
        <f>HYPERLINK("#'Constants - Common Livestock'!A1", "Constants - Common Livestock")</f>
        <v>Constants - Common Livestock</v>
      </c>
    </row>
    <row r="45" spans="1:1" ht="20.100000000000001" customHeight="1" x14ac:dyDescent="0.25">
      <c r="A45" s="95" t="str">
        <f>HYPERLINK("#'Constants - Electricity'!A1", "Constants - Electricity")</f>
        <v>Constants - Electricity</v>
      </c>
    </row>
    <row r="46" spans="1:1" ht="20.100000000000001" customHeight="1" x14ac:dyDescent="0.25">
      <c r="A46" s="5" t="str">
        <f>HYPERLINK("#'Constants - Fertiliser'!A1", "Constants - Fertiliser")</f>
        <v>Constants - Fertiliser</v>
      </c>
    </row>
    <row r="47" spans="1:1" ht="20.100000000000001" customHeight="1" x14ac:dyDescent="0.25">
      <c r="A47" s="5" t="str">
        <f>HYPERLINK("#'Constants - Fuel'!A1", "Constants - Fuel")</f>
        <v>Constants - Fuel</v>
      </c>
    </row>
    <row r="48" spans="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BDD0-414C-418D-B74D-4480E8E30B17}">
  <dimension ref="A1:AM223"/>
  <sheetViews>
    <sheetView showGridLines="0" topLeftCell="A126"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399</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60"/>
      <c r="F5" s="160"/>
      <c r="G5" s="160"/>
      <c r="H5" s="160"/>
      <c r="I5" s="160"/>
      <c r="J5" s="160"/>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t="s">
        <v>0</v>
      </c>
      <c r="D8" s="3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6" t="str">
        <v>Added extra fertiliser types and generic chemical compounds to allow for custom NPKS blends</v>
      </c>
    </row>
    <row r="10" spans="1:36" ht="20.100000000000001" customHeight="1" x14ac:dyDescent="0.25">
      <c r="A10" s="5" t="str">
        <f>HYPERLINK("#'Input - Site'!A1", "Site")</f>
        <v>Site</v>
      </c>
      <c r="D10" s="36" t="str">
        <v>Added extra 'Scope 3 definition' column to allow mapping with scope 3 data</v>
      </c>
    </row>
    <row r="11" spans="1:36" ht="20.100000000000001" customHeight="1" x14ac:dyDescent="0.25">
      <c r="A11" s="5" t="str">
        <f>HYPERLINK("#'Input - Crop'!A1", "Crop")</f>
        <v>Crop</v>
      </c>
      <c r="D11" s="36" t="str">
        <v>Added 'Source' column</v>
      </c>
    </row>
    <row r="12" spans="1:36" ht="20.100000000000001" customHeight="1" x14ac:dyDescent="0.25">
      <c r="A12" s="5" t="str">
        <f>HYPERLINK("#'Input - Fert Prod System'!A1", "Fert Prod System")</f>
        <v>Fert Prod System</v>
      </c>
      <c r="D12" s="36" t="str">
        <v>Combined data from Table A.2.2.3 and Table A.2.2.4 into one table to aid lookup.</v>
      </c>
    </row>
    <row r="13" spans="1:36" ht="20.100000000000001" customHeight="1" x14ac:dyDescent="0.25">
      <c r="A13" s="5" t="str">
        <f>HYPERLINK("#'Input - Fertiliser'!A1", "Fertiliser")</f>
        <v>Fertiliser</v>
      </c>
      <c r="D13" s="36" t="str">
        <v>Excluded 'References' column</v>
      </c>
    </row>
    <row r="14" spans="1:36" ht="20.100000000000001" customHeight="1" x14ac:dyDescent="0.25">
      <c r="A14" s="5" t="str">
        <f>HYPERLINK("#'Input - Fuel'!A1", "Fuel")</f>
        <v>Fuel</v>
      </c>
      <c r="D14" s="36" t="str">
        <v>Excluded 'Ammonium sulfate' as it is a duplicate of 'Sulphate of ammonia (SOA)'</v>
      </c>
    </row>
    <row r="15" spans="1:36" ht="20.100000000000001" customHeight="1" x14ac:dyDescent="0.25">
      <c r="A15" s="5" t="str">
        <f>HYPERLINK("#'Input - Electricity'!A1", "Electricity")</f>
        <v>Electricity</v>
      </c>
      <c r="D15" s="36" t="str">
        <v>Excluded 'Calcium nitrate' as no scope 3 value available.</v>
      </c>
    </row>
    <row r="16" spans="1:36" ht="20.100000000000001" customHeight="1" x14ac:dyDescent="0.25">
      <c r="A16" s="5" t="str">
        <f>HYPERLINK("#'Input - Common farm inputs'!A1", "Common farm inputs")</f>
        <v>Common farm inputs</v>
      </c>
      <c r="D16" s="36" t="str">
        <v>Set 'Nitrogen - Generic' basis as 'Urea-based fertilisers, as urea is the most commonly used form of nitrogen in Australian fertilisers</v>
      </c>
    </row>
    <row r="17" spans="1:22" ht="20.100000000000001" customHeight="1" x14ac:dyDescent="0.25">
      <c r="A17" s="5" t="str">
        <f>HYPERLINK("#'Input - Crop pasture farm input'!A1", "Crop pasture farm input")</f>
        <v>Crop pasture farm input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Manure sent off-site'!A1", "Manure sent off-site")</f>
        <v>Manure sent off-site</v>
      </c>
      <c r="D19" t="s">
        <v>316</v>
      </c>
      <c r="E19" t="s">
        <v>400</v>
      </c>
      <c r="F19" t="s">
        <v>401</v>
      </c>
      <c r="G19" t="s">
        <v>375</v>
      </c>
      <c r="H19" t="s">
        <v>402</v>
      </c>
      <c r="I19" t="s">
        <v>403</v>
      </c>
      <c r="K19" s="30" t="s">
        <v>316</v>
      </c>
      <c r="L19" s="30" t="s">
        <v>400</v>
      </c>
      <c r="Q19" s="30" t="s">
        <v>316</v>
      </c>
      <c r="R19" s="30" t="s">
        <v>400</v>
      </c>
      <c r="V19" s="30" t="s">
        <v>403</v>
      </c>
    </row>
    <row r="20" spans="1:22" ht="20.100000000000001" customHeight="1" x14ac:dyDescent="0.25">
      <c r="A20" s="5" t="str">
        <f>HYPERLINK("#'Input - Solid waste'!A1", "Solid waste")</f>
        <v>Solid waste</v>
      </c>
      <c r="D20" s="173" t="str" cm="1">
        <f t="array" ref="D20">Common_InputFunctions.Utility_DisplayArrayInTable(Fertiliser_SourceData.Fertiliser_ChemicalCompoundElements_Data(),Table_Fertiliser_ChemicalCompounds[[#Headers],[Fertiliser type f]], 0)</f>
        <v>Monoammonium phosphate (MAP)</v>
      </c>
      <c r="E20" s="173" cm="1">
        <f t="array" ref="E20">Common_InputFunctions.Utility_DisplayArrayInTable(Fertiliser_SourceData.Fertiliser_ChemicalCompoundElements_Data(),Table_Fertiliser_ChemicalCompounds[[#Headers],[Fertiliser type f]], 0)</f>
        <v>0.1</v>
      </c>
      <c r="F20" s="173" cm="1">
        <f t="array" ref="F20">Common_InputFunctions.Utility_DisplayArrayInTable(Fertiliser_SourceData.Fertiliser_ChemicalCompoundElements_Data(),Table_Fertiliser_ChemicalCompounds[[#Headers],[Fertiliser type f]], 0)</f>
        <v>0</v>
      </c>
      <c r="G20" s="173" t="str" cm="1">
        <f t="array" ref="G20">Common_InputFunctions.Utility_DisplayArrayInTable(Fertiliser_SourceData.Fertiliser_ChemicalCompoundElements_Data(),Table_Fertiliser_ChemicalCompounds[[#Headers],[Fertiliser type f]], 0)</f>
        <v>Ammonium-based fertilisers</v>
      </c>
      <c r="H20" s="173" t="str" cm="1">
        <f t="array" ref="H20">Common_InputFunctions.Utility_DisplayArrayInTable(Fertiliser_SourceData.Fertiliser_ChemicalCompoundElements_Data(),Table_Fertiliser_ChemicalCompounds[[#Headers],[Fertiliser type f]], 0)</f>
        <v>Monoammonium phosphate (MAP)</v>
      </c>
      <c r="I20" s="173"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Data quality'!A1", "Data quality")</f>
        <v>Data quality</v>
      </c>
      <c r="D21" s="173" t="str" cm="1">
        <f t="array" ref="D21">Common_InputFunctions.Utility_DisplayArrayInTable(Fertiliser_SourceData.Fertiliser_ChemicalCompoundElements_Data(),Table_Fertiliser_ChemicalCompounds[[#Headers],[Fertiliser type f]], 0)</f>
        <v>Diammonium phosphate (DAP)</v>
      </c>
      <c r="E21" s="173" cm="1">
        <f t="array" ref="E21">Common_InputFunctions.Utility_DisplayArrayInTable(Fertiliser_SourceData.Fertiliser_ChemicalCompoundElements_Data(),Table_Fertiliser_ChemicalCompounds[[#Headers],[Fertiliser type f]], 0)</f>
        <v>0.18</v>
      </c>
      <c r="F21" s="173" cm="1">
        <f t="array" ref="F21">Common_InputFunctions.Utility_DisplayArrayInTable(Fertiliser_SourceData.Fertiliser_ChemicalCompoundElements_Data(),Table_Fertiliser_ChemicalCompounds[[#Headers],[Fertiliser type f]], 0)</f>
        <v>0</v>
      </c>
      <c r="G21" s="173" t="str" cm="1">
        <f t="array" ref="G21">Common_InputFunctions.Utility_DisplayArrayInTable(Fertiliser_SourceData.Fertiliser_ChemicalCompoundElements_Data(),Table_Fertiliser_ChemicalCompounds[[#Headers],[Fertiliser type f]], 0)</f>
        <v>Ammonium-based fertilisers</v>
      </c>
      <c r="H21" s="173" t="str" cm="1">
        <f t="array" ref="H21">Common_InputFunctions.Utility_DisplayArrayInTable(Fertiliser_SourceData.Fertiliser_ChemicalCompoundElements_Data(),Table_Fertiliser_ChemicalCompounds[[#Headers],[Fertiliser type f]], 0)</f>
        <v>Diammonium phosphate (DAP)</v>
      </c>
      <c r="I21" s="173"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73" t="str" cm="1">
        <f t="array" ref="D22">Common_InputFunctions.Utility_DisplayArrayInTable(Fertiliser_SourceData.Fertiliser_ChemicalCompoundElements_Data(),Table_Fertiliser_ChemicalCompounds[[#Headers],[Fertiliser type f]], 0)</f>
        <v>Urea</v>
      </c>
      <c r="E22" s="173" cm="1">
        <f t="array" ref="E22">Common_InputFunctions.Utility_DisplayArrayInTable(Fertiliser_SourceData.Fertiliser_ChemicalCompoundElements_Data(),Table_Fertiliser_ChemicalCompounds[[#Headers],[Fertiliser type f]], 0)</f>
        <v>0.46</v>
      </c>
      <c r="F22" s="173" cm="1">
        <f t="array" ref="F22">Common_InputFunctions.Utility_DisplayArrayInTable(Fertiliser_SourceData.Fertiliser_ChemicalCompoundElements_Data(),Table_Fertiliser_ChemicalCompounds[[#Headers],[Fertiliser type f]], 0)</f>
        <v>1</v>
      </c>
      <c r="G22" s="173" t="str" cm="1">
        <f t="array" ref="G22">Common_InputFunctions.Utility_DisplayArrayInTable(Fertiliser_SourceData.Fertiliser_ChemicalCompoundElements_Data(),Table_Fertiliser_ChemicalCompounds[[#Headers],[Fertiliser type f]], 0)</f>
        <v>Urea-based fertilisers</v>
      </c>
      <c r="H22" s="173" t="str" cm="1">
        <f t="array" ref="H22">Common_InputFunctions.Utility_DisplayArrayInTable(Fertiliser_SourceData.Fertiliser_ChemicalCompoundElements_Data(),Table_Fertiliser_ChemicalCompounds[[#Headers],[Fertiliser type f]], 0)</f>
        <v>Urea</v>
      </c>
      <c r="I22" s="173"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D23" s="173" t="str" cm="1">
        <f t="array" ref="D23">Common_InputFunctions.Utility_DisplayArrayInTable(Fertiliser_SourceData.Fertiliser_ChemicalCompoundElements_Data(),Table_Fertiliser_ChemicalCompounds[[#Headers],[Fertiliser type f]], 0)</f>
        <v>Sulphate of ammonia (SOA)</v>
      </c>
      <c r="E23" s="173" cm="1">
        <f t="array" ref="E23">Common_InputFunctions.Utility_DisplayArrayInTable(Fertiliser_SourceData.Fertiliser_ChemicalCompoundElements_Data(),Table_Fertiliser_ChemicalCompounds[[#Headers],[Fertiliser type f]], 0)</f>
        <v>0.21</v>
      </c>
      <c r="F23" s="173" cm="1">
        <f t="array" ref="F23">Common_InputFunctions.Utility_DisplayArrayInTable(Fertiliser_SourceData.Fertiliser_ChemicalCompoundElements_Data(),Table_Fertiliser_ChemicalCompounds[[#Headers],[Fertiliser type f]], 0)</f>
        <v>0</v>
      </c>
      <c r="G23" s="173" t="str" cm="1">
        <f t="array" ref="G23">Common_InputFunctions.Utility_DisplayArrayInTable(Fertiliser_SourceData.Fertiliser_ChemicalCompoundElements_Data(),Table_Fertiliser_ChemicalCompounds[[#Headers],[Fertiliser type f]], 0)</f>
        <v>Ammonium-based fertilisers</v>
      </c>
      <c r="H23" s="173" t="str" cm="1">
        <f t="array" ref="H23">Common_InputFunctions.Utility_DisplayArrayInTable(Fertiliser_SourceData.Fertiliser_ChemicalCompoundElements_Data(),Table_Fertiliser_ChemicalCompounds[[#Headers],[Fertiliser type f]], 0)</f>
        <v>Sulphate of ammonia (SOA)</v>
      </c>
      <c r="I23" s="173"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6" t="s">
        <v>2</v>
      </c>
      <c r="D24" s="173" t="str" cm="1">
        <f t="array" ref="D24">Common_InputFunctions.Utility_DisplayArrayInTable(Fertiliser_SourceData.Fertiliser_ChemicalCompoundElements_Data(),Table_Fertiliser_ChemicalCompounds[[#Headers],[Fertiliser type f]], 0)</f>
        <v>Urea-ammonium nitrate (UAN)</v>
      </c>
      <c r="E24" s="173" cm="1">
        <f t="array" ref="E24">Common_InputFunctions.Utility_DisplayArrayInTable(Fertiliser_SourceData.Fertiliser_ChemicalCompoundElements_Data(),Table_Fertiliser_ChemicalCompounds[[#Headers],[Fertiliser type f]], 0)</f>
        <v>0.32</v>
      </c>
      <c r="F24" s="173" cm="1">
        <f t="array" ref="F24">Common_InputFunctions.Utility_DisplayArrayInTable(Fertiliser_SourceData.Fertiliser_ChemicalCompoundElements_Data(),Table_Fertiliser_ChemicalCompounds[[#Headers],[Fertiliser type f]], 0)</f>
        <v>0.35</v>
      </c>
      <c r="G24" s="173" t="str" cm="1">
        <f t="array" ref="G24">Common_InputFunctions.Utility_DisplayArrayInTable(Fertiliser_SourceData.Fertiliser_ChemicalCompoundElements_Data(),Table_Fertiliser_ChemicalCompounds[[#Headers],[Fertiliser type f]], 0)</f>
        <v>Urea-based fertilisers</v>
      </c>
      <c r="H24" s="173" t="str" cm="1">
        <f t="array" ref="H24">Common_InputFunctions.Utility_DisplayArrayInTable(Fertiliser_SourceData.Fertiliser_ChemicalCompoundElements_Data(),Table_Fertiliser_ChemicalCompounds[[#Headers],[Fertiliser type f]], 0)</f>
        <v>Urea-ammonium nitrate (UAN)</v>
      </c>
      <c r="I24" s="173"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HYPERLINK("#'5.1.1.1-2 Inorganic fert N2O'!A1", "5.1.1.1-2 Inorganic fert N2O")</f>
        <v>5.1.1.1-2 Inorganic fert N2O</v>
      </c>
      <c r="D25" s="173" t="str" cm="1">
        <f t="array" ref="D25">Common_InputFunctions.Utility_DisplayArrayInTable(Fertiliser_SourceData.Fertiliser_ChemicalCompoundElements_Data(),Table_Fertiliser_ChemicalCompounds[[#Headers],[Fertiliser type f]], 0)</f>
        <v>Ammonium nitrate (AN)</v>
      </c>
      <c r="E25" s="173" cm="1">
        <f t="array" ref="E25">Common_InputFunctions.Utility_DisplayArrayInTable(Fertiliser_SourceData.Fertiliser_ChemicalCompoundElements_Data(),Table_Fertiliser_ChemicalCompounds[[#Headers],[Fertiliser type f]], 0)</f>
        <v>0.33700000000000002</v>
      </c>
      <c r="F25" s="173" cm="1">
        <f t="array" ref="F25">Common_InputFunctions.Utility_DisplayArrayInTable(Fertiliser_SourceData.Fertiliser_ChemicalCompoundElements_Data(),Table_Fertiliser_ChemicalCompounds[[#Headers],[Fertiliser type f]], 0)</f>
        <v>0</v>
      </c>
      <c r="G25" s="173" t="str" cm="1">
        <f t="array" ref="G25">Common_InputFunctions.Utility_DisplayArrayInTable(Fertiliser_SourceData.Fertiliser_ChemicalCompoundElements_Data(),Table_Fertiliser_ChemicalCompounds[[#Headers],[Fertiliser type f]], 0)</f>
        <v>Ammonium-nitrate based fertilisers</v>
      </c>
      <c r="H25" s="173" t="str" cm="1">
        <f t="array" ref="H25">Common_InputFunctions.Utility_DisplayArrayInTable(Fertiliser_SourceData.Fertiliser_ChemicalCompoundElements_Data(),Table_Fertiliser_ChemicalCompounds[[#Headers],[Fertiliser type f]], 0)</f>
        <v>Ammonium nitrate (AN)</v>
      </c>
      <c r="I25" s="173"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HYPERLINK("#'5.1.1.3-4 Inorganic fert CO2'!A1", "5.1.1.3-4 Inorganic fert CO2")</f>
        <v>5.1.1.3-4 Inorganic fert CO2</v>
      </c>
      <c r="D26" s="173" t="str" cm="1">
        <f t="array" ref="D26">Common_InputFunctions.Utility_DisplayArrayInTable(Fertiliser_SourceData.Fertiliser_ChemicalCompoundElements_Data(),Table_Fertiliser_ChemicalCompounds[[#Headers],[Fertiliser type f]], 0)</f>
        <v>Calcium ammonium nitrate (CAN)</v>
      </c>
      <c r="E26" s="173" cm="1">
        <f t="array" ref="E26">Common_InputFunctions.Utility_DisplayArrayInTable(Fertiliser_SourceData.Fertiliser_ChemicalCompoundElements_Data(),Table_Fertiliser_ChemicalCompounds[[#Headers],[Fertiliser type f]], 0)</f>
        <v>0.27</v>
      </c>
      <c r="F26" s="173" cm="1">
        <f t="array" ref="F26">Common_InputFunctions.Utility_DisplayArrayInTable(Fertiliser_SourceData.Fertiliser_ChemicalCompoundElements_Data(),Table_Fertiliser_ChemicalCompounds[[#Headers],[Fertiliser type f]], 0)</f>
        <v>0</v>
      </c>
      <c r="G26" s="173" t="str" cm="1">
        <f t="array" ref="G26">Common_InputFunctions.Utility_DisplayArrayInTable(Fertiliser_SourceData.Fertiliser_ChemicalCompoundElements_Data(),Table_Fertiliser_ChemicalCompounds[[#Headers],[Fertiliser type f]], 0)</f>
        <v>Ammonium-nitrate based fertilisers</v>
      </c>
      <c r="H26" s="173" t="str" cm="1">
        <f t="array" ref="H26">Common_InputFunctions.Utility_DisplayArrayInTable(Fertiliser_SourceData.Fertiliser_ChemicalCompoundElements_Data(),Table_Fertiliser_ChemicalCompounds[[#Headers],[Fertiliser type f]], 0)</f>
        <v>Calcium ammonium nitrate (CAN)</v>
      </c>
      <c r="I26" s="173"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HYPERLINK("#'5.2.1.1-2 Organic Fert N2O'!A1", "5.2.1.1-2 Organic fert N2O")</f>
        <v>5.2.1.1-2 Organic fert N2O</v>
      </c>
      <c r="D27" s="173" t="str" cm="1">
        <f t="array" ref="D27">Common_InputFunctions.Utility_DisplayArrayInTable(Fertiliser_SourceData.Fertiliser_ChemicalCompoundElements_Data(),Table_Fertiliser_ChemicalCompounds[[#Headers],[Fertiliser type f]], 0)</f>
        <v>Nitrogen - Ammoniacal</v>
      </c>
      <c r="E27" s="173" cm="1">
        <f t="array" ref="E27">Common_InputFunctions.Utility_DisplayArrayInTable(Fertiliser_SourceData.Fertiliser_ChemicalCompoundElements_Data(),Table_Fertiliser_ChemicalCompounds[[#Headers],[Fertiliser type f]], 0)</f>
        <v>1</v>
      </c>
      <c r="F27" s="173" cm="1">
        <f t="array" ref="F27">Common_InputFunctions.Utility_DisplayArrayInTable(Fertiliser_SourceData.Fertiliser_ChemicalCompoundElements_Data(),Table_Fertiliser_ChemicalCompounds[[#Headers],[Fertiliser type f]], 0)</f>
        <v>0</v>
      </c>
      <c r="G27" s="173" t="str" cm="1">
        <f t="array" ref="G27">Common_InputFunctions.Utility_DisplayArrayInTable(Fertiliser_SourceData.Fertiliser_ChemicalCompoundElements_Data(),Table_Fertiliser_ChemicalCompounds[[#Headers],[Fertiliser type f]], 0)</f>
        <v>Ammonium-based fertilisers</v>
      </c>
      <c r="H27" s="173" t="str" cm="1">
        <f t="array" ref="H27">Common_InputFunctions.Utility_DisplayArrayInTable(Fertiliser_SourceData.Fertiliser_ChemicalCompoundElements_Data(),Table_Fertiliser_ChemicalCompounds[[#Headers],[Fertiliser type f]], 0)</f>
        <v>Nitrogen - Ammoniacal</v>
      </c>
      <c r="I27" s="173"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HYPERLINK("#'5.3.1.1-2 Lime CO2'!A1", "5.3.1.1-2 Lime CO2")</f>
        <v>5.3.1.1-2 Lime CO2</v>
      </c>
      <c r="D28" s="173" t="str" cm="1">
        <f t="array" ref="D28">Common_InputFunctions.Utility_DisplayArrayInTable(Fertiliser_SourceData.Fertiliser_ChemicalCompoundElements_Data(),Table_Fertiliser_ChemicalCompounds[[#Headers],[Fertiliser type f]], 0)</f>
        <v>Nitrogen - Nitrate</v>
      </c>
      <c r="E28" s="173" cm="1">
        <f t="array" ref="E28">Common_InputFunctions.Utility_DisplayArrayInTable(Fertiliser_SourceData.Fertiliser_ChemicalCompoundElements_Data(),Table_Fertiliser_ChemicalCompounds[[#Headers],[Fertiliser type f]], 0)</f>
        <v>1</v>
      </c>
      <c r="F28" s="173" cm="1">
        <f t="array" ref="F28">Common_InputFunctions.Utility_DisplayArrayInTable(Fertiliser_SourceData.Fertiliser_ChemicalCompoundElements_Data(),Table_Fertiliser_ChemicalCompounds[[#Headers],[Fertiliser type f]], 0)</f>
        <v>0</v>
      </c>
      <c r="G28" s="173" t="str" cm="1">
        <f t="array" ref="G28">Common_InputFunctions.Utility_DisplayArrayInTable(Fertiliser_SourceData.Fertiliser_ChemicalCompoundElements_Data(),Table_Fertiliser_ChemicalCompounds[[#Headers],[Fertiliser type f]], 0)</f>
        <v>Nitrate-based fertilisers</v>
      </c>
      <c r="H28" s="173" t="str" cm="1">
        <f t="array" ref="H28">Common_InputFunctions.Utility_DisplayArrayInTable(Fertiliser_SourceData.Fertiliser_ChemicalCompoundElements_Data(),Table_Fertiliser_ChemicalCompounds[[#Headers],[Fertiliser type f]], 0)</f>
        <v>Nitrogen from Nitrate</v>
      </c>
      <c r="I28" s="173"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HYPERLINK("#'5.4.1.1-4 Atmos deposition'!A1", "5.4.1.1-4 Atmos. deposition")</f>
        <v>5.4.1.1-4 Atmos. deposition</v>
      </c>
      <c r="D29" s="173" t="str" cm="1">
        <f t="array" ref="D29">Common_InputFunctions.Utility_DisplayArrayInTable(Fertiliser_SourceData.Fertiliser_ChemicalCompoundElements_Data(),Table_Fertiliser_ChemicalCompounds[[#Headers],[Fertiliser type f]], 0)</f>
        <v>Nitrogen - Generic</v>
      </c>
      <c r="E29" s="173" cm="1">
        <f t="array" ref="E29">Common_InputFunctions.Utility_DisplayArrayInTable(Fertiliser_SourceData.Fertiliser_ChemicalCompoundElements_Data(),Table_Fertiliser_ChemicalCompounds[[#Headers],[Fertiliser type f]], 0)</f>
        <v>1</v>
      </c>
      <c r="F29" s="173" cm="1">
        <f t="array" ref="F29">Common_InputFunctions.Utility_DisplayArrayInTable(Fertiliser_SourceData.Fertiliser_ChemicalCompoundElements_Data(),Table_Fertiliser_ChemicalCompounds[[#Headers],[Fertiliser type f]], 0)</f>
        <v>0</v>
      </c>
      <c r="G29" s="173" t="str" cm="1">
        <f t="array" ref="G29">Common_InputFunctions.Utility_DisplayArrayInTable(Fertiliser_SourceData.Fertiliser_ChemicalCompoundElements_Data(),Table_Fertiliser_ChemicalCompounds[[#Headers],[Fertiliser type f]], 0)</f>
        <v>Urea-based fertilisers</v>
      </c>
      <c r="H29" s="173" t="str" cm="1">
        <f t="array" ref="H29">Common_InputFunctions.Utility_DisplayArrayInTable(Fertiliser_SourceData.Fertiliser_ChemicalCompoundElements_Data(),Table_Fertiliser_ChemicalCompounds[[#Headers],[Fertiliser type f]], 0)</f>
        <v>Nitrogen from fertiliser</v>
      </c>
      <c r="I29" s="173"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HYPERLINK("#'5.5.1.1-2 Leaching and runoff'!A1", "5.5.1.1-2 Leaching &amp; runoff")</f>
        <v>5.5.1.1-2 Leaching &amp; runoff</v>
      </c>
      <c r="D30" s="173" t="str" cm="1">
        <f t="array" ref="D30">Common_InputFunctions.Utility_DisplayArrayInTable(Fertiliser_SourceData.Fertiliser_ChemicalCompoundElements_Data(),Table_Fertiliser_ChemicalCompounds[[#Headers],[Fertiliser type f]], 0)</f>
        <v>Phosphorus - Generic</v>
      </c>
      <c r="E30" s="173" cm="1">
        <f t="array" ref="E30">Common_InputFunctions.Utility_DisplayArrayInTable(Fertiliser_SourceData.Fertiliser_ChemicalCompoundElements_Data(),Table_Fertiliser_ChemicalCompounds[[#Headers],[Fertiliser type f]], 0)</f>
        <v>0</v>
      </c>
      <c r="F30" s="173" cm="1">
        <f t="array" ref="F30">Common_InputFunctions.Utility_DisplayArrayInTable(Fertiliser_SourceData.Fertiliser_ChemicalCompoundElements_Data(),Table_Fertiliser_ChemicalCompounds[[#Headers],[Fertiliser type f]], 0)</f>
        <v>0</v>
      </c>
      <c r="G30" s="173" t="str" cm="1">
        <f t="array" ref="G30">Common_InputFunctions.Utility_DisplayArrayInTable(Fertiliser_SourceData.Fertiliser_ChemicalCompoundElements_Data(),Table_Fertiliser_ChemicalCompounds[[#Headers],[Fertiliser type f]], 0)</f>
        <v>Other fertilisers</v>
      </c>
      <c r="H30" s="173" t="str" cm="1">
        <f t="array" ref="H30">Common_InputFunctions.Utility_DisplayArrayInTable(Fertiliser_SourceData.Fertiliser_ChemicalCompoundElements_Data(),Table_Fertiliser_ChemicalCompounds[[#Headers],[Fertiliser type f]], 0)</f>
        <v>Phosphorus from fertiliser</v>
      </c>
      <c r="I30" s="173"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HYPERLINK("#'6.1.1.1-2 Crop residue N2O'!A1", "6.1.1.1-2 Crop residue N2O")</f>
        <v>6.1.1.1-2 Crop residue N2O</v>
      </c>
      <c r="D31" s="173" t="str" cm="1">
        <f t="array" ref="D31">Common_InputFunctions.Utility_DisplayArrayInTable(Fertiliser_SourceData.Fertiliser_ChemicalCompoundElements_Data(),Table_Fertiliser_ChemicalCompounds[[#Headers],[Fertiliser type f]], 0)</f>
        <v>Potassium - Generic</v>
      </c>
      <c r="E31" s="173" cm="1">
        <f t="array" ref="E31">Common_InputFunctions.Utility_DisplayArrayInTable(Fertiliser_SourceData.Fertiliser_ChemicalCompoundElements_Data(),Table_Fertiliser_ChemicalCompounds[[#Headers],[Fertiliser type f]], 0)</f>
        <v>0</v>
      </c>
      <c r="F31" s="173" cm="1">
        <f t="array" ref="F31">Common_InputFunctions.Utility_DisplayArrayInTable(Fertiliser_SourceData.Fertiliser_ChemicalCompoundElements_Data(),Table_Fertiliser_ChemicalCompounds[[#Headers],[Fertiliser type f]], 0)</f>
        <v>0</v>
      </c>
      <c r="G31" s="173" t="str" cm="1">
        <f t="array" ref="G31">Common_InputFunctions.Utility_DisplayArrayInTable(Fertiliser_SourceData.Fertiliser_ChemicalCompoundElements_Data(),Table_Fertiliser_ChemicalCompounds[[#Headers],[Fertiliser type f]], 0)</f>
        <v>Other fertilisers</v>
      </c>
      <c r="H31" s="173" t="str" cm="1">
        <f t="array" ref="H31">Common_InputFunctions.Utility_DisplayArrayInTable(Fertiliser_SourceData.Fertiliser_ChemicalCompoundElements_Data(),Table_Fertiliser_ChemicalCompounds[[#Headers],[Fertiliser type f]], 0)</f>
        <v>Potassium from fertiliser</v>
      </c>
      <c r="I31" s="173"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HYPERLINK("#'6.3.1.1-2 Leach runoff crop'!A1", "6.3.1.1-2 Leach &amp; runoff (crop)")</f>
        <v>6.3.1.1-2 Leach &amp; runoff (crop)</v>
      </c>
      <c r="D32" s="173" t="str" cm="1">
        <f t="array" ref="D32">Common_InputFunctions.Utility_DisplayArrayInTable(Fertiliser_SourceData.Fertiliser_ChemicalCompoundElements_Data(),Table_Fertiliser_ChemicalCompounds[[#Headers],[Fertiliser type f]], 0)</f>
        <v>Sulfur - Generic</v>
      </c>
      <c r="E32" s="173" cm="1">
        <f t="array" ref="E32">Common_InputFunctions.Utility_DisplayArrayInTable(Fertiliser_SourceData.Fertiliser_ChemicalCompoundElements_Data(),Table_Fertiliser_ChemicalCompounds[[#Headers],[Fertiliser type f]], 0)</f>
        <v>0</v>
      </c>
      <c r="F32" s="173" cm="1">
        <f t="array" ref="F32">Common_InputFunctions.Utility_DisplayArrayInTable(Fertiliser_SourceData.Fertiliser_ChemicalCompoundElements_Data(),Table_Fertiliser_ChemicalCompounds[[#Headers],[Fertiliser type f]], 0)</f>
        <v>0</v>
      </c>
      <c r="G32" s="173" t="str" cm="1">
        <f t="array" ref="G32">Common_InputFunctions.Utility_DisplayArrayInTable(Fertiliser_SourceData.Fertiliser_ChemicalCompoundElements_Data(),Table_Fertiliser_ChemicalCompounds[[#Headers],[Fertiliser type f]], 0)</f>
        <v>Other fertilisers</v>
      </c>
      <c r="H32" s="173" t="str" cm="1">
        <f t="array" ref="H32">Common_InputFunctions.Utility_DisplayArrayInTable(Fertiliser_SourceData.Fertiliser_ChemicalCompoundElements_Data(),Table_Fertiliser_ChemicalCompounds[[#Headers],[Fertiliser type f]], 0)</f>
        <v>Sulfur from fertiliser</v>
      </c>
      <c r="I32" s="173"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HYPERLINK("#'6.4.1.1-2 Residue burning'!A1", "6.4.1.1-2 Residue burning")</f>
        <v>6.4.1.1-2 Residue burning</v>
      </c>
      <c r="D33" s="173" t="str" cm="1">
        <f t="array" ref="D33">Common_InputFunctions.Utility_DisplayArrayInTable(Fertiliser_SourceData.Fertiliser_ChemicalCompoundElements_Data(),Table_Fertiliser_ChemicalCompounds[[#Headers],[Fertiliser type f]], 0)</f>
        <v>Zinc - Generic</v>
      </c>
      <c r="E33" s="173" cm="1">
        <f t="array" ref="E33">Common_InputFunctions.Utility_DisplayArrayInTable(Fertiliser_SourceData.Fertiliser_ChemicalCompoundElements_Data(),Table_Fertiliser_ChemicalCompounds[[#Headers],[Fertiliser type f]], 0)</f>
        <v>0</v>
      </c>
      <c r="F33" s="173" cm="1">
        <f t="array" ref="F33">Common_InputFunctions.Utility_DisplayArrayInTable(Fertiliser_SourceData.Fertiliser_ChemicalCompoundElements_Data(),Table_Fertiliser_ChemicalCompounds[[#Headers],[Fertiliser type f]], 0)</f>
        <v>0</v>
      </c>
      <c r="G33" s="173" t="str" cm="1">
        <f t="array" ref="G33">Common_InputFunctions.Utility_DisplayArrayInTable(Fertiliser_SourceData.Fertiliser_ChemicalCompoundElements_Data(),Table_Fertiliser_ChemicalCompounds[[#Headers],[Fertiliser type f]], 0)</f>
        <v>Other fertilisers</v>
      </c>
      <c r="H33" s="173" t="str" cm="1">
        <f t="array" ref="H33">Common_InputFunctions.Utility_DisplayArrayInTable(Fertiliser_SourceData.Fertiliser_ChemicalCompoundElements_Data(),Table_Fertiliser_ChemicalCompounds[[#Headers],[Fertiliser type f]], 0)</f>
        <v>Zinc from fertiliser</v>
      </c>
      <c r="I33" s="173"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HYPERLINK("#'8.1.1.1-2 Transport fuel'!A1", "8.1.1.1-2 Transport fuel")</f>
        <v>8.1.1.1-2 Transport fuel</v>
      </c>
      <c r="D34" s="173" t="str" cm="1">
        <f t="array" ref="D34">Common_InputFunctions.Utility_DisplayArrayInTable(Fertiliser_SourceData.Fertiliser_ChemicalCompoundElements_Data(),Table_Fertiliser_ChemicalCompounds[[#Headers],[Fertiliser type f]], 0)</f>
        <v>Muriate of potash (MOP)</v>
      </c>
      <c r="E34" s="173" cm="1">
        <f t="array" ref="E34">Common_InputFunctions.Utility_DisplayArrayInTable(Fertiliser_SourceData.Fertiliser_ChemicalCompoundElements_Data(),Table_Fertiliser_ChemicalCompounds[[#Headers],[Fertiliser type f]], 0)</f>
        <v>0</v>
      </c>
      <c r="F34" s="173" cm="1">
        <f t="array" ref="F34">Common_InputFunctions.Utility_DisplayArrayInTable(Fertiliser_SourceData.Fertiliser_ChemicalCompoundElements_Data(),Table_Fertiliser_ChemicalCompounds[[#Headers],[Fertiliser type f]], 0)</f>
        <v>0</v>
      </c>
      <c r="G34" s="173" t="str" cm="1">
        <f t="array" ref="G34">Common_InputFunctions.Utility_DisplayArrayInTable(Fertiliser_SourceData.Fertiliser_ChemicalCompoundElements_Data(),Table_Fertiliser_ChemicalCompounds[[#Headers],[Fertiliser type f]], 0)</f>
        <v>Other fertilisers</v>
      </c>
      <c r="H34" s="173" t="str" cm="1">
        <f t="array" ref="H34">Common_InputFunctions.Utility_DisplayArrayInTable(Fertiliser_SourceData.Fertiliser_ChemicalCompoundElements_Data(),Table_Fertiliser_ChemicalCompounds[[#Headers],[Fertiliser type f]], 0)</f>
        <v>Muriate of potash (MOP)</v>
      </c>
      <c r="I34" s="173"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HYPERLINK("#'8.2.1.1-2 Stationary fuel'!A1", "8.2.1.1-2 Stationary fuel")</f>
        <v>8.2.1.1-2 Stationary fuel</v>
      </c>
      <c r="D35" s="173" t="str" cm="1">
        <f t="array" ref="D35">Common_InputFunctions.Utility_DisplayArrayInTable(Fertiliser_SourceData.Fertiliser_ChemicalCompoundElements_Data(),Table_Fertiliser_ChemicalCompounds[[#Headers],[Fertiliser type f]], 0)</f>
        <v>Double superphosphate</v>
      </c>
      <c r="E35" s="173" cm="1">
        <f t="array" ref="E35">Common_InputFunctions.Utility_DisplayArrayInTable(Fertiliser_SourceData.Fertiliser_ChemicalCompoundElements_Data(),Table_Fertiliser_ChemicalCompounds[[#Headers],[Fertiliser type f]], 0)</f>
        <v>0</v>
      </c>
      <c r="F35" s="173" cm="1">
        <f t="array" ref="F35">Common_InputFunctions.Utility_DisplayArrayInTable(Fertiliser_SourceData.Fertiliser_ChemicalCompoundElements_Data(),Table_Fertiliser_ChemicalCompounds[[#Headers],[Fertiliser type f]], 0)</f>
        <v>0</v>
      </c>
      <c r="G35" s="173" t="str" cm="1">
        <f t="array" ref="G35">Common_InputFunctions.Utility_DisplayArrayInTable(Fertiliser_SourceData.Fertiliser_ChemicalCompoundElements_Data(),Table_Fertiliser_ChemicalCompounds[[#Headers],[Fertiliser type f]], 0)</f>
        <v>Other fertilisers</v>
      </c>
      <c r="H35" s="173" t="str" cm="1">
        <f t="array" ref="H35">Common_InputFunctions.Utility_DisplayArrayInTable(Fertiliser_SourceData.Fertiliser_ChemicalCompoundElements_Data(),Table_Fertiliser_ChemicalCompounds[[#Headers],[Fertiliser type f]], 0)</f>
        <v>Double superphosphate</v>
      </c>
      <c r="I35" s="173"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HYPERLINK("#'14.1.1-2 Purchased electricity'!A1", "14.1.1-2 Purchased electricity")</f>
        <v>14.1.1-2 Purchased electricity</v>
      </c>
      <c r="D36" s="173" t="str" cm="1">
        <f t="array" ref="D36">Common_InputFunctions.Utility_DisplayArrayInTable(Fertiliser_SourceData.Fertiliser_ChemicalCompoundElements_Data(),Table_Fertiliser_ChemicalCompounds[[#Headers],[Fertiliser type f]], 0)</f>
        <v>Single superphosphate (SSP)</v>
      </c>
      <c r="E36" s="173" cm="1">
        <f t="array" ref="E36">Common_InputFunctions.Utility_DisplayArrayInTable(Fertiliser_SourceData.Fertiliser_ChemicalCompoundElements_Data(),Table_Fertiliser_ChemicalCompounds[[#Headers],[Fertiliser type f]], 0)</f>
        <v>0</v>
      </c>
      <c r="F36" s="173" cm="1">
        <f t="array" ref="F36">Common_InputFunctions.Utility_DisplayArrayInTable(Fertiliser_SourceData.Fertiliser_ChemicalCompoundElements_Data(),Table_Fertiliser_ChemicalCompounds[[#Headers],[Fertiliser type f]], 0)</f>
        <v>0</v>
      </c>
      <c r="G36" s="173" t="str" cm="1">
        <f t="array" ref="G36">Common_InputFunctions.Utility_DisplayArrayInTable(Fertiliser_SourceData.Fertiliser_ChemicalCompoundElements_Data(),Table_Fertiliser_ChemicalCompounds[[#Headers],[Fertiliser type f]], 0)</f>
        <v>Other fertilisers</v>
      </c>
      <c r="H36" s="173" t="str" cm="1">
        <f t="array" ref="H36">Common_InputFunctions.Utility_DisplayArrayInTable(Fertiliser_SourceData.Fertiliser_ChemicalCompoundElements_Data(),Table_Fertiliser_ChemicalCompounds[[#Headers],[Fertiliser type f]], 0)</f>
        <v>Single superphosphate (SSP)</v>
      </c>
      <c r="I36" s="173"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HYPERLINK("#'15 Scope 3'!A1", "15 Scope 3")</f>
        <v>15 Scope 3</v>
      </c>
      <c r="D37" s="173" t="str" cm="1">
        <f t="array" ref="D37">Common_InputFunctions.Utility_DisplayArrayInTable(Fertiliser_SourceData.Fertiliser_ChemicalCompoundElements_Data(),Table_Fertiliser_ChemicalCompounds[[#Headers],[Fertiliser type f]], 0)</f>
        <v>Ammonia</v>
      </c>
      <c r="E37" s="173" cm="1">
        <f t="array" ref="E37">Common_InputFunctions.Utility_DisplayArrayInTable(Fertiliser_SourceData.Fertiliser_ChemicalCompoundElements_Data(),Table_Fertiliser_ChemicalCompounds[[#Headers],[Fertiliser type f]], 0)</f>
        <v>0.82350000000000001</v>
      </c>
      <c r="F37" s="173" cm="1">
        <f t="array" ref="F37">Common_InputFunctions.Utility_DisplayArrayInTable(Fertiliser_SourceData.Fertiliser_ChemicalCompoundElements_Data(),Table_Fertiliser_ChemicalCompounds[[#Headers],[Fertiliser type f]], 0)</f>
        <v>0</v>
      </c>
      <c r="G37" s="173" t="str" cm="1">
        <f t="array" ref="G37">Common_InputFunctions.Utility_DisplayArrayInTable(Fertiliser_SourceData.Fertiliser_ChemicalCompoundElements_Data(),Table_Fertiliser_ChemicalCompounds[[#Headers],[Fertiliser type f]], 0)</f>
        <v>Ammonium-based fertilisers</v>
      </c>
      <c r="H37" s="173" t="str" cm="1">
        <f t="array" ref="H37">Common_InputFunctions.Utility_DisplayArrayInTable(Fertiliser_SourceData.Fertiliser_ChemicalCompoundElements_Data(),Table_Fertiliser_ChemicalCompounds[[#Headers],[Fertiliser type f]], 0)</f>
        <v>Ammonia</v>
      </c>
      <c r="I37" s="173"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HYPERLINK("#'Calcs - Manure sent off-site'!A1", "Calcs - Manure sent off-site")</f>
        <v>Calcs - Manure sent off-site</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HYPERLINK("#'10.1.1-2 Solid waste treatment'!A1", "10.1.1-2 Solid waste treatment")</f>
        <v>10.1.1-2 Solid waste treatment</v>
      </c>
    </row>
    <row r="40" spans="1:10" ht="20.100000000000001" customHeight="1" x14ac:dyDescent="0.25">
      <c r="D40" s="2" t="s">
        <v>404</v>
      </c>
      <c r="F40" s="2" t="s">
        <v>405</v>
      </c>
      <c r="H40" s="2" t="s">
        <v>406</v>
      </c>
      <c r="J40" s="2" t="s">
        <v>407</v>
      </c>
    </row>
    <row r="41" spans="1:10" ht="20.100000000000001" customHeight="1" x14ac:dyDescent="0.25">
      <c r="D41" s="30" t="s">
        <v>183</v>
      </c>
      <c r="F41" s="30" t="s">
        <v>183</v>
      </c>
      <c r="H41" s="30" t="s">
        <v>63</v>
      </c>
      <c r="J41" s="30" t="s">
        <v>408</v>
      </c>
    </row>
    <row r="42" spans="1:10" ht="20.100000000000001" customHeight="1" x14ac:dyDescent="0.25">
      <c r="A42" s="94" t="s">
        <v>1</v>
      </c>
      <c r="D42" s="30" t="s">
        <v>409</v>
      </c>
      <c r="F42" s="30" t="s">
        <v>409</v>
      </c>
      <c r="H42" s="30" t="s">
        <v>410</v>
      </c>
      <c r="J42" s="30" t="s">
        <v>411</v>
      </c>
    </row>
    <row r="43" spans="1:10" ht="20.100000000000001" customHeight="1" x14ac:dyDescent="0.25">
      <c r="A43" s="5" t="str">
        <f>HYPERLINK("#'Constants - Ag Residue'!A1", "Constants - Ag residue")</f>
        <v>Constants - Ag residue</v>
      </c>
      <c r="D43" s="1" t="s">
        <v>184</v>
      </c>
      <c r="F43" s="1" t="s">
        <v>412</v>
      </c>
      <c r="H43" s="30" t="s">
        <v>413</v>
      </c>
      <c r="J43" s="1" t="s">
        <v>308</v>
      </c>
    </row>
    <row r="44" spans="1:10" ht="20.100000000000001" customHeight="1" x14ac:dyDescent="0.25">
      <c r="A44" s="5" t="str">
        <f>HYPERLINK("#'Constants - Common Livestock'!A1", "Constants - Common Livestock")</f>
        <v>Constants - Common Livestock</v>
      </c>
      <c r="F44" s="1" t="s">
        <v>414</v>
      </c>
      <c r="H44" s="1" t="s">
        <v>415</v>
      </c>
      <c r="J44" s="1" t="s">
        <v>416</v>
      </c>
    </row>
    <row r="45" spans="1:10" ht="20.100000000000001" customHeight="1" x14ac:dyDescent="0.25">
      <c r="A45" s="5" t="str">
        <f>HYPERLINK("#'Constants - Electricity'!A1", "Constants - Electricity")</f>
        <v>Constants - Electricity</v>
      </c>
      <c r="F45" s="1" t="s">
        <v>417</v>
      </c>
      <c r="H45" s="1" t="s">
        <v>418</v>
      </c>
      <c r="J45" s="1" t="s">
        <v>307</v>
      </c>
    </row>
    <row r="46" spans="1:10" ht="20.100000000000001" customHeight="1" x14ac:dyDescent="0.25">
      <c r="A46" s="95" t="str">
        <f>HYPERLINK("#'Constants - Fertiliser'!A1", "Constants - Fertiliser")</f>
        <v>Constants - Fertiliser</v>
      </c>
      <c r="H46" s="1" t="s">
        <v>419</v>
      </c>
      <c r="J46" s="1" t="s">
        <v>309</v>
      </c>
    </row>
    <row r="47" spans="1:10" ht="20.100000000000001" customHeight="1" x14ac:dyDescent="0.25">
      <c r="A47" s="5" t="str">
        <f>HYPERLINK("#'Constants - Fuel'!A1", "Constants - Fuel")</f>
        <v>Constants - Fuel</v>
      </c>
    </row>
    <row r="48" spans="1:10" ht="20.100000000000001" customHeight="1" x14ac:dyDescent="0.25">
      <c r="A48" s="5" t="str">
        <f>HYPERLINK("#'Constants - Scope 3'!A1", "Constants - Scope 3")</f>
        <v>Constants - Scope 3</v>
      </c>
      <c r="D48" s="2" t="str" cm="1">
        <f t="array" ref="D48">Fertiliser_SourceData.Fertiliser_FracGASF_Title()</f>
        <v>Fraction of inorganic fertiliser that volatilises as NH3 and NOx</v>
      </c>
      <c r="G48" s="160"/>
    </row>
    <row r="49" spans="1:8" ht="20.100000000000001" customHeight="1" x14ac:dyDescent="0.25">
      <c r="A49" s="5" t="str">
        <f>HYPERLINK("#'Constants - Common'!A1", "Constants - Common")</f>
        <v>Constants - Common</v>
      </c>
      <c r="D49" s="27" t="str" cm="1">
        <f t="array" ref="D49">Fertiliser_SourceData.Fertiliser_FracGASF_Source()</f>
        <v>Table A.2.2.6: Fraction of inorganic fertiliser f that volatilises as NH3 and NOx ((kg NH3-N + NOx-N)/kg N) (FracGASFf)</v>
      </c>
      <c r="G49" s="160"/>
    </row>
    <row r="50" spans="1:8" ht="20.100000000000001" customHeight="1" x14ac:dyDescent="0.25">
      <c r="A50" s="5" t="str">
        <f>HYPERLINK("#'Constants - Solid Waste'!A1", "Constants - Solid Waste")</f>
        <v>Constants - Solid Waste</v>
      </c>
      <c r="D50" s="30" t="s">
        <v>316</v>
      </c>
      <c r="E50" s="30" t="s">
        <v>420</v>
      </c>
      <c r="G50" s="160"/>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60"/>
    </row>
    <row r="52" spans="1: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60"/>
    </row>
    <row r="53" spans="1: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60"/>
    </row>
    <row r="54" spans="1: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60"/>
      <c r="H54" s="160"/>
    </row>
    <row r="55" spans="1: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60"/>
      <c r="H55" s="160"/>
    </row>
    <row r="56" spans="1:8" ht="20.100000000000001" customHeight="1" x14ac:dyDescent="0.25"/>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364</v>
      </c>
      <c r="E65" s="30" t="s">
        <v>421</v>
      </c>
      <c r="F65" s="30" t="s">
        <v>422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423</v>
      </c>
    </row>
    <row r="87" spans="4:39" ht="20.100000000000001" customHeight="1" x14ac:dyDescent="0.25">
      <c r="D87" s="2" t="s">
        <v>424</v>
      </c>
      <c r="E87" s="160"/>
      <c r="F87" s="160"/>
      <c r="G87" s="160"/>
      <c r="H87" s="160"/>
      <c r="I87" s="160"/>
      <c r="J87" s="160"/>
      <c r="K87" s="160"/>
      <c r="L87" s="160"/>
      <c r="N87" s="160" t="s">
        <v>423</v>
      </c>
      <c r="O87" s="160"/>
      <c r="P87" s="160"/>
      <c r="Q87" s="160"/>
      <c r="R87" s="160"/>
      <c r="S87" s="160"/>
      <c r="T87" s="160"/>
      <c r="U87" s="160"/>
    </row>
    <row r="88" spans="4:39" ht="20.100000000000001" customHeight="1" x14ac:dyDescent="0.25">
      <c r="D88" s="160"/>
    </row>
    <row r="89" spans="4:39" ht="20.100000000000001" customHeight="1" x14ac:dyDescent="0.25">
      <c r="D89" s="174" t="s">
        <v>425</v>
      </c>
      <c r="E89" s="30" t="s">
        <v>137</v>
      </c>
      <c r="F89" s="30" t="s">
        <v>121</v>
      </c>
      <c r="G89" s="103" t="s">
        <v>253</v>
      </c>
      <c r="H89" s="103" t="s">
        <v>426</v>
      </c>
      <c r="I89" s="103" t="s">
        <v>270</v>
      </c>
      <c r="J89" s="103" t="s">
        <v>271</v>
      </c>
      <c r="K89" s="103" t="s">
        <v>427</v>
      </c>
      <c r="L89" s="103" t="s">
        <v>428</v>
      </c>
      <c r="M89" s="103" t="s">
        <v>429</v>
      </c>
      <c r="N89" s="103" t="s">
        <v>430</v>
      </c>
      <c r="O89" s="103" t="s">
        <v>255</v>
      </c>
      <c r="P89" s="103" t="s">
        <v>256</v>
      </c>
      <c r="Q89" s="30" t="s">
        <v>257</v>
      </c>
      <c r="R89" s="30" t="s">
        <v>258</v>
      </c>
      <c r="S89" s="30" t="s">
        <v>259</v>
      </c>
      <c r="T89" s="30" t="s">
        <v>260</v>
      </c>
      <c r="U89" s="103" t="s">
        <v>261</v>
      </c>
      <c r="V89" s="103" t="s">
        <v>262</v>
      </c>
      <c r="W89" s="30" t="s">
        <v>263</v>
      </c>
      <c r="X89" s="103" t="s">
        <v>264</v>
      </c>
      <c r="Y89" s="103" t="s">
        <v>265</v>
      </c>
      <c r="Z89" s="103" t="s">
        <v>266</v>
      </c>
      <c r="AA89" s="103" t="s">
        <v>431</v>
      </c>
      <c r="AB89" s="103" t="s">
        <v>432</v>
      </c>
      <c r="AC89" s="30" t="s">
        <v>433</v>
      </c>
      <c r="AD89" s="30" t="s">
        <v>434</v>
      </c>
      <c r="AE89" s="30" t="s">
        <v>435</v>
      </c>
      <c r="AF89" s="30" t="s">
        <v>436</v>
      </c>
      <c r="AG89" s="30" t="s">
        <v>437</v>
      </c>
      <c r="AH89" s="30" t="s">
        <v>438</v>
      </c>
      <c r="AK89" s="1"/>
      <c r="AL89" s="1"/>
      <c r="AM89" s="1"/>
    </row>
    <row r="90" spans="4:39" ht="20.100000000000001" customHeight="1" x14ac:dyDescent="0.25">
      <c r="D90" s="173" t="str" cm="1">
        <f t="array" ref="D90">Common_InputFunctions.Utility_DisplayArrayInTable(Fertiliser_SourceData.Fertiliser_Products_Data1(), FertiliserProducts[[#Headers],[Company]],1)</f>
        <v>Campbells fertilisers Australia</v>
      </c>
      <c r="E90" s="173" t="str" cm="1">
        <f t="array" ref="E90">Common_InputFunctions.Utility_DisplayArrayInTable(Fertiliser_SourceData.Fertiliser_Products_Data1(), FertiliserProducts[[#Headers],[Company]],1)</f>
        <v>Aqua Finish</v>
      </c>
      <c r="F90" s="173" t="str" cm="1">
        <f t="array" ref="F90">Common_InputFunctions.Utility_DisplayArrayInTable(Fertiliser_SourceData.Fertiliser_Products_Data1(), FertiliserProducts[[#Headers],[Company]],1)</f>
        <v>L</v>
      </c>
      <c r="G90" s="173" cm="1">
        <f t="array" ref="G90">Common_InputFunctions.Utility_DisplayArrayInTable(Fertiliser_SourceData.Fertiliser_Products_Data1(), FertiliserProducts[[#Headers],[Company]],1)</f>
        <v>1.26</v>
      </c>
      <c r="H90" s="173" t="str" cm="1">
        <f t="array" ref="H90">Common_InputFunctions.Utility_DisplayArrayInTable(Fertiliser_SourceData.Fertiliser_Products_Data1(), FertiliserProducts[[#Headers],[Company]],1)</f>
        <v/>
      </c>
      <c r="I90" s="173" t="str" cm="1">
        <f t="array" ref="I90">Common_InputFunctions.Utility_DisplayArrayInTable(Fertiliser_SourceData.Fertiliser_Products_Data1(), FertiliserProducts[[#Headers],[Company]],1)</f>
        <v/>
      </c>
      <c r="J90" s="173" t="str" cm="1">
        <f t="array" ref="J90">Common_InputFunctions.Utility_DisplayArrayInTable(Fertiliser_SourceData.Fertiliser_Products_Data1(), FertiliserProducts[[#Headers],[Company]],1)</f>
        <v/>
      </c>
      <c r="K90" s="173" cm="1">
        <f t="array" ref="K90">Common_InputFunctions.Utility_DisplayArrayInTable(Fertiliser_SourceData.Fertiliser_Products_Data1(), FertiliserProducts[[#Headers],[Company]],1)</f>
        <v>2.6</v>
      </c>
      <c r="L90" s="173" cm="1">
        <f t="array" ref="L90">Common_InputFunctions.Utility_DisplayArrayInTable(Fertiliser_SourceData.Fertiliser_Products_Data1(), FertiliserProducts[[#Headers],[Company]],1)</f>
        <v>4</v>
      </c>
      <c r="M90" s="173" cm="1">
        <f t="array" ref="M90">Common_InputFunctions.Utility_DisplayArrayInTable(Fertiliser_SourceData.Fertiliser_Products_Data1(), FertiliserProducts[[#Headers],[Company]],1)</f>
        <v>22.5</v>
      </c>
      <c r="N90" s="173" t="str" cm="1">
        <f t="array" ref="N90">Common_InputFunctions.Utility_DisplayArrayInTable(Fertiliser_SourceData.Fertiliser_Products_Data1(), FertiliserProducts[[#Headers],[Company]],1)</f>
        <v/>
      </c>
      <c r="O90" s="173" t="str" cm="1">
        <f t="array" ref="O90">Common_InputFunctions.Utility_DisplayArrayInTable(Fertiliser_SourceData.Fertiliser_Products_Data1(), FertiliserProducts[[#Headers],[Company]],1)</f>
        <v>Potassium - Generic</v>
      </c>
      <c r="P90" s="173" cm="1">
        <f t="array" ref="P90">Common_InputFunctions.Utility_DisplayArrayInTable(Fertiliser_SourceData.Fertiliser_Products_Data1(), FertiliserProducts[[#Headers],[Company]],1)</f>
        <v>0.22500000000000001</v>
      </c>
      <c r="Q90" s="173" t="str" cm="1">
        <f t="array" ref="Q90">Common_InputFunctions.Utility_DisplayArrayInTable(Fertiliser_SourceData.Fertiliser_Products_Data1(), FertiliserProducts[[#Headers],[Company]],1)</f>
        <v>Phosphorus - Generic</v>
      </c>
      <c r="R90" s="173" cm="1">
        <f t="array" ref="R90">Common_InputFunctions.Utility_DisplayArrayInTable(Fertiliser_SourceData.Fertiliser_Products_Data1(), FertiliserProducts[[#Headers],[Company]],1)</f>
        <v>0.04</v>
      </c>
      <c r="S90" s="173" t="str" cm="1">
        <f t="array" ref="S90">Common_InputFunctions.Utility_DisplayArrayInTable(Fertiliser_SourceData.Fertiliser_Products_Data1(), FertiliserProducts[[#Headers],[Company]],1)</f>
        <v>Nitrogen - Generic</v>
      </c>
      <c r="T90" s="173" cm="1">
        <f t="array" ref="T90">Common_InputFunctions.Utility_DisplayArrayInTable(Fertiliser_SourceData.Fertiliser_Products_Data1(), FertiliserProducts[[#Headers],[Company]],1)</f>
        <v>2.5999999999999999E-2</v>
      </c>
      <c r="U90" s="173" t="str" cm="1">
        <f t="array" ref="U90">Common_InputFunctions.Utility_DisplayArrayInTable(Fertiliser_SourceData.Fertiliser_Products_Data1(), FertiliserProducts[[#Headers],[Company]],1)</f>
        <v/>
      </c>
      <c r="V90" s="173" t="str" cm="1">
        <f t="array" ref="V90">Common_InputFunctions.Utility_DisplayArrayInTable(Fertiliser_SourceData.Fertiliser_Products_Data1(), FertiliserProducts[[#Headers],[Company]],1)</f>
        <v/>
      </c>
      <c r="W90" s="173" t="str" cm="1">
        <f t="array" ref="W90">Common_InputFunctions.Utility_DisplayArrayInTable(Fertiliser_SourceData.Fertiliser_Products_Data1(), FertiliserProducts[[#Headers],[Company]],1)</f>
        <v/>
      </c>
      <c r="X90" s="173" t="str" cm="1">
        <f t="array" ref="X90">Common_InputFunctions.Utility_DisplayArrayInTable(Fertiliser_SourceData.Fertiliser_Products_Data1(), FertiliserProducts[[#Headers],[Company]],1)</f>
        <v/>
      </c>
      <c r="Y90" s="173" t="str" cm="1">
        <f t="array" ref="Y90">Common_InputFunctions.Utility_DisplayArrayInTable(Fertiliser_SourceData.Fertiliser_Products_Data1(), FertiliserProducts[[#Headers],[Company]],1)</f>
        <v/>
      </c>
      <c r="Z90" s="173" t="str" cm="1">
        <f t="array" ref="Z90">Common_InputFunctions.Utility_DisplayArrayInTable(Fertiliser_SourceData.Fertiliser_Products_Data1(), FertiliserProducts[[#Headers],[Company]],1)</f>
        <v/>
      </c>
      <c r="AA90" s="173" t="str" cm="1">
        <f t="array" ref="AA90">Common_InputFunctions.Utility_DisplayArrayInTable(Fertiliser_SourceData.Fertiliser_Products_Data1(), FertiliserProducts[[#Headers],[Company]],1)</f>
        <v/>
      </c>
      <c r="AB90" s="173" t="str" cm="1">
        <f t="array" ref="AB90">Common_InputFunctions.Utility_DisplayArrayInTable(Fertiliser_SourceData.Fertiliser_Products_Data1(), FertiliserProducts[[#Headers],[Company]],1)</f>
        <v/>
      </c>
      <c r="AC90" s="173" t="str" cm="1">
        <f t="array" ref="AC90">Common_InputFunctions.Utility_DisplayArrayInTable(Fertiliser_SourceData.Fertiliser_Products_Data1(), FertiliserProducts[[#Headers],[Company]],1)</f>
        <v/>
      </c>
      <c r="AD90" s="173" t="str" cm="1">
        <f t="array" ref="AD90">Common_InputFunctions.Utility_DisplayArrayInTable(Fertiliser_SourceData.Fertiliser_Products_Data1(), FertiliserProducts[[#Headers],[Company]],1)</f>
        <v/>
      </c>
      <c r="AE90" s="173" t="str" cm="1">
        <f t="array" ref="AE90">Common_InputFunctions.Utility_DisplayArrayInTable(Fertiliser_SourceData.Fertiliser_Products_Data1(), FertiliserProducts[[#Headers],[Company]],1)</f>
        <v/>
      </c>
      <c r="AF90" s="173" t="str" cm="1">
        <f t="array" ref="AF90">Common_InputFunctions.Utility_DisplayArrayInTable(Fertiliser_SourceData.Fertiliser_Products_Data1(), FertiliserProducts[[#Headers],[Company]],1)</f>
        <v/>
      </c>
      <c r="AG90" s="173" t="str" cm="1">
        <f t="array" ref="AG90">Common_InputFunctions.Utility_DisplayArrayInTable(Fertiliser_SourceData.Fertiliser_Products_Data1(), FertiliserProducts[[#Headers],[Company]],1)</f>
        <v/>
      </c>
      <c r="AH90" s="173" t="str" cm="1">
        <f t="array" ref="AH90">Common_InputFunctions.Utility_DisplayArrayInTable(Fertiliser_SourceData.Fertiliser_Products_Data1(), FertiliserProducts[[#Headers],[Company]],1)</f>
        <v/>
      </c>
      <c r="AK90" s="1"/>
      <c r="AL90" s="1"/>
      <c r="AM90" s="1"/>
    </row>
    <row r="91" spans="4:39" ht="20.100000000000001" customHeight="1" x14ac:dyDescent="0.25">
      <c r="D91" s="173" t="str" cm="1">
        <f t="array" ref="D91">Common_InputFunctions.Utility_DisplayArrayInTable(Fertiliser_SourceData.Fertiliser_Products_Data1(), FertiliserProducts[[#Headers],[Company]],1)</f>
        <v>Campbells fertilisers Australia</v>
      </c>
      <c r="E91" s="173" t="str" cm="1">
        <f t="array" ref="E91">Common_InputFunctions.Utility_DisplayArrayInTable(Fertiliser_SourceData.Fertiliser_Products_Data1(), FertiliserProducts[[#Headers],[Company]],1)</f>
        <v>Aqua Grow</v>
      </c>
      <c r="F91" s="173" t="str" cm="1">
        <f t="array" ref="F91">Common_InputFunctions.Utility_DisplayArrayInTable(Fertiliser_SourceData.Fertiliser_Products_Data1(), FertiliserProducts[[#Headers],[Company]],1)</f>
        <v>L</v>
      </c>
      <c r="G91" s="173" cm="1">
        <f t="array" ref="G91">Common_InputFunctions.Utility_DisplayArrayInTable(Fertiliser_SourceData.Fertiliser_Products_Data1(), FertiliserProducts[[#Headers],[Company]],1)</f>
        <v>1.26</v>
      </c>
      <c r="H91" s="173" t="str" cm="1">
        <f t="array" ref="H91">Common_InputFunctions.Utility_DisplayArrayInTable(Fertiliser_SourceData.Fertiliser_Products_Data1(), FertiliserProducts[[#Headers],[Company]],1)</f>
        <v/>
      </c>
      <c r="I91" s="173" t="str" cm="1">
        <f t="array" ref="I91">Common_InputFunctions.Utility_DisplayArrayInTable(Fertiliser_SourceData.Fertiliser_Products_Data1(), FertiliserProducts[[#Headers],[Company]],1)</f>
        <v/>
      </c>
      <c r="J91" s="173" t="str" cm="1">
        <f t="array" ref="J91">Common_InputFunctions.Utility_DisplayArrayInTable(Fertiliser_SourceData.Fertiliser_Products_Data1(), FertiliserProducts[[#Headers],[Company]],1)</f>
        <v/>
      </c>
      <c r="K91" s="173" cm="1">
        <f t="array" ref="K91">Common_InputFunctions.Utility_DisplayArrayInTable(Fertiliser_SourceData.Fertiliser_Products_Data1(), FertiliserProducts[[#Headers],[Company]],1)</f>
        <v>9.6</v>
      </c>
      <c r="L91" s="173" cm="1">
        <f t="array" ref="L91">Common_InputFunctions.Utility_DisplayArrayInTable(Fertiliser_SourceData.Fertiliser_Products_Data1(), FertiliserProducts[[#Headers],[Company]],1)</f>
        <v>5</v>
      </c>
      <c r="M91" s="173" cm="1">
        <f t="array" ref="M91">Common_InputFunctions.Utility_DisplayArrayInTable(Fertiliser_SourceData.Fertiliser_Products_Data1(), FertiliserProducts[[#Headers],[Company]],1)</f>
        <v>10.5</v>
      </c>
      <c r="N91" s="173" t="str" cm="1">
        <f t="array" ref="N91">Common_InputFunctions.Utility_DisplayArrayInTable(Fertiliser_SourceData.Fertiliser_Products_Data1(), FertiliserProducts[[#Headers],[Company]],1)</f>
        <v/>
      </c>
      <c r="O91" s="173" t="str" cm="1">
        <f t="array" ref="O91">Common_InputFunctions.Utility_DisplayArrayInTable(Fertiliser_SourceData.Fertiliser_Products_Data1(), FertiliserProducts[[#Headers],[Company]],1)</f>
        <v>Potassium - Generic</v>
      </c>
      <c r="P91" s="173" cm="1">
        <f t="array" ref="P91">Common_InputFunctions.Utility_DisplayArrayInTable(Fertiliser_SourceData.Fertiliser_Products_Data1(), FertiliserProducts[[#Headers],[Company]],1)</f>
        <v>0.105</v>
      </c>
      <c r="Q91" s="173" t="str" cm="1">
        <f t="array" ref="Q91">Common_InputFunctions.Utility_DisplayArrayInTable(Fertiliser_SourceData.Fertiliser_Products_Data1(), FertiliserProducts[[#Headers],[Company]],1)</f>
        <v>Nitrogen - Generic</v>
      </c>
      <c r="R91" s="173" cm="1">
        <f t="array" ref="R91">Common_InputFunctions.Utility_DisplayArrayInTable(Fertiliser_SourceData.Fertiliser_Products_Data1(), FertiliserProducts[[#Headers],[Company]],1)</f>
        <v>9.6000000000000002E-2</v>
      </c>
      <c r="S91" s="173" t="str" cm="1">
        <f t="array" ref="S91">Common_InputFunctions.Utility_DisplayArrayInTable(Fertiliser_SourceData.Fertiliser_Products_Data1(), FertiliserProducts[[#Headers],[Company]],1)</f>
        <v>Phosphorus - Generic</v>
      </c>
      <c r="T91" s="173" cm="1">
        <f t="array" ref="T91">Common_InputFunctions.Utility_DisplayArrayInTable(Fertiliser_SourceData.Fertiliser_Products_Data1(), FertiliserProducts[[#Headers],[Company]],1)</f>
        <v>0.05</v>
      </c>
      <c r="U91" s="173" t="str" cm="1">
        <f t="array" ref="U91">Common_InputFunctions.Utility_DisplayArrayInTable(Fertiliser_SourceData.Fertiliser_Products_Data1(), FertiliserProducts[[#Headers],[Company]],1)</f>
        <v/>
      </c>
      <c r="V91" s="173" t="str" cm="1">
        <f t="array" ref="V91">Common_InputFunctions.Utility_DisplayArrayInTable(Fertiliser_SourceData.Fertiliser_Products_Data1(), FertiliserProducts[[#Headers],[Company]],1)</f>
        <v/>
      </c>
      <c r="W91" s="173" t="str" cm="1">
        <f t="array" ref="W91">Common_InputFunctions.Utility_DisplayArrayInTable(Fertiliser_SourceData.Fertiliser_Products_Data1(), FertiliserProducts[[#Headers],[Company]],1)</f>
        <v/>
      </c>
      <c r="X91" s="173" t="str" cm="1">
        <f t="array" ref="X91">Common_InputFunctions.Utility_DisplayArrayInTable(Fertiliser_SourceData.Fertiliser_Products_Data1(), FertiliserProducts[[#Headers],[Company]],1)</f>
        <v/>
      </c>
      <c r="Y91" s="173" t="str" cm="1">
        <f t="array" ref="Y91">Common_InputFunctions.Utility_DisplayArrayInTable(Fertiliser_SourceData.Fertiliser_Products_Data1(), FertiliserProducts[[#Headers],[Company]],1)</f>
        <v/>
      </c>
      <c r="Z91" s="173" t="str" cm="1">
        <f t="array" ref="Z91">Common_InputFunctions.Utility_DisplayArrayInTable(Fertiliser_SourceData.Fertiliser_Products_Data1(), FertiliserProducts[[#Headers],[Company]],1)</f>
        <v/>
      </c>
      <c r="AA91" s="173" t="str" cm="1">
        <f t="array" ref="AA91">Common_InputFunctions.Utility_DisplayArrayInTable(Fertiliser_SourceData.Fertiliser_Products_Data1(), FertiliserProducts[[#Headers],[Company]],1)</f>
        <v/>
      </c>
      <c r="AB91" s="173" t="str" cm="1">
        <f t="array" ref="AB91">Common_InputFunctions.Utility_DisplayArrayInTable(Fertiliser_SourceData.Fertiliser_Products_Data1(), FertiliserProducts[[#Headers],[Company]],1)</f>
        <v/>
      </c>
      <c r="AC91" s="173" t="str" cm="1">
        <f t="array" ref="AC91">Common_InputFunctions.Utility_DisplayArrayInTable(Fertiliser_SourceData.Fertiliser_Products_Data1(), FertiliserProducts[[#Headers],[Company]],1)</f>
        <v/>
      </c>
      <c r="AD91" s="173" t="str" cm="1">
        <f t="array" ref="AD91">Common_InputFunctions.Utility_DisplayArrayInTable(Fertiliser_SourceData.Fertiliser_Products_Data1(), FertiliserProducts[[#Headers],[Company]],1)</f>
        <v/>
      </c>
      <c r="AE91" s="173" t="str" cm="1">
        <f t="array" ref="AE91">Common_InputFunctions.Utility_DisplayArrayInTable(Fertiliser_SourceData.Fertiliser_Products_Data1(), FertiliserProducts[[#Headers],[Company]],1)</f>
        <v/>
      </c>
      <c r="AF91" s="173" t="str" cm="1">
        <f t="array" ref="AF91">Common_InputFunctions.Utility_DisplayArrayInTable(Fertiliser_SourceData.Fertiliser_Products_Data1(), FertiliserProducts[[#Headers],[Company]],1)</f>
        <v/>
      </c>
      <c r="AG91" s="173" t="str" cm="1">
        <f t="array" ref="AG91">Common_InputFunctions.Utility_DisplayArrayInTable(Fertiliser_SourceData.Fertiliser_Products_Data1(), FertiliserProducts[[#Headers],[Company]],1)</f>
        <v/>
      </c>
      <c r="AH91" s="173" t="str" cm="1">
        <f t="array" ref="AH91">Common_InputFunctions.Utility_DisplayArrayInTable(Fertiliser_SourceData.Fertiliser_Products_Data1(), FertiliserProducts[[#Headers],[Company]],1)</f>
        <v/>
      </c>
      <c r="AK91" s="1"/>
      <c r="AL91" s="1"/>
      <c r="AM91" s="1"/>
    </row>
    <row r="92" spans="4:39" ht="20.100000000000001" customHeight="1" x14ac:dyDescent="0.25">
      <c r="D92" s="173" t="str" cm="1">
        <f t="array" ref="D92">Common_InputFunctions.Utility_DisplayArrayInTable(Fertiliser_SourceData.Fertiliser_Products_Data1(), FertiliserProducts[[#Headers],[Company]],1)</f>
        <v>Campbells fertilisers Australia</v>
      </c>
      <c r="E92" s="173" t="str" cm="1">
        <f t="array" ref="E92">Common_InputFunctions.Utility_DisplayArrayInTable(Fertiliser_SourceData.Fertiliser_Products_Data1(), FertiliserProducts[[#Headers],[Company]],1)</f>
        <v>Aqua Nitro AN</v>
      </c>
      <c r="F92" s="173" t="str" cm="1">
        <f t="array" ref="F92">Common_InputFunctions.Utility_DisplayArrayInTable(Fertiliser_SourceData.Fertiliser_Products_Data1(), FertiliserProducts[[#Headers],[Company]],1)</f>
        <v>L</v>
      </c>
      <c r="G92" s="173" cm="1">
        <f t="array" ref="G92">Common_InputFunctions.Utility_DisplayArrayInTable(Fertiliser_SourceData.Fertiliser_Products_Data1(), FertiliserProducts[[#Headers],[Company]],1)</f>
        <v>1.24</v>
      </c>
      <c r="H92" s="173" t="str" cm="1">
        <f t="array" ref="H92">Common_InputFunctions.Utility_DisplayArrayInTable(Fertiliser_SourceData.Fertiliser_Products_Data1(), FertiliserProducts[[#Headers],[Company]],1)</f>
        <v/>
      </c>
      <c r="I92" s="173" t="str" cm="1">
        <f t="array" ref="I92">Common_InputFunctions.Utility_DisplayArrayInTable(Fertiliser_SourceData.Fertiliser_Products_Data1(), FertiliserProducts[[#Headers],[Company]],1)</f>
        <v/>
      </c>
      <c r="J92" s="173" t="str" cm="1">
        <f t="array" ref="J92">Common_InputFunctions.Utility_DisplayArrayInTable(Fertiliser_SourceData.Fertiliser_Products_Data1(), FertiliserProducts[[#Headers],[Company]],1)</f>
        <v/>
      </c>
      <c r="K92" s="173" cm="1">
        <f t="array" ref="K92">Common_InputFunctions.Utility_DisplayArrayInTable(Fertiliser_SourceData.Fertiliser_Products_Data1(), FertiliserProducts[[#Headers],[Company]],1)</f>
        <v>22.3</v>
      </c>
      <c r="L92" s="173" t="str" cm="1">
        <f t="array" ref="L92">Common_InputFunctions.Utility_DisplayArrayInTable(Fertiliser_SourceData.Fertiliser_Products_Data1(), FertiliserProducts[[#Headers],[Company]],1)</f>
        <v/>
      </c>
      <c r="M92" s="173" t="str" cm="1">
        <f t="array" ref="M92">Common_InputFunctions.Utility_DisplayArrayInTable(Fertiliser_SourceData.Fertiliser_Products_Data1(), FertiliserProducts[[#Headers],[Company]],1)</f>
        <v/>
      </c>
      <c r="N92" s="173" t="str" cm="1">
        <f t="array" ref="N92">Common_InputFunctions.Utility_DisplayArrayInTable(Fertiliser_SourceData.Fertiliser_Products_Data1(), FertiliserProducts[[#Headers],[Company]],1)</f>
        <v/>
      </c>
      <c r="O92" s="173" t="str" cm="1">
        <f t="array" ref="O92">Common_InputFunctions.Utility_DisplayArrayInTable(Fertiliser_SourceData.Fertiliser_Products_Data1(), FertiliserProducts[[#Headers],[Company]],1)</f>
        <v>Nitrogen - Ammoniacal</v>
      </c>
      <c r="P92" s="173" cm="1">
        <f t="array" ref="P92">Common_InputFunctions.Utility_DisplayArrayInTable(Fertiliser_SourceData.Fertiliser_Products_Data1(), FertiliserProducts[[#Headers],[Company]],1)</f>
        <v>0.223</v>
      </c>
      <c r="Q92" s="173" t="str" cm="1">
        <f t="array" ref="Q92">Common_InputFunctions.Utility_DisplayArrayInTable(Fertiliser_SourceData.Fertiliser_Products_Data1(), FertiliserProducts[[#Headers],[Company]],1)</f>
        <v/>
      </c>
      <c r="R92" s="173" t="str" cm="1">
        <f t="array" ref="R92">Common_InputFunctions.Utility_DisplayArrayInTable(Fertiliser_SourceData.Fertiliser_Products_Data1(), FertiliserProducts[[#Headers],[Company]],1)</f>
        <v/>
      </c>
      <c r="S92" s="173" t="str" cm="1">
        <f t="array" ref="S92">Common_InputFunctions.Utility_DisplayArrayInTable(Fertiliser_SourceData.Fertiliser_Products_Data1(), FertiliserProducts[[#Headers],[Company]],1)</f>
        <v/>
      </c>
      <c r="T92" s="173" t="str" cm="1">
        <f t="array" ref="T92">Common_InputFunctions.Utility_DisplayArrayInTable(Fertiliser_SourceData.Fertiliser_Products_Data1(), FertiliserProducts[[#Headers],[Company]],1)</f>
        <v/>
      </c>
      <c r="U92" s="173" t="str" cm="1">
        <f t="array" ref="U92">Common_InputFunctions.Utility_DisplayArrayInTable(Fertiliser_SourceData.Fertiliser_Products_Data1(), FertiliserProducts[[#Headers],[Company]],1)</f>
        <v/>
      </c>
      <c r="V92" s="173" t="str" cm="1">
        <f t="array" ref="V92">Common_InputFunctions.Utility_DisplayArrayInTable(Fertiliser_SourceData.Fertiliser_Products_Data1(), FertiliserProducts[[#Headers],[Company]],1)</f>
        <v/>
      </c>
      <c r="W92" s="173" t="str" cm="1">
        <f t="array" ref="W92">Common_InputFunctions.Utility_DisplayArrayInTable(Fertiliser_SourceData.Fertiliser_Products_Data1(), FertiliserProducts[[#Headers],[Company]],1)</f>
        <v/>
      </c>
      <c r="X92" s="173" t="str" cm="1">
        <f t="array" ref="X92">Common_InputFunctions.Utility_DisplayArrayInTable(Fertiliser_SourceData.Fertiliser_Products_Data1(), FertiliserProducts[[#Headers],[Company]],1)</f>
        <v/>
      </c>
      <c r="Y92" s="173" t="str" cm="1">
        <f t="array" ref="Y92">Common_InputFunctions.Utility_DisplayArrayInTable(Fertiliser_SourceData.Fertiliser_Products_Data1(), FertiliserProducts[[#Headers],[Company]],1)</f>
        <v/>
      </c>
      <c r="Z92" s="173" t="str" cm="1">
        <f t="array" ref="Z92">Common_InputFunctions.Utility_DisplayArrayInTable(Fertiliser_SourceData.Fertiliser_Products_Data1(), FertiliserProducts[[#Headers],[Company]],1)</f>
        <v/>
      </c>
      <c r="AA92" s="173" t="str" cm="1">
        <f t="array" ref="AA92">Common_InputFunctions.Utility_DisplayArrayInTable(Fertiliser_SourceData.Fertiliser_Products_Data1(), FertiliserProducts[[#Headers],[Company]],1)</f>
        <v/>
      </c>
      <c r="AB92" s="173" t="str" cm="1">
        <f t="array" ref="AB92">Common_InputFunctions.Utility_DisplayArrayInTable(Fertiliser_SourceData.Fertiliser_Products_Data1(), FertiliserProducts[[#Headers],[Company]],1)</f>
        <v/>
      </c>
      <c r="AC92" s="173" t="str" cm="1">
        <f t="array" ref="AC92">Common_InputFunctions.Utility_DisplayArrayInTable(Fertiliser_SourceData.Fertiliser_Products_Data1(), FertiliserProducts[[#Headers],[Company]],1)</f>
        <v/>
      </c>
      <c r="AD92" s="173" t="str" cm="1">
        <f t="array" ref="AD92">Common_InputFunctions.Utility_DisplayArrayInTable(Fertiliser_SourceData.Fertiliser_Products_Data1(), FertiliserProducts[[#Headers],[Company]],1)</f>
        <v/>
      </c>
      <c r="AE92" s="173" t="str" cm="1">
        <f t="array" ref="AE92">Common_InputFunctions.Utility_DisplayArrayInTable(Fertiliser_SourceData.Fertiliser_Products_Data1(), FertiliserProducts[[#Headers],[Company]],1)</f>
        <v/>
      </c>
      <c r="AF92" s="173" t="str" cm="1">
        <f t="array" ref="AF92">Common_InputFunctions.Utility_DisplayArrayInTable(Fertiliser_SourceData.Fertiliser_Products_Data1(), FertiliserProducts[[#Headers],[Company]],1)</f>
        <v/>
      </c>
      <c r="AG92" s="173" t="str" cm="1">
        <f t="array" ref="AG92">Common_InputFunctions.Utility_DisplayArrayInTable(Fertiliser_SourceData.Fertiliser_Products_Data1(), FertiliserProducts[[#Headers],[Company]],1)</f>
        <v/>
      </c>
      <c r="AH92" s="173" t="str" cm="1">
        <f t="array" ref="AH92">Common_InputFunctions.Utility_DisplayArrayInTable(Fertiliser_SourceData.Fertiliser_Products_Data1(), FertiliserProducts[[#Headers],[Company]],1)</f>
        <v/>
      </c>
      <c r="AK92" s="1"/>
      <c r="AL92" s="1"/>
      <c r="AM92" s="1"/>
    </row>
    <row r="93" spans="4:39" ht="20.100000000000001" customHeight="1" x14ac:dyDescent="0.25">
      <c r="D93" s="173" t="str" cm="1">
        <f t="array" ref="D93">Common_InputFunctions.Utility_DisplayArrayInTable(Fertiliser_SourceData.Fertiliser_Products_Data1(), FertiliserProducts[[#Headers],[Company]],1)</f>
        <v>Campbells fertilisers Australia</v>
      </c>
      <c r="E93" s="173" t="str" cm="1">
        <f t="array" ref="E93">Common_InputFunctions.Utility_DisplayArrayInTable(Fertiliser_SourceData.Fertiliser_Products_Data1(), FertiliserProducts[[#Headers],[Company]],1)</f>
        <v>Aqua NitroCal</v>
      </c>
      <c r="F93" s="173" t="str" cm="1">
        <f t="array" ref="F93">Common_InputFunctions.Utility_DisplayArrayInTable(Fertiliser_SourceData.Fertiliser_Products_Data1(), FertiliserProducts[[#Headers],[Company]],1)</f>
        <v>L</v>
      </c>
      <c r="G93" s="173" cm="1">
        <f t="array" ref="G93">Common_InputFunctions.Utility_DisplayArrayInTable(Fertiliser_SourceData.Fertiliser_Products_Data1(), FertiliserProducts[[#Headers],[Company]],1)</f>
        <v>1.5</v>
      </c>
      <c r="H93" s="173" t="str" cm="1">
        <f t="array" ref="H93">Common_InputFunctions.Utility_DisplayArrayInTable(Fertiliser_SourceData.Fertiliser_Products_Data1(), FertiliserProducts[[#Headers],[Company]],1)</f>
        <v/>
      </c>
      <c r="I93" s="173" t="str" cm="1">
        <f t="array" ref="I93">Common_InputFunctions.Utility_DisplayArrayInTable(Fertiliser_SourceData.Fertiliser_Products_Data1(), FertiliserProducts[[#Headers],[Company]],1)</f>
        <v/>
      </c>
      <c r="J93" s="173" t="str" cm="1">
        <f t="array" ref="J93">Common_InputFunctions.Utility_DisplayArrayInTable(Fertiliser_SourceData.Fertiliser_Products_Data1(), FertiliserProducts[[#Headers],[Company]],1)</f>
        <v/>
      </c>
      <c r="K93" s="173" cm="1">
        <f t="array" ref="K93">Common_InputFunctions.Utility_DisplayArrayInTable(Fertiliser_SourceData.Fertiliser_Products_Data1(), FertiliserProducts[[#Headers],[Company]],1)</f>
        <v>13.2</v>
      </c>
      <c r="L93" s="173" t="str" cm="1">
        <f t="array" ref="L93">Common_InputFunctions.Utility_DisplayArrayInTable(Fertiliser_SourceData.Fertiliser_Products_Data1(), FertiliserProducts[[#Headers],[Company]],1)</f>
        <v/>
      </c>
      <c r="M93" s="173" t="str" cm="1">
        <f t="array" ref="M93">Common_InputFunctions.Utility_DisplayArrayInTable(Fertiliser_SourceData.Fertiliser_Products_Data1(), FertiliserProducts[[#Headers],[Company]],1)</f>
        <v/>
      </c>
      <c r="N93" s="173" t="str" cm="1">
        <f t="array" ref="N93">Common_InputFunctions.Utility_DisplayArrayInTable(Fertiliser_SourceData.Fertiliser_Products_Data1(), FertiliserProducts[[#Headers],[Company]],1)</f>
        <v/>
      </c>
      <c r="O93" s="173" t="str" cm="1">
        <f t="array" ref="O93">Common_InputFunctions.Utility_DisplayArrayInTable(Fertiliser_SourceData.Fertiliser_Products_Data1(), FertiliserProducts[[#Headers],[Company]],1)</f>
        <v>Calcium</v>
      </c>
      <c r="P93" s="173" cm="1">
        <f t="array" ref="P93">Common_InputFunctions.Utility_DisplayArrayInTable(Fertiliser_SourceData.Fertiliser_Products_Data1(), FertiliserProducts[[#Headers],[Company]],1)</f>
        <v>0.16200000000000001</v>
      </c>
      <c r="Q93" s="173" t="str" cm="1">
        <f t="array" ref="Q93">Common_InputFunctions.Utility_DisplayArrayInTable(Fertiliser_SourceData.Fertiliser_Products_Data1(), FertiliserProducts[[#Headers],[Company]],1)</f>
        <v>Nitrogen - Nitrate</v>
      </c>
      <c r="R93" s="173" cm="1">
        <f t="array" ref="R93">Common_InputFunctions.Utility_DisplayArrayInTable(Fertiliser_SourceData.Fertiliser_Products_Data1(), FertiliserProducts[[#Headers],[Company]],1)</f>
        <v>0.13200000000000001</v>
      </c>
      <c r="S93" s="173" t="str" cm="1">
        <f t="array" ref="S93">Common_InputFunctions.Utility_DisplayArrayInTable(Fertiliser_SourceData.Fertiliser_Products_Data1(), FertiliserProducts[[#Headers],[Company]],1)</f>
        <v/>
      </c>
      <c r="T93" s="173" t="str" cm="1">
        <f t="array" ref="T93">Common_InputFunctions.Utility_DisplayArrayInTable(Fertiliser_SourceData.Fertiliser_Products_Data1(), FertiliserProducts[[#Headers],[Company]],1)</f>
        <v/>
      </c>
      <c r="U93" s="173" t="str" cm="1">
        <f t="array" ref="U93">Common_InputFunctions.Utility_DisplayArrayInTable(Fertiliser_SourceData.Fertiliser_Products_Data1(), FertiliserProducts[[#Headers],[Company]],1)</f>
        <v/>
      </c>
      <c r="V93" s="173" t="str" cm="1">
        <f t="array" ref="V93">Common_InputFunctions.Utility_DisplayArrayInTable(Fertiliser_SourceData.Fertiliser_Products_Data1(), FertiliserProducts[[#Headers],[Company]],1)</f>
        <v/>
      </c>
      <c r="W93" s="173" t="str" cm="1">
        <f t="array" ref="W93">Common_InputFunctions.Utility_DisplayArrayInTable(Fertiliser_SourceData.Fertiliser_Products_Data1(), FertiliserProducts[[#Headers],[Company]],1)</f>
        <v/>
      </c>
      <c r="X93" s="173" t="str" cm="1">
        <f t="array" ref="X93">Common_InputFunctions.Utility_DisplayArrayInTable(Fertiliser_SourceData.Fertiliser_Products_Data1(), FertiliserProducts[[#Headers],[Company]],1)</f>
        <v/>
      </c>
      <c r="Y93" s="173" t="str" cm="1">
        <f t="array" ref="Y93">Common_InputFunctions.Utility_DisplayArrayInTable(Fertiliser_SourceData.Fertiliser_Products_Data1(), FertiliserProducts[[#Headers],[Company]],1)</f>
        <v/>
      </c>
      <c r="Z93" s="173" t="str" cm="1">
        <f t="array" ref="Z93">Common_InputFunctions.Utility_DisplayArrayInTable(Fertiliser_SourceData.Fertiliser_Products_Data1(), FertiliserProducts[[#Headers],[Company]],1)</f>
        <v/>
      </c>
      <c r="AA93" s="173" t="str" cm="1">
        <f t="array" ref="AA93">Common_InputFunctions.Utility_DisplayArrayInTable(Fertiliser_SourceData.Fertiliser_Products_Data1(), FertiliserProducts[[#Headers],[Company]],1)</f>
        <v/>
      </c>
      <c r="AB93" s="173" t="str" cm="1">
        <f t="array" ref="AB93">Common_InputFunctions.Utility_DisplayArrayInTable(Fertiliser_SourceData.Fertiliser_Products_Data1(), FertiliserProducts[[#Headers],[Company]],1)</f>
        <v/>
      </c>
      <c r="AC93" s="173" t="str" cm="1">
        <f t="array" ref="AC93">Common_InputFunctions.Utility_DisplayArrayInTable(Fertiliser_SourceData.Fertiliser_Products_Data1(), FertiliserProducts[[#Headers],[Company]],1)</f>
        <v/>
      </c>
      <c r="AD93" s="173" t="str" cm="1">
        <f t="array" ref="AD93">Common_InputFunctions.Utility_DisplayArrayInTable(Fertiliser_SourceData.Fertiliser_Products_Data1(), FertiliserProducts[[#Headers],[Company]],1)</f>
        <v/>
      </c>
      <c r="AE93" s="173" t="str" cm="1">
        <f t="array" ref="AE93">Common_InputFunctions.Utility_DisplayArrayInTable(Fertiliser_SourceData.Fertiliser_Products_Data1(), FertiliserProducts[[#Headers],[Company]],1)</f>
        <v/>
      </c>
      <c r="AF93" s="173" t="str" cm="1">
        <f t="array" ref="AF93">Common_InputFunctions.Utility_DisplayArrayInTable(Fertiliser_SourceData.Fertiliser_Products_Data1(), FertiliserProducts[[#Headers],[Company]],1)</f>
        <v/>
      </c>
      <c r="AG93" s="173" t="str" cm="1">
        <f t="array" ref="AG93">Common_InputFunctions.Utility_DisplayArrayInTable(Fertiliser_SourceData.Fertiliser_Products_Data1(), FertiliserProducts[[#Headers],[Company]],1)</f>
        <v/>
      </c>
      <c r="AH93" s="173" t="str" cm="1">
        <f t="array" ref="AH93">Common_InputFunctions.Utility_DisplayArrayInTable(Fertiliser_SourceData.Fertiliser_Products_Data1(), FertiliserProducts[[#Headers],[Company]],1)</f>
        <v/>
      </c>
      <c r="AK93" s="1"/>
      <c r="AL93" s="1"/>
      <c r="AM93" s="1"/>
    </row>
    <row r="94" spans="4:39" ht="20.100000000000001" customHeight="1" x14ac:dyDescent="0.25">
      <c r="D94" s="173" t="str" cm="1">
        <f t="array" ref="D94">Common_InputFunctions.Utility_DisplayArrayInTable(Fertiliser_SourceData.Fertiliser_Products_Data1(), FertiliserProducts[[#Headers],[Company]],1)</f>
        <v>Campbells fertilisers Australia</v>
      </c>
      <c r="E94" s="173" t="str" cm="1">
        <f t="array" ref="E94">Common_InputFunctions.Utility_DisplayArrayInTable(Fertiliser_SourceData.Fertiliser_Products_Data1(), FertiliserProducts[[#Headers],[Company]],1)</f>
        <v>Aqua NitroCal (VI)</v>
      </c>
      <c r="F94" s="173" t="str" cm="1">
        <f t="array" ref="F94">Common_InputFunctions.Utility_DisplayArrayInTable(Fertiliser_SourceData.Fertiliser_Products_Data1(), FertiliserProducts[[#Headers],[Company]],1)</f>
        <v>L</v>
      </c>
      <c r="G94" s="173" cm="1">
        <f t="array" ref="G94">Common_InputFunctions.Utility_DisplayArrayInTable(Fertiliser_SourceData.Fertiliser_Products_Data1(), FertiliserProducts[[#Headers],[Company]],1)</f>
        <v>1.5</v>
      </c>
      <c r="H94" s="173" t="str" cm="1">
        <f t="array" ref="H94">Common_InputFunctions.Utility_DisplayArrayInTable(Fertiliser_SourceData.Fertiliser_Products_Data1(), FertiliserProducts[[#Headers],[Company]],1)</f>
        <v/>
      </c>
      <c r="I94" s="173" t="str" cm="1">
        <f t="array" ref="I94">Common_InputFunctions.Utility_DisplayArrayInTable(Fertiliser_SourceData.Fertiliser_Products_Data1(), FertiliserProducts[[#Headers],[Company]],1)</f>
        <v/>
      </c>
      <c r="J94" s="173" t="str" cm="1">
        <f t="array" ref="J94">Common_InputFunctions.Utility_DisplayArrayInTable(Fertiliser_SourceData.Fertiliser_Products_Data1(), FertiliserProducts[[#Headers],[Company]],1)</f>
        <v/>
      </c>
      <c r="K94" s="173" cm="1">
        <f t="array" ref="K94">Common_InputFunctions.Utility_DisplayArrayInTable(Fertiliser_SourceData.Fertiliser_Products_Data1(), FertiliserProducts[[#Headers],[Company]],1)</f>
        <v>13.2</v>
      </c>
      <c r="L94" s="173" t="str" cm="1">
        <f t="array" ref="L94">Common_InputFunctions.Utility_DisplayArrayInTable(Fertiliser_SourceData.Fertiliser_Products_Data1(), FertiliserProducts[[#Headers],[Company]],1)</f>
        <v/>
      </c>
      <c r="M94" s="173" t="str" cm="1">
        <f t="array" ref="M94">Common_InputFunctions.Utility_DisplayArrayInTable(Fertiliser_SourceData.Fertiliser_Products_Data1(), FertiliserProducts[[#Headers],[Company]],1)</f>
        <v/>
      </c>
      <c r="N94" s="173" t="str" cm="1">
        <f t="array" ref="N94">Common_InputFunctions.Utility_DisplayArrayInTable(Fertiliser_SourceData.Fertiliser_Products_Data1(), FertiliserProducts[[#Headers],[Company]],1)</f>
        <v/>
      </c>
      <c r="O94" s="173" t="str" cm="1">
        <f t="array" ref="O94">Common_InputFunctions.Utility_DisplayArrayInTable(Fertiliser_SourceData.Fertiliser_Products_Data1(), FertiliserProducts[[#Headers],[Company]],1)</f>
        <v>Calcium</v>
      </c>
      <c r="P94" s="173" cm="1">
        <f t="array" ref="P94">Common_InputFunctions.Utility_DisplayArrayInTable(Fertiliser_SourceData.Fertiliser_Products_Data1(), FertiliserProducts[[#Headers],[Company]],1)</f>
        <v>0.187</v>
      </c>
      <c r="Q94" s="173" t="str" cm="1">
        <f t="array" ref="Q94">Common_InputFunctions.Utility_DisplayArrayInTable(Fertiliser_SourceData.Fertiliser_Products_Data1(), FertiliserProducts[[#Headers],[Company]],1)</f>
        <v>Nitrogen - Nitrate</v>
      </c>
      <c r="R94" s="173" cm="1">
        <f t="array" ref="R94">Common_InputFunctions.Utility_DisplayArrayInTable(Fertiliser_SourceData.Fertiliser_Products_Data1(), FertiliserProducts[[#Headers],[Company]],1)</f>
        <v>0.13200000000000001</v>
      </c>
      <c r="S94" s="173" t="str" cm="1">
        <f t="array" ref="S94">Common_InputFunctions.Utility_DisplayArrayInTable(Fertiliser_SourceData.Fertiliser_Products_Data1(), FertiliserProducts[[#Headers],[Company]],1)</f>
        <v/>
      </c>
      <c r="T94" s="173" t="str" cm="1">
        <f t="array" ref="T94">Common_InputFunctions.Utility_DisplayArrayInTable(Fertiliser_SourceData.Fertiliser_Products_Data1(), FertiliserProducts[[#Headers],[Company]],1)</f>
        <v/>
      </c>
      <c r="U94" s="173" t="str" cm="1">
        <f t="array" ref="U94">Common_InputFunctions.Utility_DisplayArrayInTable(Fertiliser_SourceData.Fertiliser_Products_Data1(), FertiliserProducts[[#Headers],[Company]],1)</f>
        <v/>
      </c>
      <c r="V94" s="173" t="str" cm="1">
        <f t="array" ref="V94">Common_InputFunctions.Utility_DisplayArrayInTable(Fertiliser_SourceData.Fertiliser_Products_Data1(), FertiliserProducts[[#Headers],[Company]],1)</f>
        <v/>
      </c>
      <c r="W94" s="173" t="str" cm="1">
        <f t="array" ref="W94">Common_InputFunctions.Utility_DisplayArrayInTable(Fertiliser_SourceData.Fertiliser_Products_Data1(), FertiliserProducts[[#Headers],[Company]],1)</f>
        <v/>
      </c>
      <c r="X94" s="173" t="str" cm="1">
        <f t="array" ref="X94">Common_InputFunctions.Utility_DisplayArrayInTable(Fertiliser_SourceData.Fertiliser_Products_Data1(), FertiliserProducts[[#Headers],[Company]],1)</f>
        <v/>
      </c>
      <c r="Y94" s="173" t="str" cm="1">
        <f t="array" ref="Y94">Common_InputFunctions.Utility_DisplayArrayInTable(Fertiliser_SourceData.Fertiliser_Products_Data1(), FertiliserProducts[[#Headers],[Company]],1)</f>
        <v/>
      </c>
      <c r="Z94" s="173" t="str" cm="1">
        <f t="array" ref="Z94">Common_InputFunctions.Utility_DisplayArrayInTable(Fertiliser_SourceData.Fertiliser_Products_Data1(), FertiliserProducts[[#Headers],[Company]],1)</f>
        <v/>
      </c>
      <c r="AA94" s="173" t="str" cm="1">
        <f t="array" ref="AA94">Common_InputFunctions.Utility_DisplayArrayInTable(Fertiliser_SourceData.Fertiliser_Products_Data1(), FertiliserProducts[[#Headers],[Company]],1)</f>
        <v/>
      </c>
      <c r="AB94" s="173" t="str" cm="1">
        <f t="array" ref="AB94">Common_InputFunctions.Utility_DisplayArrayInTable(Fertiliser_SourceData.Fertiliser_Products_Data1(), FertiliserProducts[[#Headers],[Company]],1)</f>
        <v/>
      </c>
      <c r="AC94" s="173" t="str" cm="1">
        <f t="array" ref="AC94">Common_InputFunctions.Utility_DisplayArrayInTable(Fertiliser_SourceData.Fertiliser_Products_Data1(), FertiliserProducts[[#Headers],[Company]],1)</f>
        <v/>
      </c>
      <c r="AD94" s="173" t="str" cm="1">
        <f t="array" ref="AD94">Common_InputFunctions.Utility_DisplayArrayInTable(Fertiliser_SourceData.Fertiliser_Products_Data1(), FertiliserProducts[[#Headers],[Company]],1)</f>
        <v/>
      </c>
      <c r="AE94" s="173" t="str" cm="1">
        <f t="array" ref="AE94">Common_InputFunctions.Utility_DisplayArrayInTable(Fertiliser_SourceData.Fertiliser_Products_Data1(), FertiliserProducts[[#Headers],[Company]],1)</f>
        <v/>
      </c>
      <c r="AF94" s="173" t="str" cm="1">
        <f t="array" ref="AF94">Common_InputFunctions.Utility_DisplayArrayInTable(Fertiliser_SourceData.Fertiliser_Products_Data1(), FertiliserProducts[[#Headers],[Company]],1)</f>
        <v/>
      </c>
      <c r="AG94" s="173" t="str" cm="1">
        <f t="array" ref="AG94">Common_InputFunctions.Utility_DisplayArrayInTable(Fertiliser_SourceData.Fertiliser_Products_Data1(), FertiliserProducts[[#Headers],[Company]],1)</f>
        <v/>
      </c>
      <c r="AH94" s="173" t="str" cm="1">
        <f t="array" ref="AH94">Common_InputFunctions.Utility_DisplayArrayInTable(Fertiliser_SourceData.Fertiliser_Products_Data1(), FertiliserProducts[[#Headers],[Company]],1)</f>
        <v/>
      </c>
      <c r="AK94" s="1"/>
      <c r="AL94" s="1"/>
      <c r="AM94" s="1"/>
    </row>
    <row r="95" spans="4:39" ht="20.100000000000001" customHeight="1" x14ac:dyDescent="0.25">
      <c r="D95" s="173" t="str" cm="1">
        <f t="array" ref="D95">Common_InputFunctions.Utility_DisplayArrayInTable(Fertiliser_SourceData.Fertiliser_Products_Data1(), FertiliserProducts[[#Headers],[Company]],1)</f>
        <v>Campbells fertilisers Australia</v>
      </c>
      <c r="E95" s="173" t="str" cm="1">
        <f t="array" ref="E95">Common_InputFunctions.Utility_DisplayArrayInTable(Fertiliser_SourceData.Fertiliser_Products_Data1(), FertiliserProducts[[#Headers],[Company]],1)</f>
        <v>Aqua NitroCal Ultimate</v>
      </c>
      <c r="F95" s="173" t="str" cm="1">
        <f t="array" ref="F95">Common_InputFunctions.Utility_DisplayArrayInTable(Fertiliser_SourceData.Fertiliser_Products_Data1(), FertiliserProducts[[#Headers],[Company]],1)</f>
        <v>L</v>
      </c>
      <c r="G95" s="173" cm="1">
        <f t="array" ref="G95">Common_InputFunctions.Utility_DisplayArrayInTable(Fertiliser_SourceData.Fertiliser_Products_Data1(), FertiliserProducts[[#Headers],[Company]],1)</f>
        <v>1.5</v>
      </c>
      <c r="H95" s="173" t="str" cm="1">
        <f t="array" ref="H95">Common_InputFunctions.Utility_DisplayArrayInTable(Fertiliser_SourceData.Fertiliser_Products_Data1(), FertiliserProducts[[#Headers],[Company]],1)</f>
        <v/>
      </c>
      <c r="I95" s="173" t="str" cm="1">
        <f t="array" ref="I95">Common_InputFunctions.Utility_DisplayArrayInTable(Fertiliser_SourceData.Fertiliser_Products_Data1(), FertiliserProducts[[#Headers],[Company]],1)</f>
        <v/>
      </c>
      <c r="J95" s="173" t="str" cm="1">
        <f t="array" ref="J95">Common_InputFunctions.Utility_DisplayArrayInTable(Fertiliser_SourceData.Fertiliser_Products_Data1(), FertiliserProducts[[#Headers],[Company]],1)</f>
        <v/>
      </c>
      <c r="K95" s="173" cm="1">
        <f t="array" ref="K95">Common_InputFunctions.Utility_DisplayArrayInTable(Fertiliser_SourceData.Fertiliser_Products_Data1(), FertiliserProducts[[#Headers],[Company]],1)</f>
        <v>13.2</v>
      </c>
      <c r="L95" s="173" t="str" cm="1">
        <f t="array" ref="L95">Common_InputFunctions.Utility_DisplayArrayInTable(Fertiliser_SourceData.Fertiliser_Products_Data1(), FertiliserProducts[[#Headers],[Company]],1)</f>
        <v/>
      </c>
      <c r="M95" s="173" t="str" cm="1">
        <f t="array" ref="M95">Common_InputFunctions.Utility_DisplayArrayInTable(Fertiliser_SourceData.Fertiliser_Products_Data1(), FertiliserProducts[[#Headers],[Company]],1)</f>
        <v/>
      </c>
      <c r="N95" s="173" t="str" cm="1">
        <f t="array" ref="N95">Common_InputFunctions.Utility_DisplayArrayInTable(Fertiliser_SourceData.Fertiliser_Products_Data1(), FertiliserProducts[[#Headers],[Company]],1)</f>
        <v/>
      </c>
      <c r="O95" s="173" t="str" cm="1">
        <f t="array" ref="O95">Common_InputFunctions.Utility_DisplayArrayInTable(Fertiliser_SourceData.Fertiliser_Products_Data1(), FertiliserProducts[[#Headers],[Company]],1)</f>
        <v>Calcium</v>
      </c>
      <c r="P95" s="173" cm="1">
        <f t="array" ref="P95">Common_InputFunctions.Utility_DisplayArrayInTable(Fertiliser_SourceData.Fertiliser_Products_Data1(), FertiliserProducts[[#Headers],[Company]],1)</f>
        <v>0.183</v>
      </c>
      <c r="Q95" s="173" t="str" cm="1">
        <f t="array" ref="Q95">Common_InputFunctions.Utility_DisplayArrayInTable(Fertiliser_SourceData.Fertiliser_Products_Data1(), FertiliserProducts[[#Headers],[Company]],1)</f>
        <v>Nitrogen - Nitrate</v>
      </c>
      <c r="R95" s="173" cm="1">
        <f t="array" ref="R95">Common_InputFunctions.Utility_DisplayArrayInTable(Fertiliser_SourceData.Fertiliser_Products_Data1(), FertiliserProducts[[#Headers],[Company]],1)</f>
        <v>0.13200000000000001</v>
      </c>
      <c r="S95" s="173" t="str" cm="1">
        <f t="array" ref="S95">Common_InputFunctions.Utility_DisplayArrayInTable(Fertiliser_SourceData.Fertiliser_Products_Data1(), FertiliserProducts[[#Headers],[Company]],1)</f>
        <v/>
      </c>
      <c r="T95" s="173" t="str" cm="1">
        <f t="array" ref="T95">Common_InputFunctions.Utility_DisplayArrayInTable(Fertiliser_SourceData.Fertiliser_Products_Data1(), FertiliserProducts[[#Headers],[Company]],1)</f>
        <v/>
      </c>
      <c r="U95" s="173" t="str" cm="1">
        <f t="array" ref="U95">Common_InputFunctions.Utility_DisplayArrayInTable(Fertiliser_SourceData.Fertiliser_Products_Data1(), FertiliserProducts[[#Headers],[Company]],1)</f>
        <v/>
      </c>
      <c r="V95" s="173" t="str" cm="1">
        <f t="array" ref="V95">Common_InputFunctions.Utility_DisplayArrayInTable(Fertiliser_SourceData.Fertiliser_Products_Data1(), FertiliserProducts[[#Headers],[Company]],1)</f>
        <v/>
      </c>
      <c r="W95" s="173" t="str" cm="1">
        <f t="array" ref="W95">Common_InputFunctions.Utility_DisplayArrayInTable(Fertiliser_SourceData.Fertiliser_Products_Data1(), FertiliserProducts[[#Headers],[Company]],1)</f>
        <v/>
      </c>
      <c r="X95" s="173" t="str" cm="1">
        <f t="array" ref="X95">Common_InputFunctions.Utility_DisplayArrayInTable(Fertiliser_SourceData.Fertiliser_Products_Data1(), FertiliserProducts[[#Headers],[Company]],1)</f>
        <v/>
      </c>
      <c r="Y95" s="173" t="str" cm="1">
        <f t="array" ref="Y95">Common_InputFunctions.Utility_DisplayArrayInTable(Fertiliser_SourceData.Fertiliser_Products_Data1(), FertiliserProducts[[#Headers],[Company]],1)</f>
        <v/>
      </c>
      <c r="Z95" s="173" t="str" cm="1">
        <f t="array" ref="Z95">Common_InputFunctions.Utility_DisplayArrayInTable(Fertiliser_SourceData.Fertiliser_Products_Data1(), FertiliserProducts[[#Headers],[Company]],1)</f>
        <v/>
      </c>
      <c r="AA95" s="173" t="str" cm="1">
        <f t="array" ref="AA95">Common_InputFunctions.Utility_DisplayArrayInTable(Fertiliser_SourceData.Fertiliser_Products_Data1(), FertiliserProducts[[#Headers],[Company]],1)</f>
        <v/>
      </c>
      <c r="AB95" s="173" t="str" cm="1">
        <f t="array" ref="AB95">Common_InputFunctions.Utility_DisplayArrayInTable(Fertiliser_SourceData.Fertiliser_Products_Data1(), FertiliserProducts[[#Headers],[Company]],1)</f>
        <v/>
      </c>
      <c r="AC95" s="173" t="str" cm="1">
        <f t="array" ref="AC95">Common_InputFunctions.Utility_DisplayArrayInTable(Fertiliser_SourceData.Fertiliser_Products_Data1(), FertiliserProducts[[#Headers],[Company]],1)</f>
        <v/>
      </c>
      <c r="AD95" s="173" t="str" cm="1">
        <f t="array" ref="AD95">Common_InputFunctions.Utility_DisplayArrayInTable(Fertiliser_SourceData.Fertiliser_Products_Data1(), FertiliserProducts[[#Headers],[Company]],1)</f>
        <v/>
      </c>
      <c r="AE95" s="173" t="str" cm="1">
        <f t="array" ref="AE95">Common_InputFunctions.Utility_DisplayArrayInTable(Fertiliser_SourceData.Fertiliser_Products_Data1(), FertiliserProducts[[#Headers],[Company]],1)</f>
        <v/>
      </c>
      <c r="AF95" s="173" t="str" cm="1">
        <f t="array" ref="AF95">Common_InputFunctions.Utility_DisplayArrayInTable(Fertiliser_SourceData.Fertiliser_Products_Data1(), FertiliserProducts[[#Headers],[Company]],1)</f>
        <v/>
      </c>
      <c r="AG95" s="173" t="str" cm="1">
        <f t="array" ref="AG95">Common_InputFunctions.Utility_DisplayArrayInTable(Fertiliser_SourceData.Fertiliser_Products_Data1(), FertiliserProducts[[#Headers],[Company]],1)</f>
        <v/>
      </c>
      <c r="AH95" s="173" t="str" cm="1">
        <f t="array" ref="AH95">Common_InputFunctions.Utility_DisplayArrayInTable(Fertiliser_SourceData.Fertiliser_Products_Data1(), FertiliserProducts[[#Headers],[Company]],1)</f>
        <v/>
      </c>
      <c r="AK95" s="1"/>
      <c r="AL95" s="1"/>
      <c r="AM95" s="1"/>
    </row>
    <row r="96" spans="4:39" ht="20.100000000000001" customHeight="1" x14ac:dyDescent="0.25">
      <c r="D96" s="173" t="str" cm="1">
        <f t="array" ref="D96">Common_InputFunctions.Utility_DisplayArrayInTable(Fertiliser_SourceData.Fertiliser_Products_Data1(), FertiliserProducts[[#Headers],[Company]],1)</f>
        <v>Campbells fertilisers Australia</v>
      </c>
      <c r="E96" s="173" t="str" cm="1">
        <f t="array" ref="E96">Common_InputFunctions.Utility_DisplayArrayInTable(Fertiliser_SourceData.Fertiliser_Products_Data1(), FertiliserProducts[[#Headers],[Company]],1)</f>
        <v>Aqua Start</v>
      </c>
      <c r="F96" s="173" t="str" cm="1">
        <f t="array" ref="F96">Common_InputFunctions.Utility_DisplayArrayInTable(Fertiliser_SourceData.Fertiliser_Products_Data1(), FertiliserProducts[[#Headers],[Company]],1)</f>
        <v>L</v>
      </c>
      <c r="G96" s="173" cm="1">
        <f t="array" ref="G96">Common_InputFunctions.Utility_DisplayArrayInTable(Fertiliser_SourceData.Fertiliser_Products_Data1(), FertiliserProducts[[#Headers],[Company]],1)</f>
        <v>1.25</v>
      </c>
      <c r="H96" s="173" t="str" cm="1">
        <f t="array" ref="H96">Common_InputFunctions.Utility_DisplayArrayInTable(Fertiliser_SourceData.Fertiliser_Products_Data1(), FertiliserProducts[[#Headers],[Company]],1)</f>
        <v/>
      </c>
      <c r="I96" s="173" t="str" cm="1">
        <f t="array" ref="I96">Common_InputFunctions.Utility_DisplayArrayInTable(Fertiliser_SourceData.Fertiliser_Products_Data1(), FertiliserProducts[[#Headers],[Company]],1)</f>
        <v/>
      </c>
      <c r="J96" s="173" t="str" cm="1">
        <f t="array" ref="J96">Common_InputFunctions.Utility_DisplayArrayInTable(Fertiliser_SourceData.Fertiliser_Products_Data1(), FertiliserProducts[[#Headers],[Company]],1)</f>
        <v/>
      </c>
      <c r="K96" s="173" cm="1">
        <f t="array" ref="K96">Common_InputFunctions.Utility_DisplayArrayInTable(Fertiliser_SourceData.Fertiliser_Products_Data1(), FertiliserProducts[[#Headers],[Company]],1)</f>
        <v>10.3</v>
      </c>
      <c r="L96" s="173" cm="1">
        <f t="array" ref="L96">Common_InputFunctions.Utility_DisplayArrayInTable(Fertiliser_SourceData.Fertiliser_Products_Data1(), FertiliserProducts[[#Headers],[Company]],1)</f>
        <v>10</v>
      </c>
      <c r="M96" s="173" cm="1">
        <f t="array" ref="M96">Common_InputFunctions.Utility_DisplayArrayInTable(Fertiliser_SourceData.Fertiliser_Products_Data1(), FertiliserProducts[[#Headers],[Company]],1)</f>
        <v>3.4</v>
      </c>
      <c r="N96" s="173" t="str" cm="1">
        <f t="array" ref="N96">Common_InputFunctions.Utility_DisplayArrayInTable(Fertiliser_SourceData.Fertiliser_Products_Data1(), FertiliserProducts[[#Headers],[Company]],1)</f>
        <v/>
      </c>
      <c r="O96" s="173" t="str" cm="1">
        <f t="array" ref="O96">Common_InputFunctions.Utility_DisplayArrayInTable(Fertiliser_SourceData.Fertiliser_Products_Data1(), FertiliserProducts[[#Headers],[Company]],1)</f>
        <v>Nitrogen - Generic</v>
      </c>
      <c r="P96" s="173" cm="1">
        <f t="array" ref="P96">Common_InputFunctions.Utility_DisplayArrayInTable(Fertiliser_SourceData.Fertiliser_Products_Data1(), FertiliserProducts[[#Headers],[Company]],1)</f>
        <v>0.10299999999999999</v>
      </c>
      <c r="Q96" s="173" t="str" cm="1">
        <f t="array" ref="Q96">Common_InputFunctions.Utility_DisplayArrayInTable(Fertiliser_SourceData.Fertiliser_Products_Data1(), FertiliserProducts[[#Headers],[Company]],1)</f>
        <v>Phosphorus - Generic</v>
      </c>
      <c r="R96" s="173" cm="1">
        <f t="array" ref="R96">Common_InputFunctions.Utility_DisplayArrayInTable(Fertiliser_SourceData.Fertiliser_Products_Data1(), FertiliserProducts[[#Headers],[Company]],1)</f>
        <v>0.1</v>
      </c>
      <c r="S96" s="173" t="str" cm="1">
        <f t="array" ref="S96">Common_InputFunctions.Utility_DisplayArrayInTable(Fertiliser_SourceData.Fertiliser_Products_Data1(), FertiliserProducts[[#Headers],[Company]],1)</f>
        <v>Potassium - Generic</v>
      </c>
      <c r="T96" s="173" cm="1">
        <f t="array" ref="T96">Common_InputFunctions.Utility_DisplayArrayInTable(Fertiliser_SourceData.Fertiliser_Products_Data1(), FertiliserProducts[[#Headers],[Company]],1)</f>
        <v>3.4000000000000002E-2</v>
      </c>
      <c r="U96" s="173" t="str" cm="1">
        <f t="array" ref="U96">Common_InputFunctions.Utility_DisplayArrayInTable(Fertiliser_SourceData.Fertiliser_Products_Data1(), FertiliserProducts[[#Headers],[Company]],1)</f>
        <v/>
      </c>
      <c r="V96" s="173" t="str" cm="1">
        <f t="array" ref="V96">Common_InputFunctions.Utility_DisplayArrayInTable(Fertiliser_SourceData.Fertiliser_Products_Data1(), FertiliserProducts[[#Headers],[Company]],1)</f>
        <v/>
      </c>
      <c r="W96" s="173" t="str" cm="1">
        <f t="array" ref="W96">Common_InputFunctions.Utility_DisplayArrayInTable(Fertiliser_SourceData.Fertiliser_Products_Data1(), FertiliserProducts[[#Headers],[Company]],1)</f>
        <v/>
      </c>
      <c r="X96" s="173" t="str" cm="1">
        <f t="array" ref="X96">Common_InputFunctions.Utility_DisplayArrayInTable(Fertiliser_SourceData.Fertiliser_Products_Data1(), FertiliserProducts[[#Headers],[Company]],1)</f>
        <v/>
      </c>
      <c r="Y96" s="173" t="str" cm="1">
        <f t="array" ref="Y96">Common_InputFunctions.Utility_DisplayArrayInTable(Fertiliser_SourceData.Fertiliser_Products_Data1(), FertiliserProducts[[#Headers],[Company]],1)</f>
        <v/>
      </c>
      <c r="Z96" s="173" t="str" cm="1">
        <f t="array" ref="Z96">Common_InputFunctions.Utility_DisplayArrayInTable(Fertiliser_SourceData.Fertiliser_Products_Data1(), FertiliserProducts[[#Headers],[Company]],1)</f>
        <v/>
      </c>
      <c r="AA96" s="173" t="str" cm="1">
        <f t="array" ref="AA96">Common_InputFunctions.Utility_DisplayArrayInTable(Fertiliser_SourceData.Fertiliser_Products_Data1(), FertiliserProducts[[#Headers],[Company]],1)</f>
        <v/>
      </c>
      <c r="AB96" s="173" t="str" cm="1">
        <f t="array" ref="AB96">Common_InputFunctions.Utility_DisplayArrayInTable(Fertiliser_SourceData.Fertiliser_Products_Data1(), FertiliserProducts[[#Headers],[Company]],1)</f>
        <v/>
      </c>
      <c r="AC96" s="173" t="str" cm="1">
        <f t="array" ref="AC96">Common_InputFunctions.Utility_DisplayArrayInTable(Fertiliser_SourceData.Fertiliser_Products_Data1(), FertiliserProducts[[#Headers],[Company]],1)</f>
        <v/>
      </c>
      <c r="AD96" s="173" t="str" cm="1">
        <f t="array" ref="AD96">Common_InputFunctions.Utility_DisplayArrayInTable(Fertiliser_SourceData.Fertiliser_Products_Data1(), FertiliserProducts[[#Headers],[Company]],1)</f>
        <v/>
      </c>
      <c r="AE96" s="173" t="str" cm="1">
        <f t="array" ref="AE96">Common_InputFunctions.Utility_DisplayArrayInTable(Fertiliser_SourceData.Fertiliser_Products_Data1(), FertiliserProducts[[#Headers],[Company]],1)</f>
        <v/>
      </c>
      <c r="AF96" s="173" t="str" cm="1">
        <f t="array" ref="AF96">Common_InputFunctions.Utility_DisplayArrayInTable(Fertiliser_SourceData.Fertiliser_Products_Data1(), FertiliserProducts[[#Headers],[Company]],1)</f>
        <v/>
      </c>
      <c r="AG96" s="173" t="str" cm="1">
        <f t="array" ref="AG96">Common_InputFunctions.Utility_DisplayArrayInTable(Fertiliser_SourceData.Fertiliser_Products_Data1(), FertiliserProducts[[#Headers],[Company]],1)</f>
        <v/>
      </c>
      <c r="AH96" s="173" t="str" cm="1">
        <f t="array" ref="AH96">Common_InputFunctions.Utility_DisplayArrayInTable(Fertiliser_SourceData.Fertiliser_Products_Data1(), FertiliserProducts[[#Headers],[Company]],1)</f>
        <v/>
      </c>
      <c r="AK96" s="1"/>
      <c r="AL96" s="1"/>
      <c r="AM96" s="1"/>
    </row>
    <row r="97" spans="4:39" ht="20.100000000000001" customHeight="1" x14ac:dyDescent="0.25">
      <c r="D97" s="173" t="str" cm="1">
        <f t="array" ref="D97">Common_InputFunctions.Utility_DisplayArrayInTable(Fertiliser_SourceData.Fertiliser_Products_Data1(), FertiliserProducts[[#Headers],[Company]],1)</f>
        <v>Campbells fertilisers Australia</v>
      </c>
      <c r="E97" s="173" t="str" cm="1">
        <f t="array" ref="E97">Common_InputFunctions.Utility_DisplayArrayInTable(Fertiliser_SourceData.Fertiliser_Products_Data1(), FertiliserProducts[[#Headers],[Company]],1)</f>
        <v>Aqua Thio-Complete</v>
      </c>
      <c r="F97" s="173" t="str" cm="1">
        <f t="array" ref="F97">Common_InputFunctions.Utility_DisplayArrayInTable(Fertiliser_SourceData.Fertiliser_Products_Data1(), FertiliserProducts[[#Headers],[Company]],1)</f>
        <v>L</v>
      </c>
      <c r="G97" s="173" cm="1">
        <f t="array" ref="G97">Common_InputFunctions.Utility_DisplayArrayInTable(Fertiliser_SourceData.Fertiliser_Products_Data1(), FertiliserProducts[[#Headers],[Company]],1)</f>
        <v>1.43</v>
      </c>
      <c r="H97" s="173" t="str" cm="1">
        <f t="array" ref="H97">Common_InputFunctions.Utility_DisplayArrayInTable(Fertiliser_SourceData.Fertiliser_Products_Data1(), FertiliserProducts[[#Headers],[Company]],1)</f>
        <v/>
      </c>
      <c r="I97" s="173" t="str" cm="1">
        <f t="array" ref="I97">Common_InputFunctions.Utility_DisplayArrayInTable(Fertiliser_SourceData.Fertiliser_Products_Data1(), FertiliserProducts[[#Headers],[Company]],1)</f>
        <v/>
      </c>
      <c r="J97" s="173" t="str" cm="1">
        <f t="array" ref="J97">Common_InputFunctions.Utility_DisplayArrayInTable(Fertiliser_SourceData.Fertiliser_Products_Data1(), FertiliserProducts[[#Headers],[Company]],1)</f>
        <v/>
      </c>
      <c r="K97" s="173" cm="1">
        <f t="array" ref="K97">Common_InputFunctions.Utility_DisplayArrayInTable(Fertiliser_SourceData.Fertiliser_Products_Data1(), FertiliserProducts[[#Headers],[Company]],1)</f>
        <v>2.5</v>
      </c>
      <c r="L97" s="173" cm="1">
        <f t="array" ref="L97">Common_InputFunctions.Utility_DisplayArrayInTable(Fertiliser_SourceData.Fertiliser_Products_Data1(), FertiliserProducts[[#Headers],[Company]],1)</f>
        <v>3.8</v>
      </c>
      <c r="M97" s="173" cm="1">
        <f t="array" ref="M97">Common_InputFunctions.Utility_DisplayArrayInTable(Fertiliser_SourceData.Fertiliser_Products_Data1(), FertiliserProducts[[#Headers],[Company]],1)</f>
        <v>22.5</v>
      </c>
      <c r="N97" s="173" t="str" cm="1">
        <f t="array" ref="N97">Common_InputFunctions.Utility_DisplayArrayInTable(Fertiliser_SourceData.Fertiliser_Products_Data1(), FertiliserProducts[[#Headers],[Company]],1)</f>
        <v/>
      </c>
      <c r="O97" s="173" t="str" cm="1">
        <f t="array" ref="O97">Common_InputFunctions.Utility_DisplayArrayInTable(Fertiliser_SourceData.Fertiliser_Products_Data1(), FertiliserProducts[[#Headers],[Company]],1)</f>
        <v>Potassium - Generic</v>
      </c>
      <c r="P97" s="173" cm="1">
        <f t="array" ref="P97">Common_InputFunctions.Utility_DisplayArrayInTable(Fertiliser_SourceData.Fertiliser_Products_Data1(), FertiliserProducts[[#Headers],[Company]],1)</f>
        <v>0.22500000000000001</v>
      </c>
      <c r="Q97" s="173" t="str" cm="1">
        <f t="array" ref="Q97">Common_InputFunctions.Utility_DisplayArrayInTable(Fertiliser_SourceData.Fertiliser_Products_Data1(), FertiliserProducts[[#Headers],[Company]],1)</f>
        <v>Phosphorus - Generic</v>
      </c>
      <c r="R97" s="173" cm="1">
        <f t="array" ref="R97">Common_InputFunctions.Utility_DisplayArrayInTable(Fertiliser_SourceData.Fertiliser_Products_Data1(), FertiliserProducts[[#Headers],[Company]],1)</f>
        <v>3.7999999999999999E-2</v>
      </c>
      <c r="S97" s="173" t="str" cm="1">
        <f t="array" ref="S97">Common_InputFunctions.Utility_DisplayArrayInTable(Fertiliser_SourceData.Fertiliser_Products_Data1(), FertiliserProducts[[#Headers],[Company]],1)</f>
        <v>Nitrogen - Generic</v>
      </c>
      <c r="T97" s="173" cm="1">
        <f t="array" ref="T97">Common_InputFunctions.Utility_DisplayArrayInTable(Fertiliser_SourceData.Fertiliser_Products_Data1(), FertiliserProducts[[#Headers],[Company]],1)</f>
        <v>2.5000000000000001E-2</v>
      </c>
      <c r="U97" s="173" t="str" cm="1">
        <f t="array" ref="U97">Common_InputFunctions.Utility_DisplayArrayInTable(Fertiliser_SourceData.Fertiliser_Products_Data1(), FertiliserProducts[[#Headers],[Company]],1)</f>
        <v/>
      </c>
      <c r="V97" s="173" t="str" cm="1">
        <f t="array" ref="V97">Common_InputFunctions.Utility_DisplayArrayInTable(Fertiliser_SourceData.Fertiliser_Products_Data1(), FertiliserProducts[[#Headers],[Company]],1)</f>
        <v/>
      </c>
      <c r="W97" s="173" t="str" cm="1">
        <f t="array" ref="W97">Common_InputFunctions.Utility_DisplayArrayInTable(Fertiliser_SourceData.Fertiliser_Products_Data1(), FertiliserProducts[[#Headers],[Company]],1)</f>
        <v/>
      </c>
      <c r="X97" s="173" t="str" cm="1">
        <f t="array" ref="X97">Common_InputFunctions.Utility_DisplayArrayInTable(Fertiliser_SourceData.Fertiliser_Products_Data1(), FertiliserProducts[[#Headers],[Company]],1)</f>
        <v/>
      </c>
      <c r="Y97" s="173" t="str" cm="1">
        <f t="array" ref="Y97">Common_InputFunctions.Utility_DisplayArrayInTable(Fertiliser_SourceData.Fertiliser_Products_Data1(), FertiliserProducts[[#Headers],[Company]],1)</f>
        <v/>
      </c>
      <c r="Z97" s="173" t="str" cm="1">
        <f t="array" ref="Z97">Common_InputFunctions.Utility_DisplayArrayInTable(Fertiliser_SourceData.Fertiliser_Products_Data1(), FertiliserProducts[[#Headers],[Company]],1)</f>
        <v/>
      </c>
      <c r="AA97" s="173" t="str" cm="1">
        <f t="array" ref="AA97">Common_InputFunctions.Utility_DisplayArrayInTable(Fertiliser_SourceData.Fertiliser_Products_Data1(), FertiliserProducts[[#Headers],[Company]],1)</f>
        <v/>
      </c>
      <c r="AB97" s="173" t="str" cm="1">
        <f t="array" ref="AB97">Common_InputFunctions.Utility_DisplayArrayInTable(Fertiliser_SourceData.Fertiliser_Products_Data1(), FertiliserProducts[[#Headers],[Company]],1)</f>
        <v/>
      </c>
      <c r="AC97" s="173" t="str" cm="1">
        <f t="array" ref="AC97">Common_InputFunctions.Utility_DisplayArrayInTable(Fertiliser_SourceData.Fertiliser_Products_Data1(), FertiliserProducts[[#Headers],[Company]],1)</f>
        <v/>
      </c>
      <c r="AD97" s="173" t="str" cm="1">
        <f t="array" ref="AD97">Common_InputFunctions.Utility_DisplayArrayInTable(Fertiliser_SourceData.Fertiliser_Products_Data1(), FertiliserProducts[[#Headers],[Company]],1)</f>
        <v/>
      </c>
      <c r="AE97" s="173" t="str" cm="1">
        <f t="array" ref="AE97">Common_InputFunctions.Utility_DisplayArrayInTable(Fertiliser_SourceData.Fertiliser_Products_Data1(), FertiliserProducts[[#Headers],[Company]],1)</f>
        <v/>
      </c>
      <c r="AF97" s="173" t="str" cm="1">
        <f t="array" ref="AF97">Common_InputFunctions.Utility_DisplayArrayInTable(Fertiliser_SourceData.Fertiliser_Products_Data1(), FertiliserProducts[[#Headers],[Company]],1)</f>
        <v/>
      </c>
      <c r="AG97" s="173" t="str" cm="1">
        <f t="array" ref="AG97">Common_InputFunctions.Utility_DisplayArrayInTable(Fertiliser_SourceData.Fertiliser_Products_Data1(), FertiliserProducts[[#Headers],[Company]],1)</f>
        <v/>
      </c>
      <c r="AH97" s="173" t="str" cm="1">
        <f t="array" ref="AH97">Common_InputFunctions.Utility_DisplayArrayInTable(Fertiliser_SourceData.Fertiliser_Products_Data1(), FertiliserProducts[[#Headers],[Company]],1)</f>
        <v/>
      </c>
      <c r="AK97" s="1"/>
      <c r="AL97" s="1"/>
      <c r="AM97" s="1"/>
    </row>
    <row r="98" spans="4:39" ht="20.100000000000001" customHeight="1" x14ac:dyDescent="0.25">
      <c r="D98" s="173" t="str" cm="1">
        <f t="array" ref="D98">Common_InputFunctions.Utility_DisplayArrayInTable(Fertiliser_SourceData.Fertiliser_Products_Data1(), FertiliserProducts[[#Headers],[Company]],1)</f>
        <v>Campbells fertilisers Australia</v>
      </c>
      <c r="E98" s="173" t="str" cm="1">
        <f t="array" ref="E98">Common_InputFunctions.Utility_DisplayArrayInTable(Fertiliser_SourceData.Fertiliser_Products_Data1(), FertiliserProducts[[#Headers],[Company]],1)</f>
        <v>Aqua Thio-Emerge</v>
      </c>
      <c r="F98" s="173" t="str" cm="1">
        <f t="array" ref="F98">Common_InputFunctions.Utility_DisplayArrayInTable(Fertiliser_SourceData.Fertiliser_Products_Data1(), FertiliserProducts[[#Headers],[Company]],1)</f>
        <v>L</v>
      </c>
      <c r="G98" s="173" cm="1">
        <f t="array" ref="G98">Common_InputFunctions.Utility_DisplayArrayInTable(Fertiliser_SourceData.Fertiliser_Products_Data1(), FertiliserProducts[[#Headers],[Company]],1)</f>
        <v>1.29</v>
      </c>
      <c r="H98" s="173" t="str" cm="1">
        <f t="array" ref="H98">Common_InputFunctions.Utility_DisplayArrayInTable(Fertiliser_SourceData.Fertiliser_Products_Data1(), FertiliserProducts[[#Headers],[Company]],1)</f>
        <v/>
      </c>
      <c r="I98" s="173" t="str" cm="1">
        <f t="array" ref="I98">Common_InputFunctions.Utility_DisplayArrayInTable(Fertiliser_SourceData.Fertiliser_Products_Data1(), FertiliserProducts[[#Headers],[Company]],1)</f>
        <v/>
      </c>
      <c r="J98" s="173" t="str" cm="1">
        <f t="array" ref="J98">Common_InputFunctions.Utility_DisplayArrayInTable(Fertiliser_SourceData.Fertiliser_Products_Data1(), FertiliserProducts[[#Headers],[Company]],1)</f>
        <v/>
      </c>
      <c r="K98" s="173" cm="1">
        <f t="array" ref="K98">Common_InputFunctions.Utility_DisplayArrayInTable(Fertiliser_SourceData.Fertiliser_Products_Data1(), FertiliserProducts[[#Headers],[Company]],1)</f>
        <v>10.5</v>
      </c>
      <c r="L98" s="173" cm="1">
        <f t="array" ref="L98">Common_InputFunctions.Utility_DisplayArrayInTable(Fertiliser_SourceData.Fertiliser_Products_Data1(), FertiliserProducts[[#Headers],[Company]],1)</f>
        <v>9.4</v>
      </c>
      <c r="M98" s="173" cm="1">
        <f t="array" ref="M98">Common_InputFunctions.Utility_DisplayArrayInTable(Fertiliser_SourceData.Fertiliser_Products_Data1(), FertiliserProducts[[#Headers],[Company]],1)</f>
        <v>4</v>
      </c>
      <c r="N98" s="173" cm="1">
        <f t="array" ref="N98">Common_InputFunctions.Utility_DisplayArrayInTable(Fertiliser_SourceData.Fertiliser_Products_Data1(), FertiliserProducts[[#Headers],[Company]],1)</f>
        <v>3</v>
      </c>
      <c r="O98" s="173" t="str" cm="1">
        <f t="array" ref="O98">Common_InputFunctions.Utility_DisplayArrayInTable(Fertiliser_SourceData.Fertiliser_Products_Data1(), FertiliserProducts[[#Headers],[Company]],1)</f>
        <v>Nitrogen - Generic</v>
      </c>
      <c r="P98" s="173" cm="1">
        <f t="array" ref="P98">Common_InputFunctions.Utility_DisplayArrayInTable(Fertiliser_SourceData.Fertiliser_Products_Data1(), FertiliserProducts[[#Headers],[Company]],1)</f>
        <v>0.105</v>
      </c>
      <c r="Q98" s="173" t="str" cm="1">
        <f t="array" ref="Q98">Common_InputFunctions.Utility_DisplayArrayInTable(Fertiliser_SourceData.Fertiliser_Products_Data1(), FertiliserProducts[[#Headers],[Company]],1)</f>
        <v>Phosphorus - Generic</v>
      </c>
      <c r="R98" s="173" cm="1">
        <f t="array" ref="R98">Common_InputFunctions.Utility_DisplayArrayInTable(Fertiliser_SourceData.Fertiliser_Products_Data1(), FertiliserProducts[[#Headers],[Company]],1)</f>
        <v>9.4E-2</v>
      </c>
      <c r="S98" s="173" t="str" cm="1">
        <f t="array" ref="S98">Common_InputFunctions.Utility_DisplayArrayInTable(Fertiliser_SourceData.Fertiliser_Products_Data1(), FertiliserProducts[[#Headers],[Company]],1)</f>
        <v>Potassium - Generic</v>
      </c>
      <c r="T98" s="173" cm="1">
        <f t="array" ref="T98">Common_InputFunctions.Utility_DisplayArrayInTable(Fertiliser_SourceData.Fertiliser_Products_Data1(), FertiliserProducts[[#Headers],[Company]],1)</f>
        <v>0.04</v>
      </c>
      <c r="U98" s="173" t="str" cm="1">
        <f t="array" ref="U98">Common_InputFunctions.Utility_DisplayArrayInTable(Fertiliser_SourceData.Fertiliser_Products_Data1(), FertiliserProducts[[#Headers],[Company]],1)</f>
        <v>Sulfur - Generic</v>
      </c>
      <c r="V98" s="173" cm="1">
        <f t="array" ref="V98">Common_InputFunctions.Utility_DisplayArrayInTable(Fertiliser_SourceData.Fertiliser_Products_Data1(), FertiliserProducts[[#Headers],[Company]],1)</f>
        <v>0.03</v>
      </c>
      <c r="W98" s="173" t="str" cm="1">
        <f t="array" ref="W98">Common_InputFunctions.Utility_DisplayArrayInTable(Fertiliser_SourceData.Fertiliser_Products_Data1(), FertiliserProducts[[#Headers],[Company]],1)</f>
        <v/>
      </c>
      <c r="X98" s="173" t="str" cm="1">
        <f t="array" ref="X98">Common_InputFunctions.Utility_DisplayArrayInTable(Fertiliser_SourceData.Fertiliser_Products_Data1(), FertiliserProducts[[#Headers],[Company]],1)</f>
        <v/>
      </c>
      <c r="Y98" s="173" t="str" cm="1">
        <f t="array" ref="Y98">Common_InputFunctions.Utility_DisplayArrayInTable(Fertiliser_SourceData.Fertiliser_Products_Data1(), FertiliserProducts[[#Headers],[Company]],1)</f>
        <v/>
      </c>
      <c r="Z98" s="173" t="str" cm="1">
        <f t="array" ref="Z98">Common_InputFunctions.Utility_DisplayArrayInTable(Fertiliser_SourceData.Fertiliser_Products_Data1(), FertiliserProducts[[#Headers],[Company]],1)</f>
        <v/>
      </c>
      <c r="AA98" s="173" t="str" cm="1">
        <f t="array" ref="AA98">Common_InputFunctions.Utility_DisplayArrayInTable(Fertiliser_SourceData.Fertiliser_Products_Data1(), FertiliserProducts[[#Headers],[Company]],1)</f>
        <v/>
      </c>
      <c r="AB98" s="173" t="str" cm="1">
        <f t="array" ref="AB98">Common_InputFunctions.Utility_DisplayArrayInTable(Fertiliser_SourceData.Fertiliser_Products_Data1(), FertiliserProducts[[#Headers],[Company]],1)</f>
        <v/>
      </c>
      <c r="AC98" s="173" t="str" cm="1">
        <f t="array" ref="AC98">Common_InputFunctions.Utility_DisplayArrayInTable(Fertiliser_SourceData.Fertiliser_Products_Data1(), FertiliserProducts[[#Headers],[Company]],1)</f>
        <v/>
      </c>
      <c r="AD98" s="173" t="str" cm="1">
        <f t="array" ref="AD98">Common_InputFunctions.Utility_DisplayArrayInTable(Fertiliser_SourceData.Fertiliser_Products_Data1(), FertiliserProducts[[#Headers],[Company]],1)</f>
        <v/>
      </c>
      <c r="AE98" s="173" t="str" cm="1">
        <f t="array" ref="AE98">Common_InputFunctions.Utility_DisplayArrayInTable(Fertiliser_SourceData.Fertiliser_Products_Data1(), FertiliserProducts[[#Headers],[Company]],1)</f>
        <v/>
      </c>
      <c r="AF98" s="173" t="str" cm="1">
        <f t="array" ref="AF98">Common_InputFunctions.Utility_DisplayArrayInTable(Fertiliser_SourceData.Fertiliser_Products_Data1(), FertiliserProducts[[#Headers],[Company]],1)</f>
        <v/>
      </c>
      <c r="AG98" s="173" t="str" cm="1">
        <f t="array" ref="AG98">Common_InputFunctions.Utility_DisplayArrayInTable(Fertiliser_SourceData.Fertiliser_Products_Data1(), FertiliserProducts[[#Headers],[Company]],1)</f>
        <v/>
      </c>
      <c r="AH98" s="173" t="str" cm="1">
        <f t="array" ref="AH98">Common_InputFunctions.Utility_DisplayArrayInTable(Fertiliser_SourceData.Fertiliser_Products_Data1(), FertiliserProducts[[#Headers],[Company]],1)</f>
        <v/>
      </c>
      <c r="AK98" s="1"/>
      <c r="AL98" s="1"/>
      <c r="AM98" s="1"/>
    </row>
    <row r="99" spans="4:39" ht="20.100000000000001" customHeight="1" x14ac:dyDescent="0.25">
      <c r="D99" s="173" t="str" cm="1">
        <f t="array" ref="D99">Common_InputFunctions.Utility_DisplayArrayInTable(Fertiliser_SourceData.Fertiliser_Products_Data1(), FertiliserProducts[[#Headers],[Company]],1)</f>
        <v>Campbells fertilisers Australia</v>
      </c>
      <c r="E99" s="173" t="str" cm="1">
        <f t="array" ref="E99">Common_InputFunctions.Utility_DisplayArrayInTable(Fertiliser_SourceData.Fertiliser_Products_Data1(), FertiliserProducts[[#Headers],[Company]],1)</f>
        <v>Aqua Thio-Flourish</v>
      </c>
      <c r="F99" s="173" t="str" cm="1">
        <f t="array" ref="F99">Common_InputFunctions.Utility_DisplayArrayInTable(Fertiliser_SourceData.Fertiliser_Products_Data1(), FertiliserProducts[[#Headers],[Company]],1)</f>
        <v>L</v>
      </c>
      <c r="G99" s="173" cm="1">
        <f t="array" ref="G99">Common_InputFunctions.Utility_DisplayArrayInTable(Fertiliser_SourceData.Fertiliser_Products_Data1(), FertiliserProducts[[#Headers],[Company]],1)</f>
        <v>1.32</v>
      </c>
      <c r="H99" s="173" t="str" cm="1">
        <f t="array" ref="H99">Common_InputFunctions.Utility_DisplayArrayInTable(Fertiliser_SourceData.Fertiliser_Products_Data1(), FertiliserProducts[[#Headers],[Company]],1)</f>
        <v/>
      </c>
      <c r="I99" s="173" t="str" cm="1">
        <f t="array" ref="I99">Common_InputFunctions.Utility_DisplayArrayInTable(Fertiliser_SourceData.Fertiliser_Products_Data1(), FertiliserProducts[[#Headers],[Company]],1)</f>
        <v/>
      </c>
      <c r="J99" s="173" t="str" cm="1">
        <f t="array" ref="J99">Common_InputFunctions.Utility_DisplayArrayInTable(Fertiliser_SourceData.Fertiliser_Products_Data1(), FertiliserProducts[[#Headers],[Company]],1)</f>
        <v/>
      </c>
      <c r="K99" s="173" cm="1">
        <f t="array" ref="K99">Common_InputFunctions.Utility_DisplayArrayInTable(Fertiliser_SourceData.Fertiliser_Products_Data1(), FertiliserProducts[[#Headers],[Company]],1)</f>
        <v>9.5</v>
      </c>
      <c r="L99" s="173" cm="1">
        <f t="array" ref="L99">Common_InputFunctions.Utility_DisplayArrayInTable(Fertiliser_SourceData.Fertiliser_Products_Data1(), FertiliserProducts[[#Headers],[Company]],1)</f>
        <v>4.7</v>
      </c>
      <c r="M99" s="173" cm="1">
        <f t="array" ref="M99">Common_InputFunctions.Utility_DisplayArrayInTable(Fertiliser_SourceData.Fertiliser_Products_Data1(), FertiliserProducts[[#Headers],[Company]],1)</f>
        <v>10.8</v>
      </c>
      <c r="N99" s="173" cm="1">
        <f t="array" ref="N99">Common_InputFunctions.Utility_DisplayArrayInTable(Fertiliser_SourceData.Fertiliser_Products_Data1(), FertiliserProducts[[#Headers],[Company]],1)</f>
        <v>8.1</v>
      </c>
      <c r="O99" s="173" t="str" cm="1">
        <f t="array" ref="O99">Common_InputFunctions.Utility_DisplayArrayInTable(Fertiliser_SourceData.Fertiliser_Products_Data1(), FertiliserProducts[[#Headers],[Company]],1)</f>
        <v>Potassium - Generic</v>
      </c>
      <c r="P99" s="173" cm="1">
        <f t="array" ref="P99">Common_InputFunctions.Utility_DisplayArrayInTable(Fertiliser_SourceData.Fertiliser_Products_Data1(), FertiliserProducts[[#Headers],[Company]],1)</f>
        <v>0.108</v>
      </c>
      <c r="Q99" s="173" t="str" cm="1">
        <f t="array" ref="Q99">Common_InputFunctions.Utility_DisplayArrayInTable(Fertiliser_SourceData.Fertiliser_Products_Data1(), FertiliserProducts[[#Headers],[Company]],1)</f>
        <v>Nitrogen - Generic</v>
      </c>
      <c r="R99" s="173" cm="1">
        <f t="array" ref="R99">Common_InputFunctions.Utility_DisplayArrayInTable(Fertiliser_SourceData.Fertiliser_Products_Data1(), FertiliserProducts[[#Headers],[Company]],1)</f>
        <v>9.5000000000000001E-2</v>
      </c>
      <c r="S99" s="173" t="str" cm="1">
        <f t="array" ref="S99">Common_InputFunctions.Utility_DisplayArrayInTable(Fertiliser_SourceData.Fertiliser_Products_Data1(), FertiliserProducts[[#Headers],[Company]],1)</f>
        <v>Sulfur - Generic</v>
      </c>
      <c r="T99" s="173" cm="1">
        <f t="array" ref="T99">Common_InputFunctions.Utility_DisplayArrayInTable(Fertiliser_SourceData.Fertiliser_Products_Data1(), FertiliserProducts[[#Headers],[Company]],1)</f>
        <v>8.1000000000000003E-2</v>
      </c>
      <c r="U99" s="173" t="str" cm="1">
        <f t="array" ref="U99">Common_InputFunctions.Utility_DisplayArrayInTable(Fertiliser_SourceData.Fertiliser_Products_Data1(), FertiliserProducts[[#Headers],[Company]],1)</f>
        <v>Phosphorus - Generic</v>
      </c>
      <c r="V99" s="173" cm="1">
        <f t="array" ref="V99">Common_InputFunctions.Utility_DisplayArrayInTable(Fertiliser_SourceData.Fertiliser_Products_Data1(), FertiliserProducts[[#Headers],[Company]],1)</f>
        <v>4.7E-2</v>
      </c>
      <c r="W99" s="173" t="str" cm="1">
        <f t="array" ref="W99">Common_InputFunctions.Utility_DisplayArrayInTable(Fertiliser_SourceData.Fertiliser_Products_Data1(), FertiliserProducts[[#Headers],[Company]],1)</f>
        <v/>
      </c>
      <c r="X99" s="173" t="str" cm="1">
        <f t="array" ref="X99">Common_InputFunctions.Utility_DisplayArrayInTable(Fertiliser_SourceData.Fertiliser_Products_Data1(), FertiliserProducts[[#Headers],[Company]],1)</f>
        <v/>
      </c>
      <c r="Y99" s="173" t="str" cm="1">
        <f t="array" ref="Y99">Common_InputFunctions.Utility_DisplayArrayInTable(Fertiliser_SourceData.Fertiliser_Products_Data1(), FertiliserProducts[[#Headers],[Company]],1)</f>
        <v/>
      </c>
      <c r="Z99" s="173" t="str" cm="1">
        <f t="array" ref="Z99">Common_InputFunctions.Utility_DisplayArrayInTable(Fertiliser_SourceData.Fertiliser_Products_Data1(), FertiliserProducts[[#Headers],[Company]],1)</f>
        <v/>
      </c>
      <c r="AA99" s="173" t="str" cm="1">
        <f t="array" ref="AA99">Common_InputFunctions.Utility_DisplayArrayInTable(Fertiliser_SourceData.Fertiliser_Products_Data1(), FertiliserProducts[[#Headers],[Company]],1)</f>
        <v/>
      </c>
      <c r="AB99" s="173" t="str" cm="1">
        <f t="array" ref="AB99">Common_InputFunctions.Utility_DisplayArrayInTable(Fertiliser_SourceData.Fertiliser_Products_Data1(), FertiliserProducts[[#Headers],[Company]],1)</f>
        <v/>
      </c>
      <c r="AC99" s="173" t="str" cm="1">
        <f t="array" ref="AC99">Common_InputFunctions.Utility_DisplayArrayInTable(Fertiliser_SourceData.Fertiliser_Products_Data1(), FertiliserProducts[[#Headers],[Company]],1)</f>
        <v/>
      </c>
      <c r="AD99" s="173" t="str" cm="1">
        <f t="array" ref="AD99">Common_InputFunctions.Utility_DisplayArrayInTable(Fertiliser_SourceData.Fertiliser_Products_Data1(), FertiliserProducts[[#Headers],[Company]],1)</f>
        <v/>
      </c>
      <c r="AE99" s="173" t="str" cm="1">
        <f t="array" ref="AE99">Common_InputFunctions.Utility_DisplayArrayInTable(Fertiliser_SourceData.Fertiliser_Products_Data1(), FertiliserProducts[[#Headers],[Company]],1)</f>
        <v/>
      </c>
      <c r="AF99" s="173" t="str" cm="1">
        <f t="array" ref="AF99">Common_InputFunctions.Utility_DisplayArrayInTable(Fertiliser_SourceData.Fertiliser_Products_Data1(), FertiliserProducts[[#Headers],[Company]],1)</f>
        <v/>
      </c>
      <c r="AG99" s="173" t="str" cm="1">
        <f t="array" ref="AG99">Common_InputFunctions.Utility_DisplayArrayInTable(Fertiliser_SourceData.Fertiliser_Products_Data1(), FertiliserProducts[[#Headers],[Company]],1)</f>
        <v/>
      </c>
      <c r="AH99" s="173" t="str" cm="1">
        <f t="array" ref="AH99">Common_InputFunctions.Utility_DisplayArrayInTable(Fertiliser_SourceData.Fertiliser_Products_Data1(), FertiliserProducts[[#Headers],[Company]],1)</f>
        <v/>
      </c>
      <c r="AK99" s="1"/>
      <c r="AL99" s="1"/>
      <c r="AM99" s="1"/>
    </row>
    <row r="100" spans="4:39" ht="20.100000000000001" customHeight="1" x14ac:dyDescent="0.25">
      <c r="D100" s="173" t="str" cm="1">
        <f t="array" ref="D100">Common_InputFunctions.Utility_DisplayArrayInTable(Fertiliser_SourceData.Fertiliser_Products_Data1(), FertiliserProducts[[#Headers],[Company]],1)</f>
        <v>Campbells fertilisers Australia</v>
      </c>
      <c r="E100" s="173" t="str" cm="1">
        <f t="array" ref="E100">Common_InputFunctions.Utility_DisplayArrayInTable(Fertiliser_SourceData.Fertiliser_Products_Data1(), FertiliserProducts[[#Headers],[Company]],1)</f>
        <v>Boost-It</v>
      </c>
      <c r="F100" s="173" t="str" cm="1">
        <f t="array" ref="F100">Common_InputFunctions.Utility_DisplayArrayInTable(Fertiliser_SourceData.Fertiliser_Products_Data1(), FertiliserProducts[[#Headers],[Company]],1)</f>
        <v>kg</v>
      </c>
      <c r="G100" s="173" cm="1">
        <f t="array" ref="G100">Common_InputFunctions.Utility_DisplayArrayInTable(Fertiliser_SourceData.Fertiliser_Products_Data1(), FertiliserProducts[[#Headers],[Company]],1)</f>
        <v>1</v>
      </c>
      <c r="H100" s="173" t="str" cm="1">
        <f t="array" ref="H100">Common_InputFunctions.Utility_DisplayArrayInTable(Fertiliser_SourceData.Fertiliser_Products_Data1(), FertiliserProducts[[#Headers],[Company]],1)</f>
        <v/>
      </c>
      <c r="I100" s="173" t="str" cm="1">
        <f t="array" ref="I100">Common_InputFunctions.Utility_DisplayArrayInTable(Fertiliser_SourceData.Fertiliser_Products_Data1(), FertiliserProducts[[#Headers],[Company]],1)</f>
        <v/>
      </c>
      <c r="J100" s="173" t="str" cm="1">
        <f t="array" ref="J100">Common_InputFunctions.Utility_DisplayArrayInTable(Fertiliser_SourceData.Fertiliser_Products_Data1(), FertiliserProducts[[#Headers],[Company]],1)</f>
        <v/>
      </c>
      <c r="K100" s="173" cm="1">
        <f t="array" ref="K100">Common_InputFunctions.Utility_DisplayArrayInTable(Fertiliser_SourceData.Fertiliser_Products_Data1(), FertiliserProducts[[#Headers],[Company]],1)</f>
        <v>24</v>
      </c>
      <c r="L100" s="173" cm="1">
        <f t="array" ref="L100">Common_InputFunctions.Utility_DisplayArrayInTable(Fertiliser_SourceData.Fertiliser_Products_Data1(), FertiliserProducts[[#Headers],[Company]],1)</f>
        <v>5.2</v>
      </c>
      <c r="M100" s="173" cm="1">
        <f t="array" ref="M100">Common_InputFunctions.Utility_DisplayArrayInTable(Fertiliser_SourceData.Fertiliser_Products_Data1(), FertiliserProducts[[#Headers],[Company]],1)</f>
        <v>8</v>
      </c>
      <c r="N100" s="173" cm="1">
        <f t="array" ref="N100">Common_InputFunctions.Utility_DisplayArrayInTable(Fertiliser_SourceData.Fertiliser_Products_Data1(), FertiliserProducts[[#Headers],[Company]],1)</f>
        <v>5.3</v>
      </c>
      <c r="O100" s="173" t="str" cm="1">
        <f t="array" ref="O100">Common_InputFunctions.Utility_DisplayArrayInTable(Fertiliser_SourceData.Fertiliser_Products_Data1(), FertiliserProducts[[#Headers],[Company]],1)</f>
        <v>Urea</v>
      </c>
      <c r="P100" s="173" cm="1">
        <f t="array" ref="P100">Common_InputFunctions.Utility_DisplayArrayInTable(Fertiliser_SourceData.Fertiliser_Products_Data1(), FertiliserProducts[[#Headers],[Company]],1)</f>
        <v>0.52173899999999995</v>
      </c>
      <c r="Q100" s="173" t="str" cm="1">
        <f t="array" ref="Q100">Common_InputFunctions.Utility_DisplayArrayInTable(Fertiliser_SourceData.Fertiliser_Products_Data1(), FertiliserProducts[[#Headers],[Company]],1)</f>
        <v>Potassium - Generic</v>
      </c>
      <c r="R100" s="173" cm="1">
        <f t="array" ref="R100">Common_InputFunctions.Utility_DisplayArrayInTable(Fertiliser_SourceData.Fertiliser_Products_Data1(), FertiliserProducts[[#Headers],[Company]],1)</f>
        <v>0.08</v>
      </c>
      <c r="S100" s="173" t="str" cm="1">
        <f t="array" ref="S100">Common_InputFunctions.Utility_DisplayArrayInTable(Fertiliser_SourceData.Fertiliser_Products_Data1(), FertiliserProducts[[#Headers],[Company]],1)</f>
        <v>Sulfur - Generic</v>
      </c>
      <c r="T100" s="173" cm="1">
        <f t="array" ref="T100">Common_InputFunctions.Utility_DisplayArrayInTable(Fertiliser_SourceData.Fertiliser_Products_Data1(), FertiliserProducts[[#Headers],[Company]],1)</f>
        <v>5.2999999999999999E-2</v>
      </c>
      <c r="U100" s="173" t="str" cm="1">
        <f t="array" ref="U100">Common_InputFunctions.Utility_DisplayArrayInTable(Fertiliser_SourceData.Fertiliser_Products_Data1(), FertiliserProducts[[#Headers],[Company]],1)</f>
        <v>Phosphorus - Generic</v>
      </c>
      <c r="V100" s="173" cm="1">
        <f t="array" ref="V100">Common_InputFunctions.Utility_DisplayArrayInTable(Fertiliser_SourceData.Fertiliser_Products_Data1(), FertiliserProducts[[#Headers],[Company]],1)</f>
        <v>5.1999999999999998E-2</v>
      </c>
      <c r="W100" s="173" t="str" cm="1">
        <f t="array" ref="W100">Common_InputFunctions.Utility_DisplayArrayInTable(Fertiliser_SourceData.Fertiliser_Products_Data1(), FertiliserProducts[[#Headers],[Company]],1)</f>
        <v>Magnesium</v>
      </c>
      <c r="X100" s="173" cm="1">
        <f t="array" ref="X100">Common_InputFunctions.Utility_DisplayArrayInTable(Fertiliser_SourceData.Fertiliser_Products_Data1(), FertiliserProducts[[#Headers],[Company]],1)</f>
        <v>1.2999999999999999E-2</v>
      </c>
      <c r="Y100" s="173" t="str" cm="1">
        <f t="array" ref="Y100">Common_InputFunctions.Utility_DisplayArrayInTable(Fertiliser_SourceData.Fertiliser_Products_Data1(), FertiliserProducts[[#Headers],[Company]],1)</f>
        <v>Zinc</v>
      </c>
      <c r="Z100" s="173" cm="1">
        <f t="array" ref="Z100">Common_InputFunctions.Utility_DisplayArrayInTable(Fertiliser_SourceData.Fertiliser_Products_Data1(), FertiliserProducts[[#Headers],[Company]],1)</f>
        <v>2E-3</v>
      </c>
      <c r="AA100" s="173" t="str" cm="1">
        <f t="array" ref="AA100">Common_InputFunctions.Utility_DisplayArrayInTable(Fertiliser_SourceData.Fertiliser_Products_Data1(), FertiliserProducts[[#Headers],[Company]],1)</f>
        <v>Manganese</v>
      </c>
      <c r="AB100" s="173" cm="1">
        <f t="array" ref="AB100">Common_InputFunctions.Utility_DisplayArrayInTable(Fertiliser_SourceData.Fertiliser_Products_Data1(), FertiliserProducts[[#Headers],[Company]],1)</f>
        <v>3.5000000000000001E-3</v>
      </c>
      <c r="AC100" s="173" t="str" cm="1">
        <f t="array" ref="AC100">Common_InputFunctions.Utility_DisplayArrayInTable(Fertiliser_SourceData.Fertiliser_Products_Data1(), FertiliserProducts[[#Headers],[Company]],1)</f>
        <v>Iron</v>
      </c>
      <c r="AD100" s="173" cm="1">
        <f t="array" ref="AD100">Common_InputFunctions.Utility_DisplayArrayInTable(Fertiliser_SourceData.Fertiliser_Products_Data1(), FertiliserProducts[[#Headers],[Company]],1)</f>
        <v>1.2999999999999999E-3</v>
      </c>
      <c r="AE100" s="173" t="str" cm="1">
        <f t="array" ref="AE100">Common_InputFunctions.Utility_DisplayArrayInTable(Fertiliser_SourceData.Fertiliser_Products_Data1(), FertiliserProducts[[#Headers],[Company]],1)</f>
        <v>Copper</v>
      </c>
      <c r="AF100" s="173" cm="1">
        <f t="array" ref="AF100">Common_InputFunctions.Utility_DisplayArrayInTable(Fertiliser_SourceData.Fertiliser_Products_Data1(), FertiliserProducts[[#Headers],[Company]],1)</f>
        <v>6.9999999999999999E-4</v>
      </c>
      <c r="AG100" s="173" t="str" cm="1">
        <f t="array" ref="AG100">Common_InputFunctions.Utility_DisplayArrayInTable(Fertiliser_SourceData.Fertiliser_Products_Data1(), FertiliserProducts[[#Headers],[Company]],1)</f>
        <v>Boron</v>
      </c>
      <c r="AH100" s="173"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73" t="str" cm="1">
        <f t="array" ref="D101">Common_InputFunctions.Utility_DisplayArrayInTable(Fertiliser_SourceData.Fertiliser_Products_Data1(), FertiliserProducts[[#Headers],[Company]],1)</f>
        <v>Campbells fertilisers Australia</v>
      </c>
      <c r="E101" s="173" t="str" cm="1">
        <f t="array" ref="E101">Common_InputFunctions.Utility_DisplayArrayInTable(Fertiliser_SourceData.Fertiliser_Products_Data1(), FertiliserProducts[[#Headers],[Company]],1)</f>
        <v>Bronze</v>
      </c>
      <c r="F101" s="173" t="str" cm="1">
        <f t="array" ref="F101">Common_InputFunctions.Utility_DisplayArrayInTable(Fertiliser_SourceData.Fertiliser_Products_Data1(), FertiliserProducts[[#Headers],[Company]],1)</f>
        <v>kg</v>
      </c>
      <c r="G101" s="173" cm="1">
        <f t="array" ref="G101">Common_InputFunctions.Utility_DisplayArrayInTable(Fertiliser_SourceData.Fertiliser_Products_Data1(), FertiliserProducts[[#Headers],[Company]],1)</f>
        <v>1</v>
      </c>
      <c r="H101" s="173" t="str" cm="1">
        <f t="array" ref="H101">Common_InputFunctions.Utility_DisplayArrayInTable(Fertiliser_SourceData.Fertiliser_Products_Data1(), FertiliserProducts[[#Headers],[Company]],1)</f>
        <v/>
      </c>
      <c r="I101" s="173" t="str" cm="1">
        <f t="array" ref="I101">Common_InputFunctions.Utility_DisplayArrayInTable(Fertiliser_SourceData.Fertiliser_Products_Data1(), FertiliserProducts[[#Headers],[Company]],1)</f>
        <v/>
      </c>
      <c r="J101" s="173" t="str" cm="1">
        <f t="array" ref="J101">Common_InputFunctions.Utility_DisplayArrayInTable(Fertiliser_SourceData.Fertiliser_Products_Data1(), FertiliserProducts[[#Headers],[Company]],1)</f>
        <v/>
      </c>
      <c r="K101" s="173" cm="1">
        <f t="array" ref="K101">Common_InputFunctions.Utility_DisplayArrayInTable(Fertiliser_SourceData.Fertiliser_Products_Data1(), FertiliserProducts[[#Headers],[Company]],1)</f>
        <v>17</v>
      </c>
      <c r="L101" s="173" cm="1">
        <f t="array" ref="L101">Common_InputFunctions.Utility_DisplayArrayInTable(Fertiliser_SourceData.Fertiliser_Products_Data1(), FertiliserProducts[[#Headers],[Company]],1)</f>
        <v>0.04</v>
      </c>
      <c r="M101" s="173" cm="1">
        <f t="array" ref="M101">Common_InputFunctions.Utility_DisplayArrayInTable(Fertiliser_SourceData.Fertiliser_Products_Data1(), FertiliserProducts[[#Headers],[Company]],1)</f>
        <v>11.6</v>
      </c>
      <c r="N101" s="173" cm="1">
        <f t="array" ref="N101">Common_InputFunctions.Utility_DisplayArrayInTable(Fertiliser_SourceData.Fertiliser_Products_Data1(), FertiliserProducts[[#Headers],[Company]],1)</f>
        <v>0.5</v>
      </c>
      <c r="O101" s="173" t="str" cm="1">
        <f t="array" ref="O101">Common_InputFunctions.Utility_DisplayArrayInTable(Fertiliser_SourceData.Fertiliser_Products_Data1(), FertiliserProducts[[#Headers],[Company]],1)</f>
        <v>Muriate of potash (MOP)</v>
      </c>
      <c r="P101" s="173" cm="1">
        <f t="array" ref="P101">Common_InputFunctions.Utility_DisplayArrayInTable(Fertiliser_SourceData.Fertiliser_Products_Data1(), FertiliserProducts[[#Headers],[Company]],1)</f>
        <v>0.23200000000000001</v>
      </c>
      <c r="Q101" s="173" t="str" cm="1">
        <f t="array" ref="Q101">Common_InputFunctions.Utility_DisplayArrayInTable(Fertiliser_SourceData.Fertiliser_Products_Data1(), FertiliserProducts[[#Headers],[Company]],1)</f>
        <v>Nitrogen - Generic</v>
      </c>
      <c r="R101" s="173" cm="1">
        <f t="array" ref="R101">Common_InputFunctions.Utility_DisplayArrayInTable(Fertiliser_SourceData.Fertiliser_Products_Data1(), FertiliserProducts[[#Headers],[Company]],1)</f>
        <v>0.17</v>
      </c>
      <c r="S101" s="173" t="str" cm="1">
        <f t="array" ref="S101">Common_InputFunctions.Utility_DisplayArrayInTable(Fertiliser_SourceData.Fertiliser_Products_Data1(), FertiliserProducts[[#Headers],[Company]],1)</f>
        <v>Sulfur - Generic</v>
      </c>
      <c r="T101" s="173" cm="1">
        <f t="array" ref="T101">Common_InputFunctions.Utility_DisplayArrayInTable(Fertiliser_SourceData.Fertiliser_Products_Data1(), FertiliserProducts[[#Headers],[Company]],1)</f>
        <v>5.0000000000000001E-3</v>
      </c>
      <c r="U101" s="173" t="str" cm="1">
        <f t="array" ref="U101">Common_InputFunctions.Utility_DisplayArrayInTable(Fertiliser_SourceData.Fertiliser_Products_Data1(), FertiliserProducts[[#Headers],[Company]],1)</f>
        <v>Magnesium</v>
      </c>
      <c r="V101" s="173" cm="1">
        <f t="array" ref="V101">Common_InputFunctions.Utility_DisplayArrayInTable(Fertiliser_SourceData.Fertiliser_Products_Data1(), FertiliserProducts[[#Headers],[Company]],1)</f>
        <v>2.3999999999999998E-3</v>
      </c>
      <c r="W101" s="173" t="str" cm="1">
        <f t="array" ref="W101">Common_InputFunctions.Utility_DisplayArrayInTable(Fertiliser_SourceData.Fertiliser_Products_Data1(), FertiliserProducts[[#Headers],[Company]],1)</f>
        <v>Phosphorus - Generic</v>
      </c>
      <c r="X101" s="173" cm="1">
        <f t="array" ref="X101">Common_InputFunctions.Utility_DisplayArrayInTable(Fertiliser_SourceData.Fertiliser_Products_Data1(), FertiliserProducts[[#Headers],[Company]],1)</f>
        <v>4.0000000000000002E-4</v>
      </c>
      <c r="Y101" s="173" t="str" cm="1">
        <f t="array" ref="Y101">Common_InputFunctions.Utility_DisplayArrayInTable(Fertiliser_SourceData.Fertiliser_Products_Data1(), FertiliserProducts[[#Headers],[Company]],1)</f>
        <v/>
      </c>
      <c r="Z101" s="173" t="str" cm="1">
        <f t="array" ref="Z101">Common_InputFunctions.Utility_DisplayArrayInTable(Fertiliser_SourceData.Fertiliser_Products_Data1(), FertiliserProducts[[#Headers],[Company]],1)</f>
        <v/>
      </c>
      <c r="AA101" s="173" t="str" cm="1">
        <f t="array" ref="AA101">Common_InputFunctions.Utility_DisplayArrayInTable(Fertiliser_SourceData.Fertiliser_Products_Data1(), FertiliserProducts[[#Headers],[Company]],1)</f>
        <v/>
      </c>
      <c r="AB101" s="173" t="str" cm="1">
        <f t="array" ref="AB101">Common_InputFunctions.Utility_DisplayArrayInTable(Fertiliser_SourceData.Fertiliser_Products_Data1(), FertiliserProducts[[#Headers],[Company]],1)</f>
        <v/>
      </c>
      <c r="AC101" s="173" t="str" cm="1">
        <f t="array" ref="AC101">Common_InputFunctions.Utility_DisplayArrayInTable(Fertiliser_SourceData.Fertiliser_Products_Data1(), FertiliserProducts[[#Headers],[Company]],1)</f>
        <v/>
      </c>
      <c r="AD101" s="173" t="str" cm="1">
        <f t="array" ref="AD101">Common_InputFunctions.Utility_DisplayArrayInTable(Fertiliser_SourceData.Fertiliser_Products_Data1(), FertiliserProducts[[#Headers],[Company]],1)</f>
        <v/>
      </c>
      <c r="AE101" s="173" t="str" cm="1">
        <f t="array" ref="AE101">Common_InputFunctions.Utility_DisplayArrayInTable(Fertiliser_SourceData.Fertiliser_Products_Data1(), FertiliserProducts[[#Headers],[Company]],1)</f>
        <v/>
      </c>
      <c r="AF101" s="173" t="str" cm="1">
        <f t="array" ref="AF101">Common_InputFunctions.Utility_DisplayArrayInTable(Fertiliser_SourceData.Fertiliser_Products_Data1(), FertiliserProducts[[#Headers],[Company]],1)</f>
        <v/>
      </c>
      <c r="AG101" s="173" t="str" cm="1">
        <f t="array" ref="AG101">Common_InputFunctions.Utility_DisplayArrayInTable(Fertiliser_SourceData.Fertiliser_Products_Data1(), FertiliserProducts[[#Headers],[Company]],1)</f>
        <v/>
      </c>
      <c r="AH101" s="173"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73" t="str" cm="1">
        <f t="array" ref="D102">Common_InputFunctions.Utility_DisplayArrayInTable(Fertiliser_SourceData.Fertiliser_Products_Data1(), FertiliserProducts[[#Headers],[Company]],1)</f>
        <v>Campbells fertilisers Australia</v>
      </c>
      <c r="E102" s="173" t="str" cm="1">
        <f t="array" ref="E102">Common_InputFunctions.Utility_DisplayArrayInTable(Fertiliser_SourceData.Fertiliser_Products_Data1(), FertiliserProducts[[#Headers],[Company]],1)</f>
        <v>Calbit C</v>
      </c>
      <c r="F102" s="173" t="str" cm="1">
        <f t="array" ref="F102">Common_InputFunctions.Utility_DisplayArrayInTable(Fertiliser_SourceData.Fertiliser_Products_Data1(), FertiliserProducts[[#Headers],[Company]],1)</f>
        <v>L</v>
      </c>
      <c r="G102" s="173" cm="1">
        <f t="array" ref="G102">Common_InputFunctions.Utility_DisplayArrayInTable(Fertiliser_SourceData.Fertiliser_Products_Data1(), FertiliserProducts[[#Headers],[Company]],1)</f>
        <v>1.45</v>
      </c>
      <c r="H102" s="173" t="str" cm="1">
        <f t="array" ref="H102">Common_InputFunctions.Utility_DisplayArrayInTable(Fertiliser_SourceData.Fertiliser_Products_Data1(), FertiliserProducts[[#Headers],[Company]],1)</f>
        <v/>
      </c>
      <c r="I102" s="173" t="str" cm="1">
        <f t="array" ref="I102">Common_InputFunctions.Utility_DisplayArrayInTable(Fertiliser_SourceData.Fertiliser_Products_Data1(), FertiliserProducts[[#Headers],[Company]],1)</f>
        <v/>
      </c>
      <c r="J102" s="173" t="str" cm="1">
        <f t="array" ref="J102">Common_InputFunctions.Utility_DisplayArrayInTable(Fertiliser_SourceData.Fertiliser_Products_Data1(), FertiliserProducts[[#Headers],[Company]],1)</f>
        <v/>
      </c>
      <c r="K102" s="173" t="str" cm="1">
        <f t="array" ref="K102">Common_InputFunctions.Utility_DisplayArrayInTable(Fertiliser_SourceData.Fertiliser_Products_Data1(), FertiliserProducts[[#Headers],[Company]],1)</f>
        <v/>
      </c>
      <c r="L102" s="173" t="str" cm="1">
        <f t="array" ref="L102">Common_InputFunctions.Utility_DisplayArrayInTable(Fertiliser_SourceData.Fertiliser_Products_Data1(), FertiliserProducts[[#Headers],[Company]],1)</f>
        <v/>
      </c>
      <c r="M102" s="173" t="str" cm="1">
        <f t="array" ref="M102">Common_InputFunctions.Utility_DisplayArrayInTable(Fertiliser_SourceData.Fertiliser_Products_Data1(), FertiliserProducts[[#Headers],[Company]],1)</f>
        <v/>
      </c>
      <c r="N102" s="173" t="str" cm="1">
        <f t="array" ref="N102">Common_InputFunctions.Utility_DisplayArrayInTable(Fertiliser_SourceData.Fertiliser_Products_Data1(), FertiliserProducts[[#Headers],[Company]],1)</f>
        <v/>
      </c>
      <c r="O102" s="173" t="str" cm="1">
        <f t="array" ref="O102">Common_InputFunctions.Utility_DisplayArrayInTable(Fertiliser_SourceData.Fertiliser_Products_Data1(), FertiliserProducts[[#Headers],[Company]],1)</f>
        <v>Calcium</v>
      </c>
      <c r="P102" s="173" cm="1">
        <f t="array" ref="P102">Common_InputFunctions.Utility_DisplayArrayInTable(Fertiliser_SourceData.Fertiliser_Products_Data1(), FertiliserProducts[[#Headers],[Company]],1)</f>
        <v>0.107</v>
      </c>
      <c r="Q102" s="173" t="str" cm="1">
        <f t="array" ref="Q102">Common_InputFunctions.Utility_DisplayArrayInTable(Fertiliser_SourceData.Fertiliser_Products_Data1(), FertiliserProducts[[#Headers],[Company]],1)</f>
        <v/>
      </c>
      <c r="R102" s="173" t="str" cm="1">
        <f t="array" ref="R102">Common_InputFunctions.Utility_DisplayArrayInTable(Fertiliser_SourceData.Fertiliser_Products_Data1(), FertiliserProducts[[#Headers],[Company]],1)</f>
        <v/>
      </c>
      <c r="S102" s="173" t="str" cm="1">
        <f t="array" ref="S102">Common_InputFunctions.Utility_DisplayArrayInTable(Fertiliser_SourceData.Fertiliser_Products_Data1(), FertiliserProducts[[#Headers],[Company]],1)</f>
        <v/>
      </c>
      <c r="T102" s="173" t="str" cm="1">
        <f t="array" ref="T102">Common_InputFunctions.Utility_DisplayArrayInTable(Fertiliser_SourceData.Fertiliser_Products_Data1(), FertiliserProducts[[#Headers],[Company]],1)</f>
        <v/>
      </c>
      <c r="U102" s="173" t="str" cm="1">
        <f t="array" ref="U102">Common_InputFunctions.Utility_DisplayArrayInTable(Fertiliser_SourceData.Fertiliser_Products_Data1(), FertiliserProducts[[#Headers],[Company]],1)</f>
        <v/>
      </c>
      <c r="V102" s="173" t="str" cm="1">
        <f t="array" ref="V102">Common_InputFunctions.Utility_DisplayArrayInTable(Fertiliser_SourceData.Fertiliser_Products_Data1(), FertiliserProducts[[#Headers],[Company]],1)</f>
        <v/>
      </c>
      <c r="W102" s="173" t="str" cm="1">
        <f t="array" ref="W102">Common_InputFunctions.Utility_DisplayArrayInTable(Fertiliser_SourceData.Fertiliser_Products_Data1(), FertiliserProducts[[#Headers],[Company]],1)</f>
        <v/>
      </c>
      <c r="X102" s="173" t="str" cm="1">
        <f t="array" ref="X102">Common_InputFunctions.Utility_DisplayArrayInTable(Fertiliser_SourceData.Fertiliser_Products_Data1(), FertiliserProducts[[#Headers],[Company]],1)</f>
        <v/>
      </c>
      <c r="Y102" s="173" t="str" cm="1">
        <f t="array" ref="Y102">Common_InputFunctions.Utility_DisplayArrayInTable(Fertiliser_SourceData.Fertiliser_Products_Data1(), FertiliserProducts[[#Headers],[Company]],1)</f>
        <v/>
      </c>
      <c r="Z102" s="173" t="str" cm="1">
        <f t="array" ref="Z102">Common_InputFunctions.Utility_DisplayArrayInTable(Fertiliser_SourceData.Fertiliser_Products_Data1(), FertiliserProducts[[#Headers],[Company]],1)</f>
        <v/>
      </c>
      <c r="AA102" s="173" t="str" cm="1">
        <f t="array" ref="AA102">Common_InputFunctions.Utility_DisplayArrayInTable(Fertiliser_SourceData.Fertiliser_Products_Data1(), FertiliserProducts[[#Headers],[Company]],1)</f>
        <v/>
      </c>
      <c r="AB102" s="173" t="str" cm="1">
        <f t="array" ref="AB102">Common_InputFunctions.Utility_DisplayArrayInTable(Fertiliser_SourceData.Fertiliser_Products_Data1(), FertiliserProducts[[#Headers],[Company]],1)</f>
        <v/>
      </c>
      <c r="AC102" s="173" t="str" cm="1">
        <f t="array" ref="AC102">Common_InputFunctions.Utility_DisplayArrayInTable(Fertiliser_SourceData.Fertiliser_Products_Data1(), FertiliserProducts[[#Headers],[Company]],1)</f>
        <v/>
      </c>
      <c r="AD102" s="173" t="str" cm="1">
        <f t="array" ref="AD102">Common_InputFunctions.Utility_DisplayArrayInTable(Fertiliser_SourceData.Fertiliser_Products_Data1(), FertiliserProducts[[#Headers],[Company]],1)</f>
        <v/>
      </c>
      <c r="AE102" s="173" t="str" cm="1">
        <f t="array" ref="AE102">Common_InputFunctions.Utility_DisplayArrayInTable(Fertiliser_SourceData.Fertiliser_Products_Data1(), FertiliserProducts[[#Headers],[Company]],1)</f>
        <v/>
      </c>
      <c r="AF102" s="173" t="str" cm="1">
        <f t="array" ref="AF102">Common_InputFunctions.Utility_DisplayArrayInTable(Fertiliser_SourceData.Fertiliser_Products_Data1(), FertiliserProducts[[#Headers],[Company]],1)</f>
        <v/>
      </c>
      <c r="AG102" s="173" t="str" cm="1">
        <f t="array" ref="AG102">Common_InputFunctions.Utility_DisplayArrayInTable(Fertiliser_SourceData.Fertiliser_Products_Data1(), FertiliserProducts[[#Headers],[Company]],1)</f>
        <v/>
      </c>
      <c r="AH102" s="173"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73" t="str" cm="1">
        <f t="array" ref="D103">Common_InputFunctions.Utility_DisplayArrayInTable(Fertiliser_SourceData.Fertiliser_Products_Data1(), FertiliserProducts[[#Headers],[Company]],1)</f>
        <v>Campbells fertilisers Australia</v>
      </c>
      <c r="E103" s="173" t="str" cm="1">
        <f t="array" ref="E103">Common_InputFunctions.Utility_DisplayArrayInTable(Fertiliser_SourceData.Fertiliser_Products_Data1(), FertiliserProducts[[#Headers],[Company]],1)</f>
        <v>Compass</v>
      </c>
      <c r="F103" s="173" t="str" cm="1">
        <f t="array" ref="F103">Common_InputFunctions.Utility_DisplayArrayInTable(Fertiliser_SourceData.Fertiliser_Products_Data1(), FertiliserProducts[[#Headers],[Company]],1)</f>
        <v>kg</v>
      </c>
      <c r="G103" s="173" cm="1">
        <f t="array" ref="G103">Common_InputFunctions.Utility_DisplayArrayInTable(Fertiliser_SourceData.Fertiliser_Products_Data1(), FertiliserProducts[[#Headers],[Company]],1)</f>
        <v>1</v>
      </c>
      <c r="H103" s="173" t="str" cm="1">
        <f t="array" ref="H103">Common_InputFunctions.Utility_DisplayArrayInTable(Fertiliser_SourceData.Fertiliser_Products_Data1(), FertiliserProducts[[#Headers],[Company]],1)</f>
        <v/>
      </c>
      <c r="I103" s="173" t="str" cm="1">
        <f t="array" ref="I103">Common_InputFunctions.Utility_DisplayArrayInTable(Fertiliser_SourceData.Fertiliser_Products_Data1(), FertiliserProducts[[#Headers],[Company]],1)</f>
        <v/>
      </c>
      <c r="J103" s="173" t="str" cm="1">
        <f t="array" ref="J103">Common_InputFunctions.Utility_DisplayArrayInTable(Fertiliser_SourceData.Fertiliser_Products_Data1(), FertiliserProducts[[#Headers],[Company]],1)</f>
        <v/>
      </c>
      <c r="K103" s="173" cm="1">
        <f t="array" ref="K103">Common_InputFunctions.Utility_DisplayArrayInTable(Fertiliser_SourceData.Fertiliser_Products_Data1(), FertiliserProducts[[#Headers],[Company]],1)</f>
        <v>15</v>
      </c>
      <c r="L103" s="173" cm="1">
        <f t="array" ref="L103">Common_InputFunctions.Utility_DisplayArrayInTable(Fertiliser_SourceData.Fertiliser_Products_Data1(), FertiliserProducts[[#Headers],[Company]],1)</f>
        <v>6.5</v>
      </c>
      <c r="M103" s="173" cm="1">
        <f t="array" ref="M103">Common_InputFunctions.Utility_DisplayArrayInTable(Fertiliser_SourceData.Fertiliser_Products_Data1(), FertiliserProducts[[#Headers],[Company]],1)</f>
        <v>12.5</v>
      </c>
      <c r="N103" s="173" cm="1">
        <f t="array" ref="N103">Common_InputFunctions.Utility_DisplayArrayInTable(Fertiliser_SourceData.Fertiliser_Products_Data1(), FertiliserProducts[[#Headers],[Company]],1)</f>
        <v>6</v>
      </c>
      <c r="O103" s="173" t="str" cm="1">
        <f t="array" ref="O103">Common_InputFunctions.Utility_DisplayArrayInTable(Fertiliser_SourceData.Fertiliser_Products_Data1(), FertiliserProducts[[#Headers],[Company]],1)</f>
        <v>Nitrogen - Ammoniacal</v>
      </c>
      <c r="P103" s="173" cm="1">
        <f t="array" ref="P103">Common_InputFunctions.Utility_DisplayArrayInTable(Fertiliser_SourceData.Fertiliser_Products_Data1(), FertiliserProducts[[#Headers],[Company]],1)</f>
        <v>7.4999999999999997E-2</v>
      </c>
      <c r="Q103" s="173" t="str" cm="1">
        <f t="array" ref="Q103">Common_InputFunctions.Utility_DisplayArrayInTable(Fertiliser_SourceData.Fertiliser_Products_Data1(), FertiliserProducts[[#Headers],[Company]],1)</f>
        <v>Nitrogen - Nitrate</v>
      </c>
      <c r="R103" s="173" cm="1">
        <f t="array" ref="R103">Common_InputFunctions.Utility_DisplayArrayInTable(Fertiliser_SourceData.Fertiliser_Products_Data1(), FertiliserProducts[[#Headers],[Company]],1)</f>
        <v>7.4999999999999997E-2</v>
      </c>
      <c r="S103" s="173" t="str" cm="1">
        <f t="array" ref="S103">Common_InputFunctions.Utility_DisplayArrayInTable(Fertiliser_SourceData.Fertiliser_Products_Data1(), FertiliserProducts[[#Headers],[Company]],1)</f>
        <v>Potassium - Generic</v>
      </c>
      <c r="T103" s="173" cm="1">
        <f t="array" ref="T103">Common_InputFunctions.Utility_DisplayArrayInTable(Fertiliser_SourceData.Fertiliser_Products_Data1(), FertiliserProducts[[#Headers],[Company]],1)</f>
        <v>0.125</v>
      </c>
      <c r="U103" s="173" t="str" cm="1">
        <f t="array" ref="U103">Common_InputFunctions.Utility_DisplayArrayInTable(Fertiliser_SourceData.Fertiliser_Products_Data1(), FertiliserProducts[[#Headers],[Company]],1)</f>
        <v>Phosphorus - Generic</v>
      </c>
      <c r="V103" s="173" cm="1">
        <f t="array" ref="V103">Common_InputFunctions.Utility_DisplayArrayInTable(Fertiliser_SourceData.Fertiliser_Products_Data1(), FertiliserProducts[[#Headers],[Company]],1)</f>
        <v>6.5000000000000002E-2</v>
      </c>
      <c r="W103" s="173" t="str" cm="1">
        <f t="array" ref="W103">Common_InputFunctions.Utility_DisplayArrayInTable(Fertiliser_SourceData.Fertiliser_Products_Data1(), FertiliserProducts[[#Headers],[Company]],1)</f>
        <v>Sulfur - Generic</v>
      </c>
      <c r="X103" s="173" cm="1">
        <f t="array" ref="X103">Common_InputFunctions.Utility_DisplayArrayInTable(Fertiliser_SourceData.Fertiliser_Products_Data1(), FertiliserProducts[[#Headers],[Company]],1)</f>
        <v>0.06</v>
      </c>
      <c r="Y103" s="173" t="str" cm="1">
        <f t="array" ref="Y103">Common_InputFunctions.Utility_DisplayArrayInTable(Fertiliser_SourceData.Fertiliser_Products_Data1(), FertiliserProducts[[#Headers],[Company]],1)</f>
        <v/>
      </c>
      <c r="Z103" s="173" t="str" cm="1">
        <f t="array" ref="Z103">Common_InputFunctions.Utility_DisplayArrayInTable(Fertiliser_SourceData.Fertiliser_Products_Data1(), FertiliserProducts[[#Headers],[Company]],1)</f>
        <v/>
      </c>
      <c r="AA103" s="173" t="str" cm="1">
        <f t="array" ref="AA103">Common_InputFunctions.Utility_DisplayArrayInTable(Fertiliser_SourceData.Fertiliser_Products_Data1(), FertiliserProducts[[#Headers],[Company]],1)</f>
        <v/>
      </c>
      <c r="AB103" s="173" t="str" cm="1">
        <f t="array" ref="AB103">Common_InputFunctions.Utility_DisplayArrayInTable(Fertiliser_SourceData.Fertiliser_Products_Data1(), FertiliserProducts[[#Headers],[Company]],1)</f>
        <v/>
      </c>
      <c r="AC103" s="173" t="str" cm="1">
        <f t="array" ref="AC103">Common_InputFunctions.Utility_DisplayArrayInTable(Fertiliser_SourceData.Fertiliser_Products_Data1(), FertiliserProducts[[#Headers],[Company]],1)</f>
        <v/>
      </c>
      <c r="AD103" s="173" t="str" cm="1">
        <f t="array" ref="AD103">Common_InputFunctions.Utility_DisplayArrayInTable(Fertiliser_SourceData.Fertiliser_Products_Data1(), FertiliserProducts[[#Headers],[Company]],1)</f>
        <v/>
      </c>
      <c r="AE103" s="173" t="str" cm="1">
        <f t="array" ref="AE103">Common_InputFunctions.Utility_DisplayArrayInTable(Fertiliser_SourceData.Fertiliser_Products_Data1(), FertiliserProducts[[#Headers],[Company]],1)</f>
        <v/>
      </c>
      <c r="AF103" s="173" t="str" cm="1">
        <f t="array" ref="AF103">Common_InputFunctions.Utility_DisplayArrayInTable(Fertiliser_SourceData.Fertiliser_Products_Data1(), FertiliserProducts[[#Headers],[Company]],1)</f>
        <v/>
      </c>
      <c r="AG103" s="173" t="str" cm="1">
        <f t="array" ref="AG103">Common_InputFunctions.Utility_DisplayArrayInTable(Fertiliser_SourceData.Fertiliser_Products_Data1(), FertiliserProducts[[#Headers],[Company]],1)</f>
        <v/>
      </c>
      <c r="AH103" s="173"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73" t="str" cm="1">
        <f t="array" ref="D104">Common_InputFunctions.Utility_DisplayArrayInTable(Fertiliser_SourceData.Fertiliser_Products_Data1(), FertiliserProducts[[#Headers],[Company]],1)</f>
        <v>Campbells fertilisers Australia</v>
      </c>
      <c r="E104" s="173" t="str" cm="1">
        <f t="array" ref="E104">Common_InputFunctions.Utility_DisplayArrayInTable(Fertiliser_SourceData.Fertiliser_Products_Data1(), FertiliserProducts[[#Headers],[Company]],1)</f>
        <v>CoRoN 12-0-10</v>
      </c>
      <c r="F104" s="173" t="str" cm="1">
        <f t="array" ref="F104">Common_InputFunctions.Utility_DisplayArrayInTable(Fertiliser_SourceData.Fertiliser_Products_Data1(), FertiliserProducts[[#Headers],[Company]],1)</f>
        <v>L</v>
      </c>
      <c r="G104" s="173" cm="1">
        <f t="array" ref="G104">Common_InputFunctions.Utility_DisplayArrayInTable(Fertiliser_SourceData.Fertiliser_Products_Data1(), FertiliserProducts[[#Headers],[Company]],1)</f>
        <v>1.2150000000000001</v>
      </c>
      <c r="H104" s="173" t="str" cm="1">
        <f t="array" ref="H104">Common_InputFunctions.Utility_DisplayArrayInTable(Fertiliser_SourceData.Fertiliser_Products_Data1(), FertiliserProducts[[#Headers],[Company]],1)</f>
        <v/>
      </c>
      <c r="I104" s="173" t="str" cm="1">
        <f t="array" ref="I104">Common_InputFunctions.Utility_DisplayArrayInTable(Fertiliser_SourceData.Fertiliser_Products_Data1(), FertiliserProducts[[#Headers],[Company]],1)</f>
        <v/>
      </c>
      <c r="J104" s="173" t="str" cm="1">
        <f t="array" ref="J104">Common_InputFunctions.Utility_DisplayArrayInTable(Fertiliser_SourceData.Fertiliser_Products_Data1(), FertiliserProducts[[#Headers],[Company]],1)</f>
        <v/>
      </c>
      <c r="K104" s="173" cm="1">
        <f t="array" ref="K104">Common_InputFunctions.Utility_DisplayArrayInTable(Fertiliser_SourceData.Fertiliser_Products_Data1(), FertiliserProducts[[#Headers],[Company]],1)</f>
        <v>12</v>
      </c>
      <c r="L104" s="173" t="str" cm="1">
        <f t="array" ref="L104">Common_InputFunctions.Utility_DisplayArrayInTable(Fertiliser_SourceData.Fertiliser_Products_Data1(), FertiliserProducts[[#Headers],[Company]],1)</f>
        <v/>
      </c>
      <c r="M104" s="173" cm="1">
        <f t="array" ref="M104">Common_InputFunctions.Utility_DisplayArrayInTable(Fertiliser_SourceData.Fertiliser_Products_Data1(), FertiliserProducts[[#Headers],[Company]],1)</f>
        <v>10</v>
      </c>
      <c r="N104" s="173" t="str" cm="1">
        <f t="array" ref="N104">Common_InputFunctions.Utility_DisplayArrayInTable(Fertiliser_SourceData.Fertiliser_Products_Data1(), FertiliserProducts[[#Headers],[Company]],1)</f>
        <v/>
      </c>
      <c r="O104" s="173" t="str" cm="1">
        <f t="array" ref="O104">Common_InputFunctions.Utility_DisplayArrayInTable(Fertiliser_SourceData.Fertiliser_Products_Data1(), FertiliserProducts[[#Headers],[Company]],1)</f>
        <v>Urea</v>
      </c>
      <c r="P104" s="173" cm="1">
        <f t="array" ref="P104">Common_InputFunctions.Utility_DisplayArrayInTable(Fertiliser_SourceData.Fertiliser_Products_Data1(), FertiliserProducts[[#Headers],[Company]],1)</f>
        <v>0.19565199999999999</v>
      </c>
      <c r="Q104" s="173" t="str" cm="1">
        <f t="array" ref="Q104">Common_InputFunctions.Utility_DisplayArrayInTable(Fertiliser_SourceData.Fertiliser_Products_Data1(), FertiliserProducts[[#Headers],[Company]],1)</f>
        <v>Potassium - Generic</v>
      </c>
      <c r="R104" s="173" cm="1">
        <f t="array" ref="R104">Common_InputFunctions.Utility_DisplayArrayInTable(Fertiliser_SourceData.Fertiliser_Products_Data1(), FertiliserProducts[[#Headers],[Company]],1)</f>
        <v>0.1</v>
      </c>
      <c r="S104" s="173" t="str" cm="1">
        <f t="array" ref="S104">Common_InputFunctions.Utility_DisplayArrayInTable(Fertiliser_SourceData.Fertiliser_Products_Data1(), FertiliserProducts[[#Headers],[Company]],1)</f>
        <v>Nitrogen - Generic</v>
      </c>
      <c r="T104" s="173" cm="1">
        <f t="array" ref="T104">Common_InputFunctions.Utility_DisplayArrayInTable(Fertiliser_SourceData.Fertiliser_Products_Data1(), FertiliserProducts[[#Headers],[Company]],1)</f>
        <v>0.03</v>
      </c>
      <c r="U104" s="173" t="str" cm="1">
        <f t="array" ref="U104">Common_InputFunctions.Utility_DisplayArrayInTable(Fertiliser_SourceData.Fertiliser_Products_Data1(), FertiliserProducts[[#Headers],[Company]],1)</f>
        <v>Boron</v>
      </c>
      <c r="V104" s="173" cm="1">
        <f t="array" ref="V104">Common_InputFunctions.Utility_DisplayArrayInTable(Fertiliser_SourceData.Fertiliser_Products_Data1(), FertiliserProducts[[#Headers],[Company]],1)</f>
        <v>5.0000000000000001E-3</v>
      </c>
      <c r="W104" s="173" t="str" cm="1">
        <f t="array" ref="W104">Common_InputFunctions.Utility_DisplayArrayInTable(Fertiliser_SourceData.Fertiliser_Products_Data1(), FertiliserProducts[[#Headers],[Company]],1)</f>
        <v/>
      </c>
      <c r="X104" s="173" t="str" cm="1">
        <f t="array" ref="X104">Common_InputFunctions.Utility_DisplayArrayInTable(Fertiliser_SourceData.Fertiliser_Products_Data1(), FertiliserProducts[[#Headers],[Company]],1)</f>
        <v/>
      </c>
      <c r="Y104" s="173" t="str" cm="1">
        <f t="array" ref="Y104">Common_InputFunctions.Utility_DisplayArrayInTable(Fertiliser_SourceData.Fertiliser_Products_Data1(), FertiliserProducts[[#Headers],[Company]],1)</f>
        <v/>
      </c>
      <c r="Z104" s="173" t="str" cm="1">
        <f t="array" ref="Z104">Common_InputFunctions.Utility_DisplayArrayInTable(Fertiliser_SourceData.Fertiliser_Products_Data1(), FertiliserProducts[[#Headers],[Company]],1)</f>
        <v/>
      </c>
      <c r="AA104" s="173" t="str" cm="1">
        <f t="array" ref="AA104">Common_InputFunctions.Utility_DisplayArrayInTable(Fertiliser_SourceData.Fertiliser_Products_Data1(), FertiliserProducts[[#Headers],[Company]],1)</f>
        <v/>
      </c>
      <c r="AB104" s="173" t="str" cm="1">
        <f t="array" ref="AB104">Common_InputFunctions.Utility_DisplayArrayInTable(Fertiliser_SourceData.Fertiliser_Products_Data1(), FertiliserProducts[[#Headers],[Company]],1)</f>
        <v/>
      </c>
      <c r="AC104" s="173" t="str" cm="1">
        <f t="array" ref="AC104">Common_InputFunctions.Utility_DisplayArrayInTable(Fertiliser_SourceData.Fertiliser_Products_Data1(), FertiliserProducts[[#Headers],[Company]],1)</f>
        <v/>
      </c>
      <c r="AD104" s="173" t="str" cm="1">
        <f t="array" ref="AD104">Common_InputFunctions.Utility_DisplayArrayInTable(Fertiliser_SourceData.Fertiliser_Products_Data1(), FertiliserProducts[[#Headers],[Company]],1)</f>
        <v/>
      </c>
      <c r="AE104" s="173" t="str" cm="1">
        <f t="array" ref="AE104">Common_InputFunctions.Utility_DisplayArrayInTable(Fertiliser_SourceData.Fertiliser_Products_Data1(), FertiliserProducts[[#Headers],[Company]],1)</f>
        <v/>
      </c>
      <c r="AF104" s="173" t="str" cm="1">
        <f t="array" ref="AF104">Common_InputFunctions.Utility_DisplayArrayInTable(Fertiliser_SourceData.Fertiliser_Products_Data1(), FertiliserProducts[[#Headers],[Company]],1)</f>
        <v/>
      </c>
      <c r="AG104" s="173" t="str" cm="1">
        <f t="array" ref="AG104">Common_InputFunctions.Utility_DisplayArrayInTable(Fertiliser_SourceData.Fertiliser_Products_Data1(), FertiliserProducts[[#Headers],[Company]],1)</f>
        <v/>
      </c>
      <c r="AH104" s="173"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73" t="str" cm="1">
        <f t="array" ref="D105">Common_InputFunctions.Utility_DisplayArrayInTable(Fertiliser_SourceData.Fertiliser_Products_Data1(), FertiliserProducts[[#Headers],[Company]],1)</f>
        <v>Campbells fertilisers Australia</v>
      </c>
      <c r="E105" s="173" t="str" cm="1">
        <f t="array" ref="E105">Common_InputFunctions.Utility_DisplayArrayInTable(Fertiliser_SourceData.Fertiliser_Products_Data1(), FertiliserProducts[[#Headers],[Company]],1)</f>
        <v>Maximum Quick-N</v>
      </c>
      <c r="F105" s="173" t="str" cm="1">
        <f t="array" ref="F105">Common_InputFunctions.Utility_DisplayArrayInTable(Fertiliser_SourceData.Fertiliser_Products_Data1(), FertiliserProducts[[#Headers],[Company]],1)</f>
        <v>kg</v>
      </c>
      <c r="G105" s="173" cm="1">
        <f t="array" ref="G105">Common_InputFunctions.Utility_DisplayArrayInTable(Fertiliser_SourceData.Fertiliser_Products_Data1(), FertiliserProducts[[#Headers],[Company]],1)</f>
        <v>1</v>
      </c>
      <c r="H105" s="173" t="str" cm="1">
        <f t="array" ref="H105">Common_InputFunctions.Utility_DisplayArrayInTable(Fertiliser_SourceData.Fertiliser_Products_Data1(), FertiliserProducts[[#Headers],[Company]],1)</f>
        <v/>
      </c>
      <c r="I105" s="173" t="str" cm="1">
        <f t="array" ref="I105">Common_InputFunctions.Utility_DisplayArrayInTable(Fertiliser_SourceData.Fertiliser_Products_Data1(), FertiliserProducts[[#Headers],[Company]],1)</f>
        <v/>
      </c>
      <c r="J105" s="173" t="str" cm="1">
        <f t="array" ref="J105">Common_InputFunctions.Utility_DisplayArrayInTable(Fertiliser_SourceData.Fertiliser_Products_Data1(), FertiliserProducts[[#Headers],[Company]],1)</f>
        <v/>
      </c>
      <c r="K105" s="173" cm="1">
        <f t="array" ref="K105">Common_InputFunctions.Utility_DisplayArrayInTable(Fertiliser_SourceData.Fertiliser_Products_Data1(), FertiliserProducts[[#Headers],[Company]],1)</f>
        <v>21.66</v>
      </c>
      <c r="L105" s="173" t="str" cm="1">
        <f t="array" ref="L105">Common_InputFunctions.Utility_DisplayArrayInTable(Fertiliser_SourceData.Fertiliser_Products_Data1(), FertiliserProducts[[#Headers],[Company]],1)</f>
        <v/>
      </c>
      <c r="M105" s="173" t="str" cm="1">
        <f t="array" ref="M105">Common_InputFunctions.Utility_DisplayArrayInTable(Fertiliser_SourceData.Fertiliser_Products_Data1(), FertiliserProducts[[#Headers],[Company]],1)</f>
        <v/>
      </c>
      <c r="N105" s="173" cm="1">
        <f t="array" ref="N105">Common_InputFunctions.Utility_DisplayArrayInTable(Fertiliser_SourceData.Fertiliser_Products_Data1(), FertiliserProducts[[#Headers],[Company]],1)</f>
        <v>13.2</v>
      </c>
      <c r="O105" s="173" t="str" cm="1">
        <f t="array" ref="O105">Common_InputFunctions.Utility_DisplayArrayInTable(Fertiliser_SourceData.Fertiliser_Products_Data1(), FertiliserProducts[[#Headers],[Company]],1)</f>
        <v>Sulphate of ammonia (SOA)</v>
      </c>
      <c r="P105" s="173" cm="1">
        <f t="array" ref="P105">Common_InputFunctions.Utility_DisplayArrayInTable(Fertiliser_SourceData.Fertiliser_Products_Data1(), FertiliserProducts[[#Headers],[Company]],1)</f>
        <v>0.55000000000000004</v>
      </c>
      <c r="Q105" s="173" t="str" cm="1">
        <f t="array" ref="Q105">Common_InputFunctions.Utility_DisplayArrayInTable(Fertiliser_SourceData.Fertiliser_Products_Data1(), FertiliserProducts[[#Headers],[Company]],1)</f>
        <v>Ammonium nitrate (AN)</v>
      </c>
      <c r="R105" s="173" cm="1">
        <f t="array" ref="R105">Common_InputFunctions.Utility_DisplayArrayInTable(Fertiliser_SourceData.Fertiliser_Products_Data1(), FertiliserProducts[[#Headers],[Company]],1)</f>
        <v>0.3</v>
      </c>
      <c r="S105" s="173" t="str" cm="1">
        <f t="array" ref="S105">Common_InputFunctions.Utility_DisplayArrayInTable(Fertiliser_SourceData.Fertiliser_Products_Data1(), FertiliserProducts[[#Headers],[Company]],1)</f>
        <v/>
      </c>
      <c r="T105" s="173" t="str" cm="1">
        <f t="array" ref="T105">Common_InputFunctions.Utility_DisplayArrayInTable(Fertiliser_SourceData.Fertiliser_Products_Data1(), FertiliserProducts[[#Headers],[Company]],1)</f>
        <v/>
      </c>
      <c r="U105" s="173" t="str" cm="1">
        <f t="array" ref="U105">Common_InputFunctions.Utility_DisplayArrayInTable(Fertiliser_SourceData.Fertiliser_Products_Data1(), FertiliserProducts[[#Headers],[Company]],1)</f>
        <v/>
      </c>
      <c r="V105" s="173" t="str" cm="1">
        <f t="array" ref="V105">Common_InputFunctions.Utility_DisplayArrayInTable(Fertiliser_SourceData.Fertiliser_Products_Data1(), FertiliserProducts[[#Headers],[Company]],1)</f>
        <v/>
      </c>
      <c r="W105" s="173" t="str" cm="1">
        <f t="array" ref="W105">Common_InputFunctions.Utility_DisplayArrayInTable(Fertiliser_SourceData.Fertiliser_Products_Data1(), FertiliserProducts[[#Headers],[Company]],1)</f>
        <v/>
      </c>
      <c r="X105" s="173" t="str" cm="1">
        <f t="array" ref="X105">Common_InputFunctions.Utility_DisplayArrayInTable(Fertiliser_SourceData.Fertiliser_Products_Data1(), FertiliserProducts[[#Headers],[Company]],1)</f>
        <v/>
      </c>
      <c r="Y105" s="173" t="str" cm="1">
        <f t="array" ref="Y105">Common_InputFunctions.Utility_DisplayArrayInTable(Fertiliser_SourceData.Fertiliser_Products_Data1(), FertiliserProducts[[#Headers],[Company]],1)</f>
        <v/>
      </c>
      <c r="Z105" s="173" t="str" cm="1">
        <f t="array" ref="Z105">Common_InputFunctions.Utility_DisplayArrayInTable(Fertiliser_SourceData.Fertiliser_Products_Data1(), FertiliserProducts[[#Headers],[Company]],1)</f>
        <v/>
      </c>
      <c r="AA105" s="173" t="str" cm="1">
        <f t="array" ref="AA105">Common_InputFunctions.Utility_DisplayArrayInTable(Fertiliser_SourceData.Fertiliser_Products_Data1(), FertiliserProducts[[#Headers],[Company]],1)</f>
        <v/>
      </c>
      <c r="AB105" s="173" t="str" cm="1">
        <f t="array" ref="AB105">Common_InputFunctions.Utility_DisplayArrayInTable(Fertiliser_SourceData.Fertiliser_Products_Data1(), FertiliserProducts[[#Headers],[Company]],1)</f>
        <v/>
      </c>
      <c r="AC105" s="173" t="str" cm="1">
        <f t="array" ref="AC105">Common_InputFunctions.Utility_DisplayArrayInTable(Fertiliser_SourceData.Fertiliser_Products_Data1(), FertiliserProducts[[#Headers],[Company]],1)</f>
        <v/>
      </c>
      <c r="AD105" s="173" t="str" cm="1">
        <f t="array" ref="AD105">Common_InputFunctions.Utility_DisplayArrayInTable(Fertiliser_SourceData.Fertiliser_Products_Data1(), FertiliserProducts[[#Headers],[Company]],1)</f>
        <v/>
      </c>
      <c r="AE105" s="173" t="str" cm="1">
        <f t="array" ref="AE105">Common_InputFunctions.Utility_DisplayArrayInTable(Fertiliser_SourceData.Fertiliser_Products_Data1(), FertiliserProducts[[#Headers],[Company]],1)</f>
        <v/>
      </c>
      <c r="AF105" s="173" t="str" cm="1">
        <f t="array" ref="AF105">Common_InputFunctions.Utility_DisplayArrayInTable(Fertiliser_SourceData.Fertiliser_Products_Data1(), FertiliserProducts[[#Headers],[Company]],1)</f>
        <v/>
      </c>
      <c r="AG105" s="173" t="str" cm="1">
        <f t="array" ref="AG105">Common_InputFunctions.Utility_DisplayArrayInTable(Fertiliser_SourceData.Fertiliser_Products_Data1(), FertiliserProducts[[#Headers],[Company]],1)</f>
        <v/>
      </c>
      <c r="AH105" s="173"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73" t="str" cm="1">
        <f t="array" ref="D106">Common_InputFunctions.Utility_DisplayArrayInTable(Fertiliser_SourceData.Fertiliser_Products_Data1(), FertiliserProducts[[#Headers],[Company]],1)</f>
        <v>SL Tec</v>
      </c>
      <c r="E106" s="173" t="str" cm="1">
        <f t="array" ref="E106">Common_InputFunctions.Utility_DisplayArrayInTable(Fertiliser_SourceData.Fertiliser_Products_Data1(), FertiliserProducts[[#Headers],[Company]],1)</f>
        <v>Crop Booster PLUS</v>
      </c>
      <c r="F106" s="173" t="str" cm="1">
        <f t="array" ref="F106">Common_InputFunctions.Utility_DisplayArrayInTable(Fertiliser_SourceData.Fertiliser_Products_Data1(), FertiliserProducts[[#Headers],[Company]],1)</f>
        <v>L</v>
      </c>
      <c r="G106" s="173" cm="1">
        <f t="array" ref="G106">Common_InputFunctions.Utility_DisplayArrayInTable(Fertiliser_SourceData.Fertiliser_Products_Data1(), FertiliserProducts[[#Headers],[Company]],1)</f>
        <v>1.319</v>
      </c>
      <c r="H106" s="173" t="str" cm="1">
        <f t="array" ref="H106">Common_InputFunctions.Utility_DisplayArrayInTable(Fertiliser_SourceData.Fertiliser_Products_Data1(), FertiliserProducts[[#Headers],[Company]],1)</f>
        <v/>
      </c>
      <c r="I106" s="173" t="str" cm="1">
        <f t="array" ref="I106">Common_InputFunctions.Utility_DisplayArrayInTable(Fertiliser_SourceData.Fertiliser_Products_Data1(), FertiliserProducts[[#Headers],[Company]],1)</f>
        <v/>
      </c>
      <c r="J106" s="173" t="str" cm="1">
        <f t="array" ref="J106">Common_InputFunctions.Utility_DisplayArrayInTable(Fertiliser_SourceData.Fertiliser_Products_Data1(), FertiliserProducts[[#Headers],[Company]],1)</f>
        <v/>
      </c>
      <c r="K106" s="173" cm="1">
        <f t="array" ref="K106">Common_InputFunctions.Utility_DisplayArrayInTable(Fertiliser_SourceData.Fertiliser_Products_Data1(), FertiliserProducts[[#Headers],[Company]],1)</f>
        <v>5</v>
      </c>
      <c r="L106" s="173" cm="1">
        <f t="array" ref="L106">Common_InputFunctions.Utility_DisplayArrayInTable(Fertiliser_SourceData.Fertiliser_Products_Data1(), FertiliserProducts[[#Headers],[Company]],1)</f>
        <v>15</v>
      </c>
      <c r="M106" s="173" cm="1">
        <f t="array" ref="M106">Common_InputFunctions.Utility_DisplayArrayInTable(Fertiliser_SourceData.Fertiliser_Products_Data1(), FertiliserProducts[[#Headers],[Company]],1)</f>
        <v>2.1</v>
      </c>
      <c r="N106" s="173" t="str" cm="1">
        <f t="array" ref="N106">Common_InputFunctions.Utility_DisplayArrayInTable(Fertiliser_SourceData.Fertiliser_Products_Data1(), FertiliserProducts[[#Headers],[Company]],1)</f>
        <v/>
      </c>
      <c r="O106" s="173" t="str" cm="1">
        <f t="array" ref="O106">Common_InputFunctions.Utility_DisplayArrayInTable(Fertiliser_SourceData.Fertiliser_Products_Data1(), FertiliserProducts[[#Headers],[Company]],1)</f>
        <v>Phosphorus - Generic</v>
      </c>
      <c r="P106" s="173" cm="1">
        <f t="array" ref="P106">Common_InputFunctions.Utility_DisplayArrayInTable(Fertiliser_SourceData.Fertiliser_Products_Data1(), FertiliserProducts[[#Headers],[Company]],1)</f>
        <v>0.15</v>
      </c>
      <c r="Q106" s="173" t="str" cm="1">
        <f t="array" ref="Q106">Common_InputFunctions.Utility_DisplayArrayInTable(Fertiliser_SourceData.Fertiliser_Products_Data1(), FertiliserProducts[[#Headers],[Company]],1)</f>
        <v>Calcium</v>
      </c>
      <c r="R106" s="173" cm="1">
        <f t="array" ref="R106">Common_InputFunctions.Utility_DisplayArrayInTable(Fertiliser_SourceData.Fertiliser_Products_Data1(), FertiliserProducts[[#Headers],[Company]],1)</f>
        <v>0.04</v>
      </c>
      <c r="S106" s="173" t="str" cm="1">
        <f t="array" ref="S106">Common_InputFunctions.Utility_DisplayArrayInTable(Fertiliser_SourceData.Fertiliser_Products_Data1(), FertiliserProducts[[#Headers],[Company]],1)</f>
        <v>Nitrogen - Ammoniacal</v>
      </c>
      <c r="T106" s="173" cm="1">
        <f t="array" ref="T106">Common_InputFunctions.Utility_DisplayArrayInTable(Fertiliser_SourceData.Fertiliser_Products_Data1(), FertiliserProducts[[#Headers],[Company]],1)</f>
        <v>2.9000000000000001E-2</v>
      </c>
      <c r="U106" s="173" t="str" cm="1">
        <f t="array" ref="U106">Common_InputFunctions.Utility_DisplayArrayInTable(Fertiliser_SourceData.Fertiliser_Products_Data1(), FertiliserProducts[[#Headers],[Company]],1)</f>
        <v>Nitrogen - Nitrate</v>
      </c>
      <c r="V106" s="173" cm="1">
        <f t="array" ref="V106">Common_InputFunctions.Utility_DisplayArrayInTable(Fertiliser_SourceData.Fertiliser_Products_Data1(), FertiliserProducts[[#Headers],[Company]],1)</f>
        <v>2.1000000000000001E-2</v>
      </c>
      <c r="W106" s="173" t="str" cm="1">
        <f t="array" ref="W106">Common_InputFunctions.Utility_DisplayArrayInTable(Fertiliser_SourceData.Fertiliser_Products_Data1(), FertiliserProducts[[#Headers],[Company]],1)</f>
        <v>Potassium - Generic</v>
      </c>
      <c r="X106" s="173" cm="1">
        <f t="array" ref="X106">Common_InputFunctions.Utility_DisplayArrayInTable(Fertiliser_SourceData.Fertiliser_Products_Data1(), FertiliserProducts[[#Headers],[Company]],1)</f>
        <v>2.1000000000000001E-2</v>
      </c>
      <c r="Y106" s="173" t="str" cm="1">
        <f t="array" ref="Y106">Common_InputFunctions.Utility_DisplayArrayInTable(Fertiliser_SourceData.Fertiliser_Products_Data1(), FertiliserProducts[[#Headers],[Company]],1)</f>
        <v>Copper</v>
      </c>
      <c r="Z106" s="173" cm="1">
        <f t="array" ref="Z106">Common_InputFunctions.Utility_DisplayArrayInTable(Fertiliser_SourceData.Fertiliser_Products_Data1(), FertiliserProducts[[#Headers],[Company]],1)</f>
        <v>5.0000000000000001E-3</v>
      </c>
      <c r="AA106" s="173" t="str" cm="1">
        <f t="array" ref="AA106">Common_InputFunctions.Utility_DisplayArrayInTable(Fertiliser_SourceData.Fertiliser_Products_Data1(), FertiliserProducts[[#Headers],[Company]],1)</f>
        <v>Zinc</v>
      </c>
      <c r="AB106" s="173" cm="1">
        <f t="array" ref="AB106">Common_InputFunctions.Utility_DisplayArrayInTable(Fertiliser_SourceData.Fertiliser_Products_Data1(), FertiliserProducts[[#Headers],[Company]],1)</f>
        <v>4.0000000000000001E-3</v>
      </c>
      <c r="AC106" s="173" t="str" cm="1">
        <f t="array" ref="AC106">Common_InputFunctions.Utility_DisplayArrayInTable(Fertiliser_SourceData.Fertiliser_Products_Data1(), FertiliserProducts[[#Headers],[Company]],1)</f>
        <v>Manganese</v>
      </c>
      <c r="AD106" s="173" cm="1">
        <f t="array" ref="AD106">Common_InputFunctions.Utility_DisplayArrayInTable(Fertiliser_SourceData.Fertiliser_Products_Data1(), FertiliserProducts[[#Headers],[Company]],1)</f>
        <v>4.0000000000000001E-3</v>
      </c>
      <c r="AE106" s="173" t="str" cm="1">
        <f t="array" ref="AE106">Common_InputFunctions.Utility_DisplayArrayInTable(Fertiliser_SourceData.Fertiliser_Products_Data1(), FertiliserProducts[[#Headers],[Company]],1)</f>
        <v>Magnesium</v>
      </c>
      <c r="AF106" s="173" cm="1">
        <f t="array" ref="AF106">Common_InputFunctions.Utility_DisplayArrayInTable(Fertiliser_SourceData.Fertiliser_Products_Data1(), FertiliserProducts[[#Headers],[Company]],1)</f>
        <v>2E-3</v>
      </c>
      <c r="AG106" s="173" t="str" cm="1">
        <f t="array" ref="AG106">Common_InputFunctions.Utility_DisplayArrayInTable(Fertiliser_SourceData.Fertiliser_Products_Data1(), FertiliserProducts[[#Headers],[Company]],1)</f>
        <v/>
      </c>
      <c r="AH106" s="173"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73" t="str" cm="1">
        <f t="array" ref="D107">Common_InputFunctions.Utility_DisplayArrayInTable(Fertiliser_SourceData.Fertiliser_Products_Data1(), FertiliserProducts[[#Headers],[Company]],1)</f>
        <v>Risso-Chemical</v>
      </c>
      <c r="E107" s="173" t="str" cm="1">
        <f t="array" ref="E107">Common_InputFunctions.Utility_DisplayArrayInTable(Fertiliser_SourceData.Fertiliser_Products_Data1(), FertiliserProducts[[#Headers],[Company]],1)</f>
        <v>Ammonium Bicarbonate</v>
      </c>
      <c r="F107" s="173" t="str" cm="1">
        <f t="array" ref="F107">Common_InputFunctions.Utility_DisplayArrayInTable(Fertiliser_SourceData.Fertiliser_Products_Data1(), FertiliserProducts[[#Headers],[Company]],1)</f>
        <v>kg</v>
      </c>
      <c r="G107" s="173" cm="1">
        <f t="array" ref="G107">Common_InputFunctions.Utility_DisplayArrayInTable(Fertiliser_SourceData.Fertiliser_Products_Data1(), FertiliserProducts[[#Headers],[Company]],1)</f>
        <v>1</v>
      </c>
      <c r="H107" s="173" t="str" cm="1">
        <f t="array" ref="H107">Common_InputFunctions.Utility_DisplayArrayInTable(Fertiliser_SourceData.Fertiliser_Products_Data1(), FertiliserProducts[[#Headers],[Company]],1)</f>
        <v/>
      </c>
      <c r="I107" s="173" t="str" cm="1">
        <f t="array" ref="I107">Common_InputFunctions.Utility_DisplayArrayInTable(Fertiliser_SourceData.Fertiliser_Products_Data1(), FertiliserProducts[[#Headers],[Company]],1)</f>
        <v/>
      </c>
      <c r="J107" s="173" t="str" cm="1">
        <f t="array" ref="J107">Common_InputFunctions.Utility_DisplayArrayInTable(Fertiliser_SourceData.Fertiliser_Products_Data1(), FertiliserProducts[[#Headers],[Company]],1)</f>
        <v>China</v>
      </c>
      <c r="K107" s="173" cm="1">
        <f t="array" ref="K107">Common_InputFunctions.Utility_DisplayArrayInTable(Fertiliser_SourceData.Fertiliser_Products_Data1(), FertiliserProducts[[#Headers],[Company]],1)</f>
        <v>17.7</v>
      </c>
      <c r="L107" s="173" t="str" cm="1">
        <f t="array" ref="L107">Common_InputFunctions.Utility_DisplayArrayInTable(Fertiliser_SourceData.Fertiliser_Products_Data1(), FertiliserProducts[[#Headers],[Company]],1)</f>
        <v/>
      </c>
      <c r="M107" s="173" t="str" cm="1">
        <f t="array" ref="M107">Common_InputFunctions.Utility_DisplayArrayInTable(Fertiliser_SourceData.Fertiliser_Products_Data1(), FertiliserProducts[[#Headers],[Company]],1)</f>
        <v/>
      </c>
      <c r="N107" s="173" t="str" cm="1">
        <f t="array" ref="N107">Common_InputFunctions.Utility_DisplayArrayInTable(Fertiliser_SourceData.Fertiliser_Products_Data1(), FertiliserProducts[[#Headers],[Company]],1)</f>
        <v/>
      </c>
      <c r="O107" s="173" t="str" cm="1">
        <f t="array" ref="O107">Common_InputFunctions.Utility_DisplayArrayInTable(Fertiliser_SourceData.Fertiliser_Products_Data1(), FertiliserProducts[[#Headers],[Company]],1)</f>
        <v>Nitrogen - Ammoniacal</v>
      </c>
      <c r="P107" s="173" cm="1">
        <f t="array" ref="P107">Common_InputFunctions.Utility_DisplayArrayInTable(Fertiliser_SourceData.Fertiliser_Products_Data1(), FertiliserProducts[[#Headers],[Company]],1)</f>
        <v>0.17699999999999999</v>
      </c>
      <c r="Q107" s="173" t="str" cm="1">
        <f t="array" ref="Q107">Common_InputFunctions.Utility_DisplayArrayInTable(Fertiliser_SourceData.Fertiliser_Products_Data1(), FertiliserProducts[[#Headers],[Company]],1)</f>
        <v/>
      </c>
      <c r="R107" s="173" t="str" cm="1">
        <f t="array" ref="R107">Common_InputFunctions.Utility_DisplayArrayInTable(Fertiliser_SourceData.Fertiliser_Products_Data1(), FertiliserProducts[[#Headers],[Company]],1)</f>
        <v/>
      </c>
      <c r="S107" s="173" t="str" cm="1">
        <f t="array" ref="S107">Common_InputFunctions.Utility_DisplayArrayInTable(Fertiliser_SourceData.Fertiliser_Products_Data1(), FertiliserProducts[[#Headers],[Company]],1)</f>
        <v/>
      </c>
      <c r="T107" s="173" t="str" cm="1">
        <f t="array" ref="T107">Common_InputFunctions.Utility_DisplayArrayInTable(Fertiliser_SourceData.Fertiliser_Products_Data1(), FertiliserProducts[[#Headers],[Company]],1)</f>
        <v/>
      </c>
      <c r="U107" s="173" t="str" cm="1">
        <f t="array" ref="U107">Common_InputFunctions.Utility_DisplayArrayInTable(Fertiliser_SourceData.Fertiliser_Products_Data1(), FertiliserProducts[[#Headers],[Company]],1)</f>
        <v/>
      </c>
      <c r="V107" s="173" t="str" cm="1">
        <f t="array" ref="V107">Common_InputFunctions.Utility_DisplayArrayInTable(Fertiliser_SourceData.Fertiliser_Products_Data1(), FertiliserProducts[[#Headers],[Company]],1)</f>
        <v/>
      </c>
      <c r="W107" s="173" t="str" cm="1">
        <f t="array" ref="W107">Common_InputFunctions.Utility_DisplayArrayInTable(Fertiliser_SourceData.Fertiliser_Products_Data1(), FertiliserProducts[[#Headers],[Company]],1)</f>
        <v/>
      </c>
      <c r="X107" s="173" t="str" cm="1">
        <f t="array" ref="X107">Common_InputFunctions.Utility_DisplayArrayInTable(Fertiliser_SourceData.Fertiliser_Products_Data1(), FertiliserProducts[[#Headers],[Company]],1)</f>
        <v/>
      </c>
      <c r="Y107" s="173" t="str" cm="1">
        <f t="array" ref="Y107">Common_InputFunctions.Utility_DisplayArrayInTable(Fertiliser_SourceData.Fertiliser_Products_Data1(), FertiliserProducts[[#Headers],[Company]],1)</f>
        <v/>
      </c>
      <c r="Z107" s="173" t="str" cm="1">
        <f t="array" ref="Z107">Common_InputFunctions.Utility_DisplayArrayInTable(Fertiliser_SourceData.Fertiliser_Products_Data1(), FertiliserProducts[[#Headers],[Company]],1)</f>
        <v/>
      </c>
      <c r="AA107" s="173" t="str" cm="1">
        <f t="array" ref="AA107">Common_InputFunctions.Utility_DisplayArrayInTable(Fertiliser_SourceData.Fertiliser_Products_Data1(), FertiliserProducts[[#Headers],[Company]],1)</f>
        <v/>
      </c>
      <c r="AB107" s="173" t="str" cm="1">
        <f t="array" ref="AB107">Common_InputFunctions.Utility_DisplayArrayInTable(Fertiliser_SourceData.Fertiliser_Products_Data1(), FertiliserProducts[[#Headers],[Company]],1)</f>
        <v/>
      </c>
      <c r="AC107" s="173" t="str" cm="1">
        <f t="array" ref="AC107">Common_InputFunctions.Utility_DisplayArrayInTable(Fertiliser_SourceData.Fertiliser_Products_Data1(), FertiliserProducts[[#Headers],[Company]],1)</f>
        <v/>
      </c>
      <c r="AD107" s="173" t="str" cm="1">
        <f t="array" ref="AD107">Common_InputFunctions.Utility_DisplayArrayInTable(Fertiliser_SourceData.Fertiliser_Products_Data1(), FertiliserProducts[[#Headers],[Company]],1)</f>
        <v/>
      </c>
      <c r="AE107" s="173" t="str" cm="1">
        <f t="array" ref="AE107">Common_InputFunctions.Utility_DisplayArrayInTable(Fertiliser_SourceData.Fertiliser_Products_Data1(), FertiliserProducts[[#Headers],[Company]],1)</f>
        <v/>
      </c>
      <c r="AF107" s="173" t="str" cm="1">
        <f t="array" ref="AF107">Common_InputFunctions.Utility_DisplayArrayInTable(Fertiliser_SourceData.Fertiliser_Products_Data1(), FertiliserProducts[[#Headers],[Company]],1)</f>
        <v/>
      </c>
      <c r="AG107" s="173" t="str" cm="1">
        <f t="array" ref="AG107">Common_InputFunctions.Utility_DisplayArrayInTable(Fertiliser_SourceData.Fertiliser_Products_Data1(), FertiliserProducts[[#Headers],[Company]],1)</f>
        <v/>
      </c>
      <c r="AH107" s="173"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73" t="str" cm="1">
        <f t="array" ref="D108">Common_InputFunctions.Utility_DisplayArrayInTable(Fertiliser_SourceData.Fertiliser_Products_Data1(), FertiliserProducts[[#Headers],[Company]],1)</f>
        <v>Risso-Chemical</v>
      </c>
      <c r="E108" s="173" t="str" cm="1">
        <f t="array" ref="E108">Common_InputFunctions.Utility_DisplayArrayInTable(Fertiliser_SourceData.Fertiliser_Products_Data1(), FertiliserProducts[[#Headers],[Company]],1)</f>
        <v>Ammonium Sulfate</v>
      </c>
      <c r="F108" s="173" t="str" cm="1">
        <f t="array" ref="F108">Common_InputFunctions.Utility_DisplayArrayInTable(Fertiliser_SourceData.Fertiliser_Products_Data1(), FertiliserProducts[[#Headers],[Company]],1)</f>
        <v>kg</v>
      </c>
      <c r="G108" s="173" cm="1">
        <f t="array" ref="G108">Common_InputFunctions.Utility_DisplayArrayInTable(Fertiliser_SourceData.Fertiliser_Products_Data1(), FertiliserProducts[[#Headers],[Company]],1)</f>
        <v>1</v>
      </c>
      <c r="H108" s="173" t="str" cm="1">
        <f t="array" ref="H108">Common_InputFunctions.Utility_DisplayArrayInTable(Fertiliser_SourceData.Fertiliser_Products_Data1(), FertiliserProducts[[#Headers],[Company]],1)</f>
        <v/>
      </c>
      <c r="I108" s="173" t="str" cm="1">
        <f t="array" ref="I108">Common_InputFunctions.Utility_DisplayArrayInTable(Fertiliser_SourceData.Fertiliser_Products_Data1(), FertiliserProducts[[#Headers],[Company]],1)</f>
        <v/>
      </c>
      <c r="J108" s="173" t="str" cm="1">
        <f t="array" ref="J108">Common_InputFunctions.Utility_DisplayArrayInTable(Fertiliser_SourceData.Fertiliser_Products_Data1(), FertiliserProducts[[#Headers],[Company]],1)</f>
        <v>China</v>
      </c>
      <c r="K108" s="173" cm="1">
        <f t="array" ref="K108">Common_InputFunctions.Utility_DisplayArrayInTable(Fertiliser_SourceData.Fertiliser_Products_Data1(), FertiliserProducts[[#Headers],[Company]],1)</f>
        <v>21</v>
      </c>
      <c r="L108" s="173" t="str" cm="1">
        <f t="array" ref="L108">Common_InputFunctions.Utility_DisplayArrayInTable(Fertiliser_SourceData.Fertiliser_Products_Data1(), FertiliserProducts[[#Headers],[Company]],1)</f>
        <v/>
      </c>
      <c r="M108" s="173" t="str" cm="1">
        <f t="array" ref="M108">Common_InputFunctions.Utility_DisplayArrayInTable(Fertiliser_SourceData.Fertiliser_Products_Data1(), FertiliserProducts[[#Headers],[Company]],1)</f>
        <v/>
      </c>
      <c r="N108" s="173" cm="1">
        <f t="array" ref="N108">Common_InputFunctions.Utility_DisplayArrayInTable(Fertiliser_SourceData.Fertiliser_Products_Data1(), FertiliserProducts[[#Headers],[Company]],1)</f>
        <v>24</v>
      </c>
      <c r="O108" s="173" t="str" cm="1">
        <f t="array" ref="O108">Common_InputFunctions.Utility_DisplayArrayInTable(Fertiliser_SourceData.Fertiliser_Products_Data1(), FertiliserProducts[[#Headers],[Company]],1)</f>
        <v>Sulfur - Generic</v>
      </c>
      <c r="P108" s="173" cm="1">
        <f t="array" ref="P108">Common_InputFunctions.Utility_DisplayArrayInTable(Fertiliser_SourceData.Fertiliser_Products_Data1(), FertiliserProducts[[#Headers],[Company]],1)</f>
        <v>0.24</v>
      </c>
      <c r="Q108" s="173" t="str" cm="1">
        <f t="array" ref="Q108">Common_InputFunctions.Utility_DisplayArrayInTable(Fertiliser_SourceData.Fertiliser_Products_Data1(), FertiliserProducts[[#Headers],[Company]],1)</f>
        <v>Nitrogen - Ammoniacal</v>
      </c>
      <c r="R108" s="173" cm="1">
        <f t="array" ref="R108">Common_InputFunctions.Utility_DisplayArrayInTable(Fertiliser_SourceData.Fertiliser_Products_Data1(), FertiliserProducts[[#Headers],[Company]],1)</f>
        <v>0.21</v>
      </c>
      <c r="S108" s="173" t="str" cm="1">
        <f t="array" ref="S108">Common_InputFunctions.Utility_DisplayArrayInTable(Fertiliser_SourceData.Fertiliser_Products_Data1(), FertiliserProducts[[#Headers],[Company]],1)</f>
        <v/>
      </c>
      <c r="T108" s="173" t="str" cm="1">
        <f t="array" ref="T108">Common_InputFunctions.Utility_DisplayArrayInTable(Fertiliser_SourceData.Fertiliser_Products_Data1(), FertiliserProducts[[#Headers],[Company]],1)</f>
        <v/>
      </c>
      <c r="U108" s="173" t="str" cm="1">
        <f t="array" ref="U108">Common_InputFunctions.Utility_DisplayArrayInTable(Fertiliser_SourceData.Fertiliser_Products_Data1(), FertiliserProducts[[#Headers],[Company]],1)</f>
        <v/>
      </c>
      <c r="V108" s="173" t="str" cm="1">
        <f t="array" ref="V108">Common_InputFunctions.Utility_DisplayArrayInTable(Fertiliser_SourceData.Fertiliser_Products_Data1(), FertiliserProducts[[#Headers],[Company]],1)</f>
        <v/>
      </c>
      <c r="W108" s="173" t="str" cm="1">
        <f t="array" ref="W108">Common_InputFunctions.Utility_DisplayArrayInTable(Fertiliser_SourceData.Fertiliser_Products_Data1(), FertiliserProducts[[#Headers],[Company]],1)</f>
        <v/>
      </c>
      <c r="X108" s="173" t="str" cm="1">
        <f t="array" ref="X108">Common_InputFunctions.Utility_DisplayArrayInTable(Fertiliser_SourceData.Fertiliser_Products_Data1(), FertiliserProducts[[#Headers],[Company]],1)</f>
        <v/>
      </c>
      <c r="Y108" s="173" t="str" cm="1">
        <f t="array" ref="Y108">Common_InputFunctions.Utility_DisplayArrayInTable(Fertiliser_SourceData.Fertiliser_Products_Data1(), FertiliserProducts[[#Headers],[Company]],1)</f>
        <v/>
      </c>
      <c r="Z108" s="173" t="str" cm="1">
        <f t="array" ref="Z108">Common_InputFunctions.Utility_DisplayArrayInTable(Fertiliser_SourceData.Fertiliser_Products_Data1(), FertiliserProducts[[#Headers],[Company]],1)</f>
        <v/>
      </c>
      <c r="AA108" s="173" t="str" cm="1">
        <f t="array" ref="AA108">Common_InputFunctions.Utility_DisplayArrayInTable(Fertiliser_SourceData.Fertiliser_Products_Data1(), FertiliserProducts[[#Headers],[Company]],1)</f>
        <v/>
      </c>
      <c r="AB108" s="173" t="str" cm="1">
        <f t="array" ref="AB108">Common_InputFunctions.Utility_DisplayArrayInTable(Fertiliser_SourceData.Fertiliser_Products_Data1(), FertiliserProducts[[#Headers],[Company]],1)</f>
        <v/>
      </c>
      <c r="AC108" s="173" t="str" cm="1">
        <f t="array" ref="AC108">Common_InputFunctions.Utility_DisplayArrayInTable(Fertiliser_SourceData.Fertiliser_Products_Data1(), FertiliserProducts[[#Headers],[Company]],1)</f>
        <v/>
      </c>
      <c r="AD108" s="173" t="str" cm="1">
        <f t="array" ref="AD108">Common_InputFunctions.Utility_DisplayArrayInTable(Fertiliser_SourceData.Fertiliser_Products_Data1(), FertiliserProducts[[#Headers],[Company]],1)</f>
        <v/>
      </c>
      <c r="AE108" s="173" t="str" cm="1">
        <f t="array" ref="AE108">Common_InputFunctions.Utility_DisplayArrayInTable(Fertiliser_SourceData.Fertiliser_Products_Data1(), FertiliserProducts[[#Headers],[Company]],1)</f>
        <v/>
      </c>
      <c r="AF108" s="173" t="str" cm="1">
        <f t="array" ref="AF108">Common_InputFunctions.Utility_DisplayArrayInTable(Fertiliser_SourceData.Fertiliser_Products_Data1(), FertiliserProducts[[#Headers],[Company]],1)</f>
        <v/>
      </c>
      <c r="AG108" s="173" t="str" cm="1">
        <f t="array" ref="AG108">Common_InputFunctions.Utility_DisplayArrayInTable(Fertiliser_SourceData.Fertiliser_Products_Data1(), FertiliserProducts[[#Headers],[Company]],1)</f>
        <v/>
      </c>
      <c r="AH108" s="173"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73" t="str" cm="1">
        <f t="array" ref="D109">Common_InputFunctions.Utility_DisplayArrayInTable(Fertiliser_SourceData.Fertiliser_Products_Data1(), FertiliserProducts[[#Headers],[Company]],1)</f>
        <v>Ravensdown</v>
      </c>
      <c r="E109" s="173" t="str" cm="1">
        <f t="array" ref="E109">Common_InputFunctions.Utility_DisplayArrayInTable(Fertiliser_SourceData.Fertiliser_Products_Data1(), FertiliserProducts[[#Headers],[Company]],1)</f>
        <v>Ammonium Sulphate - Granular</v>
      </c>
      <c r="F109" s="173" t="str" cm="1">
        <f t="array" ref="F109">Common_InputFunctions.Utility_DisplayArrayInTable(Fertiliser_SourceData.Fertiliser_Products_Data1(), FertiliserProducts[[#Headers],[Company]],1)</f>
        <v>kg</v>
      </c>
      <c r="G109" s="173" cm="1">
        <f t="array" ref="G109">Common_InputFunctions.Utility_DisplayArrayInTable(Fertiliser_SourceData.Fertiliser_Products_Data1(), FertiliserProducts[[#Headers],[Company]],1)</f>
        <v>1</v>
      </c>
      <c r="H109" s="173" t="str" cm="1">
        <f t="array" ref="H109">Common_InputFunctions.Utility_DisplayArrayInTable(Fertiliser_SourceData.Fertiliser_Products_Data1(), FertiliserProducts[[#Headers],[Company]],1)</f>
        <v/>
      </c>
      <c r="I109" s="173" t="str" cm="1">
        <f t="array" ref="I109">Common_InputFunctions.Utility_DisplayArrayInTable(Fertiliser_SourceData.Fertiliser_Products_Data1(), FertiliserProducts[[#Headers],[Company]],1)</f>
        <v/>
      </c>
      <c r="J109" s="173" t="str" cm="1">
        <f t="array" ref="J109">Common_InputFunctions.Utility_DisplayArrayInTable(Fertiliser_SourceData.Fertiliser_Products_Data1(), FertiliserProducts[[#Headers],[Company]],1)</f>
        <v/>
      </c>
      <c r="K109" s="173" cm="1">
        <f t="array" ref="K109">Common_InputFunctions.Utility_DisplayArrayInTable(Fertiliser_SourceData.Fertiliser_Products_Data1(), FertiliserProducts[[#Headers],[Company]],1)</f>
        <v>21</v>
      </c>
      <c r="L109" s="173" t="str" cm="1">
        <f t="array" ref="L109">Common_InputFunctions.Utility_DisplayArrayInTable(Fertiliser_SourceData.Fertiliser_Products_Data1(), FertiliserProducts[[#Headers],[Company]],1)</f>
        <v/>
      </c>
      <c r="M109" s="173" t="str" cm="1">
        <f t="array" ref="M109">Common_InputFunctions.Utility_DisplayArrayInTable(Fertiliser_SourceData.Fertiliser_Products_Data1(), FertiliserProducts[[#Headers],[Company]],1)</f>
        <v/>
      </c>
      <c r="N109" s="173" cm="1">
        <f t="array" ref="N109">Common_InputFunctions.Utility_DisplayArrayInTable(Fertiliser_SourceData.Fertiliser_Products_Data1(), FertiliserProducts[[#Headers],[Company]],1)</f>
        <v>24</v>
      </c>
      <c r="O109" s="173" t="str" cm="1">
        <f t="array" ref="O109">Common_InputFunctions.Utility_DisplayArrayInTable(Fertiliser_SourceData.Fertiliser_Products_Data1(), FertiliserProducts[[#Headers],[Company]],1)</f>
        <v>Sulphate of ammonia (SOA)</v>
      </c>
      <c r="P109" s="173" cm="1">
        <f t="array" ref="P109">Common_InputFunctions.Utility_DisplayArrayInTable(Fertiliser_SourceData.Fertiliser_Products_Data1(), FertiliserProducts[[#Headers],[Company]],1)</f>
        <v>1</v>
      </c>
      <c r="Q109" s="173" t="str" cm="1">
        <f t="array" ref="Q109">Common_InputFunctions.Utility_DisplayArrayInTable(Fertiliser_SourceData.Fertiliser_Products_Data1(), FertiliserProducts[[#Headers],[Company]],1)</f>
        <v/>
      </c>
      <c r="R109" s="173" t="str" cm="1">
        <f t="array" ref="R109">Common_InputFunctions.Utility_DisplayArrayInTable(Fertiliser_SourceData.Fertiliser_Products_Data1(), FertiliserProducts[[#Headers],[Company]],1)</f>
        <v/>
      </c>
      <c r="S109" s="173" t="str" cm="1">
        <f t="array" ref="S109">Common_InputFunctions.Utility_DisplayArrayInTable(Fertiliser_SourceData.Fertiliser_Products_Data1(), FertiliserProducts[[#Headers],[Company]],1)</f>
        <v/>
      </c>
      <c r="T109" s="173" t="str" cm="1">
        <f t="array" ref="T109">Common_InputFunctions.Utility_DisplayArrayInTable(Fertiliser_SourceData.Fertiliser_Products_Data1(), FertiliserProducts[[#Headers],[Company]],1)</f>
        <v/>
      </c>
      <c r="U109" s="173" t="str" cm="1">
        <f t="array" ref="U109">Common_InputFunctions.Utility_DisplayArrayInTable(Fertiliser_SourceData.Fertiliser_Products_Data1(), FertiliserProducts[[#Headers],[Company]],1)</f>
        <v/>
      </c>
      <c r="V109" s="173" t="str" cm="1">
        <f t="array" ref="V109">Common_InputFunctions.Utility_DisplayArrayInTable(Fertiliser_SourceData.Fertiliser_Products_Data1(), FertiliserProducts[[#Headers],[Company]],1)</f>
        <v/>
      </c>
      <c r="W109" s="173" t="str" cm="1">
        <f t="array" ref="W109">Common_InputFunctions.Utility_DisplayArrayInTable(Fertiliser_SourceData.Fertiliser_Products_Data1(), FertiliserProducts[[#Headers],[Company]],1)</f>
        <v/>
      </c>
      <c r="X109" s="173" t="str" cm="1">
        <f t="array" ref="X109">Common_InputFunctions.Utility_DisplayArrayInTable(Fertiliser_SourceData.Fertiliser_Products_Data1(), FertiliserProducts[[#Headers],[Company]],1)</f>
        <v/>
      </c>
      <c r="Y109" s="173" t="str" cm="1">
        <f t="array" ref="Y109">Common_InputFunctions.Utility_DisplayArrayInTable(Fertiliser_SourceData.Fertiliser_Products_Data1(), FertiliserProducts[[#Headers],[Company]],1)</f>
        <v/>
      </c>
      <c r="Z109" s="173" t="str" cm="1">
        <f t="array" ref="Z109">Common_InputFunctions.Utility_DisplayArrayInTable(Fertiliser_SourceData.Fertiliser_Products_Data1(), FertiliserProducts[[#Headers],[Company]],1)</f>
        <v/>
      </c>
      <c r="AA109" s="173" t="str" cm="1">
        <f t="array" ref="AA109">Common_InputFunctions.Utility_DisplayArrayInTable(Fertiliser_SourceData.Fertiliser_Products_Data1(), FertiliserProducts[[#Headers],[Company]],1)</f>
        <v/>
      </c>
      <c r="AB109" s="173" t="str" cm="1">
        <f t="array" ref="AB109">Common_InputFunctions.Utility_DisplayArrayInTable(Fertiliser_SourceData.Fertiliser_Products_Data1(), FertiliserProducts[[#Headers],[Company]],1)</f>
        <v/>
      </c>
      <c r="AC109" s="173" t="str" cm="1">
        <f t="array" ref="AC109">Common_InputFunctions.Utility_DisplayArrayInTable(Fertiliser_SourceData.Fertiliser_Products_Data1(), FertiliserProducts[[#Headers],[Company]],1)</f>
        <v/>
      </c>
      <c r="AD109" s="173" t="str" cm="1">
        <f t="array" ref="AD109">Common_InputFunctions.Utility_DisplayArrayInTable(Fertiliser_SourceData.Fertiliser_Products_Data1(), FertiliserProducts[[#Headers],[Company]],1)</f>
        <v/>
      </c>
      <c r="AE109" s="173" t="str" cm="1">
        <f t="array" ref="AE109">Common_InputFunctions.Utility_DisplayArrayInTable(Fertiliser_SourceData.Fertiliser_Products_Data1(), FertiliserProducts[[#Headers],[Company]],1)</f>
        <v/>
      </c>
      <c r="AF109" s="173" t="str" cm="1">
        <f t="array" ref="AF109">Common_InputFunctions.Utility_DisplayArrayInTable(Fertiliser_SourceData.Fertiliser_Products_Data1(), FertiliserProducts[[#Headers],[Company]],1)</f>
        <v/>
      </c>
      <c r="AG109" s="173" t="str" cm="1">
        <f t="array" ref="AG109">Common_InputFunctions.Utility_DisplayArrayInTable(Fertiliser_SourceData.Fertiliser_Products_Data1(), FertiliserProducts[[#Headers],[Company]],1)</f>
        <v/>
      </c>
      <c r="AH109" s="173"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73" t="str" cm="1">
        <f t="array" ref="D110">Common_InputFunctions.Utility_DisplayArrayInTable(Fertiliser_SourceData.Fertiliser_Products_Data1(), FertiliserProducts[[#Headers],[Company]],1)</f>
        <v>Impact Fertilisers</v>
      </c>
      <c r="E110" s="173" t="str" cm="1">
        <f t="array" ref="E110">Common_InputFunctions.Utility_DisplayArrayInTable(Fertiliser_SourceData.Fertiliser_Products_Data1(), FertiliserProducts[[#Headers],[Company]],1)</f>
        <v>Di-Ammonium Phosphate (DAP)</v>
      </c>
      <c r="F110" s="173" t="str" cm="1">
        <f t="array" ref="F110">Common_InputFunctions.Utility_DisplayArrayInTable(Fertiliser_SourceData.Fertiliser_Products_Data1(), FertiliserProducts[[#Headers],[Company]],1)</f>
        <v>kg</v>
      </c>
      <c r="G110" s="173" cm="1">
        <f t="array" ref="G110">Common_InputFunctions.Utility_DisplayArrayInTable(Fertiliser_SourceData.Fertiliser_Products_Data1(), FertiliserProducts[[#Headers],[Company]],1)</f>
        <v>1</v>
      </c>
      <c r="H110" s="173" t="str" cm="1">
        <f t="array" ref="H110">Common_InputFunctions.Utility_DisplayArrayInTable(Fertiliser_SourceData.Fertiliser_Products_Data1(), FertiliserProducts[[#Headers],[Company]],1)</f>
        <v/>
      </c>
      <c r="I110" s="173" t="str" cm="1">
        <f t="array" ref="I110">Common_InputFunctions.Utility_DisplayArrayInTable(Fertiliser_SourceData.Fertiliser_Products_Data1(), FertiliserProducts[[#Headers],[Company]],1)</f>
        <v/>
      </c>
      <c r="J110" s="173" t="str" cm="1">
        <f t="array" ref="J110">Common_InputFunctions.Utility_DisplayArrayInTable(Fertiliser_SourceData.Fertiliser_Products_Data1(), FertiliserProducts[[#Headers],[Company]],1)</f>
        <v/>
      </c>
      <c r="K110" s="173" cm="1">
        <f t="array" ref="K110">Common_InputFunctions.Utility_DisplayArrayInTable(Fertiliser_SourceData.Fertiliser_Products_Data1(), FertiliserProducts[[#Headers],[Company]],1)</f>
        <v>18</v>
      </c>
      <c r="L110" s="173" cm="1">
        <f t="array" ref="L110">Common_InputFunctions.Utility_DisplayArrayInTable(Fertiliser_SourceData.Fertiliser_Products_Data1(), FertiliserProducts[[#Headers],[Company]],1)</f>
        <v>20</v>
      </c>
      <c r="M110" s="173" t="str" cm="1">
        <f t="array" ref="M110">Common_InputFunctions.Utility_DisplayArrayInTable(Fertiliser_SourceData.Fertiliser_Products_Data1(), FertiliserProducts[[#Headers],[Company]],1)</f>
        <v/>
      </c>
      <c r="N110" s="173" t="str" cm="1">
        <f t="array" ref="N110">Common_InputFunctions.Utility_DisplayArrayInTable(Fertiliser_SourceData.Fertiliser_Products_Data1(), FertiliserProducts[[#Headers],[Company]],1)</f>
        <v/>
      </c>
      <c r="O110" s="173" t="str" cm="1">
        <f t="array" ref="O110">Common_InputFunctions.Utility_DisplayArrayInTable(Fertiliser_SourceData.Fertiliser_Products_Data1(), FertiliserProducts[[#Headers],[Company]],1)</f>
        <v>Diammonium phosphate (DAP)</v>
      </c>
      <c r="P110" s="173" cm="1">
        <f t="array" ref="P110">Common_InputFunctions.Utility_DisplayArrayInTable(Fertiliser_SourceData.Fertiliser_Products_Data1(), FertiliserProducts[[#Headers],[Company]],1)</f>
        <v>1</v>
      </c>
      <c r="Q110" s="173" t="str" cm="1">
        <f t="array" ref="Q110">Common_InputFunctions.Utility_DisplayArrayInTable(Fertiliser_SourceData.Fertiliser_Products_Data1(), FertiliserProducts[[#Headers],[Company]],1)</f>
        <v/>
      </c>
      <c r="R110" s="173" t="str" cm="1">
        <f t="array" ref="R110">Common_InputFunctions.Utility_DisplayArrayInTable(Fertiliser_SourceData.Fertiliser_Products_Data1(), FertiliserProducts[[#Headers],[Company]],1)</f>
        <v/>
      </c>
      <c r="S110" s="173" t="str" cm="1">
        <f t="array" ref="S110">Common_InputFunctions.Utility_DisplayArrayInTable(Fertiliser_SourceData.Fertiliser_Products_Data1(), FertiliserProducts[[#Headers],[Company]],1)</f>
        <v/>
      </c>
      <c r="T110" s="173" t="str" cm="1">
        <f t="array" ref="T110">Common_InputFunctions.Utility_DisplayArrayInTable(Fertiliser_SourceData.Fertiliser_Products_Data1(), FertiliserProducts[[#Headers],[Company]],1)</f>
        <v/>
      </c>
      <c r="U110" s="173" t="str" cm="1">
        <f t="array" ref="U110">Common_InputFunctions.Utility_DisplayArrayInTable(Fertiliser_SourceData.Fertiliser_Products_Data1(), FertiliserProducts[[#Headers],[Company]],1)</f>
        <v/>
      </c>
      <c r="V110" s="173" t="str" cm="1">
        <f t="array" ref="V110">Common_InputFunctions.Utility_DisplayArrayInTable(Fertiliser_SourceData.Fertiliser_Products_Data1(), FertiliserProducts[[#Headers],[Company]],1)</f>
        <v/>
      </c>
      <c r="W110" s="173" t="str" cm="1">
        <f t="array" ref="W110">Common_InputFunctions.Utility_DisplayArrayInTable(Fertiliser_SourceData.Fertiliser_Products_Data1(), FertiliserProducts[[#Headers],[Company]],1)</f>
        <v/>
      </c>
      <c r="X110" s="173" t="str" cm="1">
        <f t="array" ref="X110">Common_InputFunctions.Utility_DisplayArrayInTable(Fertiliser_SourceData.Fertiliser_Products_Data1(), FertiliserProducts[[#Headers],[Company]],1)</f>
        <v/>
      </c>
      <c r="Y110" s="173" t="str" cm="1">
        <f t="array" ref="Y110">Common_InputFunctions.Utility_DisplayArrayInTable(Fertiliser_SourceData.Fertiliser_Products_Data1(), FertiliserProducts[[#Headers],[Company]],1)</f>
        <v/>
      </c>
      <c r="Z110" s="173" t="str" cm="1">
        <f t="array" ref="Z110">Common_InputFunctions.Utility_DisplayArrayInTable(Fertiliser_SourceData.Fertiliser_Products_Data1(), FertiliserProducts[[#Headers],[Company]],1)</f>
        <v/>
      </c>
      <c r="AA110" s="173" t="str" cm="1">
        <f t="array" ref="AA110">Common_InputFunctions.Utility_DisplayArrayInTable(Fertiliser_SourceData.Fertiliser_Products_Data1(), FertiliserProducts[[#Headers],[Company]],1)</f>
        <v/>
      </c>
      <c r="AB110" s="173" t="str" cm="1">
        <f t="array" ref="AB110">Common_InputFunctions.Utility_DisplayArrayInTable(Fertiliser_SourceData.Fertiliser_Products_Data1(), FertiliserProducts[[#Headers],[Company]],1)</f>
        <v/>
      </c>
      <c r="AC110" s="173" t="str" cm="1">
        <f t="array" ref="AC110">Common_InputFunctions.Utility_DisplayArrayInTable(Fertiliser_SourceData.Fertiliser_Products_Data1(), FertiliserProducts[[#Headers],[Company]],1)</f>
        <v/>
      </c>
      <c r="AD110" s="173" t="str" cm="1">
        <f t="array" ref="AD110">Common_InputFunctions.Utility_DisplayArrayInTable(Fertiliser_SourceData.Fertiliser_Products_Data1(), FertiliserProducts[[#Headers],[Company]],1)</f>
        <v/>
      </c>
      <c r="AE110" s="173" t="str" cm="1">
        <f t="array" ref="AE110">Common_InputFunctions.Utility_DisplayArrayInTable(Fertiliser_SourceData.Fertiliser_Products_Data1(), FertiliserProducts[[#Headers],[Company]],1)</f>
        <v/>
      </c>
      <c r="AF110" s="173" t="str" cm="1">
        <f t="array" ref="AF110">Common_InputFunctions.Utility_DisplayArrayInTable(Fertiliser_SourceData.Fertiliser_Products_Data1(), FertiliserProducts[[#Headers],[Company]],1)</f>
        <v/>
      </c>
      <c r="AG110" s="173" t="str" cm="1">
        <f t="array" ref="AG110">Common_InputFunctions.Utility_DisplayArrayInTable(Fertiliser_SourceData.Fertiliser_Products_Data1(), FertiliserProducts[[#Headers],[Company]],1)</f>
        <v/>
      </c>
      <c r="AH110" s="173"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73" t="str" cm="1">
        <f t="array" ref="D111">Common_InputFunctions.Utility_DisplayArrayInTable(Fertiliser_SourceData.Fertiliser_Products_Data1(), FertiliserProducts[[#Headers],[Company]],1)</f>
        <v>Incitec Pivot Fertilisers</v>
      </c>
      <c r="E111" s="173" t="str" cm="1">
        <f t="array" ref="E111">Common_InputFunctions.Utility_DisplayArrayInTable(Fertiliser_SourceData.Fertiliser_Products_Data1(), FertiliserProducts[[#Headers],[Company]],1)</f>
        <v>Basalt BooSSta</v>
      </c>
      <c r="F111" s="173" t="str" cm="1">
        <f t="array" ref="F111">Common_InputFunctions.Utility_DisplayArrayInTable(Fertiliser_SourceData.Fertiliser_Products_Data1(), FertiliserProducts[[#Headers],[Company]],1)</f>
        <v>kg</v>
      </c>
      <c r="G111" s="173" cm="1">
        <f t="array" ref="G111">Common_InputFunctions.Utility_DisplayArrayInTable(Fertiliser_SourceData.Fertiliser_Products_Data1(), FertiliserProducts[[#Headers],[Company]],1)</f>
        <v>1</v>
      </c>
      <c r="H111" s="173" t="str" cm="1">
        <f t="array" ref="H111">Common_InputFunctions.Utility_DisplayArrayInTable(Fertiliser_SourceData.Fertiliser_Products_Data1(), FertiliserProducts[[#Headers],[Company]],1)</f>
        <v/>
      </c>
      <c r="I111" s="173" t="str" cm="1">
        <f t="array" ref="I111">Common_InputFunctions.Utility_DisplayArrayInTable(Fertiliser_SourceData.Fertiliser_Products_Data1(), FertiliserProducts[[#Headers],[Company]],1)</f>
        <v/>
      </c>
      <c r="J111" s="173" t="str" cm="1">
        <f t="array" ref="J111">Common_InputFunctions.Utility_DisplayArrayInTable(Fertiliser_SourceData.Fertiliser_Products_Data1(), FertiliserProducts[[#Headers],[Company]],1)</f>
        <v/>
      </c>
      <c r="K111" s="173" cm="1">
        <f t="array" ref="K111">Common_InputFunctions.Utility_DisplayArrayInTable(Fertiliser_SourceData.Fertiliser_Products_Data1(), FertiliserProducts[[#Headers],[Company]],1)</f>
        <v>8</v>
      </c>
      <c r="L111" s="173" cm="1">
        <f t="array" ref="L111">Common_InputFunctions.Utility_DisplayArrayInTable(Fertiliser_SourceData.Fertiliser_Products_Data1(), FertiliserProducts[[#Headers],[Company]],1)</f>
        <v>14</v>
      </c>
      <c r="M111" s="173" t="str" cm="1">
        <f t="array" ref="M111">Common_InputFunctions.Utility_DisplayArrayInTable(Fertiliser_SourceData.Fertiliser_Products_Data1(), FertiliserProducts[[#Headers],[Company]],1)</f>
        <v/>
      </c>
      <c r="N111" s="173" cm="1">
        <f t="array" ref="N111">Common_InputFunctions.Utility_DisplayArrayInTable(Fertiliser_SourceData.Fertiliser_Products_Data1(), FertiliserProducts[[#Headers],[Company]],1)</f>
        <v>27.6</v>
      </c>
      <c r="O111" s="173" t="str" cm="1">
        <f t="array" ref="O111">Common_InputFunctions.Utility_DisplayArrayInTable(Fertiliser_SourceData.Fertiliser_Products_Data1(), FertiliserProducts[[#Headers],[Company]],1)</f>
        <v>Sulfur - Generic</v>
      </c>
      <c r="P111" s="173" cm="1">
        <f t="array" ref="P111">Common_InputFunctions.Utility_DisplayArrayInTable(Fertiliser_SourceData.Fertiliser_Products_Data1(), FertiliserProducts[[#Headers],[Company]],1)</f>
        <v>0.27600000000000002</v>
      </c>
      <c r="Q111" s="173" t="str" cm="1">
        <f t="array" ref="Q111">Common_InputFunctions.Utility_DisplayArrayInTable(Fertiliser_SourceData.Fertiliser_Products_Data1(), FertiliserProducts[[#Headers],[Company]],1)</f>
        <v>Phosphorus - Generic</v>
      </c>
      <c r="R111" s="173" cm="1">
        <f t="array" ref="R111">Common_InputFunctions.Utility_DisplayArrayInTable(Fertiliser_SourceData.Fertiliser_Products_Data1(), FertiliserProducts[[#Headers],[Company]],1)</f>
        <v>0.14000000000000001</v>
      </c>
      <c r="S111" s="173" t="str" cm="1">
        <f t="array" ref="S111">Common_InputFunctions.Utility_DisplayArrayInTable(Fertiliser_SourceData.Fertiliser_Products_Data1(), FertiliserProducts[[#Headers],[Company]],1)</f>
        <v>Nitrogen - Generic</v>
      </c>
      <c r="T111" s="173" cm="1">
        <f t="array" ref="T111">Common_InputFunctions.Utility_DisplayArrayInTable(Fertiliser_SourceData.Fertiliser_Products_Data1(), FertiliserProducts[[#Headers],[Company]],1)</f>
        <v>0.08</v>
      </c>
      <c r="U111" s="173" t="str" cm="1">
        <f t="array" ref="U111">Common_InputFunctions.Utility_DisplayArrayInTable(Fertiliser_SourceData.Fertiliser_Products_Data1(), FertiliserProducts[[#Headers],[Company]],1)</f>
        <v>Fluoride</v>
      </c>
      <c r="V111" s="173" cm="1">
        <f t="array" ref="V111">Common_InputFunctions.Utility_DisplayArrayInTable(Fertiliser_SourceData.Fertiliser_Products_Data1(), FertiliserProducts[[#Headers],[Company]],1)</f>
        <v>2.4E-2</v>
      </c>
      <c r="W111" s="173" t="str" cm="1">
        <f t="array" ref="W111">Common_InputFunctions.Utility_DisplayArrayInTable(Fertiliser_SourceData.Fertiliser_Products_Data1(), FertiliserProducts[[#Headers],[Company]],1)</f>
        <v/>
      </c>
      <c r="X111" s="173" t="str" cm="1">
        <f t="array" ref="X111">Common_InputFunctions.Utility_DisplayArrayInTable(Fertiliser_SourceData.Fertiliser_Products_Data1(), FertiliserProducts[[#Headers],[Company]],1)</f>
        <v/>
      </c>
      <c r="Y111" s="173" t="str" cm="1">
        <f t="array" ref="Y111">Common_InputFunctions.Utility_DisplayArrayInTable(Fertiliser_SourceData.Fertiliser_Products_Data1(), FertiliserProducts[[#Headers],[Company]],1)</f>
        <v/>
      </c>
      <c r="Z111" s="173" t="str" cm="1">
        <f t="array" ref="Z111">Common_InputFunctions.Utility_DisplayArrayInTable(Fertiliser_SourceData.Fertiliser_Products_Data1(), FertiliserProducts[[#Headers],[Company]],1)</f>
        <v/>
      </c>
      <c r="AA111" s="173" t="str" cm="1">
        <f t="array" ref="AA111">Common_InputFunctions.Utility_DisplayArrayInTable(Fertiliser_SourceData.Fertiliser_Products_Data1(), FertiliserProducts[[#Headers],[Company]],1)</f>
        <v/>
      </c>
      <c r="AB111" s="173" t="str" cm="1">
        <f t="array" ref="AB111">Common_InputFunctions.Utility_DisplayArrayInTable(Fertiliser_SourceData.Fertiliser_Products_Data1(), FertiliserProducts[[#Headers],[Company]],1)</f>
        <v/>
      </c>
      <c r="AC111" s="173" t="str" cm="1">
        <f t="array" ref="AC111">Common_InputFunctions.Utility_DisplayArrayInTable(Fertiliser_SourceData.Fertiliser_Products_Data1(), FertiliserProducts[[#Headers],[Company]],1)</f>
        <v/>
      </c>
      <c r="AD111" s="173" t="str" cm="1">
        <f t="array" ref="AD111">Common_InputFunctions.Utility_DisplayArrayInTable(Fertiliser_SourceData.Fertiliser_Products_Data1(), FertiliserProducts[[#Headers],[Company]],1)</f>
        <v/>
      </c>
      <c r="AE111" s="173" t="str" cm="1">
        <f t="array" ref="AE111">Common_InputFunctions.Utility_DisplayArrayInTable(Fertiliser_SourceData.Fertiliser_Products_Data1(), FertiliserProducts[[#Headers],[Company]],1)</f>
        <v/>
      </c>
      <c r="AF111" s="173" t="str" cm="1">
        <f t="array" ref="AF111">Common_InputFunctions.Utility_DisplayArrayInTable(Fertiliser_SourceData.Fertiliser_Products_Data1(), FertiliserProducts[[#Headers],[Company]],1)</f>
        <v/>
      </c>
      <c r="AG111" s="173" t="str" cm="1">
        <f t="array" ref="AG111">Common_InputFunctions.Utility_DisplayArrayInTable(Fertiliser_SourceData.Fertiliser_Products_Data1(), FertiliserProducts[[#Headers],[Company]],1)</f>
        <v/>
      </c>
      <c r="AH111" s="173"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73" t="str" cm="1">
        <f t="array" ref="D112">Common_InputFunctions.Utility_DisplayArrayInTable(Fertiliser_SourceData.Fertiliser_Products_Data1(), FertiliserProducts[[#Headers],[Company]],1)</f>
        <v>Summit Fertilizers</v>
      </c>
      <c r="E112" s="173" t="str" cm="1">
        <f t="array" ref="E112">Common_InputFunctions.Utility_DisplayArrayInTable(Fertiliser_SourceData.Fertiliser_Products_Data1(), FertiliserProducts[[#Headers],[Company]],1)</f>
        <v>DAPSZC</v>
      </c>
      <c r="F112" s="173" t="str" cm="1">
        <f t="array" ref="F112">Common_InputFunctions.Utility_DisplayArrayInTable(Fertiliser_SourceData.Fertiliser_Products_Data1(), FertiliserProducts[[#Headers],[Company]],1)</f>
        <v>kg</v>
      </c>
      <c r="G112" s="173" cm="1">
        <f t="array" ref="G112">Common_InputFunctions.Utility_DisplayArrayInTable(Fertiliser_SourceData.Fertiliser_Products_Data1(), FertiliserProducts[[#Headers],[Company]],1)</f>
        <v>1</v>
      </c>
      <c r="H112" s="173" t="str" cm="1">
        <f t="array" ref="H112">Common_InputFunctions.Utility_DisplayArrayInTable(Fertiliser_SourceData.Fertiliser_Products_Data1(), FertiliserProducts[[#Headers],[Company]],1)</f>
        <v/>
      </c>
      <c r="I112" s="173" t="str" cm="1">
        <f t="array" ref="I112">Common_InputFunctions.Utility_DisplayArrayInTable(Fertiliser_SourceData.Fertiliser_Products_Data1(), FertiliserProducts[[#Headers],[Company]],1)</f>
        <v/>
      </c>
      <c r="J112" s="173" t="str" cm="1">
        <f t="array" ref="J112">Common_InputFunctions.Utility_DisplayArrayInTable(Fertiliser_SourceData.Fertiliser_Products_Data1(), FertiliserProducts[[#Headers],[Company]],1)</f>
        <v/>
      </c>
      <c r="K112" s="173" cm="1">
        <f t="array" ref="K112">Common_InputFunctions.Utility_DisplayArrayInTable(Fertiliser_SourceData.Fertiliser_Products_Data1(), FertiliserProducts[[#Headers],[Company]],1)</f>
        <v>16.899999999999999</v>
      </c>
      <c r="L112" s="173" cm="1">
        <f t="array" ref="L112">Common_InputFunctions.Utility_DisplayArrayInTable(Fertiliser_SourceData.Fertiliser_Products_Data1(), FertiliserProducts[[#Headers],[Company]],1)</f>
        <v>18.2</v>
      </c>
      <c r="M112" s="173" t="str" cm="1">
        <f t="array" ref="M112">Common_InputFunctions.Utility_DisplayArrayInTable(Fertiliser_SourceData.Fertiliser_Products_Data1(), FertiliserProducts[[#Headers],[Company]],1)</f>
        <v/>
      </c>
      <c r="N112" s="173" cm="1">
        <f t="array" ref="N112">Common_InputFunctions.Utility_DisplayArrayInTable(Fertiliser_SourceData.Fertiliser_Products_Data1(), FertiliserProducts[[#Headers],[Company]],1)</f>
        <v>8</v>
      </c>
      <c r="O112" s="173" t="str" cm="1">
        <f t="array" ref="O112">Common_InputFunctions.Utility_DisplayArrayInTable(Fertiliser_SourceData.Fertiliser_Products_Data1(), FertiliserProducts[[#Headers],[Company]],1)</f>
        <v>Phosphorus - Generic</v>
      </c>
      <c r="P112" s="173" cm="1">
        <f t="array" ref="P112">Common_InputFunctions.Utility_DisplayArrayInTable(Fertiliser_SourceData.Fertiliser_Products_Data1(), FertiliserProducts[[#Headers],[Company]],1)</f>
        <v>0.182</v>
      </c>
      <c r="Q112" s="173" t="str" cm="1">
        <f t="array" ref="Q112">Common_InputFunctions.Utility_DisplayArrayInTable(Fertiliser_SourceData.Fertiliser_Products_Data1(), FertiliserProducts[[#Headers],[Company]],1)</f>
        <v>Nitrogen - Generic</v>
      </c>
      <c r="R112" s="173" cm="1">
        <f t="array" ref="R112">Common_InputFunctions.Utility_DisplayArrayInTable(Fertiliser_SourceData.Fertiliser_Products_Data1(), FertiliserProducts[[#Headers],[Company]],1)</f>
        <v>0.16900000000000001</v>
      </c>
      <c r="S112" s="173" t="str" cm="1">
        <f t="array" ref="S112">Common_InputFunctions.Utility_DisplayArrayInTable(Fertiliser_SourceData.Fertiliser_Products_Data1(), FertiliserProducts[[#Headers],[Company]],1)</f>
        <v>Sulfur - Generic</v>
      </c>
      <c r="T112" s="173" cm="1">
        <f t="array" ref="T112">Common_InputFunctions.Utility_DisplayArrayInTable(Fertiliser_SourceData.Fertiliser_Products_Data1(), FertiliserProducts[[#Headers],[Company]],1)</f>
        <v>0.08</v>
      </c>
      <c r="U112" s="173" t="str" cm="1">
        <f t="array" ref="U112">Common_InputFunctions.Utility_DisplayArrayInTable(Fertiliser_SourceData.Fertiliser_Products_Data1(), FertiliserProducts[[#Headers],[Company]],1)</f>
        <v>Zinc</v>
      </c>
      <c r="V112" s="173" cm="1">
        <f t="array" ref="V112">Common_InputFunctions.Utility_DisplayArrayInTable(Fertiliser_SourceData.Fertiliser_Products_Data1(), FertiliserProducts[[#Headers],[Company]],1)</f>
        <v>2E-3</v>
      </c>
      <c r="W112" s="173" t="str" cm="1">
        <f t="array" ref="W112">Common_InputFunctions.Utility_DisplayArrayInTable(Fertiliser_SourceData.Fertiliser_Products_Data1(), FertiliserProducts[[#Headers],[Company]],1)</f>
        <v>Copper</v>
      </c>
      <c r="X112" s="173" cm="1">
        <f t="array" ref="X112">Common_InputFunctions.Utility_DisplayArrayInTable(Fertiliser_SourceData.Fertiliser_Products_Data1(), FertiliserProducts[[#Headers],[Company]],1)</f>
        <v>1E-3</v>
      </c>
      <c r="Y112" s="173" t="str" cm="1">
        <f t="array" ref="Y112">Common_InputFunctions.Utility_DisplayArrayInTable(Fertiliser_SourceData.Fertiliser_Products_Data1(), FertiliserProducts[[#Headers],[Company]],1)</f>
        <v/>
      </c>
      <c r="Z112" s="173" t="str" cm="1">
        <f t="array" ref="Z112">Common_InputFunctions.Utility_DisplayArrayInTable(Fertiliser_SourceData.Fertiliser_Products_Data1(), FertiliserProducts[[#Headers],[Company]],1)</f>
        <v/>
      </c>
      <c r="AA112" s="173" t="str" cm="1">
        <f t="array" ref="AA112">Common_InputFunctions.Utility_DisplayArrayInTable(Fertiliser_SourceData.Fertiliser_Products_Data1(), FertiliserProducts[[#Headers],[Company]],1)</f>
        <v/>
      </c>
      <c r="AB112" s="173" t="str" cm="1">
        <f t="array" ref="AB112">Common_InputFunctions.Utility_DisplayArrayInTable(Fertiliser_SourceData.Fertiliser_Products_Data1(), FertiliserProducts[[#Headers],[Company]],1)</f>
        <v/>
      </c>
      <c r="AC112" s="173" t="str" cm="1">
        <f t="array" ref="AC112">Common_InputFunctions.Utility_DisplayArrayInTable(Fertiliser_SourceData.Fertiliser_Products_Data1(), FertiliserProducts[[#Headers],[Company]],1)</f>
        <v/>
      </c>
      <c r="AD112" s="173" t="str" cm="1">
        <f t="array" ref="AD112">Common_InputFunctions.Utility_DisplayArrayInTable(Fertiliser_SourceData.Fertiliser_Products_Data1(), FertiliserProducts[[#Headers],[Company]],1)</f>
        <v/>
      </c>
      <c r="AE112" s="173" t="str" cm="1">
        <f t="array" ref="AE112">Common_InputFunctions.Utility_DisplayArrayInTable(Fertiliser_SourceData.Fertiliser_Products_Data1(), FertiliserProducts[[#Headers],[Company]],1)</f>
        <v/>
      </c>
      <c r="AF112" s="173" t="str" cm="1">
        <f t="array" ref="AF112">Common_InputFunctions.Utility_DisplayArrayInTable(Fertiliser_SourceData.Fertiliser_Products_Data1(), FertiliserProducts[[#Headers],[Company]],1)</f>
        <v/>
      </c>
      <c r="AG112" s="173" t="str" cm="1">
        <f t="array" ref="AG112">Common_InputFunctions.Utility_DisplayArrayInTable(Fertiliser_SourceData.Fertiliser_Products_Data1(), FertiliserProducts[[#Headers],[Company]],1)</f>
        <v/>
      </c>
      <c r="AH112" s="173"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73" t="str" cm="1">
        <f t="array" ref="D113">Common_InputFunctions.Utility_DisplayArrayInTable(Fertiliser_SourceData.Fertiliser_Products_Data1(), FertiliserProducts[[#Headers],[Company]],1)</f>
        <v>Incitec Pivot Fertilisers</v>
      </c>
      <c r="E113" s="173" t="str" cm="1">
        <f t="array" ref="E113">Common_InputFunctions.Utility_DisplayArrayInTable(Fertiliser_SourceData.Fertiliser_Products_Data1(), FertiliserProducts[[#Headers],[Company]],1)</f>
        <v>Easy N</v>
      </c>
      <c r="F113" s="173" t="str" cm="1">
        <f t="array" ref="F113">Common_InputFunctions.Utility_DisplayArrayInTable(Fertiliser_SourceData.Fertiliser_Products_Data1(), FertiliserProducts[[#Headers],[Company]],1)</f>
        <v>L</v>
      </c>
      <c r="G113" s="173" cm="1">
        <f t="array" ref="G113">Common_InputFunctions.Utility_DisplayArrayInTable(Fertiliser_SourceData.Fertiliser_Products_Data1(), FertiliserProducts[[#Headers],[Company]],1)</f>
        <v>1.32</v>
      </c>
      <c r="H113" s="173" t="str" cm="1">
        <f t="array" ref="H113">Common_InputFunctions.Utility_DisplayArrayInTable(Fertiliser_SourceData.Fertiliser_Products_Data1(), FertiliserProducts[[#Headers],[Company]],1)</f>
        <v/>
      </c>
      <c r="I113" s="173" t="str" cm="1">
        <f t="array" ref="I113">Common_InputFunctions.Utility_DisplayArrayInTable(Fertiliser_SourceData.Fertiliser_Products_Data1(), FertiliserProducts[[#Headers],[Company]],1)</f>
        <v/>
      </c>
      <c r="J113" s="173" t="str" cm="1">
        <f t="array" ref="J113">Common_InputFunctions.Utility_DisplayArrayInTable(Fertiliser_SourceData.Fertiliser_Products_Data1(), FertiliserProducts[[#Headers],[Company]],1)</f>
        <v/>
      </c>
      <c r="K113" s="173" cm="1">
        <f t="array" ref="K113">Common_InputFunctions.Utility_DisplayArrayInTable(Fertiliser_SourceData.Fertiliser_Products_Data1(), FertiliserProducts[[#Headers],[Company]],1)</f>
        <v>42.5</v>
      </c>
      <c r="L113" s="173" t="str" cm="1">
        <f t="array" ref="L113">Common_InputFunctions.Utility_DisplayArrayInTable(Fertiliser_SourceData.Fertiliser_Products_Data1(), FertiliserProducts[[#Headers],[Company]],1)</f>
        <v/>
      </c>
      <c r="M113" s="173" t="str" cm="1">
        <f t="array" ref="M113">Common_InputFunctions.Utility_DisplayArrayInTable(Fertiliser_SourceData.Fertiliser_Products_Data1(), FertiliserProducts[[#Headers],[Company]],1)</f>
        <v/>
      </c>
      <c r="N113" s="173" t="str" cm="1">
        <f t="array" ref="N113">Common_InputFunctions.Utility_DisplayArrayInTable(Fertiliser_SourceData.Fertiliser_Products_Data1(), FertiliserProducts[[#Headers],[Company]],1)</f>
        <v/>
      </c>
      <c r="O113" s="173" t="str" cm="1">
        <f t="array" ref="O113">Common_InputFunctions.Utility_DisplayArrayInTable(Fertiliser_SourceData.Fertiliser_Products_Data1(), FertiliserProducts[[#Headers],[Company]],1)</f>
        <v>Urea</v>
      </c>
      <c r="P113" s="173" cm="1">
        <f t="array" ref="P113">Common_InputFunctions.Utility_DisplayArrayInTable(Fertiliser_SourceData.Fertiliser_Products_Data1(), FertiliserProducts[[#Headers],[Company]],1)</f>
        <v>0.467391</v>
      </c>
      <c r="Q113" s="173" t="str" cm="1">
        <f t="array" ref="Q113">Common_InputFunctions.Utility_DisplayArrayInTable(Fertiliser_SourceData.Fertiliser_Products_Data1(), FertiliserProducts[[#Headers],[Company]],1)</f>
        <v>Nitrogen - Nitrate</v>
      </c>
      <c r="R113" s="173" cm="1">
        <f t="array" ref="R113">Common_InputFunctions.Utility_DisplayArrayInTable(Fertiliser_SourceData.Fertiliser_Products_Data1(), FertiliserProducts[[#Headers],[Company]],1)</f>
        <v>0.105</v>
      </c>
      <c r="S113" s="173" t="str" cm="1">
        <f t="array" ref="S113">Common_InputFunctions.Utility_DisplayArrayInTable(Fertiliser_SourceData.Fertiliser_Products_Data1(), FertiliserProducts[[#Headers],[Company]],1)</f>
        <v>Nitrogen - Ammoniacal</v>
      </c>
      <c r="T113" s="173" cm="1">
        <f t="array" ref="T113">Common_InputFunctions.Utility_DisplayArrayInTable(Fertiliser_SourceData.Fertiliser_Products_Data1(), FertiliserProducts[[#Headers],[Company]],1)</f>
        <v>0.105</v>
      </c>
      <c r="U113" s="173" t="str" cm="1">
        <f t="array" ref="U113">Common_InputFunctions.Utility_DisplayArrayInTable(Fertiliser_SourceData.Fertiliser_Products_Data1(), FertiliserProducts[[#Headers],[Company]],1)</f>
        <v>Biuret</v>
      </c>
      <c r="V113" s="173" cm="1">
        <f t="array" ref="V113">Common_InputFunctions.Utility_DisplayArrayInTable(Fertiliser_SourceData.Fertiliser_Products_Data1(), FertiliserProducts[[#Headers],[Company]],1)</f>
        <v>6.0000000000000001E-3</v>
      </c>
      <c r="W113" s="173" t="str" cm="1">
        <f t="array" ref="W113">Common_InputFunctions.Utility_DisplayArrayInTable(Fertiliser_SourceData.Fertiliser_Products_Data1(), FertiliserProducts[[#Headers],[Company]],1)</f>
        <v/>
      </c>
      <c r="X113" s="173" t="str" cm="1">
        <f t="array" ref="X113">Common_InputFunctions.Utility_DisplayArrayInTable(Fertiliser_SourceData.Fertiliser_Products_Data1(), FertiliserProducts[[#Headers],[Company]],1)</f>
        <v/>
      </c>
      <c r="Y113" s="173" t="str" cm="1">
        <f t="array" ref="Y113">Common_InputFunctions.Utility_DisplayArrayInTable(Fertiliser_SourceData.Fertiliser_Products_Data1(), FertiliserProducts[[#Headers],[Company]],1)</f>
        <v/>
      </c>
      <c r="Z113" s="173" t="str" cm="1">
        <f t="array" ref="Z113">Common_InputFunctions.Utility_DisplayArrayInTable(Fertiliser_SourceData.Fertiliser_Products_Data1(), FertiliserProducts[[#Headers],[Company]],1)</f>
        <v/>
      </c>
      <c r="AA113" s="173" t="str" cm="1">
        <f t="array" ref="AA113">Common_InputFunctions.Utility_DisplayArrayInTable(Fertiliser_SourceData.Fertiliser_Products_Data1(), FertiliserProducts[[#Headers],[Company]],1)</f>
        <v/>
      </c>
      <c r="AB113" s="173" t="str" cm="1">
        <f t="array" ref="AB113">Common_InputFunctions.Utility_DisplayArrayInTable(Fertiliser_SourceData.Fertiliser_Products_Data1(), FertiliserProducts[[#Headers],[Company]],1)</f>
        <v/>
      </c>
      <c r="AC113" s="173" t="str" cm="1">
        <f t="array" ref="AC113">Common_InputFunctions.Utility_DisplayArrayInTable(Fertiliser_SourceData.Fertiliser_Products_Data1(), FertiliserProducts[[#Headers],[Company]],1)</f>
        <v/>
      </c>
      <c r="AD113" s="173" t="str" cm="1">
        <f t="array" ref="AD113">Common_InputFunctions.Utility_DisplayArrayInTable(Fertiliser_SourceData.Fertiliser_Products_Data1(), FertiliserProducts[[#Headers],[Company]],1)</f>
        <v/>
      </c>
      <c r="AE113" s="173" t="str" cm="1">
        <f t="array" ref="AE113">Common_InputFunctions.Utility_DisplayArrayInTable(Fertiliser_SourceData.Fertiliser_Products_Data1(), FertiliserProducts[[#Headers],[Company]],1)</f>
        <v/>
      </c>
      <c r="AF113" s="173" t="str" cm="1">
        <f t="array" ref="AF113">Common_InputFunctions.Utility_DisplayArrayInTable(Fertiliser_SourceData.Fertiliser_Products_Data1(), FertiliserProducts[[#Headers],[Company]],1)</f>
        <v/>
      </c>
      <c r="AG113" s="173" t="str" cm="1">
        <f t="array" ref="AG113">Common_InputFunctions.Utility_DisplayArrayInTable(Fertiliser_SourceData.Fertiliser_Products_Data1(), FertiliserProducts[[#Headers],[Company]],1)</f>
        <v/>
      </c>
      <c r="AH113" s="173"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73" t="str" cm="1">
        <f t="array" ref="D114">Common_InputFunctions.Utility_DisplayArrayInTable(Fertiliser_SourceData.Fertiliser_Products_Data1(), FertiliserProducts[[#Headers],[Company]],1)</f>
        <v>Risso-Chemical</v>
      </c>
      <c r="E114" s="173" t="str" cm="1">
        <f t="array" ref="E114">Common_InputFunctions.Utility_DisplayArrayInTable(Fertiliser_SourceData.Fertiliser_Products_Data1(), FertiliserProducts[[#Headers],[Company]],1)</f>
        <v>Calcium Ammonium nitrate</v>
      </c>
      <c r="F114" s="173" t="str" cm="1">
        <f t="array" ref="F114">Common_InputFunctions.Utility_DisplayArrayInTable(Fertiliser_SourceData.Fertiliser_Products_Data1(), FertiliserProducts[[#Headers],[Company]],1)</f>
        <v>kg</v>
      </c>
      <c r="G114" s="173" cm="1">
        <f t="array" ref="G114">Common_InputFunctions.Utility_DisplayArrayInTable(Fertiliser_SourceData.Fertiliser_Products_Data1(), FertiliserProducts[[#Headers],[Company]],1)</f>
        <v>1</v>
      </c>
      <c r="H114" s="173" t="str" cm="1">
        <f t="array" ref="H114">Common_InputFunctions.Utility_DisplayArrayInTable(Fertiliser_SourceData.Fertiliser_Products_Data1(), FertiliserProducts[[#Headers],[Company]],1)</f>
        <v/>
      </c>
      <c r="I114" s="173" t="str" cm="1">
        <f t="array" ref="I114">Common_InputFunctions.Utility_DisplayArrayInTable(Fertiliser_SourceData.Fertiliser_Products_Data1(), FertiliserProducts[[#Headers],[Company]],1)</f>
        <v/>
      </c>
      <c r="J114" s="173" t="str" cm="1">
        <f t="array" ref="J114">Common_InputFunctions.Utility_DisplayArrayInTable(Fertiliser_SourceData.Fertiliser_Products_Data1(), FertiliserProducts[[#Headers],[Company]],1)</f>
        <v>China</v>
      </c>
      <c r="K114" s="173" cm="1">
        <f t="array" ref="K114">Common_InputFunctions.Utility_DisplayArrayInTable(Fertiliser_SourceData.Fertiliser_Products_Data1(), FertiliserProducts[[#Headers],[Company]],1)</f>
        <v>40.5</v>
      </c>
      <c r="L114" s="173" t="str" cm="1">
        <f t="array" ref="L114">Common_InputFunctions.Utility_DisplayArrayInTable(Fertiliser_SourceData.Fertiliser_Products_Data1(), FertiliserProducts[[#Headers],[Company]],1)</f>
        <v/>
      </c>
      <c r="M114" s="173" t="str" cm="1">
        <f t="array" ref="M114">Common_InputFunctions.Utility_DisplayArrayInTable(Fertiliser_SourceData.Fertiliser_Products_Data1(), FertiliserProducts[[#Headers],[Company]],1)</f>
        <v/>
      </c>
      <c r="N114" s="173" t="str" cm="1">
        <f t="array" ref="N114">Common_InputFunctions.Utility_DisplayArrayInTable(Fertiliser_SourceData.Fertiliser_Products_Data1(), FertiliserProducts[[#Headers],[Company]],1)</f>
        <v/>
      </c>
      <c r="O114" s="173" t="str" cm="1">
        <f t="array" ref="O114">Common_InputFunctions.Utility_DisplayArrayInTable(Fertiliser_SourceData.Fertiliser_Products_Data1(), FertiliserProducts[[#Headers],[Company]],1)</f>
        <v>Nitrogen - Ammoniacal</v>
      </c>
      <c r="P114" s="173" cm="1">
        <f t="array" ref="P114">Common_InputFunctions.Utility_DisplayArrayInTable(Fertiliser_SourceData.Fertiliser_Products_Data1(), FertiliserProducts[[#Headers],[Company]],1)</f>
        <v>0.27</v>
      </c>
      <c r="Q114" s="173" t="str" cm="1">
        <f t="array" ref="Q114">Common_InputFunctions.Utility_DisplayArrayInTable(Fertiliser_SourceData.Fertiliser_Products_Data1(), FertiliserProducts[[#Headers],[Company]],1)</f>
        <v>Nitrogen - Nitrate</v>
      </c>
      <c r="R114" s="173" cm="1">
        <f t="array" ref="R114">Common_InputFunctions.Utility_DisplayArrayInTable(Fertiliser_SourceData.Fertiliser_Products_Data1(), FertiliserProducts[[#Headers],[Company]],1)</f>
        <v>0.13500000000000001</v>
      </c>
      <c r="S114" s="173" t="str" cm="1">
        <f t="array" ref="S114">Common_InputFunctions.Utility_DisplayArrayInTable(Fertiliser_SourceData.Fertiliser_Products_Data1(), FertiliserProducts[[#Headers],[Company]],1)</f>
        <v>Calcium</v>
      </c>
      <c r="T114" s="173" cm="1">
        <f t="array" ref="T114">Common_InputFunctions.Utility_DisplayArrayInTable(Fertiliser_SourceData.Fertiliser_Products_Data1(), FertiliserProducts[[#Headers],[Company]],1)</f>
        <v>0.12</v>
      </c>
      <c r="U114" s="173" t="str" cm="1">
        <f t="array" ref="U114">Common_InputFunctions.Utility_DisplayArrayInTable(Fertiliser_SourceData.Fertiliser_Products_Data1(), FertiliserProducts[[#Headers],[Company]],1)</f>
        <v/>
      </c>
      <c r="V114" s="173" t="str" cm="1">
        <f t="array" ref="V114">Common_InputFunctions.Utility_DisplayArrayInTable(Fertiliser_SourceData.Fertiliser_Products_Data1(), FertiliserProducts[[#Headers],[Company]],1)</f>
        <v/>
      </c>
      <c r="W114" s="173" t="str" cm="1">
        <f t="array" ref="W114">Common_InputFunctions.Utility_DisplayArrayInTable(Fertiliser_SourceData.Fertiliser_Products_Data1(), FertiliserProducts[[#Headers],[Company]],1)</f>
        <v/>
      </c>
      <c r="X114" s="173" t="str" cm="1">
        <f t="array" ref="X114">Common_InputFunctions.Utility_DisplayArrayInTable(Fertiliser_SourceData.Fertiliser_Products_Data1(), FertiliserProducts[[#Headers],[Company]],1)</f>
        <v/>
      </c>
      <c r="Y114" s="173" t="str" cm="1">
        <f t="array" ref="Y114">Common_InputFunctions.Utility_DisplayArrayInTable(Fertiliser_SourceData.Fertiliser_Products_Data1(), FertiliserProducts[[#Headers],[Company]],1)</f>
        <v/>
      </c>
      <c r="Z114" s="173" t="str" cm="1">
        <f t="array" ref="Z114">Common_InputFunctions.Utility_DisplayArrayInTable(Fertiliser_SourceData.Fertiliser_Products_Data1(), FertiliserProducts[[#Headers],[Company]],1)</f>
        <v/>
      </c>
      <c r="AA114" s="173" t="str" cm="1">
        <f t="array" ref="AA114">Common_InputFunctions.Utility_DisplayArrayInTable(Fertiliser_SourceData.Fertiliser_Products_Data1(), FertiliserProducts[[#Headers],[Company]],1)</f>
        <v/>
      </c>
      <c r="AB114" s="173" t="str" cm="1">
        <f t="array" ref="AB114">Common_InputFunctions.Utility_DisplayArrayInTable(Fertiliser_SourceData.Fertiliser_Products_Data1(), FertiliserProducts[[#Headers],[Company]],1)</f>
        <v/>
      </c>
      <c r="AC114" s="173" t="str" cm="1">
        <f t="array" ref="AC114">Common_InputFunctions.Utility_DisplayArrayInTable(Fertiliser_SourceData.Fertiliser_Products_Data1(), FertiliserProducts[[#Headers],[Company]],1)</f>
        <v/>
      </c>
      <c r="AD114" s="173" t="str" cm="1">
        <f t="array" ref="AD114">Common_InputFunctions.Utility_DisplayArrayInTable(Fertiliser_SourceData.Fertiliser_Products_Data1(), FertiliserProducts[[#Headers],[Company]],1)</f>
        <v/>
      </c>
      <c r="AE114" s="173" t="str" cm="1">
        <f t="array" ref="AE114">Common_InputFunctions.Utility_DisplayArrayInTable(Fertiliser_SourceData.Fertiliser_Products_Data1(), FertiliserProducts[[#Headers],[Company]],1)</f>
        <v/>
      </c>
      <c r="AF114" s="173" t="str" cm="1">
        <f t="array" ref="AF114">Common_InputFunctions.Utility_DisplayArrayInTable(Fertiliser_SourceData.Fertiliser_Products_Data1(), FertiliserProducts[[#Headers],[Company]],1)</f>
        <v/>
      </c>
      <c r="AG114" s="173" t="str" cm="1">
        <f t="array" ref="AG114">Common_InputFunctions.Utility_DisplayArrayInTable(Fertiliser_SourceData.Fertiliser_Products_Data1(), FertiliserProducts[[#Headers],[Company]],1)</f>
        <v/>
      </c>
      <c r="AH114" s="173"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73" t="str" cm="1">
        <f t="array" ref="D115">Common_InputFunctions.Utility_DisplayArrayInTable(Fertiliser_SourceData.Fertiliser_Products_Data1(), FertiliserProducts[[#Headers],[Company]],1)</f>
        <v>SL Tec</v>
      </c>
      <c r="E115" s="173" t="str" cm="1">
        <f t="array" ref="E115">Common_InputFunctions.Utility_DisplayArrayInTable(Fertiliser_SourceData.Fertiliser_Products_Data1(), FertiliserProducts[[#Headers],[Company]],1)</f>
        <v>CellCAL Plus</v>
      </c>
      <c r="F115" s="173" t="str" cm="1">
        <f t="array" ref="F115">Common_InputFunctions.Utility_DisplayArrayInTable(Fertiliser_SourceData.Fertiliser_Products_Data1(), FertiliserProducts[[#Headers],[Company]],1)</f>
        <v>L</v>
      </c>
      <c r="G115" s="173" cm="1">
        <f t="array" ref="G115">Common_InputFunctions.Utility_DisplayArrayInTable(Fertiliser_SourceData.Fertiliser_Products_Data1(), FertiliserProducts[[#Headers],[Company]],1)</f>
        <v>1.1379999999999999</v>
      </c>
      <c r="H115" s="173" t="str" cm="1">
        <f t="array" ref="H115">Common_InputFunctions.Utility_DisplayArrayInTable(Fertiliser_SourceData.Fertiliser_Products_Data1(), FertiliserProducts[[#Headers],[Company]],1)</f>
        <v/>
      </c>
      <c r="I115" s="173" t="str" cm="1">
        <f t="array" ref="I115">Common_InputFunctions.Utility_DisplayArrayInTable(Fertiliser_SourceData.Fertiliser_Products_Data1(), FertiliserProducts[[#Headers],[Company]],1)</f>
        <v/>
      </c>
      <c r="J115" s="173" t="str" cm="1">
        <f t="array" ref="J115">Common_InputFunctions.Utility_DisplayArrayInTable(Fertiliser_SourceData.Fertiliser_Products_Data1(), FertiliserProducts[[#Headers],[Company]],1)</f>
        <v/>
      </c>
      <c r="K115" s="173" t="str" cm="1">
        <f t="array" ref="K115">Common_InputFunctions.Utility_DisplayArrayInTable(Fertiliser_SourceData.Fertiliser_Products_Data1(), FertiliserProducts[[#Headers],[Company]],1)</f>
        <v/>
      </c>
      <c r="L115" s="173" t="str" cm="1">
        <f t="array" ref="L115">Common_InputFunctions.Utility_DisplayArrayInTable(Fertiliser_SourceData.Fertiliser_Products_Data1(), FertiliserProducts[[#Headers],[Company]],1)</f>
        <v/>
      </c>
      <c r="M115" s="173" t="str" cm="1">
        <f t="array" ref="M115">Common_InputFunctions.Utility_DisplayArrayInTable(Fertiliser_SourceData.Fertiliser_Products_Data1(), FertiliserProducts[[#Headers],[Company]],1)</f>
        <v/>
      </c>
      <c r="N115" s="173" t="str" cm="1">
        <f t="array" ref="N115">Common_InputFunctions.Utility_DisplayArrayInTable(Fertiliser_SourceData.Fertiliser_Products_Data1(), FertiliserProducts[[#Headers],[Company]],1)</f>
        <v/>
      </c>
      <c r="O115" s="173" t="str" cm="1">
        <f t="array" ref="O115">Common_InputFunctions.Utility_DisplayArrayInTable(Fertiliser_SourceData.Fertiliser_Products_Data1(), FertiliserProducts[[#Headers],[Company]],1)</f>
        <v>Calcium</v>
      </c>
      <c r="P115" s="173" cm="1">
        <f t="array" ref="P115">Common_InputFunctions.Utility_DisplayArrayInTable(Fertiliser_SourceData.Fertiliser_Products_Data1(), FertiliserProducts[[#Headers],[Company]],1)</f>
        <v>5.8999999999999997E-2</v>
      </c>
      <c r="Q115" s="173" t="str" cm="1">
        <f t="array" ref="Q115">Common_InputFunctions.Utility_DisplayArrayInTable(Fertiliser_SourceData.Fertiliser_Products_Data1(), FertiliserProducts[[#Headers],[Company]],1)</f>
        <v>Copper</v>
      </c>
      <c r="R115" s="173" cm="1">
        <f t="array" ref="R115">Common_InputFunctions.Utility_DisplayArrayInTable(Fertiliser_SourceData.Fertiliser_Products_Data1(), FertiliserProducts[[#Headers],[Company]],1)</f>
        <v>3.0000000000000001E-3</v>
      </c>
      <c r="S115" s="173" t="str" cm="1">
        <f t="array" ref="S115">Common_InputFunctions.Utility_DisplayArrayInTable(Fertiliser_SourceData.Fertiliser_Products_Data1(), FertiliserProducts[[#Headers],[Company]],1)</f>
        <v>Boron</v>
      </c>
      <c r="T115" s="173" cm="1">
        <f t="array" ref="T115">Common_InputFunctions.Utility_DisplayArrayInTable(Fertiliser_SourceData.Fertiliser_Products_Data1(), FertiliserProducts[[#Headers],[Company]],1)</f>
        <v>1E-3</v>
      </c>
      <c r="U115" s="173" t="str" cm="1">
        <f t="array" ref="U115">Common_InputFunctions.Utility_DisplayArrayInTable(Fertiliser_SourceData.Fertiliser_Products_Data1(), FertiliserProducts[[#Headers],[Company]],1)</f>
        <v/>
      </c>
      <c r="V115" s="173" t="str" cm="1">
        <f t="array" ref="V115">Common_InputFunctions.Utility_DisplayArrayInTable(Fertiliser_SourceData.Fertiliser_Products_Data1(), FertiliserProducts[[#Headers],[Company]],1)</f>
        <v/>
      </c>
      <c r="W115" s="173" t="str" cm="1">
        <f t="array" ref="W115">Common_InputFunctions.Utility_DisplayArrayInTable(Fertiliser_SourceData.Fertiliser_Products_Data1(), FertiliserProducts[[#Headers],[Company]],1)</f>
        <v/>
      </c>
      <c r="X115" s="173" t="str" cm="1">
        <f t="array" ref="X115">Common_InputFunctions.Utility_DisplayArrayInTable(Fertiliser_SourceData.Fertiliser_Products_Data1(), FertiliserProducts[[#Headers],[Company]],1)</f>
        <v/>
      </c>
      <c r="Y115" s="173" t="str" cm="1">
        <f t="array" ref="Y115">Common_InputFunctions.Utility_DisplayArrayInTable(Fertiliser_SourceData.Fertiliser_Products_Data1(), FertiliserProducts[[#Headers],[Company]],1)</f>
        <v/>
      </c>
      <c r="Z115" s="173" t="str" cm="1">
        <f t="array" ref="Z115">Common_InputFunctions.Utility_DisplayArrayInTable(Fertiliser_SourceData.Fertiliser_Products_Data1(), FertiliserProducts[[#Headers],[Company]],1)</f>
        <v/>
      </c>
      <c r="AA115" s="173" t="str" cm="1">
        <f t="array" ref="AA115">Common_InputFunctions.Utility_DisplayArrayInTable(Fertiliser_SourceData.Fertiliser_Products_Data1(), FertiliserProducts[[#Headers],[Company]],1)</f>
        <v/>
      </c>
      <c r="AB115" s="173" t="str" cm="1">
        <f t="array" ref="AB115">Common_InputFunctions.Utility_DisplayArrayInTable(Fertiliser_SourceData.Fertiliser_Products_Data1(), FertiliserProducts[[#Headers],[Company]],1)</f>
        <v/>
      </c>
      <c r="AC115" s="173" t="str" cm="1">
        <f t="array" ref="AC115">Common_InputFunctions.Utility_DisplayArrayInTable(Fertiliser_SourceData.Fertiliser_Products_Data1(), FertiliserProducts[[#Headers],[Company]],1)</f>
        <v/>
      </c>
      <c r="AD115" s="173" t="str" cm="1">
        <f t="array" ref="AD115">Common_InputFunctions.Utility_DisplayArrayInTable(Fertiliser_SourceData.Fertiliser_Products_Data1(), FertiliserProducts[[#Headers],[Company]],1)</f>
        <v/>
      </c>
      <c r="AE115" s="173" t="str" cm="1">
        <f t="array" ref="AE115">Common_InputFunctions.Utility_DisplayArrayInTable(Fertiliser_SourceData.Fertiliser_Products_Data1(), FertiliserProducts[[#Headers],[Company]],1)</f>
        <v/>
      </c>
      <c r="AF115" s="173" t="str" cm="1">
        <f t="array" ref="AF115">Common_InputFunctions.Utility_DisplayArrayInTable(Fertiliser_SourceData.Fertiliser_Products_Data1(), FertiliserProducts[[#Headers],[Company]],1)</f>
        <v/>
      </c>
      <c r="AG115" s="173" t="str" cm="1">
        <f t="array" ref="AG115">Common_InputFunctions.Utility_DisplayArrayInTable(Fertiliser_SourceData.Fertiliser_Products_Data1(), FertiliserProducts[[#Headers],[Company]],1)</f>
        <v/>
      </c>
      <c r="AH115" s="173"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73" t="str" cm="1">
        <f t="array" ref="D116">Common_InputFunctions.Utility_DisplayArrayInTable(Fertiliser_SourceData.Fertiliser_Products_Data1(), FertiliserProducts[[#Headers],[Company]],1)</f>
        <v>Incitec Pivot Fertilisers</v>
      </c>
      <c r="E116" s="173" t="str" cm="1">
        <f t="array" ref="E116">Common_InputFunctions.Utility_DisplayArrayInTable(Fertiliser_SourceData.Fertiliser_Products_Data1(), FertiliserProducts[[#Headers],[Company]],1)</f>
        <v>CK55</v>
      </c>
      <c r="F116" s="173" t="str" cm="1">
        <f t="array" ref="F116">Common_InputFunctions.Utility_DisplayArrayInTable(Fertiliser_SourceData.Fertiliser_Products_Data1(), FertiliserProducts[[#Headers],[Company]],1)</f>
        <v>kg</v>
      </c>
      <c r="G116" s="173" cm="1">
        <f t="array" ref="G116">Common_InputFunctions.Utility_DisplayArrayInTable(Fertiliser_SourceData.Fertiliser_Products_Data1(), FertiliserProducts[[#Headers],[Company]],1)</f>
        <v>1</v>
      </c>
      <c r="H116" s="173" t="str" cm="1">
        <f t="array" ref="H116">Common_InputFunctions.Utility_DisplayArrayInTable(Fertiliser_SourceData.Fertiliser_Products_Data1(), FertiliserProducts[[#Headers],[Company]],1)</f>
        <v/>
      </c>
      <c r="I116" s="173" t="str" cm="1">
        <f t="array" ref="I116">Common_InputFunctions.Utility_DisplayArrayInTable(Fertiliser_SourceData.Fertiliser_Products_Data1(), FertiliserProducts[[#Headers],[Company]],1)</f>
        <v/>
      </c>
      <c r="J116" s="173" t="str" cm="1">
        <f t="array" ref="J116">Common_InputFunctions.Utility_DisplayArrayInTable(Fertiliser_SourceData.Fertiliser_Products_Data1(), FertiliserProducts[[#Headers],[Company]],1)</f>
        <v/>
      </c>
      <c r="K116" s="173" cm="1">
        <f t="array" ref="K116">Common_InputFunctions.Utility_DisplayArrayInTable(Fertiliser_SourceData.Fertiliser_Products_Data1(), FertiliserProducts[[#Headers],[Company]],1)</f>
        <v>13.5</v>
      </c>
      <c r="L116" s="173" cm="1">
        <f t="array" ref="L116">Common_InputFunctions.Utility_DisplayArrayInTable(Fertiliser_SourceData.Fertiliser_Products_Data1(), FertiliserProducts[[#Headers],[Company]],1)</f>
        <v>15</v>
      </c>
      <c r="M116" s="173" cm="1">
        <f t="array" ref="M116">Common_InputFunctions.Utility_DisplayArrayInTable(Fertiliser_SourceData.Fertiliser_Products_Data1(), FertiliserProducts[[#Headers],[Company]],1)</f>
        <v>6.25</v>
      </c>
      <c r="N116" s="173" cm="1">
        <f t="array" ref="N116">Common_InputFunctions.Utility_DisplayArrayInTable(Fertiliser_SourceData.Fertiliser_Products_Data1(), FertiliserProducts[[#Headers],[Company]],1)</f>
        <v>1.2</v>
      </c>
      <c r="O116" s="173" t="str" cm="1">
        <f t="array" ref="O116">Common_InputFunctions.Utility_DisplayArrayInTable(Fertiliser_SourceData.Fertiliser_Products_Data1(), FertiliserProducts[[#Headers],[Company]],1)</f>
        <v>Phosphorus - Generic</v>
      </c>
      <c r="P116" s="173" cm="1">
        <f t="array" ref="P116">Common_InputFunctions.Utility_DisplayArrayInTable(Fertiliser_SourceData.Fertiliser_Products_Data1(), FertiliserProducts[[#Headers],[Company]],1)</f>
        <v>0.15</v>
      </c>
      <c r="Q116" s="173" t="str" cm="1">
        <f t="array" ref="Q116">Common_InputFunctions.Utility_DisplayArrayInTable(Fertiliser_SourceData.Fertiliser_Products_Data1(), FertiliserProducts[[#Headers],[Company]],1)</f>
        <v>Nitrogen - Ammoniacal</v>
      </c>
      <c r="R116" s="173" cm="1">
        <f t="array" ref="R116">Common_InputFunctions.Utility_DisplayArrayInTable(Fertiliser_SourceData.Fertiliser_Products_Data1(), FertiliserProducts[[#Headers],[Company]],1)</f>
        <v>0.13500000000000001</v>
      </c>
      <c r="S116" s="173" t="str" cm="1">
        <f t="array" ref="S116">Common_InputFunctions.Utility_DisplayArrayInTable(Fertiliser_SourceData.Fertiliser_Products_Data1(), FertiliserProducts[[#Headers],[Company]],1)</f>
        <v>Muriate of potash (MOP)</v>
      </c>
      <c r="T116" s="173" cm="1">
        <f t="array" ref="T116">Common_InputFunctions.Utility_DisplayArrayInTable(Fertiliser_SourceData.Fertiliser_Products_Data1(), FertiliserProducts[[#Headers],[Company]],1)</f>
        <v>0.125</v>
      </c>
      <c r="U116" s="173" t="str" cm="1">
        <f t="array" ref="U116">Common_InputFunctions.Utility_DisplayArrayInTable(Fertiliser_SourceData.Fertiliser_Products_Data1(), FertiliserProducts[[#Headers],[Company]],1)</f>
        <v>Fluoride</v>
      </c>
      <c r="V116" s="173" cm="1">
        <f t="array" ref="V116">Common_InputFunctions.Utility_DisplayArrayInTable(Fertiliser_SourceData.Fertiliser_Products_Data1(), FertiliserProducts[[#Headers],[Company]],1)</f>
        <v>2.3E-2</v>
      </c>
      <c r="W116" s="173" t="str" cm="1">
        <f t="array" ref="W116">Common_InputFunctions.Utility_DisplayArrayInTable(Fertiliser_SourceData.Fertiliser_Products_Data1(), FertiliserProducts[[#Headers],[Company]],1)</f>
        <v>Sulfur - Generic</v>
      </c>
      <c r="X116" s="173" cm="1">
        <f t="array" ref="X116">Common_InputFunctions.Utility_DisplayArrayInTable(Fertiliser_SourceData.Fertiliser_Products_Data1(), FertiliserProducts[[#Headers],[Company]],1)</f>
        <v>1.2E-2</v>
      </c>
      <c r="Y116" s="173" t="str" cm="1">
        <f t="array" ref="Y116">Common_InputFunctions.Utility_DisplayArrayInTable(Fertiliser_SourceData.Fertiliser_Products_Data1(), FertiliserProducts[[#Headers],[Company]],1)</f>
        <v/>
      </c>
      <c r="Z116" s="173" t="str" cm="1">
        <f t="array" ref="Z116">Common_InputFunctions.Utility_DisplayArrayInTable(Fertiliser_SourceData.Fertiliser_Products_Data1(), FertiliserProducts[[#Headers],[Company]],1)</f>
        <v/>
      </c>
      <c r="AA116" s="173" t="str" cm="1">
        <f t="array" ref="AA116">Common_InputFunctions.Utility_DisplayArrayInTable(Fertiliser_SourceData.Fertiliser_Products_Data1(), FertiliserProducts[[#Headers],[Company]],1)</f>
        <v/>
      </c>
      <c r="AB116" s="173" t="str" cm="1">
        <f t="array" ref="AB116">Common_InputFunctions.Utility_DisplayArrayInTable(Fertiliser_SourceData.Fertiliser_Products_Data1(), FertiliserProducts[[#Headers],[Company]],1)</f>
        <v/>
      </c>
      <c r="AC116" s="173" t="str" cm="1">
        <f t="array" ref="AC116">Common_InputFunctions.Utility_DisplayArrayInTable(Fertiliser_SourceData.Fertiliser_Products_Data1(), FertiliserProducts[[#Headers],[Company]],1)</f>
        <v/>
      </c>
      <c r="AD116" s="173" t="str" cm="1">
        <f t="array" ref="AD116">Common_InputFunctions.Utility_DisplayArrayInTable(Fertiliser_SourceData.Fertiliser_Products_Data1(), FertiliserProducts[[#Headers],[Company]],1)</f>
        <v/>
      </c>
      <c r="AE116" s="173" t="str" cm="1">
        <f t="array" ref="AE116">Common_InputFunctions.Utility_DisplayArrayInTable(Fertiliser_SourceData.Fertiliser_Products_Data1(), FertiliserProducts[[#Headers],[Company]],1)</f>
        <v/>
      </c>
      <c r="AF116" s="173" t="str" cm="1">
        <f t="array" ref="AF116">Common_InputFunctions.Utility_DisplayArrayInTable(Fertiliser_SourceData.Fertiliser_Products_Data1(), FertiliserProducts[[#Headers],[Company]],1)</f>
        <v/>
      </c>
      <c r="AG116" s="173" t="str" cm="1">
        <f t="array" ref="AG116">Common_InputFunctions.Utility_DisplayArrayInTable(Fertiliser_SourceData.Fertiliser_Products_Data1(), FertiliserProducts[[#Headers],[Company]],1)</f>
        <v/>
      </c>
      <c r="AH116" s="173"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73" t="str" cm="1">
        <f t="array" ref="D117">Common_InputFunctions.Utility_DisplayArrayInTable(Fertiliser_SourceData.Fertiliser_Products_Data1(), FertiliserProducts[[#Headers],[Company]],1)</f>
        <v>Switch Ag</v>
      </c>
      <c r="E117" s="173" t="str" cm="1">
        <f t="array" ref="E117">Common_InputFunctions.Utility_DisplayArrayInTable(Fertiliser_SourceData.Fertiliser_Products_Data1(), FertiliserProducts[[#Headers],[Company]],1)</f>
        <v>Crop K</v>
      </c>
      <c r="F117" s="173" t="str" cm="1">
        <f t="array" ref="F117">Common_InputFunctions.Utility_DisplayArrayInTable(Fertiliser_SourceData.Fertiliser_Products_Data1(), FertiliserProducts[[#Headers],[Company]],1)</f>
        <v>L</v>
      </c>
      <c r="G117" s="173" cm="1">
        <f t="array" ref="G117">Common_InputFunctions.Utility_DisplayArrayInTable(Fertiliser_SourceData.Fertiliser_Products_Data1(), FertiliserProducts[[#Headers],[Company]],1)</f>
        <v>1.25</v>
      </c>
      <c r="H117" s="173" t="str" cm="1">
        <f t="array" ref="H117">Common_InputFunctions.Utility_DisplayArrayInTable(Fertiliser_SourceData.Fertiliser_Products_Data1(), FertiliserProducts[[#Headers],[Company]],1)</f>
        <v/>
      </c>
      <c r="I117" s="173" t="str" cm="1">
        <f t="array" ref="I117">Common_InputFunctions.Utility_DisplayArrayInTable(Fertiliser_SourceData.Fertiliser_Products_Data1(), FertiliserProducts[[#Headers],[Company]],1)</f>
        <v/>
      </c>
      <c r="J117" s="173" t="str" cm="1">
        <f t="array" ref="J117">Common_InputFunctions.Utility_DisplayArrayInTable(Fertiliser_SourceData.Fertiliser_Products_Data1(), FertiliserProducts[[#Headers],[Company]],1)</f>
        <v/>
      </c>
      <c r="K117" s="173" cm="1">
        <f t="array" ref="K117">Common_InputFunctions.Utility_DisplayArrayInTable(Fertiliser_SourceData.Fertiliser_Products_Data1(), FertiliserProducts[[#Headers],[Company]],1)</f>
        <v>3</v>
      </c>
      <c r="L117" s="173" t="str" cm="1">
        <f t="array" ref="L117">Common_InputFunctions.Utility_DisplayArrayInTable(Fertiliser_SourceData.Fertiliser_Products_Data1(), FertiliserProducts[[#Headers],[Company]],1)</f>
        <v/>
      </c>
      <c r="M117" s="173" cm="1">
        <f t="array" ref="M117">Common_InputFunctions.Utility_DisplayArrayInTable(Fertiliser_SourceData.Fertiliser_Products_Data1(), FertiliserProducts[[#Headers],[Company]],1)</f>
        <v>21</v>
      </c>
      <c r="N117" s="173" t="str" cm="1">
        <f t="array" ref="N117">Common_InputFunctions.Utility_DisplayArrayInTable(Fertiliser_SourceData.Fertiliser_Products_Data1(), FertiliserProducts[[#Headers],[Company]],1)</f>
        <v/>
      </c>
      <c r="O117" s="173" t="str" cm="1">
        <f t="array" ref="O117">Common_InputFunctions.Utility_DisplayArrayInTable(Fertiliser_SourceData.Fertiliser_Products_Data1(), FertiliserProducts[[#Headers],[Company]],1)</f>
        <v>Potassium - Generic</v>
      </c>
      <c r="P117" s="173" cm="1">
        <f t="array" ref="P117">Common_InputFunctions.Utility_DisplayArrayInTable(Fertiliser_SourceData.Fertiliser_Products_Data1(), FertiliserProducts[[#Headers],[Company]],1)</f>
        <v>0.21</v>
      </c>
      <c r="Q117" s="173" t="str" cm="1">
        <f t="array" ref="Q117">Common_InputFunctions.Utility_DisplayArrayInTable(Fertiliser_SourceData.Fertiliser_Products_Data1(), FertiliserProducts[[#Headers],[Company]],1)</f>
        <v>Nitrogen - Generic</v>
      </c>
      <c r="R117" s="173" cm="1">
        <f t="array" ref="R117">Common_InputFunctions.Utility_DisplayArrayInTable(Fertiliser_SourceData.Fertiliser_Products_Data1(), FertiliserProducts[[#Headers],[Company]],1)</f>
        <v>0.03</v>
      </c>
      <c r="S117" s="173" t="str" cm="1">
        <f t="array" ref="S117">Common_InputFunctions.Utility_DisplayArrayInTable(Fertiliser_SourceData.Fertiliser_Products_Data1(), FertiliserProducts[[#Headers],[Company]],1)</f>
        <v/>
      </c>
      <c r="T117" s="173" t="str" cm="1">
        <f t="array" ref="T117">Common_InputFunctions.Utility_DisplayArrayInTable(Fertiliser_SourceData.Fertiliser_Products_Data1(), FertiliserProducts[[#Headers],[Company]],1)</f>
        <v/>
      </c>
      <c r="U117" s="173" t="str" cm="1">
        <f t="array" ref="U117">Common_InputFunctions.Utility_DisplayArrayInTable(Fertiliser_SourceData.Fertiliser_Products_Data1(), FertiliserProducts[[#Headers],[Company]],1)</f>
        <v/>
      </c>
      <c r="V117" s="173" t="str" cm="1">
        <f t="array" ref="V117">Common_InputFunctions.Utility_DisplayArrayInTable(Fertiliser_SourceData.Fertiliser_Products_Data1(), FertiliserProducts[[#Headers],[Company]],1)</f>
        <v/>
      </c>
      <c r="W117" s="173" t="str" cm="1">
        <f t="array" ref="W117">Common_InputFunctions.Utility_DisplayArrayInTable(Fertiliser_SourceData.Fertiliser_Products_Data1(), FertiliserProducts[[#Headers],[Company]],1)</f>
        <v/>
      </c>
      <c r="X117" s="173" t="str" cm="1">
        <f t="array" ref="X117">Common_InputFunctions.Utility_DisplayArrayInTable(Fertiliser_SourceData.Fertiliser_Products_Data1(), FertiliserProducts[[#Headers],[Company]],1)</f>
        <v/>
      </c>
      <c r="Y117" s="173" t="str" cm="1">
        <f t="array" ref="Y117">Common_InputFunctions.Utility_DisplayArrayInTable(Fertiliser_SourceData.Fertiliser_Products_Data1(), FertiliserProducts[[#Headers],[Company]],1)</f>
        <v/>
      </c>
      <c r="Z117" s="173" t="str" cm="1">
        <f t="array" ref="Z117">Common_InputFunctions.Utility_DisplayArrayInTable(Fertiliser_SourceData.Fertiliser_Products_Data1(), FertiliserProducts[[#Headers],[Company]],1)</f>
        <v/>
      </c>
      <c r="AA117" s="173" t="str" cm="1">
        <f t="array" ref="AA117">Common_InputFunctions.Utility_DisplayArrayInTable(Fertiliser_SourceData.Fertiliser_Products_Data1(), FertiliserProducts[[#Headers],[Company]],1)</f>
        <v/>
      </c>
      <c r="AB117" s="173" t="str" cm="1">
        <f t="array" ref="AB117">Common_InputFunctions.Utility_DisplayArrayInTable(Fertiliser_SourceData.Fertiliser_Products_Data1(), FertiliserProducts[[#Headers],[Company]],1)</f>
        <v/>
      </c>
      <c r="AC117" s="173" t="str" cm="1">
        <f t="array" ref="AC117">Common_InputFunctions.Utility_DisplayArrayInTable(Fertiliser_SourceData.Fertiliser_Products_Data1(), FertiliserProducts[[#Headers],[Company]],1)</f>
        <v/>
      </c>
      <c r="AD117" s="173" t="str" cm="1">
        <f t="array" ref="AD117">Common_InputFunctions.Utility_DisplayArrayInTable(Fertiliser_SourceData.Fertiliser_Products_Data1(), FertiliserProducts[[#Headers],[Company]],1)</f>
        <v/>
      </c>
      <c r="AE117" s="173" t="str" cm="1">
        <f t="array" ref="AE117">Common_InputFunctions.Utility_DisplayArrayInTable(Fertiliser_SourceData.Fertiliser_Products_Data1(), FertiliserProducts[[#Headers],[Company]],1)</f>
        <v/>
      </c>
      <c r="AF117" s="173" t="str" cm="1">
        <f t="array" ref="AF117">Common_InputFunctions.Utility_DisplayArrayInTable(Fertiliser_SourceData.Fertiliser_Products_Data1(), FertiliserProducts[[#Headers],[Company]],1)</f>
        <v/>
      </c>
      <c r="AG117" s="173" t="str" cm="1">
        <f t="array" ref="AG117">Common_InputFunctions.Utility_DisplayArrayInTable(Fertiliser_SourceData.Fertiliser_Products_Data1(), FertiliserProducts[[#Headers],[Company]],1)</f>
        <v/>
      </c>
      <c r="AH117" s="173"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73" t="str" cm="1">
        <f t="array" ref="D118">Common_InputFunctions.Utility_DisplayArrayInTable(Fertiliser_SourceData.Fertiliser_Products_Data1(), FertiliserProducts[[#Headers],[Company]],1)</f>
        <v>Switch Ag</v>
      </c>
      <c r="E118" s="173" t="str" cm="1">
        <f t="array" ref="E118">Common_InputFunctions.Utility_DisplayArrayInTable(Fertiliser_SourceData.Fertiliser_Products_Data1(), FertiliserProducts[[#Headers],[Company]],1)</f>
        <v>Crop Starter</v>
      </c>
      <c r="F118" s="173" t="str" cm="1">
        <f t="array" ref="F118">Common_InputFunctions.Utility_DisplayArrayInTable(Fertiliser_SourceData.Fertiliser_Products_Data1(), FertiliserProducts[[#Headers],[Company]],1)</f>
        <v>L</v>
      </c>
      <c r="G118" s="173" cm="1">
        <f t="array" ref="G118">Common_InputFunctions.Utility_DisplayArrayInTable(Fertiliser_SourceData.Fertiliser_Products_Data1(), FertiliserProducts[[#Headers],[Company]],1)</f>
        <v>1.2</v>
      </c>
      <c r="H118" s="173" t="str" cm="1">
        <f t="array" ref="H118">Common_InputFunctions.Utility_DisplayArrayInTable(Fertiliser_SourceData.Fertiliser_Products_Data1(), FertiliserProducts[[#Headers],[Company]],1)</f>
        <v/>
      </c>
      <c r="I118" s="173" t="str" cm="1">
        <f t="array" ref="I118">Common_InputFunctions.Utility_DisplayArrayInTable(Fertiliser_SourceData.Fertiliser_Products_Data1(), FertiliserProducts[[#Headers],[Company]],1)</f>
        <v/>
      </c>
      <c r="J118" s="173" t="str" cm="1">
        <f t="array" ref="J118">Common_InputFunctions.Utility_DisplayArrayInTable(Fertiliser_SourceData.Fertiliser_Products_Data1(), FertiliserProducts[[#Headers],[Company]],1)</f>
        <v/>
      </c>
      <c r="K118" s="173" cm="1">
        <f t="array" ref="K118">Common_InputFunctions.Utility_DisplayArrayInTable(Fertiliser_SourceData.Fertiliser_Products_Data1(), FertiliserProducts[[#Headers],[Company]],1)</f>
        <v>5</v>
      </c>
      <c r="L118" s="173" cm="1">
        <f t="array" ref="L118">Common_InputFunctions.Utility_DisplayArrayInTable(Fertiliser_SourceData.Fertiliser_Products_Data1(), FertiliserProducts[[#Headers],[Company]],1)</f>
        <v>3</v>
      </c>
      <c r="M118" s="173" cm="1">
        <f t="array" ref="M118">Common_InputFunctions.Utility_DisplayArrayInTable(Fertiliser_SourceData.Fertiliser_Products_Data1(), FertiliserProducts[[#Headers],[Company]],1)</f>
        <v>8</v>
      </c>
      <c r="N118" s="173" t="str" cm="1">
        <f t="array" ref="N118">Common_InputFunctions.Utility_DisplayArrayInTable(Fertiliser_SourceData.Fertiliser_Products_Data1(), FertiliserProducts[[#Headers],[Company]],1)</f>
        <v/>
      </c>
      <c r="O118" s="173" t="str" cm="1">
        <f t="array" ref="O118">Common_InputFunctions.Utility_DisplayArrayInTable(Fertiliser_SourceData.Fertiliser_Products_Data1(), FertiliserProducts[[#Headers],[Company]],1)</f>
        <v>Potassium - Generic</v>
      </c>
      <c r="P118" s="173" cm="1">
        <f t="array" ref="P118">Common_InputFunctions.Utility_DisplayArrayInTable(Fertiliser_SourceData.Fertiliser_Products_Data1(), FertiliserProducts[[#Headers],[Company]],1)</f>
        <v>0.08</v>
      </c>
      <c r="Q118" s="173" t="str" cm="1">
        <f t="array" ref="Q118">Common_InputFunctions.Utility_DisplayArrayInTable(Fertiliser_SourceData.Fertiliser_Products_Data1(), FertiliserProducts[[#Headers],[Company]],1)</f>
        <v>Nitrogen - Generic</v>
      </c>
      <c r="R118" s="173" cm="1">
        <f t="array" ref="R118">Common_InputFunctions.Utility_DisplayArrayInTable(Fertiliser_SourceData.Fertiliser_Products_Data1(), FertiliserProducts[[#Headers],[Company]],1)</f>
        <v>0.05</v>
      </c>
      <c r="S118" s="173" t="str" cm="1">
        <f t="array" ref="S118">Common_InputFunctions.Utility_DisplayArrayInTable(Fertiliser_SourceData.Fertiliser_Products_Data1(), FertiliserProducts[[#Headers],[Company]],1)</f>
        <v>Phosphorus - Generic</v>
      </c>
      <c r="T118" s="173" cm="1">
        <f t="array" ref="T118">Common_InputFunctions.Utility_DisplayArrayInTable(Fertiliser_SourceData.Fertiliser_Products_Data1(), FertiliserProducts[[#Headers],[Company]],1)</f>
        <v>0.03</v>
      </c>
      <c r="U118" s="173" t="str" cm="1">
        <f t="array" ref="U118">Common_InputFunctions.Utility_DisplayArrayInTable(Fertiliser_SourceData.Fertiliser_Products_Data1(), FertiliserProducts[[#Headers],[Company]],1)</f>
        <v/>
      </c>
      <c r="V118" s="173" t="str" cm="1">
        <f t="array" ref="V118">Common_InputFunctions.Utility_DisplayArrayInTable(Fertiliser_SourceData.Fertiliser_Products_Data1(), FertiliserProducts[[#Headers],[Company]],1)</f>
        <v/>
      </c>
      <c r="W118" s="173" t="str" cm="1">
        <f t="array" ref="W118">Common_InputFunctions.Utility_DisplayArrayInTable(Fertiliser_SourceData.Fertiliser_Products_Data1(), FertiliserProducts[[#Headers],[Company]],1)</f>
        <v/>
      </c>
      <c r="X118" s="173" t="str" cm="1">
        <f t="array" ref="X118">Common_InputFunctions.Utility_DisplayArrayInTable(Fertiliser_SourceData.Fertiliser_Products_Data1(), FertiliserProducts[[#Headers],[Company]],1)</f>
        <v/>
      </c>
      <c r="Y118" s="173" t="str" cm="1">
        <f t="array" ref="Y118">Common_InputFunctions.Utility_DisplayArrayInTable(Fertiliser_SourceData.Fertiliser_Products_Data1(), FertiliserProducts[[#Headers],[Company]],1)</f>
        <v/>
      </c>
      <c r="Z118" s="173" t="str" cm="1">
        <f t="array" ref="Z118">Common_InputFunctions.Utility_DisplayArrayInTable(Fertiliser_SourceData.Fertiliser_Products_Data1(), FertiliserProducts[[#Headers],[Company]],1)</f>
        <v/>
      </c>
      <c r="AA118" s="173" t="str" cm="1">
        <f t="array" ref="AA118">Common_InputFunctions.Utility_DisplayArrayInTable(Fertiliser_SourceData.Fertiliser_Products_Data1(), FertiliserProducts[[#Headers],[Company]],1)</f>
        <v/>
      </c>
      <c r="AB118" s="173" t="str" cm="1">
        <f t="array" ref="AB118">Common_InputFunctions.Utility_DisplayArrayInTable(Fertiliser_SourceData.Fertiliser_Products_Data1(), FertiliserProducts[[#Headers],[Company]],1)</f>
        <v/>
      </c>
      <c r="AC118" s="173" t="str" cm="1">
        <f t="array" ref="AC118">Common_InputFunctions.Utility_DisplayArrayInTable(Fertiliser_SourceData.Fertiliser_Products_Data1(), FertiliserProducts[[#Headers],[Company]],1)</f>
        <v/>
      </c>
      <c r="AD118" s="173" t="str" cm="1">
        <f t="array" ref="AD118">Common_InputFunctions.Utility_DisplayArrayInTable(Fertiliser_SourceData.Fertiliser_Products_Data1(), FertiliserProducts[[#Headers],[Company]],1)</f>
        <v/>
      </c>
      <c r="AE118" s="173" t="str" cm="1">
        <f t="array" ref="AE118">Common_InputFunctions.Utility_DisplayArrayInTable(Fertiliser_SourceData.Fertiliser_Products_Data1(), FertiliserProducts[[#Headers],[Company]],1)</f>
        <v/>
      </c>
      <c r="AF118" s="173" t="str" cm="1">
        <f t="array" ref="AF118">Common_InputFunctions.Utility_DisplayArrayInTable(Fertiliser_SourceData.Fertiliser_Products_Data1(), FertiliserProducts[[#Headers],[Company]],1)</f>
        <v/>
      </c>
      <c r="AG118" s="173" t="str" cm="1">
        <f t="array" ref="AG118">Common_InputFunctions.Utility_DisplayArrayInTable(Fertiliser_SourceData.Fertiliser_Products_Data1(), FertiliserProducts[[#Headers],[Company]],1)</f>
        <v/>
      </c>
      <c r="AH118" s="173"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73" t="str" cm="1">
        <f t="array" ref="D119">Common_InputFunctions.Utility_DisplayArrayInTable(Fertiliser_SourceData.Fertiliser_Products_Data1(), FertiliserProducts[[#Headers],[Company]],1)</f>
        <v>Incitec Pivot Fertilisers</v>
      </c>
      <c r="E119" s="173" t="str" cm="1">
        <f t="array" ref="E119">Common_InputFunctions.Utility_DisplayArrayInTable(Fertiliser_SourceData.Fertiliser_Products_Data1(), FertiliserProducts[[#Headers],[Company]],1)</f>
        <v>Gran-Am</v>
      </c>
      <c r="F119" s="173" t="str" cm="1">
        <f t="array" ref="F119">Common_InputFunctions.Utility_DisplayArrayInTable(Fertiliser_SourceData.Fertiliser_Products_Data1(), FertiliserProducts[[#Headers],[Company]],1)</f>
        <v>kg</v>
      </c>
      <c r="G119" s="173" cm="1">
        <f t="array" ref="G119">Common_InputFunctions.Utility_DisplayArrayInTable(Fertiliser_SourceData.Fertiliser_Products_Data1(), FertiliserProducts[[#Headers],[Company]],1)</f>
        <v>1</v>
      </c>
      <c r="H119" s="173" t="str" cm="1">
        <f t="array" ref="H119">Common_InputFunctions.Utility_DisplayArrayInTable(Fertiliser_SourceData.Fertiliser_Products_Data1(), FertiliserProducts[[#Headers],[Company]],1)</f>
        <v/>
      </c>
      <c r="I119" s="173" t="str" cm="1">
        <f t="array" ref="I119">Common_InputFunctions.Utility_DisplayArrayInTable(Fertiliser_SourceData.Fertiliser_Products_Data1(), FertiliserProducts[[#Headers],[Company]],1)</f>
        <v/>
      </c>
      <c r="J119" s="173" t="str" cm="1">
        <f t="array" ref="J119">Common_InputFunctions.Utility_DisplayArrayInTable(Fertiliser_SourceData.Fertiliser_Products_Data1(), FertiliserProducts[[#Headers],[Company]],1)</f>
        <v/>
      </c>
      <c r="K119" s="173" cm="1">
        <f t="array" ref="K119">Common_InputFunctions.Utility_DisplayArrayInTable(Fertiliser_SourceData.Fertiliser_Products_Data1(), FertiliserProducts[[#Headers],[Company]],1)</f>
        <v>21</v>
      </c>
      <c r="L119" s="173" t="str" cm="1">
        <f t="array" ref="L119">Common_InputFunctions.Utility_DisplayArrayInTable(Fertiliser_SourceData.Fertiliser_Products_Data1(), FertiliserProducts[[#Headers],[Company]],1)</f>
        <v/>
      </c>
      <c r="M119" s="173" t="str" cm="1">
        <f t="array" ref="M119">Common_InputFunctions.Utility_DisplayArrayInTable(Fertiliser_SourceData.Fertiliser_Products_Data1(), FertiliserProducts[[#Headers],[Company]],1)</f>
        <v/>
      </c>
      <c r="N119" s="173" cm="1">
        <f t="array" ref="N119">Common_InputFunctions.Utility_DisplayArrayInTable(Fertiliser_SourceData.Fertiliser_Products_Data1(), FertiliserProducts[[#Headers],[Company]],1)</f>
        <v>24</v>
      </c>
      <c r="O119" s="173" t="str" cm="1">
        <f t="array" ref="O119">Common_InputFunctions.Utility_DisplayArrayInTable(Fertiliser_SourceData.Fertiliser_Products_Data1(), FertiliserProducts[[#Headers],[Company]],1)</f>
        <v>Sulphate of ammonia (SOA)</v>
      </c>
      <c r="P119" s="173" cm="1">
        <f t="array" ref="P119">Common_InputFunctions.Utility_DisplayArrayInTable(Fertiliser_SourceData.Fertiliser_Products_Data1(), FertiliserProducts[[#Headers],[Company]],1)</f>
        <v>1</v>
      </c>
      <c r="Q119" s="173" t="str" cm="1">
        <f t="array" ref="Q119">Common_InputFunctions.Utility_DisplayArrayInTable(Fertiliser_SourceData.Fertiliser_Products_Data1(), FertiliserProducts[[#Headers],[Company]],1)</f>
        <v/>
      </c>
      <c r="R119" s="173" t="str" cm="1">
        <f t="array" ref="R119">Common_InputFunctions.Utility_DisplayArrayInTable(Fertiliser_SourceData.Fertiliser_Products_Data1(), FertiliserProducts[[#Headers],[Company]],1)</f>
        <v/>
      </c>
      <c r="S119" s="173" t="str" cm="1">
        <f t="array" ref="S119">Common_InputFunctions.Utility_DisplayArrayInTable(Fertiliser_SourceData.Fertiliser_Products_Data1(), FertiliserProducts[[#Headers],[Company]],1)</f>
        <v/>
      </c>
      <c r="T119" s="173" t="str" cm="1">
        <f t="array" ref="T119">Common_InputFunctions.Utility_DisplayArrayInTable(Fertiliser_SourceData.Fertiliser_Products_Data1(), FertiliserProducts[[#Headers],[Company]],1)</f>
        <v/>
      </c>
      <c r="U119" s="173" t="str" cm="1">
        <f t="array" ref="U119">Common_InputFunctions.Utility_DisplayArrayInTable(Fertiliser_SourceData.Fertiliser_Products_Data1(), FertiliserProducts[[#Headers],[Company]],1)</f>
        <v/>
      </c>
      <c r="V119" s="173" t="str" cm="1">
        <f t="array" ref="V119">Common_InputFunctions.Utility_DisplayArrayInTable(Fertiliser_SourceData.Fertiliser_Products_Data1(), FertiliserProducts[[#Headers],[Company]],1)</f>
        <v/>
      </c>
      <c r="W119" s="173" t="str" cm="1">
        <f t="array" ref="W119">Common_InputFunctions.Utility_DisplayArrayInTable(Fertiliser_SourceData.Fertiliser_Products_Data1(), FertiliserProducts[[#Headers],[Company]],1)</f>
        <v/>
      </c>
      <c r="X119" s="173" t="str" cm="1">
        <f t="array" ref="X119">Common_InputFunctions.Utility_DisplayArrayInTable(Fertiliser_SourceData.Fertiliser_Products_Data1(), FertiliserProducts[[#Headers],[Company]],1)</f>
        <v/>
      </c>
      <c r="Y119" s="173" t="str" cm="1">
        <f t="array" ref="Y119">Common_InputFunctions.Utility_DisplayArrayInTable(Fertiliser_SourceData.Fertiliser_Products_Data1(), FertiliserProducts[[#Headers],[Company]],1)</f>
        <v/>
      </c>
      <c r="Z119" s="173" t="str" cm="1">
        <f t="array" ref="Z119">Common_InputFunctions.Utility_DisplayArrayInTable(Fertiliser_SourceData.Fertiliser_Products_Data1(), FertiliserProducts[[#Headers],[Company]],1)</f>
        <v/>
      </c>
      <c r="AA119" s="173" t="str" cm="1">
        <f t="array" ref="AA119">Common_InputFunctions.Utility_DisplayArrayInTable(Fertiliser_SourceData.Fertiliser_Products_Data1(), FertiliserProducts[[#Headers],[Company]],1)</f>
        <v/>
      </c>
      <c r="AB119" s="173" t="str" cm="1">
        <f t="array" ref="AB119">Common_InputFunctions.Utility_DisplayArrayInTable(Fertiliser_SourceData.Fertiliser_Products_Data1(), FertiliserProducts[[#Headers],[Company]],1)</f>
        <v/>
      </c>
      <c r="AC119" s="173" t="str" cm="1">
        <f t="array" ref="AC119">Common_InputFunctions.Utility_DisplayArrayInTable(Fertiliser_SourceData.Fertiliser_Products_Data1(), FertiliserProducts[[#Headers],[Company]],1)</f>
        <v/>
      </c>
      <c r="AD119" s="173" t="str" cm="1">
        <f t="array" ref="AD119">Common_InputFunctions.Utility_DisplayArrayInTable(Fertiliser_SourceData.Fertiliser_Products_Data1(), FertiliserProducts[[#Headers],[Company]],1)</f>
        <v/>
      </c>
      <c r="AE119" s="173" t="str" cm="1">
        <f t="array" ref="AE119">Common_InputFunctions.Utility_DisplayArrayInTable(Fertiliser_SourceData.Fertiliser_Products_Data1(), FertiliserProducts[[#Headers],[Company]],1)</f>
        <v/>
      </c>
      <c r="AF119" s="173" t="str" cm="1">
        <f t="array" ref="AF119">Common_InputFunctions.Utility_DisplayArrayInTable(Fertiliser_SourceData.Fertiliser_Products_Data1(), FertiliserProducts[[#Headers],[Company]],1)</f>
        <v/>
      </c>
      <c r="AG119" s="173" t="str" cm="1">
        <f t="array" ref="AG119">Common_InputFunctions.Utility_DisplayArrayInTable(Fertiliser_SourceData.Fertiliser_Products_Data1(), FertiliserProducts[[#Headers],[Company]],1)</f>
        <v/>
      </c>
      <c r="AH119" s="173"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73" t="str" cm="1">
        <f t="array" ref="D120">Common_InputFunctions.Utility_DisplayArrayInTable(Fertiliser_SourceData.Fertiliser_Products_Data2(), FertiliserProducts[[#Headers],[Company]],31)</f>
        <v>Campbells fertilisers Australia</v>
      </c>
      <c r="E120" s="173" t="str" cm="1">
        <f t="array" ref="E120">Common_InputFunctions.Utility_DisplayArrayInTable(Fertiliser_SourceData.Fertiliser_Products_Data2(), FertiliserProducts[[#Headers],[Company]],31)</f>
        <v>Encal</v>
      </c>
      <c r="F120" s="173" t="str" cm="1">
        <f t="array" ref="F120">Common_InputFunctions.Utility_DisplayArrayInTable(Fertiliser_SourceData.Fertiliser_Products_Data2(), FertiliserProducts[[#Headers],[Company]],31)</f>
        <v>L</v>
      </c>
      <c r="G120" s="173" cm="1">
        <f t="array" ref="G120">Common_InputFunctions.Utility_DisplayArrayInTable(Fertiliser_SourceData.Fertiliser_Products_Data2(), FertiliserProducts[[#Headers],[Company]],31)</f>
        <v>1.5</v>
      </c>
      <c r="H120" s="173" t="str" cm="1">
        <f t="array" ref="H120">Common_InputFunctions.Utility_DisplayArrayInTable(Fertiliser_SourceData.Fertiliser_Products_Data2(), FertiliserProducts[[#Headers],[Company]],31)</f>
        <v/>
      </c>
      <c r="I120" s="173" t="str" cm="1">
        <f t="array" ref="I120">Common_InputFunctions.Utility_DisplayArrayInTable(Fertiliser_SourceData.Fertiliser_Products_Data2(), FertiliserProducts[[#Headers],[Company]],31)</f>
        <v/>
      </c>
      <c r="J120" s="173" t="str" cm="1">
        <f t="array" ref="J120">Common_InputFunctions.Utility_DisplayArrayInTable(Fertiliser_SourceData.Fertiliser_Products_Data2(), FertiliserProducts[[#Headers],[Company]],31)</f>
        <v/>
      </c>
      <c r="K120" s="173" cm="1">
        <f t="array" ref="K120">Common_InputFunctions.Utility_DisplayArrayInTable(Fertiliser_SourceData.Fertiliser_Products_Data2(), FertiliserProducts[[#Headers],[Company]],31)</f>
        <v>9</v>
      </c>
      <c r="L120" s="173" t="str" cm="1">
        <f t="array" ref="L120">Common_InputFunctions.Utility_DisplayArrayInTable(Fertiliser_SourceData.Fertiliser_Products_Data2(), FertiliserProducts[[#Headers],[Company]],31)</f>
        <v/>
      </c>
      <c r="M120" s="173" t="str" cm="1">
        <f t="array" ref="M120">Common_InputFunctions.Utility_DisplayArrayInTable(Fertiliser_SourceData.Fertiliser_Products_Data2(), FertiliserProducts[[#Headers],[Company]],31)</f>
        <v/>
      </c>
      <c r="N120" s="173" cm="1">
        <f t="array" ref="N120">Common_InputFunctions.Utility_DisplayArrayInTable(Fertiliser_SourceData.Fertiliser_Products_Data2(), FertiliserProducts[[#Headers],[Company]],31)</f>
        <v>13.94</v>
      </c>
      <c r="O120" s="173" t="str" cm="1">
        <f t="array" ref="O120">Common_InputFunctions.Utility_DisplayArrayInTable(Fertiliser_SourceData.Fertiliser_Products_Data2(), FertiliserProducts[[#Headers],[Company]],31)</f>
        <v>Sulphate of ammonia (SOA)</v>
      </c>
      <c r="P120" s="173" cm="1">
        <f t="array" ref="P120">Common_InputFunctions.Utility_DisplayArrayInTable(Fertiliser_SourceData.Fertiliser_Products_Data2(), FertiliserProducts[[#Headers],[Company]],31)</f>
        <v>0.58064499999999997</v>
      </c>
      <c r="Q120" s="173" t="str" cm="1">
        <f t="array" ref="Q120">Common_InputFunctions.Utility_DisplayArrayInTable(Fertiliser_SourceData.Fertiliser_Products_Data2(), FertiliserProducts[[#Headers],[Company]],31)</f>
        <v>Magnesium</v>
      </c>
      <c r="R120" s="173" cm="1">
        <f t="array" ref="R120">Common_InputFunctions.Utility_DisplayArrayInTable(Fertiliser_SourceData.Fertiliser_Products_Data2(), FertiliserProducts[[#Headers],[Company]],31)</f>
        <v>1.2E-2</v>
      </c>
      <c r="S120" s="173" t="str" cm="1">
        <f t="array" ref="S120">Common_InputFunctions.Utility_DisplayArrayInTable(Fertiliser_SourceData.Fertiliser_Products_Data2(), FertiliserProducts[[#Headers],[Company]],31)</f>
        <v/>
      </c>
      <c r="T120" s="173" t="str" cm="1">
        <f t="array" ref="T120">Common_InputFunctions.Utility_DisplayArrayInTable(Fertiliser_SourceData.Fertiliser_Products_Data2(), FertiliserProducts[[#Headers],[Company]],31)</f>
        <v/>
      </c>
      <c r="U120" s="173" t="str" cm="1">
        <f t="array" ref="U120">Common_InputFunctions.Utility_DisplayArrayInTable(Fertiliser_SourceData.Fertiliser_Products_Data2(), FertiliserProducts[[#Headers],[Company]],31)</f>
        <v/>
      </c>
      <c r="V120" s="173" t="str" cm="1">
        <f t="array" ref="V120">Common_InputFunctions.Utility_DisplayArrayInTable(Fertiliser_SourceData.Fertiliser_Products_Data2(), FertiliserProducts[[#Headers],[Company]],31)</f>
        <v/>
      </c>
      <c r="W120" s="173" t="str" cm="1">
        <f t="array" ref="W120">Common_InputFunctions.Utility_DisplayArrayInTable(Fertiliser_SourceData.Fertiliser_Products_Data2(), FertiliserProducts[[#Headers],[Company]],31)</f>
        <v/>
      </c>
      <c r="X120" s="173" t="str" cm="1">
        <f t="array" ref="X120">Common_InputFunctions.Utility_DisplayArrayInTable(Fertiliser_SourceData.Fertiliser_Products_Data2(), FertiliserProducts[[#Headers],[Company]],31)</f>
        <v/>
      </c>
      <c r="Y120" s="173" t="str" cm="1">
        <f t="array" ref="Y120">Common_InputFunctions.Utility_DisplayArrayInTable(Fertiliser_SourceData.Fertiliser_Products_Data2(), FertiliserProducts[[#Headers],[Company]],31)</f>
        <v/>
      </c>
      <c r="Z120" s="173" t="str" cm="1">
        <f t="array" ref="Z120">Common_InputFunctions.Utility_DisplayArrayInTable(Fertiliser_SourceData.Fertiliser_Products_Data2(), FertiliserProducts[[#Headers],[Company]],31)</f>
        <v/>
      </c>
      <c r="AA120" s="173" t="str" cm="1">
        <f t="array" ref="AA120">Common_InputFunctions.Utility_DisplayArrayInTable(Fertiliser_SourceData.Fertiliser_Products_Data2(), FertiliserProducts[[#Headers],[Company]],31)</f>
        <v/>
      </c>
      <c r="AB120" s="173" t="str" cm="1">
        <f t="array" ref="AB120">Common_InputFunctions.Utility_DisplayArrayInTable(Fertiliser_SourceData.Fertiliser_Products_Data2(), FertiliserProducts[[#Headers],[Company]],31)</f>
        <v/>
      </c>
      <c r="AC120" s="173" t="str" cm="1">
        <f t="array" ref="AC120">Common_InputFunctions.Utility_DisplayArrayInTable(Fertiliser_SourceData.Fertiliser_Products_Data2(), FertiliserProducts[[#Headers],[Company]],31)</f>
        <v/>
      </c>
      <c r="AD120" s="173" t="str" cm="1">
        <f t="array" ref="AD120">Common_InputFunctions.Utility_DisplayArrayInTable(Fertiliser_SourceData.Fertiliser_Products_Data2(), FertiliserProducts[[#Headers],[Company]],31)</f>
        <v/>
      </c>
      <c r="AE120" s="173" t="str" cm="1">
        <f t="array" ref="AE120">Common_InputFunctions.Utility_DisplayArrayInTable(Fertiliser_SourceData.Fertiliser_Products_Data2(), FertiliserProducts[[#Headers],[Company]],31)</f>
        <v/>
      </c>
      <c r="AF120" s="173" t="str" cm="1">
        <f t="array" ref="AF120">Common_InputFunctions.Utility_DisplayArrayInTable(Fertiliser_SourceData.Fertiliser_Products_Data2(), FertiliserProducts[[#Headers],[Company]],31)</f>
        <v/>
      </c>
      <c r="AG120" s="173" t="str" cm="1">
        <f t="array" ref="AG120">Common_InputFunctions.Utility_DisplayArrayInTable(Fertiliser_SourceData.Fertiliser_Products_Data2(), FertiliserProducts[[#Headers],[Company]],31)</f>
        <v/>
      </c>
      <c r="AH120" s="173"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73" t="str" cm="1">
        <f t="array" ref="D121">Common_InputFunctions.Utility_DisplayArrayInTable(Fertiliser_SourceData.Fertiliser_Products_Data2(), FertiliserProducts[[#Headers],[Company]],31)</f>
        <v>Incitec Pivot Fertilisers</v>
      </c>
      <c r="E121" s="173" t="str" cm="1">
        <f t="array" ref="E121">Common_InputFunctions.Utility_DisplayArrayInTable(Fertiliser_SourceData.Fertiliser_Products_Data2(), FertiliserProducts[[#Headers],[Company]],31)</f>
        <v>Granulock SS</v>
      </c>
      <c r="F121" s="173" t="str" cm="1">
        <f t="array" ref="F121">Common_InputFunctions.Utility_DisplayArrayInTable(Fertiliser_SourceData.Fertiliser_Products_Data2(), FertiliserProducts[[#Headers],[Company]],31)</f>
        <v>kg</v>
      </c>
      <c r="G121" s="173" cm="1">
        <f t="array" ref="G121">Common_InputFunctions.Utility_DisplayArrayInTable(Fertiliser_SourceData.Fertiliser_Products_Data2(), FertiliserProducts[[#Headers],[Company]],31)</f>
        <v>1</v>
      </c>
      <c r="H121" s="173" t="str" cm="1">
        <f t="array" ref="H121">Common_InputFunctions.Utility_DisplayArrayInTable(Fertiliser_SourceData.Fertiliser_Products_Data2(), FertiliserProducts[[#Headers],[Company]],31)</f>
        <v/>
      </c>
      <c r="I121" s="173" t="str" cm="1">
        <f t="array" ref="I121">Common_InputFunctions.Utility_DisplayArrayInTable(Fertiliser_SourceData.Fertiliser_Products_Data2(), FertiliserProducts[[#Headers],[Company]],31)</f>
        <v/>
      </c>
      <c r="J121" s="173" t="str" cm="1">
        <f t="array" ref="J121">Common_InputFunctions.Utility_DisplayArrayInTable(Fertiliser_SourceData.Fertiliser_Products_Data2(), FertiliserProducts[[#Headers],[Company]],31)</f>
        <v/>
      </c>
      <c r="K121" s="173" cm="1">
        <f t="array" ref="K121">Common_InputFunctions.Utility_DisplayArrayInTable(Fertiliser_SourceData.Fertiliser_Products_Data2(), FertiliserProducts[[#Headers],[Company]],31)</f>
        <v>10</v>
      </c>
      <c r="L121" s="173" cm="1">
        <f t="array" ref="L121">Common_InputFunctions.Utility_DisplayArrayInTable(Fertiliser_SourceData.Fertiliser_Products_Data2(), FertiliserProducts[[#Headers],[Company]],31)</f>
        <v>17.5</v>
      </c>
      <c r="M121" s="173" t="str" cm="1">
        <f t="array" ref="M121">Common_InputFunctions.Utility_DisplayArrayInTable(Fertiliser_SourceData.Fertiliser_Products_Data2(), FertiliserProducts[[#Headers],[Company]],31)</f>
        <v/>
      </c>
      <c r="N121" s="173" cm="1">
        <f t="array" ref="N121">Common_InputFunctions.Utility_DisplayArrayInTable(Fertiliser_SourceData.Fertiliser_Products_Data2(), FertiliserProducts[[#Headers],[Company]],31)</f>
        <v>12</v>
      </c>
      <c r="O121" s="173" t="str" cm="1">
        <f t="array" ref="O121">Common_InputFunctions.Utility_DisplayArrayInTable(Fertiliser_SourceData.Fertiliser_Products_Data2(), FertiliserProducts[[#Headers],[Company]],31)</f>
        <v>Phosphorus - Generic</v>
      </c>
      <c r="P121" s="173" cm="1">
        <f t="array" ref="P121">Common_InputFunctions.Utility_DisplayArrayInTable(Fertiliser_SourceData.Fertiliser_Products_Data2(), FertiliserProducts[[#Headers],[Company]],31)</f>
        <v>0.17499999999999999</v>
      </c>
      <c r="Q121" s="173" t="str" cm="1">
        <f t="array" ref="Q121">Common_InputFunctions.Utility_DisplayArrayInTable(Fertiliser_SourceData.Fertiliser_Products_Data2(), FertiliserProducts[[#Headers],[Company]],31)</f>
        <v>Sulfur - Generic</v>
      </c>
      <c r="R121" s="173" cm="1">
        <f t="array" ref="R121">Common_InputFunctions.Utility_DisplayArrayInTable(Fertiliser_SourceData.Fertiliser_Products_Data2(), FertiliserProducts[[#Headers],[Company]],31)</f>
        <v>0.12</v>
      </c>
      <c r="S121" s="173" t="str" cm="1">
        <f t="array" ref="S121">Common_InputFunctions.Utility_DisplayArrayInTable(Fertiliser_SourceData.Fertiliser_Products_Data2(), FertiliserProducts[[#Headers],[Company]],31)</f>
        <v>Nitrogen - Ammoniacal</v>
      </c>
      <c r="T121" s="173" cm="1">
        <f t="array" ref="T121">Common_InputFunctions.Utility_DisplayArrayInTable(Fertiliser_SourceData.Fertiliser_Products_Data2(), FertiliserProducts[[#Headers],[Company]],31)</f>
        <v>0.1</v>
      </c>
      <c r="U121" s="173" t="str" cm="1">
        <f t="array" ref="U121">Common_InputFunctions.Utility_DisplayArrayInTable(Fertiliser_SourceData.Fertiliser_Products_Data2(), FertiliserProducts[[#Headers],[Company]],31)</f>
        <v>Fluoride</v>
      </c>
      <c r="V121" s="173" cm="1">
        <f t="array" ref="V121">Common_InputFunctions.Utility_DisplayArrayInTable(Fertiliser_SourceData.Fertiliser_Products_Data2(), FertiliserProducts[[#Headers],[Company]],31)</f>
        <v>0.03</v>
      </c>
      <c r="W121" s="173" t="str" cm="1">
        <f t="array" ref="W121">Common_InputFunctions.Utility_DisplayArrayInTable(Fertiliser_SourceData.Fertiliser_Products_Data2(), FertiliserProducts[[#Headers],[Company]],31)</f>
        <v/>
      </c>
      <c r="X121" s="173" t="str" cm="1">
        <f t="array" ref="X121">Common_InputFunctions.Utility_DisplayArrayInTable(Fertiliser_SourceData.Fertiliser_Products_Data2(), FertiliserProducts[[#Headers],[Company]],31)</f>
        <v/>
      </c>
      <c r="Y121" s="173" t="str" cm="1">
        <f t="array" ref="Y121">Common_InputFunctions.Utility_DisplayArrayInTable(Fertiliser_SourceData.Fertiliser_Products_Data2(), FertiliserProducts[[#Headers],[Company]],31)</f>
        <v/>
      </c>
      <c r="Z121" s="173" t="str" cm="1">
        <f t="array" ref="Z121">Common_InputFunctions.Utility_DisplayArrayInTable(Fertiliser_SourceData.Fertiliser_Products_Data2(), FertiliserProducts[[#Headers],[Company]],31)</f>
        <v/>
      </c>
      <c r="AA121" s="173" t="str" cm="1">
        <f t="array" ref="AA121">Common_InputFunctions.Utility_DisplayArrayInTable(Fertiliser_SourceData.Fertiliser_Products_Data2(), FertiliserProducts[[#Headers],[Company]],31)</f>
        <v/>
      </c>
      <c r="AB121" s="173" t="str" cm="1">
        <f t="array" ref="AB121">Common_InputFunctions.Utility_DisplayArrayInTable(Fertiliser_SourceData.Fertiliser_Products_Data2(), FertiliserProducts[[#Headers],[Company]],31)</f>
        <v/>
      </c>
      <c r="AC121" s="173" t="str" cm="1">
        <f t="array" ref="AC121">Common_InputFunctions.Utility_DisplayArrayInTable(Fertiliser_SourceData.Fertiliser_Products_Data2(), FertiliserProducts[[#Headers],[Company]],31)</f>
        <v/>
      </c>
      <c r="AD121" s="173" t="str" cm="1">
        <f t="array" ref="AD121">Common_InputFunctions.Utility_DisplayArrayInTable(Fertiliser_SourceData.Fertiliser_Products_Data2(), FertiliserProducts[[#Headers],[Company]],31)</f>
        <v/>
      </c>
      <c r="AE121" s="173" t="str" cm="1">
        <f t="array" ref="AE121">Common_InputFunctions.Utility_DisplayArrayInTable(Fertiliser_SourceData.Fertiliser_Products_Data2(), FertiliserProducts[[#Headers],[Company]],31)</f>
        <v/>
      </c>
      <c r="AF121" s="173" t="str" cm="1">
        <f t="array" ref="AF121">Common_InputFunctions.Utility_DisplayArrayInTable(Fertiliser_SourceData.Fertiliser_Products_Data2(), FertiliserProducts[[#Headers],[Company]],31)</f>
        <v/>
      </c>
      <c r="AG121" s="173" t="str" cm="1">
        <f t="array" ref="AG121">Common_InputFunctions.Utility_DisplayArrayInTable(Fertiliser_SourceData.Fertiliser_Products_Data2(), FertiliserProducts[[#Headers],[Company]],31)</f>
        <v/>
      </c>
      <c r="AH121" s="173"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73" t="str" cm="1">
        <f t="array" ref="D122">Common_InputFunctions.Utility_DisplayArrayInTable(Fertiliser_SourceData.Fertiliser_Products_Data2(), FertiliserProducts[[#Headers],[Company]],31)</f>
        <v>Incitec Pivot Fertilisers</v>
      </c>
      <c r="E122" s="173" t="str" cm="1">
        <f t="array" ref="E122">Common_InputFunctions.Utility_DisplayArrayInTable(Fertiliser_SourceData.Fertiliser_Products_Data2(), FertiliserProducts[[#Headers],[Company]],31)</f>
        <v>Granulock Z</v>
      </c>
      <c r="F122" s="173" t="str" cm="1">
        <f t="array" ref="F122">Common_InputFunctions.Utility_DisplayArrayInTable(Fertiliser_SourceData.Fertiliser_Products_Data2(), FertiliserProducts[[#Headers],[Company]],31)</f>
        <v>kg</v>
      </c>
      <c r="G122" s="173" cm="1">
        <f t="array" ref="G122">Common_InputFunctions.Utility_DisplayArrayInTable(Fertiliser_SourceData.Fertiliser_Products_Data2(), FertiliserProducts[[#Headers],[Company]],31)</f>
        <v>1</v>
      </c>
      <c r="H122" s="173" t="str" cm="1">
        <f t="array" ref="H122">Common_InputFunctions.Utility_DisplayArrayInTable(Fertiliser_SourceData.Fertiliser_Products_Data2(), FertiliserProducts[[#Headers],[Company]],31)</f>
        <v/>
      </c>
      <c r="I122" s="173" t="str" cm="1">
        <f t="array" ref="I122">Common_InputFunctions.Utility_DisplayArrayInTable(Fertiliser_SourceData.Fertiliser_Products_Data2(), FertiliserProducts[[#Headers],[Company]],31)</f>
        <v/>
      </c>
      <c r="J122" s="173" t="str" cm="1">
        <f t="array" ref="J122">Common_InputFunctions.Utility_DisplayArrayInTable(Fertiliser_SourceData.Fertiliser_Products_Data2(), FertiliserProducts[[#Headers],[Company]],31)</f>
        <v/>
      </c>
      <c r="K122" s="173" cm="1">
        <f t="array" ref="K122">Common_InputFunctions.Utility_DisplayArrayInTable(Fertiliser_SourceData.Fertiliser_Products_Data2(), FertiliserProducts[[#Headers],[Company]],31)</f>
        <v>11</v>
      </c>
      <c r="L122" s="173" cm="1">
        <f t="array" ref="L122">Common_InputFunctions.Utility_DisplayArrayInTable(Fertiliser_SourceData.Fertiliser_Products_Data2(), FertiliserProducts[[#Headers],[Company]],31)</f>
        <v>21.8</v>
      </c>
      <c r="M122" s="173" t="str" cm="1">
        <f t="array" ref="M122">Common_InputFunctions.Utility_DisplayArrayInTable(Fertiliser_SourceData.Fertiliser_Products_Data2(), FertiliserProducts[[#Headers],[Company]],31)</f>
        <v/>
      </c>
      <c r="N122" s="173" cm="1">
        <f t="array" ref="N122">Common_InputFunctions.Utility_DisplayArrayInTable(Fertiliser_SourceData.Fertiliser_Products_Data2(), FertiliserProducts[[#Headers],[Company]],31)</f>
        <v>4</v>
      </c>
      <c r="O122" s="173" t="str" cm="1">
        <f t="array" ref="O122">Common_InputFunctions.Utility_DisplayArrayInTable(Fertiliser_SourceData.Fertiliser_Products_Data2(), FertiliserProducts[[#Headers],[Company]],31)</f>
        <v>Phosphorus - Generic</v>
      </c>
      <c r="P122" s="173" cm="1">
        <f t="array" ref="P122">Common_InputFunctions.Utility_DisplayArrayInTable(Fertiliser_SourceData.Fertiliser_Products_Data2(), FertiliserProducts[[#Headers],[Company]],31)</f>
        <v>0.218</v>
      </c>
      <c r="Q122" s="173" t="str" cm="1">
        <f t="array" ref="Q122">Common_InputFunctions.Utility_DisplayArrayInTable(Fertiliser_SourceData.Fertiliser_Products_Data2(), FertiliserProducts[[#Headers],[Company]],31)</f>
        <v>Nitrogen - Generic</v>
      </c>
      <c r="R122" s="173" cm="1">
        <f t="array" ref="R122">Common_InputFunctions.Utility_DisplayArrayInTable(Fertiliser_SourceData.Fertiliser_Products_Data2(), FertiliserProducts[[#Headers],[Company]],31)</f>
        <v>0.11</v>
      </c>
      <c r="S122" s="173" t="str" cm="1">
        <f t="array" ref="S122">Common_InputFunctions.Utility_DisplayArrayInTable(Fertiliser_SourceData.Fertiliser_Products_Data2(), FertiliserProducts[[#Headers],[Company]],31)</f>
        <v>Sulfur - Generic</v>
      </c>
      <c r="T122" s="173" cm="1">
        <f t="array" ref="T122">Common_InputFunctions.Utility_DisplayArrayInTable(Fertiliser_SourceData.Fertiliser_Products_Data2(), FertiliserProducts[[#Headers],[Company]],31)</f>
        <v>0.04</v>
      </c>
      <c r="U122" s="173" t="str" cm="1">
        <f t="array" ref="U122">Common_InputFunctions.Utility_DisplayArrayInTable(Fertiliser_SourceData.Fertiliser_Products_Data2(), FertiliserProducts[[#Headers],[Company]],31)</f>
        <v>Fluoride</v>
      </c>
      <c r="V122" s="173" cm="1">
        <f t="array" ref="V122">Common_InputFunctions.Utility_DisplayArrayInTable(Fertiliser_SourceData.Fertiliser_Products_Data2(), FertiliserProducts[[#Headers],[Company]],31)</f>
        <v>0.03</v>
      </c>
      <c r="W122" s="173" t="str" cm="1">
        <f t="array" ref="W122">Common_InputFunctions.Utility_DisplayArrayInTable(Fertiliser_SourceData.Fertiliser_Products_Data2(), FertiliserProducts[[#Headers],[Company]],31)</f>
        <v>Zinc</v>
      </c>
      <c r="X122" s="173" cm="1">
        <f t="array" ref="X122">Common_InputFunctions.Utility_DisplayArrayInTable(Fertiliser_SourceData.Fertiliser_Products_Data2(), FertiliserProducts[[#Headers],[Company]],31)</f>
        <v>0.01</v>
      </c>
      <c r="Y122" s="173" t="str" cm="1">
        <f t="array" ref="Y122">Common_InputFunctions.Utility_DisplayArrayInTable(Fertiliser_SourceData.Fertiliser_Products_Data2(), FertiliserProducts[[#Headers],[Company]],31)</f>
        <v/>
      </c>
      <c r="Z122" s="173" t="str" cm="1">
        <f t="array" ref="Z122">Common_InputFunctions.Utility_DisplayArrayInTable(Fertiliser_SourceData.Fertiliser_Products_Data2(), FertiliserProducts[[#Headers],[Company]],31)</f>
        <v/>
      </c>
      <c r="AA122" s="173" t="str" cm="1">
        <f t="array" ref="AA122">Common_InputFunctions.Utility_DisplayArrayInTable(Fertiliser_SourceData.Fertiliser_Products_Data2(), FertiliserProducts[[#Headers],[Company]],31)</f>
        <v/>
      </c>
      <c r="AB122" s="173" t="str" cm="1">
        <f t="array" ref="AB122">Common_InputFunctions.Utility_DisplayArrayInTable(Fertiliser_SourceData.Fertiliser_Products_Data2(), FertiliserProducts[[#Headers],[Company]],31)</f>
        <v/>
      </c>
      <c r="AC122" s="173" t="str" cm="1">
        <f t="array" ref="AC122">Common_InputFunctions.Utility_DisplayArrayInTable(Fertiliser_SourceData.Fertiliser_Products_Data2(), FertiliserProducts[[#Headers],[Company]],31)</f>
        <v/>
      </c>
      <c r="AD122" s="173" t="str" cm="1">
        <f t="array" ref="AD122">Common_InputFunctions.Utility_DisplayArrayInTable(Fertiliser_SourceData.Fertiliser_Products_Data2(), FertiliserProducts[[#Headers],[Company]],31)</f>
        <v/>
      </c>
      <c r="AE122" s="173" t="str" cm="1">
        <f t="array" ref="AE122">Common_InputFunctions.Utility_DisplayArrayInTable(Fertiliser_SourceData.Fertiliser_Products_Data2(), FertiliserProducts[[#Headers],[Company]],31)</f>
        <v/>
      </c>
      <c r="AF122" s="173" t="str" cm="1">
        <f t="array" ref="AF122">Common_InputFunctions.Utility_DisplayArrayInTable(Fertiliser_SourceData.Fertiliser_Products_Data2(), FertiliserProducts[[#Headers],[Company]],31)</f>
        <v/>
      </c>
      <c r="AG122" s="173" t="str" cm="1">
        <f t="array" ref="AG122">Common_InputFunctions.Utility_DisplayArrayInTable(Fertiliser_SourceData.Fertiliser_Products_Data2(), FertiliserProducts[[#Headers],[Company]],31)</f>
        <v/>
      </c>
      <c r="AH122" s="173"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73" t="str" cm="1">
        <f t="array" ref="D123">Common_InputFunctions.Utility_DisplayArrayInTable(Fertiliser_SourceData.Fertiliser_Products_Data2(), FertiliserProducts[[#Headers],[Company]],31)</f>
        <v>Incitec Pivot Fertilisers</v>
      </c>
      <c r="E123" s="173" t="str" cm="1">
        <f t="array" ref="E123">Common_InputFunctions.Utility_DisplayArrayInTable(Fertiliser_SourceData.Fertiliser_Products_Data2(), FertiliserProducts[[#Headers],[Company]],31)</f>
        <v>Farm Ag Leichhardt</v>
      </c>
      <c r="F123" s="173" t="str" cm="1">
        <f t="array" ref="F123">Common_InputFunctions.Utility_DisplayArrayInTable(Fertiliser_SourceData.Fertiliser_Products_Data2(), FertiliserProducts[[#Headers],[Company]],31)</f>
        <v>kg</v>
      </c>
      <c r="G123" s="173" cm="1">
        <f t="array" ref="G123">Common_InputFunctions.Utility_DisplayArrayInTable(Fertiliser_SourceData.Fertiliser_Products_Data2(), FertiliserProducts[[#Headers],[Company]],31)</f>
        <v>1</v>
      </c>
      <c r="H123" s="173" t="str" cm="1">
        <f t="array" ref="H123">Common_InputFunctions.Utility_DisplayArrayInTable(Fertiliser_SourceData.Fertiliser_Products_Data2(), FertiliserProducts[[#Headers],[Company]],31)</f>
        <v/>
      </c>
      <c r="I123" s="173" t="str" cm="1">
        <f t="array" ref="I123">Common_InputFunctions.Utility_DisplayArrayInTable(Fertiliser_SourceData.Fertiliser_Products_Data2(), FertiliserProducts[[#Headers],[Company]],31)</f>
        <v/>
      </c>
      <c r="J123" s="173" t="str" cm="1">
        <f t="array" ref="J123">Common_InputFunctions.Utility_DisplayArrayInTable(Fertiliser_SourceData.Fertiliser_Products_Data2(), FertiliserProducts[[#Headers],[Company]],31)</f>
        <v/>
      </c>
      <c r="K123" s="173" cm="1">
        <f t="array" ref="K123">Common_InputFunctions.Utility_DisplayArrayInTable(Fertiliser_SourceData.Fertiliser_Products_Data2(), FertiliserProducts[[#Headers],[Company]],31)</f>
        <v>32.5</v>
      </c>
      <c r="L123" s="173" cm="1">
        <f t="array" ref="L123">Common_InputFunctions.Utility_DisplayArrayInTable(Fertiliser_SourceData.Fertiliser_Products_Data2(), FertiliserProducts[[#Headers],[Company]],31)</f>
        <v>5.4</v>
      </c>
      <c r="M123" s="173" cm="1">
        <f t="array" ref="M123">Common_InputFunctions.Utility_DisplayArrayInTable(Fertiliser_SourceData.Fertiliser_Products_Data2(), FertiliserProducts[[#Headers],[Company]],31)</f>
        <v>6.25</v>
      </c>
      <c r="N123" s="173" t="str" cm="1">
        <f t="array" ref="N123">Common_InputFunctions.Utility_DisplayArrayInTable(Fertiliser_SourceData.Fertiliser_Products_Data2(), FertiliserProducts[[#Headers],[Company]],31)</f>
        <v/>
      </c>
      <c r="O123" s="173" t="str" cm="1">
        <f t="array" ref="O123">Common_InputFunctions.Utility_DisplayArrayInTable(Fertiliser_SourceData.Fertiliser_Products_Data2(), FertiliserProducts[[#Headers],[Company]],31)</f>
        <v>Urea</v>
      </c>
      <c r="P123" s="173" cm="1">
        <f t="array" ref="P123">Common_InputFunctions.Utility_DisplayArrayInTable(Fertiliser_SourceData.Fertiliser_Products_Data2(), FertiliserProducts[[#Headers],[Company]],31)</f>
        <v>0.6</v>
      </c>
      <c r="Q123" s="173" t="str" cm="1">
        <f t="array" ref="Q123">Common_InputFunctions.Utility_DisplayArrayInTable(Fertiliser_SourceData.Fertiliser_Products_Data2(), FertiliserProducts[[#Headers],[Company]],31)</f>
        <v>Nitrogen - Ammoniacal</v>
      </c>
      <c r="R123" s="173" cm="1">
        <f t="array" ref="R123">Common_InputFunctions.Utility_DisplayArrayInTable(Fertiliser_SourceData.Fertiliser_Products_Data2(), FertiliserProducts[[#Headers],[Company]],31)</f>
        <v>4.9000000000000002E-2</v>
      </c>
      <c r="S123" s="173" t="str" cm="1">
        <f t="array" ref="S123">Common_InputFunctions.Utility_DisplayArrayInTable(Fertiliser_SourceData.Fertiliser_Products_Data2(), FertiliserProducts[[#Headers],[Company]],31)</f>
        <v>Phosphorus - Generic</v>
      </c>
      <c r="T123" s="173" cm="1">
        <f t="array" ref="T123">Common_InputFunctions.Utility_DisplayArrayInTable(Fertiliser_SourceData.Fertiliser_Products_Data2(), FertiliserProducts[[#Headers],[Company]],31)</f>
        <v>5.3999999999999999E-2</v>
      </c>
      <c r="U123" s="173" t="str" cm="1">
        <f t="array" ref="U123">Common_InputFunctions.Utility_DisplayArrayInTable(Fertiliser_SourceData.Fertiliser_Products_Data2(), FertiliserProducts[[#Headers],[Company]],31)</f>
        <v>Muriate of potash (MOP)</v>
      </c>
      <c r="V123" s="173" cm="1">
        <f t="array" ref="V123">Common_InputFunctions.Utility_DisplayArrayInTable(Fertiliser_SourceData.Fertiliser_Products_Data2(), FertiliserProducts[[#Headers],[Company]],31)</f>
        <v>0.125</v>
      </c>
      <c r="W123" s="173" t="str" cm="1">
        <f t="array" ref="W123">Common_InputFunctions.Utility_DisplayArrayInTable(Fertiliser_SourceData.Fertiliser_Products_Data2(), FertiliserProducts[[#Headers],[Company]],31)</f>
        <v/>
      </c>
      <c r="X123" s="173" t="str" cm="1">
        <f t="array" ref="X123">Common_InputFunctions.Utility_DisplayArrayInTable(Fertiliser_SourceData.Fertiliser_Products_Data2(), FertiliserProducts[[#Headers],[Company]],31)</f>
        <v/>
      </c>
      <c r="Y123" s="173" t="str" cm="1">
        <f t="array" ref="Y123">Common_InputFunctions.Utility_DisplayArrayInTable(Fertiliser_SourceData.Fertiliser_Products_Data2(), FertiliserProducts[[#Headers],[Company]],31)</f>
        <v/>
      </c>
      <c r="Z123" s="173" t="str" cm="1">
        <f t="array" ref="Z123">Common_InputFunctions.Utility_DisplayArrayInTable(Fertiliser_SourceData.Fertiliser_Products_Data2(), FertiliserProducts[[#Headers],[Company]],31)</f>
        <v/>
      </c>
      <c r="AA123" s="173" t="str" cm="1">
        <f t="array" ref="AA123">Common_InputFunctions.Utility_DisplayArrayInTable(Fertiliser_SourceData.Fertiliser_Products_Data2(), FertiliserProducts[[#Headers],[Company]],31)</f>
        <v/>
      </c>
      <c r="AB123" s="173" t="str" cm="1">
        <f t="array" ref="AB123">Common_InputFunctions.Utility_DisplayArrayInTable(Fertiliser_SourceData.Fertiliser_Products_Data2(), FertiliserProducts[[#Headers],[Company]],31)</f>
        <v/>
      </c>
      <c r="AC123" s="173" t="str" cm="1">
        <f t="array" ref="AC123">Common_InputFunctions.Utility_DisplayArrayInTable(Fertiliser_SourceData.Fertiliser_Products_Data2(), FertiliserProducts[[#Headers],[Company]],31)</f>
        <v/>
      </c>
      <c r="AD123" s="173" t="str" cm="1">
        <f t="array" ref="AD123">Common_InputFunctions.Utility_DisplayArrayInTable(Fertiliser_SourceData.Fertiliser_Products_Data2(), FertiliserProducts[[#Headers],[Company]],31)</f>
        <v/>
      </c>
      <c r="AE123" s="173" t="str" cm="1">
        <f t="array" ref="AE123">Common_InputFunctions.Utility_DisplayArrayInTable(Fertiliser_SourceData.Fertiliser_Products_Data2(), FertiliserProducts[[#Headers],[Company]],31)</f>
        <v/>
      </c>
      <c r="AF123" s="173" t="str" cm="1">
        <f t="array" ref="AF123">Common_InputFunctions.Utility_DisplayArrayInTable(Fertiliser_SourceData.Fertiliser_Products_Data2(), FertiliserProducts[[#Headers],[Company]],31)</f>
        <v/>
      </c>
      <c r="AG123" s="173" t="str" cm="1">
        <f t="array" ref="AG123">Common_InputFunctions.Utility_DisplayArrayInTable(Fertiliser_SourceData.Fertiliser_Products_Data2(), FertiliserProducts[[#Headers],[Company]],31)</f>
        <v/>
      </c>
      <c r="AH123" s="173"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73" t="str" cm="1">
        <f t="array" ref="D124">Common_InputFunctions.Utility_DisplayArrayInTable(Fertiliser_SourceData.Fertiliser_Products_Data2(), FertiliserProducts[[#Headers],[Company]],31)</f>
        <v>Ravensdown</v>
      </c>
      <c r="E124" s="173" t="str" cm="1">
        <f t="array" ref="E124">Common_InputFunctions.Utility_DisplayArrayInTable(Fertiliser_SourceData.Fertiliser_Products_Data2(), FertiliserProducts[[#Headers],[Company]],31)</f>
        <v>Flexi-N NBPT</v>
      </c>
      <c r="F124" s="173" t="str" cm="1">
        <f t="array" ref="F124">Common_InputFunctions.Utility_DisplayArrayInTable(Fertiliser_SourceData.Fertiliser_Products_Data2(), FertiliserProducts[[#Headers],[Company]],31)</f>
        <v>kg</v>
      </c>
      <c r="G124" s="173" cm="1">
        <f t="array" ref="G124">Common_InputFunctions.Utility_DisplayArrayInTable(Fertiliser_SourceData.Fertiliser_Products_Data2(), FertiliserProducts[[#Headers],[Company]],31)</f>
        <v>1</v>
      </c>
      <c r="H124" s="173" t="str" cm="1">
        <f t="array" ref="H124">Common_InputFunctions.Utility_DisplayArrayInTable(Fertiliser_SourceData.Fertiliser_Products_Data2(), FertiliserProducts[[#Headers],[Company]],31)</f>
        <v>Yes</v>
      </c>
      <c r="I124" s="173" t="str" cm="1">
        <f t="array" ref="I124">Common_InputFunctions.Utility_DisplayArrayInTable(Fertiliser_SourceData.Fertiliser_Products_Data2(), FertiliserProducts[[#Headers],[Company]],31)</f>
        <v/>
      </c>
      <c r="J124" s="173" t="str" cm="1">
        <f t="array" ref="J124">Common_InputFunctions.Utility_DisplayArrayInTable(Fertiliser_SourceData.Fertiliser_Products_Data2(), FertiliserProducts[[#Headers],[Company]],31)</f>
        <v/>
      </c>
      <c r="K124" s="173" cm="1">
        <f t="array" ref="K124">Common_InputFunctions.Utility_DisplayArrayInTable(Fertiliser_SourceData.Fertiliser_Products_Data2(), FertiliserProducts[[#Headers],[Company]],31)</f>
        <v>45.54</v>
      </c>
      <c r="L124" s="173" t="str" cm="1">
        <f t="array" ref="L124">Common_InputFunctions.Utility_DisplayArrayInTable(Fertiliser_SourceData.Fertiliser_Products_Data2(), FertiliserProducts[[#Headers],[Company]],31)</f>
        <v/>
      </c>
      <c r="M124" s="173" t="str" cm="1">
        <f t="array" ref="M124">Common_InputFunctions.Utility_DisplayArrayInTable(Fertiliser_SourceData.Fertiliser_Products_Data2(), FertiliserProducts[[#Headers],[Company]],31)</f>
        <v/>
      </c>
      <c r="N124" s="173" t="str" cm="1">
        <f t="array" ref="N124">Common_InputFunctions.Utility_DisplayArrayInTable(Fertiliser_SourceData.Fertiliser_Products_Data2(), FertiliserProducts[[#Headers],[Company]],31)</f>
        <v/>
      </c>
      <c r="O124" s="173" t="str" cm="1">
        <f t="array" ref="O124">Common_InputFunctions.Utility_DisplayArrayInTable(Fertiliser_SourceData.Fertiliser_Products_Data2(), FertiliserProducts[[#Headers],[Company]],31)</f>
        <v>Urea</v>
      </c>
      <c r="P124" s="173" cm="1">
        <f t="array" ref="P124">Common_InputFunctions.Utility_DisplayArrayInTable(Fertiliser_SourceData.Fertiliser_Products_Data2(), FertiliserProducts[[#Headers],[Company]],31)</f>
        <v>0.99</v>
      </c>
      <c r="Q124" s="173" t="str" cm="1">
        <f t="array" ref="Q124">Common_InputFunctions.Utility_DisplayArrayInTable(Fertiliser_SourceData.Fertiliser_Products_Data2(), FertiliserProducts[[#Headers],[Company]],31)</f>
        <v/>
      </c>
      <c r="R124" s="173" t="str" cm="1">
        <f t="array" ref="R124">Common_InputFunctions.Utility_DisplayArrayInTable(Fertiliser_SourceData.Fertiliser_Products_Data2(), FertiliserProducts[[#Headers],[Company]],31)</f>
        <v/>
      </c>
      <c r="S124" s="173" t="str" cm="1">
        <f t="array" ref="S124">Common_InputFunctions.Utility_DisplayArrayInTable(Fertiliser_SourceData.Fertiliser_Products_Data2(), FertiliserProducts[[#Headers],[Company]],31)</f>
        <v/>
      </c>
      <c r="T124" s="173" t="str" cm="1">
        <f t="array" ref="T124">Common_InputFunctions.Utility_DisplayArrayInTable(Fertiliser_SourceData.Fertiliser_Products_Data2(), FertiliserProducts[[#Headers],[Company]],31)</f>
        <v/>
      </c>
      <c r="U124" s="173" t="str" cm="1">
        <f t="array" ref="U124">Common_InputFunctions.Utility_DisplayArrayInTable(Fertiliser_SourceData.Fertiliser_Products_Data2(), FertiliserProducts[[#Headers],[Company]],31)</f>
        <v/>
      </c>
      <c r="V124" s="173" t="str" cm="1">
        <f t="array" ref="V124">Common_InputFunctions.Utility_DisplayArrayInTable(Fertiliser_SourceData.Fertiliser_Products_Data2(), FertiliserProducts[[#Headers],[Company]],31)</f>
        <v/>
      </c>
      <c r="W124" s="173" t="str" cm="1">
        <f t="array" ref="W124">Common_InputFunctions.Utility_DisplayArrayInTable(Fertiliser_SourceData.Fertiliser_Products_Data2(), FertiliserProducts[[#Headers],[Company]],31)</f>
        <v/>
      </c>
      <c r="X124" s="173" t="str" cm="1">
        <f t="array" ref="X124">Common_InputFunctions.Utility_DisplayArrayInTable(Fertiliser_SourceData.Fertiliser_Products_Data2(), FertiliserProducts[[#Headers],[Company]],31)</f>
        <v/>
      </c>
      <c r="Y124" s="173" t="str" cm="1">
        <f t="array" ref="Y124">Common_InputFunctions.Utility_DisplayArrayInTable(Fertiliser_SourceData.Fertiliser_Products_Data2(), FertiliserProducts[[#Headers],[Company]],31)</f>
        <v/>
      </c>
      <c r="Z124" s="173" t="str" cm="1">
        <f t="array" ref="Z124">Common_InputFunctions.Utility_DisplayArrayInTable(Fertiliser_SourceData.Fertiliser_Products_Data2(), FertiliserProducts[[#Headers],[Company]],31)</f>
        <v/>
      </c>
      <c r="AA124" s="173" t="str" cm="1">
        <f t="array" ref="AA124">Common_InputFunctions.Utility_DisplayArrayInTable(Fertiliser_SourceData.Fertiliser_Products_Data2(), FertiliserProducts[[#Headers],[Company]],31)</f>
        <v/>
      </c>
      <c r="AB124" s="173" t="str" cm="1">
        <f t="array" ref="AB124">Common_InputFunctions.Utility_DisplayArrayInTable(Fertiliser_SourceData.Fertiliser_Products_Data2(), FertiliserProducts[[#Headers],[Company]],31)</f>
        <v/>
      </c>
      <c r="AC124" s="173" t="str" cm="1">
        <f t="array" ref="AC124">Common_InputFunctions.Utility_DisplayArrayInTable(Fertiliser_SourceData.Fertiliser_Products_Data2(), FertiliserProducts[[#Headers],[Company]],31)</f>
        <v/>
      </c>
      <c r="AD124" s="173" t="str" cm="1">
        <f t="array" ref="AD124">Common_InputFunctions.Utility_DisplayArrayInTable(Fertiliser_SourceData.Fertiliser_Products_Data2(), FertiliserProducts[[#Headers],[Company]],31)</f>
        <v/>
      </c>
      <c r="AE124" s="173" t="str" cm="1">
        <f t="array" ref="AE124">Common_InputFunctions.Utility_DisplayArrayInTable(Fertiliser_SourceData.Fertiliser_Products_Data2(), FertiliserProducts[[#Headers],[Company]],31)</f>
        <v/>
      </c>
      <c r="AF124" s="173" t="str" cm="1">
        <f t="array" ref="AF124">Common_InputFunctions.Utility_DisplayArrayInTable(Fertiliser_SourceData.Fertiliser_Products_Data2(), FertiliserProducts[[#Headers],[Company]],31)</f>
        <v/>
      </c>
      <c r="AG124" s="173" t="str" cm="1">
        <f t="array" ref="AG124">Common_InputFunctions.Utility_DisplayArrayInTable(Fertiliser_SourceData.Fertiliser_Products_Data2(), FertiliserProducts[[#Headers],[Company]],31)</f>
        <v/>
      </c>
      <c r="AH124" s="173"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73" t="str" cm="1">
        <f t="array" ref="D125">Common_InputFunctions.Utility_DisplayArrayInTable(Fertiliser_SourceData.Fertiliser_Products_Data2(), FertiliserProducts[[#Headers],[Company]],31)</f>
        <v>Campbells fertilisers Australia</v>
      </c>
      <c r="E125" s="173" t="str" cm="1">
        <f t="array" ref="E125">Common_InputFunctions.Utility_DisplayArrayInTable(Fertiliser_SourceData.Fertiliser_Products_Data2(), FertiliserProducts[[#Headers],[Company]],31)</f>
        <v>Gold Premium</v>
      </c>
      <c r="F125" s="173" t="str" cm="1">
        <f t="array" ref="F125">Common_InputFunctions.Utility_DisplayArrayInTable(Fertiliser_SourceData.Fertiliser_Products_Data2(), FertiliserProducts[[#Headers],[Company]],31)</f>
        <v>kg</v>
      </c>
      <c r="G125" s="173" cm="1">
        <f t="array" ref="G125">Common_InputFunctions.Utility_DisplayArrayInTable(Fertiliser_SourceData.Fertiliser_Products_Data2(), FertiliserProducts[[#Headers],[Company]],31)</f>
        <v>1</v>
      </c>
      <c r="H125" s="173" t="str" cm="1">
        <f t="array" ref="H125">Common_InputFunctions.Utility_DisplayArrayInTable(Fertiliser_SourceData.Fertiliser_Products_Data2(), FertiliserProducts[[#Headers],[Company]],31)</f>
        <v/>
      </c>
      <c r="I125" s="173" t="str" cm="1">
        <f t="array" ref="I125">Common_InputFunctions.Utility_DisplayArrayInTable(Fertiliser_SourceData.Fertiliser_Products_Data2(), FertiliserProducts[[#Headers],[Company]],31)</f>
        <v/>
      </c>
      <c r="J125" s="173" t="str" cm="1">
        <f t="array" ref="J125">Common_InputFunctions.Utility_DisplayArrayInTable(Fertiliser_SourceData.Fertiliser_Products_Data2(), FertiliserProducts[[#Headers],[Company]],31)</f>
        <v/>
      </c>
      <c r="K125" s="173" cm="1">
        <f t="array" ref="K125">Common_InputFunctions.Utility_DisplayArrayInTable(Fertiliser_SourceData.Fertiliser_Products_Data2(), FertiliserProducts[[#Headers],[Company]],31)</f>
        <v>14.87</v>
      </c>
      <c r="L125" s="173" cm="1">
        <f t="array" ref="L125">Common_InputFunctions.Utility_DisplayArrayInTable(Fertiliser_SourceData.Fertiliser_Products_Data2(), FertiliserProducts[[#Headers],[Company]],31)</f>
        <v>2.2000000000000002</v>
      </c>
      <c r="M125" s="173" cm="1">
        <f t="array" ref="M125">Common_InputFunctions.Utility_DisplayArrayInTable(Fertiliser_SourceData.Fertiliser_Products_Data2(), FertiliserProducts[[#Headers],[Company]],31)</f>
        <v>16.600000000000001</v>
      </c>
      <c r="N125" s="173" cm="1">
        <f t="array" ref="N125">Common_InputFunctions.Utility_DisplayArrayInTable(Fertiliser_SourceData.Fertiliser_Products_Data2(), FertiliserProducts[[#Headers],[Company]],31)</f>
        <v>8</v>
      </c>
      <c r="O125" s="173" t="str" cm="1">
        <f t="array" ref="O125">Common_InputFunctions.Utility_DisplayArrayInTable(Fertiliser_SourceData.Fertiliser_Products_Data2(), FertiliserProducts[[#Headers],[Company]],31)</f>
        <v>Ammonium nitrate (AN)</v>
      </c>
      <c r="P125" s="173" cm="1">
        <f t="array" ref="P125">Common_InputFunctions.Utility_DisplayArrayInTable(Fertiliser_SourceData.Fertiliser_Products_Data2(), FertiliserProducts[[#Headers],[Company]],31)</f>
        <v>0.44117600000000001</v>
      </c>
      <c r="Q125" s="173" t="str" cm="1">
        <f t="array" ref="Q125">Common_InputFunctions.Utility_DisplayArrayInTable(Fertiliser_SourceData.Fertiliser_Products_Data2(), FertiliserProducts[[#Headers],[Company]],31)</f>
        <v>Potassium - Generic</v>
      </c>
      <c r="R125" s="173" cm="1">
        <f t="array" ref="R125">Common_InputFunctions.Utility_DisplayArrayInTable(Fertiliser_SourceData.Fertiliser_Products_Data2(), FertiliserProducts[[#Headers],[Company]],31)</f>
        <v>0.16600000000000001</v>
      </c>
      <c r="S125" s="173" t="str" cm="1">
        <f t="array" ref="S125">Common_InputFunctions.Utility_DisplayArrayInTable(Fertiliser_SourceData.Fertiliser_Products_Data2(), FertiliserProducts[[#Headers],[Company]],31)</f>
        <v>Sulfur - Generic</v>
      </c>
      <c r="T125" s="173" cm="1">
        <f t="array" ref="T125">Common_InputFunctions.Utility_DisplayArrayInTable(Fertiliser_SourceData.Fertiliser_Products_Data2(), FertiliserProducts[[#Headers],[Company]],31)</f>
        <v>0.08</v>
      </c>
      <c r="U125" s="173" t="str" cm="1">
        <f t="array" ref="U125">Common_InputFunctions.Utility_DisplayArrayInTable(Fertiliser_SourceData.Fertiliser_Products_Data2(), FertiliserProducts[[#Headers],[Company]],31)</f>
        <v>Phosphorus - Generic</v>
      </c>
      <c r="V125" s="173" cm="1">
        <f t="array" ref="V125">Common_InputFunctions.Utility_DisplayArrayInTable(Fertiliser_SourceData.Fertiliser_Products_Data2(), FertiliserProducts[[#Headers],[Company]],31)</f>
        <v>2.1999999999999999E-2</v>
      </c>
      <c r="W125" s="173" t="str" cm="1">
        <f t="array" ref="W125">Common_InputFunctions.Utility_DisplayArrayInTable(Fertiliser_SourceData.Fertiliser_Products_Data2(), FertiliserProducts[[#Headers],[Company]],31)</f>
        <v>Magnesium</v>
      </c>
      <c r="X125" s="173" cm="1">
        <f t="array" ref="X125">Common_InputFunctions.Utility_DisplayArrayInTable(Fertiliser_SourceData.Fertiliser_Products_Data2(), FertiliserProducts[[#Headers],[Company]],31)</f>
        <v>1.2E-2</v>
      </c>
      <c r="Y125" s="173" t="str" cm="1">
        <f t="array" ref="Y125">Common_InputFunctions.Utility_DisplayArrayInTable(Fertiliser_SourceData.Fertiliser_Products_Data2(), FertiliserProducts[[#Headers],[Company]],31)</f>
        <v>Boron</v>
      </c>
      <c r="Z125" s="173" cm="1">
        <f t="array" ref="Z125">Common_InputFunctions.Utility_DisplayArrayInTable(Fertiliser_SourceData.Fertiliser_Products_Data2(), FertiliserProducts[[#Headers],[Company]],31)</f>
        <v>2.0000000000000001E-4</v>
      </c>
      <c r="AA125" s="173" t="str" cm="1">
        <f t="array" ref="AA125">Common_InputFunctions.Utility_DisplayArrayInTable(Fertiliser_SourceData.Fertiliser_Products_Data2(), FertiliserProducts[[#Headers],[Company]],31)</f>
        <v>Zinc</v>
      </c>
      <c r="AB125" s="173" cm="1">
        <f t="array" ref="AB125">Common_InputFunctions.Utility_DisplayArrayInTable(Fertiliser_SourceData.Fertiliser_Products_Data2(), FertiliserProducts[[#Headers],[Company]],31)</f>
        <v>1E-4</v>
      </c>
      <c r="AC125" s="173" t="str" cm="1">
        <f t="array" ref="AC125">Common_InputFunctions.Utility_DisplayArrayInTable(Fertiliser_SourceData.Fertiliser_Products_Data2(), FertiliserProducts[[#Headers],[Company]],31)</f>
        <v/>
      </c>
      <c r="AD125" s="173" t="str" cm="1">
        <f t="array" ref="AD125">Common_InputFunctions.Utility_DisplayArrayInTable(Fertiliser_SourceData.Fertiliser_Products_Data2(), FertiliserProducts[[#Headers],[Company]],31)</f>
        <v/>
      </c>
      <c r="AE125" s="173" t="str" cm="1">
        <f t="array" ref="AE125">Common_InputFunctions.Utility_DisplayArrayInTable(Fertiliser_SourceData.Fertiliser_Products_Data2(), FertiliserProducts[[#Headers],[Company]],31)</f>
        <v/>
      </c>
      <c r="AF125" s="173" t="str" cm="1">
        <f t="array" ref="AF125">Common_InputFunctions.Utility_DisplayArrayInTable(Fertiliser_SourceData.Fertiliser_Products_Data2(), FertiliserProducts[[#Headers],[Company]],31)</f>
        <v/>
      </c>
      <c r="AG125" s="173" t="str" cm="1">
        <f t="array" ref="AG125">Common_InputFunctions.Utility_DisplayArrayInTable(Fertiliser_SourceData.Fertiliser_Products_Data2(), FertiliserProducts[[#Headers],[Company]],31)</f>
        <v/>
      </c>
      <c r="AH125" s="173"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73" t="str" cm="1">
        <f t="array" ref="D126">Common_InputFunctions.Utility_DisplayArrayInTable(Fertiliser_SourceData.Fertiliser_Products_Data2(), FertiliserProducts[[#Headers],[Company]],31)</f>
        <v>SL Tec</v>
      </c>
      <c r="E126" s="173" t="str" cm="1">
        <f t="array" ref="E126">Common_InputFunctions.Utility_DisplayArrayInTable(Fertiliser_SourceData.Fertiliser_Products_Data2(), FertiliserProducts[[#Headers],[Company]],31)</f>
        <v>High NS</v>
      </c>
      <c r="F126" s="173" t="str" cm="1">
        <f t="array" ref="F126">Common_InputFunctions.Utility_DisplayArrayInTable(Fertiliser_SourceData.Fertiliser_Products_Data2(), FertiliserProducts[[#Headers],[Company]],31)</f>
        <v>L</v>
      </c>
      <c r="G126" s="173" cm="1">
        <f t="array" ref="G126">Common_InputFunctions.Utility_DisplayArrayInTable(Fertiliser_SourceData.Fertiliser_Products_Data2(), FertiliserProducts[[#Headers],[Company]],31)</f>
        <v>1.2989999999999999</v>
      </c>
      <c r="H126" s="173" t="str" cm="1">
        <f t="array" ref="H126">Common_InputFunctions.Utility_DisplayArrayInTable(Fertiliser_SourceData.Fertiliser_Products_Data2(), FertiliserProducts[[#Headers],[Company]],31)</f>
        <v/>
      </c>
      <c r="I126" s="173" t="str" cm="1">
        <f t="array" ref="I126">Common_InputFunctions.Utility_DisplayArrayInTable(Fertiliser_SourceData.Fertiliser_Products_Data2(), FertiliserProducts[[#Headers],[Company]],31)</f>
        <v/>
      </c>
      <c r="J126" s="173" t="str" cm="1">
        <f t="array" ref="J126">Common_InputFunctions.Utility_DisplayArrayInTable(Fertiliser_SourceData.Fertiliser_Products_Data2(), FertiliserProducts[[#Headers],[Company]],31)</f>
        <v/>
      </c>
      <c r="K126" s="173" cm="1">
        <f t="array" ref="K126">Common_InputFunctions.Utility_DisplayArrayInTable(Fertiliser_SourceData.Fertiliser_Products_Data2(), FertiliserProducts[[#Headers],[Company]],31)</f>
        <v>38</v>
      </c>
      <c r="L126" s="173" t="str" cm="1">
        <f t="array" ref="L126">Common_InputFunctions.Utility_DisplayArrayInTable(Fertiliser_SourceData.Fertiliser_Products_Data2(), FertiliserProducts[[#Headers],[Company]],31)</f>
        <v/>
      </c>
      <c r="M126" s="173" t="str" cm="1">
        <f t="array" ref="M126">Common_InputFunctions.Utility_DisplayArrayInTable(Fertiliser_SourceData.Fertiliser_Products_Data2(), FertiliserProducts[[#Headers],[Company]],31)</f>
        <v/>
      </c>
      <c r="N126" s="173" cm="1">
        <f t="array" ref="N126">Common_InputFunctions.Utility_DisplayArrayInTable(Fertiliser_SourceData.Fertiliser_Products_Data2(), FertiliserProducts[[#Headers],[Company]],31)</f>
        <v>2</v>
      </c>
      <c r="O126" s="173" t="str" cm="1">
        <f t="array" ref="O126">Common_InputFunctions.Utility_DisplayArrayInTable(Fertiliser_SourceData.Fertiliser_Products_Data2(), FertiliserProducts[[#Headers],[Company]],31)</f>
        <v>Urea</v>
      </c>
      <c r="P126" s="173" cm="1">
        <f t="array" ref="P126">Common_InputFunctions.Utility_DisplayArrayInTable(Fertiliser_SourceData.Fertiliser_Products_Data2(), FertiliserProducts[[#Headers],[Company]],31)</f>
        <v>0.46087</v>
      </c>
      <c r="Q126" s="173" t="str" cm="1">
        <f t="array" ref="Q126">Common_InputFunctions.Utility_DisplayArrayInTable(Fertiliser_SourceData.Fertiliser_Products_Data2(), FertiliserProducts[[#Headers],[Company]],31)</f>
        <v>Nitrogen - Ammoniacal</v>
      </c>
      <c r="R126" s="173" cm="1">
        <f t="array" ref="R126">Common_InputFunctions.Utility_DisplayArrayInTable(Fertiliser_SourceData.Fertiliser_Products_Data2(), FertiliserProducts[[#Headers],[Company]],31)</f>
        <v>9.1999999999999998E-2</v>
      </c>
      <c r="S126" s="173" t="str" cm="1">
        <f t="array" ref="S126">Common_InputFunctions.Utility_DisplayArrayInTable(Fertiliser_SourceData.Fertiliser_Products_Data2(), FertiliserProducts[[#Headers],[Company]],31)</f>
        <v>Nitrogen - Nitrate</v>
      </c>
      <c r="T126" s="173" cm="1">
        <f t="array" ref="T126">Common_InputFunctions.Utility_DisplayArrayInTable(Fertiliser_SourceData.Fertiliser_Products_Data2(), FertiliserProducts[[#Headers],[Company]],31)</f>
        <v>7.5999999999999998E-2</v>
      </c>
      <c r="U126" s="173" t="str" cm="1">
        <f t="array" ref="U126">Common_InputFunctions.Utility_DisplayArrayInTable(Fertiliser_SourceData.Fertiliser_Products_Data2(), FertiliserProducts[[#Headers],[Company]],31)</f>
        <v>Sulfur - Generic</v>
      </c>
      <c r="V126" s="173" cm="1">
        <f t="array" ref="V126">Common_InputFunctions.Utility_DisplayArrayInTable(Fertiliser_SourceData.Fertiliser_Products_Data2(), FertiliserProducts[[#Headers],[Company]],31)</f>
        <v>0.02</v>
      </c>
      <c r="W126" s="173" t="str" cm="1">
        <f t="array" ref="W126">Common_InputFunctions.Utility_DisplayArrayInTable(Fertiliser_SourceData.Fertiliser_Products_Data2(), FertiliserProducts[[#Headers],[Company]],31)</f>
        <v/>
      </c>
      <c r="X126" s="173" t="str" cm="1">
        <f t="array" ref="X126">Common_InputFunctions.Utility_DisplayArrayInTable(Fertiliser_SourceData.Fertiliser_Products_Data2(), FertiliserProducts[[#Headers],[Company]],31)</f>
        <v/>
      </c>
      <c r="Y126" s="173" t="str" cm="1">
        <f t="array" ref="Y126">Common_InputFunctions.Utility_DisplayArrayInTable(Fertiliser_SourceData.Fertiliser_Products_Data2(), FertiliserProducts[[#Headers],[Company]],31)</f>
        <v/>
      </c>
      <c r="Z126" s="173" t="str" cm="1">
        <f t="array" ref="Z126">Common_InputFunctions.Utility_DisplayArrayInTable(Fertiliser_SourceData.Fertiliser_Products_Data2(), FertiliserProducts[[#Headers],[Company]],31)</f>
        <v/>
      </c>
      <c r="AA126" s="173" t="str" cm="1">
        <f t="array" ref="AA126">Common_InputFunctions.Utility_DisplayArrayInTable(Fertiliser_SourceData.Fertiliser_Products_Data2(), FertiliserProducts[[#Headers],[Company]],31)</f>
        <v/>
      </c>
      <c r="AB126" s="173" t="str" cm="1">
        <f t="array" ref="AB126">Common_InputFunctions.Utility_DisplayArrayInTable(Fertiliser_SourceData.Fertiliser_Products_Data2(), FertiliserProducts[[#Headers],[Company]],31)</f>
        <v/>
      </c>
      <c r="AC126" s="173" t="str" cm="1">
        <f t="array" ref="AC126">Common_InputFunctions.Utility_DisplayArrayInTable(Fertiliser_SourceData.Fertiliser_Products_Data2(), FertiliserProducts[[#Headers],[Company]],31)</f>
        <v/>
      </c>
      <c r="AD126" s="173" t="str" cm="1">
        <f t="array" ref="AD126">Common_InputFunctions.Utility_DisplayArrayInTable(Fertiliser_SourceData.Fertiliser_Products_Data2(), FertiliserProducts[[#Headers],[Company]],31)</f>
        <v/>
      </c>
      <c r="AE126" s="173" t="str" cm="1">
        <f t="array" ref="AE126">Common_InputFunctions.Utility_DisplayArrayInTable(Fertiliser_SourceData.Fertiliser_Products_Data2(), FertiliserProducts[[#Headers],[Company]],31)</f>
        <v/>
      </c>
      <c r="AF126" s="173" t="str" cm="1">
        <f t="array" ref="AF126">Common_InputFunctions.Utility_DisplayArrayInTable(Fertiliser_SourceData.Fertiliser_Products_Data2(), FertiliserProducts[[#Headers],[Company]],31)</f>
        <v/>
      </c>
      <c r="AG126" s="173" t="str" cm="1">
        <f t="array" ref="AG126">Common_InputFunctions.Utility_DisplayArrayInTable(Fertiliser_SourceData.Fertiliser_Products_Data2(), FertiliserProducts[[#Headers],[Company]],31)</f>
        <v/>
      </c>
      <c r="AH126" s="173"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73" t="str" cm="1">
        <f t="array" ref="D127">Common_InputFunctions.Utility_DisplayArrayInTable(Fertiliser_SourceData.Fertiliser_Products_Data2(), FertiliserProducts[[#Headers],[Company]],31)</f>
        <v>Impact Fertilisers</v>
      </c>
      <c r="E127" s="173" t="str" cm="1">
        <f t="array" ref="E127">Common_InputFunctions.Utility_DisplayArrayInTable(Fertiliser_SourceData.Fertiliser_Products_Data2(), FertiliserProducts[[#Headers],[Company]],31)</f>
        <v>Impact SSP</v>
      </c>
      <c r="F127" s="173" t="str" cm="1">
        <f t="array" ref="F127">Common_InputFunctions.Utility_DisplayArrayInTable(Fertiliser_SourceData.Fertiliser_Products_Data2(), FertiliserProducts[[#Headers],[Company]],31)</f>
        <v>kg</v>
      </c>
      <c r="G127" s="173" cm="1">
        <f t="array" ref="G127">Common_InputFunctions.Utility_DisplayArrayInTable(Fertiliser_SourceData.Fertiliser_Products_Data2(), FertiliserProducts[[#Headers],[Company]],31)</f>
        <v>1</v>
      </c>
      <c r="H127" s="173" t="str" cm="1">
        <f t="array" ref="H127">Common_InputFunctions.Utility_DisplayArrayInTable(Fertiliser_SourceData.Fertiliser_Products_Data2(), FertiliserProducts[[#Headers],[Company]],31)</f>
        <v/>
      </c>
      <c r="I127" s="173" t="str" cm="1">
        <f t="array" ref="I127">Common_InputFunctions.Utility_DisplayArrayInTable(Fertiliser_SourceData.Fertiliser_Products_Data2(), FertiliserProducts[[#Headers],[Company]],31)</f>
        <v/>
      </c>
      <c r="J127" s="173" t="str" cm="1">
        <f t="array" ref="J127">Common_InputFunctions.Utility_DisplayArrayInTable(Fertiliser_SourceData.Fertiliser_Products_Data2(), FertiliserProducts[[#Headers],[Company]],31)</f>
        <v/>
      </c>
      <c r="K127" s="173" t="str" cm="1">
        <f t="array" ref="K127">Common_InputFunctions.Utility_DisplayArrayInTable(Fertiliser_SourceData.Fertiliser_Products_Data2(), FertiliserProducts[[#Headers],[Company]],31)</f>
        <v/>
      </c>
      <c r="L127" s="173" cm="1">
        <f t="array" ref="L127">Common_InputFunctions.Utility_DisplayArrayInTable(Fertiliser_SourceData.Fertiliser_Products_Data2(), FertiliserProducts[[#Headers],[Company]],31)</f>
        <v>8.8000000000000007</v>
      </c>
      <c r="M127" s="173" t="str" cm="1">
        <f t="array" ref="M127">Common_InputFunctions.Utility_DisplayArrayInTable(Fertiliser_SourceData.Fertiliser_Products_Data2(), FertiliserProducts[[#Headers],[Company]],31)</f>
        <v/>
      </c>
      <c r="N127" s="173" cm="1">
        <f t="array" ref="N127">Common_InputFunctions.Utility_DisplayArrayInTable(Fertiliser_SourceData.Fertiliser_Products_Data2(), FertiliserProducts[[#Headers],[Company]],31)</f>
        <v>11</v>
      </c>
      <c r="O127" s="173" t="str" cm="1">
        <f t="array" ref="O127">Common_InputFunctions.Utility_DisplayArrayInTable(Fertiliser_SourceData.Fertiliser_Products_Data2(), FertiliserProducts[[#Headers],[Company]],31)</f>
        <v>Single superphosphate (SSP)</v>
      </c>
      <c r="P127" s="173" cm="1">
        <f t="array" ref="P127">Common_InputFunctions.Utility_DisplayArrayInTable(Fertiliser_SourceData.Fertiliser_Products_Data2(), FertiliserProducts[[#Headers],[Company]],31)</f>
        <v>1</v>
      </c>
      <c r="Q127" s="173" t="str" cm="1">
        <f t="array" ref="Q127">Common_InputFunctions.Utility_DisplayArrayInTable(Fertiliser_SourceData.Fertiliser_Products_Data2(), FertiliserProducts[[#Headers],[Company]],31)</f>
        <v/>
      </c>
      <c r="R127" s="173" t="str" cm="1">
        <f t="array" ref="R127">Common_InputFunctions.Utility_DisplayArrayInTable(Fertiliser_SourceData.Fertiliser_Products_Data2(), FertiliserProducts[[#Headers],[Company]],31)</f>
        <v/>
      </c>
      <c r="S127" s="173" t="str" cm="1">
        <f t="array" ref="S127">Common_InputFunctions.Utility_DisplayArrayInTable(Fertiliser_SourceData.Fertiliser_Products_Data2(), FertiliserProducts[[#Headers],[Company]],31)</f>
        <v/>
      </c>
      <c r="T127" s="173" t="str" cm="1">
        <f t="array" ref="T127">Common_InputFunctions.Utility_DisplayArrayInTable(Fertiliser_SourceData.Fertiliser_Products_Data2(), FertiliserProducts[[#Headers],[Company]],31)</f>
        <v/>
      </c>
      <c r="U127" s="173" t="str" cm="1">
        <f t="array" ref="U127">Common_InputFunctions.Utility_DisplayArrayInTable(Fertiliser_SourceData.Fertiliser_Products_Data2(), FertiliserProducts[[#Headers],[Company]],31)</f>
        <v/>
      </c>
      <c r="V127" s="173" t="str" cm="1">
        <f t="array" ref="V127">Common_InputFunctions.Utility_DisplayArrayInTable(Fertiliser_SourceData.Fertiliser_Products_Data2(), FertiliserProducts[[#Headers],[Company]],31)</f>
        <v/>
      </c>
      <c r="W127" s="173" t="str" cm="1">
        <f t="array" ref="W127">Common_InputFunctions.Utility_DisplayArrayInTable(Fertiliser_SourceData.Fertiliser_Products_Data2(), FertiliserProducts[[#Headers],[Company]],31)</f>
        <v/>
      </c>
      <c r="X127" s="173" t="str" cm="1">
        <f t="array" ref="X127">Common_InputFunctions.Utility_DisplayArrayInTable(Fertiliser_SourceData.Fertiliser_Products_Data2(), FertiliserProducts[[#Headers],[Company]],31)</f>
        <v/>
      </c>
      <c r="Y127" s="173" t="str" cm="1">
        <f t="array" ref="Y127">Common_InputFunctions.Utility_DisplayArrayInTable(Fertiliser_SourceData.Fertiliser_Products_Data2(), FertiliserProducts[[#Headers],[Company]],31)</f>
        <v/>
      </c>
      <c r="Z127" s="173" t="str" cm="1">
        <f t="array" ref="Z127">Common_InputFunctions.Utility_DisplayArrayInTable(Fertiliser_SourceData.Fertiliser_Products_Data2(), FertiliserProducts[[#Headers],[Company]],31)</f>
        <v/>
      </c>
      <c r="AA127" s="173" t="str" cm="1">
        <f t="array" ref="AA127">Common_InputFunctions.Utility_DisplayArrayInTable(Fertiliser_SourceData.Fertiliser_Products_Data2(), FertiliserProducts[[#Headers],[Company]],31)</f>
        <v/>
      </c>
      <c r="AB127" s="173" t="str" cm="1">
        <f t="array" ref="AB127">Common_InputFunctions.Utility_DisplayArrayInTable(Fertiliser_SourceData.Fertiliser_Products_Data2(), FertiliserProducts[[#Headers],[Company]],31)</f>
        <v/>
      </c>
      <c r="AC127" s="173" t="str" cm="1">
        <f t="array" ref="AC127">Common_InputFunctions.Utility_DisplayArrayInTable(Fertiliser_SourceData.Fertiliser_Products_Data2(), FertiliserProducts[[#Headers],[Company]],31)</f>
        <v/>
      </c>
      <c r="AD127" s="173" t="str" cm="1">
        <f t="array" ref="AD127">Common_InputFunctions.Utility_DisplayArrayInTable(Fertiliser_SourceData.Fertiliser_Products_Data2(), FertiliserProducts[[#Headers],[Company]],31)</f>
        <v/>
      </c>
      <c r="AE127" s="173" t="str" cm="1">
        <f t="array" ref="AE127">Common_InputFunctions.Utility_DisplayArrayInTable(Fertiliser_SourceData.Fertiliser_Products_Data2(), FertiliserProducts[[#Headers],[Company]],31)</f>
        <v/>
      </c>
      <c r="AF127" s="173" t="str" cm="1">
        <f t="array" ref="AF127">Common_InputFunctions.Utility_DisplayArrayInTable(Fertiliser_SourceData.Fertiliser_Products_Data2(), FertiliserProducts[[#Headers],[Company]],31)</f>
        <v/>
      </c>
      <c r="AG127" s="173" t="str" cm="1">
        <f t="array" ref="AG127">Common_InputFunctions.Utility_DisplayArrayInTable(Fertiliser_SourceData.Fertiliser_Products_Data2(), FertiliserProducts[[#Headers],[Company]],31)</f>
        <v/>
      </c>
      <c r="AH127" s="173"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73" t="str" cm="1">
        <f t="array" ref="D128">Common_InputFunctions.Utility_DisplayArrayInTable(Fertiliser_SourceData.Fertiliser_Products_Data2(), FertiliserProducts[[#Headers],[Company]],31)</f>
        <v>Switch Ag</v>
      </c>
      <c r="E128" s="173" t="str" cm="1">
        <f t="array" ref="E128">Common_InputFunctions.Utility_DisplayArrayInTable(Fertiliser_SourceData.Fertiliser_Products_Data2(), FertiliserProducts[[#Headers],[Company]],31)</f>
        <v>In Crop</v>
      </c>
      <c r="F128" s="173" t="str" cm="1">
        <f t="array" ref="F128">Common_InputFunctions.Utility_DisplayArrayInTable(Fertiliser_SourceData.Fertiliser_Products_Data2(), FertiliserProducts[[#Headers],[Company]],31)</f>
        <v>L</v>
      </c>
      <c r="G128" s="173" cm="1">
        <f t="array" ref="G128">Common_InputFunctions.Utility_DisplayArrayInTable(Fertiliser_SourceData.Fertiliser_Products_Data2(), FertiliserProducts[[#Headers],[Company]],31)</f>
        <v>1.2</v>
      </c>
      <c r="H128" s="173" t="str" cm="1">
        <f t="array" ref="H128">Common_InputFunctions.Utility_DisplayArrayInTable(Fertiliser_SourceData.Fertiliser_Products_Data2(), FertiliserProducts[[#Headers],[Company]],31)</f>
        <v/>
      </c>
      <c r="I128" s="173" t="str" cm="1">
        <f t="array" ref="I128">Common_InputFunctions.Utility_DisplayArrayInTable(Fertiliser_SourceData.Fertiliser_Products_Data2(), FertiliserProducts[[#Headers],[Company]],31)</f>
        <v/>
      </c>
      <c r="J128" s="173" t="str" cm="1">
        <f t="array" ref="J128">Common_InputFunctions.Utility_DisplayArrayInTable(Fertiliser_SourceData.Fertiliser_Products_Data2(), FertiliserProducts[[#Headers],[Company]],31)</f>
        <v/>
      </c>
      <c r="K128" s="173" cm="1">
        <f t="array" ref="K128">Common_InputFunctions.Utility_DisplayArrayInTable(Fertiliser_SourceData.Fertiliser_Products_Data2(), FertiliserProducts[[#Headers],[Company]],31)</f>
        <v>10</v>
      </c>
      <c r="L128" s="173" cm="1">
        <f t="array" ref="L128">Common_InputFunctions.Utility_DisplayArrayInTable(Fertiliser_SourceData.Fertiliser_Products_Data2(), FertiliserProducts[[#Headers],[Company]],31)</f>
        <v>1</v>
      </c>
      <c r="M128" s="173" cm="1">
        <f t="array" ref="M128">Common_InputFunctions.Utility_DisplayArrayInTable(Fertiliser_SourceData.Fertiliser_Products_Data2(), FertiliserProducts[[#Headers],[Company]],31)</f>
        <v>11</v>
      </c>
      <c r="N128" s="173" t="str" cm="1">
        <f t="array" ref="N128">Common_InputFunctions.Utility_DisplayArrayInTable(Fertiliser_SourceData.Fertiliser_Products_Data2(), FertiliserProducts[[#Headers],[Company]],31)</f>
        <v/>
      </c>
      <c r="O128" s="173" t="str" cm="1">
        <f t="array" ref="O128">Common_InputFunctions.Utility_DisplayArrayInTable(Fertiliser_SourceData.Fertiliser_Products_Data2(), FertiliserProducts[[#Headers],[Company]],31)</f>
        <v>Potassium - Generic</v>
      </c>
      <c r="P128" s="173" cm="1">
        <f t="array" ref="P128">Common_InputFunctions.Utility_DisplayArrayInTable(Fertiliser_SourceData.Fertiliser_Products_Data2(), FertiliserProducts[[#Headers],[Company]],31)</f>
        <v>0.11</v>
      </c>
      <c r="Q128" s="173" t="str" cm="1">
        <f t="array" ref="Q128">Common_InputFunctions.Utility_DisplayArrayInTable(Fertiliser_SourceData.Fertiliser_Products_Data2(), FertiliserProducts[[#Headers],[Company]],31)</f>
        <v>Nitrogen - Generic</v>
      </c>
      <c r="R128" s="173" cm="1">
        <f t="array" ref="R128">Common_InputFunctions.Utility_DisplayArrayInTable(Fertiliser_SourceData.Fertiliser_Products_Data2(), FertiliserProducts[[#Headers],[Company]],31)</f>
        <v>0.1</v>
      </c>
      <c r="S128" s="173" t="str" cm="1">
        <f t="array" ref="S128">Common_InputFunctions.Utility_DisplayArrayInTable(Fertiliser_SourceData.Fertiliser_Products_Data2(), FertiliserProducts[[#Headers],[Company]],31)</f>
        <v>Phosphorus - Generic</v>
      </c>
      <c r="T128" s="173" cm="1">
        <f t="array" ref="T128">Common_InputFunctions.Utility_DisplayArrayInTable(Fertiliser_SourceData.Fertiliser_Products_Data2(), FertiliserProducts[[#Headers],[Company]],31)</f>
        <v>0.01</v>
      </c>
      <c r="U128" s="173" t="str" cm="1">
        <f t="array" ref="U128">Common_InputFunctions.Utility_DisplayArrayInTable(Fertiliser_SourceData.Fertiliser_Products_Data2(), FertiliserProducts[[#Headers],[Company]],31)</f>
        <v/>
      </c>
      <c r="V128" s="173" t="str" cm="1">
        <f t="array" ref="V128">Common_InputFunctions.Utility_DisplayArrayInTable(Fertiliser_SourceData.Fertiliser_Products_Data2(), FertiliserProducts[[#Headers],[Company]],31)</f>
        <v/>
      </c>
      <c r="W128" s="173" t="str" cm="1">
        <f t="array" ref="W128">Common_InputFunctions.Utility_DisplayArrayInTable(Fertiliser_SourceData.Fertiliser_Products_Data2(), FertiliserProducts[[#Headers],[Company]],31)</f>
        <v/>
      </c>
      <c r="X128" s="173" t="str" cm="1">
        <f t="array" ref="X128">Common_InputFunctions.Utility_DisplayArrayInTable(Fertiliser_SourceData.Fertiliser_Products_Data2(), FertiliserProducts[[#Headers],[Company]],31)</f>
        <v/>
      </c>
      <c r="Y128" s="173" t="str" cm="1">
        <f t="array" ref="Y128">Common_InputFunctions.Utility_DisplayArrayInTable(Fertiliser_SourceData.Fertiliser_Products_Data2(), FertiliserProducts[[#Headers],[Company]],31)</f>
        <v/>
      </c>
      <c r="Z128" s="173" t="str" cm="1">
        <f t="array" ref="Z128">Common_InputFunctions.Utility_DisplayArrayInTable(Fertiliser_SourceData.Fertiliser_Products_Data2(), FertiliserProducts[[#Headers],[Company]],31)</f>
        <v/>
      </c>
      <c r="AA128" s="173" t="str" cm="1">
        <f t="array" ref="AA128">Common_InputFunctions.Utility_DisplayArrayInTable(Fertiliser_SourceData.Fertiliser_Products_Data2(), FertiliserProducts[[#Headers],[Company]],31)</f>
        <v/>
      </c>
      <c r="AB128" s="173" t="str" cm="1">
        <f t="array" ref="AB128">Common_InputFunctions.Utility_DisplayArrayInTable(Fertiliser_SourceData.Fertiliser_Products_Data2(), FertiliserProducts[[#Headers],[Company]],31)</f>
        <v/>
      </c>
      <c r="AC128" s="173" t="str" cm="1">
        <f t="array" ref="AC128">Common_InputFunctions.Utility_DisplayArrayInTable(Fertiliser_SourceData.Fertiliser_Products_Data2(), FertiliserProducts[[#Headers],[Company]],31)</f>
        <v/>
      </c>
      <c r="AD128" s="173" t="str" cm="1">
        <f t="array" ref="AD128">Common_InputFunctions.Utility_DisplayArrayInTable(Fertiliser_SourceData.Fertiliser_Products_Data2(), FertiliserProducts[[#Headers],[Company]],31)</f>
        <v/>
      </c>
      <c r="AE128" s="173" t="str" cm="1">
        <f t="array" ref="AE128">Common_InputFunctions.Utility_DisplayArrayInTable(Fertiliser_SourceData.Fertiliser_Products_Data2(), FertiliserProducts[[#Headers],[Company]],31)</f>
        <v/>
      </c>
      <c r="AF128" s="173" t="str" cm="1">
        <f t="array" ref="AF128">Common_InputFunctions.Utility_DisplayArrayInTable(Fertiliser_SourceData.Fertiliser_Products_Data2(), FertiliserProducts[[#Headers],[Company]],31)</f>
        <v/>
      </c>
      <c r="AG128" s="173" t="str" cm="1">
        <f t="array" ref="AG128">Common_InputFunctions.Utility_DisplayArrayInTable(Fertiliser_SourceData.Fertiliser_Products_Data2(), FertiliserProducts[[#Headers],[Company]],31)</f>
        <v/>
      </c>
      <c r="AH128" s="173"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73" t="str" cm="1">
        <f t="array" ref="D129">Common_InputFunctions.Utility_DisplayArrayInTable(Fertiliser_SourceData.Fertiliser_Products_Data2(), FertiliserProducts[[#Headers],[Company]],31)</f>
        <v>Switch Ag</v>
      </c>
      <c r="E129" s="173" t="str" cm="1">
        <f t="array" ref="E129">Common_InputFunctions.Utility_DisplayArrayInTable(Fertiliser_SourceData.Fertiliser_Products_Data2(), FertiliserProducts[[#Headers],[Company]],31)</f>
        <v>K20</v>
      </c>
      <c r="F129" s="173" t="str" cm="1">
        <f t="array" ref="F129">Common_InputFunctions.Utility_DisplayArrayInTable(Fertiliser_SourceData.Fertiliser_Products_Data2(), FertiliserProducts[[#Headers],[Company]],31)</f>
        <v>L</v>
      </c>
      <c r="G129" s="173" cm="1">
        <f t="array" ref="G129">Common_InputFunctions.Utility_DisplayArrayInTable(Fertiliser_SourceData.Fertiliser_Products_Data2(), FertiliserProducts[[#Headers],[Company]],31)</f>
        <v>1.3</v>
      </c>
      <c r="H129" s="173" t="str" cm="1">
        <f t="array" ref="H129">Common_InputFunctions.Utility_DisplayArrayInTable(Fertiliser_SourceData.Fertiliser_Products_Data2(), FertiliserProducts[[#Headers],[Company]],31)</f>
        <v/>
      </c>
      <c r="I129" s="173" t="str" cm="1">
        <f t="array" ref="I129">Common_InputFunctions.Utility_DisplayArrayInTable(Fertiliser_SourceData.Fertiliser_Products_Data2(), FertiliserProducts[[#Headers],[Company]],31)</f>
        <v/>
      </c>
      <c r="J129" s="173" t="str" cm="1">
        <f t="array" ref="J129">Common_InputFunctions.Utility_DisplayArrayInTable(Fertiliser_SourceData.Fertiliser_Products_Data2(), FertiliserProducts[[#Headers],[Company]],31)</f>
        <v/>
      </c>
      <c r="K129" s="173" cm="1">
        <f t="array" ref="K129">Common_InputFunctions.Utility_DisplayArrayInTable(Fertiliser_SourceData.Fertiliser_Products_Data2(), FertiliserProducts[[#Headers],[Company]],31)</f>
        <v>3</v>
      </c>
      <c r="L129" s="173" t="str" cm="1">
        <f t="array" ref="L129">Common_InputFunctions.Utility_DisplayArrayInTable(Fertiliser_SourceData.Fertiliser_Products_Data2(), FertiliserProducts[[#Headers],[Company]],31)</f>
        <v/>
      </c>
      <c r="M129" s="173" cm="1">
        <f t="array" ref="M129">Common_InputFunctions.Utility_DisplayArrayInTable(Fertiliser_SourceData.Fertiliser_Products_Data2(), FertiliserProducts[[#Headers],[Company]],31)</f>
        <v>22</v>
      </c>
      <c r="N129" s="173" t="str" cm="1">
        <f t="array" ref="N129">Common_InputFunctions.Utility_DisplayArrayInTable(Fertiliser_SourceData.Fertiliser_Products_Data2(), FertiliserProducts[[#Headers],[Company]],31)</f>
        <v/>
      </c>
      <c r="O129" s="173" t="str" cm="1">
        <f t="array" ref="O129">Common_InputFunctions.Utility_DisplayArrayInTable(Fertiliser_SourceData.Fertiliser_Products_Data2(), FertiliserProducts[[#Headers],[Company]],31)</f>
        <v>Potassium - Generic</v>
      </c>
      <c r="P129" s="173" cm="1">
        <f t="array" ref="P129">Common_InputFunctions.Utility_DisplayArrayInTable(Fertiliser_SourceData.Fertiliser_Products_Data2(), FertiliserProducts[[#Headers],[Company]],31)</f>
        <v>0.22</v>
      </c>
      <c r="Q129" s="173" t="str" cm="1">
        <f t="array" ref="Q129">Common_InputFunctions.Utility_DisplayArrayInTable(Fertiliser_SourceData.Fertiliser_Products_Data2(), FertiliserProducts[[#Headers],[Company]],31)</f>
        <v>Nitrogen - Generic</v>
      </c>
      <c r="R129" s="173" cm="1">
        <f t="array" ref="R129">Common_InputFunctions.Utility_DisplayArrayInTable(Fertiliser_SourceData.Fertiliser_Products_Data2(), FertiliserProducts[[#Headers],[Company]],31)</f>
        <v>0.03</v>
      </c>
      <c r="S129" s="173" t="str" cm="1">
        <f t="array" ref="S129">Common_InputFunctions.Utility_DisplayArrayInTable(Fertiliser_SourceData.Fertiliser_Products_Data2(), FertiliserProducts[[#Headers],[Company]],31)</f>
        <v/>
      </c>
      <c r="T129" s="173" t="str" cm="1">
        <f t="array" ref="T129">Common_InputFunctions.Utility_DisplayArrayInTable(Fertiliser_SourceData.Fertiliser_Products_Data2(), FertiliserProducts[[#Headers],[Company]],31)</f>
        <v/>
      </c>
      <c r="U129" s="173" t="str" cm="1">
        <f t="array" ref="U129">Common_InputFunctions.Utility_DisplayArrayInTable(Fertiliser_SourceData.Fertiliser_Products_Data2(), FertiliserProducts[[#Headers],[Company]],31)</f>
        <v/>
      </c>
      <c r="V129" s="173" t="str" cm="1">
        <f t="array" ref="V129">Common_InputFunctions.Utility_DisplayArrayInTable(Fertiliser_SourceData.Fertiliser_Products_Data2(), FertiliserProducts[[#Headers],[Company]],31)</f>
        <v/>
      </c>
      <c r="W129" s="173" t="str" cm="1">
        <f t="array" ref="W129">Common_InputFunctions.Utility_DisplayArrayInTable(Fertiliser_SourceData.Fertiliser_Products_Data2(), FertiliserProducts[[#Headers],[Company]],31)</f>
        <v/>
      </c>
      <c r="X129" s="173" t="str" cm="1">
        <f t="array" ref="X129">Common_InputFunctions.Utility_DisplayArrayInTable(Fertiliser_SourceData.Fertiliser_Products_Data2(), FertiliserProducts[[#Headers],[Company]],31)</f>
        <v/>
      </c>
      <c r="Y129" s="173" t="str" cm="1">
        <f t="array" ref="Y129">Common_InputFunctions.Utility_DisplayArrayInTable(Fertiliser_SourceData.Fertiliser_Products_Data2(), FertiliserProducts[[#Headers],[Company]],31)</f>
        <v/>
      </c>
      <c r="Z129" s="173" t="str" cm="1">
        <f t="array" ref="Z129">Common_InputFunctions.Utility_DisplayArrayInTable(Fertiliser_SourceData.Fertiliser_Products_Data2(), FertiliserProducts[[#Headers],[Company]],31)</f>
        <v/>
      </c>
      <c r="AA129" s="173" t="str" cm="1">
        <f t="array" ref="AA129">Common_InputFunctions.Utility_DisplayArrayInTable(Fertiliser_SourceData.Fertiliser_Products_Data2(), FertiliserProducts[[#Headers],[Company]],31)</f>
        <v/>
      </c>
      <c r="AB129" s="173" t="str" cm="1">
        <f t="array" ref="AB129">Common_InputFunctions.Utility_DisplayArrayInTable(Fertiliser_SourceData.Fertiliser_Products_Data2(), FertiliserProducts[[#Headers],[Company]],31)</f>
        <v/>
      </c>
      <c r="AC129" s="173" t="str" cm="1">
        <f t="array" ref="AC129">Common_InputFunctions.Utility_DisplayArrayInTable(Fertiliser_SourceData.Fertiliser_Products_Data2(), FertiliserProducts[[#Headers],[Company]],31)</f>
        <v/>
      </c>
      <c r="AD129" s="173" t="str" cm="1">
        <f t="array" ref="AD129">Common_InputFunctions.Utility_DisplayArrayInTable(Fertiliser_SourceData.Fertiliser_Products_Data2(), FertiliserProducts[[#Headers],[Company]],31)</f>
        <v/>
      </c>
      <c r="AE129" s="173" t="str" cm="1">
        <f t="array" ref="AE129">Common_InputFunctions.Utility_DisplayArrayInTable(Fertiliser_SourceData.Fertiliser_Products_Data2(), FertiliserProducts[[#Headers],[Company]],31)</f>
        <v/>
      </c>
      <c r="AF129" s="173" t="str" cm="1">
        <f t="array" ref="AF129">Common_InputFunctions.Utility_DisplayArrayInTable(Fertiliser_SourceData.Fertiliser_Products_Data2(), FertiliserProducts[[#Headers],[Company]],31)</f>
        <v/>
      </c>
      <c r="AG129" s="173" t="str" cm="1">
        <f t="array" ref="AG129">Common_InputFunctions.Utility_DisplayArrayInTable(Fertiliser_SourceData.Fertiliser_Products_Data2(), FertiliserProducts[[#Headers],[Company]],31)</f>
        <v/>
      </c>
      <c r="AH129" s="173"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73" t="str" cm="1">
        <f t="array" ref="D130">Common_InputFunctions.Utility_DisplayArrayInTable(Fertiliser_SourceData.Fertiliser_Products_Data2(), FertiliserProducts[[#Headers],[Company]],31)</f>
        <v>Loveland Agriproducts</v>
      </c>
      <c r="E130" s="173" t="str" cm="1">
        <f t="array" ref="E130">Common_InputFunctions.Utility_DisplayArrayInTable(Fertiliser_SourceData.Fertiliser_Products_Data2(), FertiliserProducts[[#Headers],[Company]],31)</f>
        <v>Maximum N-Pact</v>
      </c>
      <c r="F130" s="173" t="str" cm="1">
        <f t="array" ref="F130">Common_InputFunctions.Utility_DisplayArrayInTable(Fertiliser_SourceData.Fertiliser_Products_Data2(), FertiliserProducts[[#Headers],[Company]],31)</f>
        <v>L</v>
      </c>
      <c r="G130" s="173" cm="1">
        <f t="array" ref="G130">Common_InputFunctions.Utility_DisplayArrayInTable(Fertiliser_SourceData.Fertiliser_Products_Data2(), FertiliserProducts[[#Headers],[Company]],31)</f>
        <v>1.1850000000000001</v>
      </c>
      <c r="H130" s="173" t="str" cm="1">
        <f t="array" ref="H130">Common_InputFunctions.Utility_DisplayArrayInTable(Fertiliser_SourceData.Fertiliser_Products_Data2(), FertiliserProducts[[#Headers],[Company]],31)</f>
        <v/>
      </c>
      <c r="I130" s="173" t="str" cm="1">
        <f t="array" ref="I130">Common_InputFunctions.Utility_DisplayArrayInTable(Fertiliser_SourceData.Fertiliser_Products_Data2(), FertiliserProducts[[#Headers],[Company]],31)</f>
        <v/>
      </c>
      <c r="J130" s="173" t="str" cm="1">
        <f t="array" ref="J130">Common_InputFunctions.Utility_DisplayArrayInTable(Fertiliser_SourceData.Fertiliser_Products_Data2(), FertiliserProducts[[#Headers],[Company]],31)</f>
        <v/>
      </c>
      <c r="K130" s="173" cm="1">
        <f t="array" ref="K130">Common_InputFunctions.Utility_DisplayArrayInTable(Fertiliser_SourceData.Fertiliser_Products_Data2(), FertiliserProducts[[#Headers],[Company]],31)</f>
        <v>23.8</v>
      </c>
      <c r="L130" s="173" t="str" cm="1">
        <f t="array" ref="L130">Common_InputFunctions.Utility_DisplayArrayInTable(Fertiliser_SourceData.Fertiliser_Products_Data2(), FertiliserProducts[[#Headers],[Company]],31)</f>
        <v/>
      </c>
      <c r="M130" s="173" t="str" cm="1">
        <f t="array" ref="M130">Common_InputFunctions.Utility_DisplayArrayInTable(Fertiliser_SourceData.Fertiliser_Products_Data2(), FertiliserProducts[[#Headers],[Company]],31)</f>
        <v/>
      </c>
      <c r="N130" s="173" t="str" cm="1">
        <f t="array" ref="N130">Common_InputFunctions.Utility_DisplayArrayInTable(Fertiliser_SourceData.Fertiliser_Products_Data2(), FertiliserProducts[[#Headers],[Company]],31)</f>
        <v/>
      </c>
      <c r="O130" s="173" t="str" cm="1">
        <f t="array" ref="O130">Common_InputFunctions.Utility_DisplayArrayInTable(Fertiliser_SourceData.Fertiliser_Products_Data2(), FertiliserProducts[[#Headers],[Company]],31)</f>
        <v>Urea</v>
      </c>
      <c r="P130" s="173" cm="1">
        <f t="array" ref="P130">Common_InputFunctions.Utility_DisplayArrayInTable(Fertiliser_SourceData.Fertiliser_Products_Data2(), FertiliserProducts[[#Headers],[Company]],31)</f>
        <v>0.51739100000000005</v>
      </c>
      <c r="Q130" s="173" t="str" cm="1">
        <f t="array" ref="Q130">Common_InputFunctions.Utility_DisplayArrayInTable(Fertiliser_SourceData.Fertiliser_Products_Data2(), FertiliserProducts[[#Headers],[Company]],31)</f>
        <v/>
      </c>
      <c r="R130" s="173" t="str" cm="1">
        <f t="array" ref="R130">Common_InputFunctions.Utility_DisplayArrayInTable(Fertiliser_SourceData.Fertiliser_Products_Data2(), FertiliserProducts[[#Headers],[Company]],31)</f>
        <v/>
      </c>
      <c r="S130" s="173" t="str" cm="1">
        <f t="array" ref="S130">Common_InputFunctions.Utility_DisplayArrayInTable(Fertiliser_SourceData.Fertiliser_Products_Data2(), FertiliserProducts[[#Headers],[Company]],31)</f>
        <v/>
      </c>
      <c r="T130" s="173" t="str" cm="1">
        <f t="array" ref="T130">Common_InputFunctions.Utility_DisplayArrayInTable(Fertiliser_SourceData.Fertiliser_Products_Data2(), FertiliserProducts[[#Headers],[Company]],31)</f>
        <v/>
      </c>
      <c r="U130" s="173" t="str" cm="1">
        <f t="array" ref="U130">Common_InputFunctions.Utility_DisplayArrayInTable(Fertiliser_SourceData.Fertiliser_Products_Data2(), FertiliserProducts[[#Headers],[Company]],31)</f>
        <v/>
      </c>
      <c r="V130" s="173" t="str" cm="1">
        <f t="array" ref="V130">Common_InputFunctions.Utility_DisplayArrayInTable(Fertiliser_SourceData.Fertiliser_Products_Data2(), FertiliserProducts[[#Headers],[Company]],31)</f>
        <v/>
      </c>
      <c r="W130" s="173" t="str" cm="1">
        <f t="array" ref="W130">Common_InputFunctions.Utility_DisplayArrayInTable(Fertiliser_SourceData.Fertiliser_Products_Data2(), FertiliserProducts[[#Headers],[Company]],31)</f>
        <v/>
      </c>
      <c r="X130" s="173" t="str" cm="1">
        <f t="array" ref="X130">Common_InputFunctions.Utility_DisplayArrayInTable(Fertiliser_SourceData.Fertiliser_Products_Data2(), FertiliserProducts[[#Headers],[Company]],31)</f>
        <v/>
      </c>
      <c r="Y130" s="173" t="str" cm="1">
        <f t="array" ref="Y130">Common_InputFunctions.Utility_DisplayArrayInTable(Fertiliser_SourceData.Fertiliser_Products_Data2(), FertiliserProducts[[#Headers],[Company]],31)</f>
        <v/>
      </c>
      <c r="Z130" s="173" t="str" cm="1">
        <f t="array" ref="Z130">Common_InputFunctions.Utility_DisplayArrayInTable(Fertiliser_SourceData.Fertiliser_Products_Data2(), FertiliserProducts[[#Headers],[Company]],31)</f>
        <v/>
      </c>
      <c r="AA130" s="173" t="str" cm="1">
        <f t="array" ref="AA130">Common_InputFunctions.Utility_DisplayArrayInTable(Fertiliser_SourceData.Fertiliser_Products_Data2(), FertiliserProducts[[#Headers],[Company]],31)</f>
        <v/>
      </c>
      <c r="AB130" s="173" t="str" cm="1">
        <f t="array" ref="AB130">Common_InputFunctions.Utility_DisplayArrayInTable(Fertiliser_SourceData.Fertiliser_Products_Data2(), FertiliserProducts[[#Headers],[Company]],31)</f>
        <v/>
      </c>
      <c r="AC130" s="173" t="str" cm="1">
        <f t="array" ref="AC130">Common_InputFunctions.Utility_DisplayArrayInTable(Fertiliser_SourceData.Fertiliser_Products_Data2(), FertiliserProducts[[#Headers],[Company]],31)</f>
        <v/>
      </c>
      <c r="AD130" s="173" t="str" cm="1">
        <f t="array" ref="AD130">Common_InputFunctions.Utility_DisplayArrayInTable(Fertiliser_SourceData.Fertiliser_Products_Data2(), FertiliserProducts[[#Headers],[Company]],31)</f>
        <v/>
      </c>
      <c r="AE130" s="173" t="str" cm="1">
        <f t="array" ref="AE130">Common_InputFunctions.Utility_DisplayArrayInTable(Fertiliser_SourceData.Fertiliser_Products_Data2(), FertiliserProducts[[#Headers],[Company]],31)</f>
        <v/>
      </c>
      <c r="AF130" s="173" t="str" cm="1">
        <f t="array" ref="AF130">Common_InputFunctions.Utility_DisplayArrayInTable(Fertiliser_SourceData.Fertiliser_Products_Data2(), FertiliserProducts[[#Headers],[Company]],31)</f>
        <v/>
      </c>
      <c r="AG130" s="173" t="str" cm="1">
        <f t="array" ref="AG130">Common_InputFunctions.Utility_DisplayArrayInTable(Fertiliser_SourceData.Fertiliser_Products_Data2(), FertiliserProducts[[#Headers],[Company]],31)</f>
        <v/>
      </c>
      <c r="AH130" s="173"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73" t="str" cm="1">
        <f t="array" ref="D131">Common_InputFunctions.Utility_DisplayArrayInTable(Fertiliser_SourceData.Fertiliser_Products_Data2(), FertiliserProducts[[#Headers],[Company]],31)</f>
        <v>SL Tec</v>
      </c>
      <c r="E131" s="173" t="str" cm="1">
        <f t="array" ref="E131">Common_InputFunctions.Utility_DisplayArrayInTable(Fertiliser_SourceData.Fertiliser_Products_Data2(), FertiliserProducts[[#Headers],[Company]],31)</f>
        <v>Nitro Combi TE</v>
      </c>
      <c r="F131" s="173" t="str" cm="1">
        <f t="array" ref="F131">Common_InputFunctions.Utility_DisplayArrayInTable(Fertiliser_SourceData.Fertiliser_Products_Data2(), FertiliserProducts[[#Headers],[Company]],31)</f>
        <v>L</v>
      </c>
      <c r="G131" s="173" cm="1">
        <f t="array" ref="G131">Common_InputFunctions.Utility_DisplayArrayInTable(Fertiliser_SourceData.Fertiliser_Products_Data2(), FertiliserProducts[[#Headers],[Company]],31)</f>
        <v>1.2549999999999999</v>
      </c>
      <c r="H131" s="173" t="str" cm="1">
        <f t="array" ref="H131">Common_InputFunctions.Utility_DisplayArrayInTable(Fertiliser_SourceData.Fertiliser_Products_Data2(), FertiliserProducts[[#Headers],[Company]],31)</f>
        <v/>
      </c>
      <c r="I131" s="173" t="str" cm="1">
        <f t="array" ref="I131">Common_InputFunctions.Utility_DisplayArrayInTable(Fertiliser_SourceData.Fertiliser_Products_Data2(), FertiliserProducts[[#Headers],[Company]],31)</f>
        <v/>
      </c>
      <c r="J131" s="173" t="str" cm="1">
        <f t="array" ref="J131">Common_InputFunctions.Utility_DisplayArrayInTable(Fertiliser_SourceData.Fertiliser_Products_Data2(), FertiliserProducts[[#Headers],[Company]],31)</f>
        <v/>
      </c>
      <c r="K131" s="173" t="str" cm="1">
        <f t="array" ref="K131">Common_InputFunctions.Utility_DisplayArrayInTable(Fertiliser_SourceData.Fertiliser_Products_Data2(), FertiliserProducts[[#Headers],[Company]],31)</f>
        <v/>
      </c>
      <c r="L131" s="173" t="str" cm="1">
        <f t="array" ref="L131">Common_InputFunctions.Utility_DisplayArrayInTable(Fertiliser_SourceData.Fertiliser_Products_Data2(), FertiliserProducts[[#Headers],[Company]],31)</f>
        <v/>
      </c>
      <c r="M131" s="173" cm="1">
        <f t="array" ref="M131">Common_InputFunctions.Utility_DisplayArrayInTable(Fertiliser_SourceData.Fertiliser_Products_Data2(), FertiliserProducts[[#Headers],[Company]],31)</f>
        <v>0.1</v>
      </c>
      <c r="N131" s="173" cm="1">
        <f t="array" ref="N131">Common_InputFunctions.Utility_DisplayArrayInTable(Fertiliser_SourceData.Fertiliser_Products_Data2(), FertiliserProducts[[#Headers],[Company]],31)</f>
        <v>4.4000000000000004</v>
      </c>
      <c r="O131" s="173" t="str" cm="1">
        <f t="array" ref="O131">Common_InputFunctions.Utility_DisplayArrayInTable(Fertiliser_SourceData.Fertiliser_Products_Data2(), FertiliserProducts[[#Headers],[Company]],31)</f>
        <v>Sulfur - Generic</v>
      </c>
      <c r="P131" s="173" cm="1">
        <f t="array" ref="P131">Common_InputFunctions.Utility_DisplayArrayInTable(Fertiliser_SourceData.Fertiliser_Products_Data2(), FertiliserProducts[[#Headers],[Company]],31)</f>
        <v>4.3999999999999997E-2</v>
      </c>
      <c r="Q131" s="173" t="str" cm="1">
        <f t="array" ref="Q131">Common_InputFunctions.Utility_DisplayArrayInTable(Fertiliser_SourceData.Fertiliser_Products_Data2(), FertiliserProducts[[#Headers],[Company]],31)</f>
        <v>Zinc</v>
      </c>
      <c r="R131" s="173" cm="1">
        <f t="array" ref="R131">Common_InputFunctions.Utility_DisplayArrayInTable(Fertiliser_SourceData.Fertiliser_Products_Data2(), FertiliserProducts[[#Headers],[Company]],31)</f>
        <v>2.1999999999999999E-2</v>
      </c>
      <c r="S131" s="173" t="str" cm="1">
        <f t="array" ref="S131">Common_InputFunctions.Utility_DisplayArrayInTable(Fertiliser_SourceData.Fertiliser_Products_Data2(), FertiliserProducts[[#Headers],[Company]],31)</f>
        <v>Iron</v>
      </c>
      <c r="T131" s="173" cm="1">
        <f t="array" ref="T131">Common_InputFunctions.Utility_DisplayArrayInTable(Fertiliser_SourceData.Fertiliser_Products_Data2(), FertiliserProducts[[#Headers],[Company]],31)</f>
        <v>2.1999999999999999E-2</v>
      </c>
      <c r="U131" s="173" t="str" cm="1">
        <f t="array" ref="U131">Common_InputFunctions.Utility_DisplayArrayInTable(Fertiliser_SourceData.Fertiliser_Products_Data2(), FertiliserProducts[[#Headers],[Company]],31)</f>
        <v>Manganese</v>
      </c>
      <c r="V131" s="173" cm="1">
        <f t="array" ref="V131">Common_InputFunctions.Utility_DisplayArrayInTable(Fertiliser_SourceData.Fertiliser_Products_Data2(), FertiliserProducts[[#Headers],[Company]],31)</f>
        <v>1.6E-2</v>
      </c>
      <c r="W131" s="173" t="str" cm="1">
        <f t="array" ref="W131">Common_InputFunctions.Utility_DisplayArrayInTable(Fertiliser_SourceData.Fertiliser_Products_Data2(), FertiliserProducts[[#Headers],[Company]],31)</f>
        <v>Boron</v>
      </c>
      <c r="X131" s="173" cm="1">
        <f t="array" ref="X131">Common_InputFunctions.Utility_DisplayArrayInTable(Fertiliser_SourceData.Fertiliser_Products_Data2(), FertiliserProducts[[#Headers],[Company]],31)</f>
        <v>8.0000000000000002E-3</v>
      </c>
      <c r="Y131" s="173" t="str" cm="1">
        <f t="array" ref="Y131">Common_InputFunctions.Utility_DisplayArrayInTable(Fertiliser_SourceData.Fertiliser_Products_Data2(), FertiliserProducts[[#Headers],[Company]],31)</f>
        <v>Magnesium</v>
      </c>
      <c r="Z131" s="173" cm="1">
        <f t="array" ref="Z131">Common_InputFunctions.Utility_DisplayArrayInTable(Fertiliser_SourceData.Fertiliser_Products_Data2(), FertiliserProducts[[#Headers],[Company]],31)</f>
        <v>7.0000000000000001E-3</v>
      </c>
      <c r="AA131" s="173" t="str" cm="1">
        <f t="array" ref="AA131">Common_InputFunctions.Utility_DisplayArrayInTable(Fertiliser_SourceData.Fertiliser_Products_Data2(), FertiliserProducts[[#Headers],[Company]],31)</f>
        <v>Fulvic acid (organic)</v>
      </c>
      <c r="AB131" s="173" cm="1">
        <f t="array" ref="AB131">Common_InputFunctions.Utility_DisplayArrayInTable(Fertiliser_SourceData.Fertiliser_Products_Data2(), FertiliserProducts[[#Headers],[Company]],31)</f>
        <v>5.0000000000000001E-3</v>
      </c>
      <c r="AC131" s="173" t="str" cm="1">
        <f t="array" ref="AC131">Common_InputFunctions.Utility_DisplayArrayInTable(Fertiliser_SourceData.Fertiliser_Products_Data2(), FertiliserProducts[[#Headers],[Company]],31)</f>
        <v>Copper</v>
      </c>
      <c r="AD131" s="173" cm="1">
        <f t="array" ref="AD131">Common_InputFunctions.Utility_DisplayArrayInTable(Fertiliser_SourceData.Fertiliser_Products_Data2(), FertiliserProducts[[#Headers],[Company]],31)</f>
        <v>3.0000000000000001E-3</v>
      </c>
      <c r="AE131" s="173" t="str" cm="1">
        <f t="array" ref="AE131">Common_InputFunctions.Utility_DisplayArrayInTable(Fertiliser_SourceData.Fertiliser_Products_Data2(), FertiliserProducts[[#Headers],[Company]],31)</f>
        <v>Potassium - Generic</v>
      </c>
      <c r="AF131" s="173" cm="1">
        <f t="array" ref="AF131">Common_InputFunctions.Utility_DisplayArrayInTable(Fertiliser_SourceData.Fertiliser_Products_Data2(), FertiliserProducts[[#Headers],[Company]],31)</f>
        <v>1E-3</v>
      </c>
      <c r="AG131" s="173" t="str" cm="1">
        <f t="array" ref="AG131">Common_InputFunctions.Utility_DisplayArrayInTable(Fertiliser_SourceData.Fertiliser_Products_Data2(), FertiliserProducts[[#Headers],[Company]],31)</f>
        <v>Molybdenum</v>
      </c>
      <c r="AH131" s="173"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73" t="str" cm="1">
        <f t="array" ref="D132">Common_InputFunctions.Utility_DisplayArrayInTable(Fertiliser_SourceData.Fertiliser_Products_Data2(), FertiliserProducts[[#Headers],[Company]],31)</f>
        <v>Switch Ag</v>
      </c>
      <c r="E132" s="173" t="str" cm="1">
        <f t="array" ref="E132">Common_InputFunctions.Utility_DisplayArrayInTable(Fertiliser_SourceData.Fertiliser_Products_Data2(), FertiliserProducts[[#Headers],[Company]],31)</f>
        <v>PastureMAXX</v>
      </c>
      <c r="F132" s="173" t="str" cm="1">
        <f t="array" ref="F132">Common_InputFunctions.Utility_DisplayArrayInTable(Fertiliser_SourceData.Fertiliser_Products_Data2(), FertiliserProducts[[#Headers],[Company]],31)</f>
        <v>L</v>
      </c>
      <c r="G132" s="173" cm="1">
        <f t="array" ref="G132">Common_InputFunctions.Utility_DisplayArrayInTable(Fertiliser_SourceData.Fertiliser_Products_Data2(), FertiliserProducts[[#Headers],[Company]],31)</f>
        <v>1.23</v>
      </c>
      <c r="H132" s="173" t="str" cm="1">
        <f t="array" ref="H132">Common_InputFunctions.Utility_DisplayArrayInTable(Fertiliser_SourceData.Fertiliser_Products_Data2(), FertiliserProducts[[#Headers],[Company]],31)</f>
        <v/>
      </c>
      <c r="I132" s="173" t="str" cm="1">
        <f t="array" ref="I132">Common_InputFunctions.Utility_DisplayArrayInTable(Fertiliser_SourceData.Fertiliser_Products_Data2(), FertiliserProducts[[#Headers],[Company]],31)</f>
        <v/>
      </c>
      <c r="J132" s="173" t="str" cm="1">
        <f t="array" ref="J132">Common_InputFunctions.Utility_DisplayArrayInTable(Fertiliser_SourceData.Fertiliser_Products_Data2(), FertiliserProducts[[#Headers],[Company]],31)</f>
        <v/>
      </c>
      <c r="K132" s="173" cm="1">
        <f t="array" ref="K132">Common_InputFunctions.Utility_DisplayArrayInTable(Fertiliser_SourceData.Fertiliser_Products_Data2(), FertiliserProducts[[#Headers],[Company]],31)</f>
        <v>9.7100000000000009</v>
      </c>
      <c r="L132" s="173" t="str" cm="1">
        <f t="array" ref="L132">Common_InputFunctions.Utility_DisplayArrayInTable(Fertiliser_SourceData.Fertiliser_Products_Data2(), FertiliserProducts[[#Headers],[Company]],31)</f>
        <v/>
      </c>
      <c r="M132" s="173" cm="1">
        <f t="array" ref="M132">Common_InputFunctions.Utility_DisplayArrayInTable(Fertiliser_SourceData.Fertiliser_Products_Data2(), FertiliserProducts[[#Headers],[Company]],31)</f>
        <v>3.25</v>
      </c>
      <c r="N132" s="173" cm="1">
        <f t="array" ref="N132">Common_InputFunctions.Utility_DisplayArrayInTable(Fertiliser_SourceData.Fertiliser_Products_Data2(), FertiliserProducts[[#Headers],[Company]],31)</f>
        <v>2.11</v>
      </c>
      <c r="O132" s="173" t="str" cm="1">
        <f t="array" ref="O132">Common_InputFunctions.Utility_DisplayArrayInTable(Fertiliser_SourceData.Fertiliser_Products_Data2(), FertiliserProducts[[#Headers],[Company]],31)</f>
        <v>Nitrogen - Generic</v>
      </c>
      <c r="P132" s="173" cm="1">
        <f t="array" ref="P132">Common_InputFunctions.Utility_DisplayArrayInTable(Fertiliser_SourceData.Fertiliser_Products_Data2(), FertiliserProducts[[#Headers],[Company]],31)</f>
        <v>9.7100000000000006E-2</v>
      </c>
      <c r="Q132" s="173" t="str" cm="1">
        <f t="array" ref="Q132">Common_InputFunctions.Utility_DisplayArrayInTable(Fertiliser_SourceData.Fertiliser_Products_Data2(), FertiliserProducts[[#Headers],[Company]],31)</f>
        <v>Potassium - Generic</v>
      </c>
      <c r="R132" s="173" cm="1">
        <f t="array" ref="R132">Common_InputFunctions.Utility_DisplayArrayInTable(Fertiliser_SourceData.Fertiliser_Products_Data2(), FertiliserProducts[[#Headers],[Company]],31)</f>
        <v>3.2500000000000001E-2</v>
      </c>
      <c r="S132" s="173" t="str" cm="1">
        <f t="array" ref="S132">Common_InputFunctions.Utility_DisplayArrayInTable(Fertiliser_SourceData.Fertiliser_Products_Data2(), FertiliserProducts[[#Headers],[Company]],31)</f>
        <v>Sulfur - Generic</v>
      </c>
      <c r="T132" s="173" cm="1">
        <f t="array" ref="T132">Common_InputFunctions.Utility_DisplayArrayInTable(Fertiliser_SourceData.Fertiliser_Products_Data2(), FertiliserProducts[[#Headers],[Company]],31)</f>
        <v>2.1100000000000001E-2</v>
      </c>
      <c r="U132" s="173" t="str" cm="1">
        <f t="array" ref="U132">Common_InputFunctions.Utility_DisplayArrayInTable(Fertiliser_SourceData.Fertiliser_Products_Data2(), FertiliserProducts[[#Headers],[Company]],31)</f>
        <v>Zinc</v>
      </c>
      <c r="V132" s="173" cm="1">
        <f t="array" ref="V132">Common_InputFunctions.Utility_DisplayArrayInTable(Fertiliser_SourceData.Fertiliser_Products_Data2(), FertiliserProducts[[#Headers],[Company]],31)</f>
        <v>1.4999999999999999E-2</v>
      </c>
      <c r="W132" s="173" t="str" cm="1">
        <f t="array" ref="W132">Common_InputFunctions.Utility_DisplayArrayInTable(Fertiliser_SourceData.Fertiliser_Products_Data2(), FertiliserProducts[[#Headers],[Company]],31)</f>
        <v>Iron</v>
      </c>
      <c r="X132" s="173" cm="1">
        <f t="array" ref="X132">Common_InputFunctions.Utility_DisplayArrayInTable(Fertiliser_SourceData.Fertiliser_Products_Data2(), FertiliserProducts[[#Headers],[Company]],31)</f>
        <v>1.11E-2</v>
      </c>
      <c r="Y132" s="173" t="str" cm="1">
        <f t="array" ref="Y132">Common_InputFunctions.Utility_DisplayArrayInTable(Fertiliser_SourceData.Fertiliser_Products_Data2(), FertiliserProducts[[#Headers],[Company]],31)</f>
        <v>Manganese</v>
      </c>
      <c r="Z132" s="173" cm="1">
        <f t="array" ref="Z132">Common_InputFunctions.Utility_DisplayArrayInTable(Fertiliser_SourceData.Fertiliser_Products_Data2(), FertiliserProducts[[#Headers],[Company]],31)</f>
        <v>1.15E-2</v>
      </c>
      <c r="AA132" s="173" t="str" cm="1">
        <f t="array" ref="AA132">Common_InputFunctions.Utility_DisplayArrayInTable(Fertiliser_SourceData.Fertiliser_Products_Data2(), FertiliserProducts[[#Headers],[Company]],31)</f>
        <v>Magnesium</v>
      </c>
      <c r="AB132" s="173" cm="1">
        <f t="array" ref="AB132">Common_InputFunctions.Utility_DisplayArrayInTable(Fertiliser_SourceData.Fertiliser_Products_Data2(), FertiliserProducts[[#Headers],[Company]],31)</f>
        <v>4.4999999999999997E-3</v>
      </c>
      <c r="AC132" s="173" t="str" cm="1">
        <f t="array" ref="AC132">Common_InputFunctions.Utility_DisplayArrayInTable(Fertiliser_SourceData.Fertiliser_Products_Data2(), FertiliserProducts[[#Headers],[Company]],31)</f>
        <v>Boron</v>
      </c>
      <c r="AD132" s="173" cm="1">
        <f t="array" ref="AD132">Common_InputFunctions.Utility_DisplayArrayInTable(Fertiliser_SourceData.Fertiliser_Products_Data2(), FertiliserProducts[[#Headers],[Company]],31)</f>
        <v>2E-3</v>
      </c>
      <c r="AE132" s="173" t="str" cm="1">
        <f t="array" ref="AE132">Common_InputFunctions.Utility_DisplayArrayInTable(Fertiliser_SourceData.Fertiliser_Products_Data2(), FertiliserProducts[[#Headers],[Company]],31)</f>
        <v/>
      </c>
      <c r="AF132" s="173" t="str" cm="1">
        <f t="array" ref="AF132">Common_InputFunctions.Utility_DisplayArrayInTable(Fertiliser_SourceData.Fertiliser_Products_Data2(), FertiliserProducts[[#Headers],[Company]],31)</f>
        <v/>
      </c>
      <c r="AG132" s="173" t="str" cm="1">
        <f t="array" ref="AG132">Common_InputFunctions.Utility_DisplayArrayInTable(Fertiliser_SourceData.Fertiliser_Products_Data2(), FertiliserProducts[[#Headers],[Company]],31)</f>
        <v/>
      </c>
      <c r="AH132" s="173"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73" t="str" cm="1">
        <f t="array" ref="D133">Common_InputFunctions.Utility_DisplayArrayInTable(Fertiliser_SourceData.Fertiliser_Products_Data2(), FertiliserProducts[[#Headers],[Company]],31)</f>
        <v>Campbells fertilisers Australia</v>
      </c>
      <c r="E133" s="173" t="str" cm="1">
        <f t="array" ref="E133">Common_InputFunctions.Utility_DisplayArrayInTable(Fertiliser_SourceData.Fertiliser_Products_Data2(), FertiliserProducts[[#Headers],[Company]],31)</f>
        <v>Platinum Nergetic</v>
      </c>
      <c r="F133" s="173" t="str" cm="1">
        <f t="array" ref="F133">Common_InputFunctions.Utility_DisplayArrayInTable(Fertiliser_SourceData.Fertiliser_Products_Data2(), FertiliserProducts[[#Headers],[Company]],31)</f>
        <v>kg</v>
      </c>
      <c r="G133" s="173" cm="1">
        <f t="array" ref="G133">Common_InputFunctions.Utility_DisplayArrayInTable(Fertiliser_SourceData.Fertiliser_Products_Data2(), FertiliserProducts[[#Headers],[Company]],31)</f>
        <v>1</v>
      </c>
      <c r="H133" s="173" t="str" cm="1">
        <f t="array" ref="H133">Common_InputFunctions.Utility_DisplayArrayInTable(Fertiliser_SourceData.Fertiliser_Products_Data2(), FertiliserProducts[[#Headers],[Company]],31)</f>
        <v/>
      </c>
      <c r="I133" s="173" t="str" cm="1">
        <f t="array" ref="I133">Common_InputFunctions.Utility_DisplayArrayInTable(Fertiliser_SourceData.Fertiliser_Products_Data2(), FertiliserProducts[[#Headers],[Company]],31)</f>
        <v/>
      </c>
      <c r="J133" s="173" t="str" cm="1">
        <f t="array" ref="J133">Common_InputFunctions.Utility_DisplayArrayInTable(Fertiliser_SourceData.Fertiliser_Products_Data2(), FertiliserProducts[[#Headers],[Company]],31)</f>
        <v/>
      </c>
      <c r="K133" s="173" cm="1">
        <f t="array" ref="K133">Common_InputFunctions.Utility_DisplayArrayInTable(Fertiliser_SourceData.Fertiliser_Products_Data2(), FertiliserProducts[[#Headers],[Company]],31)</f>
        <v>10</v>
      </c>
      <c r="L133" s="173" cm="1">
        <f t="array" ref="L133">Common_InputFunctions.Utility_DisplayArrayInTable(Fertiliser_SourceData.Fertiliser_Products_Data2(), FertiliserProducts[[#Headers],[Company]],31)</f>
        <v>10.9</v>
      </c>
      <c r="M133" s="173" cm="1">
        <f t="array" ref="M133">Common_InputFunctions.Utility_DisplayArrayInTable(Fertiliser_SourceData.Fertiliser_Products_Data2(), FertiliserProducts[[#Headers],[Company]],31)</f>
        <v>10</v>
      </c>
      <c r="N133" s="173" cm="1">
        <f t="array" ref="N133">Common_InputFunctions.Utility_DisplayArrayInTable(Fertiliser_SourceData.Fertiliser_Products_Data2(), FertiliserProducts[[#Headers],[Company]],31)</f>
        <v>4.34</v>
      </c>
      <c r="O133" s="173" t="str" cm="1">
        <f t="array" ref="O133">Common_InputFunctions.Utility_DisplayArrayInTable(Fertiliser_SourceData.Fertiliser_Products_Data2(), FertiliserProducts[[#Headers],[Company]],31)</f>
        <v>Monoammonium phosphate (MAP)</v>
      </c>
      <c r="P133" s="173" cm="1">
        <f t="array" ref="P133">Common_InputFunctions.Utility_DisplayArrayInTable(Fertiliser_SourceData.Fertiliser_Products_Data2(), FertiliserProducts[[#Headers],[Company]],31)</f>
        <v>0.4178</v>
      </c>
      <c r="Q133" s="173" t="str" cm="1">
        <f t="array" ref="Q133">Common_InputFunctions.Utility_DisplayArrayInTable(Fertiliser_SourceData.Fertiliser_Products_Data2(), FertiliserProducts[[#Headers],[Company]],31)</f>
        <v>Ammonium nitrate (AN)</v>
      </c>
      <c r="R133" s="173" cm="1">
        <f t="array" ref="R133">Common_InputFunctions.Utility_DisplayArrayInTable(Fertiliser_SourceData.Fertiliser_Products_Data2(), FertiliserProducts[[#Headers],[Company]],31)</f>
        <v>0.17280000000000001</v>
      </c>
      <c r="S133" s="173" t="str" cm="1">
        <f t="array" ref="S133">Common_InputFunctions.Utility_DisplayArrayInTable(Fertiliser_SourceData.Fertiliser_Products_Data2(), FertiliserProducts[[#Headers],[Company]],31)</f>
        <v>Potassium sulphate</v>
      </c>
      <c r="T133" s="173" cm="1">
        <f t="array" ref="T133">Common_InputFunctions.Utility_DisplayArrayInTable(Fertiliser_SourceData.Fertiliser_Products_Data2(), FertiliserProducts[[#Headers],[Company]],31)</f>
        <v>0.24096400000000001</v>
      </c>
      <c r="U133" s="173" t="str" cm="1">
        <f t="array" ref="U133">Common_InputFunctions.Utility_DisplayArrayInTable(Fertiliser_SourceData.Fertiliser_Products_Data2(), FertiliserProducts[[#Headers],[Company]],31)</f>
        <v>Double superphosphate</v>
      </c>
      <c r="V133" s="173" cm="1">
        <f t="array" ref="V133">Common_InputFunctions.Utility_DisplayArrayInTable(Fertiliser_SourceData.Fertiliser_Products_Data2(), FertiliserProducts[[#Headers],[Company]],31)</f>
        <v>0.1</v>
      </c>
      <c r="W133" s="173" t="str" cm="1">
        <f t="array" ref="W133">Common_InputFunctions.Utility_DisplayArrayInTable(Fertiliser_SourceData.Fertiliser_Products_Data2(), FertiliserProducts[[#Headers],[Company]],31)</f>
        <v>Magnesium</v>
      </c>
      <c r="X133" s="173" cm="1">
        <f t="array" ref="X133">Common_InputFunctions.Utility_DisplayArrayInTable(Fertiliser_SourceData.Fertiliser_Products_Data2(), FertiliserProducts[[#Headers],[Company]],31)</f>
        <v>1.2E-2</v>
      </c>
      <c r="Y133" s="173" t="str" cm="1">
        <f t="array" ref="Y133">Common_InputFunctions.Utility_DisplayArrayInTable(Fertiliser_SourceData.Fertiliser_Products_Data2(), FertiliserProducts[[#Headers],[Company]],31)</f>
        <v>Zinc</v>
      </c>
      <c r="Z133" s="173" cm="1">
        <f t="array" ref="Z133">Common_InputFunctions.Utility_DisplayArrayInTable(Fertiliser_SourceData.Fertiliser_Products_Data2(), FertiliserProducts[[#Headers],[Company]],31)</f>
        <v>3.5999999999999999E-3</v>
      </c>
      <c r="AA133" s="173" t="str" cm="1">
        <f t="array" ref="AA133">Common_InputFunctions.Utility_DisplayArrayInTable(Fertiliser_SourceData.Fertiliser_Products_Data2(), FertiliserProducts[[#Headers],[Company]],31)</f>
        <v>Boron</v>
      </c>
      <c r="AB133" s="173" cm="1">
        <f t="array" ref="AB133">Common_InputFunctions.Utility_DisplayArrayInTable(Fertiliser_SourceData.Fertiliser_Products_Data2(), FertiliserProducts[[#Headers],[Company]],31)</f>
        <v>1E-3</v>
      </c>
      <c r="AC133" s="173" t="str" cm="1">
        <f t="array" ref="AC133">Common_InputFunctions.Utility_DisplayArrayInTable(Fertiliser_SourceData.Fertiliser_Products_Data2(), FertiliserProducts[[#Headers],[Company]],31)</f>
        <v>Glaze Extend G3 Flexi</v>
      </c>
      <c r="AD133" s="173" cm="1">
        <f t="array" ref="AD133">Common_InputFunctions.Utility_DisplayArrayInTable(Fertiliser_SourceData.Fertiliser_Products_Data2(), FertiliserProducts[[#Headers],[Company]],31)</f>
        <v>5.1900000000000002E-2</v>
      </c>
      <c r="AE133" s="173" t="str" cm="1">
        <f t="array" ref="AE133">Common_InputFunctions.Utility_DisplayArrayInTable(Fertiliser_SourceData.Fertiliser_Products_Data2(), FertiliserProducts[[#Headers],[Company]],31)</f>
        <v/>
      </c>
      <c r="AF133" s="173" t="str" cm="1">
        <f t="array" ref="AF133">Common_InputFunctions.Utility_DisplayArrayInTable(Fertiliser_SourceData.Fertiliser_Products_Data2(), FertiliserProducts[[#Headers],[Company]],31)</f>
        <v/>
      </c>
      <c r="AG133" s="173" t="str" cm="1">
        <f t="array" ref="AG133">Common_InputFunctions.Utility_DisplayArrayInTable(Fertiliser_SourceData.Fertiliser_Products_Data2(), FertiliserProducts[[#Headers],[Company]],31)</f>
        <v/>
      </c>
      <c r="AH133" s="173"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73" t="str" cm="1">
        <f t="array" ref="D134">Common_InputFunctions.Utility_DisplayArrayInTable(Fertiliser_SourceData.Fertiliser_Products_Data2(), FertiliserProducts[[#Headers],[Company]],31)</f>
        <v>Impact Fertilisers</v>
      </c>
      <c r="E134" s="173" t="str" cm="1">
        <f t="array" ref="E134">Common_InputFunctions.Utility_DisplayArrayInTable(Fertiliser_SourceData.Fertiliser_Products_Data2(), FertiliserProducts[[#Headers],[Company]],31)</f>
        <v>Sulphate of ammonia (SOA)</v>
      </c>
      <c r="F134" s="173" t="str" cm="1">
        <f t="array" ref="F134">Common_InputFunctions.Utility_DisplayArrayInTable(Fertiliser_SourceData.Fertiliser_Products_Data2(), FertiliserProducts[[#Headers],[Company]],31)</f>
        <v>kg</v>
      </c>
      <c r="G134" s="173" cm="1">
        <f t="array" ref="G134">Common_InputFunctions.Utility_DisplayArrayInTable(Fertiliser_SourceData.Fertiliser_Products_Data2(), FertiliserProducts[[#Headers],[Company]],31)</f>
        <v>1</v>
      </c>
      <c r="H134" s="173" t="str" cm="1">
        <f t="array" ref="H134">Common_InputFunctions.Utility_DisplayArrayInTable(Fertiliser_SourceData.Fertiliser_Products_Data2(), FertiliserProducts[[#Headers],[Company]],31)</f>
        <v/>
      </c>
      <c r="I134" s="173" t="str" cm="1">
        <f t="array" ref="I134">Common_InputFunctions.Utility_DisplayArrayInTable(Fertiliser_SourceData.Fertiliser_Products_Data2(), FertiliserProducts[[#Headers],[Company]],31)</f>
        <v/>
      </c>
      <c r="J134" s="173" t="str" cm="1">
        <f t="array" ref="J134">Common_InputFunctions.Utility_DisplayArrayInTable(Fertiliser_SourceData.Fertiliser_Products_Data2(), FertiliserProducts[[#Headers],[Company]],31)</f>
        <v/>
      </c>
      <c r="K134" s="173" cm="1">
        <f t="array" ref="K134">Common_InputFunctions.Utility_DisplayArrayInTable(Fertiliser_SourceData.Fertiliser_Products_Data2(), FertiliserProducts[[#Headers],[Company]],31)</f>
        <v>21</v>
      </c>
      <c r="L134" s="173" t="str" cm="1">
        <f t="array" ref="L134">Common_InputFunctions.Utility_DisplayArrayInTable(Fertiliser_SourceData.Fertiliser_Products_Data2(), FertiliserProducts[[#Headers],[Company]],31)</f>
        <v/>
      </c>
      <c r="M134" s="173" t="str" cm="1">
        <f t="array" ref="M134">Common_InputFunctions.Utility_DisplayArrayInTable(Fertiliser_SourceData.Fertiliser_Products_Data2(), FertiliserProducts[[#Headers],[Company]],31)</f>
        <v/>
      </c>
      <c r="N134" s="173" cm="1">
        <f t="array" ref="N134">Common_InputFunctions.Utility_DisplayArrayInTable(Fertiliser_SourceData.Fertiliser_Products_Data2(), FertiliserProducts[[#Headers],[Company]],31)</f>
        <v>24</v>
      </c>
      <c r="O134" s="173" t="str" cm="1">
        <f t="array" ref="O134">Common_InputFunctions.Utility_DisplayArrayInTable(Fertiliser_SourceData.Fertiliser_Products_Data2(), FertiliserProducts[[#Headers],[Company]],31)</f>
        <v>Sulphate of ammonia (SOA)</v>
      </c>
      <c r="P134" s="173" cm="1">
        <f t="array" ref="P134">Common_InputFunctions.Utility_DisplayArrayInTable(Fertiliser_SourceData.Fertiliser_Products_Data2(), FertiliserProducts[[#Headers],[Company]],31)</f>
        <v>1</v>
      </c>
      <c r="Q134" s="173" t="str" cm="1">
        <f t="array" ref="Q134">Common_InputFunctions.Utility_DisplayArrayInTable(Fertiliser_SourceData.Fertiliser_Products_Data2(), FertiliserProducts[[#Headers],[Company]],31)</f>
        <v/>
      </c>
      <c r="R134" s="173" t="str" cm="1">
        <f t="array" ref="R134">Common_InputFunctions.Utility_DisplayArrayInTable(Fertiliser_SourceData.Fertiliser_Products_Data2(), FertiliserProducts[[#Headers],[Company]],31)</f>
        <v/>
      </c>
      <c r="S134" s="173" t="str" cm="1">
        <f t="array" ref="S134">Common_InputFunctions.Utility_DisplayArrayInTable(Fertiliser_SourceData.Fertiliser_Products_Data2(), FertiliserProducts[[#Headers],[Company]],31)</f>
        <v/>
      </c>
      <c r="T134" s="173" t="str" cm="1">
        <f t="array" ref="T134">Common_InputFunctions.Utility_DisplayArrayInTable(Fertiliser_SourceData.Fertiliser_Products_Data2(), FertiliserProducts[[#Headers],[Company]],31)</f>
        <v/>
      </c>
      <c r="U134" s="173" t="str" cm="1">
        <f t="array" ref="U134">Common_InputFunctions.Utility_DisplayArrayInTable(Fertiliser_SourceData.Fertiliser_Products_Data2(), FertiliserProducts[[#Headers],[Company]],31)</f>
        <v/>
      </c>
      <c r="V134" s="173" t="str" cm="1">
        <f t="array" ref="V134">Common_InputFunctions.Utility_DisplayArrayInTable(Fertiliser_SourceData.Fertiliser_Products_Data2(), FertiliserProducts[[#Headers],[Company]],31)</f>
        <v/>
      </c>
      <c r="W134" s="173" t="str" cm="1">
        <f t="array" ref="W134">Common_InputFunctions.Utility_DisplayArrayInTable(Fertiliser_SourceData.Fertiliser_Products_Data2(), FertiliserProducts[[#Headers],[Company]],31)</f>
        <v/>
      </c>
      <c r="X134" s="173" t="str" cm="1">
        <f t="array" ref="X134">Common_InputFunctions.Utility_DisplayArrayInTable(Fertiliser_SourceData.Fertiliser_Products_Data2(), FertiliserProducts[[#Headers],[Company]],31)</f>
        <v/>
      </c>
      <c r="Y134" s="173" t="str" cm="1">
        <f t="array" ref="Y134">Common_InputFunctions.Utility_DisplayArrayInTable(Fertiliser_SourceData.Fertiliser_Products_Data2(), FertiliserProducts[[#Headers],[Company]],31)</f>
        <v/>
      </c>
      <c r="Z134" s="173" t="str" cm="1">
        <f t="array" ref="Z134">Common_InputFunctions.Utility_DisplayArrayInTable(Fertiliser_SourceData.Fertiliser_Products_Data2(), FertiliserProducts[[#Headers],[Company]],31)</f>
        <v/>
      </c>
      <c r="AA134" s="173" t="str" cm="1">
        <f t="array" ref="AA134">Common_InputFunctions.Utility_DisplayArrayInTable(Fertiliser_SourceData.Fertiliser_Products_Data2(), FertiliserProducts[[#Headers],[Company]],31)</f>
        <v/>
      </c>
      <c r="AB134" s="173" t="str" cm="1">
        <f t="array" ref="AB134">Common_InputFunctions.Utility_DisplayArrayInTable(Fertiliser_SourceData.Fertiliser_Products_Data2(), FertiliserProducts[[#Headers],[Company]],31)</f>
        <v/>
      </c>
      <c r="AC134" s="173" t="str" cm="1">
        <f t="array" ref="AC134">Common_InputFunctions.Utility_DisplayArrayInTable(Fertiliser_SourceData.Fertiliser_Products_Data2(), FertiliserProducts[[#Headers],[Company]],31)</f>
        <v/>
      </c>
      <c r="AD134" s="173" t="str" cm="1">
        <f t="array" ref="AD134">Common_InputFunctions.Utility_DisplayArrayInTable(Fertiliser_SourceData.Fertiliser_Products_Data2(), FertiliserProducts[[#Headers],[Company]],31)</f>
        <v/>
      </c>
      <c r="AE134" s="173" t="str" cm="1">
        <f t="array" ref="AE134">Common_InputFunctions.Utility_DisplayArrayInTable(Fertiliser_SourceData.Fertiliser_Products_Data2(), FertiliserProducts[[#Headers],[Company]],31)</f>
        <v/>
      </c>
      <c r="AF134" s="173" t="str" cm="1">
        <f t="array" ref="AF134">Common_InputFunctions.Utility_DisplayArrayInTable(Fertiliser_SourceData.Fertiliser_Products_Data2(), FertiliserProducts[[#Headers],[Company]],31)</f>
        <v/>
      </c>
      <c r="AG134" s="173" t="str" cm="1">
        <f t="array" ref="AG134">Common_InputFunctions.Utility_DisplayArrayInTable(Fertiliser_SourceData.Fertiliser_Products_Data2(), FertiliserProducts[[#Headers],[Company]],31)</f>
        <v/>
      </c>
      <c r="AH134" s="173"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73" t="str" cm="1">
        <f t="array" ref="D135">Common_InputFunctions.Utility_DisplayArrayInTable(Fertiliser_SourceData.Fertiliser_Products_Data2(), FertiliserProducts[[#Headers],[Company]],31)</f>
        <v>Impact Fertilisers</v>
      </c>
      <c r="E135" s="173" t="str" cm="1">
        <f t="array" ref="E135">Common_InputFunctions.Utility_DisplayArrayInTable(Fertiliser_SourceData.Fertiliser_Products_Data2(), FertiliserProducts[[#Headers],[Company]],31)</f>
        <v>Mono-Ammonium Phosphate (MAP)</v>
      </c>
      <c r="F135" s="173" t="str" cm="1">
        <f t="array" ref="F135">Common_InputFunctions.Utility_DisplayArrayInTable(Fertiliser_SourceData.Fertiliser_Products_Data2(), FertiliserProducts[[#Headers],[Company]],31)</f>
        <v>kg</v>
      </c>
      <c r="G135" s="173" cm="1">
        <f t="array" ref="G135">Common_InputFunctions.Utility_DisplayArrayInTable(Fertiliser_SourceData.Fertiliser_Products_Data2(), FertiliserProducts[[#Headers],[Company]],31)</f>
        <v>1</v>
      </c>
      <c r="H135" s="173" t="str" cm="1">
        <f t="array" ref="H135">Common_InputFunctions.Utility_DisplayArrayInTable(Fertiliser_SourceData.Fertiliser_Products_Data2(), FertiliserProducts[[#Headers],[Company]],31)</f>
        <v/>
      </c>
      <c r="I135" s="173" t="str" cm="1">
        <f t="array" ref="I135">Common_InputFunctions.Utility_DisplayArrayInTable(Fertiliser_SourceData.Fertiliser_Products_Data2(), FertiliserProducts[[#Headers],[Company]],31)</f>
        <v/>
      </c>
      <c r="J135" s="173" t="str" cm="1">
        <f t="array" ref="J135">Common_InputFunctions.Utility_DisplayArrayInTable(Fertiliser_SourceData.Fertiliser_Products_Data2(), FertiliserProducts[[#Headers],[Company]],31)</f>
        <v/>
      </c>
      <c r="K135" s="173" cm="1">
        <f t="array" ref="K135">Common_InputFunctions.Utility_DisplayArrayInTable(Fertiliser_SourceData.Fertiliser_Products_Data2(), FertiliserProducts[[#Headers],[Company]],31)</f>
        <v>10</v>
      </c>
      <c r="L135" s="173" cm="1">
        <f t="array" ref="L135">Common_InputFunctions.Utility_DisplayArrayInTable(Fertiliser_SourceData.Fertiliser_Products_Data2(), FertiliserProducts[[#Headers],[Company]],31)</f>
        <v>21.9</v>
      </c>
      <c r="M135" s="173" t="str" cm="1">
        <f t="array" ref="M135">Common_InputFunctions.Utility_DisplayArrayInTable(Fertiliser_SourceData.Fertiliser_Products_Data2(), FertiliserProducts[[#Headers],[Company]],31)</f>
        <v/>
      </c>
      <c r="N135" s="173" cm="1">
        <f t="array" ref="N135">Common_InputFunctions.Utility_DisplayArrayInTable(Fertiliser_SourceData.Fertiliser_Products_Data2(), FertiliserProducts[[#Headers],[Company]],31)</f>
        <v>1.5</v>
      </c>
      <c r="O135" s="173" t="str" cm="1">
        <f t="array" ref="O135">Common_InputFunctions.Utility_DisplayArrayInTable(Fertiliser_SourceData.Fertiliser_Products_Data2(), FertiliserProducts[[#Headers],[Company]],31)</f>
        <v>Monoammonium phosphate (MAP)</v>
      </c>
      <c r="P135" s="173" cm="1">
        <f t="array" ref="P135">Common_InputFunctions.Utility_DisplayArrayInTable(Fertiliser_SourceData.Fertiliser_Products_Data2(), FertiliserProducts[[#Headers],[Company]],31)</f>
        <v>1</v>
      </c>
      <c r="Q135" s="173" t="str" cm="1">
        <f t="array" ref="Q135">Common_InputFunctions.Utility_DisplayArrayInTable(Fertiliser_SourceData.Fertiliser_Products_Data2(), FertiliserProducts[[#Headers],[Company]],31)</f>
        <v/>
      </c>
      <c r="R135" s="173" t="str" cm="1">
        <f t="array" ref="R135">Common_InputFunctions.Utility_DisplayArrayInTable(Fertiliser_SourceData.Fertiliser_Products_Data2(), FertiliserProducts[[#Headers],[Company]],31)</f>
        <v/>
      </c>
      <c r="S135" s="173" t="str" cm="1">
        <f t="array" ref="S135">Common_InputFunctions.Utility_DisplayArrayInTable(Fertiliser_SourceData.Fertiliser_Products_Data2(), FertiliserProducts[[#Headers],[Company]],31)</f>
        <v/>
      </c>
      <c r="T135" s="173" t="str" cm="1">
        <f t="array" ref="T135">Common_InputFunctions.Utility_DisplayArrayInTable(Fertiliser_SourceData.Fertiliser_Products_Data2(), FertiliserProducts[[#Headers],[Company]],31)</f>
        <v/>
      </c>
      <c r="U135" s="173" t="str" cm="1">
        <f t="array" ref="U135">Common_InputFunctions.Utility_DisplayArrayInTable(Fertiliser_SourceData.Fertiliser_Products_Data2(), FertiliserProducts[[#Headers],[Company]],31)</f>
        <v/>
      </c>
      <c r="V135" s="173" t="str" cm="1">
        <f t="array" ref="V135">Common_InputFunctions.Utility_DisplayArrayInTable(Fertiliser_SourceData.Fertiliser_Products_Data2(), FertiliserProducts[[#Headers],[Company]],31)</f>
        <v/>
      </c>
      <c r="W135" s="173" t="str" cm="1">
        <f t="array" ref="W135">Common_InputFunctions.Utility_DisplayArrayInTable(Fertiliser_SourceData.Fertiliser_Products_Data2(), FertiliserProducts[[#Headers],[Company]],31)</f>
        <v/>
      </c>
      <c r="X135" s="173" t="str" cm="1">
        <f t="array" ref="X135">Common_InputFunctions.Utility_DisplayArrayInTable(Fertiliser_SourceData.Fertiliser_Products_Data2(), FertiliserProducts[[#Headers],[Company]],31)</f>
        <v/>
      </c>
      <c r="Y135" s="173" t="str" cm="1">
        <f t="array" ref="Y135">Common_InputFunctions.Utility_DisplayArrayInTable(Fertiliser_SourceData.Fertiliser_Products_Data2(), FertiliserProducts[[#Headers],[Company]],31)</f>
        <v/>
      </c>
      <c r="Z135" s="173" t="str" cm="1">
        <f t="array" ref="Z135">Common_InputFunctions.Utility_DisplayArrayInTable(Fertiliser_SourceData.Fertiliser_Products_Data2(), FertiliserProducts[[#Headers],[Company]],31)</f>
        <v/>
      </c>
      <c r="AA135" s="173" t="str" cm="1">
        <f t="array" ref="AA135">Common_InputFunctions.Utility_DisplayArrayInTable(Fertiliser_SourceData.Fertiliser_Products_Data2(), FertiliserProducts[[#Headers],[Company]],31)</f>
        <v/>
      </c>
      <c r="AB135" s="173" t="str" cm="1">
        <f t="array" ref="AB135">Common_InputFunctions.Utility_DisplayArrayInTable(Fertiliser_SourceData.Fertiliser_Products_Data2(), FertiliserProducts[[#Headers],[Company]],31)</f>
        <v/>
      </c>
      <c r="AC135" s="173" t="str" cm="1">
        <f t="array" ref="AC135">Common_InputFunctions.Utility_DisplayArrayInTable(Fertiliser_SourceData.Fertiliser_Products_Data2(), FertiliserProducts[[#Headers],[Company]],31)</f>
        <v/>
      </c>
      <c r="AD135" s="173" t="str" cm="1">
        <f t="array" ref="AD135">Common_InputFunctions.Utility_DisplayArrayInTable(Fertiliser_SourceData.Fertiliser_Products_Data2(), FertiliserProducts[[#Headers],[Company]],31)</f>
        <v/>
      </c>
      <c r="AE135" s="173" t="str" cm="1">
        <f t="array" ref="AE135">Common_InputFunctions.Utility_DisplayArrayInTable(Fertiliser_SourceData.Fertiliser_Products_Data2(), FertiliserProducts[[#Headers],[Company]],31)</f>
        <v/>
      </c>
      <c r="AF135" s="173" t="str" cm="1">
        <f t="array" ref="AF135">Common_InputFunctions.Utility_DisplayArrayInTable(Fertiliser_SourceData.Fertiliser_Products_Data2(), FertiliserProducts[[#Headers],[Company]],31)</f>
        <v/>
      </c>
      <c r="AG135" s="173" t="str" cm="1">
        <f t="array" ref="AG135">Common_InputFunctions.Utility_DisplayArrayInTable(Fertiliser_SourceData.Fertiliser_Products_Data2(), FertiliserProducts[[#Headers],[Company]],31)</f>
        <v/>
      </c>
      <c r="AH135" s="173"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73" t="str" cm="1">
        <f t="array" ref="D136">Common_InputFunctions.Utility_DisplayArrayInTable(Fertiliser_SourceData.Fertiliser_Products_Data2(), FertiliserProducts[[#Headers],[Company]],31)</f>
        <v>Impact Fertilisers</v>
      </c>
      <c r="E136" s="173" t="str" cm="1">
        <f t="array" ref="E136">Common_InputFunctions.Utility_DisplayArrayInTable(Fertiliser_SourceData.Fertiliser_Products_Data2(), FertiliserProducts[[#Headers],[Company]],31)</f>
        <v>Urea</v>
      </c>
      <c r="F136" s="173" t="str" cm="1">
        <f t="array" ref="F136">Common_InputFunctions.Utility_DisplayArrayInTable(Fertiliser_SourceData.Fertiliser_Products_Data2(), FertiliserProducts[[#Headers],[Company]],31)</f>
        <v>kg</v>
      </c>
      <c r="G136" s="173" cm="1">
        <f t="array" ref="G136">Common_InputFunctions.Utility_DisplayArrayInTable(Fertiliser_SourceData.Fertiliser_Products_Data2(), FertiliserProducts[[#Headers],[Company]],31)</f>
        <v>1</v>
      </c>
      <c r="H136" s="173" t="str" cm="1">
        <f t="array" ref="H136">Common_InputFunctions.Utility_DisplayArrayInTable(Fertiliser_SourceData.Fertiliser_Products_Data2(), FertiliserProducts[[#Headers],[Company]],31)</f>
        <v/>
      </c>
      <c r="I136" s="173" t="str" cm="1">
        <f t="array" ref="I136">Common_InputFunctions.Utility_DisplayArrayInTable(Fertiliser_SourceData.Fertiliser_Products_Data2(), FertiliserProducts[[#Headers],[Company]],31)</f>
        <v/>
      </c>
      <c r="J136" s="173" t="str" cm="1">
        <f t="array" ref="J136">Common_InputFunctions.Utility_DisplayArrayInTable(Fertiliser_SourceData.Fertiliser_Products_Data2(), FertiliserProducts[[#Headers],[Company]],31)</f>
        <v/>
      </c>
      <c r="K136" s="173" cm="1">
        <f t="array" ref="K136">Common_InputFunctions.Utility_DisplayArrayInTable(Fertiliser_SourceData.Fertiliser_Products_Data2(), FertiliserProducts[[#Headers],[Company]],31)</f>
        <v>46</v>
      </c>
      <c r="L136" s="173" t="str" cm="1">
        <f t="array" ref="L136">Common_InputFunctions.Utility_DisplayArrayInTable(Fertiliser_SourceData.Fertiliser_Products_Data2(), FertiliserProducts[[#Headers],[Company]],31)</f>
        <v/>
      </c>
      <c r="M136" s="173" t="str" cm="1">
        <f t="array" ref="M136">Common_InputFunctions.Utility_DisplayArrayInTable(Fertiliser_SourceData.Fertiliser_Products_Data2(), FertiliserProducts[[#Headers],[Company]],31)</f>
        <v/>
      </c>
      <c r="N136" s="173" t="str" cm="1">
        <f t="array" ref="N136">Common_InputFunctions.Utility_DisplayArrayInTable(Fertiliser_SourceData.Fertiliser_Products_Data2(), FertiliserProducts[[#Headers],[Company]],31)</f>
        <v/>
      </c>
      <c r="O136" s="173" t="str" cm="1">
        <f t="array" ref="O136">Common_InputFunctions.Utility_DisplayArrayInTable(Fertiliser_SourceData.Fertiliser_Products_Data2(), FertiliserProducts[[#Headers],[Company]],31)</f>
        <v>Urea</v>
      </c>
      <c r="P136" s="173" cm="1">
        <f t="array" ref="P136">Common_InputFunctions.Utility_DisplayArrayInTable(Fertiliser_SourceData.Fertiliser_Products_Data2(), FertiliserProducts[[#Headers],[Company]],31)</f>
        <v>1</v>
      </c>
      <c r="Q136" s="173" t="str" cm="1">
        <f t="array" ref="Q136">Common_InputFunctions.Utility_DisplayArrayInTable(Fertiliser_SourceData.Fertiliser_Products_Data2(), FertiliserProducts[[#Headers],[Company]],31)</f>
        <v/>
      </c>
      <c r="R136" s="173" t="str" cm="1">
        <f t="array" ref="R136">Common_InputFunctions.Utility_DisplayArrayInTable(Fertiliser_SourceData.Fertiliser_Products_Data2(), FertiliserProducts[[#Headers],[Company]],31)</f>
        <v/>
      </c>
      <c r="S136" s="173" t="str" cm="1">
        <f t="array" ref="S136">Common_InputFunctions.Utility_DisplayArrayInTable(Fertiliser_SourceData.Fertiliser_Products_Data2(), FertiliserProducts[[#Headers],[Company]],31)</f>
        <v/>
      </c>
      <c r="T136" s="173" t="str" cm="1">
        <f t="array" ref="T136">Common_InputFunctions.Utility_DisplayArrayInTable(Fertiliser_SourceData.Fertiliser_Products_Data2(), FertiliserProducts[[#Headers],[Company]],31)</f>
        <v/>
      </c>
      <c r="U136" s="173" t="str" cm="1">
        <f t="array" ref="U136">Common_InputFunctions.Utility_DisplayArrayInTable(Fertiliser_SourceData.Fertiliser_Products_Data2(), FertiliserProducts[[#Headers],[Company]],31)</f>
        <v/>
      </c>
      <c r="V136" s="173" t="str" cm="1">
        <f t="array" ref="V136">Common_InputFunctions.Utility_DisplayArrayInTable(Fertiliser_SourceData.Fertiliser_Products_Data2(), FertiliserProducts[[#Headers],[Company]],31)</f>
        <v/>
      </c>
      <c r="W136" s="173" t="str" cm="1">
        <f t="array" ref="W136">Common_InputFunctions.Utility_DisplayArrayInTable(Fertiliser_SourceData.Fertiliser_Products_Data2(), FertiliserProducts[[#Headers],[Company]],31)</f>
        <v/>
      </c>
      <c r="X136" s="173" t="str" cm="1">
        <f t="array" ref="X136">Common_InputFunctions.Utility_DisplayArrayInTable(Fertiliser_SourceData.Fertiliser_Products_Data2(), FertiliserProducts[[#Headers],[Company]],31)</f>
        <v/>
      </c>
      <c r="Y136" s="173" t="str" cm="1">
        <f t="array" ref="Y136">Common_InputFunctions.Utility_DisplayArrayInTable(Fertiliser_SourceData.Fertiliser_Products_Data2(), FertiliserProducts[[#Headers],[Company]],31)</f>
        <v/>
      </c>
      <c r="Z136" s="173" t="str" cm="1">
        <f t="array" ref="Z136">Common_InputFunctions.Utility_DisplayArrayInTable(Fertiliser_SourceData.Fertiliser_Products_Data2(), FertiliserProducts[[#Headers],[Company]],31)</f>
        <v/>
      </c>
      <c r="AA136" s="173" t="str" cm="1">
        <f t="array" ref="AA136">Common_InputFunctions.Utility_DisplayArrayInTable(Fertiliser_SourceData.Fertiliser_Products_Data2(), FertiliserProducts[[#Headers],[Company]],31)</f>
        <v/>
      </c>
      <c r="AB136" s="173" t="str" cm="1">
        <f t="array" ref="AB136">Common_InputFunctions.Utility_DisplayArrayInTable(Fertiliser_SourceData.Fertiliser_Products_Data2(), FertiliserProducts[[#Headers],[Company]],31)</f>
        <v/>
      </c>
      <c r="AC136" s="173" t="str" cm="1">
        <f t="array" ref="AC136">Common_InputFunctions.Utility_DisplayArrayInTable(Fertiliser_SourceData.Fertiliser_Products_Data2(), FertiliserProducts[[#Headers],[Company]],31)</f>
        <v/>
      </c>
      <c r="AD136" s="173" t="str" cm="1">
        <f t="array" ref="AD136">Common_InputFunctions.Utility_DisplayArrayInTable(Fertiliser_SourceData.Fertiliser_Products_Data2(), FertiliserProducts[[#Headers],[Company]],31)</f>
        <v/>
      </c>
      <c r="AE136" s="173" t="str" cm="1">
        <f t="array" ref="AE136">Common_InputFunctions.Utility_DisplayArrayInTable(Fertiliser_SourceData.Fertiliser_Products_Data2(), FertiliserProducts[[#Headers],[Company]],31)</f>
        <v/>
      </c>
      <c r="AF136" s="173" t="str" cm="1">
        <f t="array" ref="AF136">Common_InputFunctions.Utility_DisplayArrayInTable(Fertiliser_SourceData.Fertiliser_Products_Data2(), FertiliserProducts[[#Headers],[Company]],31)</f>
        <v/>
      </c>
      <c r="AG136" s="173" t="str" cm="1">
        <f t="array" ref="AG136">Common_InputFunctions.Utility_DisplayArrayInTable(Fertiliser_SourceData.Fertiliser_Products_Data2(), FertiliserProducts[[#Headers],[Company]],31)</f>
        <v/>
      </c>
      <c r="AH136" s="173"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73" t="str" cm="1">
        <f t="array" ref="D137">Common_InputFunctions.Utility_DisplayArrayInTable(Fertiliser_SourceData.Fertiliser_Products_Data2(), FertiliserProducts[[#Headers],[Company]],31)</f>
        <v>Koch Fertiliser Australia</v>
      </c>
      <c r="E137" s="173" t="str" cm="1">
        <f t="array" ref="E137">Common_InputFunctions.Utility_DisplayArrayInTable(Fertiliser_SourceData.Fertiliser_Products_Data2(), FertiliserProducts[[#Headers],[Company]],31)</f>
        <v>Muriate of potash (MOP)</v>
      </c>
      <c r="F137" s="173" t="str" cm="1">
        <f t="array" ref="F137">Common_InputFunctions.Utility_DisplayArrayInTable(Fertiliser_SourceData.Fertiliser_Products_Data2(), FertiliserProducts[[#Headers],[Company]],31)</f>
        <v>kg</v>
      </c>
      <c r="G137" s="173" cm="1">
        <f t="array" ref="G137">Common_InputFunctions.Utility_DisplayArrayInTable(Fertiliser_SourceData.Fertiliser_Products_Data2(), FertiliserProducts[[#Headers],[Company]],31)</f>
        <v>1</v>
      </c>
      <c r="H137" s="173" t="str" cm="1">
        <f t="array" ref="H137">Common_InputFunctions.Utility_DisplayArrayInTable(Fertiliser_SourceData.Fertiliser_Products_Data2(), FertiliserProducts[[#Headers],[Company]],31)</f>
        <v/>
      </c>
      <c r="I137" s="173" t="str" cm="1">
        <f t="array" ref="I137">Common_InputFunctions.Utility_DisplayArrayInTable(Fertiliser_SourceData.Fertiliser_Products_Data2(), FertiliserProducts[[#Headers],[Company]],31)</f>
        <v/>
      </c>
      <c r="J137" s="173" t="str" cm="1">
        <f t="array" ref="J137">Common_InputFunctions.Utility_DisplayArrayInTable(Fertiliser_SourceData.Fertiliser_Products_Data2(), FertiliserProducts[[#Headers],[Company]],31)</f>
        <v/>
      </c>
      <c r="K137" s="173" t="str" cm="1">
        <f t="array" ref="K137">Common_InputFunctions.Utility_DisplayArrayInTable(Fertiliser_SourceData.Fertiliser_Products_Data2(), FertiliserProducts[[#Headers],[Company]],31)</f>
        <v/>
      </c>
      <c r="L137" s="173" t="str" cm="1">
        <f t="array" ref="L137">Common_InputFunctions.Utility_DisplayArrayInTable(Fertiliser_SourceData.Fertiliser_Products_Data2(), FertiliserProducts[[#Headers],[Company]],31)</f>
        <v/>
      </c>
      <c r="M137" s="173" cm="1">
        <f t="array" ref="M137">Common_InputFunctions.Utility_DisplayArrayInTable(Fertiliser_SourceData.Fertiliser_Products_Data2(), FertiliserProducts[[#Headers],[Company]],31)</f>
        <v>50</v>
      </c>
      <c r="N137" s="173" t="str" cm="1">
        <f t="array" ref="N137">Common_InputFunctions.Utility_DisplayArrayInTable(Fertiliser_SourceData.Fertiliser_Products_Data2(), FertiliserProducts[[#Headers],[Company]],31)</f>
        <v/>
      </c>
      <c r="O137" s="173" t="str" cm="1">
        <f t="array" ref="O137">Common_InputFunctions.Utility_DisplayArrayInTable(Fertiliser_SourceData.Fertiliser_Products_Data2(), FertiliserProducts[[#Headers],[Company]],31)</f>
        <v>Muriate of potash (MOP)</v>
      </c>
      <c r="P137" s="173" cm="1">
        <f t="array" ref="P137">Common_InputFunctions.Utility_DisplayArrayInTable(Fertiliser_SourceData.Fertiliser_Products_Data2(), FertiliserProducts[[#Headers],[Company]],31)</f>
        <v>1</v>
      </c>
      <c r="Q137" s="173" t="str" cm="1">
        <f t="array" ref="Q137">Common_InputFunctions.Utility_DisplayArrayInTable(Fertiliser_SourceData.Fertiliser_Products_Data2(), FertiliserProducts[[#Headers],[Company]],31)</f>
        <v/>
      </c>
      <c r="R137" s="173" t="str" cm="1">
        <f t="array" ref="R137">Common_InputFunctions.Utility_DisplayArrayInTable(Fertiliser_SourceData.Fertiliser_Products_Data2(), FertiliserProducts[[#Headers],[Company]],31)</f>
        <v/>
      </c>
      <c r="S137" s="173" t="str" cm="1">
        <f t="array" ref="S137">Common_InputFunctions.Utility_DisplayArrayInTable(Fertiliser_SourceData.Fertiliser_Products_Data2(), FertiliserProducts[[#Headers],[Company]],31)</f>
        <v/>
      </c>
      <c r="T137" s="173" t="str" cm="1">
        <f t="array" ref="T137">Common_InputFunctions.Utility_DisplayArrayInTable(Fertiliser_SourceData.Fertiliser_Products_Data2(), FertiliserProducts[[#Headers],[Company]],31)</f>
        <v/>
      </c>
      <c r="U137" s="173" t="str" cm="1">
        <f t="array" ref="U137">Common_InputFunctions.Utility_DisplayArrayInTable(Fertiliser_SourceData.Fertiliser_Products_Data2(), FertiliserProducts[[#Headers],[Company]],31)</f>
        <v/>
      </c>
      <c r="V137" s="173" t="str" cm="1">
        <f t="array" ref="V137">Common_InputFunctions.Utility_DisplayArrayInTable(Fertiliser_SourceData.Fertiliser_Products_Data2(), FertiliserProducts[[#Headers],[Company]],31)</f>
        <v/>
      </c>
      <c r="W137" s="173" t="str" cm="1">
        <f t="array" ref="W137">Common_InputFunctions.Utility_DisplayArrayInTable(Fertiliser_SourceData.Fertiliser_Products_Data2(), FertiliserProducts[[#Headers],[Company]],31)</f>
        <v/>
      </c>
      <c r="X137" s="173" t="str" cm="1">
        <f t="array" ref="X137">Common_InputFunctions.Utility_DisplayArrayInTable(Fertiliser_SourceData.Fertiliser_Products_Data2(), FertiliserProducts[[#Headers],[Company]],31)</f>
        <v/>
      </c>
      <c r="Y137" s="173" t="str" cm="1">
        <f t="array" ref="Y137">Common_InputFunctions.Utility_DisplayArrayInTable(Fertiliser_SourceData.Fertiliser_Products_Data2(), FertiliserProducts[[#Headers],[Company]],31)</f>
        <v/>
      </c>
      <c r="Z137" s="173" t="str" cm="1">
        <f t="array" ref="Z137">Common_InputFunctions.Utility_DisplayArrayInTable(Fertiliser_SourceData.Fertiliser_Products_Data2(), FertiliserProducts[[#Headers],[Company]],31)</f>
        <v/>
      </c>
      <c r="AA137" s="173" t="str" cm="1">
        <f t="array" ref="AA137">Common_InputFunctions.Utility_DisplayArrayInTable(Fertiliser_SourceData.Fertiliser_Products_Data2(), FertiliserProducts[[#Headers],[Company]],31)</f>
        <v/>
      </c>
      <c r="AB137" s="173" t="str" cm="1">
        <f t="array" ref="AB137">Common_InputFunctions.Utility_DisplayArrayInTable(Fertiliser_SourceData.Fertiliser_Products_Data2(), FertiliserProducts[[#Headers],[Company]],31)</f>
        <v/>
      </c>
      <c r="AC137" s="173" t="str" cm="1">
        <f t="array" ref="AC137">Common_InputFunctions.Utility_DisplayArrayInTable(Fertiliser_SourceData.Fertiliser_Products_Data2(), FertiliserProducts[[#Headers],[Company]],31)</f>
        <v/>
      </c>
      <c r="AD137" s="173" t="str" cm="1">
        <f t="array" ref="AD137">Common_InputFunctions.Utility_DisplayArrayInTable(Fertiliser_SourceData.Fertiliser_Products_Data2(), FertiliserProducts[[#Headers],[Company]],31)</f>
        <v/>
      </c>
      <c r="AE137" s="173" t="str" cm="1">
        <f t="array" ref="AE137">Common_InputFunctions.Utility_DisplayArrayInTable(Fertiliser_SourceData.Fertiliser_Products_Data2(), FertiliserProducts[[#Headers],[Company]],31)</f>
        <v/>
      </c>
      <c r="AF137" s="173" t="str" cm="1">
        <f t="array" ref="AF137">Common_InputFunctions.Utility_DisplayArrayInTable(Fertiliser_SourceData.Fertiliser_Products_Data2(), FertiliserProducts[[#Headers],[Company]],31)</f>
        <v/>
      </c>
      <c r="AG137" s="173" t="str" cm="1">
        <f t="array" ref="AG137">Common_InputFunctions.Utility_DisplayArrayInTable(Fertiliser_SourceData.Fertiliser_Products_Data2(), FertiliserProducts[[#Headers],[Company]],31)</f>
        <v/>
      </c>
      <c r="AH137" s="173"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73" t="str" cm="1">
        <f t="array" ref="D138">Common_InputFunctions.Utility_DisplayArrayInTable(Fertiliser_SourceData.Fertiliser_Products_Data2(), FertiliserProducts[[#Headers],[Company]],31)</f>
        <v>Risso-Chemical</v>
      </c>
      <c r="E138" s="173" t="str" cm="1">
        <f t="array" ref="E138">Common_InputFunctions.Utility_DisplayArrayInTable(Fertiliser_SourceData.Fertiliser_Products_Data2(), FertiliserProducts[[#Headers],[Company]],31)</f>
        <v>Urea Ammonium nitrate (UAN 32-0-0)</v>
      </c>
      <c r="F138" s="173" t="str" cm="1">
        <f t="array" ref="F138">Common_InputFunctions.Utility_DisplayArrayInTable(Fertiliser_SourceData.Fertiliser_Products_Data2(), FertiliserProducts[[#Headers],[Company]],31)</f>
        <v>L</v>
      </c>
      <c r="G138" s="173" cm="1">
        <f t="array" ref="G138">Common_InputFunctions.Utility_DisplayArrayInTable(Fertiliser_SourceData.Fertiliser_Products_Data2(), FertiliserProducts[[#Headers],[Company]],31)</f>
        <v>1.32</v>
      </c>
      <c r="H138" s="173" t="str" cm="1">
        <f t="array" ref="H138">Common_InputFunctions.Utility_DisplayArrayInTable(Fertiliser_SourceData.Fertiliser_Products_Data2(), FertiliserProducts[[#Headers],[Company]],31)</f>
        <v/>
      </c>
      <c r="I138" s="173" t="str" cm="1">
        <f t="array" ref="I138">Common_InputFunctions.Utility_DisplayArrayInTable(Fertiliser_SourceData.Fertiliser_Products_Data2(), FertiliserProducts[[#Headers],[Company]],31)</f>
        <v>China</v>
      </c>
      <c r="J138" s="173" t="str" cm="1">
        <f t="array" ref="J138">Common_InputFunctions.Utility_DisplayArrayInTable(Fertiliser_SourceData.Fertiliser_Products_Data2(), FertiliserProducts[[#Headers],[Company]],31)</f>
        <v>China</v>
      </c>
      <c r="K138" s="173" cm="1">
        <f t="array" ref="K138">Common_InputFunctions.Utility_DisplayArrayInTable(Fertiliser_SourceData.Fertiliser_Products_Data2(), FertiliserProducts[[#Headers],[Company]],31)</f>
        <v>32</v>
      </c>
      <c r="L138" s="173" t="str" cm="1">
        <f t="array" ref="L138">Common_InputFunctions.Utility_DisplayArrayInTable(Fertiliser_SourceData.Fertiliser_Products_Data2(), FertiliserProducts[[#Headers],[Company]],31)</f>
        <v/>
      </c>
      <c r="M138" s="173" t="str" cm="1">
        <f t="array" ref="M138">Common_InputFunctions.Utility_DisplayArrayInTable(Fertiliser_SourceData.Fertiliser_Products_Data2(), FertiliserProducts[[#Headers],[Company]],31)</f>
        <v/>
      </c>
      <c r="N138" s="173" t="str" cm="1">
        <f t="array" ref="N138">Common_InputFunctions.Utility_DisplayArrayInTable(Fertiliser_SourceData.Fertiliser_Products_Data2(), FertiliserProducts[[#Headers],[Company]],31)</f>
        <v/>
      </c>
      <c r="O138" s="173" t="str" cm="1">
        <f t="array" ref="O138">Common_InputFunctions.Utility_DisplayArrayInTable(Fertiliser_SourceData.Fertiliser_Products_Data2(), FertiliserProducts[[#Headers],[Company]],31)</f>
        <v>Urea-ammonium nitrate (UAN)</v>
      </c>
      <c r="P138" s="173" cm="1">
        <f t="array" ref="P138">Common_InputFunctions.Utility_DisplayArrayInTable(Fertiliser_SourceData.Fertiliser_Products_Data2(), FertiliserProducts[[#Headers],[Company]],31)</f>
        <v>1</v>
      </c>
      <c r="Q138" s="173" t="str" cm="1">
        <f t="array" ref="Q138">Common_InputFunctions.Utility_DisplayArrayInTable(Fertiliser_SourceData.Fertiliser_Products_Data2(), FertiliserProducts[[#Headers],[Company]],31)</f>
        <v/>
      </c>
      <c r="R138" s="173" t="str" cm="1">
        <f t="array" ref="R138">Common_InputFunctions.Utility_DisplayArrayInTable(Fertiliser_SourceData.Fertiliser_Products_Data2(), FertiliserProducts[[#Headers],[Company]],31)</f>
        <v/>
      </c>
      <c r="S138" s="173" t="str" cm="1">
        <f t="array" ref="S138">Common_InputFunctions.Utility_DisplayArrayInTable(Fertiliser_SourceData.Fertiliser_Products_Data2(), FertiliserProducts[[#Headers],[Company]],31)</f>
        <v/>
      </c>
      <c r="T138" s="173" t="str" cm="1">
        <f t="array" ref="T138">Common_InputFunctions.Utility_DisplayArrayInTable(Fertiliser_SourceData.Fertiliser_Products_Data2(), FertiliserProducts[[#Headers],[Company]],31)</f>
        <v/>
      </c>
      <c r="U138" s="173" t="str" cm="1">
        <f t="array" ref="U138">Common_InputFunctions.Utility_DisplayArrayInTable(Fertiliser_SourceData.Fertiliser_Products_Data2(), FertiliserProducts[[#Headers],[Company]],31)</f>
        <v/>
      </c>
      <c r="V138" s="173" t="str" cm="1">
        <f t="array" ref="V138">Common_InputFunctions.Utility_DisplayArrayInTable(Fertiliser_SourceData.Fertiliser_Products_Data2(), FertiliserProducts[[#Headers],[Company]],31)</f>
        <v/>
      </c>
      <c r="W138" s="173" t="str" cm="1">
        <f t="array" ref="W138">Common_InputFunctions.Utility_DisplayArrayInTable(Fertiliser_SourceData.Fertiliser_Products_Data2(), FertiliserProducts[[#Headers],[Company]],31)</f>
        <v/>
      </c>
      <c r="X138" s="173" t="str" cm="1">
        <f t="array" ref="X138">Common_InputFunctions.Utility_DisplayArrayInTable(Fertiliser_SourceData.Fertiliser_Products_Data2(), FertiliserProducts[[#Headers],[Company]],31)</f>
        <v/>
      </c>
      <c r="Y138" s="173" t="str" cm="1">
        <f t="array" ref="Y138">Common_InputFunctions.Utility_DisplayArrayInTable(Fertiliser_SourceData.Fertiliser_Products_Data2(), FertiliserProducts[[#Headers],[Company]],31)</f>
        <v/>
      </c>
      <c r="Z138" s="173" t="str" cm="1">
        <f t="array" ref="Z138">Common_InputFunctions.Utility_DisplayArrayInTable(Fertiliser_SourceData.Fertiliser_Products_Data2(), FertiliserProducts[[#Headers],[Company]],31)</f>
        <v/>
      </c>
      <c r="AA138" s="173" t="str" cm="1">
        <f t="array" ref="AA138">Common_InputFunctions.Utility_DisplayArrayInTable(Fertiliser_SourceData.Fertiliser_Products_Data2(), FertiliserProducts[[#Headers],[Company]],31)</f>
        <v/>
      </c>
      <c r="AB138" s="173" t="str" cm="1">
        <f t="array" ref="AB138">Common_InputFunctions.Utility_DisplayArrayInTable(Fertiliser_SourceData.Fertiliser_Products_Data2(), FertiliserProducts[[#Headers],[Company]],31)</f>
        <v/>
      </c>
      <c r="AC138" s="173" t="str" cm="1">
        <f t="array" ref="AC138">Common_InputFunctions.Utility_DisplayArrayInTable(Fertiliser_SourceData.Fertiliser_Products_Data2(), FertiliserProducts[[#Headers],[Company]],31)</f>
        <v/>
      </c>
      <c r="AD138" s="173" t="str" cm="1">
        <f t="array" ref="AD138">Common_InputFunctions.Utility_DisplayArrayInTable(Fertiliser_SourceData.Fertiliser_Products_Data2(), FertiliserProducts[[#Headers],[Company]],31)</f>
        <v/>
      </c>
      <c r="AE138" s="173" t="str" cm="1">
        <f t="array" ref="AE138">Common_InputFunctions.Utility_DisplayArrayInTable(Fertiliser_SourceData.Fertiliser_Products_Data2(), FertiliserProducts[[#Headers],[Company]],31)</f>
        <v/>
      </c>
      <c r="AF138" s="173" t="str" cm="1">
        <f t="array" ref="AF138">Common_InputFunctions.Utility_DisplayArrayInTable(Fertiliser_SourceData.Fertiliser_Products_Data2(), FertiliserProducts[[#Headers],[Company]],31)</f>
        <v/>
      </c>
      <c r="AG138" s="173" t="str" cm="1">
        <f t="array" ref="AG138">Common_InputFunctions.Utility_DisplayArrayInTable(Fertiliser_SourceData.Fertiliser_Products_Data2(), FertiliserProducts[[#Headers],[Company]],31)</f>
        <v/>
      </c>
      <c r="AH138" s="173"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73" t="str" cm="1">
        <f t="array" ref="D139">Common_InputFunctions.Utility_DisplayArrayInTable(Fertiliser_SourceData.Fertiliser_Products_Data2(), FertiliserProducts[[#Headers],[Company]],31)</f>
        <v>Risso-Chemical</v>
      </c>
      <c r="E139" s="173" t="str" cm="1">
        <f t="array" ref="E139">Common_InputFunctions.Utility_DisplayArrayInTable(Fertiliser_SourceData.Fertiliser_Products_Data2(), FertiliserProducts[[#Headers],[Company]],31)</f>
        <v>Polypeptide Urea</v>
      </c>
      <c r="F139" s="173" t="str" cm="1">
        <f t="array" ref="F139">Common_InputFunctions.Utility_DisplayArrayInTable(Fertiliser_SourceData.Fertiliser_Products_Data2(), FertiliserProducts[[#Headers],[Company]],31)</f>
        <v>kg</v>
      </c>
      <c r="G139" s="173" cm="1">
        <f t="array" ref="G139">Common_InputFunctions.Utility_DisplayArrayInTable(Fertiliser_SourceData.Fertiliser_Products_Data2(), FertiliserProducts[[#Headers],[Company]],31)</f>
        <v>1</v>
      </c>
      <c r="H139" s="173" t="str" cm="1">
        <f t="array" ref="H139">Common_InputFunctions.Utility_DisplayArrayInTable(Fertiliser_SourceData.Fertiliser_Products_Data2(), FertiliserProducts[[#Headers],[Company]],31)</f>
        <v/>
      </c>
      <c r="I139" s="173" t="str" cm="1">
        <f t="array" ref="I139">Common_InputFunctions.Utility_DisplayArrayInTable(Fertiliser_SourceData.Fertiliser_Products_Data2(), FertiliserProducts[[#Headers],[Company]],31)</f>
        <v>China</v>
      </c>
      <c r="J139" s="173" t="str" cm="1">
        <f t="array" ref="J139">Common_InputFunctions.Utility_DisplayArrayInTable(Fertiliser_SourceData.Fertiliser_Products_Data2(), FertiliserProducts[[#Headers],[Company]],31)</f>
        <v/>
      </c>
      <c r="K139" s="173" cm="1">
        <f t="array" ref="K139">Common_InputFunctions.Utility_DisplayArrayInTable(Fertiliser_SourceData.Fertiliser_Products_Data2(), FertiliserProducts[[#Headers],[Company]],31)</f>
        <v>46</v>
      </c>
      <c r="L139" s="173" t="str" cm="1">
        <f t="array" ref="L139">Common_InputFunctions.Utility_DisplayArrayInTable(Fertiliser_SourceData.Fertiliser_Products_Data2(), FertiliserProducts[[#Headers],[Company]],31)</f>
        <v/>
      </c>
      <c r="M139" s="173" t="str" cm="1">
        <f t="array" ref="M139">Common_InputFunctions.Utility_DisplayArrayInTable(Fertiliser_SourceData.Fertiliser_Products_Data2(), FertiliserProducts[[#Headers],[Company]],31)</f>
        <v/>
      </c>
      <c r="N139" s="173" t="str" cm="1">
        <f t="array" ref="N139">Common_InputFunctions.Utility_DisplayArrayInTable(Fertiliser_SourceData.Fertiliser_Products_Data2(), FertiliserProducts[[#Headers],[Company]],31)</f>
        <v/>
      </c>
      <c r="O139" s="173" t="str" cm="1">
        <f t="array" ref="O139">Common_InputFunctions.Utility_DisplayArrayInTable(Fertiliser_SourceData.Fertiliser_Products_Data2(), FertiliserProducts[[#Headers],[Company]],31)</f>
        <v>Urea</v>
      </c>
      <c r="P139" s="173" cm="1">
        <f t="array" ref="P139">Common_InputFunctions.Utility_DisplayArrayInTable(Fertiliser_SourceData.Fertiliser_Products_Data2(), FertiliserProducts[[#Headers],[Company]],31)</f>
        <v>1</v>
      </c>
      <c r="Q139" s="173" t="str" cm="1">
        <f t="array" ref="Q139">Common_InputFunctions.Utility_DisplayArrayInTable(Fertiliser_SourceData.Fertiliser_Products_Data2(), FertiliserProducts[[#Headers],[Company]],31)</f>
        <v>Polypeptide (amino acids)</v>
      </c>
      <c r="R139" s="173" cm="1">
        <f t="array" ref="R139">Common_InputFunctions.Utility_DisplayArrayInTable(Fertiliser_SourceData.Fertiliser_Products_Data2(), FertiliserProducts[[#Headers],[Company]],31)</f>
        <v>0</v>
      </c>
      <c r="S139" s="173" t="str" cm="1">
        <f t="array" ref="S139">Common_InputFunctions.Utility_DisplayArrayInTable(Fertiliser_SourceData.Fertiliser_Products_Data2(), FertiliserProducts[[#Headers],[Company]],31)</f>
        <v/>
      </c>
      <c r="T139" s="173" t="str" cm="1">
        <f t="array" ref="T139">Common_InputFunctions.Utility_DisplayArrayInTable(Fertiliser_SourceData.Fertiliser_Products_Data2(), FertiliserProducts[[#Headers],[Company]],31)</f>
        <v/>
      </c>
      <c r="U139" s="173" t="str" cm="1">
        <f t="array" ref="U139">Common_InputFunctions.Utility_DisplayArrayInTable(Fertiliser_SourceData.Fertiliser_Products_Data2(), FertiliserProducts[[#Headers],[Company]],31)</f>
        <v/>
      </c>
      <c r="V139" s="173" t="str" cm="1">
        <f t="array" ref="V139">Common_InputFunctions.Utility_DisplayArrayInTable(Fertiliser_SourceData.Fertiliser_Products_Data2(), FertiliserProducts[[#Headers],[Company]],31)</f>
        <v/>
      </c>
      <c r="W139" s="173" t="str" cm="1">
        <f t="array" ref="W139">Common_InputFunctions.Utility_DisplayArrayInTable(Fertiliser_SourceData.Fertiliser_Products_Data2(), FertiliserProducts[[#Headers],[Company]],31)</f>
        <v/>
      </c>
      <c r="X139" s="173" t="str" cm="1">
        <f t="array" ref="X139">Common_InputFunctions.Utility_DisplayArrayInTable(Fertiliser_SourceData.Fertiliser_Products_Data2(), FertiliserProducts[[#Headers],[Company]],31)</f>
        <v/>
      </c>
      <c r="Y139" s="173" t="str" cm="1">
        <f t="array" ref="Y139">Common_InputFunctions.Utility_DisplayArrayInTable(Fertiliser_SourceData.Fertiliser_Products_Data2(), FertiliserProducts[[#Headers],[Company]],31)</f>
        <v/>
      </c>
      <c r="Z139" s="173" t="str" cm="1">
        <f t="array" ref="Z139">Common_InputFunctions.Utility_DisplayArrayInTable(Fertiliser_SourceData.Fertiliser_Products_Data2(), FertiliserProducts[[#Headers],[Company]],31)</f>
        <v/>
      </c>
      <c r="AA139" s="173" t="str" cm="1">
        <f t="array" ref="AA139">Common_InputFunctions.Utility_DisplayArrayInTable(Fertiliser_SourceData.Fertiliser_Products_Data2(), FertiliserProducts[[#Headers],[Company]],31)</f>
        <v/>
      </c>
      <c r="AB139" s="173" t="str" cm="1">
        <f t="array" ref="AB139">Common_InputFunctions.Utility_DisplayArrayInTable(Fertiliser_SourceData.Fertiliser_Products_Data2(), FertiliserProducts[[#Headers],[Company]],31)</f>
        <v/>
      </c>
      <c r="AC139" s="173" t="str" cm="1">
        <f t="array" ref="AC139">Common_InputFunctions.Utility_DisplayArrayInTable(Fertiliser_SourceData.Fertiliser_Products_Data2(), FertiliserProducts[[#Headers],[Company]],31)</f>
        <v/>
      </c>
      <c r="AD139" s="173" t="str" cm="1">
        <f t="array" ref="AD139">Common_InputFunctions.Utility_DisplayArrayInTable(Fertiliser_SourceData.Fertiliser_Products_Data2(), FertiliserProducts[[#Headers],[Company]],31)</f>
        <v/>
      </c>
      <c r="AE139" s="173" t="str" cm="1">
        <f t="array" ref="AE139">Common_InputFunctions.Utility_DisplayArrayInTable(Fertiliser_SourceData.Fertiliser_Products_Data2(), FertiliserProducts[[#Headers],[Company]],31)</f>
        <v/>
      </c>
      <c r="AF139" s="173" t="str" cm="1">
        <f t="array" ref="AF139">Common_InputFunctions.Utility_DisplayArrayInTable(Fertiliser_SourceData.Fertiliser_Products_Data2(), FertiliserProducts[[#Headers],[Company]],31)</f>
        <v/>
      </c>
      <c r="AG139" s="173" t="str" cm="1">
        <f t="array" ref="AG139">Common_InputFunctions.Utility_DisplayArrayInTable(Fertiliser_SourceData.Fertiliser_Products_Data2(), FertiliserProducts[[#Headers],[Company]],31)</f>
        <v/>
      </c>
      <c r="AH139" s="173"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73" t="str" cm="1">
        <f t="array" ref="D140">Common_InputFunctions.Utility_DisplayArrayInTable(Fertiliser_SourceData.Fertiliser_Products_Data2(), FertiliserProducts[[#Headers],[Company]],31)</f>
        <v>Yara Australia</v>
      </c>
      <c r="E140" s="173" t="str" cm="1">
        <f t="array" ref="E140">Common_InputFunctions.Utility_DisplayArrayInTable(Fertiliser_SourceData.Fertiliser_Products_Data2(), FertiliserProducts[[#Headers],[Company]],31)</f>
        <v>YaraTera CALCINIT</v>
      </c>
      <c r="F140" s="173" t="str" cm="1">
        <f t="array" ref="F140">Common_InputFunctions.Utility_DisplayArrayInTable(Fertiliser_SourceData.Fertiliser_Products_Data2(), FertiliserProducts[[#Headers],[Company]],31)</f>
        <v>kg</v>
      </c>
      <c r="G140" s="173" cm="1">
        <f t="array" ref="G140">Common_InputFunctions.Utility_DisplayArrayInTable(Fertiliser_SourceData.Fertiliser_Products_Data2(), FertiliserProducts[[#Headers],[Company]],31)</f>
        <v>1</v>
      </c>
      <c r="H140" s="173" t="str" cm="1">
        <f t="array" ref="H140">Common_InputFunctions.Utility_DisplayArrayInTable(Fertiliser_SourceData.Fertiliser_Products_Data2(), FertiliserProducts[[#Headers],[Company]],31)</f>
        <v/>
      </c>
      <c r="I140" s="173" t="str" cm="1">
        <f t="array" ref="I140">Common_InputFunctions.Utility_DisplayArrayInTable(Fertiliser_SourceData.Fertiliser_Products_Data2(), FertiliserProducts[[#Headers],[Company]],31)</f>
        <v/>
      </c>
      <c r="J140" s="173" t="str" cm="1">
        <f t="array" ref="J140">Common_InputFunctions.Utility_DisplayArrayInTable(Fertiliser_SourceData.Fertiliser_Products_Data2(), FertiliserProducts[[#Headers],[Company]],31)</f>
        <v/>
      </c>
      <c r="K140" s="173" cm="1">
        <f t="array" ref="K140">Common_InputFunctions.Utility_DisplayArrayInTable(Fertiliser_SourceData.Fertiliser_Products_Data2(), FertiliserProducts[[#Headers],[Company]],31)</f>
        <v>15.5</v>
      </c>
      <c r="L140" s="173" t="str" cm="1">
        <f t="array" ref="L140">Common_InputFunctions.Utility_DisplayArrayInTable(Fertiliser_SourceData.Fertiliser_Products_Data2(), FertiliserProducts[[#Headers],[Company]],31)</f>
        <v/>
      </c>
      <c r="M140" s="173" t="str" cm="1">
        <f t="array" ref="M140">Common_InputFunctions.Utility_DisplayArrayInTable(Fertiliser_SourceData.Fertiliser_Products_Data2(), FertiliserProducts[[#Headers],[Company]],31)</f>
        <v/>
      </c>
      <c r="N140" s="173" t="str" cm="1">
        <f t="array" ref="N140">Common_InputFunctions.Utility_DisplayArrayInTable(Fertiliser_SourceData.Fertiliser_Products_Data2(), FertiliserProducts[[#Headers],[Company]],31)</f>
        <v/>
      </c>
      <c r="O140" s="173" t="str" cm="1">
        <f t="array" ref="O140">Common_InputFunctions.Utility_DisplayArrayInTable(Fertiliser_SourceData.Fertiliser_Products_Data2(), FertiliserProducts[[#Headers],[Company]],31)</f>
        <v>Calcium nitrate</v>
      </c>
      <c r="P140" s="173" cm="1">
        <f t="array" ref="P140">Common_InputFunctions.Utility_DisplayArrayInTable(Fertiliser_SourceData.Fertiliser_Products_Data2(), FertiliserProducts[[#Headers],[Company]],31)</f>
        <v>1</v>
      </c>
      <c r="Q140" s="173" t="str" cm="1">
        <f t="array" ref="Q140">Common_InputFunctions.Utility_DisplayArrayInTable(Fertiliser_SourceData.Fertiliser_Products_Data2(), FertiliserProducts[[#Headers],[Company]],31)</f>
        <v/>
      </c>
      <c r="R140" s="173" t="str" cm="1">
        <f t="array" ref="R140">Common_InputFunctions.Utility_DisplayArrayInTable(Fertiliser_SourceData.Fertiliser_Products_Data2(), FertiliserProducts[[#Headers],[Company]],31)</f>
        <v/>
      </c>
      <c r="S140" s="173" t="str" cm="1">
        <f t="array" ref="S140">Common_InputFunctions.Utility_DisplayArrayInTable(Fertiliser_SourceData.Fertiliser_Products_Data2(), FertiliserProducts[[#Headers],[Company]],31)</f>
        <v/>
      </c>
      <c r="T140" s="173" t="str" cm="1">
        <f t="array" ref="T140">Common_InputFunctions.Utility_DisplayArrayInTable(Fertiliser_SourceData.Fertiliser_Products_Data2(), FertiliserProducts[[#Headers],[Company]],31)</f>
        <v/>
      </c>
      <c r="U140" s="173" t="str" cm="1">
        <f t="array" ref="U140">Common_InputFunctions.Utility_DisplayArrayInTable(Fertiliser_SourceData.Fertiliser_Products_Data2(), FertiliserProducts[[#Headers],[Company]],31)</f>
        <v/>
      </c>
      <c r="V140" s="173" t="str" cm="1">
        <f t="array" ref="V140">Common_InputFunctions.Utility_DisplayArrayInTable(Fertiliser_SourceData.Fertiliser_Products_Data2(), FertiliserProducts[[#Headers],[Company]],31)</f>
        <v/>
      </c>
      <c r="W140" s="173" t="str" cm="1">
        <f t="array" ref="W140">Common_InputFunctions.Utility_DisplayArrayInTable(Fertiliser_SourceData.Fertiliser_Products_Data2(), FertiliserProducts[[#Headers],[Company]],31)</f>
        <v/>
      </c>
      <c r="X140" s="173" t="str" cm="1">
        <f t="array" ref="X140">Common_InputFunctions.Utility_DisplayArrayInTable(Fertiliser_SourceData.Fertiliser_Products_Data2(), FertiliserProducts[[#Headers],[Company]],31)</f>
        <v/>
      </c>
      <c r="Y140" s="173" t="str" cm="1">
        <f t="array" ref="Y140">Common_InputFunctions.Utility_DisplayArrayInTable(Fertiliser_SourceData.Fertiliser_Products_Data2(), FertiliserProducts[[#Headers],[Company]],31)</f>
        <v/>
      </c>
      <c r="Z140" s="173" t="str" cm="1">
        <f t="array" ref="Z140">Common_InputFunctions.Utility_DisplayArrayInTable(Fertiliser_SourceData.Fertiliser_Products_Data2(), FertiliserProducts[[#Headers],[Company]],31)</f>
        <v/>
      </c>
      <c r="AA140" s="173" t="str" cm="1">
        <f t="array" ref="AA140">Common_InputFunctions.Utility_DisplayArrayInTable(Fertiliser_SourceData.Fertiliser_Products_Data2(), FertiliserProducts[[#Headers],[Company]],31)</f>
        <v/>
      </c>
      <c r="AB140" s="173" t="str" cm="1">
        <f t="array" ref="AB140">Common_InputFunctions.Utility_DisplayArrayInTable(Fertiliser_SourceData.Fertiliser_Products_Data2(), FertiliserProducts[[#Headers],[Company]],31)</f>
        <v/>
      </c>
      <c r="AC140" s="173" t="str" cm="1">
        <f t="array" ref="AC140">Common_InputFunctions.Utility_DisplayArrayInTable(Fertiliser_SourceData.Fertiliser_Products_Data2(), FertiliserProducts[[#Headers],[Company]],31)</f>
        <v/>
      </c>
      <c r="AD140" s="173" t="str" cm="1">
        <f t="array" ref="AD140">Common_InputFunctions.Utility_DisplayArrayInTable(Fertiliser_SourceData.Fertiliser_Products_Data2(), FertiliserProducts[[#Headers],[Company]],31)</f>
        <v/>
      </c>
      <c r="AE140" s="173" t="str" cm="1">
        <f t="array" ref="AE140">Common_InputFunctions.Utility_DisplayArrayInTable(Fertiliser_SourceData.Fertiliser_Products_Data2(), FertiliserProducts[[#Headers],[Company]],31)</f>
        <v/>
      </c>
      <c r="AF140" s="173" t="str" cm="1">
        <f t="array" ref="AF140">Common_InputFunctions.Utility_DisplayArrayInTable(Fertiliser_SourceData.Fertiliser_Products_Data2(), FertiliserProducts[[#Headers],[Company]],31)</f>
        <v/>
      </c>
      <c r="AG140" s="173" t="str" cm="1">
        <f t="array" ref="AG140">Common_InputFunctions.Utility_DisplayArrayInTable(Fertiliser_SourceData.Fertiliser_Products_Data2(), FertiliserProducts[[#Headers],[Company]],31)</f>
        <v/>
      </c>
      <c r="AH140" s="173"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73" t="str" cm="1">
        <f t="array" ref="D141">Common_InputFunctions.Utility_DisplayArrayInTable(Fertiliser_SourceData.Fertiliser_Products_Data2(), FertiliserProducts[[#Headers],[Company]],31)</f>
        <v>Yara Australia</v>
      </c>
      <c r="E141" s="173" t="str" cm="1">
        <f t="array" ref="E141">Common_InputFunctions.Utility_DisplayArrayInTable(Fertiliser_SourceData.Fertiliser_Products_Data2(), FertiliserProducts[[#Headers],[Company]],31)</f>
        <v>YaraLiva NITRABOR</v>
      </c>
      <c r="F141" s="173" t="str" cm="1">
        <f t="array" ref="F141">Common_InputFunctions.Utility_DisplayArrayInTable(Fertiliser_SourceData.Fertiliser_Products_Data2(), FertiliserProducts[[#Headers],[Company]],31)</f>
        <v>kg</v>
      </c>
      <c r="G141" s="173" cm="1">
        <f t="array" ref="G141">Common_InputFunctions.Utility_DisplayArrayInTable(Fertiliser_SourceData.Fertiliser_Products_Data2(), FertiliserProducts[[#Headers],[Company]],31)</f>
        <v>1</v>
      </c>
      <c r="H141" s="173" t="str" cm="1">
        <f t="array" ref="H141">Common_InputFunctions.Utility_DisplayArrayInTable(Fertiliser_SourceData.Fertiliser_Products_Data2(), FertiliserProducts[[#Headers],[Company]],31)</f>
        <v/>
      </c>
      <c r="I141" s="173" t="str" cm="1">
        <f t="array" ref="I141">Common_InputFunctions.Utility_DisplayArrayInTable(Fertiliser_SourceData.Fertiliser_Products_Data2(), FertiliserProducts[[#Headers],[Company]],31)</f>
        <v/>
      </c>
      <c r="J141" s="173" t="str" cm="1">
        <f t="array" ref="J141">Common_InputFunctions.Utility_DisplayArrayInTable(Fertiliser_SourceData.Fertiliser_Products_Data2(), FertiliserProducts[[#Headers],[Company]],31)</f>
        <v/>
      </c>
      <c r="K141" s="173" cm="1">
        <f t="array" ref="K141">Common_InputFunctions.Utility_DisplayArrayInTable(Fertiliser_SourceData.Fertiliser_Products_Data2(), FertiliserProducts[[#Headers],[Company]],31)</f>
        <v>15.4</v>
      </c>
      <c r="L141" s="173" t="str" cm="1">
        <f t="array" ref="L141">Common_InputFunctions.Utility_DisplayArrayInTable(Fertiliser_SourceData.Fertiliser_Products_Data2(), FertiliserProducts[[#Headers],[Company]],31)</f>
        <v/>
      </c>
      <c r="M141" s="173" t="str" cm="1">
        <f t="array" ref="M141">Common_InputFunctions.Utility_DisplayArrayInTable(Fertiliser_SourceData.Fertiliser_Products_Data2(), FertiliserProducts[[#Headers],[Company]],31)</f>
        <v/>
      </c>
      <c r="N141" s="173" t="str" cm="1">
        <f t="array" ref="N141">Common_InputFunctions.Utility_DisplayArrayInTable(Fertiliser_SourceData.Fertiliser_Products_Data2(), FertiliserProducts[[#Headers],[Company]],31)</f>
        <v/>
      </c>
      <c r="O141" s="173" t="str" cm="1">
        <f t="array" ref="O141">Common_InputFunctions.Utility_DisplayArrayInTable(Fertiliser_SourceData.Fertiliser_Products_Data2(), FertiliserProducts[[#Headers],[Company]],31)</f>
        <v>Calcium nitrate</v>
      </c>
      <c r="P141" s="173" cm="1">
        <f t="array" ref="P141">Common_InputFunctions.Utility_DisplayArrayInTable(Fertiliser_SourceData.Fertiliser_Products_Data2(), FertiliserProducts[[#Headers],[Company]],31)</f>
        <v>0.99354799999999999</v>
      </c>
      <c r="Q141" s="173" t="str" cm="1">
        <f t="array" ref="Q141">Common_InputFunctions.Utility_DisplayArrayInTable(Fertiliser_SourceData.Fertiliser_Products_Data2(), FertiliserProducts[[#Headers],[Company]],31)</f>
        <v>Boron</v>
      </c>
      <c r="R141" s="173" cm="1">
        <f t="array" ref="R141">Common_InputFunctions.Utility_DisplayArrayInTable(Fertiliser_SourceData.Fertiliser_Products_Data2(), FertiliserProducts[[#Headers],[Company]],31)</f>
        <v>3.0000000000000001E-3</v>
      </c>
      <c r="S141" s="173" t="str" cm="1">
        <f t="array" ref="S141">Common_InputFunctions.Utility_DisplayArrayInTable(Fertiliser_SourceData.Fertiliser_Products_Data2(), FertiliserProducts[[#Headers],[Company]],31)</f>
        <v/>
      </c>
      <c r="T141" s="173" t="str" cm="1">
        <f t="array" ref="T141">Common_InputFunctions.Utility_DisplayArrayInTable(Fertiliser_SourceData.Fertiliser_Products_Data2(), FertiliserProducts[[#Headers],[Company]],31)</f>
        <v/>
      </c>
      <c r="U141" s="173" t="str" cm="1">
        <f t="array" ref="U141">Common_InputFunctions.Utility_DisplayArrayInTable(Fertiliser_SourceData.Fertiliser_Products_Data2(), FertiliserProducts[[#Headers],[Company]],31)</f>
        <v/>
      </c>
      <c r="V141" s="173" t="str" cm="1">
        <f t="array" ref="V141">Common_InputFunctions.Utility_DisplayArrayInTable(Fertiliser_SourceData.Fertiliser_Products_Data2(), FertiliserProducts[[#Headers],[Company]],31)</f>
        <v/>
      </c>
      <c r="W141" s="173" t="str" cm="1">
        <f t="array" ref="W141">Common_InputFunctions.Utility_DisplayArrayInTable(Fertiliser_SourceData.Fertiliser_Products_Data2(), FertiliserProducts[[#Headers],[Company]],31)</f>
        <v/>
      </c>
      <c r="X141" s="173" t="str" cm="1">
        <f t="array" ref="X141">Common_InputFunctions.Utility_DisplayArrayInTable(Fertiliser_SourceData.Fertiliser_Products_Data2(), FertiliserProducts[[#Headers],[Company]],31)</f>
        <v/>
      </c>
      <c r="Y141" s="173" t="str" cm="1">
        <f t="array" ref="Y141">Common_InputFunctions.Utility_DisplayArrayInTable(Fertiliser_SourceData.Fertiliser_Products_Data2(), FertiliserProducts[[#Headers],[Company]],31)</f>
        <v/>
      </c>
      <c r="Z141" s="173" t="str" cm="1">
        <f t="array" ref="Z141">Common_InputFunctions.Utility_DisplayArrayInTable(Fertiliser_SourceData.Fertiliser_Products_Data2(), FertiliserProducts[[#Headers],[Company]],31)</f>
        <v/>
      </c>
      <c r="AA141" s="173" t="str" cm="1">
        <f t="array" ref="AA141">Common_InputFunctions.Utility_DisplayArrayInTable(Fertiliser_SourceData.Fertiliser_Products_Data2(), FertiliserProducts[[#Headers],[Company]],31)</f>
        <v/>
      </c>
      <c r="AB141" s="173" t="str" cm="1">
        <f t="array" ref="AB141">Common_InputFunctions.Utility_DisplayArrayInTable(Fertiliser_SourceData.Fertiliser_Products_Data2(), FertiliserProducts[[#Headers],[Company]],31)</f>
        <v/>
      </c>
      <c r="AC141" s="173" t="str" cm="1">
        <f t="array" ref="AC141">Common_InputFunctions.Utility_DisplayArrayInTable(Fertiliser_SourceData.Fertiliser_Products_Data2(), FertiliserProducts[[#Headers],[Company]],31)</f>
        <v/>
      </c>
      <c r="AD141" s="173" t="str" cm="1">
        <f t="array" ref="AD141">Common_InputFunctions.Utility_DisplayArrayInTable(Fertiliser_SourceData.Fertiliser_Products_Data2(), FertiliserProducts[[#Headers],[Company]],31)</f>
        <v/>
      </c>
      <c r="AE141" s="173" t="str" cm="1">
        <f t="array" ref="AE141">Common_InputFunctions.Utility_DisplayArrayInTable(Fertiliser_SourceData.Fertiliser_Products_Data2(), FertiliserProducts[[#Headers],[Company]],31)</f>
        <v/>
      </c>
      <c r="AF141" s="173" t="str" cm="1">
        <f t="array" ref="AF141">Common_InputFunctions.Utility_DisplayArrayInTable(Fertiliser_SourceData.Fertiliser_Products_Data2(), FertiliserProducts[[#Headers],[Company]],31)</f>
        <v/>
      </c>
      <c r="AG141" s="173" t="str" cm="1">
        <f t="array" ref="AG141">Common_InputFunctions.Utility_DisplayArrayInTable(Fertiliser_SourceData.Fertiliser_Products_Data2(), FertiliserProducts[[#Headers],[Company]],31)</f>
        <v/>
      </c>
      <c r="AH141" s="173"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73" t="str" cm="1">
        <f t="array" ref="D142">Common_InputFunctions.Utility_DisplayArrayInTable(Fertiliser_SourceData.Fertiliser_Products_Data2(), FertiliserProducts[[#Headers],[Company]],31)</f>
        <v>Yara Australia</v>
      </c>
      <c r="E142" s="173" t="str" cm="1">
        <f t="array" ref="E142">Common_InputFunctions.Utility_DisplayArrayInTable(Fertiliser_SourceData.Fertiliser_Products_Data2(), FertiliserProducts[[#Headers],[Company]],31)</f>
        <v>YaraMila COMPLEX</v>
      </c>
      <c r="F142" s="173" t="str" cm="1">
        <f t="array" ref="F142">Common_InputFunctions.Utility_DisplayArrayInTable(Fertiliser_SourceData.Fertiliser_Products_Data2(), FertiliserProducts[[#Headers],[Company]],31)</f>
        <v>kg</v>
      </c>
      <c r="G142" s="173" cm="1">
        <f t="array" ref="G142">Common_InputFunctions.Utility_DisplayArrayInTable(Fertiliser_SourceData.Fertiliser_Products_Data2(), FertiliserProducts[[#Headers],[Company]],31)</f>
        <v>1</v>
      </c>
      <c r="H142" s="173" t="str" cm="1">
        <f t="array" ref="H142">Common_InputFunctions.Utility_DisplayArrayInTable(Fertiliser_SourceData.Fertiliser_Products_Data2(), FertiliserProducts[[#Headers],[Company]],31)</f>
        <v/>
      </c>
      <c r="I142" s="173" t="str" cm="1">
        <f t="array" ref="I142">Common_InputFunctions.Utility_DisplayArrayInTable(Fertiliser_SourceData.Fertiliser_Products_Data2(), FertiliserProducts[[#Headers],[Company]],31)</f>
        <v/>
      </c>
      <c r="J142" s="173" t="str" cm="1">
        <f t="array" ref="J142">Common_InputFunctions.Utility_DisplayArrayInTable(Fertiliser_SourceData.Fertiliser_Products_Data2(), FertiliserProducts[[#Headers],[Company]],31)</f>
        <v/>
      </c>
      <c r="K142" s="173" cm="1">
        <f t="array" ref="K142">Common_InputFunctions.Utility_DisplayArrayInTable(Fertiliser_SourceData.Fertiliser_Products_Data2(), FertiliserProducts[[#Headers],[Company]],31)</f>
        <v>12</v>
      </c>
      <c r="L142" s="173" cm="1">
        <f t="array" ref="L142">Common_InputFunctions.Utility_DisplayArrayInTable(Fertiliser_SourceData.Fertiliser_Products_Data2(), FertiliserProducts[[#Headers],[Company]],31)</f>
        <v>5</v>
      </c>
      <c r="M142" s="173" cm="1">
        <f t="array" ref="M142">Common_InputFunctions.Utility_DisplayArrayInTable(Fertiliser_SourceData.Fertiliser_Products_Data2(), FertiliserProducts[[#Headers],[Company]],31)</f>
        <v>15</v>
      </c>
      <c r="N142" s="173" cm="1">
        <f t="array" ref="N142">Common_InputFunctions.Utility_DisplayArrayInTable(Fertiliser_SourceData.Fertiliser_Products_Data2(), FertiliserProducts[[#Headers],[Company]],31)</f>
        <v>8</v>
      </c>
      <c r="O142" s="173" t="str" cm="1">
        <f t="array" ref="O142">Common_InputFunctions.Utility_DisplayArrayInTable(Fertiliser_SourceData.Fertiliser_Products_Data2(), FertiliserProducts[[#Headers],[Company]],31)</f>
        <v>Nitrogen - Nitrate</v>
      </c>
      <c r="P142" s="173" cm="1">
        <f t="array" ref="P142">Common_InputFunctions.Utility_DisplayArrayInTable(Fertiliser_SourceData.Fertiliser_Products_Data2(), FertiliserProducts[[#Headers],[Company]],31)</f>
        <v>0.05</v>
      </c>
      <c r="Q142" s="173" t="str" cm="1">
        <f t="array" ref="Q142">Common_InputFunctions.Utility_DisplayArrayInTable(Fertiliser_SourceData.Fertiliser_Products_Data2(), FertiliserProducts[[#Headers],[Company]],31)</f>
        <v>Nitrogen - Ammoniacal</v>
      </c>
      <c r="R142" s="173" cm="1">
        <f t="array" ref="R142">Common_InputFunctions.Utility_DisplayArrayInTable(Fertiliser_SourceData.Fertiliser_Products_Data2(), FertiliserProducts[[#Headers],[Company]],31)</f>
        <v>7.0000000000000007E-2</v>
      </c>
      <c r="S142" s="173" t="str" cm="1">
        <f t="array" ref="S142">Common_InputFunctions.Utility_DisplayArrayInTable(Fertiliser_SourceData.Fertiliser_Products_Data2(), FertiliserProducts[[#Headers],[Company]],31)</f>
        <v>Phosphorus - Generic</v>
      </c>
      <c r="T142" s="173" cm="1">
        <f t="array" ref="T142">Common_InputFunctions.Utility_DisplayArrayInTable(Fertiliser_SourceData.Fertiliser_Products_Data2(), FertiliserProducts[[#Headers],[Company]],31)</f>
        <v>0.05</v>
      </c>
      <c r="U142" s="173" t="str" cm="1">
        <f t="array" ref="U142">Common_InputFunctions.Utility_DisplayArrayInTable(Fertiliser_SourceData.Fertiliser_Products_Data2(), FertiliserProducts[[#Headers],[Company]],31)</f>
        <v>Potassium - Generic</v>
      </c>
      <c r="V142" s="173" cm="1">
        <f t="array" ref="V142">Common_InputFunctions.Utility_DisplayArrayInTable(Fertiliser_SourceData.Fertiliser_Products_Data2(), FertiliserProducts[[#Headers],[Company]],31)</f>
        <v>0.15</v>
      </c>
      <c r="W142" s="173" t="str" cm="1">
        <f t="array" ref="W142">Common_InputFunctions.Utility_DisplayArrayInTable(Fertiliser_SourceData.Fertiliser_Products_Data2(), FertiliserProducts[[#Headers],[Company]],31)</f>
        <v>Sulfur - Generic</v>
      </c>
      <c r="X142" s="173" cm="1">
        <f t="array" ref="X142">Common_InputFunctions.Utility_DisplayArrayInTable(Fertiliser_SourceData.Fertiliser_Products_Data2(), FertiliserProducts[[#Headers],[Company]],31)</f>
        <v>0.08</v>
      </c>
      <c r="Y142" s="173" t="str" cm="1">
        <f t="array" ref="Y142">Common_InputFunctions.Utility_DisplayArrayInTable(Fertiliser_SourceData.Fertiliser_Products_Data2(), FertiliserProducts[[#Headers],[Company]],31)</f>
        <v>Magnesium</v>
      </c>
      <c r="Z142" s="173" cm="1">
        <f t="array" ref="Z142">Common_InputFunctions.Utility_DisplayArrayInTable(Fertiliser_SourceData.Fertiliser_Products_Data2(), FertiliserProducts[[#Headers],[Company]],31)</f>
        <v>1.6E-2</v>
      </c>
      <c r="AA142" s="173" t="str" cm="1">
        <f t="array" ref="AA142">Common_InputFunctions.Utility_DisplayArrayInTable(Fertiliser_SourceData.Fertiliser_Products_Data2(), FertiliserProducts[[#Headers],[Company]],31)</f>
        <v>Zinc</v>
      </c>
      <c r="AB142" s="173" cm="1">
        <f t="array" ref="AB142">Common_InputFunctions.Utility_DisplayArrayInTable(Fertiliser_SourceData.Fertiliser_Products_Data2(), FertiliserProducts[[#Headers],[Company]],31)</f>
        <v>2.0000000000000001E-4</v>
      </c>
      <c r="AC142" s="173" t="str" cm="1">
        <f t="array" ref="AC142">Common_InputFunctions.Utility_DisplayArrayInTable(Fertiliser_SourceData.Fertiliser_Products_Data2(), FertiliserProducts[[#Headers],[Company]],31)</f>
        <v>Boron</v>
      </c>
      <c r="AD142" s="173" cm="1">
        <f t="array" ref="AD142">Common_InputFunctions.Utility_DisplayArrayInTable(Fertiliser_SourceData.Fertiliser_Products_Data2(), FertiliserProducts[[#Headers],[Company]],31)</f>
        <v>1.4999999999999999E-4</v>
      </c>
      <c r="AE142" s="173" t="str" cm="1">
        <f t="array" ref="AE142">Common_InputFunctions.Utility_DisplayArrayInTable(Fertiliser_SourceData.Fertiliser_Products_Data2(), FertiliserProducts[[#Headers],[Company]],31)</f>
        <v/>
      </c>
      <c r="AF142" s="173" t="str" cm="1">
        <f t="array" ref="AF142">Common_InputFunctions.Utility_DisplayArrayInTable(Fertiliser_SourceData.Fertiliser_Products_Data2(), FertiliserProducts[[#Headers],[Company]],31)</f>
        <v/>
      </c>
      <c r="AG142" s="173" t="str" cm="1">
        <f t="array" ref="AG142">Common_InputFunctions.Utility_DisplayArrayInTable(Fertiliser_SourceData.Fertiliser_Products_Data2(), FertiliserProducts[[#Headers],[Company]],31)</f>
        <v/>
      </c>
      <c r="AH142" s="173"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73" t="str" cm="1">
        <f t="array" ref="D143">Common_InputFunctions.Utility_DisplayArrayInTable(Fertiliser_SourceData.Fertiliser_Products_Data2(), FertiliserProducts[[#Headers],[Company]],31)</f>
        <v>Yara Australia</v>
      </c>
      <c r="E143" s="173" t="str" cm="1">
        <f t="array" ref="E143">Common_InputFunctions.Utility_DisplayArrayInTable(Fertiliser_SourceData.Fertiliser_Products_Data2(), FertiliserProducts[[#Headers],[Company]],31)</f>
        <v>YaraRega 9-0-30 (14)</v>
      </c>
      <c r="F143" s="173" t="str" cm="1">
        <f t="array" ref="F143">Common_InputFunctions.Utility_DisplayArrayInTable(Fertiliser_SourceData.Fertiliser_Products_Data2(), FertiliserProducts[[#Headers],[Company]],31)</f>
        <v>kg</v>
      </c>
      <c r="G143" s="173" cm="1">
        <f t="array" ref="G143">Common_InputFunctions.Utility_DisplayArrayInTable(Fertiliser_SourceData.Fertiliser_Products_Data2(), FertiliserProducts[[#Headers],[Company]],31)</f>
        <v>1</v>
      </c>
      <c r="H143" s="173" t="str" cm="1">
        <f t="array" ref="H143">Common_InputFunctions.Utility_DisplayArrayInTable(Fertiliser_SourceData.Fertiliser_Products_Data2(), FertiliserProducts[[#Headers],[Company]],31)</f>
        <v/>
      </c>
      <c r="I143" s="173" t="str" cm="1">
        <f t="array" ref="I143">Common_InputFunctions.Utility_DisplayArrayInTable(Fertiliser_SourceData.Fertiliser_Products_Data2(), FertiliserProducts[[#Headers],[Company]],31)</f>
        <v/>
      </c>
      <c r="J143" s="173" t="str" cm="1">
        <f t="array" ref="J143">Common_InputFunctions.Utility_DisplayArrayInTable(Fertiliser_SourceData.Fertiliser_Products_Data2(), FertiliserProducts[[#Headers],[Company]],31)</f>
        <v/>
      </c>
      <c r="K143" s="173" cm="1">
        <f t="array" ref="K143">Common_InputFunctions.Utility_DisplayArrayInTable(Fertiliser_SourceData.Fertiliser_Products_Data2(), FertiliserProducts[[#Headers],[Company]],31)</f>
        <v>9</v>
      </c>
      <c r="L143" s="173" t="str" cm="1">
        <f t="array" ref="L143">Common_InputFunctions.Utility_DisplayArrayInTable(Fertiliser_SourceData.Fertiliser_Products_Data2(), FertiliserProducts[[#Headers],[Company]],31)</f>
        <v/>
      </c>
      <c r="M143" s="173" cm="1">
        <f t="array" ref="M143">Common_InputFunctions.Utility_DisplayArrayInTable(Fertiliser_SourceData.Fertiliser_Products_Data2(), FertiliserProducts[[#Headers],[Company]],31)</f>
        <v>30</v>
      </c>
      <c r="N143" s="173" cm="1">
        <f t="array" ref="N143">Common_InputFunctions.Utility_DisplayArrayInTable(Fertiliser_SourceData.Fertiliser_Products_Data2(), FertiliserProducts[[#Headers],[Company]],31)</f>
        <v>14</v>
      </c>
      <c r="O143" s="173" t="str" cm="1">
        <f t="array" ref="O143">Common_InputFunctions.Utility_DisplayArrayInTable(Fertiliser_SourceData.Fertiliser_Products_Data2(), FertiliserProducts[[#Headers],[Company]],31)</f>
        <v>Potassium - Generic</v>
      </c>
      <c r="P143" s="173" cm="1">
        <f t="array" ref="P143">Common_InputFunctions.Utility_DisplayArrayInTable(Fertiliser_SourceData.Fertiliser_Products_Data2(), FertiliserProducts[[#Headers],[Company]],31)</f>
        <v>0.3</v>
      </c>
      <c r="Q143" s="173" t="str" cm="1">
        <f t="array" ref="Q143">Common_InputFunctions.Utility_DisplayArrayInTable(Fertiliser_SourceData.Fertiliser_Products_Data2(), FertiliserProducts[[#Headers],[Company]],31)</f>
        <v>Sulfur - Generic</v>
      </c>
      <c r="R143" s="173" cm="1">
        <f t="array" ref="R143">Common_InputFunctions.Utility_DisplayArrayInTable(Fertiliser_SourceData.Fertiliser_Products_Data2(), FertiliserProducts[[#Headers],[Company]],31)</f>
        <v>0.14000000000000001</v>
      </c>
      <c r="S143" s="173" t="str" cm="1">
        <f t="array" ref="S143">Common_InputFunctions.Utility_DisplayArrayInTable(Fertiliser_SourceData.Fertiliser_Products_Data2(), FertiliserProducts[[#Headers],[Company]],31)</f>
        <v>Nitrogen - Nitrate</v>
      </c>
      <c r="T143" s="173" cm="1">
        <f t="array" ref="T143">Common_InputFunctions.Utility_DisplayArrayInTable(Fertiliser_SourceData.Fertiliser_Products_Data2(), FertiliserProducts[[#Headers],[Company]],31)</f>
        <v>4.4999999999999998E-2</v>
      </c>
      <c r="U143" s="173" t="str" cm="1">
        <f t="array" ref="U143">Common_InputFunctions.Utility_DisplayArrayInTable(Fertiliser_SourceData.Fertiliser_Products_Data2(), FertiliserProducts[[#Headers],[Company]],31)</f>
        <v>Nitrogen - Ammoniacal</v>
      </c>
      <c r="V143" s="173" cm="1">
        <f t="array" ref="V143">Common_InputFunctions.Utility_DisplayArrayInTable(Fertiliser_SourceData.Fertiliser_Products_Data2(), FertiliserProducts[[#Headers],[Company]],31)</f>
        <v>4.4999999999999998E-2</v>
      </c>
      <c r="W143" s="173" t="str" cm="1">
        <f t="array" ref="W143">Common_InputFunctions.Utility_DisplayArrayInTable(Fertiliser_SourceData.Fertiliser_Products_Data2(), FertiliserProducts[[#Headers],[Company]],31)</f>
        <v/>
      </c>
      <c r="X143" s="173" t="str" cm="1">
        <f t="array" ref="X143">Common_InputFunctions.Utility_DisplayArrayInTable(Fertiliser_SourceData.Fertiliser_Products_Data2(), FertiliserProducts[[#Headers],[Company]],31)</f>
        <v/>
      </c>
      <c r="Y143" s="173" t="str" cm="1">
        <f t="array" ref="Y143">Common_InputFunctions.Utility_DisplayArrayInTable(Fertiliser_SourceData.Fertiliser_Products_Data2(), FertiliserProducts[[#Headers],[Company]],31)</f>
        <v/>
      </c>
      <c r="Z143" s="173" t="str" cm="1">
        <f t="array" ref="Z143">Common_InputFunctions.Utility_DisplayArrayInTable(Fertiliser_SourceData.Fertiliser_Products_Data2(), FertiliserProducts[[#Headers],[Company]],31)</f>
        <v/>
      </c>
      <c r="AA143" s="173" t="str" cm="1">
        <f t="array" ref="AA143">Common_InputFunctions.Utility_DisplayArrayInTable(Fertiliser_SourceData.Fertiliser_Products_Data2(), FertiliserProducts[[#Headers],[Company]],31)</f>
        <v/>
      </c>
      <c r="AB143" s="173" t="str" cm="1">
        <f t="array" ref="AB143">Common_InputFunctions.Utility_DisplayArrayInTable(Fertiliser_SourceData.Fertiliser_Products_Data2(), FertiliserProducts[[#Headers],[Company]],31)</f>
        <v/>
      </c>
      <c r="AC143" s="173" t="str" cm="1">
        <f t="array" ref="AC143">Common_InputFunctions.Utility_DisplayArrayInTable(Fertiliser_SourceData.Fertiliser_Products_Data2(), FertiliserProducts[[#Headers],[Company]],31)</f>
        <v/>
      </c>
      <c r="AD143" s="173" t="str" cm="1">
        <f t="array" ref="AD143">Common_InputFunctions.Utility_DisplayArrayInTable(Fertiliser_SourceData.Fertiliser_Products_Data2(), FertiliserProducts[[#Headers],[Company]],31)</f>
        <v/>
      </c>
      <c r="AE143" s="173" t="str" cm="1">
        <f t="array" ref="AE143">Common_InputFunctions.Utility_DisplayArrayInTable(Fertiliser_SourceData.Fertiliser_Products_Data2(), FertiliserProducts[[#Headers],[Company]],31)</f>
        <v/>
      </c>
      <c r="AF143" s="173" t="str" cm="1">
        <f t="array" ref="AF143">Common_InputFunctions.Utility_DisplayArrayInTable(Fertiliser_SourceData.Fertiliser_Products_Data2(), FertiliserProducts[[#Headers],[Company]],31)</f>
        <v/>
      </c>
      <c r="AG143" s="173" t="str" cm="1">
        <f t="array" ref="AG143">Common_InputFunctions.Utility_DisplayArrayInTable(Fertiliser_SourceData.Fertiliser_Products_Data2(), FertiliserProducts[[#Headers],[Company]],31)</f>
        <v/>
      </c>
      <c r="AH143" s="173"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73" t="str" cm="1">
        <f t="array" ref="D144">Common_InputFunctions.Utility_DisplayArrayInTable(Fertiliser_SourceData.Fertiliser_Products_Data2(), FertiliserProducts[[#Headers],[Company]],31)</f>
        <v>Yara Australia</v>
      </c>
      <c r="E144" s="173" t="str" cm="1">
        <f t="array" ref="E144">Common_InputFunctions.Utility_DisplayArrayInTable(Fertiliser_SourceData.Fertiliser_Products_Data2(), FertiliserProducts[[#Headers],[Company]],31)</f>
        <v>YaraRega 13-2-21</v>
      </c>
      <c r="F144" s="173" t="str" cm="1">
        <f t="array" ref="F144">Common_InputFunctions.Utility_DisplayArrayInTable(Fertiliser_SourceData.Fertiliser_Products_Data2(), FertiliserProducts[[#Headers],[Company]],31)</f>
        <v>kg</v>
      </c>
      <c r="G144" s="173" cm="1">
        <f t="array" ref="G144">Common_InputFunctions.Utility_DisplayArrayInTable(Fertiliser_SourceData.Fertiliser_Products_Data2(), FertiliserProducts[[#Headers],[Company]],31)</f>
        <v>1</v>
      </c>
      <c r="H144" s="173" t="str" cm="1">
        <f t="array" ref="H144">Common_InputFunctions.Utility_DisplayArrayInTable(Fertiliser_SourceData.Fertiliser_Products_Data2(), FertiliserProducts[[#Headers],[Company]],31)</f>
        <v/>
      </c>
      <c r="I144" s="173" t="str" cm="1">
        <f t="array" ref="I144">Common_InputFunctions.Utility_DisplayArrayInTable(Fertiliser_SourceData.Fertiliser_Products_Data2(), FertiliserProducts[[#Headers],[Company]],31)</f>
        <v/>
      </c>
      <c r="J144" s="173" t="str" cm="1">
        <f t="array" ref="J144">Common_InputFunctions.Utility_DisplayArrayInTable(Fertiliser_SourceData.Fertiliser_Products_Data2(), FertiliserProducts[[#Headers],[Company]],31)</f>
        <v/>
      </c>
      <c r="K144" s="173" cm="1">
        <f t="array" ref="K144">Common_InputFunctions.Utility_DisplayArrayInTable(Fertiliser_SourceData.Fertiliser_Products_Data2(), FertiliserProducts[[#Headers],[Company]],31)</f>
        <v>13</v>
      </c>
      <c r="L144" s="173" cm="1">
        <f t="array" ref="L144">Common_InputFunctions.Utility_DisplayArrayInTable(Fertiliser_SourceData.Fertiliser_Products_Data2(), FertiliserProducts[[#Headers],[Company]],31)</f>
        <v>1.75</v>
      </c>
      <c r="M144" s="173" cm="1">
        <f t="array" ref="M144">Common_InputFunctions.Utility_DisplayArrayInTable(Fertiliser_SourceData.Fertiliser_Products_Data2(), FertiliserProducts[[#Headers],[Company]],31)</f>
        <v>21</v>
      </c>
      <c r="N144" s="173" cm="1">
        <f t="array" ref="N144">Common_InputFunctions.Utility_DisplayArrayInTable(Fertiliser_SourceData.Fertiliser_Products_Data2(), FertiliserProducts[[#Headers],[Company]],31)</f>
        <v>10.8</v>
      </c>
      <c r="O144" s="173" t="str" cm="1">
        <f t="array" ref="O144">Common_InputFunctions.Utility_DisplayArrayInTable(Fertiliser_SourceData.Fertiliser_Products_Data2(), FertiliserProducts[[#Headers],[Company]],31)</f>
        <v>Potassium - Generic</v>
      </c>
      <c r="P144" s="173" cm="1">
        <f t="array" ref="P144">Common_InputFunctions.Utility_DisplayArrayInTable(Fertiliser_SourceData.Fertiliser_Products_Data2(), FertiliserProducts[[#Headers],[Company]],31)</f>
        <v>0.21</v>
      </c>
      <c r="Q144" s="173" t="str" cm="1">
        <f t="array" ref="Q144">Common_InputFunctions.Utility_DisplayArrayInTable(Fertiliser_SourceData.Fertiliser_Products_Data2(), FertiliserProducts[[#Headers],[Company]],31)</f>
        <v>Sulfur - Generic</v>
      </c>
      <c r="R144" s="173" cm="1">
        <f t="array" ref="R144">Common_InputFunctions.Utility_DisplayArrayInTable(Fertiliser_SourceData.Fertiliser_Products_Data2(), FertiliserProducts[[#Headers],[Company]],31)</f>
        <v>0.108</v>
      </c>
      <c r="S144" s="173" t="str" cm="1">
        <f t="array" ref="S144">Common_InputFunctions.Utility_DisplayArrayInTable(Fertiliser_SourceData.Fertiliser_Products_Data2(), FertiliserProducts[[#Headers],[Company]],31)</f>
        <v>Nitrogen - Ammoniacal</v>
      </c>
      <c r="T144" s="173" cm="1">
        <f t="array" ref="T144">Common_InputFunctions.Utility_DisplayArrayInTable(Fertiliser_SourceData.Fertiliser_Products_Data2(), FertiliserProducts[[#Headers],[Company]],31)</f>
        <v>7.6999999999999999E-2</v>
      </c>
      <c r="U144" s="173" t="str" cm="1">
        <f t="array" ref="U144">Common_InputFunctions.Utility_DisplayArrayInTable(Fertiliser_SourceData.Fertiliser_Products_Data2(), FertiliserProducts[[#Headers],[Company]],31)</f>
        <v>Nitrogen - Nitrate</v>
      </c>
      <c r="V144" s="173" cm="1">
        <f t="array" ref="V144">Common_InputFunctions.Utility_DisplayArrayInTable(Fertiliser_SourceData.Fertiliser_Products_Data2(), FertiliserProducts[[#Headers],[Company]],31)</f>
        <v>5.2999999999999999E-2</v>
      </c>
      <c r="W144" s="173" t="str" cm="1">
        <f t="array" ref="W144">Common_InputFunctions.Utility_DisplayArrayInTable(Fertiliser_SourceData.Fertiliser_Products_Data2(), FertiliserProducts[[#Headers],[Company]],31)</f>
        <v>Phosphorus - Generic</v>
      </c>
      <c r="X144" s="173" cm="1">
        <f t="array" ref="X144">Common_InputFunctions.Utility_DisplayArrayInTable(Fertiliser_SourceData.Fertiliser_Products_Data2(), FertiliserProducts[[#Headers],[Company]],31)</f>
        <v>1.7500000000000002E-2</v>
      </c>
      <c r="Y144" s="173" t="str" cm="1">
        <f t="array" ref="Y144">Common_InputFunctions.Utility_DisplayArrayInTable(Fertiliser_SourceData.Fertiliser_Products_Data2(), FertiliserProducts[[#Headers],[Company]],31)</f>
        <v>Magnesium</v>
      </c>
      <c r="Z144" s="173" cm="1">
        <f t="array" ref="Z144">Common_InputFunctions.Utility_DisplayArrayInTable(Fertiliser_SourceData.Fertiliser_Products_Data2(), FertiliserProducts[[#Headers],[Company]],31)</f>
        <v>4.0000000000000001E-3</v>
      </c>
      <c r="AA144" s="173" t="str" cm="1">
        <f t="array" ref="AA144">Common_InputFunctions.Utility_DisplayArrayInTable(Fertiliser_SourceData.Fertiliser_Products_Data2(), FertiliserProducts[[#Headers],[Company]],31)</f>
        <v>Zinc</v>
      </c>
      <c r="AB144" s="173" cm="1">
        <f t="array" ref="AB144">Common_InputFunctions.Utility_DisplayArrayInTable(Fertiliser_SourceData.Fertiliser_Products_Data2(), FertiliserProducts[[#Headers],[Company]],31)</f>
        <v>8.0000000000000004E-4</v>
      </c>
      <c r="AC144" s="173" t="str" cm="1">
        <f t="array" ref="AC144">Common_InputFunctions.Utility_DisplayArrayInTable(Fertiliser_SourceData.Fertiliser_Products_Data2(), FertiliserProducts[[#Headers],[Company]],31)</f>
        <v>Boron</v>
      </c>
      <c r="AD144" s="173" cm="1">
        <f t="array" ref="AD144">Common_InputFunctions.Utility_DisplayArrayInTable(Fertiliser_SourceData.Fertiliser_Products_Data2(), FertiliserProducts[[#Headers],[Company]],31)</f>
        <v>8.0000000000000004E-4</v>
      </c>
      <c r="AE144" s="173" t="str" cm="1">
        <f t="array" ref="AE144">Common_InputFunctions.Utility_DisplayArrayInTable(Fertiliser_SourceData.Fertiliser_Products_Data2(), FertiliserProducts[[#Headers],[Company]],31)</f>
        <v/>
      </c>
      <c r="AF144" s="173" t="str" cm="1">
        <f t="array" ref="AF144">Common_InputFunctions.Utility_DisplayArrayInTable(Fertiliser_SourceData.Fertiliser_Products_Data2(), FertiliserProducts[[#Headers],[Company]],31)</f>
        <v/>
      </c>
      <c r="AG144" s="173" t="str" cm="1">
        <f t="array" ref="AG144">Common_InputFunctions.Utility_DisplayArrayInTable(Fertiliser_SourceData.Fertiliser_Products_Data2(), FertiliserProducts[[#Headers],[Company]],31)</f>
        <v/>
      </c>
      <c r="AH144" s="173"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73" t="str" cm="1">
        <f t="array" ref="D145">Common_InputFunctions.Utility_DisplayArrayInTable(Fertiliser_SourceData.Fertiliser_Products_Data2(), FertiliserProducts[[#Headers],[Company]],31)</f>
        <v>Yara Australia</v>
      </c>
      <c r="E145" s="173" t="str" cm="1">
        <f t="array" ref="E145">Common_InputFunctions.Utility_DisplayArrayInTable(Fertiliser_SourceData.Fertiliser_Products_Data2(), FertiliserProducts[[#Headers],[Company]],31)</f>
        <v>YaraRega 15-7-13 (7S)</v>
      </c>
      <c r="F145" s="173" t="str" cm="1">
        <f t="array" ref="F145">Common_InputFunctions.Utility_DisplayArrayInTable(Fertiliser_SourceData.Fertiliser_Products_Data2(), FertiliserProducts[[#Headers],[Company]],31)</f>
        <v>kg</v>
      </c>
      <c r="G145" s="173" cm="1">
        <f t="array" ref="G145">Common_InputFunctions.Utility_DisplayArrayInTable(Fertiliser_SourceData.Fertiliser_Products_Data2(), FertiliserProducts[[#Headers],[Company]],31)</f>
        <v>1</v>
      </c>
      <c r="H145" s="173" t="str" cm="1">
        <f t="array" ref="H145">Common_InputFunctions.Utility_DisplayArrayInTable(Fertiliser_SourceData.Fertiliser_Products_Data2(), FertiliserProducts[[#Headers],[Company]],31)</f>
        <v/>
      </c>
      <c r="I145" s="173" t="str" cm="1">
        <f t="array" ref="I145">Common_InputFunctions.Utility_DisplayArrayInTable(Fertiliser_SourceData.Fertiliser_Products_Data2(), FertiliserProducts[[#Headers],[Company]],31)</f>
        <v/>
      </c>
      <c r="J145" s="173" t="str" cm="1">
        <f t="array" ref="J145">Common_InputFunctions.Utility_DisplayArrayInTable(Fertiliser_SourceData.Fertiliser_Products_Data2(), FertiliserProducts[[#Headers],[Company]],31)</f>
        <v/>
      </c>
      <c r="K145" s="173" cm="1">
        <f t="array" ref="K145">Common_InputFunctions.Utility_DisplayArrayInTable(Fertiliser_SourceData.Fertiliser_Products_Data2(), FertiliserProducts[[#Headers],[Company]],31)</f>
        <v>15</v>
      </c>
      <c r="L145" s="173" cm="1">
        <f t="array" ref="L145">Common_InputFunctions.Utility_DisplayArrayInTable(Fertiliser_SourceData.Fertiliser_Products_Data2(), FertiliserProducts[[#Headers],[Company]],31)</f>
        <v>6.5</v>
      </c>
      <c r="M145" s="173" cm="1">
        <f t="array" ref="M145">Common_InputFunctions.Utility_DisplayArrayInTable(Fertiliser_SourceData.Fertiliser_Products_Data2(), FertiliserProducts[[#Headers],[Company]],31)</f>
        <v>12.5</v>
      </c>
      <c r="N145" s="173" cm="1">
        <f t="array" ref="N145">Common_InputFunctions.Utility_DisplayArrayInTable(Fertiliser_SourceData.Fertiliser_Products_Data2(), FertiliserProducts[[#Headers],[Company]],31)</f>
        <v>7.2</v>
      </c>
      <c r="O145" s="173" t="str" cm="1">
        <f t="array" ref="O145">Common_InputFunctions.Utility_DisplayArrayInTable(Fertiliser_SourceData.Fertiliser_Products_Data2(), FertiliserProducts[[#Headers],[Company]],31)</f>
        <v>Nitrogen - Nitrate</v>
      </c>
      <c r="P145" s="173" cm="1">
        <f t="array" ref="P145">Common_InputFunctions.Utility_DisplayArrayInTable(Fertiliser_SourceData.Fertiliser_Products_Data2(), FertiliserProducts[[#Headers],[Company]],31)</f>
        <v>9.5000000000000001E-2</v>
      </c>
      <c r="Q145" s="173" t="str" cm="1">
        <f t="array" ref="Q145">Common_InputFunctions.Utility_DisplayArrayInTable(Fertiliser_SourceData.Fertiliser_Products_Data2(), FertiliserProducts[[#Headers],[Company]],31)</f>
        <v>Potassium - Generic</v>
      </c>
      <c r="R145" s="173" cm="1">
        <f t="array" ref="R145">Common_InputFunctions.Utility_DisplayArrayInTable(Fertiliser_SourceData.Fertiliser_Products_Data2(), FertiliserProducts[[#Headers],[Company]],31)</f>
        <v>0.125</v>
      </c>
      <c r="S145" s="173" t="str" cm="1">
        <f t="array" ref="S145">Common_InputFunctions.Utility_DisplayArrayInTable(Fertiliser_SourceData.Fertiliser_Products_Data2(), FertiliserProducts[[#Headers],[Company]],31)</f>
        <v>Sulfur - Generic</v>
      </c>
      <c r="T145" s="173" cm="1">
        <f t="array" ref="T145">Common_InputFunctions.Utility_DisplayArrayInTable(Fertiliser_SourceData.Fertiliser_Products_Data2(), FertiliserProducts[[#Headers],[Company]],31)</f>
        <v>7.1999999999999995E-2</v>
      </c>
      <c r="U145" s="173" t="str" cm="1">
        <f t="array" ref="U145">Common_InputFunctions.Utility_DisplayArrayInTable(Fertiliser_SourceData.Fertiliser_Products_Data2(), FertiliserProducts[[#Headers],[Company]],31)</f>
        <v>Phosphorus - Generic</v>
      </c>
      <c r="V145" s="173" cm="1">
        <f t="array" ref="V145">Common_InputFunctions.Utility_DisplayArrayInTable(Fertiliser_SourceData.Fertiliser_Products_Data2(), FertiliserProducts[[#Headers],[Company]],31)</f>
        <v>6.5000000000000002E-2</v>
      </c>
      <c r="W145" s="173" t="str" cm="1">
        <f t="array" ref="W145">Common_InputFunctions.Utility_DisplayArrayInTable(Fertiliser_SourceData.Fertiliser_Products_Data2(), FertiliserProducts[[#Headers],[Company]],31)</f>
        <v>Nitrogen - Ammoniacal</v>
      </c>
      <c r="X145" s="173" cm="1">
        <f t="array" ref="X145">Common_InputFunctions.Utility_DisplayArrayInTable(Fertiliser_SourceData.Fertiliser_Products_Data2(), FertiliserProducts[[#Headers],[Company]],31)</f>
        <v>5.5E-2</v>
      </c>
      <c r="Y145" s="173" t="str" cm="1">
        <f t="array" ref="Y145">Common_InputFunctions.Utility_DisplayArrayInTable(Fertiliser_SourceData.Fertiliser_Products_Data2(), FertiliserProducts[[#Headers],[Company]],31)</f>
        <v>Magnesium</v>
      </c>
      <c r="Z145" s="173" cm="1">
        <f t="array" ref="Z145">Common_InputFunctions.Utility_DisplayArrayInTable(Fertiliser_SourceData.Fertiliser_Products_Data2(), FertiliserProducts[[#Headers],[Company]],31)</f>
        <v>6.6E-3</v>
      </c>
      <c r="AA145" s="173" t="str" cm="1">
        <f t="array" ref="AA145">Common_InputFunctions.Utility_DisplayArrayInTable(Fertiliser_SourceData.Fertiliser_Products_Data2(), FertiliserProducts[[#Headers],[Company]],31)</f>
        <v>Boron</v>
      </c>
      <c r="AB145" s="173" cm="1">
        <f t="array" ref="AB145">Common_InputFunctions.Utility_DisplayArrayInTable(Fertiliser_SourceData.Fertiliser_Products_Data2(), FertiliserProducts[[#Headers],[Company]],31)</f>
        <v>1E-3</v>
      </c>
      <c r="AC145" s="173" t="str" cm="1">
        <f t="array" ref="AC145">Common_InputFunctions.Utility_DisplayArrayInTable(Fertiliser_SourceData.Fertiliser_Products_Data2(), FertiliserProducts[[#Headers],[Company]],31)</f>
        <v>Zinc</v>
      </c>
      <c r="AD145" s="173" cm="1">
        <f t="array" ref="AD145">Common_InputFunctions.Utility_DisplayArrayInTable(Fertiliser_SourceData.Fertiliser_Products_Data2(), FertiliserProducts[[#Headers],[Company]],31)</f>
        <v>5.9999999999999995E-4</v>
      </c>
      <c r="AE145" s="173" t="str" cm="1">
        <f t="array" ref="AE145">Common_InputFunctions.Utility_DisplayArrayInTable(Fertiliser_SourceData.Fertiliser_Products_Data2(), FertiliserProducts[[#Headers],[Company]],31)</f>
        <v/>
      </c>
      <c r="AF145" s="173" t="str" cm="1">
        <f t="array" ref="AF145">Common_InputFunctions.Utility_DisplayArrayInTable(Fertiliser_SourceData.Fertiliser_Products_Data2(), FertiliserProducts[[#Headers],[Company]],31)</f>
        <v/>
      </c>
      <c r="AG145" s="173" t="str" cm="1">
        <f t="array" ref="AG145">Common_InputFunctions.Utility_DisplayArrayInTable(Fertiliser_SourceData.Fertiliser_Products_Data2(), FertiliserProducts[[#Headers],[Company]],31)</f>
        <v/>
      </c>
      <c r="AH145" s="173"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73" t="str" cm="1">
        <f t="array" ref="D146">Common_InputFunctions.Utility_DisplayArrayInTable(Fertiliser_SourceData.Fertiliser_Products_Data2(), FertiliserProducts[[#Headers],[Company]],31)</f>
        <v>Yara Australia</v>
      </c>
      <c r="E146" s="173" t="str" cm="1">
        <f t="array" ref="E146">Common_InputFunctions.Utility_DisplayArrayInTable(Fertiliser_SourceData.Fertiliser_Products_Data2(), FertiliserProducts[[#Headers],[Company]],31)</f>
        <v>YaraTera CALCINIT B</v>
      </c>
      <c r="F146" s="173" t="str" cm="1">
        <f t="array" ref="F146">Common_InputFunctions.Utility_DisplayArrayInTable(Fertiliser_SourceData.Fertiliser_Products_Data2(), FertiliserProducts[[#Headers],[Company]],31)</f>
        <v>kg</v>
      </c>
      <c r="G146" s="173" cm="1">
        <f t="array" ref="G146">Common_InputFunctions.Utility_DisplayArrayInTable(Fertiliser_SourceData.Fertiliser_Products_Data2(), FertiliserProducts[[#Headers],[Company]],31)</f>
        <v>1</v>
      </c>
      <c r="H146" s="173" t="str" cm="1">
        <f t="array" ref="H146">Common_InputFunctions.Utility_DisplayArrayInTable(Fertiliser_SourceData.Fertiliser_Products_Data2(), FertiliserProducts[[#Headers],[Company]],31)</f>
        <v/>
      </c>
      <c r="I146" s="173" t="str" cm="1">
        <f t="array" ref="I146">Common_InputFunctions.Utility_DisplayArrayInTable(Fertiliser_SourceData.Fertiliser_Products_Data2(), FertiliserProducts[[#Headers],[Company]],31)</f>
        <v/>
      </c>
      <c r="J146" s="173" t="str" cm="1">
        <f t="array" ref="J146">Common_InputFunctions.Utility_DisplayArrayInTable(Fertiliser_SourceData.Fertiliser_Products_Data2(), FertiliserProducts[[#Headers],[Company]],31)</f>
        <v/>
      </c>
      <c r="K146" s="173" cm="1">
        <f t="array" ref="K146">Common_InputFunctions.Utility_DisplayArrayInTable(Fertiliser_SourceData.Fertiliser_Products_Data2(), FertiliserProducts[[#Headers],[Company]],31)</f>
        <v>15.5</v>
      </c>
      <c r="L146" s="173" t="str" cm="1">
        <f t="array" ref="L146">Common_InputFunctions.Utility_DisplayArrayInTable(Fertiliser_SourceData.Fertiliser_Products_Data2(), FertiliserProducts[[#Headers],[Company]],31)</f>
        <v/>
      </c>
      <c r="M146" s="173" t="str" cm="1">
        <f t="array" ref="M146">Common_InputFunctions.Utility_DisplayArrayInTable(Fertiliser_SourceData.Fertiliser_Products_Data2(), FertiliserProducts[[#Headers],[Company]],31)</f>
        <v/>
      </c>
      <c r="N146" s="173" t="str" cm="1">
        <f t="array" ref="N146">Common_InputFunctions.Utility_DisplayArrayInTable(Fertiliser_SourceData.Fertiliser_Products_Data2(), FertiliserProducts[[#Headers],[Company]],31)</f>
        <v/>
      </c>
      <c r="O146" s="173" t="str" cm="1">
        <f t="array" ref="O146">Common_InputFunctions.Utility_DisplayArrayInTable(Fertiliser_SourceData.Fertiliser_Products_Data2(), FertiliserProducts[[#Headers],[Company]],31)</f>
        <v>Calcium nitrate</v>
      </c>
      <c r="P146" s="173" cm="1">
        <f t="array" ref="P146">Common_InputFunctions.Utility_DisplayArrayInTable(Fertiliser_SourceData.Fertiliser_Products_Data2(), FertiliserProducts[[#Headers],[Company]],31)</f>
        <v>1</v>
      </c>
      <c r="Q146" s="173" t="str" cm="1">
        <f t="array" ref="Q146">Common_InputFunctions.Utility_DisplayArrayInTable(Fertiliser_SourceData.Fertiliser_Products_Data2(), FertiliserProducts[[#Headers],[Company]],31)</f>
        <v>Boron</v>
      </c>
      <c r="R146" s="173" cm="1">
        <f t="array" ref="R146">Common_InputFunctions.Utility_DisplayArrayInTable(Fertiliser_SourceData.Fertiliser_Products_Data2(), FertiliserProducts[[#Headers],[Company]],31)</f>
        <v>1E-3</v>
      </c>
      <c r="S146" s="173" t="str" cm="1">
        <f t="array" ref="S146">Common_InputFunctions.Utility_DisplayArrayInTable(Fertiliser_SourceData.Fertiliser_Products_Data2(), FertiliserProducts[[#Headers],[Company]],31)</f>
        <v/>
      </c>
      <c r="T146" s="173" t="str" cm="1">
        <f t="array" ref="T146">Common_InputFunctions.Utility_DisplayArrayInTable(Fertiliser_SourceData.Fertiliser_Products_Data2(), FertiliserProducts[[#Headers],[Company]],31)</f>
        <v/>
      </c>
      <c r="U146" s="173" t="str" cm="1">
        <f t="array" ref="U146">Common_InputFunctions.Utility_DisplayArrayInTable(Fertiliser_SourceData.Fertiliser_Products_Data2(), FertiliserProducts[[#Headers],[Company]],31)</f>
        <v/>
      </c>
      <c r="V146" s="173" t="str" cm="1">
        <f t="array" ref="V146">Common_InputFunctions.Utility_DisplayArrayInTable(Fertiliser_SourceData.Fertiliser_Products_Data2(), FertiliserProducts[[#Headers],[Company]],31)</f>
        <v/>
      </c>
      <c r="W146" s="173" t="str" cm="1">
        <f t="array" ref="W146">Common_InputFunctions.Utility_DisplayArrayInTable(Fertiliser_SourceData.Fertiliser_Products_Data2(), FertiliserProducts[[#Headers],[Company]],31)</f>
        <v/>
      </c>
      <c r="X146" s="173" t="str" cm="1">
        <f t="array" ref="X146">Common_InputFunctions.Utility_DisplayArrayInTable(Fertiliser_SourceData.Fertiliser_Products_Data2(), FertiliserProducts[[#Headers],[Company]],31)</f>
        <v/>
      </c>
      <c r="Y146" s="173" t="str" cm="1">
        <f t="array" ref="Y146">Common_InputFunctions.Utility_DisplayArrayInTable(Fertiliser_SourceData.Fertiliser_Products_Data2(), FertiliserProducts[[#Headers],[Company]],31)</f>
        <v/>
      </c>
      <c r="Z146" s="173" t="str" cm="1">
        <f t="array" ref="Z146">Common_InputFunctions.Utility_DisplayArrayInTable(Fertiliser_SourceData.Fertiliser_Products_Data2(), FertiliserProducts[[#Headers],[Company]],31)</f>
        <v/>
      </c>
      <c r="AA146" s="173" t="str" cm="1">
        <f t="array" ref="AA146">Common_InputFunctions.Utility_DisplayArrayInTable(Fertiliser_SourceData.Fertiliser_Products_Data2(), FertiliserProducts[[#Headers],[Company]],31)</f>
        <v/>
      </c>
      <c r="AB146" s="173" t="str" cm="1">
        <f t="array" ref="AB146">Common_InputFunctions.Utility_DisplayArrayInTable(Fertiliser_SourceData.Fertiliser_Products_Data2(), FertiliserProducts[[#Headers],[Company]],31)</f>
        <v/>
      </c>
      <c r="AC146" s="173" t="str" cm="1">
        <f t="array" ref="AC146">Common_InputFunctions.Utility_DisplayArrayInTable(Fertiliser_SourceData.Fertiliser_Products_Data2(), FertiliserProducts[[#Headers],[Company]],31)</f>
        <v/>
      </c>
      <c r="AD146" s="173" t="str" cm="1">
        <f t="array" ref="AD146">Common_InputFunctions.Utility_DisplayArrayInTable(Fertiliser_SourceData.Fertiliser_Products_Data2(), FertiliserProducts[[#Headers],[Company]],31)</f>
        <v/>
      </c>
      <c r="AE146" s="173" t="str" cm="1">
        <f t="array" ref="AE146">Common_InputFunctions.Utility_DisplayArrayInTable(Fertiliser_SourceData.Fertiliser_Products_Data2(), FertiliserProducts[[#Headers],[Company]],31)</f>
        <v/>
      </c>
      <c r="AF146" s="173" t="str" cm="1">
        <f t="array" ref="AF146">Common_InputFunctions.Utility_DisplayArrayInTable(Fertiliser_SourceData.Fertiliser_Products_Data2(), FertiliserProducts[[#Headers],[Company]],31)</f>
        <v/>
      </c>
      <c r="AG146" s="173" t="str" cm="1">
        <f t="array" ref="AG146">Common_InputFunctions.Utility_DisplayArrayInTable(Fertiliser_SourceData.Fertiliser_Products_Data2(), FertiliserProducts[[#Headers],[Company]],31)</f>
        <v/>
      </c>
      <c r="AH146" s="173"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73" t="str" cm="1">
        <f t="array" ref="D147">Common_InputFunctions.Utility_DisplayArrayInTable(Fertiliser_SourceData.Fertiliser_Products_Data2(), FertiliserProducts[[#Headers],[Company]],31)</f>
        <v>Yara Australia</v>
      </c>
      <c r="E147" s="173" t="str" cm="1">
        <f t="array" ref="E147">Common_InputFunctions.Utility_DisplayArrayInTable(Fertiliser_SourceData.Fertiliser_Products_Data2(), FertiliserProducts[[#Headers],[Company]],31)</f>
        <v>YaraTera KRISTA MAP</v>
      </c>
      <c r="F147" s="173" t="str" cm="1">
        <f t="array" ref="F147">Common_InputFunctions.Utility_DisplayArrayInTable(Fertiliser_SourceData.Fertiliser_Products_Data2(), FertiliserProducts[[#Headers],[Company]],31)</f>
        <v>kg</v>
      </c>
      <c r="G147" s="173" cm="1">
        <f t="array" ref="G147">Common_InputFunctions.Utility_DisplayArrayInTable(Fertiliser_SourceData.Fertiliser_Products_Data2(), FertiliserProducts[[#Headers],[Company]],31)</f>
        <v>1</v>
      </c>
      <c r="H147" s="173" t="str" cm="1">
        <f t="array" ref="H147">Common_InputFunctions.Utility_DisplayArrayInTable(Fertiliser_SourceData.Fertiliser_Products_Data2(), FertiliserProducts[[#Headers],[Company]],31)</f>
        <v/>
      </c>
      <c r="I147" s="173" t="str" cm="1">
        <f t="array" ref="I147">Common_InputFunctions.Utility_DisplayArrayInTable(Fertiliser_SourceData.Fertiliser_Products_Data2(), FertiliserProducts[[#Headers],[Company]],31)</f>
        <v/>
      </c>
      <c r="J147" s="173" t="str" cm="1">
        <f t="array" ref="J147">Common_InputFunctions.Utility_DisplayArrayInTable(Fertiliser_SourceData.Fertiliser_Products_Data2(), FertiliserProducts[[#Headers],[Company]],31)</f>
        <v/>
      </c>
      <c r="K147" s="173" cm="1">
        <f t="array" ref="K147">Common_InputFunctions.Utility_DisplayArrayInTable(Fertiliser_SourceData.Fertiliser_Products_Data2(), FertiliserProducts[[#Headers],[Company]],31)</f>
        <v>10</v>
      </c>
      <c r="L147" s="173" cm="1">
        <f t="array" ref="L147">Common_InputFunctions.Utility_DisplayArrayInTable(Fertiliser_SourceData.Fertiliser_Products_Data2(), FertiliserProducts[[#Headers],[Company]],31)</f>
        <v>21.9</v>
      </c>
      <c r="M147" s="173" t="str" cm="1">
        <f t="array" ref="M147">Common_InputFunctions.Utility_DisplayArrayInTable(Fertiliser_SourceData.Fertiliser_Products_Data2(), FertiliserProducts[[#Headers],[Company]],31)</f>
        <v/>
      </c>
      <c r="N147" s="173" t="str" cm="1">
        <f t="array" ref="N147">Common_InputFunctions.Utility_DisplayArrayInTable(Fertiliser_SourceData.Fertiliser_Products_Data2(), FertiliserProducts[[#Headers],[Company]],31)</f>
        <v/>
      </c>
      <c r="O147" s="173" t="str" cm="1">
        <f t="array" ref="O147">Common_InputFunctions.Utility_DisplayArrayInTable(Fertiliser_SourceData.Fertiliser_Products_Data2(), FertiliserProducts[[#Headers],[Company]],31)</f>
        <v>Monoammonium phosphate (MAP)</v>
      </c>
      <c r="P147" s="173" cm="1">
        <f t="array" ref="P147">Common_InputFunctions.Utility_DisplayArrayInTable(Fertiliser_SourceData.Fertiliser_Products_Data2(), FertiliserProducts[[#Headers],[Company]],31)</f>
        <v>1</v>
      </c>
      <c r="Q147" s="173" t="str" cm="1">
        <f t="array" ref="Q147">Common_InputFunctions.Utility_DisplayArrayInTable(Fertiliser_SourceData.Fertiliser_Products_Data2(), FertiliserProducts[[#Headers],[Company]],31)</f>
        <v/>
      </c>
      <c r="R147" s="173" t="str" cm="1">
        <f t="array" ref="R147">Common_InputFunctions.Utility_DisplayArrayInTable(Fertiliser_SourceData.Fertiliser_Products_Data2(), FertiliserProducts[[#Headers],[Company]],31)</f>
        <v/>
      </c>
      <c r="S147" s="173" t="str" cm="1">
        <f t="array" ref="S147">Common_InputFunctions.Utility_DisplayArrayInTable(Fertiliser_SourceData.Fertiliser_Products_Data2(), FertiliserProducts[[#Headers],[Company]],31)</f>
        <v/>
      </c>
      <c r="T147" s="173" t="str" cm="1">
        <f t="array" ref="T147">Common_InputFunctions.Utility_DisplayArrayInTable(Fertiliser_SourceData.Fertiliser_Products_Data2(), FertiliserProducts[[#Headers],[Company]],31)</f>
        <v/>
      </c>
      <c r="U147" s="173" t="str" cm="1">
        <f t="array" ref="U147">Common_InputFunctions.Utility_DisplayArrayInTable(Fertiliser_SourceData.Fertiliser_Products_Data2(), FertiliserProducts[[#Headers],[Company]],31)</f>
        <v/>
      </c>
      <c r="V147" s="173" t="str" cm="1">
        <f t="array" ref="V147">Common_InputFunctions.Utility_DisplayArrayInTable(Fertiliser_SourceData.Fertiliser_Products_Data2(), FertiliserProducts[[#Headers],[Company]],31)</f>
        <v/>
      </c>
      <c r="W147" s="173" t="str" cm="1">
        <f t="array" ref="W147">Common_InputFunctions.Utility_DisplayArrayInTable(Fertiliser_SourceData.Fertiliser_Products_Data2(), FertiliserProducts[[#Headers],[Company]],31)</f>
        <v/>
      </c>
      <c r="X147" s="173" t="str" cm="1">
        <f t="array" ref="X147">Common_InputFunctions.Utility_DisplayArrayInTable(Fertiliser_SourceData.Fertiliser_Products_Data2(), FertiliserProducts[[#Headers],[Company]],31)</f>
        <v/>
      </c>
      <c r="Y147" s="173" t="str" cm="1">
        <f t="array" ref="Y147">Common_InputFunctions.Utility_DisplayArrayInTable(Fertiliser_SourceData.Fertiliser_Products_Data2(), FertiliserProducts[[#Headers],[Company]],31)</f>
        <v/>
      </c>
      <c r="Z147" s="173" t="str" cm="1">
        <f t="array" ref="Z147">Common_InputFunctions.Utility_DisplayArrayInTable(Fertiliser_SourceData.Fertiliser_Products_Data2(), FertiliserProducts[[#Headers],[Company]],31)</f>
        <v/>
      </c>
      <c r="AA147" s="173" t="str" cm="1">
        <f t="array" ref="AA147">Common_InputFunctions.Utility_DisplayArrayInTable(Fertiliser_SourceData.Fertiliser_Products_Data2(), FertiliserProducts[[#Headers],[Company]],31)</f>
        <v/>
      </c>
      <c r="AB147" s="173" t="str" cm="1">
        <f t="array" ref="AB147">Common_InputFunctions.Utility_DisplayArrayInTable(Fertiliser_SourceData.Fertiliser_Products_Data2(), FertiliserProducts[[#Headers],[Company]],31)</f>
        <v/>
      </c>
      <c r="AC147" s="173" t="str" cm="1">
        <f t="array" ref="AC147">Common_InputFunctions.Utility_DisplayArrayInTable(Fertiliser_SourceData.Fertiliser_Products_Data2(), FertiliserProducts[[#Headers],[Company]],31)</f>
        <v/>
      </c>
      <c r="AD147" s="173" t="str" cm="1">
        <f t="array" ref="AD147">Common_InputFunctions.Utility_DisplayArrayInTable(Fertiliser_SourceData.Fertiliser_Products_Data2(), FertiliserProducts[[#Headers],[Company]],31)</f>
        <v/>
      </c>
      <c r="AE147" s="173" t="str" cm="1">
        <f t="array" ref="AE147">Common_InputFunctions.Utility_DisplayArrayInTable(Fertiliser_SourceData.Fertiliser_Products_Data2(), FertiliserProducts[[#Headers],[Company]],31)</f>
        <v/>
      </c>
      <c r="AF147" s="173" t="str" cm="1">
        <f t="array" ref="AF147">Common_InputFunctions.Utility_DisplayArrayInTable(Fertiliser_SourceData.Fertiliser_Products_Data2(), FertiliserProducts[[#Headers],[Company]],31)</f>
        <v/>
      </c>
      <c r="AG147" s="173" t="str" cm="1">
        <f t="array" ref="AG147">Common_InputFunctions.Utility_DisplayArrayInTable(Fertiliser_SourceData.Fertiliser_Products_Data2(), FertiliserProducts[[#Headers],[Company]],31)</f>
        <v/>
      </c>
      <c r="AH147" s="173"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73" t="str" cm="1">
        <f t="array" ref="D148">Common_InputFunctions.Utility_DisplayArrayInTable(Fertiliser_SourceData.Fertiliser_Products_Data2(), FertiliserProducts[[#Headers],[Company]],31)</f>
        <v>Yara Australia</v>
      </c>
      <c r="E148" s="173" t="str" cm="1">
        <f t="array" ref="E148">Common_InputFunctions.Utility_DisplayArrayInTable(Fertiliser_SourceData.Fertiliser_Products_Data2(), FertiliserProducts[[#Headers],[Company]],31)</f>
        <v>YaraTera KRISTALON RED</v>
      </c>
      <c r="F148" s="173" t="str" cm="1">
        <f t="array" ref="F148">Common_InputFunctions.Utility_DisplayArrayInTable(Fertiliser_SourceData.Fertiliser_Products_Data2(), FertiliserProducts[[#Headers],[Company]],31)</f>
        <v>kg</v>
      </c>
      <c r="G148" s="173" cm="1">
        <f t="array" ref="G148">Common_InputFunctions.Utility_DisplayArrayInTable(Fertiliser_SourceData.Fertiliser_Products_Data2(), FertiliserProducts[[#Headers],[Company]],31)</f>
        <v>1</v>
      </c>
      <c r="H148" s="173" t="str" cm="1">
        <f t="array" ref="H148">Common_InputFunctions.Utility_DisplayArrayInTable(Fertiliser_SourceData.Fertiliser_Products_Data2(), FertiliserProducts[[#Headers],[Company]],31)</f>
        <v/>
      </c>
      <c r="I148" s="173" t="str" cm="1">
        <f t="array" ref="I148">Common_InputFunctions.Utility_DisplayArrayInTable(Fertiliser_SourceData.Fertiliser_Products_Data2(), FertiliserProducts[[#Headers],[Company]],31)</f>
        <v/>
      </c>
      <c r="J148" s="173" t="str" cm="1">
        <f t="array" ref="J148">Common_InputFunctions.Utility_DisplayArrayInTable(Fertiliser_SourceData.Fertiliser_Products_Data2(), FertiliserProducts[[#Headers],[Company]],31)</f>
        <v/>
      </c>
      <c r="K148" s="173" cm="1">
        <f t="array" ref="K148">Common_InputFunctions.Utility_DisplayArrayInTable(Fertiliser_SourceData.Fertiliser_Products_Data2(), FertiliserProducts[[#Headers],[Company]],31)</f>
        <v>12</v>
      </c>
      <c r="L148" s="173" cm="1">
        <f t="array" ref="L148">Common_InputFunctions.Utility_DisplayArrayInTable(Fertiliser_SourceData.Fertiliser_Products_Data2(), FertiliserProducts[[#Headers],[Company]],31)</f>
        <v>5.2</v>
      </c>
      <c r="M148" s="173" cm="1">
        <f t="array" ref="M148">Common_InputFunctions.Utility_DisplayArrayInTable(Fertiliser_SourceData.Fertiliser_Products_Data2(), FertiliserProducts[[#Headers],[Company]],31)</f>
        <v>29.9</v>
      </c>
      <c r="N148" s="173" cm="1">
        <f t="array" ref="N148">Common_InputFunctions.Utility_DisplayArrayInTable(Fertiliser_SourceData.Fertiliser_Products_Data2(), FertiliserProducts[[#Headers],[Company]],31)</f>
        <v>1</v>
      </c>
      <c r="O148" s="173" t="str" cm="1">
        <f t="array" ref="O148">Common_InputFunctions.Utility_DisplayArrayInTable(Fertiliser_SourceData.Fertiliser_Products_Data2(), FertiliserProducts[[#Headers],[Company]],31)</f>
        <v>Potassium - Generic</v>
      </c>
      <c r="P148" s="173" cm="1">
        <f t="array" ref="P148">Common_InputFunctions.Utility_DisplayArrayInTable(Fertiliser_SourceData.Fertiliser_Products_Data2(), FertiliserProducts[[#Headers],[Company]],31)</f>
        <v>0.29899999999999999</v>
      </c>
      <c r="Q148" s="173" t="str" cm="1">
        <f t="array" ref="Q148">Common_InputFunctions.Utility_DisplayArrayInTable(Fertiliser_SourceData.Fertiliser_Products_Data2(), FertiliserProducts[[#Headers],[Company]],31)</f>
        <v>Nitrogen - Nitrate</v>
      </c>
      <c r="R148" s="173" cm="1">
        <f t="array" ref="R148">Common_InputFunctions.Utility_DisplayArrayInTable(Fertiliser_SourceData.Fertiliser_Products_Data2(), FertiliserProducts[[#Headers],[Company]],31)</f>
        <v>0.10100000000000001</v>
      </c>
      <c r="S148" s="173" t="str" cm="1">
        <f t="array" ref="S148">Common_InputFunctions.Utility_DisplayArrayInTable(Fertiliser_SourceData.Fertiliser_Products_Data2(), FertiliserProducts[[#Headers],[Company]],31)</f>
        <v>Phosphorus - Generic</v>
      </c>
      <c r="T148" s="173" cm="1">
        <f t="array" ref="T148">Common_InputFunctions.Utility_DisplayArrayInTable(Fertiliser_SourceData.Fertiliser_Products_Data2(), FertiliserProducts[[#Headers],[Company]],31)</f>
        <v>5.1999999999999998E-2</v>
      </c>
      <c r="U148" s="173" t="str" cm="1">
        <f t="array" ref="U148">Common_InputFunctions.Utility_DisplayArrayInTable(Fertiliser_SourceData.Fertiliser_Products_Data2(), FertiliserProducts[[#Headers],[Company]],31)</f>
        <v>Nitrogen - Ammoniacal</v>
      </c>
      <c r="V148" s="173" cm="1">
        <f t="array" ref="V148">Common_InputFunctions.Utility_DisplayArrayInTable(Fertiliser_SourceData.Fertiliser_Products_Data2(), FertiliserProducts[[#Headers],[Company]],31)</f>
        <v>1.9E-2</v>
      </c>
      <c r="W148" s="173" t="str" cm="1">
        <f t="array" ref="W148">Common_InputFunctions.Utility_DisplayArrayInTable(Fertiliser_SourceData.Fertiliser_Products_Data2(), FertiliserProducts[[#Headers],[Company]],31)</f>
        <v>Sulfur - Generic</v>
      </c>
      <c r="X148" s="173" cm="1">
        <f t="array" ref="X148">Common_InputFunctions.Utility_DisplayArrayInTable(Fertiliser_SourceData.Fertiliser_Products_Data2(), FertiliserProducts[[#Headers],[Company]],31)</f>
        <v>0.01</v>
      </c>
      <c r="Y148" s="173" t="str" cm="1">
        <f t="array" ref="Y148">Common_InputFunctions.Utility_DisplayArrayInTable(Fertiliser_SourceData.Fertiliser_Products_Data2(), FertiliserProducts[[#Headers],[Company]],31)</f>
        <v>Magnesium</v>
      </c>
      <c r="Z148" s="173" cm="1">
        <f t="array" ref="Z148">Common_InputFunctions.Utility_DisplayArrayInTable(Fertiliser_SourceData.Fertiliser_Products_Data2(), FertiliserProducts[[#Headers],[Company]],31)</f>
        <v>6.0000000000000001E-3</v>
      </c>
      <c r="AA148" s="173" t="str" cm="1">
        <f t="array" ref="AA148">Common_InputFunctions.Utility_DisplayArrayInTable(Fertiliser_SourceData.Fertiliser_Products_Data2(), FertiliserProducts[[#Headers],[Company]],31)</f>
        <v>Iron</v>
      </c>
      <c r="AB148" s="173" cm="1">
        <f t="array" ref="AB148">Common_InputFunctions.Utility_DisplayArrayInTable(Fertiliser_SourceData.Fertiliser_Products_Data2(), FertiliserProducts[[#Headers],[Company]],31)</f>
        <v>6.9999999999999999E-4</v>
      </c>
      <c r="AC148" s="173" t="str" cm="1">
        <f t="array" ref="AC148">Common_InputFunctions.Utility_DisplayArrayInTable(Fertiliser_SourceData.Fertiliser_Products_Data2(), FertiliserProducts[[#Headers],[Company]],31)</f>
        <v>Manganese</v>
      </c>
      <c r="AD148" s="173" cm="1">
        <f t="array" ref="AD148">Common_InputFunctions.Utility_DisplayArrayInTable(Fertiliser_SourceData.Fertiliser_Products_Data2(), FertiliserProducts[[#Headers],[Company]],31)</f>
        <v>4.0000000000000002E-4</v>
      </c>
      <c r="AE148" s="173" t="str" cm="1">
        <f t="array" ref="AE148">Common_InputFunctions.Utility_DisplayArrayInTable(Fertiliser_SourceData.Fertiliser_Products_Data2(), FertiliserProducts[[#Headers],[Company]],31)</f>
        <v>Zinc</v>
      </c>
      <c r="AF148" s="173" cm="1">
        <f t="array" ref="AF148">Common_InputFunctions.Utility_DisplayArrayInTable(Fertiliser_SourceData.Fertiliser_Products_Data2(), FertiliserProducts[[#Headers],[Company]],31)</f>
        <v>2.5000000000000001E-4</v>
      </c>
      <c r="AG148" s="173" t="str" cm="1">
        <f t="array" ref="AG148">Common_InputFunctions.Utility_DisplayArrayInTable(Fertiliser_SourceData.Fertiliser_Products_Data2(), FertiliserProducts[[#Headers],[Company]],31)</f>
        <v>Boron</v>
      </c>
      <c r="AH148" s="173"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73" t="str" cm="1">
        <f t="array" ref="D149">Common_InputFunctions.Utility_DisplayArrayInTable(Fertiliser_SourceData.Fertiliser_Products_Data2(), FertiliserProducts[[#Headers],[Company]],31)</f>
        <v>Yara Australia</v>
      </c>
      <c r="E149" s="173" t="str" cm="1">
        <f t="array" ref="E149">Common_InputFunctions.Utility_DisplayArrayInTable(Fertiliser_SourceData.Fertiliser_Products_Data2(), FertiliserProducts[[#Headers],[Company]],31)</f>
        <v>YaraTera KRISTALON SPECIAL</v>
      </c>
      <c r="F149" s="173" t="str" cm="1">
        <f t="array" ref="F149">Common_InputFunctions.Utility_DisplayArrayInTable(Fertiliser_SourceData.Fertiliser_Products_Data2(), FertiliserProducts[[#Headers],[Company]],31)</f>
        <v>kg</v>
      </c>
      <c r="G149" s="173" cm="1">
        <f t="array" ref="G149">Common_InputFunctions.Utility_DisplayArrayInTable(Fertiliser_SourceData.Fertiliser_Products_Data2(), FertiliserProducts[[#Headers],[Company]],31)</f>
        <v>1</v>
      </c>
      <c r="H149" s="173" t="str" cm="1">
        <f t="array" ref="H149">Common_InputFunctions.Utility_DisplayArrayInTable(Fertiliser_SourceData.Fertiliser_Products_Data2(), FertiliserProducts[[#Headers],[Company]],31)</f>
        <v/>
      </c>
      <c r="I149" s="173" t="str" cm="1">
        <f t="array" ref="I149">Common_InputFunctions.Utility_DisplayArrayInTable(Fertiliser_SourceData.Fertiliser_Products_Data2(), FertiliserProducts[[#Headers],[Company]],31)</f>
        <v/>
      </c>
      <c r="J149" s="173" t="str" cm="1">
        <f t="array" ref="J149">Common_InputFunctions.Utility_DisplayArrayInTable(Fertiliser_SourceData.Fertiliser_Products_Data2(), FertiliserProducts[[#Headers],[Company]],31)</f>
        <v/>
      </c>
      <c r="K149" s="173" cm="1">
        <f t="array" ref="K149">Common_InputFunctions.Utility_DisplayArrayInTable(Fertiliser_SourceData.Fertiliser_Products_Data2(), FertiliserProducts[[#Headers],[Company]],31)</f>
        <v>18</v>
      </c>
      <c r="L149" s="173" cm="1">
        <f t="array" ref="L149">Common_InputFunctions.Utility_DisplayArrayInTable(Fertiliser_SourceData.Fertiliser_Products_Data2(), FertiliserProducts[[#Headers],[Company]],31)</f>
        <v>7.9</v>
      </c>
      <c r="M149" s="173" cm="1">
        <f t="array" ref="M149">Common_InputFunctions.Utility_DisplayArrayInTable(Fertiliser_SourceData.Fertiliser_Products_Data2(), FertiliserProducts[[#Headers],[Company]],31)</f>
        <v>14.9</v>
      </c>
      <c r="N149" s="173" cm="1">
        <f t="array" ref="N149">Common_InputFunctions.Utility_DisplayArrayInTable(Fertiliser_SourceData.Fertiliser_Products_Data2(), FertiliserProducts[[#Headers],[Company]],31)</f>
        <v>2</v>
      </c>
      <c r="O149" s="173" t="str" cm="1">
        <f t="array" ref="O149">Common_InputFunctions.Utility_DisplayArrayInTable(Fertiliser_SourceData.Fertiliser_Products_Data2(), FertiliserProducts[[#Headers],[Company]],31)</f>
        <v>Potassium - Generic</v>
      </c>
      <c r="P149" s="173" cm="1">
        <f t="array" ref="P149">Common_InputFunctions.Utility_DisplayArrayInTable(Fertiliser_SourceData.Fertiliser_Products_Data2(), FertiliserProducts[[#Headers],[Company]],31)</f>
        <v>0.14899999999999999</v>
      </c>
      <c r="Q149" s="173" t="str" cm="1">
        <f t="array" ref="Q149">Common_InputFunctions.Utility_DisplayArrayInTable(Fertiliser_SourceData.Fertiliser_Products_Data2(), FertiliserProducts[[#Headers],[Company]],31)</f>
        <v>Urea</v>
      </c>
      <c r="R149" s="173" cm="1">
        <f t="array" ref="R149">Common_InputFunctions.Utility_DisplayArrayInTable(Fertiliser_SourceData.Fertiliser_Products_Data2(), FertiliserProducts[[#Headers],[Company]],31)</f>
        <v>0.21304300000000001</v>
      </c>
      <c r="S149" s="173" t="str" cm="1">
        <f t="array" ref="S149">Common_InputFunctions.Utility_DisplayArrayInTable(Fertiliser_SourceData.Fertiliser_Products_Data2(), FertiliserProducts[[#Headers],[Company]],31)</f>
        <v>Phosphorus - Generic</v>
      </c>
      <c r="T149" s="173" cm="1">
        <f t="array" ref="T149">Common_InputFunctions.Utility_DisplayArrayInTable(Fertiliser_SourceData.Fertiliser_Products_Data2(), FertiliserProducts[[#Headers],[Company]],31)</f>
        <v>7.9000000000000001E-2</v>
      </c>
      <c r="U149" s="173" t="str" cm="1">
        <f t="array" ref="U149">Common_InputFunctions.Utility_DisplayArrayInTable(Fertiliser_SourceData.Fertiliser_Products_Data2(), FertiliserProducts[[#Headers],[Company]],31)</f>
        <v>Nitrogen - Nitrate</v>
      </c>
      <c r="V149" s="173" cm="1">
        <f t="array" ref="V149">Common_InputFunctions.Utility_DisplayArrayInTable(Fertiliser_SourceData.Fertiliser_Products_Data2(), FertiliserProducts[[#Headers],[Company]],31)</f>
        <v>4.9000000000000002E-2</v>
      </c>
      <c r="W149" s="173" t="str" cm="1">
        <f t="array" ref="W149">Common_InputFunctions.Utility_DisplayArrayInTable(Fertiliser_SourceData.Fertiliser_Products_Data2(), FertiliserProducts[[#Headers],[Company]],31)</f>
        <v>Nitrogen - Ammoniacal</v>
      </c>
      <c r="X149" s="173" cm="1">
        <f t="array" ref="X149">Common_InputFunctions.Utility_DisplayArrayInTable(Fertiliser_SourceData.Fertiliser_Products_Data2(), FertiliserProducts[[#Headers],[Company]],31)</f>
        <v>3.3000000000000002E-2</v>
      </c>
      <c r="Y149" s="173" t="str" cm="1">
        <f t="array" ref="Y149">Common_InputFunctions.Utility_DisplayArrayInTable(Fertiliser_SourceData.Fertiliser_Products_Data2(), FertiliserProducts[[#Headers],[Company]],31)</f>
        <v>Sulfur - Generic</v>
      </c>
      <c r="Z149" s="173" cm="1">
        <f t="array" ref="Z149">Common_InputFunctions.Utility_DisplayArrayInTable(Fertiliser_SourceData.Fertiliser_Products_Data2(), FertiliserProducts[[#Headers],[Company]],31)</f>
        <v>0.02</v>
      </c>
      <c r="AA149" s="173" t="str" cm="1">
        <f t="array" ref="AA149">Common_InputFunctions.Utility_DisplayArrayInTable(Fertiliser_SourceData.Fertiliser_Products_Data2(), FertiliserProducts[[#Headers],[Company]],31)</f>
        <v>Magnesium</v>
      </c>
      <c r="AB149" s="173" cm="1">
        <f t="array" ref="AB149">Common_InputFunctions.Utility_DisplayArrayInTable(Fertiliser_SourceData.Fertiliser_Products_Data2(), FertiliserProducts[[#Headers],[Company]],31)</f>
        <v>1.7999999999999999E-2</v>
      </c>
      <c r="AC149" s="173" t="str" cm="1">
        <f t="array" ref="AC149">Common_InputFunctions.Utility_DisplayArrayInTable(Fertiliser_SourceData.Fertiliser_Products_Data2(), FertiliserProducts[[#Headers],[Company]],31)</f>
        <v>Iron</v>
      </c>
      <c r="AD149" s="173" cm="1">
        <f t="array" ref="AD149">Common_InputFunctions.Utility_DisplayArrayInTable(Fertiliser_SourceData.Fertiliser_Products_Data2(), FertiliserProducts[[#Headers],[Company]],31)</f>
        <v>6.9999999999999999E-4</v>
      </c>
      <c r="AE149" s="173" t="str" cm="1">
        <f t="array" ref="AE149">Common_InputFunctions.Utility_DisplayArrayInTable(Fertiliser_SourceData.Fertiliser_Products_Data2(), FertiliserProducts[[#Headers],[Company]],31)</f>
        <v>Manganese</v>
      </c>
      <c r="AF149" s="173" cm="1">
        <f t="array" ref="AF149">Common_InputFunctions.Utility_DisplayArrayInTable(Fertiliser_SourceData.Fertiliser_Products_Data2(), FertiliserProducts[[#Headers],[Company]],31)</f>
        <v>4.0000000000000002E-4</v>
      </c>
      <c r="AG149" s="173" t="str" cm="1">
        <f t="array" ref="AG149">Common_InputFunctions.Utility_DisplayArrayInTable(Fertiliser_SourceData.Fertiliser_Products_Data2(), FertiliserProducts[[#Headers],[Company]],31)</f>
        <v>Zinc</v>
      </c>
      <c r="AH149" s="173"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73" t="str" cm="1">
        <f t="array" ref="D150">Common_InputFunctions.Utility_DisplayArrayInTable(Fertiliser_SourceData.Fertiliser_Products_Data3(), FertiliserProducts[[#Headers],[Company]],61)</f>
        <v>Yara Australia</v>
      </c>
      <c r="E150" s="173" t="str" cm="1">
        <f t="array" ref="E150">Common_InputFunctions.Utility_DisplayArrayInTable(Fertiliser_SourceData.Fertiliser_Products_Data3(), FertiliserProducts[[#Headers],[Company]],61)</f>
        <v>YaraMila 21-7-3(4)</v>
      </c>
      <c r="F150" s="173" t="str" cm="1">
        <f t="array" ref="F150">Common_InputFunctions.Utility_DisplayArrayInTable(Fertiliser_SourceData.Fertiliser_Products_Data3(), FertiliserProducts[[#Headers],[Company]],61)</f>
        <v>kg</v>
      </c>
      <c r="G150" s="173" cm="1">
        <f t="array" ref="G150">Common_InputFunctions.Utility_DisplayArrayInTable(Fertiliser_SourceData.Fertiliser_Products_Data3(), FertiliserProducts[[#Headers],[Company]],61)</f>
        <v>1</v>
      </c>
      <c r="H150" s="173" t="str" cm="1">
        <f t="array" ref="H150">Common_InputFunctions.Utility_DisplayArrayInTable(Fertiliser_SourceData.Fertiliser_Products_Data3(), FertiliserProducts[[#Headers],[Company]],61)</f>
        <v/>
      </c>
      <c r="I150" s="173" t="str" cm="1">
        <f t="array" ref="I150">Common_InputFunctions.Utility_DisplayArrayInTable(Fertiliser_SourceData.Fertiliser_Products_Data3(), FertiliserProducts[[#Headers],[Company]],61)</f>
        <v/>
      </c>
      <c r="J150" s="173" t="str" cm="1">
        <f t="array" ref="J150">Common_InputFunctions.Utility_DisplayArrayInTable(Fertiliser_SourceData.Fertiliser_Products_Data3(), FertiliserProducts[[#Headers],[Company]],61)</f>
        <v/>
      </c>
      <c r="K150" s="173" cm="1">
        <f t="array" ref="K150">Common_InputFunctions.Utility_DisplayArrayInTable(Fertiliser_SourceData.Fertiliser_Products_Data3(), FertiliserProducts[[#Headers],[Company]],61)</f>
        <v>21</v>
      </c>
      <c r="L150" s="173" cm="1">
        <f t="array" ref="L150">Common_InputFunctions.Utility_DisplayArrayInTable(Fertiliser_SourceData.Fertiliser_Products_Data3(), FertiliserProducts[[#Headers],[Company]],61)</f>
        <v>7.4</v>
      </c>
      <c r="M150" s="173" cm="1">
        <f t="array" ref="M150">Common_InputFunctions.Utility_DisplayArrayInTable(Fertiliser_SourceData.Fertiliser_Products_Data3(), FertiliserProducts[[#Headers],[Company]],61)</f>
        <v>2.5</v>
      </c>
      <c r="N150" s="173" cm="1">
        <f t="array" ref="N150">Common_InputFunctions.Utility_DisplayArrayInTable(Fertiliser_SourceData.Fertiliser_Products_Data3(), FertiliserProducts[[#Headers],[Company]],61)</f>
        <v>4</v>
      </c>
      <c r="O150" s="173" t="str" cm="1">
        <f t="array" ref="O150">Common_InputFunctions.Utility_DisplayArrayInTable(Fertiliser_SourceData.Fertiliser_Products_Data3(), FertiliserProducts[[#Headers],[Company]],61)</f>
        <v>Nitrogen - Nitrate</v>
      </c>
      <c r="P150" s="173" cm="1">
        <f t="array" ref="P150">Common_InputFunctions.Utility_DisplayArrayInTable(Fertiliser_SourceData.Fertiliser_Products_Data3(), FertiliserProducts[[#Headers],[Company]],61)</f>
        <v>0.105</v>
      </c>
      <c r="Q150" s="173" t="str" cm="1">
        <f t="array" ref="Q150">Common_InputFunctions.Utility_DisplayArrayInTable(Fertiliser_SourceData.Fertiliser_Products_Data3(), FertiliserProducts[[#Headers],[Company]],61)</f>
        <v>Nitrogen - Ammoniacal</v>
      </c>
      <c r="R150" s="173" cm="1">
        <f t="array" ref="R150">Common_InputFunctions.Utility_DisplayArrayInTable(Fertiliser_SourceData.Fertiliser_Products_Data3(), FertiliserProducts[[#Headers],[Company]],61)</f>
        <v>0.105</v>
      </c>
      <c r="S150" s="173" t="str" cm="1">
        <f t="array" ref="S150">Common_InputFunctions.Utility_DisplayArrayInTable(Fertiliser_SourceData.Fertiliser_Products_Data3(), FertiliserProducts[[#Headers],[Company]],61)</f>
        <v>Phosphorus - Generic</v>
      </c>
      <c r="T150" s="173" cm="1">
        <f t="array" ref="T150">Common_InputFunctions.Utility_DisplayArrayInTable(Fertiliser_SourceData.Fertiliser_Products_Data3(), FertiliserProducts[[#Headers],[Company]],61)</f>
        <v>7.3999999999999996E-2</v>
      </c>
      <c r="U150" s="173" t="str" cm="1">
        <f t="array" ref="U150">Common_InputFunctions.Utility_DisplayArrayInTable(Fertiliser_SourceData.Fertiliser_Products_Data3(), FertiliserProducts[[#Headers],[Company]],61)</f>
        <v>Sulfur - Generic</v>
      </c>
      <c r="V150" s="173" cm="1">
        <f t="array" ref="V150">Common_InputFunctions.Utility_DisplayArrayInTable(Fertiliser_SourceData.Fertiliser_Products_Data3(), FertiliserProducts[[#Headers],[Company]],61)</f>
        <v>0.04</v>
      </c>
      <c r="W150" s="173" t="str" cm="1">
        <f t="array" ref="W150">Common_InputFunctions.Utility_DisplayArrayInTable(Fertiliser_SourceData.Fertiliser_Products_Data3(), FertiliserProducts[[#Headers],[Company]],61)</f>
        <v>Potassium - Generic</v>
      </c>
      <c r="X150" s="173" cm="1">
        <f t="array" ref="X150">Common_InputFunctions.Utility_DisplayArrayInTable(Fertiliser_SourceData.Fertiliser_Products_Data3(), FertiliserProducts[[#Headers],[Company]],61)</f>
        <v>2.5000000000000001E-2</v>
      </c>
      <c r="Y150" s="173" t="str" cm="1">
        <f t="array" ref="Y150">Common_InputFunctions.Utility_DisplayArrayInTable(Fertiliser_SourceData.Fertiliser_Products_Data3(), FertiliserProducts[[#Headers],[Company]],61)</f>
        <v>Magnesium</v>
      </c>
      <c r="Z150" s="173" cm="1">
        <f t="array" ref="Z150">Common_InputFunctions.Utility_DisplayArrayInTable(Fertiliser_SourceData.Fertiliser_Products_Data3(), FertiliserProducts[[#Headers],[Company]],61)</f>
        <v>4.0000000000000001E-3</v>
      </c>
      <c r="AA150" s="173" t="str" cm="1">
        <f t="array" ref="AA150">Common_InputFunctions.Utility_DisplayArrayInTable(Fertiliser_SourceData.Fertiliser_Products_Data3(), FertiliserProducts[[#Headers],[Company]],61)</f>
        <v>Zinc</v>
      </c>
      <c r="AB150" s="173" cm="1">
        <f t="array" ref="AB150">Common_InputFunctions.Utility_DisplayArrayInTable(Fertiliser_SourceData.Fertiliser_Products_Data3(), FertiliserProducts[[#Headers],[Company]],61)</f>
        <v>1.5E-3</v>
      </c>
      <c r="AC150" s="173" t="str" cm="1">
        <f t="array" ref="AC150">Common_InputFunctions.Utility_DisplayArrayInTable(Fertiliser_SourceData.Fertiliser_Products_Data3(), FertiliserProducts[[#Headers],[Company]],61)</f>
        <v/>
      </c>
      <c r="AD150" s="173" t="str" cm="1">
        <f t="array" ref="AD150">Common_InputFunctions.Utility_DisplayArrayInTable(Fertiliser_SourceData.Fertiliser_Products_Data3(), FertiliserProducts[[#Headers],[Company]],61)</f>
        <v/>
      </c>
      <c r="AE150" s="173" t="str" cm="1">
        <f t="array" ref="AE150">Common_InputFunctions.Utility_DisplayArrayInTable(Fertiliser_SourceData.Fertiliser_Products_Data3(), FertiliserProducts[[#Headers],[Company]],61)</f>
        <v/>
      </c>
      <c r="AF150" s="173" t="str" cm="1">
        <f t="array" ref="AF150">Common_InputFunctions.Utility_DisplayArrayInTable(Fertiliser_SourceData.Fertiliser_Products_Data3(), FertiliserProducts[[#Headers],[Company]],61)</f>
        <v/>
      </c>
      <c r="AG150" s="173" t="str" cm="1">
        <f t="array" ref="AG150">Common_InputFunctions.Utility_DisplayArrayInTable(Fertiliser_SourceData.Fertiliser_Products_Data3(), FertiliserProducts[[#Headers],[Company]],61)</f>
        <v/>
      </c>
      <c r="AH150" s="173"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73" t="str" cm="1">
        <f t="array" ref="D151">Common_InputFunctions.Utility_DisplayArrayInTable(Fertiliser_SourceData.Fertiliser_Products_Data3(), FertiliserProducts[[#Headers],[Company]],61)</f>
        <v>Yara Australia</v>
      </c>
      <c r="E151" s="173" t="str" cm="1">
        <f t="array" ref="E151">Common_InputFunctions.Utility_DisplayArrayInTable(Fertiliser_SourceData.Fertiliser_Products_Data3(), FertiliserProducts[[#Headers],[Company]],61)</f>
        <v>YaraTera KRISTALON SCARLET</v>
      </c>
      <c r="F151" s="173" t="str" cm="1">
        <f t="array" ref="F151">Common_InputFunctions.Utility_DisplayArrayInTable(Fertiliser_SourceData.Fertiliser_Products_Data3(), FertiliserProducts[[#Headers],[Company]],61)</f>
        <v>kg</v>
      </c>
      <c r="G151" s="173" cm="1">
        <f t="array" ref="G151">Common_InputFunctions.Utility_DisplayArrayInTable(Fertiliser_SourceData.Fertiliser_Products_Data3(), FertiliserProducts[[#Headers],[Company]],61)</f>
        <v>1</v>
      </c>
      <c r="H151" s="173" t="str" cm="1">
        <f t="array" ref="H151">Common_InputFunctions.Utility_DisplayArrayInTable(Fertiliser_SourceData.Fertiliser_Products_Data3(), FertiliserProducts[[#Headers],[Company]],61)</f>
        <v/>
      </c>
      <c r="I151" s="173" t="str" cm="1">
        <f t="array" ref="I151">Common_InputFunctions.Utility_DisplayArrayInTable(Fertiliser_SourceData.Fertiliser_Products_Data3(), FertiliserProducts[[#Headers],[Company]],61)</f>
        <v/>
      </c>
      <c r="J151" s="173" t="str" cm="1">
        <f t="array" ref="J151">Common_InputFunctions.Utility_DisplayArrayInTable(Fertiliser_SourceData.Fertiliser_Products_Data3(), FertiliserProducts[[#Headers],[Company]],61)</f>
        <v/>
      </c>
      <c r="K151" s="173" cm="1">
        <f t="array" ref="K151">Common_InputFunctions.Utility_DisplayArrayInTable(Fertiliser_SourceData.Fertiliser_Products_Data3(), FertiliserProducts[[#Headers],[Company]],61)</f>
        <v>7.5</v>
      </c>
      <c r="L151" s="173" t="str" cm="1">
        <f t="array" ref="L151">Common_InputFunctions.Utility_DisplayArrayInTable(Fertiliser_SourceData.Fertiliser_Products_Data3(), FertiliserProducts[[#Headers],[Company]],61)</f>
        <v/>
      </c>
      <c r="M151" s="173" cm="1">
        <f t="array" ref="M151">Common_InputFunctions.Utility_DisplayArrayInTable(Fertiliser_SourceData.Fertiliser_Products_Data3(), FertiliserProducts[[#Headers],[Company]],61)</f>
        <v>29.9</v>
      </c>
      <c r="N151" s="173" cm="1">
        <f t="array" ref="N151">Common_InputFunctions.Utility_DisplayArrayInTable(Fertiliser_SourceData.Fertiliser_Products_Data3(), FertiliserProducts[[#Headers],[Company]],61)</f>
        <v>4</v>
      </c>
      <c r="O151" s="173" t="str" cm="1">
        <f t="array" ref="O151">Common_InputFunctions.Utility_DisplayArrayInTable(Fertiliser_SourceData.Fertiliser_Products_Data3(), FertiliserProducts[[#Headers],[Company]],61)</f>
        <v>Potassium - Generic</v>
      </c>
      <c r="P151" s="173" cm="1">
        <f t="array" ref="P151">Common_InputFunctions.Utility_DisplayArrayInTable(Fertiliser_SourceData.Fertiliser_Products_Data3(), FertiliserProducts[[#Headers],[Company]],61)</f>
        <v>0.29899999999999999</v>
      </c>
      <c r="Q151" s="173" t="str" cm="1">
        <f t="array" ref="Q151">Common_InputFunctions.Utility_DisplayArrayInTable(Fertiliser_SourceData.Fertiliser_Products_Data3(), FertiliserProducts[[#Headers],[Company]],61)</f>
        <v>Nitrogen - Nitrate</v>
      </c>
      <c r="R151" s="173" cm="1">
        <f t="array" ref="R151">Common_InputFunctions.Utility_DisplayArrayInTable(Fertiliser_SourceData.Fertiliser_Products_Data3(), FertiliserProducts[[#Headers],[Company]],61)</f>
        <v>5.1999999999999998E-2</v>
      </c>
      <c r="S151" s="173" t="str" cm="1">
        <f t="array" ref="S151">Common_InputFunctions.Utility_DisplayArrayInTable(Fertiliser_SourceData.Fertiliser_Products_Data3(), FertiliserProducts[[#Headers],[Company]],61)</f>
        <v>Sulfur - Generic</v>
      </c>
      <c r="T151" s="173" cm="1">
        <f t="array" ref="T151">Common_InputFunctions.Utility_DisplayArrayInTable(Fertiliser_SourceData.Fertiliser_Products_Data3(), FertiliserProducts[[#Headers],[Company]],61)</f>
        <v>0.04</v>
      </c>
      <c r="U151" s="173" t="str" cm="1">
        <f t="array" ref="U151">Common_InputFunctions.Utility_DisplayArrayInTable(Fertiliser_SourceData.Fertiliser_Products_Data3(), FertiliserProducts[[#Headers],[Company]],61)</f>
        <v>Magnesium</v>
      </c>
      <c r="V151" s="173" cm="1">
        <f t="array" ref="V151">Common_InputFunctions.Utility_DisplayArrayInTable(Fertiliser_SourceData.Fertiliser_Products_Data3(), FertiliserProducts[[#Headers],[Company]],61)</f>
        <v>2.7E-2</v>
      </c>
      <c r="W151" s="173" t="str" cm="1">
        <f t="array" ref="W151">Common_InputFunctions.Utility_DisplayArrayInTable(Fertiliser_SourceData.Fertiliser_Products_Data3(), FertiliserProducts[[#Headers],[Company]],61)</f>
        <v>Nitrogen - Ammoniacal</v>
      </c>
      <c r="X151" s="173" cm="1">
        <f t="array" ref="X151">Common_InputFunctions.Utility_DisplayArrayInTable(Fertiliser_SourceData.Fertiliser_Products_Data3(), FertiliserProducts[[#Headers],[Company]],61)</f>
        <v>2.3E-2</v>
      </c>
      <c r="Y151" s="173" t="str" cm="1">
        <f t="array" ref="Y151">Common_InputFunctions.Utility_DisplayArrayInTable(Fertiliser_SourceData.Fertiliser_Products_Data3(), FertiliserProducts[[#Headers],[Company]],61)</f>
        <v/>
      </c>
      <c r="Z151" s="173" t="str" cm="1">
        <f t="array" ref="Z151">Common_InputFunctions.Utility_DisplayArrayInTable(Fertiliser_SourceData.Fertiliser_Products_Data3(), FertiliserProducts[[#Headers],[Company]],61)</f>
        <v/>
      </c>
      <c r="AA151" s="173" t="str" cm="1">
        <f t="array" ref="AA151">Common_InputFunctions.Utility_DisplayArrayInTable(Fertiliser_SourceData.Fertiliser_Products_Data3(), FertiliserProducts[[#Headers],[Company]],61)</f>
        <v/>
      </c>
      <c r="AB151" s="173" t="str" cm="1">
        <f t="array" ref="AB151">Common_InputFunctions.Utility_DisplayArrayInTable(Fertiliser_SourceData.Fertiliser_Products_Data3(), FertiliserProducts[[#Headers],[Company]],61)</f>
        <v/>
      </c>
      <c r="AC151" s="173" t="str" cm="1">
        <f t="array" ref="AC151">Common_InputFunctions.Utility_DisplayArrayInTable(Fertiliser_SourceData.Fertiliser_Products_Data3(), FertiliserProducts[[#Headers],[Company]],61)</f>
        <v/>
      </c>
      <c r="AD151" s="173" t="str" cm="1">
        <f t="array" ref="AD151">Common_InputFunctions.Utility_DisplayArrayInTable(Fertiliser_SourceData.Fertiliser_Products_Data3(), FertiliserProducts[[#Headers],[Company]],61)</f>
        <v/>
      </c>
      <c r="AE151" s="173" t="str" cm="1">
        <f t="array" ref="AE151">Common_InputFunctions.Utility_DisplayArrayInTable(Fertiliser_SourceData.Fertiliser_Products_Data3(), FertiliserProducts[[#Headers],[Company]],61)</f>
        <v/>
      </c>
      <c r="AF151" s="173" t="str" cm="1">
        <f t="array" ref="AF151">Common_InputFunctions.Utility_DisplayArrayInTable(Fertiliser_SourceData.Fertiliser_Products_Data3(), FertiliserProducts[[#Headers],[Company]],61)</f>
        <v/>
      </c>
      <c r="AG151" s="173" t="str" cm="1">
        <f t="array" ref="AG151">Common_InputFunctions.Utility_DisplayArrayInTable(Fertiliser_SourceData.Fertiliser_Products_Data3(), FertiliserProducts[[#Headers],[Company]],61)</f>
        <v/>
      </c>
      <c r="AH151" s="173"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73" t="str" cm="1">
        <f t="array" ref="D152">Common_InputFunctions.Utility_DisplayArrayInTable(Fertiliser_SourceData.Fertiliser_Products_Data3(), FertiliserProducts[[#Headers],[Company]],61)</f>
        <v>Campbells fertilisers Australia</v>
      </c>
      <c r="E152" s="173" t="str" cm="1">
        <f t="array" ref="E152">Common_InputFunctions.Utility_DisplayArrayInTable(Fertiliser_SourceData.Fertiliser_Products_Data3(), FertiliserProducts[[#Headers],[Company]],61)</f>
        <v>Solu-MAP</v>
      </c>
      <c r="F152" s="173" t="str" cm="1">
        <f t="array" ref="F152">Common_InputFunctions.Utility_DisplayArrayInTable(Fertiliser_SourceData.Fertiliser_Products_Data3(), FertiliserProducts[[#Headers],[Company]],61)</f>
        <v>kg</v>
      </c>
      <c r="G152" s="173" cm="1">
        <f t="array" ref="G152">Common_InputFunctions.Utility_DisplayArrayInTable(Fertiliser_SourceData.Fertiliser_Products_Data3(), FertiliserProducts[[#Headers],[Company]],61)</f>
        <v>1</v>
      </c>
      <c r="H152" s="173" t="str" cm="1">
        <f t="array" ref="H152">Common_InputFunctions.Utility_DisplayArrayInTable(Fertiliser_SourceData.Fertiliser_Products_Data3(), FertiliserProducts[[#Headers],[Company]],61)</f>
        <v/>
      </c>
      <c r="I152" s="173" t="str" cm="1">
        <f t="array" ref="I152">Common_InputFunctions.Utility_DisplayArrayInTable(Fertiliser_SourceData.Fertiliser_Products_Data3(), FertiliserProducts[[#Headers],[Company]],61)</f>
        <v/>
      </c>
      <c r="J152" s="173" t="str" cm="1">
        <f t="array" ref="J152">Common_InputFunctions.Utility_DisplayArrayInTable(Fertiliser_SourceData.Fertiliser_Products_Data3(), FertiliserProducts[[#Headers],[Company]],61)</f>
        <v/>
      </c>
      <c r="K152" s="173" cm="1">
        <f t="array" ref="K152">Common_InputFunctions.Utility_DisplayArrayInTable(Fertiliser_SourceData.Fertiliser_Products_Data3(), FertiliserProducts[[#Headers],[Company]],61)</f>
        <v>10</v>
      </c>
      <c r="L152" s="173" cm="1">
        <f t="array" ref="L152">Common_InputFunctions.Utility_DisplayArrayInTable(Fertiliser_SourceData.Fertiliser_Products_Data3(), FertiliserProducts[[#Headers],[Company]],61)</f>
        <v>21.9</v>
      </c>
      <c r="M152" s="173" t="str" cm="1">
        <f t="array" ref="M152">Common_InputFunctions.Utility_DisplayArrayInTable(Fertiliser_SourceData.Fertiliser_Products_Data3(), FertiliserProducts[[#Headers],[Company]],61)</f>
        <v/>
      </c>
      <c r="N152" s="173" t="str" cm="1">
        <f t="array" ref="N152">Common_InputFunctions.Utility_DisplayArrayInTable(Fertiliser_SourceData.Fertiliser_Products_Data3(), FertiliserProducts[[#Headers],[Company]],61)</f>
        <v/>
      </c>
      <c r="O152" s="173" t="str" cm="1">
        <f t="array" ref="O152">Common_InputFunctions.Utility_DisplayArrayInTable(Fertiliser_SourceData.Fertiliser_Products_Data3(), FertiliserProducts[[#Headers],[Company]],61)</f>
        <v>Monoammonium phosphate (MAP)</v>
      </c>
      <c r="P152" s="173" cm="1">
        <f t="array" ref="P152">Common_InputFunctions.Utility_DisplayArrayInTable(Fertiliser_SourceData.Fertiliser_Products_Data3(), FertiliserProducts[[#Headers],[Company]],61)</f>
        <v>1</v>
      </c>
      <c r="Q152" s="173" t="str" cm="1">
        <f t="array" ref="Q152">Common_InputFunctions.Utility_DisplayArrayInTable(Fertiliser_SourceData.Fertiliser_Products_Data3(), FertiliserProducts[[#Headers],[Company]],61)</f>
        <v/>
      </c>
      <c r="R152" s="173" t="str" cm="1">
        <f t="array" ref="R152">Common_InputFunctions.Utility_DisplayArrayInTable(Fertiliser_SourceData.Fertiliser_Products_Data3(), FertiliserProducts[[#Headers],[Company]],61)</f>
        <v/>
      </c>
      <c r="S152" s="173" t="str" cm="1">
        <f t="array" ref="S152">Common_InputFunctions.Utility_DisplayArrayInTable(Fertiliser_SourceData.Fertiliser_Products_Data3(), FertiliserProducts[[#Headers],[Company]],61)</f>
        <v/>
      </c>
      <c r="T152" s="173" t="str" cm="1">
        <f t="array" ref="T152">Common_InputFunctions.Utility_DisplayArrayInTable(Fertiliser_SourceData.Fertiliser_Products_Data3(), FertiliserProducts[[#Headers],[Company]],61)</f>
        <v/>
      </c>
      <c r="U152" s="173" t="str" cm="1">
        <f t="array" ref="U152">Common_InputFunctions.Utility_DisplayArrayInTable(Fertiliser_SourceData.Fertiliser_Products_Data3(), FertiliserProducts[[#Headers],[Company]],61)</f>
        <v/>
      </c>
      <c r="V152" s="173" t="str" cm="1">
        <f t="array" ref="V152">Common_InputFunctions.Utility_DisplayArrayInTable(Fertiliser_SourceData.Fertiliser_Products_Data3(), FertiliserProducts[[#Headers],[Company]],61)</f>
        <v/>
      </c>
      <c r="W152" s="173" t="str" cm="1">
        <f t="array" ref="W152">Common_InputFunctions.Utility_DisplayArrayInTable(Fertiliser_SourceData.Fertiliser_Products_Data3(), FertiliserProducts[[#Headers],[Company]],61)</f>
        <v/>
      </c>
      <c r="X152" s="173" t="str" cm="1">
        <f t="array" ref="X152">Common_InputFunctions.Utility_DisplayArrayInTable(Fertiliser_SourceData.Fertiliser_Products_Data3(), FertiliserProducts[[#Headers],[Company]],61)</f>
        <v/>
      </c>
      <c r="Y152" s="173" t="str" cm="1">
        <f t="array" ref="Y152">Common_InputFunctions.Utility_DisplayArrayInTable(Fertiliser_SourceData.Fertiliser_Products_Data3(), FertiliserProducts[[#Headers],[Company]],61)</f>
        <v/>
      </c>
      <c r="Z152" s="173" t="str" cm="1">
        <f t="array" ref="Z152">Common_InputFunctions.Utility_DisplayArrayInTable(Fertiliser_SourceData.Fertiliser_Products_Data3(), FertiliserProducts[[#Headers],[Company]],61)</f>
        <v/>
      </c>
      <c r="AA152" s="173" t="str" cm="1">
        <f t="array" ref="AA152">Common_InputFunctions.Utility_DisplayArrayInTable(Fertiliser_SourceData.Fertiliser_Products_Data3(), FertiliserProducts[[#Headers],[Company]],61)</f>
        <v/>
      </c>
      <c r="AB152" s="173" t="str" cm="1">
        <f t="array" ref="AB152">Common_InputFunctions.Utility_DisplayArrayInTable(Fertiliser_SourceData.Fertiliser_Products_Data3(), FertiliserProducts[[#Headers],[Company]],61)</f>
        <v/>
      </c>
      <c r="AC152" s="173" t="str" cm="1">
        <f t="array" ref="AC152">Common_InputFunctions.Utility_DisplayArrayInTable(Fertiliser_SourceData.Fertiliser_Products_Data3(), FertiliserProducts[[#Headers],[Company]],61)</f>
        <v/>
      </c>
      <c r="AD152" s="173" t="str" cm="1">
        <f t="array" ref="AD152">Common_InputFunctions.Utility_DisplayArrayInTable(Fertiliser_SourceData.Fertiliser_Products_Data3(), FertiliserProducts[[#Headers],[Company]],61)</f>
        <v/>
      </c>
      <c r="AE152" s="173" t="str" cm="1">
        <f t="array" ref="AE152">Common_InputFunctions.Utility_DisplayArrayInTable(Fertiliser_SourceData.Fertiliser_Products_Data3(), FertiliserProducts[[#Headers],[Company]],61)</f>
        <v/>
      </c>
      <c r="AF152" s="173" t="str" cm="1">
        <f t="array" ref="AF152">Common_InputFunctions.Utility_DisplayArrayInTable(Fertiliser_SourceData.Fertiliser_Products_Data3(), FertiliserProducts[[#Headers],[Company]],61)</f>
        <v/>
      </c>
      <c r="AG152" s="173" t="str" cm="1">
        <f t="array" ref="AG152">Common_InputFunctions.Utility_DisplayArrayInTable(Fertiliser_SourceData.Fertiliser_Products_Data3(), FertiliserProducts[[#Headers],[Company]],61)</f>
        <v/>
      </c>
      <c r="AH152" s="173"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73" t="str" cm="1">
        <f t="array" ref="D153">Common_InputFunctions.Utility_DisplayArrayInTable(Fertiliser_SourceData.Fertiliser_Products_Data3(), FertiliserProducts[[#Headers],[Company]],61)</f>
        <v>Campbells fertilisers Australia</v>
      </c>
      <c r="E153" s="173" t="str" cm="1">
        <f t="array" ref="E153">Common_InputFunctions.Utility_DisplayArrayInTable(Fertiliser_SourceData.Fertiliser_Products_Data3(), FertiliserProducts[[#Headers],[Company]],61)</f>
        <v>Solu-Sam</v>
      </c>
      <c r="F153" s="173" t="str" cm="1">
        <f t="array" ref="F153">Common_InputFunctions.Utility_DisplayArrayInTable(Fertiliser_SourceData.Fertiliser_Products_Data3(), FertiliserProducts[[#Headers],[Company]],61)</f>
        <v>kg</v>
      </c>
      <c r="G153" s="173" cm="1">
        <f t="array" ref="G153">Common_InputFunctions.Utility_DisplayArrayInTable(Fertiliser_SourceData.Fertiliser_Products_Data3(), FertiliserProducts[[#Headers],[Company]],61)</f>
        <v>1</v>
      </c>
      <c r="H153" s="173" t="str" cm="1">
        <f t="array" ref="H153">Common_InputFunctions.Utility_DisplayArrayInTable(Fertiliser_SourceData.Fertiliser_Products_Data3(), FertiliserProducts[[#Headers],[Company]],61)</f>
        <v/>
      </c>
      <c r="I153" s="173" t="str" cm="1">
        <f t="array" ref="I153">Common_InputFunctions.Utility_DisplayArrayInTable(Fertiliser_SourceData.Fertiliser_Products_Data3(), FertiliserProducts[[#Headers],[Company]],61)</f>
        <v/>
      </c>
      <c r="J153" s="173" t="str" cm="1">
        <f t="array" ref="J153">Common_InputFunctions.Utility_DisplayArrayInTable(Fertiliser_SourceData.Fertiliser_Products_Data3(), FertiliserProducts[[#Headers],[Company]],61)</f>
        <v/>
      </c>
      <c r="K153" s="173" cm="1">
        <f t="array" ref="K153">Common_InputFunctions.Utility_DisplayArrayInTable(Fertiliser_SourceData.Fertiliser_Products_Data3(), FertiliserProducts[[#Headers],[Company]],61)</f>
        <v>21</v>
      </c>
      <c r="L153" s="173" t="str" cm="1">
        <f t="array" ref="L153">Common_InputFunctions.Utility_DisplayArrayInTable(Fertiliser_SourceData.Fertiliser_Products_Data3(), FertiliserProducts[[#Headers],[Company]],61)</f>
        <v/>
      </c>
      <c r="M153" s="173" t="str" cm="1">
        <f t="array" ref="M153">Common_InputFunctions.Utility_DisplayArrayInTable(Fertiliser_SourceData.Fertiliser_Products_Data3(), FertiliserProducts[[#Headers],[Company]],61)</f>
        <v/>
      </c>
      <c r="N153" s="173" cm="1">
        <f t="array" ref="N153">Common_InputFunctions.Utility_DisplayArrayInTable(Fertiliser_SourceData.Fertiliser_Products_Data3(), FertiliserProducts[[#Headers],[Company]],61)</f>
        <v>24</v>
      </c>
      <c r="O153" s="173" t="str" cm="1">
        <f t="array" ref="O153">Common_InputFunctions.Utility_DisplayArrayInTable(Fertiliser_SourceData.Fertiliser_Products_Data3(), FertiliserProducts[[#Headers],[Company]],61)</f>
        <v>Sulphate of ammonia (SOA)</v>
      </c>
      <c r="P153" s="173" cm="1">
        <f t="array" ref="P153">Common_InputFunctions.Utility_DisplayArrayInTable(Fertiliser_SourceData.Fertiliser_Products_Data3(), FertiliserProducts[[#Headers],[Company]],61)</f>
        <v>1</v>
      </c>
      <c r="Q153" s="173" t="str" cm="1">
        <f t="array" ref="Q153">Common_InputFunctions.Utility_DisplayArrayInTable(Fertiliser_SourceData.Fertiliser_Products_Data3(), FertiliserProducts[[#Headers],[Company]],61)</f>
        <v/>
      </c>
      <c r="R153" s="173" t="str" cm="1">
        <f t="array" ref="R153">Common_InputFunctions.Utility_DisplayArrayInTable(Fertiliser_SourceData.Fertiliser_Products_Data3(), FertiliserProducts[[#Headers],[Company]],61)</f>
        <v/>
      </c>
      <c r="S153" s="173" t="str" cm="1">
        <f t="array" ref="S153">Common_InputFunctions.Utility_DisplayArrayInTable(Fertiliser_SourceData.Fertiliser_Products_Data3(), FertiliserProducts[[#Headers],[Company]],61)</f>
        <v/>
      </c>
      <c r="T153" s="173" t="str" cm="1">
        <f t="array" ref="T153">Common_InputFunctions.Utility_DisplayArrayInTable(Fertiliser_SourceData.Fertiliser_Products_Data3(), FertiliserProducts[[#Headers],[Company]],61)</f>
        <v/>
      </c>
      <c r="U153" s="173" t="str" cm="1">
        <f t="array" ref="U153">Common_InputFunctions.Utility_DisplayArrayInTable(Fertiliser_SourceData.Fertiliser_Products_Data3(), FertiliserProducts[[#Headers],[Company]],61)</f>
        <v/>
      </c>
      <c r="V153" s="173" t="str" cm="1">
        <f t="array" ref="V153">Common_InputFunctions.Utility_DisplayArrayInTable(Fertiliser_SourceData.Fertiliser_Products_Data3(), FertiliserProducts[[#Headers],[Company]],61)</f>
        <v/>
      </c>
      <c r="W153" s="173" t="str" cm="1">
        <f t="array" ref="W153">Common_InputFunctions.Utility_DisplayArrayInTable(Fertiliser_SourceData.Fertiliser_Products_Data3(), FertiliserProducts[[#Headers],[Company]],61)</f>
        <v/>
      </c>
      <c r="X153" s="173" t="str" cm="1">
        <f t="array" ref="X153">Common_InputFunctions.Utility_DisplayArrayInTable(Fertiliser_SourceData.Fertiliser_Products_Data3(), FertiliserProducts[[#Headers],[Company]],61)</f>
        <v/>
      </c>
      <c r="Y153" s="173" t="str" cm="1">
        <f t="array" ref="Y153">Common_InputFunctions.Utility_DisplayArrayInTable(Fertiliser_SourceData.Fertiliser_Products_Data3(), FertiliserProducts[[#Headers],[Company]],61)</f>
        <v/>
      </c>
      <c r="Z153" s="173" t="str" cm="1">
        <f t="array" ref="Z153">Common_InputFunctions.Utility_DisplayArrayInTable(Fertiliser_SourceData.Fertiliser_Products_Data3(), FertiliserProducts[[#Headers],[Company]],61)</f>
        <v/>
      </c>
      <c r="AA153" s="173" t="str" cm="1">
        <f t="array" ref="AA153">Common_InputFunctions.Utility_DisplayArrayInTable(Fertiliser_SourceData.Fertiliser_Products_Data3(), FertiliserProducts[[#Headers],[Company]],61)</f>
        <v/>
      </c>
      <c r="AB153" s="173" t="str" cm="1">
        <f t="array" ref="AB153">Common_InputFunctions.Utility_DisplayArrayInTable(Fertiliser_SourceData.Fertiliser_Products_Data3(), FertiliserProducts[[#Headers],[Company]],61)</f>
        <v/>
      </c>
      <c r="AC153" s="173" t="str" cm="1">
        <f t="array" ref="AC153">Common_InputFunctions.Utility_DisplayArrayInTable(Fertiliser_SourceData.Fertiliser_Products_Data3(), FertiliserProducts[[#Headers],[Company]],61)</f>
        <v/>
      </c>
      <c r="AD153" s="173" t="str" cm="1">
        <f t="array" ref="AD153">Common_InputFunctions.Utility_DisplayArrayInTable(Fertiliser_SourceData.Fertiliser_Products_Data3(), FertiliserProducts[[#Headers],[Company]],61)</f>
        <v/>
      </c>
      <c r="AE153" s="173" t="str" cm="1">
        <f t="array" ref="AE153">Common_InputFunctions.Utility_DisplayArrayInTable(Fertiliser_SourceData.Fertiliser_Products_Data3(), FertiliserProducts[[#Headers],[Company]],61)</f>
        <v/>
      </c>
      <c r="AF153" s="173" t="str" cm="1">
        <f t="array" ref="AF153">Common_InputFunctions.Utility_DisplayArrayInTable(Fertiliser_SourceData.Fertiliser_Products_Data3(), FertiliserProducts[[#Headers],[Company]],61)</f>
        <v/>
      </c>
      <c r="AG153" s="173" t="str" cm="1">
        <f t="array" ref="AG153">Common_InputFunctions.Utility_DisplayArrayInTable(Fertiliser_SourceData.Fertiliser_Products_Data3(), FertiliserProducts[[#Headers],[Company]],61)</f>
        <v/>
      </c>
      <c r="AH153" s="173"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73" t="str" cm="1">
        <f t="array" ref="D154">Common_InputFunctions.Utility_DisplayArrayInTable(Fertiliser_SourceData.Fertiliser_Products_Data3(), FertiliserProducts[[#Headers],[Company]],61)</f>
        <v>Campbells fertilisers Australia</v>
      </c>
      <c r="E154" s="173" t="str" cm="1">
        <f t="array" ref="E154">Common_InputFunctions.Utility_DisplayArrayInTable(Fertiliser_SourceData.Fertiliser_Products_Data3(), FertiliserProducts[[#Headers],[Company]],61)</f>
        <v>Rustica Plus</v>
      </c>
      <c r="F154" s="173" t="str" cm="1">
        <f t="array" ref="F154">Common_InputFunctions.Utility_DisplayArrayInTable(Fertiliser_SourceData.Fertiliser_Products_Data3(), FertiliserProducts[[#Headers],[Company]],61)</f>
        <v>kg</v>
      </c>
      <c r="G154" s="173" cm="1">
        <f t="array" ref="G154">Common_InputFunctions.Utility_DisplayArrayInTable(Fertiliser_SourceData.Fertiliser_Products_Data3(), FertiliserProducts[[#Headers],[Company]],61)</f>
        <v>1</v>
      </c>
      <c r="H154" s="173" t="str" cm="1">
        <f t="array" ref="H154">Common_InputFunctions.Utility_DisplayArrayInTable(Fertiliser_SourceData.Fertiliser_Products_Data3(), FertiliserProducts[[#Headers],[Company]],61)</f>
        <v/>
      </c>
      <c r="I154" s="173" t="str" cm="1">
        <f t="array" ref="I154">Common_InputFunctions.Utility_DisplayArrayInTable(Fertiliser_SourceData.Fertiliser_Products_Data3(), FertiliserProducts[[#Headers],[Company]],61)</f>
        <v/>
      </c>
      <c r="J154" s="173" t="str" cm="1">
        <f t="array" ref="J154">Common_InputFunctions.Utility_DisplayArrayInTable(Fertiliser_SourceData.Fertiliser_Products_Data3(), FertiliserProducts[[#Headers],[Company]],61)</f>
        <v/>
      </c>
      <c r="K154" s="173" cm="1">
        <f t="array" ref="K154">Common_InputFunctions.Utility_DisplayArrayInTable(Fertiliser_SourceData.Fertiliser_Products_Data3(), FertiliserProducts[[#Headers],[Company]],61)</f>
        <v>12</v>
      </c>
      <c r="L154" s="173" cm="1">
        <f t="array" ref="L154">Common_InputFunctions.Utility_DisplayArrayInTable(Fertiliser_SourceData.Fertiliser_Products_Data3(), FertiliserProducts[[#Headers],[Company]],61)</f>
        <v>5</v>
      </c>
      <c r="M154" s="173" cm="1">
        <f t="array" ref="M154">Common_InputFunctions.Utility_DisplayArrayInTable(Fertiliser_SourceData.Fertiliser_Products_Data3(), FertiliserProducts[[#Headers],[Company]],61)</f>
        <v>14</v>
      </c>
      <c r="N154" s="173" cm="1">
        <f t="array" ref="N154">Common_InputFunctions.Utility_DisplayArrayInTable(Fertiliser_SourceData.Fertiliser_Products_Data3(), FertiliserProducts[[#Headers],[Company]],61)</f>
        <v>9.6999999999999993</v>
      </c>
      <c r="O154" s="173" t="str" cm="1">
        <f t="array" ref="O154">Common_InputFunctions.Utility_DisplayArrayInTable(Fertiliser_SourceData.Fertiliser_Products_Data3(), FertiliserProducts[[#Headers],[Company]],61)</f>
        <v>Potassium - Generic</v>
      </c>
      <c r="P154" s="173" cm="1">
        <f t="array" ref="P154">Common_InputFunctions.Utility_DisplayArrayInTable(Fertiliser_SourceData.Fertiliser_Products_Data3(), FertiliserProducts[[#Headers],[Company]],61)</f>
        <v>0.14000000000000001</v>
      </c>
      <c r="Q154" s="173" t="str" cm="1">
        <f t="array" ref="Q154">Common_InputFunctions.Utility_DisplayArrayInTable(Fertiliser_SourceData.Fertiliser_Products_Data3(), FertiliserProducts[[#Headers],[Company]],61)</f>
        <v>Sulfur - Generic</v>
      </c>
      <c r="R154" s="173" cm="1">
        <f t="array" ref="R154">Common_InputFunctions.Utility_DisplayArrayInTable(Fertiliser_SourceData.Fertiliser_Products_Data3(), FertiliserProducts[[#Headers],[Company]],61)</f>
        <v>9.7000000000000003E-2</v>
      </c>
      <c r="S154" s="173" t="str" cm="1">
        <f t="array" ref="S154">Common_InputFunctions.Utility_DisplayArrayInTable(Fertiliser_SourceData.Fertiliser_Products_Data3(), FertiliserProducts[[#Headers],[Company]],61)</f>
        <v>Nitrogen - Nitrate</v>
      </c>
      <c r="T154" s="173" cm="1">
        <f t="array" ref="T154">Common_InputFunctions.Utility_DisplayArrayInTable(Fertiliser_SourceData.Fertiliser_Products_Data3(), FertiliserProducts[[#Headers],[Company]],61)</f>
        <v>0.06</v>
      </c>
      <c r="U154" s="173" t="str" cm="1">
        <f t="array" ref="U154">Common_InputFunctions.Utility_DisplayArrayInTable(Fertiliser_SourceData.Fertiliser_Products_Data3(), FertiliserProducts[[#Headers],[Company]],61)</f>
        <v>Nitrogen - Ammoniacal</v>
      </c>
      <c r="V154" s="173" cm="1">
        <f t="array" ref="V154">Common_InputFunctions.Utility_DisplayArrayInTable(Fertiliser_SourceData.Fertiliser_Products_Data3(), FertiliserProducts[[#Headers],[Company]],61)</f>
        <v>0.06</v>
      </c>
      <c r="W154" s="173" t="str" cm="1">
        <f t="array" ref="W154">Common_InputFunctions.Utility_DisplayArrayInTable(Fertiliser_SourceData.Fertiliser_Products_Data3(), FertiliserProducts[[#Headers],[Company]],61)</f>
        <v>Phosphorus - Generic</v>
      </c>
      <c r="X154" s="173" cm="1">
        <f t="array" ref="X154">Common_InputFunctions.Utility_DisplayArrayInTable(Fertiliser_SourceData.Fertiliser_Products_Data3(), FertiliserProducts[[#Headers],[Company]],61)</f>
        <v>0.05</v>
      </c>
      <c r="Y154" s="173" t="str" cm="1">
        <f t="array" ref="Y154">Common_InputFunctions.Utility_DisplayArrayInTable(Fertiliser_SourceData.Fertiliser_Products_Data3(), FertiliserProducts[[#Headers],[Company]],61)</f>
        <v>Calcium</v>
      </c>
      <c r="Z154" s="173" cm="1">
        <f t="array" ref="Z154">Common_InputFunctions.Utility_DisplayArrayInTable(Fertiliser_SourceData.Fertiliser_Products_Data3(), FertiliserProducts[[#Headers],[Company]],61)</f>
        <v>3.1E-2</v>
      </c>
      <c r="AA154" s="173" t="str" cm="1">
        <f t="array" ref="AA154">Common_InputFunctions.Utility_DisplayArrayInTable(Fertiliser_SourceData.Fertiliser_Products_Data3(), FertiliserProducts[[#Headers],[Company]],61)</f>
        <v>Magnesium</v>
      </c>
      <c r="AB154" s="173" cm="1">
        <f t="array" ref="AB154">Common_InputFunctions.Utility_DisplayArrayInTable(Fertiliser_SourceData.Fertiliser_Products_Data3(), FertiliserProducts[[#Headers],[Company]],61)</f>
        <v>1.2E-2</v>
      </c>
      <c r="AC154" s="173" t="str" cm="1">
        <f t="array" ref="AC154">Common_InputFunctions.Utility_DisplayArrayInTable(Fertiliser_SourceData.Fertiliser_Products_Data3(), FertiliserProducts[[#Headers],[Company]],61)</f>
        <v>Zinc</v>
      </c>
      <c r="AD154" s="173" cm="1">
        <f t="array" ref="AD154">Common_InputFunctions.Utility_DisplayArrayInTable(Fertiliser_SourceData.Fertiliser_Products_Data3(), FertiliserProducts[[#Headers],[Company]],61)</f>
        <v>1E-3</v>
      </c>
      <c r="AE154" s="173" t="str" cm="1">
        <f t="array" ref="AE154">Common_InputFunctions.Utility_DisplayArrayInTable(Fertiliser_SourceData.Fertiliser_Products_Data3(), FertiliserProducts[[#Headers],[Company]],61)</f>
        <v>Boron</v>
      </c>
      <c r="AF154" s="173" cm="1">
        <f t="array" ref="AF154">Common_InputFunctions.Utility_DisplayArrayInTable(Fertiliser_SourceData.Fertiliser_Products_Data3(), FertiliserProducts[[#Headers],[Company]],61)</f>
        <v>2.0000000000000001E-4</v>
      </c>
      <c r="AG154" s="173" t="str" cm="1">
        <f t="array" ref="AG154">Common_InputFunctions.Utility_DisplayArrayInTable(Fertiliser_SourceData.Fertiliser_Products_Data3(), FertiliserProducts[[#Headers],[Company]],61)</f>
        <v/>
      </c>
      <c r="AH154" s="173" t="str" cm="1">
        <f t="array" ref="AH154">Common_InputFunctions.Utility_DisplayArrayInTable(Fertiliser_SourceData.Fertiliser_Products_Data3(), FertiliserProducts[[#Headers],[Company]],61)</f>
        <v/>
      </c>
      <c r="AK154" s="1"/>
    </row>
    <row r="155" spans="4:39" ht="20.100000000000001" customHeight="1" x14ac:dyDescent="0.25">
      <c r="D155" s="173" t="str" cm="1">
        <f t="array" ref="D155">Common_InputFunctions.Utility_DisplayArrayInTable(Fertiliser_SourceData.Fertiliser_Products_Data3(), FertiliserProducts[[#Headers],[Company]],61)</f>
        <v>Campbells fertilisers Australia</v>
      </c>
      <c r="E155" s="173" t="str" cm="1">
        <f t="array" ref="E155">Common_InputFunctions.Utility_DisplayArrayInTable(Fertiliser_SourceData.Fertiliser_Products_Data3(), FertiliserProducts[[#Headers],[Company]],61)</f>
        <v>Platinum Plus</v>
      </c>
      <c r="F155" s="173" t="str" cm="1">
        <f t="array" ref="F155">Common_InputFunctions.Utility_DisplayArrayInTable(Fertiliser_SourceData.Fertiliser_Products_Data3(), FertiliserProducts[[#Headers],[Company]],61)</f>
        <v>kg</v>
      </c>
      <c r="G155" s="173" cm="1">
        <f t="array" ref="G155">Common_InputFunctions.Utility_DisplayArrayInTable(Fertiliser_SourceData.Fertiliser_Products_Data3(), FertiliserProducts[[#Headers],[Company]],61)</f>
        <v>1</v>
      </c>
      <c r="H155" s="173" t="str" cm="1">
        <f t="array" ref="H155">Common_InputFunctions.Utility_DisplayArrayInTable(Fertiliser_SourceData.Fertiliser_Products_Data3(), FertiliserProducts[[#Headers],[Company]],61)</f>
        <v/>
      </c>
      <c r="I155" s="173" t="str" cm="1">
        <f t="array" ref="I155">Common_InputFunctions.Utility_DisplayArrayInTable(Fertiliser_SourceData.Fertiliser_Products_Data3(), FertiliserProducts[[#Headers],[Company]],61)</f>
        <v/>
      </c>
      <c r="J155" s="173" t="str" cm="1">
        <f t="array" ref="J155">Common_InputFunctions.Utility_DisplayArrayInTable(Fertiliser_SourceData.Fertiliser_Products_Data3(), FertiliserProducts[[#Headers],[Company]],61)</f>
        <v/>
      </c>
      <c r="K155" s="173" cm="1">
        <f t="array" ref="K155">Common_InputFunctions.Utility_DisplayArrayInTable(Fertiliser_SourceData.Fertiliser_Products_Data3(), FertiliserProducts[[#Headers],[Company]],61)</f>
        <v>10</v>
      </c>
      <c r="L155" s="173" cm="1">
        <f t="array" ref="L155">Common_InputFunctions.Utility_DisplayArrayInTable(Fertiliser_SourceData.Fertiliser_Products_Data3(), FertiliserProducts[[#Headers],[Company]],61)</f>
        <v>11</v>
      </c>
      <c r="M155" s="173" cm="1">
        <f t="array" ref="M155">Common_InputFunctions.Utility_DisplayArrayInTable(Fertiliser_SourceData.Fertiliser_Products_Data3(), FertiliserProducts[[#Headers],[Company]],61)</f>
        <v>10</v>
      </c>
      <c r="N155" s="173" cm="1">
        <f t="array" ref="N155">Common_InputFunctions.Utility_DisplayArrayInTable(Fertiliser_SourceData.Fertiliser_Products_Data3(), FertiliserProducts[[#Headers],[Company]],61)</f>
        <v>6</v>
      </c>
      <c r="O155" s="173" t="str" cm="1">
        <f t="array" ref="O155">Common_InputFunctions.Utility_DisplayArrayInTable(Fertiliser_SourceData.Fertiliser_Products_Data3(), FertiliserProducts[[#Headers],[Company]],61)</f>
        <v>Phosphorus - Generic</v>
      </c>
      <c r="P155" s="173" cm="1">
        <f t="array" ref="P155">Common_InputFunctions.Utility_DisplayArrayInTable(Fertiliser_SourceData.Fertiliser_Products_Data3(), FertiliserProducts[[#Headers],[Company]],61)</f>
        <v>0.11</v>
      </c>
      <c r="Q155" s="173" t="str" cm="1">
        <f t="array" ref="Q155">Common_InputFunctions.Utility_DisplayArrayInTable(Fertiliser_SourceData.Fertiliser_Products_Data3(), FertiliserProducts[[#Headers],[Company]],61)</f>
        <v>Potassium - Generic</v>
      </c>
      <c r="R155" s="173" cm="1">
        <f t="array" ref="R155">Common_InputFunctions.Utility_DisplayArrayInTable(Fertiliser_SourceData.Fertiliser_Products_Data3(), FertiliserProducts[[#Headers],[Company]],61)</f>
        <v>0.1</v>
      </c>
      <c r="S155" s="173" t="str" cm="1">
        <f t="array" ref="S155">Common_InputFunctions.Utility_DisplayArrayInTable(Fertiliser_SourceData.Fertiliser_Products_Data3(), FertiliserProducts[[#Headers],[Company]],61)</f>
        <v>Sulfur - Generic</v>
      </c>
      <c r="T155" s="173" cm="1">
        <f t="array" ref="T155">Common_InputFunctions.Utility_DisplayArrayInTable(Fertiliser_SourceData.Fertiliser_Products_Data3(), FertiliserProducts[[#Headers],[Company]],61)</f>
        <v>0.06</v>
      </c>
      <c r="U155" s="173" t="str" cm="1">
        <f t="array" ref="U155">Common_InputFunctions.Utility_DisplayArrayInTable(Fertiliser_SourceData.Fertiliser_Products_Data3(), FertiliserProducts[[#Headers],[Company]],61)</f>
        <v>Nitrogen - Nitrate</v>
      </c>
      <c r="V155" s="173" cm="1">
        <f t="array" ref="V155">Common_InputFunctions.Utility_DisplayArrayInTable(Fertiliser_SourceData.Fertiliser_Products_Data3(), FertiliserProducts[[#Headers],[Company]],61)</f>
        <v>0.05</v>
      </c>
      <c r="W155" s="173" t="str" cm="1">
        <f t="array" ref="W155">Common_InputFunctions.Utility_DisplayArrayInTable(Fertiliser_SourceData.Fertiliser_Products_Data3(), FertiliserProducts[[#Headers],[Company]],61)</f>
        <v>Nitrogen - Ammoniacal</v>
      </c>
      <c r="X155" s="173" cm="1">
        <f t="array" ref="X155">Common_InputFunctions.Utility_DisplayArrayInTable(Fertiliser_SourceData.Fertiliser_Products_Data3(), FertiliserProducts[[#Headers],[Company]],61)</f>
        <v>0.05</v>
      </c>
      <c r="Y155" s="173" t="str" cm="1">
        <f t="array" ref="Y155">Common_InputFunctions.Utility_DisplayArrayInTable(Fertiliser_SourceData.Fertiliser_Products_Data3(), FertiliserProducts[[#Headers],[Company]],61)</f>
        <v>Calcium</v>
      </c>
      <c r="Z155" s="173" cm="1">
        <f t="array" ref="Z155">Common_InputFunctions.Utility_DisplayArrayInTable(Fertiliser_SourceData.Fertiliser_Products_Data3(), FertiliserProducts[[#Headers],[Company]],61)</f>
        <v>4.2999999999999997E-2</v>
      </c>
      <c r="AA155" s="173" t="str" cm="1">
        <f t="array" ref="AA155">Common_InputFunctions.Utility_DisplayArrayInTable(Fertiliser_SourceData.Fertiliser_Products_Data3(), FertiliserProducts[[#Headers],[Company]],61)</f>
        <v>Magnesium</v>
      </c>
      <c r="AB155" s="173" cm="1">
        <f t="array" ref="AB155">Common_InputFunctions.Utility_DisplayArrayInTable(Fertiliser_SourceData.Fertiliser_Products_Data3(), FertiliserProducts[[#Headers],[Company]],61)</f>
        <v>1.2E-2</v>
      </c>
      <c r="AC155" s="173" t="str" cm="1">
        <f t="array" ref="AC155">Common_InputFunctions.Utility_DisplayArrayInTable(Fertiliser_SourceData.Fertiliser_Products_Data3(), FertiliserProducts[[#Headers],[Company]],61)</f>
        <v>Zinc</v>
      </c>
      <c r="AD155" s="173" cm="1">
        <f t="array" ref="AD155">Common_InputFunctions.Utility_DisplayArrayInTable(Fertiliser_SourceData.Fertiliser_Products_Data3(), FertiliserProducts[[#Headers],[Company]],61)</f>
        <v>3.5999999999999999E-3</v>
      </c>
      <c r="AE155" s="173" t="str" cm="1">
        <f t="array" ref="AE155">Common_InputFunctions.Utility_DisplayArrayInTable(Fertiliser_SourceData.Fertiliser_Products_Data3(), FertiliserProducts[[#Headers],[Company]],61)</f>
        <v>Boron</v>
      </c>
      <c r="AF155" s="173" cm="1">
        <f t="array" ref="AF155">Common_InputFunctions.Utility_DisplayArrayInTable(Fertiliser_SourceData.Fertiliser_Products_Data3(), FertiliserProducts[[#Headers],[Company]],61)</f>
        <v>1E-3</v>
      </c>
      <c r="AG155" s="173" t="str" cm="1">
        <f t="array" ref="AG155">Common_InputFunctions.Utility_DisplayArrayInTable(Fertiliser_SourceData.Fertiliser_Products_Data3(), FertiliserProducts[[#Headers],[Company]],61)</f>
        <v/>
      </c>
      <c r="AH155" s="173" t="str" cm="1">
        <f t="array" ref="AH155">Common_InputFunctions.Utility_DisplayArrayInTable(Fertiliser_SourceData.Fertiliser_Products_Data3(), FertiliserProducts[[#Headers],[Company]],61)</f>
        <v/>
      </c>
      <c r="AK155" s="1"/>
    </row>
    <row r="156" spans="4:39" ht="20.100000000000001" customHeight="1" x14ac:dyDescent="0.25">
      <c r="D156" s="173" t="str" cm="1">
        <f t="array" ref="D156">Common_InputFunctions.Utility_DisplayArrayInTable(Fertiliser_SourceData.Fertiliser_Products_Data3(), FertiliserProducts[[#Headers],[Company]],61)</f>
        <v>Campbells fertilisers Australia</v>
      </c>
      <c r="E156" s="173" t="str" cm="1">
        <f t="array" ref="E156">Common_InputFunctions.Utility_DisplayArrayInTable(Fertiliser_SourceData.Fertiliser_Products_Data3(), FertiliserProducts[[#Headers],[Company]],61)</f>
        <v>Tropika</v>
      </c>
      <c r="F156" s="173" t="str" cm="1">
        <f t="array" ref="F156">Common_InputFunctions.Utility_DisplayArrayInTable(Fertiliser_SourceData.Fertiliser_Products_Data3(), FertiliserProducts[[#Headers],[Company]],61)</f>
        <v>kg</v>
      </c>
      <c r="G156" s="173" cm="1">
        <f t="array" ref="G156">Common_InputFunctions.Utility_DisplayArrayInTable(Fertiliser_SourceData.Fertiliser_Products_Data3(), FertiliserProducts[[#Headers],[Company]],61)</f>
        <v>1</v>
      </c>
      <c r="H156" s="173" t="str" cm="1">
        <f t="array" ref="H156">Common_InputFunctions.Utility_DisplayArrayInTable(Fertiliser_SourceData.Fertiliser_Products_Data3(), FertiliserProducts[[#Headers],[Company]],61)</f>
        <v/>
      </c>
      <c r="I156" s="173" t="str" cm="1">
        <f t="array" ref="I156">Common_InputFunctions.Utility_DisplayArrayInTable(Fertiliser_SourceData.Fertiliser_Products_Data3(), FertiliserProducts[[#Headers],[Company]],61)</f>
        <v/>
      </c>
      <c r="J156" s="173" t="str" cm="1">
        <f t="array" ref="J156">Common_InputFunctions.Utility_DisplayArrayInTable(Fertiliser_SourceData.Fertiliser_Products_Data3(), FertiliserProducts[[#Headers],[Company]],61)</f>
        <v/>
      </c>
      <c r="K156" s="173" cm="1">
        <f t="array" ref="K156">Common_InputFunctions.Utility_DisplayArrayInTable(Fertiliser_SourceData.Fertiliser_Products_Data3(), FertiliserProducts[[#Headers],[Company]],61)</f>
        <v>11</v>
      </c>
      <c r="L156" s="173" cm="1">
        <f t="array" ref="L156">Common_InputFunctions.Utility_DisplayArrayInTable(Fertiliser_SourceData.Fertiliser_Products_Data3(), FertiliserProducts[[#Headers],[Company]],61)</f>
        <v>2.6</v>
      </c>
      <c r="M156" s="173" cm="1">
        <f t="array" ref="M156">Common_InputFunctions.Utility_DisplayArrayInTable(Fertiliser_SourceData.Fertiliser_Products_Data3(), FertiliserProducts[[#Headers],[Company]],61)</f>
        <v>20.8</v>
      </c>
      <c r="N156" s="173" cm="1">
        <f t="array" ref="N156">Common_InputFunctions.Utility_DisplayArrayInTable(Fertiliser_SourceData.Fertiliser_Products_Data3(), FertiliserProducts[[#Headers],[Company]],61)</f>
        <v>4</v>
      </c>
      <c r="O156" s="173" t="str" cm="1">
        <f t="array" ref="O156">Common_InputFunctions.Utility_DisplayArrayInTable(Fertiliser_SourceData.Fertiliser_Products_Data3(), FertiliserProducts[[#Headers],[Company]],61)</f>
        <v>Nitrogen - Nitrate</v>
      </c>
      <c r="P156" s="173" cm="1">
        <f t="array" ref="P156">Common_InputFunctions.Utility_DisplayArrayInTable(Fertiliser_SourceData.Fertiliser_Products_Data3(), FertiliserProducts[[#Headers],[Company]],61)</f>
        <v>5.5E-2</v>
      </c>
      <c r="Q156" s="173" t="str" cm="1">
        <f t="array" ref="Q156">Common_InputFunctions.Utility_DisplayArrayInTable(Fertiliser_SourceData.Fertiliser_Products_Data3(), FertiliserProducts[[#Headers],[Company]],61)</f>
        <v>Nitrogen - Ammoniacal</v>
      </c>
      <c r="R156" s="173" cm="1">
        <f t="array" ref="R156">Common_InputFunctions.Utility_DisplayArrayInTable(Fertiliser_SourceData.Fertiliser_Products_Data3(), FertiliserProducts[[#Headers],[Company]],61)</f>
        <v>5.5E-2</v>
      </c>
      <c r="S156" s="173" t="str" cm="1">
        <f t="array" ref="S156">Common_InputFunctions.Utility_DisplayArrayInTable(Fertiliser_SourceData.Fertiliser_Products_Data3(), FertiliserProducts[[#Headers],[Company]],61)</f>
        <v>Phosphorus - Generic</v>
      </c>
      <c r="T156" s="173" cm="1">
        <f t="array" ref="T156">Common_InputFunctions.Utility_DisplayArrayInTable(Fertiliser_SourceData.Fertiliser_Products_Data3(), FertiliserProducts[[#Headers],[Company]],61)</f>
        <v>2.5999999999999999E-2</v>
      </c>
      <c r="U156" s="173" t="str" cm="1">
        <f t="array" ref="U156">Common_InputFunctions.Utility_DisplayArrayInTable(Fertiliser_SourceData.Fertiliser_Products_Data3(), FertiliserProducts[[#Headers],[Company]],61)</f>
        <v>Potassium - Generic</v>
      </c>
      <c r="V156" s="173" cm="1">
        <f t="array" ref="V156">Common_InputFunctions.Utility_DisplayArrayInTable(Fertiliser_SourceData.Fertiliser_Products_Data3(), FertiliserProducts[[#Headers],[Company]],61)</f>
        <v>0.20799999999999999</v>
      </c>
      <c r="W156" s="173" t="str" cm="1">
        <f t="array" ref="W156">Common_InputFunctions.Utility_DisplayArrayInTable(Fertiliser_SourceData.Fertiliser_Products_Data3(), FertiliserProducts[[#Headers],[Company]],61)</f>
        <v>Sulfur - Generic</v>
      </c>
      <c r="X156" s="173" cm="1">
        <f t="array" ref="X156">Common_InputFunctions.Utility_DisplayArrayInTable(Fertiliser_SourceData.Fertiliser_Products_Data3(), FertiliserProducts[[#Headers],[Company]],61)</f>
        <v>0.04</v>
      </c>
      <c r="Y156" s="173" t="str" cm="1">
        <f t="array" ref="Y156">Common_InputFunctions.Utility_DisplayArrayInTable(Fertiliser_SourceData.Fertiliser_Products_Data3(), FertiliserProducts[[#Headers],[Company]],61)</f>
        <v>Magnesium</v>
      </c>
      <c r="Z156" s="173" cm="1">
        <f t="array" ref="Z156">Common_InputFunctions.Utility_DisplayArrayInTable(Fertiliser_SourceData.Fertiliser_Products_Data3(), FertiliserProducts[[#Headers],[Company]],61)</f>
        <v>2.4E-2</v>
      </c>
      <c r="AA156" s="173" t="str" cm="1">
        <f t="array" ref="AA156">Common_InputFunctions.Utility_DisplayArrayInTable(Fertiliser_SourceData.Fertiliser_Products_Data3(), FertiliserProducts[[#Headers],[Company]],61)</f>
        <v/>
      </c>
      <c r="AB156" s="173" t="str" cm="1">
        <f t="array" ref="AB156">Common_InputFunctions.Utility_DisplayArrayInTable(Fertiliser_SourceData.Fertiliser_Products_Data3(), FertiliserProducts[[#Headers],[Company]],61)</f>
        <v/>
      </c>
      <c r="AC156" s="173" t="str" cm="1">
        <f t="array" ref="AC156">Common_InputFunctions.Utility_DisplayArrayInTable(Fertiliser_SourceData.Fertiliser_Products_Data3(), FertiliserProducts[[#Headers],[Company]],61)</f>
        <v/>
      </c>
      <c r="AD156" s="173" t="str" cm="1">
        <f t="array" ref="AD156">Common_InputFunctions.Utility_DisplayArrayInTable(Fertiliser_SourceData.Fertiliser_Products_Data3(), FertiliserProducts[[#Headers],[Company]],61)</f>
        <v/>
      </c>
      <c r="AE156" s="173" t="str" cm="1">
        <f t="array" ref="AE156">Common_InputFunctions.Utility_DisplayArrayInTable(Fertiliser_SourceData.Fertiliser_Products_Data3(), FertiliserProducts[[#Headers],[Company]],61)</f>
        <v/>
      </c>
      <c r="AF156" s="173" t="str" cm="1">
        <f t="array" ref="AF156">Common_InputFunctions.Utility_DisplayArrayInTable(Fertiliser_SourceData.Fertiliser_Products_Data3(), FertiliserProducts[[#Headers],[Company]],61)</f>
        <v/>
      </c>
      <c r="AG156" s="173" t="str" cm="1">
        <f t="array" ref="AG156">Common_InputFunctions.Utility_DisplayArrayInTable(Fertiliser_SourceData.Fertiliser_Products_Data3(), FertiliserProducts[[#Headers],[Company]],61)</f>
        <v/>
      </c>
      <c r="AH156" s="173" t="str" cm="1">
        <f t="array" ref="AH156">Common_InputFunctions.Utility_DisplayArrayInTable(Fertiliser_SourceData.Fertiliser_Products_Data3(), FertiliserProducts[[#Headers],[Company]],61)</f>
        <v/>
      </c>
      <c r="AK156" s="1"/>
    </row>
    <row r="157" spans="4:39" ht="20.100000000000001" customHeight="1" x14ac:dyDescent="0.25">
      <c r="D157" s="173" t="str" cm="1">
        <f t="array" ref="D157">Common_InputFunctions.Utility_DisplayArrayInTable(Fertiliser_SourceData.Fertiliser_Products_Data3(), FertiliserProducts[[#Headers],[Company]],61)</f>
        <v>Campbells fertilisers Australia</v>
      </c>
      <c r="E157" s="173" t="str" cm="1">
        <f t="array" ref="E157">Common_InputFunctions.Utility_DisplayArrayInTable(Fertiliser_SourceData.Fertiliser_Products_Data3(), FertiliserProducts[[#Headers],[Company]],61)</f>
        <v>Rustica Nergetic</v>
      </c>
      <c r="F157" s="173" t="str" cm="1">
        <f t="array" ref="F157">Common_InputFunctions.Utility_DisplayArrayInTable(Fertiliser_SourceData.Fertiliser_Products_Data3(), FertiliserProducts[[#Headers],[Company]],61)</f>
        <v>kg</v>
      </c>
      <c r="G157" s="173" cm="1">
        <f t="array" ref="G157">Common_InputFunctions.Utility_DisplayArrayInTable(Fertiliser_SourceData.Fertiliser_Products_Data3(), FertiliserProducts[[#Headers],[Company]],61)</f>
        <v>1</v>
      </c>
      <c r="H157" s="173" t="str" cm="1">
        <f t="array" ref="H157">Common_InputFunctions.Utility_DisplayArrayInTable(Fertiliser_SourceData.Fertiliser_Products_Data3(), FertiliserProducts[[#Headers],[Company]],61)</f>
        <v/>
      </c>
      <c r="I157" s="173" t="str" cm="1">
        <f t="array" ref="I157">Common_InputFunctions.Utility_DisplayArrayInTable(Fertiliser_SourceData.Fertiliser_Products_Data3(), FertiliserProducts[[#Headers],[Company]],61)</f>
        <v/>
      </c>
      <c r="J157" s="173" t="str" cm="1">
        <f t="array" ref="J157">Common_InputFunctions.Utility_DisplayArrayInTable(Fertiliser_SourceData.Fertiliser_Products_Data3(), FertiliserProducts[[#Headers],[Company]],61)</f>
        <v/>
      </c>
      <c r="K157" s="173" cm="1">
        <f t="array" ref="K157">Common_InputFunctions.Utility_DisplayArrayInTable(Fertiliser_SourceData.Fertiliser_Products_Data3(), FertiliserProducts[[#Headers],[Company]],61)</f>
        <v>12</v>
      </c>
      <c r="L157" s="173" cm="1">
        <f t="array" ref="L157">Common_InputFunctions.Utility_DisplayArrayInTable(Fertiliser_SourceData.Fertiliser_Products_Data3(), FertiliserProducts[[#Headers],[Company]],61)</f>
        <v>5.2</v>
      </c>
      <c r="M157" s="173" cm="1">
        <f t="array" ref="M157">Common_InputFunctions.Utility_DisplayArrayInTable(Fertiliser_SourceData.Fertiliser_Products_Data3(), FertiliserProducts[[#Headers],[Company]],61)</f>
        <v>14.1</v>
      </c>
      <c r="N157" s="173" cm="1">
        <f t="array" ref="N157">Common_InputFunctions.Utility_DisplayArrayInTable(Fertiliser_SourceData.Fertiliser_Products_Data3(), FertiliserProducts[[#Headers],[Company]],61)</f>
        <v>9.6</v>
      </c>
      <c r="O157" s="173" t="str" cm="1">
        <f t="array" ref="O157">Common_InputFunctions.Utility_DisplayArrayInTable(Fertiliser_SourceData.Fertiliser_Products_Data3(), FertiliserProducts[[#Headers],[Company]],61)</f>
        <v>Potassium - Generic</v>
      </c>
      <c r="P157" s="173" cm="1">
        <f t="array" ref="P157">Common_InputFunctions.Utility_DisplayArrayInTable(Fertiliser_SourceData.Fertiliser_Products_Data3(), FertiliserProducts[[#Headers],[Company]],61)</f>
        <v>0.14099999999999999</v>
      </c>
      <c r="Q157" s="173" t="str" cm="1">
        <f t="array" ref="Q157">Common_InputFunctions.Utility_DisplayArrayInTable(Fertiliser_SourceData.Fertiliser_Products_Data3(), FertiliserProducts[[#Headers],[Company]],61)</f>
        <v>Sulfur - Generic</v>
      </c>
      <c r="R157" s="173" cm="1">
        <f t="array" ref="R157">Common_InputFunctions.Utility_DisplayArrayInTable(Fertiliser_SourceData.Fertiliser_Products_Data3(), FertiliserProducts[[#Headers],[Company]],61)</f>
        <v>9.6000000000000002E-2</v>
      </c>
      <c r="S157" s="173" t="str" cm="1">
        <f t="array" ref="S157">Common_InputFunctions.Utility_DisplayArrayInTable(Fertiliser_SourceData.Fertiliser_Products_Data3(), FertiliserProducts[[#Headers],[Company]],61)</f>
        <v>Nitrogen - Nitrate</v>
      </c>
      <c r="T157" s="173" cm="1">
        <f t="array" ref="T157">Common_InputFunctions.Utility_DisplayArrayInTable(Fertiliser_SourceData.Fertiliser_Products_Data3(), FertiliserProducts[[#Headers],[Company]],61)</f>
        <v>0.06</v>
      </c>
      <c r="U157" s="173" t="str" cm="1">
        <f t="array" ref="U157">Common_InputFunctions.Utility_DisplayArrayInTable(Fertiliser_SourceData.Fertiliser_Products_Data3(), FertiliserProducts[[#Headers],[Company]],61)</f>
        <v>Nitrogen - Ammoniacal</v>
      </c>
      <c r="V157" s="173" cm="1">
        <f t="array" ref="V157">Common_InputFunctions.Utility_DisplayArrayInTable(Fertiliser_SourceData.Fertiliser_Products_Data3(), FertiliserProducts[[#Headers],[Company]],61)</f>
        <v>0.06</v>
      </c>
      <c r="W157" s="173" t="str" cm="1">
        <f t="array" ref="W157">Common_InputFunctions.Utility_DisplayArrayInTable(Fertiliser_SourceData.Fertiliser_Products_Data3(), FertiliserProducts[[#Headers],[Company]],61)</f>
        <v>Phosphorus - Generic</v>
      </c>
      <c r="X157" s="173" cm="1">
        <f t="array" ref="X157">Common_InputFunctions.Utility_DisplayArrayInTable(Fertiliser_SourceData.Fertiliser_Products_Data3(), FertiliserProducts[[#Headers],[Company]],61)</f>
        <v>5.1999999999999998E-2</v>
      </c>
      <c r="Y157" s="173" t="str" cm="1">
        <f t="array" ref="Y157">Common_InputFunctions.Utility_DisplayArrayInTable(Fertiliser_SourceData.Fertiliser_Products_Data3(), FertiliserProducts[[#Headers],[Company]],61)</f>
        <v>Magnesium</v>
      </c>
      <c r="Z157" s="173" cm="1">
        <f t="array" ref="Z157">Common_InputFunctions.Utility_DisplayArrayInTable(Fertiliser_SourceData.Fertiliser_Products_Data3(), FertiliserProducts[[#Headers],[Company]],61)</f>
        <v>1.2E-2</v>
      </c>
      <c r="AA157" s="173" t="str" cm="1">
        <f t="array" ref="AA157">Common_InputFunctions.Utility_DisplayArrayInTable(Fertiliser_SourceData.Fertiliser_Products_Data3(), FertiliserProducts[[#Headers],[Company]],61)</f>
        <v>Zinc</v>
      </c>
      <c r="AB157" s="173" cm="1">
        <f t="array" ref="AB157">Common_InputFunctions.Utility_DisplayArrayInTable(Fertiliser_SourceData.Fertiliser_Products_Data3(), FertiliserProducts[[#Headers],[Company]],61)</f>
        <v>8.0000000000000004E-4</v>
      </c>
      <c r="AC157" s="173" t="str" cm="1">
        <f t="array" ref="AC157">Common_InputFunctions.Utility_DisplayArrayInTable(Fertiliser_SourceData.Fertiliser_Products_Data3(), FertiliserProducts[[#Headers],[Company]],61)</f>
        <v>Iron</v>
      </c>
      <c r="AD157" s="173" cm="1">
        <f t="array" ref="AD157">Common_InputFunctions.Utility_DisplayArrayInTable(Fertiliser_SourceData.Fertiliser_Products_Data3(), FertiliserProducts[[#Headers],[Company]],61)</f>
        <v>6.9999999999999999E-4</v>
      </c>
      <c r="AE157" s="173" t="str" cm="1">
        <f t="array" ref="AE157">Common_InputFunctions.Utility_DisplayArrayInTable(Fertiliser_SourceData.Fertiliser_Products_Data3(), FertiliserProducts[[#Headers],[Company]],61)</f>
        <v>Manganese</v>
      </c>
      <c r="AF157" s="173" cm="1">
        <f t="array" ref="AF157">Common_InputFunctions.Utility_DisplayArrayInTable(Fertiliser_SourceData.Fertiliser_Products_Data3(), FertiliserProducts[[#Headers],[Company]],61)</f>
        <v>5.9999999999999995E-4</v>
      </c>
      <c r="AG157" s="173" t="str" cm="1">
        <f t="array" ref="AG157">Common_InputFunctions.Utility_DisplayArrayInTable(Fertiliser_SourceData.Fertiliser_Products_Data3(), FertiliserProducts[[#Headers],[Company]],61)</f>
        <v>Boron</v>
      </c>
      <c r="AH157" s="173" cm="1">
        <f t="array" ref="AH157">Common_InputFunctions.Utility_DisplayArrayInTable(Fertiliser_SourceData.Fertiliser_Products_Data3(), FertiliserProducts[[#Headers],[Company]],61)</f>
        <v>2.0000000000000001E-4</v>
      </c>
      <c r="AK157" s="1"/>
    </row>
    <row r="158" spans="4:39" ht="20.100000000000001" customHeight="1" x14ac:dyDescent="0.25">
      <c r="D158" s="173" t="str" cm="1">
        <f t="array" ref="D158">Common_InputFunctions.Utility_DisplayArrayInTable(Fertiliser_SourceData.Fertiliser_Products_Data3(), FertiliserProducts[[#Headers],[Company]],61)</f>
        <v>Campbells fertilisers Australia</v>
      </c>
      <c r="E158" s="173" t="str" cm="1">
        <f t="array" ref="E158">Common_InputFunctions.Utility_DisplayArrayInTable(Fertiliser_SourceData.Fertiliser_Products_Data3(), FertiliserProducts[[#Headers],[Company]],61)</f>
        <v>Quick-N Nergetic</v>
      </c>
      <c r="F158" s="173" t="str" cm="1">
        <f t="array" ref="F158">Common_InputFunctions.Utility_DisplayArrayInTable(Fertiliser_SourceData.Fertiliser_Products_Data3(), FertiliserProducts[[#Headers],[Company]],61)</f>
        <v>kg</v>
      </c>
      <c r="G158" s="173" cm="1">
        <f t="array" ref="G158">Common_InputFunctions.Utility_DisplayArrayInTable(Fertiliser_SourceData.Fertiliser_Products_Data3(), FertiliserProducts[[#Headers],[Company]],61)</f>
        <v>1</v>
      </c>
      <c r="H158" s="173" t="str" cm="1">
        <f t="array" ref="H158">Common_InputFunctions.Utility_DisplayArrayInTable(Fertiliser_SourceData.Fertiliser_Products_Data3(), FertiliserProducts[[#Headers],[Company]],61)</f>
        <v/>
      </c>
      <c r="I158" s="173" t="str" cm="1">
        <f t="array" ref="I158">Common_InputFunctions.Utility_DisplayArrayInTable(Fertiliser_SourceData.Fertiliser_Products_Data3(), FertiliserProducts[[#Headers],[Company]],61)</f>
        <v/>
      </c>
      <c r="J158" s="173" t="str" cm="1">
        <f t="array" ref="J158">Common_InputFunctions.Utility_DisplayArrayInTable(Fertiliser_SourceData.Fertiliser_Products_Data3(), FertiliserProducts[[#Headers],[Company]],61)</f>
        <v/>
      </c>
      <c r="K158" s="173" cm="1">
        <f t="array" ref="K158">Common_InputFunctions.Utility_DisplayArrayInTable(Fertiliser_SourceData.Fertiliser_Products_Data3(), FertiliserProducts[[#Headers],[Company]],61)</f>
        <v>25</v>
      </c>
      <c r="L158" s="173" t="str" cm="1">
        <f t="array" ref="L158">Common_InputFunctions.Utility_DisplayArrayInTable(Fertiliser_SourceData.Fertiliser_Products_Data3(), FertiliserProducts[[#Headers],[Company]],61)</f>
        <v/>
      </c>
      <c r="M158" s="173" t="str" cm="1">
        <f t="array" ref="M158">Common_InputFunctions.Utility_DisplayArrayInTable(Fertiliser_SourceData.Fertiliser_Products_Data3(), FertiliserProducts[[#Headers],[Company]],61)</f>
        <v/>
      </c>
      <c r="N158" s="173" cm="1">
        <f t="array" ref="N158">Common_InputFunctions.Utility_DisplayArrayInTable(Fertiliser_SourceData.Fertiliser_Products_Data3(), FertiliserProducts[[#Headers],[Company]],61)</f>
        <v>12.8</v>
      </c>
      <c r="O158" s="173" t="str" cm="1">
        <f t="array" ref="O158">Common_InputFunctions.Utility_DisplayArrayInTable(Fertiliser_SourceData.Fertiliser_Products_Data3(), FertiliserProducts[[#Headers],[Company]],61)</f>
        <v>Sulphate of ammonia (SOA)</v>
      </c>
      <c r="P158" s="173" cm="1">
        <f t="array" ref="P158">Common_InputFunctions.Utility_DisplayArrayInTable(Fertiliser_SourceData.Fertiliser_Products_Data3(), FertiliserProducts[[#Headers],[Company]],61)</f>
        <v>0.53333299999999995</v>
      </c>
      <c r="Q158" s="173" t="str" cm="1">
        <f t="array" ref="Q158">Common_InputFunctions.Utility_DisplayArrayInTable(Fertiliser_SourceData.Fertiliser_Products_Data3(), FertiliserProducts[[#Headers],[Company]],61)</f>
        <v>Ammonium nitrate (AN)</v>
      </c>
      <c r="R158" s="173" cm="1">
        <f t="array" ref="R158">Common_InputFunctions.Utility_DisplayArrayInTable(Fertiliser_SourceData.Fertiliser_Products_Data3(), FertiliserProducts[[#Headers],[Company]],61)</f>
        <v>0.40949600000000003</v>
      </c>
      <c r="S158" s="173" t="str" cm="1">
        <f t="array" ref="S158">Common_InputFunctions.Utility_DisplayArrayInTable(Fertiliser_SourceData.Fertiliser_Products_Data3(), FertiliserProducts[[#Headers],[Company]],61)</f>
        <v>Zinc</v>
      </c>
      <c r="T158" s="173" cm="1">
        <f t="array" ref="T158">Common_InputFunctions.Utility_DisplayArrayInTable(Fertiliser_SourceData.Fertiliser_Products_Data3(), FertiliserProducts[[#Headers],[Company]],61)</f>
        <v>1E-3</v>
      </c>
      <c r="U158" s="173" t="str" cm="1">
        <f t="array" ref="U158">Common_InputFunctions.Utility_DisplayArrayInTable(Fertiliser_SourceData.Fertiliser_Products_Data3(), FertiliserProducts[[#Headers],[Company]],61)</f>
        <v>Manganese</v>
      </c>
      <c r="V158" s="173" cm="1">
        <f t="array" ref="V158">Common_InputFunctions.Utility_DisplayArrayInTable(Fertiliser_SourceData.Fertiliser_Products_Data3(), FertiliserProducts[[#Headers],[Company]],61)</f>
        <v>1E-3</v>
      </c>
      <c r="W158" s="173" t="str" cm="1">
        <f t="array" ref="W158">Common_InputFunctions.Utility_DisplayArrayInTable(Fertiliser_SourceData.Fertiliser_Products_Data3(), FertiliserProducts[[#Headers],[Company]],61)</f>
        <v>Boron</v>
      </c>
      <c r="X158" s="173" cm="1">
        <f t="array" ref="X158">Common_InputFunctions.Utility_DisplayArrayInTable(Fertiliser_SourceData.Fertiliser_Products_Data3(), FertiliserProducts[[#Headers],[Company]],61)</f>
        <v>1E-4</v>
      </c>
      <c r="Y158" s="173" t="str" cm="1">
        <f t="array" ref="Y158">Common_InputFunctions.Utility_DisplayArrayInTable(Fertiliser_SourceData.Fertiliser_Products_Data3(), FertiliserProducts[[#Headers],[Company]],61)</f>
        <v>Molybdenum</v>
      </c>
      <c r="Z158" s="173" cm="1">
        <f t="array" ref="Z158">Common_InputFunctions.Utility_DisplayArrayInTable(Fertiliser_SourceData.Fertiliser_Products_Data3(), FertiliserProducts[[#Headers],[Company]],61)</f>
        <v>1.0000000000000001E-5</v>
      </c>
      <c r="AA158" s="173" t="str" cm="1">
        <f t="array" ref="AA158">Common_InputFunctions.Utility_DisplayArrayInTable(Fertiliser_SourceData.Fertiliser_Products_Data3(), FertiliserProducts[[#Headers],[Company]],61)</f>
        <v/>
      </c>
      <c r="AB158" s="173" t="str" cm="1">
        <f t="array" ref="AB158">Common_InputFunctions.Utility_DisplayArrayInTable(Fertiliser_SourceData.Fertiliser_Products_Data3(), FertiliserProducts[[#Headers],[Company]],61)</f>
        <v/>
      </c>
      <c r="AC158" s="173" t="str" cm="1">
        <f t="array" ref="AC158">Common_InputFunctions.Utility_DisplayArrayInTable(Fertiliser_SourceData.Fertiliser_Products_Data3(), FertiliserProducts[[#Headers],[Company]],61)</f>
        <v/>
      </c>
      <c r="AD158" s="173" t="str" cm="1">
        <f t="array" ref="AD158">Common_InputFunctions.Utility_DisplayArrayInTable(Fertiliser_SourceData.Fertiliser_Products_Data3(), FertiliserProducts[[#Headers],[Company]],61)</f>
        <v/>
      </c>
      <c r="AE158" s="173" t="str" cm="1">
        <f t="array" ref="AE158">Common_InputFunctions.Utility_DisplayArrayInTable(Fertiliser_SourceData.Fertiliser_Products_Data3(), FertiliserProducts[[#Headers],[Company]],61)</f>
        <v/>
      </c>
      <c r="AF158" s="173" t="str" cm="1">
        <f t="array" ref="AF158">Common_InputFunctions.Utility_DisplayArrayInTable(Fertiliser_SourceData.Fertiliser_Products_Data3(), FertiliserProducts[[#Headers],[Company]],61)</f>
        <v/>
      </c>
      <c r="AG158" s="173" t="str" cm="1">
        <f t="array" ref="AG158">Common_InputFunctions.Utility_DisplayArrayInTable(Fertiliser_SourceData.Fertiliser_Products_Data3(), FertiliserProducts[[#Headers],[Company]],61)</f>
        <v/>
      </c>
      <c r="AH158" s="173" t="str" cm="1">
        <f t="array" ref="AH158">Common_InputFunctions.Utility_DisplayArrayInTable(Fertiliser_SourceData.Fertiliser_Products_Data3(), FertiliserProducts[[#Headers],[Company]],61)</f>
        <v/>
      </c>
      <c r="AK158" s="1"/>
    </row>
    <row r="159" spans="4:39" ht="20.100000000000001" customHeight="1" x14ac:dyDescent="0.25">
      <c r="D159" s="173" t="str" cm="1">
        <f t="array" ref="D159">Common_InputFunctions.Utility_DisplayArrayInTable(Fertiliser_SourceData.Fertiliser_Products_Data3(), FertiliserProducts[[#Headers],[Company]],61)</f>
        <v>FertPro Manufacturing Pty. Ltd.</v>
      </c>
      <c r="E159" s="173" t="str" cm="1">
        <f t="array" ref="E159">Common_InputFunctions.Utility_DisplayArrayInTable(Fertiliser_SourceData.Fertiliser_Products_Data3(), FertiliserProducts[[#Headers],[Company]],61)</f>
        <v>(SSP) Single Super Fertiliser</v>
      </c>
      <c r="F159" s="173" t="str" cm="1">
        <f t="array" ref="F159">Common_InputFunctions.Utility_DisplayArrayInTable(Fertiliser_SourceData.Fertiliser_Products_Data3(), FertiliserProducts[[#Headers],[Company]],61)</f>
        <v>kg</v>
      </c>
      <c r="G159" s="173" cm="1">
        <f t="array" ref="G159">Common_InputFunctions.Utility_DisplayArrayInTable(Fertiliser_SourceData.Fertiliser_Products_Data3(), FertiliserProducts[[#Headers],[Company]],61)</f>
        <v>1</v>
      </c>
      <c r="H159" s="173" t="str" cm="1">
        <f t="array" ref="H159">Common_InputFunctions.Utility_DisplayArrayInTable(Fertiliser_SourceData.Fertiliser_Products_Data3(), FertiliserProducts[[#Headers],[Company]],61)</f>
        <v/>
      </c>
      <c r="I159" s="173" t="str" cm="1">
        <f t="array" ref="I159">Common_InputFunctions.Utility_DisplayArrayInTable(Fertiliser_SourceData.Fertiliser_Products_Data3(), FertiliserProducts[[#Headers],[Company]],61)</f>
        <v/>
      </c>
      <c r="J159" s="173" t="str" cm="1">
        <f t="array" ref="J159">Common_InputFunctions.Utility_DisplayArrayInTable(Fertiliser_SourceData.Fertiliser_Products_Data3(), FertiliserProducts[[#Headers],[Company]],61)</f>
        <v/>
      </c>
      <c r="K159" s="173" t="str" cm="1">
        <f t="array" ref="K159">Common_InputFunctions.Utility_DisplayArrayInTable(Fertiliser_SourceData.Fertiliser_Products_Data3(), FertiliserProducts[[#Headers],[Company]],61)</f>
        <v/>
      </c>
      <c r="L159" s="173" cm="1">
        <f t="array" ref="L159">Common_InputFunctions.Utility_DisplayArrayInTable(Fertiliser_SourceData.Fertiliser_Products_Data3(), FertiliserProducts[[#Headers],[Company]],61)</f>
        <v>8.8000000000000007</v>
      </c>
      <c r="M159" s="173" t="str" cm="1">
        <f t="array" ref="M159">Common_InputFunctions.Utility_DisplayArrayInTable(Fertiliser_SourceData.Fertiliser_Products_Data3(), FertiliserProducts[[#Headers],[Company]],61)</f>
        <v/>
      </c>
      <c r="N159" s="173" cm="1">
        <f t="array" ref="N159">Common_InputFunctions.Utility_DisplayArrayInTable(Fertiliser_SourceData.Fertiliser_Products_Data3(), FertiliserProducts[[#Headers],[Company]],61)</f>
        <v>11</v>
      </c>
      <c r="O159" s="173" t="str" cm="1">
        <f t="array" ref="O159">Common_InputFunctions.Utility_DisplayArrayInTable(Fertiliser_SourceData.Fertiliser_Products_Data3(), FertiliserProducts[[#Headers],[Company]],61)</f>
        <v>Single superphosphate (SSP)</v>
      </c>
      <c r="P159" s="173" cm="1">
        <f t="array" ref="P159">Common_InputFunctions.Utility_DisplayArrayInTable(Fertiliser_SourceData.Fertiliser_Products_Data3(), FertiliserProducts[[#Headers],[Company]],61)</f>
        <v>1</v>
      </c>
      <c r="Q159" s="173" t="str" cm="1">
        <f t="array" ref="Q159">Common_InputFunctions.Utility_DisplayArrayInTable(Fertiliser_SourceData.Fertiliser_Products_Data3(), FertiliserProducts[[#Headers],[Company]],61)</f>
        <v/>
      </c>
      <c r="R159" s="173" t="str" cm="1">
        <f t="array" ref="R159">Common_InputFunctions.Utility_DisplayArrayInTable(Fertiliser_SourceData.Fertiliser_Products_Data3(), FertiliserProducts[[#Headers],[Company]],61)</f>
        <v/>
      </c>
      <c r="S159" s="173" t="str" cm="1">
        <f t="array" ref="S159">Common_InputFunctions.Utility_DisplayArrayInTable(Fertiliser_SourceData.Fertiliser_Products_Data3(), FertiliserProducts[[#Headers],[Company]],61)</f>
        <v/>
      </c>
      <c r="T159" s="173" t="str" cm="1">
        <f t="array" ref="T159">Common_InputFunctions.Utility_DisplayArrayInTable(Fertiliser_SourceData.Fertiliser_Products_Data3(), FertiliserProducts[[#Headers],[Company]],61)</f>
        <v/>
      </c>
      <c r="U159" s="173" t="str" cm="1">
        <f t="array" ref="U159">Common_InputFunctions.Utility_DisplayArrayInTable(Fertiliser_SourceData.Fertiliser_Products_Data3(), FertiliserProducts[[#Headers],[Company]],61)</f>
        <v/>
      </c>
      <c r="V159" s="173" t="str" cm="1">
        <f t="array" ref="V159">Common_InputFunctions.Utility_DisplayArrayInTable(Fertiliser_SourceData.Fertiliser_Products_Data3(), FertiliserProducts[[#Headers],[Company]],61)</f>
        <v/>
      </c>
      <c r="W159" s="173" t="str" cm="1">
        <f t="array" ref="W159">Common_InputFunctions.Utility_DisplayArrayInTable(Fertiliser_SourceData.Fertiliser_Products_Data3(), FertiliserProducts[[#Headers],[Company]],61)</f>
        <v/>
      </c>
      <c r="X159" s="173" t="str" cm="1">
        <f t="array" ref="X159">Common_InputFunctions.Utility_DisplayArrayInTable(Fertiliser_SourceData.Fertiliser_Products_Data3(), FertiliserProducts[[#Headers],[Company]],61)</f>
        <v/>
      </c>
      <c r="Y159" s="173" t="str" cm="1">
        <f t="array" ref="Y159">Common_InputFunctions.Utility_DisplayArrayInTable(Fertiliser_SourceData.Fertiliser_Products_Data3(), FertiliserProducts[[#Headers],[Company]],61)</f>
        <v/>
      </c>
      <c r="Z159" s="173" t="str" cm="1">
        <f t="array" ref="Z159">Common_InputFunctions.Utility_DisplayArrayInTable(Fertiliser_SourceData.Fertiliser_Products_Data3(), FertiliserProducts[[#Headers],[Company]],61)</f>
        <v/>
      </c>
      <c r="AA159" s="173" t="str" cm="1">
        <f t="array" ref="AA159">Common_InputFunctions.Utility_DisplayArrayInTable(Fertiliser_SourceData.Fertiliser_Products_Data3(), FertiliserProducts[[#Headers],[Company]],61)</f>
        <v/>
      </c>
      <c r="AB159" s="173" t="str" cm="1">
        <f t="array" ref="AB159">Common_InputFunctions.Utility_DisplayArrayInTable(Fertiliser_SourceData.Fertiliser_Products_Data3(), FertiliserProducts[[#Headers],[Company]],61)</f>
        <v/>
      </c>
      <c r="AC159" s="173" t="str" cm="1">
        <f t="array" ref="AC159">Common_InputFunctions.Utility_DisplayArrayInTable(Fertiliser_SourceData.Fertiliser_Products_Data3(), FertiliserProducts[[#Headers],[Company]],61)</f>
        <v/>
      </c>
      <c r="AD159" s="173" t="str" cm="1">
        <f t="array" ref="AD159">Common_InputFunctions.Utility_DisplayArrayInTable(Fertiliser_SourceData.Fertiliser_Products_Data3(), FertiliserProducts[[#Headers],[Company]],61)</f>
        <v/>
      </c>
      <c r="AE159" s="173" t="str" cm="1">
        <f t="array" ref="AE159">Common_InputFunctions.Utility_DisplayArrayInTable(Fertiliser_SourceData.Fertiliser_Products_Data3(), FertiliserProducts[[#Headers],[Company]],61)</f>
        <v/>
      </c>
      <c r="AF159" s="173" t="str" cm="1">
        <f t="array" ref="AF159">Common_InputFunctions.Utility_DisplayArrayInTable(Fertiliser_SourceData.Fertiliser_Products_Data3(), FertiliserProducts[[#Headers],[Company]],61)</f>
        <v/>
      </c>
      <c r="AG159" s="173" t="str" cm="1">
        <f t="array" ref="AG159">Common_InputFunctions.Utility_DisplayArrayInTable(Fertiliser_SourceData.Fertiliser_Products_Data3(), FertiliserProducts[[#Headers],[Company]],61)</f>
        <v/>
      </c>
      <c r="AH159" s="173" t="str" cm="1">
        <f t="array" ref="AH159">Common_InputFunctions.Utility_DisplayArrayInTable(Fertiliser_SourceData.Fertiliser_Products_Data3(), FertiliserProducts[[#Headers],[Company]],61)</f>
        <v/>
      </c>
      <c r="AK159" s="1"/>
    </row>
    <row r="160" spans="4:39" ht="20.100000000000001" customHeight="1" x14ac:dyDescent="0.25">
      <c r="D160" s="173" t="str" cm="1">
        <f t="array" ref="D160">Common_InputFunctions.Utility_DisplayArrayInTable(Fertiliser_SourceData.Fertiliser_Products_Data3(), FertiliserProducts[[#Headers],[Company]],61)</f>
        <v>Impact Fertilisers</v>
      </c>
      <c r="E160" s="173" t="str" cm="1">
        <f t="array" ref="E160">Common_InputFunctions.Utility_DisplayArrayInTable(Fertiliser_SourceData.Fertiliser_Products_Data3(), FertiliserProducts[[#Headers],[Company]],61)</f>
        <v>ZincStar</v>
      </c>
      <c r="F160" s="173" t="str" cm="1">
        <f t="array" ref="F160">Common_InputFunctions.Utility_DisplayArrayInTable(Fertiliser_SourceData.Fertiliser_Products_Data3(), FertiliserProducts[[#Headers],[Company]],61)</f>
        <v>kg</v>
      </c>
      <c r="G160" s="173" cm="1">
        <f t="array" ref="G160">Common_InputFunctions.Utility_DisplayArrayInTable(Fertiliser_SourceData.Fertiliser_Products_Data3(), FertiliserProducts[[#Headers],[Company]],61)</f>
        <v>1</v>
      </c>
      <c r="H160" s="173" t="str" cm="1">
        <f t="array" ref="H160">Common_InputFunctions.Utility_DisplayArrayInTable(Fertiliser_SourceData.Fertiliser_Products_Data3(), FertiliserProducts[[#Headers],[Company]],61)</f>
        <v/>
      </c>
      <c r="I160" s="173" t="str" cm="1">
        <f t="array" ref="I160">Common_InputFunctions.Utility_DisplayArrayInTable(Fertiliser_SourceData.Fertiliser_Products_Data3(), FertiliserProducts[[#Headers],[Company]],61)</f>
        <v/>
      </c>
      <c r="J160" s="173" t="str" cm="1">
        <f t="array" ref="J160">Common_InputFunctions.Utility_DisplayArrayInTable(Fertiliser_SourceData.Fertiliser_Products_Data3(), FertiliserProducts[[#Headers],[Company]],61)</f>
        <v/>
      </c>
      <c r="K160" s="173" cm="1">
        <f t="array" ref="K160">Common_InputFunctions.Utility_DisplayArrayInTable(Fertiliser_SourceData.Fertiliser_Products_Data3(), FertiliserProducts[[#Headers],[Company]],61)</f>
        <v>10</v>
      </c>
      <c r="L160" s="173" cm="1">
        <f t="array" ref="L160">Common_InputFunctions.Utility_DisplayArrayInTable(Fertiliser_SourceData.Fertiliser_Products_Data3(), FertiliserProducts[[#Headers],[Company]],61)</f>
        <v>21.9</v>
      </c>
      <c r="M160" s="173" cm="1">
        <f t="array" ref="M160">Common_InputFunctions.Utility_DisplayArrayInTable(Fertiliser_SourceData.Fertiliser_Products_Data3(), FertiliserProducts[[#Headers],[Company]],61)</f>
        <v>0</v>
      </c>
      <c r="N160" s="173" cm="1">
        <f t="array" ref="N160">Common_InputFunctions.Utility_DisplayArrayInTable(Fertiliser_SourceData.Fertiliser_Products_Data3(), FertiliserProducts[[#Headers],[Company]],61)</f>
        <v>2</v>
      </c>
      <c r="O160" s="173" t="str" cm="1">
        <f t="array" ref="O160">Common_InputFunctions.Utility_DisplayArrayInTable(Fertiliser_SourceData.Fertiliser_Products_Data3(), FertiliserProducts[[#Headers],[Company]],61)</f>
        <v>Monoammonium phosphate (MAP)</v>
      </c>
      <c r="P160" s="173" cm="1">
        <f t="array" ref="P160">Common_InputFunctions.Utility_DisplayArrayInTable(Fertiliser_SourceData.Fertiliser_Products_Data3(), FertiliserProducts[[#Headers],[Company]],61)</f>
        <v>1</v>
      </c>
      <c r="Q160" s="173" t="str" cm="1">
        <f t="array" ref="Q160">Common_InputFunctions.Utility_DisplayArrayInTable(Fertiliser_SourceData.Fertiliser_Products_Data3(), FertiliserProducts[[#Headers],[Company]],61)</f>
        <v>Zinc</v>
      </c>
      <c r="R160" s="173" cm="1">
        <f t="array" ref="R160">Common_InputFunctions.Utility_DisplayArrayInTable(Fertiliser_SourceData.Fertiliser_Products_Data3(), FertiliserProducts[[#Headers],[Company]],61)</f>
        <v>0.01</v>
      </c>
      <c r="S160" s="173" t="str" cm="1">
        <f t="array" ref="S160">Common_InputFunctions.Utility_DisplayArrayInTable(Fertiliser_SourceData.Fertiliser_Products_Data3(), FertiliserProducts[[#Headers],[Company]],61)</f>
        <v/>
      </c>
      <c r="T160" s="173" t="str" cm="1">
        <f t="array" ref="T160">Common_InputFunctions.Utility_DisplayArrayInTable(Fertiliser_SourceData.Fertiliser_Products_Data3(), FertiliserProducts[[#Headers],[Company]],61)</f>
        <v/>
      </c>
      <c r="U160" s="173" t="str" cm="1">
        <f t="array" ref="U160">Common_InputFunctions.Utility_DisplayArrayInTable(Fertiliser_SourceData.Fertiliser_Products_Data3(), FertiliserProducts[[#Headers],[Company]],61)</f>
        <v/>
      </c>
      <c r="V160" s="173" t="str" cm="1">
        <f t="array" ref="V160">Common_InputFunctions.Utility_DisplayArrayInTable(Fertiliser_SourceData.Fertiliser_Products_Data3(), FertiliserProducts[[#Headers],[Company]],61)</f>
        <v/>
      </c>
      <c r="W160" s="173" t="str" cm="1">
        <f t="array" ref="W160">Common_InputFunctions.Utility_DisplayArrayInTable(Fertiliser_SourceData.Fertiliser_Products_Data3(), FertiliserProducts[[#Headers],[Company]],61)</f>
        <v/>
      </c>
      <c r="X160" s="173" t="str" cm="1">
        <f t="array" ref="X160">Common_InputFunctions.Utility_DisplayArrayInTable(Fertiliser_SourceData.Fertiliser_Products_Data3(), FertiliserProducts[[#Headers],[Company]],61)</f>
        <v/>
      </c>
      <c r="Y160" s="173" t="str" cm="1">
        <f t="array" ref="Y160">Common_InputFunctions.Utility_DisplayArrayInTable(Fertiliser_SourceData.Fertiliser_Products_Data3(), FertiliserProducts[[#Headers],[Company]],61)</f>
        <v/>
      </c>
      <c r="Z160" s="173" t="str" cm="1">
        <f t="array" ref="Z160">Common_InputFunctions.Utility_DisplayArrayInTable(Fertiliser_SourceData.Fertiliser_Products_Data3(), FertiliserProducts[[#Headers],[Company]],61)</f>
        <v/>
      </c>
      <c r="AA160" s="173" t="str" cm="1">
        <f t="array" ref="AA160">Common_InputFunctions.Utility_DisplayArrayInTable(Fertiliser_SourceData.Fertiliser_Products_Data3(), FertiliserProducts[[#Headers],[Company]],61)</f>
        <v/>
      </c>
      <c r="AB160" s="173" t="str" cm="1">
        <f t="array" ref="AB160">Common_InputFunctions.Utility_DisplayArrayInTable(Fertiliser_SourceData.Fertiliser_Products_Data3(), FertiliserProducts[[#Headers],[Company]],61)</f>
        <v/>
      </c>
      <c r="AC160" s="173" t="str" cm="1">
        <f t="array" ref="AC160">Common_InputFunctions.Utility_DisplayArrayInTable(Fertiliser_SourceData.Fertiliser_Products_Data3(), FertiliserProducts[[#Headers],[Company]],61)</f>
        <v/>
      </c>
      <c r="AD160" s="173" t="str" cm="1">
        <f t="array" ref="AD160">Common_InputFunctions.Utility_DisplayArrayInTable(Fertiliser_SourceData.Fertiliser_Products_Data3(), FertiliserProducts[[#Headers],[Company]],61)</f>
        <v/>
      </c>
      <c r="AE160" s="173" t="str" cm="1">
        <f t="array" ref="AE160">Common_InputFunctions.Utility_DisplayArrayInTable(Fertiliser_SourceData.Fertiliser_Products_Data3(), FertiliserProducts[[#Headers],[Company]],61)</f>
        <v/>
      </c>
      <c r="AF160" s="173" t="str" cm="1">
        <f t="array" ref="AF160">Common_InputFunctions.Utility_DisplayArrayInTable(Fertiliser_SourceData.Fertiliser_Products_Data3(), FertiliserProducts[[#Headers],[Company]],61)</f>
        <v/>
      </c>
      <c r="AG160" s="173" t="str" cm="1">
        <f t="array" ref="AG160">Common_InputFunctions.Utility_DisplayArrayInTable(Fertiliser_SourceData.Fertiliser_Products_Data3(), FertiliserProducts[[#Headers],[Company]],61)</f>
        <v/>
      </c>
      <c r="AH160" s="173" t="str" cm="1">
        <f t="array" ref="AH160">Common_InputFunctions.Utility_DisplayArrayInTable(Fertiliser_SourceData.Fertiliser_Products_Data3(), FertiliserProducts[[#Headers],[Company]],61)</f>
        <v/>
      </c>
      <c r="AK160" s="1"/>
    </row>
    <row r="161" spans="4:37" ht="20.100000000000001" customHeight="1" x14ac:dyDescent="0.25">
      <c r="D161" s="173" t="str" cm="1">
        <f t="array" ref="D161">Common_InputFunctions.Utility_DisplayArrayInTable(Fertiliser_SourceData.Fertiliser_Products_Data3(), FertiliserProducts[[#Headers],[Company]],61)</f>
        <v>Baileys (Simplot) [listed as Impact]</v>
      </c>
      <c r="E161" s="173" t="str" cm="1">
        <f t="array" ref="E161">Common_InputFunctions.Utility_DisplayArrayInTable(Fertiliser_SourceData.Fertiliser_Products_Data3(), FertiliserProducts[[#Headers],[Company]],61)</f>
        <v>Apex GaIXe Low P 21-1-6</v>
      </c>
      <c r="F161" s="173" t="str" cm="1">
        <f t="array" ref="F161">Common_InputFunctions.Utility_DisplayArrayInTable(Fertiliser_SourceData.Fertiliser_Products_Data3(), FertiliserProducts[[#Headers],[Company]],61)</f>
        <v>kg</v>
      </c>
      <c r="G161" s="173" cm="1">
        <f t="array" ref="G161">Common_InputFunctions.Utility_DisplayArrayInTable(Fertiliser_SourceData.Fertiliser_Products_Data3(), FertiliserProducts[[#Headers],[Company]],61)</f>
        <v>1</v>
      </c>
      <c r="H161" s="173" t="str" cm="1">
        <f t="array" ref="H161">Common_InputFunctions.Utility_DisplayArrayInTable(Fertiliser_SourceData.Fertiliser_Products_Data3(), FertiliserProducts[[#Headers],[Company]],61)</f>
        <v/>
      </c>
      <c r="I161" s="173" t="str" cm="1">
        <f t="array" ref="I161">Common_InputFunctions.Utility_DisplayArrayInTable(Fertiliser_SourceData.Fertiliser_Products_Data3(), FertiliserProducts[[#Headers],[Company]],61)</f>
        <v/>
      </c>
      <c r="J161" s="173" t="str" cm="1">
        <f t="array" ref="J161">Common_InputFunctions.Utility_DisplayArrayInTable(Fertiliser_SourceData.Fertiliser_Products_Data3(), FertiliserProducts[[#Headers],[Company]],61)</f>
        <v/>
      </c>
      <c r="K161" s="173" cm="1">
        <f t="array" ref="K161">Common_InputFunctions.Utility_DisplayArrayInTable(Fertiliser_SourceData.Fertiliser_Products_Data3(), FertiliserProducts[[#Headers],[Company]],61)</f>
        <v>21</v>
      </c>
      <c r="L161" s="173" cm="1">
        <f t="array" ref="L161">Common_InputFunctions.Utility_DisplayArrayInTable(Fertiliser_SourceData.Fertiliser_Products_Data3(), FertiliserProducts[[#Headers],[Company]],61)</f>
        <v>0.86</v>
      </c>
      <c r="M161" s="173" cm="1">
        <f t="array" ref="M161">Common_InputFunctions.Utility_DisplayArrayInTable(Fertiliser_SourceData.Fertiliser_Products_Data3(), FertiliserProducts[[#Headers],[Company]],61)</f>
        <v>5.8</v>
      </c>
      <c r="N161" s="173" cm="1">
        <f t="array" ref="N161">Common_InputFunctions.Utility_DisplayArrayInTable(Fertiliser_SourceData.Fertiliser_Products_Data3(), FertiliserProducts[[#Headers],[Company]],61)</f>
        <v>4.2</v>
      </c>
      <c r="O161" s="173" t="str" cm="1">
        <f t="array" ref="O161">Common_InputFunctions.Utility_DisplayArrayInTable(Fertiliser_SourceData.Fertiliser_Products_Data3(), FertiliserProducts[[#Headers],[Company]],61)</f>
        <v>Nitrogen - Generic</v>
      </c>
      <c r="P161" s="173" cm="1">
        <f t="array" ref="P161">Common_InputFunctions.Utility_DisplayArrayInTable(Fertiliser_SourceData.Fertiliser_Products_Data3(), FertiliserProducts[[#Headers],[Company]],61)</f>
        <v>0.21</v>
      </c>
      <c r="Q161" s="173" t="str" cm="1">
        <f t="array" ref="Q161">Common_InputFunctions.Utility_DisplayArrayInTable(Fertiliser_SourceData.Fertiliser_Products_Data3(), FertiliserProducts[[#Headers],[Company]],61)</f>
        <v>Potassium - Generic</v>
      </c>
      <c r="R161" s="173" cm="1">
        <f t="array" ref="R161">Common_InputFunctions.Utility_DisplayArrayInTable(Fertiliser_SourceData.Fertiliser_Products_Data3(), FertiliserProducts[[#Headers],[Company]],61)</f>
        <v>5.8000000000000003E-2</v>
      </c>
      <c r="S161" s="173" t="str" cm="1">
        <f t="array" ref="S161">Common_InputFunctions.Utility_DisplayArrayInTable(Fertiliser_SourceData.Fertiliser_Products_Data3(), FertiliserProducts[[#Headers],[Company]],61)</f>
        <v>Sulfur - Generic</v>
      </c>
      <c r="T161" s="173" cm="1">
        <f t="array" ref="T161">Common_InputFunctions.Utility_DisplayArrayInTable(Fertiliser_SourceData.Fertiliser_Products_Data3(), FertiliserProducts[[#Headers],[Company]],61)</f>
        <v>4.2000000000000003E-2</v>
      </c>
      <c r="U161" s="173" t="str" cm="1">
        <f t="array" ref="U161">Common_InputFunctions.Utility_DisplayArrayInTable(Fertiliser_SourceData.Fertiliser_Products_Data3(), FertiliserProducts[[#Headers],[Company]],61)</f>
        <v>Phosphorus - Generic</v>
      </c>
      <c r="V161" s="173" cm="1">
        <f t="array" ref="V161">Common_InputFunctions.Utility_DisplayArrayInTable(Fertiliser_SourceData.Fertiliser_Products_Data3(), FertiliserProducts[[#Headers],[Company]],61)</f>
        <v>8.6E-3</v>
      </c>
      <c r="W161" s="173" t="str" cm="1">
        <f t="array" ref="W161">Common_InputFunctions.Utility_DisplayArrayInTable(Fertiliser_SourceData.Fertiliser_Products_Data3(), FertiliserProducts[[#Headers],[Company]],61)</f>
        <v/>
      </c>
      <c r="X161" s="173" t="str" cm="1">
        <f t="array" ref="X161">Common_InputFunctions.Utility_DisplayArrayInTable(Fertiliser_SourceData.Fertiliser_Products_Data3(), FertiliserProducts[[#Headers],[Company]],61)</f>
        <v/>
      </c>
      <c r="Y161" s="173" t="str" cm="1">
        <f t="array" ref="Y161">Common_InputFunctions.Utility_DisplayArrayInTable(Fertiliser_SourceData.Fertiliser_Products_Data3(), FertiliserProducts[[#Headers],[Company]],61)</f>
        <v/>
      </c>
      <c r="Z161" s="173" t="str" cm="1">
        <f t="array" ref="Z161">Common_InputFunctions.Utility_DisplayArrayInTable(Fertiliser_SourceData.Fertiliser_Products_Data3(), FertiliserProducts[[#Headers],[Company]],61)</f>
        <v/>
      </c>
      <c r="AA161" s="173" t="str" cm="1">
        <f t="array" ref="AA161">Common_InputFunctions.Utility_DisplayArrayInTable(Fertiliser_SourceData.Fertiliser_Products_Data3(), FertiliserProducts[[#Headers],[Company]],61)</f>
        <v/>
      </c>
      <c r="AB161" s="173" t="str" cm="1">
        <f t="array" ref="AB161">Common_InputFunctions.Utility_DisplayArrayInTable(Fertiliser_SourceData.Fertiliser_Products_Data3(), FertiliserProducts[[#Headers],[Company]],61)</f>
        <v/>
      </c>
      <c r="AC161" s="173" t="str" cm="1">
        <f t="array" ref="AC161">Common_InputFunctions.Utility_DisplayArrayInTable(Fertiliser_SourceData.Fertiliser_Products_Data3(), FertiliserProducts[[#Headers],[Company]],61)</f>
        <v/>
      </c>
      <c r="AD161" s="173" t="str" cm="1">
        <f t="array" ref="AD161">Common_InputFunctions.Utility_DisplayArrayInTable(Fertiliser_SourceData.Fertiliser_Products_Data3(), FertiliserProducts[[#Headers],[Company]],61)</f>
        <v/>
      </c>
      <c r="AE161" s="173" t="str" cm="1">
        <f t="array" ref="AE161">Common_InputFunctions.Utility_DisplayArrayInTable(Fertiliser_SourceData.Fertiliser_Products_Data3(), FertiliserProducts[[#Headers],[Company]],61)</f>
        <v/>
      </c>
      <c r="AF161" s="173" t="str" cm="1">
        <f t="array" ref="AF161">Common_InputFunctions.Utility_DisplayArrayInTable(Fertiliser_SourceData.Fertiliser_Products_Data3(), FertiliserProducts[[#Headers],[Company]],61)</f>
        <v/>
      </c>
      <c r="AG161" s="173" t="str" cm="1">
        <f t="array" ref="AG161">Common_InputFunctions.Utility_DisplayArrayInTable(Fertiliser_SourceData.Fertiliser_Products_Data3(), FertiliserProducts[[#Headers],[Company]],61)</f>
        <v/>
      </c>
      <c r="AH161" s="173" t="str" cm="1">
        <f t="array" ref="AH161">Common_InputFunctions.Utility_DisplayArrayInTable(Fertiliser_SourceData.Fertiliser_Products_Data3(), FertiliserProducts[[#Headers],[Company]],61)</f>
        <v/>
      </c>
      <c r="AK161" s="1"/>
    </row>
    <row r="162" spans="4:37" ht="20.100000000000001" customHeight="1" x14ac:dyDescent="0.25">
      <c r="D162" s="173" t="str" cm="1">
        <f t="array" ref="D162">Common_InputFunctions.Utility_DisplayArrayInTable(Fertiliser_SourceData.Fertiliser_Products_Data3(), FertiliserProducts[[#Headers],[Company]],61)</f>
        <v>Incitec Pivot Fertilisers</v>
      </c>
      <c r="E162" s="173" t="str" cm="1">
        <f t="array" ref="E162">Common_InputFunctions.Utility_DisplayArrayInTable(Fertiliser_SourceData.Fertiliser_Products_Data3(), FertiliserProducts[[#Headers],[Company]],61)</f>
        <v>SuPerfect</v>
      </c>
      <c r="F162" s="173" t="str" cm="1">
        <f t="array" ref="F162">Common_InputFunctions.Utility_DisplayArrayInTable(Fertiliser_SourceData.Fertiliser_Products_Data3(), FertiliserProducts[[#Headers],[Company]],61)</f>
        <v>kg</v>
      </c>
      <c r="G162" s="173" cm="1">
        <f t="array" ref="G162">Common_InputFunctions.Utility_DisplayArrayInTable(Fertiliser_SourceData.Fertiliser_Products_Data3(), FertiliserProducts[[#Headers],[Company]],61)</f>
        <v>1</v>
      </c>
      <c r="H162" s="173" t="str" cm="1">
        <f t="array" ref="H162">Common_InputFunctions.Utility_DisplayArrayInTable(Fertiliser_SourceData.Fertiliser_Products_Data3(), FertiliserProducts[[#Headers],[Company]],61)</f>
        <v/>
      </c>
      <c r="I162" s="173" t="str" cm="1">
        <f t="array" ref="I162">Common_InputFunctions.Utility_DisplayArrayInTable(Fertiliser_SourceData.Fertiliser_Products_Data3(), FertiliserProducts[[#Headers],[Company]],61)</f>
        <v/>
      </c>
      <c r="J162" s="173" t="str" cm="1">
        <f t="array" ref="J162">Common_InputFunctions.Utility_DisplayArrayInTable(Fertiliser_SourceData.Fertiliser_Products_Data3(), FertiliserProducts[[#Headers],[Company]],61)</f>
        <v/>
      </c>
      <c r="K162" s="173" t="str" cm="1">
        <f t="array" ref="K162">Common_InputFunctions.Utility_DisplayArrayInTable(Fertiliser_SourceData.Fertiliser_Products_Data3(), FertiliserProducts[[#Headers],[Company]],61)</f>
        <v/>
      </c>
      <c r="L162" s="173" cm="1">
        <f t="array" ref="L162">Common_InputFunctions.Utility_DisplayArrayInTable(Fertiliser_SourceData.Fertiliser_Products_Data3(), FertiliserProducts[[#Headers],[Company]],61)</f>
        <v>8.8000000000000007</v>
      </c>
      <c r="M162" s="173" t="str" cm="1">
        <f t="array" ref="M162">Common_InputFunctions.Utility_DisplayArrayInTable(Fertiliser_SourceData.Fertiliser_Products_Data3(), FertiliserProducts[[#Headers],[Company]],61)</f>
        <v/>
      </c>
      <c r="N162" s="173" cm="1">
        <f t="array" ref="N162">Common_InputFunctions.Utility_DisplayArrayInTable(Fertiliser_SourceData.Fertiliser_Products_Data3(), FertiliserProducts[[#Headers],[Company]],61)</f>
        <v>11</v>
      </c>
      <c r="O162" s="173" t="str" cm="1">
        <f t="array" ref="O162">Common_InputFunctions.Utility_DisplayArrayInTable(Fertiliser_SourceData.Fertiliser_Products_Data3(), FertiliserProducts[[#Headers],[Company]],61)</f>
        <v>Single superphosphate (SSP)</v>
      </c>
      <c r="P162" s="173" cm="1">
        <f t="array" ref="P162">Common_InputFunctions.Utility_DisplayArrayInTable(Fertiliser_SourceData.Fertiliser_Products_Data3(), FertiliserProducts[[#Headers],[Company]],61)</f>
        <v>1</v>
      </c>
      <c r="Q162" s="173" t="str" cm="1">
        <f t="array" ref="Q162">Common_InputFunctions.Utility_DisplayArrayInTable(Fertiliser_SourceData.Fertiliser_Products_Data3(), FertiliserProducts[[#Headers],[Company]],61)</f>
        <v/>
      </c>
      <c r="R162" s="173" t="str" cm="1">
        <f t="array" ref="R162">Common_InputFunctions.Utility_DisplayArrayInTable(Fertiliser_SourceData.Fertiliser_Products_Data3(), FertiliserProducts[[#Headers],[Company]],61)</f>
        <v/>
      </c>
      <c r="S162" s="173" t="str" cm="1">
        <f t="array" ref="S162">Common_InputFunctions.Utility_DisplayArrayInTable(Fertiliser_SourceData.Fertiliser_Products_Data3(), FertiliserProducts[[#Headers],[Company]],61)</f>
        <v/>
      </c>
      <c r="T162" s="173" t="str" cm="1">
        <f t="array" ref="T162">Common_InputFunctions.Utility_DisplayArrayInTable(Fertiliser_SourceData.Fertiliser_Products_Data3(), FertiliserProducts[[#Headers],[Company]],61)</f>
        <v/>
      </c>
      <c r="U162" s="173" t="str" cm="1">
        <f t="array" ref="U162">Common_InputFunctions.Utility_DisplayArrayInTable(Fertiliser_SourceData.Fertiliser_Products_Data3(), FertiliserProducts[[#Headers],[Company]],61)</f>
        <v/>
      </c>
      <c r="V162" s="173" t="str" cm="1">
        <f t="array" ref="V162">Common_InputFunctions.Utility_DisplayArrayInTable(Fertiliser_SourceData.Fertiliser_Products_Data3(), FertiliserProducts[[#Headers],[Company]],61)</f>
        <v/>
      </c>
      <c r="W162" s="173" t="str" cm="1">
        <f t="array" ref="W162">Common_InputFunctions.Utility_DisplayArrayInTable(Fertiliser_SourceData.Fertiliser_Products_Data3(), FertiliserProducts[[#Headers],[Company]],61)</f>
        <v/>
      </c>
      <c r="X162" s="173" t="str" cm="1">
        <f t="array" ref="X162">Common_InputFunctions.Utility_DisplayArrayInTable(Fertiliser_SourceData.Fertiliser_Products_Data3(), FertiliserProducts[[#Headers],[Company]],61)</f>
        <v/>
      </c>
      <c r="Y162" s="173" t="str" cm="1">
        <f t="array" ref="Y162">Common_InputFunctions.Utility_DisplayArrayInTable(Fertiliser_SourceData.Fertiliser_Products_Data3(), FertiliserProducts[[#Headers],[Company]],61)</f>
        <v/>
      </c>
      <c r="Z162" s="173" t="str" cm="1">
        <f t="array" ref="Z162">Common_InputFunctions.Utility_DisplayArrayInTable(Fertiliser_SourceData.Fertiliser_Products_Data3(), FertiliserProducts[[#Headers],[Company]],61)</f>
        <v/>
      </c>
      <c r="AA162" s="173" t="str" cm="1">
        <f t="array" ref="AA162">Common_InputFunctions.Utility_DisplayArrayInTable(Fertiliser_SourceData.Fertiliser_Products_Data3(), FertiliserProducts[[#Headers],[Company]],61)</f>
        <v/>
      </c>
      <c r="AB162" s="173" t="str" cm="1">
        <f t="array" ref="AB162">Common_InputFunctions.Utility_DisplayArrayInTable(Fertiliser_SourceData.Fertiliser_Products_Data3(), FertiliserProducts[[#Headers],[Company]],61)</f>
        <v/>
      </c>
      <c r="AC162" s="173" t="str" cm="1">
        <f t="array" ref="AC162">Common_InputFunctions.Utility_DisplayArrayInTable(Fertiliser_SourceData.Fertiliser_Products_Data3(), FertiliserProducts[[#Headers],[Company]],61)</f>
        <v/>
      </c>
      <c r="AD162" s="173" t="str" cm="1">
        <f t="array" ref="AD162">Common_InputFunctions.Utility_DisplayArrayInTable(Fertiliser_SourceData.Fertiliser_Products_Data3(), FertiliserProducts[[#Headers],[Company]],61)</f>
        <v/>
      </c>
      <c r="AE162" s="173" t="str" cm="1">
        <f t="array" ref="AE162">Common_InputFunctions.Utility_DisplayArrayInTable(Fertiliser_SourceData.Fertiliser_Products_Data3(), FertiliserProducts[[#Headers],[Company]],61)</f>
        <v/>
      </c>
      <c r="AF162" s="173" t="str" cm="1">
        <f t="array" ref="AF162">Common_InputFunctions.Utility_DisplayArrayInTable(Fertiliser_SourceData.Fertiliser_Products_Data3(), FertiliserProducts[[#Headers],[Company]],61)</f>
        <v/>
      </c>
      <c r="AG162" s="173" t="str" cm="1">
        <f t="array" ref="AG162">Common_InputFunctions.Utility_DisplayArrayInTable(Fertiliser_SourceData.Fertiliser_Products_Data3(), FertiliserProducts[[#Headers],[Company]],61)</f>
        <v/>
      </c>
      <c r="AH162" s="173" t="str" cm="1">
        <f t="array" ref="AH162">Common_InputFunctions.Utility_DisplayArrayInTable(Fertiliser_SourceData.Fertiliser_Products_Data3(), FertiliserProducts[[#Headers],[Company]],61)</f>
        <v/>
      </c>
      <c r="AK162" s="1"/>
    </row>
    <row r="163" spans="4:37" ht="20.100000000000001" customHeight="1" x14ac:dyDescent="0.25">
      <c r="D163" s="173" t="str" cm="1">
        <f t="array" ref="D163">Common_InputFunctions.Utility_DisplayArrayInTable(Fertiliser_SourceData.Fertiliser_Products_Data3(), FertiliserProducts[[#Headers],[Company]],61)</f>
        <v>Incitec Pivot Fertilisers [listed as Summit]</v>
      </c>
      <c r="E163" s="173" t="str" cm="1">
        <f t="array" ref="E163">Common_InputFunctions.Utility_DisplayArrayInTable(Fertiliser_SourceData.Fertiliser_Products_Data3(), FertiliserProducts[[#Headers],[Company]],61)</f>
        <v>Big N</v>
      </c>
      <c r="F163" s="173" t="str" cm="1">
        <f t="array" ref="F163">Common_InputFunctions.Utility_DisplayArrayInTable(Fertiliser_SourceData.Fertiliser_Products_Data3(), FertiliserProducts[[#Headers],[Company]],61)</f>
        <v>kg</v>
      </c>
      <c r="G163" s="173" cm="1">
        <f t="array" ref="G163">Common_InputFunctions.Utility_DisplayArrayInTable(Fertiliser_SourceData.Fertiliser_Products_Data3(), FertiliserProducts[[#Headers],[Company]],61)</f>
        <v>1</v>
      </c>
      <c r="H163" s="173" t="str" cm="1">
        <f t="array" ref="H163">Common_InputFunctions.Utility_DisplayArrayInTable(Fertiliser_SourceData.Fertiliser_Products_Data3(), FertiliserProducts[[#Headers],[Company]],61)</f>
        <v/>
      </c>
      <c r="I163" s="173" t="str" cm="1">
        <f t="array" ref="I163">Common_InputFunctions.Utility_DisplayArrayInTable(Fertiliser_SourceData.Fertiliser_Products_Data3(), FertiliserProducts[[#Headers],[Company]],61)</f>
        <v/>
      </c>
      <c r="J163" s="173" t="str" cm="1">
        <f t="array" ref="J163">Common_InputFunctions.Utility_DisplayArrayInTable(Fertiliser_SourceData.Fertiliser_Products_Data3(), FertiliserProducts[[#Headers],[Company]],61)</f>
        <v/>
      </c>
      <c r="K163" s="173" cm="1">
        <f t="array" ref="K163">Common_InputFunctions.Utility_DisplayArrayInTable(Fertiliser_SourceData.Fertiliser_Products_Data3(), FertiliserProducts[[#Headers],[Company]],61)</f>
        <v>82.35</v>
      </c>
      <c r="L163" s="173" t="str" cm="1">
        <f t="array" ref="L163">Common_InputFunctions.Utility_DisplayArrayInTable(Fertiliser_SourceData.Fertiliser_Products_Data3(), FertiliserProducts[[#Headers],[Company]],61)</f>
        <v/>
      </c>
      <c r="M163" s="173" t="str" cm="1">
        <f t="array" ref="M163">Common_InputFunctions.Utility_DisplayArrayInTable(Fertiliser_SourceData.Fertiliser_Products_Data3(), FertiliserProducts[[#Headers],[Company]],61)</f>
        <v/>
      </c>
      <c r="N163" s="173" t="str" cm="1">
        <f t="array" ref="N163">Common_InputFunctions.Utility_DisplayArrayInTable(Fertiliser_SourceData.Fertiliser_Products_Data3(), FertiliserProducts[[#Headers],[Company]],61)</f>
        <v/>
      </c>
      <c r="O163" s="173" t="str" cm="1">
        <f t="array" ref="O163">Common_InputFunctions.Utility_DisplayArrayInTable(Fertiliser_SourceData.Fertiliser_Products_Data3(), FertiliserProducts[[#Headers],[Company]],61)</f>
        <v>Ammonia</v>
      </c>
      <c r="P163" s="173" cm="1">
        <f t="array" ref="P163">Common_InputFunctions.Utility_DisplayArrayInTable(Fertiliser_SourceData.Fertiliser_Products_Data3(), FertiliserProducts[[#Headers],[Company]],61)</f>
        <v>1</v>
      </c>
      <c r="Q163" s="173" t="str" cm="1">
        <f t="array" ref="Q163">Common_InputFunctions.Utility_DisplayArrayInTable(Fertiliser_SourceData.Fertiliser_Products_Data3(), FertiliserProducts[[#Headers],[Company]],61)</f>
        <v/>
      </c>
      <c r="R163" s="173" t="str" cm="1">
        <f t="array" ref="R163">Common_InputFunctions.Utility_DisplayArrayInTable(Fertiliser_SourceData.Fertiliser_Products_Data3(), FertiliserProducts[[#Headers],[Company]],61)</f>
        <v/>
      </c>
      <c r="S163" s="173" t="str" cm="1">
        <f t="array" ref="S163">Common_InputFunctions.Utility_DisplayArrayInTable(Fertiliser_SourceData.Fertiliser_Products_Data3(), FertiliserProducts[[#Headers],[Company]],61)</f>
        <v/>
      </c>
      <c r="T163" s="173" t="str" cm="1">
        <f t="array" ref="T163">Common_InputFunctions.Utility_DisplayArrayInTable(Fertiliser_SourceData.Fertiliser_Products_Data3(), FertiliserProducts[[#Headers],[Company]],61)</f>
        <v/>
      </c>
      <c r="U163" s="173" t="str" cm="1">
        <f t="array" ref="U163">Common_InputFunctions.Utility_DisplayArrayInTable(Fertiliser_SourceData.Fertiliser_Products_Data3(), FertiliserProducts[[#Headers],[Company]],61)</f>
        <v/>
      </c>
      <c r="V163" s="173" t="str" cm="1">
        <f t="array" ref="V163">Common_InputFunctions.Utility_DisplayArrayInTable(Fertiliser_SourceData.Fertiliser_Products_Data3(), FertiliserProducts[[#Headers],[Company]],61)</f>
        <v/>
      </c>
      <c r="W163" s="173" t="str" cm="1">
        <f t="array" ref="W163">Common_InputFunctions.Utility_DisplayArrayInTable(Fertiliser_SourceData.Fertiliser_Products_Data3(), FertiliserProducts[[#Headers],[Company]],61)</f>
        <v/>
      </c>
      <c r="X163" s="173" t="str" cm="1">
        <f t="array" ref="X163">Common_InputFunctions.Utility_DisplayArrayInTable(Fertiliser_SourceData.Fertiliser_Products_Data3(), FertiliserProducts[[#Headers],[Company]],61)</f>
        <v/>
      </c>
      <c r="Y163" s="173" t="str" cm="1">
        <f t="array" ref="Y163">Common_InputFunctions.Utility_DisplayArrayInTable(Fertiliser_SourceData.Fertiliser_Products_Data3(), FertiliserProducts[[#Headers],[Company]],61)</f>
        <v/>
      </c>
      <c r="Z163" s="173" t="str" cm="1">
        <f t="array" ref="Z163">Common_InputFunctions.Utility_DisplayArrayInTable(Fertiliser_SourceData.Fertiliser_Products_Data3(), FertiliserProducts[[#Headers],[Company]],61)</f>
        <v/>
      </c>
      <c r="AA163" s="173" t="str" cm="1">
        <f t="array" ref="AA163">Common_InputFunctions.Utility_DisplayArrayInTable(Fertiliser_SourceData.Fertiliser_Products_Data3(), FertiliserProducts[[#Headers],[Company]],61)</f>
        <v/>
      </c>
      <c r="AB163" s="173" t="str" cm="1">
        <f t="array" ref="AB163">Common_InputFunctions.Utility_DisplayArrayInTable(Fertiliser_SourceData.Fertiliser_Products_Data3(), FertiliserProducts[[#Headers],[Company]],61)</f>
        <v/>
      </c>
      <c r="AC163" s="173" t="str" cm="1">
        <f t="array" ref="AC163">Common_InputFunctions.Utility_DisplayArrayInTable(Fertiliser_SourceData.Fertiliser_Products_Data3(), FertiliserProducts[[#Headers],[Company]],61)</f>
        <v/>
      </c>
      <c r="AD163" s="173" t="str" cm="1">
        <f t="array" ref="AD163">Common_InputFunctions.Utility_DisplayArrayInTable(Fertiliser_SourceData.Fertiliser_Products_Data3(), FertiliserProducts[[#Headers],[Company]],61)</f>
        <v/>
      </c>
      <c r="AE163" s="173" t="str" cm="1">
        <f t="array" ref="AE163">Common_InputFunctions.Utility_DisplayArrayInTable(Fertiliser_SourceData.Fertiliser_Products_Data3(), FertiliserProducts[[#Headers],[Company]],61)</f>
        <v/>
      </c>
      <c r="AF163" s="173" t="str" cm="1">
        <f t="array" ref="AF163">Common_InputFunctions.Utility_DisplayArrayInTable(Fertiliser_SourceData.Fertiliser_Products_Data3(), FertiliserProducts[[#Headers],[Company]],61)</f>
        <v/>
      </c>
      <c r="AG163" s="173" t="str" cm="1">
        <f t="array" ref="AG163">Common_InputFunctions.Utility_DisplayArrayInTable(Fertiliser_SourceData.Fertiliser_Products_Data3(), FertiliserProducts[[#Headers],[Company]],61)</f>
        <v/>
      </c>
      <c r="AH163" s="173" t="str" cm="1">
        <f t="array" ref="AH163">Common_InputFunctions.Utility_DisplayArrayInTable(Fertiliser_SourceData.Fertiliser_Products_Data3(), FertiliserProducts[[#Headers],[Company]],61)</f>
        <v/>
      </c>
      <c r="AK163" s="1"/>
    </row>
    <row r="164" spans="4:37" ht="20.100000000000001" customHeight="1" x14ac:dyDescent="0.25">
      <c r="D164" s="173" t="str" cm="1">
        <f t="array" ref="D164">Common_InputFunctions.Utility_DisplayArrayInTable(Fertiliser_SourceData.Fertiliser_Products_Data3(), FertiliserProducts[[#Headers],[Company]],61)</f>
        <v>Incitec Pivot Fertilisers</v>
      </c>
      <c r="E164" s="173" t="str" cm="1">
        <f t="array" ref="E164">Common_InputFunctions.Utility_DisplayArrayInTable(Fertiliser_SourceData.Fertiliser_Products_Data3(), FertiliserProducts[[#Headers],[Company]],61)</f>
        <v>Entec Urea</v>
      </c>
      <c r="F164" s="173" t="str" cm="1">
        <f t="array" ref="F164">Common_InputFunctions.Utility_DisplayArrayInTable(Fertiliser_SourceData.Fertiliser_Products_Data3(), FertiliserProducts[[#Headers],[Company]],61)</f>
        <v>kg</v>
      </c>
      <c r="G164" s="173" cm="1">
        <f t="array" ref="G164">Common_InputFunctions.Utility_DisplayArrayInTable(Fertiliser_SourceData.Fertiliser_Products_Data3(), FertiliserProducts[[#Headers],[Company]],61)</f>
        <v>1</v>
      </c>
      <c r="H164" s="173" t="str" cm="1">
        <f t="array" ref="H164">Common_InputFunctions.Utility_DisplayArrayInTable(Fertiliser_SourceData.Fertiliser_Products_Data3(), FertiliserProducts[[#Headers],[Company]],61)</f>
        <v>Yes</v>
      </c>
      <c r="I164" s="173" t="str" cm="1">
        <f t="array" ref="I164">Common_InputFunctions.Utility_DisplayArrayInTable(Fertiliser_SourceData.Fertiliser_Products_Data3(), FertiliserProducts[[#Headers],[Company]],61)</f>
        <v/>
      </c>
      <c r="J164" s="173" t="str" cm="1">
        <f t="array" ref="J164">Common_InputFunctions.Utility_DisplayArrayInTable(Fertiliser_SourceData.Fertiliser_Products_Data3(), FertiliserProducts[[#Headers],[Company]],61)</f>
        <v/>
      </c>
      <c r="K164" s="173" cm="1">
        <f t="array" ref="K164">Common_InputFunctions.Utility_DisplayArrayInTable(Fertiliser_SourceData.Fertiliser_Products_Data3(), FertiliserProducts[[#Headers],[Company]],61)</f>
        <v>46</v>
      </c>
      <c r="L164" s="173" t="str" cm="1">
        <f t="array" ref="L164">Common_InputFunctions.Utility_DisplayArrayInTable(Fertiliser_SourceData.Fertiliser_Products_Data3(), FertiliserProducts[[#Headers],[Company]],61)</f>
        <v/>
      </c>
      <c r="M164" s="173" t="str" cm="1">
        <f t="array" ref="M164">Common_InputFunctions.Utility_DisplayArrayInTable(Fertiliser_SourceData.Fertiliser_Products_Data3(), FertiliserProducts[[#Headers],[Company]],61)</f>
        <v/>
      </c>
      <c r="N164" s="173" t="str" cm="1">
        <f t="array" ref="N164">Common_InputFunctions.Utility_DisplayArrayInTable(Fertiliser_SourceData.Fertiliser_Products_Data3(), FertiliserProducts[[#Headers],[Company]],61)</f>
        <v/>
      </c>
      <c r="O164" s="173" t="str" cm="1">
        <f t="array" ref="O164">Common_InputFunctions.Utility_DisplayArrayInTable(Fertiliser_SourceData.Fertiliser_Products_Data3(), FertiliserProducts[[#Headers],[Company]],61)</f>
        <v>Urea</v>
      </c>
      <c r="P164" s="173" cm="1">
        <f t="array" ref="P164">Common_InputFunctions.Utility_DisplayArrayInTable(Fertiliser_SourceData.Fertiliser_Products_Data3(), FertiliserProducts[[#Headers],[Company]],61)</f>
        <v>1</v>
      </c>
      <c r="Q164" s="173" t="str" cm="1">
        <f t="array" ref="Q164">Common_InputFunctions.Utility_DisplayArrayInTable(Fertiliser_SourceData.Fertiliser_Products_Data3(), FertiliserProducts[[#Headers],[Company]],61)</f>
        <v/>
      </c>
      <c r="R164" s="173" t="str" cm="1">
        <f t="array" ref="R164">Common_InputFunctions.Utility_DisplayArrayInTable(Fertiliser_SourceData.Fertiliser_Products_Data3(), FertiliserProducts[[#Headers],[Company]],61)</f>
        <v/>
      </c>
      <c r="S164" s="173" t="str" cm="1">
        <f t="array" ref="S164">Common_InputFunctions.Utility_DisplayArrayInTable(Fertiliser_SourceData.Fertiliser_Products_Data3(), FertiliserProducts[[#Headers],[Company]],61)</f>
        <v/>
      </c>
      <c r="T164" s="173" t="str" cm="1">
        <f t="array" ref="T164">Common_InputFunctions.Utility_DisplayArrayInTable(Fertiliser_SourceData.Fertiliser_Products_Data3(), FertiliserProducts[[#Headers],[Company]],61)</f>
        <v/>
      </c>
      <c r="U164" s="173" t="str" cm="1">
        <f t="array" ref="U164">Common_InputFunctions.Utility_DisplayArrayInTable(Fertiliser_SourceData.Fertiliser_Products_Data3(), FertiliserProducts[[#Headers],[Company]],61)</f>
        <v/>
      </c>
      <c r="V164" s="173" t="str" cm="1">
        <f t="array" ref="V164">Common_InputFunctions.Utility_DisplayArrayInTable(Fertiliser_SourceData.Fertiliser_Products_Data3(), FertiliserProducts[[#Headers],[Company]],61)</f>
        <v/>
      </c>
      <c r="W164" s="173" t="str" cm="1">
        <f t="array" ref="W164">Common_InputFunctions.Utility_DisplayArrayInTable(Fertiliser_SourceData.Fertiliser_Products_Data3(), FertiliserProducts[[#Headers],[Company]],61)</f>
        <v/>
      </c>
      <c r="X164" s="173" t="str" cm="1">
        <f t="array" ref="X164">Common_InputFunctions.Utility_DisplayArrayInTable(Fertiliser_SourceData.Fertiliser_Products_Data3(), FertiliserProducts[[#Headers],[Company]],61)</f>
        <v/>
      </c>
      <c r="Y164" s="173" t="str" cm="1">
        <f t="array" ref="Y164">Common_InputFunctions.Utility_DisplayArrayInTable(Fertiliser_SourceData.Fertiliser_Products_Data3(), FertiliserProducts[[#Headers],[Company]],61)</f>
        <v/>
      </c>
      <c r="Z164" s="173" t="str" cm="1">
        <f t="array" ref="Z164">Common_InputFunctions.Utility_DisplayArrayInTable(Fertiliser_SourceData.Fertiliser_Products_Data3(), FertiliserProducts[[#Headers],[Company]],61)</f>
        <v/>
      </c>
      <c r="AA164" s="173" t="str" cm="1">
        <f t="array" ref="AA164">Common_InputFunctions.Utility_DisplayArrayInTable(Fertiliser_SourceData.Fertiliser_Products_Data3(), FertiliserProducts[[#Headers],[Company]],61)</f>
        <v/>
      </c>
      <c r="AB164" s="173" t="str" cm="1">
        <f t="array" ref="AB164">Common_InputFunctions.Utility_DisplayArrayInTable(Fertiliser_SourceData.Fertiliser_Products_Data3(), FertiliserProducts[[#Headers],[Company]],61)</f>
        <v/>
      </c>
      <c r="AC164" s="173" t="str" cm="1">
        <f t="array" ref="AC164">Common_InputFunctions.Utility_DisplayArrayInTable(Fertiliser_SourceData.Fertiliser_Products_Data3(), FertiliserProducts[[#Headers],[Company]],61)</f>
        <v/>
      </c>
      <c r="AD164" s="173" t="str" cm="1">
        <f t="array" ref="AD164">Common_InputFunctions.Utility_DisplayArrayInTable(Fertiliser_SourceData.Fertiliser_Products_Data3(), FertiliserProducts[[#Headers],[Company]],61)</f>
        <v/>
      </c>
      <c r="AE164" s="173" t="str" cm="1">
        <f t="array" ref="AE164">Common_InputFunctions.Utility_DisplayArrayInTable(Fertiliser_SourceData.Fertiliser_Products_Data3(), FertiliserProducts[[#Headers],[Company]],61)</f>
        <v/>
      </c>
      <c r="AF164" s="173" t="str" cm="1">
        <f t="array" ref="AF164">Common_InputFunctions.Utility_DisplayArrayInTable(Fertiliser_SourceData.Fertiliser_Products_Data3(), FertiliserProducts[[#Headers],[Company]],61)</f>
        <v/>
      </c>
      <c r="AG164" s="173" t="str" cm="1">
        <f t="array" ref="AG164">Common_InputFunctions.Utility_DisplayArrayInTable(Fertiliser_SourceData.Fertiliser_Products_Data3(), FertiliserProducts[[#Headers],[Company]],61)</f>
        <v/>
      </c>
      <c r="AH164" s="173" t="str" cm="1">
        <f t="array" ref="AH164">Common_InputFunctions.Utility_DisplayArrayInTable(Fertiliser_SourceData.Fertiliser_Products_Data3(), FertiliserProducts[[#Headers],[Company]],61)</f>
        <v/>
      </c>
      <c r="AK164" s="1"/>
    </row>
    <row r="165" spans="4:37" ht="20.100000000000001" customHeight="1" x14ac:dyDescent="0.25">
      <c r="D165" s="173" t="str" cm="1">
        <f t="array" ref="D165">Common_InputFunctions.Utility_DisplayArrayInTable(Fertiliser_SourceData.Fertiliser_Products_Data3(), FertiliserProducts[[#Headers],[Company]],61)</f>
        <v>Incitec Pivot Fertilisers (or Ravensdown - see note)</v>
      </c>
      <c r="E165" s="173" t="str" cm="1">
        <f t="array" ref="E165">Common_InputFunctions.Utility_DisplayArrayInTable(Fertiliser_SourceData.Fertiliser_Products_Data3(), FertiliserProducts[[#Headers],[Company]],61)</f>
        <v>Flexi-N NI only</v>
      </c>
      <c r="F165" s="173" t="str" cm="1">
        <f t="array" ref="F165">Common_InputFunctions.Utility_DisplayArrayInTable(Fertiliser_SourceData.Fertiliser_Products_Data3(), FertiliserProducts[[#Headers],[Company]],61)</f>
        <v>kg</v>
      </c>
      <c r="G165" s="173" cm="1">
        <f t="array" ref="G165">Common_InputFunctions.Utility_DisplayArrayInTable(Fertiliser_SourceData.Fertiliser_Products_Data3(), FertiliserProducts[[#Headers],[Company]],61)</f>
        <v>1</v>
      </c>
      <c r="H165" s="173" t="str" cm="1">
        <f t="array" ref="H165">Common_InputFunctions.Utility_DisplayArrayInTable(Fertiliser_SourceData.Fertiliser_Products_Data3(), FertiliserProducts[[#Headers],[Company]],61)</f>
        <v>Yes</v>
      </c>
      <c r="I165" s="173" t="str" cm="1">
        <f t="array" ref="I165">Common_InputFunctions.Utility_DisplayArrayInTable(Fertiliser_SourceData.Fertiliser_Products_Data3(), FertiliserProducts[[#Headers],[Company]],61)</f>
        <v/>
      </c>
      <c r="J165" s="173" t="str" cm="1">
        <f t="array" ref="J165">Common_InputFunctions.Utility_DisplayArrayInTable(Fertiliser_SourceData.Fertiliser_Products_Data3(), FertiliserProducts[[#Headers],[Company]],61)</f>
        <v/>
      </c>
      <c r="K165" s="173" cm="1">
        <f t="array" ref="K165">Common_InputFunctions.Utility_DisplayArrayInTable(Fertiliser_SourceData.Fertiliser_Products_Data3(), FertiliserProducts[[#Headers],[Company]],61)</f>
        <v>45.54</v>
      </c>
      <c r="L165" s="173" t="str" cm="1">
        <f t="array" ref="L165">Common_InputFunctions.Utility_DisplayArrayInTable(Fertiliser_SourceData.Fertiliser_Products_Data3(), FertiliserProducts[[#Headers],[Company]],61)</f>
        <v/>
      </c>
      <c r="M165" s="173" t="str" cm="1">
        <f t="array" ref="M165">Common_InputFunctions.Utility_DisplayArrayInTable(Fertiliser_SourceData.Fertiliser_Products_Data3(), FertiliserProducts[[#Headers],[Company]],61)</f>
        <v/>
      </c>
      <c r="N165" s="173" t="str" cm="1">
        <f t="array" ref="N165">Common_InputFunctions.Utility_DisplayArrayInTable(Fertiliser_SourceData.Fertiliser_Products_Data3(), FertiliserProducts[[#Headers],[Company]],61)</f>
        <v/>
      </c>
      <c r="O165" s="173" t="str" cm="1">
        <f t="array" ref="O165">Common_InputFunctions.Utility_DisplayArrayInTable(Fertiliser_SourceData.Fertiliser_Products_Data3(), FertiliserProducts[[#Headers],[Company]],61)</f>
        <v>Urea</v>
      </c>
      <c r="P165" s="173" cm="1">
        <f t="array" ref="P165">Common_InputFunctions.Utility_DisplayArrayInTable(Fertiliser_SourceData.Fertiliser_Products_Data3(), FertiliserProducts[[#Headers],[Company]],61)</f>
        <v>0.99</v>
      </c>
      <c r="Q165" s="173" t="str" cm="1">
        <f t="array" ref="Q165">Common_InputFunctions.Utility_DisplayArrayInTable(Fertiliser_SourceData.Fertiliser_Products_Data3(), FertiliserProducts[[#Headers],[Company]],61)</f>
        <v>Urease/nitrification inhibitor</v>
      </c>
      <c r="R165" s="173" cm="1">
        <f t="array" ref="R165">Common_InputFunctions.Utility_DisplayArrayInTable(Fertiliser_SourceData.Fertiliser_Products_Data3(), FertiliserProducts[[#Headers],[Company]],61)</f>
        <v>0.01</v>
      </c>
      <c r="S165" s="173" t="str" cm="1">
        <f t="array" ref="S165">Common_InputFunctions.Utility_DisplayArrayInTable(Fertiliser_SourceData.Fertiliser_Products_Data3(), FertiliserProducts[[#Headers],[Company]],61)</f>
        <v/>
      </c>
      <c r="T165" s="173" t="str" cm="1">
        <f t="array" ref="T165">Common_InputFunctions.Utility_DisplayArrayInTable(Fertiliser_SourceData.Fertiliser_Products_Data3(), FertiliserProducts[[#Headers],[Company]],61)</f>
        <v/>
      </c>
      <c r="U165" s="173" t="str" cm="1">
        <f t="array" ref="U165">Common_InputFunctions.Utility_DisplayArrayInTable(Fertiliser_SourceData.Fertiliser_Products_Data3(), FertiliserProducts[[#Headers],[Company]],61)</f>
        <v/>
      </c>
      <c r="V165" s="173" t="str" cm="1">
        <f t="array" ref="V165">Common_InputFunctions.Utility_DisplayArrayInTable(Fertiliser_SourceData.Fertiliser_Products_Data3(), FertiliserProducts[[#Headers],[Company]],61)</f>
        <v/>
      </c>
      <c r="W165" s="173" t="str" cm="1">
        <f t="array" ref="W165">Common_InputFunctions.Utility_DisplayArrayInTable(Fertiliser_SourceData.Fertiliser_Products_Data3(), FertiliserProducts[[#Headers],[Company]],61)</f>
        <v/>
      </c>
      <c r="X165" s="173" t="str" cm="1">
        <f t="array" ref="X165">Common_InputFunctions.Utility_DisplayArrayInTable(Fertiliser_SourceData.Fertiliser_Products_Data3(), FertiliserProducts[[#Headers],[Company]],61)</f>
        <v/>
      </c>
      <c r="Y165" s="173" t="str" cm="1">
        <f t="array" ref="Y165">Common_InputFunctions.Utility_DisplayArrayInTable(Fertiliser_SourceData.Fertiliser_Products_Data3(), FertiliserProducts[[#Headers],[Company]],61)</f>
        <v/>
      </c>
      <c r="Z165" s="173" t="str" cm="1">
        <f t="array" ref="Z165">Common_InputFunctions.Utility_DisplayArrayInTable(Fertiliser_SourceData.Fertiliser_Products_Data3(), FertiliserProducts[[#Headers],[Company]],61)</f>
        <v/>
      </c>
      <c r="AA165" s="173" t="str" cm="1">
        <f t="array" ref="AA165">Common_InputFunctions.Utility_DisplayArrayInTable(Fertiliser_SourceData.Fertiliser_Products_Data3(), FertiliserProducts[[#Headers],[Company]],61)</f>
        <v/>
      </c>
      <c r="AB165" s="173" t="str" cm="1">
        <f t="array" ref="AB165">Common_InputFunctions.Utility_DisplayArrayInTable(Fertiliser_SourceData.Fertiliser_Products_Data3(), FertiliserProducts[[#Headers],[Company]],61)</f>
        <v/>
      </c>
      <c r="AC165" s="173" t="str" cm="1">
        <f t="array" ref="AC165">Common_InputFunctions.Utility_DisplayArrayInTable(Fertiliser_SourceData.Fertiliser_Products_Data3(), FertiliserProducts[[#Headers],[Company]],61)</f>
        <v/>
      </c>
      <c r="AD165" s="173" t="str" cm="1">
        <f t="array" ref="AD165">Common_InputFunctions.Utility_DisplayArrayInTable(Fertiliser_SourceData.Fertiliser_Products_Data3(), FertiliserProducts[[#Headers],[Company]],61)</f>
        <v/>
      </c>
      <c r="AE165" s="173" t="str" cm="1">
        <f t="array" ref="AE165">Common_InputFunctions.Utility_DisplayArrayInTable(Fertiliser_SourceData.Fertiliser_Products_Data3(), FertiliserProducts[[#Headers],[Company]],61)</f>
        <v/>
      </c>
      <c r="AF165" s="173" t="str" cm="1">
        <f t="array" ref="AF165">Common_InputFunctions.Utility_DisplayArrayInTable(Fertiliser_SourceData.Fertiliser_Products_Data3(), FertiliserProducts[[#Headers],[Company]],61)</f>
        <v/>
      </c>
      <c r="AG165" s="173" t="str" cm="1">
        <f t="array" ref="AG165">Common_InputFunctions.Utility_DisplayArrayInTable(Fertiliser_SourceData.Fertiliser_Products_Data3(), FertiliserProducts[[#Headers],[Company]],61)</f>
        <v/>
      </c>
      <c r="AH165" s="173" t="str" cm="1">
        <f t="array" ref="AH165">Common_InputFunctions.Utility_DisplayArrayInTable(Fertiliser_SourceData.Fertiliser_Products_Data3(), FertiliserProducts[[#Headers],[Company]],61)</f>
        <v/>
      </c>
      <c r="AK165" s="1"/>
    </row>
    <row r="166" spans="4:37" x14ac:dyDescent="0.25">
      <c r="D166" s="173" t="str" cm="1">
        <f t="array" ref="D166">Common_InputFunctions.Utility_DisplayArrayInTable(Fertiliser_SourceData.Fertiliser_Products_Data3(), FertiliserProducts[[#Headers],[Company]],61)</f>
        <v>Nutri-Tech Solutions (NTS)</v>
      </c>
      <c r="E166" s="173" t="str" cm="1">
        <f t="array" ref="E166">Common_InputFunctions.Utility_DisplayArrayInTable(Fertiliser_SourceData.Fertiliser_Products_Data3(), FertiliserProducts[[#Headers],[Company]],61)</f>
        <v>Muriate Of Potash MOP</v>
      </c>
      <c r="F166" s="173" t="str" cm="1">
        <f t="array" ref="F166">Common_InputFunctions.Utility_DisplayArrayInTable(Fertiliser_SourceData.Fertiliser_Products_Data3(), FertiliserProducts[[#Headers],[Company]],61)</f>
        <v>kg</v>
      </c>
      <c r="G166" s="173" cm="1">
        <f t="array" ref="G166">Common_InputFunctions.Utility_DisplayArrayInTable(Fertiliser_SourceData.Fertiliser_Products_Data3(), FertiliserProducts[[#Headers],[Company]],61)</f>
        <v>1</v>
      </c>
      <c r="H166" s="173" t="str" cm="1">
        <f t="array" ref="H166">Common_InputFunctions.Utility_DisplayArrayInTable(Fertiliser_SourceData.Fertiliser_Products_Data3(), FertiliserProducts[[#Headers],[Company]],61)</f>
        <v/>
      </c>
      <c r="I166" s="173" t="str" cm="1">
        <f t="array" ref="I166">Common_InputFunctions.Utility_DisplayArrayInTable(Fertiliser_SourceData.Fertiliser_Products_Data3(), FertiliserProducts[[#Headers],[Company]],61)</f>
        <v/>
      </c>
      <c r="J166" s="173" t="str" cm="1">
        <f t="array" ref="J166">Common_InputFunctions.Utility_DisplayArrayInTable(Fertiliser_SourceData.Fertiliser_Products_Data3(), FertiliserProducts[[#Headers],[Company]],61)</f>
        <v/>
      </c>
      <c r="K166" s="173" t="str" cm="1">
        <f t="array" ref="K166">Common_InputFunctions.Utility_DisplayArrayInTable(Fertiliser_SourceData.Fertiliser_Products_Data3(), FertiliserProducts[[#Headers],[Company]],61)</f>
        <v/>
      </c>
      <c r="L166" s="173" t="str" cm="1">
        <f t="array" ref="L166">Common_InputFunctions.Utility_DisplayArrayInTable(Fertiliser_SourceData.Fertiliser_Products_Data3(), FertiliserProducts[[#Headers],[Company]],61)</f>
        <v/>
      </c>
      <c r="M166" s="173" cm="1">
        <f t="array" ref="M166">Common_InputFunctions.Utility_DisplayArrayInTable(Fertiliser_SourceData.Fertiliser_Products_Data3(), FertiliserProducts[[#Headers],[Company]],61)</f>
        <v>50</v>
      </c>
      <c r="N166" s="173" t="str" cm="1">
        <f t="array" ref="N166">Common_InputFunctions.Utility_DisplayArrayInTable(Fertiliser_SourceData.Fertiliser_Products_Data3(), FertiliserProducts[[#Headers],[Company]],61)</f>
        <v/>
      </c>
      <c r="O166" s="173" t="str" cm="1">
        <f t="array" ref="O166">Common_InputFunctions.Utility_DisplayArrayInTable(Fertiliser_SourceData.Fertiliser_Products_Data3(), FertiliserProducts[[#Headers],[Company]],61)</f>
        <v>Muriate of potash (MOP)</v>
      </c>
      <c r="P166" s="173" cm="1">
        <f t="array" ref="P166">Common_InputFunctions.Utility_DisplayArrayInTable(Fertiliser_SourceData.Fertiliser_Products_Data3(), FertiliserProducts[[#Headers],[Company]],61)</f>
        <v>1</v>
      </c>
      <c r="Q166" s="173" t="str" cm="1">
        <f t="array" ref="Q166">Common_InputFunctions.Utility_DisplayArrayInTable(Fertiliser_SourceData.Fertiliser_Products_Data3(), FertiliserProducts[[#Headers],[Company]],61)</f>
        <v/>
      </c>
      <c r="R166" s="173" t="str" cm="1">
        <f t="array" ref="R166">Common_InputFunctions.Utility_DisplayArrayInTable(Fertiliser_SourceData.Fertiliser_Products_Data3(), FertiliserProducts[[#Headers],[Company]],61)</f>
        <v/>
      </c>
      <c r="S166" s="173" t="str" cm="1">
        <f t="array" ref="S166">Common_InputFunctions.Utility_DisplayArrayInTable(Fertiliser_SourceData.Fertiliser_Products_Data3(), FertiliserProducts[[#Headers],[Company]],61)</f>
        <v/>
      </c>
      <c r="T166" s="173" t="str" cm="1">
        <f t="array" ref="T166">Common_InputFunctions.Utility_DisplayArrayInTable(Fertiliser_SourceData.Fertiliser_Products_Data3(), FertiliserProducts[[#Headers],[Company]],61)</f>
        <v/>
      </c>
      <c r="U166" s="173" t="str" cm="1">
        <f t="array" ref="U166">Common_InputFunctions.Utility_DisplayArrayInTable(Fertiliser_SourceData.Fertiliser_Products_Data3(), FertiliserProducts[[#Headers],[Company]],61)</f>
        <v/>
      </c>
      <c r="V166" s="173" t="str" cm="1">
        <f t="array" ref="V166">Common_InputFunctions.Utility_DisplayArrayInTable(Fertiliser_SourceData.Fertiliser_Products_Data3(), FertiliserProducts[[#Headers],[Company]],61)</f>
        <v/>
      </c>
      <c r="W166" s="173" t="str" cm="1">
        <f t="array" ref="W166">Common_InputFunctions.Utility_DisplayArrayInTable(Fertiliser_SourceData.Fertiliser_Products_Data3(), FertiliserProducts[[#Headers],[Company]],61)</f>
        <v/>
      </c>
      <c r="X166" s="173" t="str" cm="1">
        <f t="array" ref="X166">Common_InputFunctions.Utility_DisplayArrayInTable(Fertiliser_SourceData.Fertiliser_Products_Data3(), FertiliserProducts[[#Headers],[Company]],61)</f>
        <v/>
      </c>
      <c r="Y166" s="173" t="str" cm="1">
        <f t="array" ref="Y166">Common_InputFunctions.Utility_DisplayArrayInTable(Fertiliser_SourceData.Fertiliser_Products_Data3(), FertiliserProducts[[#Headers],[Company]],61)</f>
        <v/>
      </c>
      <c r="Z166" s="173" t="str" cm="1">
        <f t="array" ref="Z166">Common_InputFunctions.Utility_DisplayArrayInTable(Fertiliser_SourceData.Fertiliser_Products_Data3(), FertiliserProducts[[#Headers],[Company]],61)</f>
        <v/>
      </c>
      <c r="AA166" s="173" t="str" cm="1">
        <f t="array" ref="AA166">Common_InputFunctions.Utility_DisplayArrayInTable(Fertiliser_SourceData.Fertiliser_Products_Data3(), FertiliserProducts[[#Headers],[Company]],61)</f>
        <v/>
      </c>
      <c r="AB166" s="173" t="str" cm="1">
        <f t="array" ref="AB166">Common_InputFunctions.Utility_DisplayArrayInTable(Fertiliser_SourceData.Fertiliser_Products_Data3(), FertiliserProducts[[#Headers],[Company]],61)</f>
        <v/>
      </c>
      <c r="AC166" s="173" t="str" cm="1">
        <f t="array" ref="AC166">Common_InputFunctions.Utility_DisplayArrayInTable(Fertiliser_SourceData.Fertiliser_Products_Data3(), FertiliserProducts[[#Headers],[Company]],61)</f>
        <v/>
      </c>
      <c r="AD166" s="173" t="str" cm="1">
        <f t="array" ref="AD166">Common_InputFunctions.Utility_DisplayArrayInTable(Fertiliser_SourceData.Fertiliser_Products_Data3(), FertiliserProducts[[#Headers],[Company]],61)</f>
        <v/>
      </c>
      <c r="AE166" s="173" t="str" cm="1">
        <f t="array" ref="AE166">Common_InputFunctions.Utility_DisplayArrayInTable(Fertiliser_SourceData.Fertiliser_Products_Data3(), FertiliserProducts[[#Headers],[Company]],61)</f>
        <v/>
      </c>
      <c r="AF166" s="173" t="str" cm="1">
        <f t="array" ref="AF166">Common_InputFunctions.Utility_DisplayArrayInTable(Fertiliser_SourceData.Fertiliser_Products_Data3(), FertiliserProducts[[#Headers],[Company]],61)</f>
        <v/>
      </c>
      <c r="AG166" s="173" t="str" cm="1">
        <f t="array" ref="AG166">Common_InputFunctions.Utility_DisplayArrayInTable(Fertiliser_SourceData.Fertiliser_Products_Data3(), FertiliserProducts[[#Headers],[Company]],61)</f>
        <v/>
      </c>
      <c r="AH166" s="173" t="str" cm="1">
        <f t="array" ref="AH166">Common_InputFunctions.Utility_DisplayArrayInTable(Fertiliser_SourceData.Fertiliser_Products_Data3(), FertiliserProducts[[#Headers],[Company]],61)</f>
        <v/>
      </c>
      <c r="AK166" s="1"/>
    </row>
    <row r="167" spans="4:37" x14ac:dyDescent="0.25">
      <c r="D167" s="173" t="str" cm="1">
        <f t="array" ref="D167">Common_InputFunctions.Utility_DisplayArrayInTable(Fertiliser_SourceData.Fertiliser_Products_Data3(), FertiliserProducts[[#Headers],[Company]],61)</f>
        <v>Nuturf</v>
      </c>
      <c r="E167" s="173" t="str" cm="1">
        <f t="array" ref="E167">Common_InputFunctions.Utility_DisplayArrayInTable(Fertiliser_SourceData.Fertiliser_Products_Data3(), FertiliserProducts[[#Headers],[Company]],61)</f>
        <v>MAP NUTURF</v>
      </c>
      <c r="F167" s="173" t="str" cm="1">
        <f t="array" ref="F167">Common_InputFunctions.Utility_DisplayArrayInTable(Fertiliser_SourceData.Fertiliser_Products_Data3(), FertiliserProducts[[#Headers],[Company]],61)</f>
        <v>kg</v>
      </c>
      <c r="G167" s="173" cm="1">
        <f t="array" ref="G167">Common_InputFunctions.Utility_DisplayArrayInTable(Fertiliser_SourceData.Fertiliser_Products_Data3(), FertiliserProducts[[#Headers],[Company]],61)</f>
        <v>1</v>
      </c>
      <c r="H167" s="173" t="str" cm="1">
        <f t="array" ref="H167">Common_InputFunctions.Utility_DisplayArrayInTable(Fertiliser_SourceData.Fertiliser_Products_Data3(), FertiliserProducts[[#Headers],[Company]],61)</f>
        <v/>
      </c>
      <c r="I167" s="173" t="str" cm="1">
        <f t="array" ref="I167">Common_InputFunctions.Utility_DisplayArrayInTable(Fertiliser_SourceData.Fertiliser_Products_Data3(), FertiliserProducts[[#Headers],[Company]],61)</f>
        <v/>
      </c>
      <c r="J167" s="173" t="str" cm="1">
        <f t="array" ref="J167">Common_InputFunctions.Utility_DisplayArrayInTable(Fertiliser_SourceData.Fertiliser_Products_Data3(), FertiliserProducts[[#Headers],[Company]],61)</f>
        <v/>
      </c>
      <c r="K167" s="173" cm="1">
        <f t="array" ref="K167">Common_InputFunctions.Utility_DisplayArrayInTable(Fertiliser_SourceData.Fertiliser_Products_Data3(), FertiliserProducts[[#Headers],[Company]],61)</f>
        <v>10</v>
      </c>
      <c r="L167" s="173" cm="1">
        <f t="array" ref="L167">Common_InputFunctions.Utility_DisplayArrayInTable(Fertiliser_SourceData.Fertiliser_Products_Data3(), FertiliserProducts[[#Headers],[Company]],61)</f>
        <v>21.9</v>
      </c>
      <c r="M167" s="173" t="str" cm="1">
        <f t="array" ref="M167">Common_InputFunctions.Utility_DisplayArrayInTable(Fertiliser_SourceData.Fertiliser_Products_Data3(), FertiliserProducts[[#Headers],[Company]],61)</f>
        <v/>
      </c>
      <c r="N167" s="173" t="str" cm="1">
        <f t="array" ref="N167">Common_InputFunctions.Utility_DisplayArrayInTable(Fertiliser_SourceData.Fertiliser_Products_Data3(), FertiliserProducts[[#Headers],[Company]],61)</f>
        <v/>
      </c>
      <c r="O167" s="173" t="str" cm="1">
        <f t="array" ref="O167">Common_InputFunctions.Utility_DisplayArrayInTable(Fertiliser_SourceData.Fertiliser_Products_Data3(), FertiliserProducts[[#Headers],[Company]],61)</f>
        <v>Monoammonium phosphate (MAP)</v>
      </c>
      <c r="P167" s="173" cm="1">
        <f t="array" ref="P167">Common_InputFunctions.Utility_DisplayArrayInTable(Fertiliser_SourceData.Fertiliser_Products_Data3(), FertiliserProducts[[#Headers],[Company]],61)</f>
        <v>1</v>
      </c>
      <c r="Q167" s="173" t="str" cm="1">
        <f t="array" ref="Q167">Common_InputFunctions.Utility_DisplayArrayInTable(Fertiliser_SourceData.Fertiliser_Products_Data3(), FertiliserProducts[[#Headers],[Company]],61)</f>
        <v/>
      </c>
      <c r="R167" s="173" t="str" cm="1">
        <f t="array" ref="R167">Common_InputFunctions.Utility_DisplayArrayInTable(Fertiliser_SourceData.Fertiliser_Products_Data3(), FertiliserProducts[[#Headers],[Company]],61)</f>
        <v/>
      </c>
      <c r="S167" s="173" t="str" cm="1">
        <f t="array" ref="S167">Common_InputFunctions.Utility_DisplayArrayInTable(Fertiliser_SourceData.Fertiliser_Products_Data3(), FertiliserProducts[[#Headers],[Company]],61)</f>
        <v/>
      </c>
      <c r="T167" s="173" t="str" cm="1">
        <f t="array" ref="T167">Common_InputFunctions.Utility_DisplayArrayInTable(Fertiliser_SourceData.Fertiliser_Products_Data3(), FertiliserProducts[[#Headers],[Company]],61)</f>
        <v/>
      </c>
      <c r="U167" s="173" t="str" cm="1">
        <f t="array" ref="U167">Common_InputFunctions.Utility_DisplayArrayInTable(Fertiliser_SourceData.Fertiliser_Products_Data3(), FertiliserProducts[[#Headers],[Company]],61)</f>
        <v/>
      </c>
      <c r="V167" s="173" t="str" cm="1">
        <f t="array" ref="V167">Common_InputFunctions.Utility_DisplayArrayInTable(Fertiliser_SourceData.Fertiliser_Products_Data3(), FertiliserProducts[[#Headers],[Company]],61)</f>
        <v/>
      </c>
      <c r="W167" s="173" t="str" cm="1">
        <f t="array" ref="W167">Common_InputFunctions.Utility_DisplayArrayInTable(Fertiliser_SourceData.Fertiliser_Products_Data3(), FertiliserProducts[[#Headers],[Company]],61)</f>
        <v/>
      </c>
      <c r="X167" s="173" t="str" cm="1">
        <f t="array" ref="X167">Common_InputFunctions.Utility_DisplayArrayInTable(Fertiliser_SourceData.Fertiliser_Products_Data3(), FertiliserProducts[[#Headers],[Company]],61)</f>
        <v/>
      </c>
      <c r="Y167" s="173" t="str" cm="1">
        <f t="array" ref="Y167">Common_InputFunctions.Utility_DisplayArrayInTable(Fertiliser_SourceData.Fertiliser_Products_Data3(), FertiliserProducts[[#Headers],[Company]],61)</f>
        <v/>
      </c>
      <c r="Z167" s="173" t="str" cm="1">
        <f t="array" ref="Z167">Common_InputFunctions.Utility_DisplayArrayInTable(Fertiliser_SourceData.Fertiliser_Products_Data3(), FertiliserProducts[[#Headers],[Company]],61)</f>
        <v/>
      </c>
      <c r="AA167" s="173" t="str" cm="1">
        <f t="array" ref="AA167">Common_InputFunctions.Utility_DisplayArrayInTable(Fertiliser_SourceData.Fertiliser_Products_Data3(), FertiliserProducts[[#Headers],[Company]],61)</f>
        <v/>
      </c>
      <c r="AB167" s="173" t="str" cm="1">
        <f t="array" ref="AB167">Common_InputFunctions.Utility_DisplayArrayInTable(Fertiliser_SourceData.Fertiliser_Products_Data3(), FertiliserProducts[[#Headers],[Company]],61)</f>
        <v/>
      </c>
      <c r="AC167" s="173" t="str" cm="1">
        <f t="array" ref="AC167">Common_InputFunctions.Utility_DisplayArrayInTable(Fertiliser_SourceData.Fertiliser_Products_Data3(), FertiliserProducts[[#Headers],[Company]],61)</f>
        <v/>
      </c>
      <c r="AD167" s="173" t="str" cm="1">
        <f t="array" ref="AD167">Common_InputFunctions.Utility_DisplayArrayInTable(Fertiliser_SourceData.Fertiliser_Products_Data3(), FertiliserProducts[[#Headers],[Company]],61)</f>
        <v/>
      </c>
      <c r="AE167" s="173" t="str" cm="1">
        <f t="array" ref="AE167">Common_InputFunctions.Utility_DisplayArrayInTable(Fertiliser_SourceData.Fertiliser_Products_Data3(), FertiliserProducts[[#Headers],[Company]],61)</f>
        <v/>
      </c>
      <c r="AF167" s="173" t="str" cm="1">
        <f t="array" ref="AF167">Common_InputFunctions.Utility_DisplayArrayInTable(Fertiliser_SourceData.Fertiliser_Products_Data3(), FertiliserProducts[[#Headers],[Company]],61)</f>
        <v/>
      </c>
      <c r="AG167" s="173" t="str" cm="1">
        <f t="array" ref="AG167">Common_InputFunctions.Utility_DisplayArrayInTable(Fertiliser_SourceData.Fertiliser_Products_Data3(), FertiliserProducts[[#Headers],[Company]],61)</f>
        <v/>
      </c>
      <c r="AH167" s="173" t="str" cm="1">
        <f t="array" ref="AH167">Common_InputFunctions.Utility_DisplayArrayInTable(Fertiliser_SourceData.Fertiliser_Products_Data3(), FertiliserProducts[[#Headers],[Company]],61)</f>
        <v/>
      </c>
      <c r="AK167" s="1"/>
    </row>
    <row r="168" spans="4:37" x14ac:dyDescent="0.25">
      <c r="D168" s="173" t="str" cm="1">
        <f t="array" ref="D168">Common_InputFunctions.Utility_DisplayArrayInTable(Fertiliser_SourceData.Fertiliser_Products_Data3(), FertiliserProducts[[#Headers],[Company]],61)</f>
        <v>Campbells fertilisers Australia</v>
      </c>
      <c r="E168" s="173" t="str" cm="1">
        <f t="array" ref="E168">Common_InputFunctions.Utility_DisplayArrayInTable(Fertiliser_SourceData.Fertiliser_Products_Data3(), FertiliserProducts[[#Headers],[Company]],61)</f>
        <v>Quick-N</v>
      </c>
      <c r="F168" s="173" t="str" cm="1">
        <f t="array" ref="F168">Common_InputFunctions.Utility_DisplayArrayInTable(Fertiliser_SourceData.Fertiliser_Products_Data3(), FertiliserProducts[[#Headers],[Company]],61)</f>
        <v>kg</v>
      </c>
      <c r="G168" s="173" cm="1">
        <f t="array" ref="G168">Common_InputFunctions.Utility_DisplayArrayInTable(Fertiliser_SourceData.Fertiliser_Products_Data3(), FertiliserProducts[[#Headers],[Company]],61)</f>
        <v>1</v>
      </c>
      <c r="H168" s="173" t="str" cm="1">
        <f t="array" ref="H168">Common_InputFunctions.Utility_DisplayArrayInTable(Fertiliser_SourceData.Fertiliser_Products_Data3(), FertiliserProducts[[#Headers],[Company]],61)</f>
        <v/>
      </c>
      <c r="I168" s="173" t="str" cm="1">
        <f t="array" ref="I168">Common_InputFunctions.Utility_DisplayArrayInTable(Fertiliser_SourceData.Fertiliser_Products_Data3(), FertiliserProducts[[#Headers],[Company]],61)</f>
        <v/>
      </c>
      <c r="J168" s="173" t="str" cm="1">
        <f t="array" ref="J168">Common_InputFunctions.Utility_DisplayArrayInTable(Fertiliser_SourceData.Fertiliser_Products_Data3(), FertiliserProducts[[#Headers],[Company]],61)</f>
        <v/>
      </c>
      <c r="K168" s="173" cm="1">
        <f t="array" ref="K168">Common_InputFunctions.Utility_DisplayArrayInTable(Fertiliser_SourceData.Fertiliser_Products_Data3(), FertiliserProducts[[#Headers],[Company]],61)</f>
        <v>26</v>
      </c>
      <c r="L168" s="173" t="str" cm="1">
        <f t="array" ref="L168">Common_InputFunctions.Utility_DisplayArrayInTable(Fertiliser_SourceData.Fertiliser_Products_Data3(), FertiliserProducts[[#Headers],[Company]],61)</f>
        <v/>
      </c>
      <c r="M168" s="173" t="str" cm="1">
        <f t="array" ref="M168">Common_InputFunctions.Utility_DisplayArrayInTable(Fertiliser_SourceData.Fertiliser_Products_Data3(), FertiliserProducts[[#Headers],[Company]],61)</f>
        <v/>
      </c>
      <c r="N168" s="173" cm="1">
        <f t="array" ref="N168">Common_InputFunctions.Utility_DisplayArrayInTable(Fertiliser_SourceData.Fertiliser_Products_Data3(), FertiliserProducts[[#Headers],[Company]],61)</f>
        <v>13</v>
      </c>
      <c r="O168" s="173" t="str" cm="1">
        <f t="array" ref="O168">Common_InputFunctions.Utility_DisplayArrayInTable(Fertiliser_SourceData.Fertiliser_Products_Data3(), FertiliserProducts[[#Headers],[Company]],61)</f>
        <v>Sulphate of ammonia (SOA)</v>
      </c>
      <c r="P168" s="173" cm="1">
        <f t="array" ref="P168">Common_InputFunctions.Utility_DisplayArrayInTable(Fertiliser_SourceData.Fertiliser_Products_Data3(), FertiliserProducts[[#Headers],[Company]],61)</f>
        <v>0.54166700000000001</v>
      </c>
      <c r="Q168" s="173" t="str" cm="1">
        <f t="array" ref="Q168">Common_InputFunctions.Utility_DisplayArrayInTable(Fertiliser_SourceData.Fertiliser_Products_Data3(), FertiliserProducts[[#Headers],[Company]],61)</f>
        <v>Ammonium nitrate (AN)</v>
      </c>
      <c r="R168" s="173" cm="1">
        <f t="array" ref="R168">Common_InputFunctions.Utility_DisplayArrayInTable(Fertiliser_SourceData.Fertiliser_Products_Data3(), FertiliserProducts[[#Headers],[Company]],61)</f>
        <v>0.43397599999999997</v>
      </c>
      <c r="S168" s="173" t="str" cm="1">
        <f t="array" ref="S168">Common_InputFunctions.Utility_DisplayArrayInTable(Fertiliser_SourceData.Fertiliser_Products_Data3(), FertiliserProducts[[#Headers],[Company]],61)</f>
        <v/>
      </c>
      <c r="T168" s="173" t="str" cm="1">
        <f t="array" ref="T168">Common_InputFunctions.Utility_DisplayArrayInTable(Fertiliser_SourceData.Fertiliser_Products_Data3(), FertiliserProducts[[#Headers],[Company]],61)</f>
        <v/>
      </c>
      <c r="U168" s="173" t="str" cm="1">
        <f t="array" ref="U168">Common_InputFunctions.Utility_DisplayArrayInTable(Fertiliser_SourceData.Fertiliser_Products_Data3(), FertiliserProducts[[#Headers],[Company]],61)</f>
        <v/>
      </c>
      <c r="V168" s="173" t="str" cm="1">
        <f t="array" ref="V168">Common_InputFunctions.Utility_DisplayArrayInTable(Fertiliser_SourceData.Fertiliser_Products_Data3(), FertiliserProducts[[#Headers],[Company]],61)</f>
        <v/>
      </c>
      <c r="W168" s="173" t="str" cm="1">
        <f t="array" ref="W168">Common_InputFunctions.Utility_DisplayArrayInTable(Fertiliser_SourceData.Fertiliser_Products_Data3(), FertiliserProducts[[#Headers],[Company]],61)</f>
        <v/>
      </c>
      <c r="X168" s="173" t="str" cm="1">
        <f t="array" ref="X168">Common_InputFunctions.Utility_DisplayArrayInTable(Fertiliser_SourceData.Fertiliser_Products_Data3(), FertiliserProducts[[#Headers],[Company]],61)</f>
        <v/>
      </c>
      <c r="Y168" s="173" t="str" cm="1">
        <f t="array" ref="Y168">Common_InputFunctions.Utility_DisplayArrayInTable(Fertiliser_SourceData.Fertiliser_Products_Data3(), FertiliserProducts[[#Headers],[Company]],61)</f>
        <v/>
      </c>
      <c r="Z168" s="173" t="str" cm="1">
        <f t="array" ref="Z168">Common_InputFunctions.Utility_DisplayArrayInTable(Fertiliser_SourceData.Fertiliser_Products_Data3(), FertiliserProducts[[#Headers],[Company]],61)</f>
        <v/>
      </c>
      <c r="AA168" s="173" t="str" cm="1">
        <f t="array" ref="AA168">Common_InputFunctions.Utility_DisplayArrayInTable(Fertiliser_SourceData.Fertiliser_Products_Data3(), FertiliserProducts[[#Headers],[Company]],61)</f>
        <v/>
      </c>
      <c r="AB168" s="173" t="str" cm="1">
        <f t="array" ref="AB168">Common_InputFunctions.Utility_DisplayArrayInTable(Fertiliser_SourceData.Fertiliser_Products_Data3(), FertiliserProducts[[#Headers],[Company]],61)</f>
        <v/>
      </c>
      <c r="AC168" s="173" t="str" cm="1">
        <f t="array" ref="AC168">Common_InputFunctions.Utility_DisplayArrayInTable(Fertiliser_SourceData.Fertiliser_Products_Data3(), FertiliserProducts[[#Headers],[Company]],61)</f>
        <v/>
      </c>
      <c r="AD168" s="173" t="str" cm="1">
        <f t="array" ref="AD168">Common_InputFunctions.Utility_DisplayArrayInTable(Fertiliser_SourceData.Fertiliser_Products_Data3(), FertiliserProducts[[#Headers],[Company]],61)</f>
        <v/>
      </c>
      <c r="AE168" s="173" t="str" cm="1">
        <f t="array" ref="AE168">Common_InputFunctions.Utility_DisplayArrayInTable(Fertiliser_SourceData.Fertiliser_Products_Data3(), FertiliserProducts[[#Headers],[Company]],61)</f>
        <v/>
      </c>
      <c r="AF168" s="173" t="str" cm="1">
        <f t="array" ref="AF168">Common_InputFunctions.Utility_DisplayArrayInTable(Fertiliser_SourceData.Fertiliser_Products_Data3(), FertiliserProducts[[#Headers],[Company]],61)</f>
        <v/>
      </c>
      <c r="AG168" s="173" t="str" cm="1">
        <f t="array" ref="AG168">Common_InputFunctions.Utility_DisplayArrayInTable(Fertiliser_SourceData.Fertiliser_Products_Data3(), FertiliserProducts[[#Headers],[Company]],61)</f>
        <v/>
      </c>
      <c r="AH168" s="173" t="str" cm="1">
        <f t="array" ref="AH168">Common_InputFunctions.Utility_DisplayArrayInTable(Fertiliser_SourceData.Fertiliser_Products_Data3(), FertiliserProducts[[#Headers],[Company]],61)</f>
        <v/>
      </c>
      <c r="AK168" s="1"/>
    </row>
    <row r="169" spans="4:37" x14ac:dyDescent="0.25">
      <c r="D169" s="173" t="str" cm="1">
        <f t="array" ref="D169">Common_InputFunctions.Utility_DisplayArrayInTable(Fertiliser_SourceData.Fertiliser_Products_Data3(), FertiliserProducts[[#Headers],[Company]],61)</f>
        <v>SLTEC Fertilizers</v>
      </c>
      <c r="E169" s="173" t="str" cm="1">
        <f t="array" ref="E169">Common_InputFunctions.Utility_DisplayArrayInTable(Fertiliser_SourceData.Fertiliser_Products_Data3(), FertiliserProducts[[#Headers],[Company]],61)</f>
        <v>UAS</v>
      </c>
      <c r="F169" s="173" t="str" cm="1">
        <f t="array" ref="F169">Common_InputFunctions.Utility_DisplayArrayInTable(Fertiliser_SourceData.Fertiliser_Products_Data3(), FertiliserProducts[[#Headers],[Company]],61)</f>
        <v>L</v>
      </c>
      <c r="G169" s="173" cm="1">
        <f t="array" ref="G169">Common_InputFunctions.Utility_DisplayArrayInTable(Fertiliser_SourceData.Fertiliser_Products_Data3(), FertiliserProducts[[#Headers],[Company]],61)</f>
        <v>1.2350000000000001</v>
      </c>
      <c r="H169" s="173" t="str" cm="1">
        <f t="array" ref="H169">Common_InputFunctions.Utility_DisplayArrayInTable(Fertiliser_SourceData.Fertiliser_Products_Data3(), FertiliserProducts[[#Headers],[Company]],61)</f>
        <v/>
      </c>
      <c r="I169" s="173" t="str" cm="1">
        <f t="array" ref="I169">Common_InputFunctions.Utility_DisplayArrayInTable(Fertiliser_SourceData.Fertiliser_Products_Data3(), FertiliserProducts[[#Headers],[Company]],61)</f>
        <v/>
      </c>
      <c r="J169" s="173" t="str" cm="1">
        <f t="array" ref="J169">Common_InputFunctions.Utility_DisplayArrayInTable(Fertiliser_SourceData.Fertiliser_Products_Data3(), FertiliserProducts[[#Headers],[Company]],61)</f>
        <v/>
      </c>
      <c r="K169" s="173" cm="1">
        <f t="array" ref="K169">Common_InputFunctions.Utility_DisplayArrayInTable(Fertiliser_SourceData.Fertiliser_Products_Data3(), FertiliserProducts[[#Headers],[Company]],61)</f>
        <v>26.6</v>
      </c>
      <c r="L169" s="173" t="str" cm="1">
        <f t="array" ref="L169">Common_InputFunctions.Utility_DisplayArrayInTable(Fertiliser_SourceData.Fertiliser_Products_Data3(), FertiliserProducts[[#Headers],[Company]],61)</f>
        <v/>
      </c>
      <c r="M169" s="173" t="str" cm="1">
        <f t="array" ref="M169">Common_InputFunctions.Utility_DisplayArrayInTable(Fertiliser_SourceData.Fertiliser_Products_Data3(), FertiliserProducts[[#Headers],[Company]],61)</f>
        <v/>
      </c>
      <c r="N169" s="173" cm="1">
        <f t="array" ref="N169">Common_InputFunctions.Utility_DisplayArrayInTable(Fertiliser_SourceData.Fertiliser_Products_Data3(), FertiliserProducts[[#Headers],[Company]],61)</f>
        <v>6.7</v>
      </c>
      <c r="O169" s="173" t="str" cm="1">
        <f t="array" ref="O169">Common_InputFunctions.Utility_DisplayArrayInTable(Fertiliser_SourceData.Fertiliser_Products_Data3(), FertiliserProducts[[#Headers],[Company]],61)</f>
        <v>Urea</v>
      </c>
      <c r="P169" s="173" cm="1">
        <f t="array" ref="P169">Common_InputFunctions.Utility_DisplayArrayInTable(Fertiliser_SourceData.Fertiliser_Products_Data3(), FertiliserProducts[[#Headers],[Company]],61)</f>
        <v>0.45081500000000002</v>
      </c>
      <c r="Q169" s="173" t="str" cm="1">
        <f t="array" ref="Q169">Common_InputFunctions.Utility_DisplayArrayInTable(Fertiliser_SourceData.Fertiliser_Products_Data3(), FertiliserProducts[[#Headers],[Company]],61)</f>
        <v>Sulphate of ammonia (SOA)</v>
      </c>
      <c r="R169" s="173" cm="1">
        <f t="array" ref="R169">Common_InputFunctions.Utility_DisplayArrayInTable(Fertiliser_SourceData.Fertiliser_Products_Data3(), FertiliserProducts[[#Headers],[Company]],61)</f>
        <v>0.279167</v>
      </c>
      <c r="S169" s="173" t="str" cm="1">
        <f t="array" ref="S169">Common_InputFunctions.Utility_DisplayArrayInTable(Fertiliser_SourceData.Fertiliser_Products_Data3(), FertiliserProducts[[#Headers],[Company]],61)</f>
        <v/>
      </c>
      <c r="T169" s="173" t="str" cm="1">
        <f t="array" ref="T169">Common_InputFunctions.Utility_DisplayArrayInTable(Fertiliser_SourceData.Fertiliser_Products_Data3(), FertiliserProducts[[#Headers],[Company]],61)</f>
        <v/>
      </c>
      <c r="U169" s="173" t="str" cm="1">
        <f t="array" ref="U169">Common_InputFunctions.Utility_DisplayArrayInTable(Fertiliser_SourceData.Fertiliser_Products_Data3(), FertiliserProducts[[#Headers],[Company]],61)</f>
        <v/>
      </c>
      <c r="V169" s="173" t="str" cm="1">
        <f t="array" ref="V169">Common_InputFunctions.Utility_DisplayArrayInTable(Fertiliser_SourceData.Fertiliser_Products_Data3(), FertiliserProducts[[#Headers],[Company]],61)</f>
        <v/>
      </c>
      <c r="W169" s="173" t="str" cm="1">
        <f t="array" ref="W169">Common_InputFunctions.Utility_DisplayArrayInTable(Fertiliser_SourceData.Fertiliser_Products_Data3(), FertiliserProducts[[#Headers],[Company]],61)</f>
        <v/>
      </c>
      <c r="X169" s="173" t="str" cm="1">
        <f t="array" ref="X169">Common_InputFunctions.Utility_DisplayArrayInTable(Fertiliser_SourceData.Fertiliser_Products_Data3(), FertiliserProducts[[#Headers],[Company]],61)</f>
        <v/>
      </c>
      <c r="Y169" s="173" t="str" cm="1">
        <f t="array" ref="Y169">Common_InputFunctions.Utility_DisplayArrayInTable(Fertiliser_SourceData.Fertiliser_Products_Data3(), FertiliserProducts[[#Headers],[Company]],61)</f>
        <v/>
      </c>
      <c r="Z169" s="173" t="str" cm="1">
        <f t="array" ref="Z169">Common_InputFunctions.Utility_DisplayArrayInTable(Fertiliser_SourceData.Fertiliser_Products_Data3(), FertiliserProducts[[#Headers],[Company]],61)</f>
        <v/>
      </c>
      <c r="AA169" s="173" t="str" cm="1">
        <f t="array" ref="AA169">Common_InputFunctions.Utility_DisplayArrayInTable(Fertiliser_SourceData.Fertiliser_Products_Data3(), FertiliserProducts[[#Headers],[Company]],61)</f>
        <v/>
      </c>
      <c r="AB169" s="173" t="str" cm="1">
        <f t="array" ref="AB169">Common_InputFunctions.Utility_DisplayArrayInTable(Fertiliser_SourceData.Fertiliser_Products_Data3(), FertiliserProducts[[#Headers],[Company]],61)</f>
        <v/>
      </c>
      <c r="AC169" s="173" t="str" cm="1">
        <f t="array" ref="AC169">Common_InputFunctions.Utility_DisplayArrayInTable(Fertiliser_SourceData.Fertiliser_Products_Data3(), FertiliserProducts[[#Headers],[Company]],61)</f>
        <v/>
      </c>
      <c r="AD169" s="173" t="str" cm="1">
        <f t="array" ref="AD169">Common_InputFunctions.Utility_DisplayArrayInTable(Fertiliser_SourceData.Fertiliser_Products_Data3(), FertiliserProducts[[#Headers],[Company]],61)</f>
        <v/>
      </c>
      <c r="AE169" s="173" t="str" cm="1">
        <f t="array" ref="AE169">Common_InputFunctions.Utility_DisplayArrayInTable(Fertiliser_SourceData.Fertiliser_Products_Data3(), FertiliserProducts[[#Headers],[Company]],61)</f>
        <v/>
      </c>
      <c r="AF169" s="173" t="str" cm="1">
        <f t="array" ref="AF169">Common_InputFunctions.Utility_DisplayArrayInTable(Fertiliser_SourceData.Fertiliser_Products_Data3(), FertiliserProducts[[#Headers],[Company]],61)</f>
        <v/>
      </c>
      <c r="AG169" s="173" t="str" cm="1">
        <f t="array" ref="AG169">Common_InputFunctions.Utility_DisplayArrayInTable(Fertiliser_SourceData.Fertiliser_Products_Data3(), FertiliserProducts[[#Headers],[Company]],61)</f>
        <v/>
      </c>
      <c r="AH169" s="173" t="str" cm="1">
        <f t="array" ref="AH169">Common_InputFunctions.Utility_DisplayArrayInTable(Fertiliser_SourceData.Fertiliser_Products_Data3(), FertiliserProducts[[#Headers],[Company]],61)</f>
        <v/>
      </c>
      <c r="AK169" s="1"/>
    </row>
    <row r="170" spans="4:37" x14ac:dyDescent="0.25">
      <c r="D170" s="173" t="str" cm="1">
        <f t="array" ref="D170">Common_InputFunctions.Utility_DisplayArrayInTable(Fertiliser_SourceData.Fertiliser_Products_Data3(), FertiliserProducts[[#Headers],[Company]],61)</f>
        <v>SLTEC Fertilizers</v>
      </c>
      <c r="E170" s="173" t="str" cm="1">
        <f t="array" ref="E170">Common_InputFunctions.Utility_DisplayArrayInTable(Fertiliser_SourceData.Fertiliser_Products_Data3(), FertiliserProducts[[#Headers],[Company]],61)</f>
        <v>Triazone Urea</v>
      </c>
      <c r="F170" s="173" t="str" cm="1">
        <f t="array" ref="F170">Common_InputFunctions.Utility_DisplayArrayInTable(Fertiliser_SourceData.Fertiliser_Products_Data3(), FertiliserProducts[[#Headers],[Company]],61)</f>
        <v>L</v>
      </c>
      <c r="G170" s="173" cm="1">
        <f t="array" ref="G170">Common_InputFunctions.Utility_DisplayArrayInTable(Fertiliser_SourceData.Fertiliser_Products_Data3(), FertiliserProducts[[#Headers],[Company]],61)</f>
        <v>1.28</v>
      </c>
      <c r="H170" s="173" t="str" cm="1">
        <f t="array" ref="H170">Common_InputFunctions.Utility_DisplayArrayInTable(Fertiliser_SourceData.Fertiliser_Products_Data3(), FertiliserProducts[[#Headers],[Company]],61)</f>
        <v/>
      </c>
      <c r="I170" s="173" t="str" cm="1">
        <f t="array" ref="I170">Common_InputFunctions.Utility_DisplayArrayInTable(Fertiliser_SourceData.Fertiliser_Products_Data3(), FertiliserProducts[[#Headers],[Company]],61)</f>
        <v/>
      </c>
      <c r="J170" s="173" t="str" cm="1">
        <f t="array" ref="J170">Common_InputFunctions.Utility_DisplayArrayInTable(Fertiliser_SourceData.Fertiliser_Products_Data3(), FertiliserProducts[[#Headers],[Company]],61)</f>
        <v/>
      </c>
      <c r="K170" s="173" cm="1">
        <f t="array" ref="K170">Common_InputFunctions.Utility_DisplayArrayInTable(Fertiliser_SourceData.Fertiliser_Products_Data3(), FertiliserProducts[[#Headers],[Company]],61)</f>
        <v>0</v>
      </c>
      <c r="L170" s="173" t="str" cm="1">
        <f t="array" ref="L170">Common_InputFunctions.Utility_DisplayArrayInTable(Fertiliser_SourceData.Fertiliser_Products_Data3(), FertiliserProducts[[#Headers],[Company]],61)</f>
        <v/>
      </c>
      <c r="M170" s="173" t="str" cm="1">
        <f t="array" ref="M170">Common_InputFunctions.Utility_DisplayArrayInTable(Fertiliser_SourceData.Fertiliser_Products_Data3(), FertiliserProducts[[#Headers],[Company]],61)</f>
        <v/>
      </c>
      <c r="N170" s="173" t="str" cm="1">
        <f t="array" ref="N170">Common_InputFunctions.Utility_DisplayArrayInTable(Fertiliser_SourceData.Fertiliser_Products_Data3(), FertiliserProducts[[#Headers],[Company]],61)</f>
        <v/>
      </c>
      <c r="O170" s="173" t="str" cm="1">
        <f t="array" ref="O170">Common_InputFunctions.Utility_DisplayArrayInTable(Fertiliser_SourceData.Fertiliser_Products_Data3(), FertiliserProducts[[#Headers],[Company]],61)</f>
        <v>Urea</v>
      </c>
      <c r="P170" s="173" cm="1">
        <f t="array" ref="P170">Common_InputFunctions.Utility_DisplayArrayInTable(Fertiliser_SourceData.Fertiliser_Products_Data3(), FertiliserProducts[[#Headers],[Company]],61)</f>
        <v>0.65217400000000003</v>
      </c>
      <c r="Q170" s="173" t="str" cm="1">
        <f t="array" ref="Q170">Common_InputFunctions.Utility_DisplayArrayInTable(Fertiliser_SourceData.Fertiliser_Products_Data3(), FertiliserProducts[[#Headers],[Company]],61)</f>
        <v/>
      </c>
      <c r="R170" s="173" t="str" cm="1">
        <f t="array" ref="R170">Common_InputFunctions.Utility_DisplayArrayInTable(Fertiliser_SourceData.Fertiliser_Products_Data3(), FertiliserProducts[[#Headers],[Company]],61)</f>
        <v/>
      </c>
      <c r="S170" s="173" t="str" cm="1">
        <f t="array" ref="S170">Common_InputFunctions.Utility_DisplayArrayInTable(Fertiliser_SourceData.Fertiliser_Products_Data3(), FertiliserProducts[[#Headers],[Company]],61)</f>
        <v/>
      </c>
      <c r="T170" s="173" t="str" cm="1">
        <f t="array" ref="T170">Common_InputFunctions.Utility_DisplayArrayInTable(Fertiliser_SourceData.Fertiliser_Products_Data3(), FertiliserProducts[[#Headers],[Company]],61)</f>
        <v/>
      </c>
      <c r="U170" s="173" t="str" cm="1">
        <f t="array" ref="U170">Common_InputFunctions.Utility_DisplayArrayInTable(Fertiliser_SourceData.Fertiliser_Products_Data3(), FertiliserProducts[[#Headers],[Company]],61)</f>
        <v/>
      </c>
      <c r="V170" s="173" t="str" cm="1">
        <f t="array" ref="V170">Common_InputFunctions.Utility_DisplayArrayInTable(Fertiliser_SourceData.Fertiliser_Products_Data3(), FertiliserProducts[[#Headers],[Company]],61)</f>
        <v/>
      </c>
      <c r="W170" s="173" t="str" cm="1">
        <f t="array" ref="W170">Common_InputFunctions.Utility_DisplayArrayInTable(Fertiliser_SourceData.Fertiliser_Products_Data3(), FertiliserProducts[[#Headers],[Company]],61)</f>
        <v/>
      </c>
      <c r="X170" s="173" t="str" cm="1">
        <f t="array" ref="X170">Common_InputFunctions.Utility_DisplayArrayInTable(Fertiliser_SourceData.Fertiliser_Products_Data3(), FertiliserProducts[[#Headers],[Company]],61)</f>
        <v/>
      </c>
      <c r="Y170" s="173" t="str" cm="1">
        <f t="array" ref="Y170">Common_InputFunctions.Utility_DisplayArrayInTable(Fertiliser_SourceData.Fertiliser_Products_Data3(), FertiliserProducts[[#Headers],[Company]],61)</f>
        <v/>
      </c>
      <c r="Z170" s="173" t="str" cm="1">
        <f t="array" ref="Z170">Common_InputFunctions.Utility_DisplayArrayInTable(Fertiliser_SourceData.Fertiliser_Products_Data3(), FertiliserProducts[[#Headers],[Company]],61)</f>
        <v/>
      </c>
      <c r="AA170" s="173" t="str" cm="1">
        <f t="array" ref="AA170">Common_InputFunctions.Utility_DisplayArrayInTable(Fertiliser_SourceData.Fertiliser_Products_Data3(), FertiliserProducts[[#Headers],[Company]],61)</f>
        <v/>
      </c>
      <c r="AB170" s="173" t="str" cm="1">
        <f t="array" ref="AB170">Common_InputFunctions.Utility_DisplayArrayInTable(Fertiliser_SourceData.Fertiliser_Products_Data3(), FertiliserProducts[[#Headers],[Company]],61)</f>
        <v/>
      </c>
      <c r="AC170" s="173" t="str" cm="1">
        <f t="array" ref="AC170">Common_InputFunctions.Utility_DisplayArrayInTable(Fertiliser_SourceData.Fertiliser_Products_Data3(), FertiliserProducts[[#Headers],[Company]],61)</f>
        <v/>
      </c>
      <c r="AD170" s="173" t="str" cm="1">
        <f t="array" ref="AD170">Common_InputFunctions.Utility_DisplayArrayInTable(Fertiliser_SourceData.Fertiliser_Products_Data3(), FertiliserProducts[[#Headers],[Company]],61)</f>
        <v/>
      </c>
      <c r="AE170" s="173" t="str" cm="1">
        <f t="array" ref="AE170">Common_InputFunctions.Utility_DisplayArrayInTable(Fertiliser_SourceData.Fertiliser_Products_Data3(), FertiliserProducts[[#Headers],[Company]],61)</f>
        <v/>
      </c>
      <c r="AF170" s="173" t="str" cm="1">
        <f t="array" ref="AF170">Common_InputFunctions.Utility_DisplayArrayInTable(Fertiliser_SourceData.Fertiliser_Products_Data3(), FertiliserProducts[[#Headers],[Company]],61)</f>
        <v/>
      </c>
      <c r="AG170" s="173" t="str" cm="1">
        <f t="array" ref="AG170">Common_InputFunctions.Utility_DisplayArrayInTable(Fertiliser_SourceData.Fertiliser_Products_Data3(), FertiliserProducts[[#Headers],[Company]],61)</f>
        <v/>
      </c>
      <c r="AH170" s="173" t="str" cm="1">
        <f t="array" ref="AH170">Common_InputFunctions.Utility_DisplayArrayInTable(Fertiliser_SourceData.Fertiliser_Products_Data3(), FertiliserProducts[[#Headers],[Company]],61)</f>
        <v/>
      </c>
      <c r="AK170" s="1"/>
    </row>
    <row r="171" spans="4:37" x14ac:dyDescent="0.25">
      <c r="D171" s="173" t="str" cm="1">
        <f t="array" ref="D171">Common_InputFunctions.Utility_DisplayArrayInTable(Fertiliser_SourceData.Fertiliser_Products_Data3(), FertiliserProducts[[#Headers],[Company]],61)</f>
        <v>Marnco [listed as SLTEC]</v>
      </c>
      <c r="E171" s="173" t="str" cm="1">
        <f t="array" ref="E171">Common_InputFunctions.Utility_DisplayArrayInTable(Fertiliser_SourceData.Fertiliser_Products_Data3(), FertiliserProducts[[#Headers],[Company]],61)</f>
        <v>Ammo 36N</v>
      </c>
      <c r="F171" s="173" t="str" cm="1">
        <f t="array" ref="F171">Common_InputFunctions.Utility_DisplayArrayInTable(Fertiliser_SourceData.Fertiliser_Products_Data3(), FertiliserProducts[[#Headers],[Company]],61)</f>
        <v>kg</v>
      </c>
      <c r="G171" s="173" cm="1">
        <f t="array" ref="G171">Common_InputFunctions.Utility_DisplayArrayInTable(Fertiliser_SourceData.Fertiliser_Products_Data3(), FertiliserProducts[[#Headers],[Company]],61)</f>
        <v>1</v>
      </c>
      <c r="H171" s="173" t="str" cm="1">
        <f t="array" ref="H171">Common_InputFunctions.Utility_DisplayArrayInTable(Fertiliser_SourceData.Fertiliser_Products_Data3(), FertiliserProducts[[#Headers],[Company]],61)</f>
        <v/>
      </c>
      <c r="I171" s="173" t="str" cm="1">
        <f t="array" ref="I171">Common_InputFunctions.Utility_DisplayArrayInTable(Fertiliser_SourceData.Fertiliser_Products_Data3(), FertiliserProducts[[#Headers],[Company]],61)</f>
        <v/>
      </c>
      <c r="J171" s="173" t="str" cm="1">
        <f t="array" ref="J171">Common_InputFunctions.Utility_DisplayArrayInTable(Fertiliser_SourceData.Fertiliser_Products_Data3(), FertiliserProducts[[#Headers],[Company]],61)</f>
        <v/>
      </c>
      <c r="K171" s="173" cm="1">
        <f t="array" ref="K171">Common_InputFunctions.Utility_DisplayArrayInTable(Fertiliser_SourceData.Fertiliser_Products_Data3(), FertiliserProducts[[#Headers],[Company]],61)</f>
        <v>36</v>
      </c>
      <c r="L171" s="173" t="str" cm="1">
        <f t="array" ref="L171">Common_InputFunctions.Utility_DisplayArrayInTable(Fertiliser_SourceData.Fertiliser_Products_Data3(), FertiliserProducts[[#Headers],[Company]],61)</f>
        <v/>
      </c>
      <c r="M171" s="173" t="str" cm="1">
        <f t="array" ref="M171">Common_InputFunctions.Utility_DisplayArrayInTable(Fertiliser_SourceData.Fertiliser_Products_Data3(), FertiliserProducts[[#Headers],[Company]],61)</f>
        <v/>
      </c>
      <c r="N171" s="173" cm="1">
        <f t="array" ref="N171">Common_InputFunctions.Utility_DisplayArrayInTable(Fertiliser_SourceData.Fertiliser_Products_Data3(), FertiliserProducts[[#Headers],[Company]],61)</f>
        <v>9.6</v>
      </c>
      <c r="O171" s="173" t="str" cm="1">
        <f t="array" ref="O171">Common_InputFunctions.Utility_DisplayArrayInTable(Fertiliser_SourceData.Fertiliser_Products_Data3(), FertiliserProducts[[#Headers],[Company]],61)</f>
        <v>Nitrogen - Generic</v>
      </c>
      <c r="P171" s="173" cm="1">
        <f t="array" ref="P171">Common_InputFunctions.Utility_DisplayArrayInTable(Fertiliser_SourceData.Fertiliser_Products_Data3(), FertiliserProducts[[#Headers],[Company]],61)</f>
        <v>0.36</v>
      </c>
      <c r="Q171" s="173" t="str" cm="1">
        <f t="array" ref="Q171">Common_InputFunctions.Utility_DisplayArrayInTable(Fertiliser_SourceData.Fertiliser_Products_Data3(), FertiliserProducts[[#Headers],[Company]],61)</f>
        <v>Sulfur - Generic</v>
      </c>
      <c r="R171" s="173" cm="1">
        <f t="array" ref="R171">Common_InputFunctions.Utility_DisplayArrayInTable(Fertiliser_SourceData.Fertiliser_Products_Data3(), FertiliserProducts[[#Headers],[Company]],61)</f>
        <v>9.6000000000000002E-2</v>
      </c>
      <c r="S171" s="173" t="str" cm="1">
        <f t="array" ref="S171">Common_InputFunctions.Utility_DisplayArrayInTable(Fertiliser_SourceData.Fertiliser_Products_Data3(), FertiliserProducts[[#Headers],[Company]],61)</f>
        <v/>
      </c>
      <c r="T171" s="173" t="str" cm="1">
        <f t="array" ref="T171">Common_InputFunctions.Utility_DisplayArrayInTable(Fertiliser_SourceData.Fertiliser_Products_Data3(), FertiliserProducts[[#Headers],[Company]],61)</f>
        <v/>
      </c>
      <c r="U171" s="173" t="str" cm="1">
        <f t="array" ref="U171">Common_InputFunctions.Utility_DisplayArrayInTable(Fertiliser_SourceData.Fertiliser_Products_Data3(), FertiliserProducts[[#Headers],[Company]],61)</f>
        <v/>
      </c>
      <c r="V171" s="173" t="str" cm="1">
        <f t="array" ref="V171">Common_InputFunctions.Utility_DisplayArrayInTable(Fertiliser_SourceData.Fertiliser_Products_Data3(), FertiliserProducts[[#Headers],[Company]],61)</f>
        <v/>
      </c>
      <c r="W171" s="173" t="str" cm="1">
        <f t="array" ref="W171">Common_InputFunctions.Utility_DisplayArrayInTable(Fertiliser_SourceData.Fertiliser_Products_Data3(), FertiliserProducts[[#Headers],[Company]],61)</f>
        <v/>
      </c>
      <c r="X171" s="173" t="str" cm="1">
        <f t="array" ref="X171">Common_InputFunctions.Utility_DisplayArrayInTable(Fertiliser_SourceData.Fertiliser_Products_Data3(), FertiliserProducts[[#Headers],[Company]],61)</f>
        <v/>
      </c>
      <c r="Y171" s="173" t="str" cm="1">
        <f t="array" ref="Y171">Common_InputFunctions.Utility_DisplayArrayInTable(Fertiliser_SourceData.Fertiliser_Products_Data3(), FertiliserProducts[[#Headers],[Company]],61)</f>
        <v/>
      </c>
      <c r="Z171" s="173" t="str" cm="1">
        <f t="array" ref="Z171">Common_InputFunctions.Utility_DisplayArrayInTable(Fertiliser_SourceData.Fertiliser_Products_Data3(), FertiliserProducts[[#Headers],[Company]],61)</f>
        <v/>
      </c>
      <c r="AA171" s="173" t="str" cm="1">
        <f t="array" ref="AA171">Common_InputFunctions.Utility_DisplayArrayInTable(Fertiliser_SourceData.Fertiliser_Products_Data3(), FertiliserProducts[[#Headers],[Company]],61)</f>
        <v/>
      </c>
      <c r="AB171" s="173" t="str" cm="1">
        <f t="array" ref="AB171">Common_InputFunctions.Utility_DisplayArrayInTable(Fertiliser_SourceData.Fertiliser_Products_Data3(), FertiliserProducts[[#Headers],[Company]],61)</f>
        <v/>
      </c>
      <c r="AC171" s="173" t="str" cm="1">
        <f t="array" ref="AC171">Common_InputFunctions.Utility_DisplayArrayInTable(Fertiliser_SourceData.Fertiliser_Products_Data3(), FertiliserProducts[[#Headers],[Company]],61)</f>
        <v/>
      </c>
      <c r="AD171" s="173" t="str" cm="1">
        <f t="array" ref="AD171">Common_InputFunctions.Utility_DisplayArrayInTable(Fertiliser_SourceData.Fertiliser_Products_Data3(), FertiliserProducts[[#Headers],[Company]],61)</f>
        <v/>
      </c>
      <c r="AE171" s="173" t="str" cm="1">
        <f t="array" ref="AE171">Common_InputFunctions.Utility_DisplayArrayInTable(Fertiliser_SourceData.Fertiliser_Products_Data3(), FertiliserProducts[[#Headers],[Company]],61)</f>
        <v/>
      </c>
      <c r="AF171" s="173" t="str" cm="1">
        <f t="array" ref="AF171">Common_InputFunctions.Utility_DisplayArrayInTable(Fertiliser_SourceData.Fertiliser_Products_Data3(), FertiliserProducts[[#Headers],[Company]],61)</f>
        <v/>
      </c>
      <c r="AG171" s="173" t="str" cm="1">
        <f t="array" ref="AG171">Common_InputFunctions.Utility_DisplayArrayInTable(Fertiliser_SourceData.Fertiliser_Products_Data3(), FertiliserProducts[[#Headers],[Company]],61)</f>
        <v/>
      </c>
      <c r="AH171" s="173" t="str" cm="1">
        <f t="array" ref="AH171">Common_InputFunctions.Utility_DisplayArrayInTable(Fertiliser_SourceData.Fertiliser_Products_Data3(), FertiliserProducts[[#Headers],[Company]],61)</f>
        <v/>
      </c>
      <c r="AK171" s="1"/>
    </row>
    <row r="172" spans="4:37" x14ac:dyDescent="0.25">
      <c r="D172" s="173" t="str" cm="1">
        <f t="array" ref="D172">Common_InputFunctions.Utility_DisplayArrayInTable(Fertiliser_SourceData.Fertiliser_Products_Data3(), FertiliserProducts[[#Headers],[Company]],61)</f>
        <v>Risso-Chemical</v>
      </c>
      <c r="E172" s="173" t="str" cm="1">
        <f t="array" ref="E172">Common_InputFunctions.Utility_DisplayArrayInTable(Fertiliser_SourceData.Fertiliser_Products_Data3(), FertiliserProducts[[#Headers],[Company]],61)</f>
        <v>Risso Liquid NPK (200-200-200)</v>
      </c>
      <c r="F172" s="173" t="str" cm="1">
        <f t="array" ref="F172">Common_InputFunctions.Utility_DisplayArrayInTable(Fertiliser_SourceData.Fertiliser_Products_Data3(), FertiliserProducts[[#Headers],[Company]],61)</f>
        <v>L</v>
      </c>
      <c r="G172" s="173" cm="1">
        <f t="array" ref="G172">Common_InputFunctions.Utility_DisplayArrayInTable(Fertiliser_SourceData.Fertiliser_Products_Data3(), FertiliserProducts[[#Headers],[Company]],61)</f>
        <v>1.3</v>
      </c>
      <c r="H172" s="173" t="str" cm="1">
        <f t="array" ref="H172">Common_InputFunctions.Utility_DisplayArrayInTable(Fertiliser_SourceData.Fertiliser_Products_Data3(), FertiliserProducts[[#Headers],[Company]],61)</f>
        <v/>
      </c>
      <c r="I172" s="173" t="str" cm="1">
        <f t="array" ref="I172">Common_InputFunctions.Utility_DisplayArrayInTable(Fertiliser_SourceData.Fertiliser_Products_Data3(), FertiliserProducts[[#Headers],[Company]],61)</f>
        <v/>
      </c>
      <c r="J172" s="173" t="str" cm="1">
        <f t="array" ref="J172">Common_InputFunctions.Utility_DisplayArrayInTable(Fertiliser_SourceData.Fertiliser_Products_Data3(), FertiliserProducts[[#Headers],[Company]],61)</f>
        <v/>
      </c>
      <c r="K172" s="173" cm="1">
        <f t="array" ref="K172">Common_InputFunctions.Utility_DisplayArrayInTable(Fertiliser_SourceData.Fertiliser_Products_Data3(), FertiliserProducts[[#Headers],[Company]],61)</f>
        <v>20</v>
      </c>
      <c r="L172" s="173" cm="1">
        <f t="array" ref="L172">Common_InputFunctions.Utility_DisplayArrayInTable(Fertiliser_SourceData.Fertiliser_Products_Data3(), FertiliserProducts[[#Headers],[Company]],61)</f>
        <v>8.73</v>
      </c>
      <c r="M172" s="173" cm="1">
        <f t="array" ref="M172">Common_InputFunctions.Utility_DisplayArrayInTable(Fertiliser_SourceData.Fertiliser_Products_Data3(), FertiliserProducts[[#Headers],[Company]],61)</f>
        <v>16.600000000000001</v>
      </c>
      <c r="N172" s="173" t="str" cm="1">
        <f t="array" ref="N172">Common_InputFunctions.Utility_DisplayArrayInTable(Fertiliser_SourceData.Fertiliser_Products_Data3(), FertiliserProducts[[#Headers],[Company]],61)</f>
        <v/>
      </c>
      <c r="O172" s="173" t="str" cm="1">
        <f t="array" ref="O172">Common_InputFunctions.Utility_DisplayArrayInTable(Fertiliser_SourceData.Fertiliser_Products_Data3(), FertiliserProducts[[#Headers],[Company]],61)</f>
        <v>Nitrogen - Generic</v>
      </c>
      <c r="P172" s="173" cm="1">
        <f t="array" ref="P172">Common_InputFunctions.Utility_DisplayArrayInTable(Fertiliser_SourceData.Fertiliser_Products_Data3(), FertiliserProducts[[#Headers],[Company]],61)</f>
        <v>0.2</v>
      </c>
      <c r="Q172" s="173" t="str" cm="1">
        <f t="array" ref="Q172">Common_InputFunctions.Utility_DisplayArrayInTable(Fertiliser_SourceData.Fertiliser_Products_Data3(), FertiliserProducts[[#Headers],[Company]],61)</f>
        <v>Phosphorus - Generic</v>
      </c>
      <c r="R172" s="173" cm="1">
        <f t="array" ref="R172">Common_InputFunctions.Utility_DisplayArrayInTable(Fertiliser_SourceData.Fertiliser_Products_Data3(), FertiliserProducts[[#Headers],[Company]],61)</f>
        <v>8.7279999999999996E-2</v>
      </c>
      <c r="S172" s="173" t="str" cm="1">
        <f t="array" ref="S172">Common_InputFunctions.Utility_DisplayArrayInTable(Fertiliser_SourceData.Fertiliser_Products_Data3(), FertiliserProducts[[#Headers],[Company]],61)</f>
        <v>Potassium - Generic</v>
      </c>
      <c r="T172" s="173" cm="1">
        <f t="array" ref="T172">Common_InputFunctions.Utility_DisplayArrayInTable(Fertiliser_SourceData.Fertiliser_Products_Data3(), FertiliserProducts[[#Headers],[Company]],61)</f>
        <v>0.16602</v>
      </c>
      <c r="U172" s="173" t="str" cm="1">
        <f t="array" ref="U172">Common_InputFunctions.Utility_DisplayArrayInTable(Fertiliser_SourceData.Fertiliser_Products_Data3(), FertiliserProducts[[#Headers],[Company]],61)</f>
        <v/>
      </c>
      <c r="V172" s="173" t="str" cm="1">
        <f t="array" ref="V172">Common_InputFunctions.Utility_DisplayArrayInTable(Fertiliser_SourceData.Fertiliser_Products_Data3(), FertiliserProducts[[#Headers],[Company]],61)</f>
        <v/>
      </c>
      <c r="W172" s="173" t="str" cm="1">
        <f t="array" ref="W172">Common_InputFunctions.Utility_DisplayArrayInTable(Fertiliser_SourceData.Fertiliser_Products_Data3(), FertiliserProducts[[#Headers],[Company]],61)</f>
        <v/>
      </c>
      <c r="X172" s="173" t="str" cm="1">
        <f t="array" ref="X172">Common_InputFunctions.Utility_DisplayArrayInTable(Fertiliser_SourceData.Fertiliser_Products_Data3(), FertiliserProducts[[#Headers],[Company]],61)</f>
        <v/>
      </c>
      <c r="Y172" s="173" t="str" cm="1">
        <f t="array" ref="Y172">Common_InputFunctions.Utility_DisplayArrayInTable(Fertiliser_SourceData.Fertiliser_Products_Data3(), FertiliserProducts[[#Headers],[Company]],61)</f>
        <v/>
      </c>
      <c r="Z172" s="173" t="str" cm="1">
        <f t="array" ref="Z172">Common_InputFunctions.Utility_DisplayArrayInTable(Fertiliser_SourceData.Fertiliser_Products_Data3(), FertiliserProducts[[#Headers],[Company]],61)</f>
        <v/>
      </c>
      <c r="AA172" s="173" t="str" cm="1">
        <f t="array" ref="AA172">Common_InputFunctions.Utility_DisplayArrayInTable(Fertiliser_SourceData.Fertiliser_Products_Data3(), FertiliserProducts[[#Headers],[Company]],61)</f>
        <v/>
      </c>
      <c r="AB172" s="173" t="str" cm="1">
        <f t="array" ref="AB172">Common_InputFunctions.Utility_DisplayArrayInTable(Fertiliser_SourceData.Fertiliser_Products_Data3(), FertiliserProducts[[#Headers],[Company]],61)</f>
        <v/>
      </c>
      <c r="AC172" s="173" t="str" cm="1">
        <f t="array" ref="AC172">Common_InputFunctions.Utility_DisplayArrayInTable(Fertiliser_SourceData.Fertiliser_Products_Data3(), FertiliserProducts[[#Headers],[Company]],61)</f>
        <v/>
      </c>
      <c r="AD172" s="173" t="str" cm="1">
        <f t="array" ref="AD172">Common_InputFunctions.Utility_DisplayArrayInTable(Fertiliser_SourceData.Fertiliser_Products_Data3(), FertiliserProducts[[#Headers],[Company]],61)</f>
        <v/>
      </c>
      <c r="AE172" s="173" t="str" cm="1">
        <f t="array" ref="AE172">Common_InputFunctions.Utility_DisplayArrayInTable(Fertiliser_SourceData.Fertiliser_Products_Data3(), FertiliserProducts[[#Headers],[Company]],61)</f>
        <v/>
      </c>
      <c r="AF172" s="173" t="str" cm="1">
        <f t="array" ref="AF172">Common_InputFunctions.Utility_DisplayArrayInTable(Fertiliser_SourceData.Fertiliser_Products_Data3(), FertiliserProducts[[#Headers],[Company]],61)</f>
        <v/>
      </c>
      <c r="AG172" s="173" t="str" cm="1">
        <f t="array" ref="AG172">Common_InputFunctions.Utility_DisplayArrayInTable(Fertiliser_SourceData.Fertiliser_Products_Data3(), FertiliserProducts[[#Headers],[Company]],61)</f>
        <v/>
      </c>
      <c r="AH172" s="173" t="str" cm="1">
        <f t="array" ref="AH172">Common_InputFunctions.Utility_DisplayArrayInTable(Fertiliser_SourceData.Fertiliser_Products_Data3(), FertiliserProducts[[#Headers],[Company]],61)</f>
        <v/>
      </c>
      <c r="AK172" s="1"/>
    </row>
    <row r="173" spans="4:37" x14ac:dyDescent="0.25">
      <c r="D173" s="173" t="str" cm="1">
        <f t="array" ref="D173">Common_InputFunctions.Utility_DisplayArrayInTable(Fertiliser_SourceData.Fertiliser_Products_Data3(), FertiliserProducts[[#Headers],[Company]],61)</f>
        <v>Turf Group Australia (Simplot)</v>
      </c>
      <c r="E173" s="173" t="str" cm="1">
        <f t="array" ref="E173">Common_InputFunctions.Utility_DisplayArrayInTable(Fertiliser_SourceData.Fertiliser_Products_Data3(), FertiliserProducts[[#Headers],[Company]],61)</f>
        <v>Super Cal 15-0-12</v>
      </c>
      <c r="F173" s="173" t="str" cm="1">
        <f t="array" ref="F173">Common_InputFunctions.Utility_DisplayArrayInTable(Fertiliser_SourceData.Fertiliser_Products_Data3(), FertiliserProducts[[#Headers],[Company]],61)</f>
        <v>kg</v>
      </c>
      <c r="G173" s="173" cm="1">
        <f t="array" ref="G173">Common_InputFunctions.Utility_DisplayArrayInTable(Fertiliser_SourceData.Fertiliser_Products_Data3(), FertiliserProducts[[#Headers],[Company]],61)</f>
        <v>1</v>
      </c>
      <c r="H173" s="173" t="str" cm="1">
        <f t="array" ref="H173">Common_InputFunctions.Utility_DisplayArrayInTable(Fertiliser_SourceData.Fertiliser_Products_Data3(), FertiliserProducts[[#Headers],[Company]],61)</f>
        <v/>
      </c>
      <c r="I173" s="173" t="str" cm="1">
        <f t="array" ref="I173">Common_InputFunctions.Utility_DisplayArrayInTable(Fertiliser_SourceData.Fertiliser_Products_Data3(), FertiliserProducts[[#Headers],[Company]],61)</f>
        <v/>
      </c>
      <c r="J173" s="173" t="str" cm="1">
        <f t="array" ref="J173">Common_InputFunctions.Utility_DisplayArrayInTable(Fertiliser_SourceData.Fertiliser_Products_Data3(), FertiliserProducts[[#Headers],[Company]],61)</f>
        <v/>
      </c>
      <c r="K173" s="173" cm="1">
        <f t="array" ref="K173">Common_InputFunctions.Utility_DisplayArrayInTable(Fertiliser_SourceData.Fertiliser_Products_Data3(), FertiliserProducts[[#Headers],[Company]],61)</f>
        <v>15</v>
      </c>
      <c r="L173" s="173" t="str" cm="1">
        <f t="array" ref="L173">Common_InputFunctions.Utility_DisplayArrayInTable(Fertiliser_SourceData.Fertiliser_Products_Data3(), FertiliserProducts[[#Headers],[Company]],61)</f>
        <v/>
      </c>
      <c r="M173" s="173" cm="1">
        <f t="array" ref="M173">Common_InputFunctions.Utility_DisplayArrayInTable(Fertiliser_SourceData.Fertiliser_Products_Data3(), FertiliserProducts[[#Headers],[Company]],61)</f>
        <v>9.9600000000000009</v>
      </c>
      <c r="N173" s="173" t="str" cm="1">
        <f t="array" ref="N173">Common_InputFunctions.Utility_DisplayArrayInTable(Fertiliser_SourceData.Fertiliser_Products_Data3(), FertiliserProducts[[#Headers],[Company]],61)</f>
        <v/>
      </c>
      <c r="O173" s="173" t="str" cm="1">
        <f t="array" ref="O173">Common_InputFunctions.Utility_DisplayArrayInTable(Fertiliser_SourceData.Fertiliser_Products_Data3(), FertiliserProducts[[#Headers],[Company]],61)</f>
        <v>Nitrogen - Nitrate</v>
      </c>
      <c r="P173" s="173" cm="1">
        <f t="array" ref="P173">Common_InputFunctions.Utility_DisplayArrayInTable(Fertiliser_SourceData.Fertiliser_Products_Data3(), FertiliserProducts[[#Headers],[Company]],61)</f>
        <v>8.4737000000000007E-2</v>
      </c>
      <c r="Q173" s="173" t="str" cm="1">
        <f t="array" ref="Q173">Common_InputFunctions.Utility_DisplayArrayInTable(Fertiliser_SourceData.Fertiliser_Products_Data3(), FertiliserProducts[[#Headers],[Company]],61)</f>
        <v>Potassium - Generic</v>
      </c>
      <c r="R173" s="173" cm="1">
        <f t="array" ref="R173">Common_InputFunctions.Utility_DisplayArrayInTable(Fertiliser_SourceData.Fertiliser_Products_Data3(), FertiliserProducts[[#Headers],[Company]],61)</f>
        <v>9.9612000000000006E-2</v>
      </c>
      <c r="S173" s="173" t="str" cm="1">
        <f t="array" ref="S173">Common_InputFunctions.Utility_DisplayArrayInTable(Fertiliser_SourceData.Fertiliser_Products_Data3(), FertiliserProducts[[#Headers],[Company]],61)</f>
        <v>Calcium nitrate</v>
      </c>
      <c r="T173" s="173" cm="1">
        <f t="array" ref="T173">Common_InputFunctions.Utility_DisplayArrayInTable(Fertiliser_SourceData.Fertiliser_Products_Data3(), FertiliserProducts[[#Headers],[Company]],61)</f>
        <v>0.42105300000000001</v>
      </c>
      <c r="U173" s="173" t="str" cm="1">
        <f t="array" ref="U173">Common_InputFunctions.Utility_DisplayArrayInTable(Fertiliser_SourceData.Fertiliser_Products_Data3(), FertiliserProducts[[#Headers],[Company]],61)</f>
        <v>Magnesium</v>
      </c>
      <c r="V173" s="173" cm="1">
        <f t="array" ref="V173">Common_InputFunctions.Utility_DisplayArrayInTable(Fertiliser_SourceData.Fertiliser_Products_Data3(), FertiliserProducts[[#Headers],[Company]],61)</f>
        <v>5.0000000000000001E-3</v>
      </c>
      <c r="W173" s="173" t="str" cm="1">
        <f t="array" ref="W173">Common_InputFunctions.Utility_DisplayArrayInTable(Fertiliser_SourceData.Fertiliser_Products_Data3(), FertiliserProducts[[#Headers],[Company]],61)</f>
        <v>Boron</v>
      </c>
      <c r="X173" s="173" cm="1">
        <f t="array" ref="X173">Common_InputFunctions.Utility_DisplayArrayInTable(Fertiliser_SourceData.Fertiliser_Products_Data3(), FertiliserProducts[[#Headers],[Company]],61)</f>
        <v>2.0000000000000001E-4</v>
      </c>
      <c r="Y173" s="173" t="str" cm="1">
        <f t="array" ref="Y173">Common_InputFunctions.Utility_DisplayArrayInTable(Fertiliser_SourceData.Fertiliser_Products_Data3(), FertiliserProducts[[#Headers],[Company]],61)</f>
        <v/>
      </c>
      <c r="Z173" s="173" t="str" cm="1">
        <f t="array" ref="Z173">Common_InputFunctions.Utility_DisplayArrayInTable(Fertiliser_SourceData.Fertiliser_Products_Data3(), FertiliserProducts[[#Headers],[Company]],61)</f>
        <v/>
      </c>
      <c r="AA173" s="173" t="str" cm="1">
        <f t="array" ref="AA173">Common_InputFunctions.Utility_DisplayArrayInTable(Fertiliser_SourceData.Fertiliser_Products_Data3(), FertiliserProducts[[#Headers],[Company]],61)</f>
        <v/>
      </c>
      <c r="AB173" s="173" t="str" cm="1">
        <f t="array" ref="AB173">Common_InputFunctions.Utility_DisplayArrayInTable(Fertiliser_SourceData.Fertiliser_Products_Data3(), FertiliserProducts[[#Headers],[Company]],61)</f>
        <v/>
      </c>
      <c r="AC173" s="173" t="str" cm="1">
        <f t="array" ref="AC173">Common_InputFunctions.Utility_DisplayArrayInTable(Fertiliser_SourceData.Fertiliser_Products_Data3(), FertiliserProducts[[#Headers],[Company]],61)</f>
        <v/>
      </c>
      <c r="AD173" s="173" t="str" cm="1">
        <f t="array" ref="AD173">Common_InputFunctions.Utility_DisplayArrayInTable(Fertiliser_SourceData.Fertiliser_Products_Data3(), FertiliserProducts[[#Headers],[Company]],61)</f>
        <v/>
      </c>
      <c r="AE173" s="173" t="str" cm="1">
        <f t="array" ref="AE173">Common_InputFunctions.Utility_DisplayArrayInTable(Fertiliser_SourceData.Fertiliser_Products_Data3(), FertiliserProducts[[#Headers],[Company]],61)</f>
        <v/>
      </c>
      <c r="AF173" s="173" t="str" cm="1">
        <f t="array" ref="AF173">Common_InputFunctions.Utility_DisplayArrayInTable(Fertiliser_SourceData.Fertiliser_Products_Data3(), FertiliserProducts[[#Headers],[Company]],61)</f>
        <v/>
      </c>
      <c r="AG173" s="173" t="str" cm="1">
        <f t="array" ref="AG173">Common_InputFunctions.Utility_DisplayArrayInTable(Fertiliser_SourceData.Fertiliser_Products_Data3(), FertiliserProducts[[#Headers],[Company]],61)</f>
        <v/>
      </c>
      <c r="AH173" s="173" t="str" cm="1">
        <f t="array" ref="AH173">Common_InputFunctions.Utility_DisplayArrayInTable(Fertiliser_SourceData.Fertiliser_Products_Data3(), FertiliserProducts[[#Headers],[Company]],61)</f>
        <v/>
      </c>
      <c r="AK173" s="1"/>
    </row>
    <row r="174" spans="4:37" x14ac:dyDescent="0.25">
      <c r="D174" s="173" t="str" cm="1">
        <f t="array" ref="D174">Common_InputFunctions.Utility_DisplayArrayInTable(Fertiliser_SourceData.Fertiliser_Products_Data3(), FertiliserProducts[[#Headers],[Company]],61)</f>
        <v>Incitec Pivot Fertilisers</v>
      </c>
      <c r="E174" s="173" t="str" cm="1">
        <f t="array" ref="E174">Common_InputFunctions.Utility_DisplayArrayInTable(Fertiliser_SourceData.Fertiliser_Products_Data3(), FertiliserProducts[[#Headers],[Company]],61)</f>
        <v>CK 88</v>
      </c>
      <c r="F174" s="173" t="str" cm="1">
        <f t="array" ref="F174">Common_InputFunctions.Utility_DisplayArrayInTable(Fertiliser_SourceData.Fertiliser_Products_Data3(), FertiliserProducts[[#Headers],[Company]],61)</f>
        <v>kg</v>
      </c>
      <c r="G174" s="173" cm="1">
        <f t="array" ref="G174">Common_InputFunctions.Utility_DisplayArrayInTable(Fertiliser_SourceData.Fertiliser_Products_Data3(), FertiliserProducts[[#Headers],[Company]],61)</f>
        <v>1</v>
      </c>
      <c r="H174" s="173" t="str" cm="1">
        <f t="array" ref="H174">Common_InputFunctions.Utility_DisplayArrayInTable(Fertiliser_SourceData.Fertiliser_Products_Data3(), FertiliserProducts[[#Headers],[Company]],61)</f>
        <v/>
      </c>
      <c r="I174" s="173" t="str" cm="1">
        <f t="array" ref="I174">Common_InputFunctions.Utility_DisplayArrayInTable(Fertiliser_SourceData.Fertiliser_Products_Data3(), FertiliserProducts[[#Headers],[Company]],61)</f>
        <v/>
      </c>
      <c r="J174" s="173" t="str" cm="1">
        <f t="array" ref="J174">Common_InputFunctions.Utility_DisplayArrayInTable(Fertiliser_SourceData.Fertiliser_Products_Data3(), FertiliserProducts[[#Headers],[Company]],61)</f>
        <v/>
      </c>
      <c r="K174" s="173" cm="1">
        <f t="array" ref="K174">Common_InputFunctions.Utility_DisplayArrayInTable(Fertiliser_SourceData.Fertiliser_Products_Data3(), FertiliserProducts[[#Headers],[Company]],61)</f>
        <v>15.1</v>
      </c>
      <c r="L174" s="173" cm="1">
        <f t="array" ref="L174">Common_InputFunctions.Utility_DisplayArrayInTable(Fertiliser_SourceData.Fertiliser_Products_Data3(), FertiliserProducts[[#Headers],[Company]],61)</f>
        <v>4.4000000000000004</v>
      </c>
      <c r="M174" s="173" cm="1">
        <f t="array" ref="M174">Common_InputFunctions.Utility_DisplayArrayInTable(Fertiliser_SourceData.Fertiliser_Products_Data3(), FertiliserProducts[[#Headers],[Company]],61)</f>
        <v>11.5</v>
      </c>
      <c r="N174" s="173" cm="1">
        <f t="array" ref="N174">Common_InputFunctions.Utility_DisplayArrayInTable(Fertiliser_SourceData.Fertiliser_Products_Data3(), FertiliserProducts[[#Headers],[Company]],61)</f>
        <v>13.6</v>
      </c>
      <c r="O174" s="173" t="str" cm="1">
        <f t="array" ref="O174">Common_InputFunctions.Utility_DisplayArrayInTable(Fertiliser_SourceData.Fertiliser_Products_Data3(), FertiliserProducts[[#Headers],[Company]],61)</f>
        <v>Nitrogen - Generic</v>
      </c>
      <c r="P174" s="173" cm="1">
        <f t="array" ref="P174">Common_InputFunctions.Utility_DisplayArrayInTable(Fertiliser_SourceData.Fertiliser_Products_Data3(), FertiliserProducts[[#Headers],[Company]],61)</f>
        <v>0.151</v>
      </c>
      <c r="Q174" s="173" t="str" cm="1">
        <f t="array" ref="Q174">Common_InputFunctions.Utility_DisplayArrayInTable(Fertiliser_SourceData.Fertiliser_Products_Data3(), FertiliserProducts[[#Headers],[Company]],61)</f>
        <v>Phosphorus - Generic</v>
      </c>
      <c r="R174" s="173" cm="1">
        <f t="array" ref="R174">Common_InputFunctions.Utility_DisplayArrayInTable(Fertiliser_SourceData.Fertiliser_Products_Data3(), FertiliserProducts[[#Headers],[Company]],61)</f>
        <v>4.3999999999999997E-2</v>
      </c>
      <c r="S174" s="173" t="str" cm="1">
        <f t="array" ref="S174">Common_InputFunctions.Utility_DisplayArrayInTable(Fertiliser_SourceData.Fertiliser_Products_Data3(), FertiliserProducts[[#Headers],[Company]],61)</f>
        <v>Potassium - Generic</v>
      </c>
      <c r="T174" s="173" cm="1">
        <f t="array" ref="T174">Common_InputFunctions.Utility_DisplayArrayInTable(Fertiliser_SourceData.Fertiliser_Products_Data3(), FertiliserProducts[[#Headers],[Company]],61)</f>
        <v>0.115</v>
      </c>
      <c r="U174" s="173" t="str" cm="1">
        <f t="array" ref="U174">Common_InputFunctions.Utility_DisplayArrayInTable(Fertiliser_SourceData.Fertiliser_Products_Data3(), FertiliserProducts[[#Headers],[Company]],61)</f>
        <v>Sulfur - Generic</v>
      </c>
      <c r="V174" s="173" cm="1">
        <f t="array" ref="V174">Common_InputFunctions.Utility_DisplayArrayInTable(Fertiliser_SourceData.Fertiliser_Products_Data3(), FertiliserProducts[[#Headers],[Company]],61)</f>
        <v>0.13600000000000001</v>
      </c>
      <c r="W174" s="173" t="str" cm="1">
        <f t="array" ref="W174">Common_InputFunctions.Utility_DisplayArrayInTable(Fertiliser_SourceData.Fertiliser_Products_Data3(), FertiliserProducts[[#Headers],[Company]],61)</f>
        <v/>
      </c>
      <c r="X174" s="173" t="str" cm="1">
        <f t="array" ref="X174">Common_InputFunctions.Utility_DisplayArrayInTable(Fertiliser_SourceData.Fertiliser_Products_Data3(), FertiliserProducts[[#Headers],[Company]],61)</f>
        <v/>
      </c>
      <c r="Y174" s="173" t="str" cm="1">
        <f t="array" ref="Y174">Common_InputFunctions.Utility_DisplayArrayInTable(Fertiliser_SourceData.Fertiliser_Products_Data3(), FertiliserProducts[[#Headers],[Company]],61)</f>
        <v/>
      </c>
      <c r="Z174" s="173" t="str" cm="1">
        <f t="array" ref="Z174">Common_InputFunctions.Utility_DisplayArrayInTable(Fertiliser_SourceData.Fertiliser_Products_Data3(), FertiliserProducts[[#Headers],[Company]],61)</f>
        <v/>
      </c>
      <c r="AA174" s="173" t="str" cm="1">
        <f t="array" ref="AA174">Common_InputFunctions.Utility_DisplayArrayInTable(Fertiliser_SourceData.Fertiliser_Products_Data3(), FertiliserProducts[[#Headers],[Company]],61)</f>
        <v/>
      </c>
      <c r="AB174" s="173" t="str" cm="1">
        <f t="array" ref="AB174">Common_InputFunctions.Utility_DisplayArrayInTable(Fertiliser_SourceData.Fertiliser_Products_Data3(), FertiliserProducts[[#Headers],[Company]],61)</f>
        <v/>
      </c>
      <c r="AC174" s="173" t="str" cm="1">
        <f t="array" ref="AC174">Common_InputFunctions.Utility_DisplayArrayInTable(Fertiliser_SourceData.Fertiliser_Products_Data3(), FertiliserProducts[[#Headers],[Company]],61)</f>
        <v/>
      </c>
      <c r="AD174" s="173" t="str" cm="1">
        <f t="array" ref="AD174">Common_InputFunctions.Utility_DisplayArrayInTable(Fertiliser_SourceData.Fertiliser_Products_Data3(), FertiliserProducts[[#Headers],[Company]],61)</f>
        <v/>
      </c>
      <c r="AE174" s="173" t="str" cm="1">
        <f t="array" ref="AE174">Common_InputFunctions.Utility_DisplayArrayInTable(Fertiliser_SourceData.Fertiliser_Products_Data3(), FertiliserProducts[[#Headers],[Company]],61)</f>
        <v/>
      </c>
      <c r="AF174" s="173" t="str" cm="1">
        <f t="array" ref="AF174">Common_InputFunctions.Utility_DisplayArrayInTable(Fertiliser_SourceData.Fertiliser_Products_Data3(), FertiliserProducts[[#Headers],[Company]],61)</f>
        <v/>
      </c>
      <c r="AG174" s="173" t="str" cm="1">
        <f t="array" ref="AG174">Common_InputFunctions.Utility_DisplayArrayInTable(Fertiliser_SourceData.Fertiliser_Products_Data3(), FertiliserProducts[[#Headers],[Company]],61)</f>
        <v/>
      </c>
      <c r="AH174" s="173" t="str" cm="1">
        <f t="array" ref="AH174">Common_InputFunctions.Utility_DisplayArrayInTable(Fertiliser_SourceData.Fertiliser_Products_Data3(), FertiliserProducts[[#Headers],[Company]],61)</f>
        <v/>
      </c>
      <c r="AK174" s="1"/>
    </row>
    <row r="175" spans="4:37" x14ac:dyDescent="0.25">
      <c r="D175" s="173" t="str" cm="1">
        <f t="array" ref="D175">Common_InputFunctions.Utility_DisplayArrayInTable(Fertiliser_SourceData.Fertiliser_Products_Data3(), FertiliserProducts[[#Headers],[Company]],61)</f>
        <v>Incitec Pivot Fertilisers</v>
      </c>
      <c r="E175" s="173" t="str" cm="1">
        <f t="array" ref="E175">Common_InputFunctions.Utility_DisplayArrayInTable(Fertiliser_SourceData.Fertiliser_Products_Data3(), FertiliserProducts[[#Headers],[Company]],61)</f>
        <v>CropLift 15</v>
      </c>
      <c r="F175" s="173" t="str" cm="1">
        <f t="array" ref="F175">Common_InputFunctions.Utility_DisplayArrayInTable(Fertiliser_SourceData.Fertiliser_Products_Data3(), FertiliserProducts[[#Headers],[Company]],61)</f>
        <v>kg</v>
      </c>
      <c r="G175" s="173" cm="1">
        <f t="array" ref="G175">Common_InputFunctions.Utility_DisplayArrayInTable(Fertiliser_SourceData.Fertiliser_Products_Data3(), FertiliserProducts[[#Headers],[Company]],61)</f>
        <v>1</v>
      </c>
      <c r="H175" s="173" t="str" cm="1">
        <f t="array" ref="H175">Common_InputFunctions.Utility_DisplayArrayInTable(Fertiliser_SourceData.Fertiliser_Products_Data3(), FertiliserProducts[[#Headers],[Company]],61)</f>
        <v/>
      </c>
      <c r="I175" s="173" t="str" cm="1">
        <f t="array" ref="I175">Common_InputFunctions.Utility_DisplayArrayInTable(Fertiliser_SourceData.Fertiliser_Products_Data3(), FertiliserProducts[[#Headers],[Company]],61)</f>
        <v/>
      </c>
      <c r="J175" s="173" t="str" cm="1">
        <f t="array" ref="J175">Common_InputFunctions.Utility_DisplayArrayInTable(Fertiliser_SourceData.Fertiliser_Products_Data3(), FertiliserProducts[[#Headers],[Company]],61)</f>
        <v/>
      </c>
      <c r="K175" s="173" cm="1">
        <f t="array" ref="K175">Common_InputFunctions.Utility_DisplayArrayInTable(Fertiliser_SourceData.Fertiliser_Products_Data3(), FertiliserProducts[[#Headers],[Company]],61)</f>
        <v>14.6</v>
      </c>
      <c r="L175" s="173" cm="1">
        <f t="array" ref="L175">Common_InputFunctions.Utility_DisplayArrayInTable(Fertiliser_SourceData.Fertiliser_Products_Data3(), FertiliserProducts[[#Headers],[Company]],61)</f>
        <v>12.1</v>
      </c>
      <c r="M175" s="173" t="str" cm="1">
        <f t="array" ref="M175">Common_InputFunctions.Utility_DisplayArrayInTable(Fertiliser_SourceData.Fertiliser_Products_Data3(), FertiliserProducts[[#Headers],[Company]],61)</f>
        <v/>
      </c>
      <c r="N175" s="173" cm="1">
        <f t="array" ref="N175">Common_InputFunctions.Utility_DisplayArrayInTable(Fertiliser_SourceData.Fertiliser_Products_Data3(), FertiliserProducts[[#Headers],[Company]],61)</f>
        <v>11.6</v>
      </c>
      <c r="O175" s="173" t="str" cm="1">
        <f t="array" ref="O175">Common_InputFunctions.Utility_DisplayArrayInTable(Fertiliser_SourceData.Fertiliser_Products_Data3(), FertiliserProducts[[#Headers],[Company]],61)</f>
        <v>Nitrogen - Generic</v>
      </c>
      <c r="P175" s="173" cm="1">
        <f t="array" ref="P175">Common_InputFunctions.Utility_DisplayArrayInTable(Fertiliser_SourceData.Fertiliser_Products_Data3(), FertiliserProducts[[#Headers],[Company]],61)</f>
        <v>0.14599999999999999</v>
      </c>
      <c r="Q175" s="173" t="str" cm="1">
        <f t="array" ref="Q175">Common_InputFunctions.Utility_DisplayArrayInTable(Fertiliser_SourceData.Fertiliser_Products_Data3(), FertiliserProducts[[#Headers],[Company]],61)</f>
        <v>Phosphorus - Generic</v>
      </c>
      <c r="R175" s="173" cm="1">
        <f t="array" ref="R175">Common_InputFunctions.Utility_DisplayArrayInTable(Fertiliser_SourceData.Fertiliser_Products_Data3(), FertiliserProducts[[#Headers],[Company]],61)</f>
        <v>0.121</v>
      </c>
      <c r="S175" s="173" t="str" cm="1">
        <f t="array" ref="S175">Common_InputFunctions.Utility_DisplayArrayInTable(Fertiliser_SourceData.Fertiliser_Products_Data3(), FertiliserProducts[[#Headers],[Company]],61)</f>
        <v>Sulfur - Generic</v>
      </c>
      <c r="T175" s="173" cm="1">
        <f t="array" ref="T175">Common_InputFunctions.Utility_DisplayArrayInTable(Fertiliser_SourceData.Fertiliser_Products_Data3(), FertiliserProducts[[#Headers],[Company]],61)</f>
        <v>0.11600000000000001</v>
      </c>
      <c r="U175" s="173" t="str" cm="1">
        <f t="array" ref="U175">Common_InputFunctions.Utility_DisplayArrayInTable(Fertiliser_SourceData.Fertiliser_Products_Data3(), FertiliserProducts[[#Headers],[Company]],61)</f>
        <v/>
      </c>
      <c r="V175" s="173" t="str" cm="1">
        <f t="array" ref="V175">Common_InputFunctions.Utility_DisplayArrayInTable(Fertiliser_SourceData.Fertiliser_Products_Data3(), FertiliserProducts[[#Headers],[Company]],61)</f>
        <v/>
      </c>
      <c r="W175" s="173" t="str" cm="1">
        <f t="array" ref="W175">Common_InputFunctions.Utility_DisplayArrayInTable(Fertiliser_SourceData.Fertiliser_Products_Data3(), FertiliserProducts[[#Headers],[Company]],61)</f>
        <v/>
      </c>
      <c r="X175" s="173" t="str" cm="1">
        <f t="array" ref="X175">Common_InputFunctions.Utility_DisplayArrayInTable(Fertiliser_SourceData.Fertiliser_Products_Data3(), FertiliserProducts[[#Headers],[Company]],61)</f>
        <v/>
      </c>
      <c r="Y175" s="173" t="str" cm="1">
        <f t="array" ref="Y175">Common_InputFunctions.Utility_DisplayArrayInTable(Fertiliser_SourceData.Fertiliser_Products_Data3(), FertiliserProducts[[#Headers],[Company]],61)</f>
        <v/>
      </c>
      <c r="Z175" s="173" t="str" cm="1">
        <f t="array" ref="Z175">Common_InputFunctions.Utility_DisplayArrayInTable(Fertiliser_SourceData.Fertiliser_Products_Data3(), FertiliserProducts[[#Headers],[Company]],61)</f>
        <v/>
      </c>
      <c r="AA175" s="173" t="str" cm="1">
        <f t="array" ref="AA175">Common_InputFunctions.Utility_DisplayArrayInTable(Fertiliser_SourceData.Fertiliser_Products_Data3(), FertiliserProducts[[#Headers],[Company]],61)</f>
        <v/>
      </c>
      <c r="AB175" s="173" t="str" cm="1">
        <f t="array" ref="AB175">Common_InputFunctions.Utility_DisplayArrayInTable(Fertiliser_SourceData.Fertiliser_Products_Data3(), FertiliserProducts[[#Headers],[Company]],61)</f>
        <v/>
      </c>
      <c r="AC175" s="173" t="str" cm="1">
        <f t="array" ref="AC175">Common_InputFunctions.Utility_DisplayArrayInTable(Fertiliser_SourceData.Fertiliser_Products_Data3(), FertiliserProducts[[#Headers],[Company]],61)</f>
        <v/>
      </c>
      <c r="AD175" s="173" t="str" cm="1">
        <f t="array" ref="AD175">Common_InputFunctions.Utility_DisplayArrayInTable(Fertiliser_SourceData.Fertiliser_Products_Data3(), FertiliserProducts[[#Headers],[Company]],61)</f>
        <v/>
      </c>
      <c r="AE175" s="173" t="str" cm="1">
        <f t="array" ref="AE175">Common_InputFunctions.Utility_DisplayArrayInTable(Fertiliser_SourceData.Fertiliser_Products_Data3(), FertiliserProducts[[#Headers],[Company]],61)</f>
        <v/>
      </c>
      <c r="AF175" s="173" t="str" cm="1">
        <f t="array" ref="AF175">Common_InputFunctions.Utility_DisplayArrayInTable(Fertiliser_SourceData.Fertiliser_Products_Data3(), FertiliserProducts[[#Headers],[Company]],61)</f>
        <v/>
      </c>
      <c r="AG175" s="173" t="str" cm="1">
        <f t="array" ref="AG175">Common_InputFunctions.Utility_DisplayArrayInTable(Fertiliser_SourceData.Fertiliser_Products_Data3(), FertiliserProducts[[#Headers],[Company]],61)</f>
        <v/>
      </c>
      <c r="AH175" s="173" t="str" cm="1">
        <f t="array" ref="AH175">Common_InputFunctions.Utility_DisplayArrayInTable(Fertiliser_SourceData.Fertiliser_Products_Data3(), FertiliserProducts[[#Headers],[Company]],61)</f>
        <v/>
      </c>
      <c r="AK175" s="1"/>
    </row>
    <row r="176" spans="4:37" x14ac:dyDescent="0.25">
      <c r="D176" s="173" t="str" cm="1">
        <f t="array" ref="D176">Common_InputFunctions.Utility_DisplayArrayInTable(Fertiliser_SourceData.Fertiliser_Products_Data3(), FertiliserProducts[[#Headers],[Company]],61)</f>
        <v>Incitec Pivot Fertilisers</v>
      </c>
      <c r="E176" s="173" t="str" cm="1">
        <f t="array" ref="E176">Common_InputFunctions.Utility_DisplayArrayInTable(Fertiliser_SourceData.Fertiliser_Products_Data3(), FertiliserProducts[[#Headers],[Company]],61)</f>
        <v>NPKS 19-13-0-9</v>
      </c>
      <c r="F176" s="173" t="str" cm="1">
        <f t="array" ref="F176">Common_InputFunctions.Utility_DisplayArrayInTable(Fertiliser_SourceData.Fertiliser_Products_Data3(), FertiliserProducts[[#Headers],[Company]],61)</f>
        <v>kg</v>
      </c>
      <c r="G176" s="173" cm="1">
        <f t="array" ref="G176">Common_InputFunctions.Utility_DisplayArrayInTable(Fertiliser_SourceData.Fertiliser_Products_Data3(), FertiliserProducts[[#Headers],[Company]],61)</f>
        <v>1</v>
      </c>
      <c r="H176" s="173" t="str" cm="1">
        <f t="array" ref="H176">Common_InputFunctions.Utility_DisplayArrayInTable(Fertiliser_SourceData.Fertiliser_Products_Data3(), FertiliserProducts[[#Headers],[Company]],61)</f>
        <v/>
      </c>
      <c r="I176" s="173" t="str" cm="1">
        <f t="array" ref="I176">Common_InputFunctions.Utility_DisplayArrayInTable(Fertiliser_SourceData.Fertiliser_Products_Data3(), FertiliserProducts[[#Headers],[Company]],61)</f>
        <v/>
      </c>
      <c r="J176" s="173" t="str" cm="1">
        <f t="array" ref="J176">Common_InputFunctions.Utility_DisplayArrayInTable(Fertiliser_SourceData.Fertiliser_Products_Data3(), FertiliserProducts[[#Headers],[Company]],61)</f>
        <v/>
      </c>
      <c r="K176" s="173" cm="1">
        <f t="array" ref="K176">Common_InputFunctions.Utility_DisplayArrayInTable(Fertiliser_SourceData.Fertiliser_Products_Data3(), FertiliserProducts[[#Headers],[Company]],61)</f>
        <v>19</v>
      </c>
      <c r="L176" s="173" cm="1">
        <f t="array" ref="L176">Common_InputFunctions.Utility_DisplayArrayInTable(Fertiliser_SourceData.Fertiliser_Products_Data3(), FertiliserProducts[[#Headers],[Company]],61)</f>
        <v>13</v>
      </c>
      <c r="M176" s="173" cm="1">
        <f t="array" ref="M176">Common_InputFunctions.Utility_DisplayArrayInTable(Fertiliser_SourceData.Fertiliser_Products_Data3(), FertiliserProducts[[#Headers],[Company]],61)</f>
        <v>0</v>
      </c>
      <c r="N176" s="173" cm="1">
        <f t="array" ref="N176">Common_InputFunctions.Utility_DisplayArrayInTable(Fertiliser_SourceData.Fertiliser_Products_Data3(), FertiliserProducts[[#Headers],[Company]],61)</f>
        <v>9</v>
      </c>
      <c r="O176" s="173" t="str" cm="1">
        <f t="array" ref="O176">Common_InputFunctions.Utility_DisplayArrayInTable(Fertiliser_SourceData.Fertiliser_Products_Data3(), FertiliserProducts[[#Headers],[Company]],61)</f>
        <v>Nitrogen - Generic</v>
      </c>
      <c r="P176" s="173" cm="1">
        <f t="array" ref="P176">Common_InputFunctions.Utility_DisplayArrayInTable(Fertiliser_SourceData.Fertiliser_Products_Data3(), FertiliserProducts[[#Headers],[Company]],61)</f>
        <v>0.19</v>
      </c>
      <c r="Q176" s="173" t="str" cm="1">
        <f t="array" ref="Q176">Common_InputFunctions.Utility_DisplayArrayInTable(Fertiliser_SourceData.Fertiliser_Products_Data3(), FertiliserProducts[[#Headers],[Company]],61)</f>
        <v>Phosphorus - Generic</v>
      </c>
      <c r="R176" s="173" cm="1">
        <f t="array" ref="R176">Common_InputFunctions.Utility_DisplayArrayInTable(Fertiliser_SourceData.Fertiliser_Products_Data3(), FertiliserProducts[[#Headers],[Company]],61)</f>
        <v>0.13</v>
      </c>
      <c r="S176" s="173" t="str" cm="1">
        <f t="array" ref="S176">Common_InputFunctions.Utility_DisplayArrayInTable(Fertiliser_SourceData.Fertiliser_Products_Data3(), FertiliserProducts[[#Headers],[Company]],61)</f>
        <v>Sulfur - Generic</v>
      </c>
      <c r="T176" s="173" cm="1">
        <f t="array" ref="T176">Common_InputFunctions.Utility_DisplayArrayInTable(Fertiliser_SourceData.Fertiliser_Products_Data3(), FertiliserProducts[[#Headers],[Company]],61)</f>
        <v>0.09</v>
      </c>
      <c r="U176" s="173" t="str" cm="1">
        <f t="array" ref="U176">Common_InputFunctions.Utility_DisplayArrayInTable(Fertiliser_SourceData.Fertiliser_Products_Data3(), FertiliserProducts[[#Headers],[Company]],61)</f>
        <v/>
      </c>
      <c r="V176" s="173" t="str" cm="1">
        <f t="array" ref="V176">Common_InputFunctions.Utility_DisplayArrayInTable(Fertiliser_SourceData.Fertiliser_Products_Data3(), FertiliserProducts[[#Headers],[Company]],61)</f>
        <v/>
      </c>
      <c r="W176" s="173" t="str" cm="1">
        <f t="array" ref="W176">Common_InputFunctions.Utility_DisplayArrayInTable(Fertiliser_SourceData.Fertiliser_Products_Data3(), FertiliserProducts[[#Headers],[Company]],61)</f>
        <v/>
      </c>
      <c r="X176" s="173" t="str" cm="1">
        <f t="array" ref="X176">Common_InputFunctions.Utility_DisplayArrayInTable(Fertiliser_SourceData.Fertiliser_Products_Data3(), FertiliserProducts[[#Headers],[Company]],61)</f>
        <v/>
      </c>
      <c r="Y176" s="173" t="str" cm="1">
        <f t="array" ref="Y176">Common_InputFunctions.Utility_DisplayArrayInTable(Fertiliser_SourceData.Fertiliser_Products_Data3(), FertiliserProducts[[#Headers],[Company]],61)</f>
        <v/>
      </c>
      <c r="Z176" s="173" t="str" cm="1">
        <f t="array" ref="Z176">Common_InputFunctions.Utility_DisplayArrayInTable(Fertiliser_SourceData.Fertiliser_Products_Data3(), FertiliserProducts[[#Headers],[Company]],61)</f>
        <v/>
      </c>
      <c r="AA176" s="173" t="str" cm="1">
        <f t="array" ref="AA176">Common_InputFunctions.Utility_DisplayArrayInTable(Fertiliser_SourceData.Fertiliser_Products_Data3(), FertiliserProducts[[#Headers],[Company]],61)</f>
        <v/>
      </c>
      <c r="AB176" s="173" t="str" cm="1">
        <f t="array" ref="AB176">Common_InputFunctions.Utility_DisplayArrayInTable(Fertiliser_SourceData.Fertiliser_Products_Data3(), FertiliserProducts[[#Headers],[Company]],61)</f>
        <v/>
      </c>
      <c r="AC176" s="173" t="str" cm="1">
        <f t="array" ref="AC176">Common_InputFunctions.Utility_DisplayArrayInTable(Fertiliser_SourceData.Fertiliser_Products_Data3(), FertiliserProducts[[#Headers],[Company]],61)</f>
        <v/>
      </c>
      <c r="AD176" s="173" t="str" cm="1">
        <f t="array" ref="AD176">Common_InputFunctions.Utility_DisplayArrayInTable(Fertiliser_SourceData.Fertiliser_Products_Data3(), FertiliserProducts[[#Headers],[Company]],61)</f>
        <v/>
      </c>
      <c r="AE176" s="173" t="str" cm="1">
        <f t="array" ref="AE176">Common_InputFunctions.Utility_DisplayArrayInTable(Fertiliser_SourceData.Fertiliser_Products_Data3(), FertiliserProducts[[#Headers],[Company]],61)</f>
        <v/>
      </c>
      <c r="AF176" s="173" t="str" cm="1">
        <f t="array" ref="AF176">Common_InputFunctions.Utility_DisplayArrayInTable(Fertiliser_SourceData.Fertiliser_Products_Data3(), FertiliserProducts[[#Headers],[Company]],61)</f>
        <v/>
      </c>
      <c r="AG176" s="173" t="str" cm="1">
        <f t="array" ref="AG176">Common_InputFunctions.Utility_DisplayArrayInTable(Fertiliser_SourceData.Fertiliser_Products_Data3(), FertiliserProducts[[#Headers],[Company]],61)</f>
        <v/>
      </c>
      <c r="AH176" s="173" t="str" cm="1">
        <f t="array" ref="AH176">Common_InputFunctions.Utility_DisplayArrayInTable(Fertiliser_SourceData.Fertiliser_Products_Data3(), FertiliserProducts[[#Headers],[Company]],61)</f>
        <v/>
      </c>
      <c r="AK176" s="1"/>
    </row>
    <row r="177" spans="4:37" x14ac:dyDescent="0.25">
      <c r="D177" s="173" t="str" cm="1">
        <f t="array" ref="D177">Common_InputFunctions.Utility_DisplayArrayInTable(Fertiliser_SourceData.Fertiliser_Products_Data3(), FertiliserProducts[[#Headers],[Company]],61)</f>
        <v>Incitec Pivot Fertilisers</v>
      </c>
      <c r="E177" s="173" t="str" cm="1">
        <f t="array" ref="E177">Common_InputFunctions.Utility_DisplayArrayInTable(Fertiliser_SourceData.Fertiliser_Products_Data3(), FertiliserProducts[[#Headers],[Company]],61)</f>
        <v>PastureBoosta</v>
      </c>
      <c r="F177" s="173" t="str" cm="1">
        <f t="array" ref="F177">Common_InputFunctions.Utility_DisplayArrayInTable(Fertiliser_SourceData.Fertiliser_Products_Data3(), FertiliserProducts[[#Headers],[Company]],61)</f>
        <v>kg</v>
      </c>
      <c r="G177" s="173" cm="1">
        <f t="array" ref="G177">Common_InputFunctions.Utility_DisplayArrayInTable(Fertiliser_SourceData.Fertiliser_Products_Data3(), FertiliserProducts[[#Headers],[Company]],61)</f>
        <v>1</v>
      </c>
      <c r="H177" s="173" t="str" cm="1">
        <f t="array" ref="H177">Common_InputFunctions.Utility_DisplayArrayInTable(Fertiliser_SourceData.Fertiliser_Products_Data3(), FertiliserProducts[[#Headers],[Company]],61)</f>
        <v/>
      </c>
      <c r="I177" s="173" t="str" cm="1">
        <f t="array" ref="I177">Common_InputFunctions.Utility_DisplayArrayInTable(Fertiliser_SourceData.Fertiliser_Products_Data3(), FertiliserProducts[[#Headers],[Company]],61)</f>
        <v/>
      </c>
      <c r="J177" s="173" t="str" cm="1">
        <f t="array" ref="J177">Common_InputFunctions.Utility_DisplayArrayInTable(Fertiliser_SourceData.Fertiliser_Products_Data3(), FertiliserProducts[[#Headers],[Company]],61)</f>
        <v/>
      </c>
      <c r="K177" s="173" cm="1">
        <f t="array" ref="K177">Common_InputFunctions.Utility_DisplayArrayInTable(Fertiliser_SourceData.Fertiliser_Products_Data3(), FertiliserProducts[[#Headers],[Company]],61)</f>
        <v>23.8</v>
      </c>
      <c r="L177" s="173" cm="1">
        <f t="array" ref="L177">Common_InputFunctions.Utility_DisplayArrayInTable(Fertiliser_SourceData.Fertiliser_Products_Data3(), FertiliserProducts[[#Headers],[Company]],61)</f>
        <v>3.7</v>
      </c>
      <c r="M177" s="173" cm="1">
        <f t="array" ref="M177">Common_InputFunctions.Utility_DisplayArrayInTable(Fertiliser_SourceData.Fertiliser_Products_Data3(), FertiliserProducts[[#Headers],[Company]],61)</f>
        <v>13</v>
      </c>
      <c r="N177" s="173" cm="1">
        <f t="array" ref="N177">Common_InputFunctions.Utility_DisplayArrayInTable(Fertiliser_SourceData.Fertiliser_Products_Data3(), FertiliserProducts[[#Headers],[Company]],61)</f>
        <v>4.0999999999999996</v>
      </c>
      <c r="O177" s="173" t="str" cm="1">
        <f t="array" ref="O177">Common_InputFunctions.Utility_DisplayArrayInTable(Fertiliser_SourceData.Fertiliser_Products_Data3(), FertiliserProducts[[#Headers],[Company]],61)</f>
        <v>Nitrogen - Generic</v>
      </c>
      <c r="P177" s="173" cm="1">
        <f t="array" ref="P177">Common_InputFunctions.Utility_DisplayArrayInTable(Fertiliser_SourceData.Fertiliser_Products_Data3(), FertiliserProducts[[#Headers],[Company]],61)</f>
        <v>0.23799999999999999</v>
      </c>
      <c r="Q177" s="173" t="str" cm="1">
        <f t="array" ref="Q177">Common_InputFunctions.Utility_DisplayArrayInTable(Fertiliser_SourceData.Fertiliser_Products_Data3(), FertiliserProducts[[#Headers],[Company]],61)</f>
        <v>Phosphorus - Generic</v>
      </c>
      <c r="R177" s="173" cm="1">
        <f t="array" ref="R177">Common_InputFunctions.Utility_DisplayArrayInTable(Fertiliser_SourceData.Fertiliser_Products_Data3(), FertiliserProducts[[#Headers],[Company]],61)</f>
        <v>3.6999999999999998E-2</v>
      </c>
      <c r="S177" s="173" t="str" cm="1">
        <f t="array" ref="S177">Common_InputFunctions.Utility_DisplayArrayInTable(Fertiliser_SourceData.Fertiliser_Products_Data3(), FertiliserProducts[[#Headers],[Company]],61)</f>
        <v>Potassium - Generic</v>
      </c>
      <c r="T177" s="173" cm="1">
        <f t="array" ref="T177">Common_InputFunctions.Utility_DisplayArrayInTable(Fertiliser_SourceData.Fertiliser_Products_Data3(), FertiliserProducts[[#Headers],[Company]],61)</f>
        <v>0.13</v>
      </c>
      <c r="U177" s="173" t="str" cm="1">
        <f t="array" ref="U177">Common_InputFunctions.Utility_DisplayArrayInTable(Fertiliser_SourceData.Fertiliser_Products_Data3(), FertiliserProducts[[#Headers],[Company]],61)</f>
        <v>Sulfur - Generic</v>
      </c>
      <c r="V177" s="173" cm="1">
        <f t="array" ref="V177">Common_InputFunctions.Utility_DisplayArrayInTable(Fertiliser_SourceData.Fertiliser_Products_Data3(), FertiliserProducts[[#Headers],[Company]],61)</f>
        <v>4.1000000000000002E-2</v>
      </c>
      <c r="W177" s="173" t="str" cm="1">
        <f t="array" ref="W177">Common_InputFunctions.Utility_DisplayArrayInTable(Fertiliser_SourceData.Fertiliser_Products_Data3(), FertiliserProducts[[#Headers],[Company]],61)</f>
        <v/>
      </c>
      <c r="X177" s="173" t="str" cm="1">
        <f t="array" ref="X177">Common_InputFunctions.Utility_DisplayArrayInTable(Fertiliser_SourceData.Fertiliser_Products_Data3(), FertiliserProducts[[#Headers],[Company]],61)</f>
        <v/>
      </c>
      <c r="Y177" s="173" t="str" cm="1">
        <f t="array" ref="Y177">Common_InputFunctions.Utility_DisplayArrayInTable(Fertiliser_SourceData.Fertiliser_Products_Data3(), FertiliserProducts[[#Headers],[Company]],61)</f>
        <v/>
      </c>
      <c r="Z177" s="173" t="str" cm="1">
        <f t="array" ref="Z177">Common_InputFunctions.Utility_DisplayArrayInTable(Fertiliser_SourceData.Fertiliser_Products_Data3(), FertiliserProducts[[#Headers],[Company]],61)</f>
        <v/>
      </c>
      <c r="AA177" s="173" t="str" cm="1">
        <f t="array" ref="AA177">Common_InputFunctions.Utility_DisplayArrayInTable(Fertiliser_SourceData.Fertiliser_Products_Data3(), FertiliserProducts[[#Headers],[Company]],61)</f>
        <v/>
      </c>
      <c r="AB177" s="173" t="str" cm="1">
        <f t="array" ref="AB177">Common_InputFunctions.Utility_DisplayArrayInTable(Fertiliser_SourceData.Fertiliser_Products_Data3(), FertiliserProducts[[#Headers],[Company]],61)</f>
        <v/>
      </c>
      <c r="AC177" s="173" t="str" cm="1">
        <f t="array" ref="AC177">Common_InputFunctions.Utility_DisplayArrayInTable(Fertiliser_SourceData.Fertiliser_Products_Data3(), FertiliserProducts[[#Headers],[Company]],61)</f>
        <v/>
      </c>
      <c r="AD177" s="173" t="str" cm="1">
        <f t="array" ref="AD177">Common_InputFunctions.Utility_DisplayArrayInTable(Fertiliser_SourceData.Fertiliser_Products_Data3(), FertiliserProducts[[#Headers],[Company]],61)</f>
        <v/>
      </c>
      <c r="AE177" s="173" t="str" cm="1">
        <f t="array" ref="AE177">Common_InputFunctions.Utility_DisplayArrayInTable(Fertiliser_SourceData.Fertiliser_Products_Data3(), FertiliserProducts[[#Headers],[Company]],61)</f>
        <v/>
      </c>
      <c r="AF177" s="173" t="str" cm="1">
        <f t="array" ref="AF177">Common_InputFunctions.Utility_DisplayArrayInTable(Fertiliser_SourceData.Fertiliser_Products_Data3(), FertiliserProducts[[#Headers],[Company]],61)</f>
        <v/>
      </c>
      <c r="AG177" s="173" t="str" cm="1">
        <f t="array" ref="AG177">Common_InputFunctions.Utility_DisplayArrayInTable(Fertiliser_SourceData.Fertiliser_Products_Data3(), FertiliserProducts[[#Headers],[Company]],61)</f>
        <v/>
      </c>
      <c r="AH177" s="173" t="str" cm="1">
        <f t="array" ref="AH177">Common_InputFunctions.Utility_DisplayArrayInTable(Fertiliser_SourceData.Fertiliser_Products_Data3(), FertiliserProducts[[#Headers],[Company]],61)</f>
        <v/>
      </c>
      <c r="AK177" s="1"/>
    </row>
    <row r="178" spans="4:37" x14ac:dyDescent="0.25">
      <c r="D178" s="173" t="str" cm="1">
        <f t="array" ref="D178">Common_InputFunctions.Utility_DisplayArrayInTable(Fertiliser_SourceData.Fertiliser_Products_Data3(), FertiliserProducts[[#Headers],[Company]],61)</f>
        <v>Incitec Pivot Fertilisers</v>
      </c>
      <c r="E178" s="173" t="str" cm="1">
        <f t="array" ref="E178">Common_InputFunctions.Utility_DisplayArrayInTable(Fertiliser_SourceData.Fertiliser_Products_Data3(), FertiliserProducts[[#Headers],[Company]],61)</f>
        <v>Greentop K</v>
      </c>
      <c r="F178" s="173" t="str" cm="1">
        <f t="array" ref="F178">Common_InputFunctions.Utility_DisplayArrayInTable(Fertiliser_SourceData.Fertiliser_Products_Data3(), FertiliserProducts[[#Headers],[Company]],61)</f>
        <v>kg</v>
      </c>
      <c r="G178" s="173" cm="1">
        <f t="array" ref="G178">Common_InputFunctions.Utility_DisplayArrayInTable(Fertiliser_SourceData.Fertiliser_Products_Data3(), FertiliserProducts[[#Headers],[Company]],61)</f>
        <v>1</v>
      </c>
      <c r="H178" s="173" t="str" cm="1">
        <f t="array" ref="H178">Common_InputFunctions.Utility_DisplayArrayInTable(Fertiliser_SourceData.Fertiliser_Products_Data3(), FertiliserProducts[[#Headers],[Company]],61)</f>
        <v/>
      </c>
      <c r="I178" s="173" t="str" cm="1">
        <f t="array" ref="I178">Common_InputFunctions.Utility_DisplayArrayInTable(Fertiliser_SourceData.Fertiliser_Products_Data3(), FertiliserProducts[[#Headers],[Company]],61)</f>
        <v/>
      </c>
      <c r="J178" s="173" t="str" cm="1">
        <f t="array" ref="J178">Common_InputFunctions.Utility_DisplayArrayInTable(Fertiliser_SourceData.Fertiliser_Products_Data3(), FertiliserProducts[[#Headers],[Company]],61)</f>
        <v/>
      </c>
      <c r="K178" s="173" cm="1">
        <f t="array" ref="K178">Common_InputFunctions.Utility_DisplayArrayInTable(Fertiliser_SourceData.Fertiliser_Products_Data3(), FertiliserProducts[[#Headers],[Company]],61)</f>
        <v>32.799999999999997</v>
      </c>
      <c r="L178" s="173" t="str" cm="1">
        <f t="array" ref="L178">Common_InputFunctions.Utility_DisplayArrayInTable(Fertiliser_SourceData.Fertiliser_Products_Data3(), FertiliserProducts[[#Headers],[Company]],61)</f>
        <v/>
      </c>
      <c r="M178" s="173" cm="1">
        <f t="array" ref="M178">Common_InputFunctions.Utility_DisplayArrayInTable(Fertiliser_SourceData.Fertiliser_Products_Data3(), FertiliserProducts[[#Headers],[Company]],61)</f>
        <v>11</v>
      </c>
      <c r="N178" s="173" cm="1">
        <f t="array" ref="N178">Common_InputFunctions.Utility_DisplayArrayInTable(Fertiliser_SourceData.Fertiliser_Products_Data3(), FertiliserProducts[[#Headers],[Company]],61)</f>
        <v>2.9</v>
      </c>
      <c r="O178" s="173" t="str" cm="1">
        <f t="array" ref="O178">Common_InputFunctions.Utility_DisplayArrayInTable(Fertiliser_SourceData.Fertiliser_Products_Data3(), FertiliserProducts[[#Headers],[Company]],61)</f>
        <v>Urea</v>
      </c>
      <c r="P178" s="173" cm="1">
        <f t="array" ref="P178">Common_InputFunctions.Utility_DisplayArrayInTable(Fertiliser_SourceData.Fertiliser_Products_Data3(), FertiliserProducts[[#Headers],[Company]],61)</f>
        <v>0.66086999999999996</v>
      </c>
      <c r="Q178" s="173" t="str" cm="1">
        <f t="array" ref="Q178">Common_InputFunctions.Utility_DisplayArrayInTable(Fertiliser_SourceData.Fertiliser_Products_Data3(), FertiliserProducts[[#Headers],[Company]],61)</f>
        <v>Nitrogen - Ammoniacal</v>
      </c>
      <c r="R178" s="173" cm="1">
        <f t="array" ref="R178">Common_InputFunctions.Utility_DisplayArrayInTable(Fertiliser_SourceData.Fertiliser_Products_Data3(), FertiliserProducts[[#Headers],[Company]],61)</f>
        <v>2.4E-2</v>
      </c>
      <c r="S178" s="173" t="str" cm="1">
        <f t="array" ref="S178">Common_InputFunctions.Utility_DisplayArrayInTable(Fertiliser_SourceData.Fertiliser_Products_Data3(), FertiliserProducts[[#Headers],[Company]],61)</f>
        <v>Potassium - Generic</v>
      </c>
      <c r="T178" s="173" cm="1">
        <f t="array" ref="T178">Common_InputFunctions.Utility_DisplayArrayInTable(Fertiliser_SourceData.Fertiliser_Products_Data3(), FertiliserProducts[[#Headers],[Company]],61)</f>
        <v>0.11</v>
      </c>
      <c r="U178" s="173" t="str" cm="1">
        <f t="array" ref="U178">Common_InputFunctions.Utility_DisplayArrayInTable(Fertiliser_SourceData.Fertiliser_Products_Data3(), FertiliserProducts[[#Headers],[Company]],61)</f>
        <v>Sulfur - Generic</v>
      </c>
      <c r="V178" s="173" cm="1">
        <f t="array" ref="V178">Common_InputFunctions.Utility_DisplayArrayInTable(Fertiliser_SourceData.Fertiliser_Products_Data3(), FertiliserProducts[[#Headers],[Company]],61)</f>
        <v>2.9000000000000001E-2</v>
      </c>
      <c r="W178" s="173" t="str" cm="1">
        <f t="array" ref="W178">Common_InputFunctions.Utility_DisplayArrayInTable(Fertiliser_SourceData.Fertiliser_Products_Data3(), FertiliserProducts[[#Headers],[Company]],61)</f>
        <v/>
      </c>
      <c r="X178" s="173" t="str" cm="1">
        <f t="array" ref="X178">Common_InputFunctions.Utility_DisplayArrayInTable(Fertiliser_SourceData.Fertiliser_Products_Data3(), FertiliserProducts[[#Headers],[Company]],61)</f>
        <v/>
      </c>
      <c r="Y178" s="173" t="str" cm="1">
        <f t="array" ref="Y178">Common_InputFunctions.Utility_DisplayArrayInTable(Fertiliser_SourceData.Fertiliser_Products_Data3(), FertiliserProducts[[#Headers],[Company]],61)</f>
        <v/>
      </c>
      <c r="Z178" s="173" t="str" cm="1">
        <f t="array" ref="Z178">Common_InputFunctions.Utility_DisplayArrayInTable(Fertiliser_SourceData.Fertiliser_Products_Data3(), FertiliserProducts[[#Headers],[Company]],61)</f>
        <v/>
      </c>
      <c r="AA178" s="173" t="str" cm="1">
        <f t="array" ref="AA178">Common_InputFunctions.Utility_DisplayArrayInTable(Fertiliser_SourceData.Fertiliser_Products_Data3(), FertiliserProducts[[#Headers],[Company]],61)</f>
        <v/>
      </c>
      <c r="AB178" s="173" t="str" cm="1">
        <f t="array" ref="AB178">Common_InputFunctions.Utility_DisplayArrayInTable(Fertiliser_SourceData.Fertiliser_Products_Data3(), FertiliserProducts[[#Headers],[Company]],61)</f>
        <v/>
      </c>
      <c r="AC178" s="173" t="str" cm="1">
        <f t="array" ref="AC178">Common_InputFunctions.Utility_DisplayArrayInTable(Fertiliser_SourceData.Fertiliser_Products_Data3(), FertiliserProducts[[#Headers],[Company]],61)</f>
        <v/>
      </c>
      <c r="AD178" s="173" t="str" cm="1">
        <f t="array" ref="AD178">Common_InputFunctions.Utility_DisplayArrayInTable(Fertiliser_SourceData.Fertiliser_Products_Data3(), FertiliserProducts[[#Headers],[Company]],61)</f>
        <v/>
      </c>
      <c r="AE178" s="173" t="str" cm="1">
        <f t="array" ref="AE178">Common_InputFunctions.Utility_DisplayArrayInTable(Fertiliser_SourceData.Fertiliser_Products_Data3(), FertiliserProducts[[#Headers],[Company]],61)</f>
        <v/>
      </c>
      <c r="AF178" s="173" t="str" cm="1">
        <f t="array" ref="AF178">Common_InputFunctions.Utility_DisplayArrayInTable(Fertiliser_SourceData.Fertiliser_Products_Data3(), FertiliserProducts[[#Headers],[Company]],61)</f>
        <v/>
      </c>
      <c r="AG178" s="173" t="str" cm="1">
        <f t="array" ref="AG178">Common_InputFunctions.Utility_DisplayArrayInTable(Fertiliser_SourceData.Fertiliser_Products_Data3(), FertiliserProducts[[#Headers],[Company]],61)</f>
        <v/>
      </c>
      <c r="AH178" s="173" t="str" cm="1">
        <f t="array" ref="AH178">Common_InputFunctions.Utility_DisplayArrayInTable(Fertiliser_SourceData.Fertiliser_Products_Data3(), FertiliserProducts[[#Headers],[Company]],61)</f>
        <v/>
      </c>
      <c r="AK178" s="1"/>
    </row>
    <row r="179" spans="4:37" x14ac:dyDescent="0.25">
      <c r="D179" s="173" t="str" cm="1">
        <f t="array" ref="D179">Common_InputFunctions.Utility_DisplayArrayInTable(Fertiliser_SourceData.Fertiliser_Products_Data3(), FertiliserProducts[[#Headers],[Company]],61)</f>
        <v>Incitec Pivot Fertilisers</v>
      </c>
      <c r="E179" s="173" t="str" cm="1">
        <f t="array" ref="E179">Common_InputFunctions.Utility_DisplayArrayInTable(Fertiliser_SourceData.Fertiliser_Products_Data3(), FertiliserProducts[[#Headers],[Company]],61)</f>
        <v>HayBoosta</v>
      </c>
      <c r="F179" s="173" t="str" cm="1">
        <f t="array" ref="F179">Common_InputFunctions.Utility_DisplayArrayInTable(Fertiliser_SourceData.Fertiliser_Products_Data3(), FertiliserProducts[[#Headers],[Company]],61)</f>
        <v>kg</v>
      </c>
      <c r="G179" s="173" cm="1">
        <f t="array" ref="G179">Common_InputFunctions.Utility_DisplayArrayInTable(Fertiliser_SourceData.Fertiliser_Products_Data3(), FertiliserProducts[[#Headers],[Company]],61)</f>
        <v>1</v>
      </c>
      <c r="H179" s="173" t="str" cm="1">
        <f t="array" ref="H179">Common_InputFunctions.Utility_DisplayArrayInTable(Fertiliser_SourceData.Fertiliser_Products_Data3(), FertiliserProducts[[#Headers],[Company]],61)</f>
        <v/>
      </c>
      <c r="I179" s="173" t="str" cm="1">
        <f t="array" ref="I179">Common_InputFunctions.Utility_DisplayArrayInTable(Fertiliser_SourceData.Fertiliser_Products_Data3(), FertiliserProducts[[#Headers],[Company]],61)</f>
        <v/>
      </c>
      <c r="J179" s="173" t="str" cm="1">
        <f t="array" ref="J179">Common_InputFunctions.Utility_DisplayArrayInTable(Fertiliser_SourceData.Fertiliser_Products_Data3(), FertiliserProducts[[#Headers],[Company]],61)</f>
        <v/>
      </c>
      <c r="K179" s="173" cm="1">
        <f t="array" ref="K179">Common_InputFunctions.Utility_DisplayArrayInTable(Fertiliser_SourceData.Fertiliser_Products_Data3(), FertiliserProducts[[#Headers],[Company]],61)</f>
        <v>11.7</v>
      </c>
      <c r="L179" s="173" cm="1">
        <f t="array" ref="L179">Common_InputFunctions.Utility_DisplayArrayInTable(Fertiliser_SourceData.Fertiliser_Products_Data3(), FertiliserProducts[[#Headers],[Company]],61)</f>
        <v>4.7</v>
      </c>
      <c r="M179" s="173" cm="1">
        <f t="array" ref="M179">Common_InputFunctions.Utility_DisplayArrayInTable(Fertiliser_SourceData.Fertiliser_Products_Data3(), FertiliserProducts[[#Headers],[Company]],61)</f>
        <v>23.9</v>
      </c>
      <c r="N179" s="173" cm="1">
        <f t="array" ref="N179">Common_InputFunctions.Utility_DisplayArrayInTable(Fertiliser_SourceData.Fertiliser_Products_Data3(), FertiliserProducts[[#Headers],[Company]],61)</f>
        <v>4.5999999999999996</v>
      </c>
      <c r="O179" s="173" t="str" cm="1">
        <f t="array" ref="O179">Common_InputFunctions.Utility_DisplayArrayInTable(Fertiliser_SourceData.Fertiliser_Products_Data3(), FertiliserProducts[[#Headers],[Company]],61)</f>
        <v>Nitrogen - Generic</v>
      </c>
      <c r="P179" s="173" cm="1">
        <f t="array" ref="P179">Common_InputFunctions.Utility_DisplayArrayInTable(Fertiliser_SourceData.Fertiliser_Products_Data3(), FertiliserProducts[[#Headers],[Company]],61)</f>
        <v>0.11700000000000001</v>
      </c>
      <c r="Q179" s="173" t="str" cm="1">
        <f t="array" ref="Q179">Common_InputFunctions.Utility_DisplayArrayInTable(Fertiliser_SourceData.Fertiliser_Products_Data3(), FertiliserProducts[[#Headers],[Company]],61)</f>
        <v>Phosphorus - Generic</v>
      </c>
      <c r="R179" s="173" cm="1">
        <f t="array" ref="R179">Common_InputFunctions.Utility_DisplayArrayInTable(Fertiliser_SourceData.Fertiliser_Products_Data3(), FertiliserProducts[[#Headers],[Company]],61)</f>
        <v>4.7E-2</v>
      </c>
      <c r="S179" s="173" t="str" cm="1">
        <f t="array" ref="S179">Common_InputFunctions.Utility_DisplayArrayInTable(Fertiliser_SourceData.Fertiliser_Products_Data3(), FertiliserProducts[[#Headers],[Company]],61)</f>
        <v>Potassium - Generic</v>
      </c>
      <c r="T179" s="173" cm="1">
        <f t="array" ref="T179">Common_InputFunctions.Utility_DisplayArrayInTable(Fertiliser_SourceData.Fertiliser_Products_Data3(), FertiliserProducts[[#Headers],[Company]],61)</f>
        <v>0.23899999999999999</v>
      </c>
      <c r="U179" s="173" t="str" cm="1">
        <f t="array" ref="U179">Common_InputFunctions.Utility_DisplayArrayInTable(Fertiliser_SourceData.Fertiliser_Products_Data3(), FertiliserProducts[[#Headers],[Company]],61)</f>
        <v>Sulfur - Generic</v>
      </c>
      <c r="V179" s="173" cm="1">
        <f t="array" ref="V179">Common_InputFunctions.Utility_DisplayArrayInTable(Fertiliser_SourceData.Fertiliser_Products_Data3(), FertiliserProducts[[#Headers],[Company]],61)</f>
        <v>4.5999999999999999E-2</v>
      </c>
      <c r="W179" s="173" t="str" cm="1">
        <f t="array" ref="W179">Common_InputFunctions.Utility_DisplayArrayInTable(Fertiliser_SourceData.Fertiliser_Products_Data3(), FertiliserProducts[[#Headers],[Company]],61)</f>
        <v/>
      </c>
      <c r="X179" s="173" t="str" cm="1">
        <f t="array" ref="X179">Common_InputFunctions.Utility_DisplayArrayInTable(Fertiliser_SourceData.Fertiliser_Products_Data3(), FertiliserProducts[[#Headers],[Company]],61)</f>
        <v/>
      </c>
      <c r="Y179" s="173" t="str" cm="1">
        <f t="array" ref="Y179">Common_InputFunctions.Utility_DisplayArrayInTable(Fertiliser_SourceData.Fertiliser_Products_Data3(), FertiliserProducts[[#Headers],[Company]],61)</f>
        <v/>
      </c>
      <c r="Z179" s="173" t="str" cm="1">
        <f t="array" ref="Z179">Common_InputFunctions.Utility_DisplayArrayInTable(Fertiliser_SourceData.Fertiliser_Products_Data3(), FertiliserProducts[[#Headers],[Company]],61)</f>
        <v/>
      </c>
      <c r="AA179" s="173" t="str" cm="1">
        <f t="array" ref="AA179">Common_InputFunctions.Utility_DisplayArrayInTable(Fertiliser_SourceData.Fertiliser_Products_Data3(), FertiliserProducts[[#Headers],[Company]],61)</f>
        <v/>
      </c>
      <c r="AB179" s="173" t="str" cm="1">
        <f t="array" ref="AB179">Common_InputFunctions.Utility_DisplayArrayInTable(Fertiliser_SourceData.Fertiliser_Products_Data3(), FertiliserProducts[[#Headers],[Company]],61)</f>
        <v/>
      </c>
      <c r="AC179" s="173" t="str" cm="1">
        <f t="array" ref="AC179">Common_InputFunctions.Utility_DisplayArrayInTable(Fertiliser_SourceData.Fertiliser_Products_Data3(), FertiliserProducts[[#Headers],[Company]],61)</f>
        <v/>
      </c>
      <c r="AD179" s="173" t="str" cm="1">
        <f t="array" ref="AD179">Common_InputFunctions.Utility_DisplayArrayInTable(Fertiliser_SourceData.Fertiliser_Products_Data3(), FertiliserProducts[[#Headers],[Company]],61)</f>
        <v/>
      </c>
      <c r="AE179" s="173" t="str" cm="1">
        <f t="array" ref="AE179">Common_InputFunctions.Utility_DisplayArrayInTable(Fertiliser_SourceData.Fertiliser_Products_Data3(), FertiliserProducts[[#Headers],[Company]],61)</f>
        <v/>
      </c>
      <c r="AF179" s="173" t="str" cm="1">
        <f t="array" ref="AF179">Common_InputFunctions.Utility_DisplayArrayInTable(Fertiliser_SourceData.Fertiliser_Products_Data3(), FertiliserProducts[[#Headers],[Company]],61)</f>
        <v/>
      </c>
      <c r="AG179" s="173" t="str" cm="1">
        <f t="array" ref="AG179">Common_InputFunctions.Utility_DisplayArrayInTable(Fertiliser_SourceData.Fertiliser_Products_Data3(), FertiliserProducts[[#Headers],[Company]],61)</f>
        <v/>
      </c>
      <c r="AH179" s="173" t="str" cm="1">
        <f t="array" ref="AH179">Common_InputFunctions.Utility_DisplayArrayInTable(Fertiliser_SourceData.Fertiliser_Products_Data3(), FertiliserProducts[[#Headers],[Company]],61)</f>
        <v/>
      </c>
      <c r="AK179" s="1"/>
    </row>
    <row r="180" spans="4:37" x14ac:dyDescent="0.25">
      <c r="D180" s="173" t="str" cm="1">
        <f t="array" ref="D180">Common_InputFunctions.Utility_DisplayArrayInTable(Fertiliser_SourceData.Fertiliser_Products_Data4(),FertiliserProducts[[#Headers],[Company]], 91)</f>
        <v>Impact Fertilisers</v>
      </c>
      <c r="E180" s="173" t="str" cm="1">
        <f t="array" ref="E180">Common_InputFunctions.Utility_DisplayArrayInTable(Fertiliser_SourceData.Fertiliser_Products_Data4(),FertiliserProducts[[#Headers],[Company]], 91)</f>
        <v>Impact Super Potash 1&amp;1</v>
      </c>
      <c r="F180" s="173" t="str" cm="1">
        <f t="array" ref="F180">Common_InputFunctions.Utility_DisplayArrayInTable(Fertiliser_SourceData.Fertiliser_Products_Data4(),FertiliserProducts[[#Headers],[Company]], 91)</f>
        <v>kg</v>
      </c>
      <c r="G180" s="173" cm="1">
        <f t="array" ref="G180">Common_InputFunctions.Utility_DisplayArrayInTable(Fertiliser_SourceData.Fertiliser_Products_Data4(),FertiliserProducts[[#Headers],[Company]], 91)</f>
        <v>1</v>
      </c>
      <c r="H180" s="173" t="str" cm="1">
        <f t="array" ref="H180">Common_InputFunctions.Utility_DisplayArrayInTable(Fertiliser_SourceData.Fertiliser_Products_Data4(),FertiliserProducts[[#Headers],[Company]], 91)</f>
        <v/>
      </c>
      <c r="I180" s="173" t="str" cm="1">
        <f t="array" ref="I180">Common_InputFunctions.Utility_DisplayArrayInTable(Fertiliser_SourceData.Fertiliser_Products_Data4(),FertiliserProducts[[#Headers],[Company]], 91)</f>
        <v/>
      </c>
      <c r="J180" s="173" t="str" cm="1">
        <f t="array" ref="J180">Common_InputFunctions.Utility_DisplayArrayInTable(Fertiliser_SourceData.Fertiliser_Products_Data4(),FertiliserProducts[[#Headers],[Company]], 91)</f>
        <v/>
      </c>
      <c r="K180" s="173" t="str" cm="1">
        <f t="array" ref="K180">Common_InputFunctions.Utility_DisplayArrayInTable(Fertiliser_SourceData.Fertiliser_Products_Data4(),FertiliserProducts[[#Headers],[Company]], 91)</f>
        <v/>
      </c>
      <c r="L180" s="173" cm="1">
        <f t="array" ref="L180">Common_InputFunctions.Utility_DisplayArrayInTable(Fertiliser_SourceData.Fertiliser_Products_Data4(),FertiliserProducts[[#Headers],[Company]], 91)</f>
        <v>4.4000000000000004</v>
      </c>
      <c r="M180" s="173" cm="1">
        <f t="array" ref="M180">Common_InputFunctions.Utility_DisplayArrayInTable(Fertiliser_SourceData.Fertiliser_Products_Data4(),FertiliserProducts[[#Headers],[Company]], 91)</f>
        <v>25</v>
      </c>
      <c r="N180" s="173" cm="1">
        <f t="array" ref="N180">Common_InputFunctions.Utility_DisplayArrayInTable(Fertiliser_SourceData.Fertiliser_Products_Data4(),FertiliserProducts[[#Headers],[Company]], 91)</f>
        <v>5.5</v>
      </c>
      <c r="O180" s="173" t="str" cm="1">
        <f t="array" ref="O180">Common_InputFunctions.Utility_DisplayArrayInTable(Fertiliser_SourceData.Fertiliser_Products_Data4(),FertiliserProducts[[#Headers],[Company]], 91)</f>
        <v>Single superphosphate (SSP)</v>
      </c>
      <c r="P180" s="173" cm="1">
        <f t="array" ref="P180">Common_InputFunctions.Utility_DisplayArrayInTable(Fertiliser_SourceData.Fertiliser_Products_Data4(),FertiliserProducts[[#Headers],[Company]], 91)</f>
        <v>0.5</v>
      </c>
      <c r="Q180" s="173" t="str" cm="1">
        <f t="array" ref="Q180">Common_InputFunctions.Utility_DisplayArrayInTable(Fertiliser_SourceData.Fertiliser_Products_Data4(),FertiliserProducts[[#Headers],[Company]], 91)</f>
        <v>Muriate of potash (MOP)</v>
      </c>
      <c r="R180" s="173" cm="1">
        <f t="array" ref="R180">Common_InputFunctions.Utility_DisplayArrayInTable(Fertiliser_SourceData.Fertiliser_Products_Data4(),FertiliserProducts[[#Headers],[Company]], 91)</f>
        <v>0.5</v>
      </c>
      <c r="S180" s="173" t="str" cm="1">
        <f t="array" ref="S180">Common_InputFunctions.Utility_DisplayArrayInTable(Fertiliser_SourceData.Fertiliser_Products_Data4(),FertiliserProducts[[#Headers],[Company]], 91)</f>
        <v/>
      </c>
      <c r="T180" s="173" t="str" cm="1">
        <f t="array" ref="T180">Common_InputFunctions.Utility_DisplayArrayInTable(Fertiliser_SourceData.Fertiliser_Products_Data4(),FertiliserProducts[[#Headers],[Company]], 91)</f>
        <v/>
      </c>
      <c r="U180" s="173" t="str" cm="1">
        <f t="array" ref="U180">Common_InputFunctions.Utility_DisplayArrayInTable(Fertiliser_SourceData.Fertiliser_Products_Data4(),FertiliserProducts[[#Headers],[Company]], 91)</f>
        <v/>
      </c>
      <c r="V180" s="173" t="str" cm="1">
        <f t="array" ref="V180">Common_InputFunctions.Utility_DisplayArrayInTable(Fertiliser_SourceData.Fertiliser_Products_Data4(),FertiliserProducts[[#Headers],[Company]], 91)</f>
        <v/>
      </c>
      <c r="W180" s="173" t="str" cm="1">
        <f t="array" ref="W180">Common_InputFunctions.Utility_DisplayArrayInTable(Fertiliser_SourceData.Fertiliser_Products_Data4(),FertiliserProducts[[#Headers],[Company]], 91)</f>
        <v/>
      </c>
      <c r="X180" s="173" t="str" cm="1">
        <f t="array" ref="X180">Common_InputFunctions.Utility_DisplayArrayInTable(Fertiliser_SourceData.Fertiliser_Products_Data4(),FertiliserProducts[[#Headers],[Company]], 91)</f>
        <v/>
      </c>
      <c r="Y180" s="173" t="str" cm="1">
        <f t="array" ref="Y180">Common_InputFunctions.Utility_DisplayArrayInTable(Fertiliser_SourceData.Fertiliser_Products_Data4(),FertiliserProducts[[#Headers],[Company]], 91)</f>
        <v/>
      </c>
      <c r="Z180" s="173" t="str" cm="1">
        <f t="array" ref="Z180">Common_InputFunctions.Utility_DisplayArrayInTable(Fertiliser_SourceData.Fertiliser_Products_Data4(),FertiliserProducts[[#Headers],[Company]], 91)</f>
        <v/>
      </c>
      <c r="AA180" s="173" t="str" cm="1">
        <f t="array" ref="AA180">Common_InputFunctions.Utility_DisplayArrayInTable(Fertiliser_SourceData.Fertiliser_Products_Data4(),FertiliserProducts[[#Headers],[Company]], 91)</f>
        <v/>
      </c>
      <c r="AB180" s="173" t="str" cm="1">
        <f t="array" ref="AB180">Common_InputFunctions.Utility_DisplayArrayInTable(Fertiliser_SourceData.Fertiliser_Products_Data4(),FertiliserProducts[[#Headers],[Company]], 91)</f>
        <v/>
      </c>
      <c r="AC180" s="173" t="str" cm="1">
        <f t="array" ref="AC180">Common_InputFunctions.Utility_DisplayArrayInTable(Fertiliser_SourceData.Fertiliser_Products_Data4(),FertiliserProducts[[#Headers],[Company]], 91)</f>
        <v/>
      </c>
      <c r="AD180" s="173" t="str" cm="1">
        <f t="array" ref="AD180">Common_InputFunctions.Utility_DisplayArrayInTable(Fertiliser_SourceData.Fertiliser_Products_Data4(),FertiliserProducts[[#Headers],[Company]], 91)</f>
        <v/>
      </c>
      <c r="AE180" s="173" t="str" cm="1">
        <f t="array" ref="AE180">Common_InputFunctions.Utility_DisplayArrayInTable(Fertiliser_SourceData.Fertiliser_Products_Data4(),FertiliserProducts[[#Headers],[Company]], 91)</f>
        <v/>
      </c>
      <c r="AF180" s="173" t="str" cm="1">
        <f t="array" ref="AF180">Common_InputFunctions.Utility_DisplayArrayInTable(Fertiliser_SourceData.Fertiliser_Products_Data4(),FertiliserProducts[[#Headers],[Company]], 91)</f>
        <v/>
      </c>
      <c r="AG180" s="173" t="str" cm="1">
        <f t="array" ref="AG180">Common_InputFunctions.Utility_DisplayArrayInTable(Fertiliser_SourceData.Fertiliser_Products_Data4(),FertiliserProducts[[#Headers],[Company]], 91)</f>
        <v/>
      </c>
      <c r="AH180" s="173" t="str" cm="1">
        <f t="array" ref="AH180">Common_InputFunctions.Utility_DisplayArrayInTable(Fertiliser_SourceData.Fertiliser_Products_Data4(),FertiliserProducts[[#Headers],[Company]], 91)</f>
        <v/>
      </c>
    </row>
    <row r="181" spans="4:37" x14ac:dyDescent="0.25">
      <c r="D181" s="173" t="str" cm="1">
        <f t="array" ref="D181">Common_InputFunctions.Utility_DisplayArrayInTable(Fertiliser_SourceData.Fertiliser_Products_Data4(),FertiliserProducts[[#Headers],[Company]], 91)</f>
        <v>Impact Fertilisers</v>
      </c>
      <c r="E181" s="173" t="str" cm="1">
        <f t="array" ref="E181">Common_InputFunctions.Utility_DisplayArrayInTable(Fertiliser_SourceData.Fertiliser_Products_Data4(),FertiliserProducts[[#Headers],[Company]], 91)</f>
        <v>Impact Super Potash 2&amp;1</v>
      </c>
      <c r="F181" s="173" t="str" cm="1">
        <f t="array" ref="F181">Common_InputFunctions.Utility_DisplayArrayInTable(Fertiliser_SourceData.Fertiliser_Products_Data4(),FertiliserProducts[[#Headers],[Company]], 91)</f>
        <v>kg</v>
      </c>
      <c r="G181" s="173" cm="1">
        <f t="array" ref="G181">Common_InputFunctions.Utility_DisplayArrayInTable(Fertiliser_SourceData.Fertiliser_Products_Data4(),FertiliserProducts[[#Headers],[Company]], 91)</f>
        <v>1</v>
      </c>
      <c r="H181" s="173" t="str" cm="1">
        <f t="array" ref="H181">Common_InputFunctions.Utility_DisplayArrayInTable(Fertiliser_SourceData.Fertiliser_Products_Data4(),FertiliserProducts[[#Headers],[Company]], 91)</f>
        <v/>
      </c>
      <c r="I181" s="173" t="str" cm="1">
        <f t="array" ref="I181">Common_InputFunctions.Utility_DisplayArrayInTable(Fertiliser_SourceData.Fertiliser_Products_Data4(),FertiliserProducts[[#Headers],[Company]], 91)</f>
        <v/>
      </c>
      <c r="J181" s="173" t="str" cm="1">
        <f t="array" ref="J181">Common_InputFunctions.Utility_DisplayArrayInTable(Fertiliser_SourceData.Fertiliser_Products_Data4(),FertiliserProducts[[#Headers],[Company]], 91)</f>
        <v/>
      </c>
      <c r="K181" s="173" t="str" cm="1">
        <f t="array" ref="K181">Common_InputFunctions.Utility_DisplayArrayInTable(Fertiliser_SourceData.Fertiliser_Products_Data4(),FertiliserProducts[[#Headers],[Company]], 91)</f>
        <v/>
      </c>
      <c r="L181" s="173" cm="1">
        <f t="array" ref="L181">Common_InputFunctions.Utility_DisplayArrayInTable(Fertiliser_SourceData.Fertiliser_Products_Data4(),FertiliserProducts[[#Headers],[Company]], 91)</f>
        <v>5.84</v>
      </c>
      <c r="M181" s="173" cm="1">
        <f t="array" ref="M181">Common_InputFunctions.Utility_DisplayArrayInTable(Fertiliser_SourceData.Fertiliser_Products_Data4(),FertiliserProducts[[#Headers],[Company]], 91)</f>
        <v>16.8</v>
      </c>
      <c r="N181" s="173" cm="1">
        <f t="array" ref="N181">Common_InputFunctions.Utility_DisplayArrayInTable(Fertiliser_SourceData.Fertiliser_Products_Data4(),FertiliserProducts[[#Headers],[Company]], 91)</f>
        <v>7.29</v>
      </c>
      <c r="O181" s="173" t="str" cm="1">
        <f t="array" ref="O181">Common_InputFunctions.Utility_DisplayArrayInTable(Fertiliser_SourceData.Fertiliser_Products_Data4(),FertiliserProducts[[#Headers],[Company]], 91)</f>
        <v>Single superphosphate (SSP)</v>
      </c>
      <c r="P181" s="173" cm="1">
        <f t="array" ref="P181">Common_InputFunctions.Utility_DisplayArrayInTable(Fertiliser_SourceData.Fertiliser_Products_Data4(),FertiliserProducts[[#Headers],[Company]], 91)</f>
        <v>0.66315800000000003</v>
      </c>
      <c r="Q181" s="173" t="str" cm="1">
        <f t="array" ref="Q181">Common_InputFunctions.Utility_DisplayArrayInTable(Fertiliser_SourceData.Fertiliser_Products_Data4(),FertiliserProducts[[#Headers],[Company]], 91)</f>
        <v>Muriate of potash (MOP)</v>
      </c>
      <c r="R181" s="173" cm="1">
        <f t="array" ref="R181">Common_InputFunctions.Utility_DisplayArrayInTable(Fertiliser_SourceData.Fertiliser_Products_Data4(),FertiliserProducts[[#Headers],[Company]], 91)</f>
        <v>0.33600000000000002</v>
      </c>
      <c r="S181" s="173" t="str" cm="1">
        <f t="array" ref="S181">Common_InputFunctions.Utility_DisplayArrayInTable(Fertiliser_SourceData.Fertiliser_Products_Data4(),FertiliserProducts[[#Headers],[Company]], 91)</f>
        <v/>
      </c>
      <c r="T181" s="173" t="str" cm="1">
        <f t="array" ref="T181">Common_InputFunctions.Utility_DisplayArrayInTable(Fertiliser_SourceData.Fertiliser_Products_Data4(),FertiliserProducts[[#Headers],[Company]], 91)</f>
        <v/>
      </c>
      <c r="U181" s="173" t="str" cm="1">
        <f t="array" ref="U181">Common_InputFunctions.Utility_DisplayArrayInTable(Fertiliser_SourceData.Fertiliser_Products_Data4(),FertiliserProducts[[#Headers],[Company]], 91)</f>
        <v/>
      </c>
      <c r="V181" s="173" t="str" cm="1">
        <f t="array" ref="V181">Common_InputFunctions.Utility_DisplayArrayInTable(Fertiliser_SourceData.Fertiliser_Products_Data4(),FertiliserProducts[[#Headers],[Company]], 91)</f>
        <v/>
      </c>
      <c r="W181" s="173" t="str" cm="1">
        <f t="array" ref="W181">Common_InputFunctions.Utility_DisplayArrayInTable(Fertiliser_SourceData.Fertiliser_Products_Data4(),FertiliserProducts[[#Headers],[Company]], 91)</f>
        <v/>
      </c>
      <c r="X181" s="173" t="str" cm="1">
        <f t="array" ref="X181">Common_InputFunctions.Utility_DisplayArrayInTable(Fertiliser_SourceData.Fertiliser_Products_Data4(),FertiliserProducts[[#Headers],[Company]], 91)</f>
        <v/>
      </c>
      <c r="Y181" s="173" t="str" cm="1">
        <f t="array" ref="Y181">Common_InputFunctions.Utility_DisplayArrayInTable(Fertiliser_SourceData.Fertiliser_Products_Data4(),FertiliserProducts[[#Headers],[Company]], 91)</f>
        <v/>
      </c>
      <c r="Z181" s="173" t="str" cm="1">
        <f t="array" ref="Z181">Common_InputFunctions.Utility_DisplayArrayInTable(Fertiliser_SourceData.Fertiliser_Products_Data4(),FertiliserProducts[[#Headers],[Company]], 91)</f>
        <v/>
      </c>
      <c r="AA181" s="173" t="str" cm="1">
        <f t="array" ref="AA181">Common_InputFunctions.Utility_DisplayArrayInTable(Fertiliser_SourceData.Fertiliser_Products_Data4(),FertiliserProducts[[#Headers],[Company]], 91)</f>
        <v/>
      </c>
      <c r="AB181" s="173" t="str" cm="1">
        <f t="array" ref="AB181">Common_InputFunctions.Utility_DisplayArrayInTable(Fertiliser_SourceData.Fertiliser_Products_Data4(),FertiliserProducts[[#Headers],[Company]], 91)</f>
        <v/>
      </c>
      <c r="AC181" s="173" t="str" cm="1">
        <f t="array" ref="AC181">Common_InputFunctions.Utility_DisplayArrayInTable(Fertiliser_SourceData.Fertiliser_Products_Data4(),FertiliserProducts[[#Headers],[Company]], 91)</f>
        <v/>
      </c>
      <c r="AD181" s="173" t="str" cm="1">
        <f t="array" ref="AD181">Common_InputFunctions.Utility_DisplayArrayInTable(Fertiliser_SourceData.Fertiliser_Products_Data4(),FertiliserProducts[[#Headers],[Company]], 91)</f>
        <v/>
      </c>
      <c r="AE181" s="173" t="str" cm="1">
        <f t="array" ref="AE181">Common_InputFunctions.Utility_DisplayArrayInTable(Fertiliser_SourceData.Fertiliser_Products_Data4(),FertiliserProducts[[#Headers],[Company]], 91)</f>
        <v/>
      </c>
      <c r="AF181" s="173" t="str" cm="1">
        <f t="array" ref="AF181">Common_InputFunctions.Utility_DisplayArrayInTable(Fertiliser_SourceData.Fertiliser_Products_Data4(),FertiliserProducts[[#Headers],[Company]], 91)</f>
        <v/>
      </c>
      <c r="AG181" s="173" t="str" cm="1">
        <f t="array" ref="AG181">Common_InputFunctions.Utility_DisplayArrayInTable(Fertiliser_SourceData.Fertiliser_Products_Data4(),FertiliserProducts[[#Headers],[Company]], 91)</f>
        <v/>
      </c>
      <c r="AH181" s="173" t="str" cm="1">
        <f t="array" ref="AH181">Common_InputFunctions.Utility_DisplayArrayInTable(Fertiliser_SourceData.Fertiliser_Products_Data4(),FertiliserProducts[[#Headers],[Company]], 91)</f>
        <v/>
      </c>
    </row>
    <row r="182" spans="4:37" x14ac:dyDescent="0.25">
      <c r="D182" s="173" t="str" cm="1">
        <f t="array" ref="D182">Common_InputFunctions.Utility_DisplayArrayInTable(Fertiliser_SourceData.Fertiliser_Products_Data4(),FertiliserProducts[[#Headers],[Company]], 91)</f>
        <v>Impact Fertilisers</v>
      </c>
      <c r="E182" s="173" t="str" cm="1">
        <f t="array" ref="E182">Common_InputFunctions.Utility_DisplayArrayInTable(Fertiliser_SourceData.Fertiliser_Products_Data4(),FertiliserProducts[[#Headers],[Company]], 91)</f>
        <v>Impact Super Potash 3&amp;1</v>
      </c>
      <c r="F182" s="173" t="str" cm="1">
        <f t="array" ref="F182">Common_InputFunctions.Utility_DisplayArrayInTable(Fertiliser_SourceData.Fertiliser_Products_Data4(),FertiliserProducts[[#Headers],[Company]], 91)</f>
        <v>kg</v>
      </c>
      <c r="G182" s="173" cm="1">
        <f t="array" ref="G182">Common_InputFunctions.Utility_DisplayArrayInTable(Fertiliser_SourceData.Fertiliser_Products_Data4(),FertiliserProducts[[#Headers],[Company]], 91)</f>
        <v>1</v>
      </c>
      <c r="H182" s="173" t="str" cm="1">
        <f t="array" ref="H182">Common_InputFunctions.Utility_DisplayArrayInTable(Fertiliser_SourceData.Fertiliser_Products_Data4(),FertiliserProducts[[#Headers],[Company]], 91)</f>
        <v/>
      </c>
      <c r="I182" s="173" t="str" cm="1">
        <f t="array" ref="I182">Common_InputFunctions.Utility_DisplayArrayInTable(Fertiliser_SourceData.Fertiliser_Products_Data4(),FertiliserProducts[[#Headers],[Company]], 91)</f>
        <v/>
      </c>
      <c r="J182" s="173" t="str" cm="1">
        <f t="array" ref="J182">Common_InputFunctions.Utility_DisplayArrayInTable(Fertiliser_SourceData.Fertiliser_Products_Data4(),FertiliserProducts[[#Headers],[Company]], 91)</f>
        <v/>
      </c>
      <c r="K182" s="173" t="str" cm="1">
        <f t="array" ref="K182">Common_InputFunctions.Utility_DisplayArrayInTable(Fertiliser_SourceData.Fertiliser_Products_Data4(),FertiliserProducts[[#Headers],[Company]], 91)</f>
        <v/>
      </c>
      <c r="L182" s="173" cm="1">
        <f t="array" ref="L182">Common_InputFunctions.Utility_DisplayArrayInTable(Fertiliser_SourceData.Fertiliser_Products_Data4(),FertiliserProducts[[#Headers],[Company]], 91)</f>
        <v>6.58</v>
      </c>
      <c r="M182" s="173" cm="1">
        <f t="array" ref="M182">Common_InputFunctions.Utility_DisplayArrayInTable(Fertiliser_SourceData.Fertiliser_Products_Data4(),FertiliserProducts[[#Headers],[Company]], 91)</f>
        <v>12.5</v>
      </c>
      <c r="N182" s="173" cm="1">
        <f t="array" ref="N182">Common_InputFunctions.Utility_DisplayArrayInTable(Fertiliser_SourceData.Fertiliser_Products_Data4(),FertiliserProducts[[#Headers],[Company]], 91)</f>
        <v>8.2200000000000006</v>
      </c>
      <c r="O182" s="173" t="str" cm="1">
        <f t="array" ref="O182">Common_InputFunctions.Utility_DisplayArrayInTable(Fertiliser_SourceData.Fertiliser_Products_Data4(),FertiliserProducts[[#Headers],[Company]], 91)</f>
        <v>Single superphosphate (SSP)</v>
      </c>
      <c r="P182" s="173" cm="1">
        <f t="array" ref="P182">Common_InputFunctions.Utility_DisplayArrayInTable(Fertiliser_SourceData.Fertiliser_Products_Data4(),FertiliserProducts[[#Headers],[Company]], 91)</f>
        <v>0.74736800000000003</v>
      </c>
      <c r="Q182" s="173" t="str" cm="1">
        <f t="array" ref="Q182">Common_InputFunctions.Utility_DisplayArrayInTable(Fertiliser_SourceData.Fertiliser_Products_Data4(),FertiliserProducts[[#Headers],[Company]], 91)</f>
        <v>Muriate of potash (MOP)</v>
      </c>
      <c r="R182" s="173" cm="1">
        <f t="array" ref="R182">Common_InputFunctions.Utility_DisplayArrayInTable(Fertiliser_SourceData.Fertiliser_Products_Data4(),FertiliserProducts[[#Headers],[Company]], 91)</f>
        <v>0.25</v>
      </c>
      <c r="S182" s="173" t="str" cm="1">
        <f t="array" ref="S182">Common_InputFunctions.Utility_DisplayArrayInTable(Fertiliser_SourceData.Fertiliser_Products_Data4(),FertiliserProducts[[#Headers],[Company]], 91)</f>
        <v/>
      </c>
      <c r="T182" s="173" t="str" cm="1">
        <f t="array" ref="T182">Common_InputFunctions.Utility_DisplayArrayInTable(Fertiliser_SourceData.Fertiliser_Products_Data4(),FertiliserProducts[[#Headers],[Company]], 91)</f>
        <v/>
      </c>
      <c r="U182" s="173" t="str" cm="1">
        <f t="array" ref="U182">Common_InputFunctions.Utility_DisplayArrayInTable(Fertiliser_SourceData.Fertiliser_Products_Data4(),FertiliserProducts[[#Headers],[Company]], 91)</f>
        <v/>
      </c>
      <c r="V182" s="173" t="str" cm="1">
        <f t="array" ref="V182">Common_InputFunctions.Utility_DisplayArrayInTable(Fertiliser_SourceData.Fertiliser_Products_Data4(),FertiliserProducts[[#Headers],[Company]], 91)</f>
        <v/>
      </c>
      <c r="W182" s="173" t="str" cm="1">
        <f t="array" ref="W182">Common_InputFunctions.Utility_DisplayArrayInTable(Fertiliser_SourceData.Fertiliser_Products_Data4(),FertiliserProducts[[#Headers],[Company]], 91)</f>
        <v/>
      </c>
      <c r="X182" s="173" t="str" cm="1">
        <f t="array" ref="X182">Common_InputFunctions.Utility_DisplayArrayInTable(Fertiliser_SourceData.Fertiliser_Products_Data4(),FertiliserProducts[[#Headers],[Company]], 91)</f>
        <v/>
      </c>
      <c r="Y182" s="173" t="str" cm="1">
        <f t="array" ref="Y182">Common_InputFunctions.Utility_DisplayArrayInTable(Fertiliser_SourceData.Fertiliser_Products_Data4(),FertiliserProducts[[#Headers],[Company]], 91)</f>
        <v/>
      </c>
      <c r="Z182" s="173" t="str" cm="1">
        <f t="array" ref="Z182">Common_InputFunctions.Utility_DisplayArrayInTable(Fertiliser_SourceData.Fertiliser_Products_Data4(),FertiliserProducts[[#Headers],[Company]], 91)</f>
        <v/>
      </c>
      <c r="AA182" s="173" t="str" cm="1">
        <f t="array" ref="AA182">Common_InputFunctions.Utility_DisplayArrayInTable(Fertiliser_SourceData.Fertiliser_Products_Data4(),FertiliserProducts[[#Headers],[Company]], 91)</f>
        <v/>
      </c>
      <c r="AB182" s="173" t="str" cm="1">
        <f t="array" ref="AB182">Common_InputFunctions.Utility_DisplayArrayInTable(Fertiliser_SourceData.Fertiliser_Products_Data4(),FertiliserProducts[[#Headers],[Company]], 91)</f>
        <v/>
      </c>
      <c r="AC182" s="173" t="str" cm="1">
        <f t="array" ref="AC182">Common_InputFunctions.Utility_DisplayArrayInTable(Fertiliser_SourceData.Fertiliser_Products_Data4(),FertiliserProducts[[#Headers],[Company]], 91)</f>
        <v/>
      </c>
      <c r="AD182" s="173" t="str" cm="1">
        <f t="array" ref="AD182">Common_InputFunctions.Utility_DisplayArrayInTable(Fertiliser_SourceData.Fertiliser_Products_Data4(),FertiliserProducts[[#Headers],[Company]], 91)</f>
        <v/>
      </c>
      <c r="AE182" s="173" t="str" cm="1">
        <f t="array" ref="AE182">Common_InputFunctions.Utility_DisplayArrayInTable(Fertiliser_SourceData.Fertiliser_Products_Data4(),FertiliserProducts[[#Headers],[Company]], 91)</f>
        <v/>
      </c>
      <c r="AF182" s="173" t="str" cm="1">
        <f t="array" ref="AF182">Common_InputFunctions.Utility_DisplayArrayInTable(Fertiliser_SourceData.Fertiliser_Products_Data4(),FertiliserProducts[[#Headers],[Company]], 91)</f>
        <v/>
      </c>
      <c r="AG182" s="173" t="str" cm="1">
        <f t="array" ref="AG182">Common_InputFunctions.Utility_DisplayArrayInTable(Fertiliser_SourceData.Fertiliser_Products_Data4(),FertiliserProducts[[#Headers],[Company]], 91)</f>
        <v/>
      </c>
      <c r="AH182" s="173" t="str" cm="1">
        <f t="array" ref="AH182">Common_InputFunctions.Utility_DisplayArrayInTable(Fertiliser_SourceData.Fertiliser_Products_Data4(),FertiliserProducts[[#Headers],[Company]], 91)</f>
        <v/>
      </c>
    </row>
    <row r="183" spans="4:37" x14ac:dyDescent="0.25">
      <c r="D183" s="173" t="str" cm="1">
        <f t="array" ref="D183">Common_InputFunctions.Utility_DisplayArrayInTable(Fertiliser_SourceData.Fertiliser_Products_Data4(),FertiliserProducts[[#Headers],[Company]], 91)</f>
        <v>Impact Fertilisers</v>
      </c>
      <c r="E183" s="173" t="str" cm="1">
        <f t="array" ref="E183">Common_InputFunctions.Utility_DisplayArrayInTable(Fertiliser_SourceData.Fertiliser_Products_Data4(),FertiliserProducts[[#Headers],[Company]], 91)</f>
        <v>Impact Super Potash 4&amp;1</v>
      </c>
      <c r="F183" s="173" t="str" cm="1">
        <f t="array" ref="F183">Common_InputFunctions.Utility_DisplayArrayInTable(Fertiliser_SourceData.Fertiliser_Products_Data4(),FertiliserProducts[[#Headers],[Company]], 91)</f>
        <v>kg</v>
      </c>
      <c r="G183" s="173" cm="1">
        <f t="array" ref="G183">Common_InputFunctions.Utility_DisplayArrayInTable(Fertiliser_SourceData.Fertiliser_Products_Data4(),FertiliserProducts[[#Headers],[Company]], 91)</f>
        <v>1</v>
      </c>
      <c r="H183" s="173" t="str" cm="1">
        <f t="array" ref="H183">Common_InputFunctions.Utility_DisplayArrayInTable(Fertiliser_SourceData.Fertiliser_Products_Data4(),FertiliserProducts[[#Headers],[Company]], 91)</f>
        <v/>
      </c>
      <c r="I183" s="173" t="str" cm="1">
        <f t="array" ref="I183">Common_InputFunctions.Utility_DisplayArrayInTable(Fertiliser_SourceData.Fertiliser_Products_Data4(),FertiliserProducts[[#Headers],[Company]], 91)</f>
        <v/>
      </c>
      <c r="J183" s="173" t="str" cm="1">
        <f t="array" ref="J183">Common_InputFunctions.Utility_DisplayArrayInTable(Fertiliser_SourceData.Fertiliser_Products_Data4(),FertiliserProducts[[#Headers],[Company]], 91)</f>
        <v/>
      </c>
      <c r="K183" s="173" t="str" cm="1">
        <f t="array" ref="K183">Common_InputFunctions.Utility_DisplayArrayInTable(Fertiliser_SourceData.Fertiliser_Products_Data4(),FertiliserProducts[[#Headers],[Company]], 91)</f>
        <v/>
      </c>
      <c r="L183" s="173" cm="1">
        <f t="array" ref="L183">Common_InputFunctions.Utility_DisplayArrayInTable(Fertiliser_SourceData.Fertiliser_Products_Data4(),FertiliserProducts[[#Headers],[Company]], 91)</f>
        <v>7.04</v>
      </c>
      <c r="M183" s="173" cm="1">
        <f t="array" ref="M183">Common_InputFunctions.Utility_DisplayArrayInTable(Fertiliser_SourceData.Fertiliser_Products_Data4(),FertiliserProducts[[#Headers],[Company]], 91)</f>
        <v>10</v>
      </c>
      <c r="N183" s="173" cm="1">
        <f t="array" ref="N183">Common_InputFunctions.Utility_DisplayArrayInTable(Fertiliser_SourceData.Fertiliser_Products_Data4(),FertiliserProducts[[#Headers],[Company]], 91)</f>
        <v>8.8000000000000007</v>
      </c>
      <c r="O183" s="173" t="str" cm="1">
        <f t="array" ref="O183">Common_InputFunctions.Utility_DisplayArrayInTable(Fertiliser_SourceData.Fertiliser_Products_Data4(),FertiliserProducts[[#Headers],[Company]], 91)</f>
        <v>Single superphosphate (SSP)</v>
      </c>
      <c r="P183" s="173" cm="1">
        <f t="array" ref="P183">Common_InputFunctions.Utility_DisplayArrayInTable(Fertiliser_SourceData.Fertiliser_Products_Data4(),FertiliserProducts[[#Headers],[Company]], 91)</f>
        <v>0.8</v>
      </c>
      <c r="Q183" s="173" t="str" cm="1">
        <f t="array" ref="Q183">Common_InputFunctions.Utility_DisplayArrayInTable(Fertiliser_SourceData.Fertiliser_Products_Data4(),FertiliserProducts[[#Headers],[Company]], 91)</f>
        <v>Muriate of potash (MOP)</v>
      </c>
      <c r="R183" s="173" cm="1">
        <f t="array" ref="R183">Common_InputFunctions.Utility_DisplayArrayInTable(Fertiliser_SourceData.Fertiliser_Products_Data4(),FertiliserProducts[[#Headers],[Company]], 91)</f>
        <v>0.2</v>
      </c>
      <c r="S183" s="173" t="str" cm="1">
        <f t="array" ref="S183">Common_InputFunctions.Utility_DisplayArrayInTable(Fertiliser_SourceData.Fertiliser_Products_Data4(),FertiliserProducts[[#Headers],[Company]], 91)</f>
        <v/>
      </c>
      <c r="T183" s="173" t="str" cm="1">
        <f t="array" ref="T183">Common_InputFunctions.Utility_DisplayArrayInTable(Fertiliser_SourceData.Fertiliser_Products_Data4(),FertiliserProducts[[#Headers],[Company]], 91)</f>
        <v/>
      </c>
      <c r="U183" s="173" t="str" cm="1">
        <f t="array" ref="U183">Common_InputFunctions.Utility_DisplayArrayInTable(Fertiliser_SourceData.Fertiliser_Products_Data4(),FertiliserProducts[[#Headers],[Company]], 91)</f>
        <v/>
      </c>
      <c r="V183" s="173" t="str" cm="1">
        <f t="array" ref="V183">Common_InputFunctions.Utility_DisplayArrayInTable(Fertiliser_SourceData.Fertiliser_Products_Data4(),FertiliserProducts[[#Headers],[Company]], 91)</f>
        <v/>
      </c>
      <c r="W183" s="173" t="str" cm="1">
        <f t="array" ref="W183">Common_InputFunctions.Utility_DisplayArrayInTable(Fertiliser_SourceData.Fertiliser_Products_Data4(),FertiliserProducts[[#Headers],[Company]], 91)</f>
        <v/>
      </c>
      <c r="X183" s="173" t="str" cm="1">
        <f t="array" ref="X183">Common_InputFunctions.Utility_DisplayArrayInTable(Fertiliser_SourceData.Fertiliser_Products_Data4(),FertiliserProducts[[#Headers],[Company]], 91)</f>
        <v/>
      </c>
      <c r="Y183" s="173" t="str" cm="1">
        <f t="array" ref="Y183">Common_InputFunctions.Utility_DisplayArrayInTable(Fertiliser_SourceData.Fertiliser_Products_Data4(),FertiliserProducts[[#Headers],[Company]], 91)</f>
        <v/>
      </c>
      <c r="Z183" s="173" t="str" cm="1">
        <f t="array" ref="Z183">Common_InputFunctions.Utility_DisplayArrayInTable(Fertiliser_SourceData.Fertiliser_Products_Data4(),FertiliserProducts[[#Headers],[Company]], 91)</f>
        <v/>
      </c>
      <c r="AA183" s="173" t="str" cm="1">
        <f t="array" ref="AA183">Common_InputFunctions.Utility_DisplayArrayInTable(Fertiliser_SourceData.Fertiliser_Products_Data4(),FertiliserProducts[[#Headers],[Company]], 91)</f>
        <v/>
      </c>
      <c r="AB183" s="173" t="str" cm="1">
        <f t="array" ref="AB183">Common_InputFunctions.Utility_DisplayArrayInTable(Fertiliser_SourceData.Fertiliser_Products_Data4(),FertiliserProducts[[#Headers],[Company]], 91)</f>
        <v/>
      </c>
      <c r="AC183" s="173" t="str" cm="1">
        <f t="array" ref="AC183">Common_InputFunctions.Utility_DisplayArrayInTable(Fertiliser_SourceData.Fertiliser_Products_Data4(),FertiliserProducts[[#Headers],[Company]], 91)</f>
        <v/>
      </c>
      <c r="AD183" s="173" t="str" cm="1">
        <f t="array" ref="AD183">Common_InputFunctions.Utility_DisplayArrayInTable(Fertiliser_SourceData.Fertiliser_Products_Data4(),FertiliserProducts[[#Headers],[Company]], 91)</f>
        <v/>
      </c>
      <c r="AE183" s="173" t="str" cm="1">
        <f t="array" ref="AE183">Common_InputFunctions.Utility_DisplayArrayInTable(Fertiliser_SourceData.Fertiliser_Products_Data4(),FertiliserProducts[[#Headers],[Company]], 91)</f>
        <v/>
      </c>
      <c r="AF183" s="173" t="str" cm="1">
        <f t="array" ref="AF183">Common_InputFunctions.Utility_DisplayArrayInTable(Fertiliser_SourceData.Fertiliser_Products_Data4(),FertiliserProducts[[#Headers],[Company]], 91)</f>
        <v/>
      </c>
      <c r="AG183" s="173" t="str" cm="1">
        <f t="array" ref="AG183">Common_InputFunctions.Utility_DisplayArrayInTable(Fertiliser_SourceData.Fertiliser_Products_Data4(),FertiliserProducts[[#Headers],[Company]], 91)</f>
        <v/>
      </c>
      <c r="AH183" s="173" t="str" cm="1">
        <f t="array" ref="AH183">Common_InputFunctions.Utility_DisplayArrayInTable(Fertiliser_SourceData.Fertiliser_Products_Data4(),FertiliserProducts[[#Headers],[Company]], 91)</f>
        <v/>
      </c>
    </row>
    <row r="184" spans="4:37" x14ac:dyDescent="0.25">
      <c r="D184" s="173" t="str" cm="1">
        <f t="array" ref="D184">Common_InputFunctions.Utility_DisplayArrayInTable(Fertiliser_SourceData.Fertiliser_Products_Data4(),FertiliserProducts[[#Headers],[Company]], 91)</f>
        <v>Impact Fertilisers</v>
      </c>
      <c r="E184" s="173" t="str" cm="1">
        <f t="array" ref="E184">Common_InputFunctions.Utility_DisplayArrayInTable(Fertiliser_SourceData.Fertiliser_Products_Data4(),FertiliserProducts[[#Headers],[Company]], 91)</f>
        <v>Impact Super Potash 5&amp;1</v>
      </c>
      <c r="F184" s="173" t="str" cm="1">
        <f t="array" ref="F184">Common_InputFunctions.Utility_DisplayArrayInTable(Fertiliser_SourceData.Fertiliser_Products_Data4(),FertiliserProducts[[#Headers],[Company]], 91)</f>
        <v>kg</v>
      </c>
      <c r="G184" s="173" cm="1">
        <f t="array" ref="G184">Common_InputFunctions.Utility_DisplayArrayInTable(Fertiliser_SourceData.Fertiliser_Products_Data4(),FertiliserProducts[[#Headers],[Company]], 91)</f>
        <v>1</v>
      </c>
      <c r="H184" s="173" t="str" cm="1">
        <f t="array" ref="H184">Common_InputFunctions.Utility_DisplayArrayInTable(Fertiliser_SourceData.Fertiliser_Products_Data4(),FertiliserProducts[[#Headers],[Company]], 91)</f>
        <v/>
      </c>
      <c r="I184" s="173" t="str" cm="1">
        <f t="array" ref="I184">Common_InputFunctions.Utility_DisplayArrayInTable(Fertiliser_SourceData.Fertiliser_Products_Data4(),FertiliserProducts[[#Headers],[Company]], 91)</f>
        <v/>
      </c>
      <c r="J184" s="173" t="str" cm="1">
        <f t="array" ref="J184">Common_InputFunctions.Utility_DisplayArrayInTable(Fertiliser_SourceData.Fertiliser_Products_Data4(),FertiliserProducts[[#Headers],[Company]], 91)</f>
        <v/>
      </c>
      <c r="K184" s="173" t="str" cm="1">
        <f t="array" ref="K184">Common_InputFunctions.Utility_DisplayArrayInTable(Fertiliser_SourceData.Fertiliser_Products_Data4(),FertiliserProducts[[#Headers],[Company]], 91)</f>
        <v/>
      </c>
      <c r="L184" s="173" cm="1">
        <f t="array" ref="L184">Common_InputFunctions.Utility_DisplayArrayInTable(Fertiliser_SourceData.Fertiliser_Products_Data4(),FertiliserProducts[[#Headers],[Company]], 91)</f>
        <v>7.32</v>
      </c>
      <c r="M184" s="173" cm="1">
        <f t="array" ref="M184">Common_InputFunctions.Utility_DisplayArrayInTable(Fertiliser_SourceData.Fertiliser_Products_Data4(),FertiliserProducts[[#Headers],[Company]], 91)</f>
        <v>8.4</v>
      </c>
      <c r="N184" s="173" cm="1">
        <f t="array" ref="N184">Common_InputFunctions.Utility_DisplayArrayInTable(Fertiliser_SourceData.Fertiliser_Products_Data4(),FertiliserProducts[[#Headers],[Company]], 91)</f>
        <v>9.15</v>
      </c>
      <c r="O184" s="173" t="str" cm="1">
        <f t="array" ref="O184">Common_InputFunctions.Utility_DisplayArrayInTable(Fertiliser_SourceData.Fertiliser_Products_Data4(),FertiliserProducts[[#Headers],[Company]], 91)</f>
        <v>Single superphosphate (SSP)</v>
      </c>
      <c r="P184" s="173" cm="1">
        <f t="array" ref="P184">Common_InputFunctions.Utility_DisplayArrayInTable(Fertiliser_SourceData.Fertiliser_Products_Data4(),FertiliserProducts[[#Headers],[Company]], 91)</f>
        <v>0.83157899999999996</v>
      </c>
      <c r="Q184" s="173" t="str" cm="1">
        <f t="array" ref="Q184">Common_InputFunctions.Utility_DisplayArrayInTable(Fertiliser_SourceData.Fertiliser_Products_Data4(),FertiliserProducts[[#Headers],[Company]], 91)</f>
        <v>Muriate of potash (MOP)</v>
      </c>
      <c r="R184" s="173" cm="1">
        <f t="array" ref="R184">Common_InputFunctions.Utility_DisplayArrayInTable(Fertiliser_SourceData.Fertiliser_Products_Data4(),FertiliserProducts[[#Headers],[Company]], 91)</f>
        <v>0.16800000000000001</v>
      </c>
      <c r="S184" s="173" t="str" cm="1">
        <f t="array" ref="S184">Common_InputFunctions.Utility_DisplayArrayInTable(Fertiliser_SourceData.Fertiliser_Products_Data4(),FertiliserProducts[[#Headers],[Company]], 91)</f>
        <v/>
      </c>
      <c r="T184" s="173" t="str" cm="1">
        <f t="array" ref="T184">Common_InputFunctions.Utility_DisplayArrayInTable(Fertiliser_SourceData.Fertiliser_Products_Data4(),FertiliserProducts[[#Headers],[Company]], 91)</f>
        <v/>
      </c>
      <c r="U184" s="173" t="str" cm="1">
        <f t="array" ref="U184">Common_InputFunctions.Utility_DisplayArrayInTable(Fertiliser_SourceData.Fertiliser_Products_Data4(),FertiliserProducts[[#Headers],[Company]], 91)</f>
        <v/>
      </c>
      <c r="V184" s="173" t="str" cm="1">
        <f t="array" ref="V184">Common_InputFunctions.Utility_DisplayArrayInTable(Fertiliser_SourceData.Fertiliser_Products_Data4(),FertiliserProducts[[#Headers],[Company]], 91)</f>
        <v/>
      </c>
      <c r="W184" s="173" t="str" cm="1">
        <f t="array" ref="W184">Common_InputFunctions.Utility_DisplayArrayInTable(Fertiliser_SourceData.Fertiliser_Products_Data4(),FertiliserProducts[[#Headers],[Company]], 91)</f>
        <v/>
      </c>
      <c r="X184" s="173" t="str" cm="1">
        <f t="array" ref="X184">Common_InputFunctions.Utility_DisplayArrayInTable(Fertiliser_SourceData.Fertiliser_Products_Data4(),FertiliserProducts[[#Headers],[Company]], 91)</f>
        <v/>
      </c>
      <c r="Y184" s="173" t="str" cm="1">
        <f t="array" ref="Y184">Common_InputFunctions.Utility_DisplayArrayInTable(Fertiliser_SourceData.Fertiliser_Products_Data4(),FertiliserProducts[[#Headers],[Company]], 91)</f>
        <v/>
      </c>
      <c r="Z184" s="173" t="str" cm="1">
        <f t="array" ref="Z184">Common_InputFunctions.Utility_DisplayArrayInTable(Fertiliser_SourceData.Fertiliser_Products_Data4(),FertiliserProducts[[#Headers],[Company]], 91)</f>
        <v/>
      </c>
      <c r="AA184" s="173" t="str" cm="1">
        <f t="array" ref="AA184">Common_InputFunctions.Utility_DisplayArrayInTable(Fertiliser_SourceData.Fertiliser_Products_Data4(),FertiliserProducts[[#Headers],[Company]], 91)</f>
        <v/>
      </c>
      <c r="AB184" s="173" t="str" cm="1">
        <f t="array" ref="AB184">Common_InputFunctions.Utility_DisplayArrayInTable(Fertiliser_SourceData.Fertiliser_Products_Data4(),FertiliserProducts[[#Headers],[Company]], 91)</f>
        <v/>
      </c>
      <c r="AC184" s="173" t="str" cm="1">
        <f t="array" ref="AC184">Common_InputFunctions.Utility_DisplayArrayInTable(Fertiliser_SourceData.Fertiliser_Products_Data4(),FertiliserProducts[[#Headers],[Company]], 91)</f>
        <v/>
      </c>
      <c r="AD184" s="173" t="str" cm="1">
        <f t="array" ref="AD184">Common_InputFunctions.Utility_DisplayArrayInTable(Fertiliser_SourceData.Fertiliser_Products_Data4(),FertiliserProducts[[#Headers],[Company]], 91)</f>
        <v/>
      </c>
      <c r="AE184" s="173" t="str" cm="1">
        <f t="array" ref="AE184">Common_InputFunctions.Utility_DisplayArrayInTable(Fertiliser_SourceData.Fertiliser_Products_Data4(),FertiliserProducts[[#Headers],[Company]], 91)</f>
        <v/>
      </c>
      <c r="AF184" s="173" t="str" cm="1">
        <f t="array" ref="AF184">Common_InputFunctions.Utility_DisplayArrayInTable(Fertiliser_SourceData.Fertiliser_Products_Data4(),FertiliserProducts[[#Headers],[Company]], 91)</f>
        <v/>
      </c>
      <c r="AG184" s="173" t="str" cm="1">
        <f t="array" ref="AG184">Common_InputFunctions.Utility_DisplayArrayInTable(Fertiliser_SourceData.Fertiliser_Products_Data4(),FertiliserProducts[[#Headers],[Company]], 91)</f>
        <v/>
      </c>
      <c r="AH184" s="173" t="str" cm="1">
        <f t="array" ref="AH184">Common_InputFunctions.Utility_DisplayArrayInTable(Fertiliser_SourceData.Fertiliser_Products_Data4(),FertiliserProducts[[#Headers],[Company]], 91)</f>
        <v/>
      </c>
    </row>
    <row r="185" spans="4:37" x14ac:dyDescent="0.25">
      <c r="D185" s="173" t="str" cm="1">
        <f t="array" ref="D185">Common_InputFunctions.Utility_DisplayArrayInTable(Fertiliser_SourceData.Fertiliser_Products_Data4(),FertiliserProducts[[#Headers],[Company]], 91)</f>
        <v>Pacific Fertiliser / Incitec Pivot Fertilisers</v>
      </c>
      <c r="E185" s="173" t="str" cm="1">
        <f t="array" ref="E185">Common_InputFunctions.Utility_DisplayArrayInTable(Fertiliser_SourceData.Fertiliser_Products_Data4(),FertiliserProducts[[#Headers],[Company]], 91)</f>
        <v>Cal-Gran</v>
      </c>
      <c r="F185" s="173" t="str" cm="1">
        <f t="array" ref="F185">Common_InputFunctions.Utility_DisplayArrayInTable(Fertiliser_SourceData.Fertiliser_Products_Data4(),FertiliserProducts[[#Headers],[Company]], 91)</f>
        <v>kg</v>
      </c>
      <c r="G185" s="173" cm="1">
        <f t="array" ref="G185">Common_InputFunctions.Utility_DisplayArrayInTable(Fertiliser_SourceData.Fertiliser_Products_Data4(),FertiliserProducts[[#Headers],[Company]], 91)</f>
        <v>1</v>
      </c>
      <c r="H185" s="173" t="str" cm="1">
        <f t="array" ref="H185">Common_InputFunctions.Utility_DisplayArrayInTable(Fertiliser_SourceData.Fertiliser_Products_Data4(),FertiliserProducts[[#Headers],[Company]], 91)</f>
        <v/>
      </c>
      <c r="I185" s="173" t="str" cm="1">
        <f t="array" ref="I185">Common_InputFunctions.Utility_DisplayArrayInTable(Fertiliser_SourceData.Fertiliser_Products_Data4(),FertiliserProducts[[#Headers],[Company]], 91)</f>
        <v/>
      </c>
      <c r="J185" s="173" t="str" cm="1">
        <f t="array" ref="J185">Common_InputFunctions.Utility_DisplayArrayInTable(Fertiliser_SourceData.Fertiliser_Products_Data4(),FertiliserProducts[[#Headers],[Company]], 91)</f>
        <v/>
      </c>
      <c r="K185" s="173" cm="1">
        <f t="array" ref="K185">Common_InputFunctions.Utility_DisplayArrayInTable(Fertiliser_SourceData.Fertiliser_Products_Data4(),FertiliserProducts[[#Headers],[Company]], 91)</f>
        <v>23.9</v>
      </c>
      <c r="L185" s="173" t="str" cm="1">
        <f t="array" ref="L185">Common_InputFunctions.Utility_DisplayArrayInTable(Fertiliser_SourceData.Fertiliser_Products_Data4(),FertiliserProducts[[#Headers],[Company]], 91)</f>
        <v/>
      </c>
      <c r="M185" s="173" t="str" cm="1">
        <f t="array" ref="M185">Common_InputFunctions.Utility_DisplayArrayInTable(Fertiliser_SourceData.Fertiliser_Products_Data4(),FertiliserProducts[[#Headers],[Company]], 91)</f>
        <v/>
      </c>
      <c r="N185" s="173" cm="1">
        <f t="array" ref="N185">Common_InputFunctions.Utility_DisplayArrayInTable(Fertiliser_SourceData.Fertiliser_Products_Data4(),FertiliserProducts[[#Headers],[Company]], 91)</f>
        <v>10.8</v>
      </c>
      <c r="O185" s="173" t="str" cm="1">
        <f t="array" ref="O185">Common_InputFunctions.Utility_DisplayArrayInTable(Fertiliser_SourceData.Fertiliser_Products_Data4(),FertiliserProducts[[#Headers],[Company]], 91)</f>
        <v>Nitrogen - Nitrate</v>
      </c>
      <c r="P185" s="173" cm="1">
        <f t="array" ref="P185">Common_InputFunctions.Utility_DisplayArrayInTable(Fertiliser_SourceData.Fertiliser_Products_Data4(),FertiliserProducts[[#Headers],[Company]], 91)</f>
        <v>7.3999999999999996E-2</v>
      </c>
      <c r="Q185" s="173" t="str" cm="1">
        <f t="array" ref="Q185">Common_InputFunctions.Utility_DisplayArrayInTable(Fertiliser_SourceData.Fertiliser_Products_Data4(),FertiliserProducts[[#Headers],[Company]], 91)</f>
        <v>Nitrogen - Ammoniacal</v>
      </c>
      <c r="R185" s="173" cm="1">
        <f t="array" ref="R185">Common_InputFunctions.Utility_DisplayArrayInTable(Fertiliser_SourceData.Fertiliser_Products_Data4(),FertiliserProducts[[#Headers],[Company]], 91)</f>
        <v>0.16500000000000001</v>
      </c>
      <c r="S185" s="173" t="str" cm="1">
        <f t="array" ref="S185">Common_InputFunctions.Utility_DisplayArrayInTable(Fertiliser_SourceData.Fertiliser_Products_Data4(),FertiliserProducts[[#Headers],[Company]], 91)</f>
        <v>Sulfur - Generic</v>
      </c>
      <c r="T185" s="173" cm="1">
        <f t="array" ref="T185">Common_InputFunctions.Utility_DisplayArrayInTable(Fertiliser_SourceData.Fertiliser_Products_Data4(),FertiliserProducts[[#Headers],[Company]], 91)</f>
        <v>0.108</v>
      </c>
      <c r="U185" s="173" t="str" cm="1">
        <f t="array" ref="U185">Common_InputFunctions.Utility_DisplayArrayInTable(Fertiliser_SourceData.Fertiliser_Products_Data4(),FertiliserProducts[[#Headers],[Company]], 91)</f>
        <v>Calcium</v>
      </c>
      <c r="V185" s="173" cm="1">
        <f t="array" ref="V185">Common_InputFunctions.Utility_DisplayArrayInTable(Fertiliser_SourceData.Fertiliser_Products_Data4(),FertiliserProducts[[#Headers],[Company]], 91)</f>
        <v>4.3999999999999997E-2</v>
      </c>
      <c r="W185" s="173" t="str" cm="1">
        <f t="array" ref="W185">Common_InputFunctions.Utility_DisplayArrayInTable(Fertiliser_SourceData.Fertiliser_Products_Data4(),FertiliserProducts[[#Headers],[Company]], 91)</f>
        <v/>
      </c>
      <c r="X185" s="173" t="str" cm="1">
        <f t="array" ref="X185">Common_InputFunctions.Utility_DisplayArrayInTable(Fertiliser_SourceData.Fertiliser_Products_Data4(),FertiliserProducts[[#Headers],[Company]], 91)</f>
        <v/>
      </c>
      <c r="Y185" s="173" t="str" cm="1">
        <f t="array" ref="Y185">Common_InputFunctions.Utility_DisplayArrayInTable(Fertiliser_SourceData.Fertiliser_Products_Data4(),FertiliserProducts[[#Headers],[Company]], 91)</f>
        <v/>
      </c>
      <c r="Z185" s="173" t="str" cm="1">
        <f t="array" ref="Z185">Common_InputFunctions.Utility_DisplayArrayInTable(Fertiliser_SourceData.Fertiliser_Products_Data4(),FertiliserProducts[[#Headers],[Company]], 91)</f>
        <v/>
      </c>
      <c r="AA185" s="173" t="str" cm="1">
        <f t="array" ref="AA185">Common_InputFunctions.Utility_DisplayArrayInTable(Fertiliser_SourceData.Fertiliser_Products_Data4(),FertiliserProducts[[#Headers],[Company]], 91)</f>
        <v/>
      </c>
      <c r="AB185" s="173" t="str" cm="1">
        <f t="array" ref="AB185">Common_InputFunctions.Utility_DisplayArrayInTable(Fertiliser_SourceData.Fertiliser_Products_Data4(),FertiliserProducts[[#Headers],[Company]], 91)</f>
        <v/>
      </c>
      <c r="AC185" s="173" t="str" cm="1">
        <f t="array" ref="AC185">Common_InputFunctions.Utility_DisplayArrayInTable(Fertiliser_SourceData.Fertiliser_Products_Data4(),FertiliserProducts[[#Headers],[Company]], 91)</f>
        <v/>
      </c>
      <c r="AD185" s="173" t="str" cm="1">
        <f t="array" ref="AD185">Common_InputFunctions.Utility_DisplayArrayInTable(Fertiliser_SourceData.Fertiliser_Products_Data4(),FertiliserProducts[[#Headers],[Company]], 91)</f>
        <v/>
      </c>
      <c r="AE185" s="173" t="str" cm="1">
        <f t="array" ref="AE185">Common_InputFunctions.Utility_DisplayArrayInTable(Fertiliser_SourceData.Fertiliser_Products_Data4(),FertiliserProducts[[#Headers],[Company]], 91)</f>
        <v/>
      </c>
      <c r="AF185" s="173" t="str" cm="1">
        <f t="array" ref="AF185">Common_InputFunctions.Utility_DisplayArrayInTable(Fertiliser_SourceData.Fertiliser_Products_Data4(),FertiliserProducts[[#Headers],[Company]], 91)</f>
        <v/>
      </c>
      <c r="AG185" s="173" t="str" cm="1">
        <f t="array" ref="AG185">Common_InputFunctions.Utility_DisplayArrayInTable(Fertiliser_SourceData.Fertiliser_Products_Data4(),FertiliserProducts[[#Headers],[Company]], 91)</f>
        <v/>
      </c>
      <c r="AH185" s="173" t="str" cm="1">
        <f t="array" ref="AH185">Common_InputFunctions.Utility_DisplayArrayInTable(Fertiliser_SourceData.Fertiliser_Products_Data4(),FertiliserProducts[[#Headers],[Company]], 91)</f>
        <v/>
      </c>
    </row>
    <row r="186" spans="4:37" x14ac:dyDescent="0.25">
      <c r="D186" s="173" t="str" cm="1">
        <f t="array" ref="D186">Common_InputFunctions.Utility_DisplayArrayInTable(Fertiliser_SourceData.Fertiliser_Products_Data4(),FertiliserProducts[[#Headers],[Company]], 91)</f>
        <v>Pacific Fertiliser / Incitec Pivot Fertilisers</v>
      </c>
      <c r="E186" s="173" t="str" cm="1">
        <f t="array" ref="E186">Common_InputFunctions.Utility_DisplayArrayInTable(Fertiliser_SourceData.Fertiliser_Products_Data4(),FertiliserProducts[[#Headers],[Company]], 91)</f>
        <v>Cal-Gran 50/50</v>
      </c>
      <c r="F186" s="173" t="str" cm="1">
        <f t="array" ref="F186">Common_InputFunctions.Utility_DisplayArrayInTable(Fertiliser_SourceData.Fertiliser_Products_Data4(),FertiliserProducts[[#Headers],[Company]], 91)</f>
        <v>kg</v>
      </c>
      <c r="G186" s="173" cm="1">
        <f t="array" ref="G186">Common_InputFunctions.Utility_DisplayArrayInTable(Fertiliser_SourceData.Fertiliser_Products_Data4(),FertiliserProducts[[#Headers],[Company]], 91)</f>
        <v>1</v>
      </c>
      <c r="H186" s="173" t="str" cm="1">
        <f t="array" ref="H186">Common_InputFunctions.Utility_DisplayArrayInTable(Fertiliser_SourceData.Fertiliser_Products_Data4(),FertiliserProducts[[#Headers],[Company]], 91)</f>
        <v/>
      </c>
      <c r="I186" s="173" t="str" cm="1">
        <f t="array" ref="I186">Common_InputFunctions.Utility_DisplayArrayInTable(Fertiliser_SourceData.Fertiliser_Products_Data4(),FertiliserProducts[[#Headers],[Company]], 91)</f>
        <v/>
      </c>
      <c r="J186" s="173" t="str" cm="1">
        <f t="array" ref="J186">Common_InputFunctions.Utility_DisplayArrayInTable(Fertiliser_SourceData.Fertiliser_Products_Data4(),FertiliserProducts[[#Headers],[Company]], 91)</f>
        <v/>
      </c>
      <c r="K186" s="173" cm="1">
        <f t="array" ref="K186">Common_InputFunctions.Utility_DisplayArrayInTable(Fertiliser_SourceData.Fertiliser_Products_Data4(),FertiliserProducts[[#Headers],[Company]], 91)</f>
        <v>17.899999999999999</v>
      </c>
      <c r="L186" s="173" t="str" cm="1">
        <f t="array" ref="L186">Common_InputFunctions.Utility_DisplayArrayInTable(Fertiliser_SourceData.Fertiliser_Products_Data4(),FertiliserProducts[[#Headers],[Company]], 91)</f>
        <v/>
      </c>
      <c r="M186" s="173" cm="1">
        <f t="array" ref="M186">Common_InputFunctions.Utility_DisplayArrayInTable(Fertiliser_SourceData.Fertiliser_Products_Data4(),FertiliserProducts[[#Headers],[Company]], 91)</f>
        <v>15</v>
      </c>
      <c r="N186" s="173" cm="1">
        <f t="array" ref="N186">Common_InputFunctions.Utility_DisplayArrayInTable(Fertiliser_SourceData.Fertiliser_Products_Data4(),FertiliserProducts[[#Headers],[Company]], 91)</f>
        <v>3.6</v>
      </c>
      <c r="O186" s="173" t="str" cm="1">
        <f t="array" ref="O186">Common_InputFunctions.Utility_DisplayArrayInTable(Fertiliser_SourceData.Fertiliser_Products_Data4(),FertiliserProducts[[#Headers],[Company]], 91)</f>
        <v>Nitrogen - Nitrate</v>
      </c>
      <c r="P186" s="173" cm="1">
        <f t="array" ref="P186">Common_InputFunctions.Utility_DisplayArrayInTable(Fertiliser_SourceData.Fertiliser_Products_Data4(),FertiliserProducts[[#Headers],[Company]], 91)</f>
        <v>5.5E-2</v>
      </c>
      <c r="Q186" s="173" t="str" cm="1">
        <f t="array" ref="Q186">Common_InputFunctions.Utility_DisplayArrayInTable(Fertiliser_SourceData.Fertiliser_Products_Data4(),FertiliserProducts[[#Headers],[Company]], 91)</f>
        <v>Nitrogen - Ammoniacal</v>
      </c>
      <c r="R186" s="173" cm="1">
        <f t="array" ref="R186">Common_InputFunctions.Utility_DisplayArrayInTable(Fertiliser_SourceData.Fertiliser_Products_Data4(),FertiliserProducts[[#Headers],[Company]], 91)</f>
        <v>0.124</v>
      </c>
      <c r="S186" s="173" t="str" cm="1">
        <f t="array" ref="S186">Common_InputFunctions.Utility_DisplayArrayInTable(Fertiliser_SourceData.Fertiliser_Products_Data4(),FertiliserProducts[[#Headers],[Company]], 91)</f>
        <v>Potassium - Generic</v>
      </c>
      <c r="T186" s="173" cm="1">
        <f t="array" ref="T186">Common_InputFunctions.Utility_DisplayArrayInTable(Fertiliser_SourceData.Fertiliser_Products_Data4(),FertiliserProducts[[#Headers],[Company]], 91)</f>
        <v>0.15</v>
      </c>
      <c r="U186" s="173" t="str" cm="1">
        <f t="array" ref="U186">Common_InputFunctions.Utility_DisplayArrayInTable(Fertiliser_SourceData.Fertiliser_Products_Data4(),FertiliserProducts[[#Headers],[Company]], 91)</f>
        <v>Sulfur - Generic</v>
      </c>
      <c r="V186" s="173" cm="1">
        <f t="array" ref="V186">Common_InputFunctions.Utility_DisplayArrayInTable(Fertiliser_SourceData.Fertiliser_Products_Data4(),FertiliserProducts[[#Headers],[Company]], 91)</f>
        <v>3.5999999999999997E-2</v>
      </c>
      <c r="W186" s="173" t="str" cm="1">
        <f t="array" ref="W186">Common_InputFunctions.Utility_DisplayArrayInTable(Fertiliser_SourceData.Fertiliser_Products_Data4(),FertiliserProducts[[#Headers],[Company]], 91)</f>
        <v>Calcium</v>
      </c>
      <c r="X186" s="173" cm="1">
        <f t="array" ref="X186">Common_InputFunctions.Utility_DisplayArrayInTable(Fertiliser_SourceData.Fertiliser_Products_Data4(),FertiliserProducts[[#Headers],[Company]], 91)</f>
        <v>4.3999999999999997E-2</v>
      </c>
      <c r="Y186" s="173" t="str" cm="1">
        <f t="array" ref="Y186">Common_InputFunctions.Utility_DisplayArrayInTable(Fertiliser_SourceData.Fertiliser_Products_Data4(),FertiliserProducts[[#Headers],[Company]], 91)</f>
        <v/>
      </c>
      <c r="Z186" s="173" t="str" cm="1">
        <f t="array" ref="Z186">Common_InputFunctions.Utility_DisplayArrayInTable(Fertiliser_SourceData.Fertiliser_Products_Data4(),FertiliserProducts[[#Headers],[Company]], 91)</f>
        <v/>
      </c>
      <c r="AA186" s="173" t="str" cm="1">
        <f t="array" ref="AA186">Common_InputFunctions.Utility_DisplayArrayInTable(Fertiliser_SourceData.Fertiliser_Products_Data4(),FertiliserProducts[[#Headers],[Company]], 91)</f>
        <v/>
      </c>
      <c r="AB186" s="173" t="str" cm="1">
        <f t="array" ref="AB186">Common_InputFunctions.Utility_DisplayArrayInTable(Fertiliser_SourceData.Fertiliser_Products_Data4(),FertiliserProducts[[#Headers],[Company]], 91)</f>
        <v/>
      </c>
      <c r="AC186" s="173" t="str" cm="1">
        <f t="array" ref="AC186">Common_InputFunctions.Utility_DisplayArrayInTable(Fertiliser_SourceData.Fertiliser_Products_Data4(),FertiliserProducts[[#Headers],[Company]], 91)</f>
        <v/>
      </c>
      <c r="AD186" s="173" t="str" cm="1">
        <f t="array" ref="AD186">Common_InputFunctions.Utility_DisplayArrayInTable(Fertiliser_SourceData.Fertiliser_Products_Data4(),FertiliserProducts[[#Headers],[Company]], 91)</f>
        <v/>
      </c>
      <c r="AE186" s="173" t="str" cm="1">
        <f t="array" ref="AE186">Common_InputFunctions.Utility_DisplayArrayInTable(Fertiliser_SourceData.Fertiliser_Products_Data4(),FertiliserProducts[[#Headers],[Company]], 91)</f>
        <v/>
      </c>
      <c r="AF186" s="173" t="str" cm="1">
        <f t="array" ref="AF186">Common_InputFunctions.Utility_DisplayArrayInTable(Fertiliser_SourceData.Fertiliser_Products_Data4(),FertiliserProducts[[#Headers],[Company]], 91)</f>
        <v/>
      </c>
      <c r="AG186" s="173" t="str" cm="1">
        <f t="array" ref="AG186">Common_InputFunctions.Utility_DisplayArrayInTable(Fertiliser_SourceData.Fertiliser_Products_Data4(),FertiliserProducts[[#Headers],[Company]], 91)</f>
        <v/>
      </c>
      <c r="AH186" s="173" t="str" cm="1">
        <f t="array" ref="AH186">Common_InputFunctions.Utility_DisplayArrayInTable(Fertiliser_SourceData.Fertiliser_Products_Data4(),FertiliserProducts[[#Headers],[Company]], 91)</f>
        <v/>
      </c>
    </row>
    <row r="187" spans="4:37" x14ac:dyDescent="0.25">
      <c r="D187" s="173" t="str" cm="1">
        <f t="array" ref="D187">Common_InputFunctions.Utility_DisplayArrayInTable(Fertiliser_SourceData.Fertiliser_Products_Data4(),FertiliserProducts[[#Headers],[Company]], 91)</f>
        <v>Pacific Fertiliser / Incitec Pivot Fertilisers</v>
      </c>
      <c r="E187" s="173" t="str" cm="1">
        <f t="array" ref="E187">Common_InputFunctions.Utility_DisplayArrayInTable(Fertiliser_SourceData.Fertiliser_Products_Data4(),FertiliserProducts[[#Headers],[Company]], 91)</f>
        <v>Cal-Gran 50/50 (S)</v>
      </c>
      <c r="F187" s="173" t="str" cm="1">
        <f t="array" ref="F187">Common_InputFunctions.Utility_DisplayArrayInTable(Fertiliser_SourceData.Fertiliser_Products_Data4(),FertiliserProducts[[#Headers],[Company]], 91)</f>
        <v>kg</v>
      </c>
      <c r="G187" s="173" cm="1">
        <f t="array" ref="G187">Common_InputFunctions.Utility_DisplayArrayInTable(Fertiliser_SourceData.Fertiliser_Products_Data4(),FertiliserProducts[[#Headers],[Company]], 91)</f>
        <v>1</v>
      </c>
      <c r="H187" s="173" t="str" cm="1">
        <f t="array" ref="H187">Common_InputFunctions.Utility_DisplayArrayInTable(Fertiliser_SourceData.Fertiliser_Products_Data4(),FertiliserProducts[[#Headers],[Company]], 91)</f>
        <v/>
      </c>
      <c r="I187" s="173" t="str" cm="1">
        <f t="array" ref="I187">Common_InputFunctions.Utility_DisplayArrayInTable(Fertiliser_SourceData.Fertiliser_Products_Data4(),FertiliserProducts[[#Headers],[Company]], 91)</f>
        <v/>
      </c>
      <c r="J187" s="173" t="str" cm="1">
        <f t="array" ref="J187">Common_InputFunctions.Utility_DisplayArrayInTable(Fertiliser_SourceData.Fertiliser_Products_Data4(),FertiliserProducts[[#Headers],[Company]], 91)</f>
        <v/>
      </c>
      <c r="K187" s="173" cm="1">
        <f t="array" ref="K187">Common_InputFunctions.Utility_DisplayArrayInTable(Fertiliser_SourceData.Fertiliser_Products_Data4(),FertiliserProducts[[#Headers],[Company]], 91)</f>
        <v>16.899999999999999</v>
      </c>
      <c r="L187" s="173" t="str" cm="1">
        <f t="array" ref="L187">Common_InputFunctions.Utility_DisplayArrayInTable(Fertiliser_SourceData.Fertiliser_Products_Data4(),FertiliserProducts[[#Headers],[Company]], 91)</f>
        <v/>
      </c>
      <c r="M187" s="173" cm="1">
        <f t="array" ref="M187">Common_InputFunctions.Utility_DisplayArrayInTable(Fertiliser_SourceData.Fertiliser_Products_Data4(),FertiliserProducts[[#Headers],[Company]], 91)</f>
        <v>14.4</v>
      </c>
      <c r="N187" s="173" cm="1">
        <f t="array" ref="N187">Common_InputFunctions.Utility_DisplayArrayInTable(Fertiliser_SourceData.Fertiliser_Products_Data4(),FertiliserProducts[[#Headers],[Company]], 91)</f>
        <v>8.6999999999999993</v>
      </c>
      <c r="O187" s="173" t="str" cm="1">
        <f t="array" ref="O187">Common_InputFunctions.Utility_DisplayArrayInTable(Fertiliser_SourceData.Fertiliser_Products_Data4(),FertiliserProducts[[#Headers],[Company]], 91)</f>
        <v>Nitrogen - Nitrate</v>
      </c>
      <c r="P187" s="173" cm="1">
        <f t="array" ref="P187">Common_InputFunctions.Utility_DisplayArrayInTable(Fertiliser_SourceData.Fertiliser_Products_Data4(),FertiliserProducts[[#Headers],[Company]], 91)</f>
        <v>5.1999999999999998E-2</v>
      </c>
      <c r="Q187" s="173" t="str" cm="1">
        <f t="array" ref="Q187">Common_InputFunctions.Utility_DisplayArrayInTable(Fertiliser_SourceData.Fertiliser_Products_Data4(),FertiliserProducts[[#Headers],[Company]], 91)</f>
        <v>Nitrogen - Ammoniacal</v>
      </c>
      <c r="R187" s="173" cm="1">
        <f t="array" ref="R187">Common_InputFunctions.Utility_DisplayArrayInTable(Fertiliser_SourceData.Fertiliser_Products_Data4(),FertiliserProducts[[#Headers],[Company]], 91)</f>
        <v>0.11700000000000001</v>
      </c>
      <c r="S187" s="173" t="str" cm="1">
        <f t="array" ref="S187">Common_InputFunctions.Utility_DisplayArrayInTable(Fertiliser_SourceData.Fertiliser_Products_Data4(),FertiliserProducts[[#Headers],[Company]], 91)</f>
        <v>Potassium - Generic</v>
      </c>
      <c r="T187" s="173" cm="1">
        <f t="array" ref="T187">Common_InputFunctions.Utility_DisplayArrayInTable(Fertiliser_SourceData.Fertiliser_Products_Data4(),FertiliserProducts[[#Headers],[Company]], 91)</f>
        <v>0.14399999999999999</v>
      </c>
      <c r="U187" s="173" t="str" cm="1">
        <f t="array" ref="U187">Common_InputFunctions.Utility_DisplayArrayInTable(Fertiliser_SourceData.Fertiliser_Products_Data4(),FertiliserProducts[[#Headers],[Company]], 91)</f>
        <v>Sulfur - Generic</v>
      </c>
      <c r="V187" s="173" cm="1">
        <f t="array" ref="V187">Common_InputFunctions.Utility_DisplayArrayInTable(Fertiliser_SourceData.Fertiliser_Products_Data4(),FertiliserProducts[[#Headers],[Company]], 91)</f>
        <v>8.6999999999999994E-2</v>
      </c>
      <c r="W187" s="173" t="str" cm="1">
        <f t="array" ref="W187">Common_InputFunctions.Utility_DisplayArrayInTable(Fertiliser_SourceData.Fertiliser_Products_Data4(),FertiliserProducts[[#Headers],[Company]], 91)</f>
        <v>Calcium</v>
      </c>
      <c r="X187" s="173" cm="1">
        <f t="array" ref="X187">Common_InputFunctions.Utility_DisplayArrayInTable(Fertiliser_SourceData.Fertiliser_Products_Data4(),FertiliserProducts[[#Headers],[Company]], 91)</f>
        <v>4.3999999999999997E-2</v>
      </c>
      <c r="Y187" s="173" t="str" cm="1">
        <f t="array" ref="Y187">Common_InputFunctions.Utility_DisplayArrayInTable(Fertiliser_SourceData.Fertiliser_Products_Data4(),FertiliserProducts[[#Headers],[Company]], 91)</f>
        <v/>
      </c>
      <c r="Z187" s="173" t="str" cm="1">
        <f t="array" ref="Z187">Common_InputFunctions.Utility_DisplayArrayInTable(Fertiliser_SourceData.Fertiliser_Products_Data4(),FertiliserProducts[[#Headers],[Company]], 91)</f>
        <v/>
      </c>
      <c r="AA187" s="173" t="str" cm="1">
        <f t="array" ref="AA187">Common_InputFunctions.Utility_DisplayArrayInTable(Fertiliser_SourceData.Fertiliser_Products_Data4(),FertiliserProducts[[#Headers],[Company]], 91)</f>
        <v/>
      </c>
      <c r="AB187" s="173" t="str" cm="1">
        <f t="array" ref="AB187">Common_InputFunctions.Utility_DisplayArrayInTable(Fertiliser_SourceData.Fertiliser_Products_Data4(),FertiliserProducts[[#Headers],[Company]], 91)</f>
        <v/>
      </c>
      <c r="AC187" s="173" t="str" cm="1">
        <f t="array" ref="AC187">Common_InputFunctions.Utility_DisplayArrayInTable(Fertiliser_SourceData.Fertiliser_Products_Data4(),FertiliserProducts[[#Headers],[Company]], 91)</f>
        <v/>
      </c>
      <c r="AD187" s="173" t="str" cm="1">
        <f t="array" ref="AD187">Common_InputFunctions.Utility_DisplayArrayInTable(Fertiliser_SourceData.Fertiliser_Products_Data4(),FertiliserProducts[[#Headers],[Company]], 91)</f>
        <v/>
      </c>
      <c r="AE187" s="173" t="str" cm="1">
        <f t="array" ref="AE187">Common_InputFunctions.Utility_DisplayArrayInTable(Fertiliser_SourceData.Fertiliser_Products_Data4(),FertiliserProducts[[#Headers],[Company]], 91)</f>
        <v/>
      </c>
      <c r="AF187" s="173" t="str" cm="1">
        <f t="array" ref="AF187">Common_InputFunctions.Utility_DisplayArrayInTable(Fertiliser_SourceData.Fertiliser_Products_Data4(),FertiliserProducts[[#Headers],[Company]], 91)</f>
        <v/>
      </c>
      <c r="AG187" s="173" t="str" cm="1">
        <f t="array" ref="AG187">Common_InputFunctions.Utility_DisplayArrayInTable(Fertiliser_SourceData.Fertiliser_Products_Data4(),FertiliserProducts[[#Headers],[Company]], 91)</f>
        <v/>
      </c>
      <c r="AH187" s="173" t="str" cm="1">
        <f t="array" ref="AH187">Common_InputFunctions.Utility_DisplayArrayInTable(Fertiliser_SourceData.Fertiliser_Products_Data4(),FertiliserProducts[[#Headers],[Company]], 91)</f>
        <v/>
      </c>
    </row>
    <row r="188" spans="4:37" x14ac:dyDescent="0.25">
      <c r="D188" s="173" t="str" cm="1">
        <f t="array" ref="D188">Common_InputFunctions.Utility_DisplayArrayInTable(Fertiliser_SourceData.Fertiliser_Products_Data4(),FertiliserProducts[[#Headers],[Company]], 91)</f>
        <v>Pacific Fertiliser / Incitec Pivot Fertilisers</v>
      </c>
      <c r="E188" s="173" t="str" cm="1">
        <f t="array" ref="E188">Common_InputFunctions.Utility_DisplayArrayInTable(Fertiliser_SourceData.Fertiliser_Products_Data4(),FertiliserProducts[[#Headers],[Company]], 91)</f>
        <v>Cal-Gran 130</v>
      </c>
      <c r="F188" s="173" t="str" cm="1">
        <f t="array" ref="F188">Common_InputFunctions.Utility_DisplayArrayInTable(Fertiliser_SourceData.Fertiliser_Products_Data4(),FertiliserProducts[[#Headers],[Company]], 91)</f>
        <v>kg</v>
      </c>
      <c r="G188" s="173" cm="1">
        <f t="array" ref="G188">Common_InputFunctions.Utility_DisplayArrayInTable(Fertiliser_SourceData.Fertiliser_Products_Data4(),FertiliserProducts[[#Headers],[Company]], 91)</f>
        <v>1</v>
      </c>
      <c r="H188" s="173" t="str" cm="1">
        <f t="array" ref="H188">Common_InputFunctions.Utility_DisplayArrayInTable(Fertiliser_SourceData.Fertiliser_Products_Data4(),FertiliserProducts[[#Headers],[Company]], 91)</f>
        <v/>
      </c>
      <c r="I188" s="173" t="str" cm="1">
        <f t="array" ref="I188">Common_InputFunctions.Utility_DisplayArrayInTable(Fertiliser_SourceData.Fertiliser_Products_Data4(),FertiliserProducts[[#Headers],[Company]], 91)</f>
        <v/>
      </c>
      <c r="J188" s="173" t="str" cm="1">
        <f t="array" ref="J188">Common_InputFunctions.Utility_DisplayArrayInTable(Fertiliser_SourceData.Fertiliser_Products_Data4(),FertiliserProducts[[#Headers],[Company]], 91)</f>
        <v/>
      </c>
      <c r="K188" s="173" cm="1">
        <f t="array" ref="K188">Common_InputFunctions.Utility_DisplayArrayInTable(Fertiliser_SourceData.Fertiliser_Products_Data4(),FertiliserProducts[[#Headers],[Company]], 91)</f>
        <v>18.8</v>
      </c>
      <c r="L188" s="173" cm="1">
        <f t="array" ref="L188">Common_InputFunctions.Utility_DisplayArrayInTable(Fertiliser_SourceData.Fertiliser_Products_Data4(),FertiliserProducts[[#Headers],[Company]], 91)</f>
        <v>1</v>
      </c>
      <c r="M188" s="173" cm="1">
        <f t="array" ref="M188">Common_InputFunctions.Utility_DisplayArrayInTable(Fertiliser_SourceData.Fertiliser_Products_Data4(),FertiliserProducts[[#Headers],[Company]], 91)</f>
        <v>12.5</v>
      </c>
      <c r="N188" s="173" cm="1">
        <f t="array" ref="N188">Common_InputFunctions.Utility_DisplayArrayInTable(Fertiliser_SourceData.Fertiliser_Products_Data4(),FertiliserProducts[[#Headers],[Company]], 91)</f>
        <v>3.7</v>
      </c>
      <c r="O188" s="173" t="str" cm="1">
        <f t="array" ref="O188">Common_InputFunctions.Utility_DisplayArrayInTable(Fertiliser_SourceData.Fertiliser_Products_Data4(),FertiliserProducts[[#Headers],[Company]], 91)</f>
        <v>Nitrogen - Nitrate</v>
      </c>
      <c r="P188" s="173" cm="1">
        <f t="array" ref="P188">Common_InputFunctions.Utility_DisplayArrayInTable(Fertiliser_SourceData.Fertiliser_Products_Data4(),FertiliserProducts[[#Headers],[Company]], 91)</f>
        <v>5.8000000000000003E-2</v>
      </c>
      <c r="Q188" s="173" t="str" cm="1">
        <f t="array" ref="Q188">Common_InputFunctions.Utility_DisplayArrayInTable(Fertiliser_SourceData.Fertiliser_Products_Data4(),FertiliserProducts[[#Headers],[Company]], 91)</f>
        <v>Nitrogen - Ammoniacal</v>
      </c>
      <c r="R188" s="173" cm="1">
        <f t="array" ref="R188">Common_InputFunctions.Utility_DisplayArrayInTable(Fertiliser_SourceData.Fertiliser_Products_Data4(),FertiliserProducts[[#Headers],[Company]], 91)</f>
        <v>0.13</v>
      </c>
      <c r="S188" s="173" t="str" cm="1">
        <f t="array" ref="S188">Common_InputFunctions.Utility_DisplayArrayInTable(Fertiliser_SourceData.Fertiliser_Products_Data4(),FertiliserProducts[[#Headers],[Company]], 91)</f>
        <v>Phosphorus - Generic</v>
      </c>
      <c r="T188" s="173" cm="1">
        <f t="array" ref="T188">Common_InputFunctions.Utility_DisplayArrayInTable(Fertiliser_SourceData.Fertiliser_Products_Data4(),FertiliserProducts[[#Headers],[Company]], 91)</f>
        <v>0.01</v>
      </c>
      <c r="U188" s="173" t="str" cm="1">
        <f t="array" ref="U188">Common_InputFunctions.Utility_DisplayArrayInTable(Fertiliser_SourceData.Fertiliser_Products_Data4(),FertiliserProducts[[#Headers],[Company]], 91)</f>
        <v>Potassium - Generic</v>
      </c>
      <c r="V188" s="173" cm="1">
        <f t="array" ref="V188">Common_InputFunctions.Utility_DisplayArrayInTable(Fertiliser_SourceData.Fertiliser_Products_Data4(),FertiliserProducts[[#Headers],[Company]], 91)</f>
        <v>0.125</v>
      </c>
      <c r="W188" s="173" t="str" cm="1">
        <f t="array" ref="W188">Common_InputFunctions.Utility_DisplayArrayInTable(Fertiliser_SourceData.Fertiliser_Products_Data4(),FertiliserProducts[[#Headers],[Company]], 91)</f>
        <v>Sulfur - Generic</v>
      </c>
      <c r="X188" s="173" cm="1">
        <f t="array" ref="X188">Common_InputFunctions.Utility_DisplayArrayInTable(Fertiliser_SourceData.Fertiliser_Products_Data4(),FertiliserProducts[[#Headers],[Company]], 91)</f>
        <v>3.6999999999999998E-2</v>
      </c>
      <c r="Y188" s="173" t="str" cm="1">
        <f t="array" ref="Y188">Common_InputFunctions.Utility_DisplayArrayInTable(Fertiliser_SourceData.Fertiliser_Products_Data4(),FertiliserProducts[[#Headers],[Company]], 91)</f>
        <v>Calcium</v>
      </c>
      <c r="Z188" s="173" cm="1">
        <f t="array" ref="Z188">Common_InputFunctions.Utility_DisplayArrayInTable(Fertiliser_SourceData.Fertiliser_Products_Data4(),FertiliserProducts[[#Headers],[Company]], 91)</f>
        <v>4.3999999999999997E-2</v>
      </c>
      <c r="AA188" s="173" t="str" cm="1">
        <f t="array" ref="AA188">Common_InputFunctions.Utility_DisplayArrayInTable(Fertiliser_SourceData.Fertiliser_Products_Data4(),FertiliserProducts[[#Headers],[Company]], 91)</f>
        <v/>
      </c>
      <c r="AB188" s="173" t="str" cm="1">
        <f t="array" ref="AB188">Common_InputFunctions.Utility_DisplayArrayInTable(Fertiliser_SourceData.Fertiliser_Products_Data4(),FertiliserProducts[[#Headers],[Company]], 91)</f>
        <v/>
      </c>
      <c r="AC188" s="173" t="str" cm="1">
        <f t="array" ref="AC188">Common_InputFunctions.Utility_DisplayArrayInTable(Fertiliser_SourceData.Fertiliser_Products_Data4(),FertiliserProducts[[#Headers],[Company]], 91)</f>
        <v/>
      </c>
      <c r="AD188" s="173" t="str" cm="1">
        <f t="array" ref="AD188">Common_InputFunctions.Utility_DisplayArrayInTable(Fertiliser_SourceData.Fertiliser_Products_Data4(),FertiliserProducts[[#Headers],[Company]], 91)</f>
        <v/>
      </c>
      <c r="AE188" s="173" t="str" cm="1">
        <f t="array" ref="AE188">Common_InputFunctions.Utility_DisplayArrayInTable(Fertiliser_SourceData.Fertiliser_Products_Data4(),FertiliserProducts[[#Headers],[Company]], 91)</f>
        <v/>
      </c>
      <c r="AF188" s="173" t="str" cm="1">
        <f t="array" ref="AF188">Common_InputFunctions.Utility_DisplayArrayInTable(Fertiliser_SourceData.Fertiliser_Products_Data4(),FertiliserProducts[[#Headers],[Company]], 91)</f>
        <v/>
      </c>
      <c r="AG188" s="173" t="str" cm="1">
        <f t="array" ref="AG188">Common_InputFunctions.Utility_DisplayArrayInTable(Fertiliser_SourceData.Fertiliser_Products_Data4(),FertiliserProducts[[#Headers],[Company]], 91)</f>
        <v/>
      </c>
      <c r="AH188" s="173" t="str" cm="1">
        <f t="array" ref="AH188">Common_InputFunctions.Utility_DisplayArrayInTable(Fertiliser_SourceData.Fertiliser_Products_Data4(),FertiliserProducts[[#Headers],[Company]], 91)</f>
        <v/>
      </c>
    </row>
    <row r="189" spans="4:37" x14ac:dyDescent="0.25">
      <c r="D189" s="173" t="str" cm="1">
        <f t="array" ref="D189">Common_InputFunctions.Utility_DisplayArrayInTable(Fertiliser_SourceData.Fertiliser_Products_Data4(),FertiliserProducts[[#Headers],[Company]], 91)</f>
        <v>Pacific Fertiliser / Incitec Pivot Fertilisers</v>
      </c>
      <c r="E189" s="173" t="str" cm="1">
        <f t="array" ref="E189">Common_InputFunctions.Utility_DisplayArrayInTable(Fertiliser_SourceData.Fertiliser_Products_Data4(),FertiliserProducts[[#Headers],[Company]], 91)</f>
        <v>Cal-Gran 150</v>
      </c>
      <c r="F189" s="173" t="str" cm="1">
        <f t="array" ref="F189">Common_InputFunctions.Utility_DisplayArrayInTable(Fertiliser_SourceData.Fertiliser_Products_Data4(),FertiliserProducts[[#Headers],[Company]], 91)</f>
        <v>kg</v>
      </c>
      <c r="G189" s="173" cm="1">
        <f t="array" ref="G189">Common_InputFunctions.Utility_DisplayArrayInTable(Fertiliser_SourceData.Fertiliser_Products_Data4(),FertiliserProducts[[#Headers],[Company]], 91)</f>
        <v>1</v>
      </c>
      <c r="H189" s="173" t="str" cm="1">
        <f t="array" ref="H189">Common_InputFunctions.Utility_DisplayArrayInTable(Fertiliser_SourceData.Fertiliser_Products_Data4(),FertiliserProducts[[#Headers],[Company]], 91)</f>
        <v/>
      </c>
      <c r="I189" s="173" t="str" cm="1">
        <f t="array" ref="I189">Common_InputFunctions.Utility_DisplayArrayInTable(Fertiliser_SourceData.Fertiliser_Products_Data4(),FertiliserProducts[[#Headers],[Company]], 91)</f>
        <v/>
      </c>
      <c r="J189" s="173" t="str" cm="1">
        <f t="array" ref="J189">Common_InputFunctions.Utility_DisplayArrayInTable(Fertiliser_SourceData.Fertiliser_Products_Data4(),FertiliserProducts[[#Headers],[Company]], 91)</f>
        <v/>
      </c>
      <c r="K189" s="173" cm="1">
        <f t="array" ref="K189">Common_InputFunctions.Utility_DisplayArrayInTable(Fertiliser_SourceData.Fertiliser_Products_Data4(),FertiliserProducts[[#Headers],[Company]], 91)</f>
        <v>18.600000000000001</v>
      </c>
      <c r="L189" s="173" cm="1">
        <f t="array" ref="L189">Common_InputFunctions.Utility_DisplayArrayInTable(Fertiliser_SourceData.Fertiliser_Products_Data4(),FertiliserProducts[[#Headers],[Company]], 91)</f>
        <v>3</v>
      </c>
      <c r="M189" s="173" cm="1">
        <f t="array" ref="M189">Common_InputFunctions.Utility_DisplayArrayInTable(Fertiliser_SourceData.Fertiliser_Products_Data4(),FertiliserProducts[[#Headers],[Company]], 91)</f>
        <v>12.5</v>
      </c>
      <c r="N189" s="173" cm="1">
        <f t="array" ref="N189">Common_InputFunctions.Utility_DisplayArrayInTable(Fertiliser_SourceData.Fertiliser_Products_Data4(),FertiliserProducts[[#Headers],[Company]], 91)</f>
        <v>1.4</v>
      </c>
      <c r="O189" s="173" t="str" cm="1">
        <f t="array" ref="O189">Common_InputFunctions.Utility_DisplayArrayInTable(Fertiliser_SourceData.Fertiliser_Products_Data4(),FertiliserProducts[[#Headers],[Company]], 91)</f>
        <v>Nitrogen - Nitrate</v>
      </c>
      <c r="P189" s="173" cm="1">
        <f t="array" ref="P189">Common_InputFunctions.Utility_DisplayArrayInTable(Fertiliser_SourceData.Fertiliser_Products_Data4(),FertiliserProducts[[#Headers],[Company]], 91)</f>
        <v>5.8000000000000003E-2</v>
      </c>
      <c r="Q189" s="173" t="str" cm="1">
        <f t="array" ref="Q189">Common_InputFunctions.Utility_DisplayArrayInTable(Fertiliser_SourceData.Fertiliser_Products_Data4(),FertiliserProducts[[#Headers],[Company]], 91)</f>
        <v>Nitrogen - Ammoniacal</v>
      </c>
      <c r="R189" s="173" cm="1">
        <f t="array" ref="R189">Common_InputFunctions.Utility_DisplayArrayInTable(Fertiliser_SourceData.Fertiliser_Products_Data4(),FertiliserProducts[[#Headers],[Company]], 91)</f>
        <v>0.128</v>
      </c>
      <c r="S189" s="173" t="str" cm="1">
        <f t="array" ref="S189">Common_InputFunctions.Utility_DisplayArrayInTable(Fertiliser_SourceData.Fertiliser_Products_Data4(),FertiliserProducts[[#Headers],[Company]], 91)</f>
        <v>Phosphorus - Generic</v>
      </c>
      <c r="T189" s="173" cm="1">
        <f t="array" ref="T189">Common_InputFunctions.Utility_DisplayArrayInTable(Fertiliser_SourceData.Fertiliser_Products_Data4(),FertiliserProducts[[#Headers],[Company]], 91)</f>
        <v>0.03</v>
      </c>
      <c r="U189" s="173" t="str" cm="1">
        <f t="array" ref="U189">Common_InputFunctions.Utility_DisplayArrayInTable(Fertiliser_SourceData.Fertiliser_Products_Data4(),FertiliserProducts[[#Headers],[Company]], 91)</f>
        <v>Potassium - Generic</v>
      </c>
      <c r="V189" s="173" cm="1">
        <f t="array" ref="V189">Common_InputFunctions.Utility_DisplayArrayInTable(Fertiliser_SourceData.Fertiliser_Products_Data4(),FertiliserProducts[[#Headers],[Company]], 91)</f>
        <v>0.125</v>
      </c>
      <c r="W189" s="173" t="str" cm="1">
        <f t="array" ref="W189">Common_InputFunctions.Utility_DisplayArrayInTable(Fertiliser_SourceData.Fertiliser_Products_Data4(),FertiliserProducts[[#Headers],[Company]], 91)</f>
        <v>Sulfur - Generic</v>
      </c>
      <c r="X189" s="173" cm="1">
        <f t="array" ref="X189">Common_InputFunctions.Utility_DisplayArrayInTable(Fertiliser_SourceData.Fertiliser_Products_Data4(),FertiliserProducts[[#Headers],[Company]], 91)</f>
        <v>1.4E-2</v>
      </c>
      <c r="Y189" s="173" t="str" cm="1">
        <f t="array" ref="Y189">Common_InputFunctions.Utility_DisplayArrayInTable(Fertiliser_SourceData.Fertiliser_Products_Data4(),FertiliserProducts[[#Headers],[Company]], 91)</f>
        <v>Calcium</v>
      </c>
      <c r="Z189" s="173" cm="1">
        <f t="array" ref="Z189">Common_InputFunctions.Utility_DisplayArrayInTable(Fertiliser_SourceData.Fertiliser_Products_Data4(),FertiliserProducts[[#Headers],[Company]], 91)</f>
        <v>4.3999999999999997E-2</v>
      </c>
      <c r="AA189" s="173" t="str" cm="1">
        <f t="array" ref="AA189">Common_InputFunctions.Utility_DisplayArrayInTable(Fertiliser_SourceData.Fertiliser_Products_Data4(),FertiliserProducts[[#Headers],[Company]], 91)</f>
        <v/>
      </c>
      <c r="AB189" s="173" t="str" cm="1">
        <f t="array" ref="AB189">Common_InputFunctions.Utility_DisplayArrayInTable(Fertiliser_SourceData.Fertiliser_Products_Data4(),FertiliserProducts[[#Headers],[Company]], 91)</f>
        <v/>
      </c>
      <c r="AC189" s="173" t="str" cm="1">
        <f t="array" ref="AC189">Common_InputFunctions.Utility_DisplayArrayInTable(Fertiliser_SourceData.Fertiliser_Products_Data4(),FertiliserProducts[[#Headers],[Company]], 91)</f>
        <v/>
      </c>
      <c r="AD189" s="173" t="str" cm="1">
        <f t="array" ref="AD189">Common_InputFunctions.Utility_DisplayArrayInTable(Fertiliser_SourceData.Fertiliser_Products_Data4(),FertiliserProducts[[#Headers],[Company]], 91)</f>
        <v/>
      </c>
      <c r="AE189" s="173" t="str" cm="1">
        <f t="array" ref="AE189">Common_InputFunctions.Utility_DisplayArrayInTable(Fertiliser_SourceData.Fertiliser_Products_Data4(),FertiliserProducts[[#Headers],[Company]], 91)</f>
        <v/>
      </c>
      <c r="AF189" s="173" t="str" cm="1">
        <f t="array" ref="AF189">Common_InputFunctions.Utility_DisplayArrayInTable(Fertiliser_SourceData.Fertiliser_Products_Data4(),FertiliserProducts[[#Headers],[Company]], 91)</f>
        <v/>
      </c>
      <c r="AG189" s="173" t="str" cm="1">
        <f t="array" ref="AG189">Common_InputFunctions.Utility_DisplayArrayInTable(Fertiliser_SourceData.Fertiliser_Products_Data4(),FertiliserProducts[[#Headers],[Company]], 91)</f>
        <v/>
      </c>
      <c r="AH189" s="173" t="str" cm="1">
        <f t="array" ref="AH189">Common_InputFunctions.Utility_DisplayArrayInTable(Fertiliser_SourceData.Fertiliser_Products_Data4(),FertiliserProducts[[#Headers],[Company]], 91)</f>
        <v/>
      </c>
    </row>
    <row r="190" spans="4:37" x14ac:dyDescent="0.25">
      <c r="D190" s="173" t="str" cm="1">
        <f t="array" ref="D190">Common_InputFunctions.Utility_DisplayArrayInTable(Fertiliser_SourceData.Fertiliser_Products_Data4(),FertiliserProducts[[#Headers],[Company]], 91)</f>
        <v>Pacific Fertiliser / Incitec Pivot Fertilisers</v>
      </c>
      <c r="E190" s="173" t="str" cm="1">
        <f t="array" ref="E190">Common_InputFunctions.Utility_DisplayArrayInTable(Fertiliser_SourceData.Fertiliser_Products_Data4(),FertiliserProducts[[#Headers],[Company]], 91)</f>
        <v>Cal-Gran Extra K</v>
      </c>
      <c r="F190" s="173" t="str" cm="1">
        <f t="array" ref="F190">Common_InputFunctions.Utility_DisplayArrayInTable(Fertiliser_SourceData.Fertiliser_Products_Data4(),FertiliserProducts[[#Headers],[Company]], 91)</f>
        <v>kg</v>
      </c>
      <c r="G190" s="173" cm="1">
        <f t="array" ref="G190">Common_InputFunctions.Utility_DisplayArrayInTable(Fertiliser_SourceData.Fertiliser_Products_Data4(),FertiliserProducts[[#Headers],[Company]], 91)</f>
        <v>1</v>
      </c>
      <c r="H190" s="173" t="str" cm="1">
        <f t="array" ref="H190">Common_InputFunctions.Utility_DisplayArrayInTable(Fertiliser_SourceData.Fertiliser_Products_Data4(),FertiliserProducts[[#Headers],[Company]], 91)</f>
        <v/>
      </c>
      <c r="I190" s="173" t="str" cm="1">
        <f t="array" ref="I190">Common_InputFunctions.Utility_DisplayArrayInTable(Fertiliser_SourceData.Fertiliser_Products_Data4(),FertiliserProducts[[#Headers],[Company]], 91)</f>
        <v/>
      </c>
      <c r="J190" s="173" t="str" cm="1">
        <f t="array" ref="J190">Common_InputFunctions.Utility_DisplayArrayInTable(Fertiliser_SourceData.Fertiliser_Products_Data4(),FertiliserProducts[[#Headers],[Company]], 91)</f>
        <v/>
      </c>
      <c r="K190" s="173" cm="1">
        <f t="array" ref="K190">Common_InputFunctions.Utility_DisplayArrayInTable(Fertiliser_SourceData.Fertiliser_Products_Data4(),FertiliserProducts[[#Headers],[Company]], 91)</f>
        <v>15.8</v>
      </c>
      <c r="L190" s="173" t="str" cm="1">
        <f t="array" ref="L190">Common_InputFunctions.Utility_DisplayArrayInTable(Fertiliser_SourceData.Fertiliser_Products_Data4(),FertiliserProducts[[#Headers],[Company]], 91)</f>
        <v/>
      </c>
      <c r="M190" s="173" cm="1">
        <f t="array" ref="M190">Common_InputFunctions.Utility_DisplayArrayInTable(Fertiliser_SourceData.Fertiliser_Products_Data4(),FertiliserProducts[[#Headers],[Company]], 91)</f>
        <v>19</v>
      </c>
      <c r="N190" s="173" cm="1">
        <f t="array" ref="N190">Common_InputFunctions.Utility_DisplayArrayInTable(Fertiliser_SourceData.Fertiliser_Products_Data4(),FertiliserProducts[[#Headers],[Company]], 91)</f>
        <v>3.2</v>
      </c>
      <c r="O190" s="173" t="str" cm="1">
        <f t="array" ref="O190">Common_InputFunctions.Utility_DisplayArrayInTable(Fertiliser_SourceData.Fertiliser_Products_Data4(),FertiliserProducts[[#Headers],[Company]], 91)</f>
        <v>Nitrogen - Nitrate</v>
      </c>
      <c r="P190" s="173" cm="1">
        <f t="array" ref="P190">Common_InputFunctions.Utility_DisplayArrayInTable(Fertiliser_SourceData.Fertiliser_Products_Data4(),FertiliserProducts[[#Headers],[Company]], 91)</f>
        <v>4.9000000000000002E-2</v>
      </c>
      <c r="Q190" s="173" t="str" cm="1">
        <f t="array" ref="Q190">Common_InputFunctions.Utility_DisplayArrayInTable(Fertiliser_SourceData.Fertiliser_Products_Data4(),FertiliserProducts[[#Headers],[Company]], 91)</f>
        <v>Nitrogen - Ammoniacal</v>
      </c>
      <c r="R190" s="173" cm="1">
        <f t="array" ref="R190">Common_InputFunctions.Utility_DisplayArrayInTable(Fertiliser_SourceData.Fertiliser_Products_Data4(),FertiliserProducts[[#Headers],[Company]], 91)</f>
        <v>0.109</v>
      </c>
      <c r="S190" s="173" t="str" cm="1">
        <f t="array" ref="S190">Common_InputFunctions.Utility_DisplayArrayInTable(Fertiliser_SourceData.Fertiliser_Products_Data4(),FertiliserProducts[[#Headers],[Company]], 91)</f>
        <v>Potassium - Generic</v>
      </c>
      <c r="T190" s="173" cm="1">
        <f t="array" ref="T190">Common_InputFunctions.Utility_DisplayArrayInTable(Fertiliser_SourceData.Fertiliser_Products_Data4(),FertiliserProducts[[#Headers],[Company]], 91)</f>
        <v>0.19</v>
      </c>
      <c r="U190" s="173" t="str" cm="1">
        <f t="array" ref="U190">Common_InputFunctions.Utility_DisplayArrayInTable(Fertiliser_SourceData.Fertiliser_Products_Data4(),FertiliserProducts[[#Headers],[Company]], 91)</f>
        <v>Sulfur - Generic</v>
      </c>
      <c r="V190" s="173" cm="1">
        <f t="array" ref="V190">Common_InputFunctions.Utility_DisplayArrayInTable(Fertiliser_SourceData.Fertiliser_Products_Data4(),FertiliserProducts[[#Headers],[Company]], 91)</f>
        <v>3.2000000000000001E-2</v>
      </c>
      <c r="W190" s="173" t="str" cm="1">
        <f t="array" ref="W190">Common_InputFunctions.Utility_DisplayArrayInTable(Fertiliser_SourceData.Fertiliser_Products_Data4(),FertiliserProducts[[#Headers],[Company]], 91)</f>
        <v>Calcium</v>
      </c>
      <c r="X190" s="173" cm="1">
        <f t="array" ref="X190">Common_InputFunctions.Utility_DisplayArrayInTable(Fertiliser_SourceData.Fertiliser_Products_Data4(),FertiliserProducts[[#Headers],[Company]], 91)</f>
        <v>3.9E-2</v>
      </c>
      <c r="Y190" s="173" t="str" cm="1">
        <f t="array" ref="Y190">Common_InputFunctions.Utility_DisplayArrayInTable(Fertiliser_SourceData.Fertiliser_Products_Data4(),FertiliserProducts[[#Headers],[Company]], 91)</f>
        <v/>
      </c>
      <c r="Z190" s="173" t="str" cm="1">
        <f t="array" ref="Z190">Common_InputFunctions.Utility_DisplayArrayInTable(Fertiliser_SourceData.Fertiliser_Products_Data4(),FertiliserProducts[[#Headers],[Company]], 91)</f>
        <v/>
      </c>
      <c r="AA190" s="173" t="str" cm="1">
        <f t="array" ref="AA190">Common_InputFunctions.Utility_DisplayArrayInTable(Fertiliser_SourceData.Fertiliser_Products_Data4(),FertiliserProducts[[#Headers],[Company]], 91)</f>
        <v/>
      </c>
      <c r="AB190" s="173" t="str" cm="1">
        <f t="array" ref="AB190">Common_InputFunctions.Utility_DisplayArrayInTable(Fertiliser_SourceData.Fertiliser_Products_Data4(),FertiliserProducts[[#Headers],[Company]], 91)</f>
        <v/>
      </c>
      <c r="AC190" s="173" t="str" cm="1">
        <f t="array" ref="AC190">Common_InputFunctions.Utility_DisplayArrayInTable(Fertiliser_SourceData.Fertiliser_Products_Data4(),FertiliserProducts[[#Headers],[Company]], 91)</f>
        <v/>
      </c>
      <c r="AD190" s="173" t="str" cm="1">
        <f t="array" ref="AD190">Common_InputFunctions.Utility_DisplayArrayInTable(Fertiliser_SourceData.Fertiliser_Products_Data4(),FertiliserProducts[[#Headers],[Company]], 91)</f>
        <v/>
      </c>
      <c r="AE190" s="173" t="str" cm="1">
        <f t="array" ref="AE190">Common_InputFunctions.Utility_DisplayArrayInTable(Fertiliser_SourceData.Fertiliser_Products_Data4(),FertiliserProducts[[#Headers],[Company]], 91)</f>
        <v/>
      </c>
      <c r="AF190" s="173" t="str" cm="1">
        <f t="array" ref="AF190">Common_InputFunctions.Utility_DisplayArrayInTable(Fertiliser_SourceData.Fertiliser_Products_Data4(),FertiliserProducts[[#Headers],[Company]], 91)</f>
        <v/>
      </c>
      <c r="AG190" s="173" t="str" cm="1">
        <f t="array" ref="AG190">Common_InputFunctions.Utility_DisplayArrayInTable(Fertiliser_SourceData.Fertiliser_Products_Data4(),FertiliserProducts[[#Headers],[Company]], 91)</f>
        <v/>
      </c>
      <c r="AH190" s="173" t="str" cm="1">
        <f t="array" ref="AH190">Common_InputFunctions.Utility_DisplayArrayInTable(Fertiliser_SourceData.Fertiliser_Products_Data4(),FertiliserProducts[[#Headers],[Company]], 91)</f>
        <v/>
      </c>
    </row>
    <row r="191" spans="4:37" x14ac:dyDescent="0.25">
      <c r="D191" s="173" t="str" cm="1">
        <f t="array" ref="D191">Common_InputFunctions.Utility_DisplayArrayInTable(Fertiliser_SourceData.Fertiliser_Products_Data4(),FertiliserProducts[[#Headers],[Company]], 91)</f>
        <v>Incitec Pivot Fertilisers</v>
      </c>
      <c r="E191" s="173" t="str" cm="1">
        <f t="array" ref="E191">Common_InputFunctions.Utility_DisplayArrayInTable(Fertiliser_SourceData.Fertiliser_Products_Data4(),FertiliserProducts[[#Headers],[Company]], 91)</f>
        <v>Dairy Pro</v>
      </c>
      <c r="F191" s="173" t="str" cm="1">
        <f t="array" ref="F191">Common_InputFunctions.Utility_DisplayArrayInTable(Fertiliser_SourceData.Fertiliser_Products_Data4(),FertiliserProducts[[#Headers],[Company]], 91)</f>
        <v>kg</v>
      </c>
      <c r="G191" s="173" cm="1">
        <f t="array" ref="G191">Common_InputFunctions.Utility_DisplayArrayInTable(Fertiliser_SourceData.Fertiliser_Products_Data4(),FertiliserProducts[[#Headers],[Company]], 91)</f>
        <v>1</v>
      </c>
      <c r="H191" s="173" t="str" cm="1">
        <f t="array" ref="H191">Common_InputFunctions.Utility_DisplayArrayInTable(Fertiliser_SourceData.Fertiliser_Products_Data4(),FertiliserProducts[[#Headers],[Company]], 91)</f>
        <v/>
      </c>
      <c r="I191" s="173" t="str" cm="1">
        <f t="array" ref="I191">Common_InputFunctions.Utility_DisplayArrayInTable(Fertiliser_SourceData.Fertiliser_Products_Data4(),FertiliserProducts[[#Headers],[Company]], 91)</f>
        <v/>
      </c>
      <c r="J191" s="173" t="str" cm="1">
        <f t="array" ref="J191">Common_InputFunctions.Utility_DisplayArrayInTable(Fertiliser_SourceData.Fertiliser_Products_Data4(),FertiliserProducts[[#Headers],[Company]], 91)</f>
        <v/>
      </c>
      <c r="K191" s="173" cm="1">
        <f t="array" ref="K191">Common_InputFunctions.Utility_DisplayArrayInTable(Fertiliser_SourceData.Fertiliser_Products_Data4(),FertiliserProducts[[#Headers],[Company]], 91)</f>
        <v>25.9</v>
      </c>
      <c r="L191" s="173" cm="1">
        <f t="array" ref="L191">Common_InputFunctions.Utility_DisplayArrayInTable(Fertiliser_SourceData.Fertiliser_Products_Data4(),FertiliserProducts[[#Headers],[Company]], 91)</f>
        <v>3.9</v>
      </c>
      <c r="M191" s="173" cm="1">
        <f t="array" ref="M191">Common_InputFunctions.Utility_DisplayArrayInTable(Fertiliser_SourceData.Fertiliser_Products_Data4(),FertiliserProducts[[#Headers],[Company]], 91)</f>
        <v>15.9</v>
      </c>
      <c r="N191" s="173" cm="1">
        <f t="array" ref="N191">Common_InputFunctions.Utility_DisplayArrayInTable(Fertiliser_SourceData.Fertiliser_Products_Data4(),FertiliserProducts[[#Headers],[Company]], 91)</f>
        <v>0.3</v>
      </c>
      <c r="O191" s="173" t="str" cm="1">
        <f t="array" ref="O191">Common_InputFunctions.Utility_DisplayArrayInTable(Fertiliser_SourceData.Fertiliser_Products_Data4(),FertiliserProducts[[#Headers],[Company]], 91)</f>
        <v>Nitrogen - Generic</v>
      </c>
      <c r="P191" s="173" cm="1">
        <f t="array" ref="P191">Common_InputFunctions.Utility_DisplayArrayInTable(Fertiliser_SourceData.Fertiliser_Products_Data4(),FertiliserProducts[[#Headers],[Company]], 91)</f>
        <v>0.25900000000000001</v>
      </c>
      <c r="Q191" s="173" t="str" cm="1">
        <f t="array" ref="Q191">Common_InputFunctions.Utility_DisplayArrayInTable(Fertiliser_SourceData.Fertiliser_Products_Data4(),FertiliserProducts[[#Headers],[Company]], 91)</f>
        <v>Phosphorus - Generic</v>
      </c>
      <c r="R191" s="173" cm="1">
        <f t="array" ref="R191">Common_InputFunctions.Utility_DisplayArrayInTable(Fertiliser_SourceData.Fertiliser_Products_Data4(),FertiliserProducts[[#Headers],[Company]], 91)</f>
        <v>3.9E-2</v>
      </c>
      <c r="S191" s="173" t="str" cm="1">
        <f t="array" ref="S191">Common_InputFunctions.Utility_DisplayArrayInTable(Fertiliser_SourceData.Fertiliser_Products_Data4(),FertiliserProducts[[#Headers],[Company]], 91)</f>
        <v>Potassium - Generic</v>
      </c>
      <c r="T191" s="173" cm="1">
        <f t="array" ref="T191">Common_InputFunctions.Utility_DisplayArrayInTable(Fertiliser_SourceData.Fertiliser_Products_Data4(),FertiliserProducts[[#Headers],[Company]], 91)</f>
        <v>0.159</v>
      </c>
      <c r="U191" s="173" t="str" cm="1">
        <f t="array" ref="U191">Common_InputFunctions.Utility_DisplayArrayInTable(Fertiliser_SourceData.Fertiliser_Products_Data4(),FertiliserProducts[[#Headers],[Company]], 91)</f>
        <v>Sulfur - Generic</v>
      </c>
      <c r="V191" s="173" cm="1">
        <f t="array" ref="V191">Common_InputFunctions.Utility_DisplayArrayInTable(Fertiliser_SourceData.Fertiliser_Products_Data4(),FertiliserProducts[[#Headers],[Company]], 91)</f>
        <v>3.0000000000000001E-3</v>
      </c>
      <c r="W191" s="173" t="str" cm="1">
        <f t="array" ref="W191">Common_InputFunctions.Utility_DisplayArrayInTable(Fertiliser_SourceData.Fertiliser_Products_Data4(),FertiliserProducts[[#Headers],[Company]], 91)</f>
        <v/>
      </c>
      <c r="X191" s="173" t="str" cm="1">
        <f t="array" ref="X191">Common_InputFunctions.Utility_DisplayArrayInTable(Fertiliser_SourceData.Fertiliser_Products_Data4(),FertiliserProducts[[#Headers],[Company]], 91)</f>
        <v/>
      </c>
      <c r="Y191" s="173" t="str" cm="1">
        <f t="array" ref="Y191">Common_InputFunctions.Utility_DisplayArrayInTable(Fertiliser_SourceData.Fertiliser_Products_Data4(),FertiliserProducts[[#Headers],[Company]], 91)</f>
        <v/>
      </c>
      <c r="Z191" s="173" t="str" cm="1">
        <f t="array" ref="Z191">Common_InputFunctions.Utility_DisplayArrayInTable(Fertiliser_SourceData.Fertiliser_Products_Data4(),FertiliserProducts[[#Headers],[Company]], 91)</f>
        <v/>
      </c>
      <c r="AA191" s="173" t="str" cm="1">
        <f t="array" ref="AA191">Common_InputFunctions.Utility_DisplayArrayInTable(Fertiliser_SourceData.Fertiliser_Products_Data4(),FertiliserProducts[[#Headers],[Company]], 91)</f>
        <v/>
      </c>
      <c r="AB191" s="173" t="str" cm="1">
        <f t="array" ref="AB191">Common_InputFunctions.Utility_DisplayArrayInTable(Fertiliser_SourceData.Fertiliser_Products_Data4(),FertiliserProducts[[#Headers],[Company]], 91)</f>
        <v/>
      </c>
      <c r="AC191" s="173" t="str" cm="1">
        <f t="array" ref="AC191">Common_InputFunctions.Utility_DisplayArrayInTable(Fertiliser_SourceData.Fertiliser_Products_Data4(),FertiliserProducts[[#Headers],[Company]], 91)</f>
        <v/>
      </c>
      <c r="AD191" s="173" t="str" cm="1">
        <f t="array" ref="AD191">Common_InputFunctions.Utility_DisplayArrayInTable(Fertiliser_SourceData.Fertiliser_Products_Data4(),FertiliserProducts[[#Headers],[Company]], 91)</f>
        <v/>
      </c>
      <c r="AE191" s="173" t="str" cm="1">
        <f t="array" ref="AE191">Common_InputFunctions.Utility_DisplayArrayInTable(Fertiliser_SourceData.Fertiliser_Products_Data4(),FertiliserProducts[[#Headers],[Company]], 91)</f>
        <v/>
      </c>
      <c r="AF191" s="173" t="str" cm="1">
        <f t="array" ref="AF191">Common_InputFunctions.Utility_DisplayArrayInTable(Fertiliser_SourceData.Fertiliser_Products_Data4(),FertiliserProducts[[#Headers],[Company]], 91)</f>
        <v/>
      </c>
      <c r="AG191" s="173" t="str" cm="1">
        <f t="array" ref="AG191">Common_InputFunctions.Utility_DisplayArrayInTable(Fertiliser_SourceData.Fertiliser_Products_Data4(),FertiliserProducts[[#Headers],[Company]], 91)</f>
        <v/>
      </c>
      <c r="AH191" s="173" t="str" cm="1">
        <f t="array" ref="AH191">Common_InputFunctions.Utility_DisplayArrayInTable(Fertiliser_SourceData.Fertiliser_Products_Data4(),FertiliserProducts[[#Headers],[Company]], 91)</f>
        <v/>
      </c>
    </row>
    <row r="192" spans="4:37" x14ac:dyDescent="0.25">
      <c r="D192" s="173" t="str" cm="1">
        <f t="array" ref="D192">Common_InputFunctions.Utility_DisplayArrayInTable(Fertiliser_SourceData.Fertiliser_Products_Data4(),FertiliserProducts[[#Headers],[Company]], 91)</f>
        <v>Yara Australia</v>
      </c>
      <c r="E192" s="173" t="str" cm="1">
        <f t="array" ref="E192">Common_InputFunctions.Utility_DisplayArrayInTable(Fertiliser_SourceData.Fertiliser_Products_Data4(),FertiliserProducts[[#Headers],[Company]], 91)</f>
        <v>YaraMila ACTYVA S</v>
      </c>
      <c r="F192" s="173" t="str" cm="1">
        <f t="array" ref="F192">Common_InputFunctions.Utility_DisplayArrayInTable(Fertiliser_SourceData.Fertiliser_Products_Data4(),FertiliserProducts[[#Headers],[Company]], 91)</f>
        <v>kg</v>
      </c>
      <c r="G192" s="173" cm="1">
        <f t="array" ref="G192">Common_InputFunctions.Utility_DisplayArrayInTable(Fertiliser_SourceData.Fertiliser_Products_Data4(),FertiliserProducts[[#Headers],[Company]], 91)</f>
        <v>1</v>
      </c>
      <c r="H192" s="173" t="str" cm="1">
        <f t="array" ref="H192">Common_InputFunctions.Utility_DisplayArrayInTable(Fertiliser_SourceData.Fertiliser_Products_Data4(),FertiliserProducts[[#Headers],[Company]], 91)</f>
        <v/>
      </c>
      <c r="I192" s="173" t="str" cm="1">
        <f t="array" ref="I192">Common_InputFunctions.Utility_DisplayArrayInTable(Fertiliser_SourceData.Fertiliser_Products_Data4(),FertiliserProducts[[#Headers],[Company]], 91)</f>
        <v/>
      </c>
      <c r="J192" s="173" t="str" cm="1">
        <f t="array" ref="J192">Common_InputFunctions.Utility_DisplayArrayInTable(Fertiliser_SourceData.Fertiliser_Products_Data4(),FertiliserProducts[[#Headers],[Company]], 91)</f>
        <v/>
      </c>
      <c r="K192" s="173" cm="1">
        <f t="array" ref="K192">Common_InputFunctions.Utility_DisplayArrayInTable(Fertiliser_SourceData.Fertiliser_Products_Data4(),FertiliserProducts[[#Headers],[Company]], 91)</f>
        <v>15.6</v>
      </c>
      <c r="L192" s="173" cm="1">
        <f t="array" ref="L192">Common_InputFunctions.Utility_DisplayArrayInTable(Fertiliser_SourceData.Fertiliser_Products_Data4(),FertiliserProducts[[#Headers],[Company]], 91)</f>
        <v>6.37</v>
      </c>
      <c r="M192" s="173" cm="1">
        <f t="array" ref="M192">Common_InputFunctions.Utility_DisplayArrayInTable(Fertiliser_SourceData.Fertiliser_Products_Data4(),FertiliserProducts[[#Headers],[Company]], 91)</f>
        <v>12.45</v>
      </c>
      <c r="N192" s="173" cm="1">
        <f t="array" ref="N192">Common_InputFunctions.Utility_DisplayArrayInTable(Fertiliser_SourceData.Fertiliser_Products_Data4(),FertiliserProducts[[#Headers],[Company]], 91)</f>
        <v>2.6</v>
      </c>
      <c r="O192" s="173" t="str" cm="1">
        <f t="array" ref="O192">Common_InputFunctions.Utility_DisplayArrayInTable(Fertiliser_SourceData.Fertiliser_Products_Data4(),FertiliserProducts[[#Headers],[Company]], 91)</f>
        <v>Nitrogen - Nitrate</v>
      </c>
      <c r="P192" s="173" cm="1">
        <f t="array" ref="P192">Common_InputFunctions.Utility_DisplayArrayInTable(Fertiliser_SourceData.Fertiliser_Products_Data4(),FertiliserProducts[[#Headers],[Company]], 91)</f>
        <v>5.8000000000000003E-2</v>
      </c>
      <c r="Q192" s="173" t="str" cm="1">
        <f t="array" ref="Q192">Common_InputFunctions.Utility_DisplayArrayInTable(Fertiliser_SourceData.Fertiliser_Products_Data4(),FertiliserProducts[[#Headers],[Company]], 91)</f>
        <v>Nitrogen - Ammoniacal</v>
      </c>
      <c r="R192" s="173" cm="1">
        <f t="array" ref="R192">Common_InputFunctions.Utility_DisplayArrayInTable(Fertiliser_SourceData.Fertiliser_Products_Data4(),FertiliserProducts[[#Headers],[Company]], 91)</f>
        <v>9.8000000000000004E-2</v>
      </c>
      <c r="S192" s="173" t="str" cm="1">
        <f t="array" ref="S192">Common_InputFunctions.Utility_DisplayArrayInTable(Fertiliser_SourceData.Fertiliser_Products_Data4(),FertiliserProducts[[#Headers],[Company]], 91)</f>
        <v>Phosphorus - Generic</v>
      </c>
      <c r="T192" s="173" cm="1">
        <f t="array" ref="T192">Common_InputFunctions.Utility_DisplayArrayInTable(Fertiliser_SourceData.Fertiliser_Products_Data4(),FertiliserProducts[[#Headers],[Company]], 91)</f>
        <v>6.3714000000000007E-2</v>
      </c>
      <c r="U192" s="173" t="str" cm="1">
        <f t="array" ref="U192">Common_InputFunctions.Utility_DisplayArrayInTable(Fertiliser_SourceData.Fertiliser_Products_Data4(),FertiliserProducts[[#Headers],[Company]], 91)</f>
        <v>Potassium - Generic</v>
      </c>
      <c r="V192" s="173" cm="1">
        <f t="array" ref="V192">Common_InputFunctions.Utility_DisplayArrayInTable(Fertiliser_SourceData.Fertiliser_Products_Data4(),FertiliserProducts[[#Headers],[Company]], 91)</f>
        <v>0.124515</v>
      </c>
      <c r="W192" s="173" t="str" cm="1">
        <f t="array" ref="W192">Common_InputFunctions.Utility_DisplayArrayInTable(Fertiliser_SourceData.Fertiliser_Products_Data4(),FertiliserProducts[[#Headers],[Company]], 91)</f>
        <v>Sulfur - Generic</v>
      </c>
      <c r="X192" s="173" cm="1">
        <f t="array" ref="X192">Common_InputFunctions.Utility_DisplayArrayInTable(Fertiliser_SourceData.Fertiliser_Products_Data4(),FertiliserProducts[[#Headers],[Company]], 91)</f>
        <v>2.5999999999999999E-2</v>
      </c>
      <c r="Y192" s="173" t="str" cm="1">
        <f t="array" ref="Y192">Common_InputFunctions.Utility_DisplayArrayInTable(Fertiliser_SourceData.Fertiliser_Products_Data4(),FertiliserProducts[[#Headers],[Company]], 91)</f>
        <v/>
      </c>
      <c r="Z192" s="173" t="str" cm="1">
        <f t="array" ref="Z192">Common_InputFunctions.Utility_DisplayArrayInTable(Fertiliser_SourceData.Fertiliser_Products_Data4(),FertiliserProducts[[#Headers],[Company]], 91)</f>
        <v/>
      </c>
      <c r="AA192" s="173" t="str" cm="1">
        <f t="array" ref="AA192">Common_InputFunctions.Utility_DisplayArrayInTable(Fertiliser_SourceData.Fertiliser_Products_Data4(),FertiliserProducts[[#Headers],[Company]], 91)</f>
        <v/>
      </c>
      <c r="AB192" s="173" t="str" cm="1">
        <f t="array" ref="AB192">Common_InputFunctions.Utility_DisplayArrayInTable(Fertiliser_SourceData.Fertiliser_Products_Data4(),FertiliserProducts[[#Headers],[Company]], 91)</f>
        <v/>
      </c>
      <c r="AC192" s="173" t="str" cm="1">
        <f t="array" ref="AC192">Common_InputFunctions.Utility_DisplayArrayInTable(Fertiliser_SourceData.Fertiliser_Products_Data4(),FertiliserProducts[[#Headers],[Company]], 91)</f>
        <v/>
      </c>
      <c r="AD192" s="173" t="str" cm="1">
        <f t="array" ref="AD192">Common_InputFunctions.Utility_DisplayArrayInTable(Fertiliser_SourceData.Fertiliser_Products_Data4(),FertiliserProducts[[#Headers],[Company]], 91)</f>
        <v/>
      </c>
      <c r="AE192" s="173" t="str" cm="1">
        <f t="array" ref="AE192">Common_InputFunctions.Utility_DisplayArrayInTable(Fertiliser_SourceData.Fertiliser_Products_Data4(),FertiliserProducts[[#Headers],[Company]], 91)</f>
        <v/>
      </c>
      <c r="AF192" s="173" t="str" cm="1">
        <f t="array" ref="AF192">Common_InputFunctions.Utility_DisplayArrayInTable(Fertiliser_SourceData.Fertiliser_Products_Data4(),FertiliserProducts[[#Headers],[Company]], 91)</f>
        <v/>
      </c>
      <c r="AG192" s="173" t="str" cm="1">
        <f t="array" ref="AG192">Common_InputFunctions.Utility_DisplayArrayInTable(Fertiliser_SourceData.Fertiliser_Products_Data4(),FertiliserProducts[[#Headers],[Company]], 91)</f>
        <v/>
      </c>
      <c r="AH192" s="173" t="str" cm="1">
        <f t="array" ref="AH192">Common_InputFunctions.Utility_DisplayArrayInTable(Fertiliser_SourceData.Fertiliser_Products_Data4(),FertiliserProducts[[#Headers],[Company]], 91)</f>
        <v/>
      </c>
    </row>
    <row r="193" spans="4:34" x14ac:dyDescent="0.25">
      <c r="D193" s="173" t="str" cm="1">
        <f t="array" ref="D193">Common_InputFunctions.Utility_DisplayArrayInTable(Fertiliser_SourceData.Fertiliser_Products_Data4(),FertiliserProducts[[#Headers],[Company]], 91)</f>
        <v>CSBP</v>
      </c>
      <c r="E193" s="173" t="str" cm="1">
        <f t="array" ref="E193">Common_InputFunctions.Utility_DisplayArrayInTable(Fertiliser_SourceData.Fertiliser_Products_Data4(),FertiliserProducts[[#Headers],[Company]], 91)</f>
        <v>Agflow Extra</v>
      </c>
      <c r="F193" s="173" t="str" cm="1">
        <f t="array" ref="F193">Common_InputFunctions.Utility_DisplayArrayInTable(Fertiliser_SourceData.Fertiliser_Products_Data4(),FertiliserProducts[[#Headers],[Company]], 91)</f>
        <v>kg</v>
      </c>
      <c r="G193" s="173" cm="1">
        <f t="array" ref="G193">Common_InputFunctions.Utility_DisplayArrayInTable(Fertiliser_SourceData.Fertiliser_Products_Data4(),FertiliserProducts[[#Headers],[Company]], 91)</f>
        <v>1</v>
      </c>
      <c r="H193" s="173" t="str" cm="1">
        <f t="array" ref="H193">Common_InputFunctions.Utility_DisplayArrayInTable(Fertiliser_SourceData.Fertiliser_Products_Data4(),FertiliserProducts[[#Headers],[Company]], 91)</f>
        <v/>
      </c>
      <c r="I193" s="173" t="str" cm="1">
        <f t="array" ref="I193">Common_InputFunctions.Utility_DisplayArrayInTable(Fertiliser_SourceData.Fertiliser_Products_Data4(),FertiliserProducts[[#Headers],[Company]], 91)</f>
        <v/>
      </c>
      <c r="J193" s="173" t="str" cm="1">
        <f t="array" ref="J193">Common_InputFunctions.Utility_DisplayArrayInTable(Fertiliser_SourceData.Fertiliser_Products_Data4(),FertiliserProducts[[#Headers],[Company]], 91)</f>
        <v/>
      </c>
      <c r="K193" s="173" cm="1">
        <f t="array" ref="K193">Common_InputFunctions.Utility_DisplayArrayInTable(Fertiliser_SourceData.Fertiliser_Products_Data4(),FertiliserProducts[[#Headers],[Company]], 91)</f>
        <v>11.15</v>
      </c>
      <c r="L193" s="173" cm="1">
        <f t="array" ref="L193">Common_InputFunctions.Utility_DisplayArrayInTable(Fertiliser_SourceData.Fertiliser_Products_Data4(),FertiliserProducts[[#Headers],[Company]], 91)</f>
        <v>17.52</v>
      </c>
      <c r="M193" s="173" t="str" cm="1">
        <f t="array" ref="M193">Common_InputFunctions.Utility_DisplayArrayInTable(Fertiliser_SourceData.Fertiliser_Products_Data4(),FertiliserProducts[[#Headers],[Company]], 91)</f>
        <v/>
      </c>
      <c r="N193" s="173" cm="1">
        <f t="array" ref="N193">Common_InputFunctions.Utility_DisplayArrayInTable(Fertiliser_SourceData.Fertiliser_Products_Data4(),FertiliserProducts[[#Headers],[Company]], 91)</f>
        <v>3.6</v>
      </c>
      <c r="O193" s="173" t="str" cm="1">
        <f t="array" ref="O193">Common_InputFunctions.Utility_DisplayArrayInTable(Fertiliser_SourceData.Fertiliser_Products_Data4(),FertiliserProducts[[#Headers],[Company]], 91)</f>
        <v>Monoammonium phosphate (MAP)</v>
      </c>
      <c r="P193" s="173" cm="1">
        <f t="array" ref="P193">Common_InputFunctions.Utility_DisplayArrayInTable(Fertiliser_SourceData.Fertiliser_Products_Data4(),FertiliserProducts[[#Headers],[Company]], 91)</f>
        <v>0.8</v>
      </c>
      <c r="Q193" s="173" t="str" cm="1">
        <f t="array" ref="Q193">Common_InputFunctions.Utility_DisplayArrayInTable(Fertiliser_SourceData.Fertiliser_Products_Data4(),FertiliserProducts[[#Headers],[Company]], 91)</f>
        <v>Sulphate of ammonia (SOA)</v>
      </c>
      <c r="R193" s="173" cm="1">
        <f t="array" ref="R193">Common_InputFunctions.Utility_DisplayArrayInTable(Fertiliser_SourceData.Fertiliser_Products_Data4(),FertiliserProducts[[#Headers],[Company]], 91)</f>
        <v>0.15</v>
      </c>
      <c r="S193" s="173" t="str" cm="1">
        <f t="array" ref="S193">Common_InputFunctions.Utility_DisplayArrayInTable(Fertiliser_SourceData.Fertiliser_Products_Data4(),FertiliserProducts[[#Headers],[Company]], 91)</f>
        <v>Copper</v>
      </c>
      <c r="T193" s="173" t="str" cm="1">
        <f t="array" ref="T193">Common_InputFunctions.Utility_DisplayArrayInTable(Fertiliser_SourceData.Fertiliser_Products_Data4(),FertiliserProducts[[#Headers],[Company]], 91)</f>
        <v>No data</v>
      </c>
      <c r="U193" s="173" t="str" cm="1">
        <f t="array" ref="U193">Common_InputFunctions.Utility_DisplayArrayInTable(Fertiliser_SourceData.Fertiliser_Products_Data4(),FertiliserProducts[[#Headers],[Company]], 91)</f>
        <v>Molybdenum</v>
      </c>
      <c r="V193" s="173" t="str" cm="1">
        <f t="array" ref="V193">Common_InputFunctions.Utility_DisplayArrayInTable(Fertiliser_SourceData.Fertiliser_Products_Data4(),FertiliserProducts[[#Headers],[Company]], 91)</f>
        <v>No data</v>
      </c>
      <c r="W193" s="173" t="str" cm="1">
        <f t="array" ref="W193">Common_InputFunctions.Utility_DisplayArrayInTable(Fertiliser_SourceData.Fertiliser_Products_Data4(),FertiliserProducts[[#Headers],[Company]], 91)</f>
        <v>Zinc</v>
      </c>
      <c r="X193" s="173" t="str" cm="1">
        <f t="array" ref="X193">Common_InputFunctions.Utility_DisplayArrayInTable(Fertiliser_SourceData.Fertiliser_Products_Data4(),FertiliserProducts[[#Headers],[Company]], 91)</f>
        <v>No data</v>
      </c>
      <c r="Y193" s="173" t="str" cm="1">
        <f t="array" ref="Y193">Common_InputFunctions.Utility_DisplayArrayInTable(Fertiliser_SourceData.Fertiliser_Products_Data4(),FertiliserProducts[[#Headers],[Company]], 91)</f>
        <v/>
      </c>
      <c r="Z193" s="173" t="str" cm="1">
        <f t="array" ref="Z193">Common_InputFunctions.Utility_DisplayArrayInTable(Fertiliser_SourceData.Fertiliser_Products_Data4(),FertiliserProducts[[#Headers],[Company]], 91)</f>
        <v/>
      </c>
      <c r="AA193" s="173" t="str" cm="1">
        <f t="array" ref="AA193">Common_InputFunctions.Utility_DisplayArrayInTable(Fertiliser_SourceData.Fertiliser_Products_Data4(),FertiliserProducts[[#Headers],[Company]], 91)</f>
        <v/>
      </c>
      <c r="AB193" s="173" t="str" cm="1">
        <f t="array" ref="AB193">Common_InputFunctions.Utility_DisplayArrayInTable(Fertiliser_SourceData.Fertiliser_Products_Data4(),FertiliserProducts[[#Headers],[Company]], 91)</f>
        <v/>
      </c>
      <c r="AC193" s="173" t="str" cm="1">
        <f t="array" ref="AC193">Common_InputFunctions.Utility_DisplayArrayInTable(Fertiliser_SourceData.Fertiliser_Products_Data4(),FertiliserProducts[[#Headers],[Company]], 91)</f>
        <v/>
      </c>
      <c r="AD193" s="173" t="str" cm="1">
        <f t="array" ref="AD193">Common_InputFunctions.Utility_DisplayArrayInTable(Fertiliser_SourceData.Fertiliser_Products_Data4(),FertiliserProducts[[#Headers],[Company]], 91)</f>
        <v/>
      </c>
      <c r="AE193" s="173" t="str" cm="1">
        <f t="array" ref="AE193">Common_InputFunctions.Utility_DisplayArrayInTable(Fertiliser_SourceData.Fertiliser_Products_Data4(),FertiliserProducts[[#Headers],[Company]], 91)</f>
        <v/>
      </c>
      <c r="AF193" s="173" t="str" cm="1">
        <f t="array" ref="AF193">Common_InputFunctions.Utility_DisplayArrayInTable(Fertiliser_SourceData.Fertiliser_Products_Data4(),FertiliserProducts[[#Headers],[Company]], 91)</f>
        <v/>
      </c>
      <c r="AG193" s="173" t="str" cm="1">
        <f t="array" ref="AG193">Common_InputFunctions.Utility_DisplayArrayInTable(Fertiliser_SourceData.Fertiliser_Products_Data4(),FertiliserProducts[[#Headers],[Company]], 91)</f>
        <v/>
      </c>
      <c r="AH193" s="173" t="str" cm="1">
        <f t="array" ref="AH193">Common_InputFunctions.Utility_DisplayArrayInTable(Fertiliser_SourceData.Fertiliser_Products_Data4(),FertiliserProducts[[#Headers],[Company]], 91)</f>
        <v/>
      </c>
    </row>
    <row r="194" spans="4:34" x14ac:dyDescent="0.25">
      <c r="D194" s="173" t="str" cm="1">
        <f t="array" ref="D194">Common_InputFunctions.Utility_DisplayArrayInTable(Fertiliser_SourceData.Fertiliser_Products_Data4(),FertiliserProducts[[#Headers],[Company]], 91)</f>
        <v>CSBP</v>
      </c>
      <c r="E194" s="173" t="str" cm="1">
        <f t="array" ref="E194">Common_InputFunctions.Utility_DisplayArrayInTable(Fertiliser_SourceData.Fertiliser_Products_Data4(),FertiliserProducts[[#Headers],[Company]], 91)</f>
        <v>Super &amp; Potash 3:1</v>
      </c>
      <c r="F194" s="173" t="str" cm="1">
        <f t="array" ref="F194">Common_InputFunctions.Utility_DisplayArrayInTable(Fertiliser_SourceData.Fertiliser_Products_Data4(),FertiliserProducts[[#Headers],[Company]], 91)</f>
        <v>kg</v>
      </c>
      <c r="G194" s="173" cm="1">
        <f t="array" ref="G194">Common_InputFunctions.Utility_DisplayArrayInTable(Fertiliser_SourceData.Fertiliser_Products_Data4(),FertiliserProducts[[#Headers],[Company]], 91)</f>
        <v>1</v>
      </c>
      <c r="H194" s="173" t="str" cm="1">
        <f t="array" ref="H194">Common_InputFunctions.Utility_DisplayArrayInTable(Fertiliser_SourceData.Fertiliser_Products_Data4(),FertiliserProducts[[#Headers],[Company]], 91)</f>
        <v/>
      </c>
      <c r="I194" s="173" t="str" cm="1">
        <f t="array" ref="I194">Common_InputFunctions.Utility_DisplayArrayInTable(Fertiliser_SourceData.Fertiliser_Products_Data4(),FertiliserProducts[[#Headers],[Company]], 91)</f>
        <v/>
      </c>
      <c r="J194" s="173" t="str" cm="1">
        <f t="array" ref="J194">Common_InputFunctions.Utility_DisplayArrayInTable(Fertiliser_SourceData.Fertiliser_Products_Data4(),FertiliserProducts[[#Headers],[Company]], 91)</f>
        <v/>
      </c>
      <c r="K194" s="173" t="str" cm="1">
        <f t="array" ref="K194">Common_InputFunctions.Utility_DisplayArrayInTable(Fertiliser_SourceData.Fertiliser_Products_Data4(),FertiliserProducts[[#Headers],[Company]], 91)</f>
        <v/>
      </c>
      <c r="L194" s="173" cm="1">
        <f t="array" ref="L194">Common_InputFunctions.Utility_DisplayArrayInTable(Fertiliser_SourceData.Fertiliser_Products_Data4(),FertiliserProducts[[#Headers],[Company]], 91)</f>
        <v>5.5</v>
      </c>
      <c r="M194" s="173" cm="1">
        <f t="array" ref="M194">Common_InputFunctions.Utility_DisplayArrayInTable(Fertiliser_SourceData.Fertiliser_Products_Data4(),FertiliserProducts[[#Headers],[Company]], 91)</f>
        <v>15</v>
      </c>
      <c r="N194" s="173" cm="1">
        <f t="array" ref="N194">Common_InputFunctions.Utility_DisplayArrayInTable(Fertiliser_SourceData.Fertiliser_Products_Data4(),FertiliserProducts[[#Headers],[Company]], 91)</f>
        <v>6.88</v>
      </c>
      <c r="O194" s="173" t="str" cm="1">
        <f t="array" ref="O194">Common_InputFunctions.Utility_DisplayArrayInTable(Fertiliser_SourceData.Fertiliser_Products_Data4(),FertiliserProducts[[#Headers],[Company]], 91)</f>
        <v>Single superphosphate (SSP)</v>
      </c>
      <c r="P194" s="173" cm="1">
        <f t="array" ref="P194">Common_InputFunctions.Utility_DisplayArrayInTable(Fertiliser_SourceData.Fertiliser_Products_Data4(),FertiliserProducts[[#Headers],[Company]], 91)</f>
        <v>0.625</v>
      </c>
      <c r="Q194" s="173" t="str" cm="1">
        <f t="array" ref="Q194">Common_InputFunctions.Utility_DisplayArrayInTable(Fertiliser_SourceData.Fertiliser_Products_Data4(),FertiliserProducts[[#Headers],[Company]], 91)</f>
        <v>Muriate of potash (MOP)</v>
      </c>
      <c r="R194" s="173" cm="1">
        <f t="array" ref="R194">Common_InputFunctions.Utility_DisplayArrayInTable(Fertiliser_SourceData.Fertiliser_Products_Data4(),FertiliserProducts[[#Headers],[Company]], 91)</f>
        <v>0.3</v>
      </c>
      <c r="S194" s="173" t="str" cm="1">
        <f t="array" ref="S194">Common_InputFunctions.Utility_DisplayArrayInTable(Fertiliser_SourceData.Fertiliser_Products_Data4(),FertiliserProducts[[#Headers],[Company]], 91)</f>
        <v/>
      </c>
      <c r="T194" s="173" t="str" cm="1">
        <f t="array" ref="T194">Common_InputFunctions.Utility_DisplayArrayInTable(Fertiliser_SourceData.Fertiliser_Products_Data4(),FertiliserProducts[[#Headers],[Company]], 91)</f>
        <v/>
      </c>
      <c r="U194" s="173" t="str" cm="1">
        <f t="array" ref="U194">Common_InputFunctions.Utility_DisplayArrayInTable(Fertiliser_SourceData.Fertiliser_Products_Data4(),FertiliserProducts[[#Headers],[Company]], 91)</f>
        <v/>
      </c>
      <c r="V194" s="173" t="str" cm="1">
        <f t="array" ref="V194">Common_InputFunctions.Utility_DisplayArrayInTable(Fertiliser_SourceData.Fertiliser_Products_Data4(),FertiliserProducts[[#Headers],[Company]], 91)</f>
        <v/>
      </c>
      <c r="W194" s="173" t="str" cm="1">
        <f t="array" ref="W194">Common_InputFunctions.Utility_DisplayArrayInTable(Fertiliser_SourceData.Fertiliser_Products_Data4(),FertiliserProducts[[#Headers],[Company]], 91)</f>
        <v/>
      </c>
      <c r="X194" s="173" t="str" cm="1">
        <f t="array" ref="X194">Common_InputFunctions.Utility_DisplayArrayInTable(Fertiliser_SourceData.Fertiliser_Products_Data4(),FertiliserProducts[[#Headers],[Company]], 91)</f>
        <v/>
      </c>
      <c r="Y194" s="173" t="str" cm="1">
        <f t="array" ref="Y194">Common_InputFunctions.Utility_DisplayArrayInTable(Fertiliser_SourceData.Fertiliser_Products_Data4(),FertiliserProducts[[#Headers],[Company]], 91)</f>
        <v/>
      </c>
      <c r="Z194" s="173" t="str" cm="1">
        <f t="array" ref="Z194">Common_InputFunctions.Utility_DisplayArrayInTable(Fertiliser_SourceData.Fertiliser_Products_Data4(),FertiliserProducts[[#Headers],[Company]], 91)</f>
        <v/>
      </c>
      <c r="AA194" s="173" t="str" cm="1">
        <f t="array" ref="AA194">Common_InputFunctions.Utility_DisplayArrayInTable(Fertiliser_SourceData.Fertiliser_Products_Data4(),FertiliserProducts[[#Headers],[Company]], 91)</f>
        <v/>
      </c>
      <c r="AB194" s="173" t="str" cm="1">
        <f t="array" ref="AB194">Common_InputFunctions.Utility_DisplayArrayInTable(Fertiliser_SourceData.Fertiliser_Products_Data4(),FertiliserProducts[[#Headers],[Company]], 91)</f>
        <v/>
      </c>
      <c r="AC194" s="173" t="str" cm="1">
        <f t="array" ref="AC194">Common_InputFunctions.Utility_DisplayArrayInTable(Fertiliser_SourceData.Fertiliser_Products_Data4(),FertiliserProducts[[#Headers],[Company]], 91)</f>
        <v/>
      </c>
      <c r="AD194" s="173" t="str" cm="1">
        <f t="array" ref="AD194">Common_InputFunctions.Utility_DisplayArrayInTable(Fertiliser_SourceData.Fertiliser_Products_Data4(),FertiliserProducts[[#Headers],[Company]], 91)</f>
        <v/>
      </c>
      <c r="AE194" s="173" t="str" cm="1">
        <f t="array" ref="AE194">Common_InputFunctions.Utility_DisplayArrayInTable(Fertiliser_SourceData.Fertiliser_Products_Data4(),FertiliserProducts[[#Headers],[Company]], 91)</f>
        <v/>
      </c>
      <c r="AF194" s="173" t="str" cm="1">
        <f t="array" ref="AF194">Common_InputFunctions.Utility_DisplayArrayInTable(Fertiliser_SourceData.Fertiliser_Products_Data4(),FertiliserProducts[[#Headers],[Company]], 91)</f>
        <v/>
      </c>
      <c r="AG194" s="173" t="str" cm="1">
        <f t="array" ref="AG194">Common_InputFunctions.Utility_DisplayArrayInTable(Fertiliser_SourceData.Fertiliser_Products_Data4(),FertiliserProducts[[#Headers],[Company]], 91)</f>
        <v/>
      </c>
      <c r="AH194" s="173" t="str" cm="1">
        <f t="array" ref="AH194">Common_InputFunctions.Utility_DisplayArrayInTable(Fertiliser_SourceData.Fertiliser_Products_Data4(),FertiliserProducts[[#Headers],[Company]], 91)</f>
        <v/>
      </c>
    </row>
    <row r="195" spans="4:34" x14ac:dyDescent="0.25">
      <c r="D195" s="173" t="str" cm="1">
        <f t="array" ref="D195">Common_InputFunctions.Utility_DisplayArrayInTable(Fertiliser_SourceData.Fertiliser_Products_Data4(),FertiliserProducts[[#Headers],[Company]], 91)</f>
        <v>Yara</v>
      </c>
      <c r="E195" s="173" t="str" cm="1">
        <f t="array" ref="E195">Common_InputFunctions.Utility_DisplayArrayInTable(Fertiliser_SourceData.Fertiliser_Products_Data4(),FertiliserProducts[[#Headers],[Company]], 91)</f>
        <v>YaraBela CAN-27</v>
      </c>
      <c r="F195" s="173" t="str" cm="1">
        <f t="array" ref="F195">Common_InputFunctions.Utility_DisplayArrayInTable(Fertiliser_SourceData.Fertiliser_Products_Data4(),FertiliserProducts[[#Headers],[Company]], 91)</f>
        <v>kg</v>
      </c>
      <c r="G195" s="173" cm="1">
        <f t="array" ref="G195">Common_InputFunctions.Utility_DisplayArrayInTable(Fertiliser_SourceData.Fertiliser_Products_Data4(),FertiliserProducts[[#Headers],[Company]], 91)</f>
        <v>1</v>
      </c>
      <c r="H195" s="173" t="str" cm="1">
        <f t="array" ref="H195">Common_InputFunctions.Utility_DisplayArrayInTable(Fertiliser_SourceData.Fertiliser_Products_Data4(),FertiliserProducts[[#Headers],[Company]], 91)</f>
        <v/>
      </c>
      <c r="I195" s="173" t="str" cm="1">
        <f t="array" ref="I195">Common_InputFunctions.Utility_DisplayArrayInTable(Fertiliser_SourceData.Fertiliser_Products_Data4(),FertiliserProducts[[#Headers],[Company]], 91)</f>
        <v/>
      </c>
      <c r="J195" s="173" t="str" cm="1">
        <f t="array" ref="J195">Common_InputFunctions.Utility_DisplayArrayInTable(Fertiliser_SourceData.Fertiliser_Products_Data4(),FertiliserProducts[[#Headers],[Company]], 91)</f>
        <v/>
      </c>
      <c r="K195" s="173" cm="1">
        <f t="array" ref="K195">Common_InputFunctions.Utility_DisplayArrayInTable(Fertiliser_SourceData.Fertiliser_Products_Data4(),FertiliserProducts[[#Headers],[Company]], 91)</f>
        <v>27</v>
      </c>
      <c r="L195" s="173" t="str" cm="1">
        <f t="array" ref="L195">Common_InputFunctions.Utility_DisplayArrayInTable(Fertiliser_SourceData.Fertiliser_Products_Data4(),FertiliserProducts[[#Headers],[Company]], 91)</f>
        <v/>
      </c>
      <c r="M195" s="173" t="str" cm="1">
        <f t="array" ref="M195">Common_InputFunctions.Utility_DisplayArrayInTable(Fertiliser_SourceData.Fertiliser_Products_Data4(),FertiliserProducts[[#Headers],[Company]], 91)</f>
        <v/>
      </c>
      <c r="N195" s="173" t="str" cm="1">
        <f t="array" ref="N195">Common_InputFunctions.Utility_DisplayArrayInTable(Fertiliser_SourceData.Fertiliser_Products_Data4(),FertiliserProducts[[#Headers],[Company]], 91)</f>
        <v/>
      </c>
      <c r="O195" s="173" t="str" cm="1">
        <f t="array" ref="O195">Common_InputFunctions.Utility_DisplayArrayInTable(Fertiliser_SourceData.Fertiliser_Products_Data4(),FertiliserProducts[[#Headers],[Company]], 91)</f>
        <v>Calcium ammonium nitrate (CAN)</v>
      </c>
      <c r="P195" s="173" cm="1">
        <f t="array" ref="P195">Common_InputFunctions.Utility_DisplayArrayInTable(Fertiliser_SourceData.Fertiliser_Products_Data4(),FertiliserProducts[[#Headers],[Company]], 91)</f>
        <v>1</v>
      </c>
      <c r="Q195" s="173" t="str" cm="1">
        <f t="array" ref="Q195">Common_InputFunctions.Utility_DisplayArrayInTable(Fertiliser_SourceData.Fertiliser_Products_Data4(),FertiliserProducts[[#Headers],[Company]], 91)</f>
        <v/>
      </c>
      <c r="R195" s="173" t="str" cm="1">
        <f t="array" ref="R195">Common_InputFunctions.Utility_DisplayArrayInTable(Fertiliser_SourceData.Fertiliser_Products_Data4(),FertiliserProducts[[#Headers],[Company]], 91)</f>
        <v/>
      </c>
      <c r="S195" s="173" t="str" cm="1">
        <f t="array" ref="S195">Common_InputFunctions.Utility_DisplayArrayInTable(Fertiliser_SourceData.Fertiliser_Products_Data4(),FertiliserProducts[[#Headers],[Company]], 91)</f>
        <v/>
      </c>
      <c r="T195" s="173" t="str" cm="1">
        <f t="array" ref="T195">Common_InputFunctions.Utility_DisplayArrayInTable(Fertiliser_SourceData.Fertiliser_Products_Data4(),FertiliserProducts[[#Headers],[Company]], 91)</f>
        <v/>
      </c>
      <c r="U195" s="173" t="str" cm="1">
        <f t="array" ref="U195">Common_InputFunctions.Utility_DisplayArrayInTable(Fertiliser_SourceData.Fertiliser_Products_Data4(),FertiliserProducts[[#Headers],[Company]], 91)</f>
        <v/>
      </c>
      <c r="V195" s="173" t="str" cm="1">
        <f t="array" ref="V195">Common_InputFunctions.Utility_DisplayArrayInTable(Fertiliser_SourceData.Fertiliser_Products_Data4(),FertiliserProducts[[#Headers],[Company]], 91)</f>
        <v/>
      </c>
      <c r="W195" s="173" t="str" cm="1">
        <f t="array" ref="W195">Common_InputFunctions.Utility_DisplayArrayInTable(Fertiliser_SourceData.Fertiliser_Products_Data4(),FertiliserProducts[[#Headers],[Company]], 91)</f>
        <v/>
      </c>
      <c r="X195" s="173" t="str" cm="1">
        <f t="array" ref="X195">Common_InputFunctions.Utility_DisplayArrayInTable(Fertiliser_SourceData.Fertiliser_Products_Data4(),FertiliserProducts[[#Headers],[Company]], 91)</f>
        <v/>
      </c>
      <c r="Y195" s="173" t="str" cm="1">
        <f t="array" ref="Y195">Common_InputFunctions.Utility_DisplayArrayInTable(Fertiliser_SourceData.Fertiliser_Products_Data4(),FertiliserProducts[[#Headers],[Company]], 91)</f>
        <v/>
      </c>
      <c r="Z195" s="173" t="str" cm="1">
        <f t="array" ref="Z195">Common_InputFunctions.Utility_DisplayArrayInTable(Fertiliser_SourceData.Fertiliser_Products_Data4(),FertiliserProducts[[#Headers],[Company]], 91)</f>
        <v/>
      </c>
      <c r="AA195" s="173" t="str" cm="1">
        <f t="array" ref="AA195">Common_InputFunctions.Utility_DisplayArrayInTable(Fertiliser_SourceData.Fertiliser_Products_Data4(),FertiliserProducts[[#Headers],[Company]], 91)</f>
        <v/>
      </c>
      <c r="AB195" s="173" t="str" cm="1">
        <f t="array" ref="AB195">Common_InputFunctions.Utility_DisplayArrayInTable(Fertiliser_SourceData.Fertiliser_Products_Data4(),FertiliserProducts[[#Headers],[Company]], 91)</f>
        <v/>
      </c>
      <c r="AC195" s="173" t="str" cm="1">
        <f t="array" ref="AC195">Common_InputFunctions.Utility_DisplayArrayInTable(Fertiliser_SourceData.Fertiliser_Products_Data4(),FertiliserProducts[[#Headers],[Company]], 91)</f>
        <v/>
      </c>
      <c r="AD195" s="173" t="str" cm="1">
        <f t="array" ref="AD195">Common_InputFunctions.Utility_DisplayArrayInTable(Fertiliser_SourceData.Fertiliser_Products_Data4(),FertiliserProducts[[#Headers],[Company]], 91)</f>
        <v/>
      </c>
      <c r="AE195" s="173" t="str" cm="1">
        <f t="array" ref="AE195">Common_InputFunctions.Utility_DisplayArrayInTable(Fertiliser_SourceData.Fertiliser_Products_Data4(),FertiliserProducts[[#Headers],[Company]], 91)</f>
        <v/>
      </c>
      <c r="AF195" s="173" t="str" cm="1">
        <f t="array" ref="AF195">Common_InputFunctions.Utility_DisplayArrayInTable(Fertiliser_SourceData.Fertiliser_Products_Data4(),FertiliserProducts[[#Headers],[Company]], 91)</f>
        <v/>
      </c>
      <c r="AG195" s="173" t="str" cm="1">
        <f t="array" ref="AG195">Common_InputFunctions.Utility_DisplayArrayInTable(Fertiliser_SourceData.Fertiliser_Products_Data4(),FertiliserProducts[[#Headers],[Company]], 91)</f>
        <v/>
      </c>
      <c r="AH195" s="173" t="str" cm="1">
        <f t="array" ref="AH195">Common_InputFunctions.Utility_DisplayArrayInTable(Fertiliser_SourceData.Fertiliser_Products_Data4(),FertiliserProducts[[#Headers],[Company]], 91)</f>
        <v/>
      </c>
    </row>
    <row r="196" spans="4:34" x14ac:dyDescent="0.25">
      <c r="D196" s="173" t="str" cm="1">
        <f t="array" ref="D196">Common_InputFunctions.Utility_DisplayArrayInTable(Fertiliser_SourceData.Fertiliser_Products_Data4(),FertiliserProducts[[#Headers],[Company]], 91)</f>
        <v>Incitec Pivot Fertilisers</v>
      </c>
      <c r="E196" s="173" t="str" cm="1">
        <f t="array" ref="E196">Common_InputFunctions.Utility_DisplayArrayInTable(Fertiliser_SourceData.Fertiliser_Products_Data4(),FertiliserProducts[[#Headers],[Company]], 91)</f>
        <v>Cal-Gran Aftergraze</v>
      </c>
      <c r="F196" s="173" t="str" cm="1">
        <f t="array" ref="F196">Common_InputFunctions.Utility_DisplayArrayInTable(Fertiliser_SourceData.Fertiliser_Products_Data4(),FertiliserProducts[[#Headers],[Company]], 91)</f>
        <v>kg</v>
      </c>
      <c r="G196" s="173" cm="1">
        <f t="array" ref="G196">Common_InputFunctions.Utility_DisplayArrayInTable(Fertiliser_SourceData.Fertiliser_Products_Data4(),FertiliserProducts[[#Headers],[Company]], 91)</f>
        <v>1</v>
      </c>
      <c r="H196" s="173" t="str" cm="1">
        <f t="array" ref="H196">Common_InputFunctions.Utility_DisplayArrayInTable(Fertiliser_SourceData.Fertiliser_Products_Data4(),FertiliserProducts[[#Headers],[Company]], 91)</f>
        <v/>
      </c>
      <c r="I196" s="173" t="str" cm="1">
        <f t="array" ref="I196">Common_InputFunctions.Utility_DisplayArrayInTable(Fertiliser_SourceData.Fertiliser_Products_Data4(),FertiliserProducts[[#Headers],[Company]], 91)</f>
        <v/>
      </c>
      <c r="J196" s="173" t="str" cm="1">
        <f t="array" ref="J196">Common_InputFunctions.Utility_DisplayArrayInTable(Fertiliser_SourceData.Fertiliser_Products_Data4(),FertiliserProducts[[#Headers],[Company]], 91)</f>
        <v/>
      </c>
      <c r="K196" s="173" cm="1">
        <f t="array" ref="K196">Common_InputFunctions.Utility_DisplayArrayInTable(Fertiliser_SourceData.Fertiliser_Products_Data4(),FertiliserProducts[[#Headers],[Company]], 91)</f>
        <v>20.6</v>
      </c>
      <c r="L196" s="173" cm="1">
        <f t="array" ref="L196">Common_InputFunctions.Utility_DisplayArrayInTable(Fertiliser_SourceData.Fertiliser_Products_Data4(),FertiliserProducts[[#Headers],[Company]], 91)</f>
        <v>3</v>
      </c>
      <c r="M196" s="173" cm="1">
        <f t="array" ref="M196">Common_InputFunctions.Utility_DisplayArrayInTable(Fertiliser_SourceData.Fertiliser_Products_Data4(),FertiliserProducts[[#Headers],[Company]], 91)</f>
        <v>7.5</v>
      </c>
      <c r="N196" s="173" cm="1">
        <f t="array" ref="N196">Common_InputFunctions.Utility_DisplayArrayInTable(Fertiliser_SourceData.Fertiliser_Products_Data4(),FertiliserProducts[[#Headers],[Company]], 91)</f>
        <v>3.8</v>
      </c>
      <c r="O196" s="173" t="str" cm="1">
        <f t="array" ref="O196">Common_InputFunctions.Utility_DisplayArrayInTable(Fertiliser_SourceData.Fertiliser_Products_Data4(),FertiliserProducts[[#Headers],[Company]], 91)</f>
        <v>Nitrogen - Nitrate</v>
      </c>
      <c r="P196" s="173" cm="1">
        <f t="array" ref="P196">Common_InputFunctions.Utility_DisplayArrayInTable(Fertiliser_SourceData.Fertiliser_Products_Data4(),FertiliserProducts[[#Headers],[Company]], 91)</f>
        <v>6.4000000000000001E-2</v>
      </c>
      <c r="Q196" s="173" t="str" cm="1">
        <f t="array" ref="Q196">Common_InputFunctions.Utility_DisplayArrayInTable(Fertiliser_SourceData.Fertiliser_Products_Data4(),FertiliserProducts[[#Headers],[Company]], 91)</f>
        <v>Nitrogen - Ammoniacal</v>
      </c>
      <c r="R196" s="173" cm="1">
        <f t="array" ref="R196">Common_InputFunctions.Utility_DisplayArrayInTable(Fertiliser_SourceData.Fertiliser_Products_Data4(),FertiliserProducts[[#Headers],[Company]], 91)</f>
        <v>0.14199999999999999</v>
      </c>
      <c r="S196" s="173" t="str" cm="1">
        <f t="array" ref="S196">Common_InputFunctions.Utility_DisplayArrayInTable(Fertiliser_SourceData.Fertiliser_Products_Data4(),FertiliserProducts[[#Headers],[Company]], 91)</f>
        <v>Phosphorus - Generic</v>
      </c>
      <c r="T196" s="173" cm="1">
        <f t="array" ref="T196">Common_InputFunctions.Utility_DisplayArrayInTable(Fertiliser_SourceData.Fertiliser_Products_Data4(),FertiliserProducts[[#Headers],[Company]], 91)</f>
        <v>0.03</v>
      </c>
      <c r="U196" s="173" t="str" cm="1">
        <f t="array" ref="U196">Common_InputFunctions.Utility_DisplayArrayInTable(Fertiliser_SourceData.Fertiliser_Products_Data4(),FertiliserProducts[[#Headers],[Company]], 91)</f>
        <v>Potassium - Generic</v>
      </c>
      <c r="V196" s="173" cm="1">
        <f t="array" ref="V196">Common_InputFunctions.Utility_DisplayArrayInTable(Fertiliser_SourceData.Fertiliser_Products_Data4(),FertiliserProducts[[#Headers],[Company]], 91)</f>
        <v>7.4999999999999997E-2</v>
      </c>
      <c r="W196" s="173" t="str" cm="1">
        <f t="array" ref="W196">Common_InputFunctions.Utility_DisplayArrayInTable(Fertiliser_SourceData.Fertiliser_Products_Data4(),FertiliserProducts[[#Headers],[Company]], 91)</f>
        <v>Sulfur - Generic</v>
      </c>
      <c r="X196" s="173" cm="1">
        <f t="array" ref="X196">Common_InputFunctions.Utility_DisplayArrayInTable(Fertiliser_SourceData.Fertiliser_Products_Data4(),FertiliserProducts[[#Headers],[Company]], 91)</f>
        <v>3.7999999999999999E-2</v>
      </c>
      <c r="Y196" s="173" t="str" cm="1">
        <f t="array" ref="Y196">Common_InputFunctions.Utility_DisplayArrayInTable(Fertiliser_SourceData.Fertiliser_Products_Data4(),FertiliserProducts[[#Headers],[Company]], 91)</f>
        <v>Calcium</v>
      </c>
      <c r="Z196" s="173" cm="1">
        <f t="array" ref="Z196">Common_InputFunctions.Utility_DisplayArrayInTable(Fertiliser_SourceData.Fertiliser_Products_Data4(),FertiliserProducts[[#Headers],[Company]], 91)</f>
        <v>4.3999999999999997E-2</v>
      </c>
      <c r="AA196" s="173" t="str" cm="1">
        <f t="array" ref="AA196">Common_InputFunctions.Utility_DisplayArrayInTable(Fertiliser_SourceData.Fertiliser_Products_Data4(),FertiliserProducts[[#Headers],[Company]], 91)</f>
        <v/>
      </c>
      <c r="AB196" s="173" t="str" cm="1">
        <f t="array" ref="AB196">Common_InputFunctions.Utility_DisplayArrayInTable(Fertiliser_SourceData.Fertiliser_Products_Data4(),FertiliserProducts[[#Headers],[Company]], 91)</f>
        <v/>
      </c>
      <c r="AC196" s="173" t="str" cm="1">
        <f t="array" ref="AC196">Common_InputFunctions.Utility_DisplayArrayInTable(Fertiliser_SourceData.Fertiliser_Products_Data4(),FertiliserProducts[[#Headers],[Company]], 91)</f>
        <v/>
      </c>
      <c r="AD196" s="173" t="str" cm="1">
        <f t="array" ref="AD196">Common_InputFunctions.Utility_DisplayArrayInTable(Fertiliser_SourceData.Fertiliser_Products_Data4(),FertiliserProducts[[#Headers],[Company]], 91)</f>
        <v/>
      </c>
      <c r="AE196" s="173" t="str" cm="1">
        <f t="array" ref="AE196">Common_InputFunctions.Utility_DisplayArrayInTable(Fertiliser_SourceData.Fertiliser_Products_Data4(),FertiliserProducts[[#Headers],[Company]], 91)</f>
        <v/>
      </c>
      <c r="AF196" s="173" t="str" cm="1">
        <f t="array" ref="AF196">Common_InputFunctions.Utility_DisplayArrayInTable(Fertiliser_SourceData.Fertiliser_Products_Data4(),FertiliserProducts[[#Headers],[Company]], 91)</f>
        <v/>
      </c>
      <c r="AG196" s="173" t="str" cm="1">
        <f t="array" ref="AG196">Common_InputFunctions.Utility_DisplayArrayInTable(Fertiliser_SourceData.Fertiliser_Products_Data4(),FertiliserProducts[[#Headers],[Company]], 91)</f>
        <v/>
      </c>
      <c r="AH196" s="173" t="str" cm="1">
        <f t="array" ref="AH196">Common_InputFunctions.Utility_DisplayArrayInTable(Fertiliser_SourceData.Fertiliser_Products_Data4(),FertiliserProducts[[#Headers],[Company]], 91)</f>
        <v/>
      </c>
    </row>
    <row r="197" spans="4:34" x14ac:dyDescent="0.25">
      <c r="D197" s="173" t="str" cm="1">
        <f t="array" ref="D197">Common_InputFunctions.Utility_DisplayArrayInTable(Fertiliser_SourceData.Fertiliser_Products_Data4(),FertiliserProducts[[#Headers],[Company]], 91)</f>
        <v>Incitec Pivot Fertilisers</v>
      </c>
      <c r="E197" s="173" t="str" cm="1">
        <f t="array" ref="E197">Common_InputFunctions.Utility_DisplayArrayInTable(Fertiliser_SourceData.Fertiliser_Products_Data4(),FertiliserProducts[[#Headers],[Company]], 91)</f>
        <v>Cal-Gran Prodress</v>
      </c>
      <c r="F197" s="173" t="str" cm="1">
        <f t="array" ref="F197">Common_InputFunctions.Utility_DisplayArrayInTable(Fertiliser_SourceData.Fertiliser_Products_Data4(),FertiliserProducts[[#Headers],[Company]], 91)</f>
        <v>kg</v>
      </c>
      <c r="G197" s="173" cm="1">
        <f t="array" ref="G197">Common_InputFunctions.Utility_DisplayArrayInTable(Fertiliser_SourceData.Fertiliser_Products_Data4(),FertiliserProducts[[#Headers],[Company]], 91)</f>
        <v>1</v>
      </c>
      <c r="H197" s="173" t="str" cm="1">
        <f t="array" ref="H197">Common_InputFunctions.Utility_DisplayArrayInTable(Fertiliser_SourceData.Fertiliser_Products_Data4(),FertiliserProducts[[#Headers],[Company]], 91)</f>
        <v/>
      </c>
      <c r="I197" s="173" t="str" cm="1">
        <f t="array" ref="I197">Common_InputFunctions.Utility_DisplayArrayInTable(Fertiliser_SourceData.Fertiliser_Products_Data4(),FertiliserProducts[[#Headers],[Company]], 91)</f>
        <v/>
      </c>
      <c r="J197" s="173" t="str" cm="1">
        <f t="array" ref="J197">Common_InputFunctions.Utility_DisplayArrayInTable(Fertiliser_SourceData.Fertiliser_Products_Data4(),FertiliserProducts[[#Headers],[Company]], 91)</f>
        <v/>
      </c>
      <c r="K197" s="173" cm="1">
        <f t="array" ref="K197">Common_InputFunctions.Utility_DisplayArrayInTable(Fertiliser_SourceData.Fertiliser_Products_Data4(),FertiliserProducts[[#Headers],[Company]], 91)</f>
        <v>17.8</v>
      </c>
      <c r="L197" s="173" cm="1">
        <f t="array" ref="L197">Common_InputFunctions.Utility_DisplayArrayInTable(Fertiliser_SourceData.Fertiliser_Products_Data4(),FertiliserProducts[[#Headers],[Company]], 91)</f>
        <v>1</v>
      </c>
      <c r="M197" s="173" cm="1">
        <f t="array" ref="M197">Common_InputFunctions.Utility_DisplayArrayInTable(Fertiliser_SourceData.Fertiliser_Products_Data4(),FertiliserProducts[[#Headers],[Company]], 91)</f>
        <v>15</v>
      </c>
      <c r="N197" s="173" cm="1">
        <f t="array" ref="N197">Common_InputFunctions.Utility_DisplayArrayInTable(Fertiliser_SourceData.Fertiliser_Products_Data4(),FertiliserProducts[[#Headers],[Company]], 91)</f>
        <v>2.5</v>
      </c>
      <c r="O197" s="173" t="str" cm="1">
        <f t="array" ref="O197">Common_InputFunctions.Utility_DisplayArrayInTable(Fertiliser_SourceData.Fertiliser_Products_Data4(),FertiliserProducts[[#Headers],[Company]], 91)</f>
        <v>Nitrogen - Nitrate</v>
      </c>
      <c r="P197" s="173" cm="1">
        <f t="array" ref="P197">Common_InputFunctions.Utility_DisplayArrayInTable(Fertiliser_SourceData.Fertiliser_Products_Data4(),FertiliserProducts[[#Headers],[Company]], 91)</f>
        <v>5.5E-2</v>
      </c>
      <c r="Q197" s="173" t="str" cm="1">
        <f t="array" ref="Q197">Common_InputFunctions.Utility_DisplayArrayInTable(Fertiliser_SourceData.Fertiliser_Products_Data4(),FertiliserProducts[[#Headers],[Company]], 91)</f>
        <v>Nitrogen - Ammoniacal</v>
      </c>
      <c r="R197" s="173" cm="1">
        <f t="array" ref="R197">Common_InputFunctions.Utility_DisplayArrayInTable(Fertiliser_SourceData.Fertiliser_Products_Data4(),FertiliserProducts[[#Headers],[Company]], 91)</f>
        <v>0.123</v>
      </c>
      <c r="S197" s="173" t="str" cm="1">
        <f t="array" ref="S197">Common_InputFunctions.Utility_DisplayArrayInTable(Fertiliser_SourceData.Fertiliser_Products_Data4(),FertiliserProducts[[#Headers],[Company]], 91)</f>
        <v>Phosphorus - Generic</v>
      </c>
      <c r="T197" s="173" cm="1">
        <f t="array" ref="T197">Common_InputFunctions.Utility_DisplayArrayInTable(Fertiliser_SourceData.Fertiliser_Products_Data4(),FertiliserProducts[[#Headers],[Company]], 91)</f>
        <v>0.01</v>
      </c>
      <c r="U197" s="173" t="str" cm="1">
        <f t="array" ref="U197">Common_InputFunctions.Utility_DisplayArrayInTable(Fertiliser_SourceData.Fertiliser_Products_Data4(),FertiliserProducts[[#Headers],[Company]], 91)</f>
        <v>Potassium - Generic</v>
      </c>
      <c r="V197" s="173" cm="1">
        <f t="array" ref="V197">Common_InputFunctions.Utility_DisplayArrayInTable(Fertiliser_SourceData.Fertiliser_Products_Data4(),FertiliserProducts[[#Headers],[Company]], 91)</f>
        <v>0.15</v>
      </c>
      <c r="W197" s="173" t="str" cm="1">
        <f t="array" ref="W197">Common_InputFunctions.Utility_DisplayArrayInTable(Fertiliser_SourceData.Fertiliser_Products_Data4(),FertiliserProducts[[#Headers],[Company]], 91)</f>
        <v>Sulfur - Generic</v>
      </c>
      <c r="X197" s="173" cm="1">
        <f t="array" ref="X197">Common_InputFunctions.Utility_DisplayArrayInTable(Fertiliser_SourceData.Fertiliser_Products_Data4(),FertiliserProducts[[#Headers],[Company]], 91)</f>
        <v>2.5000000000000001E-2</v>
      </c>
      <c r="Y197" s="173" t="str" cm="1">
        <f t="array" ref="Y197">Common_InputFunctions.Utility_DisplayArrayInTable(Fertiliser_SourceData.Fertiliser_Products_Data4(),FertiliserProducts[[#Headers],[Company]], 91)</f>
        <v>Calcium</v>
      </c>
      <c r="Z197" s="173" cm="1">
        <f t="array" ref="Z197">Common_InputFunctions.Utility_DisplayArrayInTable(Fertiliser_SourceData.Fertiliser_Products_Data4(),FertiliserProducts[[#Headers],[Company]], 91)</f>
        <v>4.3999999999999997E-2</v>
      </c>
      <c r="AA197" s="173" t="str" cm="1">
        <f t="array" ref="AA197">Common_InputFunctions.Utility_DisplayArrayInTable(Fertiliser_SourceData.Fertiliser_Products_Data4(),FertiliserProducts[[#Headers],[Company]], 91)</f>
        <v/>
      </c>
      <c r="AB197" s="173" t="str" cm="1">
        <f t="array" ref="AB197">Common_InputFunctions.Utility_DisplayArrayInTable(Fertiliser_SourceData.Fertiliser_Products_Data4(),FertiliserProducts[[#Headers],[Company]], 91)</f>
        <v/>
      </c>
      <c r="AC197" s="173" t="str" cm="1">
        <f t="array" ref="AC197">Common_InputFunctions.Utility_DisplayArrayInTable(Fertiliser_SourceData.Fertiliser_Products_Data4(),FertiliserProducts[[#Headers],[Company]], 91)</f>
        <v/>
      </c>
      <c r="AD197" s="173" t="str" cm="1">
        <f t="array" ref="AD197">Common_InputFunctions.Utility_DisplayArrayInTable(Fertiliser_SourceData.Fertiliser_Products_Data4(),FertiliserProducts[[#Headers],[Company]], 91)</f>
        <v/>
      </c>
      <c r="AE197" s="173" t="str" cm="1">
        <f t="array" ref="AE197">Common_InputFunctions.Utility_DisplayArrayInTable(Fertiliser_SourceData.Fertiliser_Products_Data4(),FertiliserProducts[[#Headers],[Company]], 91)</f>
        <v/>
      </c>
      <c r="AF197" s="173" t="str" cm="1">
        <f t="array" ref="AF197">Common_InputFunctions.Utility_DisplayArrayInTable(Fertiliser_SourceData.Fertiliser_Products_Data4(),FertiliserProducts[[#Headers],[Company]], 91)</f>
        <v/>
      </c>
      <c r="AG197" s="173" t="str" cm="1">
        <f t="array" ref="AG197">Common_InputFunctions.Utility_DisplayArrayInTable(Fertiliser_SourceData.Fertiliser_Products_Data4(),FertiliserProducts[[#Headers],[Company]], 91)</f>
        <v/>
      </c>
      <c r="AH197" s="173" t="str" cm="1">
        <f t="array" ref="AH197">Common_InputFunctions.Utility_DisplayArrayInTable(Fertiliser_SourceData.Fertiliser_Products_Data4(),FertiliserProducts[[#Headers],[Company]], 91)</f>
        <v/>
      </c>
    </row>
    <row r="198" spans="4:34" x14ac:dyDescent="0.25">
      <c r="D198" s="173" t="str" cm="1">
        <f t="array" ref="D198">Common_InputFunctions.Utility_DisplayArrayInTable(Fertiliser_SourceData.Fertiliser_Products_Data4(),FertiliserProducts[[#Headers],[Company]], 91)</f>
        <v>Wengfu Australia</v>
      </c>
      <c r="E198" s="173" t="str" cm="1">
        <f t="array" ref="E198">Common_InputFunctions.Utility_DisplayArrayInTable(Fertiliser_SourceData.Fertiliser_Products_Data4(),FertiliserProducts[[#Headers],[Company]], 91)</f>
        <v>Wengfu PrimeZinc 10</v>
      </c>
      <c r="F198" s="173" t="str" cm="1">
        <f t="array" ref="F198">Common_InputFunctions.Utility_DisplayArrayInTable(Fertiliser_SourceData.Fertiliser_Products_Data4(),FertiliserProducts[[#Headers],[Company]], 91)</f>
        <v>kg</v>
      </c>
      <c r="G198" s="173" cm="1">
        <f t="array" ref="G198">Common_InputFunctions.Utility_DisplayArrayInTable(Fertiliser_SourceData.Fertiliser_Products_Data4(),FertiliserProducts[[#Headers],[Company]], 91)</f>
        <v>1</v>
      </c>
      <c r="H198" s="173" t="str" cm="1">
        <f t="array" ref="H198">Common_InputFunctions.Utility_DisplayArrayInTable(Fertiliser_SourceData.Fertiliser_Products_Data4(),FertiliserProducts[[#Headers],[Company]], 91)</f>
        <v/>
      </c>
      <c r="I198" s="173" t="str" cm="1">
        <f t="array" ref="I198">Common_InputFunctions.Utility_DisplayArrayInTable(Fertiliser_SourceData.Fertiliser_Products_Data4(),FertiliserProducts[[#Headers],[Company]], 91)</f>
        <v/>
      </c>
      <c r="J198" s="173" t="str" cm="1">
        <f t="array" ref="J198">Common_InputFunctions.Utility_DisplayArrayInTable(Fertiliser_SourceData.Fertiliser_Products_Data4(),FertiliserProducts[[#Headers],[Company]], 91)</f>
        <v/>
      </c>
      <c r="K198" s="173" cm="1">
        <f t="array" ref="K198">Common_InputFunctions.Utility_DisplayArrayInTable(Fertiliser_SourceData.Fertiliser_Products_Data4(),FertiliserProducts[[#Headers],[Company]], 91)</f>
        <v>10</v>
      </c>
      <c r="L198" s="173" cm="1">
        <f t="array" ref="L198">Common_InputFunctions.Utility_DisplayArrayInTable(Fertiliser_SourceData.Fertiliser_Products_Data4(),FertiliserProducts[[#Headers],[Company]], 91)</f>
        <v>22</v>
      </c>
      <c r="M198" s="173" t="str" cm="1">
        <f t="array" ref="M198">Common_InputFunctions.Utility_DisplayArrayInTable(Fertiliser_SourceData.Fertiliser_Products_Data4(),FertiliserProducts[[#Headers],[Company]], 91)</f>
        <v/>
      </c>
      <c r="N198" s="173" cm="1">
        <f t="array" ref="N198">Common_InputFunctions.Utility_DisplayArrayInTable(Fertiliser_SourceData.Fertiliser_Products_Data4(),FertiliserProducts[[#Headers],[Company]], 91)</f>
        <v>1.5</v>
      </c>
      <c r="O198" s="173" t="str" cm="1">
        <f t="array" ref="O198">Common_InputFunctions.Utility_DisplayArrayInTable(Fertiliser_SourceData.Fertiliser_Products_Data4(),FertiliserProducts[[#Headers],[Company]], 91)</f>
        <v>Nitrogen - Generic</v>
      </c>
      <c r="P198" s="173" cm="1">
        <f t="array" ref="P198">Common_InputFunctions.Utility_DisplayArrayInTable(Fertiliser_SourceData.Fertiliser_Products_Data4(),FertiliserProducts[[#Headers],[Company]], 91)</f>
        <v>0.1</v>
      </c>
      <c r="Q198" s="173" t="str" cm="1">
        <f t="array" ref="Q198">Common_InputFunctions.Utility_DisplayArrayInTable(Fertiliser_SourceData.Fertiliser_Products_Data4(),FertiliserProducts[[#Headers],[Company]], 91)</f>
        <v>Phosphorus - Generic</v>
      </c>
      <c r="R198" s="173" cm="1">
        <f t="array" ref="R198">Common_InputFunctions.Utility_DisplayArrayInTable(Fertiliser_SourceData.Fertiliser_Products_Data4(),FertiliserProducts[[#Headers],[Company]], 91)</f>
        <v>0.22</v>
      </c>
      <c r="S198" s="173" t="str" cm="1">
        <f t="array" ref="S198">Common_InputFunctions.Utility_DisplayArrayInTable(Fertiliser_SourceData.Fertiliser_Products_Data4(),FertiliserProducts[[#Headers],[Company]], 91)</f>
        <v>Sulfur - Generic</v>
      </c>
      <c r="T198" s="173" cm="1">
        <f t="array" ref="T198">Common_InputFunctions.Utility_DisplayArrayInTable(Fertiliser_SourceData.Fertiliser_Products_Data4(),FertiliserProducts[[#Headers],[Company]], 91)</f>
        <v>1.4999999999999999E-2</v>
      </c>
      <c r="U198" s="173" t="str" cm="1">
        <f t="array" ref="U198">Common_InputFunctions.Utility_DisplayArrayInTable(Fertiliser_SourceData.Fertiliser_Products_Data4(),FertiliserProducts[[#Headers],[Company]], 91)</f>
        <v>Zinc</v>
      </c>
      <c r="V198" s="173" cm="1">
        <f t="array" ref="V198">Common_InputFunctions.Utility_DisplayArrayInTable(Fertiliser_SourceData.Fertiliser_Products_Data4(),FertiliserProducts[[#Headers],[Company]], 91)</f>
        <v>0.01</v>
      </c>
      <c r="W198" s="173" t="str" cm="1">
        <f t="array" ref="W198">Common_InputFunctions.Utility_DisplayArrayInTable(Fertiliser_SourceData.Fertiliser_Products_Data4(),FertiliserProducts[[#Headers],[Company]], 91)</f>
        <v/>
      </c>
      <c r="X198" s="173" t="str" cm="1">
        <f t="array" ref="X198">Common_InputFunctions.Utility_DisplayArrayInTable(Fertiliser_SourceData.Fertiliser_Products_Data4(),FertiliserProducts[[#Headers],[Company]], 91)</f>
        <v/>
      </c>
      <c r="Y198" s="173" t="str" cm="1">
        <f t="array" ref="Y198">Common_InputFunctions.Utility_DisplayArrayInTable(Fertiliser_SourceData.Fertiliser_Products_Data4(),FertiliserProducts[[#Headers],[Company]], 91)</f>
        <v/>
      </c>
      <c r="Z198" s="173" t="str" cm="1">
        <f t="array" ref="Z198">Common_InputFunctions.Utility_DisplayArrayInTable(Fertiliser_SourceData.Fertiliser_Products_Data4(),FertiliserProducts[[#Headers],[Company]], 91)</f>
        <v/>
      </c>
      <c r="AA198" s="173" t="str" cm="1">
        <f t="array" ref="AA198">Common_InputFunctions.Utility_DisplayArrayInTable(Fertiliser_SourceData.Fertiliser_Products_Data4(),FertiliserProducts[[#Headers],[Company]], 91)</f>
        <v/>
      </c>
      <c r="AB198" s="173" t="str" cm="1">
        <f t="array" ref="AB198">Common_InputFunctions.Utility_DisplayArrayInTable(Fertiliser_SourceData.Fertiliser_Products_Data4(),FertiliserProducts[[#Headers],[Company]], 91)</f>
        <v/>
      </c>
      <c r="AC198" s="173" t="str" cm="1">
        <f t="array" ref="AC198">Common_InputFunctions.Utility_DisplayArrayInTable(Fertiliser_SourceData.Fertiliser_Products_Data4(),FertiliserProducts[[#Headers],[Company]], 91)</f>
        <v/>
      </c>
      <c r="AD198" s="173" t="str" cm="1">
        <f t="array" ref="AD198">Common_InputFunctions.Utility_DisplayArrayInTable(Fertiliser_SourceData.Fertiliser_Products_Data4(),FertiliserProducts[[#Headers],[Company]], 91)</f>
        <v/>
      </c>
      <c r="AE198" s="173" t="str" cm="1">
        <f t="array" ref="AE198">Common_InputFunctions.Utility_DisplayArrayInTable(Fertiliser_SourceData.Fertiliser_Products_Data4(),FertiliserProducts[[#Headers],[Company]], 91)</f>
        <v/>
      </c>
      <c r="AF198" s="173" t="str" cm="1">
        <f t="array" ref="AF198">Common_InputFunctions.Utility_DisplayArrayInTable(Fertiliser_SourceData.Fertiliser_Products_Data4(),FertiliserProducts[[#Headers],[Company]], 91)</f>
        <v/>
      </c>
      <c r="AG198" s="173" t="str" cm="1">
        <f t="array" ref="AG198">Common_InputFunctions.Utility_DisplayArrayInTable(Fertiliser_SourceData.Fertiliser_Products_Data4(),FertiliserProducts[[#Headers],[Company]], 91)</f>
        <v/>
      </c>
      <c r="AH198" s="173" t="str" cm="1">
        <f t="array" ref="AH198">Common_InputFunctions.Utility_DisplayArrayInTable(Fertiliser_SourceData.Fertiliser_Products_Data4(),FertiliserProducts[[#Headers],[Company]], 91)</f>
        <v/>
      </c>
    </row>
    <row r="199" spans="4:34" x14ac:dyDescent="0.25">
      <c r="D199" s="173" t="str" cm="1">
        <f t="array" ref="D199">Common_InputFunctions.Utility_DisplayArrayInTable(Fertiliser_SourceData.Fertiliser_Products_Data4(),FertiliserProducts[[#Headers],[Company]], 91)</f>
        <v>Wengfu Australia</v>
      </c>
      <c r="E199" s="173" t="str" cm="1">
        <f t="array" ref="E199">Common_InputFunctions.Utility_DisplayArrayInTable(Fertiliser_SourceData.Fertiliser_Products_Data4(),FertiliserProducts[[#Headers],[Company]], 91)</f>
        <v>Wengfu Pasture King</v>
      </c>
      <c r="F199" s="173" t="str" cm="1">
        <f t="array" ref="F199">Common_InputFunctions.Utility_DisplayArrayInTable(Fertiliser_SourceData.Fertiliser_Products_Data4(),FertiliserProducts[[#Headers],[Company]], 91)</f>
        <v>kg</v>
      </c>
      <c r="G199" s="173" cm="1">
        <f t="array" ref="G199">Common_InputFunctions.Utility_DisplayArrayInTable(Fertiliser_SourceData.Fertiliser_Products_Data4(),FertiliserProducts[[#Headers],[Company]], 91)</f>
        <v>1</v>
      </c>
      <c r="H199" s="173" t="str" cm="1">
        <f t="array" ref="H199">Common_InputFunctions.Utility_DisplayArrayInTable(Fertiliser_SourceData.Fertiliser_Products_Data4(),FertiliserProducts[[#Headers],[Company]], 91)</f>
        <v/>
      </c>
      <c r="I199" s="173" t="str" cm="1">
        <f t="array" ref="I199">Common_InputFunctions.Utility_DisplayArrayInTable(Fertiliser_SourceData.Fertiliser_Products_Data4(),FertiliserProducts[[#Headers],[Company]], 91)</f>
        <v/>
      </c>
      <c r="J199" s="173" t="str" cm="1">
        <f t="array" ref="J199">Common_InputFunctions.Utility_DisplayArrayInTable(Fertiliser_SourceData.Fertiliser_Products_Data4(),FertiliserProducts[[#Headers],[Company]], 91)</f>
        <v/>
      </c>
      <c r="K199" s="173" t="str" cm="1">
        <f t="array" ref="K199">Common_InputFunctions.Utility_DisplayArrayInTable(Fertiliser_SourceData.Fertiliser_Products_Data4(),FertiliserProducts[[#Headers],[Company]], 91)</f>
        <v/>
      </c>
      <c r="L199" s="173" cm="1">
        <f t="array" ref="L199">Common_InputFunctions.Utility_DisplayArrayInTable(Fertiliser_SourceData.Fertiliser_Products_Data4(),FertiliserProducts[[#Headers],[Company]], 91)</f>
        <v>15.7</v>
      </c>
      <c r="M199" s="173" t="str" cm="1">
        <f t="array" ref="M199">Common_InputFunctions.Utility_DisplayArrayInTable(Fertiliser_SourceData.Fertiliser_Products_Data4(),FertiliserProducts[[#Headers],[Company]], 91)</f>
        <v/>
      </c>
      <c r="N199" s="173" cm="1">
        <f t="array" ref="N199">Common_InputFunctions.Utility_DisplayArrayInTable(Fertiliser_SourceData.Fertiliser_Products_Data4(),FertiliserProducts[[#Headers],[Company]], 91)</f>
        <v>4.5999999999999996</v>
      </c>
      <c r="O199" s="173" t="str" cm="1">
        <f t="array" ref="O199">Common_InputFunctions.Utility_DisplayArrayInTable(Fertiliser_SourceData.Fertiliser_Products_Data4(),FertiliserProducts[[#Headers],[Company]], 91)</f>
        <v>Phosphorus - Generic</v>
      </c>
      <c r="P199" s="173" cm="1">
        <f t="array" ref="P199">Common_InputFunctions.Utility_DisplayArrayInTable(Fertiliser_SourceData.Fertiliser_Products_Data4(),FertiliserProducts[[#Headers],[Company]], 91)</f>
        <v>0.157</v>
      </c>
      <c r="Q199" s="173" t="str" cm="1">
        <f t="array" ref="Q199">Common_InputFunctions.Utility_DisplayArrayInTable(Fertiliser_SourceData.Fertiliser_Products_Data4(),FertiliserProducts[[#Headers],[Company]], 91)</f>
        <v>Sulfur - Generic</v>
      </c>
      <c r="R199" s="173" cm="1">
        <f t="array" ref="R199">Common_InputFunctions.Utility_DisplayArrayInTable(Fertiliser_SourceData.Fertiliser_Products_Data4(),FertiliserProducts[[#Headers],[Company]], 91)</f>
        <v>4.5999999999999999E-2</v>
      </c>
      <c r="S199" s="173" t="str" cm="1">
        <f t="array" ref="S199">Common_InputFunctions.Utility_DisplayArrayInTable(Fertiliser_SourceData.Fertiliser_Products_Data4(),FertiliserProducts[[#Headers],[Company]], 91)</f>
        <v>Calcium</v>
      </c>
      <c r="T199" s="173" cm="1">
        <f t="array" ref="T199">Common_InputFunctions.Utility_DisplayArrayInTable(Fertiliser_SourceData.Fertiliser_Products_Data4(),FertiliserProducts[[#Headers],[Company]], 91)</f>
        <v>0.14000000000000001</v>
      </c>
      <c r="U199" s="173" t="str" cm="1">
        <f t="array" ref="U199">Common_InputFunctions.Utility_DisplayArrayInTable(Fertiliser_SourceData.Fertiliser_Products_Data4(),FertiliserProducts[[#Headers],[Company]], 91)</f>
        <v/>
      </c>
      <c r="V199" s="173" t="str" cm="1">
        <f t="array" ref="V199">Common_InputFunctions.Utility_DisplayArrayInTable(Fertiliser_SourceData.Fertiliser_Products_Data4(),FertiliserProducts[[#Headers],[Company]], 91)</f>
        <v/>
      </c>
      <c r="W199" s="173" t="str" cm="1">
        <f t="array" ref="W199">Common_InputFunctions.Utility_DisplayArrayInTable(Fertiliser_SourceData.Fertiliser_Products_Data4(),FertiliserProducts[[#Headers],[Company]], 91)</f>
        <v/>
      </c>
      <c r="X199" s="173" t="str" cm="1">
        <f t="array" ref="X199">Common_InputFunctions.Utility_DisplayArrayInTable(Fertiliser_SourceData.Fertiliser_Products_Data4(),FertiliserProducts[[#Headers],[Company]], 91)</f>
        <v/>
      </c>
      <c r="Y199" s="173" t="str" cm="1">
        <f t="array" ref="Y199">Common_InputFunctions.Utility_DisplayArrayInTable(Fertiliser_SourceData.Fertiliser_Products_Data4(),FertiliserProducts[[#Headers],[Company]], 91)</f>
        <v/>
      </c>
      <c r="Z199" s="173" t="str" cm="1">
        <f t="array" ref="Z199">Common_InputFunctions.Utility_DisplayArrayInTable(Fertiliser_SourceData.Fertiliser_Products_Data4(),FertiliserProducts[[#Headers],[Company]], 91)</f>
        <v/>
      </c>
      <c r="AA199" s="173" t="str" cm="1">
        <f t="array" ref="AA199">Common_InputFunctions.Utility_DisplayArrayInTable(Fertiliser_SourceData.Fertiliser_Products_Data4(),FertiliserProducts[[#Headers],[Company]], 91)</f>
        <v/>
      </c>
      <c r="AB199" s="173" t="str" cm="1">
        <f t="array" ref="AB199">Common_InputFunctions.Utility_DisplayArrayInTable(Fertiliser_SourceData.Fertiliser_Products_Data4(),FertiliserProducts[[#Headers],[Company]], 91)</f>
        <v/>
      </c>
      <c r="AC199" s="173" t="str" cm="1">
        <f t="array" ref="AC199">Common_InputFunctions.Utility_DisplayArrayInTable(Fertiliser_SourceData.Fertiliser_Products_Data4(),FertiliserProducts[[#Headers],[Company]], 91)</f>
        <v/>
      </c>
      <c r="AD199" s="173" t="str" cm="1">
        <f t="array" ref="AD199">Common_InputFunctions.Utility_DisplayArrayInTable(Fertiliser_SourceData.Fertiliser_Products_Data4(),FertiliserProducts[[#Headers],[Company]], 91)</f>
        <v/>
      </c>
      <c r="AE199" s="173" t="str" cm="1">
        <f t="array" ref="AE199">Common_InputFunctions.Utility_DisplayArrayInTable(Fertiliser_SourceData.Fertiliser_Products_Data4(),FertiliserProducts[[#Headers],[Company]], 91)</f>
        <v/>
      </c>
      <c r="AF199" s="173" t="str" cm="1">
        <f t="array" ref="AF199">Common_InputFunctions.Utility_DisplayArrayInTable(Fertiliser_SourceData.Fertiliser_Products_Data4(),FertiliserProducts[[#Headers],[Company]], 91)</f>
        <v/>
      </c>
      <c r="AG199" s="173" t="str" cm="1">
        <f t="array" ref="AG199">Common_InputFunctions.Utility_DisplayArrayInTable(Fertiliser_SourceData.Fertiliser_Products_Data4(),FertiliserProducts[[#Headers],[Company]], 91)</f>
        <v/>
      </c>
      <c r="AH199" s="173" t="str" cm="1">
        <f t="array" ref="AH199">Common_InputFunctions.Utility_DisplayArrayInTable(Fertiliser_SourceData.Fertiliser_Products_Data4(),FertiliserProducts[[#Headers],[Company]], 91)</f>
        <v/>
      </c>
    </row>
    <row r="200" spans="4:34" x14ac:dyDescent="0.25">
      <c r="D200" s="173" t="str" cm="1">
        <f t="array" ref="D200">Common_InputFunctions.Utility_DisplayArrayInTable(Fertiliser_SourceData.Fertiliser_Products_Data4(),FertiliserProducts[[#Headers],[Company]], 91)</f>
        <v>Wengfu Australia</v>
      </c>
      <c r="E200" s="173" t="str" cm="1">
        <f t="array" ref="E200">Common_InputFunctions.Utility_DisplayArrayInTable(Fertiliser_SourceData.Fertiliser_Products_Data4(),FertiliserProducts[[#Headers],[Company]], 91)</f>
        <v>Wengfu SuStain</v>
      </c>
      <c r="F200" s="173" t="str" cm="1">
        <f t="array" ref="F200">Common_InputFunctions.Utility_DisplayArrayInTable(Fertiliser_SourceData.Fertiliser_Products_Data4(),FertiliserProducts[[#Headers],[Company]], 91)</f>
        <v>kg</v>
      </c>
      <c r="G200" s="173" cm="1">
        <f t="array" ref="G200">Common_InputFunctions.Utility_DisplayArrayInTable(Fertiliser_SourceData.Fertiliser_Products_Data4(),FertiliserProducts[[#Headers],[Company]], 91)</f>
        <v>1</v>
      </c>
      <c r="H200" s="173" t="str" cm="1">
        <f t="array" ref="H200">Common_InputFunctions.Utility_DisplayArrayInTable(Fertiliser_SourceData.Fertiliser_Products_Data4(),FertiliserProducts[[#Headers],[Company]], 91)</f>
        <v/>
      </c>
      <c r="I200" s="173" t="str" cm="1">
        <f t="array" ref="I200">Common_InputFunctions.Utility_DisplayArrayInTable(Fertiliser_SourceData.Fertiliser_Products_Data4(),FertiliserProducts[[#Headers],[Company]], 91)</f>
        <v/>
      </c>
      <c r="J200" s="173" t="str" cm="1">
        <f t="array" ref="J200">Common_InputFunctions.Utility_DisplayArrayInTable(Fertiliser_SourceData.Fertiliser_Products_Data4(),FertiliserProducts[[#Headers],[Company]], 91)</f>
        <v/>
      </c>
      <c r="K200" s="173" t="str" cm="1">
        <f t="array" ref="K200">Common_InputFunctions.Utility_DisplayArrayInTable(Fertiliser_SourceData.Fertiliser_Products_Data4(),FertiliserProducts[[#Headers],[Company]], 91)</f>
        <v/>
      </c>
      <c r="L200" s="173" t="str" cm="1">
        <f t="array" ref="L200">Common_InputFunctions.Utility_DisplayArrayInTable(Fertiliser_SourceData.Fertiliser_Products_Data4(),FertiliserProducts[[#Headers],[Company]], 91)</f>
        <v/>
      </c>
      <c r="M200" s="173" t="str" cm="1">
        <f t="array" ref="M200">Common_InputFunctions.Utility_DisplayArrayInTable(Fertiliser_SourceData.Fertiliser_Products_Data4(),FertiliserProducts[[#Headers],[Company]], 91)</f>
        <v/>
      </c>
      <c r="N200" s="173" cm="1">
        <f t="array" ref="N200">Common_InputFunctions.Utility_DisplayArrayInTable(Fertiliser_SourceData.Fertiliser_Products_Data4(),FertiliserProducts[[#Headers],[Company]], 91)</f>
        <v>90</v>
      </c>
      <c r="O200" s="173" t="str" cm="1">
        <f t="array" ref="O200">Common_InputFunctions.Utility_DisplayArrayInTable(Fertiliser_SourceData.Fertiliser_Products_Data4(),FertiliserProducts[[#Headers],[Company]], 91)</f>
        <v>Sulfur - Generic</v>
      </c>
      <c r="P200" s="173" cm="1">
        <f t="array" ref="P200">Common_InputFunctions.Utility_DisplayArrayInTable(Fertiliser_SourceData.Fertiliser_Products_Data4(),FertiliserProducts[[#Headers],[Company]], 91)</f>
        <v>0.9</v>
      </c>
      <c r="Q200" s="173" t="str" cm="1">
        <f t="array" ref="Q200">Common_InputFunctions.Utility_DisplayArrayInTable(Fertiliser_SourceData.Fertiliser_Products_Data4(),FertiliserProducts[[#Headers],[Company]], 91)</f>
        <v/>
      </c>
      <c r="R200" s="173" t="str" cm="1">
        <f t="array" ref="R200">Common_InputFunctions.Utility_DisplayArrayInTable(Fertiliser_SourceData.Fertiliser_Products_Data4(),FertiliserProducts[[#Headers],[Company]], 91)</f>
        <v/>
      </c>
      <c r="S200" s="173" t="str" cm="1">
        <f t="array" ref="S200">Common_InputFunctions.Utility_DisplayArrayInTable(Fertiliser_SourceData.Fertiliser_Products_Data4(),FertiliserProducts[[#Headers],[Company]], 91)</f>
        <v/>
      </c>
      <c r="T200" s="173" t="str" cm="1">
        <f t="array" ref="T200">Common_InputFunctions.Utility_DisplayArrayInTable(Fertiliser_SourceData.Fertiliser_Products_Data4(),FertiliserProducts[[#Headers],[Company]], 91)</f>
        <v/>
      </c>
      <c r="U200" s="173" t="str" cm="1">
        <f t="array" ref="U200">Common_InputFunctions.Utility_DisplayArrayInTable(Fertiliser_SourceData.Fertiliser_Products_Data4(),FertiliserProducts[[#Headers],[Company]], 91)</f>
        <v/>
      </c>
      <c r="V200" s="173" t="str" cm="1">
        <f t="array" ref="V200">Common_InputFunctions.Utility_DisplayArrayInTable(Fertiliser_SourceData.Fertiliser_Products_Data4(),FertiliserProducts[[#Headers],[Company]], 91)</f>
        <v/>
      </c>
      <c r="W200" s="173" t="str" cm="1">
        <f t="array" ref="W200">Common_InputFunctions.Utility_DisplayArrayInTable(Fertiliser_SourceData.Fertiliser_Products_Data4(),FertiliserProducts[[#Headers],[Company]], 91)</f>
        <v/>
      </c>
      <c r="X200" s="173" t="str" cm="1">
        <f t="array" ref="X200">Common_InputFunctions.Utility_DisplayArrayInTable(Fertiliser_SourceData.Fertiliser_Products_Data4(),FertiliserProducts[[#Headers],[Company]], 91)</f>
        <v/>
      </c>
      <c r="Y200" s="173" t="str" cm="1">
        <f t="array" ref="Y200">Common_InputFunctions.Utility_DisplayArrayInTable(Fertiliser_SourceData.Fertiliser_Products_Data4(),FertiliserProducts[[#Headers],[Company]], 91)</f>
        <v/>
      </c>
      <c r="Z200" s="173" t="str" cm="1">
        <f t="array" ref="Z200">Common_InputFunctions.Utility_DisplayArrayInTable(Fertiliser_SourceData.Fertiliser_Products_Data4(),FertiliserProducts[[#Headers],[Company]], 91)</f>
        <v/>
      </c>
      <c r="AA200" s="173" t="str" cm="1">
        <f t="array" ref="AA200">Common_InputFunctions.Utility_DisplayArrayInTable(Fertiliser_SourceData.Fertiliser_Products_Data4(),FertiliserProducts[[#Headers],[Company]], 91)</f>
        <v/>
      </c>
      <c r="AB200" s="173" t="str" cm="1">
        <f t="array" ref="AB200">Common_InputFunctions.Utility_DisplayArrayInTable(Fertiliser_SourceData.Fertiliser_Products_Data4(),FertiliserProducts[[#Headers],[Company]], 91)</f>
        <v/>
      </c>
      <c r="AC200" s="173" t="str" cm="1">
        <f t="array" ref="AC200">Common_InputFunctions.Utility_DisplayArrayInTable(Fertiliser_SourceData.Fertiliser_Products_Data4(),FertiliserProducts[[#Headers],[Company]], 91)</f>
        <v/>
      </c>
      <c r="AD200" s="173" t="str" cm="1">
        <f t="array" ref="AD200">Common_InputFunctions.Utility_DisplayArrayInTable(Fertiliser_SourceData.Fertiliser_Products_Data4(),FertiliserProducts[[#Headers],[Company]], 91)</f>
        <v/>
      </c>
      <c r="AE200" s="173" t="str" cm="1">
        <f t="array" ref="AE200">Common_InputFunctions.Utility_DisplayArrayInTable(Fertiliser_SourceData.Fertiliser_Products_Data4(),FertiliserProducts[[#Headers],[Company]], 91)</f>
        <v/>
      </c>
      <c r="AF200" s="173" t="str" cm="1">
        <f t="array" ref="AF200">Common_InputFunctions.Utility_DisplayArrayInTable(Fertiliser_SourceData.Fertiliser_Products_Data4(),FertiliserProducts[[#Headers],[Company]], 91)</f>
        <v/>
      </c>
      <c r="AG200" s="173" t="str" cm="1">
        <f t="array" ref="AG200">Common_InputFunctions.Utility_DisplayArrayInTable(Fertiliser_SourceData.Fertiliser_Products_Data4(),FertiliserProducts[[#Headers],[Company]], 91)</f>
        <v/>
      </c>
      <c r="AH200" s="173" t="str" cm="1">
        <f t="array" ref="AH200">Common_InputFunctions.Utility_DisplayArrayInTable(Fertiliser_SourceData.Fertiliser_Products_Data4(),FertiliserProducts[[#Headers],[Company]], 91)</f>
        <v/>
      </c>
    </row>
    <row r="201" spans="4:34" x14ac:dyDescent="0.25">
      <c r="D201" s="173" t="str" cm="1">
        <f t="array" ref="D201">Common_InputFunctions.Utility_DisplayArrayInTable(Fertiliser_SourceData.Fertiliser_Products_Data4(),FertiliserProducts[[#Headers],[Company]], 91)</f>
        <v>Wengfu Australia</v>
      </c>
      <c r="E201" s="173" t="str" cm="1">
        <f t="array" ref="E201">Common_InputFunctions.Utility_DisplayArrayInTable(Fertiliser_SourceData.Fertiliser_Products_Data4(),FertiliserProducts[[#Headers],[Company]], 91)</f>
        <v>Wengfu Slam</v>
      </c>
      <c r="F201" s="173" t="str" cm="1">
        <f t="array" ref="F201">Common_InputFunctions.Utility_DisplayArrayInTable(Fertiliser_SourceData.Fertiliser_Products_Data4(),FertiliserProducts[[#Headers],[Company]], 91)</f>
        <v>kg</v>
      </c>
      <c r="G201" s="173" cm="1">
        <f t="array" ref="G201">Common_InputFunctions.Utility_DisplayArrayInTable(Fertiliser_SourceData.Fertiliser_Products_Data4(),FertiliserProducts[[#Headers],[Company]], 91)</f>
        <v>1</v>
      </c>
      <c r="H201" s="173" t="str" cm="1">
        <f t="array" ref="H201">Common_InputFunctions.Utility_DisplayArrayInTable(Fertiliser_SourceData.Fertiliser_Products_Data4(),FertiliserProducts[[#Headers],[Company]], 91)</f>
        <v/>
      </c>
      <c r="I201" s="173" t="str" cm="1">
        <f t="array" ref="I201">Common_InputFunctions.Utility_DisplayArrayInTable(Fertiliser_SourceData.Fertiliser_Products_Data4(),FertiliserProducts[[#Headers],[Company]], 91)</f>
        <v/>
      </c>
      <c r="J201" s="173" t="str" cm="1">
        <f t="array" ref="J201">Common_InputFunctions.Utility_DisplayArrayInTable(Fertiliser_SourceData.Fertiliser_Products_Data4(),FertiliserProducts[[#Headers],[Company]], 91)</f>
        <v/>
      </c>
      <c r="K201" s="173" cm="1">
        <f t="array" ref="K201">Common_InputFunctions.Utility_DisplayArrayInTable(Fertiliser_SourceData.Fertiliser_Products_Data4(),FertiliserProducts[[#Headers],[Company]], 91)</f>
        <v>19.5</v>
      </c>
      <c r="L201" s="173" cm="1">
        <f t="array" ref="L201">Common_InputFunctions.Utility_DisplayArrayInTable(Fertiliser_SourceData.Fertiliser_Products_Data4(),FertiliserProducts[[#Headers],[Company]], 91)</f>
        <v>0.7</v>
      </c>
      <c r="M201" s="173" t="str" cm="1">
        <f t="array" ref="M201">Common_InputFunctions.Utility_DisplayArrayInTable(Fertiliser_SourceData.Fertiliser_Products_Data4(),FertiliserProducts[[#Headers],[Company]], 91)</f>
        <v/>
      </c>
      <c r="N201" s="173" cm="1">
        <f t="array" ref="N201">Common_InputFunctions.Utility_DisplayArrayInTable(Fertiliser_SourceData.Fertiliser_Products_Data4(),FertiliserProducts[[#Headers],[Company]], 91)</f>
        <v>23</v>
      </c>
      <c r="O201" s="173" t="str" cm="1">
        <f t="array" ref="O201">Common_InputFunctions.Utility_DisplayArrayInTable(Fertiliser_SourceData.Fertiliser_Products_Data4(),FertiliserProducts[[#Headers],[Company]], 91)</f>
        <v>Nitrogen - Generic</v>
      </c>
      <c r="P201" s="173" cm="1">
        <f t="array" ref="P201">Common_InputFunctions.Utility_DisplayArrayInTable(Fertiliser_SourceData.Fertiliser_Products_Data4(),FertiliserProducts[[#Headers],[Company]], 91)</f>
        <v>0.19500000000000001</v>
      </c>
      <c r="Q201" s="173" t="str" cm="1">
        <f t="array" ref="Q201">Common_InputFunctions.Utility_DisplayArrayInTable(Fertiliser_SourceData.Fertiliser_Products_Data4(),FertiliserProducts[[#Headers],[Company]], 91)</f>
        <v>Phosphorus - Generic</v>
      </c>
      <c r="R201" s="173" cm="1">
        <f t="array" ref="R201">Common_InputFunctions.Utility_DisplayArrayInTable(Fertiliser_SourceData.Fertiliser_Products_Data4(),FertiliserProducts[[#Headers],[Company]], 91)</f>
        <v>7.0000000000000001E-3</v>
      </c>
      <c r="S201" s="173" t="str" cm="1">
        <f t="array" ref="S201">Common_InputFunctions.Utility_DisplayArrayInTable(Fertiliser_SourceData.Fertiliser_Products_Data4(),FertiliserProducts[[#Headers],[Company]], 91)</f>
        <v>Sulfur - Generic</v>
      </c>
      <c r="T201" s="173" cm="1">
        <f t="array" ref="T201">Common_InputFunctions.Utility_DisplayArrayInTable(Fertiliser_SourceData.Fertiliser_Products_Data4(),FertiliserProducts[[#Headers],[Company]], 91)</f>
        <v>0.23</v>
      </c>
      <c r="U201" s="173" t="str" cm="1">
        <f t="array" ref="U201">Common_InputFunctions.Utility_DisplayArrayInTable(Fertiliser_SourceData.Fertiliser_Products_Data4(),FertiliserProducts[[#Headers],[Company]], 91)</f>
        <v/>
      </c>
      <c r="V201" s="173" t="str" cm="1">
        <f t="array" ref="V201">Common_InputFunctions.Utility_DisplayArrayInTable(Fertiliser_SourceData.Fertiliser_Products_Data4(),FertiliserProducts[[#Headers],[Company]], 91)</f>
        <v/>
      </c>
      <c r="W201" s="173" t="str" cm="1">
        <f t="array" ref="W201">Common_InputFunctions.Utility_DisplayArrayInTable(Fertiliser_SourceData.Fertiliser_Products_Data4(),FertiliserProducts[[#Headers],[Company]], 91)</f>
        <v/>
      </c>
      <c r="X201" s="173" t="str" cm="1">
        <f t="array" ref="X201">Common_InputFunctions.Utility_DisplayArrayInTable(Fertiliser_SourceData.Fertiliser_Products_Data4(),FertiliserProducts[[#Headers],[Company]], 91)</f>
        <v/>
      </c>
      <c r="Y201" s="173" t="str" cm="1">
        <f t="array" ref="Y201">Common_InputFunctions.Utility_DisplayArrayInTable(Fertiliser_SourceData.Fertiliser_Products_Data4(),FertiliserProducts[[#Headers],[Company]], 91)</f>
        <v/>
      </c>
      <c r="Z201" s="173" t="str" cm="1">
        <f t="array" ref="Z201">Common_InputFunctions.Utility_DisplayArrayInTable(Fertiliser_SourceData.Fertiliser_Products_Data4(),FertiliserProducts[[#Headers],[Company]], 91)</f>
        <v/>
      </c>
      <c r="AA201" s="173" t="str" cm="1">
        <f t="array" ref="AA201">Common_InputFunctions.Utility_DisplayArrayInTable(Fertiliser_SourceData.Fertiliser_Products_Data4(),FertiliserProducts[[#Headers],[Company]], 91)</f>
        <v/>
      </c>
      <c r="AB201" s="173" t="str" cm="1">
        <f t="array" ref="AB201">Common_InputFunctions.Utility_DisplayArrayInTable(Fertiliser_SourceData.Fertiliser_Products_Data4(),FertiliserProducts[[#Headers],[Company]], 91)</f>
        <v/>
      </c>
      <c r="AC201" s="173" t="str" cm="1">
        <f t="array" ref="AC201">Common_InputFunctions.Utility_DisplayArrayInTable(Fertiliser_SourceData.Fertiliser_Products_Data4(),FertiliserProducts[[#Headers],[Company]], 91)</f>
        <v/>
      </c>
      <c r="AD201" s="173" t="str" cm="1">
        <f t="array" ref="AD201">Common_InputFunctions.Utility_DisplayArrayInTable(Fertiliser_SourceData.Fertiliser_Products_Data4(),FertiliserProducts[[#Headers],[Company]], 91)</f>
        <v/>
      </c>
      <c r="AE201" s="173" t="str" cm="1">
        <f t="array" ref="AE201">Common_InputFunctions.Utility_DisplayArrayInTable(Fertiliser_SourceData.Fertiliser_Products_Data4(),FertiliserProducts[[#Headers],[Company]], 91)</f>
        <v/>
      </c>
      <c r="AF201" s="173" t="str" cm="1">
        <f t="array" ref="AF201">Common_InputFunctions.Utility_DisplayArrayInTable(Fertiliser_SourceData.Fertiliser_Products_Data4(),FertiliserProducts[[#Headers],[Company]], 91)</f>
        <v/>
      </c>
      <c r="AG201" s="173" t="str" cm="1">
        <f t="array" ref="AG201">Common_InputFunctions.Utility_DisplayArrayInTable(Fertiliser_SourceData.Fertiliser_Products_Data4(),FertiliserProducts[[#Headers],[Company]], 91)</f>
        <v/>
      </c>
      <c r="AH201" s="173" t="str" cm="1">
        <f t="array" ref="AH201">Common_InputFunctions.Utility_DisplayArrayInTable(Fertiliser_SourceData.Fertiliser_Products_Data4(),FertiliserProducts[[#Headers],[Company]], 91)</f>
        <v/>
      </c>
    </row>
    <row r="202" spans="4:34" x14ac:dyDescent="0.25">
      <c r="D202" s="173" t="str" cm="1">
        <f t="array" ref="D202">Common_InputFunctions.Utility_DisplayArrayInTable(Fertiliser_SourceData.Fertiliser_Products_Data4(),FertiliserProducts[[#Headers],[Company]], 91)</f>
        <v>Wengfu Australia</v>
      </c>
      <c r="E202" s="173" t="str" cm="1">
        <f t="array" ref="E202">Common_InputFunctions.Utility_DisplayArrayInTable(Fertiliser_SourceData.Fertiliser_Products_Data4(),FertiliserProducts[[#Headers],[Company]], 91)</f>
        <v>Wengfu Prime MSZ</v>
      </c>
      <c r="F202" s="173" t="str" cm="1">
        <f t="array" ref="F202">Common_InputFunctions.Utility_DisplayArrayInTable(Fertiliser_SourceData.Fertiliser_Products_Data4(),FertiliserProducts[[#Headers],[Company]], 91)</f>
        <v>kg</v>
      </c>
      <c r="G202" s="173" cm="1">
        <f t="array" ref="G202">Common_InputFunctions.Utility_DisplayArrayInTable(Fertiliser_SourceData.Fertiliser_Products_Data4(),FertiliserProducts[[#Headers],[Company]], 91)</f>
        <v>1</v>
      </c>
      <c r="H202" s="173" t="str" cm="1">
        <f t="array" ref="H202">Common_InputFunctions.Utility_DisplayArrayInTable(Fertiliser_SourceData.Fertiliser_Products_Data4(),FertiliserProducts[[#Headers],[Company]], 91)</f>
        <v/>
      </c>
      <c r="I202" s="173" t="str" cm="1">
        <f t="array" ref="I202">Common_InputFunctions.Utility_DisplayArrayInTable(Fertiliser_SourceData.Fertiliser_Products_Data4(),FertiliserProducts[[#Headers],[Company]], 91)</f>
        <v/>
      </c>
      <c r="J202" s="173" t="str" cm="1">
        <f t="array" ref="J202">Common_InputFunctions.Utility_DisplayArrayInTable(Fertiliser_SourceData.Fertiliser_Products_Data4(),FertiliserProducts[[#Headers],[Company]], 91)</f>
        <v/>
      </c>
      <c r="K202" s="173" cm="1">
        <f t="array" ref="K202">Common_InputFunctions.Utility_DisplayArrayInTable(Fertiliser_SourceData.Fertiliser_Products_Data4(),FertiliserProducts[[#Headers],[Company]], 91)</f>
        <v>10</v>
      </c>
      <c r="L202" s="173" cm="1">
        <f t="array" ref="L202">Common_InputFunctions.Utility_DisplayArrayInTable(Fertiliser_SourceData.Fertiliser_Products_Data4(),FertiliserProducts[[#Headers],[Company]], 91)</f>
        <v>18</v>
      </c>
      <c r="M202" s="173" t="str" cm="1">
        <f t="array" ref="M202">Common_InputFunctions.Utility_DisplayArrayInTable(Fertiliser_SourceData.Fertiliser_Products_Data4(),FertiliserProducts[[#Headers],[Company]], 91)</f>
        <v/>
      </c>
      <c r="N202" s="173" cm="1">
        <f t="array" ref="N202">Common_InputFunctions.Utility_DisplayArrayInTable(Fertiliser_SourceData.Fertiliser_Products_Data4(),FertiliserProducts[[#Headers],[Company]], 91)</f>
        <v>8</v>
      </c>
      <c r="O202" s="173" t="str" cm="1">
        <f t="array" ref="O202">Common_InputFunctions.Utility_DisplayArrayInTable(Fertiliser_SourceData.Fertiliser_Products_Data4(),FertiliserProducts[[#Headers],[Company]], 91)</f>
        <v>Nitrogen - Generic</v>
      </c>
      <c r="P202" s="173" cm="1">
        <f t="array" ref="P202">Common_InputFunctions.Utility_DisplayArrayInTable(Fertiliser_SourceData.Fertiliser_Products_Data4(),FertiliserProducts[[#Headers],[Company]], 91)</f>
        <v>0.1</v>
      </c>
      <c r="Q202" s="173" t="str" cm="1">
        <f t="array" ref="Q202">Common_InputFunctions.Utility_DisplayArrayInTable(Fertiliser_SourceData.Fertiliser_Products_Data4(),FertiliserProducts[[#Headers],[Company]], 91)</f>
        <v>Phosphorus - Generic</v>
      </c>
      <c r="R202" s="173" cm="1">
        <f t="array" ref="R202">Common_InputFunctions.Utility_DisplayArrayInTable(Fertiliser_SourceData.Fertiliser_Products_Data4(),FertiliserProducts[[#Headers],[Company]], 91)</f>
        <v>0.18</v>
      </c>
      <c r="S202" s="173" t="str" cm="1">
        <f t="array" ref="S202">Common_InputFunctions.Utility_DisplayArrayInTable(Fertiliser_SourceData.Fertiliser_Products_Data4(),FertiliserProducts[[#Headers],[Company]], 91)</f>
        <v>Sulfur - Generic</v>
      </c>
      <c r="T202" s="173" cm="1">
        <f t="array" ref="T202">Common_InputFunctions.Utility_DisplayArrayInTable(Fertiliser_SourceData.Fertiliser_Products_Data4(),FertiliserProducts[[#Headers],[Company]], 91)</f>
        <v>0.08</v>
      </c>
      <c r="U202" s="173" t="str" cm="1">
        <f t="array" ref="U202">Common_InputFunctions.Utility_DisplayArrayInTable(Fertiliser_SourceData.Fertiliser_Products_Data4(),FertiliserProducts[[#Headers],[Company]], 91)</f>
        <v>Zinc</v>
      </c>
      <c r="V202" s="173" cm="1">
        <f t="array" ref="V202">Common_InputFunctions.Utility_DisplayArrayInTable(Fertiliser_SourceData.Fertiliser_Products_Data4(),FertiliserProducts[[#Headers],[Company]], 91)</f>
        <v>5.0000000000000001E-3</v>
      </c>
      <c r="W202" s="173" t="str" cm="1">
        <f t="array" ref="W202">Common_InputFunctions.Utility_DisplayArrayInTable(Fertiliser_SourceData.Fertiliser_Products_Data4(),FertiliserProducts[[#Headers],[Company]], 91)</f>
        <v/>
      </c>
      <c r="X202" s="173" t="str" cm="1">
        <f t="array" ref="X202">Common_InputFunctions.Utility_DisplayArrayInTable(Fertiliser_SourceData.Fertiliser_Products_Data4(),FertiliserProducts[[#Headers],[Company]], 91)</f>
        <v/>
      </c>
      <c r="Y202" s="173" t="str" cm="1">
        <f t="array" ref="Y202">Common_InputFunctions.Utility_DisplayArrayInTable(Fertiliser_SourceData.Fertiliser_Products_Data4(),FertiliserProducts[[#Headers],[Company]], 91)</f>
        <v/>
      </c>
      <c r="Z202" s="173" t="str" cm="1">
        <f t="array" ref="Z202">Common_InputFunctions.Utility_DisplayArrayInTable(Fertiliser_SourceData.Fertiliser_Products_Data4(),FertiliserProducts[[#Headers],[Company]], 91)</f>
        <v/>
      </c>
      <c r="AA202" s="173" t="str" cm="1">
        <f t="array" ref="AA202">Common_InputFunctions.Utility_DisplayArrayInTable(Fertiliser_SourceData.Fertiliser_Products_Data4(),FertiliserProducts[[#Headers],[Company]], 91)</f>
        <v/>
      </c>
      <c r="AB202" s="173" t="str" cm="1">
        <f t="array" ref="AB202">Common_InputFunctions.Utility_DisplayArrayInTable(Fertiliser_SourceData.Fertiliser_Products_Data4(),FertiliserProducts[[#Headers],[Company]], 91)</f>
        <v/>
      </c>
      <c r="AC202" s="173" t="str" cm="1">
        <f t="array" ref="AC202">Common_InputFunctions.Utility_DisplayArrayInTable(Fertiliser_SourceData.Fertiliser_Products_Data4(),FertiliserProducts[[#Headers],[Company]], 91)</f>
        <v/>
      </c>
      <c r="AD202" s="173" t="str" cm="1">
        <f t="array" ref="AD202">Common_InputFunctions.Utility_DisplayArrayInTable(Fertiliser_SourceData.Fertiliser_Products_Data4(),FertiliserProducts[[#Headers],[Company]], 91)</f>
        <v/>
      </c>
      <c r="AE202" s="173" t="str" cm="1">
        <f t="array" ref="AE202">Common_InputFunctions.Utility_DisplayArrayInTable(Fertiliser_SourceData.Fertiliser_Products_Data4(),FertiliserProducts[[#Headers],[Company]], 91)</f>
        <v/>
      </c>
      <c r="AF202" s="173" t="str" cm="1">
        <f t="array" ref="AF202">Common_InputFunctions.Utility_DisplayArrayInTable(Fertiliser_SourceData.Fertiliser_Products_Data4(),FertiliserProducts[[#Headers],[Company]], 91)</f>
        <v/>
      </c>
      <c r="AG202" s="173" t="str" cm="1">
        <f t="array" ref="AG202">Common_InputFunctions.Utility_DisplayArrayInTable(Fertiliser_SourceData.Fertiliser_Products_Data4(),FertiliserProducts[[#Headers],[Company]], 91)</f>
        <v/>
      </c>
      <c r="AH202" s="173" t="str" cm="1">
        <f t="array" ref="AH202">Common_InputFunctions.Utility_DisplayArrayInTable(Fertiliser_SourceData.Fertiliser_Products_Data4(),FertiliserProducts[[#Headers],[Company]], 91)</f>
        <v/>
      </c>
    </row>
    <row r="203" spans="4:34" x14ac:dyDescent="0.25">
      <c r="D203" s="173" t="str" cm="1">
        <f t="array" ref="D203">Common_InputFunctions.Utility_DisplayArrayInTable(Fertiliser_SourceData.Fertiliser_Products_Data4(),FertiliserProducts[[#Headers],[Company]], 91)</f>
        <v>Wengfu Australia</v>
      </c>
      <c r="E203" s="173" t="str" cm="1">
        <f t="array" ref="E203">Common_InputFunctions.Utility_DisplayArrayInTable(Fertiliser_SourceData.Fertiliser_Products_Data4(),FertiliserProducts[[#Headers],[Company]], 91)</f>
        <v>Wengfu 9-20-0-10 MAP SuStain</v>
      </c>
      <c r="F203" s="173" t="str" cm="1">
        <f t="array" ref="F203">Common_InputFunctions.Utility_DisplayArrayInTable(Fertiliser_SourceData.Fertiliser_Products_Data4(),FertiliserProducts[[#Headers],[Company]], 91)</f>
        <v>kg</v>
      </c>
      <c r="G203" s="173" cm="1">
        <f t="array" ref="G203">Common_InputFunctions.Utility_DisplayArrayInTable(Fertiliser_SourceData.Fertiliser_Products_Data4(),FertiliserProducts[[#Headers],[Company]], 91)</f>
        <v>1</v>
      </c>
      <c r="H203" s="173" t="str" cm="1">
        <f t="array" ref="H203">Common_InputFunctions.Utility_DisplayArrayInTable(Fertiliser_SourceData.Fertiliser_Products_Data4(),FertiliserProducts[[#Headers],[Company]], 91)</f>
        <v/>
      </c>
      <c r="I203" s="173" t="str" cm="1">
        <f t="array" ref="I203">Common_InputFunctions.Utility_DisplayArrayInTable(Fertiliser_SourceData.Fertiliser_Products_Data4(),FertiliserProducts[[#Headers],[Company]], 91)</f>
        <v/>
      </c>
      <c r="J203" s="173" t="str" cm="1">
        <f t="array" ref="J203">Common_InputFunctions.Utility_DisplayArrayInTable(Fertiliser_SourceData.Fertiliser_Products_Data4(),FertiliserProducts[[#Headers],[Company]], 91)</f>
        <v/>
      </c>
      <c r="K203" s="173" cm="1">
        <f t="array" ref="K203">Common_InputFunctions.Utility_DisplayArrayInTable(Fertiliser_SourceData.Fertiliser_Products_Data4(),FertiliserProducts[[#Headers],[Company]], 91)</f>
        <v>9</v>
      </c>
      <c r="L203" s="173" cm="1">
        <f t="array" ref="L203">Common_InputFunctions.Utility_DisplayArrayInTable(Fertiliser_SourceData.Fertiliser_Products_Data4(),FertiliserProducts[[#Headers],[Company]], 91)</f>
        <v>19.8</v>
      </c>
      <c r="M203" s="173" cm="1">
        <f t="array" ref="M203">Common_InputFunctions.Utility_DisplayArrayInTable(Fertiliser_SourceData.Fertiliser_Products_Data4(),FertiliserProducts[[#Headers],[Company]], 91)</f>
        <v>0</v>
      </c>
      <c r="N203" s="173" cm="1">
        <f t="array" ref="N203">Common_InputFunctions.Utility_DisplayArrayInTable(Fertiliser_SourceData.Fertiliser_Products_Data4(),FertiliserProducts[[#Headers],[Company]], 91)</f>
        <v>10.4</v>
      </c>
      <c r="O203" s="173" t="str" cm="1">
        <f t="array" ref="O203">Common_InputFunctions.Utility_DisplayArrayInTable(Fertiliser_SourceData.Fertiliser_Products_Data4(),FertiliserProducts[[#Headers],[Company]], 91)</f>
        <v>Nitrogen - Generic</v>
      </c>
      <c r="P203" s="173" cm="1">
        <f t="array" ref="P203">Common_InputFunctions.Utility_DisplayArrayInTable(Fertiliser_SourceData.Fertiliser_Products_Data4(),FertiliserProducts[[#Headers],[Company]], 91)</f>
        <v>0.09</v>
      </c>
      <c r="Q203" s="173" t="str" cm="1">
        <f t="array" ref="Q203">Common_InputFunctions.Utility_DisplayArrayInTable(Fertiliser_SourceData.Fertiliser_Products_Data4(),FertiliserProducts[[#Headers],[Company]], 91)</f>
        <v>Phosphorus - Generic</v>
      </c>
      <c r="R203" s="173" cm="1">
        <f t="array" ref="R203">Common_InputFunctions.Utility_DisplayArrayInTable(Fertiliser_SourceData.Fertiliser_Products_Data4(),FertiliserProducts[[#Headers],[Company]], 91)</f>
        <v>0.19800000000000001</v>
      </c>
      <c r="S203" s="173" t="str" cm="1">
        <f t="array" ref="S203">Common_InputFunctions.Utility_DisplayArrayInTable(Fertiliser_SourceData.Fertiliser_Products_Data4(),FertiliserProducts[[#Headers],[Company]], 91)</f>
        <v>Sulfur - Generic</v>
      </c>
      <c r="T203" s="173" cm="1">
        <f t="array" ref="T203">Common_InputFunctions.Utility_DisplayArrayInTable(Fertiliser_SourceData.Fertiliser_Products_Data4(),FertiliserProducts[[#Headers],[Company]], 91)</f>
        <v>0.104</v>
      </c>
      <c r="U203" s="173" t="str" cm="1">
        <f t="array" ref="U203">Common_InputFunctions.Utility_DisplayArrayInTable(Fertiliser_SourceData.Fertiliser_Products_Data4(),FertiliserProducts[[#Headers],[Company]], 91)</f>
        <v/>
      </c>
      <c r="V203" s="173" t="str" cm="1">
        <f t="array" ref="V203">Common_InputFunctions.Utility_DisplayArrayInTable(Fertiliser_SourceData.Fertiliser_Products_Data4(),FertiliserProducts[[#Headers],[Company]], 91)</f>
        <v/>
      </c>
      <c r="W203" s="173" t="str" cm="1">
        <f t="array" ref="W203">Common_InputFunctions.Utility_DisplayArrayInTable(Fertiliser_SourceData.Fertiliser_Products_Data4(),FertiliserProducts[[#Headers],[Company]], 91)</f>
        <v/>
      </c>
      <c r="X203" s="173" t="str" cm="1">
        <f t="array" ref="X203">Common_InputFunctions.Utility_DisplayArrayInTable(Fertiliser_SourceData.Fertiliser_Products_Data4(),FertiliserProducts[[#Headers],[Company]], 91)</f>
        <v/>
      </c>
      <c r="Y203" s="173" t="str" cm="1">
        <f t="array" ref="Y203">Common_InputFunctions.Utility_DisplayArrayInTable(Fertiliser_SourceData.Fertiliser_Products_Data4(),FertiliserProducts[[#Headers],[Company]], 91)</f>
        <v/>
      </c>
      <c r="Z203" s="173" t="str" cm="1">
        <f t="array" ref="Z203">Common_InputFunctions.Utility_DisplayArrayInTable(Fertiliser_SourceData.Fertiliser_Products_Data4(),FertiliserProducts[[#Headers],[Company]], 91)</f>
        <v/>
      </c>
      <c r="AA203" s="173" t="str" cm="1">
        <f t="array" ref="AA203">Common_InputFunctions.Utility_DisplayArrayInTable(Fertiliser_SourceData.Fertiliser_Products_Data4(),FertiliserProducts[[#Headers],[Company]], 91)</f>
        <v/>
      </c>
      <c r="AB203" s="173" t="str" cm="1">
        <f t="array" ref="AB203">Common_InputFunctions.Utility_DisplayArrayInTable(Fertiliser_SourceData.Fertiliser_Products_Data4(),FertiliserProducts[[#Headers],[Company]], 91)</f>
        <v/>
      </c>
      <c r="AC203" s="173" t="str" cm="1">
        <f t="array" ref="AC203">Common_InputFunctions.Utility_DisplayArrayInTable(Fertiliser_SourceData.Fertiliser_Products_Data4(),FertiliserProducts[[#Headers],[Company]], 91)</f>
        <v/>
      </c>
      <c r="AD203" s="173" t="str" cm="1">
        <f t="array" ref="AD203">Common_InputFunctions.Utility_DisplayArrayInTable(Fertiliser_SourceData.Fertiliser_Products_Data4(),FertiliserProducts[[#Headers],[Company]], 91)</f>
        <v/>
      </c>
      <c r="AE203" s="173" t="str" cm="1">
        <f t="array" ref="AE203">Common_InputFunctions.Utility_DisplayArrayInTable(Fertiliser_SourceData.Fertiliser_Products_Data4(),FertiliserProducts[[#Headers],[Company]], 91)</f>
        <v/>
      </c>
      <c r="AF203" s="173" t="str" cm="1">
        <f t="array" ref="AF203">Common_InputFunctions.Utility_DisplayArrayInTable(Fertiliser_SourceData.Fertiliser_Products_Data4(),FertiliserProducts[[#Headers],[Company]], 91)</f>
        <v/>
      </c>
      <c r="AG203" s="173" t="str" cm="1">
        <f t="array" ref="AG203">Common_InputFunctions.Utility_DisplayArrayInTable(Fertiliser_SourceData.Fertiliser_Products_Data4(),FertiliserProducts[[#Headers],[Company]], 91)</f>
        <v/>
      </c>
      <c r="AH203" s="173" t="str" cm="1">
        <f t="array" ref="AH203">Common_InputFunctions.Utility_DisplayArrayInTable(Fertiliser_SourceData.Fertiliser_Products_Data4(),FertiliserProducts[[#Headers],[Company]], 91)</f>
        <v/>
      </c>
    </row>
    <row r="204" spans="4:34" x14ac:dyDescent="0.25">
      <c r="D204" s="173" t="str" cm="1">
        <f t="array" ref="D204">Common_InputFunctions.Utility_DisplayArrayInTable(Fertiliser_SourceData.Fertiliser_Products_Data4(),FertiliserProducts[[#Headers],[Company]], 91)</f>
        <v>Wengfu Australia</v>
      </c>
      <c r="E204" s="173" t="str" cm="1">
        <f t="array" ref="E204">Common_InputFunctions.Utility_DisplayArrayInTable(Fertiliser_SourceData.Fertiliser_Products_Data4(),FertiliserProducts[[#Headers],[Company]], 91)</f>
        <v>Wengfu 15-17-0-15 DAP SuStain</v>
      </c>
      <c r="F204" s="173" t="str" cm="1">
        <f t="array" ref="F204">Common_InputFunctions.Utility_DisplayArrayInTable(Fertiliser_SourceData.Fertiliser_Products_Data4(),FertiliserProducts[[#Headers],[Company]], 91)</f>
        <v>kg</v>
      </c>
      <c r="G204" s="173" cm="1">
        <f t="array" ref="G204">Common_InputFunctions.Utility_DisplayArrayInTable(Fertiliser_SourceData.Fertiliser_Products_Data4(),FertiliserProducts[[#Headers],[Company]], 91)</f>
        <v>1</v>
      </c>
      <c r="H204" s="173" t="str" cm="1">
        <f t="array" ref="H204">Common_InputFunctions.Utility_DisplayArrayInTable(Fertiliser_SourceData.Fertiliser_Products_Data4(),FertiliserProducts[[#Headers],[Company]], 91)</f>
        <v/>
      </c>
      <c r="I204" s="173" t="str" cm="1">
        <f t="array" ref="I204">Common_InputFunctions.Utility_DisplayArrayInTable(Fertiliser_SourceData.Fertiliser_Products_Data4(),FertiliserProducts[[#Headers],[Company]], 91)</f>
        <v/>
      </c>
      <c r="J204" s="173" t="str" cm="1">
        <f t="array" ref="J204">Common_InputFunctions.Utility_DisplayArrayInTable(Fertiliser_SourceData.Fertiliser_Products_Data4(),FertiliserProducts[[#Headers],[Company]], 91)</f>
        <v/>
      </c>
      <c r="K204" s="173" cm="1">
        <f t="array" ref="K204">Common_InputFunctions.Utility_DisplayArrayInTable(Fertiliser_SourceData.Fertiliser_Products_Data4(),FertiliserProducts[[#Headers],[Company]], 91)</f>
        <v>15.2</v>
      </c>
      <c r="L204" s="173" cm="1">
        <f t="array" ref="L204">Common_InputFunctions.Utility_DisplayArrayInTable(Fertiliser_SourceData.Fertiliser_Products_Data4(),FertiliserProducts[[#Headers],[Company]], 91)</f>
        <v>16.899999999999999</v>
      </c>
      <c r="M204" s="173" cm="1">
        <f t="array" ref="M204">Common_InputFunctions.Utility_DisplayArrayInTable(Fertiliser_SourceData.Fertiliser_Products_Data4(),FertiliserProducts[[#Headers],[Company]], 91)</f>
        <v>0</v>
      </c>
      <c r="N204" s="173" cm="1">
        <f t="array" ref="N204">Common_InputFunctions.Utility_DisplayArrayInTable(Fertiliser_SourceData.Fertiliser_Products_Data4(),FertiliserProducts[[#Headers],[Company]], 91)</f>
        <v>15.2</v>
      </c>
      <c r="O204" s="173" t="str" cm="1">
        <f t="array" ref="O204">Common_InputFunctions.Utility_DisplayArrayInTable(Fertiliser_SourceData.Fertiliser_Products_Data4(),FertiliserProducts[[#Headers],[Company]], 91)</f>
        <v>Nitrogen - Generic</v>
      </c>
      <c r="P204" s="173" cm="1">
        <f t="array" ref="P204">Common_InputFunctions.Utility_DisplayArrayInTable(Fertiliser_SourceData.Fertiliser_Products_Data4(),FertiliserProducts[[#Headers],[Company]], 91)</f>
        <v>0.152</v>
      </c>
      <c r="Q204" s="173" t="str" cm="1">
        <f t="array" ref="Q204">Common_InputFunctions.Utility_DisplayArrayInTable(Fertiliser_SourceData.Fertiliser_Products_Data4(),FertiliserProducts[[#Headers],[Company]], 91)</f>
        <v>Phosphorus - Generic</v>
      </c>
      <c r="R204" s="173" cm="1">
        <f t="array" ref="R204">Common_InputFunctions.Utility_DisplayArrayInTable(Fertiliser_SourceData.Fertiliser_Products_Data4(),FertiliserProducts[[#Headers],[Company]], 91)</f>
        <v>0.16900000000000001</v>
      </c>
      <c r="S204" s="173" t="str" cm="1">
        <f t="array" ref="S204">Common_InputFunctions.Utility_DisplayArrayInTable(Fertiliser_SourceData.Fertiliser_Products_Data4(),FertiliserProducts[[#Headers],[Company]], 91)</f>
        <v>Sulfur - Generic</v>
      </c>
      <c r="T204" s="173" cm="1">
        <f t="array" ref="T204">Common_InputFunctions.Utility_DisplayArrayInTable(Fertiliser_SourceData.Fertiliser_Products_Data4(),FertiliserProducts[[#Headers],[Company]], 91)</f>
        <v>0.152</v>
      </c>
      <c r="U204" s="173" t="str" cm="1">
        <f t="array" ref="U204">Common_InputFunctions.Utility_DisplayArrayInTable(Fertiliser_SourceData.Fertiliser_Products_Data4(),FertiliserProducts[[#Headers],[Company]], 91)</f>
        <v/>
      </c>
      <c r="V204" s="173" t="str" cm="1">
        <f t="array" ref="V204">Common_InputFunctions.Utility_DisplayArrayInTable(Fertiliser_SourceData.Fertiliser_Products_Data4(),FertiliserProducts[[#Headers],[Company]], 91)</f>
        <v/>
      </c>
      <c r="W204" s="173" t="str" cm="1">
        <f t="array" ref="W204">Common_InputFunctions.Utility_DisplayArrayInTable(Fertiliser_SourceData.Fertiliser_Products_Data4(),FertiliserProducts[[#Headers],[Company]], 91)</f>
        <v/>
      </c>
      <c r="X204" s="173" t="str" cm="1">
        <f t="array" ref="X204">Common_InputFunctions.Utility_DisplayArrayInTable(Fertiliser_SourceData.Fertiliser_Products_Data4(),FertiliserProducts[[#Headers],[Company]], 91)</f>
        <v/>
      </c>
      <c r="Y204" s="173" t="str" cm="1">
        <f t="array" ref="Y204">Common_InputFunctions.Utility_DisplayArrayInTable(Fertiliser_SourceData.Fertiliser_Products_Data4(),FertiliserProducts[[#Headers],[Company]], 91)</f>
        <v/>
      </c>
      <c r="Z204" s="173" t="str" cm="1">
        <f t="array" ref="Z204">Common_InputFunctions.Utility_DisplayArrayInTable(Fertiliser_SourceData.Fertiliser_Products_Data4(),FertiliserProducts[[#Headers],[Company]], 91)</f>
        <v/>
      </c>
      <c r="AA204" s="173" t="str" cm="1">
        <f t="array" ref="AA204">Common_InputFunctions.Utility_DisplayArrayInTable(Fertiliser_SourceData.Fertiliser_Products_Data4(),FertiliserProducts[[#Headers],[Company]], 91)</f>
        <v/>
      </c>
      <c r="AB204" s="173" t="str" cm="1">
        <f t="array" ref="AB204">Common_InputFunctions.Utility_DisplayArrayInTable(Fertiliser_SourceData.Fertiliser_Products_Data4(),FertiliserProducts[[#Headers],[Company]], 91)</f>
        <v/>
      </c>
      <c r="AC204" s="173" t="str" cm="1">
        <f t="array" ref="AC204">Common_InputFunctions.Utility_DisplayArrayInTable(Fertiliser_SourceData.Fertiliser_Products_Data4(),FertiliserProducts[[#Headers],[Company]], 91)</f>
        <v/>
      </c>
      <c r="AD204" s="173" t="str" cm="1">
        <f t="array" ref="AD204">Common_InputFunctions.Utility_DisplayArrayInTable(Fertiliser_SourceData.Fertiliser_Products_Data4(),FertiliserProducts[[#Headers],[Company]], 91)</f>
        <v/>
      </c>
      <c r="AE204" s="173" t="str" cm="1">
        <f t="array" ref="AE204">Common_InputFunctions.Utility_DisplayArrayInTable(Fertiliser_SourceData.Fertiliser_Products_Data4(),FertiliserProducts[[#Headers],[Company]], 91)</f>
        <v/>
      </c>
      <c r="AF204" s="173" t="str" cm="1">
        <f t="array" ref="AF204">Common_InputFunctions.Utility_DisplayArrayInTable(Fertiliser_SourceData.Fertiliser_Products_Data4(),FertiliserProducts[[#Headers],[Company]], 91)</f>
        <v/>
      </c>
      <c r="AG204" s="173" t="str" cm="1">
        <f t="array" ref="AG204">Common_InputFunctions.Utility_DisplayArrayInTable(Fertiliser_SourceData.Fertiliser_Products_Data4(),FertiliserProducts[[#Headers],[Company]], 91)</f>
        <v/>
      </c>
      <c r="AH204" s="173" t="str" cm="1">
        <f t="array" ref="AH204">Common_InputFunctions.Utility_DisplayArrayInTable(Fertiliser_SourceData.Fertiliser_Products_Data4(),FertiliserProducts[[#Headers],[Company]], 91)</f>
        <v/>
      </c>
    </row>
    <row r="205" spans="4:34" x14ac:dyDescent="0.25">
      <c r="D205" s="173" t="str" cm="1">
        <f t="array" ref="D205">Common_InputFunctions.Utility_DisplayArrayInTable(Fertiliser_SourceData.Fertiliser_Products_Data4(),FertiliserProducts[[#Headers],[Company]], 91)</f>
        <v>Wengfu Australia</v>
      </c>
      <c r="E205" s="173" t="str" cm="1">
        <f t="array" ref="E205">Common_InputFunctions.Utility_DisplayArrayInTable(Fertiliser_SourceData.Fertiliser_Products_Data4(),FertiliserProducts[[#Headers],[Company]], 91)</f>
        <v>Wengfu 16-18-0-10 DAP SuStain</v>
      </c>
      <c r="F205" s="173" t="str" cm="1">
        <f t="array" ref="F205">Common_InputFunctions.Utility_DisplayArrayInTable(Fertiliser_SourceData.Fertiliser_Products_Data4(),FertiliserProducts[[#Headers],[Company]], 91)</f>
        <v>kg</v>
      </c>
      <c r="G205" s="173" cm="1">
        <f t="array" ref="G205">Common_InputFunctions.Utility_DisplayArrayInTable(Fertiliser_SourceData.Fertiliser_Products_Data4(),FertiliserProducts[[#Headers],[Company]], 91)</f>
        <v>1</v>
      </c>
      <c r="H205" s="173" t="str" cm="1">
        <f t="array" ref="H205">Common_InputFunctions.Utility_DisplayArrayInTable(Fertiliser_SourceData.Fertiliser_Products_Data4(),FertiliserProducts[[#Headers],[Company]], 91)</f>
        <v/>
      </c>
      <c r="I205" s="173" t="str" cm="1">
        <f t="array" ref="I205">Common_InputFunctions.Utility_DisplayArrayInTable(Fertiliser_SourceData.Fertiliser_Products_Data4(),FertiliserProducts[[#Headers],[Company]], 91)</f>
        <v/>
      </c>
      <c r="J205" s="173" t="str" cm="1">
        <f t="array" ref="J205">Common_InputFunctions.Utility_DisplayArrayInTable(Fertiliser_SourceData.Fertiliser_Products_Data4(),FertiliserProducts[[#Headers],[Company]], 91)</f>
        <v/>
      </c>
      <c r="K205" s="173" cm="1">
        <f t="array" ref="K205">Common_InputFunctions.Utility_DisplayArrayInTable(Fertiliser_SourceData.Fertiliser_Products_Data4(),FertiliserProducts[[#Headers],[Company]], 91)</f>
        <v>16.2</v>
      </c>
      <c r="L205" s="173" cm="1">
        <f t="array" ref="L205">Common_InputFunctions.Utility_DisplayArrayInTable(Fertiliser_SourceData.Fertiliser_Products_Data4(),FertiliserProducts[[#Headers],[Company]], 91)</f>
        <v>18</v>
      </c>
      <c r="M205" s="173" cm="1">
        <f t="array" ref="M205">Common_InputFunctions.Utility_DisplayArrayInTable(Fertiliser_SourceData.Fertiliser_Products_Data4(),FertiliserProducts[[#Headers],[Company]], 91)</f>
        <v>0</v>
      </c>
      <c r="N205" s="173" cm="1">
        <f t="array" ref="N205">Common_InputFunctions.Utility_DisplayArrayInTable(Fertiliser_SourceData.Fertiliser_Products_Data4(),FertiliserProducts[[#Headers],[Company]], 91)</f>
        <v>10.4</v>
      </c>
      <c r="O205" s="173" t="str" cm="1">
        <f t="array" ref="O205">Common_InputFunctions.Utility_DisplayArrayInTable(Fertiliser_SourceData.Fertiliser_Products_Data4(),FertiliserProducts[[#Headers],[Company]], 91)</f>
        <v>Nitrogen - Generic</v>
      </c>
      <c r="P205" s="173" cm="1">
        <f t="array" ref="P205">Common_InputFunctions.Utility_DisplayArrayInTable(Fertiliser_SourceData.Fertiliser_Products_Data4(),FertiliserProducts[[#Headers],[Company]], 91)</f>
        <v>0.16200000000000001</v>
      </c>
      <c r="Q205" s="173" t="str" cm="1">
        <f t="array" ref="Q205">Common_InputFunctions.Utility_DisplayArrayInTable(Fertiliser_SourceData.Fertiliser_Products_Data4(),FertiliserProducts[[#Headers],[Company]], 91)</f>
        <v>Phosphorus - Generic</v>
      </c>
      <c r="R205" s="173" cm="1">
        <f t="array" ref="R205">Common_InputFunctions.Utility_DisplayArrayInTable(Fertiliser_SourceData.Fertiliser_Products_Data4(),FertiliserProducts[[#Headers],[Company]], 91)</f>
        <v>0.18</v>
      </c>
      <c r="S205" s="173" t="str" cm="1">
        <f t="array" ref="S205">Common_InputFunctions.Utility_DisplayArrayInTable(Fertiliser_SourceData.Fertiliser_Products_Data4(),FertiliserProducts[[#Headers],[Company]], 91)</f>
        <v>Sulfur - Generic</v>
      </c>
      <c r="T205" s="173" cm="1">
        <f t="array" ref="T205">Common_InputFunctions.Utility_DisplayArrayInTable(Fertiliser_SourceData.Fertiliser_Products_Data4(),FertiliserProducts[[#Headers],[Company]], 91)</f>
        <v>0.104</v>
      </c>
      <c r="U205" s="173" t="str" cm="1">
        <f t="array" ref="U205">Common_InputFunctions.Utility_DisplayArrayInTable(Fertiliser_SourceData.Fertiliser_Products_Data4(),FertiliserProducts[[#Headers],[Company]], 91)</f>
        <v/>
      </c>
      <c r="V205" s="173" t="str" cm="1">
        <f t="array" ref="V205">Common_InputFunctions.Utility_DisplayArrayInTable(Fertiliser_SourceData.Fertiliser_Products_Data4(),FertiliserProducts[[#Headers],[Company]], 91)</f>
        <v/>
      </c>
      <c r="W205" s="173" t="str" cm="1">
        <f t="array" ref="W205">Common_InputFunctions.Utility_DisplayArrayInTable(Fertiliser_SourceData.Fertiliser_Products_Data4(),FertiliserProducts[[#Headers],[Company]], 91)</f>
        <v/>
      </c>
      <c r="X205" s="173" t="str" cm="1">
        <f t="array" ref="X205">Common_InputFunctions.Utility_DisplayArrayInTable(Fertiliser_SourceData.Fertiliser_Products_Data4(),FertiliserProducts[[#Headers],[Company]], 91)</f>
        <v/>
      </c>
      <c r="Y205" s="173" t="str" cm="1">
        <f t="array" ref="Y205">Common_InputFunctions.Utility_DisplayArrayInTable(Fertiliser_SourceData.Fertiliser_Products_Data4(),FertiliserProducts[[#Headers],[Company]], 91)</f>
        <v/>
      </c>
      <c r="Z205" s="173" t="str" cm="1">
        <f t="array" ref="Z205">Common_InputFunctions.Utility_DisplayArrayInTable(Fertiliser_SourceData.Fertiliser_Products_Data4(),FertiliserProducts[[#Headers],[Company]], 91)</f>
        <v/>
      </c>
      <c r="AA205" s="173" t="str" cm="1">
        <f t="array" ref="AA205">Common_InputFunctions.Utility_DisplayArrayInTable(Fertiliser_SourceData.Fertiliser_Products_Data4(),FertiliserProducts[[#Headers],[Company]], 91)</f>
        <v/>
      </c>
      <c r="AB205" s="173" t="str" cm="1">
        <f t="array" ref="AB205">Common_InputFunctions.Utility_DisplayArrayInTable(Fertiliser_SourceData.Fertiliser_Products_Data4(),FertiliserProducts[[#Headers],[Company]], 91)</f>
        <v/>
      </c>
      <c r="AC205" s="173" t="str" cm="1">
        <f t="array" ref="AC205">Common_InputFunctions.Utility_DisplayArrayInTable(Fertiliser_SourceData.Fertiliser_Products_Data4(),FertiliserProducts[[#Headers],[Company]], 91)</f>
        <v/>
      </c>
      <c r="AD205" s="173" t="str" cm="1">
        <f t="array" ref="AD205">Common_InputFunctions.Utility_DisplayArrayInTable(Fertiliser_SourceData.Fertiliser_Products_Data4(),FertiliserProducts[[#Headers],[Company]], 91)</f>
        <v/>
      </c>
      <c r="AE205" s="173" t="str" cm="1">
        <f t="array" ref="AE205">Common_InputFunctions.Utility_DisplayArrayInTable(Fertiliser_SourceData.Fertiliser_Products_Data4(),FertiliserProducts[[#Headers],[Company]], 91)</f>
        <v/>
      </c>
      <c r="AF205" s="173" t="str" cm="1">
        <f t="array" ref="AF205">Common_InputFunctions.Utility_DisplayArrayInTable(Fertiliser_SourceData.Fertiliser_Products_Data4(),FertiliserProducts[[#Headers],[Company]], 91)</f>
        <v/>
      </c>
      <c r="AG205" s="173" t="str" cm="1">
        <f t="array" ref="AG205">Common_InputFunctions.Utility_DisplayArrayInTable(Fertiliser_SourceData.Fertiliser_Products_Data4(),FertiliserProducts[[#Headers],[Company]], 91)</f>
        <v/>
      </c>
      <c r="AH205" s="173" t="str" cm="1">
        <f t="array" ref="AH205">Common_InputFunctions.Utility_DisplayArrayInTable(Fertiliser_SourceData.Fertiliser_Products_Data4(),FertiliserProducts[[#Headers],[Company]], 91)</f>
        <v/>
      </c>
    </row>
    <row r="206" spans="4:34" x14ac:dyDescent="0.25">
      <c r="D206" s="173" t="str" cm="1">
        <f t="array" ref="D206">Common_InputFunctions.Utility_DisplayArrayInTable(Fertiliser_SourceData.Fertiliser_Products_Data4(),FertiliserProducts[[#Headers],[Company]], 91)</f>
        <v>Wengfu Australia</v>
      </c>
      <c r="E206" s="173" t="str" cm="1">
        <f t="array" ref="E206">Common_InputFunctions.Utility_DisplayArrayInTable(Fertiliser_SourceData.Fertiliser_Products_Data4(),FertiliserProducts[[#Headers],[Company]], 91)</f>
        <v>Wengfu 5-15-0-6 Fast Start Legume</v>
      </c>
      <c r="F206" s="173" t="str" cm="1">
        <f t="array" ref="F206">Common_InputFunctions.Utility_DisplayArrayInTable(Fertiliser_SourceData.Fertiliser_Products_Data4(),FertiliserProducts[[#Headers],[Company]], 91)</f>
        <v>kg</v>
      </c>
      <c r="G206" s="173" cm="1">
        <f t="array" ref="G206">Common_InputFunctions.Utility_DisplayArrayInTable(Fertiliser_SourceData.Fertiliser_Products_Data4(),FertiliserProducts[[#Headers],[Company]], 91)</f>
        <v>1</v>
      </c>
      <c r="H206" s="173" t="str" cm="1">
        <f t="array" ref="H206">Common_InputFunctions.Utility_DisplayArrayInTable(Fertiliser_SourceData.Fertiliser_Products_Data4(),FertiliserProducts[[#Headers],[Company]], 91)</f>
        <v/>
      </c>
      <c r="I206" s="173" t="str" cm="1">
        <f t="array" ref="I206">Common_InputFunctions.Utility_DisplayArrayInTable(Fertiliser_SourceData.Fertiliser_Products_Data4(),FertiliserProducts[[#Headers],[Company]], 91)</f>
        <v/>
      </c>
      <c r="J206" s="173" t="str" cm="1">
        <f t="array" ref="J206">Common_InputFunctions.Utility_DisplayArrayInTable(Fertiliser_SourceData.Fertiliser_Products_Data4(),FertiliserProducts[[#Headers],[Company]], 91)</f>
        <v/>
      </c>
      <c r="K206" s="173" cm="1">
        <f t="array" ref="K206">Common_InputFunctions.Utility_DisplayArrayInTable(Fertiliser_SourceData.Fertiliser_Products_Data4(),FertiliserProducts[[#Headers],[Company]], 91)</f>
        <v>5</v>
      </c>
      <c r="L206" s="173" cm="1">
        <f t="array" ref="L206">Common_InputFunctions.Utility_DisplayArrayInTable(Fertiliser_SourceData.Fertiliser_Products_Data4(),FertiliserProducts[[#Headers],[Company]], 91)</f>
        <v>15.4</v>
      </c>
      <c r="M206" s="173" cm="1">
        <f t="array" ref="M206">Common_InputFunctions.Utility_DisplayArrayInTable(Fertiliser_SourceData.Fertiliser_Products_Data4(),FertiliserProducts[[#Headers],[Company]], 91)</f>
        <v>0</v>
      </c>
      <c r="N206" s="173" cm="1">
        <f t="array" ref="N206">Common_InputFunctions.Utility_DisplayArrayInTable(Fertiliser_SourceData.Fertiliser_Products_Data4(),FertiliserProducts[[#Headers],[Company]], 91)</f>
        <v>6.3</v>
      </c>
      <c r="O206" s="173" t="str" cm="1">
        <f t="array" ref="O206">Common_InputFunctions.Utility_DisplayArrayInTable(Fertiliser_SourceData.Fertiliser_Products_Data4(),FertiliserProducts[[#Headers],[Company]], 91)</f>
        <v>Nitrogen - Generic</v>
      </c>
      <c r="P206" s="173" cm="1">
        <f t="array" ref="P206">Common_InputFunctions.Utility_DisplayArrayInTable(Fertiliser_SourceData.Fertiliser_Products_Data4(),FertiliserProducts[[#Headers],[Company]], 91)</f>
        <v>0.05</v>
      </c>
      <c r="Q206" s="173" t="str" cm="1">
        <f t="array" ref="Q206">Common_InputFunctions.Utility_DisplayArrayInTable(Fertiliser_SourceData.Fertiliser_Products_Data4(),FertiliserProducts[[#Headers],[Company]], 91)</f>
        <v>Phosphorus - Generic</v>
      </c>
      <c r="R206" s="173" cm="1">
        <f t="array" ref="R206">Common_InputFunctions.Utility_DisplayArrayInTable(Fertiliser_SourceData.Fertiliser_Products_Data4(),FertiliserProducts[[#Headers],[Company]], 91)</f>
        <v>0.154</v>
      </c>
      <c r="S206" s="173" t="str" cm="1">
        <f t="array" ref="S206">Common_InputFunctions.Utility_DisplayArrayInTable(Fertiliser_SourceData.Fertiliser_Products_Data4(),FertiliserProducts[[#Headers],[Company]], 91)</f>
        <v>Sulfur - Generic</v>
      </c>
      <c r="T206" s="173" cm="1">
        <f t="array" ref="T206">Common_InputFunctions.Utility_DisplayArrayInTable(Fertiliser_SourceData.Fertiliser_Products_Data4(),FertiliserProducts[[#Headers],[Company]], 91)</f>
        <v>6.3E-2</v>
      </c>
      <c r="U206" s="173" t="str" cm="1">
        <f t="array" ref="U206">Common_InputFunctions.Utility_DisplayArrayInTable(Fertiliser_SourceData.Fertiliser_Products_Data4(),FertiliserProducts[[#Headers],[Company]], 91)</f>
        <v/>
      </c>
      <c r="V206" s="173" t="str" cm="1">
        <f t="array" ref="V206">Common_InputFunctions.Utility_DisplayArrayInTable(Fertiliser_SourceData.Fertiliser_Products_Data4(),FertiliserProducts[[#Headers],[Company]], 91)</f>
        <v/>
      </c>
      <c r="W206" s="173" t="str" cm="1">
        <f t="array" ref="W206">Common_InputFunctions.Utility_DisplayArrayInTable(Fertiliser_SourceData.Fertiliser_Products_Data4(),FertiliserProducts[[#Headers],[Company]], 91)</f>
        <v/>
      </c>
      <c r="X206" s="173" t="str" cm="1">
        <f t="array" ref="X206">Common_InputFunctions.Utility_DisplayArrayInTable(Fertiliser_SourceData.Fertiliser_Products_Data4(),FertiliserProducts[[#Headers],[Company]], 91)</f>
        <v/>
      </c>
      <c r="Y206" s="173" t="str" cm="1">
        <f t="array" ref="Y206">Common_InputFunctions.Utility_DisplayArrayInTable(Fertiliser_SourceData.Fertiliser_Products_Data4(),FertiliserProducts[[#Headers],[Company]], 91)</f>
        <v/>
      </c>
      <c r="Z206" s="173" t="str" cm="1">
        <f t="array" ref="Z206">Common_InputFunctions.Utility_DisplayArrayInTable(Fertiliser_SourceData.Fertiliser_Products_Data4(),FertiliserProducts[[#Headers],[Company]], 91)</f>
        <v/>
      </c>
      <c r="AA206" s="173" t="str" cm="1">
        <f t="array" ref="AA206">Common_InputFunctions.Utility_DisplayArrayInTable(Fertiliser_SourceData.Fertiliser_Products_Data4(),FertiliserProducts[[#Headers],[Company]], 91)</f>
        <v/>
      </c>
      <c r="AB206" s="173" t="str" cm="1">
        <f t="array" ref="AB206">Common_InputFunctions.Utility_DisplayArrayInTable(Fertiliser_SourceData.Fertiliser_Products_Data4(),FertiliserProducts[[#Headers],[Company]], 91)</f>
        <v/>
      </c>
      <c r="AC206" s="173" t="str" cm="1">
        <f t="array" ref="AC206">Common_InputFunctions.Utility_DisplayArrayInTable(Fertiliser_SourceData.Fertiliser_Products_Data4(),FertiliserProducts[[#Headers],[Company]], 91)</f>
        <v/>
      </c>
      <c r="AD206" s="173" t="str" cm="1">
        <f t="array" ref="AD206">Common_InputFunctions.Utility_DisplayArrayInTable(Fertiliser_SourceData.Fertiliser_Products_Data4(),FertiliserProducts[[#Headers],[Company]], 91)</f>
        <v/>
      </c>
      <c r="AE206" s="173" t="str" cm="1">
        <f t="array" ref="AE206">Common_InputFunctions.Utility_DisplayArrayInTable(Fertiliser_SourceData.Fertiliser_Products_Data4(),FertiliserProducts[[#Headers],[Company]], 91)</f>
        <v/>
      </c>
      <c r="AF206" s="173" t="str" cm="1">
        <f t="array" ref="AF206">Common_InputFunctions.Utility_DisplayArrayInTable(Fertiliser_SourceData.Fertiliser_Products_Data4(),FertiliserProducts[[#Headers],[Company]], 91)</f>
        <v/>
      </c>
      <c r="AG206" s="173" t="str" cm="1">
        <f t="array" ref="AG206">Common_InputFunctions.Utility_DisplayArrayInTable(Fertiliser_SourceData.Fertiliser_Products_Data4(),FertiliserProducts[[#Headers],[Company]], 91)</f>
        <v/>
      </c>
      <c r="AH206" s="173" t="str" cm="1">
        <f t="array" ref="AH206">Common_InputFunctions.Utility_DisplayArrayInTable(Fertiliser_SourceData.Fertiliser_Products_Data4(),FertiliserProducts[[#Headers],[Company]], 91)</f>
        <v/>
      </c>
    </row>
    <row r="207" spans="4:34" x14ac:dyDescent="0.25">
      <c r="D207" s="173" t="str" cm="1">
        <f t="array" ref="D207">Common_InputFunctions.Utility_DisplayArrayInTable(Fertiliser_SourceData.Fertiliser_Products_Data4(),FertiliserProducts[[#Headers],[Company]], 91)</f>
        <v>Wengfu Australia</v>
      </c>
      <c r="E207" s="173" t="str" cm="1">
        <f t="array" ref="E207">Common_InputFunctions.Utility_DisplayArrayInTable(Fertiliser_SourceData.Fertiliser_Products_Data4(),FertiliserProducts[[#Headers],[Company]], 91)</f>
        <v>Wengfu 9-20-0-10 PrimeZinc</v>
      </c>
      <c r="F207" s="173" t="str" cm="1">
        <f t="array" ref="F207">Common_InputFunctions.Utility_DisplayArrayInTable(Fertiliser_SourceData.Fertiliser_Products_Data4(),FertiliserProducts[[#Headers],[Company]], 91)</f>
        <v>kg</v>
      </c>
      <c r="G207" s="173" cm="1">
        <f t="array" ref="G207">Common_InputFunctions.Utility_DisplayArrayInTable(Fertiliser_SourceData.Fertiliser_Products_Data4(),FertiliserProducts[[#Headers],[Company]], 91)</f>
        <v>1</v>
      </c>
      <c r="H207" s="173" t="str" cm="1">
        <f t="array" ref="H207">Common_InputFunctions.Utility_DisplayArrayInTable(Fertiliser_SourceData.Fertiliser_Products_Data4(),FertiliserProducts[[#Headers],[Company]], 91)</f>
        <v/>
      </c>
      <c r="I207" s="173" t="str" cm="1">
        <f t="array" ref="I207">Common_InputFunctions.Utility_DisplayArrayInTable(Fertiliser_SourceData.Fertiliser_Products_Data4(),FertiliserProducts[[#Headers],[Company]], 91)</f>
        <v/>
      </c>
      <c r="J207" s="173" t="str" cm="1">
        <f t="array" ref="J207">Common_InputFunctions.Utility_DisplayArrayInTable(Fertiliser_SourceData.Fertiliser_Products_Data4(),FertiliserProducts[[#Headers],[Company]], 91)</f>
        <v/>
      </c>
      <c r="K207" s="173" cm="1">
        <f t="array" ref="K207">Common_InputFunctions.Utility_DisplayArrayInTable(Fertiliser_SourceData.Fertiliser_Products_Data4(),FertiliserProducts[[#Headers],[Company]], 91)</f>
        <v>9</v>
      </c>
      <c r="L207" s="173" cm="1">
        <f t="array" ref="L207">Common_InputFunctions.Utility_DisplayArrayInTable(Fertiliser_SourceData.Fertiliser_Products_Data4(),FertiliserProducts[[#Headers],[Company]], 91)</f>
        <v>19.8</v>
      </c>
      <c r="M207" s="173" cm="1">
        <f t="array" ref="M207">Common_InputFunctions.Utility_DisplayArrayInTable(Fertiliser_SourceData.Fertiliser_Products_Data4(),FertiliserProducts[[#Headers],[Company]], 91)</f>
        <v>0</v>
      </c>
      <c r="N207" s="173" cm="1">
        <f t="array" ref="N207">Common_InputFunctions.Utility_DisplayArrayInTable(Fertiliser_SourceData.Fertiliser_Products_Data4(),FertiliserProducts[[#Headers],[Company]], 91)</f>
        <v>10.4</v>
      </c>
      <c r="O207" s="173" t="str" cm="1">
        <f t="array" ref="O207">Common_InputFunctions.Utility_DisplayArrayInTable(Fertiliser_SourceData.Fertiliser_Products_Data4(),FertiliserProducts[[#Headers],[Company]], 91)</f>
        <v>Nitrogen - Generic</v>
      </c>
      <c r="P207" s="173" cm="1">
        <f t="array" ref="P207">Common_InputFunctions.Utility_DisplayArrayInTable(Fertiliser_SourceData.Fertiliser_Products_Data4(),FertiliserProducts[[#Headers],[Company]], 91)</f>
        <v>0.09</v>
      </c>
      <c r="Q207" s="173" t="str" cm="1">
        <f t="array" ref="Q207">Common_InputFunctions.Utility_DisplayArrayInTable(Fertiliser_SourceData.Fertiliser_Products_Data4(),FertiliserProducts[[#Headers],[Company]], 91)</f>
        <v>Phosphorus - Generic</v>
      </c>
      <c r="R207" s="173" cm="1">
        <f t="array" ref="R207">Common_InputFunctions.Utility_DisplayArrayInTable(Fertiliser_SourceData.Fertiliser_Products_Data4(),FertiliserProducts[[#Headers],[Company]], 91)</f>
        <v>0.19800000000000001</v>
      </c>
      <c r="S207" s="173" t="str" cm="1">
        <f t="array" ref="S207">Common_InputFunctions.Utility_DisplayArrayInTable(Fertiliser_SourceData.Fertiliser_Products_Data4(),FertiliserProducts[[#Headers],[Company]], 91)</f>
        <v>Sulfur - Generic</v>
      </c>
      <c r="T207" s="173" cm="1">
        <f t="array" ref="T207">Common_InputFunctions.Utility_DisplayArrayInTable(Fertiliser_SourceData.Fertiliser_Products_Data4(),FertiliserProducts[[#Headers],[Company]], 91)</f>
        <v>0.104</v>
      </c>
      <c r="U207" s="173" t="str" cm="1">
        <f t="array" ref="U207">Common_InputFunctions.Utility_DisplayArrayInTable(Fertiliser_SourceData.Fertiliser_Products_Data4(),FertiliserProducts[[#Headers],[Company]], 91)</f>
        <v>Zinc</v>
      </c>
      <c r="V207" s="173" cm="1">
        <f t="array" ref="V207">Common_InputFunctions.Utility_DisplayArrayInTable(Fertiliser_SourceData.Fertiliser_Products_Data4(),FertiliserProducts[[#Headers],[Company]], 91)</f>
        <v>8.9999999999999993E-3</v>
      </c>
      <c r="W207" s="173" t="str" cm="1">
        <f t="array" ref="W207">Common_InputFunctions.Utility_DisplayArrayInTable(Fertiliser_SourceData.Fertiliser_Products_Data4(),FertiliserProducts[[#Headers],[Company]], 91)</f>
        <v/>
      </c>
      <c r="X207" s="173" t="str" cm="1">
        <f t="array" ref="X207">Common_InputFunctions.Utility_DisplayArrayInTable(Fertiliser_SourceData.Fertiliser_Products_Data4(),FertiliserProducts[[#Headers],[Company]], 91)</f>
        <v/>
      </c>
      <c r="Y207" s="173" t="str" cm="1">
        <f t="array" ref="Y207">Common_InputFunctions.Utility_DisplayArrayInTable(Fertiliser_SourceData.Fertiliser_Products_Data4(),FertiliserProducts[[#Headers],[Company]], 91)</f>
        <v/>
      </c>
      <c r="Z207" s="173" t="str" cm="1">
        <f t="array" ref="Z207">Common_InputFunctions.Utility_DisplayArrayInTable(Fertiliser_SourceData.Fertiliser_Products_Data4(),FertiliserProducts[[#Headers],[Company]], 91)</f>
        <v/>
      </c>
      <c r="AA207" s="173" t="str" cm="1">
        <f t="array" ref="AA207">Common_InputFunctions.Utility_DisplayArrayInTable(Fertiliser_SourceData.Fertiliser_Products_Data4(),FertiliserProducts[[#Headers],[Company]], 91)</f>
        <v/>
      </c>
      <c r="AB207" s="173" t="str" cm="1">
        <f t="array" ref="AB207">Common_InputFunctions.Utility_DisplayArrayInTable(Fertiliser_SourceData.Fertiliser_Products_Data4(),FertiliserProducts[[#Headers],[Company]], 91)</f>
        <v/>
      </c>
      <c r="AC207" s="173" t="str" cm="1">
        <f t="array" ref="AC207">Common_InputFunctions.Utility_DisplayArrayInTable(Fertiliser_SourceData.Fertiliser_Products_Data4(),FertiliserProducts[[#Headers],[Company]], 91)</f>
        <v/>
      </c>
      <c r="AD207" s="173" t="str" cm="1">
        <f t="array" ref="AD207">Common_InputFunctions.Utility_DisplayArrayInTable(Fertiliser_SourceData.Fertiliser_Products_Data4(),FertiliserProducts[[#Headers],[Company]], 91)</f>
        <v/>
      </c>
      <c r="AE207" s="173" t="str" cm="1">
        <f t="array" ref="AE207">Common_InputFunctions.Utility_DisplayArrayInTable(Fertiliser_SourceData.Fertiliser_Products_Data4(),FertiliserProducts[[#Headers],[Company]], 91)</f>
        <v/>
      </c>
      <c r="AF207" s="173" t="str" cm="1">
        <f t="array" ref="AF207">Common_InputFunctions.Utility_DisplayArrayInTable(Fertiliser_SourceData.Fertiliser_Products_Data4(),FertiliserProducts[[#Headers],[Company]], 91)</f>
        <v/>
      </c>
      <c r="AG207" s="173" t="str" cm="1">
        <f t="array" ref="AG207">Common_InputFunctions.Utility_DisplayArrayInTable(Fertiliser_SourceData.Fertiliser_Products_Data4(),FertiliserProducts[[#Headers],[Company]], 91)</f>
        <v/>
      </c>
      <c r="AH207" s="173" t="str" cm="1">
        <f t="array" ref="AH207">Common_InputFunctions.Utility_DisplayArrayInTable(Fertiliser_SourceData.Fertiliser_Products_Data4(),FertiliserProducts[[#Headers],[Company]], 91)</f>
        <v/>
      </c>
    </row>
    <row r="208" spans="4:34" x14ac:dyDescent="0.25">
      <c r="D208" s="173" t="str" cm="1">
        <f t="array" ref="D208">Common_InputFunctions.Utility_DisplayArrayInTable(Fertiliser_SourceData.Fertiliser_Products_Data4(),FertiliserProducts[[#Headers],[Company]], 91)</f>
        <v>Wengfu Australia</v>
      </c>
      <c r="E208" s="173" t="str" cm="1">
        <f t="array" ref="E208">Common_InputFunctions.Utility_DisplayArrayInTable(Fertiliser_SourceData.Fertiliser_Products_Data4(),FertiliserProducts[[#Headers],[Company]], 91)</f>
        <v>Wengfu 12-18-0-6 PrimeZinc</v>
      </c>
      <c r="F208" s="173" t="str" cm="1">
        <f t="array" ref="F208">Common_InputFunctions.Utility_DisplayArrayInTable(Fertiliser_SourceData.Fertiliser_Products_Data4(),FertiliserProducts[[#Headers],[Company]], 91)</f>
        <v>kg</v>
      </c>
      <c r="G208" s="173" cm="1">
        <f t="array" ref="G208">Common_InputFunctions.Utility_DisplayArrayInTable(Fertiliser_SourceData.Fertiliser_Products_Data4(),FertiliserProducts[[#Headers],[Company]], 91)</f>
        <v>1</v>
      </c>
      <c r="H208" s="173" t="str" cm="1">
        <f t="array" ref="H208">Common_InputFunctions.Utility_DisplayArrayInTable(Fertiliser_SourceData.Fertiliser_Products_Data4(),FertiliserProducts[[#Headers],[Company]], 91)</f>
        <v/>
      </c>
      <c r="I208" s="173" t="str" cm="1">
        <f t="array" ref="I208">Common_InputFunctions.Utility_DisplayArrayInTable(Fertiliser_SourceData.Fertiliser_Products_Data4(),FertiliserProducts[[#Headers],[Company]], 91)</f>
        <v/>
      </c>
      <c r="J208" s="173" t="str" cm="1">
        <f t="array" ref="J208">Common_InputFunctions.Utility_DisplayArrayInTable(Fertiliser_SourceData.Fertiliser_Products_Data4(),FertiliserProducts[[#Headers],[Company]], 91)</f>
        <v/>
      </c>
      <c r="K208" s="173" cm="1">
        <f t="array" ref="K208">Common_InputFunctions.Utility_DisplayArrayInTable(Fertiliser_SourceData.Fertiliser_Products_Data4(),FertiliserProducts[[#Headers],[Company]], 91)</f>
        <v>11.9</v>
      </c>
      <c r="L208" s="173" cm="1">
        <f t="array" ref="L208">Common_InputFunctions.Utility_DisplayArrayInTable(Fertiliser_SourceData.Fertiliser_Products_Data4(),FertiliserProducts[[#Headers],[Company]], 91)</f>
        <v>17.600000000000001</v>
      </c>
      <c r="M208" s="173" cm="1">
        <f t="array" ref="M208">Common_InputFunctions.Utility_DisplayArrayInTable(Fertiliser_SourceData.Fertiliser_Products_Data4(),FertiliserProducts[[#Headers],[Company]], 91)</f>
        <v>0</v>
      </c>
      <c r="N208" s="173" cm="1">
        <f t="array" ref="N208">Common_InputFunctions.Utility_DisplayArrayInTable(Fertiliser_SourceData.Fertiliser_Products_Data4(),FertiliserProducts[[#Headers],[Company]], 91)</f>
        <v>5.9</v>
      </c>
      <c r="O208" s="173" t="str" cm="1">
        <f t="array" ref="O208">Common_InputFunctions.Utility_DisplayArrayInTable(Fertiliser_SourceData.Fertiliser_Products_Data4(),FertiliserProducts[[#Headers],[Company]], 91)</f>
        <v>Nitrogen - Generic</v>
      </c>
      <c r="P208" s="173" cm="1">
        <f t="array" ref="P208">Common_InputFunctions.Utility_DisplayArrayInTable(Fertiliser_SourceData.Fertiliser_Products_Data4(),FertiliserProducts[[#Headers],[Company]], 91)</f>
        <v>0.11899999999999999</v>
      </c>
      <c r="Q208" s="173" t="str" cm="1">
        <f t="array" ref="Q208">Common_InputFunctions.Utility_DisplayArrayInTable(Fertiliser_SourceData.Fertiliser_Products_Data4(),FertiliserProducts[[#Headers],[Company]], 91)</f>
        <v>Phosphorus - Generic</v>
      </c>
      <c r="R208" s="173" cm="1">
        <f t="array" ref="R208">Common_InputFunctions.Utility_DisplayArrayInTable(Fertiliser_SourceData.Fertiliser_Products_Data4(),FertiliserProducts[[#Headers],[Company]], 91)</f>
        <v>0.17599999999999999</v>
      </c>
      <c r="S208" s="173" t="str" cm="1">
        <f t="array" ref="S208">Common_InputFunctions.Utility_DisplayArrayInTable(Fertiliser_SourceData.Fertiliser_Products_Data4(),FertiliserProducts[[#Headers],[Company]], 91)</f>
        <v>Sulfur - Generic</v>
      </c>
      <c r="T208" s="173" cm="1">
        <f t="array" ref="T208">Common_InputFunctions.Utility_DisplayArrayInTable(Fertiliser_SourceData.Fertiliser_Products_Data4(),FertiliserProducts[[#Headers],[Company]], 91)</f>
        <v>5.8999999999999997E-2</v>
      </c>
      <c r="U208" s="173" t="str" cm="1">
        <f t="array" ref="U208">Common_InputFunctions.Utility_DisplayArrayInTable(Fertiliser_SourceData.Fertiliser_Products_Data4(),FertiliserProducts[[#Headers],[Company]], 91)</f>
        <v>Zinc</v>
      </c>
      <c r="V208" s="173" cm="1">
        <f t="array" ref="V208">Common_InputFunctions.Utility_DisplayArrayInTable(Fertiliser_SourceData.Fertiliser_Products_Data4(),FertiliserProducts[[#Headers],[Company]], 91)</f>
        <v>8.0000000000000002E-3</v>
      </c>
      <c r="W208" s="173" t="str" cm="1">
        <f t="array" ref="W208">Common_InputFunctions.Utility_DisplayArrayInTable(Fertiliser_SourceData.Fertiliser_Products_Data4(),FertiliserProducts[[#Headers],[Company]], 91)</f>
        <v/>
      </c>
      <c r="X208" s="173" t="str" cm="1">
        <f t="array" ref="X208">Common_InputFunctions.Utility_DisplayArrayInTable(Fertiliser_SourceData.Fertiliser_Products_Data4(),FertiliserProducts[[#Headers],[Company]], 91)</f>
        <v/>
      </c>
      <c r="Y208" s="173" t="str" cm="1">
        <f t="array" ref="Y208">Common_InputFunctions.Utility_DisplayArrayInTable(Fertiliser_SourceData.Fertiliser_Products_Data4(),FertiliserProducts[[#Headers],[Company]], 91)</f>
        <v/>
      </c>
      <c r="Z208" s="173" t="str" cm="1">
        <f t="array" ref="Z208">Common_InputFunctions.Utility_DisplayArrayInTable(Fertiliser_SourceData.Fertiliser_Products_Data4(),FertiliserProducts[[#Headers],[Company]], 91)</f>
        <v/>
      </c>
      <c r="AA208" s="173" t="str" cm="1">
        <f t="array" ref="AA208">Common_InputFunctions.Utility_DisplayArrayInTable(Fertiliser_SourceData.Fertiliser_Products_Data4(),FertiliserProducts[[#Headers],[Company]], 91)</f>
        <v/>
      </c>
      <c r="AB208" s="173" t="str" cm="1">
        <f t="array" ref="AB208">Common_InputFunctions.Utility_DisplayArrayInTable(Fertiliser_SourceData.Fertiliser_Products_Data4(),FertiliserProducts[[#Headers],[Company]], 91)</f>
        <v/>
      </c>
      <c r="AC208" s="173" t="str" cm="1">
        <f t="array" ref="AC208">Common_InputFunctions.Utility_DisplayArrayInTable(Fertiliser_SourceData.Fertiliser_Products_Data4(),FertiliserProducts[[#Headers],[Company]], 91)</f>
        <v/>
      </c>
      <c r="AD208" s="173" t="str" cm="1">
        <f t="array" ref="AD208">Common_InputFunctions.Utility_DisplayArrayInTable(Fertiliser_SourceData.Fertiliser_Products_Data4(),FertiliserProducts[[#Headers],[Company]], 91)</f>
        <v/>
      </c>
      <c r="AE208" s="173" t="str" cm="1">
        <f t="array" ref="AE208">Common_InputFunctions.Utility_DisplayArrayInTable(Fertiliser_SourceData.Fertiliser_Products_Data4(),FertiliserProducts[[#Headers],[Company]], 91)</f>
        <v/>
      </c>
      <c r="AF208" s="173" t="str" cm="1">
        <f t="array" ref="AF208">Common_InputFunctions.Utility_DisplayArrayInTable(Fertiliser_SourceData.Fertiliser_Products_Data4(),FertiliserProducts[[#Headers],[Company]], 91)</f>
        <v/>
      </c>
      <c r="AG208" s="173" t="str" cm="1">
        <f t="array" ref="AG208">Common_InputFunctions.Utility_DisplayArrayInTable(Fertiliser_SourceData.Fertiliser_Products_Data4(),FertiliserProducts[[#Headers],[Company]], 91)</f>
        <v/>
      </c>
      <c r="AH208" s="173" t="str" cm="1">
        <f t="array" ref="AH208">Common_InputFunctions.Utility_DisplayArrayInTable(Fertiliser_SourceData.Fertiliser_Products_Data4(),FertiliserProducts[[#Headers],[Company]], 91)</f>
        <v/>
      </c>
    </row>
    <row r="209" spans="4:34" x14ac:dyDescent="0.25">
      <c r="D209" s="173" t="str" cm="1">
        <f t="array" ref="D209">Common_InputFunctions.Utility_DisplayArrayInTable(Fertiliser_SourceData.Fertiliser_Products_Data4(),FertiliserProducts[[#Headers],[Company]], 91)</f>
        <v>Wengfu Australia</v>
      </c>
      <c r="E209" s="173" t="str" cm="1">
        <f t="array" ref="E209">Common_InputFunctions.Utility_DisplayArrayInTable(Fertiliser_SourceData.Fertiliser_Products_Data4(),FertiliserProducts[[#Headers],[Company]], 91)</f>
        <v>Wengfu 14-13-0-11 PrimeZinc</v>
      </c>
      <c r="F209" s="173" t="str" cm="1">
        <f t="array" ref="F209">Common_InputFunctions.Utility_DisplayArrayInTable(Fertiliser_SourceData.Fertiliser_Products_Data4(),FertiliserProducts[[#Headers],[Company]], 91)</f>
        <v>kg</v>
      </c>
      <c r="G209" s="173" cm="1">
        <f t="array" ref="G209">Common_InputFunctions.Utility_DisplayArrayInTable(Fertiliser_SourceData.Fertiliser_Products_Data4(),FertiliserProducts[[#Headers],[Company]], 91)</f>
        <v>1</v>
      </c>
      <c r="H209" s="173" t="str" cm="1">
        <f t="array" ref="H209">Common_InputFunctions.Utility_DisplayArrayInTable(Fertiliser_SourceData.Fertiliser_Products_Data4(),FertiliserProducts[[#Headers],[Company]], 91)</f>
        <v/>
      </c>
      <c r="I209" s="173" t="str" cm="1">
        <f t="array" ref="I209">Common_InputFunctions.Utility_DisplayArrayInTable(Fertiliser_SourceData.Fertiliser_Products_Data4(),FertiliserProducts[[#Headers],[Company]], 91)</f>
        <v/>
      </c>
      <c r="J209" s="173" t="str" cm="1">
        <f t="array" ref="J209">Common_InputFunctions.Utility_DisplayArrayInTable(Fertiliser_SourceData.Fertiliser_Products_Data4(),FertiliserProducts[[#Headers],[Company]], 91)</f>
        <v/>
      </c>
      <c r="K209" s="173" cm="1">
        <f t="array" ref="K209">Common_InputFunctions.Utility_DisplayArrayInTable(Fertiliser_SourceData.Fertiliser_Products_Data4(),FertiliserProducts[[#Headers],[Company]], 91)</f>
        <v>14.1</v>
      </c>
      <c r="L209" s="173" cm="1">
        <f t="array" ref="L209">Common_InputFunctions.Utility_DisplayArrayInTable(Fertiliser_SourceData.Fertiliser_Products_Data4(),FertiliserProducts[[#Headers],[Company]], 91)</f>
        <v>12.8</v>
      </c>
      <c r="M209" s="173" cm="1">
        <f t="array" ref="M209">Common_InputFunctions.Utility_DisplayArrayInTable(Fertiliser_SourceData.Fertiliser_Products_Data4(),FertiliserProducts[[#Headers],[Company]], 91)</f>
        <v>0</v>
      </c>
      <c r="N209" s="173" cm="1">
        <f t="array" ref="N209">Common_InputFunctions.Utility_DisplayArrayInTable(Fertiliser_SourceData.Fertiliser_Products_Data4(),FertiliserProducts[[#Headers],[Company]], 91)</f>
        <v>10.7</v>
      </c>
      <c r="O209" s="173" t="str" cm="1">
        <f t="array" ref="O209">Common_InputFunctions.Utility_DisplayArrayInTable(Fertiliser_SourceData.Fertiliser_Products_Data4(),FertiliserProducts[[#Headers],[Company]], 91)</f>
        <v>Nitrogen - Generic</v>
      </c>
      <c r="P209" s="173" cm="1">
        <f t="array" ref="P209">Common_InputFunctions.Utility_DisplayArrayInTable(Fertiliser_SourceData.Fertiliser_Products_Data4(),FertiliserProducts[[#Headers],[Company]], 91)</f>
        <v>0.14099999999999999</v>
      </c>
      <c r="Q209" s="173" t="str" cm="1">
        <f t="array" ref="Q209">Common_InputFunctions.Utility_DisplayArrayInTable(Fertiliser_SourceData.Fertiliser_Products_Data4(),FertiliserProducts[[#Headers],[Company]], 91)</f>
        <v>Phosphorus - Generic</v>
      </c>
      <c r="R209" s="173" cm="1">
        <f t="array" ref="R209">Common_InputFunctions.Utility_DisplayArrayInTable(Fertiliser_SourceData.Fertiliser_Products_Data4(),FertiliserProducts[[#Headers],[Company]], 91)</f>
        <v>0.128</v>
      </c>
      <c r="S209" s="173" t="str" cm="1">
        <f t="array" ref="S209">Common_InputFunctions.Utility_DisplayArrayInTable(Fertiliser_SourceData.Fertiliser_Products_Data4(),FertiliserProducts[[#Headers],[Company]], 91)</f>
        <v>Sulfur - Generic</v>
      </c>
      <c r="T209" s="173" cm="1">
        <f t="array" ref="T209">Common_InputFunctions.Utility_DisplayArrayInTable(Fertiliser_SourceData.Fertiliser_Products_Data4(),FertiliserProducts[[#Headers],[Company]], 91)</f>
        <v>0.107</v>
      </c>
      <c r="U209" s="173" t="str" cm="1">
        <f t="array" ref="U209">Common_InputFunctions.Utility_DisplayArrayInTable(Fertiliser_SourceData.Fertiliser_Products_Data4(),FertiliserProducts[[#Headers],[Company]], 91)</f>
        <v>Zinc</v>
      </c>
      <c r="V209" s="173" cm="1">
        <f t="array" ref="V209">Common_InputFunctions.Utility_DisplayArrayInTable(Fertiliser_SourceData.Fertiliser_Products_Data4(),FertiliserProducts[[#Headers],[Company]], 91)</f>
        <v>6.0000000000000001E-3</v>
      </c>
      <c r="W209" s="173" t="str" cm="1">
        <f t="array" ref="W209">Common_InputFunctions.Utility_DisplayArrayInTable(Fertiliser_SourceData.Fertiliser_Products_Data4(),FertiliserProducts[[#Headers],[Company]], 91)</f>
        <v/>
      </c>
      <c r="X209" s="173" t="str" cm="1">
        <f t="array" ref="X209">Common_InputFunctions.Utility_DisplayArrayInTable(Fertiliser_SourceData.Fertiliser_Products_Data4(),FertiliserProducts[[#Headers],[Company]], 91)</f>
        <v/>
      </c>
      <c r="Y209" s="173" t="str" cm="1">
        <f t="array" ref="Y209">Common_InputFunctions.Utility_DisplayArrayInTable(Fertiliser_SourceData.Fertiliser_Products_Data4(),FertiliserProducts[[#Headers],[Company]], 91)</f>
        <v/>
      </c>
      <c r="Z209" s="173" t="str" cm="1">
        <f t="array" ref="Z209">Common_InputFunctions.Utility_DisplayArrayInTable(Fertiliser_SourceData.Fertiliser_Products_Data4(),FertiliserProducts[[#Headers],[Company]], 91)</f>
        <v/>
      </c>
      <c r="AA209" s="173" t="str" cm="1">
        <f t="array" ref="AA209">Common_InputFunctions.Utility_DisplayArrayInTable(Fertiliser_SourceData.Fertiliser_Products_Data4(),FertiliserProducts[[#Headers],[Company]], 91)</f>
        <v/>
      </c>
      <c r="AB209" s="173" t="str" cm="1">
        <f t="array" ref="AB209">Common_InputFunctions.Utility_DisplayArrayInTable(Fertiliser_SourceData.Fertiliser_Products_Data4(),FertiliserProducts[[#Headers],[Company]], 91)</f>
        <v/>
      </c>
      <c r="AC209" s="173" t="str" cm="1">
        <f t="array" ref="AC209">Common_InputFunctions.Utility_DisplayArrayInTable(Fertiliser_SourceData.Fertiliser_Products_Data4(),FertiliserProducts[[#Headers],[Company]], 91)</f>
        <v/>
      </c>
      <c r="AD209" s="173" t="str" cm="1">
        <f t="array" ref="AD209">Common_InputFunctions.Utility_DisplayArrayInTable(Fertiliser_SourceData.Fertiliser_Products_Data4(),FertiliserProducts[[#Headers],[Company]], 91)</f>
        <v/>
      </c>
      <c r="AE209" s="173" t="str" cm="1">
        <f t="array" ref="AE209">Common_InputFunctions.Utility_DisplayArrayInTable(Fertiliser_SourceData.Fertiliser_Products_Data4(),FertiliserProducts[[#Headers],[Company]], 91)</f>
        <v/>
      </c>
      <c r="AF209" s="173" t="str" cm="1">
        <f t="array" ref="AF209">Common_InputFunctions.Utility_DisplayArrayInTable(Fertiliser_SourceData.Fertiliser_Products_Data4(),FertiliserProducts[[#Headers],[Company]], 91)</f>
        <v/>
      </c>
      <c r="AG209" s="173" t="str" cm="1">
        <f t="array" ref="AG209">Common_InputFunctions.Utility_DisplayArrayInTable(Fertiliser_SourceData.Fertiliser_Products_Data4(),FertiliserProducts[[#Headers],[Company]], 91)</f>
        <v/>
      </c>
      <c r="AH209" s="173" t="str" cm="1">
        <f t="array" ref="AH209">Common_InputFunctions.Utility_DisplayArrayInTable(Fertiliser_SourceData.Fertiliser_Products_Data4(),FertiliserProducts[[#Headers],[Company]], 91)</f>
        <v/>
      </c>
    </row>
    <row r="210" spans="4:34" x14ac:dyDescent="0.25">
      <c r="D210" s="173" t="str" cm="1">
        <f t="array" ref="D210">Common_InputFunctions.Utility_DisplayArrayInTable(Fertiliser_SourceData.Fertiliser_Products_Data5(),FertiliserProducts[[#Headers],[Company]], 121)</f>
        <v>Wengfu Australia</v>
      </c>
      <c r="E210" s="173" t="str" cm="1">
        <f t="array" ref="E210">Common_InputFunctions.Utility_DisplayArrayInTable(Fertiliser_SourceData.Fertiliser_Products_Data5(),FertiliserProducts[[#Headers],[Company]], 121)</f>
        <v>Wengfu 19-13-0-7 PrimeZinc</v>
      </c>
      <c r="F210" s="173" t="str" cm="1">
        <f t="array" ref="F210">Common_InputFunctions.Utility_DisplayArrayInTable(Fertiliser_SourceData.Fertiliser_Products_Data5(),FertiliserProducts[[#Headers],[Company]], 121)</f>
        <v>kg</v>
      </c>
      <c r="G210" s="173" cm="1">
        <f t="array" ref="G210">Common_InputFunctions.Utility_DisplayArrayInTable(Fertiliser_SourceData.Fertiliser_Products_Data5(),FertiliserProducts[[#Headers],[Company]], 121)</f>
        <v>1</v>
      </c>
      <c r="H210" s="173" t="str" cm="1">
        <f t="array" ref="H210">Common_InputFunctions.Utility_DisplayArrayInTable(Fertiliser_SourceData.Fertiliser_Products_Data5(),FertiliserProducts[[#Headers],[Company]], 121)</f>
        <v/>
      </c>
      <c r="I210" s="173" t="str" cm="1">
        <f t="array" ref="I210">Common_InputFunctions.Utility_DisplayArrayInTable(Fertiliser_SourceData.Fertiliser_Products_Data5(),FertiliserProducts[[#Headers],[Company]], 121)</f>
        <v/>
      </c>
      <c r="J210" s="173" t="str" cm="1">
        <f t="array" ref="J210">Common_InputFunctions.Utility_DisplayArrayInTable(Fertiliser_SourceData.Fertiliser_Products_Data5(),FertiliserProducts[[#Headers],[Company]], 121)</f>
        <v/>
      </c>
      <c r="K210" s="173" cm="1">
        <f t="array" ref="K210">Common_InputFunctions.Utility_DisplayArrayInTable(Fertiliser_SourceData.Fertiliser_Products_Data5(),FertiliserProducts[[#Headers],[Company]], 121)</f>
        <v>18.600000000000001</v>
      </c>
      <c r="L210" s="173" cm="1">
        <f t="array" ref="L210">Common_InputFunctions.Utility_DisplayArrayInTable(Fertiliser_SourceData.Fertiliser_Products_Data5(),FertiliserProducts[[#Headers],[Company]], 121)</f>
        <v>12.7</v>
      </c>
      <c r="M210" s="173" cm="1">
        <f t="array" ref="M210">Common_InputFunctions.Utility_DisplayArrayInTable(Fertiliser_SourceData.Fertiliser_Products_Data5(),FertiliserProducts[[#Headers],[Company]], 121)</f>
        <v>0</v>
      </c>
      <c r="N210" s="173" cm="1">
        <f t="array" ref="N210">Common_InputFunctions.Utility_DisplayArrayInTable(Fertiliser_SourceData.Fertiliser_Products_Data5(),FertiliserProducts[[#Headers],[Company]], 121)</f>
        <v>6.8</v>
      </c>
      <c r="O210" s="173" t="str" cm="1">
        <f t="array" ref="O210">Common_InputFunctions.Utility_DisplayArrayInTable(Fertiliser_SourceData.Fertiliser_Products_Data5(),FertiliserProducts[[#Headers],[Company]], 121)</f>
        <v>Nitrogen - Generic</v>
      </c>
      <c r="P210" s="173" cm="1">
        <f t="array" ref="P210">Common_InputFunctions.Utility_DisplayArrayInTable(Fertiliser_SourceData.Fertiliser_Products_Data5(),FertiliserProducts[[#Headers],[Company]], 121)</f>
        <v>0.186</v>
      </c>
      <c r="Q210" s="173" t="str" cm="1">
        <f t="array" ref="Q210">Common_InputFunctions.Utility_DisplayArrayInTable(Fertiliser_SourceData.Fertiliser_Products_Data5(),FertiliserProducts[[#Headers],[Company]], 121)</f>
        <v>Phosphorus - Generic</v>
      </c>
      <c r="R210" s="173" cm="1">
        <f t="array" ref="R210">Common_InputFunctions.Utility_DisplayArrayInTable(Fertiliser_SourceData.Fertiliser_Products_Data5(),FertiliserProducts[[#Headers],[Company]], 121)</f>
        <v>0.127</v>
      </c>
      <c r="S210" s="173" t="str" cm="1">
        <f t="array" ref="S210">Common_InputFunctions.Utility_DisplayArrayInTable(Fertiliser_SourceData.Fertiliser_Products_Data5(),FertiliserProducts[[#Headers],[Company]], 121)</f>
        <v>Sulfur - Generic</v>
      </c>
      <c r="T210" s="173" cm="1">
        <f t="array" ref="T210">Common_InputFunctions.Utility_DisplayArrayInTable(Fertiliser_SourceData.Fertiliser_Products_Data5(),FertiliserProducts[[#Headers],[Company]], 121)</f>
        <v>6.8000000000000005E-2</v>
      </c>
      <c r="U210" s="173" t="str" cm="1">
        <f t="array" ref="U210">Common_InputFunctions.Utility_DisplayArrayInTable(Fertiliser_SourceData.Fertiliser_Products_Data5(),FertiliserProducts[[#Headers],[Company]], 121)</f>
        <v>Zinc</v>
      </c>
      <c r="V210" s="173" cm="1">
        <f t="array" ref="V210">Common_InputFunctions.Utility_DisplayArrayInTable(Fertiliser_SourceData.Fertiliser_Products_Data5(),FertiliserProducts[[#Headers],[Company]], 121)</f>
        <v>6.0000000000000001E-3</v>
      </c>
      <c r="W210" s="173" t="str" cm="1">
        <f t="array" ref="W210">Common_InputFunctions.Utility_DisplayArrayInTable(Fertiliser_SourceData.Fertiliser_Products_Data5(),FertiliserProducts[[#Headers],[Company]], 121)</f>
        <v/>
      </c>
      <c r="X210" s="173" t="str" cm="1">
        <f t="array" ref="X210">Common_InputFunctions.Utility_DisplayArrayInTable(Fertiliser_SourceData.Fertiliser_Products_Data5(),FertiliserProducts[[#Headers],[Company]], 121)</f>
        <v/>
      </c>
      <c r="Y210" s="173" t="str" cm="1">
        <f t="array" ref="Y210">Common_InputFunctions.Utility_DisplayArrayInTable(Fertiliser_SourceData.Fertiliser_Products_Data5(),FertiliserProducts[[#Headers],[Company]], 121)</f>
        <v/>
      </c>
      <c r="Z210" s="173" t="str" cm="1">
        <f t="array" ref="Z210">Common_InputFunctions.Utility_DisplayArrayInTable(Fertiliser_SourceData.Fertiliser_Products_Data5(),FertiliserProducts[[#Headers],[Company]], 121)</f>
        <v/>
      </c>
      <c r="AA210" s="173" t="str" cm="1">
        <f t="array" ref="AA210">Common_InputFunctions.Utility_DisplayArrayInTable(Fertiliser_SourceData.Fertiliser_Products_Data5(),FertiliserProducts[[#Headers],[Company]], 121)</f>
        <v/>
      </c>
      <c r="AB210" s="173" t="str" cm="1">
        <f t="array" ref="AB210">Common_InputFunctions.Utility_DisplayArrayInTable(Fertiliser_SourceData.Fertiliser_Products_Data5(),FertiliserProducts[[#Headers],[Company]], 121)</f>
        <v/>
      </c>
      <c r="AC210" s="173" t="str" cm="1">
        <f t="array" ref="AC210">Common_InputFunctions.Utility_DisplayArrayInTable(Fertiliser_SourceData.Fertiliser_Products_Data5(),FertiliserProducts[[#Headers],[Company]], 121)</f>
        <v/>
      </c>
      <c r="AD210" s="173" t="str" cm="1">
        <f t="array" ref="AD210">Common_InputFunctions.Utility_DisplayArrayInTable(Fertiliser_SourceData.Fertiliser_Products_Data5(),FertiliserProducts[[#Headers],[Company]], 121)</f>
        <v/>
      </c>
      <c r="AE210" s="173" t="str" cm="1">
        <f t="array" ref="AE210">Common_InputFunctions.Utility_DisplayArrayInTable(Fertiliser_SourceData.Fertiliser_Products_Data5(),FertiliserProducts[[#Headers],[Company]], 121)</f>
        <v/>
      </c>
      <c r="AF210" s="173" t="str" cm="1">
        <f t="array" ref="AF210">Common_InputFunctions.Utility_DisplayArrayInTable(Fertiliser_SourceData.Fertiliser_Products_Data5(),FertiliserProducts[[#Headers],[Company]], 121)</f>
        <v/>
      </c>
      <c r="AG210" s="173" t="str" cm="1">
        <f t="array" ref="AG210">Common_InputFunctions.Utility_DisplayArrayInTable(Fertiliser_SourceData.Fertiliser_Products_Data5(),FertiliserProducts[[#Headers],[Company]], 121)</f>
        <v/>
      </c>
      <c r="AH210" s="173" t="str" cm="1">
        <f t="array" ref="AH210">Common_InputFunctions.Utility_DisplayArrayInTable(Fertiliser_SourceData.Fertiliser_Products_Data5(),FertiliserProducts[[#Headers],[Company]], 121)</f>
        <v/>
      </c>
    </row>
    <row r="211" spans="4:34" x14ac:dyDescent="0.25">
      <c r="D211" s="173" t="str" cm="1">
        <f t="array" ref="D211">Common_InputFunctions.Utility_DisplayArrayInTable(Fertiliser_SourceData.Fertiliser_Products_Data5(),FertiliserProducts[[#Headers],[Company]], 121)</f>
        <v>Wengfu Australia</v>
      </c>
      <c r="E211" s="173" t="str" cm="1">
        <f t="array" ref="E211">Common_InputFunctions.Utility_DisplayArrayInTable(Fertiliser_SourceData.Fertiliser_Products_Data5(),FertiliserProducts[[#Headers],[Company]], 121)</f>
        <v>Wengfu Booster K</v>
      </c>
      <c r="F211" s="173" t="str" cm="1">
        <f t="array" ref="F211">Common_InputFunctions.Utility_DisplayArrayInTable(Fertiliser_SourceData.Fertiliser_Products_Data5(),FertiliserProducts[[#Headers],[Company]], 121)</f>
        <v>kg</v>
      </c>
      <c r="G211" s="173" cm="1">
        <f t="array" ref="G211">Common_InputFunctions.Utility_DisplayArrayInTable(Fertiliser_SourceData.Fertiliser_Products_Data5(),FertiliserProducts[[#Headers],[Company]], 121)</f>
        <v>1</v>
      </c>
      <c r="H211" s="173" t="str" cm="1">
        <f t="array" ref="H211">Common_InputFunctions.Utility_DisplayArrayInTable(Fertiliser_SourceData.Fertiliser_Products_Data5(),FertiliserProducts[[#Headers],[Company]], 121)</f>
        <v/>
      </c>
      <c r="I211" s="173" t="str" cm="1">
        <f t="array" ref="I211">Common_InputFunctions.Utility_DisplayArrayInTable(Fertiliser_SourceData.Fertiliser_Products_Data5(),FertiliserProducts[[#Headers],[Company]], 121)</f>
        <v/>
      </c>
      <c r="J211" s="173" t="str" cm="1">
        <f t="array" ref="J211">Common_InputFunctions.Utility_DisplayArrayInTable(Fertiliser_SourceData.Fertiliser_Products_Data5(),FertiliserProducts[[#Headers],[Company]], 121)</f>
        <v/>
      </c>
      <c r="K211" s="173" cm="1">
        <f t="array" ref="K211">Common_InputFunctions.Utility_DisplayArrayInTable(Fertiliser_SourceData.Fertiliser_Products_Data5(),FertiliserProducts[[#Headers],[Company]], 121)</f>
        <v>32</v>
      </c>
      <c r="L211" s="173" cm="1">
        <f t="array" ref="L211">Common_InputFunctions.Utility_DisplayArrayInTable(Fertiliser_SourceData.Fertiliser_Products_Data5(),FertiliserProducts[[#Headers],[Company]], 121)</f>
        <v>0</v>
      </c>
      <c r="M211" s="173" cm="1">
        <f t="array" ref="M211">Common_InputFunctions.Utility_DisplayArrayInTable(Fertiliser_SourceData.Fertiliser_Products_Data5(),FertiliserProducts[[#Headers],[Company]], 121)</f>
        <v>11</v>
      </c>
      <c r="N211" s="173" cm="1">
        <f t="array" ref="N211">Common_InputFunctions.Utility_DisplayArrayInTable(Fertiliser_SourceData.Fertiliser_Products_Data5(),FertiliserProducts[[#Headers],[Company]], 121)</f>
        <v>3</v>
      </c>
      <c r="O211" s="173" t="str" cm="1">
        <f t="array" ref="O211">Common_InputFunctions.Utility_DisplayArrayInTable(Fertiliser_SourceData.Fertiliser_Products_Data5(),FertiliserProducts[[#Headers],[Company]], 121)</f>
        <v>Nitrogen - Generic</v>
      </c>
      <c r="P211" s="173" cm="1">
        <f t="array" ref="P211">Common_InputFunctions.Utility_DisplayArrayInTable(Fertiliser_SourceData.Fertiliser_Products_Data5(),FertiliserProducts[[#Headers],[Company]], 121)</f>
        <v>0.32</v>
      </c>
      <c r="Q211" s="173" t="str" cm="1">
        <f t="array" ref="Q211">Common_InputFunctions.Utility_DisplayArrayInTable(Fertiliser_SourceData.Fertiliser_Products_Data5(),FertiliserProducts[[#Headers],[Company]], 121)</f>
        <v>Potassium - Generic</v>
      </c>
      <c r="R211" s="173" cm="1">
        <f t="array" ref="R211">Common_InputFunctions.Utility_DisplayArrayInTable(Fertiliser_SourceData.Fertiliser_Products_Data5(),FertiliserProducts[[#Headers],[Company]], 121)</f>
        <v>0.11</v>
      </c>
      <c r="S211" s="173" t="str" cm="1">
        <f t="array" ref="S211">Common_InputFunctions.Utility_DisplayArrayInTable(Fertiliser_SourceData.Fertiliser_Products_Data5(),FertiliserProducts[[#Headers],[Company]], 121)</f>
        <v>Sulfur - Generic</v>
      </c>
      <c r="T211" s="173" cm="1">
        <f t="array" ref="T211">Common_InputFunctions.Utility_DisplayArrayInTable(Fertiliser_SourceData.Fertiliser_Products_Data5(),FertiliserProducts[[#Headers],[Company]], 121)</f>
        <v>0.03</v>
      </c>
      <c r="U211" s="173" t="str" cm="1">
        <f t="array" ref="U211">Common_InputFunctions.Utility_DisplayArrayInTable(Fertiliser_SourceData.Fertiliser_Products_Data5(),FertiliserProducts[[#Headers],[Company]], 121)</f>
        <v/>
      </c>
      <c r="V211" s="173" t="str" cm="1">
        <f t="array" ref="V211">Common_InputFunctions.Utility_DisplayArrayInTable(Fertiliser_SourceData.Fertiliser_Products_Data5(),FertiliserProducts[[#Headers],[Company]], 121)</f>
        <v/>
      </c>
      <c r="W211" s="173" t="str" cm="1">
        <f t="array" ref="W211">Common_InputFunctions.Utility_DisplayArrayInTable(Fertiliser_SourceData.Fertiliser_Products_Data5(),FertiliserProducts[[#Headers],[Company]], 121)</f>
        <v/>
      </c>
      <c r="X211" s="173" t="str" cm="1">
        <f t="array" ref="X211">Common_InputFunctions.Utility_DisplayArrayInTable(Fertiliser_SourceData.Fertiliser_Products_Data5(),FertiliserProducts[[#Headers],[Company]], 121)</f>
        <v/>
      </c>
      <c r="Y211" s="173" t="str" cm="1">
        <f t="array" ref="Y211">Common_InputFunctions.Utility_DisplayArrayInTable(Fertiliser_SourceData.Fertiliser_Products_Data5(),FertiliserProducts[[#Headers],[Company]], 121)</f>
        <v/>
      </c>
      <c r="Z211" s="173" t="str" cm="1">
        <f t="array" ref="Z211">Common_InputFunctions.Utility_DisplayArrayInTable(Fertiliser_SourceData.Fertiliser_Products_Data5(),FertiliserProducts[[#Headers],[Company]], 121)</f>
        <v/>
      </c>
      <c r="AA211" s="173" t="str" cm="1">
        <f t="array" ref="AA211">Common_InputFunctions.Utility_DisplayArrayInTable(Fertiliser_SourceData.Fertiliser_Products_Data5(),FertiliserProducts[[#Headers],[Company]], 121)</f>
        <v/>
      </c>
      <c r="AB211" s="173" t="str" cm="1">
        <f t="array" ref="AB211">Common_InputFunctions.Utility_DisplayArrayInTable(Fertiliser_SourceData.Fertiliser_Products_Data5(),FertiliserProducts[[#Headers],[Company]], 121)</f>
        <v/>
      </c>
      <c r="AC211" s="173" t="str" cm="1">
        <f t="array" ref="AC211">Common_InputFunctions.Utility_DisplayArrayInTable(Fertiliser_SourceData.Fertiliser_Products_Data5(),FertiliserProducts[[#Headers],[Company]], 121)</f>
        <v/>
      </c>
      <c r="AD211" s="173" t="str" cm="1">
        <f t="array" ref="AD211">Common_InputFunctions.Utility_DisplayArrayInTable(Fertiliser_SourceData.Fertiliser_Products_Data5(),FertiliserProducts[[#Headers],[Company]], 121)</f>
        <v/>
      </c>
      <c r="AE211" s="173" t="str" cm="1">
        <f t="array" ref="AE211">Common_InputFunctions.Utility_DisplayArrayInTable(Fertiliser_SourceData.Fertiliser_Products_Data5(),FertiliserProducts[[#Headers],[Company]], 121)</f>
        <v/>
      </c>
      <c r="AF211" s="173" t="str" cm="1">
        <f t="array" ref="AF211">Common_InputFunctions.Utility_DisplayArrayInTable(Fertiliser_SourceData.Fertiliser_Products_Data5(),FertiliserProducts[[#Headers],[Company]], 121)</f>
        <v/>
      </c>
      <c r="AG211" s="173" t="str" cm="1">
        <f t="array" ref="AG211">Common_InputFunctions.Utility_DisplayArrayInTable(Fertiliser_SourceData.Fertiliser_Products_Data5(),FertiliserProducts[[#Headers],[Company]], 121)</f>
        <v/>
      </c>
      <c r="AH211" s="173" t="str" cm="1">
        <f t="array" ref="AH211">Common_InputFunctions.Utility_DisplayArrayInTable(Fertiliser_SourceData.Fertiliser_Products_Data5(),FertiliserProducts[[#Headers],[Company]], 121)</f>
        <v/>
      </c>
    </row>
    <row r="212" spans="4:34" x14ac:dyDescent="0.25">
      <c r="D212" s="173" t="str" cm="1">
        <f t="array" ref="D212">Common_InputFunctions.Utility_DisplayArrayInTable(Fertiliser_SourceData.Fertiliser_Products_Data5(),FertiliserProducts[[#Headers],[Company]], 121)</f>
        <v>Wengfu Australia</v>
      </c>
      <c r="E212" s="173" t="str" cm="1">
        <f t="array" ref="E212">Common_InputFunctions.Utility_DisplayArrayInTable(Fertiliser_SourceData.Fertiliser_Products_Data5(),FertiliserProducts[[#Headers],[Company]], 121)</f>
        <v>Wengfu Booster Rich 1</v>
      </c>
      <c r="F212" s="173" t="str" cm="1">
        <f t="array" ref="F212">Common_InputFunctions.Utility_DisplayArrayInTable(Fertiliser_SourceData.Fertiliser_Products_Data5(),FertiliserProducts[[#Headers],[Company]], 121)</f>
        <v>kg</v>
      </c>
      <c r="G212" s="173" cm="1">
        <f t="array" ref="G212">Common_InputFunctions.Utility_DisplayArrayInTable(Fertiliser_SourceData.Fertiliser_Products_Data5(),FertiliserProducts[[#Headers],[Company]], 121)</f>
        <v>1</v>
      </c>
      <c r="H212" s="173" t="str" cm="1">
        <f t="array" ref="H212">Common_InputFunctions.Utility_DisplayArrayInTable(Fertiliser_SourceData.Fertiliser_Products_Data5(),FertiliserProducts[[#Headers],[Company]], 121)</f>
        <v/>
      </c>
      <c r="I212" s="173" t="str" cm="1">
        <f t="array" ref="I212">Common_InputFunctions.Utility_DisplayArrayInTable(Fertiliser_SourceData.Fertiliser_Products_Data5(),FertiliserProducts[[#Headers],[Company]], 121)</f>
        <v/>
      </c>
      <c r="J212" s="173" t="str" cm="1">
        <f t="array" ref="J212">Common_InputFunctions.Utility_DisplayArrayInTable(Fertiliser_SourceData.Fertiliser_Products_Data5(),FertiliserProducts[[#Headers],[Company]], 121)</f>
        <v/>
      </c>
      <c r="K212" s="173" cm="1">
        <f t="array" ref="K212">Common_InputFunctions.Utility_DisplayArrayInTable(Fertiliser_SourceData.Fertiliser_Products_Data5(),FertiliserProducts[[#Headers],[Company]], 121)</f>
        <v>31</v>
      </c>
      <c r="L212" s="173" cm="1">
        <f t="array" ref="L212">Common_InputFunctions.Utility_DisplayArrayInTable(Fertiliser_SourceData.Fertiliser_Products_Data5(),FertiliserProducts[[#Headers],[Company]], 121)</f>
        <v>6</v>
      </c>
      <c r="M212" s="173" cm="1">
        <f t="array" ref="M212">Common_InputFunctions.Utility_DisplayArrayInTable(Fertiliser_SourceData.Fertiliser_Products_Data5(),FertiliserProducts[[#Headers],[Company]], 121)</f>
        <v>0</v>
      </c>
      <c r="N212" s="173" cm="1">
        <f t="array" ref="N212">Common_InputFunctions.Utility_DisplayArrayInTable(Fertiliser_SourceData.Fertiliser_Products_Data5(),FertiliserProducts[[#Headers],[Company]], 121)</f>
        <v>6</v>
      </c>
      <c r="O212" s="173" t="str" cm="1">
        <f t="array" ref="O212">Common_InputFunctions.Utility_DisplayArrayInTable(Fertiliser_SourceData.Fertiliser_Products_Data5(),FertiliserProducts[[#Headers],[Company]], 121)</f>
        <v>Nitrogen - Generic</v>
      </c>
      <c r="P212" s="173" cm="1">
        <f t="array" ref="P212">Common_InputFunctions.Utility_DisplayArrayInTable(Fertiliser_SourceData.Fertiliser_Products_Data5(),FertiliserProducts[[#Headers],[Company]], 121)</f>
        <v>0.31</v>
      </c>
      <c r="Q212" s="173" t="str" cm="1">
        <f t="array" ref="Q212">Common_InputFunctions.Utility_DisplayArrayInTable(Fertiliser_SourceData.Fertiliser_Products_Data5(),FertiliserProducts[[#Headers],[Company]], 121)</f>
        <v>Phosphorus - Generic</v>
      </c>
      <c r="R212" s="173" cm="1">
        <f t="array" ref="R212">Common_InputFunctions.Utility_DisplayArrayInTable(Fertiliser_SourceData.Fertiliser_Products_Data5(),FertiliserProducts[[#Headers],[Company]], 121)</f>
        <v>0.06</v>
      </c>
      <c r="S212" s="173" t="str" cm="1">
        <f t="array" ref="S212">Common_InputFunctions.Utility_DisplayArrayInTable(Fertiliser_SourceData.Fertiliser_Products_Data5(),FertiliserProducts[[#Headers],[Company]], 121)</f>
        <v>Sulfur - Generic</v>
      </c>
      <c r="T212" s="173" cm="1">
        <f t="array" ref="T212">Common_InputFunctions.Utility_DisplayArrayInTable(Fertiliser_SourceData.Fertiliser_Products_Data5(),FertiliserProducts[[#Headers],[Company]], 121)</f>
        <v>0.06</v>
      </c>
      <c r="U212" s="173" t="str" cm="1">
        <f t="array" ref="U212">Common_InputFunctions.Utility_DisplayArrayInTable(Fertiliser_SourceData.Fertiliser_Products_Data5(),FertiliserProducts[[#Headers],[Company]], 121)</f>
        <v/>
      </c>
      <c r="V212" s="173" t="str" cm="1">
        <f t="array" ref="V212">Common_InputFunctions.Utility_DisplayArrayInTable(Fertiliser_SourceData.Fertiliser_Products_Data5(),FertiliserProducts[[#Headers],[Company]], 121)</f>
        <v/>
      </c>
      <c r="W212" s="173" t="str" cm="1">
        <f t="array" ref="W212">Common_InputFunctions.Utility_DisplayArrayInTable(Fertiliser_SourceData.Fertiliser_Products_Data5(),FertiliserProducts[[#Headers],[Company]], 121)</f>
        <v/>
      </c>
      <c r="X212" s="173" t="str" cm="1">
        <f t="array" ref="X212">Common_InputFunctions.Utility_DisplayArrayInTable(Fertiliser_SourceData.Fertiliser_Products_Data5(),FertiliserProducts[[#Headers],[Company]], 121)</f>
        <v/>
      </c>
      <c r="Y212" s="173" t="str" cm="1">
        <f t="array" ref="Y212">Common_InputFunctions.Utility_DisplayArrayInTable(Fertiliser_SourceData.Fertiliser_Products_Data5(),FertiliserProducts[[#Headers],[Company]], 121)</f>
        <v/>
      </c>
      <c r="Z212" s="173" t="str" cm="1">
        <f t="array" ref="Z212">Common_InputFunctions.Utility_DisplayArrayInTable(Fertiliser_SourceData.Fertiliser_Products_Data5(),FertiliserProducts[[#Headers],[Company]], 121)</f>
        <v/>
      </c>
      <c r="AA212" s="173" t="str" cm="1">
        <f t="array" ref="AA212">Common_InputFunctions.Utility_DisplayArrayInTable(Fertiliser_SourceData.Fertiliser_Products_Data5(),FertiliserProducts[[#Headers],[Company]], 121)</f>
        <v/>
      </c>
      <c r="AB212" s="173" t="str" cm="1">
        <f t="array" ref="AB212">Common_InputFunctions.Utility_DisplayArrayInTable(Fertiliser_SourceData.Fertiliser_Products_Data5(),FertiliserProducts[[#Headers],[Company]], 121)</f>
        <v/>
      </c>
      <c r="AC212" s="173" t="str" cm="1">
        <f t="array" ref="AC212">Common_InputFunctions.Utility_DisplayArrayInTable(Fertiliser_SourceData.Fertiliser_Products_Data5(),FertiliserProducts[[#Headers],[Company]], 121)</f>
        <v/>
      </c>
      <c r="AD212" s="173" t="str" cm="1">
        <f t="array" ref="AD212">Common_InputFunctions.Utility_DisplayArrayInTable(Fertiliser_SourceData.Fertiliser_Products_Data5(),FertiliserProducts[[#Headers],[Company]], 121)</f>
        <v/>
      </c>
      <c r="AE212" s="173" t="str" cm="1">
        <f t="array" ref="AE212">Common_InputFunctions.Utility_DisplayArrayInTable(Fertiliser_SourceData.Fertiliser_Products_Data5(),FertiliserProducts[[#Headers],[Company]], 121)</f>
        <v/>
      </c>
      <c r="AF212" s="173" t="str" cm="1">
        <f t="array" ref="AF212">Common_InputFunctions.Utility_DisplayArrayInTable(Fertiliser_SourceData.Fertiliser_Products_Data5(),FertiliserProducts[[#Headers],[Company]], 121)</f>
        <v/>
      </c>
      <c r="AG212" s="173" t="str" cm="1">
        <f t="array" ref="AG212">Common_InputFunctions.Utility_DisplayArrayInTable(Fertiliser_SourceData.Fertiliser_Products_Data5(),FertiliserProducts[[#Headers],[Company]], 121)</f>
        <v/>
      </c>
      <c r="AH212" s="173" t="str" cm="1">
        <f t="array" ref="AH212">Common_InputFunctions.Utility_DisplayArrayInTable(Fertiliser_SourceData.Fertiliser_Products_Data5(),FertiliserProducts[[#Headers],[Company]], 121)</f>
        <v/>
      </c>
    </row>
    <row r="213" spans="4:34" x14ac:dyDescent="0.25">
      <c r="D213" s="173" t="str" cm="1">
        <f t="array" ref="D213">Common_InputFunctions.Utility_DisplayArrayInTable(Fertiliser_SourceData.Fertiliser_Products_Data5(),FertiliserProducts[[#Headers],[Company]], 121)</f>
        <v>Wengfu Australia</v>
      </c>
      <c r="E213" s="173" t="str" cm="1">
        <f t="array" ref="E213">Common_InputFunctions.Utility_DisplayArrayInTable(Fertiliser_SourceData.Fertiliser_Products_Data5(),FertiliserProducts[[#Headers],[Company]], 121)</f>
        <v>Wengfu Booster Grass DAP</v>
      </c>
      <c r="F213" s="173" t="str" cm="1">
        <f t="array" ref="F213">Common_InputFunctions.Utility_DisplayArrayInTable(Fertiliser_SourceData.Fertiliser_Products_Data5(),FertiliserProducts[[#Headers],[Company]], 121)</f>
        <v>kg</v>
      </c>
      <c r="G213" s="173" cm="1">
        <f t="array" ref="G213">Common_InputFunctions.Utility_DisplayArrayInTable(Fertiliser_SourceData.Fertiliser_Products_Data5(),FertiliserProducts[[#Headers],[Company]], 121)</f>
        <v>1</v>
      </c>
      <c r="H213" s="173" t="str" cm="1">
        <f t="array" ref="H213">Common_InputFunctions.Utility_DisplayArrayInTable(Fertiliser_SourceData.Fertiliser_Products_Data5(),FertiliserProducts[[#Headers],[Company]], 121)</f>
        <v/>
      </c>
      <c r="I213" s="173" t="str" cm="1">
        <f t="array" ref="I213">Common_InputFunctions.Utility_DisplayArrayInTable(Fertiliser_SourceData.Fertiliser_Products_Data5(),FertiliserProducts[[#Headers],[Company]], 121)</f>
        <v/>
      </c>
      <c r="J213" s="173" t="str" cm="1">
        <f t="array" ref="J213">Common_InputFunctions.Utility_DisplayArrayInTable(Fertiliser_SourceData.Fertiliser_Products_Data5(),FertiliserProducts[[#Headers],[Company]], 121)</f>
        <v/>
      </c>
      <c r="K213" s="173" cm="1">
        <f t="array" ref="K213">Common_InputFunctions.Utility_DisplayArrayInTable(Fertiliser_SourceData.Fertiliser_Products_Data5(),FertiliserProducts[[#Headers],[Company]], 121)</f>
        <v>21</v>
      </c>
      <c r="L213" s="173" cm="1">
        <f t="array" ref="L213">Common_InputFunctions.Utility_DisplayArrayInTable(Fertiliser_SourceData.Fertiliser_Products_Data5(),FertiliserProducts[[#Headers],[Company]], 121)</f>
        <v>4</v>
      </c>
      <c r="M213" s="173" cm="1">
        <f t="array" ref="M213">Common_InputFunctions.Utility_DisplayArrayInTable(Fertiliser_SourceData.Fertiliser_Products_Data5(),FertiliserProducts[[#Headers],[Company]], 121)</f>
        <v>8</v>
      </c>
      <c r="N213" s="173" cm="1">
        <f t="array" ref="N213">Common_InputFunctions.Utility_DisplayArrayInTable(Fertiliser_SourceData.Fertiliser_Products_Data5(),FertiliserProducts[[#Headers],[Company]], 121)</f>
        <v>7</v>
      </c>
      <c r="O213" s="173" t="str" cm="1">
        <f t="array" ref="O213">Common_InputFunctions.Utility_DisplayArrayInTable(Fertiliser_SourceData.Fertiliser_Products_Data5(),FertiliserProducts[[#Headers],[Company]], 121)</f>
        <v>Nitrogen - Generic</v>
      </c>
      <c r="P213" s="173" cm="1">
        <f t="array" ref="P213">Common_InputFunctions.Utility_DisplayArrayInTable(Fertiliser_SourceData.Fertiliser_Products_Data5(),FertiliserProducts[[#Headers],[Company]], 121)</f>
        <v>0.21</v>
      </c>
      <c r="Q213" s="173" t="str" cm="1">
        <f t="array" ref="Q213">Common_InputFunctions.Utility_DisplayArrayInTable(Fertiliser_SourceData.Fertiliser_Products_Data5(),FertiliserProducts[[#Headers],[Company]], 121)</f>
        <v>Phosphorus - Generic</v>
      </c>
      <c r="R213" s="173" cm="1">
        <f t="array" ref="R213">Common_InputFunctions.Utility_DisplayArrayInTable(Fertiliser_SourceData.Fertiliser_Products_Data5(),FertiliserProducts[[#Headers],[Company]], 121)</f>
        <v>0.04</v>
      </c>
      <c r="S213" s="173" t="str" cm="1">
        <f t="array" ref="S213">Common_InputFunctions.Utility_DisplayArrayInTable(Fertiliser_SourceData.Fertiliser_Products_Data5(),FertiliserProducts[[#Headers],[Company]], 121)</f>
        <v>Potassium - Generic</v>
      </c>
      <c r="T213" s="173" cm="1">
        <f t="array" ref="T213">Common_InputFunctions.Utility_DisplayArrayInTable(Fertiliser_SourceData.Fertiliser_Products_Data5(),FertiliserProducts[[#Headers],[Company]], 121)</f>
        <v>0.08</v>
      </c>
      <c r="U213" s="173" t="str" cm="1">
        <f t="array" ref="U213">Common_InputFunctions.Utility_DisplayArrayInTable(Fertiliser_SourceData.Fertiliser_Products_Data5(),FertiliserProducts[[#Headers],[Company]], 121)</f>
        <v>Sulfur - Generic</v>
      </c>
      <c r="V213" s="173" cm="1">
        <f t="array" ref="V213">Common_InputFunctions.Utility_DisplayArrayInTable(Fertiliser_SourceData.Fertiliser_Products_Data5(),FertiliserProducts[[#Headers],[Company]], 121)</f>
        <v>7.0000000000000007E-2</v>
      </c>
      <c r="W213" s="173" t="str" cm="1">
        <f t="array" ref="W213">Common_InputFunctions.Utility_DisplayArrayInTable(Fertiliser_SourceData.Fertiliser_Products_Data5(),FertiliserProducts[[#Headers],[Company]], 121)</f>
        <v/>
      </c>
      <c r="X213" s="173" t="str" cm="1">
        <f t="array" ref="X213">Common_InputFunctions.Utility_DisplayArrayInTable(Fertiliser_SourceData.Fertiliser_Products_Data5(),FertiliserProducts[[#Headers],[Company]], 121)</f>
        <v/>
      </c>
      <c r="Y213" s="173" t="str" cm="1">
        <f t="array" ref="Y213">Common_InputFunctions.Utility_DisplayArrayInTable(Fertiliser_SourceData.Fertiliser_Products_Data5(),FertiliserProducts[[#Headers],[Company]], 121)</f>
        <v/>
      </c>
      <c r="Z213" s="173" t="str" cm="1">
        <f t="array" ref="Z213">Common_InputFunctions.Utility_DisplayArrayInTable(Fertiliser_SourceData.Fertiliser_Products_Data5(),FertiliserProducts[[#Headers],[Company]], 121)</f>
        <v/>
      </c>
      <c r="AA213" s="173" t="str" cm="1">
        <f t="array" ref="AA213">Common_InputFunctions.Utility_DisplayArrayInTable(Fertiliser_SourceData.Fertiliser_Products_Data5(),FertiliserProducts[[#Headers],[Company]], 121)</f>
        <v/>
      </c>
      <c r="AB213" s="173" t="str" cm="1">
        <f t="array" ref="AB213">Common_InputFunctions.Utility_DisplayArrayInTable(Fertiliser_SourceData.Fertiliser_Products_Data5(),FertiliserProducts[[#Headers],[Company]], 121)</f>
        <v/>
      </c>
      <c r="AC213" s="173" t="str" cm="1">
        <f t="array" ref="AC213">Common_InputFunctions.Utility_DisplayArrayInTable(Fertiliser_SourceData.Fertiliser_Products_Data5(),FertiliserProducts[[#Headers],[Company]], 121)</f>
        <v/>
      </c>
      <c r="AD213" s="173" t="str" cm="1">
        <f t="array" ref="AD213">Common_InputFunctions.Utility_DisplayArrayInTable(Fertiliser_SourceData.Fertiliser_Products_Data5(),FertiliserProducts[[#Headers],[Company]], 121)</f>
        <v/>
      </c>
      <c r="AE213" s="173" t="str" cm="1">
        <f t="array" ref="AE213">Common_InputFunctions.Utility_DisplayArrayInTable(Fertiliser_SourceData.Fertiliser_Products_Data5(),FertiliserProducts[[#Headers],[Company]], 121)</f>
        <v/>
      </c>
      <c r="AF213" s="173" t="str" cm="1">
        <f t="array" ref="AF213">Common_InputFunctions.Utility_DisplayArrayInTable(Fertiliser_SourceData.Fertiliser_Products_Data5(),FertiliserProducts[[#Headers],[Company]], 121)</f>
        <v/>
      </c>
      <c r="AG213" s="173" t="str" cm="1">
        <f t="array" ref="AG213">Common_InputFunctions.Utility_DisplayArrayInTable(Fertiliser_SourceData.Fertiliser_Products_Data5(),FertiliserProducts[[#Headers],[Company]], 121)</f>
        <v/>
      </c>
      <c r="AH213" s="173" t="str" cm="1">
        <f t="array" ref="AH213">Common_InputFunctions.Utility_DisplayArrayInTable(Fertiliser_SourceData.Fertiliser_Products_Data5(),FertiliserProducts[[#Headers],[Company]], 121)</f>
        <v/>
      </c>
    </row>
    <row r="214" spans="4:34" x14ac:dyDescent="0.25">
      <c r="D214" s="173" t="str" cm="1">
        <f t="array" ref="D214">Common_InputFunctions.Utility_DisplayArrayInTable(Fertiliser_SourceData.Fertiliser_Products_Data5(),FertiliserProducts[[#Headers],[Company]], 121)</f>
        <v>Wengfu Australia</v>
      </c>
      <c r="E214" s="173" t="str" cm="1">
        <f t="array" ref="E214">Common_InputFunctions.Utility_DisplayArrayInTable(Fertiliser_SourceData.Fertiliser_Products_Data5(),FertiliserProducts[[#Headers],[Company]], 121)</f>
        <v>Wengfu Aftergraze</v>
      </c>
      <c r="F214" s="173" t="str" cm="1">
        <f t="array" ref="F214">Common_InputFunctions.Utility_DisplayArrayInTable(Fertiliser_SourceData.Fertiliser_Products_Data5(),FertiliserProducts[[#Headers],[Company]], 121)</f>
        <v>kg</v>
      </c>
      <c r="G214" s="173" cm="1">
        <f t="array" ref="G214">Common_InputFunctions.Utility_DisplayArrayInTable(Fertiliser_SourceData.Fertiliser_Products_Data5(),FertiliserProducts[[#Headers],[Company]], 121)</f>
        <v>1</v>
      </c>
      <c r="H214" s="173" t="str" cm="1">
        <f t="array" ref="H214">Common_InputFunctions.Utility_DisplayArrayInTable(Fertiliser_SourceData.Fertiliser_Products_Data5(),FertiliserProducts[[#Headers],[Company]], 121)</f>
        <v/>
      </c>
      <c r="I214" s="173" t="str" cm="1">
        <f t="array" ref="I214">Common_InputFunctions.Utility_DisplayArrayInTable(Fertiliser_SourceData.Fertiliser_Products_Data5(),FertiliserProducts[[#Headers],[Company]], 121)</f>
        <v/>
      </c>
      <c r="J214" s="173" t="str" cm="1">
        <f t="array" ref="J214">Common_InputFunctions.Utility_DisplayArrayInTable(Fertiliser_SourceData.Fertiliser_Products_Data5(),FertiliserProducts[[#Headers],[Company]], 121)</f>
        <v/>
      </c>
      <c r="K214" s="173" cm="1">
        <f t="array" ref="K214">Common_InputFunctions.Utility_DisplayArrayInTable(Fertiliser_SourceData.Fertiliser_Products_Data5(),FertiliserProducts[[#Headers],[Company]], 121)</f>
        <v>23</v>
      </c>
      <c r="L214" s="173" cm="1">
        <f t="array" ref="L214">Common_InputFunctions.Utility_DisplayArrayInTable(Fertiliser_SourceData.Fertiliser_Products_Data5(),FertiliserProducts[[#Headers],[Company]], 121)</f>
        <v>0</v>
      </c>
      <c r="M214" s="173" cm="1">
        <f t="array" ref="M214">Common_InputFunctions.Utility_DisplayArrayInTable(Fertiliser_SourceData.Fertiliser_Products_Data5(),FertiliserProducts[[#Headers],[Company]], 121)</f>
        <v>25</v>
      </c>
      <c r="N214" s="173" cm="1">
        <f t="array" ref="N214">Common_InputFunctions.Utility_DisplayArrayInTable(Fertiliser_SourceData.Fertiliser_Products_Data5(),FertiliserProducts[[#Headers],[Company]], 121)</f>
        <v>0</v>
      </c>
      <c r="O214" s="173" t="str" cm="1">
        <f t="array" ref="O214">Common_InputFunctions.Utility_DisplayArrayInTable(Fertiliser_SourceData.Fertiliser_Products_Data5(),FertiliserProducts[[#Headers],[Company]], 121)</f>
        <v>Nitrogen - Generic</v>
      </c>
      <c r="P214" s="173" cm="1">
        <f t="array" ref="P214">Common_InputFunctions.Utility_DisplayArrayInTable(Fertiliser_SourceData.Fertiliser_Products_Data5(),FertiliserProducts[[#Headers],[Company]], 121)</f>
        <v>0.23</v>
      </c>
      <c r="Q214" s="173" t="str" cm="1">
        <f t="array" ref="Q214">Common_InputFunctions.Utility_DisplayArrayInTable(Fertiliser_SourceData.Fertiliser_Products_Data5(),FertiliserProducts[[#Headers],[Company]], 121)</f>
        <v>Potassium - Generic</v>
      </c>
      <c r="R214" s="173" cm="1">
        <f t="array" ref="R214">Common_InputFunctions.Utility_DisplayArrayInTable(Fertiliser_SourceData.Fertiliser_Products_Data5(),FertiliserProducts[[#Headers],[Company]], 121)</f>
        <v>0.25</v>
      </c>
      <c r="S214" s="173" t="str" cm="1">
        <f t="array" ref="S214">Common_InputFunctions.Utility_DisplayArrayInTable(Fertiliser_SourceData.Fertiliser_Products_Data5(),FertiliserProducts[[#Headers],[Company]], 121)</f>
        <v/>
      </c>
      <c r="T214" s="173" t="str" cm="1">
        <f t="array" ref="T214">Common_InputFunctions.Utility_DisplayArrayInTable(Fertiliser_SourceData.Fertiliser_Products_Data5(),FertiliserProducts[[#Headers],[Company]], 121)</f>
        <v/>
      </c>
      <c r="U214" s="173" t="str" cm="1">
        <f t="array" ref="U214">Common_InputFunctions.Utility_DisplayArrayInTable(Fertiliser_SourceData.Fertiliser_Products_Data5(),FertiliserProducts[[#Headers],[Company]], 121)</f>
        <v/>
      </c>
      <c r="V214" s="173" t="str" cm="1">
        <f t="array" ref="V214">Common_InputFunctions.Utility_DisplayArrayInTable(Fertiliser_SourceData.Fertiliser_Products_Data5(),FertiliserProducts[[#Headers],[Company]], 121)</f>
        <v/>
      </c>
      <c r="W214" s="173" t="str" cm="1">
        <f t="array" ref="W214">Common_InputFunctions.Utility_DisplayArrayInTable(Fertiliser_SourceData.Fertiliser_Products_Data5(),FertiliserProducts[[#Headers],[Company]], 121)</f>
        <v/>
      </c>
      <c r="X214" s="173" t="str" cm="1">
        <f t="array" ref="X214">Common_InputFunctions.Utility_DisplayArrayInTable(Fertiliser_SourceData.Fertiliser_Products_Data5(),FertiliserProducts[[#Headers],[Company]], 121)</f>
        <v/>
      </c>
      <c r="Y214" s="173" t="str" cm="1">
        <f t="array" ref="Y214">Common_InputFunctions.Utility_DisplayArrayInTable(Fertiliser_SourceData.Fertiliser_Products_Data5(),FertiliserProducts[[#Headers],[Company]], 121)</f>
        <v/>
      </c>
      <c r="Z214" s="173" t="str" cm="1">
        <f t="array" ref="Z214">Common_InputFunctions.Utility_DisplayArrayInTable(Fertiliser_SourceData.Fertiliser_Products_Data5(),FertiliserProducts[[#Headers],[Company]], 121)</f>
        <v/>
      </c>
      <c r="AA214" s="173" t="str" cm="1">
        <f t="array" ref="AA214">Common_InputFunctions.Utility_DisplayArrayInTable(Fertiliser_SourceData.Fertiliser_Products_Data5(),FertiliserProducts[[#Headers],[Company]], 121)</f>
        <v/>
      </c>
      <c r="AB214" s="173" t="str" cm="1">
        <f t="array" ref="AB214">Common_InputFunctions.Utility_DisplayArrayInTable(Fertiliser_SourceData.Fertiliser_Products_Data5(),FertiliserProducts[[#Headers],[Company]], 121)</f>
        <v/>
      </c>
      <c r="AC214" s="173" t="str" cm="1">
        <f t="array" ref="AC214">Common_InputFunctions.Utility_DisplayArrayInTable(Fertiliser_SourceData.Fertiliser_Products_Data5(),FertiliserProducts[[#Headers],[Company]], 121)</f>
        <v/>
      </c>
      <c r="AD214" s="173" t="str" cm="1">
        <f t="array" ref="AD214">Common_InputFunctions.Utility_DisplayArrayInTable(Fertiliser_SourceData.Fertiliser_Products_Data5(),FertiliserProducts[[#Headers],[Company]], 121)</f>
        <v/>
      </c>
      <c r="AE214" s="173" t="str" cm="1">
        <f t="array" ref="AE214">Common_InputFunctions.Utility_DisplayArrayInTable(Fertiliser_SourceData.Fertiliser_Products_Data5(),FertiliserProducts[[#Headers],[Company]], 121)</f>
        <v/>
      </c>
      <c r="AF214" s="173" t="str" cm="1">
        <f t="array" ref="AF214">Common_InputFunctions.Utility_DisplayArrayInTable(Fertiliser_SourceData.Fertiliser_Products_Data5(),FertiliserProducts[[#Headers],[Company]], 121)</f>
        <v/>
      </c>
      <c r="AG214" s="173" t="str" cm="1">
        <f t="array" ref="AG214">Common_InputFunctions.Utility_DisplayArrayInTable(Fertiliser_SourceData.Fertiliser_Products_Data5(),FertiliserProducts[[#Headers],[Company]], 121)</f>
        <v/>
      </c>
      <c r="AH214" s="173" t="str" cm="1">
        <f t="array" ref="AH214">Common_InputFunctions.Utility_DisplayArrayInTable(Fertiliser_SourceData.Fertiliser_Products_Data5(),FertiliserProducts[[#Headers],[Company]], 121)</f>
        <v/>
      </c>
    </row>
    <row r="215" spans="4:34" x14ac:dyDescent="0.25">
      <c r="D215" s="173" t="str" cm="1">
        <f t="array" ref="D215">Common_InputFunctions.Utility_DisplayArrayInTable(Fertiliser_SourceData.Fertiliser_Products_Data5(),FertiliserProducts[[#Headers],[Company]], 121)</f>
        <v>Wengfu Australia</v>
      </c>
      <c r="E215" s="173" t="str" cm="1">
        <f t="array" ref="E215">Common_InputFunctions.Utility_DisplayArrayInTable(Fertiliser_SourceData.Fertiliser_Products_Data5(),FertiliserProducts[[#Headers],[Company]], 121)</f>
        <v>Wengfu Sidedress</v>
      </c>
      <c r="F215" s="173" t="str" cm="1">
        <f t="array" ref="F215">Common_InputFunctions.Utility_DisplayArrayInTable(Fertiliser_SourceData.Fertiliser_Products_Data5(),FertiliserProducts[[#Headers],[Company]], 121)</f>
        <v>kg</v>
      </c>
      <c r="G215" s="173" cm="1">
        <f t="array" ref="G215">Common_InputFunctions.Utility_DisplayArrayInTable(Fertiliser_SourceData.Fertiliser_Products_Data5(),FertiliserProducts[[#Headers],[Company]], 121)</f>
        <v>1</v>
      </c>
      <c r="H215" s="173" t="str" cm="1">
        <f t="array" ref="H215">Common_InputFunctions.Utility_DisplayArrayInTable(Fertiliser_SourceData.Fertiliser_Products_Data5(),FertiliserProducts[[#Headers],[Company]], 121)</f>
        <v/>
      </c>
      <c r="I215" s="173" t="str" cm="1">
        <f t="array" ref="I215">Common_InputFunctions.Utility_DisplayArrayInTable(Fertiliser_SourceData.Fertiliser_Products_Data5(),FertiliserProducts[[#Headers],[Company]], 121)</f>
        <v/>
      </c>
      <c r="J215" s="173" t="str" cm="1">
        <f t="array" ref="J215">Common_InputFunctions.Utility_DisplayArrayInTable(Fertiliser_SourceData.Fertiliser_Products_Data5(),FertiliserProducts[[#Headers],[Company]], 121)</f>
        <v/>
      </c>
      <c r="K215" s="173" cm="1">
        <f t="array" ref="K215">Common_InputFunctions.Utility_DisplayArrayInTable(Fertiliser_SourceData.Fertiliser_Products_Data5(),FertiliserProducts[[#Headers],[Company]], 121)</f>
        <v>25</v>
      </c>
      <c r="L215" s="173" cm="1">
        <f t="array" ref="L215">Common_InputFunctions.Utility_DisplayArrayInTable(Fertiliser_SourceData.Fertiliser_Products_Data5(),FertiliserProducts[[#Headers],[Company]], 121)</f>
        <v>4</v>
      </c>
      <c r="M215" s="173" cm="1">
        <f t="array" ref="M215">Common_InputFunctions.Utility_DisplayArrayInTable(Fertiliser_SourceData.Fertiliser_Products_Data5(),FertiliserProducts[[#Headers],[Company]], 121)</f>
        <v>13</v>
      </c>
      <c r="N215" s="173" cm="1">
        <f t="array" ref="N215">Common_InputFunctions.Utility_DisplayArrayInTable(Fertiliser_SourceData.Fertiliser_Products_Data5(),FertiliserProducts[[#Headers],[Company]], 121)</f>
        <v>4</v>
      </c>
      <c r="O215" s="173" t="str" cm="1">
        <f t="array" ref="O215">Common_InputFunctions.Utility_DisplayArrayInTable(Fertiliser_SourceData.Fertiliser_Products_Data5(),FertiliserProducts[[#Headers],[Company]], 121)</f>
        <v>Nitrogen - Generic</v>
      </c>
      <c r="P215" s="173" cm="1">
        <f t="array" ref="P215">Common_InputFunctions.Utility_DisplayArrayInTable(Fertiliser_SourceData.Fertiliser_Products_Data5(),FertiliserProducts[[#Headers],[Company]], 121)</f>
        <v>0.25</v>
      </c>
      <c r="Q215" s="173" t="str" cm="1">
        <f t="array" ref="Q215">Common_InputFunctions.Utility_DisplayArrayInTable(Fertiliser_SourceData.Fertiliser_Products_Data5(),FertiliserProducts[[#Headers],[Company]], 121)</f>
        <v>Phosphorus - Generic</v>
      </c>
      <c r="R215" s="173" cm="1">
        <f t="array" ref="R215">Common_InputFunctions.Utility_DisplayArrayInTable(Fertiliser_SourceData.Fertiliser_Products_Data5(),FertiliserProducts[[#Headers],[Company]], 121)</f>
        <v>0.04</v>
      </c>
      <c r="S215" s="173" t="str" cm="1">
        <f t="array" ref="S215">Common_InputFunctions.Utility_DisplayArrayInTable(Fertiliser_SourceData.Fertiliser_Products_Data5(),FertiliserProducts[[#Headers],[Company]], 121)</f>
        <v>Potassium - Generic</v>
      </c>
      <c r="T215" s="173" cm="1">
        <f t="array" ref="T215">Common_InputFunctions.Utility_DisplayArrayInTable(Fertiliser_SourceData.Fertiliser_Products_Data5(),FertiliserProducts[[#Headers],[Company]], 121)</f>
        <v>0.13</v>
      </c>
      <c r="U215" s="173" t="str" cm="1">
        <f t="array" ref="U215">Common_InputFunctions.Utility_DisplayArrayInTable(Fertiliser_SourceData.Fertiliser_Products_Data5(),FertiliserProducts[[#Headers],[Company]], 121)</f>
        <v>Sulfur - Generic</v>
      </c>
      <c r="V215" s="173" cm="1">
        <f t="array" ref="V215">Common_InputFunctions.Utility_DisplayArrayInTable(Fertiliser_SourceData.Fertiliser_Products_Data5(),FertiliserProducts[[#Headers],[Company]], 121)</f>
        <v>0.04</v>
      </c>
      <c r="W215" s="173" t="str" cm="1">
        <f t="array" ref="W215">Common_InputFunctions.Utility_DisplayArrayInTable(Fertiliser_SourceData.Fertiliser_Products_Data5(),FertiliserProducts[[#Headers],[Company]], 121)</f>
        <v/>
      </c>
      <c r="X215" s="173" t="str" cm="1">
        <f t="array" ref="X215">Common_InputFunctions.Utility_DisplayArrayInTable(Fertiliser_SourceData.Fertiliser_Products_Data5(),FertiliserProducts[[#Headers],[Company]], 121)</f>
        <v/>
      </c>
      <c r="Y215" s="173" t="str" cm="1">
        <f t="array" ref="Y215">Common_InputFunctions.Utility_DisplayArrayInTable(Fertiliser_SourceData.Fertiliser_Products_Data5(),FertiliserProducts[[#Headers],[Company]], 121)</f>
        <v/>
      </c>
      <c r="Z215" s="173" t="str" cm="1">
        <f t="array" ref="Z215">Common_InputFunctions.Utility_DisplayArrayInTable(Fertiliser_SourceData.Fertiliser_Products_Data5(),FertiliserProducts[[#Headers],[Company]], 121)</f>
        <v/>
      </c>
      <c r="AA215" s="173" t="str" cm="1">
        <f t="array" ref="AA215">Common_InputFunctions.Utility_DisplayArrayInTable(Fertiliser_SourceData.Fertiliser_Products_Data5(),FertiliserProducts[[#Headers],[Company]], 121)</f>
        <v/>
      </c>
      <c r="AB215" s="173" t="str" cm="1">
        <f t="array" ref="AB215">Common_InputFunctions.Utility_DisplayArrayInTable(Fertiliser_SourceData.Fertiliser_Products_Data5(),FertiliserProducts[[#Headers],[Company]], 121)</f>
        <v/>
      </c>
      <c r="AC215" s="173" t="str" cm="1">
        <f t="array" ref="AC215">Common_InputFunctions.Utility_DisplayArrayInTable(Fertiliser_SourceData.Fertiliser_Products_Data5(),FertiliserProducts[[#Headers],[Company]], 121)</f>
        <v/>
      </c>
      <c r="AD215" s="173" t="str" cm="1">
        <f t="array" ref="AD215">Common_InputFunctions.Utility_DisplayArrayInTable(Fertiliser_SourceData.Fertiliser_Products_Data5(),FertiliserProducts[[#Headers],[Company]], 121)</f>
        <v/>
      </c>
      <c r="AE215" s="173" t="str" cm="1">
        <f t="array" ref="AE215">Common_InputFunctions.Utility_DisplayArrayInTable(Fertiliser_SourceData.Fertiliser_Products_Data5(),FertiliserProducts[[#Headers],[Company]], 121)</f>
        <v/>
      </c>
      <c r="AF215" s="173" t="str" cm="1">
        <f t="array" ref="AF215">Common_InputFunctions.Utility_DisplayArrayInTable(Fertiliser_SourceData.Fertiliser_Products_Data5(),FertiliserProducts[[#Headers],[Company]], 121)</f>
        <v/>
      </c>
      <c r="AG215" s="173" t="str" cm="1">
        <f t="array" ref="AG215">Common_InputFunctions.Utility_DisplayArrayInTable(Fertiliser_SourceData.Fertiliser_Products_Data5(),FertiliserProducts[[#Headers],[Company]], 121)</f>
        <v/>
      </c>
      <c r="AH215" s="173" t="str" cm="1">
        <f t="array" ref="AH215">Common_InputFunctions.Utility_DisplayArrayInTable(Fertiliser_SourceData.Fertiliser_Products_Data5(),FertiliserProducts[[#Headers],[Company]], 121)</f>
        <v/>
      </c>
    </row>
    <row r="216" spans="4:34" x14ac:dyDescent="0.25">
      <c r="D216" s="173" t="str" cm="1">
        <f t="array" ref="D216">Common_InputFunctions.Utility_DisplayArrayInTable(Fertiliser_SourceData.Fertiliser_Products_Data5(),FertiliserProducts[[#Headers],[Company]], 121)</f>
        <v>Wengfu Australia</v>
      </c>
      <c r="E216" s="173" t="str" cm="1">
        <f t="array" ref="E216">Common_InputFunctions.Utility_DisplayArrayInTable(Fertiliser_SourceData.Fertiliser_Products_Data5(),FertiliserProducts[[#Headers],[Company]], 121)</f>
        <v>Wengfu Pasture Booster</v>
      </c>
      <c r="F216" s="173" t="str" cm="1">
        <f t="array" ref="F216">Common_InputFunctions.Utility_DisplayArrayInTable(Fertiliser_SourceData.Fertiliser_Products_Data5(),FertiliserProducts[[#Headers],[Company]], 121)</f>
        <v>kg</v>
      </c>
      <c r="G216" s="173" cm="1">
        <f t="array" ref="G216">Common_InputFunctions.Utility_DisplayArrayInTable(Fertiliser_SourceData.Fertiliser_Products_Data5(),FertiliserProducts[[#Headers],[Company]], 121)</f>
        <v>1</v>
      </c>
      <c r="H216" s="173" t="str" cm="1">
        <f t="array" ref="H216">Common_InputFunctions.Utility_DisplayArrayInTable(Fertiliser_SourceData.Fertiliser_Products_Data5(),FertiliserProducts[[#Headers],[Company]], 121)</f>
        <v/>
      </c>
      <c r="I216" s="173" t="str" cm="1">
        <f t="array" ref="I216">Common_InputFunctions.Utility_DisplayArrayInTable(Fertiliser_SourceData.Fertiliser_Products_Data5(),FertiliserProducts[[#Headers],[Company]], 121)</f>
        <v/>
      </c>
      <c r="J216" s="173" t="str" cm="1">
        <f t="array" ref="J216">Common_InputFunctions.Utility_DisplayArrayInTable(Fertiliser_SourceData.Fertiliser_Products_Data5(),FertiliserProducts[[#Headers],[Company]], 121)</f>
        <v/>
      </c>
      <c r="K216" s="173" cm="1">
        <f t="array" ref="K216">Common_InputFunctions.Utility_DisplayArrayInTable(Fertiliser_SourceData.Fertiliser_Products_Data5(),FertiliserProducts[[#Headers],[Company]], 121)</f>
        <v>13</v>
      </c>
      <c r="L216" s="173" cm="1">
        <f t="array" ref="L216">Common_InputFunctions.Utility_DisplayArrayInTable(Fertiliser_SourceData.Fertiliser_Products_Data5(),FertiliserProducts[[#Headers],[Company]], 121)</f>
        <v>5</v>
      </c>
      <c r="M216" s="173" cm="1">
        <f t="array" ref="M216">Common_InputFunctions.Utility_DisplayArrayInTable(Fertiliser_SourceData.Fertiliser_Products_Data5(),FertiliserProducts[[#Headers],[Company]], 121)</f>
        <v>24</v>
      </c>
      <c r="N216" s="173" cm="1">
        <f t="array" ref="N216">Common_InputFunctions.Utility_DisplayArrayInTable(Fertiliser_SourceData.Fertiliser_Products_Data5(),FertiliserProducts[[#Headers],[Company]], 121)</f>
        <v>5</v>
      </c>
      <c r="O216" s="173" t="str" cm="1">
        <f t="array" ref="O216">Common_InputFunctions.Utility_DisplayArrayInTable(Fertiliser_SourceData.Fertiliser_Products_Data5(),FertiliserProducts[[#Headers],[Company]], 121)</f>
        <v>Nitrogen - Generic</v>
      </c>
      <c r="P216" s="173" cm="1">
        <f t="array" ref="P216">Common_InputFunctions.Utility_DisplayArrayInTable(Fertiliser_SourceData.Fertiliser_Products_Data5(),FertiliserProducts[[#Headers],[Company]], 121)</f>
        <v>0.13</v>
      </c>
      <c r="Q216" s="173" t="str" cm="1">
        <f t="array" ref="Q216">Common_InputFunctions.Utility_DisplayArrayInTable(Fertiliser_SourceData.Fertiliser_Products_Data5(),FertiliserProducts[[#Headers],[Company]], 121)</f>
        <v>Phosphorus - Generic</v>
      </c>
      <c r="R216" s="173" cm="1">
        <f t="array" ref="R216">Common_InputFunctions.Utility_DisplayArrayInTable(Fertiliser_SourceData.Fertiliser_Products_Data5(),FertiliserProducts[[#Headers],[Company]], 121)</f>
        <v>0.05</v>
      </c>
      <c r="S216" s="173" t="str" cm="1">
        <f t="array" ref="S216">Common_InputFunctions.Utility_DisplayArrayInTable(Fertiliser_SourceData.Fertiliser_Products_Data5(),FertiliserProducts[[#Headers],[Company]], 121)</f>
        <v>Potassium - Generic</v>
      </c>
      <c r="T216" s="173" cm="1">
        <f t="array" ref="T216">Common_InputFunctions.Utility_DisplayArrayInTable(Fertiliser_SourceData.Fertiliser_Products_Data5(),FertiliserProducts[[#Headers],[Company]], 121)</f>
        <v>0.24</v>
      </c>
      <c r="U216" s="173" t="str" cm="1">
        <f t="array" ref="U216">Common_InputFunctions.Utility_DisplayArrayInTable(Fertiliser_SourceData.Fertiliser_Products_Data5(),FertiliserProducts[[#Headers],[Company]], 121)</f>
        <v>Sulfur - Generic</v>
      </c>
      <c r="V216" s="173" cm="1">
        <f t="array" ref="V216">Common_InputFunctions.Utility_DisplayArrayInTable(Fertiliser_SourceData.Fertiliser_Products_Data5(),FertiliserProducts[[#Headers],[Company]], 121)</f>
        <v>0.05</v>
      </c>
      <c r="W216" s="173" t="str" cm="1">
        <f t="array" ref="W216">Common_InputFunctions.Utility_DisplayArrayInTable(Fertiliser_SourceData.Fertiliser_Products_Data5(),FertiliserProducts[[#Headers],[Company]], 121)</f>
        <v/>
      </c>
      <c r="X216" s="173" t="str" cm="1">
        <f t="array" ref="X216">Common_InputFunctions.Utility_DisplayArrayInTable(Fertiliser_SourceData.Fertiliser_Products_Data5(),FertiliserProducts[[#Headers],[Company]], 121)</f>
        <v/>
      </c>
      <c r="Y216" s="173" t="str" cm="1">
        <f t="array" ref="Y216">Common_InputFunctions.Utility_DisplayArrayInTable(Fertiliser_SourceData.Fertiliser_Products_Data5(),FertiliserProducts[[#Headers],[Company]], 121)</f>
        <v/>
      </c>
      <c r="Z216" s="173" t="str" cm="1">
        <f t="array" ref="Z216">Common_InputFunctions.Utility_DisplayArrayInTable(Fertiliser_SourceData.Fertiliser_Products_Data5(),FertiliserProducts[[#Headers],[Company]], 121)</f>
        <v/>
      </c>
      <c r="AA216" s="173" t="str" cm="1">
        <f t="array" ref="AA216">Common_InputFunctions.Utility_DisplayArrayInTable(Fertiliser_SourceData.Fertiliser_Products_Data5(),FertiliserProducts[[#Headers],[Company]], 121)</f>
        <v/>
      </c>
      <c r="AB216" s="173" t="str" cm="1">
        <f t="array" ref="AB216">Common_InputFunctions.Utility_DisplayArrayInTable(Fertiliser_SourceData.Fertiliser_Products_Data5(),FertiliserProducts[[#Headers],[Company]], 121)</f>
        <v/>
      </c>
      <c r="AC216" s="173" t="str" cm="1">
        <f t="array" ref="AC216">Common_InputFunctions.Utility_DisplayArrayInTable(Fertiliser_SourceData.Fertiliser_Products_Data5(),FertiliserProducts[[#Headers],[Company]], 121)</f>
        <v/>
      </c>
      <c r="AD216" s="173" t="str" cm="1">
        <f t="array" ref="AD216">Common_InputFunctions.Utility_DisplayArrayInTable(Fertiliser_SourceData.Fertiliser_Products_Data5(),FertiliserProducts[[#Headers],[Company]], 121)</f>
        <v/>
      </c>
      <c r="AE216" s="173" t="str" cm="1">
        <f t="array" ref="AE216">Common_InputFunctions.Utility_DisplayArrayInTable(Fertiliser_SourceData.Fertiliser_Products_Data5(),FertiliserProducts[[#Headers],[Company]], 121)</f>
        <v/>
      </c>
      <c r="AF216" s="173" t="str" cm="1">
        <f t="array" ref="AF216">Common_InputFunctions.Utility_DisplayArrayInTable(Fertiliser_SourceData.Fertiliser_Products_Data5(),FertiliserProducts[[#Headers],[Company]], 121)</f>
        <v/>
      </c>
      <c r="AG216" s="173" t="str" cm="1">
        <f t="array" ref="AG216">Common_InputFunctions.Utility_DisplayArrayInTable(Fertiliser_SourceData.Fertiliser_Products_Data5(),FertiliserProducts[[#Headers],[Company]], 121)</f>
        <v/>
      </c>
      <c r="AH216" s="173" t="str" cm="1">
        <f t="array" ref="AH216">Common_InputFunctions.Utility_DisplayArrayInTable(Fertiliser_SourceData.Fertiliser_Products_Data5(),FertiliserProducts[[#Headers],[Company]], 121)</f>
        <v/>
      </c>
    </row>
    <row r="217" spans="4:34" x14ac:dyDescent="0.25">
      <c r="D217" s="173" t="str" cm="1">
        <f t="array" ref="D217">Common_InputFunctions.Utility_DisplayArrayInTable(Fertiliser_SourceData.Fertiliser_Products_Data5(),FertiliserProducts[[#Headers],[Company]], 121)</f>
        <v>Wengfu Australia</v>
      </c>
      <c r="E217" s="173" t="str" cm="1">
        <f t="array" ref="E217">Common_InputFunctions.Utility_DisplayArrayInTable(Fertiliser_SourceData.Fertiliser_Products_Data5(),FertiliserProducts[[#Headers],[Company]], 121)</f>
        <v>Wengfu DAP Hay Booster</v>
      </c>
      <c r="F217" s="173" t="str" cm="1">
        <f t="array" ref="F217">Common_InputFunctions.Utility_DisplayArrayInTable(Fertiliser_SourceData.Fertiliser_Products_Data5(),FertiliserProducts[[#Headers],[Company]], 121)</f>
        <v>kg</v>
      </c>
      <c r="G217" s="173" cm="1">
        <f t="array" ref="G217">Common_InputFunctions.Utility_DisplayArrayInTable(Fertiliser_SourceData.Fertiliser_Products_Data5(),FertiliserProducts[[#Headers],[Company]], 121)</f>
        <v>1</v>
      </c>
      <c r="H217" s="173" t="str" cm="1">
        <f t="array" ref="H217">Common_InputFunctions.Utility_DisplayArrayInTable(Fertiliser_SourceData.Fertiliser_Products_Data5(),FertiliserProducts[[#Headers],[Company]], 121)</f>
        <v/>
      </c>
      <c r="I217" s="173" t="str" cm="1">
        <f t="array" ref="I217">Common_InputFunctions.Utility_DisplayArrayInTable(Fertiliser_SourceData.Fertiliser_Products_Data5(),FertiliserProducts[[#Headers],[Company]], 121)</f>
        <v/>
      </c>
      <c r="J217" s="173" t="str" cm="1">
        <f t="array" ref="J217">Common_InputFunctions.Utility_DisplayArrayInTable(Fertiliser_SourceData.Fertiliser_Products_Data5(),FertiliserProducts[[#Headers],[Company]], 121)</f>
        <v/>
      </c>
      <c r="K217" s="173" cm="1">
        <f t="array" ref="K217">Common_InputFunctions.Utility_DisplayArrayInTable(Fertiliser_SourceData.Fertiliser_Products_Data5(),FertiliserProducts[[#Headers],[Company]], 121)</f>
        <v>11</v>
      </c>
      <c r="L217" s="173" cm="1">
        <f t="array" ref="L217">Common_InputFunctions.Utility_DisplayArrayInTable(Fertiliser_SourceData.Fertiliser_Products_Data5(),FertiliserProducts[[#Headers],[Company]], 121)</f>
        <v>5</v>
      </c>
      <c r="M217" s="173" cm="1">
        <f t="array" ref="M217">Common_InputFunctions.Utility_DisplayArrayInTable(Fertiliser_SourceData.Fertiliser_Products_Data5(),FertiliserProducts[[#Headers],[Company]], 121)</f>
        <v>24</v>
      </c>
      <c r="N217" s="173" cm="1">
        <f t="array" ref="N217">Common_InputFunctions.Utility_DisplayArrayInTable(Fertiliser_SourceData.Fertiliser_Products_Data5(),FertiliserProducts[[#Headers],[Company]], 121)</f>
        <v>4</v>
      </c>
      <c r="O217" s="173" t="str" cm="1">
        <f t="array" ref="O217">Common_InputFunctions.Utility_DisplayArrayInTable(Fertiliser_SourceData.Fertiliser_Products_Data5(),FertiliserProducts[[#Headers],[Company]], 121)</f>
        <v>Nitrogen - Generic</v>
      </c>
      <c r="P217" s="173" cm="1">
        <f t="array" ref="P217">Common_InputFunctions.Utility_DisplayArrayInTable(Fertiliser_SourceData.Fertiliser_Products_Data5(),FertiliserProducts[[#Headers],[Company]], 121)</f>
        <v>0.11</v>
      </c>
      <c r="Q217" s="173" t="str" cm="1">
        <f t="array" ref="Q217">Common_InputFunctions.Utility_DisplayArrayInTable(Fertiliser_SourceData.Fertiliser_Products_Data5(),FertiliserProducts[[#Headers],[Company]], 121)</f>
        <v>Phosphorus - Generic</v>
      </c>
      <c r="R217" s="173" cm="1">
        <f t="array" ref="R217">Common_InputFunctions.Utility_DisplayArrayInTable(Fertiliser_SourceData.Fertiliser_Products_Data5(),FertiliserProducts[[#Headers],[Company]], 121)</f>
        <v>0.05</v>
      </c>
      <c r="S217" s="173" t="str" cm="1">
        <f t="array" ref="S217">Common_InputFunctions.Utility_DisplayArrayInTable(Fertiliser_SourceData.Fertiliser_Products_Data5(),FertiliserProducts[[#Headers],[Company]], 121)</f>
        <v>Potassium - Generic</v>
      </c>
      <c r="T217" s="173" cm="1">
        <f t="array" ref="T217">Common_InputFunctions.Utility_DisplayArrayInTable(Fertiliser_SourceData.Fertiliser_Products_Data5(),FertiliserProducts[[#Headers],[Company]], 121)</f>
        <v>0.24</v>
      </c>
      <c r="U217" s="173" t="str" cm="1">
        <f t="array" ref="U217">Common_InputFunctions.Utility_DisplayArrayInTable(Fertiliser_SourceData.Fertiliser_Products_Data5(),FertiliserProducts[[#Headers],[Company]], 121)</f>
        <v>Sulfur - Generic</v>
      </c>
      <c r="V217" s="173" cm="1">
        <f t="array" ref="V217">Common_InputFunctions.Utility_DisplayArrayInTable(Fertiliser_SourceData.Fertiliser_Products_Data5(),FertiliserProducts[[#Headers],[Company]], 121)</f>
        <v>0.04</v>
      </c>
      <c r="W217" s="173" t="str" cm="1">
        <f t="array" ref="W217">Common_InputFunctions.Utility_DisplayArrayInTable(Fertiliser_SourceData.Fertiliser_Products_Data5(),FertiliserProducts[[#Headers],[Company]], 121)</f>
        <v/>
      </c>
      <c r="X217" s="173" t="str" cm="1">
        <f t="array" ref="X217">Common_InputFunctions.Utility_DisplayArrayInTable(Fertiliser_SourceData.Fertiliser_Products_Data5(),FertiliserProducts[[#Headers],[Company]], 121)</f>
        <v/>
      </c>
      <c r="Y217" s="173" t="str" cm="1">
        <f t="array" ref="Y217">Common_InputFunctions.Utility_DisplayArrayInTable(Fertiliser_SourceData.Fertiliser_Products_Data5(),FertiliserProducts[[#Headers],[Company]], 121)</f>
        <v/>
      </c>
      <c r="Z217" s="173" t="str" cm="1">
        <f t="array" ref="Z217">Common_InputFunctions.Utility_DisplayArrayInTable(Fertiliser_SourceData.Fertiliser_Products_Data5(),FertiliserProducts[[#Headers],[Company]], 121)</f>
        <v/>
      </c>
      <c r="AA217" s="173" t="str" cm="1">
        <f t="array" ref="AA217">Common_InputFunctions.Utility_DisplayArrayInTable(Fertiliser_SourceData.Fertiliser_Products_Data5(),FertiliserProducts[[#Headers],[Company]], 121)</f>
        <v/>
      </c>
      <c r="AB217" s="173" t="str" cm="1">
        <f t="array" ref="AB217">Common_InputFunctions.Utility_DisplayArrayInTable(Fertiliser_SourceData.Fertiliser_Products_Data5(),FertiliserProducts[[#Headers],[Company]], 121)</f>
        <v/>
      </c>
      <c r="AC217" s="173" t="str" cm="1">
        <f t="array" ref="AC217">Common_InputFunctions.Utility_DisplayArrayInTable(Fertiliser_SourceData.Fertiliser_Products_Data5(),FertiliserProducts[[#Headers],[Company]], 121)</f>
        <v/>
      </c>
      <c r="AD217" s="173" t="str" cm="1">
        <f t="array" ref="AD217">Common_InputFunctions.Utility_DisplayArrayInTable(Fertiliser_SourceData.Fertiliser_Products_Data5(),FertiliserProducts[[#Headers],[Company]], 121)</f>
        <v/>
      </c>
      <c r="AE217" s="173" t="str" cm="1">
        <f t="array" ref="AE217">Common_InputFunctions.Utility_DisplayArrayInTable(Fertiliser_SourceData.Fertiliser_Products_Data5(),FertiliserProducts[[#Headers],[Company]], 121)</f>
        <v/>
      </c>
      <c r="AF217" s="173" t="str" cm="1">
        <f t="array" ref="AF217">Common_InputFunctions.Utility_DisplayArrayInTable(Fertiliser_SourceData.Fertiliser_Products_Data5(),FertiliserProducts[[#Headers],[Company]], 121)</f>
        <v/>
      </c>
      <c r="AG217" s="173" t="str" cm="1">
        <f t="array" ref="AG217">Common_InputFunctions.Utility_DisplayArrayInTable(Fertiliser_SourceData.Fertiliser_Products_Data5(),FertiliserProducts[[#Headers],[Company]], 121)</f>
        <v/>
      </c>
      <c r="AH217" s="173" t="str" cm="1">
        <f t="array" ref="AH217">Common_InputFunctions.Utility_DisplayArrayInTable(Fertiliser_SourceData.Fertiliser_Products_Data5(),FertiliserProducts[[#Headers],[Company]], 121)</f>
        <v/>
      </c>
    </row>
    <row r="218" spans="4:34" x14ac:dyDescent="0.25">
      <c r="D218" s="173" t="str" cm="1">
        <f t="array" ref="D218">Common_InputFunctions.Utility_DisplayArrayInTable(Fertiliser_SourceData.Fertiliser_Products_Data5(),FertiliserProducts[[#Headers],[Company]], 121)</f>
        <v>Wengfu Australia</v>
      </c>
      <c r="E218" s="173" t="str" cm="1">
        <f t="array" ref="E218">Common_InputFunctions.Utility_DisplayArrayInTable(Fertiliser_SourceData.Fertiliser_Products_Data5(),FertiliserProducts[[#Headers],[Company]], 121)</f>
        <v>Wengfu MAP Hay Booster</v>
      </c>
      <c r="F218" s="173" t="str" cm="1">
        <f t="array" ref="F218">Common_InputFunctions.Utility_DisplayArrayInTable(Fertiliser_SourceData.Fertiliser_Products_Data5(),FertiliserProducts[[#Headers],[Company]], 121)</f>
        <v>kg</v>
      </c>
      <c r="G218" s="173" cm="1">
        <f t="array" ref="G218">Common_InputFunctions.Utility_DisplayArrayInTable(Fertiliser_SourceData.Fertiliser_Products_Data5(),FertiliserProducts[[#Headers],[Company]], 121)</f>
        <v>1</v>
      </c>
      <c r="H218" s="173" t="str" cm="1">
        <f t="array" ref="H218">Common_InputFunctions.Utility_DisplayArrayInTable(Fertiliser_SourceData.Fertiliser_Products_Data5(),FertiliserProducts[[#Headers],[Company]], 121)</f>
        <v/>
      </c>
      <c r="I218" s="173" t="str" cm="1">
        <f t="array" ref="I218">Common_InputFunctions.Utility_DisplayArrayInTable(Fertiliser_SourceData.Fertiliser_Products_Data5(),FertiliserProducts[[#Headers],[Company]], 121)</f>
        <v/>
      </c>
      <c r="J218" s="173" t="str" cm="1">
        <f t="array" ref="J218">Common_InputFunctions.Utility_DisplayArrayInTable(Fertiliser_SourceData.Fertiliser_Products_Data5(),FertiliserProducts[[#Headers],[Company]], 121)</f>
        <v/>
      </c>
      <c r="K218" s="173" cm="1">
        <f t="array" ref="K218">Common_InputFunctions.Utility_DisplayArrayInTable(Fertiliser_SourceData.Fertiliser_Products_Data5(),FertiliserProducts[[#Headers],[Company]], 121)</f>
        <v>11</v>
      </c>
      <c r="L218" s="173" cm="1">
        <f t="array" ref="L218">Common_InputFunctions.Utility_DisplayArrayInTable(Fertiliser_SourceData.Fertiliser_Products_Data5(),FertiliserProducts[[#Headers],[Company]], 121)</f>
        <v>8</v>
      </c>
      <c r="M218" s="173" cm="1">
        <f t="array" ref="M218">Common_InputFunctions.Utility_DisplayArrayInTable(Fertiliser_SourceData.Fertiliser_Products_Data5(),FertiliserProducts[[#Headers],[Company]], 121)</f>
        <v>20</v>
      </c>
      <c r="N218" s="173" cm="1">
        <f t="array" ref="N218">Common_InputFunctions.Utility_DisplayArrayInTable(Fertiliser_SourceData.Fertiliser_Products_Data5(),FertiliserProducts[[#Headers],[Company]], 121)</f>
        <v>6</v>
      </c>
      <c r="O218" s="173" t="str" cm="1">
        <f t="array" ref="O218">Common_InputFunctions.Utility_DisplayArrayInTable(Fertiliser_SourceData.Fertiliser_Products_Data5(),FertiliserProducts[[#Headers],[Company]], 121)</f>
        <v>Nitrogen - Generic</v>
      </c>
      <c r="P218" s="173" cm="1">
        <f t="array" ref="P218">Common_InputFunctions.Utility_DisplayArrayInTable(Fertiliser_SourceData.Fertiliser_Products_Data5(),FertiliserProducts[[#Headers],[Company]], 121)</f>
        <v>0.11</v>
      </c>
      <c r="Q218" s="173" t="str" cm="1">
        <f t="array" ref="Q218">Common_InputFunctions.Utility_DisplayArrayInTable(Fertiliser_SourceData.Fertiliser_Products_Data5(),FertiliserProducts[[#Headers],[Company]], 121)</f>
        <v>Phosphorus - Generic</v>
      </c>
      <c r="R218" s="173" cm="1">
        <f t="array" ref="R218">Common_InputFunctions.Utility_DisplayArrayInTable(Fertiliser_SourceData.Fertiliser_Products_Data5(),FertiliserProducts[[#Headers],[Company]], 121)</f>
        <v>0.08</v>
      </c>
      <c r="S218" s="173" t="str" cm="1">
        <f t="array" ref="S218">Common_InputFunctions.Utility_DisplayArrayInTable(Fertiliser_SourceData.Fertiliser_Products_Data5(),FertiliserProducts[[#Headers],[Company]], 121)</f>
        <v>Potassium - Generic</v>
      </c>
      <c r="T218" s="173" cm="1">
        <f t="array" ref="T218">Common_InputFunctions.Utility_DisplayArrayInTable(Fertiliser_SourceData.Fertiliser_Products_Data5(),FertiliserProducts[[#Headers],[Company]], 121)</f>
        <v>0.2</v>
      </c>
      <c r="U218" s="173" t="str" cm="1">
        <f t="array" ref="U218">Common_InputFunctions.Utility_DisplayArrayInTable(Fertiliser_SourceData.Fertiliser_Products_Data5(),FertiliserProducts[[#Headers],[Company]], 121)</f>
        <v>Sulfur - Generic</v>
      </c>
      <c r="V218" s="173" cm="1">
        <f t="array" ref="V218">Common_InputFunctions.Utility_DisplayArrayInTable(Fertiliser_SourceData.Fertiliser_Products_Data5(),FertiliserProducts[[#Headers],[Company]], 121)</f>
        <v>0.06</v>
      </c>
      <c r="W218" s="173" t="str" cm="1">
        <f t="array" ref="W218">Common_InputFunctions.Utility_DisplayArrayInTable(Fertiliser_SourceData.Fertiliser_Products_Data5(),FertiliserProducts[[#Headers],[Company]], 121)</f>
        <v/>
      </c>
      <c r="X218" s="173" t="str" cm="1">
        <f t="array" ref="X218">Common_InputFunctions.Utility_DisplayArrayInTable(Fertiliser_SourceData.Fertiliser_Products_Data5(),FertiliserProducts[[#Headers],[Company]], 121)</f>
        <v/>
      </c>
      <c r="Y218" s="173" t="str" cm="1">
        <f t="array" ref="Y218">Common_InputFunctions.Utility_DisplayArrayInTable(Fertiliser_SourceData.Fertiliser_Products_Data5(),FertiliserProducts[[#Headers],[Company]], 121)</f>
        <v/>
      </c>
      <c r="Z218" s="173" t="str" cm="1">
        <f t="array" ref="Z218">Common_InputFunctions.Utility_DisplayArrayInTable(Fertiliser_SourceData.Fertiliser_Products_Data5(),FertiliserProducts[[#Headers],[Company]], 121)</f>
        <v/>
      </c>
      <c r="AA218" s="173" t="str" cm="1">
        <f t="array" ref="AA218">Common_InputFunctions.Utility_DisplayArrayInTable(Fertiliser_SourceData.Fertiliser_Products_Data5(),FertiliserProducts[[#Headers],[Company]], 121)</f>
        <v/>
      </c>
      <c r="AB218" s="173" t="str" cm="1">
        <f t="array" ref="AB218">Common_InputFunctions.Utility_DisplayArrayInTable(Fertiliser_SourceData.Fertiliser_Products_Data5(),FertiliserProducts[[#Headers],[Company]], 121)</f>
        <v/>
      </c>
      <c r="AC218" s="173" t="str" cm="1">
        <f t="array" ref="AC218">Common_InputFunctions.Utility_DisplayArrayInTable(Fertiliser_SourceData.Fertiliser_Products_Data5(),FertiliserProducts[[#Headers],[Company]], 121)</f>
        <v/>
      </c>
      <c r="AD218" s="173" t="str" cm="1">
        <f t="array" ref="AD218">Common_InputFunctions.Utility_DisplayArrayInTable(Fertiliser_SourceData.Fertiliser_Products_Data5(),FertiliserProducts[[#Headers],[Company]], 121)</f>
        <v/>
      </c>
      <c r="AE218" s="173" t="str" cm="1">
        <f t="array" ref="AE218">Common_InputFunctions.Utility_DisplayArrayInTable(Fertiliser_SourceData.Fertiliser_Products_Data5(),FertiliserProducts[[#Headers],[Company]], 121)</f>
        <v/>
      </c>
      <c r="AF218" s="173" t="str" cm="1">
        <f t="array" ref="AF218">Common_InputFunctions.Utility_DisplayArrayInTable(Fertiliser_SourceData.Fertiliser_Products_Data5(),FertiliserProducts[[#Headers],[Company]], 121)</f>
        <v/>
      </c>
      <c r="AG218" s="173" t="str" cm="1">
        <f t="array" ref="AG218">Common_InputFunctions.Utility_DisplayArrayInTable(Fertiliser_SourceData.Fertiliser_Products_Data5(),FertiliserProducts[[#Headers],[Company]], 121)</f>
        <v/>
      </c>
      <c r="AH218" s="173" t="str" cm="1">
        <f t="array" ref="AH218">Common_InputFunctions.Utility_DisplayArrayInTable(Fertiliser_SourceData.Fertiliser_Products_Data5(),FertiliserProducts[[#Headers],[Company]], 121)</f>
        <v/>
      </c>
    </row>
    <row r="219" spans="4:34" x14ac:dyDescent="0.25">
      <c r="D219" s="173" t="str" cm="1">
        <f t="array" ref="D219">Common_InputFunctions.Utility_DisplayArrayInTable(Fertiliser_SourceData.Fertiliser_Products_Data5(),FertiliserProducts[[#Headers],[Company]], 121)</f>
        <v>Wengfu Australia</v>
      </c>
      <c r="E219" s="173" t="str" cm="1">
        <f t="array" ref="E219">Common_InputFunctions.Utility_DisplayArrayInTable(Fertiliser_SourceData.Fertiliser_Products_Data5(),FertiliserProducts[[#Headers],[Company]], 121)</f>
        <v>Wengfu Fodder Booster</v>
      </c>
      <c r="F219" s="173" t="str" cm="1">
        <f t="array" ref="F219">Common_InputFunctions.Utility_DisplayArrayInTable(Fertiliser_SourceData.Fertiliser_Products_Data5(),FertiliserProducts[[#Headers],[Company]], 121)</f>
        <v>kg</v>
      </c>
      <c r="G219" s="173" cm="1">
        <f t="array" ref="G219">Common_InputFunctions.Utility_DisplayArrayInTable(Fertiliser_SourceData.Fertiliser_Products_Data5(),FertiliserProducts[[#Headers],[Company]], 121)</f>
        <v>1</v>
      </c>
      <c r="H219" s="173" t="str" cm="1">
        <f t="array" ref="H219">Common_InputFunctions.Utility_DisplayArrayInTable(Fertiliser_SourceData.Fertiliser_Products_Data5(),FertiliserProducts[[#Headers],[Company]], 121)</f>
        <v/>
      </c>
      <c r="I219" s="173" t="str" cm="1">
        <f t="array" ref="I219">Common_InputFunctions.Utility_DisplayArrayInTable(Fertiliser_SourceData.Fertiliser_Products_Data5(),FertiliserProducts[[#Headers],[Company]], 121)</f>
        <v/>
      </c>
      <c r="J219" s="173" t="str" cm="1">
        <f t="array" ref="J219">Common_InputFunctions.Utility_DisplayArrayInTable(Fertiliser_SourceData.Fertiliser_Products_Data5(),FertiliserProducts[[#Headers],[Company]], 121)</f>
        <v/>
      </c>
      <c r="K219" s="173" cm="1">
        <f t="array" ref="K219">Common_InputFunctions.Utility_DisplayArrayInTable(Fertiliser_SourceData.Fertiliser_Products_Data5(),FertiliserProducts[[#Headers],[Company]], 121)</f>
        <v>9</v>
      </c>
      <c r="L219" s="173" cm="1">
        <f t="array" ref="L219">Common_InputFunctions.Utility_DisplayArrayInTable(Fertiliser_SourceData.Fertiliser_Products_Data5(),FertiliserProducts[[#Headers],[Company]], 121)</f>
        <v>4</v>
      </c>
      <c r="M219" s="173" cm="1">
        <f t="array" ref="M219">Common_InputFunctions.Utility_DisplayArrayInTable(Fertiliser_SourceData.Fertiliser_Products_Data5(),FertiliserProducts[[#Headers],[Company]], 121)</f>
        <v>5</v>
      </c>
      <c r="N219" s="173" cm="1">
        <f t="array" ref="N219">Common_InputFunctions.Utility_DisplayArrayInTable(Fertiliser_SourceData.Fertiliser_Products_Data5(),FertiliserProducts[[#Headers],[Company]], 121)</f>
        <v>15</v>
      </c>
      <c r="O219" s="173" t="str" cm="1">
        <f t="array" ref="O219">Common_InputFunctions.Utility_DisplayArrayInTable(Fertiliser_SourceData.Fertiliser_Products_Data5(),FertiliserProducts[[#Headers],[Company]], 121)</f>
        <v>Nitrogen - Generic</v>
      </c>
      <c r="P219" s="173" cm="1">
        <f t="array" ref="P219">Common_InputFunctions.Utility_DisplayArrayInTable(Fertiliser_SourceData.Fertiliser_Products_Data5(),FertiliserProducts[[#Headers],[Company]], 121)</f>
        <v>0.09</v>
      </c>
      <c r="Q219" s="173" t="str" cm="1">
        <f t="array" ref="Q219">Common_InputFunctions.Utility_DisplayArrayInTable(Fertiliser_SourceData.Fertiliser_Products_Data5(),FertiliserProducts[[#Headers],[Company]], 121)</f>
        <v>Phosphorus - Generic</v>
      </c>
      <c r="R219" s="173" cm="1">
        <f t="array" ref="R219">Common_InputFunctions.Utility_DisplayArrayInTable(Fertiliser_SourceData.Fertiliser_Products_Data5(),FertiliserProducts[[#Headers],[Company]], 121)</f>
        <v>0.04</v>
      </c>
      <c r="S219" s="173" t="str" cm="1">
        <f t="array" ref="S219">Common_InputFunctions.Utility_DisplayArrayInTable(Fertiliser_SourceData.Fertiliser_Products_Data5(),FertiliserProducts[[#Headers],[Company]], 121)</f>
        <v>Potassium - Generic</v>
      </c>
      <c r="T219" s="173" cm="1">
        <f t="array" ref="T219">Common_InputFunctions.Utility_DisplayArrayInTable(Fertiliser_SourceData.Fertiliser_Products_Data5(),FertiliserProducts[[#Headers],[Company]], 121)</f>
        <v>0.05</v>
      </c>
      <c r="U219" s="173" t="str" cm="1">
        <f t="array" ref="U219">Common_InputFunctions.Utility_DisplayArrayInTable(Fertiliser_SourceData.Fertiliser_Products_Data5(),FertiliserProducts[[#Headers],[Company]], 121)</f>
        <v>Sulfur - Generic</v>
      </c>
      <c r="V219" s="173" cm="1">
        <f t="array" ref="V219">Common_InputFunctions.Utility_DisplayArrayInTable(Fertiliser_SourceData.Fertiliser_Products_Data5(),FertiliserProducts[[#Headers],[Company]], 121)</f>
        <v>0.15</v>
      </c>
      <c r="W219" s="173" t="str" cm="1">
        <f t="array" ref="W219">Common_InputFunctions.Utility_DisplayArrayInTable(Fertiliser_SourceData.Fertiliser_Products_Data5(),FertiliserProducts[[#Headers],[Company]], 121)</f>
        <v/>
      </c>
      <c r="X219" s="173" t="str" cm="1">
        <f t="array" ref="X219">Common_InputFunctions.Utility_DisplayArrayInTable(Fertiliser_SourceData.Fertiliser_Products_Data5(),FertiliserProducts[[#Headers],[Company]], 121)</f>
        <v/>
      </c>
      <c r="Y219" s="173" t="str" cm="1">
        <f t="array" ref="Y219">Common_InputFunctions.Utility_DisplayArrayInTable(Fertiliser_SourceData.Fertiliser_Products_Data5(),FertiliserProducts[[#Headers],[Company]], 121)</f>
        <v/>
      </c>
      <c r="Z219" s="173" t="str" cm="1">
        <f t="array" ref="Z219">Common_InputFunctions.Utility_DisplayArrayInTable(Fertiliser_SourceData.Fertiliser_Products_Data5(),FertiliserProducts[[#Headers],[Company]], 121)</f>
        <v/>
      </c>
      <c r="AA219" s="173" t="str" cm="1">
        <f t="array" ref="AA219">Common_InputFunctions.Utility_DisplayArrayInTable(Fertiliser_SourceData.Fertiliser_Products_Data5(),FertiliserProducts[[#Headers],[Company]], 121)</f>
        <v/>
      </c>
      <c r="AB219" s="173" t="str" cm="1">
        <f t="array" ref="AB219">Common_InputFunctions.Utility_DisplayArrayInTable(Fertiliser_SourceData.Fertiliser_Products_Data5(),FertiliserProducts[[#Headers],[Company]], 121)</f>
        <v/>
      </c>
      <c r="AC219" s="173" t="str" cm="1">
        <f t="array" ref="AC219">Common_InputFunctions.Utility_DisplayArrayInTable(Fertiliser_SourceData.Fertiliser_Products_Data5(),FertiliserProducts[[#Headers],[Company]], 121)</f>
        <v/>
      </c>
      <c r="AD219" s="173" t="str" cm="1">
        <f t="array" ref="AD219">Common_InputFunctions.Utility_DisplayArrayInTable(Fertiliser_SourceData.Fertiliser_Products_Data5(),FertiliserProducts[[#Headers],[Company]], 121)</f>
        <v/>
      </c>
      <c r="AE219" s="173" t="str" cm="1">
        <f t="array" ref="AE219">Common_InputFunctions.Utility_DisplayArrayInTable(Fertiliser_SourceData.Fertiliser_Products_Data5(),FertiliserProducts[[#Headers],[Company]], 121)</f>
        <v/>
      </c>
      <c r="AF219" s="173" t="str" cm="1">
        <f t="array" ref="AF219">Common_InputFunctions.Utility_DisplayArrayInTable(Fertiliser_SourceData.Fertiliser_Products_Data5(),FertiliserProducts[[#Headers],[Company]], 121)</f>
        <v/>
      </c>
      <c r="AG219" s="173" t="str" cm="1">
        <f t="array" ref="AG219">Common_InputFunctions.Utility_DisplayArrayInTable(Fertiliser_SourceData.Fertiliser_Products_Data5(),FertiliserProducts[[#Headers],[Company]], 121)</f>
        <v/>
      </c>
      <c r="AH219" s="173" t="str" cm="1">
        <f t="array" ref="AH219">Common_InputFunctions.Utility_DisplayArrayInTable(Fertiliser_SourceData.Fertiliser_Products_Data5(),FertiliserProducts[[#Headers],[Company]], 121)</f>
        <v/>
      </c>
    </row>
    <row r="220" spans="4:34" x14ac:dyDescent="0.25">
      <c r="D220" s="173" t="str" cm="1">
        <f t="array" ref="D220">Common_InputFunctions.Utility_DisplayArrayInTable(Fertiliser_SourceData.Fertiliser_Products_Data5(),FertiliserProducts[[#Headers],[Company]], 121)</f>
        <v>CSBP</v>
      </c>
      <c r="E220" s="173" t="str" cm="1">
        <f t="array" ref="E220">Common_InputFunctions.Utility_DisplayArrayInTable(Fertiliser_SourceData.Fertiliser_Products_Data5(),FertiliserProducts[[#Headers],[Company]], 121)</f>
        <v>K-Till Extra</v>
      </c>
      <c r="F220" s="173" t="str" cm="1">
        <f t="array" ref="F220">Common_InputFunctions.Utility_DisplayArrayInTable(Fertiliser_SourceData.Fertiliser_Products_Data5(),FertiliserProducts[[#Headers],[Company]], 121)</f>
        <v>kg</v>
      </c>
      <c r="G220" s="173" cm="1">
        <f t="array" ref="G220">Common_InputFunctions.Utility_DisplayArrayInTable(Fertiliser_SourceData.Fertiliser_Products_Data5(),FertiliserProducts[[#Headers],[Company]], 121)</f>
        <v>1</v>
      </c>
      <c r="H220" s="173" t="str" cm="1">
        <f t="array" ref="H220">Common_InputFunctions.Utility_DisplayArrayInTable(Fertiliser_SourceData.Fertiliser_Products_Data5(),FertiliserProducts[[#Headers],[Company]], 121)</f>
        <v/>
      </c>
      <c r="I220" s="173" t="str" cm="1">
        <f t="array" ref="I220">Common_InputFunctions.Utility_DisplayArrayInTable(Fertiliser_SourceData.Fertiliser_Products_Data5(),FertiliserProducts[[#Headers],[Company]], 121)</f>
        <v/>
      </c>
      <c r="J220" s="173" t="str" cm="1">
        <f t="array" ref="J220">Common_InputFunctions.Utility_DisplayArrayInTable(Fertiliser_SourceData.Fertiliser_Products_Data5(),FertiliserProducts[[#Headers],[Company]], 121)</f>
        <v/>
      </c>
      <c r="K220" s="173" cm="1">
        <f t="array" ref="K220">Common_InputFunctions.Utility_DisplayArrayInTable(Fertiliser_SourceData.Fertiliser_Products_Data5(),FertiliserProducts[[#Headers],[Company]], 121)</f>
        <v>10.73</v>
      </c>
      <c r="L220" s="173" cm="1">
        <f t="array" ref="L220">Common_InputFunctions.Utility_DisplayArrayInTable(Fertiliser_SourceData.Fertiliser_Products_Data5(),FertiliserProducts[[#Headers],[Company]], 121)</f>
        <v>10.95</v>
      </c>
      <c r="M220" s="173" cm="1">
        <f t="array" ref="M220">Common_InputFunctions.Utility_DisplayArrayInTable(Fertiliser_SourceData.Fertiliser_Products_Data5(),FertiliserProducts[[#Headers],[Company]], 121)</f>
        <v>11.35</v>
      </c>
      <c r="N220" s="173" cm="1">
        <f t="array" ref="N220">Common_InputFunctions.Utility_DisplayArrayInTable(Fertiliser_SourceData.Fertiliser_Products_Data5(),FertiliserProducts[[#Headers],[Company]], 121)</f>
        <v>6.55</v>
      </c>
      <c r="O220" s="173" t="str" cm="1">
        <f t="array" ref="O220">Common_InputFunctions.Utility_DisplayArrayInTable(Fertiliser_SourceData.Fertiliser_Products_Data5(),FertiliserProducts[[#Headers],[Company]], 121)</f>
        <v>Monoammonium phosphate (MAP)</v>
      </c>
      <c r="P220" s="173" cm="1">
        <f t="array" ref="P220">Common_InputFunctions.Utility_DisplayArrayInTable(Fertiliser_SourceData.Fertiliser_Products_Data5(),FertiliserProducts[[#Headers],[Company]], 121)</f>
        <v>0.5</v>
      </c>
      <c r="Q220" s="173" t="str" cm="1">
        <f t="array" ref="Q220">Common_InputFunctions.Utility_DisplayArrayInTable(Fertiliser_SourceData.Fertiliser_Products_Data5(),FertiliserProducts[[#Headers],[Company]], 121)</f>
        <v>Sulphate of ammonia (SOA)</v>
      </c>
      <c r="R220" s="173" cm="1">
        <f t="array" ref="R220">Common_InputFunctions.Utility_DisplayArrayInTable(Fertiliser_SourceData.Fertiliser_Products_Data5(),FertiliserProducts[[#Headers],[Company]], 121)</f>
        <v>0.27300000000000002</v>
      </c>
      <c r="S220" s="173" t="str" cm="1">
        <f t="array" ref="S220">Common_InputFunctions.Utility_DisplayArrayInTable(Fertiliser_SourceData.Fertiliser_Products_Data5(),FertiliserProducts[[#Headers],[Company]], 121)</f>
        <v>Muriate of potash (MOP)</v>
      </c>
      <c r="T220" s="173" cm="1">
        <f t="array" ref="T220">Common_InputFunctions.Utility_DisplayArrayInTable(Fertiliser_SourceData.Fertiliser_Products_Data5(),FertiliserProducts[[#Headers],[Company]], 121)</f>
        <v>0.22700000000000001</v>
      </c>
      <c r="U220" s="173" t="str" cm="1">
        <f t="array" ref="U220">Common_InputFunctions.Utility_DisplayArrayInTable(Fertiliser_SourceData.Fertiliser_Products_Data5(),FertiliserProducts[[#Headers],[Company]], 121)</f>
        <v>Copper</v>
      </c>
      <c r="V220" s="173" t="str" cm="1">
        <f t="array" ref="V220">Common_InputFunctions.Utility_DisplayArrayInTable(Fertiliser_SourceData.Fertiliser_Products_Data5(),FertiliserProducts[[#Headers],[Company]], 121)</f>
        <v>No data</v>
      </c>
      <c r="W220" s="173" t="str" cm="1">
        <f t="array" ref="W220">Common_InputFunctions.Utility_DisplayArrayInTable(Fertiliser_SourceData.Fertiliser_Products_Data5(),FertiliserProducts[[#Headers],[Company]], 121)</f>
        <v>Zinc</v>
      </c>
      <c r="X220" s="173" t="str" cm="1">
        <f t="array" ref="X220">Common_InputFunctions.Utility_DisplayArrayInTable(Fertiliser_SourceData.Fertiliser_Products_Data5(),FertiliserProducts[[#Headers],[Company]], 121)</f>
        <v>No data</v>
      </c>
      <c r="Y220" s="173" t="str" cm="1">
        <f t="array" ref="Y220">Common_InputFunctions.Utility_DisplayArrayInTable(Fertiliser_SourceData.Fertiliser_Products_Data5(),FertiliserProducts[[#Headers],[Company]], 121)</f>
        <v/>
      </c>
      <c r="Z220" s="173" t="str" cm="1">
        <f t="array" ref="Z220">Common_InputFunctions.Utility_DisplayArrayInTable(Fertiliser_SourceData.Fertiliser_Products_Data5(),FertiliserProducts[[#Headers],[Company]], 121)</f>
        <v/>
      </c>
      <c r="AA220" s="173" t="str" cm="1">
        <f t="array" ref="AA220">Common_InputFunctions.Utility_DisplayArrayInTable(Fertiliser_SourceData.Fertiliser_Products_Data5(),FertiliserProducts[[#Headers],[Company]], 121)</f>
        <v/>
      </c>
      <c r="AB220" s="173" t="str" cm="1">
        <f t="array" ref="AB220">Common_InputFunctions.Utility_DisplayArrayInTable(Fertiliser_SourceData.Fertiliser_Products_Data5(),FertiliserProducts[[#Headers],[Company]], 121)</f>
        <v/>
      </c>
      <c r="AC220" s="173" t="str" cm="1">
        <f t="array" ref="AC220">Common_InputFunctions.Utility_DisplayArrayInTable(Fertiliser_SourceData.Fertiliser_Products_Data5(),FertiliserProducts[[#Headers],[Company]], 121)</f>
        <v/>
      </c>
      <c r="AD220" s="173" t="str" cm="1">
        <f t="array" ref="AD220">Common_InputFunctions.Utility_DisplayArrayInTable(Fertiliser_SourceData.Fertiliser_Products_Data5(),FertiliserProducts[[#Headers],[Company]], 121)</f>
        <v/>
      </c>
      <c r="AE220" s="173" t="str" cm="1">
        <f t="array" ref="AE220">Common_InputFunctions.Utility_DisplayArrayInTable(Fertiliser_SourceData.Fertiliser_Products_Data5(),FertiliserProducts[[#Headers],[Company]], 121)</f>
        <v/>
      </c>
      <c r="AF220" s="173" t="str" cm="1">
        <f t="array" ref="AF220">Common_InputFunctions.Utility_DisplayArrayInTable(Fertiliser_SourceData.Fertiliser_Products_Data5(),FertiliserProducts[[#Headers],[Company]], 121)</f>
        <v/>
      </c>
      <c r="AG220" s="173" t="str" cm="1">
        <f t="array" ref="AG220">Common_InputFunctions.Utility_DisplayArrayInTable(Fertiliser_SourceData.Fertiliser_Products_Data5(),FertiliserProducts[[#Headers],[Company]], 121)</f>
        <v/>
      </c>
      <c r="AH220" s="173" t="str" cm="1">
        <f t="array" ref="AH220">Common_InputFunctions.Utility_DisplayArrayInTable(Fertiliser_SourceData.Fertiliser_Products_Data5(),FertiliserProducts[[#Headers],[Company]], 121)</f>
        <v/>
      </c>
    </row>
    <row r="221" spans="4:34" x14ac:dyDescent="0.25">
      <c r="D221" s="173" t="str" cm="1">
        <f t="array" ref="D221">Common_InputFunctions.Utility_DisplayArrayInTable(Fertiliser_SourceData.Fertiliser_Products_Data5(),FertiliserProducts[[#Headers],[Company]], 121)</f>
        <v>CSBP</v>
      </c>
      <c r="E221" s="173" t="str" cm="1">
        <f t="array" ref="E221">Common_InputFunctions.Utility_DisplayArrayInTable(Fertiliser_SourceData.Fertiliser_Products_Data5(),FertiliserProducts[[#Headers],[Company]], 121)</f>
        <v>Agras Extra</v>
      </c>
      <c r="F221" s="173" t="str" cm="1">
        <f t="array" ref="F221">Common_InputFunctions.Utility_DisplayArrayInTable(Fertiliser_SourceData.Fertiliser_Products_Data5(),FertiliserProducts[[#Headers],[Company]], 121)</f>
        <v>kg</v>
      </c>
      <c r="G221" s="173" cm="1">
        <f t="array" ref="G221">Common_InputFunctions.Utility_DisplayArrayInTable(Fertiliser_SourceData.Fertiliser_Products_Data5(),FertiliserProducts[[#Headers],[Company]], 121)</f>
        <v>1</v>
      </c>
      <c r="H221" s="173" t="str" cm="1">
        <f t="array" ref="H221">Common_InputFunctions.Utility_DisplayArrayInTable(Fertiliser_SourceData.Fertiliser_Products_Data5(),FertiliserProducts[[#Headers],[Company]], 121)</f>
        <v/>
      </c>
      <c r="I221" s="173" t="str" cm="1">
        <f t="array" ref="I221">Common_InputFunctions.Utility_DisplayArrayInTable(Fertiliser_SourceData.Fertiliser_Products_Data5(),FertiliserProducts[[#Headers],[Company]], 121)</f>
        <v/>
      </c>
      <c r="J221" s="173" t="str" cm="1">
        <f t="array" ref="J221">Common_InputFunctions.Utility_DisplayArrayInTable(Fertiliser_SourceData.Fertiliser_Products_Data5(),FertiliserProducts[[#Headers],[Company]], 121)</f>
        <v/>
      </c>
      <c r="K221" s="173" cm="1">
        <f t="array" ref="K221">Common_InputFunctions.Utility_DisplayArrayInTable(Fertiliser_SourceData.Fertiliser_Products_Data5(),FertiliserProducts[[#Headers],[Company]], 121)</f>
        <v>16.95</v>
      </c>
      <c r="L221" s="173" cm="1">
        <f t="array" ref="L221">Common_InputFunctions.Utility_DisplayArrayInTable(Fertiliser_SourceData.Fertiliser_Products_Data5(),FertiliserProducts[[#Headers],[Company]], 121)</f>
        <v>8.06</v>
      </c>
      <c r="M221" s="173" t="str" cm="1">
        <f t="array" ref="M221">Common_InputFunctions.Utility_DisplayArrayInTable(Fertiliser_SourceData.Fertiliser_Products_Data5(),FertiliserProducts[[#Headers],[Company]], 121)</f>
        <v/>
      </c>
      <c r="N221" s="173" cm="1">
        <f t="array" ref="N221">Common_InputFunctions.Utility_DisplayArrayInTable(Fertiliser_SourceData.Fertiliser_Products_Data5(),FertiliserProducts[[#Headers],[Company]], 121)</f>
        <v>15.17</v>
      </c>
      <c r="O221" s="173" t="str" cm="1">
        <f t="array" ref="O221">Common_InputFunctions.Utility_DisplayArrayInTable(Fertiliser_SourceData.Fertiliser_Products_Data5(),FertiliserProducts[[#Headers],[Company]], 121)</f>
        <v>Sulphate of ammonia (SOA)</v>
      </c>
      <c r="P221" s="173" cm="1">
        <f t="array" ref="P221">Common_InputFunctions.Utility_DisplayArrayInTable(Fertiliser_SourceData.Fertiliser_Products_Data5(),FertiliserProducts[[#Headers],[Company]], 121)</f>
        <v>0.63200000000000001</v>
      </c>
      <c r="Q221" s="173" t="str" cm="1">
        <f t="array" ref="Q221">Common_InputFunctions.Utility_DisplayArrayInTable(Fertiliser_SourceData.Fertiliser_Products_Data5(),FertiliserProducts[[#Headers],[Company]], 121)</f>
        <v>Monoammonium phosphate (MAP)</v>
      </c>
      <c r="R221" s="173" cm="1">
        <f t="array" ref="R221">Common_InputFunctions.Utility_DisplayArrayInTable(Fertiliser_SourceData.Fertiliser_Products_Data5(),FertiliserProducts[[#Headers],[Company]], 121)</f>
        <v>0.36799999999999999</v>
      </c>
      <c r="S221" s="173" t="str" cm="1">
        <f t="array" ref="S221">Common_InputFunctions.Utility_DisplayArrayInTable(Fertiliser_SourceData.Fertiliser_Products_Data5(),FertiliserProducts[[#Headers],[Company]], 121)</f>
        <v>Zinc</v>
      </c>
      <c r="T221" s="173" t="str" cm="1">
        <f t="array" ref="T221">Common_InputFunctions.Utility_DisplayArrayInTable(Fertiliser_SourceData.Fertiliser_Products_Data5(),FertiliserProducts[[#Headers],[Company]], 121)</f>
        <v>No data</v>
      </c>
      <c r="U221" s="173" t="str" cm="1">
        <f t="array" ref="U221">Common_InputFunctions.Utility_DisplayArrayInTable(Fertiliser_SourceData.Fertiliser_Products_Data5(),FertiliserProducts[[#Headers],[Company]], 121)</f>
        <v>Copper</v>
      </c>
      <c r="V221" s="173" t="str" cm="1">
        <f t="array" ref="V221">Common_InputFunctions.Utility_DisplayArrayInTable(Fertiliser_SourceData.Fertiliser_Products_Data5(),FertiliserProducts[[#Headers],[Company]], 121)</f>
        <v>No data</v>
      </c>
      <c r="W221" s="173" t="str" cm="1">
        <f t="array" ref="W221">Common_InputFunctions.Utility_DisplayArrayInTable(Fertiliser_SourceData.Fertiliser_Products_Data5(),FertiliserProducts[[#Headers],[Company]], 121)</f>
        <v>Molybdenum</v>
      </c>
      <c r="X221" s="173" t="str" cm="1">
        <f t="array" ref="X221">Common_InputFunctions.Utility_DisplayArrayInTable(Fertiliser_SourceData.Fertiliser_Products_Data5(),FertiliserProducts[[#Headers],[Company]], 121)</f>
        <v>No data</v>
      </c>
      <c r="Y221" s="173" t="str" cm="1">
        <f t="array" ref="Y221">Common_InputFunctions.Utility_DisplayArrayInTable(Fertiliser_SourceData.Fertiliser_Products_Data5(),FertiliserProducts[[#Headers],[Company]], 121)</f>
        <v>Cobalt</v>
      </c>
      <c r="Z221" s="173" t="str" cm="1">
        <f t="array" ref="Z221">Common_InputFunctions.Utility_DisplayArrayInTable(Fertiliser_SourceData.Fertiliser_Products_Data5(),FertiliserProducts[[#Headers],[Company]], 121)</f>
        <v>No data</v>
      </c>
      <c r="AA221" s="173" t="str" cm="1">
        <f t="array" ref="AA221">Common_InputFunctions.Utility_DisplayArrayInTable(Fertiliser_SourceData.Fertiliser_Products_Data5(),FertiliserProducts[[#Headers],[Company]], 121)</f>
        <v/>
      </c>
      <c r="AB221" s="173" t="str" cm="1">
        <f t="array" ref="AB221">Common_InputFunctions.Utility_DisplayArrayInTable(Fertiliser_SourceData.Fertiliser_Products_Data5(),FertiliserProducts[[#Headers],[Company]], 121)</f>
        <v/>
      </c>
      <c r="AC221" s="173" t="str" cm="1">
        <f t="array" ref="AC221">Common_InputFunctions.Utility_DisplayArrayInTable(Fertiliser_SourceData.Fertiliser_Products_Data5(),FertiliserProducts[[#Headers],[Company]], 121)</f>
        <v/>
      </c>
      <c r="AD221" s="173" t="str" cm="1">
        <f t="array" ref="AD221">Common_InputFunctions.Utility_DisplayArrayInTable(Fertiliser_SourceData.Fertiliser_Products_Data5(),FertiliserProducts[[#Headers],[Company]], 121)</f>
        <v/>
      </c>
      <c r="AE221" s="173" t="str" cm="1">
        <f t="array" ref="AE221">Common_InputFunctions.Utility_DisplayArrayInTable(Fertiliser_SourceData.Fertiliser_Products_Data5(),FertiliserProducts[[#Headers],[Company]], 121)</f>
        <v/>
      </c>
      <c r="AF221" s="173" t="str" cm="1">
        <f t="array" ref="AF221">Common_InputFunctions.Utility_DisplayArrayInTable(Fertiliser_SourceData.Fertiliser_Products_Data5(),FertiliserProducts[[#Headers],[Company]], 121)</f>
        <v/>
      </c>
      <c r="AG221" s="173" t="str" cm="1">
        <f t="array" ref="AG221">Common_InputFunctions.Utility_DisplayArrayInTable(Fertiliser_SourceData.Fertiliser_Products_Data5(),FertiliserProducts[[#Headers],[Company]], 121)</f>
        <v/>
      </c>
      <c r="AH221" s="173" t="str" cm="1">
        <f t="array" ref="AH221">Common_InputFunctions.Utility_DisplayArrayInTable(Fertiliser_SourceData.Fertiliser_Products_Data5(),FertiliserProducts[[#Headers],[Company]], 121)</f>
        <v/>
      </c>
    </row>
    <row r="222" spans="4:34" x14ac:dyDescent="0.25">
      <c r="D222" s="173" t="str" cm="1">
        <f t="array" ref="D222">Common_InputFunctions.Utility_DisplayArrayInTable(Fertiliser_SourceData.Fertiliser_Products_Data5(),FertiliserProducts[[#Headers],[Company]], 121)</f>
        <v>CSBP</v>
      </c>
      <c r="E222" s="173" t="str" cm="1">
        <f t="array" ref="E222">Common_InputFunctions.Utility_DisplayArrayInTable(Fertiliser_SourceData.Fertiliser_Products_Data5(),FertiliserProducts[[#Headers],[Company]], 121)</f>
        <v>Super Copper Zinc Moly</v>
      </c>
      <c r="F222" s="173" t="str" cm="1">
        <f t="array" ref="F222">Common_InputFunctions.Utility_DisplayArrayInTable(Fertiliser_SourceData.Fertiliser_Products_Data5(),FertiliserProducts[[#Headers],[Company]], 121)</f>
        <v>kg</v>
      </c>
      <c r="G222" s="173" cm="1">
        <f t="array" ref="G222">Common_InputFunctions.Utility_DisplayArrayInTable(Fertiliser_SourceData.Fertiliser_Products_Data5(),FertiliserProducts[[#Headers],[Company]], 121)</f>
        <v>1</v>
      </c>
      <c r="H222" s="173" t="str" cm="1">
        <f t="array" ref="H222">Common_InputFunctions.Utility_DisplayArrayInTable(Fertiliser_SourceData.Fertiliser_Products_Data5(),FertiliserProducts[[#Headers],[Company]], 121)</f>
        <v/>
      </c>
      <c r="I222" s="173" t="str" cm="1">
        <f t="array" ref="I222">Common_InputFunctions.Utility_DisplayArrayInTable(Fertiliser_SourceData.Fertiliser_Products_Data5(),FertiliserProducts[[#Headers],[Company]], 121)</f>
        <v/>
      </c>
      <c r="J222" s="173" t="str" cm="1">
        <f t="array" ref="J222">Common_InputFunctions.Utility_DisplayArrayInTable(Fertiliser_SourceData.Fertiliser_Products_Data5(),FertiliserProducts[[#Headers],[Company]], 121)</f>
        <v/>
      </c>
      <c r="K222" s="173" t="str" cm="1">
        <f t="array" ref="K222">Common_InputFunctions.Utility_DisplayArrayInTable(Fertiliser_SourceData.Fertiliser_Products_Data5(),FertiliserProducts[[#Headers],[Company]], 121)</f>
        <v/>
      </c>
      <c r="L222" s="173" cm="1">
        <f t="array" ref="L222">Common_InputFunctions.Utility_DisplayArrayInTable(Fertiliser_SourceData.Fertiliser_Products_Data5(),FertiliserProducts[[#Headers],[Company]], 121)</f>
        <v>8.8000000000000007</v>
      </c>
      <c r="M222" s="173" t="str" cm="1">
        <f t="array" ref="M222">Common_InputFunctions.Utility_DisplayArrayInTable(Fertiliser_SourceData.Fertiliser_Products_Data5(),FertiliserProducts[[#Headers],[Company]], 121)</f>
        <v/>
      </c>
      <c r="N222" s="173" cm="1">
        <f t="array" ref="N222">Common_InputFunctions.Utility_DisplayArrayInTable(Fertiliser_SourceData.Fertiliser_Products_Data5(),FertiliserProducts[[#Headers],[Company]], 121)</f>
        <v>11</v>
      </c>
      <c r="O222" s="173" t="str" cm="1">
        <f t="array" ref="O222">Common_InputFunctions.Utility_DisplayArrayInTable(Fertiliser_SourceData.Fertiliser_Products_Data5(),FertiliserProducts[[#Headers],[Company]], 121)</f>
        <v>Single superphosphate (SSP)</v>
      </c>
      <c r="P222" s="173" cm="1">
        <f t="array" ref="P222">Common_InputFunctions.Utility_DisplayArrayInTable(Fertiliser_SourceData.Fertiliser_Products_Data5(),FertiliserProducts[[#Headers],[Company]], 121)</f>
        <v>1</v>
      </c>
      <c r="Q222" s="173" t="str" cm="1">
        <f t="array" ref="Q222">Common_InputFunctions.Utility_DisplayArrayInTable(Fertiliser_SourceData.Fertiliser_Products_Data5(),FertiliserProducts[[#Headers],[Company]], 121)</f>
        <v>Copper</v>
      </c>
      <c r="R222" s="173" cm="1">
        <f t="array" ref="R222">Common_InputFunctions.Utility_DisplayArrayInTable(Fertiliser_SourceData.Fertiliser_Products_Data5(),FertiliserProducts[[#Headers],[Company]], 121)</f>
        <v>6.0000000000000001E-3</v>
      </c>
      <c r="S222" s="173" t="str" cm="1">
        <f t="array" ref="S222">Common_InputFunctions.Utility_DisplayArrayInTable(Fertiliser_SourceData.Fertiliser_Products_Data5(),FertiliserProducts[[#Headers],[Company]], 121)</f>
        <v>Zinc</v>
      </c>
      <c r="T222" s="173" cm="1">
        <f t="array" ref="T222">Common_InputFunctions.Utility_DisplayArrayInTable(Fertiliser_SourceData.Fertiliser_Products_Data5(),FertiliserProducts[[#Headers],[Company]], 121)</f>
        <v>3.0000000000000001E-3</v>
      </c>
      <c r="U222" s="173" t="str" cm="1">
        <f t="array" ref="U222">Common_InputFunctions.Utility_DisplayArrayInTable(Fertiliser_SourceData.Fertiliser_Products_Data5(),FertiliserProducts[[#Headers],[Company]], 121)</f>
        <v>Molybdenum</v>
      </c>
      <c r="V222" s="173" cm="1">
        <f t="array" ref="V222">Common_InputFunctions.Utility_DisplayArrayInTable(Fertiliser_SourceData.Fertiliser_Products_Data5(),FertiliserProducts[[#Headers],[Company]], 121)</f>
        <v>5.9999999999999995E-4</v>
      </c>
      <c r="W222" s="173" t="str" cm="1">
        <f t="array" ref="W222">Common_InputFunctions.Utility_DisplayArrayInTable(Fertiliser_SourceData.Fertiliser_Products_Data5(),FertiliserProducts[[#Headers],[Company]], 121)</f>
        <v/>
      </c>
      <c r="X222" s="173" t="str" cm="1">
        <f t="array" ref="X222">Common_InputFunctions.Utility_DisplayArrayInTable(Fertiliser_SourceData.Fertiliser_Products_Data5(),FertiliserProducts[[#Headers],[Company]], 121)</f>
        <v/>
      </c>
      <c r="Y222" s="173" t="str" cm="1">
        <f t="array" ref="Y222">Common_InputFunctions.Utility_DisplayArrayInTable(Fertiliser_SourceData.Fertiliser_Products_Data5(),FertiliserProducts[[#Headers],[Company]], 121)</f>
        <v/>
      </c>
      <c r="Z222" s="173" t="str" cm="1">
        <f t="array" ref="Z222">Common_InputFunctions.Utility_DisplayArrayInTable(Fertiliser_SourceData.Fertiliser_Products_Data5(),FertiliserProducts[[#Headers],[Company]], 121)</f>
        <v/>
      </c>
      <c r="AA222" s="173" t="str" cm="1">
        <f t="array" ref="AA222">Common_InputFunctions.Utility_DisplayArrayInTable(Fertiliser_SourceData.Fertiliser_Products_Data5(),FertiliserProducts[[#Headers],[Company]], 121)</f>
        <v/>
      </c>
      <c r="AB222" s="173" t="str" cm="1">
        <f t="array" ref="AB222">Common_InputFunctions.Utility_DisplayArrayInTable(Fertiliser_SourceData.Fertiliser_Products_Data5(),FertiliserProducts[[#Headers],[Company]], 121)</f>
        <v/>
      </c>
      <c r="AC222" s="173" t="str" cm="1">
        <f t="array" ref="AC222">Common_InputFunctions.Utility_DisplayArrayInTable(Fertiliser_SourceData.Fertiliser_Products_Data5(),FertiliserProducts[[#Headers],[Company]], 121)</f>
        <v/>
      </c>
      <c r="AD222" s="173" t="str" cm="1">
        <f t="array" ref="AD222">Common_InputFunctions.Utility_DisplayArrayInTable(Fertiliser_SourceData.Fertiliser_Products_Data5(),FertiliserProducts[[#Headers],[Company]], 121)</f>
        <v/>
      </c>
      <c r="AE222" s="173" t="str" cm="1">
        <f t="array" ref="AE222">Common_InputFunctions.Utility_DisplayArrayInTable(Fertiliser_SourceData.Fertiliser_Products_Data5(),FertiliserProducts[[#Headers],[Company]], 121)</f>
        <v/>
      </c>
      <c r="AF222" s="173" t="str" cm="1">
        <f t="array" ref="AF222">Common_InputFunctions.Utility_DisplayArrayInTable(Fertiliser_SourceData.Fertiliser_Products_Data5(),FertiliserProducts[[#Headers],[Company]], 121)</f>
        <v/>
      </c>
      <c r="AG222" s="173" t="str" cm="1">
        <f t="array" ref="AG222">Common_InputFunctions.Utility_DisplayArrayInTable(Fertiliser_SourceData.Fertiliser_Products_Data5(),FertiliserProducts[[#Headers],[Company]], 121)</f>
        <v/>
      </c>
      <c r="AH222" s="173" t="str" cm="1">
        <f t="array" ref="AH222">Common_InputFunctions.Utility_DisplayArrayInTable(Fertiliser_SourceData.Fertiliser_Products_Data5(),FertiliserProducts[[#Headers],[Company]], 121)</f>
        <v/>
      </c>
    </row>
    <row r="223" spans="4:34" x14ac:dyDescent="0.25">
      <c r="D223" s="173" t="str" cm="1">
        <f t="array" ref="D223">Common_InputFunctions.Utility_DisplayArrayInTable(Fertiliser_SourceData.Fertiliser_Products_Data5(),FertiliserProducts[[#Headers],[Company]], 121)</f>
        <v>CSBP</v>
      </c>
      <c r="E223" s="173" t="str" cm="1">
        <f t="array" ref="E223">Common_InputFunctions.Utility_DisplayArrayInTable(Fertiliser_SourceData.Fertiliser_Products_Data5(),FertiliserProducts[[#Headers],[Company]], 121)</f>
        <v>Flexi-N</v>
      </c>
      <c r="F223" s="173" t="str" cm="1">
        <f t="array" ref="F223">Common_InputFunctions.Utility_DisplayArrayInTable(Fertiliser_SourceData.Fertiliser_Products_Data5(),FertiliserProducts[[#Headers],[Company]], 121)</f>
        <v>L</v>
      </c>
      <c r="G223" s="173" cm="1">
        <f t="array" ref="G223">Common_InputFunctions.Utility_DisplayArrayInTable(Fertiliser_SourceData.Fertiliser_Products_Data5(),FertiliserProducts[[#Headers],[Company]], 121)</f>
        <v>1.32</v>
      </c>
      <c r="H223" s="173" t="str" cm="1">
        <f t="array" ref="H223">Common_InputFunctions.Utility_DisplayArrayInTable(Fertiliser_SourceData.Fertiliser_Products_Data5(),FertiliserProducts[[#Headers],[Company]], 121)</f>
        <v/>
      </c>
      <c r="I223" s="173" t="str" cm="1">
        <f t="array" ref="I223">Common_InputFunctions.Utility_DisplayArrayInTable(Fertiliser_SourceData.Fertiliser_Products_Data5(),FertiliserProducts[[#Headers],[Company]], 121)</f>
        <v/>
      </c>
      <c r="J223" s="173" t="str" cm="1">
        <f t="array" ref="J223">Common_InputFunctions.Utility_DisplayArrayInTable(Fertiliser_SourceData.Fertiliser_Products_Data5(),FertiliserProducts[[#Headers],[Company]], 121)</f>
        <v/>
      </c>
      <c r="K223" s="173" cm="1">
        <f t="array" ref="K223">Common_InputFunctions.Utility_DisplayArrayInTable(Fertiliser_SourceData.Fertiliser_Products_Data5(),FertiliserProducts[[#Headers],[Company]], 121)</f>
        <v>32</v>
      </c>
      <c r="L223" s="173" t="str" cm="1">
        <f t="array" ref="L223">Common_InputFunctions.Utility_DisplayArrayInTable(Fertiliser_SourceData.Fertiliser_Products_Data5(),FertiliserProducts[[#Headers],[Company]], 121)</f>
        <v/>
      </c>
      <c r="M223" s="173" t="str" cm="1">
        <f t="array" ref="M223">Common_InputFunctions.Utility_DisplayArrayInTable(Fertiliser_SourceData.Fertiliser_Products_Data5(),FertiliserProducts[[#Headers],[Company]], 121)</f>
        <v/>
      </c>
      <c r="N223" s="173" t="str" cm="1">
        <f t="array" ref="N223">Common_InputFunctions.Utility_DisplayArrayInTable(Fertiliser_SourceData.Fertiliser_Products_Data5(),FertiliserProducts[[#Headers],[Company]], 121)</f>
        <v/>
      </c>
      <c r="O223" s="173" t="str" cm="1">
        <f t="array" ref="O223">Common_InputFunctions.Utility_DisplayArrayInTable(Fertiliser_SourceData.Fertiliser_Products_Data5(),FertiliserProducts[[#Headers],[Company]], 121)</f>
        <v>Urea-ammonium nitrate (UAN)</v>
      </c>
      <c r="P223" s="173" cm="1">
        <f t="array" ref="P223">Common_InputFunctions.Utility_DisplayArrayInTable(Fertiliser_SourceData.Fertiliser_Products_Data5(),FertiliserProducts[[#Headers],[Company]], 121)</f>
        <v>1</v>
      </c>
      <c r="Q223" s="173" t="str" cm="1">
        <f t="array" ref="Q223">Common_InputFunctions.Utility_DisplayArrayInTable(Fertiliser_SourceData.Fertiliser_Products_Data5(),FertiliserProducts[[#Headers],[Company]], 121)</f>
        <v/>
      </c>
      <c r="R223" s="173" t="str" cm="1">
        <f t="array" ref="R223">Common_InputFunctions.Utility_DisplayArrayInTable(Fertiliser_SourceData.Fertiliser_Products_Data5(),FertiliserProducts[[#Headers],[Company]], 121)</f>
        <v/>
      </c>
      <c r="S223" s="173" t="str" cm="1">
        <f t="array" ref="S223">Common_InputFunctions.Utility_DisplayArrayInTable(Fertiliser_SourceData.Fertiliser_Products_Data5(),FertiliserProducts[[#Headers],[Company]], 121)</f>
        <v/>
      </c>
      <c r="T223" s="173" t="str" cm="1">
        <f t="array" ref="T223">Common_InputFunctions.Utility_DisplayArrayInTable(Fertiliser_SourceData.Fertiliser_Products_Data5(),FertiliserProducts[[#Headers],[Company]], 121)</f>
        <v/>
      </c>
      <c r="U223" s="173" t="str" cm="1">
        <f t="array" ref="U223">Common_InputFunctions.Utility_DisplayArrayInTable(Fertiliser_SourceData.Fertiliser_Products_Data5(),FertiliserProducts[[#Headers],[Company]], 121)</f>
        <v/>
      </c>
      <c r="V223" s="173" t="str" cm="1">
        <f t="array" ref="V223">Common_InputFunctions.Utility_DisplayArrayInTable(Fertiliser_SourceData.Fertiliser_Products_Data5(),FertiliserProducts[[#Headers],[Company]], 121)</f>
        <v/>
      </c>
      <c r="W223" s="173" t="str" cm="1">
        <f t="array" ref="W223">Common_InputFunctions.Utility_DisplayArrayInTable(Fertiliser_SourceData.Fertiliser_Products_Data5(),FertiliserProducts[[#Headers],[Company]], 121)</f>
        <v/>
      </c>
      <c r="X223" s="173" t="str" cm="1">
        <f t="array" ref="X223">Common_InputFunctions.Utility_DisplayArrayInTable(Fertiliser_SourceData.Fertiliser_Products_Data5(),FertiliserProducts[[#Headers],[Company]], 121)</f>
        <v/>
      </c>
      <c r="Y223" s="173" t="str" cm="1">
        <f t="array" ref="Y223">Common_InputFunctions.Utility_DisplayArrayInTable(Fertiliser_SourceData.Fertiliser_Products_Data5(),FertiliserProducts[[#Headers],[Company]], 121)</f>
        <v/>
      </c>
      <c r="Z223" s="173" t="str" cm="1">
        <f t="array" ref="Z223">Common_InputFunctions.Utility_DisplayArrayInTable(Fertiliser_SourceData.Fertiliser_Products_Data5(),FertiliserProducts[[#Headers],[Company]], 121)</f>
        <v/>
      </c>
      <c r="AA223" s="173" t="str" cm="1">
        <f t="array" ref="AA223">Common_InputFunctions.Utility_DisplayArrayInTable(Fertiliser_SourceData.Fertiliser_Products_Data5(),FertiliserProducts[[#Headers],[Company]], 121)</f>
        <v/>
      </c>
      <c r="AB223" s="173" t="str" cm="1">
        <f t="array" ref="AB223">Common_InputFunctions.Utility_DisplayArrayInTable(Fertiliser_SourceData.Fertiliser_Products_Data5(),FertiliserProducts[[#Headers],[Company]], 121)</f>
        <v/>
      </c>
      <c r="AC223" s="173" t="str" cm="1">
        <f t="array" ref="AC223">Common_InputFunctions.Utility_DisplayArrayInTable(Fertiliser_SourceData.Fertiliser_Products_Data5(),FertiliserProducts[[#Headers],[Company]], 121)</f>
        <v/>
      </c>
      <c r="AD223" s="173" t="str" cm="1">
        <f t="array" ref="AD223">Common_InputFunctions.Utility_DisplayArrayInTable(Fertiliser_SourceData.Fertiliser_Products_Data5(),FertiliserProducts[[#Headers],[Company]], 121)</f>
        <v/>
      </c>
      <c r="AE223" s="173" t="str" cm="1">
        <f t="array" ref="AE223">Common_InputFunctions.Utility_DisplayArrayInTable(Fertiliser_SourceData.Fertiliser_Products_Data5(),FertiliserProducts[[#Headers],[Company]], 121)</f>
        <v/>
      </c>
      <c r="AF223" s="173" t="str" cm="1">
        <f t="array" ref="AF223">Common_InputFunctions.Utility_DisplayArrayInTable(Fertiliser_SourceData.Fertiliser_Products_Data5(),FertiliserProducts[[#Headers],[Company]], 121)</f>
        <v/>
      </c>
      <c r="AG223" s="173" t="str" cm="1">
        <f t="array" ref="AG223">Common_InputFunctions.Utility_DisplayArrayInTable(Fertiliser_SourceData.Fertiliser_Products_Data5(),FertiliserProducts[[#Headers],[Company]], 121)</f>
        <v/>
      </c>
      <c r="AH223" s="173"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1B0D4-A85E-4372-8F7A-CB22272069B0}">
  <dimension ref="A1:AI165"/>
  <sheetViews>
    <sheetView showGridLines="0" topLeftCell="A138"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540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60"/>
      <c r="F5" s="160"/>
      <c r="G5" s="160"/>
      <c r="H5" s="160"/>
      <c r="I5" s="160"/>
      <c r="J5" s="160"/>
      <c r="K5" s="160"/>
      <c r="L5" s="16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60"/>
      <c r="F6" s="160"/>
      <c r="G6" s="160"/>
      <c r="H6" s="160"/>
      <c r="I6" s="160"/>
      <c r="J6" s="160"/>
      <c r="K6" s="160"/>
      <c r="L6" s="160"/>
    </row>
    <row r="7" spans="1:35" ht="20.100000000000001" customHeight="1" x14ac:dyDescent="0.25">
      <c r="D7" s="27" t="str" cm="1">
        <f t="array" ref="D7">Fuel_SourceData.Fuel_Scope1Scope3EmissionFactorsTransport_Source()</f>
        <v>Australian National Greenhouse Accounts Factors 2025 - Table 9</v>
      </c>
      <c r="E7" s="160"/>
      <c r="F7" s="160"/>
      <c r="G7" s="160"/>
      <c r="H7" s="160"/>
      <c r="I7" s="160"/>
      <c r="J7" s="160"/>
      <c r="K7" s="160"/>
      <c r="L7" s="160"/>
    </row>
    <row r="8" spans="1:35" ht="20.100000000000001" customHeight="1" x14ac:dyDescent="0.25">
      <c r="A8" s="7" t="s">
        <v>0</v>
      </c>
      <c r="D8" s="36" t="str" cm="1">
        <f t="array" ref="D8">"⚠️" &amp; Fuel_SourceData.Fuel_Scope1Scope3EmissionFactorsTransport_Variation()</f>
        <v>⚠️VARIATION OF SOURCE DATA: 'NE' values returned as zero for calculations.</v>
      </c>
      <c r="E8" s="160"/>
      <c r="F8" s="160"/>
      <c r="G8" s="160"/>
      <c r="H8" s="160"/>
      <c r="I8" s="160"/>
      <c r="J8" s="160"/>
      <c r="K8" s="160"/>
      <c r="L8" s="160"/>
    </row>
    <row r="9" spans="1:35" ht="20.100000000000001" customHeight="1" x14ac:dyDescent="0.25">
      <c r="A9" s="5" t="str">
        <f>HYPERLINK("#'Input - Enterprise'!A1", "Enterprise")</f>
        <v>Enterprise</v>
      </c>
      <c r="D9" s="214" t="s">
        <v>541</v>
      </c>
      <c r="E9" s="214" t="s">
        <v>542</v>
      </c>
      <c r="F9" s="214" t="s">
        <v>543</v>
      </c>
      <c r="G9" s="214" t="s">
        <v>544</v>
      </c>
      <c r="H9" s="214" t="s">
        <v>545</v>
      </c>
      <c r="I9" s="214" t="s">
        <v>546</v>
      </c>
      <c r="J9" s="214" t="s">
        <v>547</v>
      </c>
      <c r="K9" s="214" t="s">
        <v>548</v>
      </c>
      <c r="L9" s="214" t="s">
        <v>549</v>
      </c>
    </row>
    <row r="10" spans="1:35" ht="20.100000000000001" customHeight="1" x14ac:dyDescent="0.25">
      <c r="A10" s="5" t="str">
        <f>HYPERLINK("#'Input - Site'!A1", "Site")</f>
        <v>Site</v>
      </c>
      <c r="D10" s="215" t="str" cm="1">
        <f t="array" ref="D10">Common_InputFunctions.Utility_DisplayArrayInTable(Fuel_SourceData.Fuel_Scope1Scope3EmissionFactorsTransport_Data(), Table_Fuel_EFs_Transport[[#Headers],[Transport type]], 0)</f>
        <v>Cars and light commercial vehicles</v>
      </c>
      <c r="E10" s="215" t="str" cm="1">
        <f t="array" ref="E10">Common_InputFunctions.Utility_DisplayArrayInTable(Fuel_SourceData.Fuel_Scope1Scope3EmissionFactorsTransport_Data(), Table_Fuel_EFs_Transport[[#Headers],[Transport type]], 0)</f>
        <v>Gasoline</v>
      </c>
      <c r="F10" s="215" cm="1">
        <f t="array" ref="F10">Common_InputFunctions.Utility_DisplayArrayInTable(Fuel_SourceData.Fuel_Scope1Scope3EmissionFactorsTransport_Data(), Table_Fuel_EFs_Transport[[#Headers],[Transport type]], 0)</f>
        <v>34.200000000000003</v>
      </c>
      <c r="G10" s="215" t="str" cm="1">
        <f t="array" ref="G10">Common_InputFunctions.Utility_DisplayArrayInTable(Fuel_SourceData.Fuel_Scope1Scope3EmissionFactorsTransport_Data(), Table_Fuel_EFs_Transport[[#Headers],[Transport type]], 0)</f>
        <v>kl</v>
      </c>
      <c r="H10" s="215" cm="1">
        <f t="array" ref="H10">Common_InputFunctions.Utility_DisplayArrayInTable(Fuel_SourceData.Fuel_Scope1Scope3EmissionFactorsTransport_Data(), Table_Fuel_EFs_Transport[[#Headers],[Transport type]], 0)</f>
        <v>67.400000000000006</v>
      </c>
      <c r="I10" s="215" cm="1">
        <f t="array" ref="I10">Common_InputFunctions.Utility_DisplayArrayInTable(Fuel_SourceData.Fuel_Scope1Scope3EmissionFactorsTransport_Data(), Table_Fuel_EFs_Transport[[#Headers],[Transport type]], 0)</f>
        <v>0.02</v>
      </c>
      <c r="J10" s="215" cm="1">
        <f t="array" ref="J10">Common_InputFunctions.Utility_DisplayArrayInTable(Fuel_SourceData.Fuel_Scope1Scope3EmissionFactorsTransport_Data(), Table_Fuel_EFs_Transport[[#Headers],[Transport type]], 0)</f>
        <v>0.2</v>
      </c>
      <c r="K10" s="215" cm="1">
        <f t="array" ref="K10">Common_InputFunctions.Utility_DisplayArrayInTable(Fuel_SourceData.Fuel_Scope1Scope3EmissionFactorsTransport_Data(), Table_Fuel_EFs_Transport[[#Headers],[Transport type]], 0)</f>
        <v>67.62</v>
      </c>
      <c r="L10" s="21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5" t="str" cm="1">
        <f t="array" ref="D11">Common_InputFunctions.Utility_DisplayArrayInTable(Fuel_SourceData.Fuel_Scope1Scope3EmissionFactorsTransport_Data(), Table_Fuel_EFs_Transport[[#Headers],[Transport type]], 0)</f>
        <v>Cars and light commercial vehicles</v>
      </c>
      <c r="E11" s="215" t="str" cm="1">
        <f t="array" ref="E11">Common_InputFunctions.Utility_DisplayArrayInTable(Fuel_SourceData.Fuel_Scope1Scope3EmissionFactorsTransport_Data(), Table_Fuel_EFs_Transport[[#Headers],[Transport type]], 0)</f>
        <v>Diesel oil</v>
      </c>
      <c r="F11" s="215" cm="1">
        <f t="array" ref="F11">Common_InputFunctions.Utility_DisplayArrayInTable(Fuel_SourceData.Fuel_Scope1Scope3EmissionFactorsTransport_Data(), Table_Fuel_EFs_Transport[[#Headers],[Transport type]], 0)</f>
        <v>38.6</v>
      </c>
      <c r="G11" s="215" t="str" cm="1">
        <f t="array" ref="G11">Common_InputFunctions.Utility_DisplayArrayInTable(Fuel_SourceData.Fuel_Scope1Scope3EmissionFactorsTransport_Data(), Table_Fuel_EFs_Transport[[#Headers],[Transport type]], 0)</f>
        <v>kl</v>
      </c>
      <c r="H11" s="215" cm="1">
        <f t="array" ref="H11">Common_InputFunctions.Utility_DisplayArrayInTable(Fuel_SourceData.Fuel_Scope1Scope3EmissionFactorsTransport_Data(), Table_Fuel_EFs_Transport[[#Headers],[Transport type]], 0)</f>
        <v>69.900000000000006</v>
      </c>
      <c r="I11" s="215" cm="1">
        <f t="array" ref="I11">Common_InputFunctions.Utility_DisplayArrayInTable(Fuel_SourceData.Fuel_Scope1Scope3EmissionFactorsTransport_Data(), Table_Fuel_EFs_Transport[[#Headers],[Transport type]], 0)</f>
        <v>0.01</v>
      </c>
      <c r="J11" s="215" cm="1">
        <f t="array" ref="J11">Common_InputFunctions.Utility_DisplayArrayInTable(Fuel_SourceData.Fuel_Scope1Scope3EmissionFactorsTransport_Data(), Table_Fuel_EFs_Transport[[#Headers],[Transport type]], 0)</f>
        <v>0.5</v>
      </c>
      <c r="K11" s="215" cm="1">
        <f t="array" ref="K11">Common_InputFunctions.Utility_DisplayArrayInTable(Fuel_SourceData.Fuel_Scope1Scope3EmissionFactorsTransport_Data(), Table_Fuel_EFs_Transport[[#Headers],[Transport type]], 0)</f>
        <v>70.41</v>
      </c>
      <c r="L11" s="21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5" t="str" cm="1">
        <f t="array" ref="D12">Common_InputFunctions.Utility_DisplayArrayInTable(Fuel_SourceData.Fuel_Scope1Scope3EmissionFactorsTransport_Data(), Table_Fuel_EFs_Transport[[#Headers],[Transport type]], 0)</f>
        <v>Cars and light commercial vehicles</v>
      </c>
      <c r="E12" s="215" t="str" cm="1">
        <f t="array" ref="E12">Common_InputFunctions.Utility_DisplayArrayInTable(Fuel_SourceData.Fuel_Scope1Scope3EmissionFactorsTransport_Data(), Table_Fuel_EFs_Transport[[#Headers],[Transport type]], 0)</f>
        <v>Liquefied petroleum gas (LPG)</v>
      </c>
      <c r="F12" s="215" cm="1">
        <f t="array" ref="F12">Common_InputFunctions.Utility_DisplayArrayInTable(Fuel_SourceData.Fuel_Scope1Scope3EmissionFactorsTransport_Data(), Table_Fuel_EFs_Transport[[#Headers],[Transport type]], 0)</f>
        <v>26.2</v>
      </c>
      <c r="G12" s="215" t="str" cm="1">
        <f t="array" ref="G12">Common_InputFunctions.Utility_DisplayArrayInTable(Fuel_SourceData.Fuel_Scope1Scope3EmissionFactorsTransport_Data(), Table_Fuel_EFs_Transport[[#Headers],[Transport type]], 0)</f>
        <v>kl</v>
      </c>
      <c r="H12" s="215" cm="1">
        <f t="array" ref="H12">Common_InputFunctions.Utility_DisplayArrayInTable(Fuel_SourceData.Fuel_Scope1Scope3EmissionFactorsTransport_Data(), Table_Fuel_EFs_Transport[[#Headers],[Transport type]], 0)</f>
        <v>60.2</v>
      </c>
      <c r="I12" s="215" cm="1">
        <f t="array" ref="I12">Common_InputFunctions.Utility_DisplayArrayInTable(Fuel_SourceData.Fuel_Scope1Scope3EmissionFactorsTransport_Data(), Table_Fuel_EFs_Transport[[#Headers],[Transport type]], 0)</f>
        <v>0.5</v>
      </c>
      <c r="J12" s="215" cm="1">
        <f t="array" ref="J12">Common_InputFunctions.Utility_DisplayArrayInTable(Fuel_SourceData.Fuel_Scope1Scope3EmissionFactorsTransport_Data(), Table_Fuel_EFs_Transport[[#Headers],[Transport type]], 0)</f>
        <v>0.3</v>
      </c>
      <c r="K12" s="215" cm="1">
        <f t="array" ref="K12">Common_InputFunctions.Utility_DisplayArrayInTable(Fuel_SourceData.Fuel_Scope1Scope3EmissionFactorsTransport_Data(), Table_Fuel_EFs_Transport[[#Headers],[Transport type]], 0)</f>
        <v>61</v>
      </c>
      <c r="L12" s="21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5" t="str" cm="1">
        <f t="array" ref="D13">Common_InputFunctions.Utility_DisplayArrayInTable(Fuel_SourceData.Fuel_Scope1Scope3EmissionFactorsTransport_Data(), Table_Fuel_EFs_Transport[[#Headers],[Transport type]], 0)</f>
        <v>Cars and light commercial vehicles</v>
      </c>
      <c r="E13" s="215" t="str" cm="1">
        <f t="array" ref="E13">Common_InputFunctions.Utility_DisplayArrayInTable(Fuel_SourceData.Fuel_Scope1Scope3EmissionFactorsTransport_Data(), Table_Fuel_EFs_Transport[[#Headers],[Transport type]], 0)</f>
        <v>Fuel oil</v>
      </c>
      <c r="F13" s="215" cm="1">
        <f t="array" ref="F13">Common_InputFunctions.Utility_DisplayArrayInTable(Fuel_SourceData.Fuel_Scope1Scope3EmissionFactorsTransport_Data(), Table_Fuel_EFs_Transport[[#Headers],[Transport type]], 0)</f>
        <v>39.700000000000003</v>
      </c>
      <c r="G13" s="215" t="str" cm="1">
        <f t="array" ref="G13">Common_InputFunctions.Utility_DisplayArrayInTable(Fuel_SourceData.Fuel_Scope1Scope3EmissionFactorsTransport_Data(), Table_Fuel_EFs_Transport[[#Headers],[Transport type]], 0)</f>
        <v>kl</v>
      </c>
      <c r="H13" s="215" cm="1">
        <f t="array" ref="H13">Common_InputFunctions.Utility_DisplayArrayInTable(Fuel_SourceData.Fuel_Scope1Scope3EmissionFactorsTransport_Data(), Table_Fuel_EFs_Transport[[#Headers],[Transport type]], 0)</f>
        <v>73.599999999999994</v>
      </c>
      <c r="I13" s="215" cm="1">
        <f t="array" ref="I13">Common_InputFunctions.Utility_DisplayArrayInTable(Fuel_SourceData.Fuel_Scope1Scope3EmissionFactorsTransport_Data(), Table_Fuel_EFs_Transport[[#Headers],[Transport type]], 0)</f>
        <v>0.08</v>
      </c>
      <c r="J13" s="215" cm="1">
        <f t="array" ref="J13">Common_InputFunctions.Utility_DisplayArrayInTable(Fuel_SourceData.Fuel_Scope1Scope3EmissionFactorsTransport_Data(), Table_Fuel_EFs_Transport[[#Headers],[Transport type]], 0)</f>
        <v>0.5</v>
      </c>
      <c r="K13" s="215" cm="1">
        <f t="array" ref="K13">Common_InputFunctions.Utility_DisplayArrayInTable(Fuel_SourceData.Fuel_Scope1Scope3EmissionFactorsTransport_Data(), Table_Fuel_EFs_Transport[[#Headers],[Transport type]], 0)</f>
        <v>74.180000000000007</v>
      </c>
      <c r="L13" s="21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5" t="str" cm="1">
        <f t="array" ref="D14">Common_InputFunctions.Utility_DisplayArrayInTable(Fuel_SourceData.Fuel_Scope1Scope3EmissionFactorsTransport_Data(), Table_Fuel_EFs_Transport[[#Headers],[Transport type]], 0)</f>
        <v>Cars and light commercial vehicles</v>
      </c>
      <c r="E14" s="215" t="str" cm="1">
        <f t="array" ref="E14">Common_InputFunctions.Utility_DisplayArrayInTable(Fuel_SourceData.Fuel_Scope1Scope3EmissionFactorsTransport_Data(), Table_Fuel_EFs_Transport[[#Headers],[Transport type]], 0)</f>
        <v>Ethanol</v>
      </c>
      <c r="F14" s="215" cm="1">
        <f t="array" ref="F14">Common_InputFunctions.Utility_DisplayArrayInTable(Fuel_SourceData.Fuel_Scope1Scope3EmissionFactorsTransport_Data(), Table_Fuel_EFs_Transport[[#Headers],[Transport type]], 0)</f>
        <v>23.4</v>
      </c>
      <c r="G14" s="215" t="str" cm="1">
        <f t="array" ref="G14">Common_InputFunctions.Utility_DisplayArrayInTable(Fuel_SourceData.Fuel_Scope1Scope3EmissionFactorsTransport_Data(), Table_Fuel_EFs_Transport[[#Headers],[Transport type]], 0)</f>
        <v>kl</v>
      </c>
      <c r="H14" s="215" cm="1">
        <f t="array" ref="H14">Common_InputFunctions.Utility_DisplayArrayInTable(Fuel_SourceData.Fuel_Scope1Scope3EmissionFactorsTransport_Data(), Table_Fuel_EFs_Transport[[#Headers],[Transport type]], 0)</f>
        <v>0</v>
      </c>
      <c r="I14" s="215" cm="1">
        <f t="array" ref="I14">Common_InputFunctions.Utility_DisplayArrayInTable(Fuel_SourceData.Fuel_Scope1Scope3EmissionFactorsTransport_Data(), Table_Fuel_EFs_Transport[[#Headers],[Transport type]], 0)</f>
        <v>0.2</v>
      </c>
      <c r="J14" s="215" cm="1">
        <f t="array" ref="J14">Common_InputFunctions.Utility_DisplayArrayInTable(Fuel_SourceData.Fuel_Scope1Scope3EmissionFactorsTransport_Data(), Table_Fuel_EFs_Transport[[#Headers],[Transport type]], 0)</f>
        <v>0.2</v>
      </c>
      <c r="K14" s="215" cm="1">
        <f t="array" ref="K14">Common_InputFunctions.Utility_DisplayArrayInTable(Fuel_SourceData.Fuel_Scope1Scope3EmissionFactorsTransport_Data(), Table_Fuel_EFs_Transport[[#Headers],[Transport type]], 0)</f>
        <v>0.4</v>
      </c>
      <c r="L14" s="21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5" t="str" cm="1">
        <f t="array" ref="D15">Common_InputFunctions.Utility_DisplayArrayInTable(Fuel_SourceData.Fuel_Scope1Scope3EmissionFactorsTransport_Data(), Table_Fuel_EFs_Transport[[#Headers],[Transport type]], 0)</f>
        <v>Cars and light commercial vehicles</v>
      </c>
      <c r="E15" s="215" t="str" cm="1">
        <f t="array" ref="E15">Common_InputFunctions.Utility_DisplayArrayInTable(Fuel_SourceData.Fuel_Scope1Scope3EmissionFactorsTransport_Data(), Table_Fuel_EFs_Transport[[#Headers],[Transport type]], 0)</f>
        <v>Biodiesel</v>
      </c>
      <c r="F15" s="215" cm="1">
        <f t="array" ref="F15">Common_InputFunctions.Utility_DisplayArrayInTable(Fuel_SourceData.Fuel_Scope1Scope3EmissionFactorsTransport_Data(), Table_Fuel_EFs_Transport[[#Headers],[Transport type]], 0)</f>
        <v>34.6</v>
      </c>
      <c r="G15" s="215" t="str" cm="1">
        <f t="array" ref="G15">Common_InputFunctions.Utility_DisplayArrayInTable(Fuel_SourceData.Fuel_Scope1Scope3EmissionFactorsTransport_Data(), Table_Fuel_EFs_Transport[[#Headers],[Transport type]], 0)</f>
        <v>kl</v>
      </c>
      <c r="H15" s="215" cm="1">
        <f t="array" ref="H15">Common_InputFunctions.Utility_DisplayArrayInTable(Fuel_SourceData.Fuel_Scope1Scope3EmissionFactorsTransport_Data(), Table_Fuel_EFs_Transport[[#Headers],[Transport type]], 0)</f>
        <v>0</v>
      </c>
      <c r="I15" s="215" cm="1">
        <f t="array" ref="I15">Common_InputFunctions.Utility_DisplayArrayInTable(Fuel_SourceData.Fuel_Scope1Scope3EmissionFactorsTransport_Data(), Table_Fuel_EFs_Transport[[#Headers],[Transport type]], 0)</f>
        <v>0.8</v>
      </c>
      <c r="J15" s="215" cm="1">
        <f t="array" ref="J15">Common_InputFunctions.Utility_DisplayArrayInTable(Fuel_SourceData.Fuel_Scope1Scope3EmissionFactorsTransport_Data(), Table_Fuel_EFs_Transport[[#Headers],[Transport type]], 0)</f>
        <v>1.7</v>
      </c>
      <c r="K15" s="215" cm="1">
        <f t="array" ref="K15">Common_InputFunctions.Utility_DisplayArrayInTable(Fuel_SourceData.Fuel_Scope1Scope3EmissionFactorsTransport_Data(), Table_Fuel_EFs_Transport[[#Headers],[Transport type]], 0)</f>
        <v>2.5</v>
      </c>
      <c r="L15" s="215"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215" t="str" cm="1">
        <f t="array" ref="D16">Common_InputFunctions.Utility_DisplayArrayInTable(Fuel_SourceData.Fuel_Scope1Scope3EmissionFactorsTransport_Data(), Table_Fuel_EFs_Transport[[#Headers],[Transport type]], 0)</f>
        <v>Cars and light commercial vehicles</v>
      </c>
      <c r="E16" s="215" t="str" cm="1">
        <f t="array" ref="E16">Common_InputFunctions.Utility_DisplayArrayInTable(Fuel_SourceData.Fuel_Scope1Scope3EmissionFactorsTransport_Data(), Table_Fuel_EFs_Transport[[#Headers],[Transport type]], 0)</f>
        <v>Renewable diesel</v>
      </c>
      <c r="F16" s="215" cm="1">
        <f t="array" ref="F16">Common_InputFunctions.Utility_DisplayArrayInTable(Fuel_SourceData.Fuel_Scope1Scope3EmissionFactorsTransport_Data(), Table_Fuel_EFs_Transport[[#Headers],[Transport type]], 0)</f>
        <v>38.6</v>
      </c>
      <c r="G16" s="215" t="str" cm="1">
        <f t="array" ref="G16">Common_InputFunctions.Utility_DisplayArrayInTable(Fuel_SourceData.Fuel_Scope1Scope3EmissionFactorsTransport_Data(), Table_Fuel_EFs_Transport[[#Headers],[Transport type]], 0)</f>
        <v>kl</v>
      </c>
      <c r="H16" s="215" cm="1">
        <f t="array" ref="H16">Common_InputFunctions.Utility_DisplayArrayInTable(Fuel_SourceData.Fuel_Scope1Scope3EmissionFactorsTransport_Data(), Table_Fuel_EFs_Transport[[#Headers],[Transport type]], 0)</f>
        <v>0</v>
      </c>
      <c r="I16" s="215" cm="1">
        <f t="array" ref="I16">Common_InputFunctions.Utility_DisplayArrayInTable(Fuel_SourceData.Fuel_Scope1Scope3EmissionFactorsTransport_Data(), Table_Fuel_EFs_Transport[[#Headers],[Transport type]], 0)</f>
        <v>0.01</v>
      </c>
      <c r="J16" s="215" cm="1">
        <f t="array" ref="J16">Common_InputFunctions.Utility_DisplayArrayInTable(Fuel_SourceData.Fuel_Scope1Scope3EmissionFactorsTransport_Data(), Table_Fuel_EFs_Transport[[#Headers],[Transport type]], 0)</f>
        <v>0.5</v>
      </c>
      <c r="K16" s="215" cm="1">
        <f t="array" ref="K16">Common_InputFunctions.Utility_DisplayArrayInTable(Fuel_SourceData.Fuel_Scope1Scope3EmissionFactorsTransport_Data(), Table_Fuel_EFs_Transport[[#Headers],[Transport type]], 0)</f>
        <v>0.51</v>
      </c>
      <c r="L16" s="215"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Crop pasture farm input'!A1", "Crop pasture farm input")</f>
        <v>Crop pasture farm input</v>
      </c>
      <c r="D17" s="215" t="str" cm="1">
        <f t="array" ref="D17">Common_InputFunctions.Utility_DisplayArrayInTable(Fuel_SourceData.Fuel_Scope1Scope3EmissionFactorsTransport_Data(), Table_Fuel_EFs_Transport[[#Headers],[Transport type]], 0)</f>
        <v>Cars and light commercial vehicles</v>
      </c>
      <c r="E17" s="215" t="str" cm="1">
        <f t="array" ref="E17">Common_InputFunctions.Utility_DisplayArrayInTable(Fuel_SourceData.Fuel_Scope1Scope3EmissionFactorsTransport_Data(), Table_Fuel_EFs_Transport[[#Headers],[Transport type]], 0)</f>
        <v>Other biofuels</v>
      </c>
      <c r="F17" s="215" cm="1">
        <f t="array" ref="F17">Common_InputFunctions.Utility_DisplayArrayInTable(Fuel_SourceData.Fuel_Scope1Scope3EmissionFactorsTransport_Data(), Table_Fuel_EFs_Transport[[#Headers],[Transport type]], 0)</f>
        <v>23.4</v>
      </c>
      <c r="G17" s="215" t="str" cm="1">
        <f t="array" ref="G17">Common_InputFunctions.Utility_DisplayArrayInTable(Fuel_SourceData.Fuel_Scope1Scope3EmissionFactorsTransport_Data(), Table_Fuel_EFs_Transport[[#Headers],[Transport type]], 0)</f>
        <v>kl</v>
      </c>
      <c r="H17" s="215" cm="1">
        <f t="array" ref="H17">Common_InputFunctions.Utility_DisplayArrayInTable(Fuel_SourceData.Fuel_Scope1Scope3EmissionFactorsTransport_Data(), Table_Fuel_EFs_Transport[[#Headers],[Transport type]], 0)</f>
        <v>0</v>
      </c>
      <c r="I17" s="215" cm="1">
        <f t="array" ref="I17">Common_InputFunctions.Utility_DisplayArrayInTable(Fuel_SourceData.Fuel_Scope1Scope3EmissionFactorsTransport_Data(), Table_Fuel_EFs_Transport[[#Headers],[Transport type]], 0)</f>
        <v>0.8</v>
      </c>
      <c r="J17" s="215" cm="1">
        <f t="array" ref="J17">Common_InputFunctions.Utility_DisplayArrayInTable(Fuel_SourceData.Fuel_Scope1Scope3EmissionFactorsTransport_Data(), Table_Fuel_EFs_Transport[[#Headers],[Transport type]], 0)</f>
        <v>1.7</v>
      </c>
      <c r="K17" s="215" cm="1">
        <f t="array" ref="K17">Common_InputFunctions.Utility_DisplayArrayInTable(Fuel_SourceData.Fuel_Scope1Scope3EmissionFactorsTransport_Data(), Table_Fuel_EFs_Transport[[#Headers],[Transport type]], 0)</f>
        <v>2.5</v>
      </c>
      <c r="L17" s="215"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215" t="str" cm="1">
        <f t="array" ref="D18">Common_InputFunctions.Utility_DisplayArrayInTable(Fuel_SourceData.Fuel_Scope1Scope3EmissionFactorsTransport_Data(), Table_Fuel_EFs_Transport[[#Headers],[Transport type]], 0)</f>
        <v>Light duty vehicles</v>
      </c>
      <c r="E18" s="215" t="str" cm="1">
        <f t="array" ref="E18">Common_InputFunctions.Utility_DisplayArrayInTable(Fuel_SourceData.Fuel_Scope1Scope3EmissionFactorsTransport_Data(), Table_Fuel_EFs_Transport[[#Headers],[Transport type]], 0)</f>
        <v>Compressed natural gas</v>
      </c>
      <c r="F18" s="215" cm="1">
        <f t="array" ref="F18">Common_InputFunctions.Utility_DisplayArrayInTable(Fuel_SourceData.Fuel_Scope1Scope3EmissionFactorsTransport_Data(), Table_Fuel_EFs_Transport[[#Headers],[Transport type]], 0)</f>
        <v>3.9300000000000002E-2</v>
      </c>
      <c r="G18" s="215" t="str" cm="1">
        <f t="array" ref="G18">Common_InputFunctions.Utility_DisplayArrayInTable(Fuel_SourceData.Fuel_Scope1Scope3EmissionFactorsTransport_Data(), Table_Fuel_EFs_Transport[[#Headers],[Transport type]], 0)</f>
        <v>m3</v>
      </c>
      <c r="H18" s="215" cm="1">
        <f t="array" ref="H18">Common_InputFunctions.Utility_DisplayArrayInTable(Fuel_SourceData.Fuel_Scope1Scope3EmissionFactorsTransport_Data(), Table_Fuel_EFs_Transport[[#Headers],[Transport type]], 0)</f>
        <v>51.4</v>
      </c>
      <c r="I18" s="215" cm="1">
        <f t="array" ref="I18">Common_InputFunctions.Utility_DisplayArrayInTable(Fuel_SourceData.Fuel_Scope1Scope3EmissionFactorsTransport_Data(), Table_Fuel_EFs_Transport[[#Headers],[Transport type]], 0)</f>
        <v>7.3</v>
      </c>
      <c r="J18" s="215" cm="1">
        <f t="array" ref="J18">Common_InputFunctions.Utility_DisplayArrayInTable(Fuel_SourceData.Fuel_Scope1Scope3EmissionFactorsTransport_Data(), Table_Fuel_EFs_Transport[[#Headers],[Transport type]], 0)</f>
        <v>0.3</v>
      </c>
      <c r="K18" s="215" cm="1">
        <f t="array" ref="K18">Common_InputFunctions.Utility_DisplayArrayInTable(Fuel_SourceData.Fuel_Scope1Scope3EmissionFactorsTransport_Data(), Table_Fuel_EFs_Transport[[#Headers],[Transport type]], 0)</f>
        <v>59</v>
      </c>
      <c r="L18" s="21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Manure sent off-site'!A1", "Manure sent off-site")</f>
        <v>Manure sent off-site</v>
      </c>
      <c r="D19" s="215" t="str" cm="1">
        <f t="array" ref="D19">Common_InputFunctions.Utility_DisplayArrayInTable(Fuel_SourceData.Fuel_Scope1Scope3EmissionFactorsTransport_Data(), Table_Fuel_EFs_Transport[[#Headers],[Transport type]], 0)</f>
        <v>Light duty vehicles</v>
      </c>
      <c r="E19" s="215" t="str" cm="1">
        <f t="array" ref="E19">Common_InputFunctions.Utility_DisplayArrayInTable(Fuel_SourceData.Fuel_Scope1Scope3EmissionFactorsTransport_Data(), Table_Fuel_EFs_Transport[[#Headers],[Transport type]], 0)</f>
        <v>Liquefied natural gas</v>
      </c>
      <c r="F19" s="215" cm="1">
        <f t="array" ref="F19">Common_InputFunctions.Utility_DisplayArrayInTable(Fuel_SourceData.Fuel_Scope1Scope3EmissionFactorsTransport_Data(), Table_Fuel_EFs_Transport[[#Headers],[Transport type]], 0)</f>
        <v>25.3</v>
      </c>
      <c r="G19" s="215" t="str" cm="1">
        <f t="array" ref="G19">Common_InputFunctions.Utility_DisplayArrayInTable(Fuel_SourceData.Fuel_Scope1Scope3EmissionFactorsTransport_Data(), Table_Fuel_EFs_Transport[[#Headers],[Transport type]], 0)</f>
        <v>kl</v>
      </c>
      <c r="H19" s="215" cm="1">
        <f t="array" ref="H19">Common_InputFunctions.Utility_DisplayArrayInTable(Fuel_SourceData.Fuel_Scope1Scope3EmissionFactorsTransport_Data(), Table_Fuel_EFs_Transport[[#Headers],[Transport type]], 0)</f>
        <v>51.4</v>
      </c>
      <c r="I19" s="215" cm="1">
        <f t="array" ref="I19">Common_InputFunctions.Utility_DisplayArrayInTable(Fuel_SourceData.Fuel_Scope1Scope3EmissionFactorsTransport_Data(), Table_Fuel_EFs_Transport[[#Headers],[Transport type]], 0)</f>
        <v>7.3</v>
      </c>
      <c r="J19" s="215" cm="1">
        <f t="array" ref="J19">Common_InputFunctions.Utility_DisplayArrayInTable(Fuel_SourceData.Fuel_Scope1Scope3EmissionFactorsTransport_Data(), Table_Fuel_EFs_Transport[[#Headers],[Transport type]], 0)</f>
        <v>0.3</v>
      </c>
      <c r="K19" s="215" cm="1">
        <f t="array" ref="K19">Common_InputFunctions.Utility_DisplayArrayInTable(Fuel_SourceData.Fuel_Scope1Scope3EmissionFactorsTransport_Data(), Table_Fuel_EFs_Transport[[#Headers],[Transport type]], 0)</f>
        <v>59</v>
      </c>
      <c r="L19" s="21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Solid waste'!A1", "Solid waste")</f>
        <v>Solid waste</v>
      </c>
      <c r="D20" s="215" t="str" cm="1">
        <f t="array" ref="D20">Common_InputFunctions.Utility_DisplayArrayInTable(Fuel_SourceData.Fuel_Scope1Scope3EmissionFactorsTransport_Data(), Table_Fuel_EFs_Transport[[#Headers],[Transport type]], 0)</f>
        <v>Heavy duty vehicles</v>
      </c>
      <c r="E20" s="215" t="str" cm="1">
        <f t="array" ref="E20">Common_InputFunctions.Utility_DisplayArrayInTable(Fuel_SourceData.Fuel_Scope1Scope3EmissionFactorsTransport_Data(), Table_Fuel_EFs_Transport[[#Headers],[Transport type]], 0)</f>
        <v>Compressed natural gas</v>
      </c>
      <c r="F20" s="215" cm="1">
        <f t="array" ref="F20">Common_InputFunctions.Utility_DisplayArrayInTable(Fuel_SourceData.Fuel_Scope1Scope3EmissionFactorsTransport_Data(), Table_Fuel_EFs_Transport[[#Headers],[Transport type]], 0)</f>
        <v>3.9300000000000002E-2</v>
      </c>
      <c r="G20" s="215" t="str" cm="1">
        <f t="array" ref="G20">Common_InputFunctions.Utility_DisplayArrayInTable(Fuel_SourceData.Fuel_Scope1Scope3EmissionFactorsTransport_Data(), Table_Fuel_EFs_Transport[[#Headers],[Transport type]], 0)</f>
        <v>m3</v>
      </c>
      <c r="H20" s="215" cm="1">
        <f t="array" ref="H20">Common_InputFunctions.Utility_DisplayArrayInTable(Fuel_SourceData.Fuel_Scope1Scope3EmissionFactorsTransport_Data(), Table_Fuel_EFs_Transport[[#Headers],[Transport type]], 0)</f>
        <v>51.4</v>
      </c>
      <c r="I20" s="215" cm="1">
        <f t="array" ref="I20">Common_InputFunctions.Utility_DisplayArrayInTable(Fuel_SourceData.Fuel_Scope1Scope3EmissionFactorsTransport_Data(), Table_Fuel_EFs_Transport[[#Headers],[Transport type]], 0)</f>
        <v>2.8</v>
      </c>
      <c r="J20" s="215" cm="1">
        <f t="array" ref="J20">Common_InputFunctions.Utility_DisplayArrayInTable(Fuel_SourceData.Fuel_Scope1Scope3EmissionFactorsTransport_Data(), Table_Fuel_EFs_Transport[[#Headers],[Transport type]], 0)</f>
        <v>0.3</v>
      </c>
      <c r="K20" s="215" cm="1">
        <f t="array" ref="K20">Common_InputFunctions.Utility_DisplayArrayInTable(Fuel_SourceData.Fuel_Scope1Scope3EmissionFactorsTransport_Data(), Table_Fuel_EFs_Transport[[#Headers],[Transport type]], 0)</f>
        <v>54.5</v>
      </c>
      <c r="L20" s="21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Data quality'!A1", "Data quality")</f>
        <v>Data quality</v>
      </c>
      <c r="D21" s="215" t="str" cm="1">
        <f t="array" ref="D21">Common_InputFunctions.Utility_DisplayArrayInTable(Fuel_SourceData.Fuel_Scope1Scope3EmissionFactorsTransport_Data(), Table_Fuel_EFs_Transport[[#Headers],[Transport type]], 0)</f>
        <v>Heavy duty vehicles</v>
      </c>
      <c r="E21" s="215" t="str" cm="1">
        <f t="array" ref="E21">Common_InputFunctions.Utility_DisplayArrayInTable(Fuel_SourceData.Fuel_Scope1Scope3EmissionFactorsTransport_Data(), Table_Fuel_EFs_Transport[[#Headers],[Transport type]], 0)</f>
        <v>Liquefied natural gas</v>
      </c>
      <c r="F21" s="215" cm="1">
        <f t="array" ref="F21">Common_InputFunctions.Utility_DisplayArrayInTable(Fuel_SourceData.Fuel_Scope1Scope3EmissionFactorsTransport_Data(), Table_Fuel_EFs_Transport[[#Headers],[Transport type]], 0)</f>
        <v>25.3</v>
      </c>
      <c r="G21" s="215" t="str" cm="1">
        <f t="array" ref="G21">Common_InputFunctions.Utility_DisplayArrayInTable(Fuel_SourceData.Fuel_Scope1Scope3EmissionFactorsTransport_Data(), Table_Fuel_EFs_Transport[[#Headers],[Transport type]], 0)</f>
        <v>kl</v>
      </c>
      <c r="H21" s="215" cm="1">
        <f t="array" ref="H21">Common_InputFunctions.Utility_DisplayArrayInTable(Fuel_SourceData.Fuel_Scope1Scope3EmissionFactorsTransport_Data(), Table_Fuel_EFs_Transport[[#Headers],[Transport type]], 0)</f>
        <v>51.4</v>
      </c>
      <c r="I21" s="215" cm="1">
        <f t="array" ref="I21">Common_InputFunctions.Utility_DisplayArrayInTable(Fuel_SourceData.Fuel_Scope1Scope3EmissionFactorsTransport_Data(), Table_Fuel_EFs_Transport[[#Headers],[Transport type]], 0)</f>
        <v>2.8</v>
      </c>
      <c r="J21" s="215" cm="1">
        <f t="array" ref="J21">Common_InputFunctions.Utility_DisplayArrayInTable(Fuel_SourceData.Fuel_Scope1Scope3EmissionFactorsTransport_Data(), Table_Fuel_EFs_Transport[[#Headers],[Transport type]], 0)</f>
        <v>0.3</v>
      </c>
      <c r="K21" s="215" cm="1">
        <f t="array" ref="K21">Common_InputFunctions.Utility_DisplayArrayInTable(Fuel_SourceData.Fuel_Scope1Scope3EmissionFactorsTransport_Data(), Table_Fuel_EFs_Transport[[#Headers],[Transport type]], 0)</f>
        <v>54.5</v>
      </c>
      <c r="L21" s="215" cm="1">
        <f t="array" ref="L21">Common_InputFunctions.Utility_DisplayArrayInTable(Fuel_SourceData.Fuel_Scope1Scope3EmissionFactorsTransport_Data(), Table_Fuel_EFs_Transport[[#Headers],[Transport type]], 0)</f>
        <v>18</v>
      </c>
    </row>
    <row r="22" spans="1:12" ht="20.100000000000001" customHeight="1" x14ac:dyDescent="0.25">
      <c r="D22" s="215" t="str" cm="1">
        <f t="array" ref="D22">Common_InputFunctions.Utility_DisplayArrayInTable(Fuel_SourceData.Fuel_Scope1Scope3EmissionFactorsTransport_Data(), Table_Fuel_EFs_Transport[[#Headers],[Transport type]], 0)</f>
        <v>Heavy duty vehicles</v>
      </c>
      <c r="E22" s="215" t="str" cm="1">
        <f t="array" ref="E22">Common_InputFunctions.Utility_DisplayArrayInTable(Fuel_SourceData.Fuel_Scope1Scope3EmissionFactorsTransport_Data(), Table_Fuel_EFs_Transport[[#Headers],[Transport type]], 0)</f>
        <v>Diesel oil - Euro iv or higher</v>
      </c>
      <c r="F22" s="215" cm="1">
        <f t="array" ref="F22">Common_InputFunctions.Utility_DisplayArrayInTable(Fuel_SourceData.Fuel_Scope1Scope3EmissionFactorsTransport_Data(), Table_Fuel_EFs_Transport[[#Headers],[Transport type]], 0)</f>
        <v>38.6</v>
      </c>
      <c r="G22" s="215" t="str" cm="1">
        <f t="array" ref="G22">Common_InputFunctions.Utility_DisplayArrayInTable(Fuel_SourceData.Fuel_Scope1Scope3EmissionFactorsTransport_Data(), Table_Fuel_EFs_Transport[[#Headers],[Transport type]], 0)</f>
        <v>kl</v>
      </c>
      <c r="H22" s="215" cm="1">
        <f t="array" ref="H22">Common_InputFunctions.Utility_DisplayArrayInTable(Fuel_SourceData.Fuel_Scope1Scope3EmissionFactorsTransport_Data(), Table_Fuel_EFs_Transport[[#Headers],[Transport type]], 0)</f>
        <v>69.900000000000006</v>
      </c>
      <c r="I22" s="215" cm="1">
        <f t="array" ref="I22">Common_InputFunctions.Utility_DisplayArrayInTable(Fuel_SourceData.Fuel_Scope1Scope3EmissionFactorsTransport_Data(), Table_Fuel_EFs_Transport[[#Headers],[Transport type]], 0)</f>
        <v>7.0000000000000007E-2</v>
      </c>
      <c r="J22" s="215" cm="1">
        <f t="array" ref="J22">Common_InputFunctions.Utility_DisplayArrayInTable(Fuel_SourceData.Fuel_Scope1Scope3EmissionFactorsTransport_Data(), Table_Fuel_EFs_Transport[[#Headers],[Transport type]], 0)</f>
        <v>0.4</v>
      </c>
      <c r="K22" s="215" cm="1">
        <f t="array" ref="K22">Common_InputFunctions.Utility_DisplayArrayInTable(Fuel_SourceData.Fuel_Scope1Scope3EmissionFactorsTransport_Data(), Table_Fuel_EFs_Transport[[#Headers],[Transport type]], 0)</f>
        <v>70.37</v>
      </c>
      <c r="L22" s="215" cm="1">
        <f t="array" ref="L22">Common_InputFunctions.Utility_DisplayArrayInTable(Fuel_SourceData.Fuel_Scope1Scope3EmissionFactorsTransport_Data(), Table_Fuel_EFs_Transport[[#Headers],[Transport type]], 0)</f>
        <v>17.3</v>
      </c>
    </row>
    <row r="23" spans="1:12" ht="20.100000000000001" customHeight="1" x14ac:dyDescent="0.25">
      <c r="D23" s="215" t="str" cm="1">
        <f t="array" ref="D23">Common_InputFunctions.Utility_DisplayArrayInTable(Fuel_SourceData.Fuel_Scope1Scope3EmissionFactorsTransport_Data(), Table_Fuel_EFs_Transport[[#Headers],[Transport type]], 0)</f>
        <v>Heavy duty vehicles</v>
      </c>
      <c r="E23" s="215" t="str" cm="1">
        <f t="array" ref="E23">Common_InputFunctions.Utility_DisplayArrayInTable(Fuel_SourceData.Fuel_Scope1Scope3EmissionFactorsTransport_Data(), Table_Fuel_EFs_Transport[[#Headers],[Transport type]], 0)</f>
        <v>Diesel oil - Euro iii</v>
      </c>
      <c r="F23" s="215" cm="1">
        <f t="array" ref="F23">Common_InputFunctions.Utility_DisplayArrayInTable(Fuel_SourceData.Fuel_Scope1Scope3EmissionFactorsTransport_Data(), Table_Fuel_EFs_Transport[[#Headers],[Transport type]], 0)</f>
        <v>38.6</v>
      </c>
      <c r="G23" s="215" t="str" cm="1">
        <f t="array" ref="G23">Common_InputFunctions.Utility_DisplayArrayInTable(Fuel_SourceData.Fuel_Scope1Scope3EmissionFactorsTransport_Data(), Table_Fuel_EFs_Transport[[#Headers],[Transport type]], 0)</f>
        <v>kl</v>
      </c>
      <c r="H23" s="215" cm="1">
        <f t="array" ref="H23">Common_InputFunctions.Utility_DisplayArrayInTable(Fuel_SourceData.Fuel_Scope1Scope3EmissionFactorsTransport_Data(), Table_Fuel_EFs_Transport[[#Headers],[Transport type]], 0)</f>
        <v>69.900000000000006</v>
      </c>
      <c r="I23" s="215" cm="1">
        <f t="array" ref="I23">Common_InputFunctions.Utility_DisplayArrayInTable(Fuel_SourceData.Fuel_Scope1Scope3EmissionFactorsTransport_Data(), Table_Fuel_EFs_Transport[[#Headers],[Transport type]], 0)</f>
        <v>0.1</v>
      </c>
      <c r="J23" s="215" cm="1">
        <f t="array" ref="J23">Common_InputFunctions.Utility_DisplayArrayInTable(Fuel_SourceData.Fuel_Scope1Scope3EmissionFactorsTransport_Data(), Table_Fuel_EFs_Transport[[#Headers],[Transport type]], 0)</f>
        <v>0.4</v>
      </c>
      <c r="K23" s="215" cm="1">
        <f t="array" ref="K23">Common_InputFunctions.Utility_DisplayArrayInTable(Fuel_SourceData.Fuel_Scope1Scope3EmissionFactorsTransport_Data(), Table_Fuel_EFs_Transport[[#Headers],[Transport type]], 0)</f>
        <v>70.400000000000006</v>
      </c>
      <c r="L23" s="215" cm="1">
        <f t="array" ref="L23">Common_InputFunctions.Utility_DisplayArrayInTable(Fuel_SourceData.Fuel_Scope1Scope3EmissionFactorsTransport_Data(), Table_Fuel_EFs_Transport[[#Headers],[Transport type]], 0)</f>
        <v>17.3</v>
      </c>
    </row>
    <row r="24" spans="1:12" ht="20.100000000000001" customHeight="1" x14ac:dyDescent="0.25">
      <c r="A24" s="6" t="s">
        <v>2</v>
      </c>
      <c r="D24" s="215" t="str" cm="1">
        <f t="array" ref="D24">Common_InputFunctions.Utility_DisplayArrayInTable(Fuel_SourceData.Fuel_Scope1Scope3EmissionFactorsTransport_Data(), Table_Fuel_EFs_Transport[[#Headers],[Transport type]], 0)</f>
        <v>Heavy duty vehicles</v>
      </c>
      <c r="E24" s="215" t="str" cm="1">
        <f t="array" ref="E24">Common_InputFunctions.Utility_DisplayArrayInTable(Fuel_SourceData.Fuel_Scope1Scope3EmissionFactorsTransport_Data(), Table_Fuel_EFs_Transport[[#Headers],[Transport type]], 0)</f>
        <v>Diesel oil - Euro i</v>
      </c>
      <c r="F24" s="215" cm="1">
        <f t="array" ref="F24">Common_InputFunctions.Utility_DisplayArrayInTable(Fuel_SourceData.Fuel_Scope1Scope3EmissionFactorsTransport_Data(), Table_Fuel_EFs_Transport[[#Headers],[Transport type]], 0)</f>
        <v>38.6</v>
      </c>
      <c r="G24" s="215" t="str" cm="1">
        <f t="array" ref="G24">Common_InputFunctions.Utility_DisplayArrayInTable(Fuel_SourceData.Fuel_Scope1Scope3EmissionFactorsTransport_Data(), Table_Fuel_EFs_Transport[[#Headers],[Transport type]], 0)</f>
        <v>kl</v>
      </c>
      <c r="H24" s="215" cm="1">
        <f t="array" ref="H24">Common_InputFunctions.Utility_DisplayArrayInTable(Fuel_SourceData.Fuel_Scope1Scope3EmissionFactorsTransport_Data(), Table_Fuel_EFs_Transport[[#Headers],[Transport type]], 0)</f>
        <v>69.900000000000006</v>
      </c>
      <c r="I24" s="215" cm="1">
        <f t="array" ref="I24">Common_InputFunctions.Utility_DisplayArrayInTable(Fuel_SourceData.Fuel_Scope1Scope3EmissionFactorsTransport_Data(), Table_Fuel_EFs_Transport[[#Headers],[Transport type]], 0)</f>
        <v>0.2</v>
      </c>
      <c r="J24" s="215" cm="1">
        <f t="array" ref="J24">Common_InputFunctions.Utility_DisplayArrayInTable(Fuel_SourceData.Fuel_Scope1Scope3EmissionFactorsTransport_Data(), Table_Fuel_EFs_Transport[[#Headers],[Transport type]], 0)</f>
        <v>0.4</v>
      </c>
      <c r="K24" s="215" cm="1">
        <f t="array" ref="K24">Common_InputFunctions.Utility_DisplayArrayInTable(Fuel_SourceData.Fuel_Scope1Scope3EmissionFactorsTransport_Data(), Table_Fuel_EFs_Transport[[#Headers],[Transport type]], 0)</f>
        <v>70.5</v>
      </c>
      <c r="L24" s="215"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HYPERLINK("#'5.1.1.1-2 Inorganic fert N2O'!A1", "5.1.1.1-2 Inorganic fert N2O")</f>
        <v>5.1.1.1-2 Inorganic fert N2O</v>
      </c>
      <c r="D25" s="215" t="str" cm="1">
        <f t="array" ref="D25">Common_InputFunctions.Utility_DisplayArrayInTable(Fuel_SourceData.Fuel_Scope1Scope3EmissionFactorsTransport_Data(), Table_Fuel_EFs_Transport[[#Headers],[Transport type]], 0)</f>
        <v>Heavy duty vehicles</v>
      </c>
      <c r="E25" s="215" t="str" cm="1">
        <f t="array" ref="E25">Common_InputFunctions.Utility_DisplayArrayInTable(Fuel_SourceData.Fuel_Scope1Scope3EmissionFactorsTransport_Data(), Table_Fuel_EFs_Transport[[#Headers],[Transport type]], 0)</f>
        <v>Renewable diesel – Euro iv or higher</v>
      </c>
      <c r="F25" s="215" cm="1">
        <f t="array" ref="F25">Common_InputFunctions.Utility_DisplayArrayInTable(Fuel_SourceData.Fuel_Scope1Scope3EmissionFactorsTransport_Data(), Table_Fuel_EFs_Transport[[#Headers],[Transport type]], 0)</f>
        <v>38.6</v>
      </c>
      <c r="G25" s="215" t="str" cm="1">
        <f t="array" ref="G25">Common_InputFunctions.Utility_DisplayArrayInTable(Fuel_SourceData.Fuel_Scope1Scope3EmissionFactorsTransport_Data(), Table_Fuel_EFs_Transport[[#Headers],[Transport type]], 0)</f>
        <v>kl</v>
      </c>
      <c r="H25" s="215" cm="1">
        <f t="array" ref="H25">Common_InputFunctions.Utility_DisplayArrayInTable(Fuel_SourceData.Fuel_Scope1Scope3EmissionFactorsTransport_Data(), Table_Fuel_EFs_Transport[[#Headers],[Transport type]], 0)</f>
        <v>0</v>
      </c>
      <c r="I25" s="215" cm="1">
        <f t="array" ref="I25">Common_InputFunctions.Utility_DisplayArrayInTable(Fuel_SourceData.Fuel_Scope1Scope3EmissionFactorsTransport_Data(), Table_Fuel_EFs_Transport[[#Headers],[Transport type]], 0)</f>
        <v>7.0000000000000007E-2</v>
      </c>
      <c r="J25" s="215" cm="1">
        <f t="array" ref="J25">Common_InputFunctions.Utility_DisplayArrayInTable(Fuel_SourceData.Fuel_Scope1Scope3EmissionFactorsTransport_Data(), Table_Fuel_EFs_Transport[[#Headers],[Transport type]], 0)</f>
        <v>0.4</v>
      </c>
      <c r="K25" s="215" cm="1">
        <f t="array" ref="K25">Common_InputFunctions.Utility_DisplayArrayInTable(Fuel_SourceData.Fuel_Scope1Scope3EmissionFactorsTransport_Data(), Table_Fuel_EFs_Transport[[#Headers],[Transport type]], 0)</f>
        <v>0.47</v>
      </c>
      <c r="L25" s="215"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HYPERLINK("#'5.1.1.3-4 Inorganic fert CO2'!A1", "5.1.1.3-4 Inorganic fert CO2")</f>
        <v>5.1.1.3-4 Inorganic fert CO2</v>
      </c>
      <c r="D26" s="215" t="str" cm="1">
        <f t="array" ref="D26">Common_InputFunctions.Utility_DisplayArrayInTable(Fuel_SourceData.Fuel_Scope1Scope3EmissionFactorsTransport_Data(), Table_Fuel_EFs_Transport[[#Headers],[Transport type]], 0)</f>
        <v>Heavy duty vehicles</v>
      </c>
      <c r="E26" s="215" t="str" cm="1">
        <f t="array" ref="E26">Common_InputFunctions.Utility_DisplayArrayInTable(Fuel_SourceData.Fuel_Scope1Scope3EmissionFactorsTransport_Data(), Table_Fuel_EFs_Transport[[#Headers],[Transport type]], 0)</f>
        <v>Renewable diesel – Euro iii</v>
      </c>
      <c r="F26" s="215" cm="1">
        <f t="array" ref="F26">Common_InputFunctions.Utility_DisplayArrayInTable(Fuel_SourceData.Fuel_Scope1Scope3EmissionFactorsTransport_Data(), Table_Fuel_EFs_Transport[[#Headers],[Transport type]], 0)</f>
        <v>38.6</v>
      </c>
      <c r="G26" s="215" t="str" cm="1">
        <f t="array" ref="G26">Common_InputFunctions.Utility_DisplayArrayInTable(Fuel_SourceData.Fuel_Scope1Scope3EmissionFactorsTransport_Data(), Table_Fuel_EFs_Transport[[#Headers],[Transport type]], 0)</f>
        <v>kl</v>
      </c>
      <c r="H26" s="215" cm="1">
        <f t="array" ref="H26">Common_InputFunctions.Utility_DisplayArrayInTable(Fuel_SourceData.Fuel_Scope1Scope3EmissionFactorsTransport_Data(), Table_Fuel_EFs_Transport[[#Headers],[Transport type]], 0)</f>
        <v>0</v>
      </c>
      <c r="I26" s="215" cm="1">
        <f t="array" ref="I26">Common_InputFunctions.Utility_DisplayArrayInTable(Fuel_SourceData.Fuel_Scope1Scope3EmissionFactorsTransport_Data(), Table_Fuel_EFs_Transport[[#Headers],[Transport type]], 0)</f>
        <v>0.1</v>
      </c>
      <c r="J26" s="215" cm="1">
        <f t="array" ref="J26">Common_InputFunctions.Utility_DisplayArrayInTable(Fuel_SourceData.Fuel_Scope1Scope3EmissionFactorsTransport_Data(), Table_Fuel_EFs_Transport[[#Headers],[Transport type]], 0)</f>
        <v>0.4</v>
      </c>
      <c r="K26" s="215" cm="1">
        <f t="array" ref="K26">Common_InputFunctions.Utility_DisplayArrayInTable(Fuel_SourceData.Fuel_Scope1Scope3EmissionFactorsTransport_Data(), Table_Fuel_EFs_Transport[[#Headers],[Transport type]], 0)</f>
        <v>0.5</v>
      </c>
      <c r="L26" s="215"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HYPERLINK("#'5.2.1.1-2 Organic Fert N2O'!A1", "5.2.1.1-2 Organic fert N2O")</f>
        <v>5.2.1.1-2 Organic fert N2O</v>
      </c>
      <c r="D27" s="215" t="str" cm="1">
        <f t="array" ref="D27">Common_InputFunctions.Utility_DisplayArrayInTable(Fuel_SourceData.Fuel_Scope1Scope3EmissionFactorsTransport_Data(), Table_Fuel_EFs_Transport[[#Headers],[Transport type]], 0)</f>
        <v>Heavy duty vehicles</v>
      </c>
      <c r="E27" s="215" t="str" cm="1">
        <f t="array" ref="E27">Common_InputFunctions.Utility_DisplayArrayInTable(Fuel_SourceData.Fuel_Scope1Scope3EmissionFactorsTransport_Data(), Table_Fuel_EFs_Transport[[#Headers],[Transport type]], 0)</f>
        <v>Renewable diesel – Euro i</v>
      </c>
      <c r="F27" s="215" cm="1">
        <f t="array" ref="F27">Common_InputFunctions.Utility_DisplayArrayInTable(Fuel_SourceData.Fuel_Scope1Scope3EmissionFactorsTransport_Data(), Table_Fuel_EFs_Transport[[#Headers],[Transport type]], 0)</f>
        <v>38.6</v>
      </c>
      <c r="G27" s="215" t="str" cm="1">
        <f t="array" ref="G27">Common_InputFunctions.Utility_DisplayArrayInTable(Fuel_SourceData.Fuel_Scope1Scope3EmissionFactorsTransport_Data(), Table_Fuel_EFs_Transport[[#Headers],[Transport type]], 0)</f>
        <v>kl</v>
      </c>
      <c r="H27" s="215" cm="1">
        <f t="array" ref="H27">Common_InputFunctions.Utility_DisplayArrayInTable(Fuel_SourceData.Fuel_Scope1Scope3EmissionFactorsTransport_Data(), Table_Fuel_EFs_Transport[[#Headers],[Transport type]], 0)</f>
        <v>0</v>
      </c>
      <c r="I27" s="215" cm="1">
        <f t="array" ref="I27">Common_InputFunctions.Utility_DisplayArrayInTable(Fuel_SourceData.Fuel_Scope1Scope3EmissionFactorsTransport_Data(), Table_Fuel_EFs_Transport[[#Headers],[Transport type]], 0)</f>
        <v>0.2</v>
      </c>
      <c r="J27" s="215" cm="1">
        <f t="array" ref="J27">Common_InputFunctions.Utility_DisplayArrayInTable(Fuel_SourceData.Fuel_Scope1Scope3EmissionFactorsTransport_Data(), Table_Fuel_EFs_Transport[[#Headers],[Transport type]], 0)</f>
        <v>0.4</v>
      </c>
      <c r="K27" s="215" cm="1">
        <f t="array" ref="K27">Common_InputFunctions.Utility_DisplayArrayInTable(Fuel_SourceData.Fuel_Scope1Scope3EmissionFactorsTransport_Data(), Table_Fuel_EFs_Transport[[#Headers],[Transport type]], 0)</f>
        <v>0.6</v>
      </c>
      <c r="L27" s="21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HYPERLINK("#'5.3.1.1-2 Lime CO2'!A1", "5.3.1.1-2 Lime CO2")</f>
        <v>5.3.1.1-2 Lime CO2</v>
      </c>
      <c r="D28" s="215" t="str" cm="1">
        <f t="array" ref="D28">Common_InputFunctions.Utility_DisplayArrayInTable(Fuel_SourceData.Fuel_Scope1Scope3EmissionFactorsTransport_Data(), Table_Fuel_EFs_Transport[[#Headers],[Transport type]], 0)</f>
        <v>Aviation</v>
      </c>
      <c r="E28" s="215" t="str" cm="1">
        <f t="array" ref="E28">Common_InputFunctions.Utility_DisplayArrayInTable(Fuel_SourceData.Fuel_Scope1Scope3EmissionFactorsTransport_Data(), Table_Fuel_EFs_Transport[[#Headers],[Transport type]], 0)</f>
        <v>Gasoline for use as fuel in an aircraft</v>
      </c>
      <c r="F28" s="215" cm="1">
        <f t="array" ref="F28">Common_InputFunctions.Utility_DisplayArrayInTable(Fuel_SourceData.Fuel_Scope1Scope3EmissionFactorsTransport_Data(), Table_Fuel_EFs_Transport[[#Headers],[Transport type]], 0)</f>
        <v>33.1</v>
      </c>
      <c r="G28" s="215" t="str" cm="1">
        <f t="array" ref="G28">Common_InputFunctions.Utility_DisplayArrayInTable(Fuel_SourceData.Fuel_Scope1Scope3EmissionFactorsTransport_Data(), Table_Fuel_EFs_Transport[[#Headers],[Transport type]], 0)</f>
        <v>kl</v>
      </c>
      <c r="H28" s="215" cm="1">
        <f t="array" ref="H28">Common_InputFunctions.Utility_DisplayArrayInTable(Fuel_SourceData.Fuel_Scope1Scope3EmissionFactorsTransport_Data(), Table_Fuel_EFs_Transport[[#Headers],[Transport type]], 0)</f>
        <v>67</v>
      </c>
      <c r="I28" s="215" cm="1">
        <f t="array" ref="I28">Common_InputFunctions.Utility_DisplayArrayInTable(Fuel_SourceData.Fuel_Scope1Scope3EmissionFactorsTransport_Data(), Table_Fuel_EFs_Transport[[#Headers],[Transport type]], 0)</f>
        <v>0.06</v>
      </c>
      <c r="J28" s="215" cm="1">
        <f t="array" ref="J28">Common_InputFunctions.Utility_DisplayArrayInTable(Fuel_SourceData.Fuel_Scope1Scope3EmissionFactorsTransport_Data(), Table_Fuel_EFs_Transport[[#Headers],[Transport type]], 0)</f>
        <v>0.6</v>
      </c>
      <c r="K28" s="215" cm="1">
        <f t="array" ref="K28">Common_InputFunctions.Utility_DisplayArrayInTable(Fuel_SourceData.Fuel_Scope1Scope3EmissionFactorsTransport_Data(), Table_Fuel_EFs_Transport[[#Headers],[Transport type]], 0)</f>
        <v>67.66</v>
      </c>
      <c r="L28" s="21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HYPERLINK("#'5.4.1.1-4 Atmos deposition'!A1", "5.4.1.1-4 Atmos. deposition")</f>
        <v>5.4.1.1-4 Atmos. deposition</v>
      </c>
      <c r="D29" s="215" t="str" cm="1">
        <f t="array" ref="D29">Common_InputFunctions.Utility_DisplayArrayInTable(Fuel_SourceData.Fuel_Scope1Scope3EmissionFactorsTransport_Data(), Table_Fuel_EFs_Transport[[#Headers],[Transport type]], 0)</f>
        <v>Aviation</v>
      </c>
      <c r="E29" s="215" t="str" cm="1">
        <f t="array" ref="E29">Common_InputFunctions.Utility_DisplayArrayInTable(Fuel_SourceData.Fuel_Scope1Scope3EmissionFactorsTransport_Data(), Table_Fuel_EFs_Transport[[#Headers],[Transport type]], 0)</f>
        <v>Kerosene for use as fuel in an aircraft</v>
      </c>
      <c r="F29" s="215" cm="1">
        <f t="array" ref="F29">Common_InputFunctions.Utility_DisplayArrayInTable(Fuel_SourceData.Fuel_Scope1Scope3EmissionFactorsTransport_Data(), Table_Fuel_EFs_Transport[[#Headers],[Transport type]], 0)</f>
        <v>36.799999999999997</v>
      </c>
      <c r="G29" s="215" t="str" cm="1">
        <f t="array" ref="G29">Common_InputFunctions.Utility_DisplayArrayInTable(Fuel_SourceData.Fuel_Scope1Scope3EmissionFactorsTransport_Data(), Table_Fuel_EFs_Transport[[#Headers],[Transport type]], 0)</f>
        <v>kl</v>
      </c>
      <c r="H29" s="215" cm="1">
        <f t="array" ref="H29">Common_InputFunctions.Utility_DisplayArrayInTable(Fuel_SourceData.Fuel_Scope1Scope3EmissionFactorsTransport_Data(), Table_Fuel_EFs_Transport[[#Headers],[Transport type]], 0)</f>
        <v>69.599999999999994</v>
      </c>
      <c r="I29" s="215" cm="1">
        <f t="array" ref="I29">Common_InputFunctions.Utility_DisplayArrayInTable(Fuel_SourceData.Fuel_Scope1Scope3EmissionFactorsTransport_Data(), Table_Fuel_EFs_Transport[[#Headers],[Transport type]], 0)</f>
        <v>0.01</v>
      </c>
      <c r="J29" s="215" cm="1">
        <f t="array" ref="J29">Common_InputFunctions.Utility_DisplayArrayInTable(Fuel_SourceData.Fuel_Scope1Scope3EmissionFactorsTransport_Data(), Table_Fuel_EFs_Transport[[#Headers],[Transport type]], 0)</f>
        <v>0.6</v>
      </c>
      <c r="K29" s="215" cm="1">
        <f t="array" ref="K29">Common_InputFunctions.Utility_DisplayArrayInTable(Fuel_SourceData.Fuel_Scope1Scope3EmissionFactorsTransport_Data(), Table_Fuel_EFs_Transport[[#Headers],[Transport type]], 0)</f>
        <v>70.209999999999994</v>
      </c>
      <c r="L29" s="21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HYPERLINK("#'5.5.1.1-2 Leaching and runoff'!A1", "5.5.1.1-2 Leaching &amp; runoff")</f>
        <v>5.5.1.1-2 Leaching &amp; runoff</v>
      </c>
      <c r="D30" s="215" t="str" cm="1">
        <f t="array" ref="D30">Common_InputFunctions.Utility_DisplayArrayInTable(Fuel_SourceData.Fuel_Scope1Scope3EmissionFactorsTransport_Data(), Table_Fuel_EFs_Transport[[#Headers],[Transport type]], 0)</f>
        <v>Aviation</v>
      </c>
      <c r="E30" s="215" t="str" cm="1">
        <f t="array" ref="E30">Common_InputFunctions.Utility_DisplayArrayInTable(Fuel_SourceData.Fuel_Scope1Scope3EmissionFactorsTransport_Data(), Table_Fuel_EFs_Transport[[#Headers],[Transport type]], 0)</f>
        <v>Renewable aviation kerosene</v>
      </c>
      <c r="F30" s="215" cm="1">
        <f t="array" ref="F30">Common_InputFunctions.Utility_DisplayArrayInTable(Fuel_SourceData.Fuel_Scope1Scope3EmissionFactorsTransport_Data(), Table_Fuel_EFs_Transport[[#Headers],[Transport type]], 0)</f>
        <v>36.799999999999997</v>
      </c>
      <c r="G30" s="215" t="str" cm="1">
        <f t="array" ref="G30">Common_InputFunctions.Utility_DisplayArrayInTable(Fuel_SourceData.Fuel_Scope1Scope3EmissionFactorsTransport_Data(), Table_Fuel_EFs_Transport[[#Headers],[Transport type]], 0)</f>
        <v>kl</v>
      </c>
      <c r="H30" s="215" cm="1">
        <f t="array" ref="H30">Common_InputFunctions.Utility_DisplayArrayInTable(Fuel_SourceData.Fuel_Scope1Scope3EmissionFactorsTransport_Data(), Table_Fuel_EFs_Transport[[#Headers],[Transport type]], 0)</f>
        <v>0</v>
      </c>
      <c r="I30" s="215" cm="1">
        <f t="array" ref="I30">Common_InputFunctions.Utility_DisplayArrayInTable(Fuel_SourceData.Fuel_Scope1Scope3EmissionFactorsTransport_Data(), Table_Fuel_EFs_Transport[[#Headers],[Transport type]], 0)</f>
        <v>0.01</v>
      </c>
      <c r="J30" s="215" cm="1">
        <f t="array" ref="J30">Common_InputFunctions.Utility_DisplayArrayInTable(Fuel_SourceData.Fuel_Scope1Scope3EmissionFactorsTransport_Data(), Table_Fuel_EFs_Transport[[#Headers],[Transport type]], 0)</f>
        <v>0.6</v>
      </c>
      <c r="K30" s="215" cm="1">
        <f t="array" ref="K30">Common_InputFunctions.Utility_DisplayArrayInTable(Fuel_SourceData.Fuel_Scope1Scope3EmissionFactorsTransport_Data(), Table_Fuel_EFs_Transport[[#Headers],[Transport type]], 0)</f>
        <v>0.61</v>
      </c>
      <c r="L30" s="21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HYPERLINK("#'6.1.1.1-2 Crop residue N2O'!A1", "6.1.1.1-2 Crop residue N2O")</f>
        <v>6.1.1.1-2 Crop residue N2O</v>
      </c>
      <c r="D31" s="215" t="str" cm="1">
        <f t="array" ref="D31">Common_InputFunctions.Utility_DisplayArrayInTable(Fuel_SourceData.Fuel_Scope1Scope3EmissionFactorsTransport_Data(), Table_Fuel_EFs_Transport[[#Headers],[Transport type]], 0)</f>
        <v>Vessels</v>
      </c>
      <c r="E31" s="215" t="str" cm="1">
        <f t="array" ref="E31">Common_InputFunctions.Utility_DisplayArrayInTable(Fuel_SourceData.Fuel_Scope1Scope3EmissionFactorsTransport_Data(), Table_Fuel_EFs_Transport[[#Headers],[Transport type]], 0)</f>
        <v>Gasoline</v>
      </c>
      <c r="F31" s="215" cm="1">
        <f t="array" ref="F31">Common_InputFunctions.Utility_DisplayArrayInTable(Fuel_SourceData.Fuel_Scope1Scope3EmissionFactorsTransport_Data(), Table_Fuel_EFs_Transport[[#Headers],[Transport type]], 0)</f>
        <v>34.200000000000003</v>
      </c>
      <c r="G31" s="215" t="str" cm="1">
        <f t="array" ref="G31">Common_InputFunctions.Utility_DisplayArrayInTable(Fuel_SourceData.Fuel_Scope1Scope3EmissionFactorsTransport_Data(), Table_Fuel_EFs_Transport[[#Headers],[Transport type]], 0)</f>
        <v>kL</v>
      </c>
      <c r="H31" s="215" cm="1">
        <f t="array" ref="H31">Common_InputFunctions.Utility_DisplayArrayInTable(Fuel_SourceData.Fuel_Scope1Scope3EmissionFactorsTransport_Data(), Table_Fuel_EFs_Transport[[#Headers],[Transport type]], 0)</f>
        <v>67.400000000000006</v>
      </c>
      <c r="I31" s="215" cm="1">
        <f t="array" ref="I31">Common_InputFunctions.Utility_DisplayArrayInTable(Fuel_SourceData.Fuel_Scope1Scope3EmissionFactorsTransport_Data(), Table_Fuel_EFs_Transport[[#Headers],[Transport type]], 0)</f>
        <v>10.1</v>
      </c>
      <c r="J31" s="215" cm="1">
        <f t="array" ref="J31">Common_InputFunctions.Utility_DisplayArrayInTable(Fuel_SourceData.Fuel_Scope1Scope3EmissionFactorsTransport_Data(), Table_Fuel_EFs_Transport[[#Headers],[Transport type]], 0)</f>
        <v>0.3</v>
      </c>
      <c r="K31" s="215" t="str" cm="1">
        <f t="array" ref="K31">Common_InputFunctions.Utility_DisplayArrayInTable(Fuel_SourceData.Fuel_Scope1Scope3EmissionFactorsTransport_Data(), Table_Fuel_EFs_Transport[[#Headers],[Transport type]], 0)</f>
        <v/>
      </c>
      <c r="L31" s="21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HYPERLINK("#'6.3.1.1-2 Leach runoff crop'!A1", "6.3.1.1-2 Leach &amp; runoff (crop)")</f>
        <v>6.3.1.1-2 Leach &amp; runoff (crop)</v>
      </c>
      <c r="D32" s="216" t="str" cm="1">
        <f t="array" ref="D32">Common_InputFunctions.Utility_DisplayArrayInTable(Fuel_SourceData.Fuel_Scope1Scope3EmissionFactorsTransport_Data(), Table_Fuel_EFs_Transport[[#Headers],[Transport type]], 0)</f>
        <v>Vessels</v>
      </c>
      <c r="E32" s="216" t="str" cm="1">
        <f t="array" ref="E32">Common_InputFunctions.Utility_DisplayArrayInTable(Fuel_SourceData.Fuel_Scope1Scope3EmissionFactorsTransport_Data(), Table_Fuel_EFs_Transport[[#Headers],[Transport type]], 0)</f>
        <v>Diesel oil</v>
      </c>
      <c r="F32" s="216" cm="1">
        <f t="array" ref="F32">Common_InputFunctions.Utility_DisplayArrayInTable(Fuel_SourceData.Fuel_Scope1Scope3EmissionFactorsTransport_Data(), Table_Fuel_EFs_Transport[[#Headers],[Transport type]], 0)</f>
        <v>38.6</v>
      </c>
      <c r="G32" s="216" t="str" cm="1">
        <f t="array" ref="G32">Common_InputFunctions.Utility_DisplayArrayInTable(Fuel_SourceData.Fuel_Scope1Scope3EmissionFactorsTransport_Data(), Table_Fuel_EFs_Transport[[#Headers],[Transport type]], 0)</f>
        <v>kL</v>
      </c>
      <c r="H32" s="216" cm="1">
        <f t="array" ref="H32">Common_InputFunctions.Utility_DisplayArrayInTable(Fuel_SourceData.Fuel_Scope1Scope3EmissionFactorsTransport_Data(), Table_Fuel_EFs_Transport[[#Headers],[Transport type]], 0)</f>
        <v>69.900000000000006</v>
      </c>
      <c r="I32" s="216" cm="1">
        <f t="array" ref="I32">Common_InputFunctions.Utility_DisplayArrayInTable(Fuel_SourceData.Fuel_Scope1Scope3EmissionFactorsTransport_Data(), Table_Fuel_EFs_Transport[[#Headers],[Transport type]], 0)</f>
        <v>0.2</v>
      </c>
      <c r="J32" s="216" cm="1">
        <f t="array" ref="J32">Common_InputFunctions.Utility_DisplayArrayInTable(Fuel_SourceData.Fuel_Scope1Scope3EmissionFactorsTransport_Data(), Table_Fuel_EFs_Transport[[#Headers],[Transport type]], 0)</f>
        <v>0.5</v>
      </c>
      <c r="K32" s="216" t="str" cm="1">
        <f t="array" ref="K32">Common_InputFunctions.Utility_DisplayArrayInTable(Fuel_SourceData.Fuel_Scope1Scope3EmissionFactorsTransport_Data(), Table_Fuel_EFs_Transport[[#Headers],[Transport type]], 0)</f>
        <v/>
      </c>
      <c r="L32" s="21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HYPERLINK("#'6.4.1.1-2 Residue burning'!A1", "6.4.1.1-2 Residue burning")</f>
        <v>6.4.1.1-2 Residue burning</v>
      </c>
      <c r="D33" s="216" t="str" cm="1">
        <f t="array" ref="D33">Common_InputFunctions.Utility_DisplayArrayInTable(Fuel_SourceData.Fuel_Scope1Scope3EmissionFactorsTransport_Data(), Table_Fuel_EFs_Transport[[#Headers],[Transport type]], 0)</f>
        <v>Vessels</v>
      </c>
      <c r="E33" s="216" t="str" cm="1">
        <f t="array" ref="E33">Common_InputFunctions.Utility_DisplayArrayInTable(Fuel_SourceData.Fuel_Scope1Scope3EmissionFactorsTransport_Data(), Table_Fuel_EFs_Transport[[#Headers],[Transport type]], 0)</f>
        <v>Fuel Oil</v>
      </c>
      <c r="F33" s="216" cm="1">
        <f t="array" ref="F33">Common_InputFunctions.Utility_DisplayArrayInTable(Fuel_SourceData.Fuel_Scope1Scope3EmissionFactorsTransport_Data(), Table_Fuel_EFs_Transport[[#Headers],[Transport type]], 0)</f>
        <v>39.700000000000003</v>
      </c>
      <c r="G33" s="216" t="str" cm="1">
        <f t="array" ref="G33">Common_InputFunctions.Utility_DisplayArrayInTable(Fuel_SourceData.Fuel_Scope1Scope3EmissionFactorsTransport_Data(), Table_Fuel_EFs_Transport[[#Headers],[Transport type]], 0)</f>
        <v>kL</v>
      </c>
      <c r="H33" s="216" cm="1">
        <f t="array" ref="H33">Common_InputFunctions.Utility_DisplayArrayInTable(Fuel_SourceData.Fuel_Scope1Scope3EmissionFactorsTransport_Data(), Table_Fuel_EFs_Transport[[#Headers],[Transport type]], 0)</f>
        <v>73.599999999999994</v>
      </c>
      <c r="I33" s="216" cm="1">
        <f t="array" ref="I33">Common_InputFunctions.Utility_DisplayArrayInTable(Fuel_SourceData.Fuel_Scope1Scope3EmissionFactorsTransport_Data(), Table_Fuel_EFs_Transport[[#Headers],[Transport type]], 0)</f>
        <v>0.2</v>
      </c>
      <c r="J33" s="216" cm="1">
        <f t="array" ref="J33">Common_InputFunctions.Utility_DisplayArrayInTable(Fuel_SourceData.Fuel_Scope1Scope3EmissionFactorsTransport_Data(), Table_Fuel_EFs_Transport[[#Headers],[Transport type]], 0)</f>
        <v>0.5</v>
      </c>
      <c r="K33" s="216" t="str" cm="1">
        <f t="array" ref="K33">Common_InputFunctions.Utility_DisplayArrayInTable(Fuel_SourceData.Fuel_Scope1Scope3EmissionFactorsTransport_Data(), Table_Fuel_EFs_Transport[[#Headers],[Transport type]], 0)</f>
        <v/>
      </c>
      <c r="L33" s="21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HYPERLINK("#'8.1.1.1-2 Transport fuel'!A1", "8.1.1.1-2 Transport fuel")</f>
        <v>8.1.1.1-2 Transport fuel</v>
      </c>
      <c r="D34" s="216" t="str" cm="1">
        <f t="array" ref="D34">Common_InputFunctions.Utility_DisplayArrayInTable(Fuel_SourceData.Fuel_Scope1Scope3EmissionFactorsTransport_Data(), Table_Fuel_EFs_Transport[[#Headers],[Transport type]], 0)</f>
        <v>Off-road Agriculture and forestry equipment</v>
      </c>
      <c r="E34" s="216" t="str" cm="1">
        <f t="array" ref="E34">Common_InputFunctions.Utility_DisplayArrayInTable(Fuel_SourceData.Fuel_Scope1Scope3EmissionFactorsTransport_Data(), Table_Fuel_EFs_Transport[[#Headers],[Transport type]], 0)</f>
        <v>Diesel oil</v>
      </c>
      <c r="F34" s="216" cm="1">
        <f t="array" ref="F34">Common_InputFunctions.Utility_DisplayArrayInTable(Fuel_SourceData.Fuel_Scope1Scope3EmissionFactorsTransport_Data(), Table_Fuel_EFs_Transport[[#Headers],[Transport type]], 0)</f>
        <v>38.6</v>
      </c>
      <c r="G34" s="216" t="str" cm="1">
        <f t="array" ref="G34">Common_InputFunctions.Utility_DisplayArrayInTable(Fuel_SourceData.Fuel_Scope1Scope3EmissionFactorsTransport_Data(), Table_Fuel_EFs_Transport[[#Headers],[Transport type]], 0)</f>
        <v>kL</v>
      </c>
      <c r="H34" s="216" cm="1">
        <f t="array" ref="H34">Common_InputFunctions.Utility_DisplayArrayInTable(Fuel_SourceData.Fuel_Scope1Scope3EmissionFactorsTransport_Data(), Table_Fuel_EFs_Transport[[#Headers],[Transport type]], 0)</f>
        <v>69.900000000000006</v>
      </c>
      <c r="I34" s="216" cm="1">
        <f t="array" ref="I34">Common_InputFunctions.Utility_DisplayArrayInTable(Fuel_SourceData.Fuel_Scope1Scope3EmissionFactorsTransport_Data(), Table_Fuel_EFs_Transport[[#Headers],[Transport type]], 0)</f>
        <v>0.3</v>
      </c>
      <c r="J34" s="216" cm="1">
        <f t="array" ref="J34">Common_InputFunctions.Utility_DisplayArrayInTable(Fuel_SourceData.Fuel_Scope1Scope3EmissionFactorsTransport_Data(), Table_Fuel_EFs_Transport[[#Headers],[Transport type]], 0)</f>
        <v>0.5</v>
      </c>
      <c r="K34" s="216" t="str" cm="1">
        <f t="array" ref="K34">Common_InputFunctions.Utility_DisplayArrayInTable(Fuel_SourceData.Fuel_Scope1Scope3EmissionFactorsTransport_Data(), Table_Fuel_EFs_Transport[[#Headers],[Transport type]], 0)</f>
        <v/>
      </c>
      <c r="L34" s="216"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row>
    <row r="37" spans="1:12" ht="20.100000000000001"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5">
      <c r="A38" s="5" t="str">
        <f>HYPERLINK("#'Calcs - Manure sent off-site'!A1", "Calcs - Manure sent off-site")</f>
        <v>Calcs - Manure sent off-site</v>
      </c>
      <c r="D38" s="27" t="str" cm="1">
        <f t="array" ref="D38">Fuel_SourceData.Fuel_Scope1Scope3EmissionFactorsTransportOffRoad_Source()</f>
        <v>VEERG 2026: Table A.4.2.1</v>
      </c>
    </row>
    <row r="39" spans="1:12" ht="20.100000000000001" customHeight="1" x14ac:dyDescent="0.25">
      <c r="A39" s="5" t="str">
        <f>HYPERLINK("#'10.1.1-2 Solid waste treatment'!A1", "10.1.1-2 Solid waste treatment")</f>
        <v>10.1.1-2 Solid waste treatment</v>
      </c>
      <c r="D39" s="30" t="s">
        <v>550</v>
      </c>
      <c r="E39" s="30" t="s">
        <v>551</v>
      </c>
      <c r="F39" s="30" t="s">
        <v>552</v>
      </c>
      <c r="G39" s="30" t="s">
        <v>553</v>
      </c>
      <c r="H39" s="30" t="s">
        <v>554</v>
      </c>
      <c r="I39" s="30" t="s">
        <v>555</v>
      </c>
      <c r="J39" s="30" t="s">
        <v>556</v>
      </c>
    </row>
    <row r="40" spans="1:12" ht="20.100000000000001" customHeight="1" x14ac:dyDescent="0.25">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94" t="s">
        <v>1</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Ag Residue'!A1", "Constants - Ag residue")</f>
        <v>Constants - Ag residue</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row>
    <row r="47" spans="1:12" ht="20.100000000000001" customHeight="1" x14ac:dyDescent="0.25">
      <c r="A47" s="95" t="str">
        <f>HYPERLINK("#'Constants - Fuel'!A1", "Constants - Fuel")</f>
        <v>Constants - Fuel</v>
      </c>
    </row>
    <row r="48" spans="1:12" ht="20.100000000000001" customHeight="1" x14ac:dyDescent="0.25">
      <c r="A48" s="5" t="str">
        <f>HYPERLINK("#'Constants - Scope 3'!A1", "Constants - Scope 3")</f>
        <v>Constants - Scope 3</v>
      </c>
    </row>
    <row r="49" spans="1:12" ht="20.100000000000001" customHeight="1" x14ac:dyDescent="0.25">
      <c r="A49" s="5" t="str">
        <f>HYPERLINK("#'Constants - Common'!A1", "Constants - Common")</f>
        <v>Constants - Common</v>
      </c>
      <c r="D49" s="2" t="str" cm="1">
        <f t="array" ref="D49">Fuel_SourceData.Fuel_Scope1Scope3EmissionFactorsStationaryLiquid_Title()</f>
        <v>Fuel scope 1 and 3 emission factors - Stationary liquid fuels</v>
      </c>
      <c r="E49" s="160"/>
      <c r="F49" s="160"/>
      <c r="G49" s="160"/>
      <c r="H49" s="160"/>
      <c r="I49" s="160"/>
      <c r="J49" s="160"/>
      <c r="K49" s="160"/>
      <c r="L49" s="160"/>
    </row>
    <row r="50" spans="1:12" ht="20.100000000000001" customHeight="1" x14ac:dyDescent="0.25">
      <c r="A50" s="5" t="str">
        <f>HYPERLINK("#'Constants - Solid Waste'!A1", "Constants - Solid Waste")</f>
        <v>Constants - Solid Waste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0"/>
      <c r="F50" s="160"/>
      <c r="G50" s="160"/>
      <c r="H50" s="160"/>
      <c r="I50" s="160"/>
      <c r="J50" s="160"/>
      <c r="K50" s="160"/>
      <c r="L50" s="160"/>
    </row>
    <row r="51" spans="1:12" ht="20.100000000000001" customHeight="1" x14ac:dyDescent="0.25">
      <c r="D51" s="27" t="str" cm="1">
        <f t="array" ref="D51">Fuel_SourceData.Fuel_Scope1Scope3EmissionFactorsStationaryLiquid_Source()</f>
        <v>Australian National Greenhouse Accounts Factors 2025 - Table 8</v>
      </c>
      <c r="E51" s="160"/>
      <c r="F51" s="160"/>
      <c r="G51" s="160"/>
      <c r="H51" s="160"/>
      <c r="I51" s="160"/>
      <c r="J51" s="160"/>
      <c r="K51" s="160"/>
      <c r="L51" s="160"/>
    </row>
    <row r="52" spans="1:12" ht="20.100000000000001" customHeight="1" x14ac:dyDescent="0.25">
      <c r="D52" s="36" t="str" cm="1">
        <f t="array" ref="D52">"⚠️" &amp; Fuel_SourceData.Fuel_Scope1Scope3EmissionFactorsStationaryLiquid_Variation()</f>
        <v>⚠️VARIATION OF SOURCE DATA: 'NE' values returned as zero for calculations.</v>
      </c>
      <c r="E52" s="160"/>
      <c r="F52" s="160"/>
      <c r="G52" s="160"/>
      <c r="H52" s="160"/>
      <c r="I52" s="160"/>
      <c r="J52" s="160"/>
      <c r="K52" s="160"/>
      <c r="L52" s="160"/>
    </row>
    <row r="53" spans="1:12" ht="20.100000000000001" customHeight="1" x14ac:dyDescent="0.25">
      <c r="D53" s="182" t="s">
        <v>542</v>
      </c>
      <c r="E53" s="214" t="s">
        <v>543</v>
      </c>
      <c r="F53" s="182" t="s">
        <v>544</v>
      </c>
      <c r="G53" s="214" t="s">
        <v>545</v>
      </c>
      <c r="H53" s="214" t="s">
        <v>546</v>
      </c>
      <c r="I53" s="214" t="s">
        <v>547</v>
      </c>
      <c r="J53" s="214" t="s">
        <v>548</v>
      </c>
      <c r="K53" s="214" t="s">
        <v>549</v>
      </c>
      <c r="L53" s="160"/>
    </row>
    <row r="54" spans="1:12" ht="20.100000000000001" customHeight="1" x14ac:dyDescent="0.25">
      <c r="D54" s="21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7" cm="1">
        <f t="array" ref="E54">Common_InputFunctions.Utility_DisplayArrayInTable(Fuel_SourceData.Fuel_Scope1Scope3EmissionFactorsStationaryLiquid_Data(), Table_Fuel_EFs_StationaryLiquid[[#Headers],[Fuel combusted]],0)</f>
        <v>38.799999999999997</v>
      </c>
      <c r="F54" s="217" t="str" cm="1">
        <f t="array" ref="F54">Common_InputFunctions.Utility_DisplayArrayInTable(Fuel_SourceData.Fuel_Scope1Scope3EmissionFactorsStationaryLiquid_Data(), Table_Fuel_EFs_StationaryLiquid[[#Headers],[Fuel combusted]],0)</f>
        <v>kl</v>
      </c>
      <c r="G54" s="217" cm="1">
        <f t="array" ref="G54">Common_InputFunctions.Utility_DisplayArrayInTable(Fuel_SourceData.Fuel_Scope1Scope3EmissionFactorsStationaryLiquid_Data(), Table_Fuel_EFs_StationaryLiquid[[#Headers],[Fuel combusted]],0)</f>
        <v>13.9</v>
      </c>
      <c r="H54" s="217" cm="1">
        <f t="array" ref="H54">Common_InputFunctions.Utility_DisplayArrayInTable(Fuel_SourceData.Fuel_Scope1Scope3EmissionFactorsStationaryLiquid_Data(), Table_Fuel_EFs_StationaryLiquid[[#Headers],[Fuel combusted]],0)</f>
        <v>0</v>
      </c>
      <c r="I54" s="217" cm="1">
        <f t="array" ref="I54">Common_InputFunctions.Utility_DisplayArrayInTable(Fuel_SourceData.Fuel_Scope1Scope3EmissionFactorsStationaryLiquid_Data(), Table_Fuel_EFs_StationaryLiquid[[#Headers],[Fuel combusted]],0)</f>
        <v>0</v>
      </c>
      <c r="J54" s="217" cm="1">
        <f t="array" ref="J54">Common_InputFunctions.Utility_DisplayArrayInTable(Fuel_SourceData.Fuel_Scope1Scope3EmissionFactorsStationaryLiquid_Data(), Table_Fuel_EFs_StationaryLiquid[[#Headers],[Fuel combusted]],0)</f>
        <v>13.9</v>
      </c>
      <c r="K54" s="217" cm="1">
        <f t="array" ref="K54">Common_InputFunctions.Utility_DisplayArrayInTable(Fuel_SourceData.Fuel_Scope1Scope3EmissionFactorsStationaryLiquid_Data(), Table_Fuel_EFs_StationaryLiquid[[#Headers],[Fuel combusted]],0)</f>
        <v>18</v>
      </c>
      <c r="L54" s="160"/>
    </row>
    <row r="55" spans="1:12" ht="20.100000000000001" customHeight="1" x14ac:dyDescent="0.25">
      <c r="D55" s="217" t="str" cm="1">
        <f t="array" ref="D55">Common_InputFunctions.Utility_DisplayArrayInTable(Fuel_SourceData.Fuel_Scope1Scope3EmissionFactorsStationaryLiquid_Data(), Table_Fuel_EFs_StationaryLiquid[[#Headers],[Fuel combusted]],0)</f>
        <v>Petroleum based greases</v>
      </c>
      <c r="E55" s="217" cm="1">
        <f t="array" ref="E55">Common_InputFunctions.Utility_DisplayArrayInTable(Fuel_SourceData.Fuel_Scope1Scope3EmissionFactorsStationaryLiquid_Data(), Table_Fuel_EFs_StationaryLiquid[[#Headers],[Fuel combusted]],0)</f>
        <v>38.799999999999997</v>
      </c>
      <c r="F55" s="217" t="str" cm="1">
        <f t="array" ref="F55">Common_InputFunctions.Utility_DisplayArrayInTable(Fuel_SourceData.Fuel_Scope1Scope3EmissionFactorsStationaryLiquid_Data(), Table_Fuel_EFs_StationaryLiquid[[#Headers],[Fuel combusted]],0)</f>
        <v>kl</v>
      </c>
      <c r="G55" s="217" cm="1">
        <f t="array" ref="G55">Common_InputFunctions.Utility_DisplayArrayInTable(Fuel_SourceData.Fuel_Scope1Scope3EmissionFactorsStationaryLiquid_Data(), Table_Fuel_EFs_StationaryLiquid[[#Headers],[Fuel combusted]],0)</f>
        <v>3.5</v>
      </c>
      <c r="H55" s="217" cm="1">
        <f t="array" ref="H55">Common_InputFunctions.Utility_DisplayArrayInTable(Fuel_SourceData.Fuel_Scope1Scope3EmissionFactorsStationaryLiquid_Data(), Table_Fuel_EFs_StationaryLiquid[[#Headers],[Fuel combusted]],0)</f>
        <v>0</v>
      </c>
      <c r="I55" s="217" cm="1">
        <f t="array" ref="I55">Common_InputFunctions.Utility_DisplayArrayInTable(Fuel_SourceData.Fuel_Scope1Scope3EmissionFactorsStationaryLiquid_Data(), Table_Fuel_EFs_StationaryLiquid[[#Headers],[Fuel combusted]],0)</f>
        <v>0</v>
      </c>
      <c r="J55" s="217" cm="1">
        <f t="array" ref="J55">Common_InputFunctions.Utility_DisplayArrayInTable(Fuel_SourceData.Fuel_Scope1Scope3EmissionFactorsStationaryLiquid_Data(), Table_Fuel_EFs_StationaryLiquid[[#Headers],[Fuel combusted]],0)</f>
        <v>3.5</v>
      </c>
      <c r="K55" s="217" cm="1">
        <f t="array" ref="K55">Common_InputFunctions.Utility_DisplayArrayInTable(Fuel_SourceData.Fuel_Scope1Scope3EmissionFactorsStationaryLiquid_Data(), Table_Fuel_EFs_StationaryLiquid[[#Headers],[Fuel combusted]],0)</f>
        <v>18</v>
      </c>
      <c r="L55" s="160"/>
    </row>
    <row r="56" spans="1:12" ht="20.100000000000001" customHeight="1" x14ac:dyDescent="0.25">
      <c r="D56" s="217" t="str" cm="1">
        <f t="array" ref="D56">Common_InputFunctions.Utility_DisplayArrayInTable(Fuel_SourceData.Fuel_Scope1Scope3EmissionFactorsStationaryLiquid_Data(), Table_Fuel_EFs_StationaryLiquid[[#Headers],[Fuel combusted]],0)</f>
        <v>Crude oil including crude oil condensates</v>
      </c>
      <c r="E56" s="217" cm="1">
        <f t="array" ref="E56">Common_InputFunctions.Utility_DisplayArrayInTable(Fuel_SourceData.Fuel_Scope1Scope3EmissionFactorsStationaryLiquid_Data(), Table_Fuel_EFs_StationaryLiquid[[#Headers],[Fuel combusted]],0)</f>
        <v>45.3</v>
      </c>
      <c r="F56" s="217" t="str" cm="1">
        <f t="array" ref="F56">Common_InputFunctions.Utility_DisplayArrayInTable(Fuel_SourceData.Fuel_Scope1Scope3EmissionFactorsStationaryLiquid_Data(), Table_Fuel_EFs_StationaryLiquid[[#Headers],[Fuel combusted]],0)</f>
        <v>t</v>
      </c>
      <c r="G56" s="217" cm="1">
        <f t="array" ref="G56">Common_InputFunctions.Utility_DisplayArrayInTable(Fuel_SourceData.Fuel_Scope1Scope3EmissionFactorsStationaryLiquid_Data(), Table_Fuel_EFs_StationaryLiquid[[#Headers],[Fuel combusted]],0)</f>
        <v>69.599999999999994</v>
      </c>
      <c r="H56" s="217" cm="1">
        <f t="array" ref="H56">Common_InputFunctions.Utility_DisplayArrayInTable(Fuel_SourceData.Fuel_Scope1Scope3EmissionFactorsStationaryLiquid_Data(), Table_Fuel_EFs_StationaryLiquid[[#Headers],[Fuel combusted]],0)</f>
        <v>0.08</v>
      </c>
      <c r="I56" s="217" cm="1">
        <f t="array" ref="I56">Common_InputFunctions.Utility_DisplayArrayInTable(Fuel_SourceData.Fuel_Scope1Scope3EmissionFactorsStationaryLiquid_Data(), Table_Fuel_EFs_StationaryLiquid[[#Headers],[Fuel combusted]],0)</f>
        <v>0.2</v>
      </c>
      <c r="J56" s="217" cm="1">
        <f t="array" ref="J56">Common_InputFunctions.Utility_DisplayArrayInTable(Fuel_SourceData.Fuel_Scope1Scope3EmissionFactorsStationaryLiquid_Data(), Table_Fuel_EFs_StationaryLiquid[[#Headers],[Fuel combusted]],0)</f>
        <v>69.88</v>
      </c>
      <c r="K56" s="217" t="str" cm="1">
        <f t="array" ref="K56">Common_InputFunctions.Utility_DisplayArrayInTable(Fuel_SourceData.Fuel_Scope1Scope3EmissionFactorsStationaryLiquid_Data(), Table_Fuel_EFs_StationaryLiquid[[#Headers],[Fuel combusted]],0)</f>
        <v>NE</v>
      </c>
      <c r="L56" s="160"/>
    </row>
    <row r="57" spans="1:12" ht="20.100000000000001" customHeight="1" x14ac:dyDescent="0.25">
      <c r="D57" s="217" t="str" cm="1">
        <f t="array" ref="D57">Common_InputFunctions.Utility_DisplayArrayInTable(Fuel_SourceData.Fuel_Scope1Scope3EmissionFactorsStationaryLiquid_Data(), Table_Fuel_EFs_StationaryLiquid[[#Headers],[Fuel combusted]],0)</f>
        <v>Other natural gas liquids</v>
      </c>
      <c r="E57" s="217" cm="1">
        <f t="array" ref="E57">Common_InputFunctions.Utility_DisplayArrayInTable(Fuel_SourceData.Fuel_Scope1Scope3EmissionFactorsStationaryLiquid_Data(), Table_Fuel_EFs_StationaryLiquid[[#Headers],[Fuel combusted]],0)</f>
        <v>46.5</v>
      </c>
      <c r="F57" s="217" t="str" cm="1">
        <f t="array" ref="F57">Common_InputFunctions.Utility_DisplayArrayInTable(Fuel_SourceData.Fuel_Scope1Scope3EmissionFactorsStationaryLiquid_Data(), Table_Fuel_EFs_StationaryLiquid[[#Headers],[Fuel combusted]],0)</f>
        <v>t</v>
      </c>
      <c r="G57" s="217" cm="1">
        <f t="array" ref="G57">Common_InputFunctions.Utility_DisplayArrayInTable(Fuel_SourceData.Fuel_Scope1Scope3EmissionFactorsStationaryLiquid_Data(), Table_Fuel_EFs_StationaryLiquid[[#Headers],[Fuel combusted]],0)</f>
        <v>61</v>
      </c>
      <c r="H57" s="217" cm="1">
        <f t="array" ref="H57">Common_InputFunctions.Utility_DisplayArrayInTable(Fuel_SourceData.Fuel_Scope1Scope3EmissionFactorsStationaryLiquid_Data(), Table_Fuel_EFs_StationaryLiquid[[#Headers],[Fuel combusted]],0)</f>
        <v>0.08</v>
      </c>
      <c r="I57" s="217" cm="1">
        <f t="array" ref="I57">Common_InputFunctions.Utility_DisplayArrayInTable(Fuel_SourceData.Fuel_Scope1Scope3EmissionFactorsStationaryLiquid_Data(), Table_Fuel_EFs_StationaryLiquid[[#Headers],[Fuel combusted]],0)</f>
        <v>0.2</v>
      </c>
      <c r="J57" s="217" cm="1">
        <f t="array" ref="J57">Common_InputFunctions.Utility_DisplayArrayInTable(Fuel_SourceData.Fuel_Scope1Scope3EmissionFactorsStationaryLiquid_Data(), Table_Fuel_EFs_StationaryLiquid[[#Headers],[Fuel combusted]],0)</f>
        <v>61.28</v>
      </c>
      <c r="K57" s="217" t="str" cm="1">
        <f t="array" ref="K57">Common_InputFunctions.Utility_DisplayArrayInTable(Fuel_SourceData.Fuel_Scope1Scope3EmissionFactorsStationaryLiquid_Data(), Table_Fuel_EFs_StationaryLiquid[[#Headers],[Fuel combusted]],0)</f>
        <v>NE</v>
      </c>
      <c r="L57" s="160"/>
    </row>
    <row r="58" spans="1:12" ht="20.100000000000001" customHeight="1" x14ac:dyDescent="0.25">
      <c r="D58" s="21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7" cm="1">
        <f t="array" ref="E58">Common_InputFunctions.Utility_DisplayArrayInTable(Fuel_SourceData.Fuel_Scope1Scope3EmissionFactorsStationaryLiquid_Data(), Table_Fuel_EFs_StationaryLiquid[[#Headers],[Fuel combusted]],0)</f>
        <v>34.200000000000003</v>
      </c>
      <c r="F58" s="217" t="str" cm="1">
        <f t="array" ref="F58">Common_InputFunctions.Utility_DisplayArrayInTable(Fuel_SourceData.Fuel_Scope1Scope3EmissionFactorsStationaryLiquid_Data(), Table_Fuel_EFs_StationaryLiquid[[#Headers],[Fuel combusted]],0)</f>
        <v>kL</v>
      </c>
      <c r="G58" s="217" cm="1">
        <f t="array" ref="G58">Common_InputFunctions.Utility_DisplayArrayInTable(Fuel_SourceData.Fuel_Scope1Scope3EmissionFactorsStationaryLiquid_Data(), Table_Fuel_EFs_StationaryLiquid[[#Headers],[Fuel combusted]],0)</f>
        <v>67.400000000000006</v>
      </c>
      <c r="H58" s="217" cm="1">
        <f t="array" ref="H58">Common_InputFunctions.Utility_DisplayArrayInTable(Fuel_SourceData.Fuel_Scope1Scope3EmissionFactorsStationaryLiquid_Data(), Table_Fuel_EFs_StationaryLiquid[[#Headers],[Fuel combusted]],0)</f>
        <v>0.2</v>
      </c>
      <c r="I58" s="217" cm="1">
        <f t="array" ref="I58">Common_InputFunctions.Utility_DisplayArrayInTable(Fuel_SourceData.Fuel_Scope1Scope3EmissionFactorsStationaryLiquid_Data(), Table_Fuel_EFs_StationaryLiquid[[#Headers],[Fuel combusted]],0)</f>
        <v>0.2</v>
      </c>
      <c r="J58" s="217" cm="1">
        <f t="array" ref="J58">Common_InputFunctions.Utility_DisplayArrayInTable(Fuel_SourceData.Fuel_Scope1Scope3EmissionFactorsStationaryLiquid_Data(), Table_Fuel_EFs_StationaryLiquid[[#Headers],[Fuel combusted]],0)</f>
        <v>67.8</v>
      </c>
      <c r="K58" s="217" cm="1">
        <f t="array" ref="K58">Common_InputFunctions.Utility_DisplayArrayInTable(Fuel_SourceData.Fuel_Scope1Scope3EmissionFactorsStationaryLiquid_Data(), Table_Fuel_EFs_StationaryLiquid[[#Headers],[Fuel combusted]],0)</f>
        <v>17.2</v>
      </c>
      <c r="L58" s="160"/>
    </row>
    <row r="59" spans="1:12" ht="20.100000000000001" customHeight="1" x14ac:dyDescent="0.25">
      <c r="D59" s="217" t="str" cm="1">
        <f t="array" ref="D59">Common_InputFunctions.Utility_DisplayArrayInTable(Fuel_SourceData.Fuel_Scope1Scope3EmissionFactorsStationaryLiquid_Data(), Table_Fuel_EFs_StationaryLiquid[[#Headers],[Fuel combusted]],0)</f>
        <v>Aviation gasoline</v>
      </c>
      <c r="E59" s="217" cm="1">
        <f t="array" ref="E59">Common_InputFunctions.Utility_DisplayArrayInTable(Fuel_SourceData.Fuel_Scope1Scope3EmissionFactorsStationaryLiquid_Data(), Table_Fuel_EFs_StationaryLiquid[[#Headers],[Fuel combusted]],0)</f>
        <v>33.1</v>
      </c>
      <c r="F59" s="217" t="str" cm="1">
        <f t="array" ref="F59">Common_InputFunctions.Utility_DisplayArrayInTable(Fuel_SourceData.Fuel_Scope1Scope3EmissionFactorsStationaryLiquid_Data(), Table_Fuel_EFs_StationaryLiquid[[#Headers],[Fuel combusted]],0)</f>
        <v>kL</v>
      </c>
      <c r="G59" s="217" cm="1">
        <f t="array" ref="G59">Common_InputFunctions.Utility_DisplayArrayInTable(Fuel_SourceData.Fuel_Scope1Scope3EmissionFactorsStationaryLiquid_Data(), Table_Fuel_EFs_StationaryLiquid[[#Headers],[Fuel combusted]],0)</f>
        <v>67</v>
      </c>
      <c r="H59" s="217" cm="1">
        <f t="array" ref="H59">Common_InputFunctions.Utility_DisplayArrayInTable(Fuel_SourceData.Fuel_Scope1Scope3EmissionFactorsStationaryLiquid_Data(), Table_Fuel_EFs_StationaryLiquid[[#Headers],[Fuel combusted]],0)</f>
        <v>0.2</v>
      </c>
      <c r="I59" s="217" cm="1">
        <f t="array" ref="I59">Common_InputFunctions.Utility_DisplayArrayInTable(Fuel_SourceData.Fuel_Scope1Scope3EmissionFactorsStationaryLiquid_Data(), Table_Fuel_EFs_StationaryLiquid[[#Headers],[Fuel combusted]],0)</f>
        <v>0.2</v>
      </c>
      <c r="J59" s="217" cm="1">
        <f t="array" ref="J59">Common_InputFunctions.Utility_DisplayArrayInTable(Fuel_SourceData.Fuel_Scope1Scope3EmissionFactorsStationaryLiquid_Data(), Table_Fuel_EFs_StationaryLiquid[[#Headers],[Fuel combusted]],0)</f>
        <v>67.400000000000006</v>
      </c>
      <c r="K59" s="217" cm="1">
        <f t="array" ref="K59">Common_InputFunctions.Utility_DisplayArrayInTable(Fuel_SourceData.Fuel_Scope1Scope3EmissionFactorsStationaryLiquid_Data(), Table_Fuel_EFs_StationaryLiquid[[#Headers],[Fuel combusted]],0)</f>
        <v>18</v>
      </c>
      <c r="L59" s="160"/>
    </row>
    <row r="60" spans="1:12" ht="20.100000000000001" customHeight="1" x14ac:dyDescent="0.25">
      <c r="D60" s="217" t="str" cm="1">
        <f t="array" ref="D60">Common_InputFunctions.Utility_DisplayArrayInTable(Fuel_SourceData.Fuel_Scope1Scope3EmissionFactorsStationaryLiquid_Data(), Table_Fuel_EFs_StationaryLiquid[[#Headers],[Fuel combusted]],0)</f>
        <v>Kerosene (other than for use as fuel in an aircraft)</v>
      </c>
      <c r="E60" s="217" cm="1">
        <f t="array" ref="E60">Common_InputFunctions.Utility_DisplayArrayInTable(Fuel_SourceData.Fuel_Scope1Scope3EmissionFactorsStationaryLiquid_Data(), Table_Fuel_EFs_StationaryLiquid[[#Headers],[Fuel combusted]],0)</f>
        <v>37.5</v>
      </c>
      <c r="F60" s="217" t="str" cm="1">
        <f t="array" ref="F60">Common_InputFunctions.Utility_DisplayArrayInTable(Fuel_SourceData.Fuel_Scope1Scope3EmissionFactorsStationaryLiquid_Data(), Table_Fuel_EFs_StationaryLiquid[[#Headers],[Fuel combusted]],0)</f>
        <v>kL</v>
      </c>
      <c r="G60" s="217" cm="1">
        <f t="array" ref="G60">Common_InputFunctions.Utility_DisplayArrayInTable(Fuel_SourceData.Fuel_Scope1Scope3EmissionFactorsStationaryLiquid_Data(), Table_Fuel_EFs_StationaryLiquid[[#Headers],[Fuel combusted]],0)</f>
        <v>68.900000000000006</v>
      </c>
      <c r="H60" s="217" cm="1">
        <f t="array" ref="H60">Common_InputFunctions.Utility_DisplayArrayInTable(Fuel_SourceData.Fuel_Scope1Scope3EmissionFactorsStationaryLiquid_Data(), Table_Fuel_EFs_StationaryLiquid[[#Headers],[Fuel combusted]],0)</f>
        <v>0.01</v>
      </c>
      <c r="I60" s="217" cm="1">
        <f t="array" ref="I60">Common_InputFunctions.Utility_DisplayArrayInTable(Fuel_SourceData.Fuel_Scope1Scope3EmissionFactorsStationaryLiquid_Data(), Table_Fuel_EFs_StationaryLiquid[[#Headers],[Fuel combusted]],0)</f>
        <v>0.2</v>
      </c>
      <c r="J60" s="217" cm="1">
        <f t="array" ref="J60">Common_InputFunctions.Utility_DisplayArrayInTable(Fuel_SourceData.Fuel_Scope1Scope3EmissionFactorsStationaryLiquid_Data(), Table_Fuel_EFs_StationaryLiquid[[#Headers],[Fuel combusted]],0)</f>
        <v>69.11</v>
      </c>
      <c r="K60" s="217" cm="1">
        <f t="array" ref="K60">Common_InputFunctions.Utility_DisplayArrayInTable(Fuel_SourceData.Fuel_Scope1Scope3EmissionFactorsStationaryLiquid_Data(), Table_Fuel_EFs_StationaryLiquid[[#Headers],[Fuel combusted]],0)</f>
        <v>18</v>
      </c>
      <c r="L60" s="160"/>
    </row>
    <row r="61" spans="1:12" ht="20.100000000000001" customHeight="1" x14ac:dyDescent="0.25">
      <c r="D61" s="217" t="str" cm="1">
        <f t="array" ref="D61">Common_InputFunctions.Utility_DisplayArrayInTable(Fuel_SourceData.Fuel_Scope1Scope3EmissionFactorsStationaryLiquid_Data(), Table_Fuel_EFs_StationaryLiquid[[#Headers],[Fuel combusted]],0)</f>
        <v>Aviation turbine fuel / kerosene</v>
      </c>
      <c r="E61" s="217" cm="1">
        <f t="array" ref="E61">Common_InputFunctions.Utility_DisplayArrayInTable(Fuel_SourceData.Fuel_Scope1Scope3EmissionFactorsStationaryLiquid_Data(), Table_Fuel_EFs_StationaryLiquid[[#Headers],[Fuel combusted]],0)</f>
        <v>36.799999999999997</v>
      </c>
      <c r="F61" s="217" t="str" cm="1">
        <f t="array" ref="F61">Common_InputFunctions.Utility_DisplayArrayInTable(Fuel_SourceData.Fuel_Scope1Scope3EmissionFactorsStationaryLiquid_Data(), Table_Fuel_EFs_StationaryLiquid[[#Headers],[Fuel combusted]],0)</f>
        <v>kL</v>
      </c>
      <c r="G61" s="217" cm="1">
        <f t="array" ref="G61">Common_InputFunctions.Utility_DisplayArrayInTable(Fuel_SourceData.Fuel_Scope1Scope3EmissionFactorsStationaryLiquid_Data(), Table_Fuel_EFs_StationaryLiquid[[#Headers],[Fuel combusted]],0)</f>
        <v>69.599999999999994</v>
      </c>
      <c r="H61" s="217" cm="1">
        <f t="array" ref="H61">Common_InputFunctions.Utility_DisplayArrayInTable(Fuel_SourceData.Fuel_Scope1Scope3EmissionFactorsStationaryLiquid_Data(), Table_Fuel_EFs_StationaryLiquid[[#Headers],[Fuel combusted]],0)</f>
        <v>0.02</v>
      </c>
      <c r="I61" s="217" cm="1">
        <f t="array" ref="I61">Common_InputFunctions.Utility_DisplayArrayInTable(Fuel_SourceData.Fuel_Scope1Scope3EmissionFactorsStationaryLiquid_Data(), Table_Fuel_EFs_StationaryLiquid[[#Headers],[Fuel combusted]],0)</f>
        <v>0.2</v>
      </c>
      <c r="J61" s="217" cm="1">
        <f t="array" ref="J61">Common_InputFunctions.Utility_DisplayArrayInTable(Fuel_SourceData.Fuel_Scope1Scope3EmissionFactorsStationaryLiquid_Data(), Table_Fuel_EFs_StationaryLiquid[[#Headers],[Fuel combusted]],0)</f>
        <v>69.819999999999993</v>
      </c>
      <c r="K61" s="217" cm="1">
        <f t="array" ref="K61">Common_InputFunctions.Utility_DisplayArrayInTable(Fuel_SourceData.Fuel_Scope1Scope3EmissionFactorsStationaryLiquid_Data(), Table_Fuel_EFs_StationaryLiquid[[#Headers],[Fuel combusted]],0)</f>
        <v>18</v>
      </c>
      <c r="L61" s="160"/>
    </row>
    <row r="62" spans="1:12" ht="20.100000000000001" customHeight="1" x14ac:dyDescent="0.25">
      <c r="D62" s="217" t="str" cm="1">
        <f t="array" ref="D62">Common_InputFunctions.Utility_DisplayArrayInTable(Fuel_SourceData.Fuel_Scope1Scope3EmissionFactorsStationaryLiquid_Data(), Table_Fuel_EFs_StationaryLiquid[[#Headers],[Fuel combusted]],0)</f>
        <v>Heating oil</v>
      </c>
      <c r="E62" s="217" cm="1">
        <f t="array" ref="E62">Common_InputFunctions.Utility_DisplayArrayInTable(Fuel_SourceData.Fuel_Scope1Scope3EmissionFactorsStationaryLiquid_Data(), Table_Fuel_EFs_StationaryLiquid[[#Headers],[Fuel combusted]],0)</f>
        <v>37.299999999999997</v>
      </c>
      <c r="F62" s="217" t="str" cm="1">
        <f t="array" ref="F62">Common_InputFunctions.Utility_DisplayArrayInTable(Fuel_SourceData.Fuel_Scope1Scope3EmissionFactorsStationaryLiquid_Data(), Table_Fuel_EFs_StationaryLiquid[[#Headers],[Fuel combusted]],0)</f>
        <v>kL</v>
      </c>
      <c r="G62" s="217" cm="1">
        <f t="array" ref="G62">Common_InputFunctions.Utility_DisplayArrayInTable(Fuel_SourceData.Fuel_Scope1Scope3EmissionFactorsStationaryLiquid_Data(), Table_Fuel_EFs_StationaryLiquid[[#Headers],[Fuel combusted]],0)</f>
        <v>69.5</v>
      </c>
      <c r="H62" s="217" cm="1">
        <f t="array" ref="H62">Common_InputFunctions.Utility_DisplayArrayInTable(Fuel_SourceData.Fuel_Scope1Scope3EmissionFactorsStationaryLiquid_Data(), Table_Fuel_EFs_StationaryLiquid[[#Headers],[Fuel combusted]],0)</f>
        <v>0.03</v>
      </c>
      <c r="I62" s="217" cm="1">
        <f t="array" ref="I62">Common_InputFunctions.Utility_DisplayArrayInTable(Fuel_SourceData.Fuel_Scope1Scope3EmissionFactorsStationaryLiquid_Data(), Table_Fuel_EFs_StationaryLiquid[[#Headers],[Fuel combusted]],0)</f>
        <v>0.2</v>
      </c>
      <c r="J62" s="217" cm="1">
        <f t="array" ref="J62">Common_InputFunctions.Utility_DisplayArrayInTable(Fuel_SourceData.Fuel_Scope1Scope3EmissionFactorsStationaryLiquid_Data(), Table_Fuel_EFs_StationaryLiquid[[#Headers],[Fuel combusted]],0)</f>
        <v>69.73</v>
      </c>
      <c r="K62" s="217" cm="1">
        <f t="array" ref="K62">Common_InputFunctions.Utility_DisplayArrayInTable(Fuel_SourceData.Fuel_Scope1Scope3EmissionFactorsStationaryLiquid_Data(), Table_Fuel_EFs_StationaryLiquid[[#Headers],[Fuel combusted]],0)</f>
        <v>18</v>
      </c>
      <c r="L62" s="160"/>
    </row>
    <row r="63" spans="1:12" ht="20.100000000000001" customHeight="1" x14ac:dyDescent="0.25">
      <c r="D63" s="217" t="str" cm="1">
        <f t="array" ref="D63">Common_InputFunctions.Utility_DisplayArrayInTable(Fuel_SourceData.Fuel_Scope1Scope3EmissionFactorsStationaryLiquid_Data(), Table_Fuel_EFs_StationaryLiquid[[#Headers],[Fuel combusted]],0)</f>
        <v>Diesel oil</v>
      </c>
      <c r="E63" s="217" cm="1">
        <f t="array" ref="E63">Common_InputFunctions.Utility_DisplayArrayInTable(Fuel_SourceData.Fuel_Scope1Scope3EmissionFactorsStationaryLiquid_Data(), Table_Fuel_EFs_StationaryLiquid[[#Headers],[Fuel combusted]],0)</f>
        <v>38.6</v>
      </c>
      <c r="F63" s="217" t="str" cm="1">
        <f t="array" ref="F63">Common_InputFunctions.Utility_DisplayArrayInTable(Fuel_SourceData.Fuel_Scope1Scope3EmissionFactorsStationaryLiquid_Data(), Table_Fuel_EFs_StationaryLiquid[[#Headers],[Fuel combusted]],0)</f>
        <v>kL</v>
      </c>
      <c r="G63" s="217" cm="1">
        <f t="array" ref="G63">Common_InputFunctions.Utility_DisplayArrayInTable(Fuel_SourceData.Fuel_Scope1Scope3EmissionFactorsStationaryLiquid_Data(), Table_Fuel_EFs_StationaryLiquid[[#Headers],[Fuel combusted]],0)</f>
        <v>69.900000000000006</v>
      </c>
      <c r="H63" s="217" cm="1">
        <f t="array" ref="H63">Common_InputFunctions.Utility_DisplayArrayInTable(Fuel_SourceData.Fuel_Scope1Scope3EmissionFactorsStationaryLiquid_Data(), Table_Fuel_EFs_StationaryLiquid[[#Headers],[Fuel combusted]],0)</f>
        <v>0.1</v>
      </c>
      <c r="I63" s="217" cm="1">
        <f t="array" ref="I63">Common_InputFunctions.Utility_DisplayArrayInTable(Fuel_SourceData.Fuel_Scope1Scope3EmissionFactorsStationaryLiquid_Data(), Table_Fuel_EFs_StationaryLiquid[[#Headers],[Fuel combusted]],0)</f>
        <v>0.2</v>
      </c>
      <c r="J63" s="217" cm="1">
        <f t="array" ref="J63">Common_InputFunctions.Utility_DisplayArrayInTable(Fuel_SourceData.Fuel_Scope1Scope3EmissionFactorsStationaryLiquid_Data(), Table_Fuel_EFs_StationaryLiquid[[#Headers],[Fuel combusted]],0)</f>
        <v>70.2</v>
      </c>
      <c r="K63" s="217" cm="1">
        <f t="array" ref="K63">Common_InputFunctions.Utility_DisplayArrayInTable(Fuel_SourceData.Fuel_Scope1Scope3EmissionFactorsStationaryLiquid_Data(), Table_Fuel_EFs_StationaryLiquid[[#Headers],[Fuel combusted]],0)</f>
        <v>17.3</v>
      </c>
      <c r="L63" s="160"/>
    </row>
    <row r="64" spans="1:12" ht="20.100000000000001" customHeight="1" x14ac:dyDescent="0.25">
      <c r="D64" s="217" t="str" cm="1">
        <f t="array" ref="D64">Common_InputFunctions.Utility_DisplayArrayInTable(Fuel_SourceData.Fuel_Scope1Scope3EmissionFactorsStationaryLiquid_Data(), Table_Fuel_EFs_StationaryLiquid[[#Headers],[Fuel combusted]],0)</f>
        <v>Fuel oil</v>
      </c>
      <c r="E64" s="217" cm="1">
        <f t="array" ref="E64">Common_InputFunctions.Utility_DisplayArrayInTable(Fuel_SourceData.Fuel_Scope1Scope3EmissionFactorsStationaryLiquid_Data(), Table_Fuel_EFs_StationaryLiquid[[#Headers],[Fuel combusted]],0)</f>
        <v>39.700000000000003</v>
      </c>
      <c r="F64" s="217" t="str" cm="1">
        <f t="array" ref="F64">Common_InputFunctions.Utility_DisplayArrayInTable(Fuel_SourceData.Fuel_Scope1Scope3EmissionFactorsStationaryLiquid_Data(), Table_Fuel_EFs_StationaryLiquid[[#Headers],[Fuel combusted]],0)</f>
        <v>kL</v>
      </c>
      <c r="G64" s="217" cm="1">
        <f t="array" ref="G64">Common_InputFunctions.Utility_DisplayArrayInTable(Fuel_SourceData.Fuel_Scope1Scope3EmissionFactorsStationaryLiquid_Data(), Table_Fuel_EFs_StationaryLiquid[[#Headers],[Fuel combusted]],0)</f>
        <v>73.599999999999994</v>
      </c>
      <c r="H64" s="217" cm="1">
        <f t="array" ref="H64">Common_InputFunctions.Utility_DisplayArrayInTable(Fuel_SourceData.Fuel_Scope1Scope3EmissionFactorsStationaryLiquid_Data(), Table_Fuel_EFs_StationaryLiquid[[#Headers],[Fuel combusted]],0)</f>
        <v>0.04</v>
      </c>
      <c r="I64" s="217" cm="1">
        <f t="array" ref="I64">Common_InputFunctions.Utility_DisplayArrayInTable(Fuel_SourceData.Fuel_Scope1Scope3EmissionFactorsStationaryLiquid_Data(), Table_Fuel_EFs_StationaryLiquid[[#Headers],[Fuel combusted]],0)</f>
        <v>0.2</v>
      </c>
      <c r="J64" s="217" cm="1">
        <f t="array" ref="J64">Common_InputFunctions.Utility_DisplayArrayInTable(Fuel_SourceData.Fuel_Scope1Scope3EmissionFactorsStationaryLiquid_Data(), Table_Fuel_EFs_StationaryLiquid[[#Headers],[Fuel combusted]],0)</f>
        <v>73.84</v>
      </c>
      <c r="K64" s="217" cm="1">
        <f t="array" ref="K64">Common_InputFunctions.Utility_DisplayArrayInTable(Fuel_SourceData.Fuel_Scope1Scope3EmissionFactorsStationaryLiquid_Data(), Table_Fuel_EFs_StationaryLiquid[[#Headers],[Fuel combusted]],0)</f>
        <v>18</v>
      </c>
      <c r="L64" s="160"/>
    </row>
    <row r="65" spans="4:13" ht="20.100000000000001" customHeight="1" x14ac:dyDescent="0.25">
      <c r="D65" s="217" t="str" cm="1">
        <f t="array" ref="D65">Common_InputFunctions.Utility_DisplayArrayInTable(Fuel_SourceData.Fuel_Scope1Scope3EmissionFactorsStationaryLiquid_Data(), Table_Fuel_EFs_StationaryLiquid[[#Headers],[Fuel combusted]],0)</f>
        <v>Liquefied aromatic hydrocarbons</v>
      </c>
      <c r="E65" s="217" cm="1">
        <f t="array" ref="E65">Common_InputFunctions.Utility_DisplayArrayInTable(Fuel_SourceData.Fuel_Scope1Scope3EmissionFactorsStationaryLiquid_Data(), Table_Fuel_EFs_StationaryLiquid[[#Headers],[Fuel combusted]],0)</f>
        <v>34.4</v>
      </c>
      <c r="F65" s="217" t="str" cm="1">
        <f t="array" ref="F65">Common_InputFunctions.Utility_DisplayArrayInTable(Fuel_SourceData.Fuel_Scope1Scope3EmissionFactorsStationaryLiquid_Data(), Table_Fuel_EFs_StationaryLiquid[[#Headers],[Fuel combusted]],0)</f>
        <v>kL</v>
      </c>
      <c r="G65" s="217" cm="1">
        <f t="array" ref="G65">Common_InputFunctions.Utility_DisplayArrayInTable(Fuel_SourceData.Fuel_Scope1Scope3EmissionFactorsStationaryLiquid_Data(), Table_Fuel_EFs_StationaryLiquid[[#Headers],[Fuel combusted]],0)</f>
        <v>69.7</v>
      </c>
      <c r="H65" s="217" cm="1">
        <f t="array" ref="H65">Common_InputFunctions.Utility_DisplayArrayInTable(Fuel_SourceData.Fuel_Scope1Scope3EmissionFactorsStationaryLiquid_Data(), Table_Fuel_EFs_StationaryLiquid[[#Headers],[Fuel combusted]],0)</f>
        <v>0.03</v>
      </c>
      <c r="I65" s="217" cm="1">
        <f t="array" ref="I65">Common_InputFunctions.Utility_DisplayArrayInTable(Fuel_SourceData.Fuel_Scope1Scope3EmissionFactorsStationaryLiquid_Data(), Table_Fuel_EFs_StationaryLiquid[[#Headers],[Fuel combusted]],0)</f>
        <v>0.2</v>
      </c>
      <c r="J65" s="217" cm="1">
        <f t="array" ref="J65">Common_InputFunctions.Utility_DisplayArrayInTable(Fuel_SourceData.Fuel_Scope1Scope3EmissionFactorsStationaryLiquid_Data(), Table_Fuel_EFs_StationaryLiquid[[#Headers],[Fuel combusted]],0)</f>
        <v>69.930000000000007</v>
      </c>
      <c r="K65" s="217" cm="1">
        <f t="array" ref="K65">Common_InputFunctions.Utility_DisplayArrayInTable(Fuel_SourceData.Fuel_Scope1Scope3EmissionFactorsStationaryLiquid_Data(), Table_Fuel_EFs_StationaryLiquid[[#Headers],[Fuel combusted]],0)</f>
        <v>18</v>
      </c>
      <c r="L65" s="160"/>
    </row>
    <row r="66" spans="4:13" ht="20.100000000000001" customHeight="1" x14ac:dyDescent="0.25">
      <c r="D66" s="217" t="str" cm="1">
        <f t="array" ref="D66">Common_InputFunctions.Utility_DisplayArrayInTable(Fuel_SourceData.Fuel_Scope1Scope3EmissionFactorsStationaryLiquid_Data(), Table_Fuel_EFs_StationaryLiquid[[#Headers],[Fuel combusted]],0)</f>
        <v>Solvents: mineral turpentine or white spirits</v>
      </c>
      <c r="E66" s="217" cm="1">
        <f t="array" ref="E66">Common_InputFunctions.Utility_DisplayArrayInTable(Fuel_SourceData.Fuel_Scope1Scope3EmissionFactorsStationaryLiquid_Data(), Table_Fuel_EFs_StationaryLiquid[[#Headers],[Fuel combusted]],0)</f>
        <v>34.4</v>
      </c>
      <c r="F66" s="217" t="str" cm="1">
        <f t="array" ref="F66">Common_InputFunctions.Utility_DisplayArrayInTable(Fuel_SourceData.Fuel_Scope1Scope3EmissionFactorsStationaryLiquid_Data(), Table_Fuel_EFs_StationaryLiquid[[#Headers],[Fuel combusted]],0)</f>
        <v>kL</v>
      </c>
      <c r="G66" s="217" cm="1">
        <f t="array" ref="G66">Common_InputFunctions.Utility_DisplayArrayInTable(Fuel_SourceData.Fuel_Scope1Scope3EmissionFactorsStationaryLiquid_Data(), Table_Fuel_EFs_StationaryLiquid[[#Headers],[Fuel combusted]],0)</f>
        <v>69.7</v>
      </c>
      <c r="H66" s="217" cm="1">
        <f t="array" ref="H66">Common_InputFunctions.Utility_DisplayArrayInTable(Fuel_SourceData.Fuel_Scope1Scope3EmissionFactorsStationaryLiquid_Data(), Table_Fuel_EFs_StationaryLiquid[[#Headers],[Fuel combusted]],0)</f>
        <v>0.03</v>
      </c>
      <c r="I66" s="217" cm="1">
        <f t="array" ref="I66">Common_InputFunctions.Utility_DisplayArrayInTable(Fuel_SourceData.Fuel_Scope1Scope3EmissionFactorsStationaryLiquid_Data(), Table_Fuel_EFs_StationaryLiquid[[#Headers],[Fuel combusted]],0)</f>
        <v>0.2</v>
      </c>
      <c r="J66" s="217" cm="1">
        <f t="array" ref="J66">Common_InputFunctions.Utility_DisplayArrayInTable(Fuel_SourceData.Fuel_Scope1Scope3EmissionFactorsStationaryLiquid_Data(), Table_Fuel_EFs_StationaryLiquid[[#Headers],[Fuel combusted]],0)</f>
        <v>69.930000000000007</v>
      </c>
      <c r="K66" s="217" cm="1">
        <f t="array" ref="K66">Common_InputFunctions.Utility_DisplayArrayInTable(Fuel_SourceData.Fuel_Scope1Scope3EmissionFactorsStationaryLiquid_Data(), Table_Fuel_EFs_StationaryLiquid[[#Headers],[Fuel combusted]],0)</f>
        <v>18</v>
      </c>
      <c r="L66" s="160"/>
    </row>
    <row r="67" spans="4:13" ht="20.100000000000001" customHeight="1" x14ac:dyDescent="0.25">
      <c r="D67" s="217" t="str" cm="1">
        <f t="array" ref="D67">Common_InputFunctions.Utility_DisplayArrayInTable(Fuel_SourceData.Fuel_Scope1Scope3EmissionFactorsStationaryLiquid_Data(), Table_Fuel_EFs_StationaryLiquid[[#Headers],[Fuel combusted]],0)</f>
        <v>Liquefied petroleum gas (LPG)</v>
      </c>
      <c r="E67" s="217" cm="1">
        <f t="array" ref="E67">Common_InputFunctions.Utility_DisplayArrayInTable(Fuel_SourceData.Fuel_Scope1Scope3EmissionFactorsStationaryLiquid_Data(), Table_Fuel_EFs_StationaryLiquid[[#Headers],[Fuel combusted]],0)</f>
        <v>25.7</v>
      </c>
      <c r="F67" s="217" t="str" cm="1">
        <f t="array" ref="F67">Common_InputFunctions.Utility_DisplayArrayInTable(Fuel_SourceData.Fuel_Scope1Scope3EmissionFactorsStationaryLiquid_Data(), Table_Fuel_EFs_StationaryLiquid[[#Headers],[Fuel combusted]],0)</f>
        <v>kL</v>
      </c>
      <c r="G67" s="217" cm="1">
        <f t="array" ref="G67">Common_InputFunctions.Utility_DisplayArrayInTable(Fuel_SourceData.Fuel_Scope1Scope3EmissionFactorsStationaryLiquid_Data(), Table_Fuel_EFs_StationaryLiquid[[#Headers],[Fuel combusted]],0)</f>
        <v>60.2</v>
      </c>
      <c r="H67" s="217" cm="1">
        <f t="array" ref="H67">Common_InputFunctions.Utility_DisplayArrayInTable(Fuel_SourceData.Fuel_Scope1Scope3EmissionFactorsStationaryLiquid_Data(), Table_Fuel_EFs_StationaryLiquid[[#Headers],[Fuel combusted]],0)</f>
        <v>0.2</v>
      </c>
      <c r="I67" s="217" cm="1">
        <f t="array" ref="I67">Common_InputFunctions.Utility_DisplayArrayInTable(Fuel_SourceData.Fuel_Scope1Scope3EmissionFactorsStationaryLiquid_Data(), Table_Fuel_EFs_StationaryLiquid[[#Headers],[Fuel combusted]],0)</f>
        <v>0.2</v>
      </c>
      <c r="J67" s="217" cm="1">
        <f t="array" ref="J67">Common_InputFunctions.Utility_DisplayArrayInTable(Fuel_SourceData.Fuel_Scope1Scope3EmissionFactorsStationaryLiquid_Data(), Table_Fuel_EFs_StationaryLiquid[[#Headers],[Fuel combusted]],0)</f>
        <v>60.6</v>
      </c>
      <c r="K67" s="217" cm="1">
        <f t="array" ref="K67">Common_InputFunctions.Utility_DisplayArrayInTable(Fuel_SourceData.Fuel_Scope1Scope3EmissionFactorsStationaryLiquid_Data(), Table_Fuel_EFs_StationaryLiquid[[#Headers],[Fuel combusted]],0)</f>
        <v>20.2</v>
      </c>
      <c r="L67" s="160"/>
    </row>
    <row r="68" spans="4:13" ht="20.100000000000001" customHeight="1" x14ac:dyDescent="0.25">
      <c r="D68" s="217" t="str" cm="1">
        <f t="array" ref="D68">Common_InputFunctions.Utility_DisplayArrayInTable(Fuel_SourceData.Fuel_Scope1Scope3EmissionFactorsStationaryLiquid_Data(), Table_Fuel_EFs_StationaryLiquid[[#Headers],[Fuel combusted]],0)</f>
        <v>Naphtha</v>
      </c>
      <c r="E68" s="217" cm="1">
        <f t="array" ref="E68">Common_InputFunctions.Utility_DisplayArrayInTable(Fuel_SourceData.Fuel_Scope1Scope3EmissionFactorsStationaryLiquid_Data(), Table_Fuel_EFs_StationaryLiquid[[#Headers],[Fuel combusted]],0)</f>
        <v>31.4</v>
      </c>
      <c r="F68" s="217" t="str" cm="1">
        <f t="array" ref="F68">Common_InputFunctions.Utility_DisplayArrayInTable(Fuel_SourceData.Fuel_Scope1Scope3EmissionFactorsStationaryLiquid_Data(), Table_Fuel_EFs_StationaryLiquid[[#Headers],[Fuel combusted]],0)</f>
        <v>kL</v>
      </c>
      <c r="G68" s="217" cm="1">
        <f t="array" ref="G68">Common_InputFunctions.Utility_DisplayArrayInTable(Fuel_SourceData.Fuel_Scope1Scope3EmissionFactorsStationaryLiquid_Data(), Table_Fuel_EFs_StationaryLiquid[[#Headers],[Fuel combusted]],0)</f>
        <v>69.8</v>
      </c>
      <c r="H68" s="217" cm="1">
        <f t="array" ref="H68">Common_InputFunctions.Utility_DisplayArrayInTable(Fuel_SourceData.Fuel_Scope1Scope3EmissionFactorsStationaryLiquid_Data(), Table_Fuel_EFs_StationaryLiquid[[#Headers],[Fuel combusted]],0)</f>
        <v>0.01</v>
      </c>
      <c r="I68" s="217" cm="1">
        <f t="array" ref="I68">Common_InputFunctions.Utility_DisplayArrayInTable(Fuel_SourceData.Fuel_Scope1Scope3EmissionFactorsStationaryLiquid_Data(), Table_Fuel_EFs_StationaryLiquid[[#Headers],[Fuel combusted]],0)</f>
        <v>0.01</v>
      </c>
      <c r="J68" s="217" cm="1">
        <f t="array" ref="J68">Common_InputFunctions.Utility_DisplayArrayInTable(Fuel_SourceData.Fuel_Scope1Scope3EmissionFactorsStationaryLiquid_Data(), Table_Fuel_EFs_StationaryLiquid[[#Headers],[Fuel combusted]],0)</f>
        <v>69.819999999999993</v>
      </c>
      <c r="K68" s="217" cm="1">
        <f t="array" ref="K68">Common_InputFunctions.Utility_DisplayArrayInTable(Fuel_SourceData.Fuel_Scope1Scope3EmissionFactorsStationaryLiquid_Data(), Table_Fuel_EFs_StationaryLiquid[[#Headers],[Fuel combusted]],0)</f>
        <v>18</v>
      </c>
      <c r="L68" s="160"/>
    </row>
    <row r="69" spans="4:13" ht="20.100000000000001" customHeight="1" x14ac:dyDescent="0.25">
      <c r="D69" s="217" t="str" cm="1">
        <f t="array" ref="D69">Common_InputFunctions.Utility_DisplayArrayInTable(Fuel_SourceData.Fuel_Scope1Scope3EmissionFactorsStationaryLiquid_Data(), Table_Fuel_EFs_StationaryLiquid[[#Headers],[Fuel combusted]],0)</f>
        <v>Petroleum coke</v>
      </c>
      <c r="E69" s="217" cm="1">
        <f t="array" ref="E69">Common_InputFunctions.Utility_DisplayArrayInTable(Fuel_SourceData.Fuel_Scope1Scope3EmissionFactorsStationaryLiquid_Data(), Table_Fuel_EFs_StationaryLiquid[[#Headers],[Fuel combusted]],0)</f>
        <v>34.200000000000003</v>
      </c>
      <c r="F69" s="217" t="str" cm="1">
        <f t="array" ref="F69">Common_InputFunctions.Utility_DisplayArrayInTable(Fuel_SourceData.Fuel_Scope1Scope3EmissionFactorsStationaryLiquid_Data(), Table_Fuel_EFs_StationaryLiquid[[#Headers],[Fuel combusted]],0)</f>
        <v>t</v>
      </c>
      <c r="G69" s="217" cm="1">
        <f t="array" ref="G69">Common_InputFunctions.Utility_DisplayArrayInTable(Fuel_SourceData.Fuel_Scope1Scope3EmissionFactorsStationaryLiquid_Data(), Table_Fuel_EFs_StationaryLiquid[[#Headers],[Fuel combusted]],0)</f>
        <v>92.6</v>
      </c>
      <c r="H69" s="217" cm="1">
        <f t="array" ref="H69">Common_InputFunctions.Utility_DisplayArrayInTable(Fuel_SourceData.Fuel_Scope1Scope3EmissionFactorsStationaryLiquid_Data(), Table_Fuel_EFs_StationaryLiquid[[#Headers],[Fuel combusted]],0)</f>
        <v>0.08</v>
      </c>
      <c r="I69" s="217" cm="1">
        <f t="array" ref="I69">Common_InputFunctions.Utility_DisplayArrayInTable(Fuel_SourceData.Fuel_Scope1Scope3EmissionFactorsStationaryLiquid_Data(), Table_Fuel_EFs_StationaryLiquid[[#Headers],[Fuel combusted]],0)</f>
        <v>0.2</v>
      </c>
      <c r="J69" s="217" cm="1">
        <f t="array" ref="J69">Common_InputFunctions.Utility_DisplayArrayInTable(Fuel_SourceData.Fuel_Scope1Scope3EmissionFactorsStationaryLiquid_Data(), Table_Fuel_EFs_StationaryLiquid[[#Headers],[Fuel combusted]],0)</f>
        <v>92.88</v>
      </c>
      <c r="K69" s="217" cm="1">
        <f t="array" ref="K69">Common_InputFunctions.Utility_DisplayArrayInTable(Fuel_SourceData.Fuel_Scope1Scope3EmissionFactorsStationaryLiquid_Data(), Table_Fuel_EFs_StationaryLiquid[[#Headers],[Fuel combusted]],0)</f>
        <v>18</v>
      </c>
      <c r="L69" s="160"/>
    </row>
    <row r="70" spans="4:13" ht="20.100000000000001" customHeight="1" x14ac:dyDescent="0.25">
      <c r="D70" s="217" t="str" cm="1">
        <f t="array" ref="D70">Common_InputFunctions.Utility_DisplayArrayInTable(Fuel_SourceData.Fuel_Scope1Scope3EmissionFactorsStationaryLiquid_Data(), Table_Fuel_EFs_StationaryLiquid[[#Headers],[Fuel combusted]],0)</f>
        <v>Refinery gas and liquids</v>
      </c>
      <c r="E70" s="217" cm="1">
        <f t="array" ref="E70">Common_InputFunctions.Utility_DisplayArrayInTable(Fuel_SourceData.Fuel_Scope1Scope3EmissionFactorsStationaryLiquid_Data(), Table_Fuel_EFs_StationaryLiquid[[#Headers],[Fuel combusted]],0)</f>
        <v>42.9</v>
      </c>
      <c r="F70" s="217" t="str" cm="1">
        <f t="array" ref="F70">Common_InputFunctions.Utility_DisplayArrayInTable(Fuel_SourceData.Fuel_Scope1Scope3EmissionFactorsStationaryLiquid_Data(), Table_Fuel_EFs_StationaryLiquid[[#Headers],[Fuel combusted]],0)</f>
        <v>t</v>
      </c>
      <c r="G70" s="217" cm="1">
        <f t="array" ref="G70">Common_InputFunctions.Utility_DisplayArrayInTable(Fuel_SourceData.Fuel_Scope1Scope3EmissionFactorsStationaryLiquid_Data(), Table_Fuel_EFs_StationaryLiquid[[#Headers],[Fuel combusted]],0)</f>
        <v>54.7</v>
      </c>
      <c r="H70" s="217" cm="1">
        <f t="array" ref="H70">Common_InputFunctions.Utility_DisplayArrayInTable(Fuel_SourceData.Fuel_Scope1Scope3EmissionFactorsStationaryLiquid_Data(), Table_Fuel_EFs_StationaryLiquid[[#Headers],[Fuel combusted]],0)</f>
        <v>0.03</v>
      </c>
      <c r="I70" s="217" cm="1">
        <f t="array" ref="I70">Common_InputFunctions.Utility_DisplayArrayInTable(Fuel_SourceData.Fuel_Scope1Scope3EmissionFactorsStationaryLiquid_Data(), Table_Fuel_EFs_StationaryLiquid[[#Headers],[Fuel combusted]],0)</f>
        <v>0.03</v>
      </c>
      <c r="J70" s="217" cm="1">
        <f t="array" ref="J70">Common_InputFunctions.Utility_DisplayArrayInTable(Fuel_SourceData.Fuel_Scope1Scope3EmissionFactorsStationaryLiquid_Data(), Table_Fuel_EFs_StationaryLiquid[[#Headers],[Fuel combusted]],0)</f>
        <v>54.76</v>
      </c>
      <c r="K70" s="217" cm="1">
        <f t="array" ref="K70">Common_InputFunctions.Utility_DisplayArrayInTable(Fuel_SourceData.Fuel_Scope1Scope3EmissionFactorsStationaryLiquid_Data(), Table_Fuel_EFs_StationaryLiquid[[#Headers],[Fuel combusted]],0)</f>
        <v>18</v>
      </c>
      <c r="L70" s="160"/>
    </row>
    <row r="71" spans="4:13" ht="20.100000000000001" customHeight="1" x14ac:dyDescent="0.25">
      <c r="D71" s="217" t="str" cm="1">
        <f t="array" ref="D71">Common_InputFunctions.Utility_DisplayArrayInTable(Fuel_SourceData.Fuel_Scope1Scope3EmissionFactorsStationaryLiquid_Data(), Table_Fuel_EFs_StationaryLiquid[[#Headers],[Fuel combusted]],0)</f>
        <v>Refinery coke</v>
      </c>
      <c r="E71" s="217" cm="1">
        <f t="array" ref="E71">Common_InputFunctions.Utility_DisplayArrayInTable(Fuel_SourceData.Fuel_Scope1Scope3EmissionFactorsStationaryLiquid_Data(), Table_Fuel_EFs_StationaryLiquid[[#Headers],[Fuel combusted]],0)</f>
        <v>34.200000000000003</v>
      </c>
      <c r="F71" s="217" t="str" cm="1">
        <f t="array" ref="F71">Common_InputFunctions.Utility_DisplayArrayInTable(Fuel_SourceData.Fuel_Scope1Scope3EmissionFactorsStationaryLiquid_Data(), Table_Fuel_EFs_StationaryLiquid[[#Headers],[Fuel combusted]],0)</f>
        <v>t</v>
      </c>
      <c r="G71" s="217" cm="1">
        <f t="array" ref="G71">Common_InputFunctions.Utility_DisplayArrayInTable(Fuel_SourceData.Fuel_Scope1Scope3EmissionFactorsStationaryLiquid_Data(), Table_Fuel_EFs_StationaryLiquid[[#Headers],[Fuel combusted]],0)</f>
        <v>92.6</v>
      </c>
      <c r="H71" s="217" cm="1">
        <f t="array" ref="H71">Common_InputFunctions.Utility_DisplayArrayInTable(Fuel_SourceData.Fuel_Scope1Scope3EmissionFactorsStationaryLiquid_Data(), Table_Fuel_EFs_StationaryLiquid[[#Headers],[Fuel combusted]],0)</f>
        <v>0.08</v>
      </c>
      <c r="I71" s="217" cm="1">
        <f t="array" ref="I71">Common_InputFunctions.Utility_DisplayArrayInTable(Fuel_SourceData.Fuel_Scope1Scope3EmissionFactorsStationaryLiquid_Data(), Table_Fuel_EFs_StationaryLiquid[[#Headers],[Fuel combusted]],0)</f>
        <v>0.2</v>
      </c>
      <c r="J71" s="217" cm="1">
        <f t="array" ref="J71">Common_InputFunctions.Utility_DisplayArrayInTable(Fuel_SourceData.Fuel_Scope1Scope3EmissionFactorsStationaryLiquid_Data(), Table_Fuel_EFs_StationaryLiquid[[#Headers],[Fuel combusted]],0)</f>
        <v>92.88</v>
      </c>
      <c r="K71" s="217" cm="1">
        <f t="array" ref="K71">Common_InputFunctions.Utility_DisplayArrayInTable(Fuel_SourceData.Fuel_Scope1Scope3EmissionFactorsStationaryLiquid_Data(), Table_Fuel_EFs_StationaryLiquid[[#Headers],[Fuel combusted]],0)</f>
        <v>18</v>
      </c>
      <c r="L71" s="160"/>
    </row>
    <row r="72" spans="4:13" ht="20.100000000000001" customHeight="1" x14ac:dyDescent="0.25">
      <c r="D72" s="217" t="str" cm="1">
        <f t="array" ref="D72">Common_InputFunctions.Utility_DisplayArrayInTable(Fuel_SourceData.Fuel_Scope1Scope3EmissionFactorsStationaryLiquid_Data(), Table_Fuel_EFs_StationaryLiquid[[#Headers],[Fuel combusted]],0)</f>
        <v>Petroleum based products other than mentioned in the items above</v>
      </c>
      <c r="E72" s="217" cm="1">
        <f t="array" ref="E72">Common_InputFunctions.Utility_DisplayArrayInTable(Fuel_SourceData.Fuel_Scope1Scope3EmissionFactorsStationaryLiquid_Data(), Table_Fuel_EFs_StationaryLiquid[[#Headers],[Fuel combusted]],0)</f>
        <v>34.4</v>
      </c>
      <c r="F72" s="217" t="str" cm="1">
        <f t="array" ref="F72">Common_InputFunctions.Utility_DisplayArrayInTable(Fuel_SourceData.Fuel_Scope1Scope3EmissionFactorsStationaryLiquid_Data(), Table_Fuel_EFs_StationaryLiquid[[#Headers],[Fuel combusted]],0)</f>
        <v>kL</v>
      </c>
      <c r="G72" s="217" cm="1">
        <f t="array" ref="G72">Common_InputFunctions.Utility_DisplayArrayInTable(Fuel_SourceData.Fuel_Scope1Scope3EmissionFactorsStationaryLiquid_Data(), Table_Fuel_EFs_StationaryLiquid[[#Headers],[Fuel combusted]],0)</f>
        <v>69.8</v>
      </c>
      <c r="H72" s="217" cm="1">
        <f t="array" ref="H72">Common_InputFunctions.Utility_DisplayArrayInTable(Fuel_SourceData.Fuel_Scope1Scope3EmissionFactorsStationaryLiquid_Data(), Table_Fuel_EFs_StationaryLiquid[[#Headers],[Fuel combusted]],0)</f>
        <v>0.02</v>
      </c>
      <c r="I72" s="217" cm="1">
        <f t="array" ref="I72">Common_InputFunctions.Utility_DisplayArrayInTable(Fuel_SourceData.Fuel_Scope1Scope3EmissionFactorsStationaryLiquid_Data(), Table_Fuel_EFs_StationaryLiquid[[#Headers],[Fuel combusted]],0)</f>
        <v>0.1</v>
      </c>
      <c r="J72" s="217" cm="1">
        <f t="array" ref="J72">Common_InputFunctions.Utility_DisplayArrayInTable(Fuel_SourceData.Fuel_Scope1Scope3EmissionFactorsStationaryLiquid_Data(), Table_Fuel_EFs_StationaryLiquid[[#Headers],[Fuel combusted]],0)</f>
        <v>69.92</v>
      </c>
      <c r="K72" s="217" cm="1">
        <f t="array" ref="K72">Common_InputFunctions.Utility_DisplayArrayInTable(Fuel_SourceData.Fuel_Scope1Scope3EmissionFactorsStationaryLiquid_Data(), Table_Fuel_EFs_StationaryLiquid[[#Headers],[Fuel combusted]],0)</f>
        <v>18</v>
      </c>
      <c r="L72" s="160"/>
    </row>
    <row r="73" spans="4:13" ht="20.100000000000001" customHeight="1" x14ac:dyDescent="0.25">
      <c r="D73" s="217" t="str" cm="1">
        <f t="array" ref="D73">Common_InputFunctions.Utility_DisplayArrayInTable(Fuel_SourceData.Fuel_Scope1Scope3EmissionFactorsStationaryLiquid_Data(), Table_Fuel_EFs_StationaryLiquid[[#Headers],[Fuel combusted]],0)</f>
        <v>Biodiesel</v>
      </c>
      <c r="E73" s="217" cm="1">
        <f t="array" ref="E73">Common_InputFunctions.Utility_DisplayArrayInTable(Fuel_SourceData.Fuel_Scope1Scope3EmissionFactorsStationaryLiquid_Data(), Table_Fuel_EFs_StationaryLiquid[[#Headers],[Fuel combusted]],0)</f>
        <v>34.6</v>
      </c>
      <c r="F73" s="217" t="str" cm="1">
        <f t="array" ref="F73">Common_InputFunctions.Utility_DisplayArrayInTable(Fuel_SourceData.Fuel_Scope1Scope3EmissionFactorsStationaryLiquid_Data(), Table_Fuel_EFs_StationaryLiquid[[#Headers],[Fuel combusted]],0)</f>
        <v>kL</v>
      </c>
      <c r="G73" s="217" cm="1">
        <f t="array" ref="G73">Common_InputFunctions.Utility_DisplayArrayInTable(Fuel_SourceData.Fuel_Scope1Scope3EmissionFactorsStationaryLiquid_Data(), Table_Fuel_EFs_StationaryLiquid[[#Headers],[Fuel combusted]],0)</f>
        <v>0</v>
      </c>
      <c r="H73" s="217" cm="1">
        <f t="array" ref="H73">Common_InputFunctions.Utility_DisplayArrayInTable(Fuel_SourceData.Fuel_Scope1Scope3EmissionFactorsStationaryLiquid_Data(), Table_Fuel_EFs_StationaryLiquid[[#Headers],[Fuel combusted]],0)</f>
        <v>0.08</v>
      </c>
      <c r="I73" s="217" cm="1">
        <f t="array" ref="I73">Common_InputFunctions.Utility_DisplayArrayInTable(Fuel_SourceData.Fuel_Scope1Scope3EmissionFactorsStationaryLiquid_Data(), Table_Fuel_EFs_StationaryLiquid[[#Headers],[Fuel combusted]],0)</f>
        <v>0.2</v>
      </c>
      <c r="J73" s="217" cm="1">
        <f t="array" ref="J73">Common_InputFunctions.Utility_DisplayArrayInTable(Fuel_SourceData.Fuel_Scope1Scope3EmissionFactorsStationaryLiquid_Data(), Table_Fuel_EFs_StationaryLiquid[[#Headers],[Fuel combusted]],0)</f>
        <v>0.28000000000000003</v>
      </c>
      <c r="K73" s="217" t="str" cm="1">
        <f t="array" ref="K73">Common_InputFunctions.Utility_DisplayArrayInTable(Fuel_SourceData.Fuel_Scope1Scope3EmissionFactorsStationaryLiquid_Data(), Table_Fuel_EFs_StationaryLiquid[[#Headers],[Fuel combusted]],0)</f>
        <v>NE</v>
      </c>
      <c r="L73" s="160"/>
    </row>
    <row r="74" spans="4:13" ht="20.100000000000001" customHeight="1" x14ac:dyDescent="0.25">
      <c r="D74" s="217" t="str" cm="1">
        <f t="array" ref="D74">Common_InputFunctions.Utility_DisplayArrayInTable(Fuel_SourceData.Fuel_Scope1Scope3EmissionFactorsStationaryLiquid_Data(), Table_Fuel_EFs_StationaryLiquid[[#Headers],[Fuel combusted]],0)</f>
        <v>Ethanol for use as a fuel in an internal combustion engine</v>
      </c>
      <c r="E74" s="217" cm="1">
        <f t="array" ref="E74">Common_InputFunctions.Utility_DisplayArrayInTable(Fuel_SourceData.Fuel_Scope1Scope3EmissionFactorsStationaryLiquid_Data(), Table_Fuel_EFs_StationaryLiquid[[#Headers],[Fuel combusted]],0)</f>
        <v>23.4</v>
      </c>
      <c r="F74" s="217" t="str" cm="1">
        <f t="array" ref="F74">Common_InputFunctions.Utility_DisplayArrayInTable(Fuel_SourceData.Fuel_Scope1Scope3EmissionFactorsStationaryLiquid_Data(), Table_Fuel_EFs_StationaryLiquid[[#Headers],[Fuel combusted]],0)</f>
        <v>kL</v>
      </c>
      <c r="G74" s="217" cm="1">
        <f t="array" ref="G74">Common_InputFunctions.Utility_DisplayArrayInTable(Fuel_SourceData.Fuel_Scope1Scope3EmissionFactorsStationaryLiquid_Data(), Table_Fuel_EFs_StationaryLiquid[[#Headers],[Fuel combusted]],0)</f>
        <v>0</v>
      </c>
      <c r="H74" s="217" cm="1">
        <f t="array" ref="H74">Common_InputFunctions.Utility_DisplayArrayInTable(Fuel_SourceData.Fuel_Scope1Scope3EmissionFactorsStationaryLiquid_Data(), Table_Fuel_EFs_StationaryLiquid[[#Headers],[Fuel combusted]],0)</f>
        <v>0.08</v>
      </c>
      <c r="I74" s="217" cm="1">
        <f t="array" ref="I74">Common_InputFunctions.Utility_DisplayArrayInTable(Fuel_SourceData.Fuel_Scope1Scope3EmissionFactorsStationaryLiquid_Data(), Table_Fuel_EFs_StationaryLiquid[[#Headers],[Fuel combusted]],0)</f>
        <v>0.2</v>
      </c>
      <c r="J74" s="217" cm="1">
        <f t="array" ref="J74">Common_InputFunctions.Utility_DisplayArrayInTable(Fuel_SourceData.Fuel_Scope1Scope3EmissionFactorsStationaryLiquid_Data(), Table_Fuel_EFs_StationaryLiquid[[#Headers],[Fuel combusted]],0)</f>
        <v>0.28000000000000003</v>
      </c>
      <c r="K74" s="217" t="str" cm="1">
        <f t="array" ref="K74">Common_InputFunctions.Utility_DisplayArrayInTable(Fuel_SourceData.Fuel_Scope1Scope3EmissionFactorsStationaryLiquid_Data(), Table_Fuel_EFs_StationaryLiquid[[#Headers],[Fuel combusted]],0)</f>
        <v>NE</v>
      </c>
      <c r="L74" s="160"/>
    </row>
    <row r="75" spans="4:13" ht="20.100000000000001" customHeight="1" x14ac:dyDescent="0.25">
      <c r="D75" s="217" t="str" cm="1">
        <f t="array" ref="D75">Common_InputFunctions.Utility_DisplayArrayInTable(Fuel_SourceData.Fuel_Scope1Scope3EmissionFactorsStationaryLiquid_Data(), Table_Fuel_EFs_StationaryLiquid[[#Headers],[Fuel combusted]],0)</f>
        <v>Biofuels other than those mentioned in the items above and below</v>
      </c>
      <c r="E75" s="217" cm="1">
        <f t="array" ref="E75">Common_InputFunctions.Utility_DisplayArrayInTable(Fuel_SourceData.Fuel_Scope1Scope3EmissionFactorsStationaryLiquid_Data(), Table_Fuel_EFs_StationaryLiquid[[#Headers],[Fuel combusted]],0)</f>
        <v>23.4</v>
      </c>
      <c r="F75" s="217" t="str" cm="1">
        <f t="array" ref="F75">Common_InputFunctions.Utility_DisplayArrayInTable(Fuel_SourceData.Fuel_Scope1Scope3EmissionFactorsStationaryLiquid_Data(), Table_Fuel_EFs_StationaryLiquid[[#Headers],[Fuel combusted]],0)</f>
        <v>kL</v>
      </c>
      <c r="G75" s="217" cm="1">
        <f t="array" ref="G75">Common_InputFunctions.Utility_DisplayArrayInTable(Fuel_SourceData.Fuel_Scope1Scope3EmissionFactorsStationaryLiquid_Data(), Table_Fuel_EFs_StationaryLiquid[[#Headers],[Fuel combusted]],0)</f>
        <v>0</v>
      </c>
      <c r="H75" s="217" cm="1">
        <f t="array" ref="H75">Common_InputFunctions.Utility_DisplayArrayInTable(Fuel_SourceData.Fuel_Scope1Scope3EmissionFactorsStationaryLiquid_Data(), Table_Fuel_EFs_StationaryLiquid[[#Headers],[Fuel combusted]],0)</f>
        <v>0.08</v>
      </c>
      <c r="I75" s="217" cm="1">
        <f t="array" ref="I75">Common_InputFunctions.Utility_DisplayArrayInTable(Fuel_SourceData.Fuel_Scope1Scope3EmissionFactorsStationaryLiquid_Data(), Table_Fuel_EFs_StationaryLiquid[[#Headers],[Fuel combusted]],0)</f>
        <v>0.2</v>
      </c>
      <c r="J75" s="217" cm="1">
        <f t="array" ref="J75">Common_InputFunctions.Utility_DisplayArrayInTable(Fuel_SourceData.Fuel_Scope1Scope3EmissionFactorsStationaryLiquid_Data(), Table_Fuel_EFs_StationaryLiquid[[#Headers],[Fuel combusted]],0)</f>
        <v>0.28000000000000003</v>
      </c>
      <c r="K75" s="217" t="str" cm="1">
        <f t="array" ref="K75">Common_InputFunctions.Utility_DisplayArrayInTable(Fuel_SourceData.Fuel_Scope1Scope3EmissionFactorsStationaryLiquid_Data(), Table_Fuel_EFs_StationaryLiquid[[#Headers],[Fuel combusted]],0)</f>
        <v>NE</v>
      </c>
      <c r="L75" s="160"/>
    </row>
    <row r="76" spans="4:13" ht="20.100000000000001" customHeight="1" x14ac:dyDescent="0.25">
      <c r="D76" s="217" t="str" cm="1">
        <f t="array" ref="D76">Common_InputFunctions.Utility_DisplayArrayInTable(Fuel_SourceData.Fuel_Scope1Scope3EmissionFactorsStationaryLiquid_Data(), Table_Fuel_EFs_StationaryLiquid[[#Headers],[Fuel combusted]],0)</f>
        <v>Renewable aviation kerosene</v>
      </c>
      <c r="E76" s="217" cm="1">
        <f t="array" ref="E76">Common_InputFunctions.Utility_DisplayArrayInTable(Fuel_SourceData.Fuel_Scope1Scope3EmissionFactorsStationaryLiquid_Data(), Table_Fuel_EFs_StationaryLiquid[[#Headers],[Fuel combusted]],0)</f>
        <v>36.799999999999997</v>
      </c>
      <c r="F76" s="217" t="str" cm="1">
        <f t="array" ref="F76">Common_InputFunctions.Utility_DisplayArrayInTable(Fuel_SourceData.Fuel_Scope1Scope3EmissionFactorsStationaryLiquid_Data(), Table_Fuel_EFs_StationaryLiquid[[#Headers],[Fuel combusted]],0)</f>
        <v>kL</v>
      </c>
      <c r="G76" s="217" cm="1">
        <f t="array" ref="G76">Common_InputFunctions.Utility_DisplayArrayInTable(Fuel_SourceData.Fuel_Scope1Scope3EmissionFactorsStationaryLiquid_Data(), Table_Fuel_EFs_StationaryLiquid[[#Headers],[Fuel combusted]],0)</f>
        <v>0</v>
      </c>
      <c r="H76" s="217" cm="1">
        <f t="array" ref="H76">Common_InputFunctions.Utility_DisplayArrayInTable(Fuel_SourceData.Fuel_Scope1Scope3EmissionFactorsStationaryLiquid_Data(), Table_Fuel_EFs_StationaryLiquid[[#Headers],[Fuel combusted]],0)</f>
        <v>0.02</v>
      </c>
      <c r="I76" s="217" cm="1">
        <f t="array" ref="I76">Common_InputFunctions.Utility_DisplayArrayInTable(Fuel_SourceData.Fuel_Scope1Scope3EmissionFactorsStationaryLiquid_Data(), Table_Fuel_EFs_StationaryLiquid[[#Headers],[Fuel combusted]],0)</f>
        <v>0.2</v>
      </c>
      <c r="J76" s="217" cm="1">
        <f t="array" ref="J76">Common_InputFunctions.Utility_DisplayArrayInTable(Fuel_SourceData.Fuel_Scope1Scope3EmissionFactorsStationaryLiquid_Data(), Table_Fuel_EFs_StationaryLiquid[[#Headers],[Fuel combusted]],0)</f>
        <v>0.22</v>
      </c>
      <c r="K76" s="217" t="str" cm="1">
        <f t="array" ref="K76">Common_InputFunctions.Utility_DisplayArrayInTable(Fuel_SourceData.Fuel_Scope1Scope3EmissionFactorsStationaryLiquid_Data(), Table_Fuel_EFs_StationaryLiquid[[#Headers],[Fuel combusted]],0)</f>
        <v>NE</v>
      </c>
      <c r="L76" s="160"/>
    </row>
    <row r="77" spans="4:13" ht="20.100000000000001" customHeight="1" x14ac:dyDescent="0.25">
      <c r="D77" s="217" t="str" cm="1">
        <f t="array" ref="D77">Common_InputFunctions.Utility_DisplayArrayInTable(Fuel_SourceData.Fuel_Scope1Scope3EmissionFactorsStationaryLiquid_Data(), Table_Fuel_EFs_StationaryLiquid[[#Headers],[Fuel combusted]],0)</f>
        <v>Renewable diesel</v>
      </c>
      <c r="E77" s="217" cm="1">
        <f t="array" ref="E77">Common_InputFunctions.Utility_DisplayArrayInTable(Fuel_SourceData.Fuel_Scope1Scope3EmissionFactorsStationaryLiquid_Data(), Table_Fuel_EFs_StationaryLiquid[[#Headers],[Fuel combusted]],0)</f>
        <v>38.6</v>
      </c>
      <c r="F77" s="217" t="str" cm="1">
        <f t="array" ref="F77">Common_InputFunctions.Utility_DisplayArrayInTable(Fuel_SourceData.Fuel_Scope1Scope3EmissionFactorsStationaryLiquid_Data(), Table_Fuel_EFs_StationaryLiquid[[#Headers],[Fuel combusted]],0)</f>
        <v>kL</v>
      </c>
      <c r="G77" s="217" cm="1">
        <f t="array" ref="G77">Common_InputFunctions.Utility_DisplayArrayInTable(Fuel_SourceData.Fuel_Scope1Scope3EmissionFactorsStationaryLiquid_Data(), Table_Fuel_EFs_StationaryLiquid[[#Headers],[Fuel combusted]],0)</f>
        <v>0</v>
      </c>
      <c r="H77" s="217" cm="1">
        <f t="array" ref="H77">Common_InputFunctions.Utility_DisplayArrayInTable(Fuel_SourceData.Fuel_Scope1Scope3EmissionFactorsStationaryLiquid_Data(), Table_Fuel_EFs_StationaryLiquid[[#Headers],[Fuel combusted]],0)</f>
        <v>0.1</v>
      </c>
      <c r="I77" s="217" cm="1">
        <f t="array" ref="I77">Common_InputFunctions.Utility_DisplayArrayInTable(Fuel_SourceData.Fuel_Scope1Scope3EmissionFactorsStationaryLiquid_Data(), Table_Fuel_EFs_StationaryLiquid[[#Headers],[Fuel combusted]],0)</f>
        <v>0.2</v>
      </c>
      <c r="J77" s="217" cm="1">
        <f t="array" ref="J77">Common_InputFunctions.Utility_DisplayArrayInTable(Fuel_SourceData.Fuel_Scope1Scope3EmissionFactorsStationaryLiquid_Data(), Table_Fuel_EFs_StationaryLiquid[[#Headers],[Fuel combusted]],0)</f>
        <v>0.3</v>
      </c>
      <c r="K77" s="217" t="str" cm="1">
        <f t="array" ref="K77">Common_InputFunctions.Utility_DisplayArrayInTable(Fuel_SourceData.Fuel_Scope1Scope3EmissionFactorsStationaryLiquid_Data(), Table_Fuel_EFs_StationaryLiquid[[#Headers],[Fuel combusted]],0)</f>
        <v>NE</v>
      </c>
      <c r="L77" s="160"/>
    </row>
    <row r="78" spans="4:13" ht="20.100000000000001" customHeight="1" x14ac:dyDescent="0.25">
      <c r="D78" s="160"/>
      <c r="E78" s="160"/>
      <c r="F78" s="160"/>
      <c r="G78" s="160"/>
      <c r="H78" s="160"/>
      <c r="I78" s="160"/>
      <c r="J78" s="160"/>
      <c r="K78" s="160"/>
      <c r="L78" s="160"/>
    </row>
    <row r="79" spans="4:13" ht="20.100000000000001" customHeight="1" x14ac:dyDescent="0.25">
      <c r="D79" s="160"/>
      <c r="E79" s="160"/>
      <c r="F79" s="160"/>
      <c r="G79" s="160"/>
      <c r="H79" s="160"/>
      <c r="I79" s="160"/>
      <c r="J79" s="160"/>
      <c r="K79" s="160"/>
      <c r="L79" s="160"/>
      <c r="M79" s="160"/>
    </row>
    <row r="80" spans="4:13" ht="20.100000000000001" customHeight="1" x14ac:dyDescent="0.25">
      <c r="D80" s="160"/>
      <c r="E80" s="160"/>
      <c r="F80" s="160"/>
      <c r="G80" s="160"/>
      <c r="H80" s="160"/>
      <c r="I80" s="160"/>
      <c r="J80" s="160"/>
      <c r="K80" s="160"/>
      <c r="L80" s="160"/>
      <c r="M80" s="160"/>
    </row>
    <row r="81" spans="4:12" ht="20.100000000000001" customHeight="1" x14ac:dyDescent="0.25">
      <c r="D81" s="2" t="str" cm="1">
        <f t="array" ref="D81">Fuel_SourceData.Fuel_Scope1EmissionFactorsStationaryGaseous_Title()</f>
        <v>Fuel scope 1 emission factors - Stationary gaseous fuels</v>
      </c>
      <c r="E81" s="160"/>
      <c r="F81" s="160"/>
      <c r="G81" s="160"/>
      <c r="H81" s="160"/>
      <c r="I81" s="160"/>
      <c r="J81" s="160"/>
      <c r="K81" s="160"/>
      <c r="L81" s="16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60"/>
      <c r="F82" s="160"/>
      <c r="G82" s="160"/>
      <c r="H82" s="160"/>
      <c r="I82" s="160"/>
      <c r="J82" s="160"/>
      <c r="K82" s="160"/>
      <c r="L82" s="160"/>
    </row>
    <row r="83" spans="4:12" ht="20.100000000000001" customHeight="1" x14ac:dyDescent="0.25">
      <c r="D83" s="27" t="str" cm="1">
        <f t="array" ref="D83">Fuel_SourceData.Fuel_Scope1EmissionFactorsStationaryGaseous_Source()</f>
        <v>Australian National Greenhouse Accounts Factors 2025 - Table 5</v>
      </c>
      <c r="E83" s="160"/>
      <c r="F83" s="160"/>
      <c r="G83" s="160"/>
      <c r="H83" s="160"/>
      <c r="I83" s="160"/>
      <c r="J83" s="160"/>
      <c r="K83" s="160"/>
      <c r="L83" s="160"/>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0"/>
      <c r="F84" s="160"/>
      <c r="G84" s="160"/>
      <c r="H84" s="160"/>
      <c r="I84" s="160"/>
      <c r="J84" s="160"/>
      <c r="K84" s="160"/>
      <c r="L84" s="160"/>
    </row>
    <row r="85" spans="4:12" ht="20.100000000000001" customHeight="1" x14ac:dyDescent="0.25">
      <c r="D85" s="160"/>
      <c r="E85" s="160"/>
      <c r="F85" s="160"/>
      <c r="G85" s="160"/>
      <c r="H85" s="160"/>
      <c r="I85" s="160"/>
      <c r="J85" s="160"/>
      <c r="K85" s="160"/>
      <c r="L85" s="160"/>
    </row>
    <row r="86" spans="4:12" ht="20.100000000000001" customHeight="1" x14ac:dyDescent="0.25">
      <c r="D86" s="182" t="s">
        <v>542</v>
      </c>
      <c r="E86" s="214" t="s">
        <v>543</v>
      </c>
      <c r="F86" s="182" t="s">
        <v>544</v>
      </c>
      <c r="G86" s="214" t="s">
        <v>545</v>
      </c>
      <c r="H86" s="214" t="s">
        <v>546</v>
      </c>
      <c r="I86" s="214" t="s">
        <v>547</v>
      </c>
      <c r="J86" s="214" t="s">
        <v>548</v>
      </c>
      <c r="K86" s="160"/>
      <c r="L86" s="160"/>
    </row>
    <row r="87" spans="4:12" ht="20.100000000000001" customHeight="1" x14ac:dyDescent="0.25">
      <c r="D87" s="217" t="str" cm="1">
        <f t="array" ref="D87">Common_InputFunctions.Utility_DisplayArrayInTable(Fuel_SourceData.Fuel_Scope1EmissionFactorsStationaryGaseous_Data(), Table_Fuel_EFs_StationaryGaseous[[#Headers],[Fuel combusted]],0)</f>
        <v>Natural gas distributed in a pipeline</v>
      </c>
      <c r="E87" s="217" cm="1">
        <f t="array" ref="E87">Common_InputFunctions.Utility_DisplayArrayInTable(Fuel_SourceData.Fuel_Scope1EmissionFactorsStationaryGaseous_Data(), Table_Fuel_EFs_StationaryGaseous[[#Headers],[Fuel combusted]],0)</f>
        <v>3.9300000000000002E-2</v>
      </c>
      <c r="F87" s="217" t="str" cm="1">
        <f t="array" ref="F87">Common_InputFunctions.Utility_DisplayArrayInTable(Fuel_SourceData.Fuel_Scope1EmissionFactorsStationaryGaseous_Data(), Table_Fuel_EFs_StationaryGaseous[[#Headers],[Fuel combusted]],0)</f>
        <v>m3</v>
      </c>
      <c r="G87" s="217" cm="1">
        <f t="array" ref="G87">Common_InputFunctions.Utility_DisplayArrayInTable(Fuel_SourceData.Fuel_Scope1EmissionFactorsStationaryGaseous_Data(), Table_Fuel_EFs_StationaryGaseous[[#Headers],[Fuel combusted]],0)</f>
        <v>51.4</v>
      </c>
      <c r="H87" s="217" cm="1">
        <f t="array" ref="H87">Common_InputFunctions.Utility_DisplayArrayInTable(Fuel_SourceData.Fuel_Scope1EmissionFactorsStationaryGaseous_Data(), Table_Fuel_EFs_StationaryGaseous[[#Headers],[Fuel combusted]],0)</f>
        <v>0.1</v>
      </c>
      <c r="I87" s="217" cm="1">
        <f t="array" ref="I87">Common_InputFunctions.Utility_DisplayArrayInTable(Fuel_SourceData.Fuel_Scope1EmissionFactorsStationaryGaseous_Data(), Table_Fuel_EFs_StationaryGaseous[[#Headers],[Fuel combusted]],0)</f>
        <v>0.03</v>
      </c>
      <c r="J87" s="217" cm="1">
        <f t="array" ref="J87">Common_InputFunctions.Utility_DisplayArrayInTable(Fuel_SourceData.Fuel_Scope1EmissionFactorsStationaryGaseous_Data(), Table_Fuel_EFs_StationaryGaseous[[#Headers],[Fuel combusted]],0)</f>
        <v>51.53</v>
      </c>
      <c r="K87" s="160"/>
      <c r="L87" s="160"/>
    </row>
    <row r="88" spans="4:12" ht="20.100000000000001" customHeight="1" x14ac:dyDescent="0.25">
      <c r="D88" s="217" t="str" cm="1">
        <f t="array" ref="D88">Common_InputFunctions.Utility_DisplayArrayInTable(Fuel_SourceData.Fuel_Scope1EmissionFactorsStationaryGaseous_Data(), Table_Fuel_EFs_StationaryGaseous[[#Headers],[Fuel combusted]],0)</f>
        <v>Coal seam methane that is captured for combustion</v>
      </c>
      <c r="E88" s="217" cm="1">
        <f t="array" ref="E88">Common_InputFunctions.Utility_DisplayArrayInTable(Fuel_SourceData.Fuel_Scope1EmissionFactorsStationaryGaseous_Data(), Table_Fuel_EFs_StationaryGaseous[[#Headers],[Fuel combusted]],0)</f>
        <v>3.7699999999999997E-2</v>
      </c>
      <c r="F88" s="217" t="str" cm="1">
        <f t="array" ref="F88">Common_InputFunctions.Utility_DisplayArrayInTable(Fuel_SourceData.Fuel_Scope1EmissionFactorsStationaryGaseous_Data(), Table_Fuel_EFs_StationaryGaseous[[#Headers],[Fuel combusted]],0)</f>
        <v>m3</v>
      </c>
      <c r="G88" s="217" cm="1">
        <f t="array" ref="G88">Common_InputFunctions.Utility_DisplayArrayInTable(Fuel_SourceData.Fuel_Scope1EmissionFactorsStationaryGaseous_Data(), Table_Fuel_EFs_StationaryGaseous[[#Headers],[Fuel combusted]],0)</f>
        <v>51.4</v>
      </c>
      <c r="H88" s="217" cm="1">
        <f t="array" ref="H88">Common_InputFunctions.Utility_DisplayArrayInTable(Fuel_SourceData.Fuel_Scope1EmissionFactorsStationaryGaseous_Data(), Table_Fuel_EFs_StationaryGaseous[[#Headers],[Fuel combusted]],0)</f>
        <v>0.2</v>
      </c>
      <c r="I88" s="217" cm="1">
        <f t="array" ref="I88">Common_InputFunctions.Utility_DisplayArrayInTable(Fuel_SourceData.Fuel_Scope1EmissionFactorsStationaryGaseous_Data(), Table_Fuel_EFs_StationaryGaseous[[#Headers],[Fuel combusted]],0)</f>
        <v>0.03</v>
      </c>
      <c r="J88" s="217" cm="1">
        <f t="array" ref="J88">Common_InputFunctions.Utility_DisplayArrayInTable(Fuel_SourceData.Fuel_Scope1EmissionFactorsStationaryGaseous_Data(), Table_Fuel_EFs_StationaryGaseous[[#Headers],[Fuel combusted]],0)</f>
        <v>51.63</v>
      </c>
      <c r="K88" s="160"/>
      <c r="L88" s="160"/>
    </row>
    <row r="89" spans="4:12" ht="20.100000000000001" customHeight="1" x14ac:dyDescent="0.25">
      <c r="D89" s="217" t="str" cm="1">
        <f t="array" ref="D89">Common_InputFunctions.Utility_DisplayArrayInTable(Fuel_SourceData.Fuel_Scope1EmissionFactorsStationaryGaseous_Data(), Table_Fuel_EFs_StationaryGaseous[[#Headers],[Fuel combusted]],0)</f>
        <v>Coal mine waste gas that is captured for combustion</v>
      </c>
      <c r="E89" s="217" cm="1">
        <f t="array" ref="E89">Common_InputFunctions.Utility_DisplayArrayInTable(Fuel_SourceData.Fuel_Scope1EmissionFactorsStationaryGaseous_Data(), Table_Fuel_EFs_StationaryGaseous[[#Headers],[Fuel combusted]],0)</f>
        <v>3.7699999999999997E-2</v>
      </c>
      <c r="F89" s="217" t="str" cm="1">
        <f t="array" ref="F89">Common_InputFunctions.Utility_DisplayArrayInTable(Fuel_SourceData.Fuel_Scope1EmissionFactorsStationaryGaseous_Data(), Table_Fuel_EFs_StationaryGaseous[[#Headers],[Fuel combusted]],0)</f>
        <v>m3</v>
      </c>
      <c r="G89" s="217" cm="1">
        <f t="array" ref="G89">Common_InputFunctions.Utility_DisplayArrayInTable(Fuel_SourceData.Fuel_Scope1EmissionFactorsStationaryGaseous_Data(), Table_Fuel_EFs_StationaryGaseous[[#Headers],[Fuel combusted]],0)</f>
        <v>51.9</v>
      </c>
      <c r="H89" s="217" cm="1">
        <f t="array" ref="H89">Common_InputFunctions.Utility_DisplayArrayInTable(Fuel_SourceData.Fuel_Scope1EmissionFactorsStationaryGaseous_Data(), Table_Fuel_EFs_StationaryGaseous[[#Headers],[Fuel combusted]],0)</f>
        <v>4.5999999999999996</v>
      </c>
      <c r="I89" s="217" cm="1">
        <f t="array" ref="I89">Common_InputFunctions.Utility_DisplayArrayInTable(Fuel_SourceData.Fuel_Scope1EmissionFactorsStationaryGaseous_Data(), Table_Fuel_EFs_StationaryGaseous[[#Headers],[Fuel combusted]],0)</f>
        <v>0.3</v>
      </c>
      <c r="J89" s="217" cm="1">
        <f t="array" ref="J89">Common_InputFunctions.Utility_DisplayArrayInTable(Fuel_SourceData.Fuel_Scope1EmissionFactorsStationaryGaseous_Data(), Table_Fuel_EFs_StationaryGaseous[[#Headers],[Fuel combusted]],0)</f>
        <v>56.8</v>
      </c>
      <c r="K89" s="160"/>
      <c r="L89" s="160"/>
    </row>
    <row r="90" spans="4:12" ht="20.100000000000001" customHeight="1" x14ac:dyDescent="0.25">
      <c r="D90" s="217" t="str" cm="1">
        <f t="array" ref="D90">Common_InputFunctions.Utility_DisplayArrayInTable(Fuel_SourceData.Fuel_Scope1EmissionFactorsStationaryGaseous_Data(), Table_Fuel_EFs_StationaryGaseous[[#Headers],[Fuel combusted]],0)</f>
        <v>Compressed natural gas(reverting to standard conditions)</v>
      </c>
      <c r="E90" s="217" cm="1">
        <f t="array" ref="E90">Common_InputFunctions.Utility_DisplayArrayInTable(Fuel_SourceData.Fuel_Scope1EmissionFactorsStationaryGaseous_Data(), Table_Fuel_EFs_StationaryGaseous[[#Headers],[Fuel combusted]],0)</f>
        <v>3.9300000000000002E-2</v>
      </c>
      <c r="F90" s="217" t="str" cm="1">
        <f t="array" ref="F90">Common_InputFunctions.Utility_DisplayArrayInTable(Fuel_SourceData.Fuel_Scope1EmissionFactorsStationaryGaseous_Data(), Table_Fuel_EFs_StationaryGaseous[[#Headers],[Fuel combusted]],0)</f>
        <v>m3</v>
      </c>
      <c r="G90" s="217" cm="1">
        <f t="array" ref="G90">Common_InputFunctions.Utility_DisplayArrayInTable(Fuel_SourceData.Fuel_Scope1EmissionFactorsStationaryGaseous_Data(), Table_Fuel_EFs_StationaryGaseous[[#Headers],[Fuel combusted]],0)</f>
        <v>51.4</v>
      </c>
      <c r="H90" s="217" cm="1">
        <f t="array" ref="H90">Common_InputFunctions.Utility_DisplayArrayInTable(Fuel_SourceData.Fuel_Scope1EmissionFactorsStationaryGaseous_Data(), Table_Fuel_EFs_StationaryGaseous[[#Headers],[Fuel combusted]],0)</f>
        <v>0.1</v>
      </c>
      <c r="I90" s="217" cm="1">
        <f t="array" ref="I90">Common_InputFunctions.Utility_DisplayArrayInTable(Fuel_SourceData.Fuel_Scope1EmissionFactorsStationaryGaseous_Data(), Table_Fuel_EFs_StationaryGaseous[[#Headers],[Fuel combusted]],0)</f>
        <v>0.03</v>
      </c>
      <c r="J90" s="217" cm="1">
        <f t="array" ref="J90">Common_InputFunctions.Utility_DisplayArrayInTable(Fuel_SourceData.Fuel_Scope1EmissionFactorsStationaryGaseous_Data(), Table_Fuel_EFs_StationaryGaseous[[#Headers],[Fuel combusted]],0)</f>
        <v>51.53</v>
      </c>
      <c r="K90" s="160"/>
      <c r="L90" s="160"/>
    </row>
    <row r="91" spans="4:12" ht="20.100000000000001" customHeight="1" x14ac:dyDescent="0.25">
      <c r="D91" s="217" t="str" cm="1">
        <f t="array" ref="D91">Common_InputFunctions.Utility_DisplayArrayInTable(Fuel_SourceData.Fuel_Scope1EmissionFactorsStationaryGaseous_Data(), Table_Fuel_EFs_StationaryGaseous[[#Headers],[Fuel combusted]],0)</f>
        <v>Unprocessed natural gas</v>
      </c>
      <c r="E91" s="217" cm="1">
        <f t="array" ref="E91">Common_InputFunctions.Utility_DisplayArrayInTable(Fuel_SourceData.Fuel_Scope1EmissionFactorsStationaryGaseous_Data(), Table_Fuel_EFs_StationaryGaseous[[#Headers],[Fuel combusted]],0)</f>
        <v>3.9300000000000002E-2</v>
      </c>
      <c r="F91" s="217" t="str" cm="1">
        <f t="array" ref="F91">Common_InputFunctions.Utility_DisplayArrayInTable(Fuel_SourceData.Fuel_Scope1EmissionFactorsStationaryGaseous_Data(), Table_Fuel_EFs_StationaryGaseous[[#Headers],[Fuel combusted]],0)</f>
        <v>m3</v>
      </c>
      <c r="G91" s="217" cm="1">
        <f t="array" ref="G91">Common_InputFunctions.Utility_DisplayArrayInTable(Fuel_SourceData.Fuel_Scope1EmissionFactorsStationaryGaseous_Data(), Table_Fuel_EFs_StationaryGaseous[[#Headers],[Fuel combusted]],0)</f>
        <v>51.4</v>
      </c>
      <c r="H91" s="217" cm="1">
        <f t="array" ref="H91">Common_InputFunctions.Utility_DisplayArrayInTable(Fuel_SourceData.Fuel_Scope1EmissionFactorsStationaryGaseous_Data(), Table_Fuel_EFs_StationaryGaseous[[#Headers],[Fuel combusted]],0)</f>
        <v>0.1</v>
      </c>
      <c r="I91" s="217" cm="1">
        <f t="array" ref="I91">Common_InputFunctions.Utility_DisplayArrayInTable(Fuel_SourceData.Fuel_Scope1EmissionFactorsStationaryGaseous_Data(), Table_Fuel_EFs_StationaryGaseous[[#Headers],[Fuel combusted]],0)</f>
        <v>0.03</v>
      </c>
      <c r="J91" s="217" cm="1">
        <f t="array" ref="J91">Common_InputFunctions.Utility_DisplayArrayInTable(Fuel_SourceData.Fuel_Scope1EmissionFactorsStationaryGaseous_Data(), Table_Fuel_EFs_StationaryGaseous[[#Headers],[Fuel combusted]],0)</f>
        <v>51.53</v>
      </c>
      <c r="K91" s="160"/>
      <c r="L91" s="160"/>
    </row>
    <row r="92" spans="4:12" ht="20.100000000000001" customHeight="1" x14ac:dyDescent="0.25">
      <c r="D92" s="217" t="str" cm="1">
        <f t="array" ref="D92">Common_InputFunctions.Utility_DisplayArrayInTable(Fuel_SourceData.Fuel_Scope1EmissionFactorsStationaryGaseous_Data(), Table_Fuel_EFs_StationaryGaseous[[#Headers],[Fuel combusted]],0)</f>
        <v>Ethane</v>
      </c>
      <c r="E92" s="217" cm="1">
        <f t="array" ref="E92">Common_InputFunctions.Utility_DisplayArrayInTable(Fuel_SourceData.Fuel_Scope1EmissionFactorsStationaryGaseous_Data(), Table_Fuel_EFs_StationaryGaseous[[#Headers],[Fuel combusted]],0)</f>
        <v>6.2899999999999998E-2</v>
      </c>
      <c r="F92" s="217" t="str" cm="1">
        <f t="array" ref="F92">Common_InputFunctions.Utility_DisplayArrayInTable(Fuel_SourceData.Fuel_Scope1EmissionFactorsStationaryGaseous_Data(), Table_Fuel_EFs_StationaryGaseous[[#Headers],[Fuel combusted]],0)</f>
        <v>m3</v>
      </c>
      <c r="G92" s="217" cm="1">
        <f t="array" ref="G92">Common_InputFunctions.Utility_DisplayArrayInTable(Fuel_SourceData.Fuel_Scope1EmissionFactorsStationaryGaseous_Data(), Table_Fuel_EFs_StationaryGaseous[[#Headers],[Fuel combusted]],0)</f>
        <v>56.5</v>
      </c>
      <c r="H92" s="217" cm="1">
        <f t="array" ref="H92">Common_InputFunctions.Utility_DisplayArrayInTable(Fuel_SourceData.Fuel_Scope1EmissionFactorsStationaryGaseous_Data(), Table_Fuel_EFs_StationaryGaseous[[#Headers],[Fuel combusted]],0)</f>
        <v>0.03</v>
      </c>
      <c r="I92" s="217" cm="1">
        <f t="array" ref="I92">Common_InputFunctions.Utility_DisplayArrayInTable(Fuel_SourceData.Fuel_Scope1EmissionFactorsStationaryGaseous_Data(), Table_Fuel_EFs_StationaryGaseous[[#Headers],[Fuel combusted]],0)</f>
        <v>0.03</v>
      </c>
      <c r="J92" s="217" cm="1">
        <f t="array" ref="J92">Common_InputFunctions.Utility_DisplayArrayInTable(Fuel_SourceData.Fuel_Scope1EmissionFactorsStationaryGaseous_Data(), Table_Fuel_EFs_StationaryGaseous[[#Headers],[Fuel combusted]],0)</f>
        <v>56.56</v>
      </c>
      <c r="K92" s="160"/>
      <c r="L92" s="160"/>
    </row>
    <row r="93" spans="4:12" ht="20.100000000000001" customHeight="1" x14ac:dyDescent="0.25">
      <c r="D93" s="217" t="str" cm="1">
        <f t="array" ref="D93">Common_InputFunctions.Utility_DisplayArrayInTable(Fuel_SourceData.Fuel_Scope1EmissionFactorsStationaryGaseous_Data(), Table_Fuel_EFs_StationaryGaseous[[#Headers],[Fuel combusted]],0)</f>
        <v>Coke oven gas</v>
      </c>
      <c r="E93" s="217" cm="1">
        <f t="array" ref="E93">Common_InputFunctions.Utility_DisplayArrayInTable(Fuel_SourceData.Fuel_Scope1EmissionFactorsStationaryGaseous_Data(), Table_Fuel_EFs_StationaryGaseous[[#Headers],[Fuel combusted]],0)</f>
        <v>1.8100000000000002E-2</v>
      </c>
      <c r="F93" s="217" t="str" cm="1">
        <f t="array" ref="F93">Common_InputFunctions.Utility_DisplayArrayInTable(Fuel_SourceData.Fuel_Scope1EmissionFactorsStationaryGaseous_Data(), Table_Fuel_EFs_StationaryGaseous[[#Headers],[Fuel combusted]],0)</f>
        <v>m3</v>
      </c>
      <c r="G93" s="217" cm="1">
        <f t="array" ref="G93">Common_InputFunctions.Utility_DisplayArrayInTable(Fuel_SourceData.Fuel_Scope1EmissionFactorsStationaryGaseous_Data(), Table_Fuel_EFs_StationaryGaseous[[#Headers],[Fuel combusted]],0)</f>
        <v>37</v>
      </c>
      <c r="H93" s="217" cm="1">
        <f t="array" ref="H93">Common_InputFunctions.Utility_DisplayArrayInTable(Fuel_SourceData.Fuel_Scope1EmissionFactorsStationaryGaseous_Data(), Table_Fuel_EFs_StationaryGaseous[[#Headers],[Fuel combusted]],0)</f>
        <v>0.03</v>
      </c>
      <c r="I93" s="217" cm="1">
        <f t="array" ref="I93">Common_InputFunctions.Utility_DisplayArrayInTable(Fuel_SourceData.Fuel_Scope1EmissionFactorsStationaryGaseous_Data(), Table_Fuel_EFs_StationaryGaseous[[#Headers],[Fuel combusted]],0)</f>
        <v>0.05</v>
      </c>
      <c r="J93" s="217" cm="1">
        <f t="array" ref="J93">Common_InputFunctions.Utility_DisplayArrayInTable(Fuel_SourceData.Fuel_Scope1EmissionFactorsStationaryGaseous_Data(), Table_Fuel_EFs_StationaryGaseous[[#Headers],[Fuel combusted]],0)</f>
        <v>37.08</v>
      </c>
      <c r="K93" s="160"/>
      <c r="L93" s="160"/>
    </row>
    <row r="94" spans="4:12" ht="20.100000000000001" customHeight="1" x14ac:dyDescent="0.25">
      <c r="D94" s="217" t="str" cm="1">
        <f t="array" ref="D94">Common_InputFunctions.Utility_DisplayArrayInTable(Fuel_SourceData.Fuel_Scope1EmissionFactorsStationaryGaseous_Data(), Table_Fuel_EFs_StationaryGaseous[[#Headers],[Fuel combusted]],0)</f>
        <v>Blast furnace gas</v>
      </c>
      <c r="E94" s="217" cm="1">
        <f t="array" ref="E94">Common_InputFunctions.Utility_DisplayArrayInTable(Fuel_SourceData.Fuel_Scope1EmissionFactorsStationaryGaseous_Data(), Table_Fuel_EFs_StationaryGaseous[[#Headers],[Fuel combusted]],0)</f>
        <v>4.0000000000000001E-3</v>
      </c>
      <c r="F94" s="217" t="str" cm="1">
        <f t="array" ref="F94">Common_InputFunctions.Utility_DisplayArrayInTable(Fuel_SourceData.Fuel_Scope1EmissionFactorsStationaryGaseous_Data(), Table_Fuel_EFs_StationaryGaseous[[#Headers],[Fuel combusted]],0)</f>
        <v>m3</v>
      </c>
      <c r="G94" s="217" cm="1">
        <f t="array" ref="G94">Common_InputFunctions.Utility_DisplayArrayInTable(Fuel_SourceData.Fuel_Scope1EmissionFactorsStationaryGaseous_Data(), Table_Fuel_EFs_StationaryGaseous[[#Headers],[Fuel combusted]],0)</f>
        <v>234</v>
      </c>
      <c r="H94" s="217" cm="1">
        <f t="array" ref="H94">Common_InputFunctions.Utility_DisplayArrayInTable(Fuel_SourceData.Fuel_Scope1EmissionFactorsStationaryGaseous_Data(), Table_Fuel_EFs_StationaryGaseous[[#Headers],[Fuel combusted]],0)</f>
        <v>0.03</v>
      </c>
      <c r="I94" s="217" cm="1">
        <f t="array" ref="I94">Common_InputFunctions.Utility_DisplayArrayInTable(Fuel_SourceData.Fuel_Scope1EmissionFactorsStationaryGaseous_Data(), Table_Fuel_EFs_StationaryGaseous[[#Headers],[Fuel combusted]],0)</f>
        <v>0.02</v>
      </c>
      <c r="J94" s="217" cm="1">
        <f t="array" ref="J94">Common_InputFunctions.Utility_DisplayArrayInTable(Fuel_SourceData.Fuel_Scope1EmissionFactorsStationaryGaseous_Data(), Table_Fuel_EFs_StationaryGaseous[[#Headers],[Fuel combusted]],0)</f>
        <v>234.05</v>
      </c>
      <c r="K94" s="160"/>
      <c r="L94" s="160"/>
    </row>
    <row r="95" spans="4:12" ht="20.100000000000001" customHeight="1" x14ac:dyDescent="0.25">
      <c r="D95" s="217" t="str" cm="1">
        <f t="array" ref="D95">Common_InputFunctions.Utility_DisplayArrayInTable(Fuel_SourceData.Fuel_Scope1EmissionFactorsStationaryGaseous_Data(), Table_Fuel_EFs_StationaryGaseous[[#Headers],[Fuel combusted]],0)</f>
        <v>Town gas</v>
      </c>
      <c r="E95" s="217" cm="1">
        <f t="array" ref="E95">Common_InputFunctions.Utility_DisplayArrayInTable(Fuel_SourceData.Fuel_Scope1EmissionFactorsStationaryGaseous_Data(), Table_Fuel_EFs_StationaryGaseous[[#Headers],[Fuel combusted]],0)</f>
        <v>3.9E-2</v>
      </c>
      <c r="F95" s="217" t="str" cm="1">
        <f t="array" ref="F95">Common_InputFunctions.Utility_DisplayArrayInTable(Fuel_SourceData.Fuel_Scope1EmissionFactorsStationaryGaseous_Data(), Table_Fuel_EFs_StationaryGaseous[[#Headers],[Fuel combusted]],0)</f>
        <v>m3</v>
      </c>
      <c r="G95" s="217" cm="1">
        <f t="array" ref="G95">Common_InputFunctions.Utility_DisplayArrayInTable(Fuel_SourceData.Fuel_Scope1EmissionFactorsStationaryGaseous_Data(), Table_Fuel_EFs_StationaryGaseous[[#Headers],[Fuel combusted]],0)</f>
        <v>60.2</v>
      </c>
      <c r="H95" s="217" cm="1">
        <f t="array" ref="H95">Common_InputFunctions.Utility_DisplayArrayInTable(Fuel_SourceData.Fuel_Scope1EmissionFactorsStationaryGaseous_Data(), Table_Fuel_EFs_StationaryGaseous[[#Headers],[Fuel combusted]],0)</f>
        <v>0.04</v>
      </c>
      <c r="I95" s="217" cm="1">
        <f t="array" ref="I95">Common_InputFunctions.Utility_DisplayArrayInTable(Fuel_SourceData.Fuel_Scope1EmissionFactorsStationaryGaseous_Data(), Table_Fuel_EFs_StationaryGaseous[[#Headers],[Fuel combusted]],0)</f>
        <v>0.03</v>
      </c>
      <c r="J95" s="217" cm="1">
        <f t="array" ref="J95">Common_InputFunctions.Utility_DisplayArrayInTable(Fuel_SourceData.Fuel_Scope1EmissionFactorsStationaryGaseous_Data(), Table_Fuel_EFs_StationaryGaseous[[#Headers],[Fuel combusted]],0)</f>
        <v>60.27</v>
      </c>
      <c r="K95" s="160"/>
      <c r="L95" s="160"/>
    </row>
    <row r="96" spans="4:12" ht="20.100000000000001" customHeight="1" x14ac:dyDescent="0.25">
      <c r="D96" s="217" t="str" cm="1">
        <f t="array" ref="D96">Common_InputFunctions.Utility_DisplayArrayInTable(Fuel_SourceData.Fuel_Scope1EmissionFactorsStationaryGaseous_Data(), Table_Fuel_EFs_StationaryGaseous[[#Headers],[Fuel combusted]],0)</f>
        <v>Liquefied natural gas</v>
      </c>
      <c r="E96" s="217" cm="1">
        <f t="array" ref="E96">Common_InputFunctions.Utility_DisplayArrayInTable(Fuel_SourceData.Fuel_Scope1EmissionFactorsStationaryGaseous_Data(), Table_Fuel_EFs_StationaryGaseous[[#Headers],[Fuel combusted]],0)</f>
        <v>25.3</v>
      </c>
      <c r="F96" s="217" t="str" cm="1">
        <f t="array" ref="F96">Common_InputFunctions.Utility_DisplayArrayInTable(Fuel_SourceData.Fuel_Scope1EmissionFactorsStationaryGaseous_Data(), Table_Fuel_EFs_StationaryGaseous[[#Headers],[Fuel combusted]],0)</f>
        <v>kL</v>
      </c>
      <c r="G96" s="217" cm="1">
        <f t="array" ref="G96">Common_InputFunctions.Utility_DisplayArrayInTable(Fuel_SourceData.Fuel_Scope1EmissionFactorsStationaryGaseous_Data(), Table_Fuel_EFs_StationaryGaseous[[#Headers],[Fuel combusted]],0)</f>
        <v>51.4</v>
      </c>
      <c r="H96" s="217" cm="1">
        <f t="array" ref="H96">Common_InputFunctions.Utility_DisplayArrayInTable(Fuel_SourceData.Fuel_Scope1EmissionFactorsStationaryGaseous_Data(), Table_Fuel_EFs_StationaryGaseous[[#Headers],[Fuel combusted]],0)</f>
        <v>0.1</v>
      </c>
      <c r="I96" s="217" cm="1">
        <f t="array" ref="I96">Common_InputFunctions.Utility_DisplayArrayInTable(Fuel_SourceData.Fuel_Scope1EmissionFactorsStationaryGaseous_Data(), Table_Fuel_EFs_StationaryGaseous[[#Headers],[Fuel combusted]],0)</f>
        <v>0.03</v>
      </c>
      <c r="J96" s="217" cm="1">
        <f t="array" ref="J96">Common_InputFunctions.Utility_DisplayArrayInTable(Fuel_SourceData.Fuel_Scope1EmissionFactorsStationaryGaseous_Data(), Table_Fuel_EFs_StationaryGaseous[[#Headers],[Fuel combusted]],0)</f>
        <v>51.53</v>
      </c>
      <c r="K96" s="160"/>
      <c r="L96" s="160"/>
    </row>
    <row r="97" spans="4:13" ht="20.100000000000001" customHeight="1" x14ac:dyDescent="0.25">
      <c r="D97" s="217" t="str" cm="1">
        <f t="array" ref="D97">Common_InputFunctions.Utility_DisplayArrayInTable(Fuel_SourceData.Fuel_Scope1EmissionFactorsStationaryGaseous_Data(), Table_Fuel_EFs_StationaryGaseous[[#Headers],[Fuel combusted]],0)</f>
        <v>Gaseous fossil fuels other than those mentioned in the items above</v>
      </c>
      <c r="E97" s="217" cm="1">
        <f t="array" ref="E97">Common_InputFunctions.Utility_DisplayArrayInTable(Fuel_SourceData.Fuel_Scope1EmissionFactorsStationaryGaseous_Data(), Table_Fuel_EFs_StationaryGaseous[[#Headers],[Fuel combusted]],0)</f>
        <v>3.9E-2</v>
      </c>
      <c r="F97" s="217" t="str" cm="1">
        <f t="array" ref="F97">Common_InputFunctions.Utility_DisplayArrayInTable(Fuel_SourceData.Fuel_Scope1EmissionFactorsStationaryGaseous_Data(), Table_Fuel_EFs_StationaryGaseous[[#Headers],[Fuel combusted]],0)</f>
        <v>m3</v>
      </c>
      <c r="G97" s="217" cm="1">
        <f t="array" ref="G97">Common_InputFunctions.Utility_DisplayArrayInTable(Fuel_SourceData.Fuel_Scope1EmissionFactorsStationaryGaseous_Data(), Table_Fuel_EFs_StationaryGaseous[[#Headers],[Fuel combusted]],0)</f>
        <v>51.4</v>
      </c>
      <c r="H97" s="217" cm="1">
        <f t="array" ref="H97">Common_InputFunctions.Utility_DisplayArrayInTable(Fuel_SourceData.Fuel_Scope1EmissionFactorsStationaryGaseous_Data(), Table_Fuel_EFs_StationaryGaseous[[#Headers],[Fuel combusted]],0)</f>
        <v>0.1</v>
      </c>
      <c r="I97" s="217" cm="1">
        <f t="array" ref="I97">Common_InputFunctions.Utility_DisplayArrayInTable(Fuel_SourceData.Fuel_Scope1EmissionFactorsStationaryGaseous_Data(), Table_Fuel_EFs_StationaryGaseous[[#Headers],[Fuel combusted]],0)</f>
        <v>0.03</v>
      </c>
      <c r="J97" s="217" cm="1">
        <f t="array" ref="J97">Common_InputFunctions.Utility_DisplayArrayInTable(Fuel_SourceData.Fuel_Scope1EmissionFactorsStationaryGaseous_Data(), Table_Fuel_EFs_StationaryGaseous[[#Headers],[Fuel combusted]],0)</f>
        <v>51.53</v>
      </c>
      <c r="K97" s="160"/>
      <c r="L97" s="160"/>
    </row>
    <row r="98" spans="4:13" ht="20.100000000000001" customHeight="1" x14ac:dyDescent="0.25">
      <c r="D98" s="217" t="str" cm="1">
        <f t="array" ref="D98">Common_InputFunctions.Utility_DisplayArrayInTable(Fuel_SourceData.Fuel_Scope1EmissionFactorsStationaryGaseous_Data(), Table_Fuel_EFs_StationaryGaseous[[#Headers],[Fuel combusted]],0)</f>
        <v>Landfill biogas that is captured for combustion (methane only)</v>
      </c>
      <c r="E98" s="217" cm="1">
        <f t="array" ref="E98">Common_InputFunctions.Utility_DisplayArrayInTable(Fuel_SourceData.Fuel_Scope1EmissionFactorsStationaryGaseous_Data(), Table_Fuel_EFs_StationaryGaseous[[#Headers],[Fuel combusted]],0)</f>
        <v>3.7699999999999997E-2</v>
      </c>
      <c r="F98" s="217" t="str" cm="1">
        <f t="array" ref="F98">Common_InputFunctions.Utility_DisplayArrayInTable(Fuel_SourceData.Fuel_Scope1EmissionFactorsStationaryGaseous_Data(), Table_Fuel_EFs_StationaryGaseous[[#Headers],[Fuel combusted]],0)</f>
        <v>m3</v>
      </c>
      <c r="G98" s="217" cm="1">
        <f t="array" ref="G98">Common_InputFunctions.Utility_DisplayArrayInTable(Fuel_SourceData.Fuel_Scope1EmissionFactorsStationaryGaseous_Data(), Table_Fuel_EFs_StationaryGaseous[[#Headers],[Fuel combusted]],0)</f>
        <v>0</v>
      </c>
      <c r="H98" s="217" cm="1">
        <f t="array" ref="H98">Common_InputFunctions.Utility_DisplayArrayInTable(Fuel_SourceData.Fuel_Scope1EmissionFactorsStationaryGaseous_Data(), Table_Fuel_EFs_StationaryGaseous[[#Headers],[Fuel combusted]],0)</f>
        <v>6.4</v>
      </c>
      <c r="I98" s="217" cm="1">
        <f t="array" ref="I98">Common_InputFunctions.Utility_DisplayArrayInTable(Fuel_SourceData.Fuel_Scope1EmissionFactorsStationaryGaseous_Data(), Table_Fuel_EFs_StationaryGaseous[[#Headers],[Fuel combusted]],0)</f>
        <v>0.03</v>
      </c>
      <c r="J98" s="217" cm="1">
        <f t="array" ref="J98">Common_InputFunctions.Utility_DisplayArrayInTable(Fuel_SourceData.Fuel_Scope1EmissionFactorsStationaryGaseous_Data(), Table_Fuel_EFs_StationaryGaseous[[#Headers],[Fuel combusted]],0)</f>
        <v>6.43</v>
      </c>
      <c r="K98" s="160"/>
      <c r="L98" s="160"/>
    </row>
    <row r="99" spans="4:13" ht="20.100000000000001" customHeight="1" x14ac:dyDescent="0.25">
      <c r="D99" s="217" t="str" cm="1">
        <f t="array" ref="D99">Common_InputFunctions.Utility_DisplayArrayInTable(Fuel_SourceData.Fuel_Scope1EmissionFactorsStationaryGaseous_Data(), Table_Fuel_EFs_StationaryGaseous[[#Headers],[Fuel combusted]],0)</f>
        <v>Sludge biogas that is captured for combustion (methane only)</v>
      </c>
      <c r="E99" s="217" cm="1">
        <f t="array" ref="E99">Common_InputFunctions.Utility_DisplayArrayInTable(Fuel_SourceData.Fuel_Scope1EmissionFactorsStationaryGaseous_Data(), Table_Fuel_EFs_StationaryGaseous[[#Headers],[Fuel combusted]],0)</f>
        <v>3.7699999999999997E-2</v>
      </c>
      <c r="F99" s="217" t="str" cm="1">
        <f t="array" ref="F99">Common_InputFunctions.Utility_DisplayArrayInTable(Fuel_SourceData.Fuel_Scope1EmissionFactorsStationaryGaseous_Data(), Table_Fuel_EFs_StationaryGaseous[[#Headers],[Fuel combusted]],0)</f>
        <v>m3</v>
      </c>
      <c r="G99" s="217" cm="1">
        <f t="array" ref="G99">Common_InputFunctions.Utility_DisplayArrayInTable(Fuel_SourceData.Fuel_Scope1EmissionFactorsStationaryGaseous_Data(), Table_Fuel_EFs_StationaryGaseous[[#Headers],[Fuel combusted]],0)</f>
        <v>0</v>
      </c>
      <c r="H99" s="217" cm="1">
        <f t="array" ref="H99">Common_InputFunctions.Utility_DisplayArrayInTable(Fuel_SourceData.Fuel_Scope1EmissionFactorsStationaryGaseous_Data(), Table_Fuel_EFs_StationaryGaseous[[#Headers],[Fuel combusted]],0)</f>
        <v>6.4</v>
      </c>
      <c r="I99" s="217" cm="1">
        <f t="array" ref="I99">Common_InputFunctions.Utility_DisplayArrayInTable(Fuel_SourceData.Fuel_Scope1EmissionFactorsStationaryGaseous_Data(), Table_Fuel_EFs_StationaryGaseous[[#Headers],[Fuel combusted]],0)</f>
        <v>0.03</v>
      </c>
      <c r="J99" s="217" cm="1">
        <f t="array" ref="J99">Common_InputFunctions.Utility_DisplayArrayInTable(Fuel_SourceData.Fuel_Scope1EmissionFactorsStationaryGaseous_Data(), Table_Fuel_EFs_StationaryGaseous[[#Headers],[Fuel combusted]],0)</f>
        <v>6.43</v>
      </c>
      <c r="K99" s="160"/>
      <c r="L99" s="160"/>
    </row>
    <row r="100" spans="4:13" ht="20.100000000000001" customHeight="1" x14ac:dyDescent="0.25">
      <c r="D100" s="21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7" cm="1">
        <f t="array" ref="E100">Common_InputFunctions.Utility_DisplayArrayInTable(Fuel_SourceData.Fuel_Scope1EmissionFactorsStationaryGaseous_Data(), Table_Fuel_EFs_StationaryGaseous[[#Headers],[Fuel combusted]],0)</f>
        <v>3.6999999999999998E-2</v>
      </c>
      <c r="F100" s="217" t="str" cm="1">
        <f t="array" ref="F100">Common_InputFunctions.Utility_DisplayArrayInTable(Fuel_SourceData.Fuel_Scope1EmissionFactorsStationaryGaseous_Data(), Table_Fuel_EFs_StationaryGaseous[[#Headers],[Fuel combusted]],0)</f>
        <v>m3</v>
      </c>
      <c r="G100" s="217" cm="1">
        <f t="array" ref="G100">Common_InputFunctions.Utility_DisplayArrayInTable(Fuel_SourceData.Fuel_Scope1EmissionFactorsStationaryGaseous_Data(), Table_Fuel_EFs_StationaryGaseous[[#Headers],[Fuel combusted]],0)</f>
        <v>0</v>
      </c>
      <c r="H100" s="217" cm="1">
        <f t="array" ref="H100">Common_InputFunctions.Utility_DisplayArrayInTable(Fuel_SourceData.Fuel_Scope1EmissionFactorsStationaryGaseous_Data(), Table_Fuel_EFs_StationaryGaseous[[#Headers],[Fuel combusted]],0)</f>
        <v>6.4</v>
      </c>
      <c r="I100" s="217" cm="1">
        <f t="array" ref="I100">Common_InputFunctions.Utility_DisplayArrayInTable(Fuel_SourceData.Fuel_Scope1EmissionFactorsStationaryGaseous_Data(), Table_Fuel_EFs_StationaryGaseous[[#Headers],[Fuel combusted]],0)</f>
        <v>0.03</v>
      </c>
      <c r="J100" s="217" cm="1">
        <f t="array" ref="J100">Common_InputFunctions.Utility_DisplayArrayInTable(Fuel_SourceData.Fuel_Scope1EmissionFactorsStationaryGaseous_Data(), Table_Fuel_EFs_StationaryGaseous[[#Headers],[Fuel combusted]],0)</f>
        <v>6.43</v>
      </c>
      <c r="K100" s="160"/>
      <c r="L100" s="160"/>
    </row>
    <row r="101" spans="4:13" ht="20.100000000000001" customHeight="1" x14ac:dyDescent="0.25">
      <c r="D101" s="217" t="str" cm="1">
        <f t="array" ref="D101">Common_InputFunctions.Utility_DisplayArrayInTable(Fuel_SourceData.Fuel_Scope1EmissionFactorsStationaryGaseous_Data(), Table_Fuel_EFs_StationaryGaseous[[#Headers],[Fuel combusted]],0)</f>
        <v>Biomethane</v>
      </c>
      <c r="E101" s="217" cm="1">
        <f t="array" ref="E101">Common_InputFunctions.Utility_DisplayArrayInTable(Fuel_SourceData.Fuel_Scope1EmissionFactorsStationaryGaseous_Data(), Table_Fuel_EFs_StationaryGaseous[[#Headers],[Fuel combusted]],0)</f>
        <v>3.9300000000000002E-2</v>
      </c>
      <c r="F101" s="217" t="str" cm="1">
        <f t="array" ref="F101">Common_InputFunctions.Utility_DisplayArrayInTable(Fuel_SourceData.Fuel_Scope1EmissionFactorsStationaryGaseous_Data(), Table_Fuel_EFs_StationaryGaseous[[#Headers],[Fuel combusted]],0)</f>
        <v>m3</v>
      </c>
      <c r="G101" s="217" cm="1">
        <f t="array" ref="G101">Common_InputFunctions.Utility_DisplayArrayInTable(Fuel_SourceData.Fuel_Scope1EmissionFactorsStationaryGaseous_Data(), Table_Fuel_EFs_StationaryGaseous[[#Headers],[Fuel combusted]],0)</f>
        <v>0</v>
      </c>
      <c r="H101" s="217" cm="1">
        <f t="array" ref="H101">Common_InputFunctions.Utility_DisplayArrayInTable(Fuel_SourceData.Fuel_Scope1EmissionFactorsStationaryGaseous_Data(), Table_Fuel_EFs_StationaryGaseous[[#Headers],[Fuel combusted]],0)</f>
        <v>0.1</v>
      </c>
      <c r="I101" s="217" cm="1">
        <f t="array" ref="I101">Common_InputFunctions.Utility_DisplayArrayInTable(Fuel_SourceData.Fuel_Scope1EmissionFactorsStationaryGaseous_Data(), Table_Fuel_EFs_StationaryGaseous[[#Headers],[Fuel combusted]],0)</f>
        <v>0.03</v>
      </c>
      <c r="J101" s="217" cm="1">
        <f t="array" ref="J101">Common_InputFunctions.Utility_DisplayArrayInTable(Fuel_SourceData.Fuel_Scope1EmissionFactorsStationaryGaseous_Data(), Table_Fuel_EFs_StationaryGaseous[[#Headers],[Fuel combusted]],0)</f>
        <v>0.13</v>
      </c>
      <c r="K101" s="160"/>
      <c r="L101" s="160"/>
    </row>
    <row r="102" spans="4:13" ht="20.100000000000001" customHeight="1" x14ac:dyDescent="0.25">
      <c r="D102" s="217" t="str" cm="1">
        <f t="array" ref="D102">Common_InputFunctions.Utility_DisplayArrayInTable(Fuel_SourceData.Fuel_Scope1EmissionFactorsStationaryGaseous_Data(), Table_Fuel_EFs_StationaryGaseous[[#Headers],[Fuel combusted]],0)</f>
        <v>Hydrogen</v>
      </c>
      <c r="E102" s="217" cm="1">
        <f t="array" ref="E102">Common_InputFunctions.Utility_DisplayArrayInTable(Fuel_SourceData.Fuel_Scope1EmissionFactorsStationaryGaseous_Data(), Table_Fuel_EFs_StationaryGaseous[[#Headers],[Fuel combusted]],0)</f>
        <v>1.2200000000000001E-2</v>
      </c>
      <c r="F102" s="217" t="str" cm="1">
        <f t="array" ref="F102">Common_InputFunctions.Utility_DisplayArrayInTable(Fuel_SourceData.Fuel_Scope1EmissionFactorsStationaryGaseous_Data(), Table_Fuel_EFs_StationaryGaseous[[#Headers],[Fuel combusted]],0)</f>
        <v>m3</v>
      </c>
      <c r="G102" s="217" cm="1">
        <f t="array" ref="G102">Common_InputFunctions.Utility_DisplayArrayInTable(Fuel_SourceData.Fuel_Scope1EmissionFactorsStationaryGaseous_Data(), Table_Fuel_EFs_StationaryGaseous[[#Headers],[Fuel combusted]],0)</f>
        <v>0</v>
      </c>
      <c r="H102" s="217" cm="1">
        <f t="array" ref="H102">Common_InputFunctions.Utility_DisplayArrayInTable(Fuel_SourceData.Fuel_Scope1EmissionFactorsStationaryGaseous_Data(), Table_Fuel_EFs_StationaryGaseous[[#Headers],[Fuel combusted]],0)</f>
        <v>0</v>
      </c>
      <c r="I102" s="217" cm="1">
        <f t="array" ref="I102">Common_InputFunctions.Utility_DisplayArrayInTable(Fuel_SourceData.Fuel_Scope1EmissionFactorsStationaryGaseous_Data(), Table_Fuel_EFs_StationaryGaseous[[#Headers],[Fuel combusted]],0)</f>
        <v>0.5</v>
      </c>
      <c r="J102" s="217" cm="1">
        <f t="array" ref="J102">Common_InputFunctions.Utility_DisplayArrayInTable(Fuel_SourceData.Fuel_Scope1EmissionFactorsStationaryGaseous_Data(), Table_Fuel_EFs_StationaryGaseous[[#Headers],[Fuel combusted]],0)</f>
        <v>0.5</v>
      </c>
      <c r="K102" s="160"/>
      <c r="L102" s="160"/>
    </row>
    <row r="103" spans="4:13" ht="20.100000000000001" customHeight="1" x14ac:dyDescent="0.25">
      <c r="D103" s="217" t="str" cm="1">
        <f t="array" ref="D103">Common_InputFunctions.Utility_DisplayArrayInTable(Fuel_SourceData.Fuel_Scope1EmissionFactorsStationaryGaseous_Data(), Table_Fuel_EFs_StationaryGaseous[[#Headers],[Fuel combusted]],0)</f>
        <v>Natural gas distributed in a pipeline - Gigajoules</v>
      </c>
      <c r="E103" s="217" cm="1">
        <f t="array" ref="E103">Common_InputFunctions.Utility_DisplayArrayInTable(Fuel_SourceData.Fuel_Scope1EmissionFactorsStationaryGaseous_Data(), Table_Fuel_EFs_StationaryGaseous[[#Headers],[Fuel combusted]],0)</f>
        <v>1</v>
      </c>
      <c r="F103" s="217" t="str" cm="1">
        <f t="array" ref="F103">Common_InputFunctions.Utility_DisplayArrayInTable(Fuel_SourceData.Fuel_Scope1EmissionFactorsStationaryGaseous_Data(), Table_Fuel_EFs_StationaryGaseous[[#Headers],[Fuel combusted]],0)</f>
        <v>GJ</v>
      </c>
      <c r="G103" s="217" cm="1">
        <f t="array" ref="G103">Common_InputFunctions.Utility_DisplayArrayInTable(Fuel_SourceData.Fuel_Scope1EmissionFactorsStationaryGaseous_Data(), Table_Fuel_EFs_StationaryGaseous[[#Headers],[Fuel combusted]],0)</f>
        <v>51.4</v>
      </c>
      <c r="H103" s="217" cm="1">
        <f t="array" ref="H103">Common_InputFunctions.Utility_DisplayArrayInTable(Fuel_SourceData.Fuel_Scope1EmissionFactorsStationaryGaseous_Data(), Table_Fuel_EFs_StationaryGaseous[[#Headers],[Fuel combusted]],0)</f>
        <v>0.1</v>
      </c>
      <c r="I103" s="217" cm="1">
        <f t="array" ref="I103">Common_InputFunctions.Utility_DisplayArrayInTable(Fuel_SourceData.Fuel_Scope1EmissionFactorsStationaryGaseous_Data(), Table_Fuel_EFs_StationaryGaseous[[#Headers],[Fuel combusted]],0)</f>
        <v>0.03</v>
      </c>
      <c r="J103" s="217" cm="1">
        <f t="array" ref="J103">Common_InputFunctions.Utility_DisplayArrayInTable(Fuel_SourceData.Fuel_Scope1EmissionFactorsStationaryGaseous_Data(), Table_Fuel_EFs_StationaryGaseous[[#Headers],[Fuel combusted]],0)</f>
        <v>51.53</v>
      </c>
      <c r="K103" s="160"/>
      <c r="L103" s="160"/>
    </row>
    <row r="104" spans="4:13" ht="20.100000000000001" customHeight="1" x14ac:dyDescent="0.25">
      <c r="D104" s="217" t="str" cm="1">
        <f t="array" ref="D104">Common_InputFunctions.Utility_DisplayArrayInTable(Fuel_SourceData.Fuel_Scope1EmissionFactorsStationaryGaseous_Data(), Table_Fuel_EFs_StationaryGaseous[[#Headers],[Fuel combusted]],0)</f>
        <v>Town gas - Gigajoules</v>
      </c>
      <c r="E104" s="217" cm="1">
        <f t="array" ref="E104">Common_InputFunctions.Utility_DisplayArrayInTable(Fuel_SourceData.Fuel_Scope1EmissionFactorsStationaryGaseous_Data(), Table_Fuel_EFs_StationaryGaseous[[#Headers],[Fuel combusted]],0)</f>
        <v>1</v>
      </c>
      <c r="F104" s="217" t="str" cm="1">
        <f t="array" ref="F104">Common_InputFunctions.Utility_DisplayArrayInTable(Fuel_SourceData.Fuel_Scope1EmissionFactorsStationaryGaseous_Data(), Table_Fuel_EFs_StationaryGaseous[[#Headers],[Fuel combusted]],0)</f>
        <v>GJ</v>
      </c>
      <c r="G104" s="217" cm="1">
        <f t="array" ref="G104">Common_InputFunctions.Utility_DisplayArrayInTable(Fuel_SourceData.Fuel_Scope1EmissionFactorsStationaryGaseous_Data(), Table_Fuel_EFs_StationaryGaseous[[#Headers],[Fuel combusted]],0)</f>
        <v>60.2</v>
      </c>
      <c r="H104" s="217" cm="1">
        <f t="array" ref="H104">Common_InputFunctions.Utility_DisplayArrayInTable(Fuel_SourceData.Fuel_Scope1EmissionFactorsStationaryGaseous_Data(), Table_Fuel_EFs_StationaryGaseous[[#Headers],[Fuel combusted]],0)</f>
        <v>0.04</v>
      </c>
      <c r="I104" s="217" cm="1">
        <f t="array" ref="I104">Common_InputFunctions.Utility_DisplayArrayInTable(Fuel_SourceData.Fuel_Scope1EmissionFactorsStationaryGaseous_Data(), Table_Fuel_EFs_StationaryGaseous[[#Headers],[Fuel combusted]],0)</f>
        <v>0.03</v>
      </c>
      <c r="J104" s="217" cm="1">
        <f t="array" ref="J104">Common_InputFunctions.Utility_DisplayArrayInTable(Fuel_SourceData.Fuel_Scope1EmissionFactorsStationaryGaseous_Data(), Table_Fuel_EFs_StationaryGaseous[[#Headers],[Fuel combusted]],0)</f>
        <v>60.27</v>
      </c>
      <c r="K104" s="160"/>
      <c r="L104" s="160"/>
    </row>
    <row r="105" spans="4:13" ht="20.100000000000001" customHeight="1" x14ac:dyDescent="0.25">
      <c r="D105" s="160"/>
      <c r="E105" s="160"/>
      <c r="F105" s="160"/>
      <c r="G105" s="160"/>
      <c r="H105" s="160"/>
      <c r="I105" s="160"/>
      <c r="J105" s="160"/>
      <c r="K105" s="160"/>
      <c r="L105" s="160"/>
      <c r="M105" s="160"/>
    </row>
    <row r="106" spans="4:13" ht="20.100000000000001" customHeight="1" x14ac:dyDescent="0.25">
      <c r="D106" s="160"/>
      <c r="E106" s="160"/>
      <c r="F106" s="160"/>
      <c r="G106" s="160"/>
      <c r="H106" s="160"/>
      <c r="I106" s="160"/>
      <c r="J106" s="160"/>
      <c r="K106" s="160"/>
      <c r="L106" s="160"/>
      <c r="M106" s="160"/>
    </row>
    <row r="107" spans="4:13" ht="20.100000000000001" customHeight="1" x14ac:dyDescent="0.25">
      <c r="D107" s="2" t="str" cm="1">
        <f t="array" ref="D107">Fuel_SourceData.Fuel_Scope3EmissionFactorsStationaryGaseous_Title()</f>
        <v>Fuel scope 3 emission factors - Stationary gaseous fuels</v>
      </c>
      <c r="E107" s="160"/>
      <c r="F107" s="160"/>
      <c r="G107" s="160"/>
      <c r="H107" s="160"/>
      <c r="I107" s="160"/>
      <c r="J107" s="160"/>
      <c r="K107" s="160"/>
      <c r="L107" s="160"/>
    </row>
    <row r="108" spans="4:13" ht="20.100000000000001" customHeight="1" x14ac:dyDescent="0.25">
      <c r="D108" s="1" t="str" cm="1">
        <f t="array" ref="D108">Fuel_SourceData.Fuel_Scope3EmissionFactorsStationaryGaseous_Description()</f>
        <v>Indirect (Scope 3) emission factors for the consumption of natural gas.</v>
      </c>
      <c r="E108" s="160"/>
      <c r="F108" s="160"/>
      <c r="G108" s="160"/>
      <c r="H108" s="160"/>
      <c r="I108" s="160"/>
      <c r="J108" s="160"/>
      <c r="K108" s="160"/>
      <c r="L108" s="160"/>
    </row>
    <row r="109" spans="4:13" ht="20.100000000000001" customHeight="1" x14ac:dyDescent="0.25">
      <c r="D109" s="27" t="str" cm="1">
        <f t="array" ref="D109">Fuel_SourceData.Fuel_Scope3EmissionFactorsStationaryGaseous_Source()</f>
        <v>Australian National Greenhouse Accounts Factors 2025 - Table 6</v>
      </c>
      <c r="E109" s="160"/>
      <c r="F109" s="160"/>
      <c r="G109" s="160"/>
      <c r="H109" s="160"/>
      <c r="I109" s="160"/>
      <c r="J109" s="160"/>
      <c r="K109" s="160"/>
      <c r="L109" s="160"/>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0"/>
      <c r="F110" s="160"/>
      <c r="G110" s="160"/>
      <c r="H110" s="160"/>
      <c r="I110" s="160"/>
      <c r="J110" s="160"/>
      <c r="K110" s="160"/>
      <c r="L110" s="160"/>
    </row>
    <row r="111" spans="4:13" ht="20.100000000000001" customHeight="1" x14ac:dyDescent="0.25">
      <c r="D111" s="160"/>
      <c r="E111" s="160"/>
      <c r="F111" s="160"/>
      <c r="G111" s="160"/>
      <c r="H111" s="160"/>
      <c r="I111" s="160"/>
      <c r="J111" s="160"/>
      <c r="K111" s="160"/>
      <c r="L111" s="160"/>
    </row>
    <row r="112" spans="4:13" ht="20.100000000000001" customHeight="1" x14ac:dyDescent="0.25">
      <c r="D112" s="182" t="s">
        <v>557</v>
      </c>
      <c r="E112" s="214" t="s">
        <v>491</v>
      </c>
      <c r="F112" s="214" t="s">
        <v>558</v>
      </c>
      <c r="G112" s="160"/>
      <c r="H112" s="88" t="s">
        <v>559</v>
      </c>
      <c r="I112" s="160"/>
      <c r="J112" s="160"/>
      <c r="K112" s="160"/>
      <c r="L112" s="160"/>
    </row>
    <row r="113" spans="4:13" ht="20.100000000000001" customHeight="1" x14ac:dyDescent="0.25">
      <c r="D113" s="218" t="str" cm="1">
        <f t="array" ref="D113">Common_InputFunctions.Utility_DisplayArrayInTable(Fuel_SourceData.Fuel_Scope3EmissionFactorsStationaryGaseous_Data(), Table_Fuel_EFs_StationaryGaseous34[[#Headers],[State or territory]],0)</f>
        <v>New South Wales</v>
      </c>
      <c r="E113" s="218" cm="1">
        <f t="array" ref="E113">Common_InputFunctions.Utility_DisplayArrayInTable(Fuel_SourceData.Fuel_Scope3EmissionFactorsStationaryGaseous_Data(), Table_Fuel_EFs_StationaryGaseous34[[#Headers],[State or territory]],0)</f>
        <v>13.1</v>
      </c>
      <c r="F113" s="218" cm="1">
        <f t="array" ref="F113">Common_InputFunctions.Utility_DisplayArrayInTable(Fuel_SourceData.Fuel_Scope3EmissionFactorsStationaryGaseous_Data(), Table_Fuel_EFs_StationaryGaseous34[[#Headers],[State or territory]],0)</f>
        <v>14</v>
      </c>
      <c r="G113" s="21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0"/>
      <c r="J113" s="160"/>
      <c r="K113" s="160"/>
      <c r="L113" s="160"/>
    </row>
    <row r="114" spans="4:13" ht="20.100000000000001" customHeight="1" x14ac:dyDescent="0.25">
      <c r="D114" s="218" t="str" cm="1">
        <f t="array" ref="D114">Common_InputFunctions.Utility_DisplayArrayInTable(Fuel_SourceData.Fuel_Scope3EmissionFactorsStationaryGaseous_Data(), Table_Fuel_EFs_StationaryGaseous34[[#Headers],[State or territory]],0)</f>
        <v>ACT</v>
      </c>
      <c r="E114" s="218" cm="1">
        <f t="array" ref="E114">Common_InputFunctions.Utility_DisplayArrayInTable(Fuel_SourceData.Fuel_Scope3EmissionFactorsStationaryGaseous_Data(), Table_Fuel_EFs_StationaryGaseous34[[#Headers],[State or territory]],0)</f>
        <v>13.1</v>
      </c>
      <c r="F114" s="218" cm="1">
        <f t="array" ref="F114">Common_InputFunctions.Utility_DisplayArrayInTable(Fuel_SourceData.Fuel_Scope3EmissionFactorsStationaryGaseous_Data(), Table_Fuel_EFs_StationaryGaseous34[[#Headers],[State or territory]],0)</f>
        <v>14</v>
      </c>
      <c r="G114" s="219" t="str">
        <v/>
      </c>
      <c r="H114" s="1" t="str">
        <v>Gas reaches end users either from the metro distribution networks or direct from the high - pressure distribution pipelines.</v>
      </c>
      <c r="I114" s="160"/>
      <c r="J114" s="160"/>
      <c r="K114" s="160"/>
      <c r="L114" s="160"/>
    </row>
    <row r="115" spans="4:13" ht="20.100000000000001" customHeight="1" x14ac:dyDescent="0.25">
      <c r="D115" s="218" t="str" cm="1">
        <f t="array" ref="D115">Common_InputFunctions.Utility_DisplayArrayInTable(Fuel_SourceData.Fuel_Scope3EmissionFactorsStationaryGaseous_Data(), Table_Fuel_EFs_StationaryGaseous34[[#Headers],[State or territory]],0)</f>
        <v>Victoria</v>
      </c>
      <c r="E115" s="218" cm="1">
        <f t="array" ref="E115">Common_InputFunctions.Utility_DisplayArrayInTable(Fuel_SourceData.Fuel_Scope3EmissionFactorsStationaryGaseous_Data(), Table_Fuel_EFs_StationaryGaseous34[[#Headers],[State or territory]],0)</f>
        <v>4</v>
      </c>
      <c r="F115" s="218" cm="1">
        <f t="array" ref="F115">Common_InputFunctions.Utility_DisplayArrayInTable(Fuel_SourceData.Fuel_Scope3EmissionFactorsStationaryGaseous_Data(), Table_Fuel_EFs_StationaryGaseous34[[#Headers],[State or territory]],0)</f>
        <v>4</v>
      </c>
      <c r="G115" s="219" t="str">
        <v/>
      </c>
      <c r="H115" s="1" t="str">
        <v>Households and commercial users tend to be served by the former, and electricity generators and large industrial plants from the latter.</v>
      </c>
      <c r="I115" s="160"/>
      <c r="J115" s="160"/>
      <c r="K115" s="160"/>
      <c r="L115" s="160"/>
    </row>
    <row r="116" spans="4:13" ht="20.100000000000001" customHeight="1" x14ac:dyDescent="0.25">
      <c r="D116" s="218" t="str" cm="1">
        <f t="array" ref="D116">Common_InputFunctions.Utility_DisplayArrayInTable(Fuel_SourceData.Fuel_Scope3EmissionFactorsStationaryGaseous_Data(), Table_Fuel_EFs_StationaryGaseous34[[#Headers],[State or territory]],0)</f>
        <v>Queensland</v>
      </c>
      <c r="E116" s="218" cm="1">
        <f t="array" ref="E116">Common_InputFunctions.Utility_DisplayArrayInTable(Fuel_SourceData.Fuel_Scope3EmissionFactorsStationaryGaseous_Data(), Table_Fuel_EFs_StationaryGaseous34[[#Headers],[State or territory]],0)</f>
        <v>8.8000000000000007</v>
      </c>
      <c r="F116" s="218" cm="1">
        <f t="array" ref="F116">Common_InputFunctions.Utility_DisplayArrayInTable(Fuel_SourceData.Fuel_Scope3EmissionFactorsStationaryGaseous_Data(), Table_Fuel_EFs_StationaryGaseous34[[#Headers],[State or territory]],0)</f>
        <v>7.9</v>
      </c>
      <c r="G116" s="219" t="str">
        <v>-</v>
      </c>
      <c r="H116" s="1" t="str">
        <v>Metro is defined as located on or east of the dividing range in NSW, including Canberra and Queanbeyan, Melbourne, Brisbane, Adelaide or Perth.</v>
      </c>
      <c r="I116" s="160"/>
      <c r="J116" s="160"/>
      <c r="K116" s="160"/>
      <c r="L116" s="160"/>
    </row>
    <row r="117" spans="4:13" ht="20.100000000000001" customHeight="1" x14ac:dyDescent="0.25">
      <c r="D117" s="218" t="str" cm="1">
        <f t="array" ref="D117">Common_InputFunctions.Utility_DisplayArrayInTable(Fuel_SourceData.Fuel_Scope3EmissionFactorsStationaryGaseous_Data(), Table_Fuel_EFs_StationaryGaseous34[[#Headers],[State or territory]],0)</f>
        <v>South Australia</v>
      </c>
      <c r="E117" s="218" cm="1">
        <f t="array" ref="E117">Common_InputFunctions.Utility_DisplayArrayInTable(Fuel_SourceData.Fuel_Scope3EmissionFactorsStationaryGaseous_Data(), Table_Fuel_EFs_StationaryGaseous34[[#Headers],[State or territory]],0)</f>
        <v>10.7</v>
      </c>
      <c r="F117" s="218" cm="1">
        <f t="array" ref="F117">Common_InputFunctions.Utility_DisplayArrayInTable(Fuel_SourceData.Fuel_Scope3EmissionFactorsStationaryGaseous_Data(), Table_Fuel_EFs_StationaryGaseous34[[#Headers],[State or territory]],0)</f>
        <v>10.6</v>
      </c>
      <c r="G117" s="219" t="str">
        <v/>
      </c>
      <c r="H117" s="1" t="str">
        <v>Otherwise, the non - metro factor should be used.</v>
      </c>
      <c r="I117" s="160"/>
      <c r="J117" s="160"/>
      <c r="K117" s="160"/>
      <c r="L117" s="160"/>
    </row>
    <row r="118" spans="4:13" ht="20.100000000000001" customHeight="1" x14ac:dyDescent="0.25">
      <c r="D118" s="218" t="str" cm="1">
        <f t="array" ref="D118">Common_InputFunctions.Utility_DisplayArrayInTable(Fuel_SourceData.Fuel_Scope3EmissionFactorsStationaryGaseous_Data(), Table_Fuel_EFs_StationaryGaseous34[[#Headers],[State or territory]],0)</f>
        <v>Western Australia</v>
      </c>
      <c r="E118" s="218" cm="1">
        <f t="array" ref="E118">Common_InputFunctions.Utility_DisplayArrayInTable(Fuel_SourceData.Fuel_Scope3EmissionFactorsStationaryGaseous_Data(), Table_Fuel_EFs_StationaryGaseous34[[#Headers],[State or territory]],0)</f>
        <v>4.0999999999999996</v>
      </c>
      <c r="F118" s="218" cm="1">
        <f t="array" ref="F118">Common_InputFunctions.Utility_DisplayArrayInTable(Fuel_SourceData.Fuel_Scope3EmissionFactorsStationaryGaseous_Data(), Table_Fuel_EFs_StationaryGaseous34[[#Headers],[State or territory]],0)</f>
        <v>4</v>
      </c>
      <c r="G118" s="219" t="str">
        <v>-</v>
      </c>
      <c r="H118" s="1" t="str">
        <v>Factors are calculated for all natural gas distributed in a pipeline which may include coal seam methane.</v>
      </c>
      <c r="I118" s="160"/>
      <c r="J118" s="160"/>
      <c r="K118" s="160"/>
      <c r="L118" s="160"/>
    </row>
    <row r="119" spans="4:13" ht="20.100000000000001" customHeight="1" x14ac:dyDescent="0.25">
      <c r="D119" s="218" t="str" cm="1">
        <f t="array" ref="D119">Common_InputFunctions.Utility_DisplayArrayInTable(Fuel_SourceData.Fuel_Scope3EmissionFactorsStationaryGaseous_Data(), Table_Fuel_EFs_StationaryGaseous34[[#Headers],[State or territory]],0)</f>
        <v>Tasmania</v>
      </c>
      <c r="E119" s="218" cm="1">
        <f t="array" ref="E119">Common_InputFunctions.Utility_DisplayArrayInTable(Fuel_SourceData.Fuel_Scope3EmissionFactorsStationaryGaseous_Data(), Table_Fuel_EFs_StationaryGaseous34[[#Headers],[State or territory]],0)</f>
        <v>4</v>
      </c>
      <c r="F119" s="218" cm="1">
        <f t="array" ref="F119">Common_InputFunctions.Utility_DisplayArrayInTable(Fuel_SourceData.Fuel_Scope3EmissionFactorsStationaryGaseous_Data(), Table_Fuel_EFs_StationaryGaseous34[[#Headers],[State or territory]],0)</f>
        <v>4</v>
      </c>
      <c r="G119" s="219" t="str">
        <v>-</v>
      </c>
      <c r="H119" s="1" t="str">
        <v>Table 6 is not applicable to ethane. See Table 7 Indirect (Scope 3) emissions from the consumption of ethane.</v>
      </c>
      <c r="I119" s="160"/>
      <c r="J119" s="160"/>
      <c r="K119" s="160"/>
      <c r="L119" s="160"/>
    </row>
    <row r="120" spans="4:13" ht="20.100000000000001" customHeight="1" x14ac:dyDescent="0.25">
      <c r="D120" s="218" t="str" cm="1">
        <f t="array" ref="D120">Common_InputFunctions.Utility_DisplayArrayInTable(Fuel_SourceData.Fuel_Scope3EmissionFactorsStationaryGaseous_Data(), Table_Fuel_EFs_StationaryGaseous34[[#Headers],[State or territory]],0)</f>
        <v>Northern Territory</v>
      </c>
      <c r="E120" s="218" cm="1">
        <f t="array" ref="E120">Common_InputFunctions.Utility_DisplayArrayInTable(Fuel_SourceData.Fuel_Scope3EmissionFactorsStationaryGaseous_Data(), Table_Fuel_EFs_StationaryGaseous34[[#Headers],[State or territory]],0)</f>
        <v>4.0999999999999996</v>
      </c>
      <c r="F120" s="218" cm="1">
        <f t="array" ref="F120">Common_InputFunctions.Utility_DisplayArrayInTable(Fuel_SourceData.Fuel_Scope3EmissionFactorsStationaryGaseous_Data(), Table_Fuel_EFs_StationaryGaseous34[[#Headers],[State or territory]],0)</f>
        <v>4</v>
      </c>
      <c r="G120" s="219" t="str">
        <v>-</v>
      </c>
      <c r="H120" s="1" t="str">
        <v>C = Confidential. Scope 3 emission factors for Tasmania and the Northern Territory are not available due to confidentiality constraints that arise</v>
      </c>
      <c r="I120" s="160"/>
      <c r="J120" s="160"/>
      <c r="K120" s="160"/>
      <c r="L120" s="160"/>
    </row>
    <row r="121" spans="4:13" ht="20.100000000000001" customHeight="1" x14ac:dyDescent="0.25">
      <c r="D121" s="8"/>
      <c r="E121" s="8"/>
      <c r="F121" s="8"/>
      <c r="G121" s="219" t="str">
        <v/>
      </c>
      <c r="H121" s="1" t="str">
        <v>from the use of a limited number of NGER data inputs. It is suggested that for Tasmania the use of the Victorian emission factors is appropriate,</v>
      </c>
      <c r="I121" s="160"/>
      <c r="J121" s="160"/>
      <c r="K121" s="160"/>
      <c r="L121" s="160"/>
    </row>
    <row r="122" spans="4:13" ht="20.100000000000001" customHeight="1" x14ac:dyDescent="0.25">
      <c r="D122" s="160"/>
      <c r="F122" s="220"/>
      <c r="G122" s="219" t="str">
        <v/>
      </c>
      <c r="H122" s="1" t="str">
        <v>while for Northern Territory the use of the Western Australian emission factors is appropriate.</v>
      </c>
      <c r="I122" s="160"/>
      <c r="J122" s="160"/>
      <c r="K122" s="160"/>
      <c r="L122" s="160"/>
    </row>
    <row r="123" spans="4:13" ht="20.100000000000001" customHeight="1" x14ac:dyDescent="0.25">
      <c r="D123" s="221"/>
      <c r="F123" s="220"/>
      <c r="G123" s="219" t="str">
        <v>-</v>
      </c>
      <c r="H123" s="1" t="str">
        <v>Scope 3 emission factors do not include fugitive emission leakage from low pressure natural gas distribution pipeline networks while those from high pressure</v>
      </c>
      <c r="I123" s="160"/>
      <c r="J123" s="160"/>
      <c r="K123" s="160"/>
      <c r="L123" s="160"/>
    </row>
    <row r="124" spans="4:13" ht="20.100000000000001" customHeight="1" x14ac:dyDescent="0.25">
      <c r="D124" s="221"/>
      <c r="F124" s="220"/>
      <c r="G124" s="160" t="str">
        <v/>
      </c>
      <c r="H124" s="1" t="str">
        <v>gas networks are considered negligible.</v>
      </c>
      <c r="I124" s="160"/>
      <c r="J124" s="160"/>
      <c r="K124" s="160"/>
      <c r="L124" s="160"/>
    </row>
    <row r="125" spans="4:13" ht="20.100000000000001" customHeight="1" x14ac:dyDescent="0.25">
      <c r="D125" s="221"/>
      <c r="F125" s="220"/>
      <c r="G125" s="160"/>
      <c r="H125" s="160"/>
      <c r="I125" s="160"/>
      <c r="J125" s="160"/>
      <c r="K125" s="160"/>
      <c r="L125" s="160"/>
    </row>
    <row r="126" spans="4:13" ht="20.100000000000001" customHeight="1" x14ac:dyDescent="0.25">
      <c r="D126" s="160"/>
      <c r="E126" s="160"/>
      <c r="F126" s="160"/>
      <c r="G126" s="160"/>
      <c r="H126" s="160"/>
      <c r="I126" s="160"/>
      <c r="J126" s="160"/>
      <c r="K126" s="160"/>
      <c r="L126" s="160"/>
      <c r="M126" s="160"/>
    </row>
    <row r="127" spans="4:13" ht="20.100000000000001" customHeight="1" x14ac:dyDescent="0.25">
      <c r="D127" s="160"/>
      <c r="E127" s="160"/>
      <c r="F127" s="160"/>
      <c r="G127" s="160"/>
      <c r="H127" s="160"/>
      <c r="I127" s="160"/>
      <c r="J127" s="160"/>
      <c r="K127" s="160"/>
      <c r="L127" s="160"/>
      <c r="M127" s="160"/>
    </row>
    <row r="128" spans="4:13" ht="20.100000000000001" customHeight="1" x14ac:dyDescent="0.25">
      <c r="D128" s="160"/>
      <c r="E128" s="160"/>
      <c r="F128" s="160"/>
      <c r="G128" s="160"/>
      <c r="H128" s="160"/>
      <c r="I128" s="160"/>
      <c r="J128" s="160"/>
      <c r="K128" s="160"/>
      <c r="L128" s="160"/>
      <c r="M128" s="160"/>
    </row>
    <row r="129" spans="4:33" ht="20.100000000000001" customHeight="1" x14ac:dyDescent="0.25">
      <c r="D129" s="222"/>
      <c r="E129" s="160"/>
      <c r="F129" s="160"/>
      <c r="G129" s="160"/>
      <c r="H129" s="160"/>
      <c r="I129" s="160"/>
      <c r="J129" s="160"/>
      <c r="K129" s="160"/>
      <c r="L129" s="160"/>
    </row>
    <row r="130" spans="4:33" ht="20.100000000000001" customHeight="1" x14ac:dyDescent="0.25">
      <c r="D130" s="223" t="s">
        <v>560</v>
      </c>
      <c r="E130" s="223" t="s">
        <v>500</v>
      </c>
      <c r="F130" s="223" t="s">
        <v>561</v>
      </c>
      <c r="G130" s="223" t="s">
        <v>503</v>
      </c>
      <c r="H130" s="223" t="s">
        <v>505</v>
      </c>
      <c r="I130" s="223" t="s">
        <v>506</v>
      </c>
      <c r="J130" s="160"/>
      <c r="K130" s="160"/>
      <c r="L130" s="160"/>
    </row>
    <row r="131" spans="4:33" ht="20.100000000000001" customHeight="1" x14ac:dyDescent="0.25">
      <c r="D131" s="224" t="str">
        <f>$D$143</f>
        <v>Petrol</v>
      </c>
      <c r="E131" s="224" t="str">
        <f>$D$143</f>
        <v>Petrol</v>
      </c>
      <c r="F131" s="224" t="str">
        <f>$D$150</f>
        <v>Avgas</v>
      </c>
      <c r="G131" s="224" t="str">
        <f>$D$143</f>
        <v>Petrol</v>
      </c>
      <c r="H131" s="224" t="str">
        <f>$D$144</f>
        <v>Diesel</v>
      </c>
      <c r="I131" s="224" t="str">
        <f>$D$143</f>
        <v>Petrol</v>
      </c>
      <c r="J131" s="160"/>
      <c r="K131" s="160"/>
      <c r="L131" s="160"/>
    </row>
    <row r="132" spans="4:33" ht="20.100000000000001" customHeight="1" x14ac:dyDescent="0.25">
      <c r="D132" s="224" t="str">
        <f>$D$144</f>
        <v>Diesel</v>
      </c>
      <c r="E132" s="224" t="str">
        <f>$D$144</f>
        <v>Diesel</v>
      </c>
      <c r="F132" s="224" t="str">
        <f>$D$151</f>
        <v>Jet A1, Jet B</v>
      </c>
      <c r="G132" s="224" t="str">
        <f>$D$144</f>
        <v>Diesel</v>
      </c>
      <c r="H132" s="224"/>
      <c r="I132" s="224" t="str">
        <f>$D$144</f>
        <v>Diesel</v>
      </c>
      <c r="J132" s="160"/>
      <c r="K132" s="160"/>
      <c r="L132" s="160"/>
    </row>
    <row r="133" spans="4:33" ht="20.100000000000001" customHeight="1" x14ac:dyDescent="0.25">
      <c r="D133" s="224" t="str">
        <f>$D$145</f>
        <v>Liquefied petroleum gas (LPG)</v>
      </c>
      <c r="E133" s="224" t="str">
        <f>$D$145</f>
        <v>Liquefied petroleum gas (LPG)</v>
      </c>
      <c r="F133" s="224" t="str">
        <f>$D$152</f>
        <v>Renewable aviation kerosene</v>
      </c>
      <c r="G133" s="224" t="str">
        <f>$D$145</f>
        <v>Liquefied petroleum gas (LPG)</v>
      </c>
      <c r="H133" s="224"/>
      <c r="I133" s="224" t="s">
        <v>507</v>
      </c>
      <c r="J133" s="160"/>
      <c r="K133" s="160"/>
      <c r="L133" s="160"/>
    </row>
    <row r="134" spans="4:33" ht="20.100000000000001" customHeight="1" x14ac:dyDescent="0.25">
      <c r="D134" s="224" t="str">
        <f>$D$146</f>
        <v>Biodiesel</v>
      </c>
      <c r="E134" s="224" t="str">
        <f>$D$146</f>
        <v>Biodiesel</v>
      </c>
      <c r="F134" s="223"/>
      <c r="G134" s="224" t="str">
        <f>$D$160</f>
        <v>Fuel oil</v>
      </c>
      <c r="H134" s="224"/>
      <c r="I134" s="224"/>
      <c r="J134" s="160"/>
      <c r="K134" s="160"/>
      <c r="L134" s="160"/>
    </row>
    <row r="135" spans="4:33" ht="20.100000000000001" customHeight="1" x14ac:dyDescent="0.25">
      <c r="D135" s="224" t="str">
        <f>$D$147</f>
        <v>Ethanol</v>
      </c>
      <c r="E135" s="224" t="str">
        <f>$D$147</f>
        <v>Ethanol</v>
      </c>
      <c r="F135" s="223"/>
      <c r="G135" s="224" t="str">
        <f>$D$147</f>
        <v>Ethanol</v>
      </c>
      <c r="H135" s="224"/>
      <c r="I135" s="224"/>
      <c r="J135" s="160"/>
      <c r="K135" s="160"/>
      <c r="L135" s="160"/>
    </row>
    <row r="136" spans="4:33" ht="20.100000000000001" customHeight="1" x14ac:dyDescent="0.25">
      <c r="D136" s="224" t="str">
        <f>$D$148</f>
        <v>Other biofuels</v>
      </c>
      <c r="E136" s="224" t="str">
        <f>$D$148</f>
        <v>Other biofuels</v>
      </c>
      <c r="F136" s="223"/>
      <c r="G136" s="224" t="str">
        <f>$D$146</f>
        <v>Biodiesel</v>
      </c>
      <c r="H136" s="224"/>
      <c r="I136" s="224"/>
      <c r="J136" s="160"/>
      <c r="K136" s="160"/>
      <c r="L136" s="160"/>
    </row>
    <row r="137" spans="4:33" ht="20.100000000000001" customHeight="1" x14ac:dyDescent="0.25">
      <c r="D137" s="224" t="str">
        <f>$D$149</f>
        <v>Renewable diesel</v>
      </c>
      <c r="E137" s="224" t="str">
        <f>$D$149</f>
        <v>Renewable diesel</v>
      </c>
      <c r="F137" s="223"/>
      <c r="G137" s="224" t="str">
        <f>$D$149</f>
        <v>Renewable diesel</v>
      </c>
      <c r="H137" s="224"/>
      <c r="I137" s="224"/>
      <c r="J137" s="160"/>
      <c r="K137" s="160"/>
      <c r="L137" s="160"/>
    </row>
    <row r="138" spans="4:33" ht="20.100000000000001" customHeight="1" x14ac:dyDescent="0.25">
      <c r="D138" s="223"/>
      <c r="E138" s="225" t="str">
        <f>$D$161</f>
        <v>Natural gas (via pipeline) in GJ</v>
      </c>
      <c r="F138" s="225"/>
      <c r="G138" s="224" t="str">
        <f>$D$148</f>
        <v>Other biofuels</v>
      </c>
      <c r="H138" s="224"/>
      <c r="I138" s="224"/>
      <c r="J138" s="160"/>
      <c r="K138" s="160"/>
      <c r="L138" s="160"/>
    </row>
    <row r="139" spans="4:33" ht="20.100000000000001" customHeight="1" x14ac:dyDescent="0.25">
      <c r="D139" s="225"/>
      <c r="E139" s="225" t="str">
        <f>$D$162</f>
        <v>Town gas in GJ</v>
      </c>
      <c r="F139" s="225"/>
      <c r="G139" s="225"/>
      <c r="H139" s="225"/>
      <c r="I139" s="225"/>
      <c r="J139" s="160"/>
      <c r="K139" s="160"/>
      <c r="L139" s="160"/>
    </row>
    <row r="140" spans="4:33" ht="20.100000000000001" customHeight="1" x14ac:dyDescent="0.25">
      <c r="D140" s="160"/>
      <c r="E140" s="160"/>
      <c r="F140" s="160"/>
      <c r="G140" s="160"/>
      <c r="H140" s="160"/>
      <c r="I140" s="160"/>
      <c r="J140" s="160"/>
      <c r="K140" s="160"/>
      <c r="L140" s="160"/>
    </row>
    <row r="141" spans="4:33" ht="20.100000000000001" customHeight="1" x14ac:dyDescent="0.25">
      <c r="D141" s="160"/>
      <c r="E141" s="160"/>
      <c r="F141" s="160"/>
      <c r="G141" s="160"/>
      <c r="H141" s="160"/>
      <c r="I141" s="160"/>
      <c r="J141" s="160"/>
      <c r="K141" s="160"/>
      <c r="L141" s="160"/>
    </row>
    <row r="142" spans="4:33" ht="20.100000000000001" customHeight="1" x14ac:dyDescent="0.25">
      <c r="D142" t="s">
        <v>562</v>
      </c>
      <c r="E142" t="s">
        <v>121</v>
      </c>
      <c r="F142" t="s">
        <v>563</v>
      </c>
      <c r="G142" s="160"/>
      <c r="H142" s="160"/>
      <c r="I142" s="160"/>
      <c r="J142" s="160"/>
      <c r="K142" s="160"/>
      <c r="L142" s="160"/>
      <c r="M142" s="160"/>
      <c r="AG142" s="1"/>
    </row>
    <row r="143" spans="4:33" ht="20.100000000000001" customHeight="1" x14ac:dyDescent="0.25">
      <c r="D143" s="224" t="s">
        <v>502</v>
      </c>
      <c r="E143" t="s">
        <v>564</v>
      </c>
      <c r="F143" t="s">
        <v>565</v>
      </c>
      <c r="G143" s="160"/>
      <c r="H143" s="160"/>
      <c r="I143" s="160"/>
      <c r="J143" s="160"/>
      <c r="K143" s="160"/>
      <c r="L143" s="160"/>
      <c r="M143" s="160"/>
      <c r="AG143" s="1"/>
    </row>
    <row r="144" spans="4:33" ht="20.100000000000001" customHeight="1" x14ac:dyDescent="0.25">
      <c r="D144" s="224" t="s">
        <v>504</v>
      </c>
      <c r="E144" t="s">
        <v>564</v>
      </c>
      <c r="F144" t="s">
        <v>565</v>
      </c>
      <c r="G144" s="160"/>
      <c r="H144" s="160"/>
      <c r="I144" s="160"/>
      <c r="J144" s="160"/>
      <c r="K144" s="160"/>
      <c r="L144" s="160"/>
      <c r="M144" s="160"/>
      <c r="AG144" s="1"/>
    </row>
    <row r="145" spans="4:33" ht="20.100000000000001" customHeight="1" x14ac:dyDescent="0.25">
      <c r="D145" s="224" t="s">
        <v>566</v>
      </c>
      <c r="E145" t="s">
        <v>564</v>
      </c>
      <c r="F145" t="s">
        <v>565</v>
      </c>
      <c r="G145" s="160"/>
      <c r="H145" s="160"/>
      <c r="I145" s="160"/>
      <c r="J145" s="160"/>
      <c r="K145" s="160"/>
      <c r="L145" s="160"/>
      <c r="M145" s="160"/>
      <c r="AG145" s="1"/>
    </row>
    <row r="146" spans="4:33" ht="20.100000000000001" customHeight="1" x14ac:dyDescent="0.25">
      <c r="D146" s="224" t="s">
        <v>567</v>
      </c>
      <c r="E146" t="s">
        <v>564</v>
      </c>
      <c r="F146" t="s">
        <v>565</v>
      </c>
      <c r="G146" s="160"/>
      <c r="H146" s="160"/>
      <c r="I146" s="160"/>
      <c r="J146" s="160"/>
      <c r="K146" s="160"/>
      <c r="L146" s="160"/>
      <c r="M146" s="160"/>
      <c r="AG146" s="1"/>
    </row>
    <row r="147" spans="4:33" ht="20.100000000000001" customHeight="1" x14ac:dyDescent="0.25">
      <c r="D147" s="224" t="s">
        <v>568</v>
      </c>
      <c r="E147" t="s">
        <v>564</v>
      </c>
      <c r="F147" t="s">
        <v>565</v>
      </c>
      <c r="G147" s="160"/>
      <c r="H147" s="160"/>
      <c r="I147" s="160"/>
      <c r="J147" s="160"/>
      <c r="K147" s="160"/>
      <c r="L147" s="160"/>
      <c r="M147" s="160"/>
      <c r="AG147" s="1"/>
    </row>
    <row r="148" spans="4:33" ht="20.100000000000001" customHeight="1" x14ac:dyDescent="0.25">
      <c r="D148" s="224" t="s">
        <v>569</v>
      </c>
      <c r="E148" t="s">
        <v>564</v>
      </c>
      <c r="F148" t="s">
        <v>565</v>
      </c>
      <c r="G148" s="160"/>
      <c r="H148" s="160"/>
      <c r="I148" s="160"/>
      <c r="J148" s="160"/>
      <c r="K148" s="160"/>
      <c r="L148" s="160"/>
      <c r="M148" s="160"/>
      <c r="AG148" s="1"/>
    </row>
    <row r="149" spans="4:33" ht="20.100000000000001" customHeight="1" x14ac:dyDescent="0.25">
      <c r="D149" s="224" t="s">
        <v>570</v>
      </c>
      <c r="E149" t="s">
        <v>564</v>
      </c>
      <c r="F149" t="s">
        <v>565</v>
      </c>
      <c r="G149" s="160"/>
      <c r="H149" s="160"/>
      <c r="I149" s="160"/>
      <c r="J149" s="160"/>
      <c r="K149" s="160"/>
      <c r="L149" s="160"/>
      <c r="M149" s="160"/>
      <c r="AG149" s="1"/>
    </row>
    <row r="150" spans="4:33" ht="20.100000000000001" customHeight="1" x14ac:dyDescent="0.25">
      <c r="D150" s="224" t="s">
        <v>571</v>
      </c>
      <c r="E150" t="s">
        <v>564</v>
      </c>
      <c r="F150" t="s">
        <v>565</v>
      </c>
      <c r="G150" s="160"/>
      <c r="H150" s="160"/>
      <c r="I150" s="160"/>
      <c r="J150" s="160"/>
      <c r="K150" s="160"/>
      <c r="L150" s="160"/>
      <c r="M150" s="160"/>
      <c r="AG150" s="1"/>
    </row>
    <row r="151" spans="4:33" ht="20.100000000000001" customHeight="1" x14ac:dyDescent="0.25">
      <c r="D151" s="224" t="s">
        <v>572</v>
      </c>
      <c r="E151" t="s">
        <v>564</v>
      </c>
      <c r="F151" t="s">
        <v>565</v>
      </c>
      <c r="G151" s="160"/>
      <c r="H151" s="160"/>
      <c r="I151" s="160"/>
      <c r="J151" s="160"/>
      <c r="K151" s="160"/>
      <c r="L151" s="160"/>
      <c r="M151" s="160"/>
      <c r="AG151" s="1"/>
    </row>
    <row r="152" spans="4:33" ht="20.100000000000001" customHeight="1" x14ac:dyDescent="0.25">
      <c r="D152" s="226" t="s">
        <v>573</v>
      </c>
      <c r="E152" s="8" t="s">
        <v>564</v>
      </c>
      <c r="F152" t="s">
        <v>565</v>
      </c>
      <c r="G152" s="160"/>
      <c r="H152" s="160"/>
      <c r="I152" s="160"/>
      <c r="J152" s="160"/>
      <c r="K152" s="160"/>
      <c r="L152" s="160"/>
      <c r="M152" s="160"/>
      <c r="AG152" s="1"/>
    </row>
    <row r="153" spans="4:33" ht="20.100000000000001" customHeight="1" x14ac:dyDescent="0.25">
      <c r="D153" s="226" t="s">
        <v>574</v>
      </c>
      <c r="E153" s="8" t="s">
        <v>564</v>
      </c>
      <c r="F153" t="s">
        <v>565</v>
      </c>
      <c r="G153" s="160"/>
      <c r="H153" s="160"/>
      <c r="I153" s="160"/>
      <c r="J153" s="160"/>
      <c r="K153" s="160"/>
      <c r="L153" s="160"/>
      <c r="M153" s="160"/>
      <c r="AG153" s="1"/>
    </row>
    <row r="154" spans="4:33" ht="20.100000000000001" customHeight="1" x14ac:dyDescent="0.25">
      <c r="D154" s="226" t="s">
        <v>575</v>
      </c>
      <c r="E154" s="8" t="s">
        <v>564</v>
      </c>
      <c r="F154" t="s">
        <v>565</v>
      </c>
      <c r="G154" s="160"/>
      <c r="H154" s="160"/>
      <c r="I154" s="160"/>
      <c r="J154" s="160"/>
      <c r="K154" s="160"/>
      <c r="L154" s="160"/>
      <c r="M154" s="160"/>
      <c r="AG154" s="1"/>
    </row>
    <row r="155" spans="4:33" ht="20.100000000000001" customHeight="1" x14ac:dyDescent="0.25">
      <c r="D155" s="226" t="s">
        <v>576</v>
      </c>
      <c r="E155" s="8" t="s">
        <v>564</v>
      </c>
      <c r="F155" t="s">
        <v>565</v>
      </c>
      <c r="G155" s="160"/>
      <c r="H155" s="160"/>
      <c r="I155" s="160"/>
      <c r="J155" s="160"/>
      <c r="K155" s="160"/>
      <c r="L155" s="160"/>
      <c r="M155" s="160"/>
      <c r="AG155" s="1"/>
    </row>
    <row r="156" spans="4:33" ht="20.100000000000001" customHeight="1" x14ac:dyDescent="0.25">
      <c r="D156" s="226" t="s">
        <v>577</v>
      </c>
      <c r="E156" s="8" t="s">
        <v>564</v>
      </c>
      <c r="F156" t="s">
        <v>565</v>
      </c>
      <c r="G156" s="160"/>
      <c r="H156" s="160"/>
      <c r="I156" s="160"/>
      <c r="J156" s="160"/>
      <c r="K156" s="160"/>
      <c r="L156" s="160"/>
      <c r="M156" s="160"/>
      <c r="AG156" s="1"/>
    </row>
    <row r="157" spans="4:33" ht="20.100000000000001" customHeight="1" x14ac:dyDescent="0.25">
      <c r="D157" s="226" t="s">
        <v>578</v>
      </c>
      <c r="E157" s="8" t="s">
        <v>564</v>
      </c>
      <c r="F157" t="s">
        <v>565</v>
      </c>
      <c r="G157" s="160"/>
      <c r="H157" s="160"/>
      <c r="I157" s="160"/>
      <c r="J157" s="160"/>
      <c r="K157" s="160"/>
      <c r="L157" s="160"/>
      <c r="M157" s="160"/>
      <c r="AG157" s="1"/>
    </row>
    <row r="158" spans="4:33" ht="20.100000000000001" customHeight="1" x14ac:dyDescent="0.25">
      <c r="D158" s="226" t="s">
        <v>579</v>
      </c>
      <c r="E158" s="8" t="s">
        <v>564</v>
      </c>
      <c r="F158" t="s">
        <v>565</v>
      </c>
      <c r="G158" s="160"/>
      <c r="H158" s="160"/>
      <c r="I158" s="160"/>
      <c r="J158" s="160"/>
      <c r="K158" s="160"/>
      <c r="L158" s="160"/>
      <c r="M158" s="160"/>
      <c r="AG158" s="1"/>
    </row>
    <row r="159" spans="4:33" ht="20.100000000000001" customHeight="1" x14ac:dyDescent="0.25">
      <c r="D159" s="226" t="s">
        <v>580</v>
      </c>
      <c r="E159" s="8" t="s">
        <v>564</v>
      </c>
      <c r="F159" t="s">
        <v>565</v>
      </c>
      <c r="G159" s="160"/>
      <c r="H159" s="160"/>
      <c r="I159" s="160"/>
      <c r="J159" s="160"/>
      <c r="K159" s="160"/>
      <c r="L159" s="160"/>
      <c r="M159" s="160"/>
      <c r="AG159" s="1"/>
    </row>
    <row r="160" spans="4:33" ht="20.100000000000001" customHeight="1" x14ac:dyDescent="0.25">
      <c r="D160" s="226" t="s">
        <v>507</v>
      </c>
      <c r="E160" s="8" t="s">
        <v>564</v>
      </c>
      <c r="F160" t="s">
        <v>565</v>
      </c>
      <c r="G160" s="160"/>
      <c r="H160" s="160"/>
      <c r="I160" s="160"/>
      <c r="J160" s="160"/>
      <c r="K160" s="160"/>
      <c r="L160" s="160"/>
      <c r="M160" s="160"/>
      <c r="AG160" s="1"/>
    </row>
    <row r="161" spans="4:33" ht="20.100000000000001" customHeight="1" x14ac:dyDescent="0.25">
      <c r="D161" s="225" t="s">
        <v>581</v>
      </c>
      <c r="E161" s="160" t="s">
        <v>582</v>
      </c>
      <c r="F161" s="160" t="s">
        <v>582</v>
      </c>
      <c r="G161" s="160"/>
      <c r="H161" s="160"/>
      <c r="I161" s="160"/>
      <c r="J161" s="160"/>
      <c r="K161" s="160"/>
      <c r="L161" s="160"/>
      <c r="M161" s="160"/>
      <c r="AG161" s="1"/>
    </row>
    <row r="162" spans="4:33" ht="20.100000000000001" customHeight="1" x14ac:dyDescent="0.25">
      <c r="D162" s="160" t="s">
        <v>501</v>
      </c>
      <c r="E162" s="160" t="s">
        <v>582</v>
      </c>
      <c r="F162" s="160" t="s">
        <v>582</v>
      </c>
      <c r="G162" s="160"/>
      <c r="H162" s="160"/>
      <c r="I162" s="160"/>
      <c r="J162" s="160"/>
      <c r="K162" s="160"/>
      <c r="L162" s="160"/>
      <c r="M162" s="160"/>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09AD4-A8EF-40D2-869A-A5F0FFC00764}">
  <sheetPr>
    <tabColor theme="2" tint="-0.499984740745262"/>
  </sheetPr>
  <dimension ref="A1:Q238"/>
  <sheetViews>
    <sheetView showGridLines="0" topLeftCell="A90" zoomScaleNormal="100" workbookViewId="0">
      <selection activeCell="A50" sqref="A50"/>
    </sheetView>
  </sheetViews>
  <sheetFormatPr defaultRowHeight="15.75" x14ac:dyDescent="0.25"/>
  <cols>
    <col min="1" max="1" width="35" style="239" customWidth="1"/>
    <col min="2" max="2" width="5.28515625" style="239" customWidth="1"/>
    <col min="3" max="3" width="5.28515625" style="1" customWidth="1"/>
    <col min="4" max="16" width="35" style="1" customWidth="1"/>
    <col min="17" max="17" width="9.140625" style="1"/>
    <col min="18" max="16384" width="9.140625" style="239"/>
  </cols>
  <sheetData>
    <row r="1" spans="1:17" ht="30" customHeight="1" x14ac:dyDescent="0.35">
      <c r="A1" s="16" t="e" vm="1">
        <v>#VALUE!</v>
      </c>
      <c r="C1" s="239"/>
      <c r="D1" s="239"/>
      <c r="E1" s="239"/>
      <c r="F1" s="239"/>
      <c r="G1" s="239"/>
      <c r="H1" s="239"/>
      <c r="I1" s="239"/>
      <c r="J1" s="239"/>
      <c r="K1" s="239"/>
      <c r="L1" s="239"/>
      <c r="M1" s="239"/>
      <c r="N1" s="239"/>
      <c r="O1" s="239"/>
      <c r="P1" s="239"/>
      <c r="Q1" s="239"/>
    </row>
    <row r="2" spans="1:17" ht="20.100000000000001" customHeight="1" x14ac:dyDescent="0.25">
      <c r="A2"/>
      <c r="C2" s="239"/>
      <c r="D2" s="239"/>
      <c r="E2" s="239"/>
      <c r="F2" s="239"/>
      <c r="G2" s="239"/>
      <c r="H2" s="239"/>
      <c r="I2" s="239"/>
      <c r="J2" s="239"/>
      <c r="K2" s="239"/>
      <c r="L2" s="239"/>
      <c r="M2" s="239"/>
      <c r="N2" s="239"/>
      <c r="O2" s="239"/>
      <c r="P2" s="239"/>
      <c r="Q2" s="239"/>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1" ht="20.100000000000001" customHeight="1" x14ac:dyDescent="0.25">
      <c r="A17" s="5" t="str">
        <f>HYPERLINK("#'Input - Crop pasture farm input'!A1", "Crop pasture farm input")</f>
        <v>Crop pasture farm input</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A21" s="5" t="str">
        <f>HYPERLINK("#'Input - Data quality'!A1", "Data quality")</f>
        <v>Data quality</v>
      </c>
    </row>
    <row r="22" spans="1:11" ht="20.100000000000001" customHeight="1" x14ac:dyDescent="0.25">
      <c r="A22"/>
    </row>
    <row r="23" spans="1:11" ht="20.100000000000001" customHeight="1" x14ac:dyDescent="0.25">
      <c r="A23"/>
    </row>
    <row r="24" spans="1:11" ht="20.100000000000001" customHeight="1" x14ac:dyDescent="0.25">
      <c r="A24" s="6" t="s">
        <v>2</v>
      </c>
    </row>
    <row r="25" spans="1:11" ht="20.100000000000001" customHeight="1" x14ac:dyDescent="0.25">
      <c r="A25" s="5" t="str">
        <f>HYPERLINK("#'5.1.1.1-2 Inorganic fert N2O'!A1", "5.1.1.1-2 Inorganic fert N2O")</f>
        <v>5.1.1.1-2 Inorganic fert N2O</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row>
    <row r="28" spans="1:11" ht="20.100000000000001" customHeight="1" x14ac:dyDescent="0.25">
      <c r="A28" s="5" t="str">
        <f>HYPERLINK("#'5.3.1.1-2 Lime CO2'!A1", "5.3.1.1-2 Lime CO2")</f>
        <v>5.3.1.1-2 Lime CO2</v>
      </c>
    </row>
    <row r="29" spans="1:11" ht="20.100000000000001" customHeight="1" x14ac:dyDescent="0.25">
      <c r="A29" s="5" t="str">
        <f>HYPERLINK("#'5.4.1.1-4 Atmos deposition'!A1", "5.4.1.1-4 Atmos. deposition")</f>
        <v>5.4.1.1-4 Atmos. deposition</v>
      </c>
    </row>
    <row r="30" spans="1:11" ht="20.100000000000001" customHeight="1" x14ac:dyDescent="0.25">
      <c r="A30" s="5" t="str">
        <f>HYPERLINK("#'5.5.1.1-2 Leaching and runoff'!A1", "5.5.1.1-2 Leaching &amp; runoff")</f>
        <v>5.5.1.1-2 Leaching &amp; runoff</v>
      </c>
    </row>
    <row r="31" spans="1:11" ht="20.100000000000001" customHeight="1" x14ac:dyDescent="0.25">
      <c r="A31" s="5" t="str">
        <f>HYPERLINK("#'6.1.1.1-2 Crop residue N2O'!A1", "6.1.1.1-2 Crop residue N2O")</f>
        <v>6.1.1.1-2 Crop residue N2O</v>
      </c>
    </row>
    <row r="32" spans="1:11" ht="20.100000000000001" customHeight="1" x14ac:dyDescent="0.25">
      <c r="A32" s="5" t="str">
        <f>HYPERLINK("#'6.3.1.1-2 Leach runoff crop'!A1", "6.3.1.1-2 Leach &amp; runoff (crop)")</f>
        <v>6.3.1.1-2 Leach &amp; runoff (crop)</v>
      </c>
      <c r="D32" s="2" t="s">
        <v>932</v>
      </c>
      <c r="K32" s="1" t="s">
        <v>933</v>
      </c>
    </row>
    <row r="33" spans="1:12" ht="20.100000000000001" customHeight="1" x14ac:dyDescent="0.25">
      <c r="A33" s="5" t="str">
        <f>HYPERLINK("#'6.4.1.1-2 Residue burning'!A1", "6.4.1.1-2 Residue burning")</f>
        <v>6.4.1.1-2 Residue burning</v>
      </c>
      <c r="D33" s="30" t="s">
        <v>934</v>
      </c>
      <c r="E33" s="30" t="s">
        <v>137</v>
      </c>
      <c r="F33" s="30" t="s">
        <v>935</v>
      </c>
      <c r="G33" s="30" t="s">
        <v>936</v>
      </c>
      <c r="H33" s="30" t="s">
        <v>937</v>
      </c>
      <c r="I33" s="30" t="s">
        <v>938</v>
      </c>
      <c r="K33" s="30" t="s">
        <v>939</v>
      </c>
      <c r="L33" s="30" t="s">
        <v>940</v>
      </c>
    </row>
    <row r="34" spans="1:12" ht="20.100000000000001" customHeight="1" x14ac:dyDescent="0.25">
      <c r="A34" s="5" t="str">
        <f>HYPERLINK("#'8.1.1.1-2 Transport fuel'!A1", "8.1.1.1-2 Transport fuel")</f>
        <v>8.1.1.1-2 Transport fuel</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941</v>
      </c>
      <c r="L34" s="30" t="s">
        <v>942</v>
      </c>
    </row>
    <row r="35" spans="1:12" ht="20.100000000000001" customHeight="1" x14ac:dyDescent="0.25">
      <c r="A35" s="5" t="str">
        <f>HYPERLINK("#'8.2.1.1-2 Stationary fuel'!A1", "8.2.1.1-2 Stationary fuel")</f>
        <v>8.2.1.1-2 Stationary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942</v>
      </c>
      <c r="L35" s="30" t="s">
        <v>942</v>
      </c>
    </row>
    <row r="36" spans="1:12" ht="20.100000000000001" customHeight="1" x14ac:dyDescent="0.25">
      <c r="A36" s="5" t="str">
        <f>HYPERLINK("#'14.1.1-2 Purchased electricity'!A1", "14.1.1-2 Purchased electricity")</f>
        <v>14.1.1-2 Purchased electricity</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943</v>
      </c>
      <c r="L36" s="30" t="s">
        <v>943</v>
      </c>
    </row>
    <row r="37" spans="1:12" ht="20.100000000000001" customHeight="1" x14ac:dyDescent="0.25">
      <c r="A37" s="5" t="str">
        <f>HYPERLINK("#'15 Scope 3'!A1", "15 Scope 3")</f>
        <v>15 Scope 3</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944</v>
      </c>
      <c r="L37" s="30" t="s">
        <v>944</v>
      </c>
    </row>
    <row r="38" spans="1:12" ht="20.100000000000001" customHeight="1" x14ac:dyDescent="0.25">
      <c r="A38" s="5" t="str">
        <f>HYPERLINK("#'Calcs - Manure sent off-site'!A1", "Calcs - Manure sent off-site")</f>
        <v>Calcs - Manure sent off-site</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945</v>
      </c>
      <c r="L38" s="30" t="s">
        <v>945</v>
      </c>
    </row>
    <row r="39" spans="1:12" ht="20.100000000000001" customHeight="1" x14ac:dyDescent="0.25">
      <c r="A39" s="5" t="str">
        <f>HYPERLINK("#'10.1.1-2 Solid waste treatment'!A1", "10.1.1-2 Solid waste treatment")</f>
        <v>10.1.1-2 Solid waste treatment</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946</v>
      </c>
      <c r="L39" s="30" t="s">
        <v>947</v>
      </c>
    </row>
    <row r="40" spans="1:12" ht="20.100000000000001" customHeight="1" x14ac:dyDescent="0.25">
      <c r="A40"/>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948</v>
      </c>
      <c r="L40" s="30" t="s">
        <v>947</v>
      </c>
    </row>
    <row r="41" spans="1:12" ht="20.100000000000001" customHeight="1" x14ac:dyDescent="0.25">
      <c r="A41"/>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949</v>
      </c>
      <c r="L41" s="30" t="s">
        <v>947</v>
      </c>
    </row>
    <row r="42" spans="1:12" ht="20.100000000000001" customHeight="1" x14ac:dyDescent="0.25">
      <c r="A42" s="94" t="s">
        <v>1</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950</v>
      </c>
      <c r="L42" s="30" t="s">
        <v>951</v>
      </c>
    </row>
    <row r="43" spans="1:12" ht="20.100000000000001" customHeight="1" x14ac:dyDescent="0.25">
      <c r="A43" s="5" t="str">
        <f>HYPERLINK("#'Constants - Ag Residue'!A1", "Constants - Ag residue")</f>
        <v>Constants - Ag residue</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952</v>
      </c>
      <c r="L43" s="30" t="s">
        <v>951</v>
      </c>
    </row>
    <row r="44" spans="1:12" ht="20.100000000000001" customHeight="1" x14ac:dyDescent="0.25">
      <c r="A44" s="5" t="str">
        <f>HYPERLINK("#'Constants - Common Livestock'!A1", "Constants - Common Livestock")</f>
        <v>Constants - Common Livestock</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953</v>
      </c>
      <c r="L44" s="30" t="s">
        <v>951</v>
      </c>
    </row>
    <row r="45" spans="1:12" ht="20.100000000000001" customHeight="1" x14ac:dyDescent="0.25">
      <c r="A45" s="5" t="str">
        <f>HYPERLINK("#'Constants - Electricity'!A1", "Constants - Electricity")</f>
        <v>Constants - Electricity</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954</v>
      </c>
      <c r="L45" s="30" t="s">
        <v>955</v>
      </c>
    </row>
    <row r="46" spans="1:12" ht="20.100000000000001" customHeight="1" x14ac:dyDescent="0.25">
      <c r="A46" s="5" t="str">
        <f>HYPERLINK("#'Constants - Fertiliser'!A1", "Constants - Fertiliser")</f>
        <v>Constants - Fertiliser</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956</v>
      </c>
      <c r="L46" s="30" t="s">
        <v>955</v>
      </c>
    </row>
    <row r="47" spans="1:12" ht="20.100000000000001" customHeight="1" x14ac:dyDescent="0.25">
      <c r="A47" s="5" t="str">
        <f>HYPERLINK("#'Constants - Fuel'!A1", "Constants - Fuel")</f>
        <v>Constants - Fuel</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957</v>
      </c>
      <c r="L47" s="30" t="s">
        <v>955</v>
      </c>
    </row>
    <row r="48" spans="1:12" ht="20.100000000000001" customHeight="1" x14ac:dyDescent="0.25">
      <c r="A48" s="95" t="str">
        <f>HYPERLINK("#'Constants - Scope 3'!A1", "Constants - Scope 3")</f>
        <v>Constants - Scope 3</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958</v>
      </c>
      <c r="L48" s="30" t="s">
        <v>955</v>
      </c>
    </row>
    <row r="49" spans="1:12" ht="20.100000000000001" customHeight="1" x14ac:dyDescent="0.25">
      <c r="A49" s="5" t="str">
        <f>HYPERLINK("#'Constants - Common'!A1", "Constants - Common")</f>
        <v>Constants - Common</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959</v>
      </c>
      <c r="L49" s="1" t="s">
        <v>959</v>
      </c>
    </row>
    <row r="50" spans="1:12" ht="20.100000000000001" customHeight="1" x14ac:dyDescent="0.25">
      <c r="A50" s="5" t="str">
        <f>HYPERLINK("#'Constants - Solid Waste'!A1", "Constants - Solid Waste")</f>
        <v>Constants - Solid Waste</v>
      </c>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960</v>
      </c>
    </row>
    <row r="77" spans="1:9" ht="20.100000000000001" customHeight="1" x14ac:dyDescent="0.25">
      <c r="A77"/>
      <c r="D77" s="30" t="s">
        <v>934</v>
      </c>
      <c r="E77" s="30" t="s">
        <v>137</v>
      </c>
      <c r="F77" s="30" t="s">
        <v>935</v>
      </c>
      <c r="G77" s="30" t="s">
        <v>936</v>
      </c>
      <c r="H77" s="30" t="s">
        <v>937</v>
      </c>
      <c r="I77" s="30" t="s">
        <v>938</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934</v>
      </c>
      <c r="E82" s="30" t="s">
        <v>137</v>
      </c>
      <c r="F82" s="30" t="s">
        <v>935</v>
      </c>
      <c r="G82" s="30" t="s">
        <v>936</v>
      </c>
      <c r="H82" s="30" t="s">
        <v>937</v>
      </c>
      <c r="I82" s="30" t="s">
        <v>938</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961</v>
      </c>
    </row>
    <row r="89" spans="1:16" ht="20.100000000000001" customHeight="1" x14ac:dyDescent="0.25">
      <c r="A89"/>
      <c r="D89" s="30" t="s">
        <v>934</v>
      </c>
      <c r="E89" s="30" t="s">
        <v>137</v>
      </c>
      <c r="F89" s="30" t="s">
        <v>935</v>
      </c>
      <c r="G89" s="30" t="s">
        <v>936</v>
      </c>
      <c r="H89" s="30" t="s">
        <v>937</v>
      </c>
      <c r="I89" s="30" t="s">
        <v>938</v>
      </c>
      <c r="K89" s="30" t="s">
        <v>137</v>
      </c>
      <c r="L89" s="30" t="s">
        <v>939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4" t="s">
        <v>137</v>
      </c>
      <c r="L151" s="254" t="s">
        <v>939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934</v>
      </c>
      <c r="E161" s="30" t="s">
        <v>137</v>
      </c>
      <c r="F161" s="30" t="s">
        <v>935</v>
      </c>
      <c r="G161" s="30" t="s">
        <v>936</v>
      </c>
      <c r="H161" s="30" t="s">
        <v>937</v>
      </c>
      <c r="I161" s="30" t="s">
        <v>938</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934</v>
      </c>
      <c r="E167" s="30" t="s">
        <v>137</v>
      </c>
      <c r="F167" s="30" t="s">
        <v>935</v>
      </c>
      <c r="G167" s="30" t="s">
        <v>936</v>
      </c>
      <c r="H167" s="30" t="s">
        <v>937</v>
      </c>
      <c r="I167" s="30" t="s">
        <v>938</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962</v>
      </c>
    </row>
    <row r="173" spans="4:13" ht="20.100000000000001" customHeight="1" x14ac:dyDescent="0.25">
      <c r="D173" s="30" t="s">
        <v>934</v>
      </c>
      <c r="E173" s="30" t="s">
        <v>137</v>
      </c>
      <c r="F173" s="30" t="s">
        <v>935</v>
      </c>
      <c r="G173" s="30" t="s">
        <v>373</v>
      </c>
      <c r="H173" s="30" t="s">
        <v>270</v>
      </c>
      <c r="I173" s="30" t="s">
        <v>271</v>
      </c>
      <c r="J173" s="30" t="s">
        <v>963</v>
      </c>
      <c r="K173" s="30" t="s">
        <v>936</v>
      </c>
      <c r="L173" s="30" t="s">
        <v>937</v>
      </c>
      <c r="M173" s="30" t="s">
        <v>938</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964</v>
      </c>
      <c r="N200" s="30"/>
      <c r="O200" s="30"/>
      <c r="P200" s="30"/>
    </row>
    <row r="201" spans="4:16" ht="20.100000000000001" customHeight="1" x14ac:dyDescent="0.25">
      <c r="D201" s="30" t="s">
        <v>934</v>
      </c>
      <c r="E201" s="30" t="s">
        <v>137</v>
      </c>
      <c r="F201" s="30" t="s">
        <v>935</v>
      </c>
      <c r="G201" s="30" t="s">
        <v>936</v>
      </c>
      <c r="H201" s="30" t="s">
        <v>937</v>
      </c>
      <c r="I201" s="30" t="s">
        <v>938</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965</v>
      </c>
    </row>
    <row r="212" spans="4:16" ht="20.100000000000001" customHeight="1" x14ac:dyDescent="0.25">
      <c r="D212" s="30" t="s">
        <v>934</v>
      </c>
      <c r="E212" s="30" t="s">
        <v>137</v>
      </c>
      <c r="F212" s="30" t="s">
        <v>935</v>
      </c>
      <c r="G212" s="30" t="s">
        <v>936</v>
      </c>
      <c r="H212" s="30" t="s">
        <v>937</v>
      </c>
      <c r="I212" s="30" t="s">
        <v>938</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753</v>
      </c>
    </row>
    <row r="219" spans="4:16" ht="20.100000000000001" customHeight="1" x14ac:dyDescent="0.25">
      <c r="D219" s="30" t="s">
        <v>934</v>
      </c>
      <c r="E219" s="30" t="s">
        <v>137</v>
      </c>
      <c r="F219" s="30" t="s">
        <v>935</v>
      </c>
      <c r="G219" s="30" t="s">
        <v>936</v>
      </c>
      <c r="H219" s="30" t="s">
        <v>937</v>
      </c>
      <c r="I219" s="30" t="s">
        <v>938</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966</v>
      </c>
    </row>
    <row r="234" spans="4:9" ht="20.100000000000001" customHeight="1" x14ac:dyDescent="0.25">
      <c r="D234" s="30" t="s">
        <v>934</v>
      </c>
      <c r="E234" s="30" t="s">
        <v>137</v>
      </c>
      <c r="F234" s="30" t="s">
        <v>935</v>
      </c>
      <c r="G234" s="30" t="s">
        <v>936</v>
      </c>
      <c r="H234" s="30" t="s">
        <v>937</v>
      </c>
      <c r="I234" s="30" t="s">
        <v>938</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39" zoomScaleNormal="100" workbookViewId="0">
      <selection activeCell="A50" sqref="A50"/>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Crop pasture farm input'!A1", "Crop pasture farm input")</f>
        <v>Crop pasture farm input</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Manure sent off-site'!A1", "Manure sent off-site")</f>
        <v>Manure sent off-site</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Solid waste'!A1", "Solid waste")</f>
        <v>Solid waste</v>
      </c>
      <c r="D20" s="30" t="s">
        <v>24</v>
      </c>
    </row>
    <row r="21" spans="1:4" ht="20.100000000000001" customHeight="1" x14ac:dyDescent="0.25">
      <c r="A21" s="5" t="str">
        <f>HYPERLINK("#'Input - Data quality'!A1", "Data quality")</f>
        <v>Data quality</v>
      </c>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s="6" t="s">
        <v>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HYPERLINK("#'5.1.1.1-2 Inorganic fert N2O'!A1", "5.1.1.1-2 Inorganic fert N2O")</f>
        <v>5.1.1.1-2 Inorganic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HYPERLINK("#'5.1.1.3-4 Inorganic fert CO2'!A1", "5.1.1.3-4 Inorganic fert CO2")</f>
        <v>5.1.1.3-4 Inorganic fert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HYPERLINK("#'5.2.1.1-2 Organic Fert N2O'!A1", "5.2.1.1-2 Organic fert N2O")</f>
        <v>5.2.1.1-2 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HYPERLINK("#'5.3.1.1-2 Lime CO2'!A1", "5.3.1.1-2 Lime CO2")</f>
        <v>5.3.1.1-2 Lime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HYPERLINK("#'5.4.1.1-4 Atmos deposition'!A1", "5.4.1.1-4 Atmos. deposition")</f>
        <v>5.4.1.1-4 Atmos. deposition</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HYPERLINK("#'5.5.1.1-2 Leaching and runoff'!A1", "5.5.1.1-2 Leaching &amp; runoff")</f>
        <v>5.5.1.1-2 Leaching &amp; runoff</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HYPERLINK("#'6.1.1.1-2 Crop residue N2O'!A1", "6.1.1.1-2 Crop residue N2O")</f>
        <v>6.1.1.1-2 Crop residue N2O</v>
      </c>
    </row>
    <row r="32" spans="1:4" ht="20.100000000000001" customHeight="1" x14ac:dyDescent="0.25">
      <c r="A32" s="5" t="str">
        <f>HYPERLINK("#'6.3.1.1-2 Leach runoff crop'!A1", "6.3.1.1-2 Leach &amp; runoff (crop)")</f>
        <v>6.3.1.1-2 Leach &amp; runoff (crop)</v>
      </c>
    </row>
    <row r="33" spans="1:8" ht="20.100000000000001" customHeight="1" x14ac:dyDescent="0.25">
      <c r="A33" s="5" t="str">
        <f>HYPERLINK("#'6.4.1.1-2 Residue burning'!A1", "6.4.1.1-2 Residue burning")</f>
        <v>6.4.1.1-2 Residue burning</v>
      </c>
    </row>
    <row r="34" spans="1:8" ht="20.100000000000001" customHeight="1" x14ac:dyDescent="0.25">
      <c r="A34" s="5" t="str">
        <f>HYPERLINK("#'8.1.1.1-2 Transport fuel'!A1", "8.1.1.1-2 Transport fuel")</f>
        <v>8.1.1.1-2 Transport fuel</v>
      </c>
      <c r="D34" s="2" t="str" cm="1">
        <f t="array" ref="D34">Common_SourceData.Common_SourceData_GWP_Title()</f>
        <v>Global warming potential for greenhouse gases</v>
      </c>
    </row>
    <row r="35" spans="1:8" ht="20.100000000000001" customHeight="1" x14ac:dyDescent="0.25">
      <c r="A35" s="5" t="str">
        <f>HYPERLINK("#'8.2.1.1-2 Stationary fuel'!A1", "8.2.1.1-2 Stationary fuel")</f>
        <v>8.2.1.1-2 Stationary fuel</v>
      </c>
      <c r="D35" s="27" t="str" cm="1">
        <f t="array" ref="D35">Common_SourceData.Common_SourceData_GWP_Source()</f>
        <v>XXXXXXX</v>
      </c>
    </row>
    <row r="36" spans="1:8" ht="20.100000000000001" customHeight="1" x14ac:dyDescent="0.25">
      <c r="A36" s="5" t="str">
        <f>HYPERLINK("#'14.1.1-2 Purchased electricity'!A1", "14.1.1-2 Purchased electricity")</f>
        <v>14.1.1-2 Purchased electricity</v>
      </c>
      <c r="D36" s="30" t="s">
        <v>25</v>
      </c>
      <c r="E36" s="30" t="s">
        <v>26</v>
      </c>
    </row>
    <row r="37" spans="1:8" ht="20.100000000000001" customHeight="1" x14ac:dyDescent="0.25">
      <c r="A37" s="5" t="str">
        <f>HYPERLINK("#'15 Scope 3'!A1", "15 Scope 3")</f>
        <v>15 Scope 3</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HYPERLINK("#'Calcs - Manure sent off-site'!A1", "Calcs - Manure sent off-site")</f>
        <v>Calcs - Manure sent off-site</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HYPERLINK("#'10.1.1-2 Solid waste treatment'!A1", "10.1.1-2 Solid waste treatment")</f>
        <v>10.1.1-2 Solid waste treatment</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94" t="s">
        <v>1</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Ag Residue'!A1", "Constants - Ag residue")</f>
        <v>Constants - Ag residue</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Fertiliser'!A1", "Constants - Fertiliser")</f>
        <v>Constants - Fertiliser</v>
      </c>
      <c r="D46" s="27" t="str" cm="1">
        <f t="array" ref="D46">Common_SourceData.Common_SourceData_ConvertGasElementalToMolecular_Source()</f>
        <v>XXXXXXX</v>
      </c>
    </row>
    <row r="47" spans="1:8" ht="20.100000000000001" customHeight="1" x14ac:dyDescent="0.25">
      <c r="A47" s="5" t="str">
        <f>HYPERLINK("#'Constants - Fuel'!A1", "Constants - Fuel")</f>
        <v>Constants - Fuel</v>
      </c>
      <c r="D47" s="30" t="s">
        <v>25</v>
      </c>
      <c r="E47" s="30" t="s">
        <v>27</v>
      </c>
      <c r="F47" s="30" t="s">
        <v>28</v>
      </c>
      <c r="G47" s="30" t="s">
        <v>29</v>
      </c>
      <c r="H47" s="30" t="s">
        <v>30</v>
      </c>
    </row>
    <row r="48" spans="1:8" ht="20.100000000000001" customHeight="1" x14ac:dyDescent="0.25">
      <c r="A48" s="5" t="str">
        <f>HYPERLINK("#'Constants - Scope 3'!A1", "Constants - Scope 3")</f>
        <v>Constants - Scope 3</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95" t="str">
        <f>HYPERLINK("#'Constants - Common'!A1", "Constants - Common")</f>
        <v>Constants - Common</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Solid Waste'!A1", "Constants - Solid Waste")</f>
        <v>Constants - Solid Waste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 x14ac:dyDescent="0.25">
      <c r="D257" s="30" t="s">
        <v>84</v>
      </c>
      <c r="E257" s="30" t="s">
        <v>85</v>
      </c>
    </row>
    <row r="258" spans="4: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2" t="s">
        <v>200</v>
      </c>
    </row>
    <row r="264" spans="4:6" x14ac:dyDescent="0.25">
      <c r="D264" s="1" t="s">
        <v>201</v>
      </c>
    </row>
    <row r="265" spans="4:6" x14ac:dyDescent="0.25">
      <c r="D265" s="30" t="s">
        <v>202</v>
      </c>
      <c r="E265" s="30" t="s">
        <v>203</v>
      </c>
      <c r="F265" s="30" t="s">
        <v>195</v>
      </c>
    </row>
    <row r="266" spans="4:6" x14ac:dyDescent="0.25">
      <c r="D266" s="30" t="s">
        <v>204</v>
      </c>
      <c r="E266" s="30" t="s">
        <v>205</v>
      </c>
      <c r="F266" s="30">
        <v>5</v>
      </c>
    </row>
    <row r="267" spans="4:6" x14ac:dyDescent="0.25">
      <c r="D267" s="30" t="s">
        <v>206</v>
      </c>
      <c r="E267" s="30" t="s">
        <v>197</v>
      </c>
      <c r="F267" s="30">
        <v>4</v>
      </c>
    </row>
    <row r="268" spans="4:6" x14ac:dyDescent="0.25">
      <c r="D268" s="30" t="s">
        <v>207</v>
      </c>
      <c r="E268" s="30" t="s">
        <v>208</v>
      </c>
      <c r="F268" s="30">
        <v>3</v>
      </c>
    </row>
    <row r="269" spans="4:6" x14ac:dyDescent="0.25">
      <c r="D269" s="30" t="s">
        <v>209</v>
      </c>
      <c r="E269" s="30" t="s">
        <v>210</v>
      </c>
      <c r="F269" s="30">
        <v>2</v>
      </c>
    </row>
    <row r="270" spans="4:6" x14ac:dyDescent="0.25">
      <c r="D270" s="30" t="s">
        <v>211</v>
      </c>
      <c r="E270" s="30" t="s">
        <v>212</v>
      </c>
      <c r="F270" s="30">
        <v>1</v>
      </c>
    </row>
    <row r="273" spans="4:6" x14ac:dyDescent="0.25">
      <c r="D273" s="1" t="s">
        <v>213</v>
      </c>
    </row>
    <row r="274" spans="4:6" x14ac:dyDescent="0.25">
      <c r="D274" s="30" t="s">
        <v>202</v>
      </c>
      <c r="E274" s="30" t="s">
        <v>203</v>
      </c>
      <c r="F274" s="30" t="s">
        <v>195</v>
      </c>
    </row>
    <row r="275" spans="4:6" x14ac:dyDescent="0.25">
      <c r="D275" s="30" t="s">
        <v>214</v>
      </c>
      <c r="E275" s="30" t="s">
        <v>198</v>
      </c>
      <c r="F275" s="30">
        <v>5</v>
      </c>
    </row>
    <row r="276" spans="4:6" x14ac:dyDescent="0.25">
      <c r="D276" s="30" t="s">
        <v>215</v>
      </c>
      <c r="E276" s="30" t="s">
        <v>216</v>
      </c>
      <c r="F276" s="30">
        <v>4</v>
      </c>
    </row>
    <row r="277" spans="4:6" x14ac:dyDescent="0.25">
      <c r="D277" s="30" t="s">
        <v>217</v>
      </c>
      <c r="E277" s="30" t="s">
        <v>218</v>
      </c>
      <c r="F277" s="30">
        <v>3</v>
      </c>
    </row>
    <row r="278" spans="4:6" x14ac:dyDescent="0.25">
      <c r="D278" s="30" t="s">
        <v>219</v>
      </c>
      <c r="E278" s="30" t="s">
        <v>220</v>
      </c>
      <c r="F278" s="30">
        <v>2</v>
      </c>
    </row>
    <row r="279" spans="4:6" x14ac:dyDescent="0.25">
      <c r="D279" s="30" t="s">
        <v>221</v>
      </c>
      <c r="E279" s="30" t="s">
        <v>222</v>
      </c>
      <c r="F279" s="30">
        <v>1</v>
      </c>
    </row>
    <row r="282" spans="4:6" x14ac:dyDescent="0.25">
      <c r="D282" s="1" t="s">
        <v>223</v>
      </c>
    </row>
    <row r="283" spans="4:6" x14ac:dyDescent="0.25">
      <c r="D283" s="30" t="s">
        <v>202</v>
      </c>
      <c r="E283" s="30" t="s">
        <v>203</v>
      </c>
      <c r="F283" s="30" t="s">
        <v>195</v>
      </c>
    </row>
    <row r="284" spans="4:6" x14ac:dyDescent="0.25">
      <c r="D284" s="30" t="s">
        <v>224</v>
      </c>
      <c r="E284" s="30" t="s">
        <v>225</v>
      </c>
      <c r="F284" s="30">
        <v>5</v>
      </c>
    </row>
    <row r="285" spans="4:6" x14ac:dyDescent="0.25">
      <c r="D285" s="30" t="s">
        <v>226</v>
      </c>
      <c r="E285" s="30" t="s">
        <v>227</v>
      </c>
      <c r="F285" s="30">
        <v>4</v>
      </c>
    </row>
    <row r="286" spans="4:6" x14ac:dyDescent="0.25">
      <c r="D286" s="30" t="s">
        <v>228</v>
      </c>
      <c r="E286" s="30" t="s">
        <v>199</v>
      </c>
      <c r="F286" s="30">
        <v>3</v>
      </c>
    </row>
    <row r="287" spans="4:6" x14ac:dyDescent="0.25">
      <c r="D287" s="30" t="s">
        <v>229</v>
      </c>
      <c r="E287" s="30" t="s">
        <v>230</v>
      </c>
      <c r="F287" s="30">
        <v>2</v>
      </c>
    </row>
    <row r="288" spans="4:6" x14ac:dyDescent="0.25">
      <c r="D288" s="30" t="s">
        <v>231</v>
      </c>
      <c r="E288" s="30" t="s">
        <v>232</v>
      </c>
      <c r="F288" s="30">
        <v>1</v>
      </c>
    </row>
    <row r="291" spans="4:6" x14ac:dyDescent="0.25">
      <c r="D291" s="1" t="s">
        <v>233</v>
      </c>
    </row>
    <row r="292" spans="4:6" x14ac:dyDescent="0.25">
      <c r="D292" s="30" t="s">
        <v>202</v>
      </c>
      <c r="E292" s="30" t="s">
        <v>203</v>
      </c>
      <c r="F292" s="30" t="s">
        <v>195</v>
      </c>
    </row>
    <row r="293" spans="4:6" x14ac:dyDescent="0.25">
      <c r="D293" s="30" t="s">
        <v>234</v>
      </c>
      <c r="E293" s="30" t="s">
        <v>235</v>
      </c>
      <c r="F293" s="30">
        <v>5</v>
      </c>
    </row>
    <row r="294" spans="4:6" x14ac:dyDescent="0.25">
      <c r="D294" s="30" t="s">
        <v>236</v>
      </c>
      <c r="E294" s="30" t="s">
        <v>237</v>
      </c>
      <c r="F294" s="30">
        <v>4</v>
      </c>
    </row>
    <row r="295" spans="4:6" x14ac:dyDescent="0.25">
      <c r="D295" s="30" t="s">
        <v>238</v>
      </c>
      <c r="E295" s="30" t="s">
        <v>239</v>
      </c>
      <c r="F295" s="30">
        <v>3</v>
      </c>
    </row>
    <row r="296" spans="4:6" x14ac:dyDescent="0.25">
      <c r="D296" s="30" t="s">
        <v>240</v>
      </c>
      <c r="E296" s="30" t="s">
        <v>241</v>
      </c>
      <c r="F296" s="30">
        <v>2</v>
      </c>
    </row>
    <row r="297" spans="4:6" x14ac:dyDescent="0.25">
      <c r="D297" s="30" t="s">
        <v>242</v>
      </c>
      <c r="E297" s="30" t="s">
        <v>243</v>
      </c>
      <c r="F297" s="3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2459C-8DB4-4C5F-B538-1B7F2F332D53}">
  <sheetPr>
    <tabColor theme="5" tint="-0.249977111117893"/>
  </sheetPr>
  <dimension ref="A1:L385"/>
  <sheetViews>
    <sheetView showGridLines="0"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583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584</v>
      </c>
    </row>
    <row r="6" spans="1:10" ht="20.100000000000001" customHeight="1" x14ac:dyDescent="0.25"/>
    <row r="7" spans="1:10" ht="20.100000000000001" customHeight="1" x14ac:dyDescent="0.25">
      <c r="D7" s="46" t="s">
        <v>458</v>
      </c>
      <c r="E7" s="49"/>
    </row>
    <row r="8" spans="1:10" ht="20.100000000000001" customHeight="1" x14ac:dyDescent="0.25">
      <c r="A8" s="7" t="s">
        <v>0</v>
      </c>
    </row>
    <row r="9" spans="1:10" ht="20.100000000000001" customHeight="1" x14ac:dyDescent="0.25">
      <c r="A9" s="5" t="str">
        <f>HYPERLINK("#'Input - Enterprise'!A1", "Enterprise")</f>
        <v>Enterprise</v>
      </c>
      <c r="D9" s="92" t="s">
        <v>202</v>
      </c>
      <c r="E9" s="92" t="s">
        <v>585</v>
      </c>
      <c r="F9" s="92" t="s">
        <v>586</v>
      </c>
      <c r="G9" s="92" t="s">
        <v>587</v>
      </c>
      <c r="H9" s="92" t="s">
        <v>588</v>
      </c>
      <c r="I9" s="92" t="s">
        <v>589</v>
      </c>
    </row>
    <row r="10" spans="1:10" ht="20.100000000000001" customHeight="1" x14ac:dyDescent="0.25">
      <c r="A10" s="5" t="str">
        <f>HYPERLINK("#'Input - Site'!A1", "Site")</f>
        <v>Site</v>
      </c>
      <c r="D10" s="30" t="s">
        <v>590</v>
      </c>
      <c r="E10" s="23" t="s">
        <v>591</v>
      </c>
      <c r="F10" s="23" t="s">
        <v>592</v>
      </c>
      <c r="G10" s="23" t="s">
        <v>593</v>
      </c>
      <c r="H10" s="86">
        <v>50</v>
      </c>
      <c r="I10" s="23" t="s">
        <v>19</v>
      </c>
    </row>
    <row r="11" spans="1:10" ht="20.100000000000001" customHeight="1" x14ac:dyDescent="0.25">
      <c r="A11" s="5" t="str">
        <f>HYPERLINK("#'Input - Crop'!A1", "Crop")</f>
        <v>Crop</v>
      </c>
      <c r="D11" s="30" t="s">
        <v>594</v>
      </c>
      <c r="E11" s="23" t="s">
        <v>591</v>
      </c>
      <c r="F11" s="23" t="s">
        <v>592</v>
      </c>
      <c r="G11" s="23" t="s">
        <v>595</v>
      </c>
      <c r="H11" s="86">
        <v>50</v>
      </c>
      <c r="I11" s="23" t="s">
        <v>596</v>
      </c>
    </row>
    <row r="12" spans="1:10" ht="20.100000000000001" customHeight="1" x14ac:dyDescent="0.25">
      <c r="A12" s="5" t="str">
        <f>HYPERLINK("#'Input - Fert Prod System'!A1", "Fert Prod System")</f>
        <v>Fert Prod System</v>
      </c>
      <c r="D12" s="30" t="s">
        <v>597</v>
      </c>
      <c r="E12" s="23" t="s">
        <v>591</v>
      </c>
      <c r="F12" s="23" t="s">
        <v>598</v>
      </c>
      <c r="G12" s="23" t="s">
        <v>593</v>
      </c>
      <c r="H12" s="86">
        <v>50</v>
      </c>
      <c r="I12" s="23" t="s">
        <v>19</v>
      </c>
    </row>
    <row r="13" spans="1:10" ht="20.100000000000001" customHeight="1" x14ac:dyDescent="0.25">
      <c r="A13" s="5" t="str">
        <f>HYPERLINK("#'Input - Fertiliser'!A1", "Fertiliser")</f>
        <v>Fertiliser</v>
      </c>
      <c r="D13" s="30" t="s">
        <v>599</v>
      </c>
      <c r="E13" s="23" t="s">
        <v>591</v>
      </c>
      <c r="F13" s="23" t="s">
        <v>598</v>
      </c>
      <c r="G13" s="23" t="s">
        <v>595</v>
      </c>
      <c r="H13" s="86">
        <v>50</v>
      </c>
      <c r="I13" s="23" t="s">
        <v>596</v>
      </c>
    </row>
    <row r="14" spans="1:10" ht="20.100000000000001" customHeight="1" x14ac:dyDescent="0.25">
      <c r="A14" s="5" t="str">
        <f>HYPERLINK("#'Input - Fuel'!A1", "Fuel")</f>
        <v>Fuel</v>
      </c>
      <c r="D14" s="30" t="s">
        <v>600</v>
      </c>
      <c r="E14" s="23" t="s">
        <v>601</v>
      </c>
      <c r="F14" s="23" t="s">
        <v>598</v>
      </c>
      <c r="G14" s="23" t="s">
        <v>593</v>
      </c>
      <c r="H14" s="86">
        <v>50</v>
      </c>
      <c r="I14" s="23" t="s">
        <v>19</v>
      </c>
    </row>
    <row r="15" spans="1:10" ht="20.100000000000001" customHeight="1" x14ac:dyDescent="0.25">
      <c r="A15" s="5" t="str">
        <f>HYPERLINK("#'Input - Electricity'!A1", "Electricity")</f>
        <v>Electricity</v>
      </c>
      <c r="D15" s="30" t="s">
        <v>602</v>
      </c>
      <c r="E15" s="23" t="s">
        <v>601</v>
      </c>
      <c r="F15" s="23" t="s">
        <v>598</v>
      </c>
      <c r="G15" s="23" t="s">
        <v>593</v>
      </c>
      <c r="H15" s="86">
        <v>50</v>
      </c>
      <c r="I15" s="23" t="s">
        <v>596</v>
      </c>
    </row>
    <row r="16" spans="1:10" ht="20.100000000000001" customHeight="1" x14ac:dyDescent="0.25">
      <c r="A16" s="5" t="str">
        <f>HYPERLINK("#'Input - Common farm inputs'!A1", "Common farm inputs")</f>
        <v>Common farm inputs</v>
      </c>
      <c r="D16" s="30" t="s">
        <v>603</v>
      </c>
      <c r="E16" s="23" t="s">
        <v>601</v>
      </c>
      <c r="F16" s="23" t="s">
        <v>598</v>
      </c>
      <c r="G16" s="23" t="s">
        <v>595</v>
      </c>
      <c r="H16" s="86">
        <v>50</v>
      </c>
      <c r="I16" s="23" t="s">
        <v>19</v>
      </c>
    </row>
    <row r="17" spans="1:11" ht="20.100000000000001" customHeight="1" x14ac:dyDescent="0.25">
      <c r="A17" s="5" t="str">
        <f>HYPERLINK("#'Input - Crop pasture farm input'!A1", "Crop pasture farm input")</f>
        <v>Crop pasture farm input</v>
      </c>
      <c r="D17" s="30" t="s">
        <v>604</v>
      </c>
      <c r="E17" s="23" t="s">
        <v>601</v>
      </c>
      <c r="F17" s="23" t="s">
        <v>598</v>
      </c>
      <c r="G17" s="23" t="s">
        <v>595</v>
      </c>
      <c r="H17" s="86">
        <v>50</v>
      </c>
      <c r="I17" s="23" t="s">
        <v>596</v>
      </c>
    </row>
    <row r="18" spans="1:11" ht="20.100000000000001" customHeight="1" x14ac:dyDescent="0.25">
      <c r="A18" s="5" t="str">
        <f>HYPERLINK("#'Input - Freight'!A1", "Freight")</f>
        <v>Freight</v>
      </c>
      <c r="D18" s="30" t="s">
        <v>605</v>
      </c>
      <c r="E18" s="23" t="s">
        <v>601</v>
      </c>
      <c r="F18" s="23" t="s">
        <v>592</v>
      </c>
      <c r="G18" s="23" t="s">
        <v>593</v>
      </c>
      <c r="H18" s="86">
        <v>50</v>
      </c>
      <c r="I18" s="23" t="s">
        <v>19</v>
      </c>
    </row>
    <row r="19" spans="1:11" ht="20.100000000000001" customHeight="1" x14ac:dyDescent="0.25">
      <c r="A19" s="5" t="str">
        <f>HYPERLINK("#'Input - Manure sent off-site'!A1", "Manure sent off-site")</f>
        <v>Manure sent off-site</v>
      </c>
      <c r="D19" s="30" t="s">
        <v>606</v>
      </c>
      <c r="E19" s="23" t="s">
        <v>601</v>
      </c>
      <c r="F19" s="23" t="s">
        <v>592</v>
      </c>
      <c r="G19" s="23" t="s">
        <v>593</v>
      </c>
      <c r="H19" s="86">
        <v>50</v>
      </c>
      <c r="I19" s="23" t="s">
        <v>596</v>
      </c>
    </row>
    <row r="20" spans="1:11" ht="20.100000000000001" customHeight="1" x14ac:dyDescent="0.25">
      <c r="A20" s="101" t="str">
        <f>HYPERLINK("#'Input - Solid waste'!A1", "Solid waste")</f>
        <v>Solid waste</v>
      </c>
      <c r="D20" s="30" t="s">
        <v>607</v>
      </c>
      <c r="E20" s="23" t="s">
        <v>601</v>
      </c>
      <c r="F20" s="23" t="s">
        <v>592</v>
      </c>
      <c r="G20" s="23" t="s">
        <v>595</v>
      </c>
      <c r="H20" s="86">
        <v>50</v>
      </c>
      <c r="I20" s="23" t="s">
        <v>19</v>
      </c>
    </row>
    <row r="21" spans="1:11" ht="20.100000000000001" customHeight="1" x14ac:dyDescent="0.25">
      <c r="A21" s="5" t="str">
        <f>HYPERLINK("#'Input - Data quality'!A1", "Data quality")</f>
        <v>Data quality</v>
      </c>
      <c r="D21" s="30" t="s">
        <v>608</v>
      </c>
      <c r="E21" s="23" t="s">
        <v>601</v>
      </c>
      <c r="F21" s="23" t="s">
        <v>592</v>
      </c>
      <c r="G21" s="23" t="s">
        <v>595</v>
      </c>
      <c r="H21" s="86">
        <v>50</v>
      </c>
      <c r="I21" s="23" t="s">
        <v>596</v>
      </c>
    </row>
    <row r="22" spans="1:11" ht="20.100000000000001" customHeight="1" x14ac:dyDescent="0.25">
      <c r="D22" s="30" t="s">
        <v>609</v>
      </c>
      <c r="E22" s="23" t="s">
        <v>601</v>
      </c>
      <c r="F22" s="23" t="s">
        <v>610</v>
      </c>
      <c r="G22" s="23" t="s">
        <v>593</v>
      </c>
      <c r="H22" s="86">
        <v>50</v>
      </c>
      <c r="I22" s="23" t="s">
        <v>19</v>
      </c>
    </row>
    <row r="23" spans="1:11" ht="20.100000000000001" customHeight="1" x14ac:dyDescent="0.25">
      <c r="D23" s="30" t="s">
        <v>611</v>
      </c>
      <c r="E23" s="23" t="s">
        <v>601</v>
      </c>
      <c r="F23" s="23" t="s">
        <v>610</v>
      </c>
      <c r="G23" s="23" t="s">
        <v>593</v>
      </c>
      <c r="H23" s="86">
        <v>50</v>
      </c>
      <c r="I23" s="23" t="s">
        <v>596</v>
      </c>
    </row>
    <row r="24" spans="1:11" ht="20.100000000000001" customHeight="1" x14ac:dyDescent="0.25">
      <c r="A24" s="6" t="s">
        <v>2</v>
      </c>
      <c r="D24" s="30" t="s">
        <v>612</v>
      </c>
      <c r="E24" s="23" t="s">
        <v>601</v>
      </c>
      <c r="F24" s="23" t="s">
        <v>610</v>
      </c>
      <c r="G24" s="23" t="s">
        <v>595</v>
      </c>
      <c r="H24" s="86">
        <v>50</v>
      </c>
      <c r="I24" s="23" t="s">
        <v>19</v>
      </c>
    </row>
    <row r="25" spans="1:11" ht="20.100000000000001" customHeight="1" x14ac:dyDescent="0.25">
      <c r="A25" s="5" t="str">
        <f>HYPERLINK("#'5.1.1.1-2 Inorganic fert N2O'!A1", "5.1.1.1-2 Inorganic fert N2O")</f>
        <v>5.1.1.1-2 Inorganic fert N2O</v>
      </c>
      <c r="D25" s="30" t="s">
        <v>613</v>
      </c>
      <c r="E25" s="23" t="s">
        <v>601</v>
      </c>
      <c r="F25" s="23" t="s">
        <v>610</v>
      </c>
      <c r="G25" s="23" t="s">
        <v>595</v>
      </c>
      <c r="H25" s="86">
        <v>50</v>
      </c>
      <c r="I25" s="23" t="s">
        <v>596</v>
      </c>
    </row>
    <row r="26" spans="1:11" ht="20.100000000000001" customHeight="1" x14ac:dyDescent="0.25">
      <c r="A26" s="5" t="str">
        <f>HYPERLINK("#'5.1.1.3-4 Inorganic fert CO2'!A1", "5.1.1.3-4 Inorganic fert CO2")</f>
        <v>5.1.1.3-4 Inorganic fert CO2</v>
      </c>
      <c r="D26" s="30" t="s">
        <v>614</v>
      </c>
      <c r="E26" s="23" t="s">
        <v>615</v>
      </c>
      <c r="F26" s="23" t="s">
        <v>592</v>
      </c>
      <c r="G26" s="23" t="s">
        <v>595</v>
      </c>
      <c r="H26" s="86">
        <v>50</v>
      </c>
      <c r="I26" s="23" t="s">
        <v>19</v>
      </c>
    </row>
    <row r="27" spans="1:11" ht="20.100000000000001" customHeight="1" x14ac:dyDescent="0.25">
      <c r="A27" s="5" t="str">
        <f>HYPERLINK("#'5.2.1.1-2 Organic Fert N2O'!A1", "5.2.1.1-2 Organic fert N2O")</f>
        <v>5.2.1.1-2 Organic fert N2O</v>
      </c>
      <c r="D27" s="30" t="s">
        <v>616</v>
      </c>
      <c r="E27" s="23" t="s">
        <v>615</v>
      </c>
      <c r="F27" s="23" t="s">
        <v>592</v>
      </c>
      <c r="G27" s="23" t="s">
        <v>595</v>
      </c>
      <c r="H27" s="86">
        <v>50</v>
      </c>
      <c r="I27" s="23" t="s">
        <v>596</v>
      </c>
    </row>
    <row r="28" spans="1:11" ht="20.100000000000001" customHeight="1" x14ac:dyDescent="0.25">
      <c r="A28" s="5" t="str">
        <f>HYPERLINK("#'5.3.1.1-2 Lime CO2'!A1", "5.3.1.1-2 Lime CO2")</f>
        <v>5.3.1.1-2 Lime CO2</v>
      </c>
      <c r="D28" s="30" t="s">
        <v>617</v>
      </c>
      <c r="E28" s="23" t="s">
        <v>615</v>
      </c>
      <c r="F28" s="23" t="s">
        <v>610</v>
      </c>
      <c r="G28" s="23" t="s">
        <v>595</v>
      </c>
      <c r="H28" s="86">
        <v>50</v>
      </c>
      <c r="I28" s="23" t="s">
        <v>19</v>
      </c>
    </row>
    <row r="29" spans="1:11" ht="20.100000000000001" customHeight="1" x14ac:dyDescent="0.25">
      <c r="A29" s="5" t="str">
        <f>HYPERLINK("#'5.4.1.1-4 Atmos deposition'!A1", "5.4.1.1-4 Atmos. deposition")</f>
        <v>5.4.1.1-4 Atmos. deposition</v>
      </c>
      <c r="D29" s="30" t="s">
        <v>618</v>
      </c>
      <c r="E29" s="23" t="s">
        <v>615</v>
      </c>
      <c r="F29" s="23" t="s">
        <v>610</v>
      </c>
      <c r="G29" s="23" t="s">
        <v>595</v>
      </c>
      <c r="H29" s="86">
        <v>50</v>
      </c>
      <c r="I29" s="23" t="s">
        <v>596</v>
      </c>
      <c r="K29" s="127"/>
    </row>
    <row r="30" spans="1:11" ht="20.100000000000001" customHeight="1" x14ac:dyDescent="0.25">
      <c r="A30" s="5" t="str">
        <f>HYPERLINK("#'5.5.1.1-2 Leaching and runoff'!A1", "5.5.1.1-2 Leaching &amp; runoff")</f>
        <v>5.5.1.1-2 Leaching &amp; runoff</v>
      </c>
      <c r="D30" s="30" t="s">
        <v>619</v>
      </c>
      <c r="E30" s="23" t="s">
        <v>615</v>
      </c>
      <c r="F30" s="23" t="s">
        <v>610</v>
      </c>
      <c r="G30" s="23" t="s">
        <v>593</v>
      </c>
      <c r="H30" s="86">
        <v>50</v>
      </c>
      <c r="I30" s="23" t="s">
        <v>19</v>
      </c>
      <c r="K30" s="127"/>
    </row>
    <row r="31" spans="1:11" ht="20.100000000000001" customHeight="1" x14ac:dyDescent="0.25">
      <c r="A31" s="5" t="str">
        <f>HYPERLINK("#'6.1.1.1-2 Crop residue N2O'!A1", "6.1.1.1-2 Crop residue N2O")</f>
        <v>6.1.1.1-2 Crop residue N2O</v>
      </c>
      <c r="D31" s="30" t="s">
        <v>620</v>
      </c>
      <c r="E31" s="23" t="s">
        <v>615</v>
      </c>
      <c r="F31" s="23" t="s">
        <v>610</v>
      </c>
      <c r="G31" s="23" t="s">
        <v>593</v>
      </c>
      <c r="H31" s="86">
        <v>50</v>
      </c>
      <c r="I31" s="23" t="s">
        <v>596</v>
      </c>
      <c r="K31" s="127"/>
    </row>
    <row r="32" spans="1:11" ht="20.100000000000001" customHeight="1" x14ac:dyDescent="0.25">
      <c r="A32" s="5" t="str">
        <f>HYPERLINK("#'6.3.1.1-2 Leach runoff crop'!A1", "6.3.1.1-2 Leach &amp; runoff (crop)")</f>
        <v>6.3.1.1-2 Leach &amp; runoff (crop)</v>
      </c>
      <c r="D32" s="30" t="s">
        <v>618</v>
      </c>
      <c r="E32" s="23" t="s">
        <v>615</v>
      </c>
      <c r="F32" s="23" t="s">
        <v>610</v>
      </c>
      <c r="G32" s="23" t="s">
        <v>595</v>
      </c>
      <c r="H32" s="86">
        <v>50</v>
      </c>
      <c r="I32" s="23" t="s">
        <v>596</v>
      </c>
      <c r="K32" s="127"/>
    </row>
    <row r="33" spans="1:12" ht="20.100000000000001" customHeight="1" x14ac:dyDescent="0.25">
      <c r="A33" s="5" t="str">
        <f>HYPERLINK("#'6.4.1.1-2 Residue burning'!A1", "6.4.1.1-2 Residue burning")</f>
        <v>6.4.1.1-2 Residue burning</v>
      </c>
      <c r="K33" s="127"/>
    </row>
    <row r="34" spans="1:12" ht="20.100000000000001" customHeight="1" x14ac:dyDescent="0.25">
      <c r="A34" s="5" t="str">
        <f>HYPERLINK("#'8.1.1.1-2 Transport fuel'!A1", "8.1.1.1-2 Transport fuel")</f>
        <v>8.1.1.1-2 Transport fuel</v>
      </c>
      <c r="K34" s="127"/>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c r="L36" s="127"/>
    </row>
    <row r="37" spans="1:12" ht="20.100000000000001" customHeight="1" x14ac:dyDescent="0.25">
      <c r="A37" s="5" t="str">
        <f>HYPERLINK("#'15 Scope 3'!A1", "15 Scope 3")</f>
        <v>15 Scope 3</v>
      </c>
      <c r="L37" s="127"/>
    </row>
    <row r="38" spans="1:12" ht="20.100000000000001" customHeight="1" x14ac:dyDescent="0.25">
      <c r="A38" s="5" t="str">
        <f>HYPERLINK("#'Calcs - Manure sent off-site'!A1", "Calcs - Manure sent off-site")</f>
        <v>Calcs - Manure sent off-site</v>
      </c>
      <c r="C38" s="115"/>
    </row>
    <row r="39" spans="1:12" ht="20.100000000000001" customHeight="1" x14ac:dyDescent="0.25">
      <c r="A39" s="5" t="str">
        <f>HYPERLINK("#'10.1.1-2 Solid waste treatment'!A1", "10.1.1-2 Solid waste treatment")</f>
        <v>10.1.1-2 Solid waste treatment</v>
      </c>
      <c r="C39" s="115"/>
      <c r="J39" s="115"/>
    </row>
    <row r="40" spans="1:12" s="127" customFormat="1" ht="20.100000000000001" customHeight="1" x14ac:dyDescent="0.25">
      <c r="A40"/>
      <c r="C40" s="1"/>
      <c r="D40" s="1"/>
      <c r="E40" s="1"/>
      <c r="F40" s="1"/>
      <c r="G40" s="1"/>
      <c r="H40" s="1"/>
      <c r="I40" s="1"/>
      <c r="J40" s="1"/>
    </row>
    <row r="41" spans="1:12" s="127" customFormat="1" ht="20.100000000000001" customHeight="1" x14ac:dyDescent="0.25">
      <c r="A41"/>
      <c r="C41" s="1"/>
      <c r="D41" s="1"/>
      <c r="E41" s="1"/>
      <c r="F41" s="1"/>
      <c r="G41" s="1"/>
      <c r="H41" s="1"/>
      <c r="I41" s="1"/>
      <c r="J41" s="1"/>
      <c r="L41" s="127" t="s">
        <v>470</v>
      </c>
    </row>
    <row r="42" spans="1:12" ht="20.100000000000001" customHeight="1" x14ac:dyDescent="0.25">
      <c r="A42" s="94" t="s">
        <v>1</v>
      </c>
    </row>
    <row r="43" spans="1:12" ht="20.100000000000001" customHeight="1" x14ac:dyDescent="0.25">
      <c r="A43" s="5" t="str">
        <f>HYPERLINK("#'Constants - Ag Residue'!A1", "Constants - Ag residue")</f>
        <v>Constants - Ag residue</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row>
    <row r="47" spans="1:12" ht="20.100000000000001" customHeight="1" x14ac:dyDescent="0.25">
      <c r="A47" s="5" t="str">
        <f>HYPERLINK("#'Constants - Fuel'!A1", "Constants - Fuel")</f>
        <v>Constants - Fuel</v>
      </c>
    </row>
    <row r="48" spans="1:12"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0"/>
    </row>
    <row r="74" spans="4:4" ht="20.100000000000001" customHeight="1" x14ac:dyDescent="0.25"/>
    <row r="75" spans="4:4" ht="20.100000000000001" customHeight="1" x14ac:dyDescent="0.25">
      <c r="D75" s="180"/>
    </row>
    <row r="76" spans="4:4" ht="20.100000000000001" customHeight="1" x14ac:dyDescent="0.25">
      <c r="D76" s="180"/>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8"/>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7586CEB4-AE32-417E-8526-B3565D9E07DC}">
      <formula1>INDIRECT("Table_WasteTypes_" &amp; SUBSTITUTE(E10, " ", "") &amp; "[Waste type w]")</formula1>
    </dataValidation>
    <dataValidation type="list" allowBlank="1" showInputMessage="1" showErrorMessage="1" sqref="I10:I32" xr:uid="{698D0DAB-735B-4B87-A1B5-DD8321D373BA}">
      <formula1>"tonnes, cubic metres m3"</formula1>
    </dataValidation>
    <dataValidation type="list" allowBlank="1" showInputMessage="1" showErrorMessage="1" sqref="G10:G32" xr:uid="{E9301E79-437D-49AD-8F7E-E62A74F77D80}">
      <formula1>"Treated on-site, Removed and treated off-site"</formula1>
    </dataValidation>
    <dataValidation type="list" allowBlank="1" showInputMessage="1" showErrorMessage="1" sqref="E10:E32" xr:uid="{F3B6B589-0562-482E-8C14-97E957EA493D}">
      <formula1>INDIRECT(_xlfn.UNIQUE("Table_SourceData_WasteSolid_WasteTreatmentEFs[Treatment type t]"))</formula1>
    </dataValidation>
    <dataValidation type="list" allowBlank="1" showInputMessage="1" showErrorMessage="1" sqref="E35" xr:uid="{EDE98750-D77A-4920-903A-CCC7500706DD}">
      <formula1>INDIRECT("Table_SourceData_ElectricityEFs[State, Territory or grid description]")</formula1>
    </dataValidation>
    <dataValidation type="list" allowBlank="1" showInputMessage="1" showErrorMessage="1" sqref="E89" xr:uid="{9DBE7BBF-D75A-4AB6-B89E-0BA10AE14300}">
      <formula1>INDIRECT("Table_SourceData_Swine_IrrigationMethods[Irrigation method]")</formula1>
    </dataValidation>
    <dataValidation type="list" allowBlank="1" showInputMessage="1" showErrorMessage="1" sqref="E273 E278 E283 E317 E312 E307 E185 E173 E149 E161" xr:uid="{7452F9D1-6780-49C6-BFC5-770D88C025C3}">
      <formula1>"Yes, No"</formula1>
    </dataValidation>
    <dataValidation type="list" allowBlank="1" showInputMessage="1" showErrorMessage="1" sqref="E249" xr:uid="{DDCEC002-D836-401F-BF00-2C2420D1579B}">
      <formula1>INDIRECT("Table_SourceData_Dairy_ProductionSystemTemplates[Area]")</formula1>
    </dataValidation>
    <dataValidation type="list" allowBlank="1" showInputMessage="1" showErrorMessage="1" sqref="D301" xr:uid="{1B9D6AA6-6882-44CC-A81F-E3CF6444E1D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73FE7-418F-4F6A-802E-F58AC853B16D}">
  <sheetPr>
    <tabColor rgb="FF008000"/>
  </sheetPr>
  <dimension ref="A1:L342"/>
  <sheetViews>
    <sheetView showGridLines="0" topLeftCell="A174"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621</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4" t="s">
        <v>311</v>
      </c>
      <c r="E7" s="134"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312</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6" t="str" cm="1">
        <f t="array" ref="D13:E16">_xlfn.CHOOSECOLS(WasteSolid_Equations.VEERG_10_1_1_1__2_MassOfWasteFromVolume_Arguments(),1,2)</f>
        <v>V_wt</v>
      </c>
      <c r="E13" s="164" t="str">
        <v>volume of solid waste type w being sent to treatment facility t</v>
      </c>
      <c r="F13" s="166"/>
      <c r="G13" s="156" t="str" cm="1">
        <f t="array" ref="G13:H16">_xlfn.CHOOSECOLS(WasteSolid_Equations.VEERG_10_1_1_1__2_MassOfWasteFromVolume_Arguments(),3,4)</f>
        <v>m3</v>
      </c>
      <c r="H13" s="138" t="str">
        <v>Input</v>
      </c>
      <c r="I13" s="142" t="str" cm="1">
        <f t="array" aca="1" ref="I13" ca="1">HYPERLINK(Common_InputFunctions.Utility_SourceHyperlink($D$18),$D$18)</f>
        <v>Table_V_w_t_onsite</v>
      </c>
      <c r="J13" s="142" t="str" cm="1">
        <f t="array" aca="1" ref="J13" ca="1">HYPERLINK(Common_InputFunctions.Utility_SourceHyperlink($D$56),$D$56)</f>
        <v>Table_V_w_t_offsite</v>
      </c>
    </row>
    <row r="14" spans="1:12" ht="20.100000000000001" customHeight="1" x14ac:dyDescent="0.25">
      <c r="A14" s="5" t="str">
        <f>HYPERLINK("#'Input - Fuel'!A1", "Fuel")</f>
        <v>Fuel</v>
      </c>
      <c r="D14" s="156" t="str">
        <v>VTM_w</v>
      </c>
      <c r="E14" s="164" t="str">
        <v>conversion factor of volume to mass for waste type w</v>
      </c>
      <c r="F14" s="166"/>
      <c r="G14" s="156" t="str">
        <v>t/m3</v>
      </c>
      <c r="H14" s="139" t="str">
        <v>Constant</v>
      </c>
      <c r="I14" s="142" t="str" cm="1">
        <f t="array" aca="1" ref="I14" ca="1">HYPERLINK(Common_InputFunctions.Utility_SourceHyperlink($D$18),$D$18)</f>
        <v>Table_V_w_t_onsite</v>
      </c>
      <c r="J14" s="142" t="str" cm="1">
        <f t="array" aca="1" ref="J14" ca="1">HYPERLINK(Common_InputFunctions.Utility_SourceHyperlink($D$56),$D$56)</f>
        <v>Table_V_w_t_offsite</v>
      </c>
    </row>
    <row r="15" spans="1:12" ht="20.100000000000001" customHeight="1" x14ac:dyDescent="0.25">
      <c r="A15" s="5" t="str">
        <f>HYPERLINK("#'Input - Electricity'!A1", "Electricity")</f>
        <v>Electricity</v>
      </c>
      <c r="D15" s="156" t="str">
        <v>w</v>
      </c>
      <c r="E15" s="164" t="str">
        <v>waste type</v>
      </c>
      <c r="F15" s="166"/>
      <c r="G15" s="156" t="str">
        <v/>
      </c>
      <c r="H15" s="138" t="str">
        <v>Input</v>
      </c>
      <c r="I15" s="142" t="str" cm="1">
        <f t="array" aca="1" ref="I15" ca="1">HYPERLINK(Common_InputFunctions.Utility_SourceHyperlink($D$18),$D$18)</f>
        <v>Table_V_w_t_onsite</v>
      </c>
      <c r="J15" s="142"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56" t="str">
        <v>t</v>
      </c>
      <c r="E16" s="164" t="str">
        <v>treatment facility</v>
      </c>
      <c r="F16" s="166"/>
      <c r="G16" s="156" t="str">
        <v/>
      </c>
      <c r="H16" s="138" t="str">
        <v>Input</v>
      </c>
      <c r="I16" s="142" t="str" cm="1">
        <f t="array" aca="1" ref="I16" ca="1">HYPERLINK(Common_InputFunctions.Utility_SourceHyperlink($D$18),$D$18)</f>
        <v>Table_V_w_t_onsite</v>
      </c>
      <c r="J16" s="142" t="str" cm="1">
        <f t="array" aca="1" ref="J16" ca="1">HYPERLINK(Common_InputFunctions.Utility_SourceHyperlink($D$56),$D$56)</f>
        <v>Table_V_w_t_offsite</v>
      </c>
    </row>
    <row r="17" spans="1:9" ht="20.100000000000001" customHeight="1" x14ac:dyDescent="0.25">
      <c r="A17" s="5" t="str">
        <f>HYPERLINK("#'Input - Crop pasture farm input'!A1", "Crop pasture farm input")</f>
        <v>Crop pasture farm input</v>
      </c>
    </row>
    <row r="18" spans="1:9" ht="20.100000000000001" customHeight="1" x14ac:dyDescent="0.25">
      <c r="A18" s="5" t="str">
        <f>HYPERLINK("#'Input - Freight'!A1", "Freight")</f>
        <v>Freight</v>
      </c>
      <c r="D18" s="145" t="s">
        <v>622</v>
      </c>
    </row>
    <row r="19" spans="1:9" ht="20.100000000000001" customHeight="1" x14ac:dyDescent="0.25">
      <c r="A19" s="5" t="str">
        <f>HYPERLINK("#'Input - Manure sent off-site'!A1", "Manure sent off-site")</f>
        <v>Manure sent off-site</v>
      </c>
      <c r="D19" s="146" t="s">
        <v>623</v>
      </c>
    </row>
    <row r="20" spans="1:9" ht="20.100000000000001" customHeight="1" x14ac:dyDescent="0.25">
      <c r="A20" s="5" t="str">
        <f>HYPERLINK("#'Input - Solid waste'!A1", "Solid waste")</f>
        <v>Solid waste</v>
      </c>
      <c r="D20" s="92" t="s">
        <v>624</v>
      </c>
      <c r="E20" s="92" t="s">
        <v>625</v>
      </c>
      <c r="F20" s="92"/>
      <c r="G20" s="92" t="s">
        <v>626</v>
      </c>
      <c r="H20" s="147" t="s">
        <v>627</v>
      </c>
      <c r="I20" s="147" t="s">
        <v>628</v>
      </c>
    </row>
    <row r="21" spans="1:9" ht="20.100000000000001" customHeight="1" x14ac:dyDescent="0.25">
      <c r="A21" s="5" t="str">
        <f>HYPERLINK("#'Input - Data quality'!A1", "Data quality")</f>
        <v>Data quality</v>
      </c>
      <c r="D21" s="156" t="str" cm="1">
        <f t="array" ref="D21:D54">Table_SourceData_WasteSolid_WasteTreatmentEFs[Treatment type t]</f>
        <v>Landfill</v>
      </c>
      <c r="E21" s="164" t="str" cm="1">
        <f t="array" ref="E21:E54">Table_SourceData_WasteSolid_WasteTreatmentEFs[Waste type w]</f>
        <v>Food waste (including animal carcasses, spoiled animal feed or crop)</v>
      </c>
      <c r="F21" s="141"/>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D22" s="156" t="str">
        <v>Landfill</v>
      </c>
      <c r="E22" s="164" t="str">
        <v>Paper and cardboard</v>
      </c>
      <c r="F22" s="141"/>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D23" s="156" t="str">
        <v>Landfill</v>
      </c>
      <c r="E23" s="164" t="str">
        <v>Green waste (including crop residues or prunings)</v>
      </c>
      <c r="F23" s="141"/>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6" t="s">
        <v>2</v>
      </c>
      <c r="D24" s="156" t="str">
        <v>Landfill</v>
      </c>
      <c r="E24" s="164" t="str">
        <v>Wood</v>
      </c>
      <c r="F24" s="141"/>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HYPERLINK("#'5.1.1.1-2 Inorganic fert N2O'!A1", "5.1.1.1-2 Inorganic fert N2O")</f>
        <v>5.1.1.1-2 Inorganic fert N2O</v>
      </c>
      <c r="D25" s="156" t="str">
        <v>Landfill</v>
      </c>
      <c r="E25" s="164" t="str">
        <v>Textiles</v>
      </c>
      <c r="F25" s="141"/>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HYPERLINK("#'5.1.1.3-4 Inorganic fert CO2'!A1", "5.1.1.3-4 Inorganic fert CO2")</f>
        <v>5.1.1.3-4 Inorganic fert CO2</v>
      </c>
      <c r="D26" s="156" t="str">
        <v>Landfill</v>
      </c>
      <c r="E26" s="164" t="str">
        <v>Sludge</v>
      </c>
      <c r="F26" s="141"/>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HYPERLINK("#'5.2.1.1-2 Organic Fert N2O'!A1", "5.2.1.1-2 Organic fert N2O")</f>
        <v>5.2.1.1-2 Organic fert N2O</v>
      </c>
      <c r="D27" s="156" t="str">
        <v>Landfill</v>
      </c>
      <c r="E27" s="164" t="str">
        <v>Rubber and leather</v>
      </c>
      <c r="F27" s="141"/>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HYPERLINK("#'5.3.1.1-2 Lime CO2'!A1", "5.3.1.1-2 Lime CO2")</f>
        <v>5.3.1.1-2 Lime CO2</v>
      </c>
      <c r="D28" s="156" t="str">
        <v>Landfill</v>
      </c>
      <c r="E28" s="164" t="str">
        <v>Inert waste (including concrete, metal, plastic or glass)</v>
      </c>
      <c r="F28" s="141"/>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HYPERLINK("#'5.4.1.1-4 Atmos deposition'!A1", "5.4.1.1-4 Atmos. deposition")</f>
        <v>5.4.1.1-4 Atmos. deposition</v>
      </c>
      <c r="D29" s="156" t="str">
        <v>Landfill</v>
      </c>
      <c r="E29" s="164" t="str">
        <v>Municipal solid waste</v>
      </c>
      <c r="F29" s="141"/>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HYPERLINK("#'5.5.1.1-2 Leaching and runoff'!A1", "5.5.1.1-2 Leaching &amp; runoff")</f>
        <v>5.5.1.1-2 Leaching &amp; runoff</v>
      </c>
      <c r="D30" s="156" t="str">
        <v>Landfill</v>
      </c>
      <c r="E30" s="164" t="str">
        <v>Commercial and industrial waste</v>
      </c>
      <c r="F30" s="141"/>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HYPERLINK("#'6.1.1.1-2 Crop residue N2O'!A1", "6.1.1.1-2 Crop residue N2O")</f>
        <v>6.1.1.1-2 Crop residue N2O</v>
      </c>
      <c r="D31" s="156" t="str">
        <v>Landfill</v>
      </c>
      <c r="E31" s="164" t="str">
        <v>Construction and demolition waste</v>
      </c>
      <c r="F31" s="141"/>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HYPERLINK("#'6.3.1.1-2 Leach runoff crop'!A1", "6.3.1.1-2 Leach &amp; runoff (crop)")</f>
        <v>6.3.1.1-2 Leach &amp; runoff (crop)</v>
      </c>
      <c r="D32" s="156" t="str">
        <v>Incineration</v>
      </c>
      <c r="E32" s="164" t="str">
        <v>Food waste, green waste, wood, sludge</v>
      </c>
      <c r="F32" s="141"/>
      <c r="G32" s="25" t="s">
        <v>342</v>
      </c>
      <c r="H32" s="25" t="s">
        <v>342</v>
      </c>
      <c r="I32" s="25" t="s">
        <v>342</v>
      </c>
    </row>
    <row r="33" spans="1:9" ht="20.100000000000001" customHeight="1" x14ac:dyDescent="0.25">
      <c r="A33" s="5" t="str">
        <f>HYPERLINK("#'6.4.1.1-2 Residue burning'!A1", "6.4.1.1-2 Residue burning")</f>
        <v>6.4.1.1-2 Residue burning</v>
      </c>
      <c r="D33" s="156" t="str">
        <v>Incineration</v>
      </c>
      <c r="E33" s="164" t="str">
        <v>Food waste (including animal carcasses, spoiled animal feed or crop)</v>
      </c>
      <c r="F33" s="141"/>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HYPERLINK("#'8.1.1.1-2 Transport fuel'!A1", "8.1.1.1-2 Transport fuel")</f>
        <v>8.1.1.1-2 Transport fuel</v>
      </c>
      <c r="D34" s="156" t="str">
        <v>Incineration</v>
      </c>
      <c r="E34" s="164" t="str">
        <v>Green waste (including crop residues or prunings)</v>
      </c>
      <c r="F34" s="141"/>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HYPERLINK("#'8.2.1.1-2 Stationary fuel'!A1", "8.2.1.1-2 Stationary fuel")</f>
        <v>8.2.1.1-2 Stationary fuel</v>
      </c>
      <c r="D35" s="156" t="str">
        <v>Incineration</v>
      </c>
      <c r="E35" s="164" t="str">
        <v>Wood</v>
      </c>
      <c r="F35" s="141"/>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HYPERLINK("#'14.1.1-2 Purchased electricity'!A1", "14.1.1-2 Purchased electricity")</f>
        <v>14.1.1-2 Purchased electricity</v>
      </c>
      <c r="D36" s="156" t="str">
        <v>Incineration</v>
      </c>
      <c r="E36" s="164" t="str">
        <v>Sludge</v>
      </c>
      <c r="F36" s="141"/>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HYPERLINK("#'15 Scope 3'!A1", "15 Scope 3")</f>
        <v>15 Scope 3</v>
      </c>
      <c r="D37" s="156" t="str">
        <v>Incineration</v>
      </c>
      <c r="E37" s="164" t="str">
        <v>Paper and cardboard</v>
      </c>
      <c r="F37" s="141"/>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HYPERLINK("#'Calcs - Manure sent off-site'!A1", "Calcs - Manure sent off-site")</f>
        <v>Calcs - Manure sent off-site</v>
      </c>
      <c r="D38" s="156" t="str">
        <v>Incineration</v>
      </c>
      <c r="E38" s="164" t="str">
        <v>Textiles</v>
      </c>
      <c r="F38" s="141"/>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143" t="str">
        <f>HYPERLINK("#'10.1.1-2 Solid waste treatment'!A1", "10.1.1-2 Solid waste treatment")</f>
        <v>10.1.1-2 Solid waste treatment</v>
      </c>
      <c r="D39" s="156" t="str">
        <v>Incineration</v>
      </c>
      <c r="E39" s="164" t="str">
        <v>Rubber and leather</v>
      </c>
      <c r="F39" s="141"/>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D40" s="156" t="str">
        <v>Incineration</v>
      </c>
      <c r="E40" s="156" t="str">
        <v>Inert waste (including concrete, metal, plastic or glass)</v>
      </c>
      <c r="F40" s="156"/>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D41" s="156" t="str">
        <v>Incineration</v>
      </c>
      <c r="E41" s="164" t="str">
        <v>Municipal solid waste</v>
      </c>
      <c r="F41" s="166"/>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94" t="s">
        <v>1</v>
      </c>
      <c r="D42" s="156" t="str">
        <v>Incineration</v>
      </c>
      <c r="E42" s="164" t="str">
        <v>Commercial and industrial waste</v>
      </c>
      <c r="F42" s="166"/>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Ag Residue'!A1", "Constants - Ag residue")</f>
        <v>Constants - Ag residue</v>
      </c>
      <c r="D43" s="156" t="str">
        <v>Composting</v>
      </c>
      <c r="E43" s="164" t="str">
        <v>All organic waste</v>
      </c>
      <c r="F43" s="166"/>
      <c r="G43" s="25" t="s">
        <v>342</v>
      </c>
      <c r="H43" s="25" t="s">
        <v>342</v>
      </c>
      <c r="I43" s="25" t="s">
        <v>342</v>
      </c>
    </row>
    <row r="44" spans="1:9" ht="20.100000000000001" customHeight="1" x14ac:dyDescent="0.25">
      <c r="A44" s="5" t="str">
        <f>HYPERLINK("#'Constants - Common Livestock'!A1", "Constants - Common Livestock")</f>
        <v>Constants - Common Livestock</v>
      </c>
      <c r="D44" s="156" t="str">
        <v>Composting</v>
      </c>
      <c r="E44" s="164" t="str">
        <v>Food waste (including animal carcasses, spoiled animal feed or crop)</v>
      </c>
      <c r="F44" s="166"/>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Electricity'!A1", "Constants - Electricity")</f>
        <v>Constants - Electricity</v>
      </c>
      <c r="D45" s="156" t="str">
        <v>Composting</v>
      </c>
      <c r="E45" s="164" t="str">
        <v>Green waste (including crop residues or prunings)</v>
      </c>
      <c r="F45" s="166"/>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Fertiliser'!A1", "Constants - Fertiliser")</f>
        <v>Constants - Fertiliser</v>
      </c>
      <c r="D46" s="156" t="str">
        <v>Composting</v>
      </c>
      <c r="E46" s="164" t="str">
        <v>Wood</v>
      </c>
      <c r="F46" s="166"/>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Fuel'!A1", "Constants - Fuel")</f>
        <v>Constants - Fuel</v>
      </c>
      <c r="D47" s="156" t="str">
        <v>Composting</v>
      </c>
      <c r="E47" s="164" t="str">
        <v>Sludge</v>
      </c>
      <c r="F47" s="166"/>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Scope 3'!A1", "Constants - Scope 3")</f>
        <v>Constants - Scope 3</v>
      </c>
      <c r="D48" s="156" t="str">
        <v>Composting</v>
      </c>
      <c r="E48" s="164" t="str">
        <v>Paper and cardboard</v>
      </c>
      <c r="F48" s="166"/>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Common'!A1", "Constants - Common")</f>
        <v>Constants - Common</v>
      </c>
      <c r="D49" s="156" t="str">
        <v>Anaerobic digestion</v>
      </c>
      <c r="E49" s="164" t="str">
        <v>All organic waste</v>
      </c>
      <c r="F49" s="166"/>
      <c r="G49" s="25" t="s">
        <v>342</v>
      </c>
      <c r="H49" s="25" t="s">
        <v>342</v>
      </c>
      <c r="I49" s="25" t="s">
        <v>342</v>
      </c>
    </row>
    <row r="50" spans="1:9" ht="20.100000000000001" customHeight="1" x14ac:dyDescent="0.25">
      <c r="A50" s="5" t="str">
        <f>HYPERLINK("#'Constants - Solid Waste'!A1", "Constants - Solid Waste")</f>
        <v>Constants - Solid Waste</v>
      </c>
      <c r="D50" s="156" t="str">
        <v>Anaerobic digestion</v>
      </c>
      <c r="E50" s="164" t="str">
        <v>Food waste (including animal carcasses, spoiled animal feed or crop)</v>
      </c>
      <c r="F50" s="166"/>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56" t="str">
        <v>Anaerobic digestion</v>
      </c>
      <c r="E51" s="164" t="str">
        <v>Green waste (including crop residues or prunings)</v>
      </c>
      <c r="F51" s="166"/>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D52" s="156" t="str">
        <v>Anaerobic digestion</v>
      </c>
      <c r="E52" s="164" t="str">
        <v>Wood</v>
      </c>
      <c r="F52" s="166"/>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D53" s="156" t="str">
        <v>Anaerobic digestion</v>
      </c>
      <c r="E53" s="164" t="str">
        <v>Sludge</v>
      </c>
      <c r="F53" s="166"/>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D54" s="156" t="str">
        <v>Anaerobic digestion</v>
      </c>
      <c r="E54" s="164" t="str">
        <v>Paper and cardboard</v>
      </c>
      <c r="F54" s="166"/>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row r="56" spans="1:9" ht="20.100000000000001" customHeight="1" x14ac:dyDescent="0.25">
      <c r="D56" s="145" t="s">
        <v>629</v>
      </c>
    </row>
    <row r="57" spans="1:9" ht="20.100000000000001" customHeight="1" x14ac:dyDescent="0.25">
      <c r="D57" s="146" t="s">
        <v>630</v>
      </c>
    </row>
    <row r="58" spans="1:9" ht="20.100000000000001" customHeight="1" x14ac:dyDescent="0.25">
      <c r="D58" s="92" t="s">
        <v>624</v>
      </c>
      <c r="E58" s="92" t="s">
        <v>625</v>
      </c>
      <c r="F58" s="92"/>
      <c r="G58" s="92" t="s">
        <v>626</v>
      </c>
      <c r="H58" s="147" t="s">
        <v>627</v>
      </c>
      <c r="I58" s="147" t="s">
        <v>628</v>
      </c>
    </row>
    <row r="59" spans="1:9" ht="20.100000000000001" customHeight="1" x14ac:dyDescent="0.25">
      <c r="D59" s="156" t="str" cm="1">
        <f t="array" ref="D59:D92">Table_SourceData_WasteSolid_WasteTreatmentEFs[Treatment type t]</f>
        <v>Landfill</v>
      </c>
      <c r="E59" s="164" t="str" cm="1">
        <f t="array" ref="E59:E92">Table_SourceData_WasteSolid_WasteTreatmentEFs[Waste type w]</f>
        <v>Food waste (including animal carcasses, spoiled animal feed or crop)</v>
      </c>
      <c r="F59" s="141"/>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56" t="str">
        <v>Landfill</v>
      </c>
      <c r="E60" s="164" t="str">
        <v>Paper and cardboard</v>
      </c>
      <c r="F60" s="141"/>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56" t="str">
        <v>Landfill</v>
      </c>
      <c r="E61" s="164" t="str">
        <v>Green waste (including crop residues or prunings)</v>
      </c>
      <c r="F61" s="141"/>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56" t="str">
        <v>Landfill</v>
      </c>
      <c r="E62" s="164" t="str">
        <v>Wood</v>
      </c>
      <c r="F62" s="141"/>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56" t="str">
        <v>Landfill</v>
      </c>
      <c r="E63" s="164" t="str">
        <v>Textiles</v>
      </c>
      <c r="F63" s="141"/>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56" t="str">
        <v>Landfill</v>
      </c>
      <c r="E64" s="164" t="str">
        <v>Sludge</v>
      </c>
      <c r="F64" s="141"/>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6" t="str">
        <v>Landfill</v>
      </c>
      <c r="E65" s="164" t="str">
        <v>Rubber and leather</v>
      </c>
      <c r="F65" s="141"/>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6" t="str">
        <v>Landfill</v>
      </c>
      <c r="E66" s="164" t="str">
        <v>Inert waste (including concrete, metal, plastic or glass)</v>
      </c>
      <c r="F66" s="141"/>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6" t="str">
        <v>Landfill</v>
      </c>
      <c r="E67" s="164" t="str">
        <v>Municipal solid waste</v>
      </c>
      <c r="F67" s="141"/>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6" t="str">
        <v>Landfill</v>
      </c>
      <c r="E68" s="164" t="str">
        <v>Commercial and industrial waste</v>
      </c>
      <c r="F68" s="141"/>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6" t="str">
        <v>Landfill</v>
      </c>
      <c r="E69" s="164" t="str">
        <v>Construction and demolition waste</v>
      </c>
      <c r="F69" s="141"/>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6" t="str">
        <v>Incineration</v>
      </c>
      <c r="E70" s="164" t="str">
        <v>Food waste, green waste, wood, sludge</v>
      </c>
      <c r="F70" s="141"/>
      <c r="G70" s="25" t="s">
        <v>342</v>
      </c>
      <c r="H70" s="25" t="s">
        <v>342</v>
      </c>
      <c r="I70" s="25" t="s">
        <v>342</v>
      </c>
    </row>
    <row r="71" spans="4:9" ht="20.100000000000001" customHeight="1" x14ac:dyDescent="0.25">
      <c r="D71" s="156" t="str">
        <v>Incineration</v>
      </c>
      <c r="E71" s="164" t="str">
        <v>Food waste (including animal carcasses, spoiled animal feed or crop)</v>
      </c>
      <c r="F71" s="141"/>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6" t="str">
        <v>Incineration</v>
      </c>
      <c r="E72" s="164" t="str">
        <v>Green waste (including crop residues or prunings)</v>
      </c>
      <c r="F72" s="141"/>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6" t="str">
        <v>Incineration</v>
      </c>
      <c r="E73" s="164" t="str">
        <v>Wood</v>
      </c>
      <c r="F73" s="141"/>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6" t="str">
        <v>Incineration</v>
      </c>
      <c r="E74" s="164" t="str">
        <v>Sludge</v>
      </c>
      <c r="F74" s="141"/>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6" t="str">
        <v>Incineration</v>
      </c>
      <c r="E75" s="164" t="str">
        <v>Paper and cardboard</v>
      </c>
      <c r="F75" s="141"/>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6" t="str">
        <v>Incineration</v>
      </c>
      <c r="E76" s="164" t="str">
        <v>Textiles</v>
      </c>
      <c r="F76" s="141"/>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6" t="str">
        <v>Incineration</v>
      </c>
      <c r="E77" s="164" t="str">
        <v>Rubber and leather</v>
      </c>
      <c r="F77" s="141"/>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6" t="str">
        <v>Incineration</v>
      </c>
      <c r="E78" s="164" t="str">
        <v>Inert waste (including concrete, metal, plastic or glass)</v>
      </c>
      <c r="F78" s="141"/>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6" t="str">
        <v>Incineration</v>
      </c>
      <c r="E79" s="164" t="str">
        <v>Municipal solid waste</v>
      </c>
      <c r="F79" s="166"/>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6" t="str">
        <v>Incineration</v>
      </c>
      <c r="E80" s="164" t="str">
        <v>Commercial and industrial waste</v>
      </c>
      <c r="F80" s="166"/>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6" t="str">
        <v>Composting</v>
      </c>
      <c r="E81" s="164" t="str">
        <v>All organic waste</v>
      </c>
      <c r="F81" s="166"/>
      <c r="G81" s="25" t="s">
        <v>342</v>
      </c>
      <c r="H81" s="25" t="s">
        <v>342</v>
      </c>
      <c r="I81" s="25" t="s">
        <v>342</v>
      </c>
    </row>
    <row r="82" spans="3:12" ht="20.100000000000001" customHeight="1" x14ac:dyDescent="0.25">
      <c r="D82" s="156" t="str">
        <v>Composting</v>
      </c>
      <c r="E82" s="164" t="str">
        <v>Food waste (including animal carcasses, spoiled animal feed or crop)</v>
      </c>
      <c r="F82" s="166"/>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6" t="str">
        <v>Composting</v>
      </c>
      <c r="E83" s="164" t="str">
        <v>Green waste (including crop residues or prunings)</v>
      </c>
      <c r="F83" s="166"/>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6" t="str">
        <v>Composting</v>
      </c>
      <c r="E84" s="164" t="str">
        <v>Wood</v>
      </c>
      <c r="F84" s="166"/>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6" t="str">
        <v>Composting</v>
      </c>
      <c r="E85" s="164" t="str">
        <v>Sludge</v>
      </c>
      <c r="F85" s="166"/>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6" t="str">
        <v>Composting</v>
      </c>
      <c r="E86" s="164" t="str">
        <v>Paper and cardboard</v>
      </c>
      <c r="F86" s="166"/>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6" t="str">
        <v>Anaerobic digestion</v>
      </c>
      <c r="E87" s="164" t="str">
        <v>All organic waste</v>
      </c>
      <c r="F87" s="166"/>
      <c r="G87" s="25" t="s">
        <v>342</v>
      </c>
      <c r="H87" s="25" t="s">
        <v>342</v>
      </c>
      <c r="I87" s="25" t="s">
        <v>342</v>
      </c>
    </row>
    <row r="88" spans="3:12" ht="20.100000000000001" customHeight="1" x14ac:dyDescent="0.25">
      <c r="D88" s="156" t="str">
        <v>Anaerobic digestion</v>
      </c>
      <c r="E88" s="164" t="str">
        <v>Food waste (including animal carcasses, spoiled animal feed or crop)</v>
      </c>
      <c r="F88" s="166"/>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6" t="str">
        <v>Anaerobic digestion</v>
      </c>
      <c r="E89" s="164" t="str">
        <v>Green waste (including crop residues or prunings)</v>
      </c>
      <c r="F89" s="166"/>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6" t="str">
        <v>Anaerobic digestion</v>
      </c>
      <c r="E90" s="164" t="str">
        <v>Wood</v>
      </c>
      <c r="F90" s="166"/>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6" t="str">
        <v>Anaerobic digestion</v>
      </c>
      <c r="E91" s="164" t="str">
        <v>Sludge</v>
      </c>
      <c r="F91" s="166"/>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6" t="str">
        <v>Anaerobic digestion</v>
      </c>
      <c r="E92" s="164" t="str">
        <v>Paper and cardboard</v>
      </c>
      <c r="F92" s="166"/>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8"/>
      <c r="D95" s="148"/>
      <c r="E95" s="148"/>
      <c r="F95" s="148"/>
      <c r="G95" s="148"/>
      <c r="H95" s="148"/>
      <c r="I95" s="148"/>
      <c r="J95" s="148"/>
      <c r="K95" s="148"/>
      <c r="L95" s="148"/>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4" t="s">
        <v>311</v>
      </c>
      <c r="E99" s="134"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312</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6" t="str" cm="1">
        <f t="array" ref="D105:E111">_xlfn.CHOOSECOLS(WasteSolid_Equations.VEERG_10_1_1_1__1_EmissionsFromWasteManagement_Arguments(),1,2)</f>
        <v>Q_wt</v>
      </c>
      <c r="E105" s="164" t="str">
        <v>quantity of solid waste of type w being sent to treatment facility t, on a wet weight basis</v>
      </c>
      <c r="F105" s="165"/>
      <c r="G105" s="166"/>
      <c r="H105" s="156" t="str" cm="1">
        <f t="array" ref="H105:I111">_xlfn.CHOOSECOLS(WasteSolid_Equations.VEERG_10_1_1_1__1_EmissionsFromWasteManagement_Arguments(),3,4)</f>
        <v>t</v>
      </c>
      <c r="I105" s="139" t="str">
        <v>Sum of Q_volwt and Q_masswt</v>
      </c>
    </row>
    <row r="106" spans="4:9" ht="20.100000000000001" customHeight="1" x14ac:dyDescent="0.25">
      <c r="D106" s="156" t="str">
        <v>EF_wtg</v>
      </c>
      <c r="E106" s="164" t="str">
        <v>emission factor for greenhouse gas g for the management of waste at treatment facility t</v>
      </c>
      <c r="F106" s="165"/>
      <c r="G106" s="166"/>
      <c r="H106" s="156" t="str">
        <v>t CO2e/t</v>
      </c>
      <c r="I106" s="139" t="str">
        <v>Constant</v>
      </c>
    </row>
    <row r="107" spans="4:9" ht="20.100000000000001" customHeight="1" x14ac:dyDescent="0.25">
      <c r="D107" s="156" t="str">
        <v>w</v>
      </c>
      <c r="E107" s="164" t="str">
        <v>waste type</v>
      </c>
      <c r="F107" s="165"/>
      <c r="G107" s="166"/>
      <c r="H107" s="156" t="str">
        <v/>
      </c>
      <c r="I107" s="138" t="str">
        <v>Input</v>
      </c>
    </row>
    <row r="108" spans="4:9" ht="20.100000000000001" customHeight="1" x14ac:dyDescent="0.25">
      <c r="D108" s="156" t="str">
        <v>t</v>
      </c>
      <c r="E108" s="164" t="str">
        <v>treatment facility</v>
      </c>
      <c r="F108" s="165"/>
      <c r="G108" s="166"/>
      <c r="H108" s="156" t="str">
        <v/>
      </c>
      <c r="I108" s="138" t="str">
        <v>Input</v>
      </c>
    </row>
    <row r="109" spans="4:9" ht="20.100000000000001" customHeight="1" x14ac:dyDescent="0.25">
      <c r="D109" s="156" t="str">
        <v>g</v>
      </c>
      <c r="E109" s="164" t="str">
        <v>greenhouse gas</v>
      </c>
      <c r="F109" s="165"/>
      <c r="G109" s="166"/>
      <c r="H109" s="156" t="str">
        <v/>
      </c>
      <c r="I109" s="138" t="str">
        <v>Input</v>
      </c>
    </row>
    <row r="110" spans="4:9" ht="20.100000000000001" customHeight="1" x14ac:dyDescent="0.25">
      <c r="D110" s="156" t="str">
        <v>Q_volwt</v>
      </c>
      <c r="E110" s="164" t="str">
        <v>quantity of sold waste input as volume and converted to tonnes</v>
      </c>
      <c r="F110" s="165"/>
      <c r="G110" s="166"/>
      <c r="H110" s="156" t="str">
        <v>tonnes</v>
      </c>
      <c r="I110" s="139" t="str">
        <v>Calculated from 10.1.1.1 (2)</v>
      </c>
    </row>
    <row r="111" spans="4:9" ht="20.100000000000001" customHeight="1" x14ac:dyDescent="0.25">
      <c r="D111" s="156" t="str">
        <v>Q_masswt</v>
      </c>
      <c r="E111" s="164" t="str">
        <v>quantity of solid waste input as mass</v>
      </c>
      <c r="F111" s="165"/>
      <c r="G111" s="166"/>
      <c r="H111" s="156" t="str">
        <v>tonnes</v>
      </c>
      <c r="I111" s="138" t="str">
        <v>Input</v>
      </c>
    </row>
    <row r="112" spans="4:9" ht="20.100000000000001" customHeight="1" x14ac:dyDescent="0.25"/>
    <row r="113" spans="4:11" ht="20.100000000000001" customHeight="1" x14ac:dyDescent="0.25">
      <c r="D113" s="145" t="s">
        <v>631</v>
      </c>
    </row>
    <row r="114" spans="4:11" ht="20.100000000000001" customHeight="1" x14ac:dyDescent="0.25">
      <c r="D114" s="146" t="s">
        <v>632</v>
      </c>
    </row>
    <row r="115" spans="4:11" ht="20.100000000000001" customHeight="1" x14ac:dyDescent="0.25">
      <c r="D115" s="92" t="s">
        <v>624</v>
      </c>
      <c r="E115" s="92" t="s">
        <v>625</v>
      </c>
      <c r="F115" s="92"/>
      <c r="G115" s="92" t="s">
        <v>633</v>
      </c>
      <c r="H115" s="147" t="s">
        <v>634</v>
      </c>
      <c r="I115" s="147" t="s">
        <v>628</v>
      </c>
      <c r="J115" s="147" t="s">
        <v>635</v>
      </c>
      <c r="K115" s="147" t="s">
        <v>636</v>
      </c>
    </row>
    <row r="116" spans="4:11" ht="20.100000000000001" customHeight="1" x14ac:dyDescent="0.25">
      <c r="D116" s="156" t="str" cm="1">
        <f t="array" ref="D116:D149">Table_SourceData_WasteSolid_WasteTreatmentEFs[Treatment type t]</f>
        <v>Landfill</v>
      </c>
      <c r="E116" s="164" t="str" cm="1">
        <f t="array" ref="E116:E149">Table_SourceData_WasteSolid_WasteTreatmentEFs[Waste type w]</f>
        <v>Food waste (including animal carcasses, spoiled animal feed or crop)</v>
      </c>
      <c r="F116" s="141"/>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6" t="str">
        <v>Landfill</v>
      </c>
      <c r="E117" s="164" t="str">
        <v>Paper and cardboard</v>
      </c>
      <c r="F117" s="141"/>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6" t="str">
        <v>Landfill</v>
      </c>
      <c r="E118" s="164" t="str">
        <v>Green waste (including crop residues or prunings)</v>
      </c>
      <c r="F118" s="141"/>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6" t="str">
        <v>Landfill</v>
      </c>
      <c r="E119" s="164" t="str">
        <v>Wood</v>
      </c>
      <c r="F119" s="141"/>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6" t="str">
        <v>Landfill</v>
      </c>
      <c r="E120" s="164" t="str">
        <v>Textiles</v>
      </c>
      <c r="F120" s="141"/>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6" t="str">
        <v>Landfill</v>
      </c>
      <c r="E121" s="164" t="str">
        <v>Sludge</v>
      </c>
      <c r="F121" s="141"/>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6" t="str">
        <v>Landfill</v>
      </c>
      <c r="E122" s="164" t="str">
        <v>Rubber and leather</v>
      </c>
      <c r="F122" s="141"/>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6" t="str">
        <v>Landfill</v>
      </c>
      <c r="E123" s="164" t="str">
        <v>Inert waste (including concrete, metal, plastic or glass)</v>
      </c>
      <c r="F123" s="141"/>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6" t="str">
        <v>Landfill</v>
      </c>
      <c r="E124" s="164" t="str">
        <v>Municipal solid waste</v>
      </c>
      <c r="F124" s="141"/>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6" t="str">
        <v>Landfill</v>
      </c>
      <c r="E125" s="164" t="str">
        <v>Commercial and industrial waste</v>
      </c>
      <c r="F125" s="141"/>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6" t="str">
        <v>Landfill</v>
      </c>
      <c r="E126" s="164" t="str">
        <v>Construction and demolition waste</v>
      </c>
      <c r="F126" s="141"/>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6" t="str">
        <v>Incineration</v>
      </c>
      <c r="E127" s="164" t="str">
        <v>Food waste, green waste, wood, sludge</v>
      </c>
      <c r="F127" s="141"/>
      <c r="G127" s="25" t="s">
        <v>342</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6" t="str">
        <v>Incineration</v>
      </c>
      <c r="E128" s="164" t="str">
        <v>Food waste (including animal carcasses, spoiled animal feed or crop)</v>
      </c>
      <c r="F128" s="141"/>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637</v>
      </c>
      <c r="J128" s="25" t="s">
        <v>342</v>
      </c>
      <c r="K128" s="25" t="s">
        <v>342</v>
      </c>
    </row>
    <row r="129" spans="4:11" ht="20.100000000000001" customHeight="1" x14ac:dyDescent="0.25">
      <c r="D129" s="156" t="str">
        <v>Incineration</v>
      </c>
      <c r="E129" s="164" t="str">
        <v>Green waste (including crop residues or prunings)</v>
      </c>
      <c r="F129" s="141"/>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637</v>
      </c>
      <c r="J129" s="25" t="s">
        <v>342</v>
      </c>
      <c r="K129" s="25" t="s">
        <v>342</v>
      </c>
    </row>
    <row r="130" spans="4:11" ht="20.100000000000001" customHeight="1" x14ac:dyDescent="0.25">
      <c r="D130" s="156" t="str">
        <v>Incineration</v>
      </c>
      <c r="E130" s="164" t="str">
        <v>Wood</v>
      </c>
      <c r="F130" s="141"/>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637</v>
      </c>
      <c r="J130" s="25" t="s">
        <v>342</v>
      </c>
      <c r="K130" s="25" t="s">
        <v>342</v>
      </c>
    </row>
    <row r="131" spans="4:11" ht="20.100000000000001" customHeight="1" x14ac:dyDescent="0.25">
      <c r="D131" s="156" t="str">
        <v>Incineration</v>
      </c>
      <c r="E131" s="164" t="str">
        <v>Sludge</v>
      </c>
      <c r="F131" s="141"/>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637</v>
      </c>
      <c r="J131" s="25" t="s">
        <v>342</v>
      </c>
      <c r="K131" s="25" t="s">
        <v>342</v>
      </c>
    </row>
    <row r="132" spans="4:11" ht="20.100000000000001" customHeight="1" x14ac:dyDescent="0.25">
      <c r="D132" s="156" t="str">
        <v>Incineration</v>
      </c>
      <c r="E132" s="164" t="str">
        <v>Paper and cardboard</v>
      </c>
      <c r="F132" s="141"/>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6" t="str">
        <v>Incineration</v>
      </c>
      <c r="E133" s="164" t="str">
        <v>Textiles</v>
      </c>
      <c r="F133" s="141"/>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6" t="str">
        <v>Incineration</v>
      </c>
      <c r="E134" s="164" t="str">
        <v>Rubber and leather</v>
      </c>
      <c r="F134" s="141"/>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6" t="str">
        <v>Incineration</v>
      </c>
      <c r="E135" s="164" t="str">
        <v>Inert waste (including concrete, metal, plastic or glass)</v>
      </c>
      <c r="F135" s="141"/>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6" t="str">
        <v>Incineration</v>
      </c>
      <c r="E136" s="164" t="str">
        <v>Municipal solid waste</v>
      </c>
      <c r="F136" s="166"/>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6" t="str">
        <v>Incineration</v>
      </c>
      <c r="E137" s="164" t="str">
        <v>Commercial and industrial waste</v>
      </c>
      <c r="F137" s="166"/>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6" t="str">
        <v>Composting</v>
      </c>
      <c r="E138" s="164" t="str">
        <v>All organic waste</v>
      </c>
      <c r="F138" s="166"/>
      <c r="G138" s="25" t="s">
        <v>342</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6" t="str">
        <v>Composting</v>
      </c>
      <c r="E139" s="164" t="str">
        <v>Food waste (including animal carcasses, spoiled animal feed or crop)</v>
      </c>
      <c r="F139" s="166"/>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637</v>
      </c>
      <c r="J139" s="25" t="s">
        <v>342</v>
      </c>
      <c r="K139" s="25" t="s">
        <v>342</v>
      </c>
    </row>
    <row r="140" spans="4:11" ht="20.100000000000001" customHeight="1" x14ac:dyDescent="0.25">
      <c r="D140" s="156" t="str">
        <v>Composting</v>
      </c>
      <c r="E140" s="164" t="str">
        <v>Green waste (including crop residues or prunings)</v>
      </c>
      <c r="F140" s="166"/>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637</v>
      </c>
      <c r="J140" s="25" t="s">
        <v>342</v>
      </c>
      <c r="K140" s="25" t="s">
        <v>342</v>
      </c>
    </row>
    <row r="141" spans="4:11" ht="20.100000000000001" customHeight="1" x14ac:dyDescent="0.25">
      <c r="D141" s="156" t="str">
        <v>Composting</v>
      </c>
      <c r="E141" s="164" t="str">
        <v>Wood</v>
      </c>
      <c r="F141" s="166"/>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637</v>
      </c>
      <c r="J141" s="25" t="s">
        <v>342</v>
      </c>
      <c r="K141" s="25" t="s">
        <v>342</v>
      </c>
    </row>
    <row r="142" spans="4:11" ht="20.100000000000001" customHeight="1" x14ac:dyDescent="0.25">
      <c r="D142" s="156" t="str">
        <v>Composting</v>
      </c>
      <c r="E142" s="164" t="str">
        <v>Sludge</v>
      </c>
      <c r="F142" s="166"/>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637</v>
      </c>
      <c r="J142" s="25" t="s">
        <v>342</v>
      </c>
      <c r="K142" s="25" t="s">
        <v>342</v>
      </c>
    </row>
    <row r="143" spans="4:11" ht="20.100000000000001" customHeight="1" x14ac:dyDescent="0.25">
      <c r="D143" s="156" t="str">
        <v>Composting</v>
      </c>
      <c r="E143" s="164" t="str">
        <v>Paper and cardboard</v>
      </c>
      <c r="F143" s="166"/>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637</v>
      </c>
      <c r="J143" s="25" t="s">
        <v>342</v>
      </c>
      <c r="K143" s="25" t="s">
        <v>342</v>
      </c>
    </row>
    <row r="144" spans="4:11" ht="20.100000000000001" customHeight="1" x14ac:dyDescent="0.25">
      <c r="D144" s="156" t="str">
        <v>Anaerobic digestion</v>
      </c>
      <c r="E144" s="164" t="str">
        <v>All organic waste</v>
      </c>
      <c r="F144" s="166"/>
      <c r="G144" s="25" t="s">
        <v>342</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6" t="str">
        <v>Anaerobic digestion</v>
      </c>
      <c r="E145" s="164" t="str">
        <v>Food waste (including animal carcasses, spoiled animal feed or crop)</v>
      </c>
      <c r="F145" s="166"/>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637</v>
      </c>
      <c r="J145" s="25" t="s">
        <v>342</v>
      </c>
      <c r="K145" s="25" t="s">
        <v>342</v>
      </c>
    </row>
    <row r="146" spans="4:11" ht="20.100000000000001" customHeight="1" x14ac:dyDescent="0.25">
      <c r="D146" s="156" t="str">
        <v>Anaerobic digestion</v>
      </c>
      <c r="E146" s="164" t="str">
        <v>Green waste (including crop residues or prunings)</v>
      </c>
      <c r="F146" s="166"/>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637</v>
      </c>
      <c r="J146" s="25" t="s">
        <v>342</v>
      </c>
      <c r="K146" s="25" t="s">
        <v>342</v>
      </c>
    </row>
    <row r="147" spans="4:11" ht="20.100000000000001" customHeight="1" x14ac:dyDescent="0.25">
      <c r="D147" s="156" t="str">
        <v>Anaerobic digestion</v>
      </c>
      <c r="E147" s="164" t="str">
        <v>Wood</v>
      </c>
      <c r="F147" s="166"/>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637</v>
      </c>
      <c r="J147" s="25" t="s">
        <v>342</v>
      </c>
      <c r="K147" s="25" t="s">
        <v>342</v>
      </c>
    </row>
    <row r="148" spans="4:11" ht="20.100000000000001" customHeight="1" x14ac:dyDescent="0.25">
      <c r="D148" s="156" t="str">
        <v>Anaerobic digestion</v>
      </c>
      <c r="E148" s="164" t="str">
        <v>Sludge</v>
      </c>
      <c r="F148" s="166"/>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637</v>
      </c>
      <c r="J148" s="25" t="s">
        <v>342</v>
      </c>
      <c r="K148" s="25" t="s">
        <v>342</v>
      </c>
    </row>
    <row r="149" spans="4:11" ht="20.100000000000001" customHeight="1" x14ac:dyDescent="0.25">
      <c r="D149" s="156" t="str">
        <v>Anaerobic digestion</v>
      </c>
      <c r="E149" s="164" t="str">
        <v>Paper and cardboard</v>
      </c>
      <c r="F149" s="166"/>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637</v>
      </c>
      <c r="J149" s="25" t="s">
        <v>342</v>
      </c>
      <c r="K149" s="25" t="s">
        <v>342</v>
      </c>
    </row>
    <row r="150" spans="4:11" ht="20.100000000000001" customHeight="1" x14ac:dyDescent="0.25"/>
    <row r="151" spans="4:11" ht="20.100000000000001" customHeight="1" x14ac:dyDescent="0.25">
      <c r="D151" s="151" t="s">
        <v>638</v>
      </c>
      <c r="E151" s="152">
        <f>SUM(K116:K149)</f>
        <v>438.82805000000002</v>
      </c>
      <c r="F151" s="153" t="str">
        <f>$E$103</f>
        <v>t CO2e</v>
      </c>
    </row>
    <row r="152" spans="4:11" ht="20.100000000000001" customHeight="1" x14ac:dyDescent="0.25"/>
    <row r="153" spans="4:11" ht="20.100000000000001" customHeight="1" x14ac:dyDescent="0.25"/>
    <row r="154" spans="4:11" ht="20.100000000000001" customHeight="1" x14ac:dyDescent="0.25">
      <c r="D154" s="145" t="s">
        <v>639</v>
      </c>
    </row>
    <row r="155" spans="4:11" ht="20.100000000000001" customHeight="1" x14ac:dyDescent="0.25">
      <c r="D155" s="146" t="s">
        <v>640</v>
      </c>
    </row>
    <row r="156" spans="4:11" ht="20.100000000000001" customHeight="1" x14ac:dyDescent="0.25">
      <c r="D156" s="92" t="s">
        <v>624</v>
      </c>
      <c r="E156" s="92" t="s">
        <v>625</v>
      </c>
      <c r="F156" s="92"/>
      <c r="G156" s="92" t="s">
        <v>633</v>
      </c>
      <c r="H156" s="147" t="s">
        <v>634</v>
      </c>
      <c r="I156" s="147" t="s">
        <v>628</v>
      </c>
      <c r="J156" s="147" t="s">
        <v>635</v>
      </c>
      <c r="K156" s="147" t="s">
        <v>636</v>
      </c>
    </row>
    <row r="157" spans="4:11" ht="20.100000000000001" customHeight="1" x14ac:dyDescent="0.25">
      <c r="D157" s="156" t="str" cm="1">
        <f t="array" ref="D157:D190">Table_SourceData_WasteSolid_WasteTreatmentEFs[Treatment type t]</f>
        <v>Landfill</v>
      </c>
      <c r="E157" s="164" t="str" cm="1">
        <f t="array" ref="E157:E190">Table_SourceData_WasteSolid_WasteTreatmentEFs[Waste type w]</f>
        <v>Food waste (including animal carcasses, spoiled animal feed or crop)</v>
      </c>
      <c r="F157" s="141"/>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6" t="str">
        <v>Landfill</v>
      </c>
      <c r="E158" s="164" t="str">
        <v>Paper and cardboard</v>
      </c>
      <c r="F158" s="141"/>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6" t="str">
        <v>Landfill</v>
      </c>
      <c r="E159" s="164" t="str">
        <v>Green waste (including crop residues or prunings)</v>
      </c>
      <c r="F159" s="141"/>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6" t="str">
        <v>Landfill</v>
      </c>
      <c r="E160" s="164" t="str">
        <v>Wood</v>
      </c>
      <c r="F160" s="141"/>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6" t="str">
        <v>Landfill</v>
      </c>
      <c r="E161" s="164" t="str">
        <v>Textiles</v>
      </c>
      <c r="F161" s="141"/>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6" t="str">
        <v>Landfill</v>
      </c>
      <c r="E162" s="164" t="str">
        <v>Sludge</v>
      </c>
      <c r="F162" s="141"/>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6" t="str">
        <v>Landfill</v>
      </c>
      <c r="E163" s="164" t="str">
        <v>Rubber and leather</v>
      </c>
      <c r="F163" s="141"/>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6" t="str">
        <v>Landfill</v>
      </c>
      <c r="E164" s="164" t="str">
        <v>Inert waste (including concrete, metal, plastic or glass)</v>
      </c>
      <c r="F164" s="141"/>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6" t="str">
        <v>Landfill</v>
      </c>
      <c r="E165" s="164" t="str">
        <v>Municipal solid waste</v>
      </c>
      <c r="F165" s="141"/>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6" t="str">
        <v>Landfill</v>
      </c>
      <c r="E166" s="164" t="str">
        <v>Commercial and industrial waste</v>
      </c>
      <c r="F166" s="141"/>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6" t="str">
        <v>Landfill</v>
      </c>
      <c r="E167" s="164" t="str">
        <v>Construction and demolition waste</v>
      </c>
      <c r="F167" s="141"/>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6" t="str">
        <v>Incineration</v>
      </c>
      <c r="E168" s="164" t="str">
        <v>Food waste, green waste, wood, sludge</v>
      </c>
      <c r="F168" s="141"/>
      <c r="G168" s="25" t="s">
        <v>342</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6" t="str">
        <v>Incineration</v>
      </c>
      <c r="E169" s="164" t="str">
        <v>Food waste (including animal carcasses, spoiled animal feed or crop)</v>
      </c>
      <c r="F169" s="141"/>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637</v>
      </c>
      <c r="J169" s="25" t="s">
        <v>342</v>
      </c>
      <c r="K169" s="25" t="s">
        <v>342</v>
      </c>
    </row>
    <row r="170" spans="4:11" ht="20.100000000000001" customHeight="1" x14ac:dyDescent="0.25">
      <c r="D170" s="156" t="str">
        <v>Incineration</v>
      </c>
      <c r="E170" s="164" t="str">
        <v>Green waste (including crop residues or prunings)</v>
      </c>
      <c r="F170" s="141"/>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637</v>
      </c>
      <c r="J170" s="25" t="s">
        <v>342</v>
      </c>
      <c r="K170" s="25" t="s">
        <v>342</v>
      </c>
    </row>
    <row r="171" spans="4:11" ht="20.100000000000001" customHeight="1" x14ac:dyDescent="0.25">
      <c r="D171" s="156" t="str">
        <v>Incineration</v>
      </c>
      <c r="E171" s="164" t="str">
        <v>Wood</v>
      </c>
      <c r="F171" s="141"/>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637</v>
      </c>
      <c r="J171" s="25" t="s">
        <v>342</v>
      </c>
      <c r="K171" s="25" t="s">
        <v>342</v>
      </c>
    </row>
    <row r="172" spans="4:11" ht="20.100000000000001" customHeight="1" x14ac:dyDescent="0.25">
      <c r="D172" s="156" t="str">
        <v>Incineration</v>
      </c>
      <c r="E172" s="164" t="str">
        <v>Sludge</v>
      </c>
      <c r="F172" s="141"/>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637</v>
      </c>
      <c r="J172" s="25" t="s">
        <v>342</v>
      </c>
      <c r="K172" s="25" t="s">
        <v>342</v>
      </c>
    </row>
    <row r="173" spans="4:11" ht="20.100000000000001" customHeight="1" x14ac:dyDescent="0.25">
      <c r="D173" s="156" t="str">
        <v>Incineration</v>
      </c>
      <c r="E173" s="164" t="str">
        <v>Paper and cardboard</v>
      </c>
      <c r="F173" s="141"/>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6" t="str">
        <v>Incineration</v>
      </c>
      <c r="E174" s="164" t="str">
        <v>Textiles</v>
      </c>
      <c r="F174" s="141"/>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6" t="str">
        <v>Incineration</v>
      </c>
      <c r="E175" s="164" t="str">
        <v>Rubber and leather</v>
      </c>
      <c r="F175" s="141"/>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6" t="str">
        <v>Incineration</v>
      </c>
      <c r="E176" s="164" t="str">
        <v>Inert waste (including concrete, metal, plastic or glass)</v>
      </c>
      <c r="F176" s="141"/>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6" t="str">
        <v>Incineration</v>
      </c>
      <c r="E177" s="164" t="str">
        <v>Municipal solid waste</v>
      </c>
      <c r="F177" s="166"/>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6" t="str">
        <v>Incineration</v>
      </c>
      <c r="E178" s="164" t="str">
        <v>Commercial and industrial waste</v>
      </c>
      <c r="F178" s="166"/>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6" t="str">
        <v>Composting</v>
      </c>
      <c r="E179" s="164" t="str">
        <v>All organic waste</v>
      </c>
      <c r="F179" s="166"/>
      <c r="G179" s="25" t="s">
        <v>342</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6" t="str">
        <v>Composting</v>
      </c>
      <c r="E180" s="164" t="str">
        <v>Food waste (including animal carcasses, spoiled animal feed or crop)</v>
      </c>
      <c r="F180" s="166"/>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637</v>
      </c>
      <c r="J180" s="25" t="s">
        <v>342</v>
      </c>
      <c r="K180" s="25" t="s">
        <v>342</v>
      </c>
    </row>
    <row r="181" spans="4:11" ht="20.100000000000001" customHeight="1" x14ac:dyDescent="0.25">
      <c r="D181" s="156" t="str">
        <v>Composting</v>
      </c>
      <c r="E181" s="164" t="str">
        <v>Green waste (including crop residues or prunings)</v>
      </c>
      <c r="F181" s="166"/>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637</v>
      </c>
      <c r="J181" s="25" t="s">
        <v>342</v>
      </c>
      <c r="K181" s="25" t="s">
        <v>342</v>
      </c>
    </row>
    <row r="182" spans="4:11" ht="20.100000000000001" customHeight="1" x14ac:dyDescent="0.25">
      <c r="D182" s="156" t="str">
        <v>Composting</v>
      </c>
      <c r="E182" s="164" t="str">
        <v>Wood</v>
      </c>
      <c r="F182" s="166"/>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637</v>
      </c>
      <c r="J182" s="25" t="s">
        <v>342</v>
      </c>
      <c r="K182" s="25" t="s">
        <v>342</v>
      </c>
    </row>
    <row r="183" spans="4:11" ht="20.100000000000001" customHeight="1" x14ac:dyDescent="0.25">
      <c r="D183" s="156" t="str">
        <v>Composting</v>
      </c>
      <c r="E183" s="164" t="str">
        <v>Sludge</v>
      </c>
      <c r="F183" s="166"/>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637</v>
      </c>
      <c r="J183" s="25" t="s">
        <v>342</v>
      </c>
      <c r="K183" s="25" t="s">
        <v>342</v>
      </c>
    </row>
    <row r="184" spans="4:11" ht="20.100000000000001" customHeight="1" x14ac:dyDescent="0.25">
      <c r="D184" s="156" t="str">
        <v>Composting</v>
      </c>
      <c r="E184" s="164" t="str">
        <v>Paper and cardboard</v>
      </c>
      <c r="F184" s="166"/>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637</v>
      </c>
      <c r="J184" s="25" t="s">
        <v>342</v>
      </c>
      <c r="K184" s="25" t="s">
        <v>342</v>
      </c>
    </row>
    <row r="185" spans="4:11" ht="20.100000000000001" customHeight="1" x14ac:dyDescent="0.25">
      <c r="D185" s="156" t="str">
        <v>Anaerobic digestion</v>
      </c>
      <c r="E185" s="164" t="str">
        <v>All organic waste</v>
      </c>
      <c r="F185" s="166"/>
      <c r="G185" s="25" t="s">
        <v>342</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6" t="str">
        <v>Anaerobic digestion</v>
      </c>
      <c r="E186" s="164" t="str">
        <v>Food waste (including animal carcasses, spoiled animal feed or crop)</v>
      </c>
      <c r="F186" s="166"/>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637</v>
      </c>
      <c r="J186" s="25" t="s">
        <v>342</v>
      </c>
      <c r="K186" s="25" t="s">
        <v>342</v>
      </c>
    </row>
    <row r="187" spans="4:11" ht="20.100000000000001" customHeight="1" x14ac:dyDescent="0.25">
      <c r="D187" s="156" t="str">
        <v>Anaerobic digestion</v>
      </c>
      <c r="E187" s="164" t="str">
        <v>Green waste (including crop residues or prunings)</v>
      </c>
      <c r="F187" s="166"/>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637</v>
      </c>
      <c r="J187" s="25" t="s">
        <v>342</v>
      </c>
      <c r="K187" s="25" t="s">
        <v>342</v>
      </c>
    </row>
    <row r="188" spans="4:11" ht="20.100000000000001" customHeight="1" x14ac:dyDescent="0.25">
      <c r="D188" s="156" t="str">
        <v>Anaerobic digestion</v>
      </c>
      <c r="E188" s="164" t="str">
        <v>Wood</v>
      </c>
      <c r="F188" s="166"/>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637</v>
      </c>
      <c r="J188" s="25" t="s">
        <v>342</v>
      </c>
      <c r="K188" s="25" t="s">
        <v>342</v>
      </c>
    </row>
    <row r="189" spans="4:11" ht="20.100000000000001" customHeight="1" x14ac:dyDescent="0.25">
      <c r="D189" s="156" t="str">
        <v>Anaerobic digestion</v>
      </c>
      <c r="E189" s="164" t="str">
        <v>Sludge</v>
      </c>
      <c r="F189" s="166"/>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637</v>
      </c>
      <c r="J189" s="25" t="s">
        <v>342</v>
      </c>
      <c r="K189" s="25" t="s">
        <v>342</v>
      </c>
    </row>
    <row r="190" spans="4:11" ht="20.100000000000001" customHeight="1" x14ac:dyDescent="0.25">
      <c r="D190" s="156" t="str">
        <v>Anaerobic digestion</v>
      </c>
      <c r="E190" s="164" t="str">
        <v>Paper and cardboard</v>
      </c>
      <c r="F190" s="166"/>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637</v>
      </c>
      <c r="J190" s="25" t="s">
        <v>342</v>
      </c>
      <c r="K190" s="25" t="s">
        <v>342</v>
      </c>
    </row>
    <row r="191" spans="4:11" ht="20.100000000000001" customHeight="1" x14ac:dyDescent="0.25"/>
    <row r="192" spans="4:11" ht="20.100000000000001" customHeight="1" x14ac:dyDescent="0.25">
      <c r="D192" s="151" t="s">
        <v>638</v>
      </c>
      <c r="E192" s="152">
        <f>SUM(K157:K190)</f>
        <v>441.15000000000003</v>
      </c>
      <c r="F192" s="153"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A76D8079-7826-4030-B7FF-B627EB6D5956}"/>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022C9-2340-4B20-8E3D-71066E91F9E7}">
  <sheetPr>
    <tabColor theme="2" tint="-0.499984740745262"/>
  </sheetPr>
  <dimension ref="A1:AI165"/>
  <sheetViews>
    <sheetView showGridLines="0" topLeftCell="A29"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641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642</v>
      </c>
      <c r="K15" s="1" t="s">
        <v>643</v>
      </c>
      <c r="M15" s="1" t="s">
        <v>644</v>
      </c>
      <c r="O15" s="1" t="s">
        <v>645</v>
      </c>
    </row>
    <row r="16" spans="1:35" ht="20.100000000000001" customHeight="1" x14ac:dyDescent="0.25">
      <c r="A16" s="5" t="str">
        <f>HYPERLINK("#'Input - Common farm inputs'!A1", "Common farm inputs")</f>
        <v>Common farm inputs</v>
      </c>
      <c r="D16" s="30" t="s">
        <v>646</v>
      </c>
      <c r="E16" s="30" t="s">
        <v>647</v>
      </c>
      <c r="F16" s="30" t="s">
        <v>648</v>
      </c>
      <c r="G16" s="30" t="s">
        <v>649</v>
      </c>
      <c r="I16" s="30" t="s">
        <v>647</v>
      </c>
      <c r="K16" s="227" t="s">
        <v>647</v>
      </c>
      <c r="M16" s="227" t="s">
        <v>647</v>
      </c>
      <c r="O16" s="227" t="s">
        <v>647</v>
      </c>
    </row>
    <row r="17" spans="1:15" ht="20.100000000000001" customHeight="1" x14ac:dyDescent="0.25">
      <c r="A17" s="5" t="str">
        <f>HYPERLINK("#'Input - Crop pasture farm input'!A1", "Crop pasture farm input")</f>
        <v>Crop pasture farm input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Manure sent off-site'!A1", "Manure sent off-site")</f>
        <v>Manure sent off-site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Solid waste'!A1", "Solid waste")</f>
        <v>Solid waste</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6" t="s">
        <v>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HYPERLINK("#'5.1.1.1-2 Inorganic fert N2O'!A1", "5.1.1.1-2 Inorganic fert N2O")</f>
        <v>5.1.1.1-2 Inorganic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HYPERLINK("#'5.1.1.3-4 Inorganic fert CO2'!A1", "5.1.1.3-4 Inorganic fert CO2")</f>
        <v>5.1.1.3-4 Inorganic fert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HYPERLINK("#'5.2.1.1-2 Organic Fert N2O'!A1", "5.2.1.1-2 Organic fert N2O")</f>
        <v>5.2.1.1-2 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HYPERLINK("#'5.3.1.1-2 Lime CO2'!A1", "5.3.1.1-2 Lime CO2")</f>
        <v>5.3.1.1-2 Lime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HYPERLINK("#'5.4.1.1-4 Atmos deposition'!A1", "5.4.1.1-4 Atmos. deposition")</f>
        <v>5.4.1.1-4 Atmos. deposition</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HYPERLINK("#'5.5.1.1-2 Leaching and runoff'!A1", "5.5.1.1-2 Leaching &amp; runoff")</f>
        <v>5.5.1.1-2 Leaching &amp; runoff</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HYPERLINK("#'6.1.1.1-2 Crop residue N2O'!A1", "6.1.1.1-2 Crop residue N2O")</f>
        <v>6.1.1.1-2 Crop residue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HYPERLINK("#'6.3.1.1-2 Leach runoff crop'!A1", "6.3.1.1-2 Leach &amp; runoff (crop)")</f>
        <v>6.3.1.1-2 Leach &amp; runoff (crop)</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HYPERLINK("#'6.4.1.1-2 Residue burning'!A1", "6.4.1.1-2 Residue burning")</f>
        <v>6.4.1.1-2 Residue burning</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HYPERLINK("#'8.1.1.1-2 Transport fuel'!A1", "8.1.1.1-2 Transport fuel")</f>
        <v>8.1.1.1-2 Transport fuel</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HYPERLINK("#'8.2.1.1-2 Stationary fuel'!A1", "8.2.1.1-2 Stationary fuel")</f>
        <v>8.2.1.1-2 Stationary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HYPERLINK("#'10.1.1-2 Solid waste treatment'!A1", "10.1.1-2 Solid waste treatment")</f>
        <v>10.1.1-2 Solid waste treatment</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94" t="s">
        <v>1</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Ag Residue'!A1", "Constants - Ag residue")</f>
        <v>Constants - Ag residue</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Common Livestock'!A1", "Constants - Common Livestock")</f>
        <v>Constants - Common Livestock</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Electricity'!A1", "Constants - Electricity")</f>
        <v>Constants - Electricity</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Fertiliser'!A1", "Constants - Fertiliser")</f>
        <v>Constants - Fertiliser</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Fuel'!A1", "Constants - Fuel")</f>
        <v>Constants - Fuel</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Scope 3'!A1", "Constants - Scope 3")</f>
        <v>Constants - Scope 3</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Common'!A1", "Constants - Common")</f>
        <v>Constants - Common</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95" t="str">
        <f>HYPERLINK("#'Constants - Solid Waste'!A1", "Constants - Solid Waste")</f>
        <v>Constants - Solid Waste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2" t="str" cm="1">
        <f t="array" ref="D52">WasteSolid_SourceData.Waste_WasteVolumeToMassConversion_Title()</f>
        <v>Volume to mass conversion factor for various waste types</v>
      </c>
    </row>
    <row r="53" spans="1:7" ht="20.100000000000001" customHeight="1" x14ac:dyDescent="0.25">
      <c r="D53" s="27" t="str" cm="1">
        <f t="array" ref="D53">WasteSolid_SourceData.Waste_WasteVolumeToMassConversion_Source()</f>
        <v>VEERG 2026: Table A.4.1.2</v>
      </c>
    </row>
    <row r="54" spans="1:7" ht="20.100000000000001" customHeight="1" x14ac:dyDescent="0.25">
      <c r="D54" s="36"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15" t="str" cm="1">
        <f t="array" ref="D56">WasteSolid_SourceData.Waste_WasteVolumeToMassConversion_Unit()</f>
        <v>t/m3</v>
      </c>
    </row>
    <row r="57" spans="1:7" ht="20.100000000000001" customHeight="1" x14ac:dyDescent="0.25">
      <c r="D57" s="30" t="s">
        <v>647</v>
      </c>
      <c r="E57" s="30" t="s">
        <v>650</v>
      </c>
    </row>
    <row r="58" spans="1: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20697-B091-4C45-8BC9-8397D5B7438D}">
  <dimension ref="A1:AV50"/>
  <sheetViews>
    <sheetView showGridLines="0" zoomScaleNormal="100" workbookViewId="0">
      <selection activeCell="A50" sqref="A50"/>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5" t="s">
        <v>977</v>
      </c>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c r="AG1" s="256"/>
      <c r="AH1" s="256"/>
      <c r="AI1" s="256"/>
      <c r="AJ1" s="256"/>
      <c r="AK1" s="256"/>
      <c r="AL1" s="256"/>
      <c r="AM1" s="256"/>
      <c r="AN1" s="256"/>
      <c r="AO1" s="256"/>
    </row>
    <row r="2" spans="1:42" ht="20.100000000000001" customHeight="1" x14ac:dyDescent="0.25">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c r="AG2" s="256"/>
      <c r="AH2" s="256"/>
      <c r="AI2" s="256"/>
      <c r="AJ2" s="256"/>
      <c r="AK2" s="256"/>
      <c r="AL2" s="256"/>
      <c r="AM2" s="256"/>
      <c r="AN2" s="256"/>
      <c r="AO2" s="256"/>
      <c r="AP2" s="257"/>
    </row>
    <row r="3" spans="1:42" ht="20.100000000000001" customHeight="1" x14ac:dyDescent="0.25">
      <c r="A3" s="5" t="str">
        <f>HYPERLINK("#'Home'!A1", "Home")</f>
        <v>Home</v>
      </c>
      <c r="C3" s="258"/>
      <c r="D3" s="258"/>
      <c r="E3" s="258"/>
      <c r="F3" s="258"/>
      <c r="G3" s="258"/>
      <c r="H3" s="258"/>
      <c r="I3" s="258"/>
      <c r="J3" s="258"/>
      <c r="K3" s="258"/>
      <c r="L3" s="258"/>
      <c r="M3" s="258"/>
      <c r="N3" s="258"/>
      <c r="O3" s="258"/>
      <c r="P3" s="258"/>
      <c r="Q3" s="258"/>
      <c r="R3" s="258"/>
      <c r="S3" s="258"/>
      <c r="T3" s="258"/>
      <c r="U3" s="258"/>
      <c r="V3" s="258"/>
      <c r="W3" s="258"/>
      <c r="X3" s="258"/>
      <c r="Y3" s="258"/>
      <c r="Z3" s="258"/>
      <c r="AA3" s="258"/>
      <c r="AB3" s="258"/>
      <c r="AC3" s="258"/>
      <c r="AD3" s="258"/>
      <c r="AE3" s="258"/>
      <c r="AF3" s="258"/>
      <c r="AG3" s="258"/>
      <c r="AH3" s="258"/>
      <c r="AI3" s="258"/>
      <c r="AJ3" s="258"/>
      <c r="AK3" s="258"/>
      <c r="AL3" s="258"/>
      <c r="AM3" s="258"/>
      <c r="AN3" s="258"/>
      <c r="AO3" s="258"/>
    </row>
    <row r="4" spans="1:42" ht="20.100000000000001" customHeight="1" x14ac:dyDescent="0.25">
      <c r="A4" s="259" t="str">
        <f>HYPERLINK("#'Overview'!A1", "Overview")</f>
        <v>Overview</v>
      </c>
    </row>
    <row r="5" spans="1:42" ht="20.100000000000001" customHeight="1" x14ac:dyDescent="0.25">
      <c r="A5" s="5" t="str">
        <f>HYPERLINK("#'Results'!A1", "Results")</f>
        <v>Results</v>
      </c>
      <c r="D5" s="96" t="s">
        <v>978</v>
      </c>
      <c r="E5" s="54"/>
      <c r="F5" s="54"/>
      <c r="G5" s="54"/>
      <c r="H5" s="54"/>
      <c r="I5" s="54"/>
      <c r="J5" s="54"/>
      <c r="K5" s="54"/>
      <c r="L5" s="54"/>
      <c r="M5" s="54"/>
      <c r="N5" s="54"/>
      <c r="O5" s="55"/>
    </row>
    <row r="6" spans="1:42" ht="20.100000000000001" customHeight="1" x14ac:dyDescent="0.25">
      <c r="D6" s="260" t="s">
        <v>979</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Common farm inputs'!A1", "Common farm inputs")</f>
        <v>Common farm inputs</v>
      </c>
    </row>
    <row r="17" spans="1:1" ht="20.100000000000001" customHeight="1" x14ac:dyDescent="0.25">
      <c r="A17" s="5" t="str">
        <f>HYPERLINK("#'Input - Crop pasture farm input'!A1", "Crop pasture farm input")</f>
        <v>Crop pasture farm input</v>
      </c>
    </row>
    <row r="18" spans="1:1" ht="20.100000000000001" customHeight="1" x14ac:dyDescent="0.25">
      <c r="A18" s="5" t="str">
        <f>HYPERLINK("#'Input - Freight'!A1", "Freight")</f>
        <v>Freight</v>
      </c>
    </row>
    <row r="19" spans="1:1" ht="20.100000000000001" customHeight="1" x14ac:dyDescent="0.25">
      <c r="A19" s="5" t="str">
        <f>HYPERLINK("#'Input - Manure sent off-site'!A1", "Manure sent off-site")</f>
        <v>Manure sent off-site</v>
      </c>
    </row>
    <row r="20" spans="1:1" ht="20.100000000000001" customHeight="1" x14ac:dyDescent="0.25">
      <c r="A20" s="5" t="str">
        <f>HYPERLINK("#'Input - Solid waste'!A1", "Solid waste")</f>
        <v>Solid waste</v>
      </c>
    </row>
    <row r="21" spans="1:1" ht="20.100000000000001" customHeight="1" x14ac:dyDescent="0.25">
      <c r="A21" s="5" t="str">
        <f>HYPERLINK("#'Input - Data quality'!A1", "Data quality")</f>
        <v>Data quality</v>
      </c>
    </row>
    <row r="22" spans="1:1" ht="20.100000000000001" customHeight="1" x14ac:dyDescent="0.25"/>
    <row r="23" spans="1:1" ht="20.100000000000001" customHeight="1" x14ac:dyDescent="0.25"/>
    <row r="24" spans="1:1" ht="20.100000000000001" customHeight="1" x14ac:dyDescent="0.25">
      <c r="A24" s="6" t="s">
        <v>2</v>
      </c>
    </row>
    <row r="25" spans="1:1" ht="20.100000000000001" customHeight="1" x14ac:dyDescent="0.25">
      <c r="A25" s="5" t="str">
        <f>HYPERLINK("#'5.1.1.1-2 Inorganic fert N2O'!A1", "5.1.1.1-2 Inorganic fert N2O")</f>
        <v>5.1.1.1-2 Inorganic fert N2O</v>
      </c>
    </row>
    <row r="26" spans="1:1" ht="20.100000000000001" customHeight="1" x14ac:dyDescent="0.25">
      <c r="A26" s="5" t="str">
        <f>HYPERLINK("#'5.1.1.3-4 Inorganic fert CO2'!A1", "5.1.1.3-4 Inorganic fert CO2")</f>
        <v>5.1.1.3-4 Inorganic fert CO2</v>
      </c>
    </row>
    <row r="27" spans="1:1" ht="20.100000000000001" customHeight="1" x14ac:dyDescent="0.25">
      <c r="A27" s="5" t="str">
        <f>HYPERLINK("#'5.2.1.1-2 Organic Fert N2O'!A1", "5.2.1.1-2 Organic fert N2O")</f>
        <v>5.2.1.1-2 Organic fert N2O</v>
      </c>
    </row>
    <row r="28" spans="1:1" ht="20.100000000000001" customHeight="1" x14ac:dyDescent="0.25">
      <c r="A28" s="5" t="str">
        <f>HYPERLINK("#'5.3.1.1-2 Lime CO2'!A1", "5.3.1.1-2 Lime CO2")</f>
        <v>5.3.1.1-2 Lime CO2</v>
      </c>
    </row>
    <row r="29" spans="1:1" ht="20.100000000000001" customHeight="1" x14ac:dyDescent="0.25">
      <c r="A29" s="5" t="str">
        <f>HYPERLINK("#'5.4.1.1-4 Atmos deposition'!A1", "5.4.1.1-4 Atmos. deposition")</f>
        <v>5.4.1.1-4 Atmos. deposition</v>
      </c>
    </row>
    <row r="30" spans="1:1" ht="20.100000000000001" customHeight="1" x14ac:dyDescent="0.25">
      <c r="A30" s="5" t="str">
        <f>HYPERLINK("#'5.5.1.1-2 Leaching and runoff'!A1", "5.5.1.1-2 Leaching &amp; runoff")</f>
        <v>5.5.1.1-2 Leaching &amp; runoff</v>
      </c>
    </row>
    <row r="31" spans="1:1" ht="20.100000000000001" customHeight="1" x14ac:dyDescent="0.25">
      <c r="A31" s="5" t="str">
        <f>HYPERLINK("#'6.1.1.1-2 Crop residue N2O'!A1", "6.1.1.1-2 Crop residue N2O")</f>
        <v>6.1.1.1-2 Crop residue N2O</v>
      </c>
    </row>
    <row r="32" spans="1:1" ht="20.100000000000001" customHeight="1" x14ac:dyDescent="0.25">
      <c r="A32" s="5" t="str">
        <f>HYPERLINK("#'6.3.1.1-2 Leach runoff crop'!A1", "6.3.1.1-2 Leach &amp; runoff (crop)")</f>
        <v>6.3.1.1-2 Leach &amp; runoff (crop)</v>
      </c>
    </row>
    <row r="33" spans="1:48" ht="20.100000000000001" customHeight="1" x14ac:dyDescent="0.25">
      <c r="A33" s="5" t="str">
        <f>HYPERLINK("#'6.4.1.1-2 Residue burning'!A1", "6.4.1.1-2 Residue burning")</f>
        <v>6.4.1.1-2 Residue burning</v>
      </c>
    </row>
    <row r="34" spans="1:48" ht="20.100000000000001" customHeight="1" x14ac:dyDescent="0.25">
      <c r="A34" s="5" t="str">
        <f>HYPERLINK("#'8.1.1.1-2 Transport fuel'!A1", "8.1.1.1-2 Transport fuel")</f>
        <v>8.1.1.1-2 Transport fuel</v>
      </c>
    </row>
    <row r="35" spans="1:48" ht="20.100000000000001" customHeight="1" x14ac:dyDescent="0.25">
      <c r="A35" s="5" t="str">
        <f>HYPERLINK("#'8.2.1.1-2 Stationary fuel'!A1", "8.2.1.1-2 Stationary fuel")</f>
        <v>8.2.1.1-2 Stationary fuel</v>
      </c>
    </row>
    <row r="36" spans="1:48" ht="20.100000000000001" customHeight="1" x14ac:dyDescent="0.25">
      <c r="A36" s="5" t="str">
        <f>HYPERLINK("#'14.1.1-2 Purchased electricity'!A1", "14.1.1-2 Purchased electricity")</f>
        <v>14.1.1-2 Purchased electricity</v>
      </c>
    </row>
    <row r="37" spans="1:48" ht="20.100000000000001" customHeight="1" x14ac:dyDescent="0.25">
      <c r="A37" s="5" t="str">
        <f>HYPERLINK("#'15 Scope 3'!A1", "15 Scope 3")</f>
        <v>15 Scope 3</v>
      </c>
      <c r="L37" s="1" t="s">
        <v>980</v>
      </c>
    </row>
    <row r="38" spans="1:48" ht="20.100000000000001" customHeight="1" x14ac:dyDescent="0.25">
      <c r="A38" s="5" t="str">
        <f>HYPERLINK("#'Calcs - Manure sent off-site'!A1", "Calcs - Manure sent off-site")</f>
        <v>Calcs - Manure sent off-site</v>
      </c>
    </row>
    <row r="39" spans="1:48" ht="20.100000000000001" customHeight="1" x14ac:dyDescent="0.25">
      <c r="A39" s="5" t="str">
        <f>HYPERLINK("#'10.1.1-2 Solid waste treatment'!A1", "10.1.1-2 Solid waste treatment")</f>
        <v>10.1.1-2 Solid waste treatment</v>
      </c>
    </row>
    <row r="40" spans="1:48" ht="20.100000000000001" customHeight="1" x14ac:dyDescent="0.25"/>
    <row r="41" spans="1:48" ht="20.100000000000001" customHeight="1" x14ac:dyDescent="0.25"/>
    <row r="42" spans="1:48" ht="20.100000000000001" customHeight="1" x14ac:dyDescent="0.25">
      <c r="A42" s="94" t="s">
        <v>1</v>
      </c>
    </row>
    <row r="43" spans="1:48" x14ac:dyDescent="0.25">
      <c r="A43" s="5" t="str">
        <f>HYPERLINK("#'Constants - Ag Residue'!A1", "Constants - Ag residue")</f>
        <v>Constants - Ag residue</v>
      </c>
    </row>
    <row r="44" spans="1:48" x14ac:dyDescent="0.25">
      <c r="A44" s="5" t="str">
        <f>HYPERLINK("#'Constants - Common Livestock'!A1", "Constants - Common Livestock")</f>
        <v>Constants - Common Livestock</v>
      </c>
    </row>
    <row r="45" spans="1:48" x14ac:dyDescent="0.25">
      <c r="A45" s="5" t="str">
        <f>HYPERLINK("#'Constants - Electricity'!A1", "Constants - Electricity")</f>
        <v>Constants - Electricity</v>
      </c>
      <c r="AV45" t="s">
        <v>981</v>
      </c>
    </row>
    <row r="46" spans="1:48" x14ac:dyDescent="0.25">
      <c r="A46" s="5" t="str">
        <f>HYPERLINK("#'Constants - Fertiliser'!A1", "Constants - Fertiliser")</f>
        <v>Constants - Fertiliser</v>
      </c>
    </row>
    <row r="47" spans="1:48" x14ac:dyDescent="0.25">
      <c r="A47" s="5" t="str">
        <f>HYPERLINK("#'Constants - Fuel'!A1", "Constants - Fuel")</f>
        <v>Constants - Fuel</v>
      </c>
    </row>
    <row r="48" spans="1:48"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0"/>
  <sheetViews>
    <sheetView showGridLines="0" zoomScaleNormal="100" workbookViewId="0">
      <selection activeCell="A37" sqref="A37"/>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188</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row>
    <row r="6" spans="1:13" x14ac:dyDescent="0.25">
      <c r="D6" s="92" t="s">
        <v>189</v>
      </c>
      <c r="E6" s="92" t="s">
        <v>190</v>
      </c>
      <c r="F6" s="92" t="s">
        <v>191</v>
      </c>
      <c r="G6" s="92" t="s">
        <v>192</v>
      </c>
      <c r="H6" s="92" t="s">
        <v>193</v>
      </c>
      <c r="I6" s="92" t="s">
        <v>194</v>
      </c>
      <c r="J6" s="92" t="s">
        <v>195</v>
      </c>
    </row>
    <row r="7" spans="1:13" x14ac:dyDescent="0.25">
      <c r="D7" s="93" t="s">
        <v>196</v>
      </c>
      <c r="E7" s="23" t="s">
        <v>197</v>
      </c>
      <c r="F7" s="23" t="s">
        <v>198</v>
      </c>
      <c r="G7" s="23" t="s">
        <v>199</v>
      </c>
      <c r="H7" s="93"/>
      <c r="I7" s="93"/>
      <c r="J7" s="25">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Crop'!A1", "Crop")</f>
        <v>Crop</v>
      </c>
    </row>
    <row r="12" spans="1:13" x14ac:dyDescent="0.25">
      <c r="A12" s="5" t="str">
        <f>HYPERLINK("#'Input - Fert Prod System'!A1", "Fert Prod System")</f>
        <v>Fert Prod System</v>
      </c>
    </row>
    <row r="13" spans="1:13" x14ac:dyDescent="0.25">
      <c r="A13" s="5" t="str">
        <f>HYPERLINK("#'Input - Fertiliser'!A1", "Fertiliser")</f>
        <v>Fertiliser</v>
      </c>
    </row>
    <row r="14" spans="1:13" x14ac:dyDescent="0.25">
      <c r="A14" s="5" t="str">
        <f>HYPERLINK("#'Input - Fuel'!A1", "Fuel")</f>
        <v>Fuel</v>
      </c>
    </row>
    <row r="15" spans="1:13" x14ac:dyDescent="0.25">
      <c r="A15" s="5" t="str">
        <f>HYPERLINK("#'Input - Electricity'!A1", "Electricity")</f>
        <v>Electricity</v>
      </c>
    </row>
    <row r="16" spans="1:13"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5" t="str">
        <f>HYPERLINK("#'Input - Manure sent off-site'!A1", "Manure sent off-site")</f>
        <v>Manure sent off-site</v>
      </c>
    </row>
    <row r="20" spans="1:1" x14ac:dyDescent="0.25">
      <c r="A20" s="5" t="str">
        <f>HYPERLINK("#'Input - Solid waste'!A1", "Solid waste")</f>
        <v>Solid waste</v>
      </c>
    </row>
    <row r="21" spans="1:1" x14ac:dyDescent="0.25">
      <c r="A21" s="101" t="str">
        <f>HYPERLINK("#'Input - Data quality'!A1", "Data quality")</f>
        <v>Data quality</v>
      </c>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2" spans="1:1" x14ac:dyDescent="0.25">
      <c r="A42" s="94"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190</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2026-08-11T01:37:14Z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