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22397DCA-66A8-48D6-90D6-7D2D03EB112C}" xr6:coauthVersionLast="47" xr6:coauthVersionMax="47" xr10:uidLastSave="{00000000-0000-0000-0000-000000000000}"/>
  <bookViews>
    <workbookView xWindow="1350" yWindow="585" windowWidth="36255" windowHeight="19140" activeTab="4" xr2:uid="{992023F3-CAB7-4E5B-A348-08D563A0EF40}"/>
  </bookViews>
  <sheets>
    <sheet name="Home" sheetId="71" r:id="rId1"/>
    <sheet name="Results" sheetId="13" r:id="rId2"/>
    <sheet name="Input - Site" sheetId="75" r:id="rId3"/>
    <sheet name="Input - Enterprise" sheetId="72" r:id="rId4"/>
    <sheet name="Input - Fert Prod System" sheetId="76" r:id="rId5"/>
    <sheet name="Constants - Common" sheetId="74" r:id="rId6"/>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I_j_k_l">#REF!</definedName>
    <definedName name="M1_Table_MA_j_k45">#REF!</definedName>
    <definedName name="M1_Table_VS_j_k_l">#REF!</definedName>
    <definedName name="M2_Table_I_j_k_l">#REF!</definedName>
    <definedName name="Result_CarbonRemovalsFromPlantings">Results!$E$50</definedName>
    <definedName name="Result_EmissionsForWholeProductionCycle_Method1">Results!$E$39</definedName>
    <definedName name="Result_EmissionsForWholeProductionCycle_Method2">Results!$F$39</definedName>
    <definedName name="Result_Enterprise_Method1">Results!$H$25</definedName>
    <definedName name="Result_Enterprise_Method2">Results!$I$25</definedName>
    <definedName name="Result_NetEmissions_Method1">Results!$E$56</definedName>
    <definedName name="Result_NetEmissions_Method2">Results!$F$56</definedName>
    <definedName name="X_Cell_Enterprise_PercentIncomeFromBaledHaySilage">'Input - Enterprise'!$E$33</definedName>
    <definedName name="X_Cell_Enterprise_PercentIncomeFromGrain">'Input - Enterprise'!$E$32</definedName>
    <definedName name="X_Cell_Enterprise_ProductionTimeframeEnd">'Input - Enterprise'!$E$19</definedName>
    <definedName name="X_Cell_Enterprise_ProductionTimeframeStart">'Input - Enterprise'!$E$18</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Site_AverageTemperature">'Input - Site'!$E$14</definedName>
    <definedName name="X_Cell_Site_ClimateZone">'Input - Site'!$E$20</definedName>
    <definedName name="X_Cell_Site_Elevation">'Input - Site'!$E$13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Table_Result_ActivityPeriodEmissions_RowsToCols">Results!$D$33:$F$38</definedName>
    <definedName name="X_Table_Result_CarbonRemovalsFromPlantings_RowsToCols">Results!$D$44:$E$49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76" l="1" a="1"/>
  <c r="E8" i="76" s="1"/>
  <c r="E10" i="76" a="1"/>
  <c r="E10" i="76" s="1"/>
  <c r="E9" i="76" a="1"/>
  <c r="E9" i="76" s="1"/>
  <c r="E49" i="13" l="1"/>
  <c r="E48" i="13"/>
  <c r="E47" i="13"/>
  <c r="F13" i="13" a="1"/>
  <c r="F13" i="13" s="1"/>
  <c r="E13" i="13" a="1"/>
  <c r="E13" i="13" s="1"/>
  <c r="H15" i="13" a="1"/>
  <c r="H15" i="13" s="1"/>
  <c r="E15" i="13" a="1"/>
  <c r="E15" i="13" s="1"/>
  <c r="F15" i="13" s="1"/>
  <c r="I15" i="13" s="1" a="1"/>
  <c r="I15" i="13" s="1"/>
  <c r="E16" i="13" a="1"/>
  <c r="E16" i="13" s="1"/>
  <c r="H16" i="13" s="1" a="1"/>
  <c r="H16" i="13" s="1"/>
  <c r="F14" i="13" a="1"/>
  <c r="F14" i="13"/>
  <c r="E14" i="13" a="1"/>
  <c r="E14" i="13" s="1"/>
  <c r="F16" i="13" l="1"/>
  <c r="I16" i="13" s="1" a="1"/>
  <c r="I16" i="13" s="1"/>
  <c r="G73" i="13" l="1"/>
  <c r="G74" i="13" s="1"/>
  <c r="G70" i="13"/>
  <c r="G71" i="13" s="1"/>
  <c r="F75" i="13" l="1"/>
  <c r="F73" i="13"/>
  <c r="F74" i="13" s="1"/>
  <c r="F64" i="13"/>
  <c r="F65" i="13" s="1"/>
  <c r="F72" i="13"/>
  <c r="F63" i="13"/>
  <c r="F70" i="13"/>
  <c r="F71" i="13" s="1"/>
  <c r="F61" i="13"/>
  <c r="F62" i="13" s="1"/>
  <c r="F66" i="13"/>
  <c r="E30" i="72"/>
  <c r="E25" i="72"/>
  <c r="E27" i="72" l="1" a="1"/>
  <c r="E27" i="72" s="1"/>
  <c r="E22" i="72" a="1"/>
  <c r="E22" i="72" s="1"/>
  <c r="E24" i="13" l="1" a="1"/>
  <c r="E24" i="13" s="1"/>
  <c r="E23" i="13" a="1"/>
  <c r="E23" i="13" s="1"/>
  <c r="H23" i="13" s="1"/>
  <c r="E22" i="13" a="1"/>
  <c r="E22" i="13" s="1"/>
  <c r="H22" i="13" s="1" a="1"/>
  <c r="H22" i="13" s="1"/>
  <c r="E21" i="13" a="1"/>
  <c r="E21" i="13" s="1"/>
  <c r="F21" i="13" s="1"/>
  <c r="I21" i="13" s="1" a="1"/>
  <c r="I21" i="13" s="1"/>
  <c r="E20" i="13" a="1"/>
  <c r="E20" i="13" s="1"/>
  <c r="H20" i="13" s="1"/>
  <c r="E19" i="13" a="1"/>
  <c r="E19" i="13" s="1"/>
  <c r="F19" i="13" s="1"/>
  <c r="I19" i="13" s="1" a="1"/>
  <c r="I19" i="13" s="1"/>
  <c r="E18" i="13" a="1"/>
  <c r="E18" i="13" s="1"/>
  <c r="H18" i="13" s="1" a="1"/>
  <c r="H18" i="13" s="1"/>
  <c r="E17" i="13" a="1"/>
  <c r="E17" i="13" s="1"/>
  <c r="H17" i="13" s="1"/>
  <c r="I14" i="13" a="1"/>
  <c r="I14" i="13" s="1"/>
  <c r="H14" i="13" a="1"/>
  <c r="H14" i="13" s="1"/>
  <c r="I13" i="13" a="1"/>
  <c r="I13" i="13" s="1"/>
  <c r="H13" i="13" a="1"/>
  <c r="H13" i="13" s="1"/>
  <c r="E12" i="13" a="1"/>
  <c r="E12" i="13" s="1"/>
  <c r="H12" i="13" s="1" a="1"/>
  <c r="H12" i="13" s="1"/>
  <c r="E11" i="13" a="1"/>
  <c r="E11" i="13" s="1"/>
  <c r="E10" i="13" a="1"/>
  <c r="E10" i="13" s="1"/>
  <c r="E9" i="13" a="1"/>
  <c r="E9" i="13" s="1"/>
  <c r="H9" i="13" s="1" a="1"/>
  <c r="H9" i="13" s="1"/>
  <c r="E8" i="13" a="1"/>
  <c r="E8" i="13" s="1"/>
  <c r="F8" i="13" s="1"/>
  <c r="I8" i="13" s="1"/>
  <c r="F7" i="13" a="1"/>
  <c r="F7" i="13" s="1"/>
  <c r="I7" i="13" s="1" a="1"/>
  <c r="I7" i="13" s="1"/>
  <c r="I25" i="13" s="1"/>
  <c r="E7" i="13" a="1"/>
  <c r="E7" i="13" s="1"/>
  <c r="H7" i="13" s="1" a="1"/>
  <c r="H7" i="13" s="1"/>
  <c r="H25" i="13" s="1"/>
  <c r="F38" i="13"/>
  <c r="F37" i="13"/>
  <c r="E38" i="13"/>
  <c r="E37" i="13"/>
  <c r="D34" i="13" a="1"/>
  <c r="D45" i="13" a="1"/>
  <c r="D30" i="13" a="1"/>
  <c r="D30" i="13" s="1"/>
  <c r="E13" i="72"/>
  <c r="D4" i="13" s="1"/>
  <c r="E18" i="75"/>
  <c r="A20" i="75"/>
  <c r="A19" i="75"/>
  <c r="A18" i="75"/>
  <c r="A17" i="75"/>
  <c r="A14" i="75"/>
  <c r="A13" i="75"/>
  <c r="A12" i="75"/>
  <c r="A11" i="75"/>
  <c r="A8" i="75"/>
  <c r="A7" i="75"/>
  <c r="A4" i="75"/>
  <c r="A3" i="75"/>
  <c r="E259" i="74" a="1"/>
  <c r="E259" i="74" s="1"/>
  <c r="D259" i="74" a="1"/>
  <c r="D259" i="74" s="1"/>
  <c r="E258" i="74" a="1"/>
  <c r="E258" i="74" s="1"/>
  <c r="D258" i="74" a="1"/>
  <c r="D258" i="74" s="1"/>
  <c r="D256" i="74" a="1"/>
  <c r="D256" i="74" s="1"/>
  <c r="D255" i="74" a="1"/>
  <c r="D255" i="74" s="1"/>
  <c r="D254" i="74" a="1"/>
  <c r="D254" i="74" s="1"/>
  <c r="D253" i="74" a="1"/>
  <c r="D253" i="74" s="1"/>
  <c r="S250" i="74" a="1"/>
  <c r="S250" i="74" s="1"/>
  <c r="R250" i="74" a="1"/>
  <c r="R250" i="74" s="1"/>
  <c r="Q250" i="74" a="1"/>
  <c r="Q250" i="74" s="1"/>
  <c r="P250" i="74" a="1"/>
  <c r="P250" i="74" s="1"/>
  <c r="O250" i="74" a="1"/>
  <c r="O250" i="74" s="1"/>
  <c r="N250" i="74" a="1"/>
  <c r="N250" i="74" s="1"/>
  <c r="M250" i="74" a="1"/>
  <c r="M250" i="74" s="1"/>
  <c r="L250" i="74" a="1"/>
  <c r="L250" i="74" s="1"/>
  <c r="K250" i="74" a="1"/>
  <c r="K250" i="74" s="1"/>
  <c r="J250" i="74" a="1"/>
  <c r="J250" i="74" s="1"/>
  <c r="I250" i="74" a="1"/>
  <c r="I250" i="74" s="1"/>
  <c r="H250" i="74" a="1"/>
  <c r="H250" i="74" s="1"/>
  <c r="G250" i="74" a="1"/>
  <c r="G250" i="74" s="1"/>
  <c r="F250" i="74" a="1"/>
  <c r="F250" i="74" s="1"/>
  <c r="E250" i="74" a="1"/>
  <c r="E250" i="74" s="1"/>
  <c r="D250" i="74" a="1"/>
  <c r="D250" i="74" s="1"/>
  <c r="S249" i="74" a="1"/>
  <c r="S249" i="74" s="1"/>
  <c r="R249" i="74" a="1"/>
  <c r="R249" i="74" s="1"/>
  <c r="Q249" i="74" a="1"/>
  <c r="Q249" i="74" s="1"/>
  <c r="P249" i="74" a="1"/>
  <c r="P249" i="74" s="1"/>
  <c r="O249" i="74" a="1"/>
  <c r="O249" i="74" s="1"/>
  <c r="N249" i="74" a="1"/>
  <c r="N249" i="74" s="1"/>
  <c r="M249" i="74" a="1"/>
  <c r="M249" i="74" s="1"/>
  <c r="L249" i="74" a="1"/>
  <c r="L249" i="74" s="1"/>
  <c r="K249" i="74" a="1"/>
  <c r="K249" i="74" s="1"/>
  <c r="J249" i="74" a="1"/>
  <c r="J249" i="74" s="1"/>
  <c r="I249" i="74" a="1"/>
  <c r="I249" i="74" s="1"/>
  <c r="H249" i="74" a="1"/>
  <c r="H249" i="74" s="1"/>
  <c r="G249" i="74" a="1"/>
  <c r="G249" i="74" s="1"/>
  <c r="F249" i="74" a="1"/>
  <c r="F249" i="74" s="1"/>
  <c r="E249" i="74" a="1"/>
  <c r="E249" i="74" s="1"/>
  <c r="D249" i="74" a="1"/>
  <c r="D249" i="74" s="1"/>
  <c r="S248" i="74" a="1"/>
  <c r="S248" i="74" s="1"/>
  <c r="R248" i="74" a="1"/>
  <c r="R248" i="74" s="1"/>
  <c r="Q248" i="74" a="1"/>
  <c r="Q248" i="74" s="1"/>
  <c r="P248" i="74" a="1"/>
  <c r="P248" i="74" s="1"/>
  <c r="O248" i="74" a="1"/>
  <c r="O248" i="74" s="1"/>
  <c r="N248" i="74" a="1"/>
  <c r="N248" i="74" s="1"/>
  <c r="M248" i="74" a="1"/>
  <c r="M248" i="74" s="1"/>
  <c r="L248" i="74" a="1"/>
  <c r="L248" i="74" s="1"/>
  <c r="K248" i="74" a="1"/>
  <c r="K248" i="74" s="1"/>
  <c r="J248" i="74" a="1"/>
  <c r="J248" i="74" s="1"/>
  <c r="I248" i="74" a="1"/>
  <c r="I248" i="74" s="1"/>
  <c r="H248" i="74" a="1"/>
  <c r="H248" i="74" s="1"/>
  <c r="G248" i="74" a="1"/>
  <c r="G248" i="74" s="1"/>
  <c r="F248" i="74" a="1"/>
  <c r="F248" i="74" s="1"/>
  <c r="E248" i="74" a="1"/>
  <c r="E248" i="74" s="1"/>
  <c r="D248" i="74" a="1"/>
  <c r="D248" i="74" s="1"/>
  <c r="S247" i="74" a="1"/>
  <c r="S247" i="74" s="1"/>
  <c r="R247" i="74" a="1"/>
  <c r="R247" i="74" s="1"/>
  <c r="Q247" i="74" a="1"/>
  <c r="Q247" i="74" s="1"/>
  <c r="P247" i="74" a="1"/>
  <c r="P247" i="74" s="1"/>
  <c r="O247" i="74" a="1"/>
  <c r="O247" i="74" s="1"/>
  <c r="N247" i="74" a="1"/>
  <c r="N247" i="74" s="1"/>
  <c r="M247" i="74" a="1"/>
  <c r="M247" i="74" s="1"/>
  <c r="L247" i="74" a="1"/>
  <c r="L247" i="74" s="1"/>
  <c r="K247" i="74" a="1"/>
  <c r="K247" i="74" s="1"/>
  <c r="J247" i="74" a="1"/>
  <c r="J247" i="74" s="1"/>
  <c r="I247" i="74" a="1"/>
  <c r="I247" i="74" s="1"/>
  <c r="H247" i="74" a="1"/>
  <c r="H247" i="74" s="1"/>
  <c r="G247" i="74" a="1"/>
  <c r="G247" i="74" s="1"/>
  <c r="F247" i="74" a="1"/>
  <c r="F247" i="74" s="1"/>
  <c r="E247" i="74" a="1"/>
  <c r="E247" i="74" s="1"/>
  <c r="D247" i="74" a="1"/>
  <c r="D247" i="74" s="1"/>
  <c r="S246" i="74" a="1"/>
  <c r="S246" i="74" s="1"/>
  <c r="R246" i="74" a="1"/>
  <c r="R246" i="74" s="1"/>
  <c r="Q246" i="74" a="1"/>
  <c r="Q246" i="74" s="1"/>
  <c r="P246" i="74" a="1"/>
  <c r="P246" i="74" s="1"/>
  <c r="O246" i="74" a="1"/>
  <c r="O246" i="74" s="1"/>
  <c r="N246" i="74" a="1"/>
  <c r="N246" i="74" s="1"/>
  <c r="M246" i="74" a="1"/>
  <c r="M246" i="74" s="1"/>
  <c r="L246" i="74" a="1"/>
  <c r="L246" i="74" s="1"/>
  <c r="K246" i="74" a="1"/>
  <c r="K246" i="74" s="1"/>
  <c r="J246" i="74" a="1"/>
  <c r="J246" i="74" s="1"/>
  <c r="I246" i="74" a="1"/>
  <c r="I246" i="74" s="1"/>
  <c r="H246" i="74" a="1"/>
  <c r="H246" i="74" s="1"/>
  <c r="G246" i="74" a="1"/>
  <c r="G246" i="74" s="1"/>
  <c r="F246" i="74" a="1"/>
  <c r="F246" i="74" s="1"/>
  <c r="E246" i="74" a="1"/>
  <c r="E246" i="74" s="1"/>
  <c r="D246" i="74" a="1"/>
  <c r="D246" i="74" s="1"/>
  <c r="S245" i="74" a="1"/>
  <c r="S245" i="74" s="1"/>
  <c r="R245" i="74" a="1"/>
  <c r="R245" i="74" s="1"/>
  <c r="Q245" i="74" a="1"/>
  <c r="Q245" i="74" s="1"/>
  <c r="P245" i="74" a="1"/>
  <c r="P245" i="74" s="1"/>
  <c r="O245" i="74" a="1"/>
  <c r="O245" i="74" s="1"/>
  <c r="N245" i="74" a="1"/>
  <c r="N245" i="74" s="1"/>
  <c r="M245" i="74" a="1"/>
  <c r="M245" i="74" s="1"/>
  <c r="L245" i="74" a="1"/>
  <c r="L245" i="74" s="1"/>
  <c r="K245" i="74" a="1"/>
  <c r="K245" i="74" s="1"/>
  <c r="J245" i="74" a="1"/>
  <c r="J245" i="74" s="1"/>
  <c r="I245" i="74" a="1"/>
  <c r="I245" i="74" s="1"/>
  <c r="H245" i="74" a="1"/>
  <c r="H245" i="74" s="1"/>
  <c r="G245" i="74" a="1"/>
  <c r="G245" i="74" s="1"/>
  <c r="F245" i="74" a="1"/>
  <c r="F245" i="74" s="1"/>
  <c r="E245" i="74" a="1"/>
  <c r="E245" i="74" s="1"/>
  <c r="D245" i="74" a="1"/>
  <c r="D245" i="74" s="1"/>
  <c r="S244" i="74" a="1"/>
  <c r="S244" i="74" s="1"/>
  <c r="R244" i="74" a="1"/>
  <c r="R244" i="74" s="1"/>
  <c r="Q244" i="74" a="1"/>
  <c r="Q244" i="74" s="1"/>
  <c r="P244" i="74" a="1"/>
  <c r="P244" i="74" s="1"/>
  <c r="O244" i="74" a="1"/>
  <c r="O244" i="74" s="1"/>
  <c r="N244" i="74" a="1"/>
  <c r="N244" i="74" s="1"/>
  <c r="M244" i="74" a="1"/>
  <c r="M244" i="74" s="1"/>
  <c r="L244" i="74" a="1"/>
  <c r="L244" i="74" s="1"/>
  <c r="K244" i="74" a="1"/>
  <c r="K244" i="74" s="1"/>
  <c r="J244" i="74" a="1"/>
  <c r="J244" i="74" s="1"/>
  <c r="I244" i="74" a="1"/>
  <c r="I244" i="74" s="1"/>
  <c r="H244" i="74" a="1"/>
  <c r="H244" i="74" s="1"/>
  <c r="G244" i="74" a="1"/>
  <c r="G244" i="74" s="1"/>
  <c r="F244" i="74" a="1"/>
  <c r="F244" i="74" s="1"/>
  <c r="E244" i="74" a="1"/>
  <c r="E244" i="74" s="1"/>
  <c r="D244" i="74" a="1"/>
  <c r="D244" i="74" s="1"/>
  <c r="S243" i="74" a="1"/>
  <c r="S243" i="74" s="1"/>
  <c r="R243" i="74" a="1"/>
  <c r="R243" i="74" s="1"/>
  <c r="Q243" i="74" a="1"/>
  <c r="Q243" i="74" s="1"/>
  <c r="P243" i="74" a="1"/>
  <c r="P243" i="74" s="1"/>
  <c r="O243" i="74" a="1"/>
  <c r="O243" i="74" s="1"/>
  <c r="N243" i="74" a="1"/>
  <c r="N243" i="74" s="1"/>
  <c r="M243" i="74" a="1"/>
  <c r="M243" i="74" s="1"/>
  <c r="L243" i="74" a="1"/>
  <c r="L243" i="74" s="1"/>
  <c r="K243" i="74" a="1"/>
  <c r="K243" i="74" s="1"/>
  <c r="J243" i="74" a="1"/>
  <c r="J243" i="74" s="1"/>
  <c r="I243" i="74" a="1"/>
  <c r="I243" i="74" s="1"/>
  <c r="H243" i="74" a="1"/>
  <c r="H243" i="74" s="1"/>
  <c r="G243" i="74" a="1"/>
  <c r="G243" i="74" s="1"/>
  <c r="F243" i="74" a="1"/>
  <c r="F243" i="74" s="1"/>
  <c r="E243" i="74" a="1"/>
  <c r="E243" i="74" s="1"/>
  <c r="D243" i="74" a="1"/>
  <c r="D243" i="74" s="1"/>
  <c r="S242" i="74" a="1"/>
  <c r="S242" i="74" s="1"/>
  <c r="R242" i="74" a="1"/>
  <c r="R242" i="74" s="1"/>
  <c r="Q242" i="74" a="1"/>
  <c r="Q242" i="74" s="1"/>
  <c r="P242" i="74" a="1"/>
  <c r="P242" i="74" s="1"/>
  <c r="O242" i="74" a="1"/>
  <c r="O242" i="74" s="1"/>
  <c r="N242" i="74" a="1"/>
  <c r="N242" i="74" s="1"/>
  <c r="M242" i="74" a="1"/>
  <c r="M242" i="74" s="1"/>
  <c r="L242" i="74" a="1"/>
  <c r="L242" i="74" s="1"/>
  <c r="K242" i="74" a="1"/>
  <c r="K242" i="74" s="1"/>
  <c r="J242" i="74" a="1"/>
  <c r="J242" i="74" s="1"/>
  <c r="I242" i="74" a="1"/>
  <c r="I242" i="74" s="1"/>
  <c r="H242" i="74" a="1"/>
  <c r="H242" i="74" s="1"/>
  <c r="G242" i="74" a="1"/>
  <c r="G242" i="74" s="1"/>
  <c r="F242" i="74" a="1"/>
  <c r="F242" i="74" s="1"/>
  <c r="E242" i="74" a="1"/>
  <c r="E242" i="74" s="1"/>
  <c r="D242" i="74" a="1"/>
  <c r="D242" i="74" s="1"/>
  <c r="S241" i="74" a="1"/>
  <c r="S241" i="74" s="1"/>
  <c r="R241" i="74" a="1"/>
  <c r="R241" i="74" s="1"/>
  <c r="Q241" i="74" a="1"/>
  <c r="Q241" i="74" s="1"/>
  <c r="P241" i="74" a="1"/>
  <c r="P241" i="74" s="1"/>
  <c r="O241" i="74" a="1"/>
  <c r="O241" i="74" s="1"/>
  <c r="N241" i="74" a="1"/>
  <c r="N241" i="74" s="1"/>
  <c r="M241" i="74" a="1"/>
  <c r="M241" i="74" s="1"/>
  <c r="L241" i="74" a="1"/>
  <c r="L241" i="74" s="1"/>
  <c r="K241" i="74" a="1"/>
  <c r="K241" i="74" s="1"/>
  <c r="J241" i="74" a="1"/>
  <c r="J241" i="74" s="1"/>
  <c r="I241" i="74" a="1"/>
  <c r="I241" i="74" s="1"/>
  <c r="H241" i="74" a="1"/>
  <c r="H241" i="74" s="1"/>
  <c r="G241" i="74" a="1"/>
  <c r="G241" i="74" s="1"/>
  <c r="F241" i="74" a="1"/>
  <c r="F241" i="74" s="1"/>
  <c r="E241" i="74" a="1"/>
  <c r="E241" i="74" s="1"/>
  <c r="D241" i="74" a="1"/>
  <c r="D241" i="74" s="1"/>
  <c r="S240" i="74" a="1"/>
  <c r="S240" i="74" s="1"/>
  <c r="R240" i="74" a="1"/>
  <c r="R240" i="74" s="1"/>
  <c r="Q240" i="74" a="1"/>
  <c r="Q240" i="74" s="1"/>
  <c r="P240" i="74" a="1"/>
  <c r="P240" i="74" s="1"/>
  <c r="O240" i="74" a="1"/>
  <c r="O240" i="74" s="1"/>
  <c r="N240" i="74" a="1"/>
  <c r="N240" i="74" s="1"/>
  <c r="M240" i="74" a="1"/>
  <c r="M240" i="74" s="1"/>
  <c r="L240" i="74" a="1"/>
  <c r="L240" i="74" s="1"/>
  <c r="K240" i="74" a="1"/>
  <c r="K240" i="74" s="1"/>
  <c r="J240" i="74" a="1"/>
  <c r="J240" i="74" s="1"/>
  <c r="I240" i="74" a="1"/>
  <c r="I240" i="74" s="1"/>
  <c r="H240" i="74" a="1"/>
  <c r="H240" i="74" s="1"/>
  <c r="G240" i="74" a="1"/>
  <c r="G240" i="74" s="1"/>
  <c r="F240" i="74" a="1"/>
  <c r="F240" i="74" s="1"/>
  <c r="E240" i="74" a="1"/>
  <c r="E240" i="74" s="1"/>
  <c r="D240" i="74" a="1"/>
  <c r="D240" i="74" s="1"/>
  <c r="S239" i="74" a="1"/>
  <c r="S239" i="74" s="1"/>
  <c r="R239" i="74" a="1"/>
  <c r="R239" i="74" s="1"/>
  <c r="Q239" i="74" a="1"/>
  <c r="Q239" i="74" s="1"/>
  <c r="P239" i="74" a="1"/>
  <c r="P239" i="74" s="1"/>
  <c r="O239" i="74" a="1"/>
  <c r="O239" i="74" s="1"/>
  <c r="N239" i="74" a="1"/>
  <c r="N239" i="74" s="1"/>
  <c r="M239" i="74" a="1"/>
  <c r="M239" i="74" s="1"/>
  <c r="L239" i="74" a="1"/>
  <c r="L239" i="74" s="1"/>
  <c r="K239" i="74" a="1"/>
  <c r="K239" i="74" s="1"/>
  <c r="J239" i="74" a="1"/>
  <c r="J239" i="74" s="1"/>
  <c r="I239" i="74" a="1"/>
  <c r="I239" i="74" s="1"/>
  <c r="H239" i="74" a="1"/>
  <c r="H239" i="74" s="1"/>
  <c r="G239" i="74" a="1"/>
  <c r="G239" i="74" s="1"/>
  <c r="F239" i="74" a="1"/>
  <c r="F239" i="74" s="1"/>
  <c r="E239" i="74" a="1"/>
  <c r="E239" i="74" s="1"/>
  <c r="D239" i="74" a="1"/>
  <c r="D239" i="74" s="1"/>
  <c r="S238" i="74" a="1"/>
  <c r="S238" i="74" s="1"/>
  <c r="R238" i="74" a="1"/>
  <c r="R238" i="74" s="1"/>
  <c r="Q238" i="74" a="1"/>
  <c r="Q238" i="74" s="1"/>
  <c r="P238" i="74" a="1"/>
  <c r="P238" i="74" s="1"/>
  <c r="O238" i="74" a="1"/>
  <c r="O238" i="74" s="1"/>
  <c r="N238" i="74" a="1"/>
  <c r="N238" i="74" s="1"/>
  <c r="M238" i="74" a="1"/>
  <c r="M238" i="74" s="1"/>
  <c r="L238" i="74" a="1"/>
  <c r="L238" i="74" s="1"/>
  <c r="K238" i="74" a="1"/>
  <c r="K238" i="74" s="1"/>
  <c r="J238" i="74" a="1"/>
  <c r="J238" i="74" s="1"/>
  <c r="I238" i="74" a="1"/>
  <c r="I238" i="74" s="1"/>
  <c r="H238" i="74" a="1"/>
  <c r="H238" i="74" s="1"/>
  <c r="G238" i="74" a="1"/>
  <c r="G238" i="74" s="1"/>
  <c r="F238" i="74" a="1"/>
  <c r="F238" i="74" s="1"/>
  <c r="E238" i="74" a="1"/>
  <c r="E238" i="74" s="1"/>
  <c r="D238" i="74" a="1"/>
  <c r="D238" i="74" s="1"/>
  <c r="S237" i="74" a="1"/>
  <c r="S237" i="74" s="1"/>
  <c r="R237" i="74" a="1"/>
  <c r="R237" i="74" s="1"/>
  <c r="Q237" i="74" a="1"/>
  <c r="Q237" i="74" s="1"/>
  <c r="P237" i="74" a="1"/>
  <c r="P237" i="74" s="1"/>
  <c r="O237" i="74" a="1"/>
  <c r="O237" i="74" s="1"/>
  <c r="N237" i="74" a="1"/>
  <c r="N237" i="74" s="1"/>
  <c r="M237" i="74" a="1"/>
  <c r="M237" i="74" s="1"/>
  <c r="L237" i="74" a="1"/>
  <c r="L237" i="74" s="1"/>
  <c r="K237" i="74" a="1"/>
  <c r="K237" i="74" s="1"/>
  <c r="J237" i="74" a="1"/>
  <c r="J237" i="74" s="1"/>
  <c r="I237" i="74" a="1"/>
  <c r="I237" i="74" s="1"/>
  <c r="H237" i="74" a="1"/>
  <c r="H237" i="74" s="1"/>
  <c r="G237" i="74" a="1"/>
  <c r="G237" i="74" s="1"/>
  <c r="F237" i="74" a="1"/>
  <c r="F237" i="74" s="1"/>
  <c r="E237" i="74" a="1"/>
  <c r="E237" i="74" s="1"/>
  <c r="D237" i="74" a="1"/>
  <c r="D237" i="74" s="1"/>
  <c r="S236" i="74" a="1"/>
  <c r="S236" i="74" s="1"/>
  <c r="R236" i="74" a="1"/>
  <c r="R236" i="74" s="1"/>
  <c r="Q236" i="74" a="1"/>
  <c r="Q236" i="74" s="1"/>
  <c r="P236" i="74" a="1"/>
  <c r="P236" i="74" s="1"/>
  <c r="O236" i="74" a="1"/>
  <c r="O236" i="74" s="1"/>
  <c r="N236" i="74" a="1"/>
  <c r="N236" i="74" s="1"/>
  <c r="M236" i="74" a="1"/>
  <c r="M236" i="74" s="1"/>
  <c r="L236" i="74" a="1"/>
  <c r="L236" i="74" s="1"/>
  <c r="K236" i="74" a="1"/>
  <c r="K236" i="74" s="1"/>
  <c r="J236" i="74" a="1"/>
  <c r="J236" i="74" s="1"/>
  <c r="I236" i="74" a="1"/>
  <c r="I236" i="74" s="1"/>
  <c r="H236" i="74" a="1"/>
  <c r="H236" i="74" s="1"/>
  <c r="G236" i="74" a="1"/>
  <c r="G236" i="74" s="1"/>
  <c r="F236" i="74" a="1"/>
  <c r="F236" i="74" s="1"/>
  <c r="E236" i="74" a="1"/>
  <c r="E236" i="74" s="1"/>
  <c r="D236" i="74" a="1"/>
  <c r="D236" i="74" s="1"/>
  <c r="S235" i="74" a="1"/>
  <c r="S235" i="74" s="1"/>
  <c r="R235" i="74" a="1"/>
  <c r="R235" i="74" s="1"/>
  <c r="Q235" i="74" a="1"/>
  <c r="Q235" i="74" s="1"/>
  <c r="P235" i="74" a="1"/>
  <c r="P235" i="74" s="1"/>
  <c r="O235" i="74" a="1"/>
  <c r="O235" i="74" s="1"/>
  <c r="N235" i="74" a="1"/>
  <c r="N235" i="74" s="1"/>
  <c r="M235" i="74" a="1"/>
  <c r="M235" i="74" s="1"/>
  <c r="L235" i="74" a="1"/>
  <c r="L235" i="74" s="1"/>
  <c r="K235" i="74" a="1"/>
  <c r="K235" i="74" s="1"/>
  <c r="J235" i="74" a="1"/>
  <c r="J235" i="74" s="1"/>
  <c r="I235" i="74" a="1"/>
  <c r="I235" i="74" s="1"/>
  <c r="H235" i="74" a="1"/>
  <c r="H235" i="74" s="1"/>
  <c r="G235" i="74" a="1"/>
  <c r="G235" i="74" s="1"/>
  <c r="F235" i="74" a="1"/>
  <c r="F235" i="74" s="1"/>
  <c r="E235" i="74" a="1"/>
  <c r="E235" i="74" s="1"/>
  <c r="D235" i="74" a="1"/>
  <c r="D235" i="74" s="1"/>
  <c r="S234" i="74" a="1"/>
  <c r="S234" i="74" s="1"/>
  <c r="R234" i="74" a="1"/>
  <c r="R234" i="74" s="1"/>
  <c r="Q234" i="74" a="1"/>
  <c r="Q234" i="74" s="1"/>
  <c r="P234" i="74" a="1"/>
  <c r="P234" i="74" s="1"/>
  <c r="O234" i="74" a="1"/>
  <c r="O234" i="74" s="1"/>
  <c r="N234" i="74" a="1"/>
  <c r="N234" i="74" s="1"/>
  <c r="M234" i="74" a="1"/>
  <c r="M234" i="74" s="1"/>
  <c r="L234" i="74" a="1"/>
  <c r="L234" i="74" s="1"/>
  <c r="K234" i="74" a="1"/>
  <c r="K234" i="74" s="1"/>
  <c r="J234" i="74" a="1"/>
  <c r="J234" i="74" s="1"/>
  <c r="I234" i="74" a="1"/>
  <c r="I234" i="74" s="1"/>
  <c r="H234" i="74" a="1"/>
  <c r="H234" i="74" s="1"/>
  <c r="G234" i="74" a="1"/>
  <c r="G234" i="74" s="1"/>
  <c r="F234" i="74" a="1"/>
  <c r="F234" i="74" s="1"/>
  <c r="E234" i="74" a="1"/>
  <c r="E234" i="74" s="1"/>
  <c r="D234" i="74" a="1"/>
  <c r="D234" i="74" s="1"/>
  <c r="S233" i="74" a="1"/>
  <c r="S233" i="74" s="1"/>
  <c r="R233" i="74" a="1"/>
  <c r="R233" i="74" s="1"/>
  <c r="Q233" i="74" a="1"/>
  <c r="Q233" i="74" s="1"/>
  <c r="P233" i="74" a="1"/>
  <c r="P233" i="74" s="1"/>
  <c r="O233" i="74" a="1"/>
  <c r="O233" i="74" s="1"/>
  <c r="N233" i="74" a="1"/>
  <c r="N233" i="74" s="1"/>
  <c r="M233" i="74" a="1"/>
  <c r="M233" i="74" s="1"/>
  <c r="L233" i="74" a="1"/>
  <c r="L233" i="74" s="1"/>
  <c r="K233" i="74" a="1"/>
  <c r="K233" i="74" s="1"/>
  <c r="J233" i="74" a="1"/>
  <c r="J233" i="74" s="1"/>
  <c r="I233" i="74" a="1"/>
  <c r="I233" i="74" s="1"/>
  <c r="H233" i="74" a="1"/>
  <c r="H233" i="74" s="1"/>
  <c r="G233" i="74" a="1"/>
  <c r="G233" i="74" s="1"/>
  <c r="F233" i="74" a="1"/>
  <c r="F233" i="74" s="1"/>
  <c r="E233" i="74" a="1"/>
  <c r="E233" i="74" s="1"/>
  <c r="D233" i="74" a="1"/>
  <c r="D233" i="74" s="1"/>
  <c r="S232" i="74" a="1"/>
  <c r="S232" i="74" s="1"/>
  <c r="R232" i="74" a="1"/>
  <c r="R232" i="74" s="1"/>
  <c r="Q232" i="74" a="1"/>
  <c r="Q232" i="74" s="1"/>
  <c r="P232" i="74" a="1"/>
  <c r="P232" i="74" s="1"/>
  <c r="O232" i="74" a="1"/>
  <c r="O232" i="74" s="1"/>
  <c r="N232" i="74" a="1"/>
  <c r="N232" i="74" s="1"/>
  <c r="M232" i="74" a="1"/>
  <c r="M232" i="74" s="1"/>
  <c r="L232" i="74" a="1"/>
  <c r="L232" i="74" s="1"/>
  <c r="K232" i="74" a="1"/>
  <c r="K232" i="74" s="1"/>
  <c r="J232" i="74" a="1"/>
  <c r="J232" i="74" s="1"/>
  <c r="I232" i="74" a="1"/>
  <c r="I232" i="74" s="1"/>
  <c r="H232" i="74" a="1"/>
  <c r="H232" i="74" s="1"/>
  <c r="G232" i="74" a="1"/>
  <c r="G232" i="74" s="1"/>
  <c r="F232" i="74" a="1"/>
  <c r="F232" i="74" s="1"/>
  <c r="E232" i="74" a="1"/>
  <c r="E232" i="74" s="1"/>
  <c r="D232" i="74" a="1"/>
  <c r="D232" i="74" s="1"/>
  <c r="D229" i="74" a="1"/>
  <c r="D229" i="74" s="1"/>
  <c r="D228" i="74" a="1"/>
  <c r="D228" i="74" s="1"/>
  <c r="D227" i="74" a="1"/>
  <c r="D227" i="74" s="1"/>
  <c r="E224" i="74" a="1"/>
  <c r="E224" i="74" s="1"/>
  <c r="D224" i="74" a="1"/>
  <c r="D224" i="74" s="1"/>
  <c r="E223" i="74" a="1"/>
  <c r="E223" i="74" s="1"/>
  <c r="D223" i="74" a="1"/>
  <c r="D223" i="74" s="1"/>
  <c r="E222" i="74" a="1"/>
  <c r="E222" i="74" s="1"/>
  <c r="D222" i="74" a="1"/>
  <c r="D222" i="74" s="1"/>
  <c r="E221" i="74" a="1"/>
  <c r="E221" i="74" s="1"/>
  <c r="D221" i="74" a="1"/>
  <c r="D221" i="74" s="1"/>
  <c r="E220" i="74" a="1"/>
  <c r="E220" i="74" s="1"/>
  <c r="D220" i="74" a="1"/>
  <c r="D220" i="74" s="1"/>
  <c r="E219" i="74" a="1"/>
  <c r="E219" i="74" s="1"/>
  <c r="D219" i="74" a="1"/>
  <c r="D219" i="74" s="1"/>
  <c r="E218" i="74" a="1"/>
  <c r="E218" i="74" s="1"/>
  <c r="D218" i="74" a="1"/>
  <c r="D218" i="74" s="1"/>
  <c r="E217" i="74" a="1"/>
  <c r="E217" i="74" s="1"/>
  <c r="D217" i="74" a="1"/>
  <c r="D217" i="74" s="1"/>
  <c r="E216" i="74" a="1"/>
  <c r="E216" i="74" s="1"/>
  <c r="D216" i="74" a="1"/>
  <c r="D216" i="74" s="1"/>
  <c r="E215" i="74" a="1"/>
  <c r="E215" i="74" s="1"/>
  <c r="D215" i="74" a="1"/>
  <c r="D215" i="74" s="1"/>
  <c r="E214" i="74" a="1"/>
  <c r="E214" i="74" s="1"/>
  <c r="D214" i="74" a="1"/>
  <c r="D214" i="74" s="1"/>
  <c r="E213" i="74" a="1"/>
  <c r="E213" i="74" s="1"/>
  <c r="D213" i="74" a="1"/>
  <c r="D213" i="74" s="1"/>
  <c r="D211" i="74" a="1"/>
  <c r="D211" i="74" s="1"/>
  <c r="E208" i="74" a="1"/>
  <c r="E208" i="74" s="1"/>
  <c r="D208" i="74" a="1"/>
  <c r="D208" i="74" s="1"/>
  <c r="E207" i="74" a="1"/>
  <c r="E207" i="74" s="1"/>
  <c r="D207" i="74" a="1"/>
  <c r="D207" i="74" s="1"/>
  <c r="D205" i="74" a="1"/>
  <c r="D205" i="74" s="1"/>
  <c r="D204" i="74" a="1"/>
  <c r="D204" i="74" s="1"/>
  <c r="D203" i="74" a="1"/>
  <c r="D203" i="74" s="1"/>
  <c r="D202" i="74" a="1"/>
  <c r="D202" i="74" s="1"/>
  <c r="H199" i="74" a="1"/>
  <c r="H199" i="74" s="1"/>
  <c r="G199" i="74" a="1"/>
  <c r="G199" i="74" s="1"/>
  <c r="F199" i="74" a="1"/>
  <c r="F199" i="74" s="1"/>
  <c r="E199" i="74" a="1"/>
  <c r="E199" i="74" s="1"/>
  <c r="D199" i="74" a="1"/>
  <c r="D199" i="74" s="1"/>
  <c r="H198" i="74" a="1"/>
  <c r="H198" i="74" s="1"/>
  <c r="G198" i="74" a="1"/>
  <c r="G198" i="74" s="1"/>
  <c r="F198" i="74" a="1"/>
  <c r="F198" i="74" s="1"/>
  <c r="E198" i="74" a="1"/>
  <c r="E198" i="74" s="1"/>
  <c r="D198" i="74" a="1"/>
  <c r="D198" i="74" s="1"/>
  <c r="H197" i="74" a="1"/>
  <c r="H197" i="74" s="1"/>
  <c r="G197" i="74" a="1"/>
  <c r="G197" i="74" s="1"/>
  <c r="F197" i="74" a="1"/>
  <c r="F197" i="74" s="1"/>
  <c r="E197" i="74" a="1"/>
  <c r="E197" i="74" s="1"/>
  <c r="D197" i="74" a="1"/>
  <c r="D197" i="74" s="1"/>
  <c r="H196" i="74" a="1"/>
  <c r="H196" i="74" s="1"/>
  <c r="G196" i="74" a="1"/>
  <c r="G196" i="74" s="1"/>
  <c r="F196" i="74" a="1"/>
  <c r="F196" i="74" s="1"/>
  <c r="E196" i="74" a="1"/>
  <c r="E196" i="74" s="1"/>
  <c r="D196" i="74" a="1"/>
  <c r="D196" i="74" s="1"/>
  <c r="H195" i="74" a="1"/>
  <c r="H195" i="74" s="1"/>
  <c r="G195" i="74" a="1"/>
  <c r="G195" i="74" s="1"/>
  <c r="F195" i="74" a="1"/>
  <c r="F195" i="74" s="1"/>
  <c r="E195" i="74" a="1"/>
  <c r="E195" i="74" s="1"/>
  <c r="D195" i="74" a="1"/>
  <c r="D195" i="74" s="1"/>
  <c r="H194" i="74" a="1"/>
  <c r="H194" i="74" s="1"/>
  <c r="G194" i="74" a="1"/>
  <c r="G194" i="74" s="1"/>
  <c r="F194" i="74" a="1"/>
  <c r="F194" i="74" s="1"/>
  <c r="E194" i="74" a="1"/>
  <c r="E194" i="74" s="1"/>
  <c r="D194" i="74" a="1"/>
  <c r="D194" i="74" s="1"/>
  <c r="H193" i="74" a="1"/>
  <c r="H193" i="74" s="1"/>
  <c r="G193" i="74" a="1"/>
  <c r="G193" i="74" s="1"/>
  <c r="F193" i="74" a="1"/>
  <c r="F193" i="74" s="1"/>
  <c r="E193" i="74" a="1"/>
  <c r="E193" i="74" s="1"/>
  <c r="D193" i="74" a="1"/>
  <c r="D193" i="74" s="1"/>
  <c r="H192" i="74" a="1"/>
  <c r="H192" i="74" s="1"/>
  <c r="G192" i="74" a="1"/>
  <c r="G192" i="74" s="1"/>
  <c r="F192" i="74" a="1"/>
  <c r="F192" i="74" s="1"/>
  <c r="E192" i="74" a="1"/>
  <c r="E192" i="74" s="1"/>
  <c r="D192" i="74" a="1"/>
  <c r="D192" i="74" s="1"/>
  <c r="H191" i="74" a="1"/>
  <c r="H191" i="74" s="1"/>
  <c r="G191" i="74" a="1"/>
  <c r="G191" i="74" s="1"/>
  <c r="F191" i="74" a="1"/>
  <c r="F191" i="74" s="1"/>
  <c r="E191" i="74" a="1"/>
  <c r="E191" i="74" s="1"/>
  <c r="D191" i="74" a="1"/>
  <c r="D191" i="74" s="1"/>
  <c r="H190" i="74" a="1"/>
  <c r="H190" i="74" s="1"/>
  <c r="G190" i="74" a="1"/>
  <c r="G190" i="74" s="1"/>
  <c r="F190" i="74" a="1"/>
  <c r="F190" i="74" s="1"/>
  <c r="E190" i="74" a="1"/>
  <c r="E190" i="74" s="1"/>
  <c r="D190" i="74" a="1"/>
  <c r="D190" i="74" s="1"/>
  <c r="H189" i="74" a="1"/>
  <c r="H189" i="74" s="1"/>
  <c r="G189" i="74" a="1"/>
  <c r="G189" i="74" s="1"/>
  <c r="F189" i="74" a="1"/>
  <c r="F189" i="74" s="1"/>
  <c r="E189" i="74" a="1"/>
  <c r="E189" i="74" s="1"/>
  <c r="D189" i="74" a="1"/>
  <c r="D189" i="74" s="1"/>
  <c r="H188" i="74" a="1"/>
  <c r="H188" i="74" s="1"/>
  <c r="G188" i="74" a="1"/>
  <c r="G188" i="74" s="1"/>
  <c r="F188" i="74" a="1"/>
  <c r="F188" i="74" s="1"/>
  <c r="E188" i="74" a="1"/>
  <c r="E188" i="74" s="1"/>
  <c r="D188" i="74" a="1"/>
  <c r="D188" i="74" s="1"/>
  <c r="H187" i="74" a="1"/>
  <c r="H187" i="74" s="1"/>
  <c r="G187" i="74" a="1"/>
  <c r="G187" i="74" s="1"/>
  <c r="F187" i="74" a="1"/>
  <c r="F187" i="74" s="1"/>
  <c r="E187" i="74" a="1"/>
  <c r="E187" i="74" s="1"/>
  <c r="D187" i="74" a="1"/>
  <c r="D187" i="74" s="1"/>
  <c r="D181" i="74" a="1"/>
  <c r="D181" i="74" s="1"/>
  <c r="D180" i="74" a="1"/>
  <c r="D180" i="74" s="1"/>
  <c r="D179" i="74" a="1"/>
  <c r="D179" i="74" s="1"/>
  <c r="D178" i="74" a="1"/>
  <c r="D178" i="74" s="1"/>
  <c r="E175" i="74" a="1"/>
  <c r="E175" i="74" s="1"/>
  <c r="D175" i="74" a="1"/>
  <c r="D175" i="74" s="1"/>
  <c r="D174" i="74"/>
  <c r="D174" i="74" a="1"/>
  <c r="D173" i="74" a="1"/>
  <c r="D173" i="74" s="1"/>
  <c r="D170" i="74" a="1"/>
  <c r="D170" i="74" s="1"/>
  <c r="D169" i="74" a="1"/>
  <c r="D169" i="74" s="1"/>
  <c r="D168" i="74" a="1"/>
  <c r="D168" i="74" s="1"/>
  <c r="D167" i="74" a="1"/>
  <c r="D167" i="74" s="1"/>
  <c r="D164" i="74" a="1"/>
  <c r="D164" i="74" s="1"/>
  <c r="D163" i="74" a="1"/>
  <c r="D163" i="74" s="1"/>
  <c r="D162" i="74" a="1"/>
  <c r="D162" i="74" s="1"/>
  <c r="D161" i="74" a="1"/>
  <c r="D161" i="74" s="1"/>
  <c r="E158" i="74" a="1"/>
  <c r="E158" i="74" s="1"/>
  <c r="D158" i="74" a="1"/>
  <c r="D158" i="74" s="1"/>
  <c r="E157" i="74" a="1"/>
  <c r="E157" i="74" s="1"/>
  <c r="D157" i="74" a="1"/>
  <c r="D157" i="74" s="1"/>
  <c r="E156" i="74" a="1"/>
  <c r="E156" i="74" s="1"/>
  <c r="D156" i="74" a="1"/>
  <c r="D156" i="74" s="1"/>
  <c r="E155" i="74" a="1"/>
  <c r="E155" i="74" s="1"/>
  <c r="D155" i="74" a="1"/>
  <c r="D155" i="74" s="1"/>
  <c r="E154" i="74" a="1"/>
  <c r="E154" i="74" s="1"/>
  <c r="D154" i="74" a="1"/>
  <c r="D154" i="74" s="1"/>
  <c r="D151" i="74" a="1"/>
  <c r="D151" i="74" s="1"/>
  <c r="D150" i="74" a="1"/>
  <c r="D150" i="74" s="1"/>
  <c r="E147" i="74" a="1"/>
  <c r="E147" i="74" s="1"/>
  <c r="D147" i="74" a="1"/>
  <c r="D147" i="74" s="1"/>
  <c r="E146" i="74" a="1"/>
  <c r="E146" i="74" s="1"/>
  <c r="D146" i="74" a="1"/>
  <c r="D146" i="74" s="1"/>
  <c r="E145" i="74" a="1"/>
  <c r="E145" i="74" s="1"/>
  <c r="D145" i="74" a="1"/>
  <c r="D145" i="74" s="1"/>
  <c r="E144" i="74" a="1"/>
  <c r="E144" i="74" s="1"/>
  <c r="D144" i="74" a="1"/>
  <c r="D144" i="74" s="1"/>
  <c r="E143" i="74" a="1"/>
  <c r="E143" i="74" s="1"/>
  <c r="D143" i="74" a="1"/>
  <c r="D143" i="74" s="1"/>
  <c r="D141" i="74" a="1"/>
  <c r="D141" i="74" s="1"/>
  <c r="D140" i="74" a="1"/>
  <c r="D140" i="74" s="1"/>
  <c r="D139" i="74" a="1"/>
  <c r="D139" i="74" s="1"/>
  <c r="E136" i="74" a="1"/>
  <c r="E136" i="74" s="1"/>
  <c r="D136" i="74" a="1"/>
  <c r="D136" i="74" s="1"/>
  <c r="E135" i="74" a="1"/>
  <c r="E135" i="74" s="1"/>
  <c r="D135" i="74" a="1"/>
  <c r="D135" i="74" s="1"/>
  <c r="D133" i="74" a="1"/>
  <c r="D133" i="74" s="1"/>
  <c r="D132" i="74" a="1"/>
  <c r="D132" i="74" s="1"/>
  <c r="E129" i="74" a="1"/>
  <c r="E129" i="74" s="1"/>
  <c r="D129" i="74" a="1"/>
  <c r="D129" i="74" s="1"/>
  <c r="E128" i="74" a="1"/>
  <c r="E128" i="74" s="1"/>
  <c r="D128" i="74" a="1"/>
  <c r="D128" i="74" s="1"/>
  <c r="D125" i="74" a="1"/>
  <c r="D125" i="74" s="1"/>
  <c r="D124" i="74" a="1"/>
  <c r="D124" i="74" s="1"/>
  <c r="G121" i="74" a="1"/>
  <c r="G121" i="74" s="1"/>
  <c r="F121" i="74" a="1"/>
  <c r="F121" i="74" s="1"/>
  <c r="E121" i="74" a="1"/>
  <c r="E121" i="74" s="1"/>
  <c r="D121" i="74" a="1"/>
  <c r="D121" i="74" s="1"/>
  <c r="G120" i="74" a="1"/>
  <c r="G120" i="74" s="1"/>
  <c r="F120" i="74" a="1"/>
  <c r="F120" i="74" s="1"/>
  <c r="E120" i="74" a="1"/>
  <c r="E120" i="74" s="1"/>
  <c r="D120" i="74" a="1"/>
  <c r="D120" i="74" s="1"/>
  <c r="D117" i="74" a="1"/>
  <c r="D117" i="74" s="1"/>
  <c r="D116" i="74" a="1"/>
  <c r="D116" i="74" s="1"/>
  <c r="D115" i="74" a="1"/>
  <c r="D115" i="74" s="1"/>
  <c r="G112" i="74" a="1"/>
  <c r="G112" i="74" s="1"/>
  <c r="F112" i="74" a="1"/>
  <c r="F112" i="74" s="1"/>
  <c r="E112" i="74" a="1"/>
  <c r="E112" i="74" s="1"/>
  <c r="D112" i="74" a="1"/>
  <c r="D112" i="74" s="1"/>
  <c r="G111" i="74" a="1"/>
  <c r="G111" i="74" s="1"/>
  <c r="F111" i="74" a="1"/>
  <c r="F111" i="74" s="1"/>
  <c r="E111" i="74" a="1"/>
  <c r="E111" i="74" s="1"/>
  <c r="D111" i="74" a="1"/>
  <c r="D111" i="74" s="1"/>
  <c r="G110" i="74" a="1"/>
  <c r="G110" i="74" s="1"/>
  <c r="F110" i="74" a="1"/>
  <c r="F110" i="74" s="1"/>
  <c r="E22" i="75" s="1"/>
  <c r="E110" i="74" a="1"/>
  <c r="E110" i="74" s="1"/>
  <c r="D110" i="74" a="1"/>
  <c r="D110" i="74" s="1"/>
  <c r="D107" i="74" a="1"/>
  <c r="D107" i="74" s="1"/>
  <c r="D106" i="74" a="1"/>
  <c r="D106" i="74" s="1"/>
  <c r="D105" i="74" a="1"/>
  <c r="D105" i="74" s="1"/>
  <c r="D99" i="74" a="1"/>
  <c r="D99" i="74" s="1"/>
  <c r="S97" i="74" a="1"/>
  <c r="S97" i="74" s="1"/>
  <c r="R97" i="74" a="1"/>
  <c r="R97" i="74" s="1"/>
  <c r="Q97" i="74" a="1"/>
  <c r="Q97" i="74" s="1"/>
  <c r="P97" i="74" a="1"/>
  <c r="P97" i="74" s="1"/>
  <c r="O97" i="74" a="1"/>
  <c r="O97" i="74" s="1"/>
  <c r="N97" i="74" a="1"/>
  <c r="N97" i="74" s="1"/>
  <c r="M97" i="74" a="1"/>
  <c r="M97" i="74" s="1"/>
  <c r="L97" i="74" a="1"/>
  <c r="L97" i="74" s="1"/>
  <c r="K97" i="74" a="1"/>
  <c r="K97" i="74" s="1"/>
  <c r="J97" i="74" a="1"/>
  <c r="J97" i="74" s="1"/>
  <c r="I97" i="74" a="1"/>
  <c r="I97" i="74" s="1"/>
  <c r="H97" i="74" a="1"/>
  <c r="H97" i="74" s="1"/>
  <c r="G97" i="74" a="1"/>
  <c r="G97" i="74" s="1"/>
  <c r="F97" i="74" a="1"/>
  <c r="F97" i="74" s="1"/>
  <c r="E97" i="74" a="1"/>
  <c r="E97" i="74" s="1"/>
  <c r="D97" i="74" a="1"/>
  <c r="D97" i="74" s="1"/>
  <c r="S96" i="74" a="1"/>
  <c r="S96" i="74" s="1"/>
  <c r="R96" i="74" a="1"/>
  <c r="R96" i="74" s="1"/>
  <c r="Q96" i="74" a="1"/>
  <c r="Q96" i="74" s="1"/>
  <c r="P96" i="74" a="1"/>
  <c r="P96" i="74" s="1"/>
  <c r="O96" i="74" a="1"/>
  <c r="O96" i="74" s="1"/>
  <c r="N96" i="74" a="1"/>
  <c r="N96" i="74" s="1"/>
  <c r="M96" i="74" a="1"/>
  <c r="M96" i="74" s="1"/>
  <c r="L96" i="74" a="1"/>
  <c r="L96" i="74" s="1"/>
  <c r="K96" i="74" a="1"/>
  <c r="K96" i="74" s="1"/>
  <c r="J96" i="74" a="1"/>
  <c r="J96" i="74" s="1"/>
  <c r="I96" i="74" a="1"/>
  <c r="I96" i="74" s="1"/>
  <c r="H96" i="74" a="1"/>
  <c r="H96" i="74" s="1"/>
  <c r="G96" i="74" a="1"/>
  <c r="G96" i="74" s="1"/>
  <c r="F96" i="74" a="1"/>
  <c r="F96" i="74" s="1"/>
  <c r="E96" i="74" a="1"/>
  <c r="E96" i="74" s="1"/>
  <c r="D96" i="74" a="1"/>
  <c r="D96" i="74" s="1"/>
  <c r="S95" i="74" a="1"/>
  <c r="S95" i="74" s="1"/>
  <c r="R95" i="74" a="1"/>
  <c r="R95" i="74" s="1"/>
  <c r="Q95" i="74" a="1"/>
  <c r="Q95" i="74" s="1"/>
  <c r="P95" i="74" a="1"/>
  <c r="P95" i="74" s="1"/>
  <c r="O95" i="74" a="1"/>
  <c r="O95" i="74" s="1"/>
  <c r="N95" i="74" a="1"/>
  <c r="N95" i="74" s="1"/>
  <c r="M95" i="74" a="1"/>
  <c r="M95" i="74" s="1"/>
  <c r="L95" i="74" a="1"/>
  <c r="L95" i="74" s="1"/>
  <c r="K95" i="74" a="1"/>
  <c r="K95" i="74" s="1"/>
  <c r="J95" i="74" a="1"/>
  <c r="J95" i="74" s="1"/>
  <c r="I95" i="74" a="1"/>
  <c r="I95" i="74" s="1"/>
  <c r="H95" i="74" a="1"/>
  <c r="H95" i="74" s="1"/>
  <c r="G95" i="74" a="1"/>
  <c r="G95" i="74" s="1"/>
  <c r="F95" i="74" a="1"/>
  <c r="F95" i="74" s="1"/>
  <c r="E95" i="74" a="1"/>
  <c r="E95" i="74" s="1"/>
  <c r="D95" i="74" a="1"/>
  <c r="D95" i="74" s="1"/>
  <c r="S94" i="74" a="1"/>
  <c r="S94" i="74" s="1"/>
  <c r="R94" i="74" a="1"/>
  <c r="R94" i="74" s="1"/>
  <c r="Q94" i="74" a="1"/>
  <c r="Q94" i="74" s="1"/>
  <c r="P94" i="74" a="1"/>
  <c r="P94" i="74" s="1"/>
  <c r="O94" i="74" a="1"/>
  <c r="O94" i="74" s="1"/>
  <c r="N94" i="74" a="1"/>
  <c r="N94" i="74" s="1"/>
  <c r="M94" i="74" a="1"/>
  <c r="M94" i="74" s="1"/>
  <c r="L94" i="74" a="1"/>
  <c r="L94" i="74" s="1"/>
  <c r="K94" i="74" a="1"/>
  <c r="K94" i="74" s="1"/>
  <c r="J94" i="74" a="1"/>
  <c r="J94" i="74" s="1"/>
  <c r="I94" i="74" a="1"/>
  <c r="I94" i="74" s="1"/>
  <c r="H94" i="74" a="1"/>
  <c r="H94" i="74" s="1"/>
  <c r="G94" i="74" a="1"/>
  <c r="G94" i="74" s="1"/>
  <c r="F94" i="74" a="1"/>
  <c r="F94" i="74" s="1"/>
  <c r="E94" i="74" a="1"/>
  <c r="E94" i="74" s="1"/>
  <c r="D94" i="74" a="1"/>
  <c r="D94" i="74" s="1"/>
  <c r="S93" i="74" a="1"/>
  <c r="S93" i="74" s="1"/>
  <c r="R93" i="74" a="1"/>
  <c r="R93" i="74" s="1"/>
  <c r="Q93" i="74" a="1"/>
  <c r="Q93" i="74" s="1"/>
  <c r="P93" i="74" a="1"/>
  <c r="P93" i="74" s="1"/>
  <c r="O93" i="74" a="1"/>
  <c r="O93" i="74" s="1"/>
  <c r="N93" i="74" a="1"/>
  <c r="N93" i="74" s="1"/>
  <c r="M93" i="74" a="1"/>
  <c r="M93" i="74" s="1"/>
  <c r="L93" i="74" a="1"/>
  <c r="L93" i="74" s="1"/>
  <c r="K93" i="74" a="1"/>
  <c r="K93" i="74" s="1"/>
  <c r="J93" i="74" a="1"/>
  <c r="J93" i="74" s="1"/>
  <c r="I93" i="74" a="1"/>
  <c r="I93" i="74" s="1"/>
  <c r="H93" i="74" a="1"/>
  <c r="H93" i="74" s="1"/>
  <c r="G93" i="74" a="1"/>
  <c r="G93" i="74" s="1"/>
  <c r="F93" i="74" a="1"/>
  <c r="F93" i="74" s="1"/>
  <c r="E93" i="74" a="1"/>
  <c r="E93" i="74" s="1"/>
  <c r="D93" i="74" a="1"/>
  <c r="D93" i="74" s="1"/>
  <c r="S92" i="74" a="1"/>
  <c r="S92" i="74" s="1"/>
  <c r="R92" i="74" a="1"/>
  <c r="R92" i="74" s="1"/>
  <c r="Q92" i="74" a="1"/>
  <c r="Q92" i="74" s="1"/>
  <c r="P92" i="74" a="1"/>
  <c r="P92" i="74" s="1"/>
  <c r="O92" i="74" a="1"/>
  <c r="O92" i="74" s="1"/>
  <c r="N92" i="74" a="1"/>
  <c r="N92" i="74" s="1"/>
  <c r="M92" i="74" a="1"/>
  <c r="M92" i="74" s="1"/>
  <c r="L92" i="74" a="1"/>
  <c r="L92" i="74" s="1"/>
  <c r="K92" i="74" a="1"/>
  <c r="K92" i="74" s="1"/>
  <c r="J92" i="74" a="1"/>
  <c r="J92" i="74" s="1"/>
  <c r="I92" i="74" a="1"/>
  <c r="I92" i="74" s="1"/>
  <c r="H92" i="74" a="1"/>
  <c r="H92" i="74" s="1"/>
  <c r="G92" i="74" a="1"/>
  <c r="G92" i="74" s="1"/>
  <c r="F92" i="74" a="1"/>
  <c r="F92" i="74" s="1"/>
  <c r="E92" i="74" a="1"/>
  <c r="E92" i="74" s="1"/>
  <c r="D92" i="74" a="1"/>
  <c r="D92" i="74" s="1"/>
  <c r="S91" i="74" a="1"/>
  <c r="S91" i="74" s="1"/>
  <c r="R91" i="74" a="1"/>
  <c r="R91" i="74" s="1"/>
  <c r="Q91" i="74" a="1"/>
  <c r="Q91" i="74" s="1"/>
  <c r="P91" i="74" a="1"/>
  <c r="P91" i="74" s="1"/>
  <c r="O91" i="74" a="1"/>
  <c r="O91" i="74" s="1"/>
  <c r="N91" i="74" a="1"/>
  <c r="N91" i="74" s="1"/>
  <c r="M91" i="74" a="1"/>
  <c r="M91" i="74" s="1"/>
  <c r="L91" i="74" a="1"/>
  <c r="L91" i="74" s="1"/>
  <c r="K91" i="74" a="1"/>
  <c r="K91" i="74" s="1"/>
  <c r="J91" i="74" a="1"/>
  <c r="J91" i="74" s="1"/>
  <c r="I91" i="74" a="1"/>
  <c r="I91" i="74" s="1"/>
  <c r="H91" i="74" a="1"/>
  <c r="H91" i="74" s="1"/>
  <c r="G91" i="74" a="1"/>
  <c r="G91" i="74" s="1"/>
  <c r="F91" i="74" a="1"/>
  <c r="F91" i="74" s="1"/>
  <c r="E91" i="74" a="1"/>
  <c r="E91" i="74" s="1"/>
  <c r="D91" i="74" a="1"/>
  <c r="D91" i="74" s="1"/>
  <c r="S90" i="74" a="1"/>
  <c r="S90" i="74" s="1"/>
  <c r="R90" i="74" a="1"/>
  <c r="R90" i="74" s="1"/>
  <c r="Q90" i="74" a="1"/>
  <c r="Q90" i="74" s="1"/>
  <c r="P90" i="74" a="1"/>
  <c r="P90" i="74" s="1"/>
  <c r="O90" i="74" a="1"/>
  <c r="O90" i="74" s="1"/>
  <c r="N90" i="74" a="1"/>
  <c r="N90" i="74" s="1"/>
  <c r="M90" i="74" a="1"/>
  <c r="M90" i="74" s="1"/>
  <c r="L90" i="74" a="1"/>
  <c r="L90" i="74" s="1"/>
  <c r="K90" i="74" a="1"/>
  <c r="K90" i="74" s="1"/>
  <c r="J90" i="74" a="1"/>
  <c r="J90" i="74" s="1"/>
  <c r="I90" i="74" a="1"/>
  <c r="I90" i="74" s="1"/>
  <c r="H90" i="74" a="1"/>
  <c r="H90" i="74" s="1"/>
  <c r="G90" i="74" a="1"/>
  <c r="G90" i="74" s="1"/>
  <c r="F90" i="74" a="1"/>
  <c r="F90" i="74" s="1"/>
  <c r="E90" i="74" a="1"/>
  <c r="E90" i="74" s="1"/>
  <c r="D90" i="74" a="1"/>
  <c r="D90" i="74" s="1"/>
  <c r="D83" i="74" a="1"/>
  <c r="D83" i="74" s="1"/>
  <c r="D82" i="74" a="1"/>
  <c r="D82" i="74" s="1"/>
  <c r="D81" i="74" a="1"/>
  <c r="D81" i="74" s="1"/>
  <c r="E77" i="74" a="1"/>
  <c r="E77" i="74" s="1"/>
  <c r="D77" i="74" a="1"/>
  <c r="D77" i="74" s="1"/>
  <c r="E76" i="74" a="1"/>
  <c r="E76" i="74" s="1"/>
  <c r="D76" i="74" a="1"/>
  <c r="D76" i="74" s="1"/>
  <c r="E75" i="74" a="1"/>
  <c r="E75" i="74" s="1"/>
  <c r="D75" i="74" a="1"/>
  <c r="D75" i="74" s="1"/>
  <c r="E74" i="74" a="1"/>
  <c r="E74" i="74" s="1"/>
  <c r="D74" i="74" a="1"/>
  <c r="D74" i="74" s="1"/>
  <c r="E73" i="74" a="1"/>
  <c r="E73" i="74" s="1"/>
  <c r="D73" i="74" a="1"/>
  <c r="D73" i="74" s="1"/>
  <c r="E72" i="74" a="1"/>
  <c r="E72" i="74" s="1"/>
  <c r="D72" i="74" a="1"/>
  <c r="D72" i="74" s="1"/>
  <c r="E71" i="74" a="1"/>
  <c r="E71" i="74" s="1"/>
  <c r="D71" i="74" a="1"/>
  <c r="D71" i="74" s="1"/>
  <c r="E70" i="74" a="1"/>
  <c r="E70" i="74" s="1"/>
  <c r="D70" i="74" a="1"/>
  <c r="D70" i="74" s="1"/>
  <c r="E69" i="74" a="1"/>
  <c r="E69" i="74" s="1"/>
  <c r="D69" i="74" a="1"/>
  <c r="D69" i="74" s="1"/>
  <c r="E68" i="74" a="1"/>
  <c r="E68" i="74" s="1"/>
  <c r="D68" i="74" a="1"/>
  <c r="D68" i="74" s="1"/>
  <c r="E67" i="74" a="1"/>
  <c r="E67" i="74" s="1"/>
  <c r="D67" i="74" a="1"/>
  <c r="D67" i="74" s="1"/>
  <c r="E66" i="74" a="1"/>
  <c r="E66" i="74" s="1"/>
  <c r="D66" i="74" a="1"/>
  <c r="D66" i="74" s="1"/>
  <c r="E65" i="74" a="1"/>
  <c r="E65" i="74" s="1"/>
  <c r="D65" i="74" a="1"/>
  <c r="D65" i="74" s="1"/>
  <c r="E64" i="74" a="1"/>
  <c r="E64" i="74" s="1"/>
  <c r="D64" i="74" a="1"/>
  <c r="D64" i="74" s="1"/>
  <c r="D59" i="74" a="1"/>
  <c r="D59" i="74" s="1"/>
  <c r="D58" i="74" a="1"/>
  <c r="D58" i="74" s="1"/>
  <c r="D57" i="74" a="1"/>
  <c r="D57" i="74" s="1"/>
  <c r="G54" i="74" a="1"/>
  <c r="G54" i="74" s="1"/>
  <c r="F54" i="74" a="1"/>
  <c r="F54" i="74" s="1"/>
  <c r="E54" i="74" a="1"/>
  <c r="E54" i="74" s="1"/>
  <c r="D54" i="74" a="1"/>
  <c r="D54" i="74" s="1"/>
  <c r="G53" i="74" a="1"/>
  <c r="G53" i="74" s="1"/>
  <c r="F53" i="74" a="1"/>
  <c r="F53" i="74" s="1"/>
  <c r="E53" i="74" a="1"/>
  <c r="E53" i="74" s="1"/>
  <c r="D53" i="74" a="1"/>
  <c r="D53" i="74" s="1"/>
  <c r="G52" i="74" a="1"/>
  <c r="G52" i="74" s="1"/>
  <c r="F52" i="74" a="1"/>
  <c r="F52" i="74" s="1"/>
  <c r="E52" i="74" a="1"/>
  <c r="E52" i="74" s="1"/>
  <c r="D52" i="74" a="1"/>
  <c r="D52" i="74" s="1"/>
  <c r="G51" i="74" a="1"/>
  <c r="G51" i="74" s="1"/>
  <c r="F51" i="74" a="1"/>
  <c r="F51" i="74" s="1"/>
  <c r="E51" i="74" a="1"/>
  <c r="E51" i="74" s="1"/>
  <c r="D51" i="74" a="1"/>
  <c r="D51" i="74" s="1"/>
  <c r="G50" i="74" a="1"/>
  <c r="G50" i="74" s="1"/>
  <c r="F50" i="74" a="1"/>
  <c r="F50" i="74" s="1"/>
  <c r="E50" i="74" a="1"/>
  <c r="E50" i="74" s="1"/>
  <c r="D50" i="74" a="1"/>
  <c r="D50" i="74" s="1"/>
  <c r="G49" i="74" a="1"/>
  <c r="G49" i="74" s="1"/>
  <c r="F49" i="74" a="1"/>
  <c r="F49" i="74" s="1"/>
  <c r="E49" i="74" a="1"/>
  <c r="E49" i="74" s="1"/>
  <c r="D49" i="74" a="1"/>
  <c r="D49" i="74" s="1"/>
  <c r="G48" i="74" a="1"/>
  <c r="G48" i="74" s="1"/>
  <c r="F48" i="74" a="1"/>
  <c r="F48" i="74" s="1"/>
  <c r="E48" i="74" a="1"/>
  <c r="E48" i="74" s="1"/>
  <c r="D48" i="74" a="1"/>
  <c r="D48" i="74" s="1"/>
  <c r="D46" i="74" a="1"/>
  <c r="D46" i="74" s="1"/>
  <c r="D45" i="74" a="1"/>
  <c r="D45" i="74" s="1"/>
  <c r="E43" i="74" a="1"/>
  <c r="E43" i="74" s="1"/>
  <c r="D43" i="74" a="1"/>
  <c r="D43" i="74" s="1"/>
  <c r="E42" i="74" a="1"/>
  <c r="E42" i="74" s="1"/>
  <c r="D42" i="74" a="1"/>
  <c r="D42" i="74" s="1"/>
  <c r="E41" i="74" a="1"/>
  <c r="E41" i="74" s="1"/>
  <c r="D41" i="74" a="1"/>
  <c r="D41" i="74" s="1"/>
  <c r="E40" i="74" a="1"/>
  <c r="E40" i="74" s="1"/>
  <c r="D40" i="74" a="1"/>
  <c r="D40" i="74" s="1"/>
  <c r="E39" i="74" a="1"/>
  <c r="E39" i="74" s="1"/>
  <c r="D39" i="74" a="1"/>
  <c r="D39" i="74" s="1"/>
  <c r="E38" i="74" a="1"/>
  <c r="E38" i="74" s="1"/>
  <c r="D38" i="74" a="1"/>
  <c r="D38" i="74" s="1"/>
  <c r="E37" i="74" a="1"/>
  <c r="E37" i="74" s="1"/>
  <c r="D37" i="74" a="1"/>
  <c r="D37" i="74" s="1"/>
  <c r="D35" i="74" a="1"/>
  <c r="D35" i="74" s="1"/>
  <c r="D34" i="74" a="1"/>
  <c r="D34" i="74" s="1"/>
  <c r="D30" i="74" a="1"/>
  <c r="D30" i="74" s="1"/>
  <c r="D29" i="74" a="1"/>
  <c r="D29" i="74" s="1"/>
  <c r="D28" i="74" a="1"/>
  <c r="D28" i="74" s="1"/>
  <c r="D27" i="74" a="1"/>
  <c r="D27" i="74" s="1"/>
  <c r="D26" i="74" a="1"/>
  <c r="D26" i="74" s="1"/>
  <c r="D25" i="74" a="1"/>
  <c r="D25" i="74" s="1"/>
  <c r="D24" i="74" a="1"/>
  <c r="D24" i="74" s="1"/>
  <c r="D23" i="74" a="1"/>
  <c r="D23" i="74" s="1"/>
  <c r="D22" i="74" a="1"/>
  <c r="D22" i="74" s="1"/>
  <c r="D21" i="74" a="1"/>
  <c r="D21" i="74" s="1"/>
  <c r="D19" i="74" a="1"/>
  <c r="D19" i="74" s="1"/>
  <c r="D18" i="74"/>
  <c r="D18" i="74" a="1"/>
  <c r="F14" i="74" a="1"/>
  <c r="F14" i="74" s="1"/>
  <c r="E14" i="74" a="1"/>
  <c r="E14" i="74" s="1"/>
  <c r="D14" i="74" a="1"/>
  <c r="D14" i="74" s="1"/>
  <c r="F13" i="74" a="1"/>
  <c r="F13" i="74" s="1"/>
  <c r="E13" i="74" a="1"/>
  <c r="E13" i="74" s="1"/>
  <c r="D13" i="74" a="1"/>
  <c r="D13" i="74" s="1"/>
  <c r="F12" i="74" a="1"/>
  <c r="F12" i="74" s="1"/>
  <c r="E12" i="74" a="1"/>
  <c r="E12" i="74" s="1"/>
  <c r="D12" i="74" a="1"/>
  <c r="D12" i="74" s="1"/>
  <c r="F11" i="74" a="1"/>
  <c r="F11" i="74" s="1"/>
  <c r="E11" i="74" a="1"/>
  <c r="E11" i="74" s="1"/>
  <c r="D11" i="74" a="1"/>
  <c r="D11" i="74" s="1"/>
  <c r="F10" i="74" a="1"/>
  <c r="F10" i="74" s="1"/>
  <c r="E10" i="74" a="1"/>
  <c r="E10" i="74" s="1"/>
  <c r="D10" i="74" a="1"/>
  <c r="D10" i="74" s="1"/>
  <c r="F9" i="74" a="1"/>
  <c r="F9" i="74" s="1"/>
  <c r="E9" i="74" a="1"/>
  <c r="E9" i="74" s="1"/>
  <c r="D9" i="74" a="1"/>
  <c r="D9" i="74" s="1"/>
  <c r="F8" i="74" a="1"/>
  <c r="F8" i="74" s="1"/>
  <c r="E8" i="74" a="1"/>
  <c r="E8" i="74" s="1"/>
  <c r="D8" i="74" a="1"/>
  <c r="D8" i="74" s="1"/>
  <c r="F7" i="74" a="1"/>
  <c r="F7" i="74" s="1"/>
  <c r="E7" i="74" a="1"/>
  <c r="E7" i="74" s="1"/>
  <c r="D7" i="74" a="1"/>
  <c r="D7" i="74" s="1"/>
  <c r="D5" i="74" a="1"/>
  <c r="D5" i="74" s="1"/>
  <c r="E20" i="72"/>
  <c r="D45" i="13" l="1"/>
  <c r="E45" i="13" s="1"/>
  <c r="E46" i="13"/>
  <c r="D34" i="13"/>
  <c r="F35" i="13"/>
  <c r="E35" i="13"/>
  <c r="F17" i="13"/>
  <c r="I17" i="13" s="1"/>
  <c r="F23" i="13"/>
  <c r="I23" i="13" s="1"/>
  <c r="F18" i="13"/>
  <c r="I18" i="13" s="1" a="1"/>
  <c r="I18" i="13" s="1"/>
  <c r="H24" i="13"/>
  <c r="F24" i="13"/>
  <c r="I24" i="13" s="1"/>
  <c r="F11" i="13"/>
  <c r="I11" i="13" s="1" a="1"/>
  <c r="I11" i="13" s="1"/>
  <c r="H11" i="13" a="1"/>
  <c r="H11" i="13" s="1"/>
  <c r="F10" i="13"/>
  <c r="I10" i="13" s="1"/>
  <c r="H10" i="13"/>
  <c r="F12" i="13"/>
  <c r="I12" i="13" s="1" a="1"/>
  <c r="I12" i="13" s="1"/>
  <c r="H21" i="13" a="1"/>
  <c r="H21" i="13" s="1"/>
  <c r="H8" i="13"/>
  <c r="F20" i="13"/>
  <c r="I20" i="13" s="1"/>
  <c r="F22" i="13"/>
  <c r="I22" i="13" s="1" a="1"/>
  <c r="I22" i="13" s="1"/>
  <c r="H19" i="13" a="1"/>
  <c r="H19" i="13" s="1"/>
  <c r="F9" i="13"/>
  <c r="I9" i="13" s="1" a="1"/>
  <c r="I9" i="13" s="1"/>
  <c r="E19" i="75"/>
  <c r="E20" i="75"/>
  <c r="E21" i="75" s="1"/>
  <c r="E36" i="13"/>
  <c r="F36" i="13"/>
  <c r="H54" i="74"/>
  <c r="H51" i="74"/>
  <c r="H49" i="74"/>
  <c r="G64" i="13"/>
  <c r="G65" i="13" s="1"/>
  <c r="H53" i="74"/>
  <c r="H48" i="74"/>
  <c r="H52" i="74"/>
  <c r="H50" i="74"/>
  <c r="F34" i="13" l="1"/>
  <c r="E34" i="13"/>
  <c r="E50" i="13"/>
  <c r="G61" i="13"/>
  <c r="G62" i="13" s="1"/>
  <c r="A20" i="13"/>
  <c r="A19" i="13"/>
  <c r="A18" i="13"/>
  <c r="A17" i="13"/>
  <c r="A14" i="13"/>
  <c r="A13" i="13"/>
  <c r="A12" i="13"/>
  <c r="A11" i="13"/>
  <c r="A8" i="13"/>
  <c r="A7" i="13"/>
  <c r="A4" i="13"/>
  <c r="A3" i="13"/>
  <c r="E39" i="13" l="1"/>
  <c r="H74" i="13" l="1"/>
  <c r="H71" i="13"/>
  <c r="H62" i="13"/>
  <c r="H64" i="13"/>
  <c r="H61" i="13"/>
  <c r="E56" i="13"/>
  <c r="H65" i="13" s="1"/>
  <c r="H70" i="13"/>
  <c r="H73" i="13"/>
  <c r="F39" i="13"/>
  <c r="I74" i="13" l="1"/>
  <c r="I71" i="13"/>
  <c r="I62" i="13"/>
  <c r="I64" i="13"/>
  <c r="F56" i="13"/>
  <c r="I65" i="13" s="1"/>
  <c r="I61" i="13"/>
  <c r="I73" i="13"/>
  <c r="I70"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<sst xmlns="http://schemas.openxmlformats.org/spreadsheetml/2006/main" count="300" uniqueCount="189">
  <si>
    <t>Home</t>
  </si>
  <si>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</si>
  <si>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</si>
  <si>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</si>
  <si>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</si>
  <si>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</si>
  <si>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</si>
  <si>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</si>
  <si>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</si>
  <si>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</si>
  <si>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</si>
  <si>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</si>
  <si>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</si>
  <si>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</si>
  <si>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</si>
  <si>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</si>
  <si>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</si>
  <si>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</si>
  <si>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</si>
  <si>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</si>
  <si>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</si>
  <si>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</si>
  <si>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</si>
  <si>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</si>
  <si>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</si>
  <si>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</si>
  <si>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</si>
  <si>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</si>
  <si>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</si>
  <si>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</si>
  <si>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</si>
  <si>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</si>
  <si>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</si>
  <si>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</si>
  <si>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</si>
  <si>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</si>
  <si>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</si>
  <si>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</si>
  <si>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</si>
  <si>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</si>
  <si>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</si>
  <si>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</si>
  <si>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</si>
  <si>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</si>
  <si>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</si>
  <si>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</si>
  <si>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</si>
  <si>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</si>
  <si>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</si>
  <si>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</si>
  <si>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</si>
  <si>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</si>
  <si>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</si>
  <si>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</si>
  <si>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</si>
  <si>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</si>
  <si>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</si>
  <si>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</si>
  <si>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</si>
  <si>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</si>
  <si>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</si>
  <si>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</si>
  <si>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</si>
  <si>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</si>
  <si>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</si>
  <si>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</si>
  <si>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</si>
  <si>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</si>
  <si>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</si>
  <si>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</si>
  <si>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</si>
  <si>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</si>
  <si>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</si>
  <si>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</si>
  <si>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</si>
  <si>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</si>
  <si>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</si>
  <si>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</si>
  <si>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</si>
  <si>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</si>
  <si>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</si>
  <si>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</si>
  <si>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</si>
  <si>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</si>
  <si>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</si>
  <si>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</si>
  <si>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</si>
  <si>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</si>
  <si>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</si>
  <si>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</si>
  <si>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</si>
  <si>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</si>
  <si>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</si>
  <si>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</si>
  <si>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</si>
  <si>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</si>
  <si>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</si>
  <si>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</si>
  <si>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</si>
  <si>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</si>
  <si>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</si>
  <si>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</si>
  <si>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</si>
  <si>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</si>
  <si>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</si>
  <si>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</si>
  <si>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</si>
  <si>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</si>
  <si>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</si>
  <si>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</si>
  <si>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</si>
  <si>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</si>
  <si>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</si>
  <si>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</si>
  <si>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</si>
  <si>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</si>
  <si>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for whole production cycle</t>
  </si>
  <si>
    <t>Emissions calculation cycle</t>
  </si>
  <si>
    <t>Enter the method 1 and 2 CO2e emissions from prevoius emissions calculation periods if applicable.</t>
  </si>
  <si>
    <t>Months</t>
  </si>
  <si>
    <t>Product emissions</t>
  </si>
  <si>
    <t>Amount (tonnnes)</t>
  </si>
  <si>
    <t>Unit</t>
  </si>
  <si>
    <t>Emissions intensity (Method 1)</t>
  </si>
  <si>
    <t>Emissions intensity (Method 2)</t>
  </si>
  <si>
    <t>Product type</t>
  </si>
  <si>
    <t>Main product</t>
  </si>
  <si>
    <t>Co-product</t>
  </si>
  <si>
    <t>N/A</t>
  </si>
  <si>
    <t>Residual product</t>
  </si>
  <si>
    <t>Carbon removals from plantings</t>
  </si>
  <si>
    <t>CO2 removed attributed to this enterprise</t>
  </si>
  <si>
    <t>t CO2</t>
  </si>
  <si>
    <t>Total emissions for production cycle</t>
  </si>
  <si>
    <t>Total carbon removals for production cycle</t>
  </si>
  <si>
    <t>Net emissions</t>
  </si>
  <si>
    <t>Method 1</t>
  </si>
  <si>
    <t>Method 2</t>
  </si>
  <si>
    <t>Product</t>
  </si>
  <si>
    <t>5.1.1.1-2 Inorganic fert N2O</t>
  </si>
  <si>
    <t>5.1.1.3-4 Inorganic fert CO2</t>
  </si>
  <si>
    <t>5.2.1.1-2 Organic fert N2O</t>
  </si>
  <si>
    <t>5.3.1.1-2 Lime CO2</t>
  </si>
  <si>
    <t>5.4.1.1-4 Atmos. deposition</t>
  </si>
  <si>
    <t>5.5.1.1-2 Leaching &amp; runoff</t>
  </si>
  <si>
    <t>8.1.1.1-2 Transport fuel CO2</t>
  </si>
  <si>
    <t>8.1.1.1-2 Transport fuel N2O</t>
  </si>
  <si>
    <t>8.1.1.1-2 Transport fuel CH4</t>
  </si>
  <si>
    <t>8.2.1.1-2 Stationary fuel CO2</t>
  </si>
  <si>
    <t>8.2.1.1-2 Stationary fuel CH4</t>
  </si>
  <si>
    <t>8.2.1.1-2 Stationary fuel N2O</t>
  </si>
  <si>
    <t>14.1.1-2 Purchased electricity (Location-based)</t>
  </si>
  <si>
    <t>14.1.1-2 Purchased electricity (Market-based)</t>
  </si>
  <si>
    <t>Input - Enterprise</t>
  </si>
  <si>
    <t>percent</t>
  </si>
  <si>
    <t>Grain yield</t>
  </si>
  <si>
    <t>Percentage of income from grain sold</t>
  </si>
  <si>
    <t>Baled hay/silage yield</t>
  </si>
  <si>
    <t>Percentage of income from baled hay/silage sold</t>
  </si>
  <si>
    <t>Percent grain sold</t>
  </si>
  <si>
    <t>Percent grain used as feed on own farm</t>
  </si>
  <si>
    <t>Percent grain stored and not sold or used</t>
  </si>
  <si>
    <t>Percent baled hay/silage sold</t>
  </si>
  <si>
    <t>Percent baled hay/silage used as feed on own farm</t>
  </si>
  <si>
    <t>Grain used as feed on own farm</t>
  </si>
  <si>
    <t>Baled haysilage used as feed on own farm</t>
  </si>
  <si>
    <t>t co2e/t grain sold</t>
  </si>
  <si>
    <t>t co2e/t baled hay/silage</t>
  </si>
  <si>
    <t>Economic emissions assignment</t>
  </si>
  <si>
    <t>Mass emissions assignment</t>
  </si>
  <si>
    <t>Emissions intestity (Method 1)</t>
  </si>
  <si>
    <t>Emissions intestity (Method 2)</t>
  </si>
  <si>
    <t>Product emissions - Mass</t>
  </si>
  <si>
    <t>Product emissions - Economic</t>
  </si>
  <si>
    <t>Grain sold - excluding removals</t>
  </si>
  <si>
    <t>Grain sold - net emissions</t>
  </si>
  <si>
    <t>Baled hay/silage sold - excluding removals</t>
  </si>
  <si>
    <t>Baled hay/silage sold - net emissions</t>
  </si>
  <si>
    <t>6.3.1.1-2 Leach &amp; runoff (crop)</t>
  </si>
  <si>
    <t>6.1.1.1-2 Crop residue N2O</t>
  </si>
  <si>
    <t>6.4.1.1-2 Residue burning CH4</t>
  </si>
  <si>
    <t>6.4.1.1-2 Residue burning N2O</t>
  </si>
  <si>
    <t>Enterprise: Grain Crop: Results</t>
  </si>
  <si>
    <t>Input - Fertiliser Production System</t>
  </si>
  <si>
    <t>Production system</t>
  </si>
  <si>
    <t>Crop</t>
  </si>
  <si>
    <t>Crop type</t>
  </si>
  <si>
    <t>Area under cropping</t>
  </si>
  <si>
    <t>These inputs are used for fertiliser calculations, and they take their values from the "Input - Crop" sheet. Do not edit these cells.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</si>
</sst>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s>
  <fonts count="5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s>
  <borders count="17">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7" fillId="4" borderId="0">
      <alignment horizontal="left" vertical="center"/>
    </xf>
    <xf numFmtId="0" fontId="31" fillId="4" borderId="0">
      <alignment vertical="center"/>
    </xf>
    <xf numFmtId="0" fontId="3" fillId="4" borderId="0">
      <alignment horizontal="left" vertical="center"/>
    </xf>
    <xf numFmtId="0" fontId="2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2" fillId="13" borderId="5">
      <alignment horizontal="left" vertical="center"/>
    </xf>
    <xf numFmtId="3" fontId="25" fillId="4" borderId="2">
      <alignment horizontal="center" vertical="center"/>
    </xf>
    <xf numFmtId="167" fontId="2" fillId="0" borderId="2">
      <alignment horizontal="center" vertical="center"/>
    </xf>
    <xf numFmtId="0" fontId="26" fillId="0" borderId="0"/>
    <xf numFmtId="0" fontId="9" fillId="0" borderId="0"/>
    <xf numFmtId="0" fontId="26" fillId="0" borderId="0"/>
    <xf numFmtId="166" fontId="25" fillId="4" borderId="2">
      <alignment horizontal="center" vertical="center"/>
    </xf>
    <xf numFmtId="4" fontId="25" fillId="4" borderId="2">
      <alignment horizontal="center" vertical="center"/>
    </xf>
    <xf numFmtId="0" fontId="36" fillId="4" borderId="0">
      <alignment horizontal="left" vertical="center"/>
    </xf>
    <xf numFmtId="0" fontId="28" fillId="4" borderId="0" applyNumberFormat="0">
      <alignment horizontal="center" vertical="center"/>
    </xf>
    <xf numFmtId="165" fontId="25" fillId="4" borderId="2">
      <alignment horizontal="center" vertical="center"/>
    </xf>
    <xf numFmtId="0" fontId="24" fillId="4" borderId="0">
      <alignment horizontal="left" vertical="center"/>
    </xf>
    <xf numFmtId="168" fontId="25" fillId="4" borderId="2">
      <alignment horizontal="center" vertical="center"/>
    </xf>
    <xf numFmtId="0" fontId="25" fillId="4" borderId="2">
      <alignment horizontal="center" vertical="center"/>
    </xf>
    <xf numFmtId="0" fontId="6" fillId="4" borderId="0">
      <alignment horizontal="left" vertical="center"/>
    </xf>
    <xf numFmtId="0" fontId="30" fillId="4" borderId="0">
      <alignment horizontal="left" vertical="center"/>
    </xf>
    <xf numFmtId="0" fontId="9" fillId="0" borderId="0"/>
    <xf numFmtId="0" fontId="2" fillId="0" borderId="2">
      <alignment horizontal="center" vertical="center"/>
    </xf>
    <xf numFmtId="0" fontId="34" fillId="4" borderId="0">
      <alignment horizontal="left" vertical="center"/>
    </xf>
    <xf numFmtId="0" fontId="35" fillId="4" borderId="0">
      <alignment horizontal="left" vertical="center"/>
    </xf>
    <xf numFmtId="0" fontId="37" fillId="4" borderId="0">
      <alignment horizontal="left" vertical="center"/>
    </xf>
    <xf numFmtId="0" fontId="33" fillId="11" borderId="0">
      <alignment horizontal="center" vertical="center"/>
    </xf>
    <xf numFmtId="0" fontId="20" fillId="11" borderId="0">
      <alignment horizontal="left" vertical="center" indent="1"/>
    </xf>
    <xf numFmtId="0" fontId="39" fillId="4" borderId="2">
      <alignment horizontal="left" vertical="center"/>
    </xf>
    <xf numFmtId="0" fontId="25" fillId="4" borderId="2">
      <alignment horizontal="left" vertical="center"/>
    </xf>
    <xf numFmtId="0" fontId="40" fillId="14" borderId="2">
      <alignment horizontal="center" vertical="center"/>
    </xf>
    <xf numFmtId="0" fontId="41" fillId="15" borderId="2">
      <alignment horizontal="center" vertical="center"/>
    </xf>
    <xf numFmtId="0" fontId="42"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94">
    <xf numFmtId="0" fontId="0" fillId="0" borderId="0" xfId="0"/>
    <xf numFmtId="0" fontId="29" fillId="4" borderId="0" xfId="8">
      <alignment horizontal="left" vertical="center"/>
    </xf>
    <xf numFmtId="0" fontId="27"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2" fontId="23" fillId="4" borderId="1" xfId="0" applyNumberFormat="1" applyFont="1" applyFill="1" applyBorder="1"/>
    <xf numFmtId="2" fontId="0" fillId="4" borderId="0" xfId="0" applyNumberFormat="1" applyFill="1" applyAlignment="1">
      <alignment vertical="center"/>
    </xf>
    <xf numFmtId="0" fontId="16" fillId="4" borderId="0" xfId="4" applyFill="1">
      <alignment vertical="center"/>
    </xf>
    <xf numFmtId="0" fontId="22" fillId="4" borderId="0" xfId="0" applyFont="1" applyFill="1"/>
    <xf numFmtId="2" fontId="23" fillId="4" borderId="0" xfId="0" applyNumberFormat="1" applyFont="1" applyFill="1"/>
    <xf numFmtId="0" fontId="23" fillId="4" borderId="1" xfId="0" applyFont="1" applyFill="1" applyBorder="1"/>
    <xf numFmtId="0" fontId="6" fillId="4" borderId="0" xfId="53">
      <alignment horizontal="left" vertical="center"/>
    </xf>
    <xf numFmtId="0" fontId="10" fillId="0" borderId="0" xfId="32"/>
    <xf numFmtId="9" fontId="8" fillId="4" borderId="0" xfId="11">
      <alignment horizontal="center" vertical="center"/>
    </xf>
    <xf numFmtId="164" fontId="8" fillId="4" borderId="0" xfId="10">
      <alignment horizontal="center" vertical="center"/>
    </xf>
    <xf numFmtId="2" fontId="23" fillId="4" borderId="1" xfId="0" applyNumberFormat="1" applyFont="1" applyFill="1" applyBorder="1" applyAlignment="1">
      <alignment horizontal="center"/>
    </xf>
    <xf numFmtId="0" fontId="33" fillId="11" borderId="0" xfId="60">
      <alignment horizontal="center" vertical="center"/>
    </xf>
    <xf numFmtId="0" fontId="38" fillId="0" borderId="0" xfId="2" applyFont="1"/>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5" fillId="4" borderId="2" xfId="52">
      <alignment horizontal="center" vertical="center"/>
    </xf>
    <xf numFmtId="0" fontId="6" fillId="4" borderId="0" xfId="12">
      <alignment horizontal="left" vertical="center" indent="1"/>
    </xf>
    <xf numFmtId="0" fontId="31" fillId="4" borderId="0" xfId="6">
      <alignment vertical="center"/>
    </xf>
    <xf numFmtId="9" fontId="2" fillId="0" borderId="2" xfId="16">
      <alignment horizontal="center" vertical="center"/>
    </xf>
    <xf numFmtId="9" fontId="25" fillId="4" borderId="2" xfId="68" applyFont="1" applyFill="1" applyBorder="1" applyAlignment="1">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30"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7" fillId="0" borderId="0" xfId="5" applyFill="1">
      <alignment horizontal="left" vertical="center"/>
    </xf>
    <xf numFmtId="0" fontId="11" fillId="4" borderId="0" xfId="30">
      <alignment vertical="center"/>
    </xf>
    <xf numFmtId="0" fontId="31" fillId="0" borderId="0" xfId="6" applyFill="1">
      <alignment vertical="center"/>
    </xf>
    <xf numFmtId="0" fontId="2" fillId="0" borderId="2" xfId="14">
      <alignment horizontal="center" vertical="center"/>
    </xf>
    <xf numFmtId="0" fontId="29" fillId="0" borderId="0" xfId="8" applyFill="1">
      <alignment horizontal="left" vertical="center"/>
    </xf>
    <xf numFmtId="0" fontId="32" fillId="13" borderId="7" xfId="39" applyBorder="1">
      <alignment horizontal="left" vertical="center"/>
    </xf>
    <xf numFmtId="0" fontId="32" fillId="13" borderId="8" xfId="39" applyBorder="1">
      <alignment horizontal="left" vertical="center"/>
    </xf>
    <xf numFmtId="0" fontId="32" fillId="13" borderId="9" xfId="39" applyBorder="1">
      <alignment horizontal="left" vertical="center"/>
    </xf>
    <xf numFmtId="0" fontId="32" fillId="13" borderId="10" xfId="39" applyBorder="1">
      <alignment horizontal="left" vertical="center"/>
    </xf>
    <xf numFmtId="0" fontId="44" fillId="0" borderId="0" xfId="12" applyFont="1" applyFill="1" applyAlignment="1">
      <alignment horizontal="left" vertical="center"/>
    </xf>
    <xf numFmtId="166" fontId="25" fillId="4" borderId="2" xfId="40" applyNumberFormat="1">
      <alignment horizontal="center" vertical="center"/>
    </xf>
    <xf numFmtId="0" fontId="2" fillId="0" borderId="0" xfId="7" applyFont="1" applyFill="1">
      <alignment horizontal="left" vertical="center"/>
    </xf>
    <xf numFmtId="0" fontId="45" fillId="13" borderId="11" xfId="39" applyFont="1" applyBorder="1">
      <alignment horizontal="left" vertical="center"/>
    </xf>
    <xf numFmtId="0" fontId="32" fillId="13" borderId="12" xfId="39" applyBorder="1">
      <alignment horizontal="left" vertical="center"/>
    </xf>
    <xf numFmtId="0" fontId="32" fillId="13" borderId="13" xfId="39" applyBorder="1">
      <alignment horizontal="left" vertical="center"/>
    </xf>
    <xf numFmtId="0" fontId="32" fillId="13" borderId="14" xfId="39" applyBorder="1">
      <alignment horizontal="left" vertical="center"/>
    </xf>
    <xf numFmtId="0" fontId="32" fillId="13" borderId="15" xfId="39" applyBorder="1">
      <alignment horizontal="left" vertical="center"/>
    </xf>
    <xf numFmtId="0" fontId="32"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6" fillId="0" borderId="0" xfId="0" applyFont="1" applyAlignment="1" applyProtection="1">
      <alignment horizontal="center" vertical="center"/>
      <protection locked="0"/>
    </xf>
    <xf numFmtId="4" fontId="47" fillId="0" borderId="0" xfId="17" applyFont="1" applyBorder="1">
      <alignment horizontal="center" vertical="center"/>
    </xf>
    <xf numFmtId="164" fontId="8" fillId="4" borderId="0" xfId="26" applyBorder="1">
      <alignment horizontal="center" vertical="center"/>
    </xf>
    <xf numFmtId="4" fontId="47" fillId="4" borderId="0" xfId="17" applyFont="1" applyFill="1" applyBorder="1">
      <alignment horizontal="center" vertical="center"/>
    </xf>
    <xf numFmtId="0" fontId="47" fillId="4" borderId="0" xfId="12" applyFont="1" applyAlignment="1">
      <alignment horizontal="center" vertical="center"/>
    </xf>
    <xf numFmtId="0" fontId="47" fillId="4" borderId="0" xfId="8" applyFont="1" applyAlignment="1">
      <alignment horizontal="center" vertical="center"/>
    </xf>
    <xf numFmtId="166" fontId="47" fillId="4" borderId="0" xfId="8" applyNumberFormat="1" applyFont="1" applyAlignment="1">
      <alignment horizontal="center" vertical="center"/>
    </xf>
    <xf numFmtId="9" fontId="47" fillId="4" borderId="0" xfId="68" applyFont="1" applyFill="1" applyBorder="1" applyAlignment="1">
      <alignment horizontal="center" vertical="center"/>
    </xf>
    <xf numFmtId="0" fontId="48" fillId="4" borderId="0" xfId="0" applyFont="1" applyFill="1" applyAlignment="1">
      <alignment horizontal="center" vertical="center"/>
    </xf>
    <xf numFmtId="0" fontId="48" fillId="4" borderId="0" xfId="0" applyFont="1" applyFill="1"/>
    <xf numFmtId="0" fontId="47" fillId="4" borderId="0" xfId="0" applyFont="1" applyFill="1"/>
    <xf numFmtId="0" fontId="47" fillId="0" borderId="0" xfId="0" applyFont="1"/>
    <xf numFmtId="0" fontId="49" fillId="4" borderId="0" xfId="7" applyFont="1" applyAlignment="1">
      <alignment horizontal="center" vertical="center"/>
    </xf>
    <xf numFmtId="0" fontId="50" fillId="4" borderId="0" xfId="7" applyFont="1" applyAlignment="1">
      <alignment horizontal="center" vertical="center"/>
    </xf>
    <xf numFmtId="166" fontId="50" fillId="4" borderId="0" xfId="7" applyNumberFormat="1" applyFont="1" applyAlignment="1">
      <alignment horizontal="center" vertical="center"/>
    </xf>
    <xf numFmtId="0" fontId="50" fillId="4" borderId="0" xfId="0" applyFont="1" applyFill="1" applyAlignment="1">
      <alignment horizontal="center" vertical="center"/>
    </xf>
    <xf numFmtId="0" fontId="51" fillId="4" borderId="0" xfId="0" applyFont="1" applyFill="1" applyAlignment="1">
      <alignment horizontal="center" vertical="center"/>
    </xf>
    <xf numFmtId="0" fontId="51" fillId="4" borderId="0" xfId="0" applyFont="1" applyFill="1" applyAlignment="1">
      <alignment horizontal="left" vertical="center"/>
    </xf>
    <xf numFmtId="14" fontId="3" fillId="4" borderId="0" xfId="7" applyNumberFormat="1">
      <alignment horizontal="left" vertical="center"/>
    </xf>
    <xf numFmtId="0" fontId="32" fillId="13" borderId="5" xfId="39">
      <alignment horizontal="left" vertical="center"/>
    </xf>
    <xf numFmtId="0" fontId="42"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52" fillId="4" borderId="0" xfId="0" applyFont="1" applyFill="1"/>
    <xf numFmtId="0" fontId="2" fillId="0" borderId="2" xfId="56">
      <alignment horizontal="center" vertical="center"/>
    </xf>
    <xf numFmtId="2" fontId="29" fillId="4" borderId="0" xfId="8" applyNumberFormat="1">
      <alignment horizontal="left" vertical="center"/>
    </xf>
    <xf numFmtId="0" fontId="43" fillId="4" borderId="0" xfId="8" applyFont="1">
      <alignment horizontal="left" vertical="center"/>
    </xf>
    <xf numFmtId="0" fontId="23" fillId="4" borderId="0" xfId="0" applyFont="1" applyFill="1"/>
    <xf numFmtId="0" fontId="25" fillId="4" borderId="2" xfId="52" quotePrefix="1">
      <alignment horizontal="center" vertical="center"/>
    </xf>
    <xf numFmtId="0" fontId="36" fillId="4" borderId="0" xfId="47">
      <alignment horizontal="left" vertical="center"/>
    </xf>
    <xf numFmtId="0" fontId="29" fillId="4" borderId="0" xfId="8" applyBorder="1">
      <alignment horizontal="left" vertical="center"/>
    </xf>
  </cellXfs>
  <cellStyles count="69">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48">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7"/>
      <tableStyleElement type="headerRow" dxfId="46"/>
      <tableStyleElement type="totalRow" dxfId="45"/>
      <tableStyleElement type="firstColumn" dxfId="44"/>
      <tableStyleElement type="firstRowStripe" dxfId="43"/>
      <tableStyleElement type="secondRowStripe" dxfId="42"/>
    </tableStyle>
    <tableStyle name="Equation table" pivot="0" count="6" xr9:uid="{B247698E-E41D-4CCD-AA0A-C14817E9DE65}">
      <tableStyleElement type="wholeTable" dxfId="41"/>
      <tableStyleElement type="headerRow" dxfId="40"/>
      <tableStyleElement type="totalRow" dxfId="39"/>
      <tableStyleElement type="firstColumn" dxfId="38"/>
      <tableStyleElement type="firstRowStripe" dxfId="37"/>
      <tableStyleElement type="secondRowStripe" dxfId="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62</xdr:row>
      <xdr:rowOff>200025</xdr:rowOff>
    </xdr:from>
    <xdr:to>
      <xdr:col>9</xdr:col>
      <xdr:colOff>1443037</xdr:colOff>
      <xdr:row>74</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FA511D-1E33-4FA7-9E53-155741FDE40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7717A66-4BDA-43C0-BFCD-4A6F29AEE8A3}" name="State/Territory">
      <calculatedColumnFormula array="1">Common_InputFunctions.Utility_DisplayArrayInTable(Common_SourceData.Common_SourceData_AustralianStatesTerritories_Data(),Table_AustralianStates[[#Headers],[State/Territory]],0)</calculatedColumnFormula>
    </tableColumn>
    <tableColumn id="2" xr3:uid="{D6D2A619-26C3-4096-9C5E-261DB4783E3F}" name="Common Name">
      <calculatedColumnFormula array="1">Common_InputFunctions.Utility_DisplayArrayInTable(Common_SourceData.Common_SourceData_AustralianStatesTerritories_Data(),Table_AustralianStates[[#Headers],[State/Territory]],0)</calculatedColumnFormula>
    </tableColumn>
    <tableColumn id="3" xr3:uid="{8F8F275A-708B-458E-9ABF-5295B622DDF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51EF82-BC21-4875-B405-6D0F230C2B8D}" name="Table_WASA4Areas" displayName="Table_WASA4Areas" ref="D20:D30" totalsRowShown="0">
  <autoFilter ref="D20:D30" xr:uid="{5FA81339-C6C8-4D36-BEEA-6C4AEDD9E676}">
    <filterColumn colId="0" hiddenButton="1"/>
  </autoFilter>
  <tableColumns count="1">
    <tableColumn id="1" xr3:uid="{0A16A557-CD1A-4230-A0E4-670FBDA4CD0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15B4B0-BD4E-4903-9096-ED3FE0A9167C}" name="Table_GWPData" displayName="Table_GWPData" ref="D36:E43" totalsRowShown="0">
  <autoFilter ref="D36:E43" xr:uid="{B8E87A66-3E41-4AD3-925D-01EE21B43D7A}">
    <filterColumn colId="0" hiddenButton="1"/>
    <filterColumn colId="1" hiddenButton="1"/>
  </autoFilter>
  <tableColumns count="2">
    <tableColumn id="1" xr3:uid="{9BFA3AA7-7549-47B7-8147-49CC22B23598}" name="Gas">
      <calculatedColumnFormula array="1">Common_InputFunctions.Utility_DisplayArrayInTable(Common_SourceData.Common_SourceData_GWP_Data(), Table_GWPData[[#Headers],[Gas]], 0)</calculatedColumnFormula>
    </tableColumn>
    <tableColumn id="2" xr3:uid="{56BBDB36-E3BB-4678-8824-A909AEED8E4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6C67C36-18E1-4B8A-BFF1-35CF3DC4AC8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CBBB9D5-7AA2-41EA-B99D-63DD8E7116D6}" name="Gas">
      <calculatedColumnFormula array="1">Common_InputFunctions.Utility_DisplayArrayInTable(Common_SourceData.Common_SourceData_ConvertGasElementalToMolecular_Data(),Table_GasToMolecularConversionFactor[[#Headers],[Gas]], 0)</calculatedColumnFormula>
    </tableColumn>
    <tableColumn id="5" xr3:uid="{1F10E85A-E8E7-4403-B922-7CD822BDAAAC}" name="Conversion factor">
      <calculatedColumnFormula array="1">Common_InputFunctions.Utility_DisplayArrayInTable(Common_SourceData.Common_SourceData_ConvertGasElementalToMolecular_Data(),Table_GasToMolecularConversionFactor[[#Headers],[Gas]], 0)</calculatedColumnFormula>
    </tableColumn>
    <tableColumn id="2" xr3:uid="{A186BBCE-16ED-4C60-8611-6582C90E465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1D6C7D2-A210-4091-8447-15F9317092F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B5653AF-5CD0-44F6-827E-4F17D013B02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6C8105-982C-4B9F-A603-F884FE56E1B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D61DF3B-A431-4956-B923-158AD5BF455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7D098C-8B59-4F56-B373-2BF7AAA9A607}"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827CC720-B781-4728-ABFA-68C972B57850}"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38653B97-E186-444A-AFBD-15CE44DEBED7}"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735BA31E-1D4B-45A4-B9FF-7F8ED5243D20}"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370BE1BB-C3DF-4E43-B8DD-B18D69884A4B}"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37A53713-47F8-4F27-9505-8BED300E0222}"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D9399681-9FC5-41A0-A367-D4D41BBB28CA}"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65211A71-1ABE-4E6D-843C-B0028543D400}"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8ED03576-B413-4D12-B37A-5F11E15AA54D}"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E749576A-EB5F-4709-BD15-9BD4E87548D5}"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61CC0B40-56FD-487C-A589-45456757E8A1}"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32B52E24-5576-47A4-A024-CDC090D88746}"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B4341912-AB7E-4E58-9B4D-9791D45FB352}"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67418986-6C11-45D0-A4DC-D7861BD61C09}"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90614980-AE79-4306-A6ED-229525821D94}"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28FD2E-DAAA-4D4F-BEFF-0E68A1F33AA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FEB61CA1-B375-461F-AD5A-5B01A03F7A1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E3C7A00-6DDA-427C-9573-7908B05111FB}"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436A27C-11D9-4092-B110-DE3B0C7D7A9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E477FC1-0E60-467C-87C8-DC619003DA7D}" name="Temperature Zone">
      <calculatedColumnFormula array="1">Common_InputFunctions.Utility_DisplayArrayInTable(Common_SourceData.Common_SourceData_TemperatureZones_Data(),Table_SourceData_TemperatureZones[[#Headers],[Temperature Zone]],0)</calculatedColumnFormula>
    </tableColumn>
    <tableColumn id="2" xr3:uid="{CD029E58-AF67-4858-BEF6-937BB536E757}" name="MAT">
      <calculatedColumnFormula array="1">Common_InputFunctions.Utility_DisplayArrayInTable(Common_SourceData.Common_SourceData_TemperatureZones_Data(),Table_SourceData_TemperatureZones[[#Headers],[Temperature Zone]],0)</calculatedColumnFormula>
    </tableColumn>
    <tableColumn id="3" xr3:uid="{5195427E-32DD-4977-88C7-473D17A15EDE}" name="Min MAT">
      <calculatedColumnFormula array="1">Common_InputFunctions.Utility_DisplayArrayInTable(Common_SourceData.Common_SourceData_TemperatureZones_Data(),Table_SourceData_TemperatureZones[[#Headers],[Temperature Zone]],0)</calculatedColumnFormula>
    </tableColumn>
    <tableColumn id="4" xr3:uid="{4C8D6B45-65E8-4A84-9B64-B4D1E990BE7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A9D31FA-C10A-401A-A990-FD7418530E0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A1896C80-5B23-4971-85DF-908C9411D636}" name="Rainfall Zone">
      <calculatedColumnFormula array="1">Common_InputFunctions.Utility_DisplayArrayInTable(Common_SourceData.Common_SourceData_RainfallZones_Data(),Table_SourceData_RainfallZones[[#Headers],[Rainfall Zone]],0)</calculatedColumnFormula>
    </tableColumn>
    <tableColumn id="2" xr3:uid="{776A729E-62FB-471E-9D55-F5C0C49DAFB1}" name="Annual rainfall">
      <calculatedColumnFormula array="1">Common_InputFunctions.Utility_DisplayArrayInTable(Common_SourceData.Common_SourceData_RainfallZones_Data(),Table_SourceData_RainfallZones[[#Headers],[Rainfall Zone]],0)</calculatedColumnFormula>
    </tableColumn>
    <tableColumn id="3" xr3:uid="{5C488583-1093-4920-BAEF-A4BD862E3623}" name="Min rainfall">
      <calculatedColumnFormula array="1">Common_InputFunctions.Utility_DisplayArrayInTable(Common_SourceData.Common_SourceData_RainfallZones_Data(),Table_SourceData_RainfallZones[[#Headers],[Rainfall Zone]],0)</calculatedColumnFormula>
    </tableColumn>
    <tableColumn id="4" xr3:uid="{EDCA589F-5D6E-4F25-A934-864B94D632C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C0B98FF-3B1A-4F33-9028-A6B26A7E6CE4}"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BC50AC7-FEC1-431E-AD41-7CB9E130FE72}" name="Leaching Zone">
      <calculatedColumnFormula array="1">Common_InputFunctions.Utility_DisplayArrayInTable(Common_SourceData.Common_SourceData_LeachingZones_Data(), Table_SourceData_LeachingZones[[#Headers],[Leaching Zone]], 0)</calculatedColumnFormula>
    </tableColumn>
    <tableColumn id="2" xr3:uid="{ED997B4B-69AA-458D-AD94-F4C79A1B94D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1B321B1-DD2B-4EC5-AE20-D47C87F02BBF}"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8CA1470-758E-4475-BE8B-25D35A86BE01}" name="Data source">
      <calculatedColumnFormula array="1">Common_InputFunctions.Utility_DisplayArrayInTable(Common_SourceData.Common_SourceData_DataScores_Scope3_Data(), Table_SourceData_DataScores_Scope3[[#Headers],[Data source]], 0)</calculatedColumnFormula>
    </tableColumn>
    <tableColumn id="2" xr3:uid="{1F17B60B-4C21-4D79-B503-2BB5C2CDDB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4C890C4-4A77-40EC-A6C1-19C0895BD309}" name="Table_SourceData_FracWET" displayName="Table_SourceData_FracWET" ref="D134:E136" totalsRowShown="0">
  <autoFilter ref="D134:E136" xr:uid="{308E99BE-FE1F-47A4-B2CA-97217277C4E9}">
    <filterColumn colId="0" hiddenButton="1"/>
    <filterColumn colId="1" hiddenButton="1"/>
  </autoFilter>
  <tableColumns count="2">
    <tableColumn id="1" xr3:uid="{AEB37CE8-5689-4CCA-AF1D-E45E37F37CC1}" name="Is in leaching zone">
      <calculatedColumnFormula array="1">Common_InputFunctions.Utility_DisplayArrayInTable(Common_SourceData.Common_SourceData_FracWET_Data(),Table_SourceData_FracWET[[#Headers],[Is in leaching zone]],0)</calculatedColumnFormula>
    </tableColumn>
    <tableColumn id="2" xr3:uid="{8ABB6BDF-FE17-4B3B-BDE2-B9AAF30FF3BD}"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BB36C9A-81C9-4008-9621-02E7765F421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F8F31AC-00F6-4249-87C9-3FC6FE61BBC6}" name="Production system j">
      <calculatedColumnFormula array="1">Common_InputFunctions.Utility_DisplayArrayInTable(Common_SourceData.Common_SourceData_EFN2O_Data(), Table_SourceData_Common_EFN2O[[#Headers],[Production system j]], 0)</calculatedColumnFormula>
    </tableColumn>
    <tableColumn id="2" xr3:uid="{C297EA64-FE6E-4A07-A69E-528AF5291D69}" name="EFN2O">
      <calculatedColumnFormula array="1">Common_InputFunctions.Utility_DisplayArrayInTable(Common_SourceData.Common_SourceData_EFN2O_Data(), Table_SourceData_Common_EFN2O[[#Headers],[Production system j]], 0)</calculatedColumnFormula>
    </tableColumn>
    <tableColumn id="3" xr3:uid="{6AF2FB50-AEC5-4A97-85DD-5BA28FE67661}" name="Production system only">
      <calculatedColumnFormula array="1">Common_InputFunctions.Utility_DisplayArrayInTable(Common_SourceData.Common_SourceData_EFN2O_Data(), Table_SourceData_Common_EFN2O[[#Headers],[Production system j]], 0)</calculatedColumnFormula>
    </tableColumn>
    <tableColumn id="4" xr3:uid="{86FFBCC3-0C43-4C00-A2EE-6BE3F2E4BF06}" name="Irrigation method">
      <calculatedColumnFormula array="1">Common_InputFunctions.Utility_DisplayArrayInTable(Common_SourceData.Common_SourceData_EFN2O_Data(), Table_SourceData_Common_EFN2O[[#Headers],[Production system j]], 0)</calculatedColumnFormula>
    </tableColumn>
    <tableColumn id="5" xr3:uid="{149802D4-7D06-4288-AFC4-EA24F6C8F48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1046769-5E78-4435-8902-BE2F7ED271E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EE4C9C2-CE36-41D3-A67F-CC85678D8B80}" name="Irrigation type i">
      <calculatedColumnFormula array="1">Common_InputFunctions.Utility_DisplayArrayInTable(Common_SourceData.Common_SourceData_FracWETIrrigation_Data(), Table_SourceData_FracWETIrrigation[[#Headers],[Irrigation type i]], 0)</calculatedColumnFormula>
    </tableColumn>
    <tableColumn id="2" xr3:uid="{DD5CBEE2-8756-4D0C-9A90-6E931CF609D0}"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D2D24A9-44B5-40A8-9D93-5D127038E490}"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6483A9E-91D3-4695-AB70-E830E24596D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127A673-CAEF-41F9-A48A-D438D3FFF619}"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20A54E0-06E3-423D-998B-2E4A7C9A48F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2A66992-064C-4170-856F-B81D835CEE21}" name="Month">
      <calculatedColumnFormula array="1">Common_InputFunctions.Utility_DisplayArrayInTable(Common_SourceData.Common_SourceData_MonthsToSeasons_Data(), Table_SourceData_Common_MonthToSeason[[#Headers],[Month]], 0)</calculatedColumnFormula>
    </tableColumn>
    <tableColumn id="2" xr3:uid="{48B6FC8D-6503-4BB2-B07D-00597C808CB0}"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6A63BFC-1602-47C1-AF55-49AA6B4633CD}"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344A8E3-CBAD-4F7E-B0CA-85C4550A31F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C26B9B4-F509-4ACF-A306-F52C2D83B94C}"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6D3FCFB-672E-43AB-BAD6-C5F3A36DC255}"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86B0E39-9F46-4519-A952-1FCC90F0A23E}"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AB3566B-B894-433E-9D4A-4CA76B82C3BD}"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D655DEC-7C3C-4046-9046-7ABE03AF26CA}"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C01C908-9F78-404B-A8A9-081231B6DBAF}"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16BC200-DE2E-4607-9A3A-E48F6A72FB0F}"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D073AF2-25E0-49BE-825D-D38FD86B34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C00D039-8FF7-4CF7-B97D-987BAE97BA35}"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3FD2E13-24D5-402A-8C77-E324B6925825}"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6CCAA4CD-85BD-481B-A987-0719DD47798C}"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2540CA2-E51E-45F0-A036-45D45913194C}"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93A0B3F-42CD-412F-B1E5-79CF90491213}"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4E9918F-2DF8-4DE9-AD76-C61362285599}"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E671AF8-F8E0-4322-B78A-1B6A3A96A4E0}"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49FFD0F-1699-4700-8323-CF2162C2663F}"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2DE88A1-FD3E-429F-81D0-81A0580D58D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3505652E-76CD-41ED-BC1F-830404A5E233}"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printerSettings" Target="../printerSettings/printerSettings2.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34" sqref="D34"/>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17" t="e" vm="1">
        <v>#VALUE!</v>
      </c>
      <c r="C1" s="22" t="s">
        <v>182</v>
      </c>
    </row>
    <row r="2" spans="1:11" ht="20.100000000000001" customHeight="1" x14ac:dyDescent="0.25">
      <c r="A2" s="3"/>
      <c r="C2" s="3"/>
    </row>
    <row r="3" spans="1:11" ht="20.100000000000001" customHeight="1" x14ac:dyDescent="0.25">
      <c r="A3" s="5" t="str">
        <f>HYPERLINK("#'Home'!A1", "Home")</f>
        <v>Home</v>
      </c>
      <c r="C3" s="9"/>
      <c r="D3" s="9"/>
      <c r="E3" s="9"/>
      <c r="F3" s="9"/>
      <c r="G3" s="9"/>
      <c r="H3" s="9"/>
      <c r="I3" s="9"/>
      <c r="J3" s="9"/>
      <c r="K3" s="9"/>
    </row>
    <row r="4" spans="1:11" ht="20.100000000000001" customHeight="1" x14ac:dyDescent="0.25">
      <c r="A4" s="5" t="str">
        <f>HYPERLINK("#'Results'!A1", "Results")</f>
        <v>Results</v>
      </c>
      <c r="C4" s="9"/>
      <c r="D4" s="2" t="str">
        <f>"Emissions breakdown for activities running between " &amp; TEXT(X_Cell_Site_StartDate, "dd mmmm yyyy") &amp; " and " &amp; TEXT('Input - Enterprise'!E13, "dd mmmm yyyy")</f>
        <v>Emissions breakdown for activities running between 01 January 2025 and 31 December 2025</v>
      </c>
      <c r="E4" s="11"/>
      <c r="F4" s="11"/>
      <c r="G4" s="11"/>
      <c r="H4" s="2"/>
      <c r="I4" s="2"/>
      <c r="J4" s="2"/>
      <c r="K4" s="12"/>
    </row>
    <row r="5" spans="1:11" ht="20.100000000000001" customHeight="1" x14ac:dyDescent="0.3">
      <c r="A5" s="4"/>
      <c r="C5" s="9"/>
      <c r="D5" s="13"/>
      <c r="E5" s="14"/>
      <c r="F5" s="14"/>
      <c r="G5" s="14"/>
      <c r="H5" s="11"/>
      <c r="I5" s="9"/>
      <c r="J5" s="9"/>
      <c r="K5" s="9"/>
    </row>
    <row r="6" spans="1:11" ht="20.100000000000001" customHeight="1" x14ac:dyDescent="0.25">
      <c r="A6" s="8" t="s">
        <v>1</v>
      </c>
      <c r="C6" s="9"/>
      <c r="D6" s="21" t="s">
        <v>4</v>
      </c>
      <c r="E6" s="21" t="s">
        <v>9</v>
      </c>
      <c r="F6" s="21" t="s">
        <v>10</v>
      </c>
      <c r="G6" s="21" t="s">
        <v>6</v>
      </c>
      <c r="H6" s="21" t="s">
        <v>11</v>
      </c>
      <c r="I6" s="21" t="s">
        <v>12</v>
      </c>
      <c r="J6" s="2"/>
      <c r="K6" s="9"/>
    </row>
    <row r="7" spans="1:11" ht="20.100000000000001" customHeight="1" x14ac:dyDescent="0.25">
      <c r="A7" s="5" t="str">
        <f>HYPERLINK("#'Input - Site'!A1", "Site")</f>
        <v>Site</v>
      </c>
      <c r="C7" s="9"/>
      <c r="D7" s="1" t="s">
        <v>139</v>
      </c>
      <c r="E7" s="19" t="e" cm="1">
        <f t="array" ref="E7">VEERG_5_1_1_1__1_InorganicFertiliserApplicationN2OEmissions_Result_Method1</f>
        <v>#NAME?</v>
      </c>
      <c r="F7" s="19" t="e" cm="1">
        <f t="array" ref="F7">VEERG_5_1_1_1__1_InorganicFertiliserApplicationN2OEmissions_Result_Method2</f>
        <v>#NAME?</v>
      </c>
      <c r="G7" s="16" t="s">
        <v>13</v>
      </c>
      <c r="H7" s="19" t="e" cm="1">
        <f t="array" ref="H7">Common_Equations.Common_ConvertN2OToCO2e(E7,_xlfn.XLOOKUP("N2O", Table_GWPData[Gas],Table_GWPData[CO2-e factor]))</f>
        <v>#NAME?</v>
      </c>
      <c r="I7" s="19" t="e" cm="1">
        <f t="array" ref="I7">Common_Equations.Common_ConvertN2OToCO2e(F7,_xlfn.XLOOKUP("N2O", Table_GWPData[Gas],Table_GWPData[CO2-e factor]))</f>
        <v>#NAME?</v>
      </c>
      <c r="J7" s="16" t="s">
        <v>8</v>
      </c>
      <c r="K7" s="9"/>
    </row>
    <row r="8" spans="1:11" ht="20.100000000000001" customHeight="1" x14ac:dyDescent="0.25">
      <c r="A8" s="5" t="str">
        <f>HYPERLINK("#'Input - Pasture Beef'!A1", "Pasture Beef")</f>
        <v>Pasture Beef</v>
      </c>
      <c r="C8" s="9"/>
      <c r="D8" s="1" t="s">
        <v>140</v>
      </c>
      <c r="E8" s="19" t="e" cm="1">
        <f t="array" ref="E8">VEERG_5_1_1_3__1_InorganicFertiliserApplicationCO2Emissions_Result_Method1</f>
        <v>#NAME?</v>
      </c>
      <c r="F8" s="19" t="e">
        <f>E8</f>
        <v>#NAME?</v>
      </c>
      <c r="G8" s="16" t="s">
        <v>132</v>
      </c>
      <c r="H8" s="19" t="e">
        <f>E8</f>
        <v>#NAME?</v>
      </c>
      <c r="I8" s="19" t="e">
        <f>F8</f>
        <v>#NAME?</v>
      </c>
      <c r="J8" s="16" t="s">
        <v>8</v>
      </c>
      <c r="K8" s="9"/>
    </row>
    <row r="9" spans="1:11" ht="20.100000000000001" customHeight="1" x14ac:dyDescent="0.25">
      <c r="A9" s="5"/>
      <c r="C9" s="9"/>
      <c r="D9" s="1" t="s">
        <v>141</v>
      </c>
      <c r="E9" s="19" t="e" cm="1">
        <f t="array" ref="E9">VEERG_5_2_1_1__2_MassOfNitrogenInOrganicFertiliser_Result_Method1</f>
        <v>#NAME?</v>
      </c>
      <c r="F9" s="19" t="e">
        <f>E9</f>
        <v>#NAME?</v>
      </c>
      <c r="G9" s="16" t="s">
        <v>13</v>
      </c>
      <c r="H9" s="19" t="e" cm="1">
        <f t="array" ref="H9">Common_Equations.Common_ConvertN2OToCO2e(E9,_xlfn.XLOOKUP("N2O", Table_GWPData[Gas],Table_GWPData[CO2-e factor]))</f>
        <v>#NAME?</v>
      </c>
      <c r="I9" s="19" t="e" cm="1">
        <f t="array" ref="I9">Common_Equations.Common_ConvertN2OToCO2e(F9,_xlfn.XLOOKUP("N2O", Table_GWPData[Gas],Table_GWPData[CO2-e factor]))</f>
        <v>#NAME?</v>
      </c>
      <c r="J9" s="16" t="s">
        <v>8</v>
      </c>
      <c r="K9" s="9"/>
    </row>
    <row r="10" spans="1:11" ht="20.100000000000001" customHeight="1" x14ac:dyDescent="0.25">
      <c r="A10" s="7" t="s">
        <v>3</v>
      </c>
      <c r="C10" s="9"/>
      <c r="D10" s="1" t="s">
        <v>142</v>
      </c>
      <c r="E10" s="19" t="e" cm="1">
        <f t="array" ref="E10">VEERG_5_3_1_1__1_LimeApplicationCO2Emissions_Result_Method1</f>
        <v>#NAME?</v>
      </c>
      <c r="F10" s="19" t="e">
        <f>E10</f>
        <v>#NAME?</v>
      </c>
      <c r="G10" s="16" t="s">
        <v>132</v>
      </c>
      <c r="H10" s="19" t="e">
        <f>E10</f>
        <v>#NAME?</v>
      </c>
      <c r="I10" s="19" t="e">
        <f>F10</f>
        <v>#NAME?</v>
      </c>
      <c r="J10" s="16" t="s">
        <v>8</v>
      </c>
      <c r="K10" s="9"/>
    </row>
    <row r="11" spans="1:11" ht="20.100000000000001" customHeight="1" x14ac:dyDescent="0.25">
      <c r="A11" s="5" t="str">
        <f>HYPERLINK("#'4.2.1.1-2 Methane'!A1", "4.2.1.1-2 Methane")</f>
        <v>4.2.1.1-2 Methane</v>
      </c>
      <c r="C11" s="9"/>
      <c r="D11" s="1" t="s">
        <v>143</v>
      </c>
      <c r="E11" s="19" t="e" cm="1">
        <f t="array" ref="E11">VEERG_5_4_1_3__1_OrganicFertiliserAtmosphericDepositionN2OEmissions_Result_Method1</f>
        <v>#NAME?</v>
      </c>
      <c r="F11" s="19" t="e">
        <f>E11</f>
        <v>#NAME?</v>
      </c>
      <c r="G11" s="16" t="s">
        <v>13</v>
      </c>
      <c r="H11" s="19" t="e" cm="1">
        <f t="array" ref="H11">Common_Equations.Common_ConvertN2OToCO2e(E11,_xlfn.XLOOKUP("N2O", Table_GWPData[Gas],Table_GWPData[CO2-e factor]))</f>
        <v>#NAME?</v>
      </c>
      <c r="I11" s="19" t="e" cm="1">
        <f t="array" ref="I11">Common_Equations.Common_ConvertN2OToCO2e(F11,_xlfn.XLOOKUP("N2O", Table_GWPData[Gas],Table_GWPData[CO2-e factor]))</f>
        <v>#NAME?</v>
      </c>
      <c r="J11" s="16" t="s">
        <v>8</v>
      </c>
      <c r="K11" s="9"/>
    </row>
    <row r="12" spans="1:11" ht="20.100000000000001" customHeight="1" x14ac:dyDescent="0.25">
      <c r="A12" s="5" t="str">
        <f>HYPERLINK("#'4.2.1.3-4 Soil direct N2O'!A1", "4.2.1.3-4 Soil direct N2O")</f>
        <v>4.2.1.3-4 Soil direct N2O</v>
      </c>
      <c r="C12" s="9"/>
      <c r="D12" s="1" t="s">
        <v>144</v>
      </c>
      <c r="E12" s="19" t="e" cm="1">
        <f t="array" ref="E12">VEERG_5_5_1_1__1_FertiliserLeachingAndRunoffN2OEmissions_result_Method1</f>
        <v>#NAME?</v>
      </c>
      <c r="F12" s="19" t="e">
        <f>E12</f>
        <v>#NAME?</v>
      </c>
      <c r="G12" s="16" t="s">
        <v>13</v>
      </c>
      <c r="H12" s="19" t="e" cm="1">
        <f t="array" ref="H12">Common_Equations.Common_ConvertN2OToCO2e(E12,_xlfn.XLOOKUP("N2O", Table_GWPData[Gas],Table_GWPData[CO2-e factor]))</f>
        <v>#NAME?</v>
      </c>
      <c r="I12" s="19" t="e" cm="1">
        <f t="array" ref="I12">Common_Equations.Common_ConvertN2OToCO2e(F12,_xlfn.XLOOKUP("N2O", Table_GWPData[Gas],Table_GWPData[CO2-e factor]))</f>
        <v>#NAME?</v>
      </c>
      <c r="J12" s="16" t="s">
        <v>8</v>
      </c>
      <c r="K12" s="9"/>
    </row>
    <row r="13" spans="1:11" ht="20.100000000000001" customHeight="1" x14ac:dyDescent="0.25">
      <c r="A13" s="5" t="str">
        <f>HYPERLINK("#'4.2.1.5-6 Soil Atmos Dep'!A1", "4.2.1.5-6 Soil atm. deposition")</f>
        <v>4.2.1.5-6 Soil atm. deposition</v>
      </c>
      <c r="C13" s="9"/>
      <c r="D13" s="1" t="s">
        <v>179</v>
      </c>
      <c r="E13" s="19" t="e" cm="1">
        <f t="array" ref="E13">VEERG_6_1_1_1__1__NitrousOxideEmissionsFromCropResidues_Result_Method1</f>
        <v>#NAME?</v>
      </c>
      <c r="F13" s="19" t="e" cm="1">
        <f t="array" ref="F13">VEERG_6_1_1_1__1__NitrousOxideEmissionsFromCropResidues_Result_Method2</f>
        <v>#NAME?</v>
      </c>
      <c r="G13" s="16" t="s">
        <v>13</v>
      </c>
      <c r="H13" s="19" t="e" cm="1">
        <f t="array" ref="H13">Common_Equations.Common_ConvertN2OToCO2e(E13,_xlfn.XLOOKUP("N2O", Table_GWPData[Gas],Table_GWPData[CO2-e factor]))</f>
        <v>#NAME?</v>
      </c>
      <c r="I13" s="19" t="e" cm="1">
        <f t="array" ref="I13">Common_Equations.Common_ConvertN2OToCO2e(F13,_xlfn.XLOOKUP("N2O", Table_GWPData[Gas],Table_GWPData[CO2-e factor]))</f>
        <v>#NAME?</v>
      </c>
      <c r="J13" s="16" t="s">
        <v>8</v>
      </c>
      <c r="K13" s="9"/>
    </row>
    <row r="14" spans="1:11" ht="20.100000000000001" customHeight="1" x14ac:dyDescent="0.25">
      <c r="A14" s="5" t="str">
        <f>HYPERLINK("#'4.2.1.7-8 Soil leach runoff'!A1", "4.2.1.7-8 Soil leach &amp; runoff")</f>
        <v>4.2.1.7-8 Soil leach &amp; runoff</v>
      </c>
      <c r="C14" s="9"/>
      <c r="D14" s="1" t="s">
        <v>178</v>
      </c>
      <c r="E14" s="19" t="e" cm="1">
        <f t="array" ref="E14">VEERG_6_3_1_1__1__LeachingAndRunoffEmissionsCropAndPastureResidue_CropOnly_Result_Method1</f>
        <v>#NAME?</v>
      </c>
      <c r="F14" s="19" t="e" cm="1">
        <f t="array" ref="F14">VEERG_6_3_1_1__1__LeachingAndRunoffEmissionsCropAndPastureResidue_CropOnly_Result_Method2</f>
        <v>#NAME?</v>
      </c>
      <c r="G14" s="16" t="s">
        <v>13</v>
      </c>
      <c r="H14" s="19" t="e" cm="1">
        <f t="array" ref="H14">Common_Equations.Common_ConvertN2OToCO2e(E14,_xlfn.XLOOKUP("N2O", Table_GWPData[Gas],Table_GWPData[CO2-e factor]))</f>
        <v>#NAME?</v>
      </c>
      <c r="I14" s="19" t="e" cm="1">
        <f t="array" ref="I14">Common_Equations.Common_ConvertN2OToCO2e(F14,_xlfn.XLOOKUP("N2O", Table_GWPData[Gas],Table_GWPData[CO2-e factor]))</f>
        <v>#NAME?</v>
      </c>
      <c r="J14" s="16" t="s">
        <v>8</v>
      </c>
      <c r="K14" s="9"/>
    </row>
    <row r="15" spans="1:11" ht="20.100000000000001" customHeight="1" x14ac:dyDescent="0.25">
      <c r="A15" s="5"/>
      <c r="C15" s="9"/>
      <c r="D15" s="1" t="s">
        <v>181</v>
      </c>
      <c r="E15" s="19" t="e" cm="1">
        <f t="array" ref="E15">VEERG_6_4_1_1__2__NitrousOxideEmissionsFromBurningOfCropResidues_Result_Method1</f>
        <v>#NAME?</v>
      </c>
      <c r="F15" s="19" t="e">
        <f t="shared" ref="F15:F20" si="0">E15</f>
        <v>#NAME?</v>
      </c>
      <c r="G15" s="16" t="s">
        <v>13</v>
      </c>
      <c r="H15" s="19" t="e" cm="1">
        <f t="array" ref="H15">Common_Equations.Common_ConvertN2OToCO2e(E15,_xlfn.XLOOKUP("N2O", Table_GWPData[Gas],Table_GWPData[CO2-e factor]))</f>
        <v>#NAME?</v>
      </c>
      <c r="I15" s="19" t="e" cm="1">
        <f t="array" ref="I15">Common_Equations.Common_ConvertN2OToCO2e(F15,_xlfn.XLOOKUP("N2O", Table_GWPData[Gas],Table_GWPData[CO2-e factor]))</f>
        <v>#NAME?</v>
      </c>
      <c r="J15" s="16" t="s">
        <v>8</v>
      </c>
      <c r="K15" s="9"/>
    </row>
    <row r="16" spans="1:11" ht="20.100000000000001" customHeight="1" x14ac:dyDescent="0.25">
      <c r="A16" s="6" t="s">
        <v>2</v>
      </c>
      <c r="C16" s="9"/>
      <c r="D16" s="1" t="s">
        <v>180</v>
      </c>
      <c r="E16" s="19" t="e" cm="1">
        <f t="array" ref="E16">VEERG_6_4_1_1__1__MethaneEmissionsFromBurningOfCropResidues_Result_Method1</f>
        <v>#NAME?</v>
      </c>
      <c r="F16" s="19" t="e">
        <f t="shared" si="0"/>
        <v>#NAME?</v>
      </c>
      <c r="G16" s="16" t="s">
        <v>7</v>
      </c>
      <c r="H16" s="19" t="e" cm="1">
        <f t="array" ref="H16">Common_Equations.Common_ConvertCH4ToCO2e(E16,_xlfn.XLOOKUP("CH4", Table_GWPData[Gas],Table_GWPData[CO2-e factor]))</f>
        <v>#NAME?</v>
      </c>
      <c r="I16" s="19" t="e" cm="1">
        <f t="array" ref="I16">Common_Equations.Common_ConvertCH4ToCO2e(F16,_xlfn.XLOOKUP("CH4", Table_GWPData[Gas],Table_GWPData[CO2-e factor]))</f>
        <v>#NAME?</v>
      </c>
      <c r="J16" s="16" t="s">
        <v>8</v>
      </c>
      <c r="K16" s="9"/>
    </row>
    <row r="17" spans="1:11" ht="20.100000000000001" customHeight="1" x14ac:dyDescent="0.25">
      <c r="A17" s="5" t="str">
        <f>HYPERLINK("#'Constants - Pasture Beef'!A1", "Constants - Pasture Beef")</f>
        <v>Constants - Pasture Beef</v>
      </c>
      <c r="C17" s="9"/>
      <c r="D17" s="1" t="s">
        <v>145</v>
      </c>
      <c r="E17" s="19" t="e" cm="1">
        <f t="array" ref="E17">VEERG_8_1_1_1__1_FuelCombustionTransport_Result_CO2</f>
        <v>#NAME?</v>
      </c>
      <c r="F17" s="19" t="e">
        <f t="shared" si="0"/>
        <v>#NAME?</v>
      </c>
      <c r="G17" s="16" t="s">
        <v>132</v>
      </c>
      <c r="H17" s="19" t="e">
        <f>E17</f>
        <v>#NAME?</v>
      </c>
      <c r="I17" s="19" t="e">
        <f>F17</f>
        <v>#NAME?</v>
      </c>
      <c r="J17" s="16" t="s">
        <v>8</v>
      </c>
      <c r="K17" s="9"/>
    </row>
    <row r="18" spans="1:11" ht="20.100000000000001" customHeight="1" x14ac:dyDescent="0.25">
      <c r="A18" s="5" t="str">
        <f>HYPERLINK("#'Constants - Livestock'!A1", "Constants - Livestock")</f>
        <v>Constants - Livestock</v>
      </c>
      <c r="C18" s="9"/>
      <c r="D18" s="1" t="s">
        <v>147</v>
      </c>
      <c r="E18" s="19" t="e" cm="1">
        <f t="array" ref="E18">VEERG_8_1_1_1__1_FuelCombustionTransport_Result_CH4</f>
        <v>#NAME?</v>
      </c>
      <c r="F18" s="19" t="e">
        <f t="shared" si="0"/>
        <v>#NAME?</v>
      </c>
      <c r="G18" s="16" t="s">
        <v>7</v>
      </c>
      <c r="H18" s="19" t="e" cm="1">
        <f t="array" ref="H18">Common_Equations.Common_ConvertCH4ToCO2e(E18,_xlfn.XLOOKUP("CH4", Table_GWPData[Gas],Table_GWPData[CO2-e factor]))</f>
        <v>#NAME?</v>
      </c>
      <c r="I18" s="19" t="e" cm="1">
        <f t="array" ref="I18">Common_Equations.Common_ConvertCH4ToCO2e(F18,_xlfn.XLOOKUP("CH4", Table_GWPData[Gas],Table_GWPData[CO2-e factor]))</f>
        <v>#NAME?</v>
      </c>
      <c r="J18" s="16" t="s">
        <v>8</v>
      </c>
      <c r="K18" s="9"/>
    </row>
    <row r="19" spans="1:11" ht="20.100000000000001" customHeight="1" x14ac:dyDescent="0.25">
      <c r="A19" s="5" t="str">
        <f>HYPERLINK("#'Constants - Common'!A1", "Constants - Common")</f>
        <v>Constants - Common</v>
      </c>
      <c r="C19" s="9"/>
      <c r="D19" s="1" t="s">
        <v>146</v>
      </c>
      <c r="E19" s="19" t="e" cm="1">
        <f t="array" ref="E19">VEERG_8_1_1_1__1_FuelCombustionTransport_Result_N2O</f>
        <v>#NAME?</v>
      </c>
      <c r="F19" s="19" t="e">
        <f t="shared" si="0"/>
        <v>#NAME?</v>
      </c>
      <c r="G19" s="16" t="s">
        <v>13</v>
      </c>
      <c r="H19" s="19" t="e" cm="1">
        <f t="array" ref="H19">Common_Equations.Common_ConvertN2OToCO2e(E19,_xlfn.XLOOKUP("N2O", Table_GWPData[Gas],Table_GWPData[CO2-e factor]))</f>
        <v>#NAME?</v>
      </c>
      <c r="I19" s="19" t="e" cm="1">
        <f t="array" ref="I19">Common_Equations.Common_ConvertN2OToCO2e(F19,_xlfn.XLOOKUP("N2O", Table_GWPData[Gas],Table_GWPData[CO2-e factor]))</f>
        <v>#NAME?</v>
      </c>
      <c r="J19" s="16" t="s">
        <v>8</v>
      </c>
      <c r="K19" s="9"/>
    </row>
    <row r="20" spans="1:11" ht="20.100000000000001" customHeight="1" x14ac:dyDescent="0.25">
      <c r="A20" s="5" t="str">
        <f>HYPERLINK("#'Acknowledgements'!A1", "Acknowledgements")</f>
        <v>Acknowledgements</v>
      </c>
      <c r="C20" s="9"/>
      <c r="D20" s="1" t="s">
        <v>148</v>
      </c>
      <c r="E20" s="19" t="e" cm="1">
        <f t="array" ref="E20">VEERG_8_2_1_1__1_FuelCombustionStationary_Result_CO2</f>
        <v>#NAME?</v>
      </c>
      <c r="F20" s="19" t="e">
        <f t="shared" si="0"/>
        <v>#NAME?</v>
      </c>
      <c r="G20" s="16" t="s">
        <v>132</v>
      </c>
      <c r="H20" s="19" t="e">
        <f>E20</f>
        <v>#NAME?</v>
      </c>
      <c r="I20" s="19" t="e">
        <f>F20</f>
        <v>#NAME?</v>
      </c>
      <c r="J20" s="16" t="s">
        <v>8</v>
      </c>
      <c r="K20" s="9"/>
    </row>
    <row r="21" spans="1:11" ht="20.100000000000001" customHeight="1" x14ac:dyDescent="0.25">
      <c r="C21" s="9"/>
      <c r="D21" s="1" t="s">
        <v>149</v>
      </c>
      <c r="E21" s="19" t="e" cm="1">
        <f t="array" ref="E21">VEERG_8_2_1_1__1_FuelCombustionStationary_Result_CH4</f>
        <v>#NAME?</v>
      </c>
      <c r="F21" s="19" t="e">
        <f t="shared" ref="F21:F24" si="1">E21</f>
        <v>#NAME?</v>
      </c>
      <c r="G21" s="16" t="s">
        <v>7</v>
      </c>
      <c r="H21" s="19" t="e" cm="1">
        <f t="array" ref="H21">Common_Equations.Common_ConvertCH4ToCO2e(E21,_xlfn.XLOOKUP("CH4", Table_GWPData[Gas],Table_GWPData[CO2-e factor]))</f>
        <v>#NAME?</v>
      </c>
      <c r="I21" s="19" t="e" cm="1">
        <f t="array" ref="I21">Common_Equations.Common_ConvertCH4ToCO2e(F21,_xlfn.XLOOKUP("CH4", Table_GWPData[Gas],Table_GWPData[CO2-e factor]))</f>
        <v>#NAME?</v>
      </c>
      <c r="J21" s="16" t="s">
        <v>8</v>
      </c>
      <c r="K21" s="9"/>
    </row>
    <row r="22" spans="1:11" ht="20.100000000000001" customHeight="1" x14ac:dyDescent="0.25">
      <c r="A22" s="5"/>
      <c r="C22" s="9"/>
      <c r="D22" s="1" t="s">
        <v>150</v>
      </c>
      <c r="E22" s="19" t="e" cm="1">
        <f t="array" ref="E22">VEERG_8_2_1_1__1_FuelCombustionStationary_Result_N2O</f>
        <v>#NAME?</v>
      </c>
      <c r="F22" s="19" t="e">
        <f t="shared" si="1"/>
        <v>#NAME?</v>
      </c>
      <c r="G22" s="16" t="s">
        <v>13</v>
      </c>
      <c r="H22" s="19" t="e" cm="1">
        <f t="array" ref="H22">Common_Equations.Common_ConvertN2OToCO2e(E22,_xlfn.XLOOKUP("N2O", Table_GWPData[Gas],Table_GWPData[CO2-e factor]))</f>
        <v>#NAME?</v>
      </c>
      <c r="I22" s="19" t="e" cm="1">
        <f t="array" ref="I22">Common_Equations.Common_ConvertN2OToCO2e(F22,_xlfn.XLOOKUP("N2O", Table_GWPData[Gas],Table_GWPData[CO2-e factor]))</f>
        <v>#NAME?</v>
      </c>
      <c r="J22" s="16" t="s">
        <v>8</v>
      </c>
      <c r="K22" s="9"/>
    </row>
    <row r="23" spans="1:11" ht="20.100000000000001" customHeight="1" x14ac:dyDescent="0.25">
      <c r="A23" s="5"/>
      <c r="C23" s="9"/>
      <c r="D23" s="1" t="s">
        <v>151</v>
      </c>
      <c r="E23" s="19" t="e" cm="1">
        <f t="array" ref="E23">VEERG_14_1_1__1_LocationBasedScopeElectricityEmissions_Result_Method1</f>
        <v>#NAME?</v>
      </c>
      <c r="F23" s="19" t="e">
        <f t="shared" si="1"/>
        <v>#NAME?</v>
      </c>
      <c r="G23" s="16" t="s">
        <v>8</v>
      </c>
      <c r="H23" s="19" t="e">
        <f>E23</f>
        <v>#NAME?</v>
      </c>
      <c r="I23" s="19" t="e">
        <f>F23</f>
        <v>#NAME?</v>
      </c>
      <c r="J23" s="16" t="s">
        <v>8</v>
      </c>
      <c r="K23" s="9"/>
    </row>
    <row r="24" spans="1:11" ht="20.100000000000001" customHeight="1" x14ac:dyDescent="0.25">
      <c r="A24" s="5"/>
      <c r="C24" s="9"/>
      <c r="D24" s="1" t="s">
        <v>152</v>
      </c>
      <c r="E24" s="19" t="e" cm="1">
        <f t="array" ref="E24">VEERG_14_1_2__1_MarketBasedScopeElectricityEmissionsVariation_Result_Method1</f>
        <v>#NAME?</v>
      </c>
      <c r="F24" s="19" t="e">
        <f t="shared" si="1"/>
        <v>#NAME?</v>
      </c>
      <c r="G24" s="16" t="s">
        <v>8</v>
      </c>
      <c r="H24" s="19" t="e">
        <f>E24</f>
        <v>#NAME?</v>
      </c>
      <c r="I24" s="19" t="e">
        <f>F24</f>
        <v>#NAME?</v>
      </c>
      <c r="J24" s="16" t="s">
        <v>8</v>
      </c>
      <c r="K24" s="9"/>
    </row>
    <row r="25" spans="1:11" ht="20.100000000000001" customHeight="1" x14ac:dyDescent="0.3">
      <c r="C25" s="9"/>
      <c r="D25" s="15" t="s">
        <v>5</v>
      </c>
      <c r="E25" s="10"/>
      <c r="F25" s="10"/>
      <c r="G25" s="15"/>
      <c r="H25" s="20" t="e">
        <f>SUM(H7:H24)</f>
        <v>#NAME?</v>
      </c>
      <c r="I25" s="20" t="e">
        <f>SUM(I7:I24)</f>
        <v>#NAME?</v>
      </c>
      <c r="J25" s="16" t="s">
        <v>8</v>
      </c>
      <c r="K25" s="9"/>
    </row>
    <row r="26" spans="1:11" ht="20.100000000000001" customHeight="1" x14ac:dyDescent="0.3">
      <c r="C26" s="9"/>
      <c r="D26" s="1"/>
      <c r="E26" s="1"/>
      <c r="F26" s="1"/>
      <c r="G26" s="1"/>
      <c r="H26" s="14"/>
      <c r="I26" s="9"/>
      <c r="J26" s="9"/>
      <c r="K26" s="9"/>
    </row>
    <row r="27" spans="1:11" ht="20.100000000000001" customHeight="1" x14ac:dyDescent="0.3">
      <c r="C27" s="9"/>
      <c r="D27" s="1"/>
      <c r="E27" s="1"/>
      <c r="F27" s="1"/>
      <c r="G27" s="1"/>
      <c r="H27" s="14"/>
      <c r="I27" s="9"/>
      <c r="J27" s="9"/>
      <c r="K27" s="9"/>
    </row>
    <row r="28" spans="1:11" ht="20.100000000000001" customHeight="1" x14ac:dyDescent="0.3">
      <c r="C28" s="9"/>
      <c r="D28" s="1"/>
      <c r="E28" s="1"/>
      <c r="F28" s="1"/>
      <c r="G28" s="1"/>
      <c r="H28" s="14"/>
      <c r="I28" s="9"/>
      <c r="J28" s="9"/>
      <c r="K28" s="9"/>
    </row>
    <row r="29" spans="1:11" ht="20.100000000000001" customHeight="1" x14ac:dyDescent="0.3">
      <c r="C29" s="9"/>
      <c r="D29" s="2" t="s">
        <v>116</v>
      </c>
      <c r="E29" s="1"/>
      <c r="F29" s="1"/>
      <c r="G29" s="1"/>
      <c r="H29" s="14"/>
      <c r="I29" s="9"/>
      <c r="J29" s="9"/>
      <c r="K29" s="9"/>
    </row>
    <row r="30" spans="1:11" ht="20.100000000000001" customHeight="1" x14ac:dyDescent="0.3">
      <c r="C30" s="9"/>
      <c r="D30" s="89" t="str" cm="1">
        <f t="array" ref="D30">"There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c r="E30" s="1"/>
      <c r="F30" s="1"/>
      <c r="G30" s="1"/>
      <c r="H30" s="14"/>
      <c r="I30" s="9"/>
      <c r="J30" s="9"/>
      <c r="K30" s="9"/>
    </row>
    <row r="31" spans="1:11" ht="20.100000000000001" customHeight="1" x14ac:dyDescent="0.3">
      <c r="C31" s="9"/>
      <c r="D31" s="1" t="s">
        <v>118</v>
      </c>
      <c r="E31" s="1"/>
      <c r="F31" s="1"/>
      <c r="G31" s="1"/>
      <c r="H31" s="14"/>
      <c r="I31" s="9"/>
      <c r="J31" s="9"/>
      <c r="K31" s="9"/>
    </row>
    <row r="32" spans="1:11" ht="20.100000000000001" customHeight="1" x14ac:dyDescent="0.3">
      <c r="C32" s="9"/>
      <c r="D32" s="1"/>
      <c r="E32" s="1"/>
      <c r="F32" s="1"/>
      <c r="G32" s="1"/>
      <c r="H32" s="14"/>
      <c r="I32" s="9"/>
      <c r="J32" s="9"/>
      <c r="K32" s="9"/>
    </row>
    <row r="33" spans="3:11" ht="20.100000000000001" customHeight="1" x14ac:dyDescent="0.3">
      <c r="C33" s="9"/>
      <c r="D33" s="21" t="s">
        <v>117</v>
      </c>
      <c r="E33" s="21" t="s">
        <v>11</v>
      </c>
      <c r="F33" s="21" t="s">
        <v>12</v>
      </c>
      <c r="G33" s="1"/>
      <c r="H33" s="14"/>
      <c r="I33" s="9"/>
      <c r="J33" s="9"/>
      <c r="K33" s="9"/>
    </row>
    <row r="34" spans="3:11" ht="20.100000000000001" customHeight="1" x14ac:dyDescent="0.3">
      <c r="C34" s="9"/>
      <c r="D34" s="1" t="str" cm="1">
        <f t="array" ref="D34:D35">Common_InputFunctions.getOverlappingReportingPeriods(X_Cell_Enterprise_ProductionTimeframeStart,X_Cell_Enterprise_ProductionTimeframeEnd,X_Cell_Site_StartDate)</f>
        <v>01 Jan 2025 to 31 Dec 2025 (This reporting cycle)</v>
      </c>
      <c r="E34" s="87" t="e">
        <f>IF(ISBLANK($D34), "", IF(ISNUMBER(SEARCH("reporting", $D34)), Result_Enterprise_Method1, "Enter value"))</f>
        <v>#NAME?</v>
      </c>
      <c r="F34" s="87" t="e">
        <f>IF(ISBLANK($D34), "", IF(ISNUMBER(SEARCH("reporting", $D34)), Result_Enterprise_Method2, "Enter value"))</f>
        <v>#NAME?</v>
      </c>
      <c r="G34" s="16" t="s">
        <v>8</v>
      </c>
      <c r="H34" s="14"/>
      <c r="I34" s="9"/>
      <c r="J34" s="9"/>
      <c r="K34" s="9"/>
    </row>
    <row r="35" spans="3:11" ht="20.100000000000001" customHeight="1" x14ac:dyDescent="0.3">
      <c r="C35" s="9"/>
      <c r="D35" s="1" t="str">
        <v>01 Jan 2026 to 31 Dec 2026</v>
      </c>
      <c r="E35" s="87" t="str">
        <f>IF(ISBLANK($D35), "", IF(ISNUMBER(SEARCH("reporting", $D35)), Result_Enterprise_Method1, "Enter value"))</f>
        <v>Enter value</v>
      </c>
      <c r="F35" s="87" t="str">
        <f>IF(ISBLANK($D35), "", IF(ISNUMBER(SEARCH("reporting", $D35)), Result_Enterprise_Method2, "Enter value"))</f>
        <v>Enter value</v>
      </c>
      <c r="G35" s="16" t="s">
        <v>8</v>
      </c>
      <c r="H35" s="14"/>
      <c r="I35" s="9"/>
      <c r="J35" s="9"/>
      <c r="K35" s="9"/>
    </row>
    <row r="36" spans="3:11" ht="20.100000000000001" customHeight="1" x14ac:dyDescent="0.3">
      <c r="C36" s="9"/>
      <c r="D36" s="1"/>
      <c r="E36" s="87" t="str">
        <f>IF(ISBLANK($D36), "", IF(ISNUMBER(SEARCH("reporting", $D36)), Result_Enterprise_Method1, "Enter value"))</f>
        <v/>
      </c>
      <c r="F36" s="87" t="str">
        <f>IF(ISBLANK($D36), "", IF(ISNUMBER(SEARCH("reporting", $D36)), Result_Enterprise_Method2, "Enter value"))</f>
        <v/>
      </c>
      <c r="G36" s="16" t="s">
        <v>8</v>
      </c>
      <c r="H36" s="14"/>
      <c r="I36" s="9"/>
      <c r="J36" s="9"/>
      <c r="K36" s="9"/>
    </row>
    <row r="37" spans="3:11" ht="20.100000000000001" customHeight="1" x14ac:dyDescent="0.3">
      <c r="C37" s="9"/>
      <c r="D37" s="1"/>
      <c r="E37" s="87" t="str">
        <f>IF(ISBLANK($D37), "", IF(ISNUMBER(SEARCH("reporting", $D37)), Result_Enterprise_Method1, "Enter value"))</f>
        <v/>
      </c>
      <c r="F37" s="87" t="str">
        <f>IF(ISBLANK($D37), "", IF(ISNUMBER(SEARCH("reporting", $D37)), Result_Enterprise_Method2, "Enter value"))</f>
        <v/>
      </c>
      <c r="G37" s="16" t="s">
        <v>8</v>
      </c>
      <c r="H37" s="14"/>
      <c r="I37" s="9"/>
      <c r="J37" s="9"/>
      <c r="K37" s="9"/>
    </row>
    <row r="38" spans="3:11" ht="20.100000000000001" customHeight="1" x14ac:dyDescent="0.3">
      <c r="C38" s="9"/>
      <c r="D38" s="89"/>
      <c r="E38" s="87" t="str">
        <f>IF(ISBLANK($D38), "", IF(ISNUMBER(SEARCH("reporting", $D38)), Result_Enterprise_Method1, "Enter value"))</f>
        <v/>
      </c>
      <c r="F38" s="87" t="str">
        <f>IF(ISBLANK($D38), "", IF(ISNUMBER(SEARCH("reporting", $D38)), Result_Enterprise_Method2, "Enter value"))</f>
        <v/>
      </c>
      <c r="G38" s="16" t="s">
        <v>8</v>
      </c>
      <c r="H38" s="14"/>
      <c r="I38" s="9"/>
      <c r="J38" s="9"/>
      <c r="K38" s="9"/>
    </row>
    <row r="39" spans="3:11" ht="20.100000000000001" customHeight="1" x14ac:dyDescent="0.3">
      <c r="C39" s="9"/>
      <c r="D39" s="15" t="s">
        <v>133</v>
      </c>
      <c r="E39" s="20" t="e">
        <f>SUM(E34:E38)</f>
        <v>#NAME?</v>
      </c>
      <c r="F39" s="20" t="e">
        <f>SUM(F34:F38)</f>
        <v>#NAME?</v>
      </c>
      <c r="G39" s="1"/>
      <c r="H39" s="1"/>
      <c r="I39" s="1"/>
      <c r="J39" s="9"/>
      <c r="K39" s="9"/>
    </row>
    <row r="40" spans="3:11" ht="20.100000000000001" customHeight="1" x14ac:dyDescent="0.25">
      <c r="C40" s="9"/>
      <c r="D40" s="1"/>
      <c r="E40" s="1"/>
      <c r="F40" s="1"/>
      <c r="G40" s="1"/>
      <c r="H40" s="1"/>
      <c r="I40" s="1"/>
      <c r="J40" s="9"/>
      <c r="K40" s="9"/>
    </row>
    <row r="41" spans="3:11" ht="20.100000000000001" customHeight="1" x14ac:dyDescent="0.25">
      <c r="C41" s="9"/>
      <c r="D41" s="1"/>
      <c r="E41" s="1"/>
      <c r="F41" s="1"/>
      <c r="G41" s="1"/>
      <c r="H41" s="1"/>
      <c r="I41" s="1"/>
      <c r="J41" s="9"/>
      <c r="K41" s="9"/>
    </row>
    <row r="42" spans="3:11" ht="20.100000000000001" customHeight="1" x14ac:dyDescent="0.25">
      <c r="C42" s="9"/>
      <c r="D42" s="2" t="s">
        <v>130</v>
      </c>
      <c r="E42" s="1"/>
      <c r="F42" s="1"/>
      <c r="G42" s="1"/>
      <c r="H42" s="1"/>
      <c r="I42" s="1"/>
      <c r="J42" s="9"/>
      <c r="K42" s="9"/>
    </row>
    <row r="43" spans="3:11" ht="20.100000000000001" customHeight="1" x14ac:dyDescent="0.25">
      <c r="C43" s="9"/>
      <c r="D43" s="1"/>
      <c r="E43" s="1"/>
      <c r="F43" s="1"/>
      <c r="G43" s="1"/>
      <c r="H43" s="1"/>
      <c r="I43" s="1"/>
      <c r="J43" s="1"/>
      <c r="K43" s="9"/>
    </row>
    <row r="44" spans="3:11" ht="20.100000000000001" customHeight="1" x14ac:dyDescent="0.25">
      <c r="C44" s="9"/>
      <c r="D44" s="21" t="s">
        <v>117</v>
      </c>
      <c r="E44" s="21" t="s">
        <v>131</v>
      </c>
      <c r="F44" s="1"/>
      <c r="G44" s="1"/>
      <c r="H44" s="1"/>
      <c r="I44" s="1"/>
      <c r="J44" s="1"/>
      <c r="K44" s="9"/>
    </row>
    <row r="45" spans="3:11" ht="20.100000000000001" customHeight="1" x14ac:dyDescent="0.25">
      <c r="C45" s="9"/>
      <c r="D45" s="1" t="str" cm="1">
        <f t="array" ref="D45:D46">Common_InputFunctions.getOverlappingReportingPeriods(X_Cell_Enterprise_ProductionTimeframeStart,X_Cell_Enterprise_ProductionTimeframeEnd,X_Cell_Site_StartDate)</f>
        <v>01 Jan 2025 to 31 Dec 2025 (This reporting cycle)</v>
      </c>
      <c r="E45" s="87" t="str">
        <f>IF(ISBLANK(D45), "", "Enter value")</f>
        <v>Enter value</v>
      </c>
      <c r="F45" s="16" t="s">
        <v>132</v>
      </c>
      <c r="G45" s="1"/>
      <c r="H45" s="1"/>
      <c r="I45" s="1"/>
      <c r="J45" s="1"/>
      <c r="K45" s="9"/>
    </row>
    <row r="46" spans="3:11" ht="20.100000000000001" customHeight="1" x14ac:dyDescent="0.25">
      <c r="C46" s="9"/>
      <c r="D46" s="1" t="str">
        <v>01 Jan 2026 to 31 Dec 2026</v>
      </c>
      <c r="E46" s="87" t="str">
        <f t="shared" ref="E46:E49" si="2">IF(ISBLANK(D46), "", "Enter value")</f>
        <v>Enter value</v>
      </c>
      <c r="F46" s="16" t="s">
        <v>132</v>
      </c>
      <c r="G46" s="1"/>
      <c r="H46" s="1"/>
      <c r="I46" s="1"/>
      <c r="J46" s="1"/>
      <c r="K46" s="9"/>
    </row>
    <row r="47" spans="3:11" ht="20.100000000000001" customHeight="1" x14ac:dyDescent="0.25">
      <c r="C47" s="9"/>
      <c r="D47" s="1"/>
      <c r="E47" s="87" t="str">
        <f t="shared" si="2"/>
        <v/>
      </c>
      <c r="F47" s="16" t="s">
        <v>132</v>
      </c>
      <c r="G47" s="1"/>
      <c r="H47" s="1"/>
      <c r="I47" s="1"/>
      <c r="J47" s="1"/>
      <c r="K47" s="9"/>
    </row>
    <row r="48" spans="3:11" ht="20.100000000000001" customHeight="1" x14ac:dyDescent="0.25">
      <c r="C48" s="9"/>
      <c r="D48" s="1"/>
      <c r="E48" s="87" t="str">
        <f t="shared" si="2"/>
        <v/>
      </c>
      <c r="F48" s="16" t="s">
        <v>132</v>
      </c>
      <c r="G48" s="1"/>
      <c r="H48" s="1"/>
      <c r="I48" s="1"/>
      <c r="J48" s="1"/>
      <c r="K48" s="9"/>
    </row>
    <row r="49" spans="3:11" ht="20.100000000000001" customHeight="1" x14ac:dyDescent="0.25">
      <c r="C49" s="9"/>
      <c r="D49" s="1"/>
      <c r="E49" s="87" t="str">
        <f t="shared" si="2"/>
        <v/>
      </c>
      <c r="F49" s="16" t="s">
        <v>132</v>
      </c>
      <c r="G49" s="1"/>
      <c r="H49" s="1"/>
      <c r="I49" s="9"/>
      <c r="J49" s="9"/>
      <c r="K49" s="9"/>
    </row>
    <row r="50" spans="3:11" ht="20.100000000000001" customHeight="1" x14ac:dyDescent="0.3">
      <c r="C50" s="9"/>
      <c r="D50" s="15" t="s">
        <v>134</v>
      </c>
      <c r="E50" s="20">
        <f>SUM(E45:E48)</f>
        <v>0</v>
      </c>
      <c r="F50" s="1"/>
      <c r="G50" s="1"/>
      <c r="H50" s="1"/>
      <c r="I50" s="1"/>
      <c r="J50" s="1"/>
      <c r="K50" s="9"/>
    </row>
    <row r="51" spans="3:11" ht="20.100000000000001" customHeight="1" x14ac:dyDescent="0.25">
      <c r="C51" s="9"/>
      <c r="D51" s="1"/>
      <c r="E51" s="1"/>
      <c r="F51" s="1"/>
      <c r="G51" s="1"/>
      <c r="H51" s="1"/>
      <c r="I51" s="1"/>
      <c r="J51" s="1"/>
      <c r="K51" s="9"/>
    </row>
    <row r="52" spans="3:11" ht="20.100000000000001" customHeight="1" x14ac:dyDescent="0.25">
      <c r="C52" s="9"/>
      <c r="D52" s="1"/>
      <c r="E52" s="1"/>
      <c r="F52" s="1"/>
      <c r="G52" s="1"/>
      <c r="H52" s="1"/>
      <c r="I52" s="1"/>
      <c r="J52" s="1"/>
      <c r="K52" s="9"/>
    </row>
    <row r="53" spans="3:11" ht="20.100000000000001" customHeight="1" x14ac:dyDescent="0.25">
      <c r="C53" s="9"/>
      <c r="D53" s="2" t="s">
        <v>120</v>
      </c>
      <c r="E53" s="1"/>
      <c r="F53" s="1"/>
      <c r="G53" s="1"/>
      <c r="H53" s="1"/>
      <c r="I53" s="1"/>
      <c r="J53" s="9"/>
      <c r="K53" s="9"/>
    </row>
    <row r="54" spans="3:11" ht="20.100000000000001" customHeight="1" x14ac:dyDescent="0.25">
      <c r="C54" s="9"/>
      <c r="D54" s="1"/>
      <c r="E54" s="1"/>
      <c r="F54" s="1"/>
      <c r="G54" s="1"/>
      <c r="H54" s="1"/>
      <c r="I54" s="1"/>
      <c r="J54" s="1"/>
      <c r="K54" s="9"/>
    </row>
    <row r="55" spans="3:11" ht="20.100000000000001" customHeight="1" x14ac:dyDescent="0.25">
      <c r="C55" s="9"/>
      <c r="D55" s="21"/>
      <c r="E55" s="21" t="s">
        <v>136</v>
      </c>
      <c r="F55" s="21" t="s">
        <v>137</v>
      </c>
      <c r="G55" s="1"/>
      <c r="H55" s="1"/>
      <c r="I55" s="1"/>
      <c r="J55" s="1"/>
      <c r="K55" s="9"/>
    </row>
    <row r="56" spans="3:11" ht="20.100000000000001" customHeight="1" x14ac:dyDescent="0.3">
      <c r="C56" s="9"/>
      <c r="D56" s="90" t="s">
        <v>135</v>
      </c>
      <c r="E56" s="88" t="e">
        <f>Result_EmissionsForWholeProductionCycle_Method1-Result_CarbonRemovalsFromPlantings</f>
        <v>#NAME?</v>
      </c>
      <c r="F56" s="88" t="e">
        <f>Result_EmissionsForWholeProductionCycle_Method2-Result_CarbonRemovalsFromPlantings</f>
        <v>#NAME?</v>
      </c>
      <c r="G56" s="1"/>
      <c r="H56" s="1"/>
      <c r="I56" s="1"/>
      <c r="J56" s="1"/>
      <c r="K56" s="9"/>
    </row>
    <row r="57" spans="3:11" ht="20.100000000000001" customHeight="1" x14ac:dyDescent="0.25">
      <c r="C57" s="9"/>
      <c r="D57" s="1"/>
      <c r="E57" s="1"/>
      <c r="F57" s="1"/>
      <c r="G57" s="1"/>
      <c r="H57" s="1"/>
      <c r="I57" s="1"/>
      <c r="J57" s="1"/>
      <c r="K57" s="9"/>
    </row>
    <row r="58" spans="3:11" ht="20.100000000000001" customHeight="1" x14ac:dyDescent="0.25">
      <c r="C58" s="9"/>
      <c r="D58" s="1"/>
      <c r="E58" s="1"/>
      <c r="F58" s="1"/>
      <c r="G58" s="1"/>
      <c r="H58" s="1"/>
      <c r="I58" s="1"/>
      <c r="J58" s="1"/>
      <c r="K58" s="9"/>
    </row>
    <row r="59" spans="3:11" ht="20.100000000000001" customHeight="1" x14ac:dyDescent="0.25">
      <c r="C59" s="9"/>
      <c r="D59" s="92" t="s">
        <v>172</v>
      </c>
      <c r="E59" s="1"/>
      <c r="F59" s="1"/>
      <c r="G59" s="1"/>
      <c r="H59" s="1"/>
      <c r="I59" s="1"/>
      <c r="J59" s="1"/>
      <c r="K59" s="9"/>
    </row>
    <row r="60" spans="3:11" ht="20.100000000000001" customHeight="1" x14ac:dyDescent="0.25">
      <c r="C60" s="9"/>
      <c r="D60" s="21" t="s">
        <v>138</v>
      </c>
      <c r="E60" s="21" t="s">
        <v>125</v>
      </c>
      <c r="F60" s="21" t="s">
        <v>121</v>
      </c>
      <c r="G60" s="21" t="s">
        <v>169</v>
      </c>
      <c r="H60" s="21" t="s">
        <v>123</v>
      </c>
      <c r="I60" s="21" t="s">
        <v>124</v>
      </c>
      <c r="J60" s="21" t="s">
        <v>122</v>
      </c>
      <c r="K60" s="9"/>
    </row>
    <row r="61" spans="3:11" ht="20.100000000000001" customHeight="1" x14ac:dyDescent="0.25">
      <c r="C61" s="9"/>
      <c r="D61" s="1" t="s">
        <v>174</v>
      </c>
      <c r="E61" s="1" t="s">
        <v>126</v>
      </c>
      <c r="F61" s="19" t="e">
        <f>'Input - Enterprise'!E22*'Input - Enterprise'!E23</f>
        <v>#NAME?</v>
      </c>
      <c r="G61" s="19" t="e">
        <f>F61/(F61+F64)</f>
        <v>#NAME?</v>
      </c>
      <c r="H61" s="19" t="e">
        <f>(Result_EmissionsForWholeProductionCycle_Method1/F61)*G61</f>
        <v>#NAME?</v>
      </c>
      <c r="I61" s="19" t="e">
        <f>(Result_EmissionsForWholeProductionCycle_Method2/F61)*G61</f>
        <v>#NAME?</v>
      </c>
      <c r="J61" s="16" t="s">
        <v>166</v>
      </c>
      <c r="K61" s="9"/>
    </row>
    <row r="62" spans="3:11" ht="20.100000000000001" customHeight="1" x14ac:dyDescent="0.25">
      <c r="C62" s="9"/>
      <c r="D62" s="1" t="s">
        <v>175</v>
      </c>
      <c r="E62" s="1" t="s">
        <v>126</v>
      </c>
      <c r="F62" s="19" t="e">
        <f>F61</f>
        <v>#NAME?</v>
      </c>
      <c r="G62" s="19" t="e">
        <f>G61</f>
        <v>#NAME?</v>
      </c>
      <c r="H62" s="19" t="e">
        <f>(Result_EmissionsForWholeProductionCycle_Method1/F62)*G62</f>
        <v>#NAME?</v>
      </c>
      <c r="I62" s="19" t="e">
        <f>(Result_EmissionsForWholeProductionCycle_Method2/F62)*G62</f>
        <v>#NAME?</v>
      </c>
      <c r="J62" s="16" t="s">
        <v>166</v>
      </c>
      <c r="K62" s="9"/>
    </row>
    <row r="63" spans="3:11" ht="20.100000000000001" customHeight="1" x14ac:dyDescent="0.25">
      <c r="C63" s="9"/>
      <c r="D63" s="1" t="s">
        <v>164</v>
      </c>
      <c r="E63" s="1" t="s">
        <v>129</v>
      </c>
      <c r="F63" s="19" t="e">
        <f>'Input - Enterprise'!E22*'Input - Enterprise'!E24</f>
        <v>#NAME?</v>
      </c>
      <c r="G63" s="19" t="s">
        <v>128</v>
      </c>
      <c r="H63" s="19" t="s">
        <v>128</v>
      </c>
      <c r="I63" s="19" t="s">
        <v>128</v>
      </c>
      <c r="J63" s="16"/>
      <c r="K63" s="18"/>
    </row>
    <row r="64" spans="3:11" ht="20.100000000000001" customHeight="1" x14ac:dyDescent="0.25">
      <c r="C64" s="9"/>
      <c r="D64" s="1" t="s">
        <v>176</v>
      </c>
      <c r="E64" s="1" t="s">
        <v>127</v>
      </c>
      <c r="F64" s="19" t="e">
        <f>'Input - Enterprise'!E27*'Input - Enterprise'!E28</f>
        <v>#NAME?</v>
      </c>
      <c r="G64" s="19" t="e">
        <f>F64/(F61+F64)</f>
        <v>#NAME?</v>
      </c>
      <c r="H64" s="19" t="e">
        <f>(Result_EmissionsForWholeProductionCycle_Method1/F64)*G64</f>
        <v>#NAME?</v>
      </c>
      <c r="I64" s="19" t="e">
        <f>(Result_EmissionsForWholeProductionCycle_Method2/F64)*G64</f>
        <v>#NAME?</v>
      </c>
      <c r="J64" s="16" t="s">
        <v>167</v>
      </c>
      <c r="K64" s="18"/>
    </row>
    <row r="65" spans="3:11" ht="20.100000000000001" customHeight="1" x14ac:dyDescent="0.25">
      <c r="C65" s="9"/>
      <c r="D65" s="1" t="s">
        <v>177</v>
      </c>
      <c r="E65" s="1" t="s">
        <v>127</v>
      </c>
      <c r="F65" s="19" t="e">
        <f>F64</f>
        <v>#NAME?</v>
      </c>
      <c r="G65" s="19" t="e">
        <f>G64</f>
        <v>#NAME?</v>
      </c>
      <c r="H65" s="19" t="e">
        <f>(Result_NetEmissions_Method1/F65)*G65</f>
        <v>#NAME?</v>
      </c>
      <c r="I65" s="19" t="e">
        <f>(Result_NetEmissions_Method2/F65)*G65</f>
        <v>#NAME?</v>
      </c>
      <c r="J65" s="16" t="s">
        <v>167</v>
      </c>
      <c r="K65" s="18"/>
    </row>
    <row r="66" spans="3:11" ht="20.100000000000001" customHeight="1" x14ac:dyDescent="0.25">
      <c r="C66" s="9"/>
      <c r="D66" s="1" t="s">
        <v>165</v>
      </c>
      <c r="E66" s="1" t="s">
        <v>129</v>
      </c>
      <c r="F66" s="19" t="e">
        <f>'Input - Enterprise'!E27*'Input - Enterprise'!E29</f>
        <v>#NAME?</v>
      </c>
      <c r="G66" s="19" t="s">
        <v>128</v>
      </c>
      <c r="H66" s="19" t="s">
        <v>128</v>
      </c>
      <c r="I66" s="19" t="s">
        <v>128</v>
      </c>
      <c r="J66" s="16"/>
      <c r="K66" s="18"/>
    </row>
    <row r="67" spans="3:11" ht="20.100000000000001" customHeight="1" x14ac:dyDescent="0.25">
      <c r="C67" s="9"/>
      <c r="D67" s="1"/>
      <c r="E67" s="1"/>
      <c r="F67" s="1"/>
      <c r="G67" s="1"/>
      <c r="H67" s="18"/>
      <c r="I67" s="18"/>
      <c r="J67" s="18"/>
      <c r="K67" s="18"/>
    </row>
    <row r="68" spans="3:11" ht="20.100000000000001" customHeight="1" x14ac:dyDescent="0.25">
      <c r="C68" s="9"/>
      <c r="D68" s="92" t="s">
        <v>173</v>
      </c>
      <c r="E68" s="1"/>
      <c r="F68" s="1"/>
      <c r="G68" s="1"/>
      <c r="H68" s="1"/>
      <c r="I68" s="1"/>
      <c r="J68" s="1"/>
      <c r="K68" s="18"/>
    </row>
    <row r="69" spans="3:11" ht="20.100000000000001" customHeight="1" x14ac:dyDescent="0.25">
      <c r="C69" s="9"/>
      <c r="D69" s="21" t="s">
        <v>138</v>
      </c>
      <c r="E69" s="21" t="s">
        <v>125</v>
      </c>
      <c r="F69" s="21" t="s">
        <v>121</v>
      </c>
      <c r="G69" s="21" t="s">
        <v>168</v>
      </c>
      <c r="H69" s="21" t="s">
        <v>170</v>
      </c>
      <c r="I69" s="21" t="s">
        <v>171</v>
      </c>
      <c r="J69" s="21" t="s">
        <v>122</v>
      </c>
      <c r="K69" s="18"/>
    </row>
    <row r="70" spans="3:11" ht="20.100000000000001" customHeight="1" x14ac:dyDescent="0.25">
      <c r="C70" s="9"/>
      <c r="D70" s="1" t="s">
        <v>174</v>
      </c>
      <c r="E70" s="1" t="s">
        <v>126</v>
      </c>
      <c r="F70" s="19" t="e">
        <f>'Input - Enterprise'!E22*'Input - Enterprise'!E23</f>
        <v>#NAME?</v>
      </c>
      <c r="G70" s="19">
        <f>X_Cell_Enterprise_PercentIncomeFromGrain</f>
        <v>0.8</v>
      </c>
      <c r="H70" s="19" t="e">
        <f>Result_EmissionsForWholeProductionCycle_Method1*G70/F70</f>
        <v>#NAME?</v>
      </c>
      <c r="I70" s="19" t="e">
        <f>Result_EmissionsForWholeProductionCycle_Method2*G70/F70</f>
        <v>#NAME?</v>
      </c>
      <c r="J70" s="16" t="s">
        <v>166</v>
      </c>
      <c r="K70" s="18"/>
    </row>
    <row r="71" spans="3:11" ht="20.100000000000001" customHeight="1" x14ac:dyDescent="0.25">
      <c r="C71" s="9"/>
      <c r="D71" s="1" t="s">
        <v>175</v>
      </c>
      <c r="E71" s="1" t="s">
        <v>126</v>
      </c>
      <c r="F71" s="19" t="e">
        <f>F70</f>
        <v>#NAME?</v>
      </c>
      <c r="G71" s="19">
        <f>G70</f>
        <v>0.8</v>
      </c>
      <c r="H71" s="19" t="e">
        <f>Result_EmissionsForWholeProductionCycle_Method1*G71/F71</f>
        <v>#NAME?</v>
      </c>
      <c r="I71" s="19" t="e">
        <f>Result_EmissionsForWholeProductionCycle_Method2*G71/F71</f>
        <v>#NAME?</v>
      </c>
      <c r="J71" s="16" t="s">
        <v>166</v>
      </c>
      <c r="K71" s="18"/>
    </row>
    <row r="72" spans="3:11" ht="20.100000000000001" customHeight="1" x14ac:dyDescent="0.25">
      <c r="C72" s="9"/>
      <c r="D72" s="1" t="s">
        <v>164</v>
      </c>
      <c r="E72" s="1" t="s">
        <v>129</v>
      </c>
      <c r="F72" s="19" t="e">
        <f>'Input - Enterprise'!E22*'Input - Enterprise'!E24</f>
        <v>#NAME?</v>
      </c>
      <c r="G72" s="19" t="s">
        <v>128</v>
      </c>
      <c r="H72" s="19" t="s">
        <v>128</v>
      </c>
      <c r="I72" s="19" t="s">
        <v>128</v>
      </c>
      <c r="J72" s="16"/>
      <c r="K72" s="18"/>
    </row>
    <row r="73" spans="3:11" ht="20.100000000000001" customHeight="1" x14ac:dyDescent="0.25">
      <c r="C73" s="9"/>
      <c r="D73" s="1" t="s">
        <v>176</v>
      </c>
      <c r="E73" s="1" t="s">
        <v>127</v>
      </c>
      <c r="F73" s="19" t="e">
        <f>'Input - Enterprise'!E27*'Input - Enterprise'!E28</f>
        <v>#NAME?</v>
      </c>
      <c r="G73" s="19">
        <f>X_Cell_Enterprise_PercentIncomeFromGrain</f>
        <v>0.8</v>
      </c>
      <c r="H73" s="19" t="e">
        <f>Result_EmissionsForWholeProductionCycle_Method1*G73/F73</f>
        <v>#NAME?</v>
      </c>
      <c r="I73" s="19" t="e">
        <f>Result_EmissionsForWholeProductionCycle_Method2*G73/F73</f>
        <v>#NAME?</v>
      </c>
      <c r="J73" s="16" t="s">
        <v>167</v>
      </c>
      <c r="K73" s="18"/>
    </row>
    <row r="74" spans="3:11" ht="20.100000000000001" customHeight="1" x14ac:dyDescent="0.25">
      <c r="C74" s="9"/>
      <c r="D74" s="1" t="s">
        <v>177</v>
      </c>
      <c r="E74" s="1" t="s">
        <v>127</v>
      </c>
      <c r="F74" s="19" t="e">
        <f>F73</f>
        <v>#NAME?</v>
      </c>
      <c r="G74" s="19">
        <f>G73</f>
        <v>0.8</v>
      </c>
      <c r="H74" s="19" t="e">
        <f>Result_EmissionsForWholeProductionCycle_Method1*G74/F74</f>
        <v>#NAME?</v>
      </c>
      <c r="I74" s="19" t="e">
        <f>Result_EmissionsForWholeProductionCycle_Method2*G74/F74</f>
        <v>#NAME?</v>
      </c>
      <c r="J74" s="16" t="s">
        <v>167</v>
      </c>
      <c r="K74" s="18"/>
    </row>
    <row r="75" spans="3:11" ht="20.100000000000001" customHeight="1" x14ac:dyDescent="0.25">
      <c r="C75" s="9"/>
      <c r="D75" s="1" t="s">
        <v>165</v>
      </c>
      <c r="E75" s="1" t="s">
        <v>129</v>
      </c>
      <c r="F75" s="19" t="e">
        <f>'Input - Enterprise'!E27*'Input - Enterprise'!E29</f>
        <v>#NAME?</v>
      </c>
      <c r="G75" s="19" t="s">
        <v>128</v>
      </c>
      <c r="H75" s="19" t="s">
        <v>128</v>
      </c>
      <c r="I75" s="19" t="s">
        <v>128</v>
      </c>
      <c r="J75" s="16"/>
      <c r="K75" s="18"/>
    </row>
    <row r="76" spans="3:11" ht="20.100000000000001" customHeight="1" x14ac:dyDescent="0.25">
      <c r="C76" s="9"/>
      <c r="D76" s="1"/>
      <c r="E76" s="1"/>
      <c r="F76" s="1"/>
      <c r="G76" s="1"/>
      <c r="H76" s="1"/>
      <c r="I76" s="1"/>
      <c r="J76" s="1"/>
      <c r="K76" s="18"/>
    </row>
    <row r="77" spans="3:11" ht="20.100000000000001" customHeight="1" x14ac:dyDescent="0.25">
      <c r="C77" s="9"/>
      <c r="D77" s="1"/>
      <c r="E77" s="1"/>
      <c r="F77" s="1"/>
      <c r="G77" s="1"/>
      <c r="H77" s="1"/>
      <c r="I77" s="1"/>
      <c r="J77" s="1"/>
      <c r="K77" s="9"/>
    </row>
    <row r="78" spans="3:11" ht="20.100000000000001" customHeight="1" x14ac:dyDescent="0.25">
      <c r="C78" s="9"/>
      <c r="D78" s="1"/>
      <c r="E78" s="1"/>
      <c r="F78" s="1"/>
      <c r="G78" s="1"/>
      <c r="H78" s="1"/>
      <c r="I78" s="1"/>
      <c r="J78" s="1"/>
      <c r="K78" s="9"/>
    </row>
    <row r="79" spans="3:11" ht="20.100000000000001" customHeight="1" x14ac:dyDescent="0.25">
      <c r="C79" s="9"/>
      <c r="D79" s="1"/>
      <c r="E79" s="1"/>
      <c r="F79" s="1"/>
      <c r="G79" s="1"/>
      <c r="H79" s="1"/>
      <c r="I79" s="1"/>
      <c r="J79" s="1"/>
      <c r="K79" s="9"/>
    </row>
    <row r="80" spans="3:11" ht="20.100000000000001" customHeight="1" x14ac:dyDescent="0.25">
      <c r="C80" s="9"/>
      <c r="D80" s="1"/>
      <c r="E80" s="1"/>
      <c r="F80" s="1"/>
      <c r="G80" s="1"/>
      <c r="H80" s="1"/>
      <c r="I80" s="1"/>
      <c r="J80" s="1"/>
      <c r="K80" s="9"/>
    </row>
    <row r="81" spans="3:11" ht="20.100000000000001" customHeight="1" x14ac:dyDescent="0.25">
      <c r="C81" s="9"/>
      <c r="D81" s="1"/>
      <c r="E81" s="1"/>
      <c r="F81" s="1"/>
      <c r="G81" s="1"/>
      <c r="H81" s="1"/>
      <c r="I81" s="1"/>
      <c r="J81" s="1"/>
      <c r="K81" s="9"/>
    </row>
    <row r="82" spans="3:11" ht="20.100000000000001" customHeight="1" x14ac:dyDescent="0.25">
      <c r="C82" s="9"/>
      <c r="D82" s="1"/>
      <c r="E82" s="1"/>
      <c r="F82" s="1"/>
      <c r="G82" s="1"/>
      <c r="H82" s="1"/>
      <c r="I82" s="1"/>
      <c r="J82" s="1"/>
      <c r="K82" s="9"/>
    </row>
    <row r="83" spans="3:11" ht="20.100000000000001" customHeight="1" x14ac:dyDescent="0.25">
      <c r="C83" s="9"/>
      <c r="D83" s="1"/>
      <c r="E83" s="1"/>
      <c r="F83" s="1"/>
      <c r="G83" s="1"/>
      <c r="H83" s="1"/>
      <c r="I83" s="1"/>
      <c r="J83" s="1"/>
      <c r="K83" s="9"/>
    </row>
    <row r="84" spans="3:11" ht="20.100000000000001" customHeight="1" x14ac:dyDescent="0.25">
      <c r="C84" s="9"/>
      <c r="D84" s="1"/>
      <c r="E84" s="1"/>
      <c r="F84" s="1"/>
      <c r="G84" s="1"/>
      <c r="H84" s="1"/>
      <c r="I84" s="1"/>
      <c r="J84" s="1"/>
      <c r="K84" s="9"/>
    </row>
    <row r="85" spans="3:11" ht="20.100000000000001" customHeight="1" x14ac:dyDescent="0.25">
      <c r="C85" s="9"/>
      <c r="D85" s="1"/>
      <c r="E85" s="1"/>
      <c r="F85" s="1"/>
      <c r="G85" s="1"/>
      <c r="H85" s="1"/>
      <c r="I85" s="1"/>
      <c r="J85" s="1"/>
      <c r="K85" s="9"/>
    </row>
    <row r="86" spans="3:11" ht="20.100000000000001" customHeight="1" x14ac:dyDescent="0.25">
      <c r="C86" s="9"/>
      <c r="D86" s="9"/>
      <c r="E86" s="9"/>
      <c r="F86" s="9"/>
      <c r="G86" s="9"/>
      <c r="H86" s="9"/>
      <c r="I86" s="9"/>
      <c r="J86" s="9"/>
      <c r="K86" s="9"/>
    </row>
    <row r="87" spans="3:11" ht="20.100000000000001" customHeight="1" x14ac:dyDescent="0.25">
      <c r="C87" s="9"/>
      <c r="D87" s="9"/>
      <c r="E87" s="9"/>
      <c r="F87" s="9"/>
      <c r="G87" s="9"/>
      <c r="H87" s="9"/>
      <c r="I87" s="9"/>
      <c r="J87" s="9"/>
      <c r="K87" s="9"/>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pageSetUpPr autoPageBreaks="0"/>
  </sheetPr>
  <dimension ref="A1:AA115"/>
  <sheetViews>
    <sheetView showGridLines="0" zoomScaleNormal="100" workbookViewId="0">
      <selection activeCell="E34" sqref="E34"/>
    </sheetView>
  </sheetViews>
  <sheetFormatPr defaultColWidth="9.140625" defaultRowHeight="15.75" x14ac:dyDescent="0.25"/>
  <cols>
    <col min="1" max="1" width="30.7109375" style="4" customWidth="1"/>
    <col min="2" max="2" width="4.7109375" style="33" customWidth="1"/>
    <col min="3" max="3" width="4.7109375" style="36" customWidth="1"/>
    <col min="4" max="4" width="60.7109375" style="36" customWidth="1"/>
    <col min="5" max="5" width="50.7109375" style="36" customWidth="1"/>
    <col min="6" max="11" width="28.7109375" style="36" customWidth="1"/>
    <col min="12" max="25" width="28.7109375" style="33" customWidth="1"/>
    <col min="26" max="27" width="9.140625" style="33"/>
    <col min="28" max="16384" width="9.140625" style="36"/>
  </cols>
  <sheetData>
    <row r="1" spans="1:24" s="33" customFormat="1" ht="30" customHeight="1" x14ac:dyDescent="0.35">
      <c r="A1" s="17" t="e" vm="1">
        <v>#VALUE!</v>
      </c>
      <c r="C1" s="39" t="s">
        <v>87</v>
      </c>
    </row>
    <row r="2" spans="1:24" s="33" customFormat="1" ht="20.100000000000001" customHeight="1" x14ac:dyDescent="0.25">
      <c r="A2" s="3"/>
      <c r="C2" s="3"/>
      <c r="D2" s="3"/>
      <c r="E2" s="3"/>
      <c r="F2" s="3"/>
      <c r="G2" s="3"/>
      <c r="H2" s="3"/>
      <c r="I2" s="3"/>
      <c r="J2" s="3"/>
    </row>
    <row r="3" spans="1:24" ht="20.100000000000001" customHeight="1" x14ac:dyDescent="0.25">
      <c r="A3" s="5" t="str">
        <f>HYPERLINK("#'Home'!A1", "Home")</f>
        <v>Home</v>
      </c>
      <c r="C3" s="40"/>
      <c r="D3" s="40"/>
      <c r="E3" s="40"/>
      <c r="F3" s="40"/>
      <c r="G3" s="40"/>
      <c r="H3" s="40"/>
      <c r="I3" s="40"/>
      <c r="J3" s="40"/>
      <c r="K3" s="40"/>
      <c r="M3" s="35"/>
      <c r="N3" s="35"/>
      <c r="O3" s="35"/>
      <c r="P3" s="35"/>
      <c r="Q3" s="35"/>
      <c r="R3" s="35"/>
      <c r="S3" s="35"/>
      <c r="T3" s="35"/>
      <c r="U3" s="35"/>
      <c r="V3" s="35"/>
      <c r="W3" s="35"/>
      <c r="X3" s="35"/>
    </row>
    <row r="4" spans="1:24" ht="20.100000000000001" customHeight="1" x14ac:dyDescent="0.25">
      <c r="A4" s="5" t="str">
        <f>HYPERLINK("#'Results'!A1", "Results")</f>
        <v>Results</v>
      </c>
      <c r="C4" s="41"/>
      <c r="D4" s="41"/>
      <c r="E4" s="41"/>
      <c r="F4" s="41"/>
      <c r="G4" s="41"/>
      <c r="H4" s="41"/>
      <c r="I4" s="41"/>
      <c r="J4" s="41"/>
      <c r="K4" s="41"/>
    </row>
    <row r="5" spans="1:24" ht="20.100000000000001" customHeight="1" x14ac:dyDescent="0.25">
      <c r="D5" s="2" t="s">
        <v>96</v>
      </c>
      <c r="N5" s="42"/>
    </row>
    <row r="6" spans="1:24" ht="20.100000000000001" customHeight="1" x14ac:dyDescent="0.25">
      <c r="A6" s="8" t="s">
        <v>1</v>
      </c>
      <c r="N6" s="44"/>
    </row>
    <row r="7" spans="1:24" ht="20.100000000000001" customHeight="1" x14ac:dyDescent="0.25">
      <c r="A7" s="5" t="str">
        <f>HYPERLINK("#'Input - Site'!A1", "Site")</f>
        <v>Site</v>
      </c>
      <c r="D7" s="54" t="s">
        <v>97</v>
      </c>
      <c r="E7" s="55"/>
      <c r="F7" s="55"/>
      <c r="G7" s="56"/>
    </row>
    <row r="8" spans="1:24" ht="20.100000000000001" customHeight="1" x14ac:dyDescent="0.25">
      <c r="A8" s="5" t="str">
        <f>HYPERLINK("#'Input - Pasture Beef'!A1", "Pasture Beef")</f>
        <v>Pasture Beef</v>
      </c>
      <c r="D8" s="57" t="s">
        <v>98</v>
      </c>
      <c r="E8" s="58"/>
      <c r="F8" s="58"/>
      <c r="G8" s="59"/>
    </row>
    <row r="9" spans="1:24" ht="20.100000000000001" customHeight="1" x14ac:dyDescent="0.25">
      <c r="A9" s="5"/>
      <c r="D9" s="1"/>
      <c r="E9" s="60"/>
      <c r="F9" s="27"/>
      <c r="N9" s="46"/>
    </row>
    <row r="10" spans="1:24" ht="20.100000000000001" customHeight="1" x14ac:dyDescent="0.25">
      <c r="A10" s="7" t="s">
        <v>3</v>
      </c>
      <c r="D10" s="1" t="s">
        <v>99</v>
      </c>
      <c r="E10" s="24" t="s">
        <v>100</v>
      </c>
      <c r="F10" s="27" t="s">
        <v>101</v>
      </c>
      <c r="N10" s="46"/>
    </row>
    <row r="11" spans="1:24" ht="20.100000000000001" customHeight="1" x14ac:dyDescent="0.25">
      <c r="A11" s="5" t="str">
        <f>HYPERLINK("#'4.2.1.1-2 Methane'!A1", "4.2.1.1-2 Methane")</f>
        <v>4.2.1.1-2 Methane</v>
      </c>
      <c r="D11" s="1" t="s">
        <v>102</v>
      </c>
      <c r="E11" s="24" t="s">
        <v>103</v>
      </c>
      <c r="F11" s="27" t="s">
        <v>101</v>
      </c>
      <c r="G11" s="1"/>
      <c r="N11" s="51"/>
    </row>
    <row r="12" spans="1:24" ht="20.100000000000001" customHeight="1" x14ac:dyDescent="0.25">
      <c r="A12" s="5" t="str">
        <f>HYPERLINK("#'4.2.1.3-4 Soil direct N2O'!A1", "4.2.1.3-4 Soil direct N2O")</f>
        <v>4.2.1.3-4 Soil direct N2O</v>
      </c>
      <c r="D12" s="1" t="s">
        <v>104</v>
      </c>
      <c r="E12" s="24" t="s">
        <v>105</v>
      </c>
      <c r="F12" s="27" t="s">
        <v>101</v>
      </c>
    </row>
    <row r="13" spans="1:24" ht="20.100000000000001" customHeight="1" x14ac:dyDescent="0.25">
      <c r="A13" s="5" t="str">
        <f>HYPERLINK("#'4.2.1.5-6 Soil Atmos Dep'!A1", "4.2.1.5-6 Soil atm. deposition")</f>
        <v>4.2.1.5-6 Soil atm. deposition</v>
      </c>
      <c r="D13" s="1" t="s">
        <v>37</v>
      </c>
      <c r="E13" s="45">
        <v>307.7</v>
      </c>
      <c r="F13" s="27" t="s">
        <v>106</v>
      </c>
      <c r="N13" s="53"/>
      <c r="O13" s="53"/>
    </row>
    <row r="14" spans="1:24" ht="20.100000000000001" customHeight="1" x14ac:dyDescent="0.25">
      <c r="A14" s="5" t="str">
        <f>HYPERLINK("#'4.2.1.7-8 Soil leach runoff'!A1", "4.2.1.7-8 Soil leach &amp; runoff")</f>
        <v>4.2.1.7-8 Soil leach &amp; runoff</v>
      </c>
      <c r="D14" s="1" t="s">
        <v>107</v>
      </c>
      <c r="E14" s="45">
        <v>18</v>
      </c>
      <c r="F14" s="27" t="s">
        <v>108</v>
      </c>
      <c r="N14" s="53"/>
      <c r="O14" s="53"/>
    </row>
    <row r="15" spans="1:24" ht="20.100000000000001" customHeight="1" x14ac:dyDescent="0.25">
      <c r="A15" s="5"/>
      <c r="D15" s="1" t="s">
        <v>109</v>
      </c>
      <c r="E15" s="45">
        <v>601</v>
      </c>
      <c r="F15" s="27" t="s">
        <v>110</v>
      </c>
      <c r="N15" s="53"/>
      <c r="O15" s="53"/>
    </row>
    <row r="16" spans="1:24" ht="20.100000000000001" customHeight="1" x14ac:dyDescent="0.25">
      <c r="A16" s="6" t="s">
        <v>2</v>
      </c>
      <c r="D16" s="23" t="s">
        <v>111</v>
      </c>
      <c r="E16" s="45">
        <v>1326</v>
      </c>
      <c r="F16" s="27" t="s">
        <v>110</v>
      </c>
      <c r="N16" s="53"/>
      <c r="O16" s="53"/>
    </row>
    <row r="17" spans="1:25" ht="20.100000000000001" customHeight="1" x14ac:dyDescent="0.25">
      <c r="A17" s="5" t="str">
        <f>HYPERLINK("#'Constants - Pasture Beef'!A1", "Constants - Pasture Beef")</f>
        <v>Constants - Pasture Beef</v>
      </c>
      <c r="D17" s="1" t="s">
        <v>112</v>
      </c>
      <c r="E17" s="45">
        <v>7</v>
      </c>
      <c r="F17" s="27" t="s">
        <v>113</v>
      </c>
    </row>
    <row r="18" spans="1:25" ht="20.100000000000001" customHeight="1" x14ac:dyDescent="0.25">
      <c r="A18" s="5" t="str">
        <f>HYPERLINK("#'Constants - Livestock'!A1", "Constants - Livestock")</f>
        <v>Constants - Livestock</v>
      </c>
      <c r="D18" s="23" t="s">
        <v>114</v>
      </c>
      <c r="E18" s="26">
        <f>E15/E16</f>
        <v>0.45324283559577677</v>
      </c>
      <c r="F18" s="27"/>
    </row>
    <row r="19" spans="1:25" ht="20.100000000000001" customHeight="1" x14ac:dyDescent="0.25">
      <c r="A19" s="5" t="str">
        <f>HYPERLINK("#'Constants - Common'!A1", "Constants - Common")</f>
        <v>Constants - Common</v>
      </c>
      <c r="D19" s="23" t="s">
        <v>65</v>
      </c>
      <c r="E19" s="26" t="str">
        <f>Common_InputFunctions.Utility_LookupItemFromMinMax(E15,Table_SourceData_RainfallZones[Min rainfall],Table_SourceData_RainfallZones[Max rainfall],Table_SourceData_RainfallZones[Rainfall Zone])</f>
        <v>High rainfall</v>
      </c>
      <c r="G19" s="61"/>
      <c r="N19" s="42"/>
    </row>
    <row r="20" spans="1:25" ht="20.100000000000001" customHeight="1" x14ac:dyDescent="0.25">
      <c r="A20" s="5" t="str">
        <f>HYPERLINK("#'Acknowledgements'!A1", "Acknowledgements")</f>
        <v>Acknowledgements</v>
      </c>
      <c r="D20" s="1" t="s">
        <v>32</v>
      </c>
      <c r="E20" s="26"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60"/>
      <c r="N20" s="44"/>
    </row>
    <row r="21" spans="1:25" ht="20.100000000000001" customHeight="1" x14ac:dyDescent="0.25">
      <c r="A21"/>
      <c r="D21" s="1" t="s">
        <v>115</v>
      </c>
      <c r="E21" s="26" t="str">
        <f>Common_InputFunctions.Utility_LookupValueInTable($E$20,Table_SourceData_WetDryZones[Climate zone],Table_SourceData_WetDryZones[Wet or Dry Zone])</f>
        <v>Dry climate zone</v>
      </c>
      <c r="F21" s="1"/>
      <c r="G21" s="60"/>
    </row>
    <row r="22" spans="1:25" ht="20.100000000000001" customHeight="1" x14ac:dyDescent="0.25">
      <c r="A22" s="5"/>
      <c r="D22" s="1" t="s">
        <v>69</v>
      </c>
      <c r="E22" s="26" t="str">
        <f>Common_InputFunctions.Utility_LookupItemFromMinMax(E14,Table_SourceData_TemperatureZones[Min MAT],Table_SourceData_TemperatureZones[Max MAT],Table_SourceData_TemperatureZones[Temperature Zone])</f>
        <v>Temperate</v>
      </c>
      <c r="G22" s="64"/>
    </row>
    <row r="23" spans="1:25" ht="20.100000000000001" customHeight="1" x14ac:dyDescent="0.25">
      <c r="A23" s="5"/>
    </row>
    <row r="24" spans="1:25" ht="20.100000000000001" customHeight="1" x14ac:dyDescent="0.25">
      <c r="A24" s="5"/>
    </row>
    <row r="25" spans="1:25" ht="20.100000000000001" customHeight="1" x14ac:dyDescent="0.25">
      <c r="A25"/>
      <c r="N25" s="44"/>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62"/>
      <c r="M30" s="62"/>
      <c r="N30" s="62"/>
      <c r="O30" s="62"/>
      <c r="P30" s="62"/>
      <c r="Q30" s="62"/>
      <c r="R30" s="62"/>
      <c r="S30" s="62"/>
      <c r="T30" s="62"/>
      <c r="U30" s="62"/>
      <c r="V30" s="62"/>
      <c r="W30" s="62"/>
      <c r="X30" s="62"/>
      <c r="Y30" s="62"/>
    </row>
    <row r="31" spans="1:25" ht="20.100000000000001" customHeight="1" x14ac:dyDescent="0.25">
      <c r="A31"/>
      <c r="L31" s="63"/>
      <c r="M31" s="63"/>
      <c r="N31" s="63"/>
      <c r="O31" s="63"/>
      <c r="P31" s="63"/>
      <c r="Q31" s="63"/>
      <c r="R31" s="63"/>
      <c r="S31" s="63"/>
      <c r="T31" s="63"/>
      <c r="U31" s="63"/>
      <c r="V31" s="63"/>
      <c r="W31" s="63"/>
      <c r="X31" s="63"/>
      <c r="Y31" s="63"/>
    </row>
    <row r="32" spans="1:25" ht="20.100000000000001" customHeight="1" x14ac:dyDescent="0.25">
      <c r="A32"/>
      <c r="L32" s="63"/>
      <c r="M32" s="63"/>
      <c r="N32" s="63"/>
      <c r="O32" s="63"/>
      <c r="P32" s="63"/>
      <c r="Q32" s="63"/>
      <c r="R32" s="63"/>
      <c r="S32" s="63"/>
      <c r="T32" s="63"/>
      <c r="U32" s="63"/>
      <c r="V32" s="63"/>
      <c r="W32" s="63"/>
      <c r="X32" s="63"/>
      <c r="Y32" s="63"/>
    </row>
    <row r="33" spans="1:25" ht="20.100000000000001" customHeight="1" x14ac:dyDescent="0.25">
      <c r="A33"/>
      <c r="L33" s="63"/>
      <c r="M33" s="63"/>
      <c r="N33" s="63"/>
      <c r="O33" s="63"/>
      <c r="P33" s="63"/>
      <c r="Q33" s="63"/>
      <c r="R33" s="63"/>
      <c r="S33" s="63"/>
      <c r="T33" s="63"/>
      <c r="U33" s="63"/>
      <c r="V33" s="63"/>
      <c r="W33" s="63"/>
      <c r="X33" s="63"/>
      <c r="Y33" s="63"/>
    </row>
    <row r="34" spans="1:25" ht="20.100000000000001" customHeight="1" x14ac:dyDescent="0.25">
      <c r="A34"/>
      <c r="J34" s="65"/>
      <c r="K34" s="66"/>
      <c r="L34" s="63"/>
      <c r="M34" s="63"/>
      <c r="N34" s="63"/>
      <c r="O34" s="63"/>
      <c r="P34" s="63"/>
      <c r="Q34" s="63"/>
      <c r="R34" s="63"/>
      <c r="S34" s="63"/>
      <c r="T34" s="63"/>
      <c r="U34" s="63"/>
      <c r="V34" s="63"/>
      <c r="W34" s="63"/>
      <c r="X34" s="63"/>
      <c r="Y34" s="63"/>
    </row>
    <row r="35" spans="1:25" ht="20.100000000000001" customHeight="1" x14ac:dyDescent="0.25">
      <c r="A35"/>
      <c r="J35" s="65"/>
      <c r="K35" s="66"/>
      <c r="L35" s="63"/>
      <c r="M35" s="63"/>
      <c r="N35" s="63"/>
      <c r="O35" s="63"/>
      <c r="P35" s="63"/>
      <c r="Q35" s="63"/>
      <c r="R35" s="63"/>
      <c r="S35" s="63"/>
      <c r="T35" s="63"/>
      <c r="U35" s="63"/>
      <c r="V35" s="63"/>
      <c r="W35" s="63"/>
      <c r="X35" s="63"/>
      <c r="Y35" s="63"/>
    </row>
    <row r="36" spans="1:25" ht="20.100000000000001" customHeight="1" x14ac:dyDescent="0.25">
      <c r="A36"/>
      <c r="D36" s="67"/>
      <c r="E36" s="67"/>
      <c r="F36" s="68"/>
      <c r="G36" s="65"/>
      <c r="H36" s="65"/>
      <c r="I36" s="69"/>
      <c r="J36" s="65"/>
      <c r="K36" s="66"/>
      <c r="L36" s="63"/>
      <c r="M36" s="63"/>
      <c r="N36" s="63"/>
      <c r="O36" s="63"/>
      <c r="P36" s="63"/>
      <c r="Q36" s="63"/>
      <c r="R36" s="63"/>
      <c r="S36" s="63"/>
      <c r="T36" s="63"/>
      <c r="U36" s="63"/>
      <c r="V36" s="63"/>
      <c r="W36" s="63"/>
      <c r="X36" s="63"/>
      <c r="Y36" s="63"/>
    </row>
    <row r="37" spans="1:25" ht="20.100000000000001" customHeight="1" x14ac:dyDescent="0.25">
      <c r="A37"/>
      <c r="D37" s="67"/>
      <c r="E37" s="67"/>
      <c r="F37" s="68"/>
      <c r="G37" s="65"/>
      <c r="H37" s="65"/>
      <c r="I37" s="69"/>
      <c r="J37" s="65"/>
      <c r="K37" s="66"/>
      <c r="L37" s="63"/>
      <c r="M37" s="63"/>
      <c r="N37" s="63"/>
      <c r="O37" s="63"/>
      <c r="P37" s="63"/>
      <c r="Q37" s="63"/>
      <c r="R37" s="63"/>
      <c r="S37" s="63"/>
      <c r="T37" s="63"/>
      <c r="U37" s="63"/>
      <c r="V37" s="63"/>
      <c r="W37" s="63"/>
      <c r="X37" s="63"/>
      <c r="Y37" s="63"/>
    </row>
    <row r="38" spans="1:25" ht="20.100000000000001" customHeight="1" x14ac:dyDescent="0.25">
      <c r="A38"/>
      <c r="D38" s="67"/>
      <c r="E38" s="67"/>
      <c r="F38" s="68"/>
      <c r="G38" s="65"/>
      <c r="H38" s="65"/>
      <c r="I38" s="69"/>
      <c r="J38" s="65"/>
      <c r="K38" s="66"/>
      <c r="L38" s="63"/>
      <c r="M38" s="63"/>
      <c r="N38" s="63"/>
      <c r="O38" s="63"/>
      <c r="P38" s="63"/>
      <c r="Q38" s="63"/>
      <c r="R38" s="63"/>
      <c r="S38" s="63"/>
      <c r="T38" s="63"/>
      <c r="U38" s="63"/>
      <c r="V38" s="63"/>
      <c r="W38" s="63"/>
      <c r="X38" s="63"/>
      <c r="Y38" s="63"/>
    </row>
    <row r="39" spans="1:25" ht="20.100000000000001" customHeight="1" x14ac:dyDescent="0.25">
      <c r="A39"/>
      <c r="D39" s="67"/>
      <c r="E39" s="67"/>
      <c r="F39" s="68"/>
      <c r="G39" s="65"/>
      <c r="H39" s="65"/>
      <c r="I39" s="69"/>
      <c r="J39" s="65"/>
      <c r="K39" s="66"/>
      <c r="L39" s="63"/>
      <c r="M39" s="63"/>
      <c r="N39" s="63"/>
      <c r="O39" s="63"/>
      <c r="P39" s="63"/>
      <c r="Q39" s="63"/>
      <c r="R39" s="63"/>
      <c r="S39" s="63"/>
      <c r="T39" s="63"/>
      <c r="U39" s="63"/>
      <c r="V39" s="63"/>
      <c r="W39" s="63"/>
      <c r="X39" s="63"/>
      <c r="Y39" s="63"/>
    </row>
    <row r="40" spans="1:25" ht="20.100000000000001" customHeight="1" x14ac:dyDescent="0.25">
      <c r="A40"/>
      <c r="D40" s="70"/>
      <c r="E40" s="70"/>
      <c r="F40" s="70"/>
      <c r="G40" s="71"/>
      <c r="H40" s="72"/>
      <c r="I40" s="72"/>
      <c r="J40" s="72"/>
      <c r="K40" s="72"/>
      <c r="L40" s="73"/>
      <c r="M40" s="73"/>
      <c r="N40" s="73"/>
      <c r="O40" s="73"/>
      <c r="P40" s="73"/>
      <c r="Q40" s="73"/>
      <c r="R40" s="73"/>
      <c r="S40" s="73"/>
      <c r="T40" s="73"/>
      <c r="U40" s="73"/>
      <c r="V40" s="73"/>
      <c r="W40" s="73"/>
      <c r="X40" s="73"/>
      <c r="Y40" s="7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2"/>
    </row>
    <row r="46" spans="1:25" ht="20.100000000000001" customHeight="1" x14ac:dyDescent="0.25">
      <c r="D46" s="2"/>
    </row>
    <row r="47" spans="1:25" ht="20.100000000000001" customHeight="1" x14ac:dyDescent="0.25">
      <c r="D47" s="74"/>
      <c r="E47" s="74"/>
      <c r="F47" s="74"/>
      <c r="G47" s="74"/>
      <c r="H47" s="74"/>
    </row>
    <row r="48" spans="1:25" ht="20.100000000000001" customHeight="1" x14ac:dyDescent="0.25">
      <c r="D48" s="75"/>
      <c r="E48" s="75"/>
      <c r="F48" s="76"/>
      <c r="G48" s="76"/>
      <c r="H48" s="75"/>
    </row>
    <row r="49" spans="4:8" ht="20.100000000000001" customHeight="1" x14ac:dyDescent="0.25">
      <c r="D49" s="75"/>
      <c r="E49" s="75"/>
      <c r="F49" s="76"/>
      <c r="G49" s="76"/>
      <c r="H49" s="75"/>
    </row>
    <row r="50" spans="4:8" ht="20.100000000000001" customHeight="1" x14ac:dyDescent="0.25">
      <c r="D50" s="75"/>
      <c r="E50" s="75"/>
      <c r="F50" s="76"/>
      <c r="G50" s="76"/>
      <c r="H50" s="75"/>
    </row>
    <row r="51" spans="4:8" ht="20.100000000000001" customHeight="1" x14ac:dyDescent="0.25">
      <c r="D51" s="77"/>
      <c r="E51" s="78"/>
      <c r="F51" s="78"/>
      <c r="G51" s="78"/>
      <c r="H51" s="79"/>
    </row>
    <row r="52" spans="4:8" ht="20.100000000000001" customHeight="1" x14ac:dyDescent="0.25"/>
    <row r="53" spans="4:8" ht="20.100000000000001" customHeight="1" x14ac:dyDescent="0.25"/>
    <row r="54" spans="4:8" ht="20.100000000000001" customHeight="1" x14ac:dyDescent="0.25">
      <c r="G54" s="80"/>
    </row>
    <row r="55" spans="4:8" ht="20.100000000000001" customHeight="1" x14ac:dyDescent="0.25">
      <c r="D55" s="2"/>
    </row>
    <row r="56" spans="4:8" ht="20.100000000000001" customHeight="1" x14ac:dyDescent="0.25"/>
    <row r="57" spans="4:8" ht="20.100000000000001" customHeight="1" x14ac:dyDescent="0.25">
      <c r="D57" s="81"/>
      <c r="F57" s="82"/>
    </row>
    <row r="58" spans="4:8" ht="20.100000000000001" customHeight="1" x14ac:dyDescent="0.25">
      <c r="D58" s="1"/>
      <c r="E58" s="83"/>
    </row>
    <row r="59" spans="4:8" ht="20.100000000000001" customHeight="1" x14ac:dyDescent="0.25">
      <c r="D59" s="1"/>
      <c r="E59" s="83"/>
    </row>
    <row r="60" spans="4:8" ht="20.100000000000001" customHeight="1" x14ac:dyDescent="0.25">
      <c r="D60" s="1"/>
      <c r="E60" s="84"/>
    </row>
    <row r="61" spans="4:8" ht="20.100000000000001" customHeight="1" x14ac:dyDescent="0.25">
      <c r="D61" s="1"/>
    </row>
    <row r="62" spans="4:8" ht="20.100000000000001" customHeight="1" x14ac:dyDescent="0.25"/>
    <row r="63" spans="4:8" ht="20.100000000000001" customHeight="1" x14ac:dyDescent="0.25">
      <c r="D63" s="81"/>
    </row>
    <row r="64" spans="4:8" ht="20.100000000000001" customHeight="1" x14ac:dyDescent="0.25">
      <c r="D64" s="1"/>
      <c r="E64" s="83"/>
    </row>
    <row r="65" spans="4:9" ht="20.100000000000001" customHeight="1" x14ac:dyDescent="0.25">
      <c r="D65" s="1"/>
      <c r="E65" s="83"/>
    </row>
    <row r="66" spans="4:9" ht="20.100000000000001" customHeight="1" x14ac:dyDescent="0.25">
      <c r="D66" s="1"/>
      <c r="E66" s="84"/>
    </row>
    <row r="67" spans="4:9" ht="20.100000000000001" customHeight="1" x14ac:dyDescent="0.25"/>
    <row r="68" spans="4:9" ht="20.100000000000001" customHeight="1" x14ac:dyDescent="0.25"/>
    <row r="69" spans="4:9" ht="20.100000000000001" customHeight="1" x14ac:dyDescent="0.25">
      <c r="D69" s="85"/>
      <c r="E69" s="85"/>
      <c r="F69" s="85"/>
      <c r="G69" s="85"/>
      <c r="H69" s="85"/>
      <c r="I69" s="85"/>
    </row>
    <row r="70" spans="4:9" ht="20.100000000000001" customHeight="1" x14ac:dyDescent="0.25">
      <c r="D70" s="85"/>
      <c r="E70" s="85"/>
      <c r="F70" s="85"/>
      <c r="G70" s="85"/>
      <c r="H70" s="85"/>
      <c r="I70" s="85"/>
    </row>
    <row r="71" spans="4:9" ht="20.100000000000001" customHeight="1" x14ac:dyDescent="0.25">
      <c r="D71" s="85"/>
      <c r="E71" s="85"/>
      <c r="F71" s="85"/>
      <c r="G71" s="85"/>
      <c r="H71" s="85"/>
      <c r="I71" s="85"/>
    </row>
    <row r="72" spans="4:9" ht="20.100000000000001" customHeight="1" x14ac:dyDescent="0.25">
      <c r="D72" s="85"/>
      <c r="E72" s="85"/>
      <c r="F72" s="85"/>
      <c r="G72" s="85"/>
      <c r="H72" s="85"/>
      <c r="I72" s="85"/>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6"/>
    </row>
    <row r="79" spans="4:9" ht="20.100000000000001" customHeight="1" x14ac:dyDescent="0.25">
      <c r="D79" s="86"/>
    </row>
    <row r="80" spans="4:9" ht="20.100000000000001" customHeight="1" x14ac:dyDescent="0.25">
      <c r="D80" s="86"/>
    </row>
    <row r="81" spans="4:4" ht="20.100000000000001" customHeight="1" x14ac:dyDescent="0.25">
      <c r="D81" s="86"/>
    </row>
    <row r="82" spans="4:4" ht="20.100000000000001" customHeight="1" x14ac:dyDescent="0.25">
      <c r="D82" s="8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dimension ref="C1:J33"/>
  <sheetViews>
    <sheetView showGridLines="0" workbookViewId="0">
      <selection activeCell="D39" sqref="D39"/>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3:10" ht="25.5" x14ac:dyDescent="0.35">
      <c r="C1" s="39" t="s">
        <v>153</v>
      </c>
      <c r="D1" s="33"/>
      <c r="E1" s="33"/>
      <c r="F1" s="33"/>
      <c r="G1" s="33"/>
      <c r="H1" s="33"/>
      <c r="I1" s="33"/>
      <c r="J1" s="33"/>
    </row>
    <row r="2" spans="3:10" x14ac:dyDescent="0.25">
      <c r="C2" s="3"/>
      <c r="D2" s="3"/>
      <c r="E2" s="3"/>
      <c r="F2" s="3"/>
      <c r="G2" s="3"/>
      <c r="H2" s="3"/>
      <c r="I2" s="3"/>
      <c r="J2" s="3"/>
    </row>
    <row r="3" spans="3:10" ht="20.25" x14ac:dyDescent="0.25">
      <c r="C3" s="40"/>
      <c r="D3" s="40"/>
      <c r="E3" s="40"/>
      <c r="F3" s="40"/>
      <c r="G3" s="40"/>
      <c r="H3" s="40"/>
      <c r="I3" s="40"/>
      <c r="J3" s="40"/>
    </row>
    <row r="5" spans="3:10" ht="23.25" x14ac:dyDescent="0.25">
      <c r="D5" s="2" t="s">
        <v>88</v>
      </c>
      <c r="E5" s="36"/>
      <c r="F5" s="36"/>
      <c r="G5" s="36"/>
    </row>
    <row r="6" spans="3:10" x14ac:dyDescent="0.25">
      <c r="D6" s="43"/>
      <c r="E6" s="36"/>
      <c r="F6" s="36"/>
      <c r="G6" s="36"/>
    </row>
    <row r="7" spans="3:10" x14ac:dyDescent="0.25">
      <c r="D7" s="1" t="s">
        <v>89</v>
      </c>
      <c r="E7" s="45" t="s">
        <v>90</v>
      </c>
      <c r="F7" s="27"/>
      <c r="G7" s="36"/>
    </row>
    <row r="8" spans="3:10" x14ac:dyDescent="0.25">
      <c r="D8" s="23" t="s">
        <v>91</v>
      </c>
      <c r="E8" s="45" t="s">
        <v>92</v>
      </c>
      <c r="F8" s="36"/>
      <c r="G8" s="36"/>
    </row>
    <row r="9" spans="3:10" x14ac:dyDescent="0.25">
      <c r="D9" s="36"/>
      <c r="E9" s="36"/>
      <c r="F9" s="36"/>
      <c r="G9" s="36"/>
    </row>
    <row r="10" spans="3:10" x14ac:dyDescent="0.25">
      <c r="D10" s="47" t="s">
        <v>93</v>
      </c>
      <c r="E10" s="48"/>
      <c r="F10" s="49"/>
      <c r="G10" s="50"/>
    </row>
    <row r="11" spans="3:10" x14ac:dyDescent="0.25">
      <c r="D11" s="36"/>
      <c r="E11" s="36"/>
      <c r="F11" s="36"/>
      <c r="G11" s="36"/>
    </row>
    <row r="12" spans="3:10" x14ac:dyDescent="0.25">
      <c r="D12" s="23" t="s">
        <v>17</v>
      </c>
      <c r="E12" s="25">
        <v>45658</v>
      </c>
      <c r="F12" s="27" t="s">
        <v>94</v>
      </c>
      <c r="G12" s="36"/>
    </row>
    <row r="13" spans="3:10" x14ac:dyDescent="0.25">
      <c r="D13" s="23" t="s">
        <v>18</v>
      </c>
      <c r="E13" s="52">
        <f>DATE(YEAR(E12)+1,MONTH(E12),DAY(E12))-1</f>
        <v>46022</v>
      </c>
      <c r="F13" s="27" t="s">
        <v>95</v>
      </c>
      <c r="G13" s="36"/>
    </row>
    <row r="14" spans="3:10" x14ac:dyDescent="0.25">
      <c r="F14" s="36"/>
      <c r="G14" s="36"/>
    </row>
    <row r="16" spans="3:10" ht="23.25" x14ac:dyDescent="0.25">
      <c r="D16" s="2" t="s">
        <v>19</v>
      </c>
    </row>
    <row r="18" spans="4:6" x14ac:dyDescent="0.25">
      <c r="D18" s="1" t="s">
        <v>14</v>
      </c>
      <c r="E18" s="25">
        <v>45962</v>
      </c>
      <c r="F18" s="27" t="s">
        <v>94</v>
      </c>
    </row>
    <row r="19" spans="4:6" x14ac:dyDescent="0.25">
      <c r="D19" s="1" t="s">
        <v>15</v>
      </c>
      <c r="E19" s="25">
        <v>46112</v>
      </c>
      <c r="F19" s="27" t="s">
        <v>94</v>
      </c>
    </row>
    <row r="20" spans="4:6" x14ac:dyDescent="0.25">
      <c r="D20" s="1" t="s">
        <v>16</v>
      </c>
      <c r="E20" s="26">
        <f>DATEDIF(E18,E19+1,"m")</f>
        <v>5</v>
      </c>
      <c r="F20" s="27" t="s">
        <v>119</v>
      </c>
    </row>
    <row r="22" spans="4:6" x14ac:dyDescent="0.25">
      <c r="D22" s="1" t="s">
        <v>155</v>
      </c>
      <c r="E22" s="91" t="e" cm="1">
        <f t="array" ref="E22">IF(X_Cell_Crop_CropPurpose = "Cash grain crop", X_Cell_Crop_TotalProductionOfCrop, 0)</f>
        <v>#NAME?</v>
      </c>
      <c r="F22" s="27" t="s">
        <v>20</v>
      </c>
    </row>
    <row r="23" spans="4:6" x14ac:dyDescent="0.25">
      <c r="D23" s="1" t="s">
        <v>159</v>
      </c>
      <c r="E23" s="29">
        <v>0.1</v>
      </c>
      <c r="F23" s="27" t="s">
        <v>154</v>
      </c>
    </row>
    <row r="24" spans="4:6" x14ac:dyDescent="0.25">
      <c r="D24" s="1" t="s">
        <v>160</v>
      </c>
      <c r="E24" s="29">
        <v>0.1</v>
      </c>
      <c r="F24" s="27" t="s">
        <v>154</v>
      </c>
    </row>
    <row r="25" spans="4:6" x14ac:dyDescent="0.25">
      <c r="D25" s="1" t="s">
        <v>161</v>
      </c>
      <c r="E25" s="30">
        <f>100%-E23-E24</f>
        <v>0.8</v>
      </c>
      <c r="F25" s="27" t="s">
        <v>154</v>
      </c>
    </row>
    <row r="27" spans="4:6" x14ac:dyDescent="0.25">
      <c r="D27" s="1" t="s">
        <v>157</v>
      </c>
      <c r="E27" s="91" t="e" cm="1">
        <f t="array" ref="E27">X_Cell_Crop_TotalResidueBaled</f>
        <v>#NAME?</v>
      </c>
      <c r="F27" s="27" t="s">
        <v>20</v>
      </c>
    </row>
    <row r="28" spans="4:6" x14ac:dyDescent="0.25">
      <c r="D28" s="1" t="s">
        <v>162</v>
      </c>
      <c r="E28" s="29">
        <v>0.2</v>
      </c>
      <c r="F28" s="27" t="s">
        <v>154</v>
      </c>
    </row>
    <row r="29" spans="4:6" x14ac:dyDescent="0.25">
      <c r="D29" s="1" t="s">
        <v>163</v>
      </c>
      <c r="E29" s="29">
        <v>0.1</v>
      </c>
      <c r="F29" s="27" t="s">
        <v>154</v>
      </c>
    </row>
    <row r="30" spans="4:6" x14ac:dyDescent="0.25">
      <c r="D30" s="1" t="s">
        <v>161</v>
      </c>
      <c r="E30" s="30">
        <f>100%-E28-E29</f>
        <v>0.70000000000000007</v>
      </c>
      <c r="F30" s="27" t="s">
        <v>154</v>
      </c>
    </row>
    <row r="32" spans="4:6" x14ac:dyDescent="0.25">
      <c r="D32" s="1" t="s">
        <v>156</v>
      </c>
      <c r="E32" s="29">
        <v>0.8</v>
      </c>
      <c r="F32" s="27" t="s">
        <v>154</v>
      </c>
    </row>
    <row r="33" spans="4:6" x14ac:dyDescent="0.25">
      <c r="D33" s="1" t="s">
        <v>158</v>
      </c>
      <c r="E33" s="29">
        <v>0.2</v>
      </c>
      <c r="F33" s="27" t="s">
        <v>154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198B5-7ECE-40EA-8499-B24C208F76C0}">
  <dimension ref="A1:K10"/>
  <sheetViews>
    <sheetView showGridLines="0" tabSelected="1" workbookViewId="0">
      <selection activeCell="H10" sqref="H10"/>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17" customFormat="1" ht="25.5" x14ac:dyDescent="0.35">
      <c r="A1" s="17" t="e" vm="1">
        <v>#VALUE!</v>
      </c>
      <c r="C1" s="17" t="s">
        <v>183</v>
      </c>
    </row>
    <row r="2" spans="1:11" s="3" customFormat="1" x14ac:dyDescent="0.25"/>
    <row r="3" spans="1:11" ht="20.25" x14ac:dyDescent="0.25">
      <c r="C3" s="40"/>
      <c r="D3" s="40"/>
      <c r="E3" s="40"/>
      <c r="F3" s="40"/>
      <c r="G3" s="40"/>
      <c r="H3" s="40"/>
      <c r="I3" s="40"/>
      <c r="J3" s="40"/>
      <c r="K3" s="40"/>
    </row>
    <row r="4" spans="1:11" x14ac:dyDescent="0.25">
      <c r="F4" s="93"/>
    </row>
    <row r="5" spans="1:11" x14ac:dyDescent="0.25">
      <c r="D5" s="81" t="s">
        <v>188</v>
      </c>
      <c r="E5" s="81"/>
      <c r="F5" s="81"/>
      <c r="G5" s="81"/>
    </row>
    <row r="6" spans="1:11" x14ac:dyDescent="0.25">
      <c r="F6" s="27"/>
    </row>
    <row r="7" spans="1:11" x14ac:dyDescent="0.25">
      <c r="D7" s="1" t="s">
        <v>184</v>
      </c>
      <c r="E7" s="26" t="s">
        <v>185</v>
      </c>
      <c r="F7" s="27"/>
    </row>
    <row r="8" spans="1:11" x14ac:dyDescent="0.25">
      <c r="D8" s="1" t="s">
        <v>186</v>
      </c>
      <c r="E8" s="26" t="e" cm="1">
        <f t="array" ref="E8">_xlfn.IFS(X_Cell_Crop_CropType="Maize", "Maize", X_Cell_Crop_CropType="Cotton", "Cotton", TRUE, "Grains")</f>
        <v>#NAME?</v>
      </c>
      <c r="F8" s="27"/>
    </row>
    <row r="9" spans="1:11" x14ac:dyDescent="0.25">
      <c r="D9" s="1" t="s">
        <v>64</v>
      </c>
      <c r="E9" s="26" t="e" cm="1">
        <f t="array" ref="E9">X_Cell_Crop_IrrigationMethod</f>
        <v>#NAME?</v>
      </c>
    </row>
    <row r="10" spans="1:11" x14ac:dyDescent="0.25">
      <c r="D10" s="1" t="s">
        <v>187</v>
      </c>
      <c r="E10" s="26" t="e" cm="1">
        <f t="array" ref="E10">X_Cell_Crop_AreaUnderCropping</f>
        <v>#NAME?</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772F5-D62F-448B-BE59-D05AA2138B09}">
  <dimension ref="A1:BY259"/>
  <sheetViews>
    <sheetView showGridLines="0" topLeftCell="A29" zoomScale="85" zoomScaleNormal="85" workbookViewId="0">
      <selection activeCell="F233" sqref="F233"/>
    </sheetView>
  </sheetViews>
  <sheetFormatPr defaultColWidth="9.140625" defaultRowHeight="15.75" x14ac:dyDescent="0.25"/>
  <cols>
    <col min="1" max="1" width="30.7109375" style="33" customWidth="1"/>
    <col min="2" max="2" width="2.7109375" style="33"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33" customWidth="1"/>
    <col min="34" max="39" width="21.85546875" style="33" customWidth="1"/>
    <col min="40" max="44" width="20.7109375" style="33" customWidth="1"/>
    <col min="45" max="65" width="9.140625" style="33"/>
    <col min="66" max="16384" width="9.140625" style="36"/>
  </cols>
  <sheetData>
    <row r="1" spans="1:65" s="32" customFormat="1" ht="30" customHeight="1" x14ac:dyDescent="0.35">
      <c r="A1" s="32" t="e" vm="1">
        <v>#VALUE!</v>
      </c>
      <c r="C1" s="32" t="s">
        <v>21</v>
      </c>
    </row>
    <row r="2" spans="1:65" s="3" customFormat="1" ht="20.100000000000001" customHeight="1" x14ac:dyDescent="0.25"/>
    <row r="3" spans="1:65" ht="20.100000000000001" customHeight="1" x14ac:dyDescent="0.25">
      <c r="A3"/>
      <c r="C3" s="34"/>
      <c r="D3" s="34"/>
      <c r="E3" s="34"/>
      <c r="F3" s="34"/>
      <c r="G3" s="34"/>
      <c r="H3" s="34"/>
      <c r="I3" s="34"/>
      <c r="J3" s="34"/>
      <c r="K3" s="34"/>
      <c r="L3" s="34"/>
      <c r="M3" s="34"/>
      <c r="N3" s="34"/>
      <c r="O3" s="34"/>
      <c r="P3" s="34"/>
      <c r="Q3" s="34"/>
      <c r="R3" s="34"/>
      <c r="S3" s="34"/>
      <c r="T3" s="34"/>
      <c r="U3" s="34"/>
      <c r="V3" s="35"/>
      <c r="W3" s="35"/>
    </row>
    <row r="4" spans="1:65" ht="20.100000000000001" customHeight="1" x14ac:dyDescent="0.25">
      <c r="A4"/>
      <c r="BM4" s="36"/>
    </row>
    <row r="5" spans="1:65" ht="20.100000000000001" customHeight="1" x14ac:dyDescent="0.25">
      <c r="A5"/>
      <c r="D5" s="2" t="str" cm="1">
        <f t="array" ref="D5">Common_SourceData.Common_SourceData_AustralianStatesTerritories_Title()</f>
        <v>Australian states and territories</v>
      </c>
      <c r="BM5" s="36"/>
    </row>
    <row r="6" spans="1:65" ht="20.100000000000001" customHeight="1" x14ac:dyDescent="0.25">
      <c r="A6"/>
      <c r="D6" s="31" t="s">
        <v>22</v>
      </c>
      <c r="E6" s="31" t="s">
        <v>23</v>
      </c>
      <c r="F6" s="31" t="s">
        <v>24</v>
      </c>
    </row>
    <row r="7" spans="1:65" ht="20.100000000000001" customHeight="1" x14ac:dyDescent="0.25">
      <c r="A7"/>
      <c r="D7" s="31" t="str" cm="1">
        <f t="array" ref="D7">Common_InputFunctions.Utility_DisplayArrayInTable(Common_SourceData.Common_SourceData_AustralianStatesTerritories_Data(),Table_AustralianStates[[#Headers],[State/Territory]],0)</f>
        <v>New South Wales</v>
      </c>
      <c r="E7" s="31" t="str" cm="1">
        <f t="array" ref="E7">Common_InputFunctions.Utility_DisplayArrayInTable(Common_SourceData.Common_SourceData_AustralianStatesTerritories_Data(),Table_AustralianStates[[#Headers],[State/Territory]],0)</f>
        <v>New South Wales</v>
      </c>
      <c r="F7" s="31" t="str" cm="1">
        <f t="array" ref="F7">Common_InputFunctions.Utility_DisplayArrayInTable(Common_SourceData.Common_SourceData_AustralianStatesTerritories_Data(),Table_AustralianStates[[#Headers],[State/Territory]],0)</f>
        <v>NSW</v>
      </c>
    </row>
    <row r="8" spans="1:65" ht="20.100000000000001" customHeight="1" x14ac:dyDescent="0.25">
      <c r="A8"/>
      <c r="D8" s="31" t="str" cm="1">
        <f t="array" ref="D8">Common_InputFunctions.Utility_DisplayArrayInTable(Common_SourceData.Common_SourceData_AustralianStatesTerritories_Data(),Table_AustralianStates[[#Headers],[State/Territory]],0)</f>
        <v>Australian Capital Territory</v>
      </c>
      <c r="E8" s="31" t="str" cm="1">
        <f t="array" ref="E8">Common_InputFunctions.Utility_DisplayArrayInTable(Common_SourceData.Common_SourceData_AustralianStatesTerritories_Data(),Table_AustralianStates[[#Headers],[State/Territory]],0)</f>
        <v>ACT</v>
      </c>
      <c r="F8" s="31" t="str" cm="1">
        <f t="array" ref="F8">Common_InputFunctions.Utility_DisplayArrayInTable(Common_SourceData.Common_SourceData_AustralianStatesTerritories_Data(),Table_AustralianStates[[#Headers],[State/Territory]],0)</f>
        <v>ACT</v>
      </c>
    </row>
    <row r="9" spans="1:65" ht="20.100000000000001" customHeight="1" x14ac:dyDescent="0.25">
      <c r="A9"/>
      <c r="D9" s="31" t="str" cm="1">
        <f t="array" ref="D9">Common_InputFunctions.Utility_DisplayArrayInTable(Common_SourceData.Common_SourceData_AustralianStatesTerritories_Data(),Table_AustralianStates[[#Headers],[State/Territory]],0)</f>
        <v>Victoria</v>
      </c>
      <c r="E9" s="31" t="str" cm="1">
        <f t="array" ref="E9">Common_InputFunctions.Utility_DisplayArrayInTable(Common_SourceData.Common_SourceData_AustralianStatesTerritories_Data(),Table_AustralianStates[[#Headers],[State/Territory]],0)</f>
        <v>Victoria</v>
      </c>
      <c r="F9" s="31"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1" t="str" cm="1">
        <f t="array" ref="D10">Common_InputFunctions.Utility_DisplayArrayInTable(Common_SourceData.Common_SourceData_AustralianStatesTerritories_Data(),Table_AustralianStates[[#Headers],[State/Territory]],0)</f>
        <v>Queensland</v>
      </c>
      <c r="E10" s="31" t="str" cm="1">
        <f t="array" ref="E10">Common_InputFunctions.Utility_DisplayArrayInTable(Common_SourceData.Common_SourceData_AustralianStatesTerritories_Data(),Table_AustralianStates[[#Headers],[State/Territory]],0)</f>
        <v>Queensland</v>
      </c>
      <c r="F10" s="31"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1" t="str" cm="1">
        <f t="array" ref="D11">Common_InputFunctions.Utility_DisplayArrayInTable(Common_SourceData.Common_SourceData_AustralianStatesTerritories_Data(),Table_AustralianStates[[#Headers],[State/Territory]],0)</f>
        <v>South Australia</v>
      </c>
      <c r="E11" s="31" t="str" cm="1">
        <f t="array" ref="E11">Common_InputFunctions.Utility_DisplayArrayInTable(Common_SourceData.Common_SourceData_AustralianStatesTerritories_Data(),Table_AustralianStates[[#Headers],[State/Territory]],0)</f>
        <v>South Australia</v>
      </c>
      <c r="F11" s="31" t="str" cm="1">
        <f t="array" ref="F11">Common_InputFunctions.Utility_DisplayArrayInTable(Common_SourceData.Common_SourceData_AustralianStatesTerritories_Data(),Table_AustralianStates[[#Headers],[State/Territory]],0)</f>
        <v>SA</v>
      </c>
      <c r="BM11" s="36"/>
    </row>
    <row r="12" spans="1:65" ht="20.100000000000001" customHeight="1" x14ac:dyDescent="0.25">
      <c r="A12"/>
      <c r="D12" s="31" t="str" cm="1">
        <f t="array" ref="D12">Common_InputFunctions.Utility_DisplayArrayInTable(Common_SourceData.Common_SourceData_AustralianStatesTerritories_Data(),Table_AustralianStates[[#Headers],[State/Territory]],0)</f>
        <v>Western Australia</v>
      </c>
      <c r="E12" s="31" t="str" cm="1">
        <f t="array" ref="E12">Common_InputFunctions.Utility_DisplayArrayInTable(Common_SourceData.Common_SourceData_AustralianStatesTerritories_Data(),Table_AustralianStates[[#Headers],[State/Territory]],0)</f>
        <v>Western Australia</v>
      </c>
      <c r="F12" s="31" t="str" cm="1">
        <f t="array" ref="F12">Common_InputFunctions.Utility_DisplayArrayInTable(Common_SourceData.Common_SourceData_AustralianStatesTerritories_Data(),Table_AustralianStates[[#Headers],[State/Territory]],0)</f>
        <v>WA</v>
      </c>
      <c r="BM12" s="36"/>
    </row>
    <row r="13" spans="1:65" ht="20.100000000000001" customHeight="1" x14ac:dyDescent="0.25">
      <c r="A13"/>
      <c r="D13" s="31" t="str" cm="1">
        <f t="array" ref="D13">Common_InputFunctions.Utility_DisplayArrayInTable(Common_SourceData.Common_SourceData_AustralianStatesTerritories_Data(),Table_AustralianStates[[#Headers],[State/Territory]],0)</f>
        <v>Tasmania</v>
      </c>
      <c r="E13" s="31" t="str" cm="1">
        <f t="array" ref="E13">Common_InputFunctions.Utility_DisplayArrayInTable(Common_SourceData.Common_SourceData_AustralianStatesTerritories_Data(),Table_AustralianStates[[#Headers],[State/Territory]],0)</f>
        <v>Tasmania</v>
      </c>
      <c r="F13" s="31"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1" t="str" cm="1">
        <f t="array" ref="D14">Common_InputFunctions.Utility_DisplayArrayInTable(Common_SourceData.Common_SourceData_AustralianStatesTerritories_Data(),Table_AustralianStates[[#Headers],[State/Territory]],0)</f>
        <v>Northern Territory</v>
      </c>
      <c r="E14" s="31" t="str" cm="1">
        <f t="array" ref="E14">Common_InputFunctions.Utility_DisplayArrayInTable(Common_SourceData.Common_SourceData_AustralianStatesTerritories_Data(),Table_AustralianStates[[#Headers],[State/Territory]],0)</f>
        <v>Northern Territory</v>
      </c>
      <c r="F14" s="31"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2" t="str" cm="1">
        <f t="array" ref="D18">Common_SourceData.Common_SourceData_WASA4Areas_Title()</f>
        <v>ABS Statistcal Areas Level 4 - Western Australia</v>
      </c>
    </row>
    <row r="19" spans="1:4" ht="20.100000000000001" customHeight="1" x14ac:dyDescent="0.25">
      <c r="A19"/>
      <c r="D19" s="28" t="str" cm="1">
        <f t="array" ref="D19">Common_SourceData.Common_SourceData_WASA4Areas_Source()</f>
        <v>Australian Bureau of Statistics (ABS) - Statistical Areas Level 2 - 2021 - Shapefile</v>
      </c>
    </row>
    <row r="20" spans="1:4" ht="20.100000000000001" customHeight="1" x14ac:dyDescent="0.25">
      <c r="A20"/>
      <c r="D20" s="31" t="s">
        <v>25</v>
      </c>
    </row>
    <row r="21" spans="1:4" ht="20.100000000000001" customHeight="1" x14ac:dyDescent="0.25">
      <c r="A21"/>
      <c r="D21" s="31" t="str" cm="1">
        <f t="array" ref="D21">Common_InputFunctions.Utility_DisplayArrayInTable(Common_SourceData.Common_SourceData_WASA4Areas_Data(), Table_WASA4Areas[[#Headers],[SA 4 Name]], 0)</f>
        <v>Bunbury</v>
      </c>
    </row>
    <row r="22" spans="1:4" ht="20.100000000000001" customHeight="1" x14ac:dyDescent="0.25">
      <c r="A22"/>
      <c r="D22" s="31" t="str" cm="1">
        <f t="array" ref="D22">Common_InputFunctions.Utility_DisplayArrayInTable(Common_SourceData.Common_SourceData_WASA4Areas_Data(), Table_WASA4Areas[[#Headers],[SA 4 Name]], 0)</f>
        <v>Mandurah</v>
      </c>
    </row>
    <row r="23" spans="1:4" ht="20.100000000000001" customHeight="1" x14ac:dyDescent="0.25">
      <c r="A23"/>
      <c r="D23" s="31" t="str" cm="1">
        <f t="array" ref="D23">Common_InputFunctions.Utility_DisplayArrayInTable(Common_SourceData.Common_SourceData_WASA4Areas_Data(), Table_WASA4Areas[[#Headers],[SA 4 Name]], 0)</f>
        <v>Perth - Inner</v>
      </c>
    </row>
    <row r="24" spans="1:4" ht="20.100000000000001" customHeight="1" x14ac:dyDescent="0.25">
      <c r="A24"/>
      <c r="D24" s="31" t="str" cm="1">
        <f t="array" ref="D24">Common_InputFunctions.Utility_DisplayArrayInTable(Common_SourceData.Common_SourceData_WASA4Areas_Data(), Table_WASA4Areas[[#Headers],[SA 4 Name]], 0)</f>
        <v>Perth - North East</v>
      </c>
    </row>
    <row r="25" spans="1:4" ht="20.100000000000001" customHeight="1" x14ac:dyDescent="0.25">
      <c r="A25"/>
      <c r="D25" s="31" t="str" cm="1">
        <f t="array" ref="D25">Common_InputFunctions.Utility_DisplayArrayInTable(Common_SourceData.Common_SourceData_WASA4Areas_Data(), Table_WASA4Areas[[#Headers],[SA 4 Name]], 0)</f>
        <v>Perth - North West</v>
      </c>
    </row>
    <row r="26" spans="1:4" ht="20.100000000000001" customHeight="1" x14ac:dyDescent="0.25">
      <c r="A26"/>
      <c r="D26" s="31" t="str" cm="1">
        <f t="array" ref="D26">Common_InputFunctions.Utility_DisplayArrayInTable(Common_SourceData.Common_SourceData_WASA4Areas_Data(), Table_WASA4Areas[[#Headers],[SA 4 Name]], 0)</f>
        <v>Perth - South East</v>
      </c>
    </row>
    <row r="27" spans="1:4" ht="20.100000000000001" customHeight="1" x14ac:dyDescent="0.25">
      <c r="A27"/>
      <c r="D27" s="31" t="str" cm="1">
        <f t="array" ref="D27">Common_InputFunctions.Utility_DisplayArrayInTable(Common_SourceData.Common_SourceData_WASA4Areas_Data(), Table_WASA4Areas[[#Headers],[SA 4 Name]], 0)</f>
        <v>Perth - South West</v>
      </c>
    </row>
    <row r="28" spans="1:4" ht="20.100000000000001" customHeight="1" x14ac:dyDescent="0.25">
      <c r="A28"/>
      <c r="D28" s="31"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1"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1"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2" t="str" cm="1">
        <f t="array" ref="D34">Common_SourceData.Common_SourceData_GWP_Title()</f>
        <v>Global warming potential for greenhouse gases</v>
      </c>
    </row>
    <row r="35" spans="1:8" ht="20.100000000000001" customHeight="1" x14ac:dyDescent="0.25">
      <c r="A35"/>
      <c r="D35" s="28" t="str" cm="1">
        <f t="array" ref="D35">Common_SourceData.Common_SourceData_GWP_Source()</f>
        <v>XXXXXXX</v>
      </c>
    </row>
    <row r="36" spans="1:8" ht="20.100000000000001" customHeight="1" x14ac:dyDescent="0.25">
      <c r="A36"/>
      <c r="D36" s="31" t="s">
        <v>26</v>
      </c>
      <c r="E36" s="31" t="s">
        <v>27</v>
      </c>
    </row>
    <row r="37" spans="1:8" ht="20.100000000000001" customHeight="1" x14ac:dyDescent="0.25">
      <c r="A37"/>
      <c r="D37" s="31" t="str" cm="1">
        <f t="array" ref="D37">Common_InputFunctions.Utility_DisplayArrayInTable(Common_SourceData.Common_SourceData_GWP_Data(), Table_GWPData[[#Headers],[Gas]], 0)</f>
        <v>CO2</v>
      </c>
      <c r="E37" s="31" cm="1">
        <f t="array" ref="E37">Common_InputFunctions.Utility_DisplayArrayInTable(Common_SourceData.Common_SourceData_GWP_Data(), Table_GWPData[[#Headers],[Gas]], 0)</f>
        <v>1</v>
      </c>
    </row>
    <row r="38" spans="1:8" ht="20.100000000000001" customHeight="1" x14ac:dyDescent="0.25">
      <c r="A38"/>
      <c r="D38" s="31" t="str" cm="1">
        <f t="array" ref="D38">Common_InputFunctions.Utility_DisplayArrayInTable(Common_SourceData.Common_SourceData_GWP_Data(), Table_GWPData[[#Headers],[Gas]], 0)</f>
        <v>CH4</v>
      </c>
      <c r="E38" s="31" cm="1">
        <f t="array" ref="E38">Common_InputFunctions.Utility_DisplayArrayInTable(Common_SourceData.Common_SourceData_GWP_Data(), Table_GWPData[[#Headers],[Gas]], 0)</f>
        <v>28</v>
      </c>
    </row>
    <row r="39" spans="1:8" ht="20.100000000000001" customHeight="1" x14ac:dyDescent="0.25">
      <c r="A39"/>
      <c r="D39" s="31" t="str" cm="1">
        <f t="array" ref="D39">Common_InputFunctions.Utility_DisplayArrayInTable(Common_SourceData.Common_SourceData_GWP_Data(), Table_GWPData[[#Headers],[Gas]], 0)</f>
        <v>N2O</v>
      </c>
      <c r="E39" s="31" cm="1">
        <f t="array" ref="E39">Common_InputFunctions.Utility_DisplayArrayInTable(Common_SourceData.Common_SourceData_GWP_Data(), Table_GWPData[[#Headers],[Gas]], 0)</f>
        <v>265</v>
      </c>
    </row>
    <row r="40" spans="1:8" ht="20.100000000000001" customHeight="1" x14ac:dyDescent="0.25">
      <c r="A40"/>
      <c r="D40" s="31" t="str" cm="1">
        <f t="array" ref="D40">Common_InputFunctions.Utility_DisplayArrayInTable(Common_SourceData.Common_SourceData_GWP_Data(), Table_GWPData[[#Headers],[Gas]], 0)</f>
        <v>CF4</v>
      </c>
      <c r="E40" s="31" cm="1">
        <f t="array" ref="E40">Common_InputFunctions.Utility_DisplayArrayInTable(Common_SourceData.Common_SourceData_GWP_Data(), Table_GWPData[[#Headers],[Gas]], 0)</f>
        <v>6630</v>
      </c>
    </row>
    <row r="41" spans="1:8" ht="20.100000000000001" customHeight="1" x14ac:dyDescent="0.25">
      <c r="A41"/>
      <c r="D41" s="31" t="str" cm="1">
        <f t="array" ref="D41">Common_InputFunctions.Utility_DisplayArrayInTable(Common_SourceData.Common_SourceData_GWP_Data(), Table_GWPData[[#Headers],[Gas]], 0)</f>
        <v>C2F6</v>
      </c>
      <c r="E41" s="31" cm="1">
        <f t="array" ref="E41">Common_InputFunctions.Utility_DisplayArrayInTable(Common_SourceData.Common_SourceData_GWP_Data(), Table_GWPData[[#Headers],[Gas]], 0)</f>
        <v>12200</v>
      </c>
    </row>
    <row r="42" spans="1:8" ht="20.100000000000001" customHeight="1" x14ac:dyDescent="0.25">
      <c r="D42" s="31" t="str" cm="1">
        <f t="array" ref="D42">Common_InputFunctions.Utility_DisplayArrayInTable(Common_SourceData.Common_SourceData_GWP_Data(), Table_GWPData[[#Headers],[Gas]], 0)</f>
        <v>SF6</v>
      </c>
      <c r="E42" s="31" cm="1">
        <f t="array" ref="E42">Common_InputFunctions.Utility_DisplayArrayInTable(Common_SourceData.Common_SourceData_GWP_Data(), Table_GWPData[[#Headers],[Gas]], 0)</f>
        <v>22800</v>
      </c>
    </row>
    <row r="43" spans="1:8" ht="20.100000000000001" customHeight="1" x14ac:dyDescent="0.25">
      <c r="D43" s="31" t="str" cm="1">
        <f t="array" ref="D43">Common_InputFunctions.Utility_DisplayArrayInTable(Common_SourceData.Common_SourceData_GWP_Data(), Table_GWPData[[#Headers],[Gas]], 0)</f>
        <v>NF3</v>
      </c>
      <c r="E43" s="31"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2" t="str" cm="1">
        <f t="array" ref="D45">Common_SourceData.Common_SourceData_ConvertGasElementalToMolecular_Title()</f>
        <v>Factor to convert elemental mass of gas to molecular mass</v>
      </c>
    </row>
    <row r="46" spans="1:8" ht="20.100000000000001" customHeight="1" x14ac:dyDescent="0.25">
      <c r="D46" s="28" t="str" cm="1">
        <f t="array" ref="D46">Common_SourceData.Common_SourceData_ConvertGasElementalToMolecular_Source()</f>
        <v>XXXXXXX</v>
      </c>
    </row>
    <row r="47" spans="1:8" ht="20.100000000000001" customHeight="1" x14ac:dyDescent="0.25">
      <c r="D47" s="31" t="s">
        <v>26</v>
      </c>
      <c r="E47" s="31" t="s">
        <v>28</v>
      </c>
      <c r="F47" s="31" t="s">
        <v>29</v>
      </c>
      <c r="G47" s="31" t="s">
        <v>30</v>
      </c>
      <c r="H47" s="31" t="s">
        <v>31</v>
      </c>
    </row>
    <row r="48" spans="1:8" ht="20.100000000000001" customHeight="1" x14ac:dyDescent="0.25">
      <c r="D48" s="31" t="str" cm="1">
        <f t="array" ref="D48">Common_InputFunctions.Utility_DisplayArrayInTable(Common_SourceData.Common_SourceData_ConvertGasElementalToMolecular_Data(),Table_GasToMolecularConversionFactor[[#Headers],[Gas]], 0)</f>
        <v>CO2</v>
      </c>
      <c r="E48" s="31" t="str" cm="1">
        <f t="array" ref="E48">Common_InputFunctions.Utility_DisplayArrayInTable(Common_SourceData.Common_SourceData_ConvertGasElementalToMolecular_Data(),Table_GasToMolecularConversionFactor[[#Headers],[Gas]], 0)</f>
        <v>44/12</v>
      </c>
      <c r="F48" s="31" cm="1">
        <f t="array" ref="F48">Common_InputFunctions.Utility_DisplayArrayInTable(Common_SourceData.Common_SourceData_ConvertGasElementalToMolecular_Data(),Table_GasToMolecularConversionFactor[[#Headers],[Gas]], 0)</f>
        <v>44</v>
      </c>
      <c r="G48" s="31" cm="1">
        <f t="array" ref="G48">Common_InputFunctions.Utility_DisplayArrayInTable(Common_SourceData.Common_SourceData_ConvertGasElementalToMolecular_Data(),Table_GasToMolecularConversionFactor[[#Headers],[Gas]], 0)</f>
        <v>12</v>
      </c>
      <c r="H48" s="31">
        <f>Table_GasToMolecularConversionFactor[[#This Row],[Conversion factor 1]]/Table_GasToMolecularConversionFactor[[#This Row],[Conversion factor 2]]</f>
        <v>3.6666666666666665</v>
      </c>
    </row>
    <row r="49" spans="4:8" ht="20.100000000000001" customHeight="1" x14ac:dyDescent="0.25">
      <c r="D49" s="31" t="str" cm="1">
        <f t="array" ref="D49">Common_InputFunctions.Utility_DisplayArrayInTable(Common_SourceData.Common_SourceData_ConvertGasElementalToMolecular_Data(),Table_GasToMolecularConversionFactor[[#Headers],[Gas]], 0)</f>
        <v>CH4</v>
      </c>
      <c r="E49" s="31" t="str" cm="1">
        <f t="array" ref="E49">Common_InputFunctions.Utility_DisplayArrayInTable(Common_SourceData.Common_SourceData_ConvertGasElementalToMolecular_Data(),Table_GasToMolecularConversionFactor[[#Headers],[Gas]], 0)</f>
        <v>16/12</v>
      </c>
      <c r="F49" s="31" cm="1">
        <f t="array" ref="F49">Common_InputFunctions.Utility_DisplayArrayInTable(Common_SourceData.Common_SourceData_ConvertGasElementalToMolecular_Data(),Table_GasToMolecularConversionFactor[[#Headers],[Gas]], 0)</f>
        <v>16</v>
      </c>
      <c r="G49" s="31" cm="1">
        <f t="array" ref="G49">Common_InputFunctions.Utility_DisplayArrayInTable(Common_SourceData.Common_SourceData_ConvertGasElementalToMolecular_Data(),Table_GasToMolecularConversionFactor[[#Headers],[Gas]], 0)</f>
        <v>12</v>
      </c>
      <c r="H49" s="31">
        <f>Table_GasToMolecularConversionFactor[[#This Row],[Conversion factor 1]]/Table_GasToMolecularConversionFactor[[#This Row],[Conversion factor 2]]</f>
        <v>1.3333333333333333</v>
      </c>
    </row>
    <row r="50" spans="4:8" ht="20.100000000000001" customHeight="1" x14ac:dyDescent="0.25">
      <c r="D50" s="31" t="str" cm="1">
        <f t="array" ref="D50">Common_InputFunctions.Utility_DisplayArrayInTable(Common_SourceData.Common_SourceData_ConvertGasElementalToMolecular_Data(),Table_GasToMolecularConversionFactor[[#Headers],[Gas]], 0)</f>
        <v>N2O</v>
      </c>
      <c r="E50" s="31" t="str" cm="1">
        <f t="array" ref="E50">Common_InputFunctions.Utility_DisplayArrayInTable(Common_SourceData.Common_SourceData_ConvertGasElementalToMolecular_Data(),Table_GasToMolecularConversionFactor[[#Headers],[Gas]], 0)</f>
        <v>44/28</v>
      </c>
      <c r="F50" s="31" cm="1">
        <f t="array" ref="F50">Common_InputFunctions.Utility_DisplayArrayInTable(Common_SourceData.Common_SourceData_ConvertGasElementalToMolecular_Data(),Table_GasToMolecularConversionFactor[[#Headers],[Gas]], 0)</f>
        <v>44</v>
      </c>
      <c r="G50" s="31" cm="1">
        <f t="array" ref="G50">Common_InputFunctions.Utility_DisplayArrayInTable(Common_SourceData.Common_SourceData_ConvertGasElementalToMolecular_Data(),Table_GasToMolecularConversionFactor[[#Headers],[Gas]], 0)</f>
        <v>28</v>
      </c>
      <c r="H50" s="31">
        <f>Table_GasToMolecularConversionFactor[[#This Row],[Conversion factor 1]]/Table_GasToMolecularConversionFactor[[#This Row],[Conversion factor 2]]</f>
        <v>1.5714285714285714</v>
      </c>
    </row>
    <row r="51" spans="4:8" ht="20.100000000000001" customHeight="1" x14ac:dyDescent="0.25">
      <c r="D51" s="31" t="str" cm="1">
        <f t="array" ref="D51">Common_InputFunctions.Utility_DisplayArrayInTable(Common_SourceData.Common_SourceData_ConvertGasElementalToMolecular_Data(),Table_GasToMolecularConversionFactor[[#Headers],[Gas]], 0)</f>
        <v>Nox</v>
      </c>
      <c r="E51" s="31" t="str" cm="1">
        <f t="array" ref="E51">Common_InputFunctions.Utility_DisplayArrayInTable(Common_SourceData.Common_SourceData_ConvertGasElementalToMolecular_Data(),Table_GasToMolecularConversionFactor[[#Headers],[Gas]], 0)</f>
        <v>46/14</v>
      </c>
      <c r="F51" s="31" cm="1">
        <f t="array" ref="F51">Common_InputFunctions.Utility_DisplayArrayInTable(Common_SourceData.Common_SourceData_ConvertGasElementalToMolecular_Data(),Table_GasToMolecularConversionFactor[[#Headers],[Gas]], 0)</f>
        <v>46</v>
      </c>
      <c r="G51" s="31" cm="1">
        <f t="array" ref="G51">Common_InputFunctions.Utility_DisplayArrayInTable(Common_SourceData.Common_SourceData_ConvertGasElementalToMolecular_Data(),Table_GasToMolecularConversionFactor[[#Headers],[Gas]], 0)</f>
        <v>14</v>
      </c>
      <c r="H51" s="31">
        <f>Table_GasToMolecularConversionFactor[[#This Row],[Conversion factor 1]]/Table_GasToMolecularConversionFactor[[#This Row],[Conversion factor 2]]</f>
        <v>3.2857142857142856</v>
      </c>
    </row>
    <row r="52" spans="4:8" ht="20.100000000000001" customHeight="1" x14ac:dyDescent="0.25">
      <c r="D52" s="31" t="str" cm="1">
        <f t="array" ref="D52">Common_InputFunctions.Utility_DisplayArrayInTable(Common_SourceData.Common_SourceData_ConvertGasElementalToMolecular_Data(),Table_GasToMolecularConversionFactor[[#Headers],[Gas]], 0)</f>
        <v>CO</v>
      </c>
      <c r="E52" s="31" t="str" cm="1">
        <f t="array" ref="E52">Common_InputFunctions.Utility_DisplayArrayInTable(Common_SourceData.Common_SourceData_ConvertGasElementalToMolecular_Data(),Table_GasToMolecularConversionFactor[[#Headers],[Gas]], 0)</f>
        <v>28/12</v>
      </c>
      <c r="F52" s="31" cm="1">
        <f t="array" ref="F52">Common_InputFunctions.Utility_DisplayArrayInTable(Common_SourceData.Common_SourceData_ConvertGasElementalToMolecular_Data(),Table_GasToMolecularConversionFactor[[#Headers],[Gas]], 0)</f>
        <v>28</v>
      </c>
      <c r="G52" s="31" cm="1">
        <f t="array" ref="G52">Common_InputFunctions.Utility_DisplayArrayInTable(Common_SourceData.Common_SourceData_ConvertGasElementalToMolecular_Data(),Table_GasToMolecularConversionFactor[[#Headers],[Gas]], 0)</f>
        <v>12</v>
      </c>
      <c r="H52" s="31">
        <f>Table_GasToMolecularConversionFactor[[#This Row],[Conversion factor 1]]/Table_GasToMolecularConversionFactor[[#This Row],[Conversion factor 2]]</f>
        <v>2.3333333333333335</v>
      </c>
    </row>
    <row r="53" spans="4:8" ht="20.100000000000001" customHeight="1" x14ac:dyDescent="0.25">
      <c r="D53" s="31" t="str" cm="1">
        <f t="array" ref="D53">Common_InputFunctions.Utility_DisplayArrayInTable(Common_SourceData.Common_SourceData_ConvertGasElementalToMolecular_Data(),Table_GasToMolecularConversionFactor[[#Headers],[Gas]], 0)</f>
        <v>CO2 Lime</v>
      </c>
      <c r="E53" s="31" t="str" cm="1">
        <f t="array" ref="E53">Common_InputFunctions.Utility_DisplayArrayInTable(Common_SourceData.Common_SourceData_ConvertGasElementalToMolecular_Data(),Table_GasToMolecularConversionFactor[[#Headers],[Gas]], 0)</f>
        <v>44/12</v>
      </c>
      <c r="F53" s="31" cm="1">
        <f t="array" ref="F53">Common_InputFunctions.Utility_DisplayArrayInTable(Common_SourceData.Common_SourceData_ConvertGasElementalToMolecular_Data(),Table_GasToMolecularConversionFactor[[#Headers],[Gas]], 0)</f>
        <v>44</v>
      </c>
      <c r="G53" s="31" cm="1">
        <f t="array" ref="G53">Common_InputFunctions.Utility_DisplayArrayInTable(Common_SourceData.Common_SourceData_ConvertGasElementalToMolecular_Data(),Table_GasToMolecularConversionFactor[[#Headers],[Gas]], 0)</f>
        <v>12</v>
      </c>
      <c r="H53" s="31">
        <f>Table_GasToMolecularConversionFactor[[#This Row],[Conversion factor 1]]/Table_GasToMolecularConversionFactor[[#This Row],[Conversion factor 2]]</f>
        <v>3.6666666666666665</v>
      </c>
    </row>
    <row r="54" spans="4:8" ht="20.100000000000001" customHeight="1" x14ac:dyDescent="0.25">
      <c r="D54" s="31" t="str" cm="1">
        <f t="array" ref="D54">Common_InputFunctions.Utility_DisplayArrayInTable(Common_SourceData.Common_SourceData_ConvertGasElementalToMolecular_Data(),Table_GasToMolecularConversionFactor[[#Headers],[Gas]], 0)</f>
        <v>NMVOC</v>
      </c>
      <c r="E54" s="31" t="str" cm="1">
        <f t="array" ref="E54">Common_InputFunctions.Utility_DisplayArrayInTable(Common_SourceData.Common_SourceData_ConvertGasElementalToMolecular_Data(),Table_GasToMolecularConversionFactor[[#Headers],[Gas]], 0)</f>
        <v>14/12</v>
      </c>
      <c r="F54" s="31" cm="1">
        <f t="array" ref="F54">Common_InputFunctions.Utility_DisplayArrayInTable(Common_SourceData.Common_SourceData_ConvertGasElementalToMolecular_Data(),Table_GasToMolecularConversionFactor[[#Headers],[Gas]], 0)</f>
        <v>14</v>
      </c>
      <c r="G54" s="31" cm="1">
        <f t="array" ref="G54">Common_InputFunctions.Utility_DisplayArrayInTable(Common_SourceData.Common_SourceData_ConvertGasElementalToMolecular_Data(),Table_GasToMolecularConversionFactor[[#Headers],[Gas]], 0)</f>
        <v>12</v>
      </c>
      <c r="H54" s="31">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2" t="str" cm="1">
        <f t="array" ref="D57">Common_SourceData.Common_SourceData_WetAndDryZones_Title()</f>
        <v>VEERG Australian wet and dry zones</v>
      </c>
    </row>
    <row r="58" spans="4:8" ht="20.100000000000001" customHeight="1" x14ac:dyDescent="0.25">
      <c r="D58" s="28" t="str" cm="1">
        <f t="array" ref="D58">Common_SourceData.Common_SourceData_WetAndDryZones_Source()</f>
        <v>VEERG 2026: Table 1.2: Translating climate zones to wet and dry zones</v>
      </c>
    </row>
    <row r="59" spans="4:8" ht="20.100000000000001" customHeight="1" x14ac:dyDescent="0.25">
      <c r="D59" s="37" t="str" cm="1">
        <f t="array" ref="D59:D61">"⚠️" &amp; Common_SourceData.Common_SourceData_WetAndDryZones_Variation()</f>
        <v>⚠️VARIATION OF SOURCE DATA:</v>
      </c>
    </row>
    <row r="60" spans="4:8" ht="20.100000000000001" customHeight="1" x14ac:dyDescent="0.25">
      <c r="D60" s="37" t="str">
        <v>⚠️Added warm / cool temperate moist / dry - low frost and high temp classes to accommodate climate scenarios excluded by VEERG criteria.</v>
      </c>
    </row>
    <row r="61" spans="4:8" ht="20.100000000000001" customHeight="1" x14ac:dyDescent="0.25">
      <c r="D61" s="37" t="str">
        <v>⚠️Fixed typo - Changed 'Fry' to 'Dry'.</v>
      </c>
    </row>
    <row r="62" spans="4:8" ht="20.100000000000001" customHeight="1" x14ac:dyDescent="0.25"/>
    <row r="63" spans="4:8" ht="20.100000000000001" customHeight="1" x14ac:dyDescent="0.25">
      <c r="D63" s="31" t="s">
        <v>32</v>
      </c>
      <c r="E63" s="31" t="s">
        <v>33</v>
      </c>
    </row>
    <row r="64" spans="4:8" ht="20.100000000000001" customHeight="1" x14ac:dyDescent="0.25">
      <c r="D64" s="31" t="str" cm="1">
        <f t="array" ref="D64">Common_InputFunctions.Utility_DisplayArrayInTable(Common_SourceData.Common_SourceData_WetAndDryZones_Data(), Table_SourceData_WetDryZones[[#Headers],[Climate zone]], 0)</f>
        <v>Tropical montane</v>
      </c>
      <c r="E64" s="31"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1" t="str" cm="1">
        <f t="array" ref="D65">Common_InputFunctions.Utility_DisplayArrayInTable(Common_SourceData.Common_SourceData_WetAndDryZones_Data(), Table_SourceData_WetDryZones[[#Headers],[Climate zone]], 0)</f>
        <v>Tropical wet</v>
      </c>
      <c r="E65" s="31"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1" t="str" cm="1">
        <f t="array" ref="D66">Common_InputFunctions.Utility_DisplayArrayInTable(Common_SourceData.Common_SourceData_WetAndDryZones_Data(), Table_SourceData_WetDryZones[[#Headers],[Climate zone]], 0)</f>
        <v>Tropical moist</v>
      </c>
      <c r="E66" s="31"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1" t="str" cm="1">
        <f t="array" ref="D67">Common_InputFunctions.Utility_DisplayArrayInTable(Common_SourceData.Common_SourceData_WetAndDryZones_Data(), Table_SourceData_WetDryZones[[#Headers],[Climate zone]], 0)</f>
        <v>Tropical dry</v>
      </c>
      <c r="E67" s="31"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1" t="str" cm="1">
        <f t="array" ref="D68">Common_InputFunctions.Utility_DisplayArrayInTable(Common_SourceData.Common_SourceData_WetAndDryZones_Data(), Table_SourceData_WetDryZones[[#Headers],[Climate zone]], 0)</f>
        <v>Warm temperate moist</v>
      </c>
      <c r="E68" s="31"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1" t="str" cm="1">
        <f t="array" ref="D69">Common_InputFunctions.Utility_DisplayArrayInTable(Common_SourceData.Common_SourceData_WetAndDryZones_Data(), Table_SourceData_WetDryZones[[#Headers],[Climate zone]], 0)</f>
        <v>Warm temperate dry</v>
      </c>
      <c r="E69" s="31"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1" t="str" cm="1">
        <f t="array" ref="D70">Common_InputFunctions.Utility_DisplayArrayInTable(Common_SourceData.Common_SourceData_WetAndDryZones_Data(), Table_SourceData_WetDryZones[[#Headers],[Climate zone]], 0)</f>
        <v>Cool temperate moist</v>
      </c>
      <c r="E70" s="31"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1" t="str" cm="1">
        <f t="array" ref="D71">Common_InputFunctions.Utility_DisplayArrayInTable(Common_SourceData.Common_SourceData_WetAndDryZones_Data(), Table_SourceData_WetDryZones[[#Headers],[Climate zone]], 0)</f>
        <v>Cool temperate dry</v>
      </c>
      <c r="E71" s="31"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1" t="str" cm="1">
        <f t="array" ref="D72">Common_InputFunctions.Utility_DisplayArrayInTable(Common_SourceData.Common_SourceData_WetAndDryZones_Data(), Table_SourceData_WetDryZones[[#Headers],[Climate zone]], 0)</f>
        <v>Warm temperate moist - low frost</v>
      </c>
      <c r="E72" s="31"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1" t="str" cm="1">
        <f t="array" ref="D73">Common_InputFunctions.Utility_DisplayArrayInTable(Common_SourceData.Common_SourceData_WetAndDryZones_Data(), Table_SourceData_WetDryZones[[#Headers],[Climate zone]], 0)</f>
        <v>Warm temperate dry - low frost</v>
      </c>
      <c r="E73" s="31"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1" t="str" cm="1">
        <f t="array" ref="D74">Common_InputFunctions.Utility_DisplayArrayInTable(Common_SourceData.Common_SourceData_WetAndDryZones_Data(), Table_SourceData_WetDryZones[[#Headers],[Climate zone]], 0)</f>
        <v>Warm temperate moist - high temp</v>
      </c>
      <c r="E74" s="31"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1" t="str" cm="1">
        <f t="array" ref="D75">Common_InputFunctions.Utility_DisplayArrayInTable(Common_SourceData.Common_SourceData_WetAndDryZones_Data(), Table_SourceData_WetDryZones[[#Headers],[Climate zone]], 0)</f>
        <v>Warm temperate dry - high temp</v>
      </c>
      <c r="E75" s="31"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1" t="str" cm="1">
        <f t="array" ref="D76">Common_InputFunctions.Utility_DisplayArrayInTable(Common_SourceData.Common_SourceData_WetAndDryZones_Data(), Table_SourceData_WetDryZones[[#Headers],[Climate zone]], 0)</f>
        <v>Cool temperate moist - low frost</v>
      </c>
      <c r="E76" s="31"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1" t="str" cm="1">
        <f t="array" ref="D77">Common_InputFunctions.Utility_DisplayArrayInTable(Common_SourceData.Common_SourceData_WetAndDryZones_Data(), Table_SourceData_WetDryZones[[#Headers],[Climate zone]], 0)</f>
        <v>Cool temperate dry - low frost</v>
      </c>
      <c r="E77" s="31"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2" t="str" cm="1">
        <f t="array" ref="D81">Common_SourceData.Common_SourceData_ClimateZones_Title()</f>
        <v>VEERG Australian climate zones</v>
      </c>
    </row>
    <row r="82" spans="4:20" ht="20.100000000000001" customHeight="1" x14ac:dyDescent="0.25">
      <c r="D82" s="28" t="str" cm="1">
        <f t="array" ref="D82">Common_SourceData.Common_SourceData_ClimateZones_Source()</f>
        <v>VEERG 2026: Table 1.3: Climate and Rainfall zone classifications and definitions</v>
      </c>
    </row>
    <row r="83" spans="4:20" ht="20.100000000000001" customHeight="1" x14ac:dyDescent="0.25">
      <c r="D83" s="37" t="str" cm="1">
        <f t="array" ref="D83:D87">"⚠️" &amp; Common_SourceData.Common_SourceData_ClimateZones_Variation()</f>
        <v>⚠️VARIATION OF SOURCE DATA:</v>
      </c>
    </row>
    <row r="84" spans="4:20" ht="20.100000000000001" customHeight="1" x14ac:dyDescent="0.25">
      <c r="D84" s="37" t="str">
        <v>⚠️Added warm / cool temperate moist / dry - low frost and high temp classes to accommodate climate scenarios excluded by VEERG criteria.</v>
      </c>
    </row>
    <row r="85" spans="4:20" ht="20.100000000000001" customHeight="1" x14ac:dyDescent="0.25">
      <c r="D85" s="37" t="str">
        <v>⚠️Fixed typo in MAT value for warm temperate dry - changed 10 to 11.</v>
      </c>
    </row>
    <row r="86" spans="4:20" ht="20.100000000000001" customHeight="1" x14ac:dyDescent="0.25">
      <c r="D86" s="37" t="str">
        <v>⚠️Added min and max columns for MAT, MAP, frost days per year, elevation, MAP:PET to calculate zones from real climate data.</v>
      </c>
    </row>
    <row r="87" spans="4:20" ht="20.100000000000001" customHeight="1" x14ac:dyDescent="0.25">
      <c r="D87" s="37" t="str">
        <v>⚠️GAF accepts rainfall as a proxy for precipitation.</v>
      </c>
    </row>
    <row r="88" spans="4:20" ht="20.100000000000001" customHeight="1" x14ac:dyDescent="0.25"/>
    <row r="89" spans="4:20" ht="20.100000000000001" customHeight="1" x14ac:dyDescent="0.25">
      <c r="D89" s="31" t="s">
        <v>32</v>
      </c>
      <c r="E89" s="31" t="s">
        <v>34</v>
      </c>
      <c r="F89" s="31" t="s">
        <v>35</v>
      </c>
      <c r="G89" s="31" t="s">
        <v>36</v>
      </c>
      <c r="H89" s="31" t="s">
        <v>37</v>
      </c>
      <c r="I89" s="31" t="s">
        <v>38</v>
      </c>
      <c r="J89" s="31" t="s">
        <v>39</v>
      </c>
      <c r="K89" s="31" t="s">
        <v>40</v>
      </c>
      <c r="L89" s="31" t="s">
        <v>41</v>
      </c>
      <c r="M89" s="31" t="s">
        <v>42</v>
      </c>
      <c r="N89" s="31" t="s">
        <v>43</v>
      </c>
      <c r="O89" s="31" t="s">
        <v>44</v>
      </c>
      <c r="P89" s="31" t="s">
        <v>45</v>
      </c>
      <c r="Q89" s="31" t="s">
        <v>46</v>
      </c>
      <c r="R89" s="31" t="s">
        <v>47</v>
      </c>
      <c r="S89" s="31" t="s">
        <v>48</v>
      </c>
      <c r="T89" s="31"/>
    </row>
    <row r="90" spans="4:20" ht="20.100000000000001" customHeight="1" x14ac:dyDescent="0.25">
      <c r="D90" s="31" t="str" cm="1">
        <f t="array" ref="D90">Common_InputFunctions.Utility_DisplayArrayInTable(Common_SourceData.Common_SourceData_ClimateZones_Data(), Table_SourceData_ClimateZones[[#Headers],[Climate zone]], 0)</f>
        <v>Tropical montane</v>
      </c>
      <c r="E90" s="31" t="str" cm="1">
        <f t="array" ref="E90">Common_InputFunctions.Utility_DisplayArrayInTable(Common_SourceData.Common_SourceData_ClimateZones_Data(), Table_SourceData_ClimateZones[[#Headers],[Climate zone]], 0)</f>
        <v>&gt; 18 C</v>
      </c>
      <c r="F90" s="31" t="str" cm="1">
        <f t="array" ref="F90">Common_InputFunctions.Utility_DisplayArrayInTable(Common_SourceData.Common_SourceData_ClimateZones_Data(), Table_SourceData_ClimateZones[[#Headers],[Climate zone]], 0)</f>
        <v>Any</v>
      </c>
      <c r="G90" s="31" t="str" cm="1">
        <f t="array" ref="G90">Common_InputFunctions.Utility_DisplayArrayInTable(Common_SourceData.Common_SourceData_ClimateZones_Data(), Table_SourceData_ClimateZones[[#Headers],[Climate zone]], 0)</f>
        <v>≤ 7</v>
      </c>
      <c r="H90" s="31" t="str" cm="1">
        <f t="array" ref="H90">Common_InputFunctions.Utility_DisplayArrayInTable(Common_SourceData.Common_SourceData_ClimateZones_Data(), Table_SourceData_ClimateZones[[#Headers],[Climate zone]], 0)</f>
        <v>&gt; 1000 m</v>
      </c>
      <c r="I90" s="31" t="str" cm="1">
        <f t="array" ref="I90">Common_InputFunctions.Utility_DisplayArrayInTable(Common_SourceData.Common_SourceData_ClimateZones_Data(), Table_SourceData_ClimateZones[[#Headers],[Climate zone]], 0)</f>
        <v>Any</v>
      </c>
      <c r="J90" s="31" cm="1">
        <f t="array" ref="J90">Common_InputFunctions.Utility_DisplayArrayInTable(Common_SourceData.Common_SourceData_ClimateZones_Data(), Table_SourceData_ClimateZones[[#Headers],[Climate zone]], 0)</f>
        <v>18.001000000000001</v>
      </c>
      <c r="K90" s="31" cm="1">
        <f t="array" ref="K90">Common_InputFunctions.Utility_DisplayArrayInTable(Common_SourceData.Common_SourceData_ClimateZones_Data(), Table_SourceData_ClimateZones[[#Headers],[Climate zone]], 0)</f>
        <v>999999</v>
      </c>
      <c r="L90" s="31" cm="1">
        <f t="array" ref="L90">Common_InputFunctions.Utility_DisplayArrayInTable(Common_SourceData.Common_SourceData_ClimateZones_Data(), Table_SourceData_ClimateZones[[#Headers],[Climate zone]], 0)</f>
        <v>-999999</v>
      </c>
      <c r="M90" s="31" cm="1">
        <f t="array" ref="M90">Common_InputFunctions.Utility_DisplayArrayInTable(Common_SourceData.Common_SourceData_ClimateZones_Data(), Table_SourceData_ClimateZones[[#Headers],[Climate zone]], 0)</f>
        <v>999999</v>
      </c>
      <c r="N90" s="31" cm="1">
        <f t="array" ref="N90">Common_InputFunctions.Utility_DisplayArrayInTable(Common_SourceData.Common_SourceData_ClimateZones_Data(), Table_SourceData_ClimateZones[[#Headers],[Climate zone]], 0)</f>
        <v>-999999</v>
      </c>
      <c r="O90" s="31" cm="1">
        <f t="array" ref="O90">Common_InputFunctions.Utility_DisplayArrayInTable(Common_SourceData.Common_SourceData_ClimateZones_Data(), Table_SourceData_ClimateZones[[#Headers],[Climate zone]], 0)</f>
        <v>7</v>
      </c>
      <c r="P90" s="31" cm="1">
        <f t="array" ref="P90">Common_InputFunctions.Utility_DisplayArrayInTable(Common_SourceData.Common_SourceData_ClimateZones_Data(), Table_SourceData_ClimateZones[[#Headers],[Climate zone]], 0)</f>
        <v>1000</v>
      </c>
      <c r="Q90" s="31" cm="1">
        <f t="array" ref="Q90">Common_InputFunctions.Utility_DisplayArrayInTable(Common_SourceData.Common_SourceData_ClimateZones_Data(), Table_SourceData_ClimateZones[[#Headers],[Climate zone]], 0)</f>
        <v>999999</v>
      </c>
      <c r="R90" s="31" cm="1">
        <f t="array" ref="R90">Common_InputFunctions.Utility_DisplayArrayInTable(Common_SourceData.Common_SourceData_ClimateZones_Data(), Table_SourceData_ClimateZones[[#Headers],[Climate zone]], 0)</f>
        <v>-999999</v>
      </c>
      <c r="S90" s="31" cm="1">
        <f t="array" ref="S90">Common_InputFunctions.Utility_DisplayArrayInTable(Common_SourceData.Common_SourceData_ClimateZones_Data(), Table_SourceData_ClimateZones[[#Headers],[Climate zone]], 0)</f>
        <v>999999</v>
      </c>
      <c r="T90" s="31"/>
    </row>
    <row r="91" spans="4:20" ht="20.100000000000001" customHeight="1" x14ac:dyDescent="0.25">
      <c r="D91" s="31" t="str" cm="1">
        <f t="array" ref="D91">Common_InputFunctions.Utility_DisplayArrayInTable(Common_SourceData.Common_SourceData_ClimateZones_Data(), Table_SourceData_ClimateZones[[#Headers],[Climate zone]], 0)</f>
        <v>Tropical wet</v>
      </c>
      <c r="E91" s="31" t="str" cm="1">
        <f t="array" ref="E91">Common_InputFunctions.Utility_DisplayArrayInTable(Common_SourceData.Common_SourceData_ClimateZones_Data(), Table_SourceData_ClimateZones[[#Headers],[Climate zone]], 0)</f>
        <v>&gt; 18 C</v>
      </c>
      <c r="F91" s="31" t="str" cm="1">
        <f t="array" ref="F91">Common_InputFunctions.Utility_DisplayArrayInTable(Common_SourceData.Common_SourceData_ClimateZones_Data(), Table_SourceData_ClimateZones[[#Headers],[Climate zone]], 0)</f>
        <v>&gt; 2000 mm</v>
      </c>
      <c r="G91" s="31" t="str" cm="1">
        <f t="array" ref="G91">Common_InputFunctions.Utility_DisplayArrayInTable(Common_SourceData.Common_SourceData_ClimateZones_Data(), Table_SourceData_ClimateZones[[#Headers],[Climate zone]], 0)</f>
        <v>≤ 7</v>
      </c>
      <c r="H91" s="31" t="str" cm="1">
        <f t="array" ref="H91">Common_InputFunctions.Utility_DisplayArrayInTable(Common_SourceData.Common_SourceData_ClimateZones_Data(), Table_SourceData_ClimateZones[[#Headers],[Climate zone]], 0)</f>
        <v>≤ 1000 m</v>
      </c>
      <c r="I91" s="31" t="str" cm="1">
        <f t="array" ref="I91">Common_InputFunctions.Utility_DisplayArrayInTable(Common_SourceData.Common_SourceData_ClimateZones_Data(), Table_SourceData_ClimateZones[[#Headers],[Climate zone]], 0)</f>
        <v>Any</v>
      </c>
      <c r="J91" s="31" cm="1">
        <f t="array" ref="J91">Common_InputFunctions.Utility_DisplayArrayInTable(Common_SourceData.Common_SourceData_ClimateZones_Data(), Table_SourceData_ClimateZones[[#Headers],[Climate zone]], 0)</f>
        <v>18.001000000000001</v>
      </c>
      <c r="K91" s="31" cm="1">
        <f t="array" ref="K91">Common_InputFunctions.Utility_DisplayArrayInTable(Common_SourceData.Common_SourceData_ClimateZones_Data(), Table_SourceData_ClimateZones[[#Headers],[Climate zone]], 0)</f>
        <v>999999</v>
      </c>
      <c r="L91" s="31" cm="1">
        <f t="array" ref="L91">Common_InputFunctions.Utility_DisplayArrayInTable(Common_SourceData.Common_SourceData_ClimateZones_Data(), Table_SourceData_ClimateZones[[#Headers],[Climate zone]], 0)</f>
        <v>2000.001</v>
      </c>
      <c r="M91" s="31" cm="1">
        <f t="array" ref="M91">Common_InputFunctions.Utility_DisplayArrayInTable(Common_SourceData.Common_SourceData_ClimateZones_Data(), Table_SourceData_ClimateZones[[#Headers],[Climate zone]], 0)</f>
        <v>999999</v>
      </c>
      <c r="N91" s="31" cm="1">
        <f t="array" ref="N91">Common_InputFunctions.Utility_DisplayArrayInTable(Common_SourceData.Common_SourceData_ClimateZones_Data(), Table_SourceData_ClimateZones[[#Headers],[Climate zone]], 0)</f>
        <v>-999999</v>
      </c>
      <c r="O91" s="31" cm="1">
        <f t="array" ref="O91">Common_InputFunctions.Utility_DisplayArrayInTable(Common_SourceData.Common_SourceData_ClimateZones_Data(), Table_SourceData_ClimateZones[[#Headers],[Climate zone]], 0)</f>
        <v>7</v>
      </c>
      <c r="P91" s="31" cm="1">
        <f t="array" ref="P91">Common_InputFunctions.Utility_DisplayArrayInTable(Common_SourceData.Common_SourceData_ClimateZones_Data(), Table_SourceData_ClimateZones[[#Headers],[Climate zone]], 0)</f>
        <v>-999999</v>
      </c>
      <c r="Q91" s="31" cm="1">
        <f t="array" ref="Q91">Common_InputFunctions.Utility_DisplayArrayInTable(Common_SourceData.Common_SourceData_ClimateZones_Data(), Table_SourceData_ClimateZones[[#Headers],[Climate zone]], 0)</f>
        <v>999.99900000000002</v>
      </c>
      <c r="R91" s="31" cm="1">
        <f t="array" ref="R91">Common_InputFunctions.Utility_DisplayArrayInTable(Common_SourceData.Common_SourceData_ClimateZones_Data(), Table_SourceData_ClimateZones[[#Headers],[Climate zone]], 0)</f>
        <v>-999999</v>
      </c>
      <c r="S91" s="31" cm="1">
        <f t="array" ref="S91">Common_InputFunctions.Utility_DisplayArrayInTable(Common_SourceData.Common_SourceData_ClimateZones_Data(), Table_SourceData_ClimateZones[[#Headers],[Climate zone]], 0)</f>
        <v>999999</v>
      </c>
      <c r="T91" s="31"/>
    </row>
    <row r="92" spans="4:20" ht="20.100000000000001" customHeight="1" x14ac:dyDescent="0.25">
      <c r="D92" s="31" t="str" cm="1">
        <f t="array" ref="D92">Common_InputFunctions.Utility_DisplayArrayInTable(Common_SourceData.Common_SourceData_ClimateZones_Data(), Table_SourceData_ClimateZones[[#Headers],[Climate zone]], 0)</f>
        <v>Tropical moist</v>
      </c>
      <c r="E92" s="31" t="str" cm="1">
        <f t="array" ref="E92">Common_InputFunctions.Utility_DisplayArrayInTable(Common_SourceData.Common_SourceData_ClimateZones_Data(), Table_SourceData_ClimateZones[[#Headers],[Climate zone]], 0)</f>
        <v>&gt; 18 C</v>
      </c>
      <c r="F92" s="31" t="str" cm="1">
        <f t="array" ref="F92">Common_InputFunctions.Utility_DisplayArrayInTable(Common_SourceData.Common_SourceData_ClimateZones_Data(), Table_SourceData_ClimateZones[[#Headers],[Climate zone]], 0)</f>
        <v>&gt; 1000 mm - ≤ 2000 mm</v>
      </c>
      <c r="G92" s="31" t="str" cm="1">
        <f t="array" ref="G92">Common_InputFunctions.Utility_DisplayArrayInTable(Common_SourceData.Common_SourceData_ClimateZones_Data(), Table_SourceData_ClimateZones[[#Headers],[Climate zone]], 0)</f>
        <v>≤ 7</v>
      </c>
      <c r="H92" s="31" t="str" cm="1">
        <f t="array" ref="H92">Common_InputFunctions.Utility_DisplayArrayInTable(Common_SourceData.Common_SourceData_ClimateZones_Data(), Table_SourceData_ClimateZones[[#Headers],[Climate zone]], 0)</f>
        <v>≤ 1000 m</v>
      </c>
      <c r="I92" s="31" t="str" cm="1">
        <f t="array" ref="I92">Common_InputFunctions.Utility_DisplayArrayInTable(Common_SourceData.Common_SourceData_ClimateZones_Data(), Table_SourceData_ClimateZones[[#Headers],[Climate zone]], 0)</f>
        <v>Any</v>
      </c>
      <c r="J92" s="31" cm="1">
        <f t="array" ref="J92">Common_InputFunctions.Utility_DisplayArrayInTable(Common_SourceData.Common_SourceData_ClimateZones_Data(), Table_SourceData_ClimateZones[[#Headers],[Climate zone]], 0)</f>
        <v>18.001000000000001</v>
      </c>
      <c r="K92" s="31" cm="1">
        <f t="array" ref="K92">Common_InputFunctions.Utility_DisplayArrayInTable(Common_SourceData.Common_SourceData_ClimateZones_Data(), Table_SourceData_ClimateZones[[#Headers],[Climate zone]], 0)</f>
        <v>999999</v>
      </c>
      <c r="L92" s="31" cm="1">
        <f t="array" ref="L92">Common_InputFunctions.Utility_DisplayArrayInTable(Common_SourceData.Common_SourceData_ClimateZones_Data(), Table_SourceData_ClimateZones[[#Headers],[Climate zone]], 0)</f>
        <v>1000.001</v>
      </c>
      <c r="M92" s="31" cm="1">
        <f t="array" ref="M92">Common_InputFunctions.Utility_DisplayArrayInTable(Common_SourceData.Common_SourceData_ClimateZones_Data(), Table_SourceData_ClimateZones[[#Headers],[Climate zone]], 0)</f>
        <v>2000</v>
      </c>
      <c r="N92" s="31" cm="1">
        <f t="array" ref="N92">Common_InputFunctions.Utility_DisplayArrayInTable(Common_SourceData.Common_SourceData_ClimateZones_Data(), Table_SourceData_ClimateZones[[#Headers],[Climate zone]], 0)</f>
        <v>-999999</v>
      </c>
      <c r="O92" s="31" cm="1">
        <f t="array" ref="O92">Common_InputFunctions.Utility_DisplayArrayInTable(Common_SourceData.Common_SourceData_ClimateZones_Data(), Table_SourceData_ClimateZones[[#Headers],[Climate zone]], 0)</f>
        <v>7</v>
      </c>
      <c r="P92" s="31" cm="1">
        <f t="array" ref="P92">Common_InputFunctions.Utility_DisplayArrayInTable(Common_SourceData.Common_SourceData_ClimateZones_Data(), Table_SourceData_ClimateZones[[#Headers],[Climate zone]], 0)</f>
        <v>-999999</v>
      </c>
      <c r="Q92" s="31" cm="1">
        <f t="array" ref="Q92">Common_InputFunctions.Utility_DisplayArrayInTable(Common_SourceData.Common_SourceData_ClimateZones_Data(), Table_SourceData_ClimateZones[[#Headers],[Climate zone]], 0)</f>
        <v>999.99900000000002</v>
      </c>
      <c r="R92" s="31" cm="1">
        <f t="array" ref="R92">Common_InputFunctions.Utility_DisplayArrayInTable(Common_SourceData.Common_SourceData_ClimateZones_Data(), Table_SourceData_ClimateZones[[#Headers],[Climate zone]], 0)</f>
        <v>-999999</v>
      </c>
      <c r="S92" s="31" cm="1">
        <f t="array" ref="S92">Common_InputFunctions.Utility_DisplayArrayInTable(Common_SourceData.Common_SourceData_ClimateZones_Data(), Table_SourceData_ClimateZones[[#Headers],[Climate zone]], 0)</f>
        <v>999999</v>
      </c>
      <c r="T92" s="31"/>
    </row>
    <row r="93" spans="4:20" ht="20.100000000000001" customHeight="1" x14ac:dyDescent="0.25">
      <c r="D93" s="31" t="str" cm="1">
        <f t="array" ref="D93">Common_InputFunctions.Utility_DisplayArrayInTable(Common_SourceData.Common_SourceData_ClimateZones_Data(), Table_SourceData_ClimateZones[[#Headers],[Climate zone]], 0)</f>
        <v>Tropical dry</v>
      </c>
      <c r="E93" s="31" t="str" cm="1">
        <f t="array" ref="E93">Common_InputFunctions.Utility_DisplayArrayInTable(Common_SourceData.Common_SourceData_ClimateZones_Data(), Table_SourceData_ClimateZones[[#Headers],[Climate zone]], 0)</f>
        <v>&gt; 18 C</v>
      </c>
      <c r="F93" s="31" t="str" cm="1">
        <f t="array" ref="F93">Common_InputFunctions.Utility_DisplayArrayInTable(Common_SourceData.Common_SourceData_ClimateZones_Data(), Table_SourceData_ClimateZones[[#Headers],[Climate zone]], 0)</f>
        <v>≤ 1000 mm</v>
      </c>
      <c r="G93" s="31" t="str" cm="1">
        <f t="array" ref="G93">Common_InputFunctions.Utility_DisplayArrayInTable(Common_SourceData.Common_SourceData_ClimateZones_Data(), Table_SourceData_ClimateZones[[#Headers],[Climate zone]], 0)</f>
        <v>≤ 7</v>
      </c>
      <c r="H93" s="31" t="str" cm="1">
        <f t="array" ref="H93">Common_InputFunctions.Utility_DisplayArrayInTable(Common_SourceData.Common_SourceData_ClimateZones_Data(), Table_SourceData_ClimateZones[[#Headers],[Climate zone]], 0)</f>
        <v>≤ 1000 m</v>
      </c>
      <c r="I93" s="31" t="str" cm="1">
        <f t="array" ref="I93">Common_InputFunctions.Utility_DisplayArrayInTable(Common_SourceData.Common_SourceData_ClimateZones_Data(), Table_SourceData_ClimateZones[[#Headers],[Climate zone]], 0)</f>
        <v>Any</v>
      </c>
      <c r="J93" s="31" cm="1">
        <f t="array" ref="J93">Common_InputFunctions.Utility_DisplayArrayInTable(Common_SourceData.Common_SourceData_ClimateZones_Data(), Table_SourceData_ClimateZones[[#Headers],[Climate zone]], 0)</f>
        <v>18.001000000000001</v>
      </c>
      <c r="K93" s="31" cm="1">
        <f t="array" ref="K93">Common_InputFunctions.Utility_DisplayArrayInTable(Common_SourceData.Common_SourceData_ClimateZones_Data(), Table_SourceData_ClimateZones[[#Headers],[Climate zone]], 0)</f>
        <v>999999</v>
      </c>
      <c r="L93" s="31" cm="1">
        <f t="array" ref="L93">Common_InputFunctions.Utility_DisplayArrayInTable(Common_SourceData.Common_SourceData_ClimateZones_Data(), Table_SourceData_ClimateZones[[#Headers],[Climate zone]], 0)</f>
        <v>-999999</v>
      </c>
      <c r="M93" s="31" cm="1">
        <f t="array" ref="M93">Common_InputFunctions.Utility_DisplayArrayInTable(Common_SourceData.Common_SourceData_ClimateZones_Data(), Table_SourceData_ClimateZones[[#Headers],[Climate zone]], 0)</f>
        <v>1000</v>
      </c>
      <c r="N93" s="31" cm="1">
        <f t="array" ref="N93">Common_InputFunctions.Utility_DisplayArrayInTable(Common_SourceData.Common_SourceData_ClimateZones_Data(), Table_SourceData_ClimateZones[[#Headers],[Climate zone]], 0)</f>
        <v>-999999</v>
      </c>
      <c r="O93" s="31" cm="1">
        <f t="array" ref="O93">Common_InputFunctions.Utility_DisplayArrayInTable(Common_SourceData.Common_SourceData_ClimateZones_Data(), Table_SourceData_ClimateZones[[#Headers],[Climate zone]], 0)</f>
        <v>7</v>
      </c>
      <c r="P93" s="31" cm="1">
        <f t="array" ref="P93">Common_InputFunctions.Utility_DisplayArrayInTable(Common_SourceData.Common_SourceData_ClimateZones_Data(), Table_SourceData_ClimateZones[[#Headers],[Climate zone]], 0)</f>
        <v>-999999</v>
      </c>
      <c r="Q93" s="31" cm="1">
        <f t="array" ref="Q93">Common_InputFunctions.Utility_DisplayArrayInTable(Common_SourceData.Common_SourceData_ClimateZones_Data(), Table_SourceData_ClimateZones[[#Headers],[Climate zone]], 0)</f>
        <v>999.99900000000002</v>
      </c>
      <c r="R93" s="31" cm="1">
        <f t="array" ref="R93">Common_InputFunctions.Utility_DisplayArrayInTable(Common_SourceData.Common_SourceData_ClimateZones_Data(), Table_SourceData_ClimateZones[[#Headers],[Climate zone]], 0)</f>
        <v>-999999</v>
      </c>
      <c r="S93" s="31" cm="1">
        <f t="array" ref="S93">Common_InputFunctions.Utility_DisplayArrayInTable(Common_SourceData.Common_SourceData_ClimateZones_Data(), Table_SourceData_ClimateZones[[#Headers],[Climate zone]], 0)</f>
        <v>999999</v>
      </c>
      <c r="T93" s="31"/>
    </row>
    <row r="94" spans="4:20" ht="20.100000000000001" customHeight="1" x14ac:dyDescent="0.25">
      <c r="D94" s="31" t="str" cm="1">
        <f t="array" ref="D94">Common_InputFunctions.Utility_DisplayArrayInTable(Common_SourceData.Common_SourceData_ClimateZones_Data(), Table_SourceData_ClimateZones[[#Headers],[Climate zone]], 0)</f>
        <v>Warm temperate moist</v>
      </c>
      <c r="E94" s="31" t="str" cm="1">
        <f t="array" ref="E94">Common_InputFunctions.Utility_DisplayArrayInTable(Common_SourceData.Common_SourceData_ClimateZones_Data(), Table_SourceData_ClimateZones[[#Headers],[Climate zone]], 0)</f>
        <v>&gt; 10 C</v>
      </c>
      <c r="F94" s="31" t="str" cm="1">
        <f t="array" ref="F94">Common_InputFunctions.Utility_DisplayArrayInTable(Common_SourceData.Common_SourceData_ClimateZones_Data(), Table_SourceData_ClimateZones[[#Headers],[Climate zone]], 0)</f>
        <v>Any</v>
      </c>
      <c r="G94" s="31" t="str" cm="1">
        <f t="array" ref="G94">Common_InputFunctions.Utility_DisplayArrayInTable(Common_SourceData.Common_SourceData_ClimateZones_Data(), Table_SourceData_ClimateZones[[#Headers],[Climate zone]], 0)</f>
        <v>Any</v>
      </c>
      <c r="H94" s="31" t="str" cm="1">
        <f t="array" ref="H94">Common_InputFunctions.Utility_DisplayArrayInTable(Common_SourceData.Common_SourceData_ClimateZones_Data(), Table_SourceData_ClimateZones[[#Headers],[Climate zone]], 0)</f>
        <v>Any</v>
      </c>
      <c r="I94" s="31" t="str" cm="1">
        <f t="array" ref="I94">Common_InputFunctions.Utility_DisplayArrayInTable(Common_SourceData.Common_SourceData_ClimateZones_Data(), Table_SourceData_ClimateZones[[#Headers],[Climate zone]], 0)</f>
        <v>&gt; 1</v>
      </c>
      <c r="J94" s="31" cm="1">
        <f t="array" ref="J94">Common_InputFunctions.Utility_DisplayArrayInTable(Common_SourceData.Common_SourceData_ClimateZones_Data(), Table_SourceData_ClimateZones[[#Headers],[Climate zone]], 0)</f>
        <v>10.000999999999999</v>
      </c>
      <c r="K94" s="31" cm="1">
        <f t="array" ref="K94">Common_InputFunctions.Utility_DisplayArrayInTable(Common_SourceData.Common_SourceData_ClimateZones_Data(), Table_SourceData_ClimateZones[[#Headers],[Climate zone]], 0)</f>
        <v>999999</v>
      </c>
      <c r="L94" s="31" cm="1">
        <f t="array" ref="L94">Common_InputFunctions.Utility_DisplayArrayInTable(Common_SourceData.Common_SourceData_ClimateZones_Data(), Table_SourceData_ClimateZones[[#Headers],[Climate zone]], 0)</f>
        <v>-999999</v>
      </c>
      <c r="M94" s="31" cm="1">
        <f t="array" ref="M94">Common_InputFunctions.Utility_DisplayArrayInTable(Common_SourceData.Common_SourceData_ClimateZones_Data(), Table_SourceData_ClimateZones[[#Headers],[Climate zone]], 0)</f>
        <v>999999</v>
      </c>
      <c r="N94" s="31" cm="1">
        <f t="array" ref="N94">Common_InputFunctions.Utility_DisplayArrayInTable(Common_SourceData.Common_SourceData_ClimateZones_Data(), Table_SourceData_ClimateZones[[#Headers],[Climate zone]], 0)</f>
        <v>-999999</v>
      </c>
      <c r="O94" s="31" cm="1">
        <f t="array" ref="O94">Common_InputFunctions.Utility_DisplayArrayInTable(Common_SourceData.Common_SourceData_ClimateZones_Data(), Table_SourceData_ClimateZones[[#Headers],[Climate zone]], 0)</f>
        <v>999999</v>
      </c>
      <c r="P94" s="31" cm="1">
        <f t="array" ref="P94">Common_InputFunctions.Utility_DisplayArrayInTable(Common_SourceData.Common_SourceData_ClimateZones_Data(), Table_SourceData_ClimateZones[[#Headers],[Climate zone]], 0)</f>
        <v>-999999</v>
      </c>
      <c r="Q94" s="31" cm="1">
        <f t="array" ref="Q94">Common_InputFunctions.Utility_DisplayArrayInTable(Common_SourceData.Common_SourceData_ClimateZones_Data(), Table_SourceData_ClimateZones[[#Headers],[Climate zone]], 0)</f>
        <v>999999</v>
      </c>
      <c r="R94" s="31" cm="1">
        <f t="array" ref="R94">Common_InputFunctions.Utility_DisplayArrayInTable(Common_SourceData.Common_SourceData_ClimateZones_Data(), Table_SourceData_ClimateZones[[#Headers],[Climate zone]], 0)</f>
        <v>1.0009999999999999</v>
      </c>
      <c r="S94" s="31" cm="1">
        <f t="array" ref="S94">Common_InputFunctions.Utility_DisplayArrayInTable(Common_SourceData.Common_SourceData_ClimateZones_Data(), Table_SourceData_ClimateZones[[#Headers],[Climate zone]], 0)</f>
        <v>999999</v>
      </c>
      <c r="T94" s="31"/>
    </row>
    <row r="95" spans="4:20" ht="20.100000000000001" customHeight="1" x14ac:dyDescent="0.25">
      <c r="D95" s="31" t="str" cm="1">
        <f t="array" ref="D95">Common_InputFunctions.Utility_DisplayArrayInTable(Common_SourceData.Common_SourceData_ClimateZones_Data(), Table_SourceData_ClimateZones[[#Headers],[Climate zone]], 0)</f>
        <v>Warm temperate dry</v>
      </c>
      <c r="E95" s="31" t="str" cm="1">
        <f t="array" ref="E95">Common_InputFunctions.Utility_DisplayArrayInTable(Common_SourceData.Common_SourceData_ClimateZones_Data(), Table_SourceData_ClimateZones[[#Headers],[Climate zone]], 0)</f>
        <v>&gt; 10 C</v>
      </c>
      <c r="F95" s="31" t="str" cm="1">
        <f t="array" ref="F95">Common_InputFunctions.Utility_DisplayArrayInTable(Common_SourceData.Common_SourceData_ClimateZones_Data(), Table_SourceData_ClimateZones[[#Headers],[Climate zone]], 0)</f>
        <v>Any</v>
      </c>
      <c r="G95" s="31" t="str" cm="1">
        <f t="array" ref="G95">Common_InputFunctions.Utility_DisplayArrayInTable(Common_SourceData.Common_SourceData_ClimateZones_Data(), Table_SourceData_ClimateZones[[#Headers],[Climate zone]], 0)</f>
        <v>Any</v>
      </c>
      <c r="H95" s="31" t="str" cm="1">
        <f t="array" ref="H95">Common_InputFunctions.Utility_DisplayArrayInTable(Common_SourceData.Common_SourceData_ClimateZones_Data(), Table_SourceData_ClimateZones[[#Headers],[Climate zone]], 0)</f>
        <v>Any</v>
      </c>
      <c r="I95" s="31" t="str" cm="1">
        <f t="array" ref="I95">Common_InputFunctions.Utility_DisplayArrayInTable(Common_SourceData.Common_SourceData_ClimateZones_Data(), Table_SourceData_ClimateZones[[#Headers],[Climate zone]], 0)</f>
        <v>≤ 1</v>
      </c>
      <c r="J95" s="31" cm="1">
        <f t="array" ref="J95">Common_InputFunctions.Utility_DisplayArrayInTable(Common_SourceData.Common_SourceData_ClimateZones_Data(), Table_SourceData_ClimateZones[[#Headers],[Climate zone]], 0)</f>
        <v>10.000999999999999</v>
      </c>
      <c r="K95" s="31" cm="1">
        <f t="array" ref="K95">Common_InputFunctions.Utility_DisplayArrayInTable(Common_SourceData.Common_SourceData_ClimateZones_Data(), Table_SourceData_ClimateZones[[#Headers],[Climate zone]], 0)</f>
        <v>999999</v>
      </c>
      <c r="L95" s="31" cm="1">
        <f t="array" ref="L95">Common_InputFunctions.Utility_DisplayArrayInTable(Common_SourceData.Common_SourceData_ClimateZones_Data(), Table_SourceData_ClimateZones[[#Headers],[Climate zone]], 0)</f>
        <v>-999999</v>
      </c>
      <c r="M95" s="31" cm="1">
        <f t="array" ref="M95">Common_InputFunctions.Utility_DisplayArrayInTable(Common_SourceData.Common_SourceData_ClimateZones_Data(), Table_SourceData_ClimateZones[[#Headers],[Climate zone]], 0)</f>
        <v>999999</v>
      </c>
      <c r="N95" s="31" cm="1">
        <f t="array" ref="N95">Common_InputFunctions.Utility_DisplayArrayInTable(Common_SourceData.Common_SourceData_ClimateZones_Data(), Table_SourceData_ClimateZones[[#Headers],[Climate zone]], 0)</f>
        <v>-999999</v>
      </c>
      <c r="O95" s="31" cm="1">
        <f t="array" ref="O95">Common_InputFunctions.Utility_DisplayArrayInTable(Common_SourceData.Common_SourceData_ClimateZones_Data(), Table_SourceData_ClimateZones[[#Headers],[Climate zone]], 0)</f>
        <v>999999</v>
      </c>
      <c r="P95" s="31" cm="1">
        <f t="array" ref="P95">Common_InputFunctions.Utility_DisplayArrayInTable(Common_SourceData.Common_SourceData_ClimateZones_Data(), Table_SourceData_ClimateZones[[#Headers],[Climate zone]], 0)</f>
        <v>-999999</v>
      </c>
      <c r="Q95" s="31" cm="1">
        <f t="array" ref="Q95">Common_InputFunctions.Utility_DisplayArrayInTable(Common_SourceData.Common_SourceData_ClimateZones_Data(), Table_SourceData_ClimateZones[[#Headers],[Climate zone]], 0)</f>
        <v>999999</v>
      </c>
      <c r="R95" s="31" cm="1">
        <f t="array" ref="R95">Common_InputFunctions.Utility_DisplayArrayInTable(Common_SourceData.Common_SourceData_ClimateZones_Data(), Table_SourceData_ClimateZones[[#Headers],[Climate zone]], 0)</f>
        <v>-999999</v>
      </c>
      <c r="S95" s="31" cm="1">
        <f t="array" ref="S95">Common_InputFunctions.Utility_DisplayArrayInTable(Common_SourceData.Common_SourceData_ClimateZones_Data(), Table_SourceData_ClimateZones[[#Headers],[Climate zone]], 0)</f>
        <v>1</v>
      </c>
      <c r="T95" s="31"/>
    </row>
    <row r="96" spans="4:20" ht="20.100000000000001" customHeight="1" x14ac:dyDescent="0.25">
      <c r="D96" s="31" t="str" cm="1">
        <f t="array" ref="D96">Common_InputFunctions.Utility_DisplayArrayInTable(Common_SourceData.Common_SourceData_ClimateZones_Data(), Table_SourceData_ClimateZones[[#Headers],[Climate zone]], 0)</f>
        <v>Cool temperate moist</v>
      </c>
      <c r="E96" s="31" t="str" cm="1">
        <f t="array" ref="E96">Common_InputFunctions.Utility_DisplayArrayInTable(Common_SourceData.Common_SourceData_ClimateZones_Data(), Table_SourceData_ClimateZones[[#Headers],[Climate zone]], 0)</f>
        <v>&gt; 0 C - ≤ 10 C</v>
      </c>
      <c r="F96" s="31" t="str" cm="1">
        <f t="array" ref="F96">Common_InputFunctions.Utility_DisplayArrayInTable(Common_SourceData.Common_SourceData_ClimateZones_Data(), Table_SourceData_ClimateZones[[#Headers],[Climate zone]], 0)</f>
        <v>Any</v>
      </c>
      <c r="G96" s="31" t="str" cm="1">
        <f t="array" ref="G96">Common_InputFunctions.Utility_DisplayArrayInTable(Common_SourceData.Common_SourceData_ClimateZones_Data(), Table_SourceData_ClimateZones[[#Headers],[Climate zone]], 0)</f>
        <v>Any</v>
      </c>
      <c r="H96" s="31" t="str" cm="1">
        <f t="array" ref="H96">Common_InputFunctions.Utility_DisplayArrayInTable(Common_SourceData.Common_SourceData_ClimateZones_Data(), Table_SourceData_ClimateZones[[#Headers],[Climate zone]], 0)</f>
        <v>Any</v>
      </c>
      <c r="I96" s="31" t="str" cm="1">
        <f t="array" ref="I96">Common_InputFunctions.Utility_DisplayArrayInTable(Common_SourceData.Common_SourceData_ClimateZones_Data(), Table_SourceData_ClimateZones[[#Headers],[Climate zone]], 0)</f>
        <v>&gt; 1</v>
      </c>
      <c r="J96" s="31" cm="1">
        <f t="array" ref="J96">Common_InputFunctions.Utility_DisplayArrayInTable(Common_SourceData.Common_SourceData_ClimateZones_Data(), Table_SourceData_ClimateZones[[#Headers],[Climate zone]], 0)</f>
        <v>-999999</v>
      </c>
      <c r="K96" s="31" cm="1">
        <f t="array" ref="K96">Common_InputFunctions.Utility_DisplayArrayInTable(Common_SourceData.Common_SourceData_ClimateZones_Data(), Table_SourceData_ClimateZones[[#Headers],[Climate zone]], 0)</f>
        <v>10</v>
      </c>
      <c r="L96" s="31" cm="1">
        <f t="array" ref="L96">Common_InputFunctions.Utility_DisplayArrayInTable(Common_SourceData.Common_SourceData_ClimateZones_Data(), Table_SourceData_ClimateZones[[#Headers],[Climate zone]], 0)</f>
        <v>-999999</v>
      </c>
      <c r="M96" s="31" cm="1">
        <f t="array" ref="M96">Common_InputFunctions.Utility_DisplayArrayInTable(Common_SourceData.Common_SourceData_ClimateZones_Data(), Table_SourceData_ClimateZones[[#Headers],[Climate zone]], 0)</f>
        <v>999999</v>
      </c>
      <c r="N96" s="31" cm="1">
        <f t="array" ref="N96">Common_InputFunctions.Utility_DisplayArrayInTable(Common_SourceData.Common_SourceData_ClimateZones_Data(), Table_SourceData_ClimateZones[[#Headers],[Climate zone]], 0)</f>
        <v>-999999</v>
      </c>
      <c r="O96" s="31" cm="1">
        <f t="array" ref="O96">Common_InputFunctions.Utility_DisplayArrayInTable(Common_SourceData.Common_SourceData_ClimateZones_Data(), Table_SourceData_ClimateZones[[#Headers],[Climate zone]], 0)</f>
        <v>999999</v>
      </c>
      <c r="P96" s="31" cm="1">
        <f t="array" ref="P96">Common_InputFunctions.Utility_DisplayArrayInTable(Common_SourceData.Common_SourceData_ClimateZones_Data(), Table_SourceData_ClimateZones[[#Headers],[Climate zone]], 0)</f>
        <v>-999999</v>
      </c>
      <c r="Q96" s="31" cm="1">
        <f t="array" ref="Q96">Common_InputFunctions.Utility_DisplayArrayInTable(Common_SourceData.Common_SourceData_ClimateZones_Data(), Table_SourceData_ClimateZones[[#Headers],[Climate zone]], 0)</f>
        <v>999999</v>
      </c>
      <c r="R96" s="31" cm="1">
        <f t="array" ref="R96">Common_InputFunctions.Utility_DisplayArrayInTable(Common_SourceData.Common_SourceData_ClimateZones_Data(), Table_SourceData_ClimateZones[[#Headers],[Climate zone]], 0)</f>
        <v>1.0009999999999999</v>
      </c>
      <c r="S96" s="31" cm="1">
        <f t="array" ref="S96">Common_InputFunctions.Utility_DisplayArrayInTable(Common_SourceData.Common_SourceData_ClimateZones_Data(), Table_SourceData_ClimateZones[[#Headers],[Climate zone]], 0)</f>
        <v>999999</v>
      </c>
      <c r="T96" s="31"/>
    </row>
    <row r="97" spans="4:20" ht="20.100000000000001" customHeight="1" x14ac:dyDescent="0.25">
      <c r="D97" s="31" t="str" cm="1">
        <f t="array" ref="D97">Common_InputFunctions.Utility_DisplayArrayInTable(Common_SourceData.Common_SourceData_ClimateZones_Data(), Table_SourceData_ClimateZones[[#Headers],[Climate zone]], 0)</f>
        <v>Cool temperate dry</v>
      </c>
      <c r="E97" s="31" t="str" cm="1">
        <f t="array" ref="E97">Common_InputFunctions.Utility_DisplayArrayInTable(Common_SourceData.Common_SourceData_ClimateZones_Data(), Table_SourceData_ClimateZones[[#Headers],[Climate zone]], 0)</f>
        <v>&gt; 0 C - ≤ 10 C</v>
      </c>
      <c r="F97" s="31" t="str" cm="1">
        <f t="array" ref="F97">Common_InputFunctions.Utility_DisplayArrayInTable(Common_SourceData.Common_SourceData_ClimateZones_Data(), Table_SourceData_ClimateZones[[#Headers],[Climate zone]], 0)</f>
        <v>Any</v>
      </c>
      <c r="G97" s="31" t="str" cm="1">
        <f t="array" ref="G97">Common_InputFunctions.Utility_DisplayArrayInTable(Common_SourceData.Common_SourceData_ClimateZones_Data(), Table_SourceData_ClimateZones[[#Headers],[Climate zone]], 0)</f>
        <v>Any</v>
      </c>
      <c r="H97" s="31" t="str" cm="1">
        <f t="array" ref="H97">Common_InputFunctions.Utility_DisplayArrayInTable(Common_SourceData.Common_SourceData_ClimateZones_Data(), Table_SourceData_ClimateZones[[#Headers],[Climate zone]], 0)</f>
        <v>Any</v>
      </c>
      <c r="I97" s="31" t="str" cm="1">
        <f t="array" ref="I97">Common_InputFunctions.Utility_DisplayArrayInTable(Common_SourceData.Common_SourceData_ClimateZones_Data(), Table_SourceData_ClimateZones[[#Headers],[Climate zone]], 0)</f>
        <v>≤ 1</v>
      </c>
      <c r="J97" s="31" cm="1">
        <f t="array" ref="J97">Common_InputFunctions.Utility_DisplayArrayInTable(Common_SourceData.Common_SourceData_ClimateZones_Data(), Table_SourceData_ClimateZones[[#Headers],[Climate zone]], 0)</f>
        <v>-999999</v>
      </c>
      <c r="K97" s="31" cm="1">
        <f t="array" ref="K97">Common_InputFunctions.Utility_DisplayArrayInTable(Common_SourceData.Common_SourceData_ClimateZones_Data(), Table_SourceData_ClimateZones[[#Headers],[Climate zone]], 0)</f>
        <v>10</v>
      </c>
      <c r="L97" s="31" cm="1">
        <f t="array" ref="L97">Common_InputFunctions.Utility_DisplayArrayInTable(Common_SourceData.Common_SourceData_ClimateZones_Data(), Table_SourceData_ClimateZones[[#Headers],[Climate zone]], 0)</f>
        <v>-999999</v>
      </c>
      <c r="M97" s="31" cm="1">
        <f t="array" ref="M97">Common_InputFunctions.Utility_DisplayArrayInTable(Common_SourceData.Common_SourceData_ClimateZones_Data(), Table_SourceData_ClimateZones[[#Headers],[Climate zone]], 0)</f>
        <v>999999</v>
      </c>
      <c r="N97" s="31" cm="1">
        <f t="array" ref="N97">Common_InputFunctions.Utility_DisplayArrayInTable(Common_SourceData.Common_SourceData_ClimateZones_Data(), Table_SourceData_ClimateZones[[#Headers],[Climate zone]], 0)</f>
        <v>-999999</v>
      </c>
      <c r="O97" s="31" cm="1">
        <f t="array" ref="O97">Common_InputFunctions.Utility_DisplayArrayInTable(Common_SourceData.Common_SourceData_ClimateZones_Data(), Table_SourceData_ClimateZones[[#Headers],[Climate zone]], 0)</f>
        <v>999999</v>
      </c>
      <c r="P97" s="31" cm="1">
        <f t="array" ref="P97">Common_InputFunctions.Utility_DisplayArrayInTable(Common_SourceData.Common_SourceData_ClimateZones_Data(), Table_SourceData_ClimateZones[[#Headers],[Climate zone]], 0)</f>
        <v>-999999</v>
      </c>
      <c r="Q97" s="31" cm="1">
        <f t="array" ref="Q97">Common_InputFunctions.Utility_DisplayArrayInTable(Common_SourceData.Common_SourceData_ClimateZones_Data(), Table_SourceData_ClimateZones[[#Headers],[Climate zone]], 0)</f>
        <v>999999</v>
      </c>
      <c r="R97" s="31" cm="1">
        <f t="array" ref="R97">Common_InputFunctions.Utility_DisplayArrayInTable(Common_SourceData.Common_SourceData_ClimateZones_Data(), Table_SourceData_ClimateZones[[#Headers],[Climate zone]], 0)</f>
        <v>-999999</v>
      </c>
      <c r="S97" s="31" cm="1">
        <f t="array" ref="S97">Common_InputFunctions.Utility_DisplayArrayInTable(Common_SourceData.Common_SourceData_ClimateZones_Data(), Table_SourceData_ClimateZones[[#Headers],[Climate zone]], 0)</f>
        <v>1</v>
      </c>
      <c r="T97" s="31"/>
    </row>
    <row r="98" spans="4:20" ht="20.100000000000001" customHeight="1" x14ac:dyDescent="0.25"/>
    <row r="99" spans="4:20" ht="20.100000000000001" customHeight="1" x14ac:dyDescent="0.25">
      <c r="D99" s="16" t="str" cm="1">
        <f t="array" ref="D99:D102">Common_SourceData.Common_SourceData_ClimateZones_Appendices()</f>
        <v>Note:</v>
      </c>
    </row>
    <row r="100" spans="4:20" ht="20.100000000000001" customHeight="1" x14ac:dyDescent="0.25">
      <c r="D100" s="16" t="str">
        <v>MAT = mean annual temperature</v>
      </c>
    </row>
    <row r="101" spans="4:20" ht="20.100000000000001" customHeight="1" x14ac:dyDescent="0.25">
      <c r="D101" s="16" t="str">
        <v>MAP = mean annual precipitation</v>
      </c>
    </row>
    <row r="102" spans="4:20" ht="20.100000000000001" customHeight="1" x14ac:dyDescent="0.25">
      <c r="D102" s="16" t="str">
        <v>PET = potential evapotranspiration</v>
      </c>
    </row>
    <row r="103" spans="4:20" ht="20.100000000000001" customHeight="1" x14ac:dyDescent="0.25">
      <c r="D103" s="16"/>
    </row>
    <row r="104" spans="4:20" ht="20.100000000000001" customHeight="1" x14ac:dyDescent="0.25"/>
    <row r="105" spans="4:20" ht="20.100000000000001" customHeight="1" x14ac:dyDescent="0.25">
      <c r="D105" s="2" t="str" cm="1">
        <f t="array" ref="D105">Common_SourceData.Common_SourceData_TemperatureZones_Title()</f>
        <v>VEERG Australian temperature zones</v>
      </c>
    </row>
    <row r="106" spans="4:20" ht="20.100000000000001" customHeight="1" x14ac:dyDescent="0.25">
      <c r="D106" s="28" t="str" cm="1">
        <f t="array" ref="D106">Common_SourceData.Common_SourceData_TemperatureZones_Source()</f>
        <v>VEERG 2026: Table 1.3: Climate and Rainfall zone classifications and definitions</v>
      </c>
    </row>
    <row r="107" spans="4:20" ht="20.100000000000001" customHeight="1" x14ac:dyDescent="0.25">
      <c r="D107" s="37"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1" t="s">
        <v>49</v>
      </c>
      <c r="E109" s="31" t="s">
        <v>34</v>
      </c>
      <c r="F109" s="31" t="s">
        <v>50</v>
      </c>
      <c r="G109" s="31" t="s">
        <v>51</v>
      </c>
    </row>
    <row r="110" spans="4:20" ht="20.100000000000001" customHeight="1" x14ac:dyDescent="0.25">
      <c r="D110" s="31" t="str" cm="1">
        <f t="array" ref="D110">Common_InputFunctions.Utility_DisplayArrayInTable(Common_SourceData.Common_SourceData_TemperatureZones_Data(),Table_SourceData_TemperatureZones[[#Headers],[Temperature Zone]],0)</f>
        <v>Warm</v>
      </c>
      <c r="E110" s="31" t="str" cm="1">
        <f t="array" ref="E110">Common_InputFunctions.Utility_DisplayArrayInTable(Common_SourceData.Common_SourceData_TemperatureZones_Data(),Table_SourceData_TemperatureZones[[#Headers],[Temperature Zone]],0)</f>
        <v>≥ 26 C</v>
      </c>
      <c r="F110" s="31" cm="1">
        <f t="array" ref="F110">Common_InputFunctions.Utility_DisplayArrayInTable(Common_SourceData.Common_SourceData_TemperatureZones_Data(),Table_SourceData_TemperatureZones[[#Headers],[Temperature Zone]],0)</f>
        <v>26</v>
      </c>
      <c r="G110" s="31" cm="1">
        <f t="array" ref="G110">Common_InputFunctions.Utility_DisplayArrayInTable(Common_SourceData.Common_SourceData_TemperatureZones_Data(),Table_SourceData_TemperatureZones[[#Headers],[Temperature Zone]],0)</f>
        <v>999999</v>
      </c>
    </row>
    <row r="111" spans="4:20" ht="20.100000000000001" customHeight="1" x14ac:dyDescent="0.25">
      <c r="D111" s="31" t="str" cm="1">
        <f t="array" ref="D111">Common_InputFunctions.Utility_DisplayArrayInTable(Common_SourceData.Common_SourceData_TemperatureZones_Data(),Table_SourceData_TemperatureZones[[#Headers],[Temperature Zone]],0)</f>
        <v>Temperate</v>
      </c>
      <c r="E111" s="31" t="str" cm="1">
        <f t="array" ref="E111">Common_InputFunctions.Utility_DisplayArrayInTable(Common_SourceData.Common_SourceData_TemperatureZones_Data(),Table_SourceData_TemperatureZones[[#Headers],[Temperature Zone]],0)</f>
        <v>15 - 25 C</v>
      </c>
      <c r="F111" s="31" cm="1">
        <f t="array" ref="F111">Common_InputFunctions.Utility_DisplayArrayInTable(Common_SourceData.Common_SourceData_TemperatureZones_Data(),Table_SourceData_TemperatureZones[[#Headers],[Temperature Zone]],0)</f>
        <v>15</v>
      </c>
      <c r="G111" s="31"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1" t="str" cm="1">
        <f t="array" ref="D112">Common_InputFunctions.Utility_DisplayArrayInTable(Common_SourceData.Common_SourceData_TemperatureZones_Data(),Table_SourceData_TemperatureZones[[#Headers],[Temperature Zone]],0)</f>
        <v>Cool</v>
      </c>
      <c r="E112" s="31" t="str" cm="1">
        <f t="array" ref="E112">Common_InputFunctions.Utility_DisplayArrayInTable(Common_SourceData.Common_SourceData_TemperatureZones_Data(),Table_SourceData_TemperatureZones[[#Headers],[Temperature Zone]],0)</f>
        <v>≤ 14 C</v>
      </c>
      <c r="F112" s="31" cm="1">
        <f t="array" ref="F112">Common_InputFunctions.Utility_DisplayArrayInTable(Common_SourceData.Common_SourceData_TemperatureZones_Data(),Table_SourceData_TemperatureZones[[#Headers],[Temperature Zone]],0)</f>
        <v>-999999</v>
      </c>
      <c r="G112" s="31"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2" t="str" cm="1">
        <f t="array" ref="D115">Common_SourceData.Common_SourceData_RainfallZones_Title()</f>
        <v>VEERG Australian rainfall zones</v>
      </c>
      <c r="BN115" s="33"/>
    </row>
    <row r="116" spans="4:66" ht="20.100000000000001" customHeight="1" x14ac:dyDescent="0.25">
      <c r="D116" s="28" t="str" cm="1">
        <f t="array" ref="D116">Common_SourceData.Common_SourceData_RainfallZones_Source()</f>
        <v>VEERG 2026: Table 1.3: Climate and Rainfall zone classifications and definitions</v>
      </c>
      <c r="BN116" s="33"/>
    </row>
    <row r="117" spans="4:66" ht="20.100000000000001" customHeight="1" x14ac:dyDescent="0.25">
      <c r="D117" s="37" t="str" cm="1">
        <f t="array" ref="D117">"⚠️" &amp; Common_SourceData.Common_SourceData_RainfallZones_Variation()</f>
        <v>⚠️VARIATION OF SOURCE DATA: Added extra Rainfall min and Rainfall max columns to calculate zone from real rainfall data.</v>
      </c>
      <c r="BN117" s="33"/>
    </row>
    <row r="118" spans="4:66" ht="20.100000000000001" customHeight="1" x14ac:dyDescent="0.25">
      <c r="BN118" s="33"/>
    </row>
    <row r="119" spans="4:66" ht="20.100000000000001" customHeight="1" x14ac:dyDescent="0.25">
      <c r="D119" s="31" t="s">
        <v>52</v>
      </c>
      <c r="E119" s="31" t="s">
        <v>53</v>
      </c>
      <c r="F119" s="31" t="s">
        <v>41</v>
      </c>
      <c r="G119" s="31" t="s">
        <v>42</v>
      </c>
      <c r="BN119" s="33"/>
    </row>
    <row r="120" spans="4:66" ht="20.100000000000001" customHeight="1" x14ac:dyDescent="0.25">
      <c r="D120" s="31" t="str" cm="1">
        <f t="array" ref="D120">Common_InputFunctions.Utility_DisplayArrayInTable(Common_SourceData.Common_SourceData_RainfallZones_Data(),Table_SourceData_RainfallZones[[#Headers],[Rainfall Zone]],0)</f>
        <v>High rainfall</v>
      </c>
      <c r="E120" s="31" t="str" cm="1">
        <f t="array" ref="E120">Common_InputFunctions.Utility_DisplayArrayInTable(Common_SourceData.Common_SourceData_RainfallZones_Data(),Table_SourceData_RainfallZones[[#Headers],[Rainfall Zone]],0)</f>
        <v>Annual rainfall &gt; 600mm</v>
      </c>
      <c r="F120" s="31" cm="1">
        <f t="array" ref="F120">Common_InputFunctions.Utility_DisplayArrayInTable(Common_SourceData.Common_SourceData_RainfallZones_Data(),Table_SourceData_RainfallZones[[#Headers],[Rainfall Zone]],0)</f>
        <v>600.00099999999998</v>
      </c>
      <c r="G120" s="31" cm="1">
        <f t="array" ref="G120">Common_InputFunctions.Utility_DisplayArrayInTable(Common_SourceData.Common_SourceData_RainfallZones_Data(),Table_SourceData_RainfallZones[[#Headers],[Rainfall Zone]],0)</f>
        <v>999999</v>
      </c>
      <c r="BN120" s="33"/>
    </row>
    <row r="121" spans="4:66" ht="20.100000000000001" customHeight="1" x14ac:dyDescent="0.25">
      <c r="D121" s="31" t="str" cm="1">
        <f t="array" ref="D121">Common_InputFunctions.Utility_DisplayArrayInTable(Common_SourceData.Common_SourceData_RainfallZones_Data(),Table_SourceData_RainfallZones[[#Headers],[Rainfall Zone]],0)</f>
        <v>Low rainfall</v>
      </c>
      <c r="E121" s="31" t="str" cm="1">
        <f t="array" ref="E121">Common_InputFunctions.Utility_DisplayArrayInTable(Common_SourceData.Common_SourceData_RainfallZones_Data(),Table_SourceData_RainfallZones[[#Headers],[Rainfall Zone]],0)</f>
        <v>Annual rainfall ≤ 600mm</v>
      </c>
      <c r="F121" s="31" cm="1">
        <f t="array" ref="F121">Common_InputFunctions.Utility_DisplayArrayInTable(Common_SourceData.Common_SourceData_RainfallZones_Data(),Table_SourceData_RainfallZones[[#Headers],[Rainfall Zone]],0)</f>
        <v>-999999</v>
      </c>
      <c r="G121" s="31" cm="1">
        <f t="array" ref="G121">Common_InputFunctions.Utility_DisplayArrayInTable(Common_SourceData.Common_SourceData_RainfallZones_Data(),Table_SourceData_RainfallZones[[#Headers],[Rainfall Zone]],0)</f>
        <v>600</v>
      </c>
      <c r="BN121" s="33"/>
    </row>
    <row r="122" spans="4:66" ht="20.100000000000001" customHeight="1" x14ac:dyDescent="0.25">
      <c r="BN122" s="33"/>
    </row>
    <row r="123" spans="4:66" ht="20.100000000000001" customHeight="1" x14ac:dyDescent="0.25"/>
    <row r="124" spans="4:66" ht="20.100000000000001" customHeight="1" x14ac:dyDescent="0.25">
      <c r="D124" s="2" t="str" cm="1">
        <f t="array" ref="D124">Common_SourceData.Common_SourceData_LeachingZones_Title()</f>
        <v>VEERG Australian leaching zones</v>
      </c>
    </row>
    <row r="125" spans="4:66" ht="20.100000000000001" customHeight="1" x14ac:dyDescent="0.25">
      <c r="D125" s="28"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1" t="s">
        <v>54</v>
      </c>
      <c r="E127" s="31" t="s">
        <v>55</v>
      </c>
    </row>
    <row r="128" spans="4:66" ht="20.100000000000001" customHeight="1" x14ac:dyDescent="0.25">
      <c r="D128" s="31" t="str" cm="1">
        <f t="array" ref="D128">Common_InputFunctions.Utility_DisplayArrayInTable(Common_SourceData.Common_SourceData_LeachingZones_Data(), Table_SourceData_LeachingZones[[#Headers],[Leaching Zone]], 0)</f>
        <v>Leaching occurs</v>
      </c>
      <c r="E128" s="31"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1" t="str" cm="1">
        <f t="array" ref="D129">Common_InputFunctions.Utility_DisplayArrayInTable(Common_SourceData.Common_SourceData_LeachingZones_Data(), Table_SourceData_LeachingZones[[#Headers],[Leaching Zone]], 0)</f>
        <v>Leaching does not occur</v>
      </c>
      <c r="E129" s="31"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2" t="str" cm="1">
        <f t="array" ref="D132">Common_SourceData.Common_SourceData_FracWET_Title()</f>
        <v>Fraction of N that is available for leaching and runoff</v>
      </c>
      <c r="E132" s="9"/>
    </row>
    <row r="133" spans="4:77" ht="20.100000000000001" customHeight="1" x14ac:dyDescent="0.25">
      <c r="D133" s="28" t="str" cm="1">
        <f t="array" ref="D133">Common_SourceData.Common_SourceData_FracWET_Source()</f>
        <v>VEERG 2026:5.5.2.3 Constant Parameters</v>
      </c>
      <c r="E133" s="9"/>
    </row>
    <row r="134" spans="4:77" ht="20.100000000000001" customHeight="1" x14ac:dyDescent="0.25">
      <c r="D134" t="s">
        <v>56</v>
      </c>
      <c r="E134" t="s">
        <v>57</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1"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33"/>
      <c r="BO138" s="33"/>
      <c r="BP138" s="33"/>
      <c r="BQ138" s="33"/>
      <c r="BR138" s="33"/>
      <c r="BS138" s="33"/>
      <c r="BT138" s="33"/>
      <c r="BU138" s="33"/>
      <c r="BV138" s="33"/>
      <c r="BW138" s="33"/>
      <c r="BX138" s="33"/>
      <c r="BY138" s="33"/>
    </row>
    <row r="139" spans="4:77" ht="20.100000000000001" customHeight="1" x14ac:dyDescent="0.25">
      <c r="D139" s="2" t="str" cm="1">
        <f t="array" ref="D139">Common_SourceData.Common_SourceData_FracWETIrrigation_Title()</f>
        <v>FracWET for irrigation types</v>
      </c>
      <c r="BN139" s="33"/>
      <c r="BO139" s="33"/>
      <c r="BP139" s="33"/>
      <c r="BQ139" s="33"/>
      <c r="BR139" s="33"/>
      <c r="BS139" s="33"/>
      <c r="BT139" s="33"/>
      <c r="BU139" s="33"/>
      <c r="BV139" s="33"/>
      <c r="BW139" s="33"/>
      <c r="BX139" s="33"/>
      <c r="BY139" s="33"/>
    </row>
    <row r="140" spans="4:77" ht="20.100000000000001" customHeight="1" x14ac:dyDescent="0.25">
      <c r="D140" s="28" t="str" cm="1">
        <f t="array" ref="D140">Common_SourceData.Common_SourceData_FracWETIrrigation_Source()</f>
        <v>VEERG 2026: Chapter 1, section 1.8.2 Leaching, climate and rainfall zones</v>
      </c>
      <c r="BN140" s="33"/>
      <c r="BO140" s="33"/>
      <c r="BP140" s="33"/>
      <c r="BQ140" s="33"/>
      <c r="BR140" s="33"/>
      <c r="BS140" s="33"/>
      <c r="BT140" s="33"/>
      <c r="BU140" s="33"/>
      <c r="BV140" s="33"/>
      <c r="BW140" s="33"/>
      <c r="BX140" s="33"/>
      <c r="BY140" s="33"/>
    </row>
    <row r="141" spans="4:77" ht="20.100000000000001" customHeight="1" x14ac:dyDescent="0.25">
      <c r="D141" s="37" t="str" cm="1">
        <f t="array" ref="D141">Common_SourceData.Common_SourceData_FracWETIrrigation_Variation()</f>
        <v>VARIATION FROM SOURCE DATA: Table created based on VEERG text 'Areas are subject to leaching (i.e., in the leaching zone) when... the land is irrigated (except drip irrigation).'</v>
      </c>
      <c r="BN141" s="33"/>
    </row>
    <row r="142" spans="4:77" ht="20.100000000000001" customHeight="1" x14ac:dyDescent="0.25">
      <c r="D142" s="31" t="s">
        <v>58</v>
      </c>
      <c r="E142" s="31" t="s">
        <v>57</v>
      </c>
      <c r="BN142" s="33"/>
    </row>
    <row r="143" spans="4:77" ht="20.100000000000001" customHeight="1" x14ac:dyDescent="0.25">
      <c r="D143" s="31" t="str" cm="1">
        <f t="array" ref="D143">Common_InputFunctions.Utility_DisplayArrayInTable(Common_SourceData.Common_SourceData_FracWETIrrigation_Data(), Table_SourceData_FracWETIrrigation[[#Headers],[Irrigation type i]], 0)</f>
        <v>Not irrigated</v>
      </c>
      <c r="E143" s="31" cm="1">
        <f t="array" ref="E143">Common_InputFunctions.Utility_DisplayArrayInTable(Common_SourceData.Common_SourceData_FracWETIrrigation_Data(), Table_SourceData_FracWETIrrigation[[#Headers],[Irrigation type i]], 0)</f>
        <v>0</v>
      </c>
      <c r="BN143" s="33"/>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1" cm="1">
        <f t="array" ref="E144">Common_InputFunctions.Utility_DisplayArrayInTable(Common_SourceData.Common_SourceData_FracWETIrrigation_Data(), Table_SourceData_FracWETIrrigation[[#Headers],[Irrigation type i]], 0)</f>
        <v>0</v>
      </c>
      <c r="BN144" s="33"/>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1" cm="1">
        <f t="array" ref="E145">Common_InputFunctions.Utility_DisplayArrayInTable(Common_SourceData.Common_SourceData_FracWETIrrigation_Data(), Table_SourceData_FracWETIrrigation[[#Headers],[Irrigation type i]], 0)</f>
        <v>1</v>
      </c>
      <c r="BN145" s="33"/>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1" cm="1">
        <f t="array" ref="E146">Common_InputFunctions.Utility_DisplayArrayInTable(Common_SourceData.Common_SourceData_FracWETIrrigation_Data(), Table_SourceData_FracWETIrrigation[[#Headers],[Irrigation type i]], 0)</f>
        <v>1</v>
      </c>
      <c r="BN146" s="33"/>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1" cm="1">
        <f t="array" ref="E147">Common_InputFunctions.Utility_DisplayArrayInTable(Common_SourceData.Common_SourceData_FracWETIrrigation_Data(), Table_SourceData_FracWETIrrigation[[#Headers],[Irrigation type i]], 0)</f>
        <v>1</v>
      </c>
      <c r="BN147" s="33"/>
    </row>
    <row r="148" spans="4:66" ht="20.100000000000001" customHeight="1" x14ac:dyDescent="0.25">
      <c r="BN148" s="33"/>
    </row>
    <row r="149" spans="4:66" ht="20.100000000000001" customHeight="1" x14ac:dyDescent="0.25">
      <c r="BN149" s="33"/>
    </row>
    <row r="150" spans="4:66" ht="20.100000000000001" customHeight="1" x14ac:dyDescent="0.25">
      <c r="D150" s="2" t="str" cm="1">
        <f t="array" ref="D150">Common_SourceData.Common_SourceData_DataScores_Scope3_Title()</f>
        <v>Australian data scores for scope 3</v>
      </c>
      <c r="BN150" s="33"/>
    </row>
    <row r="151" spans="4:66" ht="20.100000000000001" customHeight="1" x14ac:dyDescent="0.25">
      <c r="D151" s="28" t="str" cm="1">
        <f t="array" ref="D151">Common_SourceData.Common_SourceData_DataScores_Scope3_Source()</f>
        <v>VEERG 2026: XXXXXXXX</v>
      </c>
      <c r="BN151" s="33"/>
    </row>
    <row r="152" spans="4:66" ht="20.100000000000001" customHeight="1" x14ac:dyDescent="0.25">
      <c r="BN152" s="33"/>
    </row>
    <row r="153" spans="4:66" ht="20.100000000000001" customHeight="1" x14ac:dyDescent="0.25">
      <c r="D153" s="31" t="s">
        <v>59</v>
      </c>
      <c r="E153" s="31" t="s">
        <v>60</v>
      </c>
      <c r="BC153" s="36"/>
      <c r="BD153" s="36"/>
      <c r="BE153" s="36"/>
      <c r="BF153" s="36"/>
      <c r="BG153" s="36"/>
      <c r="BH153" s="36"/>
      <c r="BI153" s="36"/>
      <c r="BJ153" s="36"/>
      <c r="BK153" s="36"/>
      <c r="BL153" s="36"/>
      <c r="BM153" s="36"/>
    </row>
    <row r="154" spans="4:66" ht="20.100000000000001" customHeight="1" x14ac:dyDescent="0.25">
      <c r="D154" s="31" t="str" cm="1">
        <f t="array" ref="D154">Common_InputFunctions.Utility_DisplayArrayInTable(Common_SourceData.Common_SourceData_DataScores_Scope3_Data(), Table_SourceData_DataScores_Scope3[[#Headers],[Data source]], 0)</f>
        <v>International scope 3 database</v>
      </c>
      <c r="E154" s="31" cm="1">
        <f t="array" ref="E154">Common_InputFunctions.Utility_DisplayArrayInTable(Common_SourceData.Common_SourceData_DataScores_Scope3_Data(), Table_SourceData_DataScores_Scope3[[#Headers],[Data source]], 0)</f>
        <v>1</v>
      </c>
      <c r="BC154" s="36"/>
      <c r="BD154" s="36"/>
      <c r="BE154" s="36"/>
      <c r="BF154" s="36"/>
      <c r="BG154" s="36"/>
      <c r="BH154" s="36"/>
      <c r="BI154" s="36"/>
      <c r="BJ154" s="36"/>
      <c r="BK154" s="36"/>
      <c r="BL154" s="36"/>
      <c r="BM154" s="36"/>
    </row>
    <row r="155" spans="4:66" ht="20.100000000000001" customHeight="1" x14ac:dyDescent="0.25">
      <c r="D155" s="31" t="str" cm="1">
        <f t="array" ref="D155">Common_InputFunctions.Utility_DisplayArrayInTable(Common_SourceData.Common_SourceData_DataScores_Scope3_Data(), Table_SourceData_DataScores_Scope3[[#Headers],[Data source]], 0)</f>
        <v>Australian scope 3 database</v>
      </c>
      <c r="E155" s="31" cm="1">
        <f t="array" ref="E155">Common_InputFunctions.Utility_DisplayArrayInTable(Common_SourceData.Common_SourceData_DataScores_Scope3_Data(), Table_SourceData_DataScores_Scope3[[#Headers],[Data source]], 0)</f>
        <v>2</v>
      </c>
      <c r="BC155" s="36"/>
      <c r="BD155" s="36"/>
      <c r="BE155" s="36"/>
      <c r="BF155" s="36"/>
      <c r="BG155" s="36"/>
      <c r="BH155" s="36"/>
      <c r="BI155" s="36"/>
      <c r="BJ155" s="36"/>
      <c r="BK155" s="36"/>
      <c r="BL155" s="36"/>
      <c r="BM155" s="36"/>
    </row>
    <row r="156" spans="4:66" ht="20.100000000000001" customHeight="1" x14ac:dyDescent="0.25">
      <c r="D156" s="31" t="str" cm="1">
        <f t="array" ref="D156">Common_InputFunctions.Utility_DisplayArrayInTable(Common_SourceData.Common_SourceData_DataScores_Scope3_Data(), Table_SourceData_DataScores_Scope3[[#Headers],[Data source]], 0)</f>
        <v>State or regional scope 3 database</v>
      </c>
      <c r="E156" s="31" cm="1">
        <f t="array" ref="E156">Common_InputFunctions.Utility_DisplayArrayInTable(Common_SourceData.Common_SourceData_DataScores_Scope3_Data(), Table_SourceData_DataScores_Scope3[[#Headers],[Data source]], 0)</f>
        <v>3</v>
      </c>
    </row>
    <row r="157" spans="4:66" ht="20.100000000000001" customHeight="1" x14ac:dyDescent="0.25">
      <c r="D157" s="31" t="str" cm="1">
        <f t="array" ref="D157">Common_InputFunctions.Utility_DisplayArrayInTable(Common_SourceData.Common_SourceData_DataScores_Scope3_Data(), Table_SourceData_DataScores_Scope3[[#Headers],[Data source]], 0)</f>
        <v>Emissions intensity calculated from approved method</v>
      </c>
      <c r="E157" s="31" cm="1">
        <f t="array" ref="E157">Common_InputFunctions.Utility_DisplayArrayInTable(Common_SourceData.Common_SourceData_DataScores_Scope3_Data(), Table_SourceData_DataScores_Scope3[[#Headers],[Data source]], 0)</f>
        <v>4</v>
      </c>
    </row>
    <row r="158" spans="4:66" ht="20.100000000000001" customHeight="1" x14ac:dyDescent="0.25">
      <c r="D158" s="31" t="str" cm="1">
        <f t="array" ref="D158">Common_InputFunctions.Utility_DisplayArrayInTable(Common_SourceData.Common_SourceData_DataScores_Scope3_Data(), Table_SourceData_DataScores_Scope3[[#Headers],[Data source]], 0)</f>
        <v>Verified credential matching ISO14067</v>
      </c>
      <c r="E158" s="31"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2" t="str" cm="1">
        <f t="array" ref="D161">Common_SourceData.Common_SourceData_FracLEACH_Title()</f>
        <v>Fraction of N that is available for leaching and runoff</v>
      </c>
      <c r="E161" s="9"/>
    </row>
    <row r="162" spans="4:68" ht="20.100000000000001" customHeight="1" x14ac:dyDescent="0.25">
      <c r="D162" s="28" t="str" cm="1">
        <f t="array" ref="D162">Common_SourceData.Common_SourceData_FracLEACH_Source()</f>
        <v>VEERG 2026:5.5.2.3 Constant Parameters</v>
      </c>
      <c r="E162" s="9"/>
    </row>
    <row r="163" spans="4:68" ht="20.100000000000001" customHeight="1" x14ac:dyDescent="0.25">
      <c r="D163" s="28" t="str" cm="1">
        <f t="array" ref="D163">Common_SourceData.Common_SourceData_FracLEACH_NIRReference()</f>
        <v>National Inventory Report Volume 1: Leaching and runoff (3.D.b.2)</v>
      </c>
      <c r="E163" s="9"/>
    </row>
    <row r="164" spans="4:68" ht="20.100000000000001" customHeight="1" x14ac:dyDescent="0.25">
      <c r="D164" s="9" t="str" cm="1">
        <f t="array" ref="D164:E164">Common_SourceData.Common_SourceData_FracLEACH_Data()</f>
        <v>FracLEACH</v>
      </c>
      <c r="E164" s="9">
        <v>0.24</v>
      </c>
    </row>
    <row r="165" spans="4:68" ht="20.100000000000001" customHeight="1" x14ac:dyDescent="0.25">
      <c r="BN165" s="33"/>
      <c r="BO165" s="33"/>
      <c r="BP165" s="33"/>
    </row>
    <row r="166" spans="4:68" ht="20.100000000000001" customHeight="1" x14ac:dyDescent="0.25">
      <c r="BN166" s="33"/>
      <c r="BO166" s="33"/>
      <c r="BP166" s="33"/>
    </row>
    <row r="167" spans="4:68" ht="20.100000000000001" customHeight="1" x14ac:dyDescent="0.25">
      <c r="D167" s="2" t="str" cm="1">
        <f t="array" ref="D167">Common_SourceData.Common_SourceData_EFleach_Title()</f>
        <v>Emission factor for nitrogen leaching and runoff</v>
      </c>
      <c r="BN167" s="33"/>
      <c r="BO167" s="33"/>
      <c r="BP167" s="33"/>
    </row>
    <row r="168" spans="4:68" ht="20.100000000000001" customHeight="1" x14ac:dyDescent="0.25">
      <c r="D168" s="28" t="str" cm="1">
        <f t="array" ref="D168">Common_SourceData.Common_SourceData_EFleach_Source()</f>
        <v>VEERG 2026:5.5.2.3 Constant Parameters</v>
      </c>
      <c r="BN168" s="33"/>
      <c r="BO168" s="33"/>
      <c r="BP168" s="33"/>
    </row>
    <row r="169" spans="4:68" ht="20.100000000000001" customHeight="1" x14ac:dyDescent="0.25">
      <c r="D169" s="28" t="str" cm="1">
        <f t="array" ref="D169">Common_SourceData.Common_SourceData_EFleach_NIRReference()</f>
        <v>National Inventory Report Volume 1: Equation 3.D.B_10</v>
      </c>
      <c r="BN169" s="33"/>
      <c r="BO169" s="33"/>
      <c r="BP169" s="33"/>
    </row>
    <row r="170" spans="4:68" ht="20.100000000000001" customHeight="1" x14ac:dyDescent="0.25">
      <c r="D170" s="1" t="str" cm="1">
        <f t="array" ref="D170:E170">Common_SourceData.Common_SourceData_EFleach_Data()</f>
        <v>EFleach</v>
      </c>
      <c r="E170" s="1">
        <v>1.0999999999999999E-2</v>
      </c>
      <c r="BN170" s="33"/>
      <c r="BO170" s="33"/>
      <c r="BP170" s="33"/>
    </row>
    <row r="171" spans="4:68" ht="20.100000000000001" customHeight="1" x14ac:dyDescent="0.25">
      <c r="BN171" s="33"/>
      <c r="BO171" s="33"/>
      <c r="BP171" s="33"/>
    </row>
    <row r="172" spans="4:68" ht="20.100000000000001" customHeight="1" x14ac:dyDescent="0.25">
      <c r="BN172" s="33"/>
      <c r="BO172" s="33"/>
      <c r="BP172" s="33"/>
    </row>
    <row r="173" spans="4:68" ht="20.100000000000001" customHeight="1" x14ac:dyDescent="0.25">
      <c r="D173" s="2" t="str" cm="1">
        <f t="array" ref="D173">Common_SourceData.Common_SourceData_DensityOfMethane_Title()</f>
        <v>p = density of methane</v>
      </c>
      <c r="BN173" s="33"/>
      <c r="BO173" s="33"/>
      <c r="BP173" s="33"/>
    </row>
    <row r="174" spans="4:68" ht="20.100000000000001" customHeight="1" x14ac:dyDescent="0.25">
      <c r="D174" s="28" t="str" cm="1">
        <f t="array" ref="D174">Common_SourceData.Common_SourceData_DensityOfMethane_Source()</f>
        <v>National Inventory Report 2023 Volume 1: Equations 3.B.1a_2, 3.B.1c_2, 3.B.3_1, 3.B.4g_2</v>
      </c>
      <c r="BN174" s="33"/>
      <c r="BO174" s="33"/>
      <c r="BP174" s="33"/>
    </row>
    <row r="175" spans="4:68" ht="20.100000000000001" customHeight="1" x14ac:dyDescent="0.25">
      <c r="D175" s="1" cm="1">
        <f t="array" ref="D175">Common_SourceData.Common_SourceData_DensityOfMethane_Data()</f>
        <v>0.6784</v>
      </c>
      <c r="E175" s="16" t="str" cm="1">
        <f t="array" ref="E175">Common_SourceData.Common_SourceData_DensityOfMethane_Unit()</f>
        <v>kg/m3</v>
      </c>
      <c r="BN175" s="33"/>
      <c r="BO175" s="33"/>
      <c r="BP175" s="33"/>
    </row>
    <row r="176" spans="4:68" ht="20.100000000000001" customHeight="1" x14ac:dyDescent="0.25">
      <c r="BN176" s="33"/>
      <c r="BO176" s="33"/>
      <c r="BP176" s="33"/>
    </row>
    <row r="177" spans="4:68" ht="20.100000000000001" customHeight="1" x14ac:dyDescent="0.25">
      <c r="BN177" s="33"/>
      <c r="BO177" s="33"/>
      <c r="BP177" s="33"/>
    </row>
    <row r="178" spans="4:68" ht="20.100000000000001" customHeight="1" x14ac:dyDescent="0.25">
      <c r="D178" s="2" t="str" cm="1">
        <f t="array" ref="D178">Common_SourceData.Common_SourceData_EFN2O_Title()</f>
        <v>Nitrous oxide emission factors for inorganic fertiliser application</v>
      </c>
      <c r="BN178" s="33"/>
      <c r="BO178" s="33"/>
      <c r="BP178" s="33"/>
    </row>
    <row r="179" spans="4:68" ht="20.100000000000001" customHeight="1" x14ac:dyDescent="0.25">
      <c r="D179" s="28" t="str" cm="1">
        <f t="array" ref="D179">Common_SourceData.Common_SourceData_EFN2O_Source()</f>
        <v>VEERG 2026: Table A.2.2.1</v>
      </c>
      <c r="BN179" s="33"/>
      <c r="BO179" s="33"/>
      <c r="BP179" s="33"/>
    </row>
    <row r="180" spans="4:68" ht="20.100000000000001" customHeight="1" x14ac:dyDescent="0.25">
      <c r="D180" s="16" t="str" cm="1">
        <f t="array" ref="D180">Common_SourceData.Common_SourceData_EFN2O_Unit()</f>
        <v>(kg N2O-N / kg N</v>
      </c>
    </row>
    <row r="181" spans="4:68" ht="20.100000000000001" customHeight="1" x14ac:dyDescent="0.25">
      <c r="D181" s="37" t="str" cm="1">
        <f t="array" ref="D181:D185">Common_SourceData.Common_SourceData_EFN2O_Variation()</f>
        <v>VARIATION OF SOURCE DATA:</v>
      </c>
    </row>
    <row r="182" spans="4:68" ht="20.100000000000001" customHeight="1" x14ac:dyDescent="0.25">
      <c r="D182" s="37" t="str">
        <v>Removed duplicate 'Aquaculture' row.</v>
      </c>
    </row>
    <row r="183" spans="4:68" ht="20.100000000000001" customHeight="1" x14ac:dyDescent="0.25">
      <c r="D183" s="37" t="str">
        <v>Removed asterisks to aid lookup.</v>
      </c>
    </row>
    <row r="184" spans="4:68" ht="20.100000000000001" customHeight="1" x14ac:dyDescent="0.25">
      <c r="D184" s="37" t="str">
        <v>Added 'production system only', 'rainfall zone' and 'irrigation method' columns to aid lookup.</v>
      </c>
    </row>
    <row r="185" spans="4:68" ht="20.100000000000001" customHeight="1" x14ac:dyDescent="0.25">
      <c r="D185" s="37" t="str">
        <v>Duplicated 'non-irrigated pasture' row with same EF for low and high rainfall zones to aid lookup.</v>
      </c>
    </row>
    <row r="186" spans="4:68" ht="20.100000000000001" customHeight="1" x14ac:dyDescent="0.25">
      <c r="D186" s="31" t="s">
        <v>61</v>
      </c>
      <c r="E186" s="31" t="s">
        <v>62</v>
      </c>
      <c r="F186" s="31" t="s">
        <v>63</v>
      </c>
      <c r="G186" s="31" t="s">
        <v>64</v>
      </c>
      <c r="H186" s="31" t="s">
        <v>65</v>
      </c>
    </row>
    <row r="187" spans="4:68" ht="20.100000000000001" customHeight="1" x14ac:dyDescent="0.25">
      <c r="D187" s="31" t="str" cm="1">
        <f t="array" ref="D187">Common_InputFunctions.Utility_DisplayArrayInTable(Common_SourceData.Common_SourceData_EFN2O_Data(), Table_SourceData_Common_EFN2O[[#Headers],[Production system j]], 0)</f>
        <v>Irrigated pasture</v>
      </c>
      <c r="E187" s="31" cm="1">
        <f t="array" ref="E187">Common_InputFunctions.Utility_DisplayArrayInTable(Common_SourceData.Common_SourceData_EFN2O_Data(), Table_SourceData_Common_EFN2O[[#Headers],[Production system j]], 0)</f>
        <v>5.8999999999999999E-3</v>
      </c>
      <c r="F187" s="31" t="str" cm="1">
        <f t="array" ref="F187">Common_InputFunctions.Utility_DisplayArrayInTable(Common_SourceData.Common_SourceData_EFN2O_Data(), Table_SourceData_Common_EFN2O[[#Headers],[Production system j]], 0)</f>
        <v>Pasture</v>
      </c>
      <c r="G187" s="31" t="str" cm="1">
        <f t="array" ref="G187">Common_InputFunctions.Utility_DisplayArrayInTable(Common_SourceData.Common_SourceData_EFN2O_Data(), Table_SourceData_Common_EFN2O[[#Headers],[Production system j]], 0)</f>
        <v>Any</v>
      </c>
      <c r="H187" s="31" t="str" cm="1">
        <f t="array" ref="H187">Common_InputFunctions.Utility_DisplayArrayInTable(Common_SourceData.Common_SourceData_EFN2O_Data(), Table_SourceData_Common_EFN2O[[#Headers],[Production system j]], 0)</f>
        <v>Any</v>
      </c>
    </row>
    <row r="188" spans="4:68" ht="20.100000000000001" customHeight="1" x14ac:dyDescent="0.25">
      <c r="D188" s="31" t="str" cm="1">
        <f t="array" ref="D188">Common_InputFunctions.Utility_DisplayArrayInTable(Common_SourceData.Common_SourceData_EFN2O_Data(), Table_SourceData_Common_EFN2O[[#Headers],[Production system j]], 0)</f>
        <v>Irrigated crop</v>
      </c>
      <c r="E188" s="31" cm="1">
        <f t="array" ref="E188">Common_InputFunctions.Utility_DisplayArrayInTable(Common_SourceData.Common_SourceData_EFN2O_Data(), Table_SourceData_Common_EFN2O[[#Headers],[Production system j]], 0)</f>
        <v>7.0000000000000001E-3</v>
      </c>
      <c r="F188" s="31" t="str" cm="1">
        <f t="array" ref="F188">Common_InputFunctions.Utility_DisplayArrayInTable(Common_SourceData.Common_SourceData_EFN2O_Data(), Table_SourceData_Common_EFN2O[[#Headers],[Production system j]], 0)</f>
        <v>Crop</v>
      </c>
      <c r="G188" s="31" t="str" cm="1">
        <f t="array" ref="G188">Common_InputFunctions.Utility_DisplayArrayInTable(Common_SourceData.Common_SourceData_EFN2O_Data(), Table_SourceData_Common_EFN2O[[#Headers],[Production system j]], 0)</f>
        <v>Any</v>
      </c>
      <c r="H188" s="31" t="str" cm="1">
        <f t="array" ref="H188">Common_InputFunctions.Utility_DisplayArrayInTable(Common_SourceData.Common_SourceData_EFN2O_Data(), Table_SourceData_Common_EFN2O[[#Headers],[Production system j]], 0)</f>
        <v>Any</v>
      </c>
    </row>
    <row r="189" spans="4:68" ht="20.100000000000001" customHeight="1" x14ac:dyDescent="0.25">
      <c r="D189" s="31" t="str" cm="1">
        <f t="array" ref="D189">Common_InputFunctions.Utility_DisplayArrayInTable(Common_SourceData.Common_SourceData_EFN2O_Data(), Table_SourceData_Common_EFN2O[[#Headers],[Production system j]], 0)</f>
        <v>Non-irrigated pasture</v>
      </c>
      <c r="E189" s="31" cm="1">
        <f t="array" ref="E189">Common_InputFunctions.Utility_DisplayArrayInTable(Common_SourceData.Common_SourceData_EFN2O_Data(), Table_SourceData_Common_EFN2O[[#Headers],[Production system j]], 0)</f>
        <v>1.8E-3</v>
      </c>
      <c r="F189" s="31" t="str" cm="1">
        <f t="array" ref="F189">Common_InputFunctions.Utility_DisplayArrayInTable(Common_SourceData.Common_SourceData_EFN2O_Data(), Table_SourceData_Common_EFN2O[[#Headers],[Production system j]], 0)</f>
        <v>Pasture</v>
      </c>
      <c r="G189" s="31" t="str" cm="1">
        <f t="array" ref="G189">Common_InputFunctions.Utility_DisplayArrayInTable(Common_SourceData.Common_SourceData_EFN2O_Data(), Table_SourceData_Common_EFN2O[[#Headers],[Production system j]], 0)</f>
        <v>Not irrigated</v>
      </c>
      <c r="H189" s="31"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1" t="str" cm="1">
        <f t="array" ref="D190">Common_InputFunctions.Utility_DisplayArrayInTable(Common_SourceData.Common_SourceData_EFN2O_Data(), Table_SourceData_Common_EFN2O[[#Headers],[Production system j]], 0)</f>
        <v>Non-irrigated pasture</v>
      </c>
      <c r="E190" s="31" cm="1">
        <f t="array" ref="E190">Common_InputFunctions.Utility_DisplayArrayInTable(Common_SourceData.Common_SourceData_EFN2O_Data(), Table_SourceData_Common_EFN2O[[#Headers],[Production system j]], 0)</f>
        <v>1.8E-3</v>
      </c>
      <c r="F190" s="31" t="str" cm="1">
        <f t="array" ref="F190">Common_InputFunctions.Utility_DisplayArrayInTable(Common_SourceData.Common_SourceData_EFN2O_Data(), Table_SourceData_Common_EFN2O[[#Headers],[Production system j]], 0)</f>
        <v>Pasture</v>
      </c>
      <c r="G190" s="31" t="str" cm="1">
        <f t="array" ref="G190">Common_InputFunctions.Utility_DisplayArrayInTable(Common_SourceData.Common_SourceData_EFN2O_Data(), Table_SourceData_Common_EFN2O[[#Headers],[Production system j]], 0)</f>
        <v>Not irrigated</v>
      </c>
      <c r="H190" s="31"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1" t="str" cm="1">
        <f t="array" ref="D191">Common_InputFunctions.Utility_DisplayArrayInTable(Common_SourceData.Common_SourceData_EFN2O_Data(), Table_SourceData_Common_EFN2O[[#Headers],[Production system j]], 0)</f>
        <v>Non-irrigated crop (low rainfall)</v>
      </c>
      <c r="E191" s="31" cm="1">
        <f t="array" ref="E191">Common_InputFunctions.Utility_DisplayArrayInTable(Common_SourceData.Common_SourceData_EFN2O_Data(), Table_SourceData_Common_EFN2O[[#Headers],[Production system j]], 0)</f>
        <v>2.8999999999999998E-3</v>
      </c>
      <c r="F191" s="31" t="str" cm="1">
        <f t="array" ref="F191">Common_InputFunctions.Utility_DisplayArrayInTable(Common_SourceData.Common_SourceData_EFN2O_Data(), Table_SourceData_Common_EFN2O[[#Headers],[Production system j]], 0)</f>
        <v>Crop</v>
      </c>
      <c r="G191" s="31" t="str" cm="1">
        <f t="array" ref="G191">Common_InputFunctions.Utility_DisplayArrayInTable(Common_SourceData.Common_SourceData_EFN2O_Data(), Table_SourceData_Common_EFN2O[[#Headers],[Production system j]], 0)</f>
        <v>Not irrigated</v>
      </c>
      <c r="H191" s="31"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1" t="str" cm="1">
        <f t="array" ref="D192">Common_InputFunctions.Utility_DisplayArrayInTable(Common_SourceData.Common_SourceData_EFN2O_Data(), Table_SourceData_Common_EFN2O[[#Headers],[Production system j]], 0)</f>
        <v>Non-irrigated crop (high rainfall)</v>
      </c>
      <c r="E192" s="31" cm="1">
        <f t="array" ref="E192">Common_InputFunctions.Utility_DisplayArrayInTable(Common_SourceData.Common_SourceData_EFN2O_Data(), Table_SourceData_Common_EFN2O[[#Headers],[Production system j]], 0)</f>
        <v>8.0000000000000002E-3</v>
      </c>
      <c r="F192" s="31" t="str" cm="1">
        <f t="array" ref="F192">Common_InputFunctions.Utility_DisplayArrayInTable(Common_SourceData.Common_SourceData_EFN2O_Data(), Table_SourceData_Common_EFN2O[[#Headers],[Production system j]], 0)</f>
        <v>Crop</v>
      </c>
      <c r="G192" s="31" t="str" cm="1">
        <f t="array" ref="G192">Common_InputFunctions.Utility_DisplayArrayInTable(Common_SourceData.Common_SourceData_EFN2O_Data(), Table_SourceData_Common_EFN2O[[#Headers],[Production system j]], 0)</f>
        <v>Not irrigated</v>
      </c>
      <c r="H192" s="31"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1" t="str" cm="1">
        <f t="array" ref="D193">Common_InputFunctions.Utility_DisplayArrayInTable(Common_SourceData.Common_SourceData_EFN2O_Data(), Table_SourceData_Common_EFN2O[[#Headers],[Production system j]], 0)</f>
        <v>Sugar</v>
      </c>
      <c r="E193" s="31" cm="1">
        <f t="array" ref="E193">Common_InputFunctions.Utility_DisplayArrayInTable(Common_SourceData.Common_SourceData_EFN2O_Data(), Table_SourceData_Common_EFN2O[[#Headers],[Production system j]], 0)</f>
        <v>1.9900000000000001E-2</v>
      </c>
      <c r="F193" s="31" t="str" cm="1">
        <f t="array" ref="F193">Common_InputFunctions.Utility_DisplayArrayInTable(Common_SourceData.Common_SourceData_EFN2O_Data(), Table_SourceData_Common_EFN2O[[#Headers],[Production system j]], 0)</f>
        <v>Sugar</v>
      </c>
      <c r="G193" s="31" t="str" cm="1">
        <f t="array" ref="G193">Common_InputFunctions.Utility_DisplayArrayInTable(Common_SourceData.Common_SourceData_EFN2O_Data(), Table_SourceData_Common_EFN2O[[#Headers],[Production system j]], 0)</f>
        <v>Any</v>
      </c>
      <c r="H193" s="31" t="str" cm="1">
        <f t="array" ref="H193">Common_InputFunctions.Utility_DisplayArrayInTable(Common_SourceData.Common_SourceData_EFN2O_Data(), Table_SourceData_Common_EFN2O[[#Headers],[Production system j]], 0)</f>
        <v>Any</v>
      </c>
    </row>
    <row r="194" spans="4:8" ht="20.100000000000001" customHeight="1" x14ac:dyDescent="0.25">
      <c r="D194" s="31" t="str" cm="1">
        <f t="array" ref="D194">Common_InputFunctions.Utility_DisplayArrayInTable(Common_SourceData.Common_SourceData_EFN2O_Data(), Table_SourceData_Common_EFN2O[[#Headers],[Production system j]], 0)</f>
        <v>Cotton</v>
      </c>
      <c r="E194" s="31" cm="1">
        <f t="array" ref="E194">Common_InputFunctions.Utility_DisplayArrayInTable(Common_SourceData.Common_SourceData_EFN2O_Data(), Table_SourceData_Common_EFN2O[[#Headers],[Production system j]], 0)</f>
        <v>5.3E-3</v>
      </c>
      <c r="F194" s="31" t="str" cm="1">
        <f t="array" ref="F194">Common_InputFunctions.Utility_DisplayArrayInTable(Common_SourceData.Common_SourceData_EFN2O_Data(), Table_SourceData_Common_EFN2O[[#Headers],[Production system j]], 0)</f>
        <v>Cotton</v>
      </c>
      <c r="G194" s="31" t="str" cm="1">
        <f t="array" ref="G194">Common_InputFunctions.Utility_DisplayArrayInTable(Common_SourceData.Common_SourceData_EFN2O_Data(), Table_SourceData_Common_EFN2O[[#Headers],[Production system j]], 0)</f>
        <v>Any</v>
      </c>
      <c r="H194" s="31" t="str" cm="1">
        <f t="array" ref="H194">Common_InputFunctions.Utility_DisplayArrayInTable(Common_SourceData.Common_SourceData_EFN2O_Data(), Table_SourceData_Common_EFN2O[[#Headers],[Production system j]], 0)</f>
        <v>Any</v>
      </c>
    </row>
    <row r="195" spans="4:8" ht="20.100000000000001" customHeight="1" x14ac:dyDescent="0.25">
      <c r="D195" s="31" t="str" cm="1">
        <f t="array" ref="D195">Common_InputFunctions.Utility_DisplayArrayInTable(Common_SourceData.Common_SourceData_EFN2O_Data(), Table_SourceData_Common_EFN2O[[#Headers],[Production system j]], 0)</f>
        <v>Horticultural crops</v>
      </c>
      <c r="E195" s="31" cm="1">
        <f t="array" ref="E195">Common_InputFunctions.Utility_DisplayArrayInTable(Common_SourceData.Common_SourceData_EFN2O_Data(), Table_SourceData_Common_EFN2O[[#Headers],[Production system j]], 0)</f>
        <v>6.4000000000000003E-3</v>
      </c>
      <c r="F195" s="31" t="str" cm="1">
        <f t="array" ref="F195">Common_InputFunctions.Utility_DisplayArrayInTable(Common_SourceData.Common_SourceData_EFN2O_Data(), Table_SourceData_Common_EFN2O[[#Headers],[Production system j]], 0)</f>
        <v>Horticultural crops</v>
      </c>
      <c r="G195" s="31" t="str" cm="1">
        <f t="array" ref="G195">Common_InputFunctions.Utility_DisplayArrayInTable(Common_SourceData.Common_SourceData_EFN2O_Data(), Table_SourceData_Common_EFN2O[[#Headers],[Production system j]], 0)</f>
        <v>Any</v>
      </c>
      <c r="H195" s="31" t="str" cm="1">
        <f t="array" ref="H195">Common_InputFunctions.Utility_DisplayArrayInTable(Common_SourceData.Common_SourceData_EFN2O_Data(), Table_SourceData_Common_EFN2O[[#Headers],[Production system j]], 0)</f>
        <v>Any</v>
      </c>
    </row>
    <row r="196" spans="4:8" ht="20.100000000000001" customHeight="1" x14ac:dyDescent="0.25">
      <c r="D196" s="31" t="str" cm="1">
        <f t="array" ref="D196">Common_InputFunctions.Utility_DisplayArrayInTable(Common_SourceData.Common_SourceData_EFN2O_Data(), Table_SourceData_Common_EFN2O[[#Headers],[Production system j]], 0)</f>
        <v>Rice (continuous flooding)</v>
      </c>
      <c r="E196" s="31" cm="1">
        <f t="array" ref="E196">Common_InputFunctions.Utility_DisplayArrayInTable(Common_SourceData.Common_SourceData_EFN2O_Data(), Table_SourceData_Common_EFN2O[[#Headers],[Production system j]], 0)</f>
        <v>3.0000000000000001E-3</v>
      </c>
      <c r="F196" s="31" t="str" cm="1">
        <f t="array" ref="F196">Common_InputFunctions.Utility_DisplayArrayInTable(Common_SourceData.Common_SourceData_EFN2O_Data(), Table_SourceData_Common_EFN2O[[#Headers],[Production system j]], 0)</f>
        <v>Rice</v>
      </c>
      <c r="G196" s="31" t="str" cm="1">
        <f t="array" ref="G196">Common_InputFunctions.Utility_DisplayArrayInTable(Common_SourceData.Common_SourceData_EFN2O_Data(), Table_SourceData_Common_EFN2O[[#Headers],[Production system j]], 0)</f>
        <v>Continuous flooding</v>
      </c>
      <c r="H196" s="31" t="str" cm="1">
        <f t="array" ref="H196">Common_InputFunctions.Utility_DisplayArrayInTable(Common_SourceData.Common_SourceData_EFN2O_Data(), Table_SourceData_Common_EFN2O[[#Headers],[Production system j]], 0)</f>
        <v>Any</v>
      </c>
    </row>
    <row r="197" spans="4:8" x14ac:dyDescent="0.25">
      <c r="D197" s="31" t="str" cm="1">
        <f t="array" ref="D197">Common_InputFunctions.Utility_DisplayArrayInTable(Common_SourceData.Common_SourceData_EFN2O_Data(), Table_SourceData_Common_EFN2O[[#Headers],[Production system j]], 0)</f>
        <v>Rice (single and multiple drainage, or alternate wetting and drying)</v>
      </c>
      <c r="E197" s="31" cm="1">
        <f t="array" ref="E197">Common_InputFunctions.Utility_DisplayArrayInTable(Common_SourceData.Common_SourceData_EFN2O_Data(), Table_SourceData_Common_EFN2O[[#Headers],[Production system j]], 0)</f>
        <v>5.0000000000000001E-3</v>
      </c>
      <c r="F197" s="31" t="str" cm="1">
        <f t="array" ref="F197">Common_InputFunctions.Utility_DisplayArrayInTable(Common_SourceData.Common_SourceData_EFN2O_Data(), Table_SourceData_Common_EFN2O[[#Headers],[Production system j]], 0)</f>
        <v>Rice</v>
      </c>
      <c r="G197" s="31" t="str" cm="1">
        <f t="array" ref="G197">Common_InputFunctions.Utility_DisplayArrayInTable(Common_SourceData.Common_SourceData_EFN2O_Data(), Table_SourceData_Common_EFN2O[[#Headers],[Production system j]], 0)</f>
        <v>Single and multiple drainage, or alternate wetting and drying</v>
      </c>
      <c r="H197" s="31" t="str" cm="1">
        <f t="array" ref="H197">Common_InputFunctions.Utility_DisplayArrayInTable(Common_SourceData.Common_SourceData_EFN2O_Data(), Table_SourceData_Common_EFN2O[[#Headers],[Production system j]], 0)</f>
        <v>Any</v>
      </c>
    </row>
    <row r="198" spans="4:8" x14ac:dyDescent="0.25">
      <c r="D198" s="31" t="str" cm="1">
        <f t="array" ref="D198">Common_InputFunctions.Utility_DisplayArrayInTable(Common_SourceData.Common_SourceData_EFN2O_Data(), Table_SourceData_Common_EFN2O[[#Headers],[Production system j]], 0)</f>
        <v>Aquaculture</v>
      </c>
      <c r="E198" s="31" cm="1">
        <f t="array" ref="E198">Common_InputFunctions.Utility_DisplayArrayInTable(Common_SourceData.Common_SourceData_EFN2O_Data(), Table_SourceData_Common_EFN2O[[#Headers],[Production system j]], 0)</f>
        <v>2.5999999999999999E-3</v>
      </c>
      <c r="F198" s="31" t="str" cm="1">
        <f t="array" ref="F198">Common_InputFunctions.Utility_DisplayArrayInTable(Common_SourceData.Common_SourceData_EFN2O_Data(), Table_SourceData_Common_EFN2O[[#Headers],[Production system j]], 0)</f>
        <v>Aquaculture</v>
      </c>
      <c r="G198" s="31" t="str" cm="1">
        <f t="array" ref="G198">Common_InputFunctions.Utility_DisplayArrayInTable(Common_SourceData.Common_SourceData_EFN2O_Data(), Table_SourceData_Common_EFN2O[[#Headers],[Production system j]], 0)</f>
        <v>Any</v>
      </c>
      <c r="H198" s="31" t="str" cm="1">
        <f t="array" ref="H198">Common_InputFunctions.Utility_DisplayArrayInTable(Common_SourceData.Common_SourceData_EFN2O_Data(), Table_SourceData_Common_EFN2O[[#Headers],[Production system j]], 0)</f>
        <v>Any</v>
      </c>
    </row>
    <row r="199" spans="4:8" x14ac:dyDescent="0.25">
      <c r="D199" s="31" t="str" cm="1">
        <f t="array" ref="D199">Common_InputFunctions.Utility_DisplayArrayInTable(Common_SourceData.Common_SourceData_EFN2O_Data(), Table_SourceData_Common_EFN2O[[#Headers],[Production system j]], 0)</f>
        <v>Forestry</v>
      </c>
      <c r="E199" s="31" cm="1">
        <f t="array" ref="E199">Common_InputFunctions.Utility_DisplayArrayInTable(Common_SourceData.Common_SourceData_EFN2O_Data(), Table_SourceData_Common_EFN2O[[#Headers],[Production system j]], 0)</f>
        <v>1.8E-3</v>
      </c>
      <c r="F199" s="31" t="str" cm="1">
        <f t="array" ref="F199">Common_InputFunctions.Utility_DisplayArrayInTable(Common_SourceData.Common_SourceData_EFN2O_Data(), Table_SourceData_Common_EFN2O[[#Headers],[Production system j]], 0)</f>
        <v>Forestry</v>
      </c>
      <c r="G199" s="31" t="str" cm="1">
        <f t="array" ref="G199">Common_InputFunctions.Utility_DisplayArrayInTable(Common_SourceData.Common_SourceData_EFN2O_Data(), Table_SourceData_Common_EFN2O[[#Headers],[Production system j]], 0)</f>
        <v>Any</v>
      </c>
      <c r="H199" s="31"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28" t="str" cm="1">
        <f t="array" ref="D203">Common_SourceData.Common_SourceData_EFPastureRangeAndPaddock_Source()</f>
        <v>VEERG 2026: Table A.2.2.2</v>
      </c>
    </row>
    <row r="204" spans="4:8" x14ac:dyDescent="0.25">
      <c r="D204" s="37" t="str" cm="1">
        <f t="array" ref="D204">Common_SourceData.Common_SourceData_EFPastureRangeAndPaddock_Variation()</f>
        <v>VARIATION FROM SOURCE DATA: Changed 'Dry climate zones' to singular 'Dry climate zone' to aid lookup.</v>
      </c>
    </row>
    <row r="205" spans="4:8" x14ac:dyDescent="0.25">
      <c r="D205" s="16" t="str" cm="1">
        <f t="array" ref="D205">Common_SourceData.Common_SourceData_EFPastureRangeAndPaddock_Unit()</f>
        <v>kg N2O - N / kg N</v>
      </c>
    </row>
    <row r="206" spans="4:8" x14ac:dyDescent="0.25">
      <c r="D206" s="31" t="s">
        <v>32</v>
      </c>
      <c r="E206" s="31" t="s">
        <v>66</v>
      </c>
    </row>
    <row r="207" spans="4:8" x14ac:dyDescent="0.25">
      <c r="D207" s="31" t="str" cm="1">
        <f t="array" ref="D207">Common_InputFunctions.Utility_DisplayArrayInTable(Common_SourceData.Common_SourceData_EFPastureRangeAndPaddock_Data(), Table_SourceData_EFPastureRangeAndPaddock[[#Headers],[Climate zone]], 0)</f>
        <v>Wet climate zone</v>
      </c>
      <c r="E207" s="31"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1"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1" t="s">
        <v>67</v>
      </c>
      <c r="E212" s="31" t="s">
        <v>68</v>
      </c>
    </row>
    <row r="213" spans="4:5" x14ac:dyDescent="0.25">
      <c r="D213" s="31" t="str" cm="1">
        <f t="array" ref="D213">Common_InputFunctions.Utility_DisplayArrayInTable(Common_SourceData.Common_SourceData_MonthsToSeasons_Data(), Table_SourceData_Common_MonthToSeason[[#Headers],[Month]], 0)</f>
        <v>January</v>
      </c>
      <c r="E213" s="31"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1"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1"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1"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1"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1"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1"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1"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1"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1"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1"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1"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28" t="str" cm="1">
        <f t="array" ref="D228">Common_SourceData.Common_SourceData_MCFTemperatureZone_Source()</f>
        <v>VEERG 2026: Table A.1.8.1</v>
      </c>
    </row>
    <row r="229" spans="4:19" x14ac:dyDescent="0.25">
      <c r="D229" s="37"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1" t="s">
        <v>69</v>
      </c>
      <c r="E231" s="31" t="s">
        <v>70</v>
      </c>
      <c r="F231" s="38" t="s">
        <v>71</v>
      </c>
      <c r="G231" s="31" t="s">
        <v>72</v>
      </c>
      <c r="H231" s="31" t="s">
        <v>73</v>
      </c>
      <c r="I231" s="31" t="s">
        <v>74</v>
      </c>
      <c r="J231" s="31" t="s">
        <v>75</v>
      </c>
      <c r="K231" s="31" t="s">
        <v>76</v>
      </c>
      <c r="L231" s="31" t="s">
        <v>77</v>
      </c>
      <c r="M231" s="31" t="s">
        <v>78</v>
      </c>
      <c r="N231" s="31" t="s">
        <v>79</v>
      </c>
      <c r="O231" s="31" t="s">
        <v>80</v>
      </c>
      <c r="P231" s="31" t="s">
        <v>81</v>
      </c>
      <c r="Q231" s="31" t="s">
        <v>82</v>
      </c>
      <c r="R231" s="31" t="s">
        <v>83</v>
      </c>
      <c r="S231" s="31" t="s">
        <v>84</v>
      </c>
    </row>
    <row r="232" spans="4:19" x14ac:dyDescent="0.25">
      <c r="D232" s="31" t="str" cm="1">
        <f t="array" ref="D232">Common_InputFunctions.Utility_DisplayArrayInTable(Common_SourceData.Common_SourceData_MCFTemperatureZone_Data(),Table_SourceData_Common_MCFTemperatureZone[[#Headers],[Temperature zone]],0)</f>
        <v>Cool</v>
      </c>
      <c r="E232" s="31" t="str" cm="1">
        <f t="array" ref="E232">Common_InputFunctions.Utility_DisplayArrayInTable(Common_SourceData.Common_SourceData_MCFTemperatureZone_Data(),Table_SourceData_Common_MCFTemperatureZone[[#Headers],[Temperature zone]],0)</f>
        <v>≤10</v>
      </c>
      <c r="F232" s="31" cm="1">
        <f t="array" ref="F232">Common_InputFunctions.Utility_DisplayArrayInTable(Common_SourceData.Common_SourceData_MCFTemperatureZone_Data(),Table_SourceData_Common_MCFTemperatureZone[[#Headers],[Temperature zone]],0)</f>
        <v>0.66</v>
      </c>
      <c r="G232" s="31" cm="1">
        <f t="array" ref="G232">Common_InputFunctions.Utility_DisplayArrayInTable(Common_SourceData.Common_SourceData_MCFTemperatureZone_Data(),Table_SourceData_Common_MCFTemperatureZone[[#Headers],[Temperature zone]],0)</f>
        <v>0.1</v>
      </c>
      <c r="H232" s="31" cm="1">
        <f t="array" ref="H232">Common_InputFunctions.Utility_DisplayArrayInTable(Common_SourceData.Common_SourceData_MCFTemperatureZone_Data(),Table_SourceData_Common_MCFTemperatureZone[[#Headers],[Temperature zone]],0)</f>
        <v>0.1</v>
      </c>
      <c r="I232" s="31" cm="1">
        <f t="array" ref="I232">Common_InputFunctions.Utility_DisplayArrayInTable(Common_SourceData.Common_SourceData_MCFTemperatureZone_Data(),Table_SourceData_Common_MCFTemperatureZone[[#Headers],[Temperature zone]],0)</f>
        <v>1E-3</v>
      </c>
      <c r="J232" s="31" cm="1">
        <f t="array" ref="J232">Common_InputFunctions.Utility_DisplayArrayInTable(Common_SourceData.Common_SourceData_MCFTemperatureZone_Data(),Table_SourceData_Common_MCFTemperatureZone[[#Headers],[Temperature zone]],0)</f>
        <v>5.0000000000000001E-3</v>
      </c>
      <c r="K232" s="31" cm="1">
        <f t="array" ref="K232">Common_InputFunctions.Utility_DisplayArrayInTable(Common_SourceData.Common_SourceData_MCFTemperatureZone_Data(),Table_SourceData_Common_MCFTemperatureZone[[#Headers],[Temperature zone]],0)</f>
        <v>0.02</v>
      </c>
      <c r="L232" s="31" cm="1">
        <f t="array" ref="L232">Common_InputFunctions.Utility_DisplayArrayInTable(Common_SourceData.Common_SourceData_MCFTemperatureZone_Data(),Table_SourceData_Common_MCFTemperatureZone[[#Headers],[Temperature zone]],0)</f>
        <v>0.03</v>
      </c>
      <c r="M232" s="31" cm="1">
        <f t="array" ref="M232">Common_InputFunctions.Utility_DisplayArrayInTable(Common_SourceData.Common_SourceData_MCFTemperatureZone_Data(),Table_SourceData_Common_MCFTemperatureZone[[#Headers],[Temperature zone]],0)</f>
        <v>0.04</v>
      </c>
      <c r="N232" s="31" cm="1">
        <f t="array" ref="N232">Common_InputFunctions.Utility_DisplayArrayInTable(Common_SourceData.Common_SourceData_MCFTemperatureZone_Data(),Table_SourceData_Common_MCFTemperatureZone[[#Headers],[Temperature zone]],0)</f>
        <v>1.4999999999999999E-2</v>
      </c>
      <c r="O232" s="31" cm="1">
        <f t="array" ref="O232">Common_InputFunctions.Utility_DisplayArrayInTable(Common_SourceData.Common_SourceData_MCFTemperatureZone_Data(),Table_SourceData_Common_MCFTemperatureZone[[#Headers],[Temperature zone]],0)</f>
        <v>1.4999999999999999E-2</v>
      </c>
      <c r="P232" s="31" cm="1">
        <f t="array" ref="P232">Common_InputFunctions.Utility_DisplayArrayInTable(Common_SourceData.Common_SourceData_MCFTemperatureZone_Data(),Table_SourceData_Common_MCFTemperatureZone[[#Headers],[Temperature zone]],0)</f>
        <v>0</v>
      </c>
      <c r="Q232" s="31" cm="1">
        <f t="array" ref="Q232">Common_InputFunctions.Utility_DisplayArrayInTable(Common_SourceData.Common_SourceData_MCFTemperatureZone_Data(),Table_SourceData_Common_MCFTemperatureZone[[#Headers],[Temperature zone]],0)</f>
        <v>0</v>
      </c>
      <c r="R232" s="31" cm="1">
        <f t="array" ref="R232">Common_InputFunctions.Utility_DisplayArrayInTable(Common_SourceData.Common_SourceData_MCFTemperatureZone_Data(),Table_SourceData_Common_MCFTemperatureZone[[#Headers],[Temperature zone]],0)</f>
        <v>4.7000000000000002E-3</v>
      </c>
      <c r="S232" s="31"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1" cm="1">
        <f t="array" ref="E233">Common_InputFunctions.Utility_DisplayArrayInTable(Common_SourceData.Common_SourceData_MCFTemperatureZone_Data(),Table_SourceData_Common_MCFTemperatureZone[[#Headers],[Temperature zone]],0)</f>
        <v>11</v>
      </c>
      <c r="F233" s="31" cm="1">
        <f t="array" ref="F233">Common_InputFunctions.Utility_DisplayArrayInTable(Common_SourceData.Common_SourceData_MCFTemperatureZone_Data(),Table_SourceData_Common_MCFTemperatureZone[[#Headers],[Temperature zone]],0)</f>
        <v>0.68</v>
      </c>
      <c r="G233" s="31" cm="1">
        <f t="array" ref="G233">Common_InputFunctions.Utility_DisplayArrayInTable(Common_SourceData.Common_SourceData_MCFTemperatureZone_Data(),Table_SourceData_Common_MCFTemperatureZone[[#Headers],[Temperature zone]],0)</f>
        <v>0.1</v>
      </c>
      <c r="H233" s="31" cm="1">
        <f t="array" ref="H233">Common_InputFunctions.Utility_DisplayArrayInTable(Common_SourceData.Common_SourceData_MCFTemperatureZone_Data(),Table_SourceData_Common_MCFTemperatureZone[[#Headers],[Temperature zone]],0)</f>
        <v>0.11</v>
      </c>
      <c r="I233" s="31" cm="1">
        <f t="array" ref="I233">Common_InputFunctions.Utility_DisplayArrayInTable(Common_SourceData.Common_SourceData_MCFTemperatureZone_Data(),Table_SourceData_Common_MCFTemperatureZone[[#Headers],[Temperature zone]],0)</f>
        <v>1E-3</v>
      </c>
      <c r="J233" s="31" cm="1">
        <f t="array" ref="J233">Common_InputFunctions.Utility_DisplayArrayInTable(Common_SourceData.Common_SourceData_MCFTemperatureZone_Data(),Table_SourceData_Common_MCFTemperatureZone[[#Headers],[Temperature zone]],0)</f>
        <v>5.0000000000000001E-3</v>
      </c>
      <c r="K233" s="31" cm="1">
        <f t="array" ref="K233">Common_InputFunctions.Utility_DisplayArrayInTable(Common_SourceData.Common_SourceData_MCFTemperatureZone_Data(),Table_SourceData_Common_MCFTemperatureZone[[#Headers],[Temperature zone]],0)</f>
        <v>0.02</v>
      </c>
      <c r="L233" s="31" cm="1">
        <f t="array" ref="L233">Common_InputFunctions.Utility_DisplayArrayInTable(Common_SourceData.Common_SourceData_MCFTemperatureZone_Data(),Table_SourceData_Common_MCFTemperatureZone[[#Headers],[Temperature zone]],0)</f>
        <v>0.03</v>
      </c>
      <c r="M233" s="31" cm="1">
        <f t="array" ref="M233">Common_InputFunctions.Utility_DisplayArrayInTable(Common_SourceData.Common_SourceData_MCFTemperatureZone_Data(),Table_SourceData_Common_MCFTemperatureZone[[#Headers],[Temperature zone]],0)</f>
        <v>0.04</v>
      </c>
      <c r="N233" s="31" cm="1">
        <f t="array" ref="N233">Common_InputFunctions.Utility_DisplayArrayInTable(Common_SourceData.Common_SourceData_MCFTemperatureZone_Data(),Table_SourceData_Common_MCFTemperatureZone[[#Headers],[Temperature zone]],0)</f>
        <v>1.4999999999999999E-2</v>
      </c>
      <c r="O233" s="31" cm="1">
        <f t="array" ref="O233">Common_InputFunctions.Utility_DisplayArrayInTable(Common_SourceData.Common_SourceData_MCFTemperatureZone_Data(),Table_SourceData_Common_MCFTemperatureZone[[#Headers],[Temperature zone]],0)</f>
        <v>1.4999999999999999E-2</v>
      </c>
      <c r="P233" s="31" cm="1">
        <f t="array" ref="P233">Common_InputFunctions.Utility_DisplayArrayInTable(Common_SourceData.Common_SourceData_MCFTemperatureZone_Data(),Table_SourceData_Common_MCFTemperatureZone[[#Headers],[Temperature zone]],0)</f>
        <v>0</v>
      </c>
      <c r="Q233" s="31" cm="1">
        <f t="array" ref="Q233">Common_InputFunctions.Utility_DisplayArrayInTable(Common_SourceData.Common_SourceData_MCFTemperatureZone_Data(),Table_SourceData_Common_MCFTemperatureZone[[#Headers],[Temperature zone]],0)</f>
        <v>0</v>
      </c>
      <c r="R233" s="31" cm="1">
        <f t="array" ref="R233">Common_InputFunctions.Utility_DisplayArrayInTable(Common_SourceData.Common_SourceData_MCFTemperatureZone_Data(),Table_SourceData_Common_MCFTemperatureZone[[#Headers],[Temperature zone]],0)</f>
        <v>4.7000000000000002E-3</v>
      </c>
      <c r="S233" s="31"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1" cm="1">
        <f t="array" ref="E234">Common_InputFunctions.Utility_DisplayArrayInTable(Common_SourceData.Common_SourceData_MCFTemperatureZone_Data(),Table_SourceData_Common_MCFTemperatureZone[[#Headers],[Temperature zone]],0)</f>
        <v>12</v>
      </c>
      <c r="F234" s="31" cm="1">
        <f t="array" ref="F234">Common_InputFunctions.Utility_DisplayArrayInTable(Common_SourceData.Common_SourceData_MCFTemperatureZone_Data(),Table_SourceData_Common_MCFTemperatureZone[[#Headers],[Temperature zone]],0)</f>
        <v>0.7</v>
      </c>
      <c r="G234" s="31" cm="1">
        <f t="array" ref="G234">Common_InputFunctions.Utility_DisplayArrayInTable(Common_SourceData.Common_SourceData_MCFTemperatureZone_Data(),Table_SourceData_Common_MCFTemperatureZone[[#Headers],[Temperature zone]],0)</f>
        <v>0.1</v>
      </c>
      <c r="H234" s="31" cm="1">
        <f t="array" ref="H234">Common_InputFunctions.Utility_DisplayArrayInTable(Common_SourceData.Common_SourceData_MCFTemperatureZone_Data(),Table_SourceData_Common_MCFTemperatureZone[[#Headers],[Temperature zone]],0)</f>
        <v>0.13</v>
      </c>
      <c r="I234" s="31" cm="1">
        <f t="array" ref="I234">Common_InputFunctions.Utility_DisplayArrayInTable(Common_SourceData.Common_SourceData_MCFTemperatureZone_Data(),Table_SourceData_Common_MCFTemperatureZone[[#Headers],[Temperature zone]],0)</f>
        <v>1E-3</v>
      </c>
      <c r="J234" s="31" cm="1">
        <f t="array" ref="J234">Common_InputFunctions.Utility_DisplayArrayInTable(Common_SourceData.Common_SourceData_MCFTemperatureZone_Data(),Table_SourceData_Common_MCFTemperatureZone[[#Headers],[Temperature zone]],0)</f>
        <v>5.0000000000000001E-3</v>
      </c>
      <c r="K234" s="31" cm="1">
        <f t="array" ref="K234">Common_InputFunctions.Utility_DisplayArrayInTable(Common_SourceData.Common_SourceData_MCFTemperatureZone_Data(),Table_SourceData_Common_MCFTemperatureZone[[#Headers],[Temperature zone]],0)</f>
        <v>0.02</v>
      </c>
      <c r="L234" s="31" cm="1">
        <f t="array" ref="L234">Common_InputFunctions.Utility_DisplayArrayInTable(Common_SourceData.Common_SourceData_MCFTemperatureZone_Data(),Table_SourceData_Common_MCFTemperatureZone[[#Headers],[Temperature zone]],0)</f>
        <v>0.03</v>
      </c>
      <c r="M234" s="31" cm="1">
        <f t="array" ref="M234">Common_InputFunctions.Utility_DisplayArrayInTable(Common_SourceData.Common_SourceData_MCFTemperatureZone_Data(),Table_SourceData_Common_MCFTemperatureZone[[#Headers],[Temperature zone]],0)</f>
        <v>0.04</v>
      </c>
      <c r="N234" s="31" cm="1">
        <f t="array" ref="N234">Common_InputFunctions.Utility_DisplayArrayInTable(Common_SourceData.Common_SourceData_MCFTemperatureZone_Data(),Table_SourceData_Common_MCFTemperatureZone[[#Headers],[Temperature zone]],0)</f>
        <v>1.4999999999999999E-2</v>
      </c>
      <c r="O234" s="31" cm="1">
        <f t="array" ref="O234">Common_InputFunctions.Utility_DisplayArrayInTable(Common_SourceData.Common_SourceData_MCFTemperatureZone_Data(),Table_SourceData_Common_MCFTemperatureZone[[#Headers],[Temperature zone]],0)</f>
        <v>1.4999999999999999E-2</v>
      </c>
      <c r="P234" s="31" cm="1">
        <f t="array" ref="P234">Common_InputFunctions.Utility_DisplayArrayInTable(Common_SourceData.Common_SourceData_MCFTemperatureZone_Data(),Table_SourceData_Common_MCFTemperatureZone[[#Headers],[Temperature zone]],0)</f>
        <v>0</v>
      </c>
      <c r="Q234" s="31" cm="1">
        <f t="array" ref="Q234">Common_InputFunctions.Utility_DisplayArrayInTable(Common_SourceData.Common_SourceData_MCFTemperatureZone_Data(),Table_SourceData_Common_MCFTemperatureZone[[#Headers],[Temperature zone]],0)</f>
        <v>0</v>
      </c>
      <c r="R234" s="31" cm="1">
        <f t="array" ref="R234">Common_InputFunctions.Utility_DisplayArrayInTable(Common_SourceData.Common_SourceData_MCFTemperatureZone_Data(),Table_SourceData_Common_MCFTemperatureZone[[#Headers],[Temperature zone]],0)</f>
        <v>4.7000000000000002E-3</v>
      </c>
      <c r="S234" s="31"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1" cm="1">
        <f t="array" ref="E235">Common_InputFunctions.Utility_DisplayArrayInTable(Common_SourceData.Common_SourceData_MCFTemperatureZone_Data(),Table_SourceData_Common_MCFTemperatureZone[[#Headers],[Temperature zone]],0)</f>
        <v>13</v>
      </c>
      <c r="F235" s="31" cm="1">
        <f t="array" ref="F235">Common_InputFunctions.Utility_DisplayArrayInTable(Common_SourceData.Common_SourceData_MCFTemperatureZone_Data(),Table_SourceData_Common_MCFTemperatureZone[[#Headers],[Temperature zone]],0)</f>
        <v>0.71</v>
      </c>
      <c r="G235" s="31" cm="1">
        <f t="array" ref="G235">Common_InputFunctions.Utility_DisplayArrayInTable(Common_SourceData.Common_SourceData_MCFTemperatureZone_Data(),Table_SourceData_Common_MCFTemperatureZone[[#Headers],[Temperature zone]],0)</f>
        <v>0.1</v>
      </c>
      <c r="H235" s="31" cm="1">
        <f t="array" ref="H235">Common_InputFunctions.Utility_DisplayArrayInTable(Common_SourceData.Common_SourceData_MCFTemperatureZone_Data(),Table_SourceData_Common_MCFTemperatureZone[[#Headers],[Temperature zone]],0)</f>
        <v>0.14000000000000001</v>
      </c>
      <c r="I235" s="31" cm="1">
        <f t="array" ref="I235">Common_InputFunctions.Utility_DisplayArrayInTable(Common_SourceData.Common_SourceData_MCFTemperatureZone_Data(),Table_SourceData_Common_MCFTemperatureZone[[#Headers],[Temperature zone]],0)</f>
        <v>1E-3</v>
      </c>
      <c r="J235" s="31" cm="1">
        <f t="array" ref="J235">Common_InputFunctions.Utility_DisplayArrayInTable(Common_SourceData.Common_SourceData_MCFTemperatureZone_Data(),Table_SourceData_Common_MCFTemperatureZone[[#Headers],[Temperature zone]],0)</f>
        <v>5.0000000000000001E-3</v>
      </c>
      <c r="K235" s="31" cm="1">
        <f t="array" ref="K235">Common_InputFunctions.Utility_DisplayArrayInTable(Common_SourceData.Common_SourceData_MCFTemperatureZone_Data(),Table_SourceData_Common_MCFTemperatureZone[[#Headers],[Temperature zone]],0)</f>
        <v>0.02</v>
      </c>
      <c r="L235" s="31" cm="1">
        <f t="array" ref="L235">Common_InputFunctions.Utility_DisplayArrayInTable(Common_SourceData.Common_SourceData_MCFTemperatureZone_Data(),Table_SourceData_Common_MCFTemperatureZone[[#Headers],[Temperature zone]],0)</f>
        <v>0.03</v>
      </c>
      <c r="M235" s="31" cm="1">
        <f t="array" ref="M235">Common_InputFunctions.Utility_DisplayArrayInTable(Common_SourceData.Common_SourceData_MCFTemperatureZone_Data(),Table_SourceData_Common_MCFTemperatureZone[[#Headers],[Temperature zone]],0)</f>
        <v>0.04</v>
      </c>
      <c r="N235" s="31" cm="1">
        <f t="array" ref="N235">Common_InputFunctions.Utility_DisplayArrayInTable(Common_SourceData.Common_SourceData_MCFTemperatureZone_Data(),Table_SourceData_Common_MCFTemperatureZone[[#Headers],[Temperature zone]],0)</f>
        <v>1.4999999999999999E-2</v>
      </c>
      <c r="O235" s="31" cm="1">
        <f t="array" ref="O235">Common_InputFunctions.Utility_DisplayArrayInTable(Common_SourceData.Common_SourceData_MCFTemperatureZone_Data(),Table_SourceData_Common_MCFTemperatureZone[[#Headers],[Temperature zone]],0)</f>
        <v>1.4999999999999999E-2</v>
      </c>
      <c r="P235" s="31" cm="1">
        <f t="array" ref="P235">Common_InputFunctions.Utility_DisplayArrayInTable(Common_SourceData.Common_SourceData_MCFTemperatureZone_Data(),Table_SourceData_Common_MCFTemperatureZone[[#Headers],[Temperature zone]],0)</f>
        <v>0</v>
      </c>
      <c r="Q235" s="31" cm="1">
        <f t="array" ref="Q235">Common_InputFunctions.Utility_DisplayArrayInTable(Common_SourceData.Common_SourceData_MCFTemperatureZone_Data(),Table_SourceData_Common_MCFTemperatureZone[[#Headers],[Temperature zone]],0)</f>
        <v>0</v>
      </c>
      <c r="R235" s="31" cm="1">
        <f t="array" ref="R235">Common_InputFunctions.Utility_DisplayArrayInTable(Common_SourceData.Common_SourceData_MCFTemperatureZone_Data(),Table_SourceData_Common_MCFTemperatureZone[[#Headers],[Temperature zone]],0)</f>
        <v>4.7000000000000002E-3</v>
      </c>
      <c r="S235" s="31"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1" cm="1">
        <f t="array" ref="E236">Common_InputFunctions.Utility_DisplayArrayInTable(Common_SourceData.Common_SourceData_MCFTemperatureZone_Data(),Table_SourceData_Common_MCFTemperatureZone[[#Headers],[Temperature zone]],0)</f>
        <v>14</v>
      </c>
      <c r="F236" s="31" cm="1">
        <f t="array" ref="F236">Common_InputFunctions.Utility_DisplayArrayInTable(Common_SourceData.Common_SourceData_MCFTemperatureZone_Data(),Table_SourceData_Common_MCFTemperatureZone[[#Headers],[Temperature zone]],0)</f>
        <v>0.73</v>
      </c>
      <c r="G236" s="31" cm="1">
        <f t="array" ref="G236">Common_InputFunctions.Utility_DisplayArrayInTable(Common_SourceData.Common_SourceData_MCFTemperatureZone_Data(),Table_SourceData_Common_MCFTemperatureZone[[#Headers],[Temperature zone]],0)</f>
        <v>0.1</v>
      </c>
      <c r="H236" s="31" cm="1">
        <f t="array" ref="H236">Common_InputFunctions.Utility_DisplayArrayInTable(Common_SourceData.Common_SourceData_MCFTemperatureZone_Data(),Table_SourceData_Common_MCFTemperatureZone[[#Headers],[Temperature zone]],0)</f>
        <v>0.15</v>
      </c>
      <c r="I236" s="31" cm="1">
        <f t="array" ref="I236">Common_InputFunctions.Utility_DisplayArrayInTable(Common_SourceData.Common_SourceData_MCFTemperatureZone_Data(),Table_SourceData_Common_MCFTemperatureZone[[#Headers],[Temperature zone]],0)</f>
        <v>1E-3</v>
      </c>
      <c r="J236" s="31" cm="1">
        <f t="array" ref="J236">Common_InputFunctions.Utility_DisplayArrayInTable(Common_SourceData.Common_SourceData_MCFTemperatureZone_Data(),Table_SourceData_Common_MCFTemperatureZone[[#Headers],[Temperature zone]],0)</f>
        <v>5.0000000000000001E-3</v>
      </c>
      <c r="K236" s="31" cm="1">
        <f t="array" ref="K236">Common_InputFunctions.Utility_DisplayArrayInTable(Common_SourceData.Common_SourceData_MCFTemperatureZone_Data(),Table_SourceData_Common_MCFTemperatureZone[[#Headers],[Temperature zone]],0)</f>
        <v>0.02</v>
      </c>
      <c r="L236" s="31" cm="1">
        <f t="array" ref="L236">Common_InputFunctions.Utility_DisplayArrayInTable(Common_SourceData.Common_SourceData_MCFTemperatureZone_Data(),Table_SourceData_Common_MCFTemperatureZone[[#Headers],[Temperature zone]],0)</f>
        <v>0.03</v>
      </c>
      <c r="M236" s="31" cm="1">
        <f t="array" ref="M236">Common_InputFunctions.Utility_DisplayArrayInTable(Common_SourceData.Common_SourceData_MCFTemperatureZone_Data(),Table_SourceData_Common_MCFTemperatureZone[[#Headers],[Temperature zone]],0)</f>
        <v>0.04</v>
      </c>
      <c r="N236" s="31" cm="1">
        <f t="array" ref="N236">Common_InputFunctions.Utility_DisplayArrayInTable(Common_SourceData.Common_SourceData_MCFTemperatureZone_Data(),Table_SourceData_Common_MCFTemperatureZone[[#Headers],[Temperature zone]],0)</f>
        <v>1.4999999999999999E-2</v>
      </c>
      <c r="O236" s="31" cm="1">
        <f t="array" ref="O236">Common_InputFunctions.Utility_DisplayArrayInTable(Common_SourceData.Common_SourceData_MCFTemperatureZone_Data(),Table_SourceData_Common_MCFTemperatureZone[[#Headers],[Temperature zone]],0)</f>
        <v>1.4999999999999999E-2</v>
      </c>
      <c r="P236" s="31" cm="1">
        <f t="array" ref="P236">Common_InputFunctions.Utility_DisplayArrayInTable(Common_SourceData.Common_SourceData_MCFTemperatureZone_Data(),Table_SourceData_Common_MCFTemperatureZone[[#Headers],[Temperature zone]],0)</f>
        <v>0</v>
      </c>
      <c r="Q236" s="31" cm="1">
        <f t="array" ref="Q236">Common_InputFunctions.Utility_DisplayArrayInTable(Common_SourceData.Common_SourceData_MCFTemperatureZone_Data(),Table_SourceData_Common_MCFTemperatureZone[[#Headers],[Temperature zone]],0)</f>
        <v>0</v>
      </c>
      <c r="R236" s="31" cm="1">
        <f t="array" ref="R236">Common_InputFunctions.Utility_DisplayArrayInTable(Common_SourceData.Common_SourceData_MCFTemperatureZone_Data(),Table_SourceData_Common_MCFTemperatureZone[[#Headers],[Temperature zone]],0)</f>
        <v>4.7000000000000002E-3</v>
      </c>
      <c r="S236" s="31"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1" cm="1">
        <f t="array" ref="E237">Common_InputFunctions.Utility_DisplayArrayInTable(Common_SourceData.Common_SourceData_MCFTemperatureZone_Data(),Table_SourceData_Common_MCFTemperatureZone[[#Headers],[Temperature zone]],0)</f>
        <v>15</v>
      </c>
      <c r="F237" s="31" cm="1">
        <f t="array" ref="F237">Common_InputFunctions.Utility_DisplayArrayInTable(Common_SourceData.Common_SourceData_MCFTemperatureZone_Data(),Table_SourceData_Common_MCFTemperatureZone[[#Headers],[Temperature zone]],0)</f>
        <v>0.74</v>
      </c>
      <c r="G237" s="31" cm="1">
        <f t="array" ref="G237">Common_InputFunctions.Utility_DisplayArrayInTable(Common_SourceData.Common_SourceData_MCFTemperatureZone_Data(),Table_SourceData_Common_MCFTemperatureZone[[#Headers],[Temperature zone]],0)</f>
        <v>0.1</v>
      </c>
      <c r="H237" s="31" cm="1">
        <f t="array" ref="H237">Common_InputFunctions.Utility_DisplayArrayInTable(Common_SourceData.Common_SourceData_MCFTemperatureZone_Data(),Table_SourceData_Common_MCFTemperatureZone[[#Headers],[Temperature zone]],0)</f>
        <v>0.17</v>
      </c>
      <c r="I237" s="31" cm="1">
        <f t="array" ref="I237">Common_InputFunctions.Utility_DisplayArrayInTable(Common_SourceData.Common_SourceData_MCFTemperatureZone_Data(),Table_SourceData_Common_MCFTemperatureZone[[#Headers],[Temperature zone]],0)</f>
        <v>5.0000000000000001E-3</v>
      </c>
      <c r="J237" s="31" cm="1">
        <f t="array" ref="J237">Common_InputFunctions.Utility_DisplayArrayInTable(Common_SourceData.Common_SourceData_MCFTemperatureZone_Data(),Table_SourceData_Common_MCFTemperatureZone[[#Headers],[Temperature zone]],0)</f>
        <v>0.01</v>
      </c>
      <c r="K237" s="31" cm="1">
        <f t="array" ref="K237">Common_InputFunctions.Utility_DisplayArrayInTable(Common_SourceData.Common_SourceData_MCFTemperatureZone_Data(),Table_SourceData_Common_MCFTemperatureZone[[#Headers],[Temperature zone]],0)</f>
        <v>0.02</v>
      </c>
      <c r="L237" s="31" cm="1">
        <f t="array" ref="L237">Common_InputFunctions.Utility_DisplayArrayInTable(Common_SourceData.Common_SourceData_MCFTemperatureZone_Data(),Table_SourceData_Common_MCFTemperatureZone[[#Headers],[Temperature zone]],0)</f>
        <v>0.03</v>
      </c>
      <c r="M237" s="31" cm="1">
        <f t="array" ref="M237">Common_InputFunctions.Utility_DisplayArrayInTable(Common_SourceData.Common_SourceData_MCFTemperatureZone_Data(),Table_SourceData_Common_MCFTemperatureZone[[#Headers],[Temperature zone]],0)</f>
        <v>0.04</v>
      </c>
      <c r="N237" s="31" cm="1">
        <f t="array" ref="N237">Common_InputFunctions.Utility_DisplayArrayInTable(Common_SourceData.Common_SourceData_MCFTemperatureZone_Data(),Table_SourceData_Common_MCFTemperatureZone[[#Headers],[Temperature zone]],0)</f>
        <v>1.4999999999999999E-2</v>
      </c>
      <c r="O237" s="31" cm="1">
        <f t="array" ref="O237">Common_InputFunctions.Utility_DisplayArrayInTable(Common_SourceData.Common_SourceData_MCFTemperatureZone_Data(),Table_SourceData_Common_MCFTemperatureZone[[#Headers],[Temperature zone]],0)</f>
        <v>1.4999999999999999E-2</v>
      </c>
      <c r="P237" s="31" cm="1">
        <f t="array" ref="P237">Common_InputFunctions.Utility_DisplayArrayInTable(Common_SourceData.Common_SourceData_MCFTemperatureZone_Data(),Table_SourceData_Common_MCFTemperatureZone[[#Headers],[Temperature zone]],0)</f>
        <v>0</v>
      </c>
      <c r="Q237" s="31" cm="1">
        <f t="array" ref="Q237">Common_InputFunctions.Utility_DisplayArrayInTable(Common_SourceData.Common_SourceData_MCFTemperatureZone_Data(),Table_SourceData_Common_MCFTemperatureZone[[#Headers],[Temperature zone]],0)</f>
        <v>0</v>
      </c>
      <c r="R237" s="31" cm="1">
        <f t="array" ref="R237">Common_InputFunctions.Utility_DisplayArrayInTable(Common_SourceData.Common_SourceData_MCFTemperatureZone_Data(),Table_SourceData_Common_MCFTemperatureZone[[#Headers],[Temperature zone]],0)</f>
        <v>4.7000000000000002E-3</v>
      </c>
      <c r="S237" s="31"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1" cm="1">
        <f t="array" ref="E238">Common_InputFunctions.Utility_DisplayArrayInTable(Common_SourceData.Common_SourceData_MCFTemperatureZone_Data(),Table_SourceData_Common_MCFTemperatureZone[[#Headers],[Temperature zone]],0)</f>
        <v>16</v>
      </c>
      <c r="F238" s="31" cm="1">
        <f t="array" ref="F238">Common_InputFunctions.Utility_DisplayArrayInTable(Common_SourceData.Common_SourceData_MCFTemperatureZone_Data(),Table_SourceData_Common_MCFTemperatureZone[[#Headers],[Temperature zone]],0)</f>
        <v>0.75</v>
      </c>
      <c r="G238" s="31" cm="1">
        <f t="array" ref="G238">Common_InputFunctions.Utility_DisplayArrayInTable(Common_SourceData.Common_SourceData_MCFTemperatureZone_Data(),Table_SourceData_Common_MCFTemperatureZone[[#Headers],[Temperature zone]],0)</f>
        <v>0.1</v>
      </c>
      <c r="H238" s="31" cm="1">
        <f t="array" ref="H238">Common_InputFunctions.Utility_DisplayArrayInTable(Common_SourceData.Common_SourceData_MCFTemperatureZone_Data(),Table_SourceData_Common_MCFTemperatureZone[[#Headers],[Temperature zone]],0)</f>
        <v>0.18</v>
      </c>
      <c r="I238" s="31" cm="1">
        <f t="array" ref="I238">Common_InputFunctions.Utility_DisplayArrayInTable(Common_SourceData.Common_SourceData_MCFTemperatureZone_Data(),Table_SourceData_Common_MCFTemperatureZone[[#Headers],[Temperature zone]],0)</f>
        <v>5.0000000000000001E-3</v>
      </c>
      <c r="J238" s="31" cm="1">
        <f t="array" ref="J238">Common_InputFunctions.Utility_DisplayArrayInTable(Common_SourceData.Common_SourceData_MCFTemperatureZone_Data(),Table_SourceData_Common_MCFTemperatureZone[[#Headers],[Temperature zone]],0)</f>
        <v>0.01</v>
      </c>
      <c r="K238" s="31" cm="1">
        <f t="array" ref="K238">Common_InputFunctions.Utility_DisplayArrayInTable(Common_SourceData.Common_SourceData_MCFTemperatureZone_Data(),Table_SourceData_Common_MCFTemperatureZone[[#Headers],[Temperature zone]],0)</f>
        <v>0.02</v>
      </c>
      <c r="L238" s="31" cm="1">
        <f t="array" ref="L238">Common_InputFunctions.Utility_DisplayArrayInTable(Common_SourceData.Common_SourceData_MCFTemperatureZone_Data(),Table_SourceData_Common_MCFTemperatureZone[[#Headers],[Temperature zone]],0)</f>
        <v>0.03</v>
      </c>
      <c r="M238" s="31" cm="1">
        <f t="array" ref="M238">Common_InputFunctions.Utility_DisplayArrayInTable(Common_SourceData.Common_SourceData_MCFTemperatureZone_Data(),Table_SourceData_Common_MCFTemperatureZone[[#Headers],[Temperature zone]],0)</f>
        <v>0.04</v>
      </c>
      <c r="N238" s="31" cm="1">
        <f t="array" ref="N238">Common_InputFunctions.Utility_DisplayArrayInTable(Common_SourceData.Common_SourceData_MCFTemperatureZone_Data(),Table_SourceData_Common_MCFTemperatureZone[[#Headers],[Temperature zone]],0)</f>
        <v>1.4999999999999999E-2</v>
      </c>
      <c r="O238" s="31" cm="1">
        <f t="array" ref="O238">Common_InputFunctions.Utility_DisplayArrayInTable(Common_SourceData.Common_SourceData_MCFTemperatureZone_Data(),Table_SourceData_Common_MCFTemperatureZone[[#Headers],[Temperature zone]],0)</f>
        <v>1.4999999999999999E-2</v>
      </c>
      <c r="P238" s="31" cm="1">
        <f t="array" ref="P238">Common_InputFunctions.Utility_DisplayArrayInTable(Common_SourceData.Common_SourceData_MCFTemperatureZone_Data(),Table_SourceData_Common_MCFTemperatureZone[[#Headers],[Temperature zone]],0)</f>
        <v>0</v>
      </c>
      <c r="Q238" s="31" cm="1">
        <f t="array" ref="Q238">Common_InputFunctions.Utility_DisplayArrayInTable(Common_SourceData.Common_SourceData_MCFTemperatureZone_Data(),Table_SourceData_Common_MCFTemperatureZone[[#Headers],[Temperature zone]],0)</f>
        <v>0</v>
      </c>
      <c r="R238" s="31" cm="1">
        <f t="array" ref="R238">Common_InputFunctions.Utility_DisplayArrayInTable(Common_SourceData.Common_SourceData_MCFTemperatureZone_Data(),Table_SourceData_Common_MCFTemperatureZone[[#Headers],[Temperature zone]],0)</f>
        <v>4.7000000000000002E-3</v>
      </c>
      <c r="S238" s="31"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1" cm="1">
        <f t="array" ref="E239">Common_InputFunctions.Utility_DisplayArrayInTable(Common_SourceData.Common_SourceData_MCFTemperatureZone_Data(),Table_SourceData_Common_MCFTemperatureZone[[#Headers],[Temperature zone]],0)</f>
        <v>17</v>
      </c>
      <c r="F239" s="31" cm="1">
        <f t="array" ref="F239">Common_InputFunctions.Utility_DisplayArrayInTable(Common_SourceData.Common_SourceData_MCFTemperatureZone_Data(),Table_SourceData_Common_MCFTemperatureZone[[#Headers],[Temperature zone]],0)</f>
        <v>0.76</v>
      </c>
      <c r="G239" s="31" cm="1">
        <f t="array" ref="G239">Common_InputFunctions.Utility_DisplayArrayInTable(Common_SourceData.Common_SourceData_MCFTemperatureZone_Data(),Table_SourceData_Common_MCFTemperatureZone[[#Headers],[Temperature zone]],0)</f>
        <v>0.1</v>
      </c>
      <c r="H239" s="31" cm="1">
        <f t="array" ref="H239">Common_InputFunctions.Utility_DisplayArrayInTable(Common_SourceData.Common_SourceData_MCFTemperatureZone_Data(),Table_SourceData_Common_MCFTemperatureZone[[#Headers],[Temperature zone]],0)</f>
        <v>0.2</v>
      </c>
      <c r="I239" s="31" cm="1">
        <f t="array" ref="I239">Common_InputFunctions.Utility_DisplayArrayInTable(Common_SourceData.Common_SourceData_MCFTemperatureZone_Data(),Table_SourceData_Common_MCFTemperatureZone[[#Headers],[Temperature zone]],0)</f>
        <v>5.0000000000000001E-3</v>
      </c>
      <c r="J239" s="31" cm="1">
        <f t="array" ref="J239">Common_InputFunctions.Utility_DisplayArrayInTable(Common_SourceData.Common_SourceData_MCFTemperatureZone_Data(),Table_SourceData_Common_MCFTemperatureZone[[#Headers],[Temperature zone]],0)</f>
        <v>0.01</v>
      </c>
      <c r="K239" s="31" cm="1">
        <f t="array" ref="K239">Common_InputFunctions.Utility_DisplayArrayInTable(Common_SourceData.Common_SourceData_MCFTemperatureZone_Data(),Table_SourceData_Common_MCFTemperatureZone[[#Headers],[Temperature zone]],0)</f>
        <v>0.02</v>
      </c>
      <c r="L239" s="31" cm="1">
        <f t="array" ref="L239">Common_InputFunctions.Utility_DisplayArrayInTable(Common_SourceData.Common_SourceData_MCFTemperatureZone_Data(),Table_SourceData_Common_MCFTemperatureZone[[#Headers],[Temperature zone]],0)</f>
        <v>0.03</v>
      </c>
      <c r="M239" s="31" cm="1">
        <f t="array" ref="M239">Common_InputFunctions.Utility_DisplayArrayInTable(Common_SourceData.Common_SourceData_MCFTemperatureZone_Data(),Table_SourceData_Common_MCFTemperatureZone[[#Headers],[Temperature zone]],0)</f>
        <v>0.04</v>
      </c>
      <c r="N239" s="31" cm="1">
        <f t="array" ref="N239">Common_InputFunctions.Utility_DisplayArrayInTable(Common_SourceData.Common_SourceData_MCFTemperatureZone_Data(),Table_SourceData_Common_MCFTemperatureZone[[#Headers],[Temperature zone]],0)</f>
        <v>1.4999999999999999E-2</v>
      </c>
      <c r="O239" s="31" cm="1">
        <f t="array" ref="O239">Common_InputFunctions.Utility_DisplayArrayInTable(Common_SourceData.Common_SourceData_MCFTemperatureZone_Data(),Table_SourceData_Common_MCFTemperatureZone[[#Headers],[Temperature zone]],0)</f>
        <v>1.4999999999999999E-2</v>
      </c>
      <c r="P239" s="31" cm="1">
        <f t="array" ref="P239">Common_InputFunctions.Utility_DisplayArrayInTable(Common_SourceData.Common_SourceData_MCFTemperatureZone_Data(),Table_SourceData_Common_MCFTemperatureZone[[#Headers],[Temperature zone]],0)</f>
        <v>0</v>
      </c>
      <c r="Q239" s="31" cm="1">
        <f t="array" ref="Q239">Common_InputFunctions.Utility_DisplayArrayInTable(Common_SourceData.Common_SourceData_MCFTemperatureZone_Data(),Table_SourceData_Common_MCFTemperatureZone[[#Headers],[Temperature zone]],0)</f>
        <v>0</v>
      </c>
      <c r="R239" s="31" cm="1">
        <f t="array" ref="R239">Common_InputFunctions.Utility_DisplayArrayInTable(Common_SourceData.Common_SourceData_MCFTemperatureZone_Data(),Table_SourceData_Common_MCFTemperatureZone[[#Headers],[Temperature zone]],0)</f>
        <v>4.7000000000000002E-3</v>
      </c>
      <c r="S239" s="31"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1" cm="1">
        <f t="array" ref="E240">Common_InputFunctions.Utility_DisplayArrayInTable(Common_SourceData.Common_SourceData_MCFTemperatureZone_Data(),Table_SourceData_Common_MCFTemperatureZone[[#Headers],[Temperature zone]],0)</f>
        <v>18</v>
      </c>
      <c r="F240" s="31" cm="1">
        <f t="array" ref="F240">Common_InputFunctions.Utility_DisplayArrayInTable(Common_SourceData.Common_SourceData_MCFTemperatureZone_Data(),Table_SourceData_Common_MCFTemperatureZone[[#Headers],[Temperature zone]],0)</f>
        <v>0.77</v>
      </c>
      <c r="G240" s="31" cm="1">
        <f t="array" ref="G240">Common_InputFunctions.Utility_DisplayArrayInTable(Common_SourceData.Common_SourceData_MCFTemperatureZone_Data(),Table_SourceData_Common_MCFTemperatureZone[[#Headers],[Temperature zone]],0)</f>
        <v>0.1</v>
      </c>
      <c r="H240" s="31" cm="1">
        <f t="array" ref="H240">Common_InputFunctions.Utility_DisplayArrayInTable(Common_SourceData.Common_SourceData_MCFTemperatureZone_Data(),Table_SourceData_Common_MCFTemperatureZone[[#Headers],[Temperature zone]],0)</f>
        <v>0.22</v>
      </c>
      <c r="I240" s="31" cm="1">
        <f t="array" ref="I240">Common_InputFunctions.Utility_DisplayArrayInTable(Common_SourceData.Common_SourceData_MCFTemperatureZone_Data(),Table_SourceData_Common_MCFTemperatureZone[[#Headers],[Temperature zone]],0)</f>
        <v>5.0000000000000001E-3</v>
      </c>
      <c r="J240" s="31" cm="1">
        <f t="array" ref="J240">Common_InputFunctions.Utility_DisplayArrayInTable(Common_SourceData.Common_SourceData_MCFTemperatureZone_Data(),Table_SourceData_Common_MCFTemperatureZone[[#Headers],[Temperature zone]],0)</f>
        <v>0.01</v>
      </c>
      <c r="K240" s="31" cm="1">
        <f t="array" ref="K240">Common_InputFunctions.Utility_DisplayArrayInTable(Common_SourceData.Common_SourceData_MCFTemperatureZone_Data(),Table_SourceData_Common_MCFTemperatureZone[[#Headers],[Temperature zone]],0)</f>
        <v>0.02</v>
      </c>
      <c r="L240" s="31" cm="1">
        <f t="array" ref="L240">Common_InputFunctions.Utility_DisplayArrayInTable(Common_SourceData.Common_SourceData_MCFTemperatureZone_Data(),Table_SourceData_Common_MCFTemperatureZone[[#Headers],[Temperature zone]],0)</f>
        <v>0.03</v>
      </c>
      <c r="M240" s="31" cm="1">
        <f t="array" ref="M240">Common_InputFunctions.Utility_DisplayArrayInTable(Common_SourceData.Common_SourceData_MCFTemperatureZone_Data(),Table_SourceData_Common_MCFTemperatureZone[[#Headers],[Temperature zone]],0)</f>
        <v>0.04</v>
      </c>
      <c r="N240" s="31" cm="1">
        <f t="array" ref="N240">Common_InputFunctions.Utility_DisplayArrayInTable(Common_SourceData.Common_SourceData_MCFTemperatureZone_Data(),Table_SourceData_Common_MCFTemperatureZone[[#Headers],[Temperature zone]],0)</f>
        <v>1.4999999999999999E-2</v>
      </c>
      <c r="O240" s="31" cm="1">
        <f t="array" ref="O240">Common_InputFunctions.Utility_DisplayArrayInTable(Common_SourceData.Common_SourceData_MCFTemperatureZone_Data(),Table_SourceData_Common_MCFTemperatureZone[[#Headers],[Temperature zone]],0)</f>
        <v>1.4999999999999999E-2</v>
      </c>
      <c r="P240" s="31" cm="1">
        <f t="array" ref="P240">Common_InputFunctions.Utility_DisplayArrayInTable(Common_SourceData.Common_SourceData_MCFTemperatureZone_Data(),Table_SourceData_Common_MCFTemperatureZone[[#Headers],[Temperature zone]],0)</f>
        <v>0</v>
      </c>
      <c r="Q240" s="31" cm="1">
        <f t="array" ref="Q240">Common_InputFunctions.Utility_DisplayArrayInTable(Common_SourceData.Common_SourceData_MCFTemperatureZone_Data(),Table_SourceData_Common_MCFTemperatureZone[[#Headers],[Temperature zone]],0)</f>
        <v>0</v>
      </c>
      <c r="R240" s="31" cm="1">
        <f t="array" ref="R240">Common_InputFunctions.Utility_DisplayArrayInTable(Common_SourceData.Common_SourceData_MCFTemperatureZone_Data(),Table_SourceData_Common_MCFTemperatureZone[[#Headers],[Temperature zone]],0)</f>
        <v>4.7000000000000002E-3</v>
      </c>
      <c r="S240" s="31"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1" cm="1">
        <f t="array" ref="E241">Common_InputFunctions.Utility_DisplayArrayInTable(Common_SourceData.Common_SourceData_MCFTemperatureZone_Data(),Table_SourceData_Common_MCFTemperatureZone[[#Headers],[Temperature zone]],0)</f>
        <v>19</v>
      </c>
      <c r="F241" s="31" cm="1">
        <f t="array" ref="F241">Common_InputFunctions.Utility_DisplayArrayInTable(Common_SourceData.Common_SourceData_MCFTemperatureZone_Data(),Table_SourceData_Common_MCFTemperatureZone[[#Headers],[Temperature zone]],0)</f>
        <v>0.77</v>
      </c>
      <c r="G241" s="31" cm="1">
        <f t="array" ref="G241">Common_InputFunctions.Utility_DisplayArrayInTable(Common_SourceData.Common_SourceData_MCFTemperatureZone_Data(),Table_SourceData_Common_MCFTemperatureZone[[#Headers],[Temperature zone]],0)</f>
        <v>0.1</v>
      </c>
      <c r="H241" s="31" cm="1">
        <f t="array" ref="H241">Common_InputFunctions.Utility_DisplayArrayInTable(Common_SourceData.Common_SourceData_MCFTemperatureZone_Data(),Table_SourceData_Common_MCFTemperatureZone[[#Headers],[Temperature zone]],0)</f>
        <v>0.24</v>
      </c>
      <c r="I241" s="31" cm="1">
        <f t="array" ref="I241">Common_InputFunctions.Utility_DisplayArrayInTable(Common_SourceData.Common_SourceData_MCFTemperatureZone_Data(),Table_SourceData_Common_MCFTemperatureZone[[#Headers],[Temperature zone]],0)</f>
        <v>5.0000000000000001E-3</v>
      </c>
      <c r="J241" s="31" cm="1">
        <f t="array" ref="J241">Common_InputFunctions.Utility_DisplayArrayInTable(Common_SourceData.Common_SourceData_MCFTemperatureZone_Data(),Table_SourceData_Common_MCFTemperatureZone[[#Headers],[Temperature zone]],0)</f>
        <v>0.01</v>
      </c>
      <c r="K241" s="31" cm="1">
        <f t="array" ref="K241">Common_InputFunctions.Utility_DisplayArrayInTable(Common_SourceData.Common_SourceData_MCFTemperatureZone_Data(),Table_SourceData_Common_MCFTemperatureZone[[#Headers],[Temperature zone]],0)</f>
        <v>0.02</v>
      </c>
      <c r="L241" s="31" cm="1">
        <f t="array" ref="L241">Common_InputFunctions.Utility_DisplayArrayInTable(Common_SourceData.Common_SourceData_MCFTemperatureZone_Data(),Table_SourceData_Common_MCFTemperatureZone[[#Headers],[Temperature zone]],0)</f>
        <v>0.03</v>
      </c>
      <c r="M241" s="31" cm="1">
        <f t="array" ref="M241">Common_InputFunctions.Utility_DisplayArrayInTable(Common_SourceData.Common_SourceData_MCFTemperatureZone_Data(),Table_SourceData_Common_MCFTemperatureZone[[#Headers],[Temperature zone]],0)</f>
        <v>0.04</v>
      </c>
      <c r="N241" s="31" cm="1">
        <f t="array" ref="N241">Common_InputFunctions.Utility_DisplayArrayInTable(Common_SourceData.Common_SourceData_MCFTemperatureZone_Data(),Table_SourceData_Common_MCFTemperatureZone[[#Headers],[Temperature zone]],0)</f>
        <v>1.4999999999999999E-2</v>
      </c>
      <c r="O241" s="31" cm="1">
        <f t="array" ref="O241">Common_InputFunctions.Utility_DisplayArrayInTable(Common_SourceData.Common_SourceData_MCFTemperatureZone_Data(),Table_SourceData_Common_MCFTemperatureZone[[#Headers],[Temperature zone]],0)</f>
        <v>1.4999999999999999E-2</v>
      </c>
      <c r="P241" s="31" cm="1">
        <f t="array" ref="P241">Common_InputFunctions.Utility_DisplayArrayInTable(Common_SourceData.Common_SourceData_MCFTemperatureZone_Data(),Table_SourceData_Common_MCFTemperatureZone[[#Headers],[Temperature zone]],0)</f>
        <v>0</v>
      </c>
      <c r="Q241" s="31" cm="1">
        <f t="array" ref="Q241">Common_InputFunctions.Utility_DisplayArrayInTable(Common_SourceData.Common_SourceData_MCFTemperatureZone_Data(),Table_SourceData_Common_MCFTemperatureZone[[#Headers],[Temperature zone]],0)</f>
        <v>0</v>
      </c>
      <c r="R241" s="31" cm="1">
        <f t="array" ref="R241">Common_InputFunctions.Utility_DisplayArrayInTable(Common_SourceData.Common_SourceData_MCFTemperatureZone_Data(),Table_SourceData_Common_MCFTemperatureZone[[#Headers],[Temperature zone]],0)</f>
        <v>4.7000000000000002E-3</v>
      </c>
      <c r="S241" s="31"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1" cm="1">
        <f t="array" ref="E242">Common_InputFunctions.Utility_DisplayArrayInTable(Common_SourceData.Common_SourceData_MCFTemperatureZone_Data(),Table_SourceData_Common_MCFTemperatureZone[[#Headers],[Temperature zone]],0)</f>
        <v>20</v>
      </c>
      <c r="F242" s="31" cm="1">
        <f t="array" ref="F242">Common_InputFunctions.Utility_DisplayArrayInTable(Common_SourceData.Common_SourceData_MCFTemperatureZone_Data(),Table_SourceData_Common_MCFTemperatureZone[[#Headers],[Temperature zone]],0)</f>
        <v>0.78</v>
      </c>
      <c r="G242" s="31" cm="1">
        <f t="array" ref="G242">Common_InputFunctions.Utility_DisplayArrayInTable(Common_SourceData.Common_SourceData_MCFTemperatureZone_Data(),Table_SourceData_Common_MCFTemperatureZone[[#Headers],[Temperature zone]],0)</f>
        <v>0.1</v>
      </c>
      <c r="H242" s="31" cm="1">
        <f t="array" ref="H242">Common_InputFunctions.Utility_DisplayArrayInTable(Common_SourceData.Common_SourceData_MCFTemperatureZone_Data(),Table_SourceData_Common_MCFTemperatureZone[[#Headers],[Temperature zone]],0)</f>
        <v>0.26</v>
      </c>
      <c r="I242" s="31" cm="1">
        <f t="array" ref="I242">Common_InputFunctions.Utility_DisplayArrayInTable(Common_SourceData.Common_SourceData_MCFTemperatureZone_Data(),Table_SourceData_Common_MCFTemperatureZone[[#Headers],[Temperature zone]],0)</f>
        <v>5.0000000000000001E-3</v>
      </c>
      <c r="J242" s="31" cm="1">
        <f t="array" ref="J242">Common_InputFunctions.Utility_DisplayArrayInTable(Common_SourceData.Common_SourceData_MCFTemperatureZone_Data(),Table_SourceData_Common_MCFTemperatureZone[[#Headers],[Temperature zone]],0)</f>
        <v>0.01</v>
      </c>
      <c r="K242" s="31" cm="1">
        <f t="array" ref="K242">Common_InputFunctions.Utility_DisplayArrayInTable(Common_SourceData.Common_SourceData_MCFTemperatureZone_Data(),Table_SourceData_Common_MCFTemperatureZone[[#Headers],[Temperature zone]],0)</f>
        <v>0.02</v>
      </c>
      <c r="L242" s="31" cm="1">
        <f t="array" ref="L242">Common_InputFunctions.Utility_DisplayArrayInTable(Common_SourceData.Common_SourceData_MCFTemperatureZone_Data(),Table_SourceData_Common_MCFTemperatureZone[[#Headers],[Temperature zone]],0)</f>
        <v>0.03</v>
      </c>
      <c r="M242" s="31" cm="1">
        <f t="array" ref="M242">Common_InputFunctions.Utility_DisplayArrayInTable(Common_SourceData.Common_SourceData_MCFTemperatureZone_Data(),Table_SourceData_Common_MCFTemperatureZone[[#Headers],[Temperature zone]],0)</f>
        <v>0.04</v>
      </c>
      <c r="N242" s="31" cm="1">
        <f t="array" ref="N242">Common_InputFunctions.Utility_DisplayArrayInTable(Common_SourceData.Common_SourceData_MCFTemperatureZone_Data(),Table_SourceData_Common_MCFTemperatureZone[[#Headers],[Temperature zone]],0)</f>
        <v>1.4999999999999999E-2</v>
      </c>
      <c r="O242" s="31" cm="1">
        <f t="array" ref="O242">Common_InputFunctions.Utility_DisplayArrayInTable(Common_SourceData.Common_SourceData_MCFTemperatureZone_Data(),Table_SourceData_Common_MCFTemperatureZone[[#Headers],[Temperature zone]],0)</f>
        <v>1.4999999999999999E-2</v>
      </c>
      <c r="P242" s="31" cm="1">
        <f t="array" ref="P242">Common_InputFunctions.Utility_DisplayArrayInTable(Common_SourceData.Common_SourceData_MCFTemperatureZone_Data(),Table_SourceData_Common_MCFTemperatureZone[[#Headers],[Temperature zone]],0)</f>
        <v>0</v>
      </c>
      <c r="Q242" s="31" cm="1">
        <f t="array" ref="Q242">Common_InputFunctions.Utility_DisplayArrayInTable(Common_SourceData.Common_SourceData_MCFTemperatureZone_Data(),Table_SourceData_Common_MCFTemperatureZone[[#Headers],[Temperature zone]],0)</f>
        <v>0</v>
      </c>
      <c r="R242" s="31" cm="1">
        <f t="array" ref="R242">Common_InputFunctions.Utility_DisplayArrayInTable(Common_SourceData.Common_SourceData_MCFTemperatureZone_Data(),Table_SourceData_Common_MCFTemperatureZone[[#Headers],[Temperature zone]],0)</f>
        <v>4.7000000000000002E-3</v>
      </c>
      <c r="S242" s="31"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1" cm="1">
        <f t="array" ref="E243">Common_InputFunctions.Utility_DisplayArrayInTable(Common_SourceData.Common_SourceData_MCFTemperatureZone_Data(),Table_SourceData_Common_MCFTemperatureZone[[#Headers],[Temperature zone]],0)</f>
        <v>21</v>
      </c>
      <c r="F243" s="31" cm="1">
        <f t="array" ref="F243">Common_InputFunctions.Utility_DisplayArrayInTable(Common_SourceData.Common_SourceData_MCFTemperatureZone_Data(),Table_SourceData_Common_MCFTemperatureZone[[#Headers],[Temperature zone]],0)</f>
        <v>0.78</v>
      </c>
      <c r="G243" s="31" cm="1">
        <f t="array" ref="G243">Common_InputFunctions.Utility_DisplayArrayInTable(Common_SourceData.Common_SourceData_MCFTemperatureZone_Data(),Table_SourceData_Common_MCFTemperatureZone[[#Headers],[Temperature zone]],0)</f>
        <v>0.1</v>
      </c>
      <c r="H243" s="31" cm="1">
        <f t="array" ref="H243">Common_InputFunctions.Utility_DisplayArrayInTable(Common_SourceData.Common_SourceData_MCFTemperatureZone_Data(),Table_SourceData_Common_MCFTemperatureZone[[#Headers],[Temperature zone]],0)</f>
        <v>0.28999999999999998</v>
      </c>
      <c r="I243" s="31" cm="1">
        <f t="array" ref="I243">Common_InputFunctions.Utility_DisplayArrayInTable(Common_SourceData.Common_SourceData_MCFTemperatureZone_Data(),Table_SourceData_Common_MCFTemperatureZone[[#Headers],[Temperature zone]],0)</f>
        <v>5.0000000000000001E-3</v>
      </c>
      <c r="J243" s="31" cm="1">
        <f t="array" ref="J243">Common_InputFunctions.Utility_DisplayArrayInTable(Common_SourceData.Common_SourceData_MCFTemperatureZone_Data(),Table_SourceData_Common_MCFTemperatureZone[[#Headers],[Temperature zone]],0)</f>
        <v>0.01</v>
      </c>
      <c r="K243" s="31" cm="1">
        <f t="array" ref="K243">Common_InputFunctions.Utility_DisplayArrayInTable(Common_SourceData.Common_SourceData_MCFTemperatureZone_Data(),Table_SourceData_Common_MCFTemperatureZone[[#Headers],[Temperature zone]],0)</f>
        <v>0.02</v>
      </c>
      <c r="L243" s="31" cm="1">
        <f t="array" ref="L243">Common_InputFunctions.Utility_DisplayArrayInTable(Common_SourceData.Common_SourceData_MCFTemperatureZone_Data(),Table_SourceData_Common_MCFTemperatureZone[[#Headers],[Temperature zone]],0)</f>
        <v>0.03</v>
      </c>
      <c r="M243" s="31" cm="1">
        <f t="array" ref="M243">Common_InputFunctions.Utility_DisplayArrayInTable(Common_SourceData.Common_SourceData_MCFTemperatureZone_Data(),Table_SourceData_Common_MCFTemperatureZone[[#Headers],[Temperature zone]],0)</f>
        <v>0.04</v>
      </c>
      <c r="N243" s="31" cm="1">
        <f t="array" ref="N243">Common_InputFunctions.Utility_DisplayArrayInTable(Common_SourceData.Common_SourceData_MCFTemperatureZone_Data(),Table_SourceData_Common_MCFTemperatureZone[[#Headers],[Temperature zone]],0)</f>
        <v>1.4999999999999999E-2</v>
      </c>
      <c r="O243" s="31" cm="1">
        <f t="array" ref="O243">Common_InputFunctions.Utility_DisplayArrayInTable(Common_SourceData.Common_SourceData_MCFTemperatureZone_Data(),Table_SourceData_Common_MCFTemperatureZone[[#Headers],[Temperature zone]],0)</f>
        <v>1.4999999999999999E-2</v>
      </c>
      <c r="P243" s="31" cm="1">
        <f t="array" ref="P243">Common_InputFunctions.Utility_DisplayArrayInTable(Common_SourceData.Common_SourceData_MCFTemperatureZone_Data(),Table_SourceData_Common_MCFTemperatureZone[[#Headers],[Temperature zone]],0)</f>
        <v>0</v>
      </c>
      <c r="Q243" s="31" cm="1">
        <f t="array" ref="Q243">Common_InputFunctions.Utility_DisplayArrayInTable(Common_SourceData.Common_SourceData_MCFTemperatureZone_Data(),Table_SourceData_Common_MCFTemperatureZone[[#Headers],[Temperature zone]],0)</f>
        <v>0</v>
      </c>
      <c r="R243" s="31" cm="1">
        <f t="array" ref="R243">Common_InputFunctions.Utility_DisplayArrayInTable(Common_SourceData.Common_SourceData_MCFTemperatureZone_Data(),Table_SourceData_Common_MCFTemperatureZone[[#Headers],[Temperature zone]],0)</f>
        <v>4.7000000000000002E-3</v>
      </c>
      <c r="S243" s="31"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1" cm="1">
        <f t="array" ref="E244">Common_InputFunctions.Utility_DisplayArrayInTable(Common_SourceData.Common_SourceData_MCFTemperatureZone_Data(),Table_SourceData_Common_MCFTemperatureZone[[#Headers],[Temperature zone]],0)</f>
        <v>22</v>
      </c>
      <c r="F244" s="31" cm="1">
        <f t="array" ref="F244">Common_InputFunctions.Utility_DisplayArrayInTable(Common_SourceData.Common_SourceData_MCFTemperatureZone_Data(),Table_SourceData_Common_MCFTemperatureZone[[#Headers],[Temperature zone]],0)</f>
        <v>0.78</v>
      </c>
      <c r="G244" s="31" cm="1">
        <f t="array" ref="G244">Common_InputFunctions.Utility_DisplayArrayInTable(Common_SourceData.Common_SourceData_MCFTemperatureZone_Data(),Table_SourceData_Common_MCFTemperatureZone[[#Headers],[Temperature zone]],0)</f>
        <v>0.1</v>
      </c>
      <c r="H244" s="31" cm="1">
        <f t="array" ref="H244">Common_InputFunctions.Utility_DisplayArrayInTable(Common_SourceData.Common_SourceData_MCFTemperatureZone_Data(),Table_SourceData_Common_MCFTemperatureZone[[#Headers],[Temperature zone]],0)</f>
        <v>0.31</v>
      </c>
      <c r="I244" s="31" cm="1">
        <f t="array" ref="I244">Common_InputFunctions.Utility_DisplayArrayInTable(Common_SourceData.Common_SourceData_MCFTemperatureZone_Data(),Table_SourceData_Common_MCFTemperatureZone[[#Headers],[Temperature zone]],0)</f>
        <v>5.0000000000000001E-3</v>
      </c>
      <c r="J244" s="31" cm="1">
        <f t="array" ref="J244">Common_InputFunctions.Utility_DisplayArrayInTable(Common_SourceData.Common_SourceData_MCFTemperatureZone_Data(),Table_SourceData_Common_MCFTemperatureZone[[#Headers],[Temperature zone]],0)</f>
        <v>0.01</v>
      </c>
      <c r="K244" s="31" cm="1">
        <f t="array" ref="K244">Common_InputFunctions.Utility_DisplayArrayInTable(Common_SourceData.Common_SourceData_MCFTemperatureZone_Data(),Table_SourceData_Common_MCFTemperatureZone[[#Headers],[Temperature zone]],0)</f>
        <v>0.02</v>
      </c>
      <c r="L244" s="31" cm="1">
        <f t="array" ref="L244">Common_InputFunctions.Utility_DisplayArrayInTable(Common_SourceData.Common_SourceData_MCFTemperatureZone_Data(),Table_SourceData_Common_MCFTemperatureZone[[#Headers],[Temperature zone]],0)</f>
        <v>0.03</v>
      </c>
      <c r="M244" s="31" cm="1">
        <f t="array" ref="M244">Common_InputFunctions.Utility_DisplayArrayInTable(Common_SourceData.Common_SourceData_MCFTemperatureZone_Data(),Table_SourceData_Common_MCFTemperatureZone[[#Headers],[Temperature zone]],0)</f>
        <v>0.04</v>
      </c>
      <c r="N244" s="31" cm="1">
        <f t="array" ref="N244">Common_InputFunctions.Utility_DisplayArrayInTable(Common_SourceData.Common_SourceData_MCFTemperatureZone_Data(),Table_SourceData_Common_MCFTemperatureZone[[#Headers],[Temperature zone]],0)</f>
        <v>1.4999999999999999E-2</v>
      </c>
      <c r="O244" s="31" cm="1">
        <f t="array" ref="O244">Common_InputFunctions.Utility_DisplayArrayInTable(Common_SourceData.Common_SourceData_MCFTemperatureZone_Data(),Table_SourceData_Common_MCFTemperatureZone[[#Headers],[Temperature zone]],0)</f>
        <v>1.4999999999999999E-2</v>
      </c>
      <c r="P244" s="31" cm="1">
        <f t="array" ref="P244">Common_InputFunctions.Utility_DisplayArrayInTable(Common_SourceData.Common_SourceData_MCFTemperatureZone_Data(),Table_SourceData_Common_MCFTemperatureZone[[#Headers],[Temperature zone]],0)</f>
        <v>0</v>
      </c>
      <c r="Q244" s="31" cm="1">
        <f t="array" ref="Q244">Common_InputFunctions.Utility_DisplayArrayInTable(Common_SourceData.Common_SourceData_MCFTemperatureZone_Data(),Table_SourceData_Common_MCFTemperatureZone[[#Headers],[Temperature zone]],0)</f>
        <v>0</v>
      </c>
      <c r="R244" s="31" cm="1">
        <f t="array" ref="R244">Common_InputFunctions.Utility_DisplayArrayInTable(Common_SourceData.Common_SourceData_MCFTemperatureZone_Data(),Table_SourceData_Common_MCFTemperatureZone[[#Headers],[Temperature zone]],0)</f>
        <v>4.7000000000000002E-3</v>
      </c>
      <c r="S244" s="31"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1" cm="1">
        <f t="array" ref="E245">Common_InputFunctions.Utility_DisplayArrayInTable(Common_SourceData.Common_SourceData_MCFTemperatureZone_Data(),Table_SourceData_Common_MCFTemperatureZone[[#Headers],[Temperature zone]],0)</f>
        <v>23</v>
      </c>
      <c r="F245" s="31" cm="1">
        <f t="array" ref="F245">Common_InputFunctions.Utility_DisplayArrayInTable(Common_SourceData.Common_SourceData_MCFTemperatureZone_Data(),Table_SourceData_Common_MCFTemperatureZone[[#Headers],[Temperature zone]],0)</f>
        <v>0.79</v>
      </c>
      <c r="G245" s="31" cm="1">
        <f t="array" ref="G245">Common_InputFunctions.Utility_DisplayArrayInTable(Common_SourceData.Common_SourceData_MCFTemperatureZone_Data(),Table_SourceData_Common_MCFTemperatureZone[[#Headers],[Temperature zone]],0)</f>
        <v>0.1</v>
      </c>
      <c r="H245" s="31" cm="1">
        <f t="array" ref="H245">Common_InputFunctions.Utility_DisplayArrayInTable(Common_SourceData.Common_SourceData_MCFTemperatureZone_Data(),Table_SourceData_Common_MCFTemperatureZone[[#Headers],[Temperature zone]],0)</f>
        <v>0.34</v>
      </c>
      <c r="I245" s="31" cm="1">
        <f t="array" ref="I245">Common_InputFunctions.Utility_DisplayArrayInTable(Common_SourceData.Common_SourceData_MCFTemperatureZone_Data(),Table_SourceData_Common_MCFTemperatureZone[[#Headers],[Temperature zone]],0)</f>
        <v>5.0000000000000001E-3</v>
      </c>
      <c r="J245" s="31" cm="1">
        <f t="array" ref="J245">Common_InputFunctions.Utility_DisplayArrayInTable(Common_SourceData.Common_SourceData_MCFTemperatureZone_Data(),Table_SourceData_Common_MCFTemperatureZone[[#Headers],[Temperature zone]],0)</f>
        <v>0.01</v>
      </c>
      <c r="K245" s="31" cm="1">
        <f t="array" ref="K245">Common_InputFunctions.Utility_DisplayArrayInTable(Common_SourceData.Common_SourceData_MCFTemperatureZone_Data(),Table_SourceData_Common_MCFTemperatureZone[[#Headers],[Temperature zone]],0)</f>
        <v>0.02</v>
      </c>
      <c r="L245" s="31" cm="1">
        <f t="array" ref="L245">Common_InputFunctions.Utility_DisplayArrayInTable(Common_SourceData.Common_SourceData_MCFTemperatureZone_Data(),Table_SourceData_Common_MCFTemperatureZone[[#Headers],[Temperature zone]],0)</f>
        <v>0.03</v>
      </c>
      <c r="M245" s="31" cm="1">
        <f t="array" ref="M245">Common_InputFunctions.Utility_DisplayArrayInTable(Common_SourceData.Common_SourceData_MCFTemperatureZone_Data(),Table_SourceData_Common_MCFTemperatureZone[[#Headers],[Temperature zone]],0)</f>
        <v>0.04</v>
      </c>
      <c r="N245" s="31" cm="1">
        <f t="array" ref="N245">Common_InputFunctions.Utility_DisplayArrayInTable(Common_SourceData.Common_SourceData_MCFTemperatureZone_Data(),Table_SourceData_Common_MCFTemperatureZone[[#Headers],[Temperature zone]],0)</f>
        <v>1.4999999999999999E-2</v>
      </c>
      <c r="O245" s="31" cm="1">
        <f t="array" ref="O245">Common_InputFunctions.Utility_DisplayArrayInTable(Common_SourceData.Common_SourceData_MCFTemperatureZone_Data(),Table_SourceData_Common_MCFTemperatureZone[[#Headers],[Temperature zone]],0)</f>
        <v>1.4999999999999999E-2</v>
      </c>
      <c r="P245" s="31" cm="1">
        <f t="array" ref="P245">Common_InputFunctions.Utility_DisplayArrayInTable(Common_SourceData.Common_SourceData_MCFTemperatureZone_Data(),Table_SourceData_Common_MCFTemperatureZone[[#Headers],[Temperature zone]],0)</f>
        <v>0</v>
      </c>
      <c r="Q245" s="31" cm="1">
        <f t="array" ref="Q245">Common_InputFunctions.Utility_DisplayArrayInTable(Common_SourceData.Common_SourceData_MCFTemperatureZone_Data(),Table_SourceData_Common_MCFTemperatureZone[[#Headers],[Temperature zone]],0)</f>
        <v>0</v>
      </c>
      <c r="R245" s="31" cm="1">
        <f t="array" ref="R245">Common_InputFunctions.Utility_DisplayArrayInTable(Common_SourceData.Common_SourceData_MCFTemperatureZone_Data(),Table_SourceData_Common_MCFTemperatureZone[[#Headers],[Temperature zone]],0)</f>
        <v>4.7000000000000002E-3</v>
      </c>
      <c r="S245" s="31"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1" cm="1">
        <f t="array" ref="E246">Common_InputFunctions.Utility_DisplayArrayInTable(Common_SourceData.Common_SourceData_MCFTemperatureZone_Data(),Table_SourceData_Common_MCFTemperatureZone[[#Headers],[Temperature zone]],0)</f>
        <v>24</v>
      </c>
      <c r="F246" s="31" cm="1">
        <f t="array" ref="F246">Common_InputFunctions.Utility_DisplayArrayInTable(Common_SourceData.Common_SourceData_MCFTemperatureZone_Data(),Table_SourceData_Common_MCFTemperatureZone[[#Headers],[Temperature zone]],0)</f>
        <v>0.79</v>
      </c>
      <c r="G246" s="31" cm="1">
        <f t="array" ref="G246">Common_InputFunctions.Utility_DisplayArrayInTable(Common_SourceData.Common_SourceData_MCFTemperatureZone_Data(),Table_SourceData_Common_MCFTemperatureZone[[#Headers],[Temperature zone]],0)</f>
        <v>0.1</v>
      </c>
      <c r="H246" s="31" cm="1">
        <f t="array" ref="H246">Common_InputFunctions.Utility_DisplayArrayInTable(Common_SourceData.Common_SourceData_MCFTemperatureZone_Data(),Table_SourceData_Common_MCFTemperatureZone[[#Headers],[Temperature zone]],0)</f>
        <v>0.37</v>
      </c>
      <c r="I246" s="31" cm="1">
        <f t="array" ref="I246">Common_InputFunctions.Utility_DisplayArrayInTable(Common_SourceData.Common_SourceData_MCFTemperatureZone_Data(),Table_SourceData_Common_MCFTemperatureZone[[#Headers],[Temperature zone]],0)</f>
        <v>5.0000000000000001E-3</v>
      </c>
      <c r="J246" s="31" cm="1">
        <f t="array" ref="J246">Common_InputFunctions.Utility_DisplayArrayInTable(Common_SourceData.Common_SourceData_MCFTemperatureZone_Data(),Table_SourceData_Common_MCFTemperatureZone[[#Headers],[Temperature zone]],0)</f>
        <v>0.01</v>
      </c>
      <c r="K246" s="31" cm="1">
        <f t="array" ref="K246">Common_InputFunctions.Utility_DisplayArrayInTable(Common_SourceData.Common_SourceData_MCFTemperatureZone_Data(),Table_SourceData_Common_MCFTemperatureZone[[#Headers],[Temperature zone]],0)</f>
        <v>0.02</v>
      </c>
      <c r="L246" s="31" cm="1">
        <f t="array" ref="L246">Common_InputFunctions.Utility_DisplayArrayInTable(Common_SourceData.Common_SourceData_MCFTemperatureZone_Data(),Table_SourceData_Common_MCFTemperatureZone[[#Headers],[Temperature zone]],0)</f>
        <v>0.03</v>
      </c>
      <c r="M246" s="31" cm="1">
        <f t="array" ref="M246">Common_InputFunctions.Utility_DisplayArrayInTable(Common_SourceData.Common_SourceData_MCFTemperatureZone_Data(),Table_SourceData_Common_MCFTemperatureZone[[#Headers],[Temperature zone]],0)</f>
        <v>0.04</v>
      </c>
      <c r="N246" s="31" cm="1">
        <f t="array" ref="N246">Common_InputFunctions.Utility_DisplayArrayInTable(Common_SourceData.Common_SourceData_MCFTemperatureZone_Data(),Table_SourceData_Common_MCFTemperatureZone[[#Headers],[Temperature zone]],0)</f>
        <v>1.4999999999999999E-2</v>
      </c>
      <c r="O246" s="31" cm="1">
        <f t="array" ref="O246">Common_InputFunctions.Utility_DisplayArrayInTable(Common_SourceData.Common_SourceData_MCFTemperatureZone_Data(),Table_SourceData_Common_MCFTemperatureZone[[#Headers],[Temperature zone]],0)</f>
        <v>1.4999999999999999E-2</v>
      </c>
      <c r="P246" s="31" cm="1">
        <f t="array" ref="P246">Common_InputFunctions.Utility_DisplayArrayInTable(Common_SourceData.Common_SourceData_MCFTemperatureZone_Data(),Table_SourceData_Common_MCFTemperatureZone[[#Headers],[Temperature zone]],0)</f>
        <v>0</v>
      </c>
      <c r="Q246" s="31" cm="1">
        <f t="array" ref="Q246">Common_InputFunctions.Utility_DisplayArrayInTable(Common_SourceData.Common_SourceData_MCFTemperatureZone_Data(),Table_SourceData_Common_MCFTemperatureZone[[#Headers],[Temperature zone]],0)</f>
        <v>0</v>
      </c>
      <c r="R246" s="31" cm="1">
        <f t="array" ref="R246">Common_InputFunctions.Utility_DisplayArrayInTable(Common_SourceData.Common_SourceData_MCFTemperatureZone_Data(),Table_SourceData_Common_MCFTemperatureZone[[#Headers],[Temperature zone]],0)</f>
        <v>4.7000000000000002E-3</v>
      </c>
      <c r="S246" s="31"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1" cm="1">
        <f t="array" ref="E247">Common_InputFunctions.Utility_DisplayArrayInTable(Common_SourceData.Common_SourceData_MCFTemperatureZone_Data(),Table_SourceData_Common_MCFTemperatureZone[[#Headers],[Temperature zone]],0)</f>
        <v>25</v>
      </c>
      <c r="F247" s="31" cm="1">
        <f t="array" ref="F247">Common_InputFunctions.Utility_DisplayArrayInTable(Common_SourceData.Common_SourceData_MCFTemperatureZone_Data(),Table_SourceData_Common_MCFTemperatureZone[[#Headers],[Temperature zone]],0)</f>
        <v>0.79</v>
      </c>
      <c r="G247" s="31" cm="1">
        <f t="array" ref="G247">Common_InputFunctions.Utility_DisplayArrayInTable(Common_SourceData.Common_SourceData_MCFTemperatureZone_Data(),Table_SourceData_Common_MCFTemperatureZone[[#Headers],[Temperature zone]],0)</f>
        <v>0.1</v>
      </c>
      <c r="H247" s="31" cm="1">
        <f t="array" ref="H247">Common_InputFunctions.Utility_DisplayArrayInTable(Common_SourceData.Common_SourceData_MCFTemperatureZone_Data(),Table_SourceData_Common_MCFTemperatureZone[[#Headers],[Temperature zone]],0)</f>
        <v>0.41</v>
      </c>
      <c r="I247" s="31" cm="1">
        <f t="array" ref="I247">Common_InputFunctions.Utility_DisplayArrayInTable(Common_SourceData.Common_SourceData_MCFTemperatureZone_Data(),Table_SourceData_Common_MCFTemperatureZone[[#Headers],[Temperature zone]],0)</f>
        <v>5.0000000000000001E-3</v>
      </c>
      <c r="J247" s="31" cm="1">
        <f t="array" ref="J247">Common_InputFunctions.Utility_DisplayArrayInTable(Common_SourceData.Common_SourceData_MCFTemperatureZone_Data(),Table_SourceData_Common_MCFTemperatureZone[[#Headers],[Temperature zone]],0)</f>
        <v>0.01</v>
      </c>
      <c r="K247" s="31" cm="1">
        <f t="array" ref="K247">Common_InputFunctions.Utility_DisplayArrayInTable(Common_SourceData.Common_SourceData_MCFTemperatureZone_Data(),Table_SourceData_Common_MCFTemperatureZone[[#Headers],[Temperature zone]],0)</f>
        <v>0.02</v>
      </c>
      <c r="L247" s="31" cm="1">
        <f t="array" ref="L247">Common_InputFunctions.Utility_DisplayArrayInTable(Common_SourceData.Common_SourceData_MCFTemperatureZone_Data(),Table_SourceData_Common_MCFTemperatureZone[[#Headers],[Temperature zone]],0)</f>
        <v>0.03</v>
      </c>
      <c r="M247" s="31" cm="1">
        <f t="array" ref="M247">Common_InputFunctions.Utility_DisplayArrayInTable(Common_SourceData.Common_SourceData_MCFTemperatureZone_Data(),Table_SourceData_Common_MCFTemperatureZone[[#Headers],[Temperature zone]],0)</f>
        <v>0.04</v>
      </c>
      <c r="N247" s="31" cm="1">
        <f t="array" ref="N247">Common_InputFunctions.Utility_DisplayArrayInTable(Common_SourceData.Common_SourceData_MCFTemperatureZone_Data(),Table_SourceData_Common_MCFTemperatureZone[[#Headers],[Temperature zone]],0)</f>
        <v>1.4999999999999999E-2</v>
      </c>
      <c r="O247" s="31" cm="1">
        <f t="array" ref="O247">Common_InputFunctions.Utility_DisplayArrayInTable(Common_SourceData.Common_SourceData_MCFTemperatureZone_Data(),Table_SourceData_Common_MCFTemperatureZone[[#Headers],[Temperature zone]],0)</f>
        <v>1.4999999999999999E-2</v>
      </c>
      <c r="P247" s="31" cm="1">
        <f t="array" ref="P247">Common_InputFunctions.Utility_DisplayArrayInTable(Common_SourceData.Common_SourceData_MCFTemperatureZone_Data(),Table_SourceData_Common_MCFTemperatureZone[[#Headers],[Temperature zone]],0)</f>
        <v>0</v>
      </c>
      <c r="Q247" s="31" cm="1">
        <f t="array" ref="Q247">Common_InputFunctions.Utility_DisplayArrayInTable(Common_SourceData.Common_SourceData_MCFTemperatureZone_Data(),Table_SourceData_Common_MCFTemperatureZone[[#Headers],[Temperature zone]],0)</f>
        <v>0</v>
      </c>
      <c r="R247" s="31" cm="1">
        <f t="array" ref="R247">Common_InputFunctions.Utility_DisplayArrayInTable(Common_SourceData.Common_SourceData_MCFTemperatureZone_Data(),Table_SourceData_Common_MCFTemperatureZone[[#Headers],[Temperature zone]],0)</f>
        <v>4.7000000000000002E-3</v>
      </c>
      <c r="S247" s="31"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1" cm="1">
        <f t="array" ref="E248">Common_InputFunctions.Utility_DisplayArrayInTable(Common_SourceData.Common_SourceData_MCFTemperatureZone_Data(),Table_SourceData_Common_MCFTemperatureZone[[#Headers],[Temperature zone]],0)</f>
        <v>26</v>
      </c>
      <c r="F248" s="31" cm="1">
        <f t="array" ref="F248">Common_InputFunctions.Utility_DisplayArrayInTable(Common_SourceData.Common_SourceData_MCFTemperatureZone_Data(),Table_SourceData_Common_MCFTemperatureZone[[#Headers],[Temperature zone]],0)</f>
        <v>0.79</v>
      </c>
      <c r="G248" s="31" cm="1">
        <f t="array" ref="G248">Common_InputFunctions.Utility_DisplayArrayInTable(Common_SourceData.Common_SourceData_MCFTemperatureZone_Data(),Table_SourceData_Common_MCFTemperatureZone[[#Headers],[Temperature zone]],0)</f>
        <v>0.1</v>
      </c>
      <c r="H248" s="31" cm="1">
        <f t="array" ref="H248">Common_InputFunctions.Utility_DisplayArrayInTable(Common_SourceData.Common_SourceData_MCFTemperatureZone_Data(),Table_SourceData_Common_MCFTemperatureZone[[#Headers],[Temperature zone]],0)</f>
        <v>0.44</v>
      </c>
      <c r="I248" s="31" cm="1">
        <f t="array" ref="I248">Common_InputFunctions.Utility_DisplayArrayInTable(Common_SourceData.Common_SourceData_MCFTemperatureZone_Data(),Table_SourceData_Common_MCFTemperatureZone[[#Headers],[Temperature zone]],0)</f>
        <v>0.01</v>
      </c>
      <c r="J248" s="31" cm="1">
        <f t="array" ref="J248">Common_InputFunctions.Utility_DisplayArrayInTable(Common_SourceData.Common_SourceData_MCFTemperatureZone_Data(),Table_SourceData_Common_MCFTemperatureZone[[#Headers],[Temperature zone]],0)</f>
        <v>1.4999999999999999E-2</v>
      </c>
      <c r="K248" s="31" cm="1">
        <f t="array" ref="K248">Common_InputFunctions.Utility_DisplayArrayInTable(Common_SourceData.Common_SourceData_MCFTemperatureZone_Data(),Table_SourceData_Common_MCFTemperatureZone[[#Headers],[Temperature zone]],0)</f>
        <v>0.02</v>
      </c>
      <c r="L248" s="31" cm="1">
        <f t="array" ref="L248">Common_InputFunctions.Utility_DisplayArrayInTable(Common_SourceData.Common_SourceData_MCFTemperatureZone_Data(),Table_SourceData_Common_MCFTemperatureZone[[#Headers],[Temperature zone]],0)</f>
        <v>0.03</v>
      </c>
      <c r="M248" s="31" cm="1">
        <f t="array" ref="M248">Common_InputFunctions.Utility_DisplayArrayInTable(Common_SourceData.Common_SourceData_MCFTemperatureZone_Data(),Table_SourceData_Common_MCFTemperatureZone[[#Headers],[Temperature zone]],0)</f>
        <v>0.04</v>
      </c>
      <c r="N248" s="31" cm="1">
        <f t="array" ref="N248">Common_InputFunctions.Utility_DisplayArrayInTable(Common_SourceData.Common_SourceData_MCFTemperatureZone_Data(),Table_SourceData_Common_MCFTemperatureZone[[#Headers],[Temperature zone]],0)</f>
        <v>1.4999999999999999E-2</v>
      </c>
      <c r="O248" s="31" cm="1">
        <f t="array" ref="O248">Common_InputFunctions.Utility_DisplayArrayInTable(Common_SourceData.Common_SourceData_MCFTemperatureZone_Data(),Table_SourceData_Common_MCFTemperatureZone[[#Headers],[Temperature zone]],0)</f>
        <v>1.4999999999999999E-2</v>
      </c>
      <c r="P248" s="31" cm="1">
        <f t="array" ref="P248">Common_InputFunctions.Utility_DisplayArrayInTable(Common_SourceData.Common_SourceData_MCFTemperatureZone_Data(),Table_SourceData_Common_MCFTemperatureZone[[#Headers],[Temperature zone]],0)</f>
        <v>0</v>
      </c>
      <c r="Q248" s="31" cm="1">
        <f t="array" ref="Q248">Common_InputFunctions.Utility_DisplayArrayInTable(Common_SourceData.Common_SourceData_MCFTemperatureZone_Data(),Table_SourceData_Common_MCFTemperatureZone[[#Headers],[Temperature zone]],0)</f>
        <v>0</v>
      </c>
      <c r="R248" s="31" cm="1">
        <f t="array" ref="R248">Common_InputFunctions.Utility_DisplayArrayInTable(Common_SourceData.Common_SourceData_MCFTemperatureZone_Data(),Table_SourceData_Common_MCFTemperatureZone[[#Headers],[Temperature zone]],0)</f>
        <v>4.7000000000000002E-3</v>
      </c>
      <c r="S248" s="31"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1" cm="1">
        <f t="array" ref="E249">Common_InputFunctions.Utility_DisplayArrayInTable(Common_SourceData.Common_SourceData_MCFTemperatureZone_Data(),Table_SourceData_Common_MCFTemperatureZone[[#Headers],[Temperature zone]],0)</f>
        <v>27</v>
      </c>
      <c r="F249" s="31" cm="1">
        <f t="array" ref="F249">Common_InputFunctions.Utility_DisplayArrayInTable(Common_SourceData.Common_SourceData_MCFTemperatureZone_Data(),Table_SourceData_Common_MCFTemperatureZone[[#Headers],[Temperature zone]],0)</f>
        <v>0.8</v>
      </c>
      <c r="G249" s="31" cm="1">
        <f t="array" ref="G249">Common_InputFunctions.Utility_DisplayArrayInTable(Common_SourceData.Common_SourceData_MCFTemperatureZone_Data(),Table_SourceData_Common_MCFTemperatureZone[[#Headers],[Temperature zone]],0)</f>
        <v>0.1</v>
      </c>
      <c r="H249" s="31" cm="1">
        <f t="array" ref="H249">Common_InputFunctions.Utility_DisplayArrayInTable(Common_SourceData.Common_SourceData_MCFTemperatureZone_Data(),Table_SourceData_Common_MCFTemperatureZone[[#Headers],[Temperature zone]],0)</f>
        <v>0.48</v>
      </c>
      <c r="I249" s="31" cm="1">
        <f t="array" ref="I249">Common_InputFunctions.Utility_DisplayArrayInTable(Common_SourceData.Common_SourceData_MCFTemperatureZone_Data(),Table_SourceData_Common_MCFTemperatureZone[[#Headers],[Temperature zone]],0)</f>
        <v>0.01</v>
      </c>
      <c r="J249" s="31" cm="1">
        <f t="array" ref="J249">Common_InputFunctions.Utility_DisplayArrayInTable(Common_SourceData.Common_SourceData_MCFTemperatureZone_Data(),Table_SourceData_Common_MCFTemperatureZone[[#Headers],[Temperature zone]],0)</f>
        <v>1.4999999999999999E-2</v>
      </c>
      <c r="K249" s="31" cm="1">
        <f t="array" ref="K249">Common_InputFunctions.Utility_DisplayArrayInTable(Common_SourceData.Common_SourceData_MCFTemperatureZone_Data(),Table_SourceData_Common_MCFTemperatureZone[[#Headers],[Temperature zone]],0)</f>
        <v>0.02</v>
      </c>
      <c r="L249" s="31" cm="1">
        <f t="array" ref="L249">Common_InputFunctions.Utility_DisplayArrayInTable(Common_SourceData.Common_SourceData_MCFTemperatureZone_Data(),Table_SourceData_Common_MCFTemperatureZone[[#Headers],[Temperature zone]],0)</f>
        <v>0.03</v>
      </c>
      <c r="M249" s="31" cm="1">
        <f t="array" ref="M249">Common_InputFunctions.Utility_DisplayArrayInTable(Common_SourceData.Common_SourceData_MCFTemperatureZone_Data(),Table_SourceData_Common_MCFTemperatureZone[[#Headers],[Temperature zone]],0)</f>
        <v>0.04</v>
      </c>
      <c r="N249" s="31" cm="1">
        <f t="array" ref="N249">Common_InputFunctions.Utility_DisplayArrayInTable(Common_SourceData.Common_SourceData_MCFTemperatureZone_Data(),Table_SourceData_Common_MCFTemperatureZone[[#Headers],[Temperature zone]],0)</f>
        <v>1.4999999999999999E-2</v>
      </c>
      <c r="O249" s="31" cm="1">
        <f t="array" ref="O249">Common_InputFunctions.Utility_DisplayArrayInTable(Common_SourceData.Common_SourceData_MCFTemperatureZone_Data(),Table_SourceData_Common_MCFTemperatureZone[[#Headers],[Temperature zone]],0)</f>
        <v>1.4999999999999999E-2</v>
      </c>
      <c r="P249" s="31" cm="1">
        <f t="array" ref="P249">Common_InputFunctions.Utility_DisplayArrayInTable(Common_SourceData.Common_SourceData_MCFTemperatureZone_Data(),Table_SourceData_Common_MCFTemperatureZone[[#Headers],[Temperature zone]],0)</f>
        <v>0</v>
      </c>
      <c r="Q249" s="31" cm="1">
        <f t="array" ref="Q249">Common_InputFunctions.Utility_DisplayArrayInTable(Common_SourceData.Common_SourceData_MCFTemperatureZone_Data(),Table_SourceData_Common_MCFTemperatureZone[[#Headers],[Temperature zone]],0)</f>
        <v>0</v>
      </c>
      <c r="R249" s="31" cm="1">
        <f t="array" ref="R249">Common_InputFunctions.Utility_DisplayArrayInTable(Common_SourceData.Common_SourceData_MCFTemperatureZone_Data(),Table_SourceData_Common_MCFTemperatureZone[[#Headers],[Temperature zone]],0)</f>
        <v>4.7000000000000002E-3</v>
      </c>
      <c r="S249" s="31"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1" t="str" cm="1">
        <f t="array" ref="E250">Common_InputFunctions.Utility_DisplayArrayInTable(Common_SourceData.Common_SourceData_MCFTemperatureZone_Data(),Table_SourceData_Common_MCFTemperatureZone[[#Headers],[Temperature zone]],0)</f>
        <v>≥28</v>
      </c>
      <c r="F250" s="31" cm="1">
        <f t="array" ref="F250">Common_InputFunctions.Utility_DisplayArrayInTable(Common_SourceData.Common_SourceData_MCFTemperatureZone_Data(),Table_SourceData_Common_MCFTemperatureZone[[#Headers],[Temperature zone]],0)</f>
        <v>0.8</v>
      </c>
      <c r="G250" s="31" cm="1">
        <f t="array" ref="G250">Common_InputFunctions.Utility_DisplayArrayInTable(Common_SourceData.Common_SourceData_MCFTemperatureZone_Data(),Table_SourceData_Common_MCFTemperatureZone[[#Headers],[Temperature zone]],0)</f>
        <v>0.1</v>
      </c>
      <c r="H250" s="31" cm="1">
        <f t="array" ref="H250">Common_InputFunctions.Utility_DisplayArrayInTable(Common_SourceData.Common_SourceData_MCFTemperatureZone_Data(),Table_SourceData_Common_MCFTemperatureZone[[#Headers],[Temperature zone]],0)</f>
        <v>0.5</v>
      </c>
      <c r="I250" s="31" cm="1">
        <f t="array" ref="I250">Common_InputFunctions.Utility_DisplayArrayInTable(Common_SourceData.Common_SourceData_MCFTemperatureZone_Data(),Table_SourceData_Common_MCFTemperatureZone[[#Headers],[Temperature zone]],0)</f>
        <v>0.01</v>
      </c>
      <c r="J250" s="31" cm="1">
        <f t="array" ref="J250">Common_InputFunctions.Utility_DisplayArrayInTable(Common_SourceData.Common_SourceData_MCFTemperatureZone_Data(),Table_SourceData_Common_MCFTemperatureZone[[#Headers],[Temperature zone]],0)</f>
        <v>1.4999999999999999E-2</v>
      </c>
      <c r="K250" s="31" cm="1">
        <f t="array" ref="K250">Common_InputFunctions.Utility_DisplayArrayInTable(Common_SourceData.Common_SourceData_MCFTemperatureZone_Data(),Table_SourceData_Common_MCFTemperatureZone[[#Headers],[Temperature zone]],0)</f>
        <v>0.02</v>
      </c>
      <c r="L250" s="31" cm="1">
        <f t="array" ref="L250">Common_InputFunctions.Utility_DisplayArrayInTable(Common_SourceData.Common_SourceData_MCFTemperatureZone_Data(),Table_SourceData_Common_MCFTemperatureZone[[#Headers],[Temperature zone]],0)</f>
        <v>0.03</v>
      </c>
      <c r="M250" s="31" cm="1">
        <f t="array" ref="M250">Common_InputFunctions.Utility_DisplayArrayInTable(Common_SourceData.Common_SourceData_MCFTemperatureZone_Data(),Table_SourceData_Common_MCFTemperatureZone[[#Headers],[Temperature zone]],0)</f>
        <v>0.04</v>
      </c>
      <c r="N250" s="31" cm="1">
        <f t="array" ref="N250">Common_InputFunctions.Utility_DisplayArrayInTable(Common_SourceData.Common_SourceData_MCFTemperatureZone_Data(),Table_SourceData_Common_MCFTemperatureZone[[#Headers],[Temperature zone]],0)</f>
        <v>1.4999999999999999E-2</v>
      </c>
      <c r="O250" s="31" cm="1">
        <f t="array" ref="O250">Common_InputFunctions.Utility_DisplayArrayInTable(Common_SourceData.Common_SourceData_MCFTemperatureZone_Data(),Table_SourceData_Common_MCFTemperatureZone[[#Headers],[Temperature zone]],0)</f>
        <v>1.4999999999999999E-2</v>
      </c>
      <c r="P250" s="31" cm="1">
        <f t="array" ref="P250">Common_InputFunctions.Utility_DisplayArrayInTable(Common_SourceData.Common_SourceData_MCFTemperatureZone_Data(),Table_SourceData_Common_MCFTemperatureZone[[#Headers],[Temperature zone]],0)</f>
        <v>0</v>
      </c>
      <c r="Q250" s="31" cm="1">
        <f t="array" ref="Q250">Common_InputFunctions.Utility_DisplayArrayInTable(Common_SourceData.Common_SourceData_MCFTemperatureZone_Data(),Table_SourceData_Common_MCFTemperatureZone[[#Headers],[Temperature zone]],0)</f>
        <v>0</v>
      </c>
      <c r="R250" s="31" cm="1">
        <f t="array" ref="R250">Common_InputFunctions.Utility_DisplayArrayInTable(Common_SourceData.Common_SourceData_MCFTemperatureZone_Data(),Table_SourceData_Common_MCFTemperatureZone[[#Headers],[Temperature zone]],0)</f>
        <v>4.7000000000000002E-3</v>
      </c>
      <c r="S250" s="31"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28"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6" t="str" cm="1">
        <f t="array" ref="D256">Common_SourceData.Common_SourceData_EFOrganicFertiliserAndCropResidues_Unit()</f>
        <v>kg N2O - N / kg N</v>
      </c>
    </row>
    <row r="257" spans="4:5" x14ac:dyDescent="0.25">
      <c r="D257" s="31" t="s">
        <v>85</v>
      </c>
      <c r="E257" s="31" t="s">
        <v>86</v>
      </c>
    </row>
    <row r="258" spans="4:5" x14ac:dyDescent="0.25">
      <c r="D258" s="31" t="str" cm="1">
        <f t="array" ref="D258">Common_InputFunctions.Utility_DisplayArrayInTable(Common_SourceData.Common_SourceData_EFOrganicFertiliserAndCropResidues_Data(), Table_SourceData_Common_EFOrganicFertCropResidues[[#Headers],[Climate Zone]], 0)</f>
        <v>Wet climate zone</v>
      </c>
      <c r="E258" s="31"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1"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cgBvAHcAcwAsAEkARgAoAG4APQAwACwAXAAiAFwAIgAsAEgAUwBUAEEAQwBLACgAcwB0AGEAcgB0AHMAVABlAHgAdAAgACYAIABcACIAIAB0AG8AIABcACIAIAAmACAAZQBuAGQAcwBUAGUAeAB0ACAAJgAgAHQAYQBnACkAKQAsAFwAbgAgACAAIAAgACAAIAAgACAAcgBvAHcAcwBcAG4AIAAgACAAIAApAFwAbgApADsAXABu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CcAXAAiACAAJgAgAHMAaAAgACYAIABcACIAJwAhAFwAIgAgAC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C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CYAIABcACIAIABcACIAIAAm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JwBGAHIAeQAnACAAdABvACAAJwBEAHIAeQAn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D4AIAAxADgAIABDAFwAIgAsACAAXAAiAEEAbgB5AFwAIgAsACAAXAAiAGQiIAA3AFwAIgAsACAAXAAiAD4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A+ACAAMQA4ACAAQwBcACIALAAgAFwAIgA+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D4AIAAxADgAIABDAFwAIgAsACAAXAAiAD4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D4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PgAgADEAMAAgAEMAXAAiACwAIABcACIAQQBuAHkAXAAiACwAIABcACIAQQBuAHkAXAAiACwAIABcACIAQQBuAHkAXAAiACwAIABcACIAPg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Pg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PgAgADAAIABDACAALQAgAGQiIAAxADAAIABDAFwAIgAsACAAXAAiAEEAbgB5AFwAIgAsACAAXAAiAEEAbgB5AFwAIgAsACAAXAAiAEEAbgB5AFwAIgAsACAAXAAiAD4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D4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Pg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NA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A+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AnAEEAcQB1AGEAYwB1AGwAdAB1AHIAZQAnACAAcgBvAHcALgBcACIAOwBcAG4AIAAgACAAIAAgACAAIAAgACAAIABcACIAUgBlAG0AbwB2AGUAZAAgAGEAcwB0AGUAcgBpAHMAawBzACAAdABvACAAYQBpAGQAIABsAG8AbwBrAHUAcAAuAFwAIgA7AFwAbgAgACAAIAAgACAAIAAgACAAIAAgAFwAIgBBAGQAZABlAGQAIAAnAHAAcgBvAGQAdQBjAHQAaQBvAG4AIABzAHkAcwB0AGUAbQAgAG8AbgBsAHkAJwAsACAAJwByAGEAaQBuAGYAYQBsAGwAIAB6AG8AbgBlACcAIABhAG4AZAAgACcAaQByAHIAaQBnAGEAdABpAG8AbgAgAG0AZQB0AGgAbwBkACcAIABjAG8AbAB1AG0AbgBzACAAdABvACAAYQBpAGQAIABsAG8AbwBrAHUAcAAuAFwAIgA7AFwAbgAgACAAIAAgACAAIAAgACAAIAAgAFwAIgBEAHUAcABsAGkAYwBhAHQAZQBkACAAJwBuAG8AbgAtAGkAcgByAGkAZwBhAHQAZQBkACAAcABhAHMAdAB1AHIAZQAn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C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J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JwBEAHIAeQAgAGMAbABpAG0AYQB0AGUAIAB6AG8AbgBlAHMAJwAgAHQAbwAgAHMAaQBuAGcAdQBsAGEAcgAgACcARAByAHkAIABjAGwAaQBtAGEAdABlACAAegBvAG4AZQAn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PA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JwBQAG8AdQBsAHQAcgB5ACAAdwBpAHQAaAAgAGEAbgBkACAAdwBpAHQAaABvAHUAdAAgAGwAaQB0AHQAZQByACcAIABjAG8AbAB1AG0AbgAgAHcAaQB0AGgAIABzAGUAcABhAHIAYQB0AGUAIABOAEkAUgAgAGQAZQBmAGkAbgBpAHQAaQBvAG4AcwAgAHQAbwAgAGEAaQBkACAAbABvAG8AawB1AHAALgAgAEEAZABkAGUAZAAgACcATQBBAFQAIAByAGEAdwAn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C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Am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Bd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33</vt:i4>
      </vt:variant>
    </vt:vector>
  </HeadingPairs>
  <TitlesOfParts>
    <vt:vector size="39" baseType="lpstr">
      <vt:lpstr>Home</vt:lpstr>
      <vt:lpstr>Results</vt:lpstr>
      <vt:lpstr>Input - Site</vt:lpstr>
      <vt:lpstr>Input - Enterprise</vt:lpstr>
      <vt:lpstr>Input - Fert Prod System</vt:lpstr>
      <vt:lpstr>Constants - Common</vt:lpstr>
      <vt:lpstr>Result_CarbonRemovalsFromPlantings</vt:lpstr>
      <vt:lpstr>Result_EmissionsForWholeProductionCycle_Method1</vt:lpstr>
      <vt:lpstr>Result_EmissionsForWholeProductionCycle_Method2</vt:lpstr>
      <vt:lpstr>Result_Enterprise_Method1</vt:lpstr>
      <vt:lpstr>Result_Enterprise_Method2</vt:lpstr>
      <vt:lpstr>Result_NetEmissions_Method1</vt:lpstr>
      <vt:lpstr>Result_NetEmissions_Method2</vt:lpstr>
      <vt:lpstr>X_Cell_Enterprise_PercentIncomeFromBaledHaySilage</vt:lpstr>
      <vt:lpstr>X_Cell_Enterprise_PercentIncomeFromGrain</vt:lpstr>
      <vt:lpstr>X_Cell_Enterprise_ProductionTimeframeEnd</vt:lpstr>
      <vt:lpstr>X_Cell_Enterprise_ProductionTimeframeStart</vt:lpstr>
      <vt:lpstr>X_Cell_Fertiliser_AreaUnderCropping</vt:lpstr>
      <vt:lpstr>X_Cell_Fertiliser_CropType</vt:lpstr>
      <vt:lpstr>X_Cell_Fertiliser_IrrigationMethod</vt:lpstr>
      <vt:lpstr>X_Cell_Fertiliser_ProductionSystem</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2026-07-30T11:01:18Z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