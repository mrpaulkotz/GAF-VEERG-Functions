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8324F7F-57B6-4521-97A1-93F244CB0292}" xr6:coauthVersionLast="47" xr6:coauthVersionMax="47" xr10:uidLastSave="{00000000-0000-0000-0000-000000000000}"/>
  <bookViews>
    <workbookView xWindow="390" yWindow="390" windowWidth="28800" windowHeight="15345" firstSheet="6" activeTab="6"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Data quality" sheetId="78" r:id="rId6"/>
    <sheet name="Constants - Common" sheetId="79"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H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49" i="13"/>
  <c r="E48" i="13"/>
  <c r="E47" i="13"/>
  <c r="F38" i="13"/>
  <c r="E38" i="13"/>
  <c r="F37" i="13"/>
  <c r="E37" i="13"/>
  <c r="F36" i="13"/>
  <c r="E36" i="13"/>
  <c r="J7" i="78"/>
  <c r="E22" i="75" l="1"/>
  <c r="H51" i="79"/>
  <c r="I15" i="13" a="1"/>
  <c r="I15" i="13" s="1"/>
  <c r="E19" i="75"/>
  <c r="E20" i="75"/>
  <c r="E21" i="75" s="1"/>
  <c r="H7" i="13" a="1"/>
  <c r="H7" i="13" s="1"/>
  <c r="H16" i="13" a="1"/>
  <c r="H16" i="13" s="1"/>
  <c r="I7" i="13" a="1"/>
  <c r="I7" i="13" s="1"/>
  <c r="I16" i="13" a="1"/>
  <c r="I16" i="13" s="1"/>
  <c r="H9" i="13" a="1"/>
  <c r="H9" i="13" s="1"/>
  <c r="H18" i="13" a="1"/>
  <c r="H18" i="13" s="1"/>
  <c r="I9" i="13" a="1"/>
  <c r="I9" i="13" s="1"/>
  <c r="I18" i="13" a="1"/>
  <c r="I18" i="13" s="1"/>
  <c r="H11" i="13" a="1"/>
  <c r="H11" i="13" s="1"/>
  <c r="H19" i="13" a="1"/>
  <c r="H19" i="13" s="1"/>
  <c r="I11" i="13" a="1"/>
  <c r="I11" i="13" s="1"/>
  <c r="I19" i="13" a="1"/>
  <c r="I19" i="13" s="1"/>
  <c r="H12" i="13" a="1"/>
  <c r="H12" i="13" s="1"/>
  <c r="H21" i="13" a="1"/>
  <c r="H21" i="13" s="1"/>
  <c r="I12" i="13" a="1"/>
  <c r="I12" i="13" s="1"/>
  <c r="I21" i="13" a="1"/>
  <c r="I21" i="13" s="1"/>
  <c r="H13" i="13" a="1"/>
  <c r="H13" i="13" s="1"/>
  <c r="H22" i="13" a="1"/>
  <c r="H22" i="13" s="1"/>
  <c r="I13" i="13" a="1"/>
  <c r="I13" i="13" s="1"/>
  <c r="I22" i="13" a="1"/>
  <c r="I22" i="13" s="1"/>
  <c r="H14" i="13" a="1"/>
  <c r="H14" i="13" s="1"/>
  <c r="H53" i="79"/>
  <c r="I14" i="13" a="1"/>
  <c r="I14" i="13" s="1"/>
  <c r="H15" i="13" a="1"/>
  <c r="H15" i="13" s="1"/>
  <c r="H50" i="79"/>
  <c r="H54" i="79"/>
  <c r="H52" i="79"/>
  <c r="H49" i="79"/>
  <c r="E8" i="76" a="1"/>
  <c r="E8" i="76" s="1"/>
  <c r="E10" i="76" a="1"/>
  <c r="E10" i="76" s="1"/>
  <c r="E9" i="76" a="1"/>
  <c r="E9" i="76" s="1"/>
  <c r="F13" i="13" l="1" a="1"/>
  <c r="F13" i="13" s="1"/>
  <c r="E13" i="13" a="1"/>
  <c r="E13" i="13" s="1"/>
  <c r="E15" i="13" a="1"/>
  <c r="E15" i="13" s="1"/>
  <c r="F15" i="13" s="1"/>
  <c r="E16" i="13" a="1"/>
  <c r="E16" i="13" s="1"/>
  <c r="F14" i="13" a="1"/>
  <c r="F14" i="13" s="1"/>
  <c r="E14" i="13" a="1"/>
  <c r="E14" i="13" s="1"/>
  <c r="F16" i="13" l="1"/>
  <c r="G73" i="13" l="1"/>
  <c r="G74" i="13" s="1"/>
  <c r="G70" i="13"/>
  <c r="G71" i="13" s="1"/>
  <c r="E30" i="72" l="1"/>
  <c r="E25" i="72"/>
  <c r="E27" i="72" l="1" a="1"/>
  <c r="E27" i="72" s="1"/>
  <c r="E22" i="72" a="1"/>
  <c r="E22" i="72" s="1"/>
  <c r="F72" i="13" l="1"/>
  <c r="F63" i="13"/>
  <c r="F61" i="13"/>
  <c r="F62" i="13" s="1"/>
  <c r="F70" i="13"/>
  <c r="F71" i="13" s="1"/>
  <c r="F75" i="13"/>
  <c r="F64" i="13"/>
  <c r="F65" i="13" s="1"/>
  <c r="F73" i="13"/>
  <c r="F74" i="13" s="1"/>
  <c r="F66" i="13"/>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E12" i="13" a="1"/>
  <c r="E12" i="13" s="1"/>
  <c r="E11" i="13" a="1"/>
  <c r="E11" i="13" s="1"/>
  <c r="E10" i="13" a="1"/>
  <c r="E10" i="13" s="1"/>
  <c r="E9" i="13" a="1"/>
  <c r="E9" i="13" s="1"/>
  <c r="E8" i="13" a="1"/>
  <c r="E8" i="13" s="1"/>
  <c r="F8" i="13" s="1"/>
  <c r="I8" i="13" s="1"/>
  <c r="F7" i="13" a="1"/>
  <c r="F7" i="13" s="1"/>
  <c r="E7" i="13" a="1"/>
  <c r="E7" i="13" s="1"/>
  <c r="D34" i="13" a="1"/>
  <c r="D45" i="13" a="1"/>
  <c r="E46" i="13" s="1"/>
  <c r="D30" i="13" a="1"/>
  <c r="D30" i="13" s="1"/>
  <c r="E13" i="72"/>
  <c r="D4" i="13" s="1"/>
  <c r="E18" i="75"/>
  <c r="A20" i="75"/>
  <c r="A19" i="75"/>
  <c r="A18" i="75"/>
  <c r="A17" i="75"/>
  <c r="A14" i="75"/>
  <c r="A13" i="75"/>
  <c r="A12" i="75"/>
  <c r="A11" i="75"/>
  <c r="A8" i="75"/>
  <c r="A7" i="75"/>
  <c r="A4" i="75"/>
  <c r="A3" i="75"/>
  <c r="E20" i="72"/>
  <c r="F35" i="13" l="1"/>
  <c r="E35" i="13"/>
  <c r="H25" i="13"/>
  <c r="I25" i="13"/>
  <c r="D45" i="13"/>
  <c r="E45" i="13" s="1"/>
  <c r="E50" i="13" s="1"/>
  <c r="D34" i="13"/>
  <c r="F17" i="13"/>
  <c r="I17" i="13" s="1"/>
  <c r="F23" i="13"/>
  <c r="I23" i="13" s="1"/>
  <c r="F18" i="13"/>
  <c r="H24" i="13"/>
  <c r="F24" i="13"/>
  <c r="I24" i="13" s="1"/>
  <c r="F11" i="13"/>
  <c r="F10" i="13"/>
  <c r="I10" i="13" s="1"/>
  <c r="H10" i="13"/>
  <c r="F12" i="13"/>
  <c r="H8" i="13"/>
  <c r="F20" i="13"/>
  <c r="I20" i="13" s="1"/>
  <c r="F22" i="13"/>
  <c r="F9" i="13"/>
  <c r="G64" i="13"/>
  <c r="G65" i="13" s="1"/>
  <c r="E34" i="13" l="1"/>
  <c r="F34" i="13"/>
  <c r="G61" i="13"/>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<sst xmlns="http://schemas.openxmlformats.org/spreadsheetml/2006/main" count="371" uniqueCount="245">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</sst>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8">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calculatedColumnFormula>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467D3D2-FAE8-4B4F-AD2F-273B449008EF}" name="Description" dataDxfId="0"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95" t="str">
        <f>HYPERLINK("#'Home'!A1", "Home")</f>
        <v>Home</v>
      </c>
    </row>
    <row r="6" spans="1:1" x14ac:dyDescent="0.25">
      <c r="A6" s="96"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7" zoomScaleNormal="100" workbookViewId="0">
      <selection activeCell="E51" sqref="E5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aca="1" ref="H7" ca="1">Common_Equations.Common_ConvertN2OToCO2e(E7,_xlfn.XLOOKUP("N2O", Table_GWPData[Gas],Table_GWPData[CO2-e factor]))</f>
        <v>#NAME?</v>
      </c>
      <c r="I7" s="19" t="e" cm="1">
        <f t="array" aca="1" ref="I7" ca="1">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aca="1" ref="H9" ca="1">Common_Equations.Common_ConvertN2OToCO2e(E9,_xlfn.XLOOKUP("N2O", Table_GWPData[Gas],Table_GWPData[CO2-e factor]))</f>
        <v>#NAME?</v>
      </c>
      <c r="I9" s="19" t="e" cm="1">
        <f t="array" aca="1" ref="I9" ca="1">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aca="1" ref="H11" ca="1">Common_Equations.Common_ConvertN2OToCO2e(E11,_xlfn.XLOOKUP("N2O", Table_GWPData[Gas],Table_GWPData[CO2-e factor]))</f>
        <v>#NAME?</v>
      </c>
      <c r="I11" s="19" t="e" cm="1">
        <f t="array" aca="1" ref="I11" ca="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aca="1" ref="H12" ca="1">Common_Equations.Common_ConvertN2OToCO2e(E12,_xlfn.XLOOKUP("N2O", Table_GWPData[Gas],Table_GWPData[CO2-e factor]))</f>
        <v>#NAME?</v>
      </c>
      <c r="I12" s="19" t="e" cm="1">
        <f t="array" aca="1" ref="I12" ca="1">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aca="1" ref="H13" ca="1">Common_Equations.Common_ConvertN2OToCO2e(E13,_xlfn.XLOOKUP("N2O", Table_GWPData[Gas],Table_GWPData[CO2-e factor]))</f>
        <v>#NAME?</v>
      </c>
      <c r="I13" s="19" t="e" cm="1">
        <f t="array" aca="1" ref="I13" ca="1">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aca="1" ref="H14" ca="1">Common_Equations.Common_ConvertN2OToCO2e(E14,_xlfn.XLOOKUP("N2O", Table_GWPData[Gas],Table_GWPData[CO2-e factor]))</f>
        <v>#NAME?</v>
      </c>
      <c r="I14" s="19" t="e" cm="1">
        <f t="array" aca="1" ref="I14" ca="1">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aca="1" ref="H15" ca="1">Common_Equations.Common_ConvertN2OToCO2e(E15,_xlfn.XLOOKUP("N2O", Table_GWPData[Gas],Table_GWPData[CO2-e factor]))</f>
        <v>#NAME?</v>
      </c>
      <c r="I15" s="19" t="e" cm="1">
        <f t="array" aca="1" ref="I15" ca="1">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aca="1" ref="H16" ca="1">Common_Equations.Common_ConvertCH4ToCO2e(E16,_xlfn.XLOOKUP("CH4", Table_GWPData[Gas],Table_GWPData[CO2-e factor]))</f>
        <v>#NAME?</v>
      </c>
      <c r="I16" s="19" t="e" cm="1">
        <f t="array" aca="1" ref="I16" ca="1">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aca="1" ref="H18" ca="1">Common_Equations.Common_ConvertCH4ToCO2e(E18,_xlfn.XLOOKUP("CH4", Table_GWPData[Gas],Table_GWPData[CO2-e factor]))</f>
        <v>#NAME?</v>
      </c>
      <c r="I18" s="19" t="e" cm="1">
        <f t="array" aca="1" ref="I18" ca="1">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aca="1" ref="H19" ca="1">Common_Equations.Common_ConvertN2OToCO2e(E19,_xlfn.XLOOKUP("N2O", Table_GWPData[Gas],Table_GWPData[CO2-e factor]))</f>
        <v>#NAME?</v>
      </c>
      <c r="I19" s="19" t="e" cm="1">
        <f t="array" aca="1" ref="I19" ca="1">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aca="1" ref="H21" ca="1">Common_Equations.Common_ConvertCH4ToCO2e(E21,_xlfn.XLOOKUP("CH4", Table_GWPData[Gas],Table_GWPData[CO2-e factor]))</f>
        <v>#NAME?</v>
      </c>
      <c r="I21" s="19" t="e" cm="1">
        <f t="array" aca="1" ref="I21" ca="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aca="1" ref="H22" ca="1">Common_Equations.Common_ConvertN2OToCO2e(E22,_xlfn.XLOOKUP("N2O", Table_GWPData[Gas],Table_GWPData[CO2-e factor]))</f>
        <v>#NAME?</v>
      </c>
      <c r="I22" s="19" t="e" cm="1">
        <f t="array" aca="1" ref="I22" ca="1">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 ca="1">SUM(H7:H24)</f>
        <v>#NAME?</v>
      </c>
      <c r="I25" s="20" t="e">
        <f ca="1">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 ca="1">IF(ISBLANK($D34), 0, IF(ISNUMBER(SEARCH("reporting", $D34)), Result_Enterprise_Method1, "Enter value"))</f>
        <v>#NAME?</v>
      </c>
      <c r="F34" s="87" t="e">
        <f ca="1">IF(ISBLANK($D34), 0,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0, IF(ISNUMBER(SEARCH("reporting", $D35)), Result_Enterprise_Method1, "Enter value"))</f>
        <v>Enter value</v>
      </c>
      <c r="F35" s="87" t="str">
        <f>IF(ISBLANK($D35), 0, IF(ISNUMBER(SEARCH("reporting", $D35)), Result_Enterprise_Method2, "Enter value"))</f>
        <v>Enter value</v>
      </c>
      <c r="G35" s="16" t="s">
        <v>8</v>
      </c>
      <c r="H35" s="14"/>
      <c r="I35" s="9"/>
      <c r="J35" s="9"/>
      <c r="K35" s="9"/>
    </row>
    <row r="36" spans="3:11" ht="20.100000000000001" customHeight="1" x14ac:dyDescent="0.3">
      <c r="C36" s="9"/>
      <c r="D36" s="1"/>
      <c r="E36" s="87">
        <f>IF(ISBLANK($D36), 0, IF(ISNUMBER(SEARCH("reporting", $D36)), Result_Enterprise_Method1, "Enter value"))</f>
        <v>0</v>
      </c>
      <c r="F36" s="87">
        <f>IF(ISBLANK($D36), 0, IF(ISNUMBER(SEARCH("reporting", $D36)), Result_Enterprise_Method2, "Enter value"))</f>
        <v>0</v>
      </c>
      <c r="G36" s="16" t="s">
        <v>8</v>
      </c>
      <c r="H36" s="14"/>
      <c r="I36" s="9"/>
      <c r="J36" s="9"/>
      <c r="K36" s="9"/>
    </row>
    <row r="37" spans="3:11" ht="20.100000000000001" customHeight="1" x14ac:dyDescent="0.3">
      <c r="C37" s="9"/>
      <c r="D37" s="1"/>
      <c r="E37" s="87">
        <f>IF(ISBLANK($D37), 0, IF(ISNUMBER(SEARCH("reporting", $D37)), Result_Enterprise_Method1, "Enter value"))</f>
        <v>0</v>
      </c>
      <c r="F37" s="87">
        <f>IF(ISBLANK($D37), 0, IF(ISNUMBER(SEARCH("reporting", $D37)), Result_Enterprise_Method2, "Enter value"))</f>
        <v>0</v>
      </c>
      <c r="G37" s="16" t="s">
        <v>8</v>
      </c>
      <c r="H37" s="14"/>
      <c r="I37" s="9"/>
      <c r="J37" s="9"/>
      <c r="K37" s="9"/>
    </row>
    <row r="38" spans="3:11" ht="20.100000000000001" customHeight="1" x14ac:dyDescent="0.3">
      <c r="C38" s="9"/>
      <c r="D38" s="89"/>
      <c r="E38" s="87">
        <f>IF(ISBLANK($D38), 0, IF(ISNUMBER(SEARCH("reporting", $D38)), Result_Enterprise_Method1, "Enter value"))</f>
        <v>0</v>
      </c>
      <c r="F38" s="87">
        <f>IF(ISBLANK($D38), 0, IF(ISNUMBER(SEARCH("reporting", $D38)), Result_Enterprise_Method2, "Enter value"))</f>
        <v>0</v>
      </c>
      <c r="G38" s="16" t="s">
        <v>8</v>
      </c>
      <c r="H38" s="14"/>
      <c r="I38" s="9"/>
      <c r="J38" s="9"/>
      <c r="K38" s="9"/>
    </row>
    <row r="39" spans="3:11" ht="20.100000000000001" customHeight="1" x14ac:dyDescent="0.3">
      <c r="C39" s="9"/>
      <c r="D39" s="15" t="s">
        <v>133</v>
      </c>
      <c r="E39" s="20" t="e">
        <f ca="1">SUM(E34:E38)</f>
        <v>#NAME?</v>
      </c>
      <c r="F39" s="20" t="e">
        <f ca="1">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0,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0, "Enter value")</f>
        <v>Enter value</v>
      </c>
      <c r="F46" s="16" t="s">
        <v>132</v>
      </c>
      <c r="G46" s="1"/>
      <c r="H46" s="1"/>
      <c r="I46" s="1"/>
      <c r="J46" s="1"/>
      <c r="K46" s="9"/>
    </row>
    <row r="47" spans="3:11" ht="20.100000000000001" customHeight="1" x14ac:dyDescent="0.25">
      <c r="C47" s="9"/>
      <c r="D47" s="1"/>
      <c r="E47" s="87">
        <f t="shared" si="2"/>
        <v>0</v>
      </c>
      <c r="F47" s="16" t="s">
        <v>132</v>
      </c>
      <c r="G47" s="1"/>
      <c r="H47" s="1"/>
      <c r="I47" s="1"/>
      <c r="J47" s="1"/>
      <c r="K47" s="9"/>
    </row>
    <row r="48" spans="3:11" ht="20.100000000000001" customHeight="1" x14ac:dyDescent="0.25">
      <c r="C48" s="9"/>
      <c r="D48" s="1"/>
      <c r="E48" s="87">
        <f t="shared" si="2"/>
        <v>0</v>
      </c>
      <c r="F48" s="16" t="s">
        <v>132</v>
      </c>
      <c r="G48" s="1"/>
      <c r="H48" s="1"/>
      <c r="I48" s="1"/>
      <c r="J48" s="1"/>
      <c r="K48" s="9"/>
    </row>
    <row r="49" spans="3:11" ht="20.100000000000001" customHeight="1" x14ac:dyDescent="0.25">
      <c r="C49" s="9"/>
      <c r="D49" s="1"/>
      <c r="E49" s="87">
        <f t="shared" si="2"/>
        <v>0</v>
      </c>
      <c r="F49" s="16" t="s">
        <v>132</v>
      </c>
      <c r="G49" s="1"/>
      <c r="H49" s="1"/>
      <c r="I49" s="9"/>
      <c r="J49" s="9"/>
      <c r="K49" s="9"/>
    </row>
    <row r="50" spans="3:11" ht="20.100000000000001" customHeight="1" x14ac:dyDescent="0.3">
      <c r="C50" s="9"/>
      <c r="D50" s="15" t="s">
        <v>134</v>
      </c>
      <c r="E50" s="20">
        <f>SUM(E45:E49)</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 ca="1">Result_EmissionsForWholeProductionCycle_Method1-Result_CarbonRemovalsFromPlantings</f>
        <v>#NAME?</v>
      </c>
      <c r="F56" s="88" t="e">
        <f ca="1">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 ca="1">(Result_EmissionsForWholeProductionCycle_Method1/F61)*G61</f>
        <v>#NAME?</v>
      </c>
      <c r="I61" s="19" t="e">
        <f ca="1">(Result_EmissionsForWholeProductionCycle_Method2/F61)*G61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 ca="1">(Result_EmissionsForWholeProductionCycle_Method1/F62)*G62</f>
        <v>#NAME?</v>
      </c>
      <c r="I62" s="19" t="e">
        <f ca="1">(Result_EmissionsForWholeProductionCycle_Method2/F62)*G62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 ca="1">(Result_EmissionsForWholeProductionCycle_Method1/F64)*G64</f>
        <v>#NAME?</v>
      </c>
      <c r="I64" s="19" t="e">
        <f ca="1">(Result_EmissionsForWholeProductionCycle_Method2/F64)*G64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 ca="1">(Result_NetEmissions_Method1/F65)*G65</f>
        <v>#NAME?</v>
      </c>
      <c r="I65" s="19" t="e">
        <f ca="1">(Result_NetEmissions_Method2/F65)*G65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 ca="1">Result_EmissionsForWholeProductionCycle_Method1*G70/F70</f>
        <v>#NAME?</v>
      </c>
      <c r="I70" s="19" t="e">
        <f ca="1">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 ca="1">Result_EmissionsForWholeProductionCycle_Method1*G71/F71</f>
        <v>#NAME?</v>
      </c>
      <c r="I71" s="19" t="e">
        <f ca="1">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 ca="1">Result_EmissionsForWholeProductionCycle_Method1*G73/F73</f>
        <v>#NAME?</v>
      </c>
      <c r="I73" s="19" t="e">
        <f ca="1">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 ca="1">Result_EmissionsForWholeProductionCycle_Method1*G74/F74</f>
        <v>#NAME?</v>
      </c>
      <c r="I74" s="19" t="e">
        <f ca="1">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e">
        <f ca="1">Common_InputFunctions.Utility_LookupItemFromMinMax(E15,Table_SourceData_RainfallZones[Min rainfall],Table_SourceData_RainfallZones[Max rainfall],Table_SourceData_RainfallZones[Rainfall Zone])</f>
        <v>#VALUE!</v>
      </c>
      <c r="G19" s="61"/>
      <c r="N19" s="42"/>
    </row>
    <row r="20" spans="1:25" ht="20.100000000000001" customHeight="1" x14ac:dyDescent="0.25">
      <c r="A20" s="5" t="str">
        <f>HYPERLINK("#'Acknowledgements'!A1", "Acknowledgements")</f>
        <v>Acknowledgements</v>
      </c>
      <c r="D20" s="1" t="s">
        <v>32</v>
      </c>
      <c r="E20" s="26" t="e">
        <f ca="1">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#VALUE!</v>
      </c>
      <c r="F20" s="1"/>
      <c r="G20" s="60"/>
      <c r="N20" s="44"/>
    </row>
    <row r="21" spans="1:25" ht="20.100000000000001" customHeight="1" x14ac:dyDescent="0.25">
      <c r="A21"/>
      <c r="D21" s="1" t="s">
        <v>115</v>
      </c>
      <c r="E21" s="26" t="e">
        <f ca="1">Common_InputFunctions.Utility_LookupValueInTable($E$20,Table_SourceData_WetDryZones[Climate zone],Table_SourceData_WetDryZones[Wet or Dry Zone])</f>
        <v>#VALUE!</v>
      </c>
      <c r="F21" s="1"/>
      <c r="G21" s="60"/>
    </row>
    <row r="22" spans="1:25" ht="20.100000000000001" customHeight="1" x14ac:dyDescent="0.25">
      <c r="A22" s="5"/>
      <c r="D22" s="1" t="s">
        <v>69</v>
      </c>
      <c r="E22" s="26" t="e">
        <f ca="1">Common_InputFunctions.Utility_LookupItemFromMinMax(E14,Table_SourceData_TemperatureZones[Min MAT],Table_SourceData_TemperatureZones[Max MAT],Table_SourceData_TemperatureZones[Temperature Zone])</f>
        <v>#VALUE!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3"/>
  <sheetViews>
    <sheetView showGridLines="0" zoomScaleNormal="10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7"/>
  <sheetViews>
    <sheetView showGridLines="0" zoomScaleNormal="100"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189</v>
      </c>
    </row>
    <row r="2" spans="3:13" s="3" customFormat="1" x14ac:dyDescent="0.25"/>
    <row r="3" spans="3:13" ht="20.25" x14ac:dyDescent="0.25">
      <c r="C3" s="40"/>
      <c r="D3" s="40"/>
      <c r="E3" s="40"/>
      <c r="F3" s="40"/>
      <c r="G3" s="40"/>
      <c r="H3" s="40"/>
      <c r="I3" s="40"/>
      <c r="J3" s="40"/>
      <c r="K3" s="40"/>
      <c r="L3" s="40"/>
      <c r="M3" s="40"/>
    </row>
    <row r="6" spans="3:13" x14ac:dyDescent="0.25">
      <c r="D6" s="93" t="s">
        <v>190</v>
      </c>
      <c r="E6" s="93" t="s">
        <v>191</v>
      </c>
      <c r="F6" s="93" t="s">
        <v>192</v>
      </c>
      <c r="G6" s="93" t="s">
        <v>193</v>
      </c>
      <c r="H6" s="93" t="s">
        <v>194</v>
      </c>
      <c r="I6" s="93" t="s">
        <v>195</v>
      </c>
      <c r="J6" s="93" t="s">
        <v>196</v>
      </c>
    </row>
    <row r="7" spans="3:13" x14ac:dyDescent="0.25">
      <c r="D7" s="94" t="s">
        <v>197</v>
      </c>
      <c r="E7" s="24" t="s">
        <v>198</v>
      </c>
      <c r="F7" s="24" t="s">
        <v>199</v>
      </c>
      <c r="G7" s="24" t="s">
        <v>200</v>
      </c>
      <c r="H7" s="94"/>
      <c r="I7" s="94"/>
      <c r="J7" s="26">
        <f>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f>
        <v>12</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s="96" t="s">
        <v>2</v>
      </c>
      <c r="D6" s="31" t="s">
        <v>22</v>
      </c>
      <c r="E6" s="31" t="s">
        <v>23</v>
      </c>
      <c r="F6" s="31" t="s">
        <v>24</v>
      </c>
    </row>
    <row r="7" spans="1:65" ht="20.100000000000001" customHeight="1" x14ac:dyDescent="0.25">
      <c r="A7" s="97" t="str">
        <f>HYPERLINK("#'Constants - Common'!A1", "Constants - Common")</f>
        <v>Constants - Common</v>
      </c>
      <c r="D7" s="31" t="str" cm="1">
        <f t="array" aca="1" ref="D7" ca="1">Common_InputFunctions.Utility_DisplayArrayInTable(Common_SourceData.Common_SourceData_AustralianStatesTerritories_Data(),Table_AustralianStates[[#Headers],[State/Territory]],0)</f>
        <v/>
      </c>
      <c r="E7" s="31" t="str" cm="1">
        <f t="array" aca="1" ref="E7" ca="1">Common_InputFunctions.Utility_DisplayArrayInTable(Common_SourceData.Common_SourceData_AustralianStatesTerritories_Data(),Table_AustralianStates[[#Headers],[State/Territory]],0)</f>
        <v/>
      </c>
      <c r="F7" s="31" t="str" cm="1">
        <f t="array" aca="1" ref="F7" ca="1">Common_InputFunctions.Utility_DisplayArrayInTable(Common_SourceData.Common_SourceData_AustralianStatesTerritories_Data(),Table_AustralianStates[[#Headers],[State/Territory]],0)</f>
        <v/>
      </c>
    </row>
    <row r="8" spans="1:65" ht="20.100000000000001" customHeight="1" x14ac:dyDescent="0.25">
      <c r="A8" s="5" t="str">
        <f>HYPERLINK("#'Acknowledgements'!A1", "Acknowledgements")</f>
        <v>Acknowledgements</v>
      </c>
      <c r="D8" s="31" t="str" cm="1">
        <f t="array" aca="1" ref="D8" ca="1">Common_InputFunctions.Utility_DisplayArrayInTable(Common_SourceData.Common_SourceData_AustralianStatesTerritories_Data(),Table_AustralianStates[[#Headers],[State/Territory]],0)</f>
        <v/>
      </c>
      <c r="E8" s="31" t="str" cm="1">
        <f t="array" aca="1" ref="E8" ca="1">Common_InputFunctions.Utility_DisplayArrayInTable(Common_SourceData.Common_SourceData_AustralianStatesTerritories_Data(),Table_AustralianStates[[#Headers],[State/Territory]],0)</f>
        <v/>
      </c>
      <c r="F8" s="31" t="str" cm="1">
        <f t="array" aca="1" ref="F8" ca="1">Common_InputFunctions.Utility_DisplayArrayInTable(Common_SourceData.Common_SourceData_AustralianStatesTerritories_Data(),Table_AustralianStates[[#Headers],[State/Territory]],0)</f>
        <v/>
      </c>
    </row>
    <row r="9" spans="1:65" ht="20.100000000000001" customHeight="1" x14ac:dyDescent="0.25">
      <c r="A9"/>
      <c r="D9" s="31" t="str" cm="1">
        <f t="array" aca="1" ref="D9" ca="1">Common_InputFunctions.Utility_DisplayArrayInTable(Common_SourceData.Common_SourceData_AustralianStatesTerritories_Data(),Table_AustralianStates[[#Headers],[State/Territory]],0)</f>
        <v/>
      </c>
      <c r="E9" s="31" t="str" cm="1">
        <f t="array" aca="1" ref="E9" ca="1">Common_InputFunctions.Utility_DisplayArrayInTable(Common_SourceData.Common_SourceData_AustralianStatesTerritories_Data(),Table_AustralianStates[[#Headers],[State/Territory]],0)</f>
        <v/>
      </c>
      <c r="F9" s="31" t="str" cm="1">
        <f t="array" aca="1" ref="F9" ca="1">Common_InputFunctions.Utility_DisplayArrayInTable(Common_SourceData.Common_SourceData_AustralianStatesTerritories_Data(),Table_AustralianStates[[#Headers],[State/Territory]],0)</f>
        <v/>
      </c>
    </row>
    <row r="10" spans="1:65" ht="20.100000000000001" customHeight="1" x14ac:dyDescent="0.25">
      <c r="A10"/>
      <c r="D10" s="31" t="str" cm="1">
        <f t="array" aca="1" ref="D10" ca="1">Common_InputFunctions.Utility_DisplayArrayInTable(Common_SourceData.Common_SourceData_AustralianStatesTerritories_Data(),Table_AustralianStates[[#Headers],[State/Territory]],0)</f>
        <v/>
      </c>
      <c r="E10" s="31" t="str" cm="1">
        <f t="array" aca="1" ref="E10" ca="1">Common_InputFunctions.Utility_DisplayArrayInTable(Common_SourceData.Common_SourceData_AustralianStatesTerritories_Data(),Table_AustralianStates[[#Headers],[State/Territory]],0)</f>
        <v/>
      </c>
      <c r="F10" s="31" t="str" cm="1">
        <f t="array" aca="1" ref="F10" ca="1">Common_InputFunctions.Utility_DisplayArrayInTable(Common_SourceData.Common_SourceData_AustralianStatesTerritories_Data(),Table_AustralianStates[[#Headers],[State/Territory]],0)</f>
        <v/>
      </c>
    </row>
    <row r="11" spans="1:65" ht="20.100000000000001" customHeight="1" x14ac:dyDescent="0.25">
      <c r="A11"/>
      <c r="D11" s="31" t="str" cm="1">
        <f t="array" aca="1" ref="D11" ca="1">Common_InputFunctions.Utility_DisplayArrayInTable(Common_SourceData.Common_SourceData_AustralianStatesTerritories_Data(),Table_AustralianStates[[#Headers],[State/Territory]],0)</f>
        <v/>
      </c>
      <c r="E11" s="31" t="str" cm="1">
        <f t="array" aca="1" ref="E11" ca="1">Common_InputFunctions.Utility_DisplayArrayInTable(Common_SourceData.Common_SourceData_AustralianStatesTerritories_Data(),Table_AustralianStates[[#Headers],[State/Territory]],0)</f>
        <v/>
      </c>
      <c r="F11" s="31" t="str" cm="1">
        <f t="array" aca="1" ref="F11" ca="1">Common_InputFunctions.Utility_DisplayArrayInTable(Common_SourceData.Common_SourceData_AustralianStatesTerritories_Data(),Table_AustralianStates[[#Headers],[State/Territory]],0)</f>
        <v/>
      </c>
      <c r="BM11" s="36"/>
    </row>
    <row r="12" spans="1:65" ht="20.100000000000001" customHeight="1" x14ac:dyDescent="0.25">
      <c r="A12"/>
      <c r="D12" s="31" t="str" cm="1">
        <f t="array" aca="1" ref="D12" ca="1">Common_InputFunctions.Utility_DisplayArrayInTable(Common_SourceData.Common_SourceData_AustralianStatesTerritories_Data(),Table_AustralianStates[[#Headers],[State/Territory]],0)</f>
        <v/>
      </c>
      <c r="E12" s="31" t="str" cm="1">
        <f t="array" aca="1" ref="E12" ca="1">Common_InputFunctions.Utility_DisplayArrayInTable(Common_SourceData.Common_SourceData_AustralianStatesTerritories_Data(),Table_AustralianStates[[#Headers],[State/Territory]],0)</f>
        <v/>
      </c>
      <c r="F12" s="31" t="str" cm="1">
        <f t="array" aca="1" ref="F12" ca="1">Common_InputFunctions.Utility_DisplayArrayInTable(Common_SourceData.Common_SourceData_AustralianStatesTerritories_Data(),Table_AustralianStates[[#Headers],[State/Territory]],0)</f>
        <v/>
      </c>
      <c r="BM12" s="36"/>
    </row>
    <row r="13" spans="1:65" ht="20.100000000000001" customHeight="1" x14ac:dyDescent="0.25">
      <c r="A13"/>
      <c r="D13" s="31" t="str" cm="1">
        <f t="array" aca="1" ref="D13" ca="1">Common_InputFunctions.Utility_DisplayArrayInTable(Common_SourceData.Common_SourceData_AustralianStatesTerritories_Data(),Table_AustralianStates[[#Headers],[State/Territory]],0)</f>
        <v/>
      </c>
      <c r="E13" s="31" t="str" cm="1">
        <f t="array" aca="1" ref="E13" ca="1">Common_InputFunctions.Utility_DisplayArrayInTable(Common_SourceData.Common_SourceData_AustralianStatesTerritories_Data(),Table_AustralianStates[[#Headers],[State/Territory]],0)</f>
        <v/>
      </c>
      <c r="F13" s="31" t="str" cm="1">
        <f t="array" aca="1" ref="F13" ca="1">Common_InputFunctions.Utility_DisplayArrayInTable(Common_SourceData.Common_SourceData_AustralianStatesTerritories_Data(),Table_AustralianStates[[#Headers],[State/Territory]],0)</f>
        <v/>
      </c>
    </row>
    <row r="14" spans="1:65" ht="20.100000000000001" customHeight="1" x14ac:dyDescent="0.25">
      <c r="A14"/>
      <c r="D14" s="31" t="str" cm="1">
        <f t="array" aca="1" ref="D14" ca="1">Common_InputFunctions.Utility_DisplayArrayInTable(Common_SourceData.Common_SourceData_AustralianStatesTerritories_Data(),Table_AustralianStates[[#Headers],[State/Territory]],0)</f>
        <v/>
      </c>
      <c r="E14" s="31" t="str" cm="1">
        <f t="array" aca="1" ref="E14" ca="1">Common_InputFunctions.Utility_DisplayArrayInTable(Common_SourceData.Common_SourceData_AustralianStatesTerritories_Data(),Table_AustralianStates[[#Headers],[State/Territory]],0)</f>
        <v/>
      </c>
      <c r="F14" s="31" t="str" cm="1">
        <f t="array" aca="1" ref="F14" ca="1">Common_InputFunctions.Utility_DisplayArrayInTable(Common_SourceData.Common_SourceData_AustralianStatesTerritories_Data(),Table_AustralianStates[[#Headers],[State/Territory]],0)</f>
        <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aca="1" ref="D21" ca="1">Common_InputFunctions.Utility_DisplayArrayInTable(Common_SourceData.Common_SourceData_WASA4Areas_Data(), Table_WASA4Areas[[#Headers],[SA 4 Name]], 0)</f>
        <v/>
      </c>
    </row>
    <row r="22" spans="1:4" ht="20.100000000000001" customHeight="1" x14ac:dyDescent="0.25">
      <c r="A22"/>
      <c r="D22" s="31" t="str" cm="1">
        <f t="array" aca="1" ref="D22" ca="1">Common_InputFunctions.Utility_DisplayArrayInTable(Common_SourceData.Common_SourceData_WASA4Areas_Data(), Table_WASA4Areas[[#Headers],[SA 4 Name]], 0)</f>
        <v/>
      </c>
    </row>
    <row r="23" spans="1:4" ht="20.100000000000001" customHeight="1" x14ac:dyDescent="0.25">
      <c r="A23"/>
      <c r="D23" s="31" t="str" cm="1">
        <f t="array" aca="1" ref="D23" ca="1">Common_InputFunctions.Utility_DisplayArrayInTable(Common_SourceData.Common_SourceData_WASA4Areas_Data(), Table_WASA4Areas[[#Headers],[SA 4 Name]], 0)</f>
        <v/>
      </c>
    </row>
    <row r="24" spans="1:4" ht="20.100000000000001" customHeight="1" x14ac:dyDescent="0.25">
      <c r="A24"/>
      <c r="D24" s="31" t="str" cm="1">
        <f t="array" aca="1" ref="D24" ca="1">Common_InputFunctions.Utility_DisplayArrayInTable(Common_SourceData.Common_SourceData_WASA4Areas_Data(), Table_WASA4Areas[[#Headers],[SA 4 Name]], 0)</f>
        <v/>
      </c>
    </row>
    <row r="25" spans="1:4" ht="20.100000000000001" customHeight="1" x14ac:dyDescent="0.25">
      <c r="A25"/>
      <c r="D25" s="31" t="str" cm="1">
        <f t="array" aca="1" ref="D25" ca="1">Common_InputFunctions.Utility_DisplayArrayInTable(Common_SourceData.Common_SourceData_WASA4Areas_Data(), Table_WASA4Areas[[#Headers],[SA 4 Name]], 0)</f>
        <v/>
      </c>
    </row>
    <row r="26" spans="1:4" ht="20.100000000000001" customHeight="1" x14ac:dyDescent="0.25">
      <c r="A26"/>
      <c r="D26" s="31" t="str" cm="1">
        <f t="array" aca="1" ref="D26" ca="1">Common_InputFunctions.Utility_DisplayArrayInTable(Common_SourceData.Common_SourceData_WASA4Areas_Data(), Table_WASA4Areas[[#Headers],[SA 4 Name]], 0)</f>
        <v/>
      </c>
    </row>
    <row r="27" spans="1:4" ht="20.100000000000001" customHeight="1" x14ac:dyDescent="0.25">
      <c r="A27"/>
      <c r="D27" s="31" t="str" cm="1">
        <f t="array" aca="1" ref="D27" ca="1">Common_InputFunctions.Utility_DisplayArrayInTable(Common_SourceData.Common_SourceData_WASA4Areas_Data(), Table_WASA4Areas[[#Headers],[SA 4 Name]], 0)</f>
        <v/>
      </c>
    </row>
    <row r="28" spans="1:4" ht="20.100000000000001" customHeight="1" x14ac:dyDescent="0.25">
      <c r="A28"/>
      <c r="D28" s="31" t="str" cm="1">
        <f t="array" aca="1" ref="D28" ca="1">Common_InputFunctions.Utility_DisplayArrayInTable(Common_SourceData.Common_SourceData_WASA4Areas_Data(), Table_WASA4Areas[[#Headers],[SA 4 Name]], 0)</f>
        <v/>
      </c>
    </row>
    <row r="29" spans="1:4" ht="20.100000000000001" customHeight="1" x14ac:dyDescent="0.25">
      <c r="A29"/>
      <c r="D29" s="31" t="str" cm="1">
        <f t="array" aca="1" ref="D29" ca="1">Common_InputFunctions.Utility_DisplayArrayInTable(Common_SourceData.Common_SourceData_WASA4Areas_Data(), Table_WASA4Areas[[#Headers],[SA 4 Name]], 0)</f>
        <v/>
      </c>
    </row>
    <row r="30" spans="1:4" ht="20.100000000000001" customHeight="1" x14ac:dyDescent="0.25">
      <c r="A30"/>
      <c r="D30" s="31" t="str" cm="1">
        <f t="array" aca="1" ref="D30" ca="1">Common_InputFunctions.Utility_DisplayArrayInTable(Common_SourceData.Common_SourceData_WASA4Areas_Data(), Table_WASA4Areas[[#Headers],[SA 4 Name]], 0)</f>
        <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aca="1" ref="D37" ca="1">Common_InputFunctions.Utility_DisplayArrayInTable(Common_SourceData.Common_SourceData_GWP_Data(), Table_GWPData[[#Headers],[Gas]], 0)</f>
        <v/>
      </c>
      <c r="E37" s="31" t="str" cm="1">
        <f t="array" aca="1" ref="E37" ca="1">Common_InputFunctions.Utility_DisplayArrayInTable(Common_SourceData.Common_SourceData_GWP_Data(), Table_GWPData[[#Headers],[Gas]], 0)</f>
        <v/>
      </c>
    </row>
    <row r="38" spans="1:8" ht="20.100000000000001" customHeight="1" x14ac:dyDescent="0.25">
      <c r="A38"/>
      <c r="D38" s="31" t="str" cm="1">
        <f t="array" aca="1" ref="D38" ca="1">Common_InputFunctions.Utility_DisplayArrayInTable(Common_SourceData.Common_SourceData_GWP_Data(), Table_GWPData[[#Headers],[Gas]], 0)</f>
        <v/>
      </c>
      <c r="E38" s="31" t="str" cm="1">
        <f t="array" aca="1" ref="E38" ca="1">Common_InputFunctions.Utility_DisplayArrayInTable(Common_SourceData.Common_SourceData_GWP_Data(), Table_GWPData[[#Headers],[Gas]], 0)</f>
        <v/>
      </c>
    </row>
    <row r="39" spans="1:8" ht="20.100000000000001" customHeight="1" x14ac:dyDescent="0.25">
      <c r="A39"/>
      <c r="D39" s="31" t="str" cm="1">
        <f t="array" aca="1" ref="D39" ca="1">Common_InputFunctions.Utility_DisplayArrayInTable(Common_SourceData.Common_SourceData_GWP_Data(), Table_GWPData[[#Headers],[Gas]], 0)</f>
        <v/>
      </c>
      <c r="E39" s="31" t="str" cm="1">
        <f t="array" aca="1" ref="E39" ca="1">Common_InputFunctions.Utility_DisplayArrayInTable(Common_SourceData.Common_SourceData_GWP_Data(), Table_GWPData[[#Headers],[Gas]], 0)</f>
        <v/>
      </c>
    </row>
    <row r="40" spans="1:8" ht="20.100000000000001" customHeight="1" x14ac:dyDescent="0.25">
      <c r="A40"/>
      <c r="D40" s="31" t="str" cm="1">
        <f t="array" aca="1" ref="D40" ca="1">Common_InputFunctions.Utility_DisplayArrayInTable(Common_SourceData.Common_SourceData_GWP_Data(), Table_GWPData[[#Headers],[Gas]], 0)</f>
        <v/>
      </c>
      <c r="E40" s="31" t="str" cm="1">
        <f t="array" aca="1" ref="E40" ca="1">Common_InputFunctions.Utility_DisplayArrayInTable(Common_SourceData.Common_SourceData_GWP_Data(), Table_GWPData[[#Headers],[Gas]], 0)</f>
        <v/>
      </c>
    </row>
    <row r="41" spans="1:8" ht="20.100000000000001" customHeight="1" x14ac:dyDescent="0.25">
      <c r="A41"/>
      <c r="D41" s="31" t="str" cm="1">
        <f t="array" aca="1" ref="D41" ca="1">Common_InputFunctions.Utility_DisplayArrayInTable(Common_SourceData.Common_SourceData_GWP_Data(), Table_GWPData[[#Headers],[Gas]], 0)</f>
        <v/>
      </c>
      <c r="E41" s="31" t="str" cm="1">
        <f t="array" aca="1" ref="E41" ca="1">Common_InputFunctions.Utility_DisplayArrayInTable(Common_SourceData.Common_SourceData_GWP_Data(), Table_GWPData[[#Headers],[Gas]], 0)</f>
        <v/>
      </c>
    </row>
    <row r="42" spans="1:8" ht="20.100000000000001" customHeight="1" x14ac:dyDescent="0.25">
      <c r="A42"/>
      <c r="D42" s="31" t="str" cm="1">
        <f t="array" aca="1" ref="D42" ca="1">Common_InputFunctions.Utility_DisplayArrayInTable(Common_SourceData.Common_SourceData_GWP_Data(), Table_GWPData[[#Headers],[Gas]], 0)</f>
        <v/>
      </c>
      <c r="E42" s="31" t="str" cm="1">
        <f t="array" aca="1" ref="E42" ca="1">Common_InputFunctions.Utility_DisplayArrayInTable(Common_SourceData.Common_SourceData_GWP_Data(), Table_GWPData[[#Headers],[Gas]], 0)</f>
        <v/>
      </c>
    </row>
    <row r="43" spans="1:8" ht="20.100000000000001" customHeight="1" x14ac:dyDescent="0.25">
      <c r="A43"/>
      <c r="D43" s="31" t="str" cm="1">
        <f t="array" aca="1" ref="D43" ca="1">Common_InputFunctions.Utility_DisplayArrayInTable(Common_SourceData.Common_SourceData_GWP_Data(), Table_GWPData[[#Headers],[Gas]], 0)</f>
        <v/>
      </c>
      <c r="E43" s="31" t="str" cm="1">
        <f t="array" aca="1" ref="E43" ca="1">Common_InputFunctions.Utility_DisplayArrayInTable(Common_SourceData.Common_SourceData_GWP_Data(), Table_GWPData[[#Headers],[Gas]], 0)</f>
        <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1" t="s">
        <v>26</v>
      </c>
      <c r="E47" s="31" t="s">
        <v>28</v>
      </c>
      <c r="F47" s="31" t="s">
        <v>29</v>
      </c>
      <c r="G47" s="31" t="s">
        <v>30</v>
      </c>
      <c r="H47" s="31" t="s">
        <v>31</v>
      </c>
    </row>
    <row r="48" spans="1:8" ht="20.100000000000001" customHeight="1" x14ac:dyDescent="0.25">
      <c r="A48"/>
      <c r="D48" s="31" t="str" cm="1">
        <f t="array" aca="1" ref="D48" ca="1">Common_InputFunctions.Utility_DisplayArrayInTable(Common_SourceData.Common_SourceData_ConvertGasElementalToMolecular_Data(),Table_GasToMolecularConversionFactor[[#Headers],[Gas]], 0)</f>
        <v/>
      </c>
      <c r="E48" s="31" t="str" cm="1">
        <f t="array" aca="1" ref="E48" ca="1">Common_InputFunctions.Utility_DisplayArrayInTable(Common_SourceData.Common_SourceData_ConvertGasElementalToMolecular_Data(),Table_GasToMolecularConversionFactor[[#Headers],[Gas]], 0)</f>
        <v/>
      </c>
      <c r="F48" s="31" t="str" cm="1">
        <f t="array" aca="1" ref="F48" ca="1">Common_InputFunctions.Utility_DisplayArrayInTable(Common_SourceData.Common_SourceData_ConvertGasElementalToMolecular_Data(),Table_GasToMolecularConversionFactor[[#Headers],[Gas]], 0)</f>
        <v/>
      </c>
      <c r="G48" s="31" t="str" cm="1">
        <f t="array" aca="1" ref="G48" ca="1">Common_InputFunctions.Utility_DisplayArrayInTable(Common_SourceData.Common_SourceData_ConvertGasElementalToMolecular_Data(),Table_GasToMolecularConversionFactor[[#Headers],[Gas]], 0)</f>
        <v/>
      </c>
      <c r="H48" s="31" t="e">
        <f ca="1">Table_GasToMolecularConversionFactor[[#This Row],[Conversion factor 1]]/Table_GasToMolecularConversionFactor[[#This Row],[Conversion factor 2]]</f>
        <v>#VALUE!</v>
      </c>
    </row>
    <row r="49" spans="1:8" ht="20.100000000000001" customHeight="1" x14ac:dyDescent="0.25">
      <c r="A49"/>
      <c r="D49" s="31" t="str" cm="1">
        <f t="array" aca="1" ref="D49" ca="1">Common_InputFunctions.Utility_DisplayArrayInTable(Common_SourceData.Common_SourceData_ConvertGasElementalToMolecular_Data(),Table_GasToMolecularConversionFactor[[#Headers],[Gas]], 0)</f>
        <v/>
      </c>
      <c r="E49" s="31" t="str" cm="1">
        <f t="array" aca="1" ref="E49" ca="1">Common_InputFunctions.Utility_DisplayArrayInTable(Common_SourceData.Common_SourceData_ConvertGasElementalToMolecular_Data(),Table_GasToMolecularConversionFactor[[#Headers],[Gas]], 0)</f>
        <v/>
      </c>
      <c r="F49" s="31" t="str" cm="1">
        <f t="array" aca="1" ref="F49" ca="1">Common_InputFunctions.Utility_DisplayArrayInTable(Common_SourceData.Common_SourceData_ConvertGasElementalToMolecular_Data(),Table_GasToMolecularConversionFactor[[#Headers],[Gas]], 0)</f>
        <v/>
      </c>
      <c r="G49" s="31" t="str" cm="1">
        <f t="array" aca="1" ref="G49" ca="1">Common_InputFunctions.Utility_DisplayArrayInTable(Common_SourceData.Common_SourceData_ConvertGasElementalToMolecular_Data(),Table_GasToMolecularConversionFactor[[#Headers],[Gas]], 0)</f>
        <v/>
      </c>
      <c r="H49" s="31" t="e">
        <f ca="1">Table_GasToMolecularConversionFactor[[#This Row],[Conversion factor 1]]/Table_GasToMolecularConversionFactor[[#This Row],[Conversion factor 2]]</f>
        <v>#VALUE!</v>
      </c>
    </row>
    <row r="50" spans="1:8" ht="20.100000000000001" customHeight="1" x14ac:dyDescent="0.25">
      <c r="A50"/>
      <c r="D50" s="31" t="str" cm="1">
        <f t="array" aca="1" ref="D50" ca="1">Common_InputFunctions.Utility_DisplayArrayInTable(Common_SourceData.Common_SourceData_ConvertGasElementalToMolecular_Data(),Table_GasToMolecularConversionFactor[[#Headers],[Gas]], 0)</f>
        <v/>
      </c>
      <c r="E50" s="31" t="str" cm="1">
        <f t="array" aca="1" ref="E50" ca="1">Common_InputFunctions.Utility_DisplayArrayInTable(Common_SourceData.Common_SourceData_ConvertGasElementalToMolecular_Data(),Table_GasToMolecularConversionFactor[[#Headers],[Gas]], 0)</f>
        <v/>
      </c>
      <c r="F50" s="31" t="str" cm="1">
        <f t="array" aca="1" ref="F50" ca="1">Common_InputFunctions.Utility_DisplayArrayInTable(Common_SourceData.Common_SourceData_ConvertGasElementalToMolecular_Data(),Table_GasToMolecularConversionFactor[[#Headers],[Gas]], 0)</f>
        <v/>
      </c>
      <c r="G50" s="31" t="str" cm="1">
        <f t="array" aca="1" ref="G50" ca="1">Common_InputFunctions.Utility_DisplayArrayInTable(Common_SourceData.Common_SourceData_ConvertGasElementalToMolecular_Data(),Table_GasToMolecularConversionFactor[[#Headers],[Gas]], 0)</f>
        <v/>
      </c>
      <c r="H50" s="31" t="e">
        <f ca="1">Table_GasToMolecularConversionFactor[[#This Row],[Conversion factor 1]]/Table_GasToMolecularConversionFactor[[#This Row],[Conversion factor 2]]</f>
        <v>#VALUE!</v>
      </c>
    </row>
    <row r="51" spans="1:8" ht="20.100000000000001" customHeight="1" x14ac:dyDescent="0.25">
      <c r="A51"/>
      <c r="D51" s="31" t="str" cm="1">
        <f t="array" aca="1" ref="D51" ca="1">Common_InputFunctions.Utility_DisplayArrayInTable(Common_SourceData.Common_SourceData_ConvertGasElementalToMolecular_Data(),Table_GasToMolecularConversionFactor[[#Headers],[Gas]], 0)</f>
        <v/>
      </c>
      <c r="E51" s="31" t="str" cm="1">
        <f t="array" aca="1" ref="E51" ca="1">Common_InputFunctions.Utility_DisplayArrayInTable(Common_SourceData.Common_SourceData_ConvertGasElementalToMolecular_Data(),Table_GasToMolecularConversionFactor[[#Headers],[Gas]], 0)</f>
        <v/>
      </c>
      <c r="F51" s="31" t="str" cm="1">
        <f t="array" aca="1" ref="F51" ca="1">Common_InputFunctions.Utility_DisplayArrayInTable(Common_SourceData.Common_SourceData_ConvertGasElementalToMolecular_Data(),Table_GasToMolecularConversionFactor[[#Headers],[Gas]], 0)</f>
        <v/>
      </c>
      <c r="G51" s="31" t="str" cm="1">
        <f t="array" aca="1" ref="G51" ca="1">Common_InputFunctions.Utility_DisplayArrayInTable(Common_SourceData.Common_SourceData_ConvertGasElementalToMolecular_Data(),Table_GasToMolecularConversionFactor[[#Headers],[Gas]], 0)</f>
        <v/>
      </c>
      <c r="H51" s="31" t="e">
        <f ca="1">Table_GasToMolecularConversionFactor[[#This Row],[Conversion factor 1]]/Table_GasToMolecularConversionFactor[[#This Row],[Conversion factor 2]]</f>
        <v>#VALUE!</v>
      </c>
    </row>
    <row r="52" spans="1:8" ht="20.100000000000001" customHeight="1" x14ac:dyDescent="0.25">
      <c r="A52"/>
      <c r="D52" s="31" t="str" cm="1">
        <f t="array" aca="1" ref="D52" ca="1">Common_InputFunctions.Utility_DisplayArrayInTable(Common_SourceData.Common_SourceData_ConvertGasElementalToMolecular_Data(),Table_GasToMolecularConversionFactor[[#Headers],[Gas]], 0)</f>
        <v/>
      </c>
      <c r="E52" s="31" t="str" cm="1">
        <f t="array" aca="1" ref="E52" ca="1">Common_InputFunctions.Utility_DisplayArrayInTable(Common_SourceData.Common_SourceData_ConvertGasElementalToMolecular_Data(),Table_GasToMolecularConversionFactor[[#Headers],[Gas]], 0)</f>
        <v/>
      </c>
      <c r="F52" s="31" t="str" cm="1">
        <f t="array" aca="1" ref="F52" ca="1">Common_InputFunctions.Utility_DisplayArrayInTable(Common_SourceData.Common_SourceData_ConvertGasElementalToMolecular_Data(),Table_GasToMolecularConversionFactor[[#Headers],[Gas]], 0)</f>
        <v/>
      </c>
      <c r="G52" s="31" t="str" cm="1">
        <f t="array" aca="1" ref="G52" ca="1">Common_InputFunctions.Utility_DisplayArrayInTable(Common_SourceData.Common_SourceData_ConvertGasElementalToMolecular_Data(),Table_GasToMolecularConversionFactor[[#Headers],[Gas]], 0)</f>
        <v/>
      </c>
      <c r="H52" s="31" t="e">
        <f ca="1">Table_GasToMolecularConversionFactor[[#This Row],[Conversion factor 1]]/Table_GasToMolecularConversionFactor[[#This Row],[Conversion factor 2]]</f>
        <v>#VALUE!</v>
      </c>
    </row>
    <row r="53" spans="1:8" ht="20.100000000000001" customHeight="1" x14ac:dyDescent="0.25">
      <c r="A53"/>
      <c r="D53" s="31" t="str" cm="1">
        <f t="array" aca="1" ref="D53" ca="1">Common_InputFunctions.Utility_DisplayArrayInTable(Common_SourceData.Common_SourceData_ConvertGasElementalToMolecular_Data(),Table_GasToMolecularConversionFactor[[#Headers],[Gas]], 0)</f>
        <v/>
      </c>
      <c r="E53" s="31" t="str" cm="1">
        <f t="array" aca="1" ref="E53" ca="1">Common_InputFunctions.Utility_DisplayArrayInTable(Common_SourceData.Common_SourceData_ConvertGasElementalToMolecular_Data(),Table_GasToMolecularConversionFactor[[#Headers],[Gas]], 0)</f>
        <v/>
      </c>
      <c r="F53" s="31" t="str" cm="1">
        <f t="array" aca="1" ref="F53" ca="1">Common_InputFunctions.Utility_DisplayArrayInTable(Common_SourceData.Common_SourceData_ConvertGasElementalToMolecular_Data(),Table_GasToMolecularConversionFactor[[#Headers],[Gas]], 0)</f>
        <v/>
      </c>
      <c r="G53" s="31" t="str" cm="1">
        <f t="array" aca="1" ref="G53" ca="1">Common_InputFunctions.Utility_DisplayArrayInTable(Common_SourceData.Common_SourceData_ConvertGasElementalToMolecular_Data(),Table_GasToMolecularConversionFactor[[#Headers],[Gas]], 0)</f>
        <v/>
      </c>
      <c r="H53" s="31" t="e">
        <f ca="1">Table_GasToMolecularConversionFactor[[#This Row],[Conversion factor 1]]/Table_GasToMolecularConversionFactor[[#This Row],[Conversion factor 2]]</f>
        <v>#VALUE!</v>
      </c>
    </row>
    <row r="54" spans="1:8" ht="20.100000000000001" customHeight="1" x14ac:dyDescent="0.25">
      <c r="A54"/>
      <c r="D54" s="31" t="str" cm="1">
        <f t="array" aca="1" ref="D54" ca="1">Common_InputFunctions.Utility_DisplayArrayInTable(Common_SourceData.Common_SourceData_ConvertGasElementalToMolecular_Data(),Table_GasToMolecularConversionFactor[[#Headers],[Gas]], 0)</f>
        <v/>
      </c>
      <c r="E54" s="31" t="str" cm="1">
        <f t="array" aca="1" ref="E54" ca="1">Common_InputFunctions.Utility_DisplayArrayInTable(Common_SourceData.Common_SourceData_ConvertGasElementalToMolecular_Data(),Table_GasToMolecularConversionFactor[[#Headers],[Gas]], 0)</f>
        <v/>
      </c>
      <c r="F54" s="31" t="str" cm="1">
        <f t="array" aca="1" ref="F54" ca="1">Common_InputFunctions.Utility_DisplayArrayInTable(Common_SourceData.Common_SourceData_ConvertGasElementalToMolecular_Data(),Table_GasToMolecularConversionFactor[[#Headers],[Gas]], 0)</f>
        <v/>
      </c>
      <c r="G54" s="31" t="str" cm="1">
        <f t="array" aca="1" ref="G54" ca="1">Common_InputFunctions.Utility_DisplayArrayInTable(Common_SourceData.Common_SourceData_ConvertGasElementalToMolecular_Data(),Table_GasToMolecularConversionFactor[[#Headers],[Gas]], 0)</f>
        <v/>
      </c>
      <c r="H54" s="31" t="e">
        <f ca="1">Table_GasToMolecularConversionFactor[[#This Row],[Conversion factor 1]]/Table_GasToMolecularConversionFactor[[#This Row],[Conversion factor 2]]</f>
        <v>#VALUE!</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32</v>
      </c>
      <c r="E63" s="31" t="s">
        <v>33</v>
      </c>
    </row>
    <row r="64" spans="1:8" ht="20.100000000000001" customHeight="1" x14ac:dyDescent="0.25">
      <c r="A64"/>
      <c r="D64" s="31" t="str" cm="1">
        <f t="array" aca="1" ref="D64" ca="1">Common_InputFunctions.Utility_DisplayArrayInTable(Common_SourceData.Common_SourceData_WetAndDryZones_Data(), Table_SourceData_WetDryZones[[#Headers],[Climate zone]], 0)</f>
        <v/>
      </c>
      <c r="E64" s="31" t="str" cm="1">
        <f t="array" aca="1" ref="E64" ca="1">Common_InputFunctions.Utility_DisplayArrayInTable(Common_SourceData.Common_SourceData_WetAndDryZones_Data(), Table_SourceData_WetDryZones[[#Headers],[Climate zone]], 0)</f>
        <v/>
      </c>
    </row>
    <row r="65" spans="1:5" ht="20.100000000000001" customHeight="1" x14ac:dyDescent="0.25">
      <c r="A65"/>
      <c r="D65" s="31" t="str" cm="1">
        <f t="array" aca="1" ref="D65" ca="1">Common_InputFunctions.Utility_DisplayArrayInTable(Common_SourceData.Common_SourceData_WetAndDryZones_Data(), Table_SourceData_WetDryZones[[#Headers],[Climate zone]], 0)</f>
        <v/>
      </c>
      <c r="E65" s="31" t="str" cm="1">
        <f t="array" aca="1" ref="E65" ca="1">Common_InputFunctions.Utility_DisplayArrayInTable(Common_SourceData.Common_SourceData_WetAndDryZones_Data(), Table_SourceData_WetDryZones[[#Headers],[Climate zone]], 0)</f>
        <v/>
      </c>
    </row>
    <row r="66" spans="1:5" ht="20.100000000000001" customHeight="1" x14ac:dyDescent="0.25">
      <c r="A66"/>
      <c r="D66" s="31" t="str" cm="1">
        <f t="array" aca="1" ref="D66" ca="1">Common_InputFunctions.Utility_DisplayArrayInTable(Common_SourceData.Common_SourceData_WetAndDryZones_Data(), Table_SourceData_WetDryZones[[#Headers],[Climate zone]], 0)</f>
        <v/>
      </c>
      <c r="E66" s="31" t="str" cm="1">
        <f t="array" aca="1" ref="E66" ca="1">Common_InputFunctions.Utility_DisplayArrayInTable(Common_SourceData.Common_SourceData_WetAndDryZones_Data(), Table_SourceData_WetDryZones[[#Headers],[Climate zone]], 0)</f>
        <v/>
      </c>
    </row>
    <row r="67" spans="1:5" ht="20.100000000000001" customHeight="1" x14ac:dyDescent="0.25">
      <c r="A67"/>
      <c r="D67" s="31" t="str" cm="1">
        <f t="array" aca="1" ref="D67" ca="1">Common_InputFunctions.Utility_DisplayArrayInTable(Common_SourceData.Common_SourceData_WetAndDryZones_Data(), Table_SourceData_WetDryZones[[#Headers],[Climate zone]], 0)</f>
        <v/>
      </c>
      <c r="E67" s="31" t="str" cm="1">
        <f t="array" aca="1" ref="E67" ca="1">Common_InputFunctions.Utility_DisplayArrayInTable(Common_SourceData.Common_SourceData_WetAndDryZones_Data(), Table_SourceData_WetDryZones[[#Headers],[Climate zone]], 0)</f>
        <v/>
      </c>
    </row>
    <row r="68" spans="1:5" ht="20.100000000000001" customHeight="1" x14ac:dyDescent="0.25">
      <c r="A68"/>
      <c r="D68" s="31" t="str" cm="1">
        <f t="array" aca="1" ref="D68" ca="1">Common_InputFunctions.Utility_DisplayArrayInTable(Common_SourceData.Common_SourceData_WetAndDryZones_Data(), Table_SourceData_WetDryZones[[#Headers],[Climate zone]], 0)</f>
        <v/>
      </c>
      <c r="E68" s="31" t="str" cm="1">
        <f t="array" aca="1" ref="E68" ca="1">Common_InputFunctions.Utility_DisplayArrayInTable(Common_SourceData.Common_SourceData_WetAndDryZones_Data(), Table_SourceData_WetDryZones[[#Headers],[Climate zone]], 0)</f>
        <v/>
      </c>
    </row>
    <row r="69" spans="1:5" ht="20.100000000000001" customHeight="1" x14ac:dyDescent="0.25">
      <c r="A69"/>
      <c r="D69" s="31" t="str" cm="1">
        <f t="array" aca="1" ref="D69" ca="1">Common_InputFunctions.Utility_DisplayArrayInTable(Common_SourceData.Common_SourceData_WetAndDryZones_Data(), Table_SourceData_WetDryZones[[#Headers],[Climate zone]], 0)</f>
        <v/>
      </c>
      <c r="E69" s="31" t="str" cm="1">
        <f t="array" aca="1" ref="E69" ca="1">Common_InputFunctions.Utility_DisplayArrayInTable(Common_SourceData.Common_SourceData_WetAndDryZones_Data(), Table_SourceData_WetDryZones[[#Headers],[Climate zone]], 0)</f>
        <v/>
      </c>
    </row>
    <row r="70" spans="1:5" ht="20.100000000000001" customHeight="1" x14ac:dyDescent="0.25">
      <c r="A70"/>
      <c r="D70" s="31" t="str" cm="1">
        <f t="array" aca="1" ref="D70" ca="1">Common_InputFunctions.Utility_DisplayArrayInTable(Common_SourceData.Common_SourceData_WetAndDryZones_Data(), Table_SourceData_WetDryZones[[#Headers],[Climate zone]], 0)</f>
        <v/>
      </c>
      <c r="E70" s="31" t="str" cm="1">
        <f t="array" aca="1" ref="E70" ca="1">Common_InputFunctions.Utility_DisplayArrayInTable(Common_SourceData.Common_SourceData_WetAndDryZones_Data(), Table_SourceData_WetDryZones[[#Headers],[Climate zone]], 0)</f>
        <v/>
      </c>
    </row>
    <row r="71" spans="1:5" ht="20.100000000000001" customHeight="1" x14ac:dyDescent="0.25">
      <c r="A71"/>
      <c r="D71" s="31" t="str" cm="1">
        <f t="array" aca="1" ref="D71" ca="1">Common_InputFunctions.Utility_DisplayArrayInTable(Common_SourceData.Common_SourceData_WetAndDryZones_Data(), Table_SourceData_WetDryZones[[#Headers],[Climate zone]], 0)</f>
        <v/>
      </c>
      <c r="E71" s="31" t="str" cm="1">
        <f t="array" aca="1" ref="E71" ca="1">Common_InputFunctions.Utility_DisplayArrayInTable(Common_SourceData.Common_SourceData_WetAndDryZones_Data(), Table_SourceData_WetDryZones[[#Headers],[Climate zone]], 0)</f>
        <v/>
      </c>
    </row>
    <row r="72" spans="1:5" ht="20.100000000000001" customHeight="1" x14ac:dyDescent="0.25">
      <c r="A72"/>
      <c r="D72" s="31" t="str" cm="1">
        <f t="array" aca="1" ref="D72" ca="1">Common_InputFunctions.Utility_DisplayArrayInTable(Common_SourceData.Common_SourceData_WetAndDryZones_Data(), Table_SourceData_WetDryZones[[#Headers],[Climate zone]], 0)</f>
        <v/>
      </c>
      <c r="E72" s="31" t="str" cm="1">
        <f t="array" aca="1" ref="E72" ca="1">Common_InputFunctions.Utility_DisplayArrayInTable(Common_SourceData.Common_SourceData_WetAndDryZones_Data(), Table_SourceData_WetDryZones[[#Headers],[Climate zone]], 0)</f>
        <v/>
      </c>
    </row>
    <row r="73" spans="1:5" ht="20.100000000000001" customHeight="1" x14ac:dyDescent="0.25">
      <c r="A73"/>
      <c r="D73" s="31" t="str" cm="1">
        <f t="array" aca="1" ref="D73" ca="1">Common_InputFunctions.Utility_DisplayArrayInTable(Common_SourceData.Common_SourceData_WetAndDryZones_Data(), Table_SourceData_WetDryZones[[#Headers],[Climate zone]], 0)</f>
        <v/>
      </c>
      <c r="E73" s="31" t="str" cm="1">
        <f t="array" aca="1" ref="E73" ca="1">Common_InputFunctions.Utility_DisplayArrayInTable(Common_SourceData.Common_SourceData_WetAndDryZones_Data(), Table_SourceData_WetDryZones[[#Headers],[Climate zone]], 0)</f>
        <v/>
      </c>
    </row>
    <row r="74" spans="1:5" ht="20.100000000000001" customHeight="1" x14ac:dyDescent="0.25">
      <c r="A74"/>
      <c r="D74" s="31" t="str" cm="1">
        <f t="array" aca="1" ref="D74" ca="1">Common_InputFunctions.Utility_DisplayArrayInTable(Common_SourceData.Common_SourceData_WetAndDryZones_Data(), Table_SourceData_WetDryZones[[#Headers],[Climate zone]], 0)</f>
        <v/>
      </c>
      <c r="E74" s="31" t="str" cm="1">
        <f t="array" aca="1" ref="E74" ca="1">Common_InputFunctions.Utility_DisplayArrayInTable(Common_SourceData.Common_SourceData_WetAndDryZones_Data(), Table_SourceData_WetDryZones[[#Headers],[Climate zone]], 0)</f>
        <v/>
      </c>
    </row>
    <row r="75" spans="1:5" ht="20.100000000000001" customHeight="1" x14ac:dyDescent="0.25">
      <c r="A75"/>
      <c r="D75" s="31" t="str" cm="1">
        <f t="array" aca="1" ref="D75" ca="1">Common_InputFunctions.Utility_DisplayArrayInTable(Common_SourceData.Common_SourceData_WetAndDryZones_Data(), Table_SourceData_WetDryZones[[#Headers],[Climate zone]], 0)</f>
        <v/>
      </c>
      <c r="E75" s="31" t="str" cm="1">
        <f t="array" aca="1" ref="E75" ca="1">Common_InputFunctions.Utility_DisplayArrayInTable(Common_SourceData.Common_SourceData_WetAndDryZones_Data(), Table_SourceData_WetDryZones[[#Headers],[Climate zone]], 0)</f>
        <v/>
      </c>
    </row>
    <row r="76" spans="1:5" ht="20.100000000000001" customHeight="1" x14ac:dyDescent="0.25">
      <c r="A76"/>
      <c r="D76" s="31" t="str" cm="1">
        <f t="array" aca="1" ref="D76" ca="1">Common_InputFunctions.Utility_DisplayArrayInTable(Common_SourceData.Common_SourceData_WetAndDryZones_Data(), Table_SourceData_WetDryZones[[#Headers],[Climate zone]], 0)</f>
        <v/>
      </c>
      <c r="E76" s="31" t="str" cm="1">
        <f t="array" aca="1" ref="E76" ca="1">Common_InputFunctions.Utility_DisplayArrayInTable(Common_SourceData.Common_SourceData_WetAndDryZones_Data(), Table_SourceData_WetDryZones[[#Headers],[Climate zone]], 0)</f>
        <v/>
      </c>
    </row>
    <row r="77" spans="1:5" ht="20.100000000000001" customHeight="1" x14ac:dyDescent="0.25">
      <c r="A77"/>
      <c r="D77" s="31" t="str" cm="1">
        <f t="array" aca="1" ref="D77" ca="1">Common_InputFunctions.Utility_DisplayArrayInTable(Common_SourceData.Common_SourceData_WetAndDryZones_Data(), Table_SourceData_WetDryZones[[#Headers],[Climate zone]], 0)</f>
        <v/>
      </c>
      <c r="E77" s="31" t="str" cm="1">
        <f t="array" aca="1" ref="E77" ca="1">Common_InputFunctions.Utility_DisplayArrayInTable(Common_SourceData.Common_SourceData_WetAndDryZones_Data(), Table_SourceData_WetDryZones[[#Headers],[Climate zone]], 0)</f>
        <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1:20" ht="20.100000000000001" customHeight="1" x14ac:dyDescent="0.25">
      <c r="A90"/>
      <c r="D90" s="31" t="str" cm="1">
        <f t="array" aca="1" ref="D90" ca="1">Common_InputFunctions.Utility_DisplayArrayInTable(Common_SourceData.Common_SourceData_ClimateZones_Data(), Table_SourceData_ClimateZones[[#Headers],[Climate zone]], 0)</f>
        <v/>
      </c>
      <c r="E90" s="31" t="str" cm="1">
        <f t="array" aca="1" ref="E90" ca="1">Common_InputFunctions.Utility_DisplayArrayInTable(Common_SourceData.Common_SourceData_ClimateZones_Data(), Table_SourceData_ClimateZones[[#Headers],[Climate zone]], 0)</f>
        <v/>
      </c>
      <c r="F90" s="31" t="str" cm="1">
        <f t="array" aca="1" ref="F90" ca="1">Common_InputFunctions.Utility_DisplayArrayInTable(Common_SourceData.Common_SourceData_ClimateZones_Data(), Table_SourceData_ClimateZones[[#Headers],[Climate zone]], 0)</f>
        <v/>
      </c>
      <c r="G90" s="31" t="str" cm="1">
        <f t="array" aca="1" ref="G90" ca="1">Common_InputFunctions.Utility_DisplayArrayInTable(Common_SourceData.Common_SourceData_ClimateZones_Data(), Table_SourceData_ClimateZones[[#Headers],[Climate zone]], 0)</f>
        <v/>
      </c>
      <c r="H90" s="31" t="str" cm="1">
        <f t="array" aca="1" ref="H90" ca="1">Common_InputFunctions.Utility_DisplayArrayInTable(Common_SourceData.Common_SourceData_ClimateZones_Data(), Table_SourceData_ClimateZones[[#Headers],[Climate zone]], 0)</f>
        <v/>
      </c>
      <c r="I90" s="31" t="str" cm="1">
        <f t="array" aca="1" ref="I90" ca="1">Common_InputFunctions.Utility_DisplayArrayInTable(Common_SourceData.Common_SourceData_ClimateZones_Data(), Table_SourceData_ClimateZones[[#Headers],[Climate zone]], 0)</f>
        <v/>
      </c>
      <c r="J90" s="31" t="str" cm="1">
        <f t="array" aca="1" ref="J90" ca="1">Common_InputFunctions.Utility_DisplayArrayInTable(Common_SourceData.Common_SourceData_ClimateZones_Data(), Table_SourceData_ClimateZones[[#Headers],[Climate zone]], 0)</f>
        <v/>
      </c>
      <c r="K90" s="31" t="str" cm="1">
        <f t="array" aca="1" ref="K90" ca="1">Common_InputFunctions.Utility_DisplayArrayInTable(Common_SourceData.Common_SourceData_ClimateZones_Data(), Table_SourceData_ClimateZones[[#Headers],[Climate zone]], 0)</f>
        <v/>
      </c>
      <c r="L90" s="31" t="str" cm="1">
        <f t="array" aca="1" ref="L90" ca="1">Common_InputFunctions.Utility_DisplayArrayInTable(Common_SourceData.Common_SourceData_ClimateZones_Data(), Table_SourceData_ClimateZones[[#Headers],[Climate zone]], 0)</f>
        <v/>
      </c>
      <c r="M90" s="31" t="str" cm="1">
        <f t="array" aca="1" ref="M90" ca="1">Common_InputFunctions.Utility_DisplayArrayInTable(Common_SourceData.Common_SourceData_ClimateZones_Data(), Table_SourceData_ClimateZones[[#Headers],[Climate zone]], 0)</f>
        <v/>
      </c>
      <c r="N90" s="31" t="str" cm="1">
        <f t="array" aca="1" ref="N90" ca="1">Common_InputFunctions.Utility_DisplayArrayInTable(Common_SourceData.Common_SourceData_ClimateZones_Data(), Table_SourceData_ClimateZones[[#Headers],[Climate zone]], 0)</f>
        <v/>
      </c>
      <c r="O90" s="31" t="str" cm="1">
        <f t="array" aca="1" ref="O90" ca="1">Common_InputFunctions.Utility_DisplayArrayInTable(Common_SourceData.Common_SourceData_ClimateZones_Data(), Table_SourceData_ClimateZones[[#Headers],[Climate zone]], 0)</f>
        <v/>
      </c>
      <c r="P90" s="31" t="str" cm="1">
        <f t="array" aca="1" ref="P90" ca="1">Common_InputFunctions.Utility_DisplayArrayInTable(Common_SourceData.Common_SourceData_ClimateZones_Data(), Table_SourceData_ClimateZones[[#Headers],[Climate zone]], 0)</f>
        <v/>
      </c>
      <c r="Q90" s="31" t="str" cm="1">
        <f t="array" aca="1" ref="Q90" ca="1">Common_InputFunctions.Utility_DisplayArrayInTable(Common_SourceData.Common_SourceData_ClimateZones_Data(), Table_SourceData_ClimateZones[[#Headers],[Climate zone]], 0)</f>
        <v/>
      </c>
      <c r="R90" s="31" t="str" cm="1">
        <f t="array" aca="1" ref="R90" ca="1">Common_InputFunctions.Utility_DisplayArrayInTable(Common_SourceData.Common_SourceData_ClimateZones_Data(), Table_SourceData_ClimateZones[[#Headers],[Climate zone]], 0)</f>
        <v/>
      </c>
      <c r="S90" s="31" t="str" cm="1">
        <f t="array" aca="1" ref="S90" ca="1">Common_InputFunctions.Utility_DisplayArrayInTable(Common_SourceData.Common_SourceData_ClimateZones_Data(), Table_SourceData_ClimateZones[[#Headers],[Climate zone]], 0)</f>
        <v/>
      </c>
      <c r="T90" s="31"/>
    </row>
    <row r="91" spans="1:20" ht="20.100000000000001" customHeight="1" x14ac:dyDescent="0.25">
      <c r="A91"/>
      <c r="D91" s="31" t="str" cm="1">
        <f t="array" aca="1" ref="D91" ca="1">Common_InputFunctions.Utility_DisplayArrayInTable(Common_SourceData.Common_SourceData_ClimateZones_Data(), Table_SourceData_ClimateZones[[#Headers],[Climate zone]], 0)</f>
        <v/>
      </c>
      <c r="E91" s="31" t="str" cm="1">
        <f t="array" aca="1" ref="E91" ca="1">Common_InputFunctions.Utility_DisplayArrayInTable(Common_SourceData.Common_SourceData_ClimateZones_Data(), Table_SourceData_ClimateZones[[#Headers],[Climate zone]], 0)</f>
        <v/>
      </c>
      <c r="F91" s="31" t="str" cm="1">
        <f t="array" aca="1" ref="F91" ca="1">Common_InputFunctions.Utility_DisplayArrayInTable(Common_SourceData.Common_SourceData_ClimateZones_Data(), Table_SourceData_ClimateZones[[#Headers],[Climate zone]], 0)</f>
        <v/>
      </c>
      <c r="G91" s="31" t="str" cm="1">
        <f t="array" aca="1" ref="G91" ca="1">Common_InputFunctions.Utility_DisplayArrayInTable(Common_SourceData.Common_SourceData_ClimateZones_Data(), Table_SourceData_ClimateZones[[#Headers],[Climate zone]], 0)</f>
        <v/>
      </c>
      <c r="H91" s="31" t="str" cm="1">
        <f t="array" aca="1" ref="H91" ca="1">Common_InputFunctions.Utility_DisplayArrayInTable(Common_SourceData.Common_SourceData_ClimateZones_Data(), Table_SourceData_ClimateZones[[#Headers],[Climate zone]], 0)</f>
        <v/>
      </c>
      <c r="I91" s="31" t="str" cm="1">
        <f t="array" aca="1" ref="I91" ca="1">Common_InputFunctions.Utility_DisplayArrayInTable(Common_SourceData.Common_SourceData_ClimateZones_Data(), Table_SourceData_ClimateZones[[#Headers],[Climate zone]], 0)</f>
        <v/>
      </c>
      <c r="J91" s="31" t="str" cm="1">
        <f t="array" aca="1" ref="J91" ca="1">Common_InputFunctions.Utility_DisplayArrayInTable(Common_SourceData.Common_SourceData_ClimateZones_Data(), Table_SourceData_ClimateZones[[#Headers],[Climate zone]], 0)</f>
        <v/>
      </c>
      <c r="K91" s="31" t="str" cm="1">
        <f t="array" aca="1" ref="K91" ca="1">Common_InputFunctions.Utility_DisplayArrayInTable(Common_SourceData.Common_SourceData_ClimateZones_Data(), Table_SourceData_ClimateZones[[#Headers],[Climate zone]], 0)</f>
        <v/>
      </c>
      <c r="L91" s="31" t="str" cm="1">
        <f t="array" aca="1" ref="L91" ca="1">Common_InputFunctions.Utility_DisplayArrayInTable(Common_SourceData.Common_SourceData_ClimateZones_Data(), Table_SourceData_ClimateZones[[#Headers],[Climate zone]], 0)</f>
        <v/>
      </c>
      <c r="M91" s="31" t="str" cm="1">
        <f t="array" aca="1" ref="M91" ca="1">Common_InputFunctions.Utility_DisplayArrayInTable(Common_SourceData.Common_SourceData_ClimateZones_Data(), Table_SourceData_ClimateZones[[#Headers],[Climate zone]], 0)</f>
        <v/>
      </c>
      <c r="N91" s="31" t="str" cm="1">
        <f t="array" aca="1" ref="N91" ca="1">Common_InputFunctions.Utility_DisplayArrayInTable(Common_SourceData.Common_SourceData_ClimateZones_Data(), Table_SourceData_ClimateZones[[#Headers],[Climate zone]], 0)</f>
        <v/>
      </c>
      <c r="O91" s="31" t="str" cm="1">
        <f t="array" aca="1" ref="O91" ca="1">Common_InputFunctions.Utility_DisplayArrayInTable(Common_SourceData.Common_SourceData_ClimateZones_Data(), Table_SourceData_ClimateZones[[#Headers],[Climate zone]], 0)</f>
        <v/>
      </c>
      <c r="P91" s="31" t="str" cm="1">
        <f t="array" aca="1" ref="P91" ca="1">Common_InputFunctions.Utility_DisplayArrayInTable(Common_SourceData.Common_SourceData_ClimateZones_Data(), Table_SourceData_ClimateZones[[#Headers],[Climate zone]], 0)</f>
        <v/>
      </c>
      <c r="Q91" s="31" t="str" cm="1">
        <f t="array" aca="1" ref="Q91" ca="1">Common_InputFunctions.Utility_DisplayArrayInTable(Common_SourceData.Common_SourceData_ClimateZones_Data(), Table_SourceData_ClimateZones[[#Headers],[Climate zone]], 0)</f>
        <v/>
      </c>
      <c r="R91" s="31" t="str" cm="1">
        <f t="array" aca="1" ref="R91" ca="1">Common_InputFunctions.Utility_DisplayArrayInTable(Common_SourceData.Common_SourceData_ClimateZones_Data(), Table_SourceData_ClimateZones[[#Headers],[Climate zone]], 0)</f>
        <v/>
      </c>
      <c r="S91" s="31" t="str" cm="1">
        <f t="array" aca="1" ref="S91" ca="1">Common_InputFunctions.Utility_DisplayArrayInTable(Common_SourceData.Common_SourceData_ClimateZones_Data(), Table_SourceData_ClimateZones[[#Headers],[Climate zone]], 0)</f>
        <v/>
      </c>
      <c r="T91" s="31"/>
    </row>
    <row r="92" spans="1:20" ht="20.100000000000001" customHeight="1" x14ac:dyDescent="0.25">
      <c r="A92"/>
      <c r="D92" s="31" t="str" cm="1">
        <f t="array" aca="1" ref="D92" ca="1">Common_InputFunctions.Utility_DisplayArrayInTable(Common_SourceData.Common_SourceData_ClimateZones_Data(), Table_SourceData_ClimateZones[[#Headers],[Climate zone]], 0)</f>
        <v/>
      </c>
      <c r="E92" s="31" t="str" cm="1">
        <f t="array" aca="1" ref="E92" ca="1">Common_InputFunctions.Utility_DisplayArrayInTable(Common_SourceData.Common_SourceData_ClimateZones_Data(), Table_SourceData_ClimateZones[[#Headers],[Climate zone]], 0)</f>
        <v/>
      </c>
      <c r="F92" s="31" t="str" cm="1">
        <f t="array" aca="1" ref="F92" ca="1">Common_InputFunctions.Utility_DisplayArrayInTable(Common_SourceData.Common_SourceData_ClimateZones_Data(), Table_SourceData_ClimateZones[[#Headers],[Climate zone]], 0)</f>
        <v/>
      </c>
      <c r="G92" s="31" t="str" cm="1">
        <f t="array" aca="1" ref="G92" ca="1">Common_InputFunctions.Utility_DisplayArrayInTable(Common_SourceData.Common_SourceData_ClimateZones_Data(), Table_SourceData_ClimateZones[[#Headers],[Climate zone]], 0)</f>
        <v/>
      </c>
      <c r="H92" s="31" t="str" cm="1">
        <f t="array" aca="1" ref="H92" ca="1">Common_InputFunctions.Utility_DisplayArrayInTable(Common_SourceData.Common_SourceData_ClimateZones_Data(), Table_SourceData_ClimateZones[[#Headers],[Climate zone]], 0)</f>
        <v/>
      </c>
      <c r="I92" s="31" t="str" cm="1">
        <f t="array" aca="1" ref="I92" ca="1">Common_InputFunctions.Utility_DisplayArrayInTable(Common_SourceData.Common_SourceData_ClimateZones_Data(), Table_SourceData_ClimateZones[[#Headers],[Climate zone]], 0)</f>
        <v/>
      </c>
      <c r="J92" s="31" t="str" cm="1">
        <f t="array" aca="1" ref="J92" ca="1">Common_InputFunctions.Utility_DisplayArrayInTable(Common_SourceData.Common_SourceData_ClimateZones_Data(), Table_SourceData_ClimateZones[[#Headers],[Climate zone]], 0)</f>
        <v/>
      </c>
      <c r="K92" s="31" t="str" cm="1">
        <f t="array" aca="1" ref="K92" ca="1">Common_InputFunctions.Utility_DisplayArrayInTable(Common_SourceData.Common_SourceData_ClimateZones_Data(), Table_SourceData_ClimateZones[[#Headers],[Climate zone]], 0)</f>
        <v/>
      </c>
      <c r="L92" s="31" t="str" cm="1">
        <f t="array" aca="1" ref="L92" ca="1">Common_InputFunctions.Utility_DisplayArrayInTable(Common_SourceData.Common_SourceData_ClimateZones_Data(), Table_SourceData_ClimateZones[[#Headers],[Climate zone]], 0)</f>
        <v/>
      </c>
      <c r="M92" s="31" t="str" cm="1">
        <f t="array" aca="1" ref="M92" ca="1">Common_InputFunctions.Utility_DisplayArrayInTable(Common_SourceData.Common_SourceData_ClimateZones_Data(), Table_SourceData_ClimateZones[[#Headers],[Climate zone]], 0)</f>
        <v/>
      </c>
      <c r="N92" s="31" t="str" cm="1">
        <f t="array" aca="1" ref="N92" ca="1">Common_InputFunctions.Utility_DisplayArrayInTable(Common_SourceData.Common_SourceData_ClimateZones_Data(), Table_SourceData_ClimateZones[[#Headers],[Climate zone]], 0)</f>
        <v/>
      </c>
      <c r="O92" s="31" t="str" cm="1">
        <f t="array" aca="1" ref="O92" ca="1">Common_InputFunctions.Utility_DisplayArrayInTable(Common_SourceData.Common_SourceData_ClimateZones_Data(), Table_SourceData_ClimateZones[[#Headers],[Climate zone]], 0)</f>
        <v/>
      </c>
      <c r="P92" s="31" t="str" cm="1">
        <f t="array" aca="1" ref="P92" ca="1">Common_InputFunctions.Utility_DisplayArrayInTable(Common_SourceData.Common_SourceData_ClimateZones_Data(), Table_SourceData_ClimateZones[[#Headers],[Climate zone]], 0)</f>
        <v/>
      </c>
      <c r="Q92" s="31" t="str" cm="1">
        <f t="array" aca="1" ref="Q92" ca="1">Common_InputFunctions.Utility_DisplayArrayInTable(Common_SourceData.Common_SourceData_ClimateZones_Data(), Table_SourceData_ClimateZones[[#Headers],[Climate zone]], 0)</f>
        <v/>
      </c>
      <c r="R92" s="31" t="str" cm="1">
        <f t="array" aca="1" ref="R92" ca="1">Common_InputFunctions.Utility_DisplayArrayInTable(Common_SourceData.Common_SourceData_ClimateZones_Data(), Table_SourceData_ClimateZones[[#Headers],[Climate zone]], 0)</f>
        <v/>
      </c>
      <c r="S92" s="31" t="str" cm="1">
        <f t="array" aca="1" ref="S92" ca="1">Common_InputFunctions.Utility_DisplayArrayInTable(Common_SourceData.Common_SourceData_ClimateZones_Data(), Table_SourceData_ClimateZones[[#Headers],[Climate zone]], 0)</f>
        <v/>
      </c>
      <c r="T92" s="31"/>
    </row>
    <row r="93" spans="1:20" ht="20.100000000000001" customHeight="1" x14ac:dyDescent="0.25">
      <c r="A93"/>
      <c r="D93" s="31" t="str" cm="1">
        <f t="array" aca="1" ref="D93" ca="1">Common_InputFunctions.Utility_DisplayArrayInTable(Common_SourceData.Common_SourceData_ClimateZones_Data(), Table_SourceData_ClimateZones[[#Headers],[Climate zone]], 0)</f>
        <v/>
      </c>
      <c r="E93" s="31" t="str" cm="1">
        <f t="array" aca="1" ref="E93" ca="1">Common_InputFunctions.Utility_DisplayArrayInTable(Common_SourceData.Common_SourceData_ClimateZones_Data(), Table_SourceData_ClimateZones[[#Headers],[Climate zone]], 0)</f>
        <v/>
      </c>
      <c r="F93" s="31" t="str" cm="1">
        <f t="array" aca="1" ref="F93" ca="1">Common_InputFunctions.Utility_DisplayArrayInTable(Common_SourceData.Common_SourceData_ClimateZones_Data(), Table_SourceData_ClimateZones[[#Headers],[Climate zone]], 0)</f>
        <v/>
      </c>
      <c r="G93" s="31" t="str" cm="1">
        <f t="array" aca="1" ref="G93" ca="1">Common_InputFunctions.Utility_DisplayArrayInTable(Common_SourceData.Common_SourceData_ClimateZones_Data(), Table_SourceData_ClimateZones[[#Headers],[Climate zone]], 0)</f>
        <v/>
      </c>
      <c r="H93" s="31" t="str" cm="1">
        <f t="array" aca="1" ref="H93" ca="1">Common_InputFunctions.Utility_DisplayArrayInTable(Common_SourceData.Common_SourceData_ClimateZones_Data(), Table_SourceData_ClimateZones[[#Headers],[Climate zone]], 0)</f>
        <v/>
      </c>
      <c r="I93" s="31" t="str" cm="1">
        <f t="array" aca="1" ref="I93" ca="1">Common_InputFunctions.Utility_DisplayArrayInTable(Common_SourceData.Common_SourceData_ClimateZones_Data(), Table_SourceData_ClimateZones[[#Headers],[Climate zone]], 0)</f>
        <v/>
      </c>
      <c r="J93" s="31" t="str" cm="1">
        <f t="array" aca="1" ref="J93" ca="1">Common_InputFunctions.Utility_DisplayArrayInTable(Common_SourceData.Common_SourceData_ClimateZones_Data(), Table_SourceData_ClimateZones[[#Headers],[Climate zone]], 0)</f>
        <v/>
      </c>
      <c r="K93" s="31" t="str" cm="1">
        <f t="array" aca="1" ref="K93" ca="1">Common_InputFunctions.Utility_DisplayArrayInTable(Common_SourceData.Common_SourceData_ClimateZones_Data(), Table_SourceData_ClimateZones[[#Headers],[Climate zone]], 0)</f>
        <v/>
      </c>
      <c r="L93" s="31" t="str" cm="1">
        <f t="array" aca="1" ref="L93" ca="1">Common_InputFunctions.Utility_DisplayArrayInTable(Common_SourceData.Common_SourceData_ClimateZones_Data(), Table_SourceData_ClimateZones[[#Headers],[Climate zone]], 0)</f>
        <v/>
      </c>
      <c r="M93" s="31" t="str" cm="1">
        <f t="array" aca="1" ref="M93" ca="1">Common_InputFunctions.Utility_DisplayArrayInTable(Common_SourceData.Common_SourceData_ClimateZones_Data(), Table_SourceData_ClimateZones[[#Headers],[Climate zone]], 0)</f>
        <v/>
      </c>
      <c r="N93" s="31" t="str" cm="1">
        <f t="array" aca="1" ref="N93" ca="1">Common_InputFunctions.Utility_DisplayArrayInTable(Common_SourceData.Common_SourceData_ClimateZones_Data(), Table_SourceData_ClimateZones[[#Headers],[Climate zone]], 0)</f>
        <v/>
      </c>
      <c r="O93" s="31" t="str" cm="1">
        <f t="array" aca="1" ref="O93" ca="1">Common_InputFunctions.Utility_DisplayArrayInTable(Common_SourceData.Common_SourceData_ClimateZones_Data(), Table_SourceData_ClimateZones[[#Headers],[Climate zone]], 0)</f>
        <v/>
      </c>
      <c r="P93" s="31" t="str" cm="1">
        <f t="array" aca="1" ref="P93" ca="1">Common_InputFunctions.Utility_DisplayArrayInTable(Common_SourceData.Common_SourceData_ClimateZones_Data(), Table_SourceData_ClimateZones[[#Headers],[Climate zone]], 0)</f>
        <v/>
      </c>
      <c r="Q93" s="31" t="str" cm="1">
        <f t="array" aca="1" ref="Q93" ca="1">Common_InputFunctions.Utility_DisplayArrayInTable(Common_SourceData.Common_SourceData_ClimateZones_Data(), Table_SourceData_ClimateZones[[#Headers],[Climate zone]], 0)</f>
        <v/>
      </c>
      <c r="R93" s="31" t="str" cm="1">
        <f t="array" aca="1" ref="R93" ca="1">Common_InputFunctions.Utility_DisplayArrayInTable(Common_SourceData.Common_SourceData_ClimateZones_Data(), Table_SourceData_ClimateZones[[#Headers],[Climate zone]], 0)</f>
        <v/>
      </c>
      <c r="S93" s="31" t="str" cm="1">
        <f t="array" aca="1" ref="S93" ca="1">Common_InputFunctions.Utility_DisplayArrayInTable(Common_SourceData.Common_SourceData_ClimateZones_Data(), Table_SourceData_ClimateZones[[#Headers],[Climate zone]], 0)</f>
        <v/>
      </c>
      <c r="T93" s="31"/>
    </row>
    <row r="94" spans="1:20" ht="20.100000000000001" customHeight="1" x14ac:dyDescent="0.25">
      <c r="A94"/>
      <c r="D94" s="31" t="str" cm="1">
        <f t="array" aca="1" ref="D94" ca="1">Common_InputFunctions.Utility_DisplayArrayInTable(Common_SourceData.Common_SourceData_ClimateZones_Data(), Table_SourceData_ClimateZones[[#Headers],[Climate zone]], 0)</f>
        <v/>
      </c>
      <c r="E94" s="31" t="str" cm="1">
        <f t="array" aca="1" ref="E94" ca="1">Common_InputFunctions.Utility_DisplayArrayInTable(Common_SourceData.Common_SourceData_ClimateZones_Data(), Table_SourceData_ClimateZones[[#Headers],[Climate zone]], 0)</f>
        <v/>
      </c>
      <c r="F94" s="31" t="str" cm="1">
        <f t="array" aca="1" ref="F94" ca="1">Common_InputFunctions.Utility_DisplayArrayInTable(Common_SourceData.Common_SourceData_ClimateZones_Data(), Table_SourceData_ClimateZones[[#Headers],[Climate zone]], 0)</f>
        <v/>
      </c>
      <c r="G94" s="31" t="str" cm="1">
        <f t="array" aca="1" ref="G94" ca="1">Common_InputFunctions.Utility_DisplayArrayInTable(Common_SourceData.Common_SourceData_ClimateZones_Data(), Table_SourceData_ClimateZones[[#Headers],[Climate zone]], 0)</f>
        <v/>
      </c>
      <c r="H94" s="31" t="str" cm="1">
        <f t="array" aca="1" ref="H94" ca="1">Common_InputFunctions.Utility_DisplayArrayInTable(Common_SourceData.Common_SourceData_ClimateZones_Data(), Table_SourceData_ClimateZones[[#Headers],[Climate zone]], 0)</f>
        <v/>
      </c>
      <c r="I94" s="31" t="str" cm="1">
        <f t="array" aca="1" ref="I94" ca="1">Common_InputFunctions.Utility_DisplayArrayInTable(Common_SourceData.Common_SourceData_ClimateZones_Data(), Table_SourceData_ClimateZones[[#Headers],[Climate zone]], 0)</f>
        <v/>
      </c>
      <c r="J94" s="31" t="str" cm="1">
        <f t="array" aca="1" ref="J94" ca="1">Common_InputFunctions.Utility_DisplayArrayInTable(Common_SourceData.Common_SourceData_ClimateZones_Data(), Table_SourceData_ClimateZones[[#Headers],[Climate zone]], 0)</f>
        <v/>
      </c>
      <c r="K94" s="31" t="str" cm="1">
        <f t="array" aca="1" ref="K94" ca="1">Common_InputFunctions.Utility_DisplayArrayInTable(Common_SourceData.Common_SourceData_ClimateZones_Data(), Table_SourceData_ClimateZones[[#Headers],[Climate zone]], 0)</f>
        <v/>
      </c>
      <c r="L94" s="31" t="str" cm="1">
        <f t="array" aca="1" ref="L94" ca="1">Common_InputFunctions.Utility_DisplayArrayInTable(Common_SourceData.Common_SourceData_ClimateZones_Data(), Table_SourceData_ClimateZones[[#Headers],[Climate zone]], 0)</f>
        <v/>
      </c>
      <c r="M94" s="31" t="str" cm="1">
        <f t="array" aca="1" ref="M94" ca="1">Common_InputFunctions.Utility_DisplayArrayInTable(Common_SourceData.Common_SourceData_ClimateZones_Data(), Table_SourceData_ClimateZones[[#Headers],[Climate zone]], 0)</f>
        <v/>
      </c>
      <c r="N94" s="31" t="str" cm="1">
        <f t="array" aca="1" ref="N94" ca="1">Common_InputFunctions.Utility_DisplayArrayInTable(Common_SourceData.Common_SourceData_ClimateZones_Data(), Table_SourceData_ClimateZones[[#Headers],[Climate zone]], 0)</f>
        <v/>
      </c>
      <c r="O94" s="31" t="str" cm="1">
        <f t="array" aca="1" ref="O94" ca="1">Common_InputFunctions.Utility_DisplayArrayInTable(Common_SourceData.Common_SourceData_ClimateZones_Data(), Table_SourceData_ClimateZones[[#Headers],[Climate zone]], 0)</f>
        <v/>
      </c>
      <c r="P94" s="31" t="str" cm="1">
        <f t="array" aca="1" ref="P94" ca="1">Common_InputFunctions.Utility_DisplayArrayInTable(Common_SourceData.Common_SourceData_ClimateZones_Data(), Table_SourceData_ClimateZones[[#Headers],[Climate zone]], 0)</f>
        <v/>
      </c>
      <c r="Q94" s="31" t="str" cm="1">
        <f t="array" aca="1" ref="Q94" ca="1">Common_InputFunctions.Utility_DisplayArrayInTable(Common_SourceData.Common_SourceData_ClimateZones_Data(), Table_SourceData_ClimateZones[[#Headers],[Climate zone]], 0)</f>
        <v/>
      </c>
      <c r="R94" s="31" t="str" cm="1">
        <f t="array" aca="1" ref="R94" ca="1">Common_InputFunctions.Utility_DisplayArrayInTable(Common_SourceData.Common_SourceData_ClimateZones_Data(), Table_SourceData_ClimateZones[[#Headers],[Climate zone]], 0)</f>
        <v/>
      </c>
      <c r="S94" s="31" t="str" cm="1">
        <f t="array" aca="1" ref="S94" ca="1">Common_InputFunctions.Utility_DisplayArrayInTable(Common_SourceData.Common_SourceData_ClimateZones_Data(), Table_SourceData_ClimateZones[[#Headers],[Climate zone]], 0)</f>
        <v/>
      </c>
      <c r="T94" s="31"/>
    </row>
    <row r="95" spans="1:20" ht="20.100000000000001" customHeight="1" x14ac:dyDescent="0.25">
      <c r="A95"/>
      <c r="D95" s="31" t="str" cm="1">
        <f t="array" aca="1" ref="D95" ca="1">Common_InputFunctions.Utility_DisplayArrayInTable(Common_SourceData.Common_SourceData_ClimateZones_Data(), Table_SourceData_ClimateZones[[#Headers],[Climate zone]], 0)</f>
        <v/>
      </c>
      <c r="E95" s="31" t="str" cm="1">
        <f t="array" aca="1" ref="E95" ca="1">Common_InputFunctions.Utility_DisplayArrayInTable(Common_SourceData.Common_SourceData_ClimateZones_Data(), Table_SourceData_ClimateZones[[#Headers],[Climate zone]], 0)</f>
        <v/>
      </c>
      <c r="F95" s="31" t="str" cm="1">
        <f t="array" aca="1" ref="F95" ca="1">Common_InputFunctions.Utility_DisplayArrayInTable(Common_SourceData.Common_SourceData_ClimateZones_Data(), Table_SourceData_ClimateZones[[#Headers],[Climate zone]], 0)</f>
        <v/>
      </c>
      <c r="G95" s="31" t="str" cm="1">
        <f t="array" aca="1" ref="G95" ca="1">Common_InputFunctions.Utility_DisplayArrayInTable(Common_SourceData.Common_SourceData_ClimateZones_Data(), Table_SourceData_ClimateZones[[#Headers],[Climate zone]], 0)</f>
        <v/>
      </c>
      <c r="H95" s="31" t="str" cm="1">
        <f t="array" aca="1" ref="H95" ca="1">Common_InputFunctions.Utility_DisplayArrayInTable(Common_SourceData.Common_SourceData_ClimateZones_Data(), Table_SourceData_ClimateZones[[#Headers],[Climate zone]], 0)</f>
        <v/>
      </c>
      <c r="I95" s="31" t="str" cm="1">
        <f t="array" aca="1" ref="I95" ca="1">Common_InputFunctions.Utility_DisplayArrayInTable(Common_SourceData.Common_SourceData_ClimateZones_Data(), Table_SourceData_ClimateZones[[#Headers],[Climate zone]], 0)</f>
        <v/>
      </c>
      <c r="J95" s="31" t="str" cm="1">
        <f t="array" aca="1" ref="J95" ca="1">Common_InputFunctions.Utility_DisplayArrayInTable(Common_SourceData.Common_SourceData_ClimateZones_Data(), Table_SourceData_ClimateZones[[#Headers],[Climate zone]], 0)</f>
        <v/>
      </c>
      <c r="K95" s="31" t="str" cm="1">
        <f t="array" aca="1" ref="K95" ca="1">Common_InputFunctions.Utility_DisplayArrayInTable(Common_SourceData.Common_SourceData_ClimateZones_Data(), Table_SourceData_ClimateZones[[#Headers],[Climate zone]], 0)</f>
        <v/>
      </c>
      <c r="L95" s="31" t="str" cm="1">
        <f t="array" aca="1" ref="L95" ca="1">Common_InputFunctions.Utility_DisplayArrayInTable(Common_SourceData.Common_SourceData_ClimateZones_Data(), Table_SourceData_ClimateZones[[#Headers],[Climate zone]], 0)</f>
        <v/>
      </c>
      <c r="M95" s="31" t="str" cm="1">
        <f t="array" aca="1" ref="M95" ca="1">Common_InputFunctions.Utility_DisplayArrayInTable(Common_SourceData.Common_SourceData_ClimateZones_Data(), Table_SourceData_ClimateZones[[#Headers],[Climate zone]], 0)</f>
        <v/>
      </c>
      <c r="N95" s="31" t="str" cm="1">
        <f t="array" aca="1" ref="N95" ca="1">Common_InputFunctions.Utility_DisplayArrayInTable(Common_SourceData.Common_SourceData_ClimateZones_Data(), Table_SourceData_ClimateZones[[#Headers],[Climate zone]], 0)</f>
        <v/>
      </c>
      <c r="O95" s="31" t="str" cm="1">
        <f t="array" aca="1" ref="O95" ca="1">Common_InputFunctions.Utility_DisplayArrayInTable(Common_SourceData.Common_SourceData_ClimateZones_Data(), Table_SourceData_ClimateZones[[#Headers],[Climate zone]], 0)</f>
        <v/>
      </c>
      <c r="P95" s="31" t="str" cm="1">
        <f t="array" aca="1" ref="P95" ca="1">Common_InputFunctions.Utility_DisplayArrayInTable(Common_SourceData.Common_SourceData_ClimateZones_Data(), Table_SourceData_ClimateZones[[#Headers],[Climate zone]], 0)</f>
        <v/>
      </c>
      <c r="Q95" s="31" t="str" cm="1">
        <f t="array" aca="1" ref="Q95" ca="1">Common_InputFunctions.Utility_DisplayArrayInTable(Common_SourceData.Common_SourceData_ClimateZones_Data(), Table_SourceData_ClimateZones[[#Headers],[Climate zone]], 0)</f>
        <v/>
      </c>
      <c r="R95" s="31" t="str" cm="1">
        <f t="array" aca="1" ref="R95" ca="1">Common_InputFunctions.Utility_DisplayArrayInTable(Common_SourceData.Common_SourceData_ClimateZones_Data(), Table_SourceData_ClimateZones[[#Headers],[Climate zone]], 0)</f>
        <v/>
      </c>
      <c r="S95" s="31" t="str" cm="1">
        <f t="array" aca="1" ref="S95" ca="1">Common_InputFunctions.Utility_DisplayArrayInTable(Common_SourceData.Common_SourceData_ClimateZones_Data(), Table_SourceData_ClimateZones[[#Headers],[Climate zone]], 0)</f>
        <v/>
      </c>
      <c r="T95" s="31"/>
    </row>
    <row r="96" spans="1:20" ht="20.100000000000001" customHeight="1" x14ac:dyDescent="0.25">
      <c r="A96"/>
      <c r="D96" s="31" t="str" cm="1">
        <f t="array" aca="1" ref="D96" ca="1">Common_InputFunctions.Utility_DisplayArrayInTable(Common_SourceData.Common_SourceData_ClimateZones_Data(), Table_SourceData_ClimateZones[[#Headers],[Climate zone]], 0)</f>
        <v/>
      </c>
      <c r="E96" s="31" t="str" cm="1">
        <f t="array" aca="1" ref="E96" ca="1">Common_InputFunctions.Utility_DisplayArrayInTable(Common_SourceData.Common_SourceData_ClimateZones_Data(), Table_SourceData_ClimateZones[[#Headers],[Climate zone]], 0)</f>
        <v/>
      </c>
      <c r="F96" s="31" t="str" cm="1">
        <f t="array" aca="1" ref="F96" ca="1">Common_InputFunctions.Utility_DisplayArrayInTable(Common_SourceData.Common_SourceData_ClimateZones_Data(), Table_SourceData_ClimateZones[[#Headers],[Climate zone]], 0)</f>
        <v/>
      </c>
      <c r="G96" s="31" t="str" cm="1">
        <f t="array" aca="1" ref="G96" ca="1">Common_InputFunctions.Utility_DisplayArrayInTable(Common_SourceData.Common_SourceData_ClimateZones_Data(), Table_SourceData_ClimateZones[[#Headers],[Climate zone]], 0)</f>
        <v/>
      </c>
      <c r="H96" s="31" t="str" cm="1">
        <f t="array" aca="1" ref="H96" ca="1">Common_InputFunctions.Utility_DisplayArrayInTable(Common_SourceData.Common_SourceData_ClimateZones_Data(), Table_SourceData_ClimateZones[[#Headers],[Climate zone]], 0)</f>
        <v/>
      </c>
      <c r="I96" s="31" t="str" cm="1">
        <f t="array" aca="1" ref="I96" ca="1">Common_InputFunctions.Utility_DisplayArrayInTable(Common_SourceData.Common_SourceData_ClimateZones_Data(), Table_SourceData_ClimateZones[[#Headers],[Climate zone]], 0)</f>
        <v/>
      </c>
      <c r="J96" s="31" t="str" cm="1">
        <f t="array" aca="1" ref="J96" ca="1">Common_InputFunctions.Utility_DisplayArrayInTable(Common_SourceData.Common_SourceData_ClimateZones_Data(), Table_SourceData_ClimateZones[[#Headers],[Climate zone]], 0)</f>
        <v/>
      </c>
      <c r="K96" s="31" t="str" cm="1">
        <f t="array" aca="1" ref="K96" ca="1">Common_InputFunctions.Utility_DisplayArrayInTable(Common_SourceData.Common_SourceData_ClimateZones_Data(), Table_SourceData_ClimateZones[[#Headers],[Climate zone]], 0)</f>
        <v/>
      </c>
      <c r="L96" s="31" t="str" cm="1">
        <f t="array" aca="1" ref="L96" ca="1">Common_InputFunctions.Utility_DisplayArrayInTable(Common_SourceData.Common_SourceData_ClimateZones_Data(), Table_SourceData_ClimateZones[[#Headers],[Climate zone]], 0)</f>
        <v/>
      </c>
      <c r="M96" s="31" t="str" cm="1">
        <f t="array" aca="1" ref="M96" ca="1">Common_InputFunctions.Utility_DisplayArrayInTable(Common_SourceData.Common_SourceData_ClimateZones_Data(), Table_SourceData_ClimateZones[[#Headers],[Climate zone]], 0)</f>
        <v/>
      </c>
      <c r="N96" s="31" t="str" cm="1">
        <f t="array" aca="1" ref="N96" ca="1">Common_InputFunctions.Utility_DisplayArrayInTable(Common_SourceData.Common_SourceData_ClimateZones_Data(), Table_SourceData_ClimateZones[[#Headers],[Climate zone]], 0)</f>
        <v/>
      </c>
      <c r="O96" s="31" t="str" cm="1">
        <f t="array" aca="1" ref="O96" ca="1">Common_InputFunctions.Utility_DisplayArrayInTable(Common_SourceData.Common_SourceData_ClimateZones_Data(), Table_SourceData_ClimateZones[[#Headers],[Climate zone]], 0)</f>
        <v/>
      </c>
      <c r="P96" s="31" t="str" cm="1">
        <f t="array" aca="1" ref="P96" ca="1">Common_InputFunctions.Utility_DisplayArrayInTable(Common_SourceData.Common_SourceData_ClimateZones_Data(), Table_SourceData_ClimateZones[[#Headers],[Climate zone]], 0)</f>
        <v/>
      </c>
      <c r="Q96" s="31" t="str" cm="1">
        <f t="array" aca="1" ref="Q96" ca="1">Common_InputFunctions.Utility_DisplayArrayInTable(Common_SourceData.Common_SourceData_ClimateZones_Data(), Table_SourceData_ClimateZones[[#Headers],[Climate zone]], 0)</f>
        <v/>
      </c>
      <c r="R96" s="31" t="str" cm="1">
        <f t="array" aca="1" ref="R96" ca="1">Common_InputFunctions.Utility_DisplayArrayInTable(Common_SourceData.Common_SourceData_ClimateZones_Data(), Table_SourceData_ClimateZones[[#Headers],[Climate zone]], 0)</f>
        <v/>
      </c>
      <c r="S96" s="31" t="str" cm="1">
        <f t="array" aca="1" ref="S96" ca="1">Common_InputFunctions.Utility_DisplayArrayInTable(Common_SourceData.Common_SourceData_ClimateZones_Data(), Table_SourceData_ClimateZones[[#Headers],[Climate zone]], 0)</f>
        <v/>
      </c>
      <c r="T96" s="31"/>
    </row>
    <row r="97" spans="1:20" ht="20.100000000000001" customHeight="1" x14ac:dyDescent="0.25">
      <c r="A97"/>
      <c r="D97" s="31" t="str" cm="1">
        <f t="array" aca="1" ref="D97" ca="1">Common_InputFunctions.Utility_DisplayArrayInTable(Common_SourceData.Common_SourceData_ClimateZones_Data(), Table_SourceData_ClimateZones[[#Headers],[Climate zone]], 0)</f>
        <v/>
      </c>
      <c r="E97" s="31" t="str" cm="1">
        <f t="array" aca="1" ref="E97" ca="1">Common_InputFunctions.Utility_DisplayArrayInTable(Common_SourceData.Common_SourceData_ClimateZones_Data(), Table_SourceData_ClimateZones[[#Headers],[Climate zone]], 0)</f>
        <v/>
      </c>
      <c r="F97" s="31" t="str" cm="1">
        <f t="array" aca="1" ref="F97" ca="1">Common_InputFunctions.Utility_DisplayArrayInTable(Common_SourceData.Common_SourceData_ClimateZones_Data(), Table_SourceData_ClimateZones[[#Headers],[Climate zone]], 0)</f>
        <v/>
      </c>
      <c r="G97" s="31" t="str" cm="1">
        <f t="array" aca="1" ref="G97" ca="1">Common_InputFunctions.Utility_DisplayArrayInTable(Common_SourceData.Common_SourceData_ClimateZones_Data(), Table_SourceData_ClimateZones[[#Headers],[Climate zone]], 0)</f>
        <v/>
      </c>
      <c r="H97" s="31" t="str" cm="1">
        <f t="array" aca="1" ref="H97" ca="1">Common_InputFunctions.Utility_DisplayArrayInTable(Common_SourceData.Common_SourceData_ClimateZones_Data(), Table_SourceData_ClimateZones[[#Headers],[Climate zone]], 0)</f>
        <v/>
      </c>
      <c r="I97" s="31" t="str" cm="1">
        <f t="array" aca="1" ref="I97" ca="1">Common_InputFunctions.Utility_DisplayArrayInTable(Common_SourceData.Common_SourceData_ClimateZones_Data(), Table_SourceData_ClimateZones[[#Headers],[Climate zone]], 0)</f>
        <v/>
      </c>
      <c r="J97" s="31" t="str" cm="1">
        <f t="array" aca="1" ref="J97" ca="1">Common_InputFunctions.Utility_DisplayArrayInTable(Common_SourceData.Common_SourceData_ClimateZones_Data(), Table_SourceData_ClimateZones[[#Headers],[Climate zone]], 0)</f>
        <v/>
      </c>
      <c r="K97" s="31" t="str" cm="1">
        <f t="array" aca="1" ref="K97" ca="1">Common_InputFunctions.Utility_DisplayArrayInTable(Common_SourceData.Common_SourceData_ClimateZones_Data(), Table_SourceData_ClimateZones[[#Headers],[Climate zone]], 0)</f>
        <v/>
      </c>
      <c r="L97" s="31" t="str" cm="1">
        <f t="array" aca="1" ref="L97" ca="1">Common_InputFunctions.Utility_DisplayArrayInTable(Common_SourceData.Common_SourceData_ClimateZones_Data(), Table_SourceData_ClimateZones[[#Headers],[Climate zone]], 0)</f>
        <v/>
      </c>
      <c r="M97" s="31" t="str" cm="1">
        <f t="array" aca="1" ref="M97" ca="1">Common_InputFunctions.Utility_DisplayArrayInTable(Common_SourceData.Common_SourceData_ClimateZones_Data(), Table_SourceData_ClimateZones[[#Headers],[Climate zone]], 0)</f>
        <v/>
      </c>
      <c r="N97" s="31" t="str" cm="1">
        <f t="array" aca="1" ref="N97" ca="1">Common_InputFunctions.Utility_DisplayArrayInTable(Common_SourceData.Common_SourceData_ClimateZones_Data(), Table_SourceData_ClimateZones[[#Headers],[Climate zone]], 0)</f>
        <v/>
      </c>
      <c r="O97" s="31" t="str" cm="1">
        <f t="array" aca="1" ref="O97" ca="1">Common_InputFunctions.Utility_DisplayArrayInTable(Common_SourceData.Common_SourceData_ClimateZones_Data(), Table_SourceData_ClimateZones[[#Headers],[Climate zone]], 0)</f>
        <v/>
      </c>
      <c r="P97" s="31" t="str" cm="1">
        <f t="array" aca="1" ref="P97" ca="1">Common_InputFunctions.Utility_DisplayArrayInTable(Common_SourceData.Common_SourceData_ClimateZones_Data(), Table_SourceData_ClimateZones[[#Headers],[Climate zone]], 0)</f>
        <v/>
      </c>
      <c r="Q97" s="31" t="str" cm="1">
        <f t="array" aca="1" ref="Q97" ca="1">Common_InputFunctions.Utility_DisplayArrayInTable(Common_SourceData.Common_SourceData_ClimateZones_Data(), Table_SourceData_ClimateZones[[#Headers],[Climate zone]], 0)</f>
        <v/>
      </c>
      <c r="R97" s="31" t="str" cm="1">
        <f t="array" aca="1" ref="R97" ca="1">Common_InputFunctions.Utility_DisplayArrayInTable(Common_SourceData.Common_SourceData_ClimateZones_Data(), Table_SourceData_ClimateZones[[#Headers],[Climate zone]], 0)</f>
        <v/>
      </c>
      <c r="S97" s="31" t="str" cm="1">
        <f t="array" aca="1" ref="S97" ca="1">Common_InputFunctions.Utility_DisplayArrayInTable(Common_SourceData.Common_SourceData_ClimateZones_Data(), Table_SourceData_ClimateZones[[#Headers],[Climate zone]], 0)</f>
        <v/>
      </c>
      <c r="T97" s="31"/>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49</v>
      </c>
      <c r="E109" s="31" t="s">
        <v>34</v>
      </c>
      <c r="F109" s="31" t="s">
        <v>50</v>
      </c>
      <c r="G109" s="31" t="s">
        <v>51</v>
      </c>
    </row>
    <row r="110" spans="1:20" ht="20.100000000000001" customHeight="1" x14ac:dyDescent="0.25">
      <c r="A110"/>
      <c r="D110" s="31" t="str" cm="1">
        <f t="array" aca="1" ref="D110" ca="1">Common_InputFunctions.Utility_DisplayArrayInTable(Common_SourceData.Common_SourceData_TemperatureZones_Data(),Table_SourceData_TemperatureZones[[#Headers],[Temperature Zone]],0)</f>
        <v/>
      </c>
      <c r="E110" s="31" t="str" cm="1">
        <f t="array" aca="1" ref="E110" ca="1">Common_InputFunctions.Utility_DisplayArrayInTable(Common_SourceData.Common_SourceData_TemperatureZones_Data(),Table_SourceData_TemperatureZones[[#Headers],[Temperature Zone]],0)</f>
        <v/>
      </c>
      <c r="F110" s="31" t="str" cm="1">
        <f t="array" aca="1" ref="F110" ca="1">Common_InputFunctions.Utility_DisplayArrayInTable(Common_SourceData.Common_SourceData_TemperatureZones_Data(),Table_SourceData_TemperatureZones[[#Headers],[Temperature Zone]],0)</f>
        <v/>
      </c>
      <c r="G110" s="31" t="str" cm="1">
        <f t="array" aca="1" ref="G110" ca="1">Common_InputFunctions.Utility_DisplayArrayInTable(Common_SourceData.Common_SourceData_TemperatureZones_Data(),Table_SourceData_TemperatureZones[[#Headers],[Temperature Zone]],0)</f>
        <v/>
      </c>
    </row>
    <row r="111" spans="1:20" ht="20.100000000000001" customHeight="1" x14ac:dyDescent="0.25">
      <c r="A111"/>
      <c r="D111" s="31" t="str" cm="1">
        <f t="array" aca="1" ref="D111" ca="1">Common_InputFunctions.Utility_DisplayArrayInTable(Common_SourceData.Common_SourceData_TemperatureZones_Data(),Table_SourceData_TemperatureZones[[#Headers],[Temperature Zone]],0)</f>
        <v/>
      </c>
      <c r="E111" s="31" t="str" cm="1">
        <f t="array" aca="1" ref="E111" ca="1">Common_InputFunctions.Utility_DisplayArrayInTable(Common_SourceData.Common_SourceData_TemperatureZones_Data(),Table_SourceData_TemperatureZones[[#Headers],[Temperature Zone]],0)</f>
        <v/>
      </c>
      <c r="F111" s="31" t="str" cm="1">
        <f t="array" aca="1" ref="F111" ca="1">Common_InputFunctions.Utility_DisplayArrayInTable(Common_SourceData.Common_SourceData_TemperatureZones_Data(),Table_SourceData_TemperatureZones[[#Headers],[Temperature Zone]],0)</f>
        <v/>
      </c>
      <c r="G111" s="31" t="str" cm="1">
        <f t="array" aca="1" ref="G111" ca="1">Common_InputFunctions.Utility_DisplayArrayInTable(Common_SourceData.Common_SourceData_TemperatureZones_Data(),Table_SourceData_TemperatureZones[[#Headers],[Temperature Zone]],0)</f>
        <v/>
      </c>
    </row>
    <row r="112" spans="1:20" ht="20.100000000000001" customHeight="1" x14ac:dyDescent="0.25">
      <c r="A112"/>
      <c r="D112" s="31" t="str" cm="1">
        <f t="array" aca="1" ref="D112" ca="1">Common_InputFunctions.Utility_DisplayArrayInTable(Common_SourceData.Common_SourceData_TemperatureZones_Data(),Table_SourceData_TemperatureZones[[#Headers],[Temperature Zone]],0)</f>
        <v/>
      </c>
      <c r="E112" s="31" t="str" cm="1">
        <f t="array" aca="1" ref="E112" ca="1">Common_InputFunctions.Utility_DisplayArrayInTable(Common_SourceData.Common_SourceData_TemperatureZones_Data(),Table_SourceData_TemperatureZones[[#Headers],[Temperature Zone]],0)</f>
        <v/>
      </c>
      <c r="F112" s="31" t="str" cm="1">
        <f t="array" aca="1" ref="F112" ca="1">Common_InputFunctions.Utility_DisplayArrayInTable(Common_SourceData.Common_SourceData_TemperatureZones_Data(),Table_SourceData_TemperatureZones[[#Headers],[Temperature Zone]],0)</f>
        <v/>
      </c>
      <c r="G112" s="31" t="str" cm="1">
        <f t="array" aca="1" ref="G112" ca="1">Common_InputFunctions.Utility_DisplayArrayInTable(Common_SourceData.Common_SourceData_TemperatureZones_Data(),Table_SourceData_TemperatureZones[[#Headers],[Temperature Zone]],0)</f>
        <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52</v>
      </c>
      <c r="E119" s="31" t="s">
        <v>53</v>
      </c>
      <c r="F119" s="31" t="s">
        <v>41</v>
      </c>
      <c r="G119" s="31" t="s">
        <v>42</v>
      </c>
      <c r="BN119" s="33"/>
    </row>
    <row r="120" spans="1:66" ht="20.100000000000001" customHeight="1" x14ac:dyDescent="0.25">
      <c r="A120"/>
      <c r="D120" s="31" t="str" cm="1">
        <f t="array" aca="1" ref="D120" ca="1">Common_InputFunctions.Utility_DisplayArrayInTable(Common_SourceData.Common_SourceData_RainfallZones_Data(),Table_SourceData_RainfallZones[[#Headers],[Rainfall Zone]],0)</f>
        <v/>
      </c>
      <c r="E120" s="31" t="str" cm="1">
        <f t="array" aca="1" ref="E120" ca="1">Common_InputFunctions.Utility_DisplayArrayInTable(Common_SourceData.Common_SourceData_RainfallZones_Data(),Table_SourceData_RainfallZones[[#Headers],[Rainfall Zone]],0)</f>
        <v/>
      </c>
      <c r="F120" s="31" t="str" cm="1">
        <f t="array" aca="1" ref="F120" ca="1">Common_InputFunctions.Utility_DisplayArrayInTable(Common_SourceData.Common_SourceData_RainfallZones_Data(),Table_SourceData_RainfallZones[[#Headers],[Rainfall Zone]],0)</f>
        <v/>
      </c>
      <c r="G120" s="31" t="str" cm="1">
        <f t="array" aca="1" ref="G120" ca="1">Common_InputFunctions.Utility_DisplayArrayInTable(Common_SourceData.Common_SourceData_RainfallZones_Data(),Table_SourceData_RainfallZones[[#Headers],[Rainfall Zone]],0)</f>
        <v/>
      </c>
      <c r="BN120" s="33"/>
    </row>
    <row r="121" spans="1:66" ht="20.100000000000001" customHeight="1" x14ac:dyDescent="0.25">
      <c r="A121"/>
      <c r="D121" s="31" t="str" cm="1">
        <f t="array" aca="1" ref="D121" ca="1">Common_InputFunctions.Utility_DisplayArrayInTable(Common_SourceData.Common_SourceData_RainfallZones_Data(),Table_SourceData_RainfallZones[[#Headers],[Rainfall Zone]],0)</f>
        <v/>
      </c>
      <c r="E121" s="31" t="str" cm="1">
        <f t="array" aca="1" ref="E121" ca="1">Common_InputFunctions.Utility_DisplayArrayInTable(Common_SourceData.Common_SourceData_RainfallZones_Data(),Table_SourceData_RainfallZones[[#Headers],[Rainfall Zone]],0)</f>
        <v/>
      </c>
      <c r="F121" s="31" t="str" cm="1">
        <f t="array" aca="1" ref="F121" ca="1">Common_InputFunctions.Utility_DisplayArrayInTable(Common_SourceData.Common_SourceData_RainfallZones_Data(),Table_SourceData_RainfallZones[[#Headers],[Rainfall Zone]],0)</f>
        <v/>
      </c>
      <c r="G121" s="31" t="str" cm="1">
        <f t="array" aca="1" ref="G121" ca="1">Common_InputFunctions.Utility_DisplayArrayInTable(Common_SourceData.Common_SourceData_RainfallZones_Data(),Table_SourceData_RainfallZones[[#Headers],[Rainfall Zone]],0)</f>
        <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54</v>
      </c>
      <c r="E127" s="31" t="s">
        <v>55</v>
      </c>
    </row>
    <row r="128" spans="1:66" ht="20.100000000000001" customHeight="1" x14ac:dyDescent="0.25">
      <c r="A128"/>
      <c r="D128" s="31" t="str" cm="1">
        <f t="array" aca="1" ref="D128" ca="1">Common_InputFunctions.Utility_DisplayArrayInTable(Common_SourceData.Common_SourceData_LeachingZones_Data(), Table_SourceData_LeachingZones[[#Headers],[Leaching Zone]], 0)</f>
        <v/>
      </c>
      <c r="E128" s="31" t="str" cm="1">
        <f t="array" aca="1" ref="E128" ca="1">Common_InputFunctions.Utility_DisplayArrayInTable(Common_SourceData.Common_SourceData_LeachingZones_Data(), Table_SourceData_LeachingZones[[#Headers],[Leaching Zone]], 0)</f>
        <v/>
      </c>
    </row>
    <row r="129" spans="1:77" ht="20.100000000000001" customHeight="1" x14ac:dyDescent="0.25">
      <c r="A129"/>
      <c r="D129" s="31" t="str" cm="1">
        <f t="array" aca="1" ref="D129" ca="1">Common_InputFunctions.Utility_DisplayArrayInTable(Common_SourceData.Common_SourceData_LeachingZones_Data(), Table_SourceData_LeachingZones[[#Headers],[Leaching Zone]], 0)</f>
        <v/>
      </c>
      <c r="E129" s="31" t="str" cm="1">
        <f t="array" aca="1" ref="E129" ca="1">Common_InputFunctions.Utility_DisplayArrayInTable(Common_SourceData.Common_SourceData_LeachingZones_Data(), Table_SourceData_LeachingZones[[#Headers],[Leaching Zone]], 0)</f>
        <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aca="1" ref="D135" ca="1">Common_InputFunctions.Utility_DisplayArrayInTable(Common_SourceData.Common_SourceData_FracWET_Data(),Table_SourceData_FracWET[[#Headers],[Is in leaching zone]],0)</f>
        <v/>
      </c>
      <c r="E135" t="str" cm="1">
        <f t="array" aca="1" ref="E135" ca="1">Common_InputFunctions.Utility_DisplayArrayInTable(Common_SourceData.Common_SourceData_FracWET_Data(),Table_SourceData_FracWET[[#Headers],[Is in leaching zone]],0)</f>
        <v/>
      </c>
    </row>
    <row r="136" spans="1:77" ht="20.100000000000001" customHeight="1" x14ac:dyDescent="0.25">
      <c r="A136"/>
      <c r="D136" s="1" t="str" cm="1">
        <f t="array" aca="1" ref="D136" ca="1">Common_InputFunctions.Utility_DisplayArrayInTable(Common_SourceData.Common_SourceData_FracWET_Data(),Table_SourceData_FracWET[[#Headers],[Is in leaching zone]],0)</f>
        <v/>
      </c>
      <c r="E136" s="31" t="str" cm="1">
        <f t="array" aca="1" ref="E136" ca="1">Common_InputFunctions.Utility_DisplayArrayInTable(Common_SourceData.Common_SourceData_FracWET_Data(),Table_SourceData_FracWET[[#Headers],[Is in leaching zone]],0)</f>
        <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58</v>
      </c>
      <c r="E142" s="31" t="s">
        <v>57</v>
      </c>
      <c r="BN142" s="33"/>
    </row>
    <row r="143" spans="1:77" ht="20.100000000000001" customHeight="1" x14ac:dyDescent="0.25">
      <c r="A143"/>
      <c r="D143" s="31" t="str" cm="1">
        <f t="array" aca="1" ref="D143" ca="1">Common_InputFunctions.Utility_DisplayArrayInTable(Common_SourceData.Common_SourceData_FracWETIrrigation_Data(), Table_SourceData_FracWETIrrigation[[#Headers],[Irrigation type i]], 0)</f>
        <v/>
      </c>
      <c r="E143" s="31" t="str" cm="1">
        <f t="array" aca="1" ref="E143" ca="1">Common_InputFunctions.Utility_DisplayArrayInTable(Common_SourceData.Common_SourceData_FracWETIrrigation_Data(), Table_SourceData_FracWETIrrigation[[#Headers],[Irrigation type i]], 0)</f>
        <v/>
      </c>
      <c r="BN143" s="33"/>
    </row>
    <row r="144" spans="1:77" ht="20.100000000000001" customHeight="1" x14ac:dyDescent="0.25">
      <c r="A144"/>
      <c r="D144" s="1" t="str" cm="1">
        <f t="array" aca="1" ref="D144" ca="1">Common_InputFunctions.Utility_DisplayArrayInTable(Common_SourceData.Common_SourceData_FracWETIrrigation_Data(), Table_SourceData_FracWETIrrigation[[#Headers],[Irrigation type i]], 0)</f>
        <v/>
      </c>
      <c r="E144" s="31" t="str" cm="1">
        <f t="array" aca="1" ref="E144" ca="1">Common_InputFunctions.Utility_DisplayArrayInTable(Common_SourceData.Common_SourceData_FracWETIrrigation_Data(), Table_SourceData_FracWETIrrigation[[#Headers],[Irrigation type i]], 0)</f>
        <v/>
      </c>
      <c r="BN144" s="33"/>
    </row>
    <row r="145" spans="1:66" ht="20.100000000000001" customHeight="1" x14ac:dyDescent="0.25">
      <c r="A145"/>
      <c r="D145" s="1" t="str" cm="1">
        <f t="array" aca="1" ref="D145" ca="1">Common_InputFunctions.Utility_DisplayArrayInTable(Common_SourceData.Common_SourceData_FracWETIrrigation_Data(), Table_SourceData_FracWETIrrigation[[#Headers],[Irrigation type i]], 0)</f>
        <v/>
      </c>
      <c r="E145" s="31" t="str" cm="1">
        <f t="array" aca="1" ref="E145" ca="1">Common_InputFunctions.Utility_DisplayArrayInTable(Common_SourceData.Common_SourceData_FracWETIrrigation_Data(), Table_SourceData_FracWETIrrigation[[#Headers],[Irrigation type i]], 0)</f>
        <v/>
      </c>
      <c r="BN145" s="33"/>
    </row>
    <row r="146" spans="1:66" ht="20.100000000000001" customHeight="1" x14ac:dyDescent="0.25">
      <c r="A146"/>
      <c r="D146" s="1" t="str" cm="1">
        <f t="array" aca="1" ref="D146" ca="1">Common_InputFunctions.Utility_DisplayArrayInTable(Common_SourceData.Common_SourceData_FracWETIrrigation_Data(), Table_SourceData_FracWETIrrigation[[#Headers],[Irrigation type i]], 0)</f>
        <v/>
      </c>
      <c r="E146" s="31" t="str" cm="1">
        <f t="array" aca="1" ref="E146" ca="1">Common_InputFunctions.Utility_DisplayArrayInTable(Common_SourceData.Common_SourceData_FracWETIrrigation_Data(), Table_SourceData_FracWETIrrigation[[#Headers],[Irrigation type i]], 0)</f>
        <v/>
      </c>
      <c r="BN146" s="33"/>
    </row>
    <row r="147" spans="1:66" ht="20.100000000000001" customHeight="1" x14ac:dyDescent="0.25">
      <c r="A147"/>
      <c r="D147" s="1" t="str" cm="1">
        <f t="array" aca="1" ref="D147" ca="1">Common_InputFunctions.Utility_DisplayArrayInTable(Common_SourceData.Common_SourceData_FracWETIrrigation_Data(), Table_SourceData_FracWETIrrigation[[#Headers],[Irrigation type i]], 0)</f>
        <v/>
      </c>
      <c r="E147" s="31" t="str" cm="1">
        <f t="array" aca="1" ref="E147" ca="1">Common_InputFunctions.Utility_DisplayArrayInTable(Common_SourceData.Common_SourceData_FracWETIrrigation_Data(), Table_SourceData_FracWETIrrigation[[#Headers],[Irrigation type i]], 0)</f>
        <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59</v>
      </c>
      <c r="E153" s="31" t="s">
        <v>60</v>
      </c>
      <c r="BC153" s="36"/>
      <c r="BD153" s="36"/>
      <c r="BE153" s="36"/>
      <c r="BF153" s="36"/>
      <c r="BG153" s="36"/>
      <c r="BH153" s="36"/>
      <c r="BI153" s="36"/>
      <c r="BJ153" s="36"/>
      <c r="BK153" s="36"/>
      <c r="BL153" s="36"/>
      <c r="BM153" s="36"/>
    </row>
    <row r="154" spans="1:66" ht="20.100000000000001" customHeight="1" x14ac:dyDescent="0.25">
      <c r="A154"/>
      <c r="D154" s="31" t="str" cm="1">
        <f t="array" aca="1" ref="D154" ca="1">Common_InputFunctions.Utility_DisplayArrayInTable(Common_SourceData.Common_SourceData_DataScores_Scope3_Data(), Table_SourceData_DataScores_Scope3[[#Headers],[Data source]], 0)</f>
        <v/>
      </c>
      <c r="E154" s="31" t="str" cm="1">
        <f t="array" aca="1" ref="E154" ca="1">Common_InputFunctions.Utility_DisplayArrayInTable(Common_SourceData.Common_SourceData_DataScores_Scope3_Data(), Table_SourceData_DataScores_Scope3[[#Headers],[Data source]], 0)</f>
        <v/>
      </c>
      <c r="BC154" s="36"/>
      <c r="BD154" s="36"/>
      <c r="BE154" s="36"/>
      <c r="BF154" s="36"/>
      <c r="BG154" s="36"/>
      <c r="BH154" s="36"/>
      <c r="BI154" s="36"/>
      <c r="BJ154" s="36"/>
      <c r="BK154" s="36"/>
      <c r="BL154" s="36"/>
      <c r="BM154" s="36"/>
    </row>
    <row r="155" spans="1:66" ht="20.100000000000001" customHeight="1" x14ac:dyDescent="0.25">
      <c r="A155"/>
      <c r="D155" s="31" t="str" cm="1">
        <f t="array" aca="1" ref="D155" ca="1">Common_InputFunctions.Utility_DisplayArrayInTable(Common_SourceData.Common_SourceData_DataScores_Scope3_Data(), Table_SourceData_DataScores_Scope3[[#Headers],[Data source]], 0)</f>
        <v/>
      </c>
      <c r="E155" s="31" t="str" cm="1">
        <f t="array" aca="1" ref="E155" ca="1">Common_InputFunctions.Utility_DisplayArrayInTable(Common_SourceData.Common_SourceData_DataScores_Scope3_Data(), Table_SourceData_DataScores_Scope3[[#Headers],[Data source]], 0)</f>
        <v/>
      </c>
      <c r="BC155" s="36"/>
      <c r="BD155" s="36"/>
      <c r="BE155" s="36"/>
      <c r="BF155" s="36"/>
      <c r="BG155" s="36"/>
      <c r="BH155" s="36"/>
      <c r="BI155" s="36"/>
      <c r="BJ155" s="36"/>
      <c r="BK155" s="36"/>
      <c r="BL155" s="36"/>
      <c r="BM155" s="36"/>
    </row>
    <row r="156" spans="1:66" ht="20.100000000000001" customHeight="1" x14ac:dyDescent="0.25">
      <c r="A156"/>
      <c r="D156" s="31" t="str" cm="1">
        <f t="array" aca="1" ref="D156" ca="1">Common_InputFunctions.Utility_DisplayArrayInTable(Common_SourceData.Common_SourceData_DataScores_Scope3_Data(), Table_SourceData_DataScores_Scope3[[#Headers],[Data source]], 0)</f>
        <v/>
      </c>
      <c r="E156" s="31" t="str" cm="1">
        <f t="array" aca="1" ref="E156" ca="1">Common_InputFunctions.Utility_DisplayArrayInTable(Common_SourceData.Common_SourceData_DataScores_Scope3_Data(), Table_SourceData_DataScores_Scope3[[#Headers],[Data source]], 0)</f>
        <v/>
      </c>
    </row>
    <row r="157" spans="1:66" ht="20.100000000000001" customHeight="1" x14ac:dyDescent="0.25">
      <c r="A157"/>
      <c r="D157" s="31" t="str" cm="1">
        <f t="array" aca="1" ref="D157" ca="1">Common_InputFunctions.Utility_DisplayArrayInTable(Common_SourceData.Common_SourceData_DataScores_Scope3_Data(), Table_SourceData_DataScores_Scope3[[#Headers],[Data source]], 0)</f>
        <v/>
      </c>
      <c r="E157" s="31" t="str" cm="1">
        <f t="array" aca="1" ref="E157" ca="1">Common_InputFunctions.Utility_DisplayArrayInTable(Common_SourceData.Common_SourceData_DataScores_Scope3_Data(), Table_SourceData_DataScores_Scope3[[#Headers],[Data source]], 0)</f>
        <v/>
      </c>
    </row>
    <row r="158" spans="1:66" ht="20.100000000000001" customHeight="1" x14ac:dyDescent="0.25">
      <c r="A158"/>
      <c r="D158" s="31" t="str" cm="1">
        <f t="array" aca="1" ref="D158" ca="1">Common_InputFunctions.Utility_DisplayArrayInTable(Common_SourceData.Common_SourceData_DataScores_Scope3_Data(), Table_SourceData_DataScores_Scope3[[#Headers],[Data source]], 0)</f>
        <v/>
      </c>
      <c r="E158" s="31" t="str" cm="1">
        <f t="array" aca="1" ref="E158" ca="1">Common_InputFunctions.Utility_DisplayArrayInTable(Common_SourceData.Common_SourceData_DataScores_Scope3_Data(), Table_SourceData_DataScores_Scope3[[#Headers],[Data source]], 0)</f>
        <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aca="1" ref="D187" ca="1">Common_InputFunctions.Utility_DisplayArrayInTable(Common_SourceData.Common_SourceData_EFN2O_Data(), Table_SourceData_Common_EFN2O[[#Headers],[Production system j]], 0)</f>
        <v/>
      </c>
      <c r="E187" s="31" t="str" cm="1">
        <f t="array" aca="1" ref="E187" ca="1">Common_InputFunctions.Utility_DisplayArrayInTable(Common_SourceData.Common_SourceData_EFN2O_Data(), Table_SourceData_Common_EFN2O[[#Headers],[Production system j]], 0)</f>
        <v/>
      </c>
      <c r="F187" s="31" t="str" cm="1">
        <f t="array" aca="1" ref="F187" ca="1">Common_InputFunctions.Utility_DisplayArrayInTable(Common_SourceData.Common_SourceData_EFN2O_Data(), Table_SourceData_Common_EFN2O[[#Headers],[Production system j]], 0)</f>
        <v/>
      </c>
      <c r="G187" s="31" t="str" cm="1">
        <f t="array" aca="1" ref="G187" ca="1">Common_InputFunctions.Utility_DisplayArrayInTable(Common_SourceData.Common_SourceData_EFN2O_Data(), Table_SourceData_Common_EFN2O[[#Headers],[Production system j]], 0)</f>
        <v/>
      </c>
      <c r="H187" s="31" t="str" cm="1">
        <f t="array" aca="1" ref="H187" ca="1">Common_InputFunctions.Utility_DisplayArrayInTable(Common_SourceData.Common_SourceData_EFN2O_Data(), Table_SourceData_Common_EFN2O[[#Headers],[Production system j]], 0)</f>
        <v/>
      </c>
    </row>
    <row r="188" spans="4:68" ht="20.100000000000001" customHeight="1" x14ac:dyDescent="0.25">
      <c r="D188" s="31" t="str" cm="1">
        <f t="array" aca="1" ref="D188" ca="1">Common_InputFunctions.Utility_DisplayArrayInTable(Common_SourceData.Common_SourceData_EFN2O_Data(), Table_SourceData_Common_EFN2O[[#Headers],[Production system j]], 0)</f>
        <v/>
      </c>
      <c r="E188" s="31" t="str" cm="1">
        <f t="array" aca="1" ref="E188" ca="1">Common_InputFunctions.Utility_DisplayArrayInTable(Common_SourceData.Common_SourceData_EFN2O_Data(), Table_SourceData_Common_EFN2O[[#Headers],[Production system j]], 0)</f>
        <v/>
      </c>
      <c r="F188" s="31" t="str" cm="1">
        <f t="array" aca="1" ref="F188" ca="1">Common_InputFunctions.Utility_DisplayArrayInTable(Common_SourceData.Common_SourceData_EFN2O_Data(), Table_SourceData_Common_EFN2O[[#Headers],[Production system j]], 0)</f>
        <v/>
      </c>
      <c r="G188" s="31" t="str" cm="1">
        <f t="array" aca="1" ref="G188" ca="1">Common_InputFunctions.Utility_DisplayArrayInTable(Common_SourceData.Common_SourceData_EFN2O_Data(), Table_SourceData_Common_EFN2O[[#Headers],[Production system j]], 0)</f>
        <v/>
      </c>
      <c r="H188" s="31" t="str" cm="1">
        <f t="array" aca="1" ref="H188" ca="1">Common_InputFunctions.Utility_DisplayArrayInTable(Common_SourceData.Common_SourceData_EFN2O_Data(), Table_SourceData_Common_EFN2O[[#Headers],[Production system j]], 0)</f>
        <v/>
      </c>
    </row>
    <row r="189" spans="4:68" ht="20.100000000000001" customHeight="1" x14ac:dyDescent="0.25">
      <c r="D189" s="31" t="str" cm="1">
        <f t="array" aca="1" ref="D189" ca="1">Common_InputFunctions.Utility_DisplayArrayInTable(Common_SourceData.Common_SourceData_EFN2O_Data(), Table_SourceData_Common_EFN2O[[#Headers],[Production system j]], 0)</f>
        <v/>
      </c>
      <c r="E189" s="31" t="str" cm="1">
        <f t="array" aca="1" ref="E189" ca="1">Common_InputFunctions.Utility_DisplayArrayInTable(Common_SourceData.Common_SourceData_EFN2O_Data(), Table_SourceData_Common_EFN2O[[#Headers],[Production system j]], 0)</f>
        <v/>
      </c>
      <c r="F189" s="31" t="str" cm="1">
        <f t="array" aca="1" ref="F189" ca="1">Common_InputFunctions.Utility_DisplayArrayInTable(Common_SourceData.Common_SourceData_EFN2O_Data(), Table_SourceData_Common_EFN2O[[#Headers],[Production system j]], 0)</f>
        <v/>
      </c>
      <c r="G189" s="31" t="str" cm="1">
        <f t="array" aca="1" ref="G189" ca="1">Common_InputFunctions.Utility_DisplayArrayInTable(Common_SourceData.Common_SourceData_EFN2O_Data(), Table_SourceData_Common_EFN2O[[#Headers],[Production system j]], 0)</f>
        <v/>
      </c>
      <c r="H189" s="31" t="str" cm="1">
        <f t="array" aca="1" ref="H189" ca="1">Common_InputFunctions.Utility_DisplayArrayInTable(Common_SourceData.Common_SourceData_EFN2O_Data(), Table_SourceData_Common_EFN2O[[#Headers],[Production system j]], 0)</f>
        <v/>
      </c>
    </row>
    <row r="190" spans="4:68" ht="20.100000000000001" customHeight="1" x14ac:dyDescent="0.25">
      <c r="D190" s="31" t="str" cm="1">
        <f t="array" aca="1" ref="D190" ca="1">Common_InputFunctions.Utility_DisplayArrayInTable(Common_SourceData.Common_SourceData_EFN2O_Data(), Table_SourceData_Common_EFN2O[[#Headers],[Production system j]], 0)</f>
        <v/>
      </c>
      <c r="E190" s="31" t="str" cm="1">
        <f t="array" aca="1" ref="E190" ca="1">Common_InputFunctions.Utility_DisplayArrayInTable(Common_SourceData.Common_SourceData_EFN2O_Data(), Table_SourceData_Common_EFN2O[[#Headers],[Production system j]], 0)</f>
        <v/>
      </c>
      <c r="F190" s="31" t="str" cm="1">
        <f t="array" aca="1" ref="F190" ca="1">Common_InputFunctions.Utility_DisplayArrayInTable(Common_SourceData.Common_SourceData_EFN2O_Data(), Table_SourceData_Common_EFN2O[[#Headers],[Production system j]], 0)</f>
        <v/>
      </c>
      <c r="G190" s="31" t="str" cm="1">
        <f t="array" aca="1" ref="G190" ca="1">Common_InputFunctions.Utility_DisplayArrayInTable(Common_SourceData.Common_SourceData_EFN2O_Data(), Table_SourceData_Common_EFN2O[[#Headers],[Production system j]], 0)</f>
        <v/>
      </c>
      <c r="H190" s="31" t="str" cm="1">
        <f t="array" aca="1" ref="H190" ca="1">Common_InputFunctions.Utility_DisplayArrayInTable(Common_SourceData.Common_SourceData_EFN2O_Data(), Table_SourceData_Common_EFN2O[[#Headers],[Production system j]], 0)</f>
        <v/>
      </c>
    </row>
    <row r="191" spans="4:68" ht="20.100000000000001" customHeight="1" x14ac:dyDescent="0.25">
      <c r="D191" s="31" t="str" cm="1">
        <f t="array" aca="1" ref="D191" ca="1">Common_InputFunctions.Utility_DisplayArrayInTable(Common_SourceData.Common_SourceData_EFN2O_Data(), Table_SourceData_Common_EFN2O[[#Headers],[Production system j]], 0)</f>
        <v/>
      </c>
      <c r="E191" s="31" t="str" cm="1">
        <f t="array" aca="1" ref="E191" ca="1">Common_InputFunctions.Utility_DisplayArrayInTable(Common_SourceData.Common_SourceData_EFN2O_Data(), Table_SourceData_Common_EFN2O[[#Headers],[Production system j]], 0)</f>
        <v/>
      </c>
      <c r="F191" s="31" t="str" cm="1">
        <f t="array" aca="1" ref="F191" ca="1">Common_InputFunctions.Utility_DisplayArrayInTable(Common_SourceData.Common_SourceData_EFN2O_Data(), Table_SourceData_Common_EFN2O[[#Headers],[Production system j]], 0)</f>
        <v/>
      </c>
      <c r="G191" s="31" t="str" cm="1">
        <f t="array" aca="1" ref="G191" ca="1">Common_InputFunctions.Utility_DisplayArrayInTable(Common_SourceData.Common_SourceData_EFN2O_Data(), Table_SourceData_Common_EFN2O[[#Headers],[Production system j]], 0)</f>
        <v/>
      </c>
      <c r="H191" s="31" t="str" cm="1">
        <f t="array" aca="1" ref="H191" ca="1">Common_InputFunctions.Utility_DisplayArrayInTable(Common_SourceData.Common_SourceData_EFN2O_Data(), Table_SourceData_Common_EFN2O[[#Headers],[Production system j]], 0)</f>
        <v/>
      </c>
    </row>
    <row r="192" spans="4:68" ht="20.100000000000001" customHeight="1" x14ac:dyDescent="0.25">
      <c r="D192" s="31" t="str" cm="1">
        <f t="array" aca="1" ref="D192" ca="1">Common_InputFunctions.Utility_DisplayArrayInTable(Common_SourceData.Common_SourceData_EFN2O_Data(), Table_SourceData_Common_EFN2O[[#Headers],[Production system j]], 0)</f>
        <v/>
      </c>
      <c r="E192" s="31" t="str" cm="1">
        <f t="array" aca="1" ref="E192" ca="1">Common_InputFunctions.Utility_DisplayArrayInTable(Common_SourceData.Common_SourceData_EFN2O_Data(), Table_SourceData_Common_EFN2O[[#Headers],[Production system j]], 0)</f>
        <v/>
      </c>
      <c r="F192" s="31" t="str" cm="1">
        <f t="array" aca="1" ref="F192" ca="1">Common_InputFunctions.Utility_DisplayArrayInTable(Common_SourceData.Common_SourceData_EFN2O_Data(), Table_SourceData_Common_EFN2O[[#Headers],[Production system j]], 0)</f>
        <v/>
      </c>
      <c r="G192" s="31" t="str" cm="1">
        <f t="array" aca="1" ref="G192" ca="1">Common_InputFunctions.Utility_DisplayArrayInTable(Common_SourceData.Common_SourceData_EFN2O_Data(), Table_SourceData_Common_EFN2O[[#Headers],[Production system j]], 0)</f>
        <v/>
      </c>
      <c r="H192" s="31" t="str" cm="1">
        <f t="array" aca="1" ref="H192" ca="1">Common_InputFunctions.Utility_DisplayArrayInTable(Common_SourceData.Common_SourceData_EFN2O_Data(), Table_SourceData_Common_EFN2O[[#Headers],[Production system j]], 0)</f>
        <v/>
      </c>
    </row>
    <row r="193" spans="4:8" ht="20.100000000000001" customHeight="1" x14ac:dyDescent="0.25">
      <c r="D193" s="31" t="str" cm="1">
        <f t="array" aca="1" ref="D193" ca="1">Common_InputFunctions.Utility_DisplayArrayInTable(Common_SourceData.Common_SourceData_EFN2O_Data(), Table_SourceData_Common_EFN2O[[#Headers],[Production system j]], 0)</f>
        <v/>
      </c>
      <c r="E193" s="31" t="str" cm="1">
        <f t="array" aca="1" ref="E193" ca="1">Common_InputFunctions.Utility_DisplayArrayInTable(Common_SourceData.Common_SourceData_EFN2O_Data(), Table_SourceData_Common_EFN2O[[#Headers],[Production system j]], 0)</f>
        <v/>
      </c>
      <c r="F193" s="31" t="str" cm="1">
        <f t="array" aca="1" ref="F193" ca="1">Common_InputFunctions.Utility_DisplayArrayInTable(Common_SourceData.Common_SourceData_EFN2O_Data(), Table_SourceData_Common_EFN2O[[#Headers],[Production system j]], 0)</f>
        <v/>
      </c>
      <c r="G193" s="31" t="str" cm="1">
        <f t="array" aca="1" ref="G193" ca="1">Common_InputFunctions.Utility_DisplayArrayInTable(Common_SourceData.Common_SourceData_EFN2O_Data(), Table_SourceData_Common_EFN2O[[#Headers],[Production system j]], 0)</f>
        <v/>
      </c>
      <c r="H193" s="31" t="str" cm="1">
        <f t="array" aca="1" ref="H193" ca="1">Common_InputFunctions.Utility_DisplayArrayInTable(Common_SourceData.Common_SourceData_EFN2O_Data(), Table_SourceData_Common_EFN2O[[#Headers],[Production system j]], 0)</f>
        <v/>
      </c>
    </row>
    <row r="194" spans="4:8" ht="20.100000000000001" customHeight="1" x14ac:dyDescent="0.25">
      <c r="D194" s="31" t="str" cm="1">
        <f t="array" aca="1" ref="D194" ca="1">Common_InputFunctions.Utility_DisplayArrayInTable(Common_SourceData.Common_SourceData_EFN2O_Data(), Table_SourceData_Common_EFN2O[[#Headers],[Production system j]], 0)</f>
        <v/>
      </c>
      <c r="E194" s="31" t="str" cm="1">
        <f t="array" aca="1" ref="E194" ca="1">Common_InputFunctions.Utility_DisplayArrayInTable(Common_SourceData.Common_SourceData_EFN2O_Data(), Table_SourceData_Common_EFN2O[[#Headers],[Production system j]], 0)</f>
        <v/>
      </c>
      <c r="F194" s="31" t="str" cm="1">
        <f t="array" aca="1" ref="F194" ca="1">Common_InputFunctions.Utility_DisplayArrayInTable(Common_SourceData.Common_SourceData_EFN2O_Data(), Table_SourceData_Common_EFN2O[[#Headers],[Production system j]], 0)</f>
        <v/>
      </c>
      <c r="G194" s="31" t="str" cm="1">
        <f t="array" aca="1" ref="G194" ca="1">Common_InputFunctions.Utility_DisplayArrayInTable(Common_SourceData.Common_SourceData_EFN2O_Data(), Table_SourceData_Common_EFN2O[[#Headers],[Production system j]], 0)</f>
        <v/>
      </c>
      <c r="H194" s="31" t="str" cm="1">
        <f t="array" aca="1" ref="H194" ca="1">Common_InputFunctions.Utility_DisplayArrayInTable(Common_SourceData.Common_SourceData_EFN2O_Data(), Table_SourceData_Common_EFN2O[[#Headers],[Production system j]], 0)</f>
        <v/>
      </c>
    </row>
    <row r="195" spans="4:8" ht="20.100000000000001" customHeight="1" x14ac:dyDescent="0.25">
      <c r="D195" s="31" t="str" cm="1">
        <f t="array" aca="1" ref="D195" ca="1">Common_InputFunctions.Utility_DisplayArrayInTable(Common_SourceData.Common_SourceData_EFN2O_Data(), Table_SourceData_Common_EFN2O[[#Headers],[Production system j]], 0)</f>
        <v/>
      </c>
      <c r="E195" s="31" t="str" cm="1">
        <f t="array" aca="1" ref="E195" ca="1">Common_InputFunctions.Utility_DisplayArrayInTable(Common_SourceData.Common_SourceData_EFN2O_Data(), Table_SourceData_Common_EFN2O[[#Headers],[Production system j]], 0)</f>
        <v/>
      </c>
      <c r="F195" s="31" t="str" cm="1">
        <f t="array" aca="1" ref="F195" ca="1">Common_InputFunctions.Utility_DisplayArrayInTable(Common_SourceData.Common_SourceData_EFN2O_Data(), Table_SourceData_Common_EFN2O[[#Headers],[Production system j]], 0)</f>
        <v/>
      </c>
      <c r="G195" s="31" t="str" cm="1">
        <f t="array" aca="1" ref="G195" ca="1">Common_InputFunctions.Utility_DisplayArrayInTable(Common_SourceData.Common_SourceData_EFN2O_Data(), Table_SourceData_Common_EFN2O[[#Headers],[Production system j]], 0)</f>
        <v/>
      </c>
      <c r="H195" s="31" t="str" cm="1">
        <f t="array" aca="1" ref="H195" ca="1">Common_InputFunctions.Utility_DisplayArrayInTable(Common_SourceData.Common_SourceData_EFN2O_Data(), Table_SourceData_Common_EFN2O[[#Headers],[Production system j]], 0)</f>
        <v/>
      </c>
    </row>
    <row r="196" spans="4:8" ht="20.100000000000001" customHeight="1" x14ac:dyDescent="0.25">
      <c r="D196" s="31" t="str" cm="1">
        <f t="array" aca="1" ref="D196" ca="1">Common_InputFunctions.Utility_DisplayArrayInTable(Common_SourceData.Common_SourceData_EFN2O_Data(), Table_SourceData_Common_EFN2O[[#Headers],[Production system j]], 0)</f>
        <v/>
      </c>
      <c r="E196" s="31" t="str" cm="1">
        <f t="array" aca="1" ref="E196" ca="1">Common_InputFunctions.Utility_DisplayArrayInTable(Common_SourceData.Common_SourceData_EFN2O_Data(), Table_SourceData_Common_EFN2O[[#Headers],[Production system j]], 0)</f>
        <v/>
      </c>
      <c r="F196" s="31" t="str" cm="1">
        <f t="array" aca="1" ref="F196" ca="1">Common_InputFunctions.Utility_DisplayArrayInTable(Common_SourceData.Common_SourceData_EFN2O_Data(), Table_SourceData_Common_EFN2O[[#Headers],[Production system j]], 0)</f>
        <v/>
      </c>
      <c r="G196" s="31" t="str" cm="1">
        <f t="array" aca="1" ref="G196" ca="1">Common_InputFunctions.Utility_DisplayArrayInTable(Common_SourceData.Common_SourceData_EFN2O_Data(), Table_SourceData_Common_EFN2O[[#Headers],[Production system j]], 0)</f>
        <v/>
      </c>
      <c r="H196" s="31" t="str" cm="1">
        <f t="array" aca="1" ref="H196" ca="1">Common_InputFunctions.Utility_DisplayArrayInTable(Common_SourceData.Common_SourceData_EFN2O_Data(), Table_SourceData_Common_EFN2O[[#Headers],[Production system j]], 0)</f>
        <v/>
      </c>
    </row>
    <row r="197" spans="4:8" x14ac:dyDescent="0.25">
      <c r="D197" s="31" t="str" cm="1">
        <f t="array" aca="1" ref="D197" ca="1">Common_InputFunctions.Utility_DisplayArrayInTable(Common_SourceData.Common_SourceData_EFN2O_Data(), Table_SourceData_Common_EFN2O[[#Headers],[Production system j]], 0)</f>
        <v/>
      </c>
      <c r="E197" s="31" t="str" cm="1">
        <f t="array" aca="1" ref="E197" ca="1">Common_InputFunctions.Utility_DisplayArrayInTable(Common_SourceData.Common_SourceData_EFN2O_Data(), Table_SourceData_Common_EFN2O[[#Headers],[Production system j]], 0)</f>
        <v/>
      </c>
      <c r="F197" s="31" t="str" cm="1">
        <f t="array" aca="1" ref="F197" ca="1">Common_InputFunctions.Utility_DisplayArrayInTable(Common_SourceData.Common_SourceData_EFN2O_Data(), Table_SourceData_Common_EFN2O[[#Headers],[Production system j]], 0)</f>
        <v/>
      </c>
      <c r="G197" s="31" t="str" cm="1">
        <f t="array" aca="1" ref="G197" ca="1">Common_InputFunctions.Utility_DisplayArrayInTable(Common_SourceData.Common_SourceData_EFN2O_Data(), Table_SourceData_Common_EFN2O[[#Headers],[Production system j]], 0)</f>
        <v/>
      </c>
      <c r="H197" s="31" t="str" cm="1">
        <f t="array" aca="1" ref="H197" ca="1">Common_InputFunctions.Utility_DisplayArrayInTable(Common_SourceData.Common_SourceData_EFN2O_Data(), Table_SourceData_Common_EFN2O[[#Headers],[Production system j]], 0)</f>
        <v/>
      </c>
    </row>
    <row r="198" spans="4:8" x14ac:dyDescent="0.25">
      <c r="D198" s="31" t="str" cm="1">
        <f t="array" aca="1" ref="D198" ca="1">Common_InputFunctions.Utility_DisplayArrayInTable(Common_SourceData.Common_SourceData_EFN2O_Data(), Table_SourceData_Common_EFN2O[[#Headers],[Production system j]], 0)</f>
        <v/>
      </c>
      <c r="E198" s="31" t="str" cm="1">
        <f t="array" aca="1" ref="E198" ca="1">Common_InputFunctions.Utility_DisplayArrayInTable(Common_SourceData.Common_SourceData_EFN2O_Data(), Table_SourceData_Common_EFN2O[[#Headers],[Production system j]], 0)</f>
        <v/>
      </c>
      <c r="F198" s="31" t="str" cm="1">
        <f t="array" aca="1" ref="F198" ca="1">Common_InputFunctions.Utility_DisplayArrayInTable(Common_SourceData.Common_SourceData_EFN2O_Data(), Table_SourceData_Common_EFN2O[[#Headers],[Production system j]], 0)</f>
        <v/>
      </c>
      <c r="G198" s="31" t="str" cm="1">
        <f t="array" aca="1" ref="G198" ca="1">Common_InputFunctions.Utility_DisplayArrayInTable(Common_SourceData.Common_SourceData_EFN2O_Data(), Table_SourceData_Common_EFN2O[[#Headers],[Production system j]], 0)</f>
        <v/>
      </c>
      <c r="H198" s="31" t="str" cm="1">
        <f t="array" aca="1" ref="H198" ca="1">Common_InputFunctions.Utility_DisplayArrayInTable(Common_SourceData.Common_SourceData_EFN2O_Data(), Table_SourceData_Common_EFN2O[[#Headers],[Production system j]], 0)</f>
        <v/>
      </c>
    </row>
    <row r="199" spans="4:8" x14ac:dyDescent="0.25">
      <c r="D199" s="31" t="str" cm="1">
        <f t="array" aca="1" ref="D199" ca="1">Common_InputFunctions.Utility_DisplayArrayInTable(Common_SourceData.Common_SourceData_EFN2O_Data(), Table_SourceData_Common_EFN2O[[#Headers],[Production system j]], 0)</f>
        <v/>
      </c>
      <c r="E199" s="31" t="str" cm="1">
        <f t="array" aca="1" ref="E199" ca="1">Common_InputFunctions.Utility_DisplayArrayInTable(Common_SourceData.Common_SourceData_EFN2O_Data(), Table_SourceData_Common_EFN2O[[#Headers],[Production system j]], 0)</f>
        <v/>
      </c>
      <c r="F199" s="31" t="str" cm="1">
        <f t="array" aca="1" ref="F199" ca="1">Common_InputFunctions.Utility_DisplayArrayInTable(Common_SourceData.Common_SourceData_EFN2O_Data(), Table_SourceData_Common_EFN2O[[#Headers],[Production system j]], 0)</f>
        <v/>
      </c>
      <c r="G199" s="31" t="str" cm="1">
        <f t="array" aca="1" ref="G199" ca="1">Common_InputFunctions.Utility_DisplayArrayInTable(Common_SourceData.Common_SourceData_EFN2O_Data(), Table_SourceData_Common_EFN2O[[#Headers],[Production system j]], 0)</f>
        <v/>
      </c>
      <c r="H199" s="31" t="str" cm="1">
        <f t="array" aca="1" ref="H199" ca="1">Common_InputFunctions.Utility_DisplayArrayInTable(Common_SourceData.Common_SourceData_EFN2O_Data(), Table_SourceData_Common_EFN2O[[#Headers],[Production system j]], 0)</f>
        <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aca="1" ref="D207" ca="1">Common_InputFunctions.Utility_DisplayArrayInTable(Common_SourceData.Common_SourceData_EFPastureRangeAndPaddock_Data(), Table_SourceData_EFPastureRangeAndPaddock[[#Headers],[Climate zone]], 0)</f>
        <v/>
      </c>
      <c r="E207" s="31" t="str" cm="1">
        <f t="array" aca="1" ref="E207" ca="1">Common_InputFunctions.Utility_DisplayArrayInTable(Common_SourceData.Common_SourceData_EFPastureRangeAndPaddock_Data(), Table_SourceData_EFPastureRangeAndPaddock[[#Headers],[Climate zone]], 0)</f>
        <v/>
      </c>
    </row>
    <row r="208" spans="4:8" x14ac:dyDescent="0.25">
      <c r="D208" s="1" t="str" cm="1">
        <f t="array" aca="1" ref="D208" ca="1">Common_InputFunctions.Utility_DisplayArrayInTable(Common_SourceData.Common_SourceData_EFPastureRangeAndPaddock_Data(), Table_SourceData_EFPastureRangeAndPaddock[[#Headers],[Climate zone]], 0)</f>
        <v/>
      </c>
      <c r="E208" s="31" t="str" cm="1">
        <f t="array" aca="1" ref="E208" ca="1">Common_InputFunctions.Utility_DisplayArrayInTable(Common_SourceData.Common_SourceData_EFPastureRangeAndPaddock_Data(), Table_SourceData_EFPastureRangeAndPaddock[[#Headers],[Climate zone]], 0)</f>
        <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aca="1" ref="D213" ca="1">Common_InputFunctions.Utility_DisplayArrayInTable(Common_SourceData.Common_SourceData_MonthsToSeasons_Data(), Table_SourceData_Common_MonthToSeason[[#Headers],[Month]], 0)</f>
        <v/>
      </c>
      <c r="E213" s="31" t="str" cm="1">
        <f t="array" aca="1" ref="E213" ca="1">Common_InputFunctions.Utility_DisplayArrayInTable(Common_SourceData.Common_SourceData_MonthsToSeasons_Data(), Table_SourceData_Common_MonthToSeason[[#Headers],[Month]], 0)</f>
        <v/>
      </c>
    </row>
    <row r="214" spans="4:5" x14ac:dyDescent="0.25">
      <c r="D214" s="1" t="str" cm="1">
        <f t="array" aca="1" ref="D214" ca="1">Common_InputFunctions.Utility_DisplayArrayInTable(Common_SourceData.Common_SourceData_MonthsToSeasons_Data(), Table_SourceData_Common_MonthToSeason[[#Headers],[Month]], 0)</f>
        <v/>
      </c>
      <c r="E214" s="31" t="str" cm="1">
        <f t="array" aca="1" ref="E214" ca="1">Common_InputFunctions.Utility_DisplayArrayInTable(Common_SourceData.Common_SourceData_MonthsToSeasons_Data(), Table_SourceData_Common_MonthToSeason[[#Headers],[Month]], 0)</f>
        <v/>
      </c>
    </row>
    <row r="215" spans="4:5" x14ac:dyDescent="0.25">
      <c r="D215" s="1" t="str" cm="1">
        <f t="array" aca="1" ref="D215" ca="1">Common_InputFunctions.Utility_DisplayArrayInTable(Common_SourceData.Common_SourceData_MonthsToSeasons_Data(), Table_SourceData_Common_MonthToSeason[[#Headers],[Month]], 0)</f>
        <v/>
      </c>
      <c r="E215" s="31" t="str" cm="1">
        <f t="array" aca="1" ref="E215" ca="1">Common_InputFunctions.Utility_DisplayArrayInTable(Common_SourceData.Common_SourceData_MonthsToSeasons_Data(), Table_SourceData_Common_MonthToSeason[[#Headers],[Month]], 0)</f>
        <v/>
      </c>
    </row>
    <row r="216" spans="4:5" x14ac:dyDescent="0.25">
      <c r="D216" s="1" t="str" cm="1">
        <f t="array" aca="1" ref="D216" ca="1">Common_InputFunctions.Utility_DisplayArrayInTable(Common_SourceData.Common_SourceData_MonthsToSeasons_Data(), Table_SourceData_Common_MonthToSeason[[#Headers],[Month]], 0)</f>
        <v/>
      </c>
      <c r="E216" s="31" t="str" cm="1">
        <f t="array" aca="1" ref="E216" ca="1">Common_InputFunctions.Utility_DisplayArrayInTable(Common_SourceData.Common_SourceData_MonthsToSeasons_Data(), Table_SourceData_Common_MonthToSeason[[#Headers],[Month]], 0)</f>
        <v/>
      </c>
    </row>
    <row r="217" spans="4:5" x14ac:dyDescent="0.25">
      <c r="D217" s="1" t="str" cm="1">
        <f t="array" aca="1" ref="D217" ca="1">Common_InputFunctions.Utility_DisplayArrayInTable(Common_SourceData.Common_SourceData_MonthsToSeasons_Data(), Table_SourceData_Common_MonthToSeason[[#Headers],[Month]], 0)</f>
        <v/>
      </c>
      <c r="E217" s="31" t="str" cm="1">
        <f t="array" aca="1" ref="E217" ca="1">Common_InputFunctions.Utility_DisplayArrayInTable(Common_SourceData.Common_SourceData_MonthsToSeasons_Data(), Table_SourceData_Common_MonthToSeason[[#Headers],[Month]], 0)</f>
        <v/>
      </c>
    </row>
    <row r="218" spans="4:5" x14ac:dyDescent="0.25">
      <c r="D218" s="1" t="str" cm="1">
        <f t="array" aca="1" ref="D218" ca="1">Common_InputFunctions.Utility_DisplayArrayInTable(Common_SourceData.Common_SourceData_MonthsToSeasons_Data(), Table_SourceData_Common_MonthToSeason[[#Headers],[Month]], 0)</f>
        <v/>
      </c>
      <c r="E218" s="31" t="str" cm="1">
        <f t="array" aca="1" ref="E218" ca="1">Common_InputFunctions.Utility_DisplayArrayInTable(Common_SourceData.Common_SourceData_MonthsToSeasons_Data(), Table_SourceData_Common_MonthToSeason[[#Headers],[Month]], 0)</f>
        <v/>
      </c>
    </row>
    <row r="219" spans="4:5" x14ac:dyDescent="0.25">
      <c r="D219" s="1" t="str" cm="1">
        <f t="array" aca="1" ref="D219" ca="1">Common_InputFunctions.Utility_DisplayArrayInTable(Common_SourceData.Common_SourceData_MonthsToSeasons_Data(), Table_SourceData_Common_MonthToSeason[[#Headers],[Month]], 0)</f>
        <v/>
      </c>
      <c r="E219" s="31" t="str" cm="1">
        <f t="array" aca="1" ref="E219" ca="1">Common_InputFunctions.Utility_DisplayArrayInTable(Common_SourceData.Common_SourceData_MonthsToSeasons_Data(), Table_SourceData_Common_MonthToSeason[[#Headers],[Month]], 0)</f>
        <v/>
      </c>
    </row>
    <row r="220" spans="4:5" x14ac:dyDescent="0.25">
      <c r="D220" s="1" t="str" cm="1">
        <f t="array" aca="1" ref="D220" ca="1">Common_InputFunctions.Utility_DisplayArrayInTable(Common_SourceData.Common_SourceData_MonthsToSeasons_Data(), Table_SourceData_Common_MonthToSeason[[#Headers],[Month]], 0)</f>
        <v/>
      </c>
      <c r="E220" s="31" t="str" cm="1">
        <f t="array" aca="1" ref="E220" ca="1">Common_InputFunctions.Utility_DisplayArrayInTable(Common_SourceData.Common_SourceData_MonthsToSeasons_Data(), Table_SourceData_Common_MonthToSeason[[#Headers],[Month]], 0)</f>
        <v/>
      </c>
    </row>
    <row r="221" spans="4:5" x14ac:dyDescent="0.25">
      <c r="D221" s="1" t="str" cm="1">
        <f t="array" aca="1" ref="D221" ca="1">Common_InputFunctions.Utility_DisplayArrayInTable(Common_SourceData.Common_SourceData_MonthsToSeasons_Data(), Table_SourceData_Common_MonthToSeason[[#Headers],[Month]], 0)</f>
        <v/>
      </c>
      <c r="E221" s="31" t="str" cm="1">
        <f t="array" aca="1" ref="E221" ca="1">Common_InputFunctions.Utility_DisplayArrayInTable(Common_SourceData.Common_SourceData_MonthsToSeasons_Data(), Table_SourceData_Common_MonthToSeason[[#Headers],[Month]], 0)</f>
        <v/>
      </c>
    </row>
    <row r="222" spans="4:5" x14ac:dyDescent="0.25">
      <c r="D222" s="1" t="str" cm="1">
        <f t="array" aca="1" ref="D222" ca="1">Common_InputFunctions.Utility_DisplayArrayInTable(Common_SourceData.Common_SourceData_MonthsToSeasons_Data(), Table_SourceData_Common_MonthToSeason[[#Headers],[Month]], 0)</f>
        <v/>
      </c>
      <c r="E222" s="31" t="str" cm="1">
        <f t="array" aca="1" ref="E222" ca="1">Common_InputFunctions.Utility_DisplayArrayInTable(Common_SourceData.Common_SourceData_MonthsToSeasons_Data(), Table_SourceData_Common_MonthToSeason[[#Headers],[Month]], 0)</f>
        <v/>
      </c>
    </row>
    <row r="223" spans="4:5" x14ac:dyDescent="0.25">
      <c r="D223" s="1" t="str" cm="1">
        <f t="array" aca="1" ref="D223" ca="1">Common_InputFunctions.Utility_DisplayArrayInTable(Common_SourceData.Common_SourceData_MonthsToSeasons_Data(), Table_SourceData_Common_MonthToSeason[[#Headers],[Month]], 0)</f>
        <v/>
      </c>
      <c r="E223" s="31" t="str" cm="1">
        <f t="array" aca="1" ref="E223" ca="1">Common_InputFunctions.Utility_DisplayArrayInTable(Common_SourceData.Common_SourceData_MonthsToSeasons_Data(), Table_SourceData_Common_MonthToSeason[[#Headers],[Month]], 0)</f>
        <v/>
      </c>
    </row>
    <row r="224" spans="4:5" x14ac:dyDescent="0.25">
      <c r="D224" s="1" t="str" cm="1">
        <f t="array" aca="1" ref="D224" ca="1">Common_InputFunctions.Utility_DisplayArrayInTable(Common_SourceData.Common_SourceData_MonthsToSeasons_Data(), Table_SourceData_Common_MonthToSeason[[#Headers],[Month]], 0)</f>
        <v/>
      </c>
      <c r="E224" s="31" t="str" cm="1">
        <f t="array" aca="1" ref="E224" ca="1">Common_InputFunctions.Utility_DisplayArrayInTable(Common_SourceData.Common_SourceData_MonthsToSeasons_Data(), Table_SourceData_Common_MonthToSeason[[#Headers],[Month]], 0)</f>
        <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aca="1" ref="D232" ca="1">Common_InputFunctions.Utility_DisplayArrayInTable(Common_SourceData.Common_SourceData_MCFTemperatureZone_Data(),Table_SourceData_Common_MCFTemperatureZone[[#Headers],[Temperature zone]],0)</f>
        <v/>
      </c>
      <c r="E232" s="31" t="str" cm="1">
        <f t="array" aca="1" ref="E232" ca="1">Common_InputFunctions.Utility_DisplayArrayInTable(Common_SourceData.Common_SourceData_MCFTemperatureZone_Data(),Table_SourceData_Common_MCFTemperatureZone[[#Headers],[Temperature zone]],0)</f>
        <v/>
      </c>
      <c r="F232" s="31" t="str" cm="1">
        <f t="array" aca="1" ref="F232" ca="1">Common_InputFunctions.Utility_DisplayArrayInTable(Common_SourceData.Common_SourceData_MCFTemperatureZone_Data(),Table_SourceData_Common_MCFTemperatureZone[[#Headers],[Temperature zone]],0)</f>
        <v/>
      </c>
      <c r="G232" s="31" t="str" cm="1">
        <f t="array" aca="1" ref="G232" ca="1">Common_InputFunctions.Utility_DisplayArrayInTable(Common_SourceData.Common_SourceData_MCFTemperatureZone_Data(),Table_SourceData_Common_MCFTemperatureZone[[#Headers],[Temperature zone]],0)</f>
        <v/>
      </c>
      <c r="H232" s="31" t="str" cm="1">
        <f t="array" aca="1" ref="H232" ca="1">Common_InputFunctions.Utility_DisplayArrayInTable(Common_SourceData.Common_SourceData_MCFTemperatureZone_Data(),Table_SourceData_Common_MCFTemperatureZone[[#Headers],[Temperature zone]],0)</f>
        <v/>
      </c>
      <c r="I232" s="31" t="str" cm="1">
        <f t="array" aca="1" ref="I232" ca="1">Common_InputFunctions.Utility_DisplayArrayInTable(Common_SourceData.Common_SourceData_MCFTemperatureZone_Data(),Table_SourceData_Common_MCFTemperatureZone[[#Headers],[Temperature zone]],0)</f>
        <v/>
      </c>
      <c r="J232" s="31" t="str" cm="1">
        <f t="array" aca="1" ref="J232" ca="1">Common_InputFunctions.Utility_DisplayArrayInTable(Common_SourceData.Common_SourceData_MCFTemperatureZone_Data(),Table_SourceData_Common_MCFTemperatureZone[[#Headers],[Temperature zone]],0)</f>
        <v/>
      </c>
      <c r="K232" s="31" t="str" cm="1">
        <f t="array" aca="1" ref="K232" ca="1">Common_InputFunctions.Utility_DisplayArrayInTable(Common_SourceData.Common_SourceData_MCFTemperatureZone_Data(),Table_SourceData_Common_MCFTemperatureZone[[#Headers],[Temperature zone]],0)</f>
        <v/>
      </c>
      <c r="L232" s="31" t="str" cm="1">
        <f t="array" aca="1" ref="L232" ca="1">Common_InputFunctions.Utility_DisplayArrayInTable(Common_SourceData.Common_SourceData_MCFTemperatureZone_Data(),Table_SourceData_Common_MCFTemperatureZone[[#Headers],[Temperature zone]],0)</f>
        <v/>
      </c>
      <c r="M232" s="31" t="str" cm="1">
        <f t="array" aca="1" ref="M232" ca="1">Common_InputFunctions.Utility_DisplayArrayInTable(Common_SourceData.Common_SourceData_MCFTemperatureZone_Data(),Table_SourceData_Common_MCFTemperatureZone[[#Headers],[Temperature zone]],0)</f>
        <v/>
      </c>
      <c r="N232" s="31" t="str" cm="1">
        <f t="array" aca="1" ref="N232" ca="1">Common_InputFunctions.Utility_DisplayArrayInTable(Common_SourceData.Common_SourceData_MCFTemperatureZone_Data(),Table_SourceData_Common_MCFTemperatureZone[[#Headers],[Temperature zone]],0)</f>
        <v/>
      </c>
      <c r="O232" s="31" t="str" cm="1">
        <f t="array" aca="1" ref="O232" ca="1">Common_InputFunctions.Utility_DisplayArrayInTable(Common_SourceData.Common_SourceData_MCFTemperatureZone_Data(),Table_SourceData_Common_MCFTemperatureZone[[#Headers],[Temperature zone]],0)</f>
        <v/>
      </c>
      <c r="P232" s="31" t="str" cm="1">
        <f t="array" aca="1" ref="P232" ca="1">Common_InputFunctions.Utility_DisplayArrayInTable(Common_SourceData.Common_SourceData_MCFTemperatureZone_Data(),Table_SourceData_Common_MCFTemperatureZone[[#Headers],[Temperature zone]],0)</f>
        <v/>
      </c>
      <c r="Q232" s="31" t="str" cm="1">
        <f t="array" aca="1" ref="Q232" ca="1">Common_InputFunctions.Utility_DisplayArrayInTable(Common_SourceData.Common_SourceData_MCFTemperatureZone_Data(),Table_SourceData_Common_MCFTemperatureZone[[#Headers],[Temperature zone]],0)</f>
        <v/>
      </c>
      <c r="R232" s="31" t="str" cm="1">
        <f t="array" aca="1" ref="R232" ca="1">Common_InputFunctions.Utility_DisplayArrayInTable(Common_SourceData.Common_SourceData_MCFTemperatureZone_Data(),Table_SourceData_Common_MCFTemperatureZone[[#Headers],[Temperature zone]],0)</f>
        <v/>
      </c>
      <c r="S232" s="31" t="str" cm="1">
        <f t="array" aca="1" ref="S232" ca="1">Common_InputFunctions.Utility_DisplayArrayInTable(Common_SourceData.Common_SourceData_MCFTemperatureZone_Data(),Table_SourceData_Common_MCFTemperatureZone[[#Headers],[Temperature zone]],0)</f>
        <v/>
      </c>
    </row>
    <row r="233" spans="4:19" x14ac:dyDescent="0.25">
      <c r="D233" s="1" t="str" cm="1">
        <f t="array" aca="1" ref="D233" ca="1">Common_InputFunctions.Utility_DisplayArrayInTable(Common_SourceData.Common_SourceData_MCFTemperatureZone_Data(),Table_SourceData_Common_MCFTemperatureZone[[#Headers],[Temperature zone]],0)</f>
        <v/>
      </c>
      <c r="E233" s="31" t="str" cm="1">
        <f t="array" aca="1" ref="E233" ca="1">Common_InputFunctions.Utility_DisplayArrayInTable(Common_SourceData.Common_SourceData_MCFTemperatureZone_Data(),Table_SourceData_Common_MCFTemperatureZone[[#Headers],[Temperature zone]],0)</f>
        <v/>
      </c>
      <c r="F233" s="31" t="str" cm="1">
        <f t="array" aca="1" ref="F233" ca="1">Common_InputFunctions.Utility_DisplayArrayInTable(Common_SourceData.Common_SourceData_MCFTemperatureZone_Data(),Table_SourceData_Common_MCFTemperatureZone[[#Headers],[Temperature zone]],0)</f>
        <v/>
      </c>
      <c r="G233" s="31" t="str" cm="1">
        <f t="array" aca="1" ref="G233" ca="1">Common_InputFunctions.Utility_DisplayArrayInTable(Common_SourceData.Common_SourceData_MCFTemperatureZone_Data(),Table_SourceData_Common_MCFTemperatureZone[[#Headers],[Temperature zone]],0)</f>
        <v/>
      </c>
      <c r="H233" s="31" t="str" cm="1">
        <f t="array" aca="1" ref="H233" ca="1">Common_InputFunctions.Utility_DisplayArrayInTable(Common_SourceData.Common_SourceData_MCFTemperatureZone_Data(),Table_SourceData_Common_MCFTemperatureZone[[#Headers],[Temperature zone]],0)</f>
        <v/>
      </c>
      <c r="I233" s="31" t="str" cm="1">
        <f t="array" aca="1" ref="I233" ca="1">Common_InputFunctions.Utility_DisplayArrayInTable(Common_SourceData.Common_SourceData_MCFTemperatureZone_Data(),Table_SourceData_Common_MCFTemperatureZone[[#Headers],[Temperature zone]],0)</f>
        <v/>
      </c>
      <c r="J233" s="31" t="str" cm="1">
        <f t="array" aca="1" ref="J233" ca="1">Common_InputFunctions.Utility_DisplayArrayInTable(Common_SourceData.Common_SourceData_MCFTemperatureZone_Data(),Table_SourceData_Common_MCFTemperatureZone[[#Headers],[Temperature zone]],0)</f>
        <v/>
      </c>
      <c r="K233" s="31" t="str" cm="1">
        <f t="array" aca="1" ref="K233" ca="1">Common_InputFunctions.Utility_DisplayArrayInTable(Common_SourceData.Common_SourceData_MCFTemperatureZone_Data(),Table_SourceData_Common_MCFTemperatureZone[[#Headers],[Temperature zone]],0)</f>
        <v/>
      </c>
      <c r="L233" s="31" t="str" cm="1">
        <f t="array" aca="1" ref="L233" ca="1">Common_InputFunctions.Utility_DisplayArrayInTable(Common_SourceData.Common_SourceData_MCFTemperatureZone_Data(),Table_SourceData_Common_MCFTemperatureZone[[#Headers],[Temperature zone]],0)</f>
        <v/>
      </c>
      <c r="M233" s="31" t="str" cm="1">
        <f t="array" aca="1" ref="M233" ca="1">Common_InputFunctions.Utility_DisplayArrayInTable(Common_SourceData.Common_SourceData_MCFTemperatureZone_Data(),Table_SourceData_Common_MCFTemperatureZone[[#Headers],[Temperature zone]],0)</f>
        <v/>
      </c>
      <c r="N233" s="31" t="str" cm="1">
        <f t="array" aca="1" ref="N233" ca="1">Common_InputFunctions.Utility_DisplayArrayInTable(Common_SourceData.Common_SourceData_MCFTemperatureZone_Data(),Table_SourceData_Common_MCFTemperatureZone[[#Headers],[Temperature zone]],0)</f>
        <v/>
      </c>
      <c r="O233" s="31" t="str" cm="1">
        <f t="array" aca="1" ref="O233" ca="1">Common_InputFunctions.Utility_DisplayArrayInTable(Common_SourceData.Common_SourceData_MCFTemperatureZone_Data(),Table_SourceData_Common_MCFTemperatureZone[[#Headers],[Temperature zone]],0)</f>
        <v/>
      </c>
      <c r="P233" s="31" t="str" cm="1">
        <f t="array" aca="1" ref="P233" ca="1">Common_InputFunctions.Utility_DisplayArrayInTable(Common_SourceData.Common_SourceData_MCFTemperatureZone_Data(),Table_SourceData_Common_MCFTemperatureZone[[#Headers],[Temperature zone]],0)</f>
        <v/>
      </c>
      <c r="Q233" s="31" t="str" cm="1">
        <f t="array" aca="1" ref="Q233" ca="1">Common_InputFunctions.Utility_DisplayArrayInTable(Common_SourceData.Common_SourceData_MCFTemperatureZone_Data(),Table_SourceData_Common_MCFTemperatureZone[[#Headers],[Temperature zone]],0)</f>
        <v/>
      </c>
      <c r="R233" s="31" t="str" cm="1">
        <f t="array" aca="1" ref="R233" ca="1">Common_InputFunctions.Utility_DisplayArrayInTable(Common_SourceData.Common_SourceData_MCFTemperatureZone_Data(),Table_SourceData_Common_MCFTemperatureZone[[#Headers],[Temperature zone]],0)</f>
        <v/>
      </c>
      <c r="S233" s="31" t="str" cm="1">
        <f t="array" aca="1" ref="S233" ca="1">Common_InputFunctions.Utility_DisplayArrayInTable(Common_SourceData.Common_SourceData_MCFTemperatureZone_Data(),Table_SourceData_Common_MCFTemperatureZone[[#Headers],[Temperature zone]],0)</f>
        <v/>
      </c>
    </row>
    <row r="234" spans="4:19" x14ac:dyDescent="0.25">
      <c r="D234" s="1" t="str" cm="1">
        <f t="array" aca="1" ref="D234" ca="1">Common_InputFunctions.Utility_DisplayArrayInTable(Common_SourceData.Common_SourceData_MCFTemperatureZone_Data(),Table_SourceData_Common_MCFTemperatureZone[[#Headers],[Temperature zone]],0)</f>
        <v/>
      </c>
      <c r="E234" s="31" t="str" cm="1">
        <f t="array" aca="1" ref="E234" ca="1">Common_InputFunctions.Utility_DisplayArrayInTable(Common_SourceData.Common_SourceData_MCFTemperatureZone_Data(),Table_SourceData_Common_MCFTemperatureZone[[#Headers],[Temperature zone]],0)</f>
        <v/>
      </c>
      <c r="F234" s="31" t="str" cm="1">
        <f t="array" aca="1" ref="F234" ca="1">Common_InputFunctions.Utility_DisplayArrayInTable(Common_SourceData.Common_SourceData_MCFTemperatureZone_Data(),Table_SourceData_Common_MCFTemperatureZone[[#Headers],[Temperature zone]],0)</f>
        <v/>
      </c>
      <c r="G234" s="31" t="str" cm="1">
        <f t="array" aca="1" ref="G234" ca="1">Common_InputFunctions.Utility_DisplayArrayInTable(Common_SourceData.Common_SourceData_MCFTemperatureZone_Data(),Table_SourceData_Common_MCFTemperatureZone[[#Headers],[Temperature zone]],0)</f>
        <v/>
      </c>
      <c r="H234" s="31" t="str" cm="1">
        <f t="array" aca="1" ref="H234" ca="1">Common_InputFunctions.Utility_DisplayArrayInTable(Common_SourceData.Common_SourceData_MCFTemperatureZone_Data(),Table_SourceData_Common_MCFTemperatureZone[[#Headers],[Temperature zone]],0)</f>
        <v/>
      </c>
      <c r="I234" s="31" t="str" cm="1">
        <f t="array" aca="1" ref="I234" ca="1">Common_InputFunctions.Utility_DisplayArrayInTable(Common_SourceData.Common_SourceData_MCFTemperatureZone_Data(),Table_SourceData_Common_MCFTemperatureZone[[#Headers],[Temperature zone]],0)</f>
        <v/>
      </c>
      <c r="J234" s="31" t="str" cm="1">
        <f t="array" aca="1" ref="J234" ca="1">Common_InputFunctions.Utility_DisplayArrayInTable(Common_SourceData.Common_SourceData_MCFTemperatureZone_Data(),Table_SourceData_Common_MCFTemperatureZone[[#Headers],[Temperature zone]],0)</f>
        <v/>
      </c>
      <c r="K234" s="31" t="str" cm="1">
        <f t="array" aca="1" ref="K234" ca="1">Common_InputFunctions.Utility_DisplayArrayInTable(Common_SourceData.Common_SourceData_MCFTemperatureZone_Data(),Table_SourceData_Common_MCFTemperatureZone[[#Headers],[Temperature zone]],0)</f>
        <v/>
      </c>
      <c r="L234" s="31" t="str" cm="1">
        <f t="array" aca="1" ref="L234" ca="1">Common_InputFunctions.Utility_DisplayArrayInTable(Common_SourceData.Common_SourceData_MCFTemperatureZone_Data(),Table_SourceData_Common_MCFTemperatureZone[[#Headers],[Temperature zone]],0)</f>
        <v/>
      </c>
      <c r="M234" s="31" t="str" cm="1">
        <f t="array" aca="1" ref="M234" ca="1">Common_InputFunctions.Utility_DisplayArrayInTable(Common_SourceData.Common_SourceData_MCFTemperatureZone_Data(),Table_SourceData_Common_MCFTemperatureZone[[#Headers],[Temperature zone]],0)</f>
        <v/>
      </c>
      <c r="N234" s="31" t="str" cm="1">
        <f t="array" aca="1" ref="N234" ca="1">Common_InputFunctions.Utility_DisplayArrayInTable(Common_SourceData.Common_SourceData_MCFTemperatureZone_Data(),Table_SourceData_Common_MCFTemperatureZone[[#Headers],[Temperature zone]],0)</f>
        <v/>
      </c>
      <c r="O234" s="31" t="str" cm="1">
        <f t="array" aca="1" ref="O234" ca="1">Common_InputFunctions.Utility_DisplayArrayInTable(Common_SourceData.Common_SourceData_MCFTemperatureZone_Data(),Table_SourceData_Common_MCFTemperatureZone[[#Headers],[Temperature zone]],0)</f>
        <v/>
      </c>
      <c r="P234" s="31" t="str" cm="1">
        <f t="array" aca="1" ref="P234" ca="1">Common_InputFunctions.Utility_DisplayArrayInTable(Common_SourceData.Common_SourceData_MCFTemperatureZone_Data(),Table_SourceData_Common_MCFTemperatureZone[[#Headers],[Temperature zone]],0)</f>
        <v/>
      </c>
      <c r="Q234" s="31" t="str" cm="1">
        <f t="array" aca="1" ref="Q234" ca="1">Common_InputFunctions.Utility_DisplayArrayInTable(Common_SourceData.Common_SourceData_MCFTemperatureZone_Data(),Table_SourceData_Common_MCFTemperatureZone[[#Headers],[Temperature zone]],0)</f>
        <v/>
      </c>
      <c r="R234" s="31" t="str" cm="1">
        <f t="array" aca="1" ref="R234" ca="1">Common_InputFunctions.Utility_DisplayArrayInTable(Common_SourceData.Common_SourceData_MCFTemperatureZone_Data(),Table_SourceData_Common_MCFTemperatureZone[[#Headers],[Temperature zone]],0)</f>
        <v/>
      </c>
      <c r="S234" s="31" t="str" cm="1">
        <f t="array" aca="1" ref="S234" ca="1">Common_InputFunctions.Utility_DisplayArrayInTable(Common_SourceData.Common_SourceData_MCFTemperatureZone_Data(),Table_SourceData_Common_MCFTemperatureZone[[#Headers],[Temperature zone]],0)</f>
        <v/>
      </c>
    </row>
    <row r="235" spans="4:19" x14ac:dyDescent="0.25">
      <c r="D235" s="1" t="str" cm="1">
        <f t="array" aca="1" ref="D235" ca="1">Common_InputFunctions.Utility_DisplayArrayInTable(Common_SourceData.Common_SourceData_MCFTemperatureZone_Data(),Table_SourceData_Common_MCFTemperatureZone[[#Headers],[Temperature zone]],0)</f>
        <v/>
      </c>
      <c r="E235" s="31" t="str" cm="1">
        <f t="array" aca="1" ref="E235" ca="1">Common_InputFunctions.Utility_DisplayArrayInTable(Common_SourceData.Common_SourceData_MCFTemperatureZone_Data(),Table_SourceData_Common_MCFTemperatureZone[[#Headers],[Temperature zone]],0)</f>
        <v/>
      </c>
      <c r="F235" s="31" t="str" cm="1">
        <f t="array" aca="1" ref="F235" ca="1">Common_InputFunctions.Utility_DisplayArrayInTable(Common_SourceData.Common_SourceData_MCFTemperatureZone_Data(),Table_SourceData_Common_MCFTemperatureZone[[#Headers],[Temperature zone]],0)</f>
        <v/>
      </c>
      <c r="G235" s="31" t="str" cm="1">
        <f t="array" aca="1" ref="G235" ca="1">Common_InputFunctions.Utility_DisplayArrayInTable(Common_SourceData.Common_SourceData_MCFTemperatureZone_Data(),Table_SourceData_Common_MCFTemperatureZone[[#Headers],[Temperature zone]],0)</f>
        <v/>
      </c>
      <c r="H235" s="31" t="str" cm="1">
        <f t="array" aca="1" ref="H235" ca="1">Common_InputFunctions.Utility_DisplayArrayInTable(Common_SourceData.Common_SourceData_MCFTemperatureZone_Data(),Table_SourceData_Common_MCFTemperatureZone[[#Headers],[Temperature zone]],0)</f>
        <v/>
      </c>
      <c r="I235" s="31" t="str" cm="1">
        <f t="array" aca="1" ref="I235" ca="1">Common_InputFunctions.Utility_DisplayArrayInTable(Common_SourceData.Common_SourceData_MCFTemperatureZone_Data(),Table_SourceData_Common_MCFTemperatureZone[[#Headers],[Temperature zone]],0)</f>
        <v/>
      </c>
      <c r="J235" s="31" t="str" cm="1">
        <f t="array" aca="1" ref="J235" ca="1">Common_InputFunctions.Utility_DisplayArrayInTable(Common_SourceData.Common_SourceData_MCFTemperatureZone_Data(),Table_SourceData_Common_MCFTemperatureZone[[#Headers],[Temperature zone]],0)</f>
        <v/>
      </c>
      <c r="K235" s="31" t="str" cm="1">
        <f t="array" aca="1" ref="K235" ca="1">Common_InputFunctions.Utility_DisplayArrayInTable(Common_SourceData.Common_SourceData_MCFTemperatureZone_Data(),Table_SourceData_Common_MCFTemperatureZone[[#Headers],[Temperature zone]],0)</f>
        <v/>
      </c>
      <c r="L235" s="31" t="str" cm="1">
        <f t="array" aca="1" ref="L235" ca="1">Common_InputFunctions.Utility_DisplayArrayInTable(Common_SourceData.Common_SourceData_MCFTemperatureZone_Data(),Table_SourceData_Common_MCFTemperatureZone[[#Headers],[Temperature zone]],0)</f>
        <v/>
      </c>
      <c r="M235" s="31" t="str" cm="1">
        <f t="array" aca="1" ref="M235" ca="1">Common_InputFunctions.Utility_DisplayArrayInTable(Common_SourceData.Common_SourceData_MCFTemperatureZone_Data(),Table_SourceData_Common_MCFTemperatureZone[[#Headers],[Temperature zone]],0)</f>
        <v/>
      </c>
      <c r="N235" s="31" t="str" cm="1">
        <f t="array" aca="1" ref="N235" ca="1">Common_InputFunctions.Utility_DisplayArrayInTable(Common_SourceData.Common_SourceData_MCFTemperatureZone_Data(),Table_SourceData_Common_MCFTemperatureZone[[#Headers],[Temperature zone]],0)</f>
        <v/>
      </c>
      <c r="O235" s="31" t="str" cm="1">
        <f t="array" aca="1" ref="O235" ca="1">Common_InputFunctions.Utility_DisplayArrayInTable(Common_SourceData.Common_SourceData_MCFTemperatureZone_Data(),Table_SourceData_Common_MCFTemperatureZone[[#Headers],[Temperature zone]],0)</f>
        <v/>
      </c>
      <c r="P235" s="31" t="str" cm="1">
        <f t="array" aca="1" ref="P235" ca="1">Common_InputFunctions.Utility_DisplayArrayInTable(Common_SourceData.Common_SourceData_MCFTemperatureZone_Data(),Table_SourceData_Common_MCFTemperatureZone[[#Headers],[Temperature zone]],0)</f>
        <v/>
      </c>
      <c r="Q235" s="31" t="str" cm="1">
        <f t="array" aca="1" ref="Q235" ca="1">Common_InputFunctions.Utility_DisplayArrayInTable(Common_SourceData.Common_SourceData_MCFTemperatureZone_Data(),Table_SourceData_Common_MCFTemperatureZone[[#Headers],[Temperature zone]],0)</f>
        <v/>
      </c>
      <c r="R235" s="31" t="str" cm="1">
        <f t="array" aca="1" ref="R235" ca="1">Common_InputFunctions.Utility_DisplayArrayInTable(Common_SourceData.Common_SourceData_MCFTemperatureZone_Data(),Table_SourceData_Common_MCFTemperatureZone[[#Headers],[Temperature zone]],0)</f>
        <v/>
      </c>
      <c r="S235" s="31" t="str" cm="1">
        <f t="array" aca="1" ref="S235" ca="1">Common_InputFunctions.Utility_DisplayArrayInTable(Common_SourceData.Common_SourceData_MCFTemperatureZone_Data(),Table_SourceData_Common_MCFTemperatureZone[[#Headers],[Temperature zone]],0)</f>
        <v/>
      </c>
    </row>
    <row r="236" spans="4:19" x14ac:dyDescent="0.25">
      <c r="D236" s="1" t="str" cm="1">
        <f t="array" aca="1" ref="D236" ca="1">Common_InputFunctions.Utility_DisplayArrayInTable(Common_SourceData.Common_SourceData_MCFTemperatureZone_Data(),Table_SourceData_Common_MCFTemperatureZone[[#Headers],[Temperature zone]],0)</f>
        <v/>
      </c>
      <c r="E236" s="31" t="str" cm="1">
        <f t="array" aca="1" ref="E236" ca="1">Common_InputFunctions.Utility_DisplayArrayInTable(Common_SourceData.Common_SourceData_MCFTemperatureZone_Data(),Table_SourceData_Common_MCFTemperatureZone[[#Headers],[Temperature zone]],0)</f>
        <v/>
      </c>
      <c r="F236" s="31" t="str" cm="1">
        <f t="array" aca="1" ref="F236" ca="1">Common_InputFunctions.Utility_DisplayArrayInTable(Common_SourceData.Common_SourceData_MCFTemperatureZone_Data(),Table_SourceData_Common_MCFTemperatureZone[[#Headers],[Temperature zone]],0)</f>
        <v/>
      </c>
      <c r="G236" s="31" t="str" cm="1">
        <f t="array" aca="1" ref="G236" ca="1">Common_InputFunctions.Utility_DisplayArrayInTable(Common_SourceData.Common_SourceData_MCFTemperatureZone_Data(),Table_SourceData_Common_MCFTemperatureZone[[#Headers],[Temperature zone]],0)</f>
        <v/>
      </c>
      <c r="H236" s="31" t="str" cm="1">
        <f t="array" aca="1" ref="H236" ca="1">Common_InputFunctions.Utility_DisplayArrayInTable(Common_SourceData.Common_SourceData_MCFTemperatureZone_Data(),Table_SourceData_Common_MCFTemperatureZone[[#Headers],[Temperature zone]],0)</f>
        <v/>
      </c>
      <c r="I236" s="31" t="str" cm="1">
        <f t="array" aca="1" ref="I236" ca="1">Common_InputFunctions.Utility_DisplayArrayInTable(Common_SourceData.Common_SourceData_MCFTemperatureZone_Data(),Table_SourceData_Common_MCFTemperatureZone[[#Headers],[Temperature zone]],0)</f>
        <v/>
      </c>
      <c r="J236" s="31" t="str" cm="1">
        <f t="array" aca="1" ref="J236" ca="1">Common_InputFunctions.Utility_DisplayArrayInTable(Common_SourceData.Common_SourceData_MCFTemperatureZone_Data(),Table_SourceData_Common_MCFTemperatureZone[[#Headers],[Temperature zone]],0)</f>
        <v/>
      </c>
      <c r="K236" s="31" t="str" cm="1">
        <f t="array" aca="1" ref="K236" ca="1">Common_InputFunctions.Utility_DisplayArrayInTable(Common_SourceData.Common_SourceData_MCFTemperatureZone_Data(),Table_SourceData_Common_MCFTemperatureZone[[#Headers],[Temperature zone]],0)</f>
        <v/>
      </c>
      <c r="L236" s="31" t="str" cm="1">
        <f t="array" aca="1" ref="L236" ca="1">Common_InputFunctions.Utility_DisplayArrayInTable(Common_SourceData.Common_SourceData_MCFTemperatureZone_Data(),Table_SourceData_Common_MCFTemperatureZone[[#Headers],[Temperature zone]],0)</f>
        <v/>
      </c>
      <c r="M236" s="31" t="str" cm="1">
        <f t="array" aca="1" ref="M236" ca="1">Common_InputFunctions.Utility_DisplayArrayInTable(Common_SourceData.Common_SourceData_MCFTemperatureZone_Data(),Table_SourceData_Common_MCFTemperatureZone[[#Headers],[Temperature zone]],0)</f>
        <v/>
      </c>
      <c r="N236" s="31" t="str" cm="1">
        <f t="array" aca="1" ref="N236" ca="1">Common_InputFunctions.Utility_DisplayArrayInTable(Common_SourceData.Common_SourceData_MCFTemperatureZone_Data(),Table_SourceData_Common_MCFTemperatureZone[[#Headers],[Temperature zone]],0)</f>
        <v/>
      </c>
      <c r="O236" s="31" t="str" cm="1">
        <f t="array" aca="1" ref="O236" ca="1">Common_InputFunctions.Utility_DisplayArrayInTable(Common_SourceData.Common_SourceData_MCFTemperatureZone_Data(),Table_SourceData_Common_MCFTemperatureZone[[#Headers],[Temperature zone]],0)</f>
        <v/>
      </c>
      <c r="P236" s="31" t="str" cm="1">
        <f t="array" aca="1" ref="P236" ca="1">Common_InputFunctions.Utility_DisplayArrayInTable(Common_SourceData.Common_SourceData_MCFTemperatureZone_Data(),Table_SourceData_Common_MCFTemperatureZone[[#Headers],[Temperature zone]],0)</f>
        <v/>
      </c>
      <c r="Q236" s="31" t="str" cm="1">
        <f t="array" aca="1" ref="Q236" ca="1">Common_InputFunctions.Utility_DisplayArrayInTable(Common_SourceData.Common_SourceData_MCFTemperatureZone_Data(),Table_SourceData_Common_MCFTemperatureZone[[#Headers],[Temperature zone]],0)</f>
        <v/>
      </c>
      <c r="R236" s="31" t="str" cm="1">
        <f t="array" aca="1" ref="R236" ca="1">Common_InputFunctions.Utility_DisplayArrayInTable(Common_SourceData.Common_SourceData_MCFTemperatureZone_Data(),Table_SourceData_Common_MCFTemperatureZone[[#Headers],[Temperature zone]],0)</f>
        <v/>
      </c>
      <c r="S236" s="31" t="str" cm="1">
        <f t="array" aca="1" ref="S236" ca="1">Common_InputFunctions.Utility_DisplayArrayInTable(Common_SourceData.Common_SourceData_MCFTemperatureZone_Data(),Table_SourceData_Common_MCFTemperatureZone[[#Headers],[Temperature zone]],0)</f>
        <v/>
      </c>
    </row>
    <row r="237" spans="4:19" x14ac:dyDescent="0.25">
      <c r="D237" s="1" t="str" cm="1">
        <f t="array" aca="1" ref="D237" ca="1">Common_InputFunctions.Utility_DisplayArrayInTable(Common_SourceData.Common_SourceData_MCFTemperatureZone_Data(),Table_SourceData_Common_MCFTemperatureZone[[#Headers],[Temperature zone]],0)</f>
        <v/>
      </c>
      <c r="E237" s="31" t="str" cm="1">
        <f t="array" aca="1" ref="E237" ca="1">Common_InputFunctions.Utility_DisplayArrayInTable(Common_SourceData.Common_SourceData_MCFTemperatureZone_Data(),Table_SourceData_Common_MCFTemperatureZone[[#Headers],[Temperature zone]],0)</f>
        <v/>
      </c>
      <c r="F237" s="31" t="str" cm="1">
        <f t="array" aca="1" ref="F237" ca="1">Common_InputFunctions.Utility_DisplayArrayInTable(Common_SourceData.Common_SourceData_MCFTemperatureZone_Data(),Table_SourceData_Common_MCFTemperatureZone[[#Headers],[Temperature zone]],0)</f>
        <v/>
      </c>
      <c r="G237" s="31" t="str" cm="1">
        <f t="array" aca="1" ref="G237" ca="1">Common_InputFunctions.Utility_DisplayArrayInTable(Common_SourceData.Common_SourceData_MCFTemperatureZone_Data(),Table_SourceData_Common_MCFTemperatureZone[[#Headers],[Temperature zone]],0)</f>
        <v/>
      </c>
      <c r="H237" s="31" t="str" cm="1">
        <f t="array" aca="1" ref="H237" ca="1">Common_InputFunctions.Utility_DisplayArrayInTable(Common_SourceData.Common_SourceData_MCFTemperatureZone_Data(),Table_SourceData_Common_MCFTemperatureZone[[#Headers],[Temperature zone]],0)</f>
        <v/>
      </c>
      <c r="I237" s="31" t="str" cm="1">
        <f t="array" aca="1" ref="I237" ca="1">Common_InputFunctions.Utility_DisplayArrayInTable(Common_SourceData.Common_SourceData_MCFTemperatureZone_Data(),Table_SourceData_Common_MCFTemperatureZone[[#Headers],[Temperature zone]],0)</f>
        <v/>
      </c>
      <c r="J237" s="31" t="str" cm="1">
        <f t="array" aca="1" ref="J237" ca="1">Common_InputFunctions.Utility_DisplayArrayInTable(Common_SourceData.Common_SourceData_MCFTemperatureZone_Data(),Table_SourceData_Common_MCFTemperatureZone[[#Headers],[Temperature zone]],0)</f>
        <v/>
      </c>
      <c r="K237" s="31" t="str" cm="1">
        <f t="array" aca="1" ref="K237" ca="1">Common_InputFunctions.Utility_DisplayArrayInTable(Common_SourceData.Common_SourceData_MCFTemperatureZone_Data(),Table_SourceData_Common_MCFTemperatureZone[[#Headers],[Temperature zone]],0)</f>
        <v/>
      </c>
      <c r="L237" s="31" t="str" cm="1">
        <f t="array" aca="1" ref="L237" ca="1">Common_InputFunctions.Utility_DisplayArrayInTable(Common_SourceData.Common_SourceData_MCFTemperatureZone_Data(),Table_SourceData_Common_MCFTemperatureZone[[#Headers],[Temperature zone]],0)</f>
        <v/>
      </c>
      <c r="M237" s="31" t="str" cm="1">
        <f t="array" aca="1" ref="M237" ca="1">Common_InputFunctions.Utility_DisplayArrayInTable(Common_SourceData.Common_SourceData_MCFTemperatureZone_Data(),Table_SourceData_Common_MCFTemperatureZone[[#Headers],[Temperature zone]],0)</f>
        <v/>
      </c>
      <c r="N237" s="31" t="str" cm="1">
        <f t="array" aca="1" ref="N237" ca="1">Common_InputFunctions.Utility_DisplayArrayInTable(Common_SourceData.Common_SourceData_MCFTemperatureZone_Data(),Table_SourceData_Common_MCFTemperatureZone[[#Headers],[Temperature zone]],0)</f>
        <v/>
      </c>
      <c r="O237" s="31" t="str" cm="1">
        <f t="array" aca="1" ref="O237" ca="1">Common_InputFunctions.Utility_DisplayArrayInTable(Common_SourceData.Common_SourceData_MCFTemperatureZone_Data(),Table_SourceData_Common_MCFTemperatureZone[[#Headers],[Temperature zone]],0)</f>
        <v/>
      </c>
      <c r="P237" s="31" t="str" cm="1">
        <f t="array" aca="1" ref="P237" ca="1">Common_InputFunctions.Utility_DisplayArrayInTable(Common_SourceData.Common_SourceData_MCFTemperatureZone_Data(),Table_SourceData_Common_MCFTemperatureZone[[#Headers],[Temperature zone]],0)</f>
        <v/>
      </c>
      <c r="Q237" s="31" t="str" cm="1">
        <f t="array" aca="1" ref="Q237" ca="1">Common_InputFunctions.Utility_DisplayArrayInTable(Common_SourceData.Common_SourceData_MCFTemperatureZone_Data(),Table_SourceData_Common_MCFTemperatureZone[[#Headers],[Temperature zone]],0)</f>
        <v/>
      </c>
      <c r="R237" s="31" t="str" cm="1">
        <f t="array" aca="1" ref="R237" ca="1">Common_InputFunctions.Utility_DisplayArrayInTable(Common_SourceData.Common_SourceData_MCFTemperatureZone_Data(),Table_SourceData_Common_MCFTemperatureZone[[#Headers],[Temperature zone]],0)</f>
        <v/>
      </c>
      <c r="S237" s="31" t="str" cm="1">
        <f t="array" aca="1" ref="S237" ca="1">Common_InputFunctions.Utility_DisplayArrayInTable(Common_SourceData.Common_SourceData_MCFTemperatureZone_Data(),Table_SourceData_Common_MCFTemperatureZone[[#Headers],[Temperature zone]],0)</f>
        <v/>
      </c>
    </row>
    <row r="238" spans="4:19" x14ac:dyDescent="0.25">
      <c r="D238" s="1" t="str" cm="1">
        <f t="array" aca="1" ref="D238" ca="1">Common_InputFunctions.Utility_DisplayArrayInTable(Common_SourceData.Common_SourceData_MCFTemperatureZone_Data(),Table_SourceData_Common_MCFTemperatureZone[[#Headers],[Temperature zone]],0)</f>
        <v/>
      </c>
      <c r="E238" s="31" t="str" cm="1">
        <f t="array" aca="1" ref="E238" ca="1">Common_InputFunctions.Utility_DisplayArrayInTable(Common_SourceData.Common_SourceData_MCFTemperatureZone_Data(),Table_SourceData_Common_MCFTemperatureZone[[#Headers],[Temperature zone]],0)</f>
        <v/>
      </c>
      <c r="F238" s="31" t="str" cm="1">
        <f t="array" aca="1" ref="F238" ca="1">Common_InputFunctions.Utility_DisplayArrayInTable(Common_SourceData.Common_SourceData_MCFTemperatureZone_Data(),Table_SourceData_Common_MCFTemperatureZone[[#Headers],[Temperature zone]],0)</f>
        <v/>
      </c>
      <c r="G238" s="31" t="str" cm="1">
        <f t="array" aca="1" ref="G238" ca="1">Common_InputFunctions.Utility_DisplayArrayInTable(Common_SourceData.Common_SourceData_MCFTemperatureZone_Data(),Table_SourceData_Common_MCFTemperatureZone[[#Headers],[Temperature zone]],0)</f>
        <v/>
      </c>
      <c r="H238" s="31" t="str" cm="1">
        <f t="array" aca="1" ref="H238" ca="1">Common_InputFunctions.Utility_DisplayArrayInTable(Common_SourceData.Common_SourceData_MCFTemperatureZone_Data(),Table_SourceData_Common_MCFTemperatureZone[[#Headers],[Temperature zone]],0)</f>
        <v/>
      </c>
      <c r="I238" s="31" t="str" cm="1">
        <f t="array" aca="1" ref="I238" ca="1">Common_InputFunctions.Utility_DisplayArrayInTable(Common_SourceData.Common_SourceData_MCFTemperatureZone_Data(),Table_SourceData_Common_MCFTemperatureZone[[#Headers],[Temperature zone]],0)</f>
        <v/>
      </c>
      <c r="J238" s="31" t="str" cm="1">
        <f t="array" aca="1" ref="J238" ca="1">Common_InputFunctions.Utility_DisplayArrayInTable(Common_SourceData.Common_SourceData_MCFTemperatureZone_Data(),Table_SourceData_Common_MCFTemperatureZone[[#Headers],[Temperature zone]],0)</f>
        <v/>
      </c>
      <c r="K238" s="31" t="str" cm="1">
        <f t="array" aca="1" ref="K238" ca="1">Common_InputFunctions.Utility_DisplayArrayInTable(Common_SourceData.Common_SourceData_MCFTemperatureZone_Data(),Table_SourceData_Common_MCFTemperatureZone[[#Headers],[Temperature zone]],0)</f>
        <v/>
      </c>
      <c r="L238" s="31" t="str" cm="1">
        <f t="array" aca="1" ref="L238" ca="1">Common_InputFunctions.Utility_DisplayArrayInTable(Common_SourceData.Common_SourceData_MCFTemperatureZone_Data(),Table_SourceData_Common_MCFTemperatureZone[[#Headers],[Temperature zone]],0)</f>
        <v/>
      </c>
      <c r="M238" s="31" t="str" cm="1">
        <f t="array" aca="1" ref="M238" ca="1">Common_InputFunctions.Utility_DisplayArrayInTable(Common_SourceData.Common_SourceData_MCFTemperatureZone_Data(),Table_SourceData_Common_MCFTemperatureZone[[#Headers],[Temperature zone]],0)</f>
        <v/>
      </c>
      <c r="N238" s="31" t="str" cm="1">
        <f t="array" aca="1" ref="N238" ca="1">Common_InputFunctions.Utility_DisplayArrayInTable(Common_SourceData.Common_SourceData_MCFTemperatureZone_Data(),Table_SourceData_Common_MCFTemperatureZone[[#Headers],[Temperature zone]],0)</f>
        <v/>
      </c>
      <c r="O238" s="31" t="str" cm="1">
        <f t="array" aca="1" ref="O238" ca="1">Common_InputFunctions.Utility_DisplayArrayInTable(Common_SourceData.Common_SourceData_MCFTemperatureZone_Data(),Table_SourceData_Common_MCFTemperatureZone[[#Headers],[Temperature zone]],0)</f>
        <v/>
      </c>
      <c r="P238" s="31" t="str" cm="1">
        <f t="array" aca="1" ref="P238" ca="1">Common_InputFunctions.Utility_DisplayArrayInTable(Common_SourceData.Common_SourceData_MCFTemperatureZone_Data(),Table_SourceData_Common_MCFTemperatureZone[[#Headers],[Temperature zone]],0)</f>
        <v/>
      </c>
      <c r="Q238" s="31" t="str" cm="1">
        <f t="array" aca="1" ref="Q238" ca="1">Common_InputFunctions.Utility_DisplayArrayInTable(Common_SourceData.Common_SourceData_MCFTemperatureZone_Data(),Table_SourceData_Common_MCFTemperatureZone[[#Headers],[Temperature zone]],0)</f>
        <v/>
      </c>
      <c r="R238" s="31" t="str" cm="1">
        <f t="array" aca="1" ref="R238" ca="1">Common_InputFunctions.Utility_DisplayArrayInTable(Common_SourceData.Common_SourceData_MCFTemperatureZone_Data(),Table_SourceData_Common_MCFTemperatureZone[[#Headers],[Temperature zone]],0)</f>
        <v/>
      </c>
      <c r="S238" s="31" t="str" cm="1">
        <f t="array" aca="1" ref="S238" ca="1">Common_InputFunctions.Utility_DisplayArrayInTable(Common_SourceData.Common_SourceData_MCFTemperatureZone_Data(),Table_SourceData_Common_MCFTemperatureZone[[#Headers],[Temperature zone]],0)</f>
        <v/>
      </c>
    </row>
    <row r="239" spans="4:19" x14ac:dyDescent="0.25">
      <c r="D239" s="1" t="str" cm="1">
        <f t="array" aca="1" ref="D239" ca="1">Common_InputFunctions.Utility_DisplayArrayInTable(Common_SourceData.Common_SourceData_MCFTemperatureZone_Data(),Table_SourceData_Common_MCFTemperatureZone[[#Headers],[Temperature zone]],0)</f>
        <v/>
      </c>
      <c r="E239" s="31" t="str" cm="1">
        <f t="array" aca="1" ref="E239" ca="1">Common_InputFunctions.Utility_DisplayArrayInTable(Common_SourceData.Common_SourceData_MCFTemperatureZone_Data(),Table_SourceData_Common_MCFTemperatureZone[[#Headers],[Temperature zone]],0)</f>
        <v/>
      </c>
      <c r="F239" s="31" t="str" cm="1">
        <f t="array" aca="1" ref="F239" ca="1">Common_InputFunctions.Utility_DisplayArrayInTable(Common_SourceData.Common_SourceData_MCFTemperatureZone_Data(),Table_SourceData_Common_MCFTemperatureZone[[#Headers],[Temperature zone]],0)</f>
        <v/>
      </c>
      <c r="G239" s="31" t="str" cm="1">
        <f t="array" aca="1" ref="G239" ca="1">Common_InputFunctions.Utility_DisplayArrayInTable(Common_SourceData.Common_SourceData_MCFTemperatureZone_Data(),Table_SourceData_Common_MCFTemperatureZone[[#Headers],[Temperature zone]],0)</f>
        <v/>
      </c>
      <c r="H239" s="31" t="str" cm="1">
        <f t="array" aca="1" ref="H239" ca="1">Common_InputFunctions.Utility_DisplayArrayInTable(Common_SourceData.Common_SourceData_MCFTemperatureZone_Data(),Table_SourceData_Common_MCFTemperatureZone[[#Headers],[Temperature zone]],0)</f>
        <v/>
      </c>
      <c r="I239" s="31" t="str" cm="1">
        <f t="array" aca="1" ref="I239" ca="1">Common_InputFunctions.Utility_DisplayArrayInTable(Common_SourceData.Common_SourceData_MCFTemperatureZone_Data(),Table_SourceData_Common_MCFTemperatureZone[[#Headers],[Temperature zone]],0)</f>
        <v/>
      </c>
      <c r="J239" s="31" t="str" cm="1">
        <f t="array" aca="1" ref="J239" ca="1">Common_InputFunctions.Utility_DisplayArrayInTable(Common_SourceData.Common_SourceData_MCFTemperatureZone_Data(),Table_SourceData_Common_MCFTemperatureZone[[#Headers],[Temperature zone]],0)</f>
        <v/>
      </c>
      <c r="K239" s="31" t="str" cm="1">
        <f t="array" aca="1" ref="K239" ca="1">Common_InputFunctions.Utility_DisplayArrayInTable(Common_SourceData.Common_SourceData_MCFTemperatureZone_Data(),Table_SourceData_Common_MCFTemperatureZone[[#Headers],[Temperature zone]],0)</f>
        <v/>
      </c>
      <c r="L239" s="31" t="str" cm="1">
        <f t="array" aca="1" ref="L239" ca="1">Common_InputFunctions.Utility_DisplayArrayInTable(Common_SourceData.Common_SourceData_MCFTemperatureZone_Data(),Table_SourceData_Common_MCFTemperatureZone[[#Headers],[Temperature zone]],0)</f>
        <v/>
      </c>
      <c r="M239" s="31" t="str" cm="1">
        <f t="array" aca="1" ref="M239" ca="1">Common_InputFunctions.Utility_DisplayArrayInTable(Common_SourceData.Common_SourceData_MCFTemperatureZone_Data(),Table_SourceData_Common_MCFTemperatureZone[[#Headers],[Temperature zone]],0)</f>
        <v/>
      </c>
      <c r="N239" s="31" t="str" cm="1">
        <f t="array" aca="1" ref="N239" ca="1">Common_InputFunctions.Utility_DisplayArrayInTable(Common_SourceData.Common_SourceData_MCFTemperatureZone_Data(),Table_SourceData_Common_MCFTemperatureZone[[#Headers],[Temperature zone]],0)</f>
        <v/>
      </c>
      <c r="O239" s="31" t="str" cm="1">
        <f t="array" aca="1" ref="O239" ca="1">Common_InputFunctions.Utility_DisplayArrayInTable(Common_SourceData.Common_SourceData_MCFTemperatureZone_Data(),Table_SourceData_Common_MCFTemperatureZone[[#Headers],[Temperature zone]],0)</f>
        <v/>
      </c>
      <c r="P239" s="31" t="str" cm="1">
        <f t="array" aca="1" ref="P239" ca="1">Common_InputFunctions.Utility_DisplayArrayInTable(Common_SourceData.Common_SourceData_MCFTemperatureZone_Data(),Table_SourceData_Common_MCFTemperatureZone[[#Headers],[Temperature zone]],0)</f>
        <v/>
      </c>
      <c r="Q239" s="31" t="str" cm="1">
        <f t="array" aca="1" ref="Q239" ca="1">Common_InputFunctions.Utility_DisplayArrayInTable(Common_SourceData.Common_SourceData_MCFTemperatureZone_Data(),Table_SourceData_Common_MCFTemperatureZone[[#Headers],[Temperature zone]],0)</f>
        <v/>
      </c>
      <c r="R239" s="31" t="str" cm="1">
        <f t="array" aca="1" ref="R239" ca="1">Common_InputFunctions.Utility_DisplayArrayInTable(Common_SourceData.Common_SourceData_MCFTemperatureZone_Data(),Table_SourceData_Common_MCFTemperatureZone[[#Headers],[Temperature zone]],0)</f>
        <v/>
      </c>
      <c r="S239" s="31" t="str" cm="1">
        <f t="array" aca="1" ref="S239" ca="1">Common_InputFunctions.Utility_DisplayArrayInTable(Common_SourceData.Common_SourceData_MCFTemperatureZone_Data(),Table_SourceData_Common_MCFTemperatureZone[[#Headers],[Temperature zone]],0)</f>
        <v/>
      </c>
    </row>
    <row r="240" spans="4:19" x14ac:dyDescent="0.25">
      <c r="D240" s="1" t="str" cm="1">
        <f t="array" aca="1" ref="D240" ca="1">Common_InputFunctions.Utility_DisplayArrayInTable(Common_SourceData.Common_SourceData_MCFTemperatureZone_Data(),Table_SourceData_Common_MCFTemperatureZone[[#Headers],[Temperature zone]],0)</f>
        <v/>
      </c>
      <c r="E240" s="31" t="str" cm="1">
        <f t="array" aca="1" ref="E240" ca="1">Common_InputFunctions.Utility_DisplayArrayInTable(Common_SourceData.Common_SourceData_MCFTemperatureZone_Data(),Table_SourceData_Common_MCFTemperatureZone[[#Headers],[Temperature zone]],0)</f>
        <v/>
      </c>
      <c r="F240" s="31" t="str" cm="1">
        <f t="array" aca="1" ref="F240" ca="1">Common_InputFunctions.Utility_DisplayArrayInTable(Common_SourceData.Common_SourceData_MCFTemperatureZone_Data(),Table_SourceData_Common_MCFTemperatureZone[[#Headers],[Temperature zone]],0)</f>
        <v/>
      </c>
      <c r="G240" s="31" t="str" cm="1">
        <f t="array" aca="1" ref="G240" ca="1">Common_InputFunctions.Utility_DisplayArrayInTable(Common_SourceData.Common_SourceData_MCFTemperatureZone_Data(),Table_SourceData_Common_MCFTemperatureZone[[#Headers],[Temperature zone]],0)</f>
        <v/>
      </c>
      <c r="H240" s="31" t="str" cm="1">
        <f t="array" aca="1" ref="H240" ca="1">Common_InputFunctions.Utility_DisplayArrayInTable(Common_SourceData.Common_SourceData_MCFTemperatureZone_Data(),Table_SourceData_Common_MCFTemperatureZone[[#Headers],[Temperature zone]],0)</f>
        <v/>
      </c>
      <c r="I240" s="31" t="str" cm="1">
        <f t="array" aca="1" ref="I240" ca="1">Common_InputFunctions.Utility_DisplayArrayInTable(Common_SourceData.Common_SourceData_MCFTemperatureZone_Data(),Table_SourceData_Common_MCFTemperatureZone[[#Headers],[Temperature zone]],0)</f>
        <v/>
      </c>
      <c r="J240" s="31" t="str" cm="1">
        <f t="array" aca="1" ref="J240" ca="1">Common_InputFunctions.Utility_DisplayArrayInTable(Common_SourceData.Common_SourceData_MCFTemperatureZone_Data(),Table_SourceData_Common_MCFTemperatureZone[[#Headers],[Temperature zone]],0)</f>
        <v/>
      </c>
      <c r="K240" s="31" t="str" cm="1">
        <f t="array" aca="1" ref="K240" ca="1">Common_InputFunctions.Utility_DisplayArrayInTable(Common_SourceData.Common_SourceData_MCFTemperatureZone_Data(),Table_SourceData_Common_MCFTemperatureZone[[#Headers],[Temperature zone]],0)</f>
        <v/>
      </c>
      <c r="L240" s="31" t="str" cm="1">
        <f t="array" aca="1" ref="L240" ca="1">Common_InputFunctions.Utility_DisplayArrayInTable(Common_SourceData.Common_SourceData_MCFTemperatureZone_Data(),Table_SourceData_Common_MCFTemperatureZone[[#Headers],[Temperature zone]],0)</f>
        <v/>
      </c>
      <c r="M240" s="31" t="str" cm="1">
        <f t="array" aca="1" ref="M240" ca="1">Common_InputFunctions.Utility_DisplayArrayInTable(Common_SourceData.Common_SourceData_MCFTemperatureZone_Data(),Table_SourceData_Common_MCFTemperatureZone[[#Headers],[Temperature zone]],0)</f>
        <v/>
      </c>
      <c r="N240" s="31" t="str" cm="1">
        <f t="array" aca="1" ref="N240" ca="1">Common_InputFunctions.Utility_DisplayArrayInTable(Common_SourceData.Common_SourceData_MCFTemperatureZone_Data(),Table_SourceData_Common_MCFTemperatureZone[[#Headers],[Temperature zone]],0)</f>
        <v/>
      </c>
      <c r="O240" s="31" t="str" cm="1">
        <f t="array" aca="1" ref="O240" ca="1">Common_InputFunctions.Utility_DisplayArrayInTable(Common_SourceData.Common_SourceData_MCFTemperatureZone_Data(),Table_SourceData_Common_MCFTemperatureZone[[#Headers],[Temperature zone]],0)</f>
        <v/>
      </c>
      <c r="P240" s="31" t="str" cm="1">
        <f t="array" aca="1" ref="P240" ca="1">Common_InputFunctions.Utility_DisplayArrayInTable(Common_SourceData.Common_SourceData_MCFTemperatureZone_Data(),Table_SourceData_Common_MCFTemperatureZone[[#Headers],[Temperature zone]],0)</f>
        <v/>
      </c>
      <c r="Q240" s="31" t="str" cm="1">
        <f t="array" aca="1" ref="Q240" ca="1">Common_InputFunctions.Utility_DisplayArrayInTable(Common_SourceData.Common_SourceData_MCFTemperatureZone_Data(),Table_SourceData_Common_MCFTemperatureZone[[#Headers],[Temperature zone]],0)</f>
        <v/>
      </c>
      <c r="R240" s="31" t="str" cm="1">
        <f t="array" aca="1" ref="R240" ca="1">Common_InputFunctions.Utility_DisplayArrayInTable(Common_SourceData.Common_SourceData_MCFTemperatureZone_Data(),Table_SourceData_Common_MCFTemperatureZone[[#Headers],[Temperature zone]],0)</f>
        <v/>
      </c>
      <c r="S240" s="31" t="str" cm="1">
        <f t="array" aca="1" ref="S240" ca="1">Common_InputFunctions.Utility_DisplayArrayInTable(Common_SourceData.Common_SourceData_MCFTemperatureZone_Data(),Table_SourceData_Common_MCFTemperatureZone[[#Headers],[Temperature zone]],0)</f>
        <v/>
      </c>
    </row>
    <row r="241" spans="4:19" x14ac:dyDescent="0.25">
      <c r="D241" s="1" t="str" cm="1">
        <f t="array" aca="1" ref="D241" ca="1">Common_InputFunctions.Utility_DisplayArrayInTable(Common_SourceData.Common_SourceData_MCFTemperatureZone_Data(),Table_SourceData_Common_MCFTemperatureZone[[#Headers],[Temperature zone]],0)</f>
        <v/>
      </c>
      <c r="E241" s="31" t="str" cm="1">
        <f t="array" aca="1" ref="E241" ca="1">Common_InputFunctions.Utility_DisplayArrayInTable(Common_SourceData.Common_SourceData_MCFTemperatureZone_Data(),Table_SourceData_Common_MCFTemperatureZone[[#Headers],[Temperature zone]],0)</f>
        <v/>
      </c>
      <c r="F241" s="31" t="str" cm="1">
        <f t="array" aca="1" ref="F241" ca="1">Common_InputFunctions.Utility_DisplayArrayInTable(Common_SourceData.Common_SourceData_MCFTemperatureZone_Data(),Table_SourceData_Common_MCFTemperatureZone[[#Headers],[Temperature zone]],0)</f>
        <v/>
      </c>
      <c r="G241" s="31" t="str" cm="1">
        <f t="array" aca="1" ref="G241" ca="1">Common_InputFunctions.Utility_DisplayArrayInTable(Common_SourceData.Common_SourceData_MCFTemperatureZone_Data(),Table_SourceData_Common_MCFTemperatureZone[[#Headers],[Temperature zone]],0)</f>
        <v/>
      </c>
      <c r="H241" s="31" t="str" cm="1">
        <f t="array" aca="1" ref="H241" ca="1">Common_InputFunctions.Utility_DisplayArrayInTable(Common_SourceData.Common_SourceData_MCFTemperatureZone_Data(),Table_SourceData_Common_MCFTemperatureZone[[#Headers],[Temperature zone]],0)</f>
        <v/>
      </c>
      <c r="I241" s="31" t="str" cm="1">
        <f t="array" aca="1" ref="I241" ca="1">Common_InputFunctions.Utility_DisplayArrayInTable(Common_SourceData.Common_SourceData_MCFTemperatureZone_Data(),Table_SourceData_Common_MCFTemperatureZone[[#Headers],[Temperature zone]],0)</f>
        <v/>
      </c>
      <c r="J241" s="31" t="str" cm="1">
        <f t="array" aca="1" ref="J241" ca="1">Common_InputFunctions.Utility_DisplayArrayInTable(Common_SourceData.Common_SourceData_MCFTemperatureZone_Data(),Table_SourceData_Common_MCFTemperatureZone[[#Headers],[Temperature zone]],0)</f>
        <v/>
      </c>
      <c r="K241" s="31" t="str" cm="1">
        <f t="array" aca="1" ref="K241" ca="1">Common_InputFunctions.Utility_DisplayArrayInTable(Common_SourceData.Common_SourceData_MCFTemperatureZone_Data(),Table_SourceData_Common_MCFTemperatureZone[[#Headers],[Temperature zone]],0)</f>
        <v/>
      </c>
      <c r="L241" s="31" t="str" cm="1">
        <f t="array" aca="1" ref="L241" ca="1">Common_InputFunctions.Utility_DisplayArrayInTable(Common_SourceData.Common_SourceData_MCFTemperatureZone_Data(),Table_SourceData_Common_MCFTemperatureZone[[#Headers],[Temperature zone]],0)</f>
        <v/>
      </c>
      <c r="M241" s="31" t="str" cm="1">
        <f t="array" aca="1" ref="M241" ca="1">Common_InputFunctions.Utility_DisplayArrayInTable(Common_SourceData.Common_SourceData_MCFTemperatureZone_Data(),Table_SourceData_Common_MCFTemperatureZone[[#Headers],[Temperature zone]],0)</f>
        <v/>
      </c>
      <c r="N241" s="31" t="str" cm="1">
        <f t="array" aca="1" ref="N241" ca="1">Common_InputFunctions.Utility_DisplayArrayInTable(Common_SourceData.Common_SourceData_MCFTemperatureZone_Data(),Table_SourceData_Common_MCFTemperatureZone[[#Headers],[Temperature zone]],0)</f>
        <v/>
      </c>
      <c r="O241" s="31" t="str" cm="1">
        <f t="array" aca="1" ref="O241" ca="1">Common_InputFunctions.Utility_DisplayArrayInTable(Common_SourceData.Common_SourceData_MCFTemperatureZone_Data(),Table_SourceData_Common_MCFTemperatureZone[[#Headers],[Temperature zone]],0)</f>
        <v/>
      </c>
      <c r="P241" s="31" t="str" cm="1">
        <f t="array" aca="1" ref="P241" ca="1">Common_InputFunctions.Utility_DisplayArrayInTable(Common_SourceData.Common_SourceData_MCFTemperatureZone_Data(),Table_SourceData_Common_MCFTemperatureZone[[#Headers],[Temperature zone]],0)</f>
        <v/>
      </c>
      <c r="Q241" s="31" t="str" cm="1">
        <f t="array" aca="1" ref="Q241" ca="1">Common_InputFunctions.Utility_DisplayArrayInTable(Common_SourceData.Common_SourceData_MCFTemperatureZone_Data(),Table_SourceData_Common_MCFTemperatureZone[[#Headers],[Temperature zone]],0)</f>
        <v/>
      </c>
      <c r="R241" s="31" t="str" cm="1">
        <f t="array" aca="1" ref="R241" ca="1">Common_InputFunctions.Utility_DisplayArrayInTable(Common_SourceData.Common_SourceData_MCFTemperatureZone_Data(),Table_SourceData_Common_MCFTemperatureZone[[#Headers],[Temperature zone]],0)</f>
        <v/>
      </c>
      <c r="S241" s="31" t="str" cm="1">
        <f t="array" aca="1" ref="S241" ca="1">Common_InputFunctions.Utility_DisplayArrayInTable(Common_SourceData.Common_SourceData_MCFTemperatureZone_Data(),Table_SourceData_Common_MCFTemperatureZone[[#Headers],[Temperature zone]],0)</f>
        <v/>
      </c>
    </row>
    <row r="242" spans="4:19" x14ac:dyDescent="0.25">
      <c r="D242" s="1" t="str" cm="1">
        <f t="array" aca="1" ref="D242" ca="1">Common_InputFunctions.Utility_DisplayArrayInTable(Common_SourceData.Common_SourceData_MCFTemperatureZone_Data(),Table_SourceData_Common_MCFTemperatureZone[[#Headers],[Temperature zone]],0)</f>
        <v/>
      </c>
      <c r="E242" s="31" t="str" cm="1">
        <f t="array" aca="1" ref="E242" ca="1">Common_InputFunctions.Utility_DisplayArrayInTable(Common_SourceData.Common_SourceData_MCFTemperatureZone_Data(),Table_SourceData_Common_MCFTemperatureZone[[#Headers],[Temperature zone]],0)</f>
        <v/>
      </c>
      <c r="F242" s="31" t="str" cm="1">
        <f t="array" aca="1" ref="F242" ca="1">Common_InputFunctions.Utility_DisplayArrayInTable(Common_SourceData.Common_SourceData_MCFTemperatureZone_Data(),Table_SourceData_Common_MCFTemperatureZone[[#Headers],[Temperature zone]],0)</f>
        <v/>
      </c>
      <c r="G242" s="31" t="str" cm="1">
        <f t="array" aca="1" ref="G242" ca="1">Common_InputFunctions.Utility_DisplayArrayInTable(Common_SourceData.Common_SourceData_MCFTemperatureZone_Data(),Table_SourceData_Common_MCFTemperatureZone[[#Headers],[Temperature zone]],0)</f>
        <v/>
      </c>
      <c r="H242" s="31" t="str" cm="1">
        <f t="array" aca="1" ref="H242" ca="1">Common_InputFunctions.Utility_DisplayArrayInTable(Common_SourceData.Common_SourceData_MCFTemperatureZone_Data(),Table_SourceData_Common_MCFTemperatureZone[[#Headers],[Temperature zone]],0)</f>
        <v/>
      </c>
      <c r="I242" s="31" t="str" cm="1">
        <f t="array" aca="1" ref="I242" ca="1">Common_InputFunctions.Utility_DisplayArrayInTable(Common_SourceData.Common_SourceData_MCFTemperatureZone_Data(),Table_SourceData_Common_MCFTemperatureZone[[#Headers],[Temperature zone]],0)</f>
        <v/>
      </c>
      <c r="J242" s="31" t="str" cm="1">
        <f t="array" aca="1" ref="J242" ca="1">Common_InputFunctions.Utility_DisplayArrayInTable(Common_SourceData.Common_SourceData_MCFTemperatureZone_Data(),Table_SourceData_Common_MCFTemperatureZone[[#Headers],[Temperature zone]],0)</f>
        <v/>
      </c>
      <c r="K242" s="31" t="str" cm="1">
        <f t="array" aca="1" ref="K242" ca="1">Common_InputFunctions.Utility_DisplayArrayInTable(Common_SourceData.Common_SourceData_MCFTemperatureZone_Data(),Table_SourceData_Common_MCFTemperatureZone[[#Headers],[Temperature zone]],0)</f>
        <v/>
      </c>
      <c r="L242" s="31" t="str" cm="1">
        <f t="array" aca="1" ref="L242" ca="1">Common_InputFunctions.Utility_DisplayArrayInTable(Common_SourceData.Common_SourceData_MCFTemperatureZone_Data(),Table_SourceData_Common_MCFTemperatureZone[[#Headers],[Temperature zone]],0)</f>
        <v/>
      </c>
      <c r="M242" s="31" t="str" cm="1">
        <f t="array" aca="1" ref="M242" ca="1">Common_InputFunctions.Utility_DisplayArrayInTable(Common_SourceData.Common_SourceData_MCFTemperatureZone_Data(),Table_SourceData_Common_MCFTemperatureZone[[#Headers],[Temperature zone]],0)</f>
        <v/>
      </c>
      <c r="N242" s="31" t="str" cm="1">
        <f t="array" aca="1" ref="N242" ca="1">Common_InputFunctions.Utility_DisplayArrayInTable(Common_SourceData.Common_SourceData_MCFTemperatureZone_Data(),Table_SourceData_Common_MCFTemperatureZone[[#Headers],[Temperature zone]],0)</f>
        <v/>
      </c>
      <c r="O242" s="31" t="str" cm="1">
        <f t="array" aca="1" ref="O242" ca="1">Common_InputFunctions.Utility_DisplayArrayInTable(Common_SourceData.Common_SourceData_MCFTemperatureZone_Data(),Table_SourceData_Common_MCFTemperatureZone[[#Headers],[Temperature zone]],0)</f>
        <v/>
      </c>
      <c r="P242" s="31" t="str" cm="1">
        <f t="array" aca="1" ref="P242" ca="1">Common_InputFunctions.Utility_DisplayArrayInTable(Common_SourceData.Common_SourceData_MCFTemperatureZone_Data(),Table_SourceData_Common_MCFTemperatureZone[[#Headers],[Temperature zone]],0)</f>
        <v/>
      </c>
      <c r="Q242" s="31" t="str" cm="1">
        <f t="array" aca="1" ref="Q242" ca="1">Common_InputFunctions.Utility_DisplayArrayInTable(Common_SourceData.Common_SourceData_MCFTemperatureZone_Data(),Table_SourceData_Common_MCFTemperatureZone[[#Headers],[Temperature zone]],0)</f>
        <v/>
      </c>
      <c r="R242" s="31" t="str" cm="1">
        <f t="array" aca="1" ref="R242" ca="1">Common_InputFunctions.Utility_DisplayArrayInTable(Common_SourceData.Common_SourceData_MCFTemperatureZone_Data(),Table_SourceData_Common_MCFTemperatureZone[[#Headers],[Temperature zone]],0)</f>
        <v/>
      </c>
      <c r="S242" s="31" t="str" cm="1">
        <f t="array" aca="1" ref="S242" ca="1">Common_InputFunctions.Utility_DisplayArrayInTable(Common_SourceData.Common_SourceData_MCFTemperatureZone_Data(),Table_SourceData_Common_MCFTemperatureZone[[#Headers],[Temperature zone]],0)</f>
        <v/>
      </c>
    </row>
    <row r="243" spans="4:19" x14ac:dyDescent="0.25">
      <c r="D243" s="1" t="str" cm="1">
        <f t="array" aca="1" ref="D243" ca="1">Common_InputFunctions.Utility_DisplayArrayInTable(Common_SourceData.Common_SourceData_MCFTemperatureZone_Data(),Table_SourceData_Common_MCFTemperatureZone[[#Headers],[Temperature zone]],0)</f>
        <v/>
      </c>
      <c r="E243" s="31" t="str" cm="1">
        <f t="array" aca="1" ref="E243" ca="1">Common_InputFunctions.Utility_DisplayArrayInTable(Common_SourceData.Common_SourceData_MCFTemperatureZone_Data(),Table_SourceData_Common_MCFTemperatureZone[[#Headers],[Temperature zone]],0)</f>
        <v/>
      </c>
      <c r="F243" s="31" t="str" cm="1">
        <f t="array" aca="1" ref="F243" ca="1">Common_InputFunctions.Utility_DisplayArrayInTable(Common_SourceData.Common_SourceData_MCFTemperatureZone_Data(),Table_SourceData_Common_MCFTemperatureZone[[#Headers],[Temperature zone]],0)</f>
        <v/>
      </c>
      <c r="G243" s="31" t="str" cm="1">
        <f t="array" aca="1" ref="G243" ca="1">Common_InputFunctions.Utility_DisplayArrayInTable(Common_SourceData.Common_SourceData_MCFTemperatureZone_Data(),Table_SourceData_Common_MCFTemperatureZone[[#Headers],[Temperature zone]],0)</f>
        <v/>
      </c>
      <c r="H243" s="31" t="str" cm="1">
        <f t="array" aca="1" ref="H243" ca="1">Common_InputFunctions.Utility_DisplayArrayInTable(Common_SourceData.Common_SourceData_MCFTemperatureZone_Data(),Table_SourceData_Common_MCFTemperatureZone[[#Headers],[Temperature zone]],0)</f>
        <v/>
      </c>
      <c r="I243" s="31" t="str" cm="1">
        <f t="array" aca="1" ref="I243" ca="1">Common_InputFunctions.Utility_DisplayArrayInTable(Common_SourceData.Common_SourceData_MCFTemperatureZone_Data(),Table_SourceData_Common_MCFTemperatureZone[[#Headers],[Temperature zone]],0)</f>
        <v/>
      </c>
      <c r="J243" s="31" t="str" cm="1">
        <f t="array" aca="1" ref="J243" ca="1">Common_InputFunctions.Utility_DisplayArrayInTable(Common_SourceData.Common_SourceData_MCFTemperatureZone_Data(),Table_SourceData_Common_MCFTemperatureZone[[#Headers],[Temperature zone]],0)</f>
        <v/>
      </c>
      <c r="K243" s="31" t="str" cm="1">
        <f t="array" aca="1" ref="K243" ca="1">Common_InputFunctions.Utility_DisplayArrayInTable(Common_SourceData.Common_SourceData_MCFTemperatureZone_Data(),Table_SourceData_Common_MCFTemperatureZone[[#Headers],[Temperature zone]],0)</f>
        <v/>
      </c>
      <c r="L243" s="31" t="str" cm="1">
        <f t="array" aca="1" ref="L243" ca="1">Common_InputFunctions.Utility_DisplayArrayInTable(Common_SourceData.Common_SourceData_MCFTemperatureZone_Data(),Table_SourceData_Common_MCFTemperatureZone[[#Headers],[Temperature zone]],0)</f>
        <v/>
      </c>
      <c r="M243" s="31" t="str" cm="1">
        <f t="array" aca="1" ref="M243" ca="1">Common_InputFunctions.Utility_DisplayArrayInTable(Common_SourceData.Common_SourceData_MCFTemperatureZone_Data(),Table_SourceData_Common_MCFTemperatureZone[[#Headers],[Temperature zone]],0)</f>
        <v/>
      </c>
      <c r="N243" s="31" t="str" cm="1">
        <f t="array" aca="1" ref="N243" ca="1">Common_InputFunctions.Utility_DisplayArrayInTable(Common_SourceData.Common_SourceData_MCFTemperatureZone_Data(),Table_SourceData_Common_MCFTemperatureZone[[#Headers],[Temperature zone]],0)</f>
        <v/>
      </c>
      <c r="O243" s="31" t="str" cm="1">
        <f t="array" aca="1" ref="O243" ca="1">Common_InputFunctions.Utility_DisplayArrayInTable(Common_SourceData.Common_SourceData_MCFTemperatureZone_Data(),Table_SourceData_Common_MCFTemperatureZone[[#Headers],[Temperature zone]],0)</f>
        <v/>
      </c>
      <c r="P243" s="31" t="str" cm="1">
        <f t="array" aca="1" ref="P243" ca="1">Common_InputFunctions.Utility_DisplayArrayInTable(Common_SourceData.Common_SourceData_MCFTemperatureZone_Data(),Table_SourceData_Common_MCFTemperatureZone[[#Headers],[Temperature zone]],0)</f>
        <v/>
      </c>
      <c r="Q243" s="31" t="str" cm="1">
        <f t="array" aca="1" ref="Q243" ca="1">Common_InputFunctions.Utility_DisplayArrayInTable(Common_SourceData.Common_SourceData_MCFTemperatureZone_Data(),Table_SourceData_Common_MCFTemperatureZone[[#Headers],[Temperature zone]],0)</f>
        <v/>
      </c>
      <c r="R243" s="31" t="str" cm="1">
        <f t="array" aca="1" ref="R243" ca="1">Common_InputFunctions.Utility_DisplayArrayInTable(Common_SourceData.Common_SourceData_MCFTemperatureZone_Data(),Table_SourceData_Common_MCFTemperatureZone[[#Headers],[Temperature zone]],0)</f>
        <v/>
      </c>
      <c r="S243" s="31" t="str" cm="1">
        <f t="array" aca="1" ref="S243" ca="1">Common_InputFunctions.Utility_DisplayArrayInTable(Common_SourceData.Common_SourceData_MCFTemperatureZone_Data(),Table_SourceData_Common_MCFTemperatureZone[[#Headers],[Temperature zone]],0)</f>
        <v/>
      </c>
    </row>
    <row r="244" spans="4:19" x14ac:dyDescent="0.25">
      <c r="D244" s="1" t="str" cm="1">
        <f t="array" aca="1" ref="D244" ca="1">Common_InputFunctions.Utility_DisplayArrayInTable(Common_SourceData.Common_SourceData_MCFTemperatureZone_Data(),Table_SourceData_Common_MCFTemperatureZone[[#Headers],[Temperature zone]],0)</f>
        <v/>
      </c>
      <c r="E244" s="31" t="str" cm="1">
        <f t="array" aca="1" ref="E244" ca="1">Common_InputFunctions.Utility_DisplayArrayInTable(Common_SourceData.Common_SourceData_MCFTemperatureZone_Data(),Table_SourceData_Common_MCFTemperatureZone[[#Headers],[Temperature zone]],0)</f>
        <v/>
      </c>
      <c r="F244" s="31" t="str" cm="1">
        <f t="array" aca="1" ref="F244" ca="1">Common_InputFunctions.Utility_DisplayArrayInTable(Common_SourceData.Common_SourceData_MCFTemperatureZone_Data(),Table_SourceData_Common_MCFTemperatureZone[[#Headers],[Temperature zone]],0)</f>
        <v/>
      </c>
      <c r="G244" s="31" t="str" cm="1">
        <f t="array" aca="1" ref="G244" ca="1">Common_InputFunctions.Utility_DisplayArrayInTable(Common_SourceData.Common_SourceData_MCFTemperatureZone_Data(),Table_SourceData_Common_MCFTemperatureZone[[#Headers],[Temperature zone]],0)</f>
        <v/>
      </c>
      <c r="H244" s="31" t="str" cm="1">
        <f t="array" aca="1" ref="H244" ca="1">Common_InputFunctions.Utility_DisplayArrayInTable(Common_SourceData.Common_SourceData_MCFTemperatureZone_Data(),Table_SourceData_Common_MCFTemperatureZone[[#Headers],[Temperature zone]],0)</f>
        <v/>
      </c>
      <c r="I244" s="31" t="str" cm="1">
        <f t="array" aca="1" ref="I244" ca="1">Common_InputFunctions.Utility_DisplayArrayInTable(Common_SourceData.Common_SourceData_MCFTemperatureZone_Data(),Table_SourceData_Common_MCFTemperatureZone[[#Headers],[Temperature zone]],0)</f>
        <v/>
      </c>
      <c r="J244" s="31" t="str" cm="1">
        <f t="array" aca="1" ref="J244" ca="1">Common_InputFunctions.Utility_DisplayArrayInTable(Common_SourceData.Common_SourceData_MCFTemperatureZone_Data(),Table_SourceData_Common_MCFTemperatureZone[[#Headers],[Temperature zone]],0)</f>
        <v/>
      </c>
      <c r="K244" s="31" t="str" cm="1">
        <f t="array" aca="1" ref="K244" ca="1">Common_InputFunctions.Utility_DisplayArrayInTable(Common_SourceData.Common_SourceData_MCFTemperatureZone_Data(),Table_SourceData_Common_MCFTemperatureZone[[#Headers],[Temperature zone]],0)</f>
        <v/>
      </c>
      <c r="L244" s="31" t="str" cm="1">
        <f t="array" aca="1" ref="L244" ca="1">Common_InputFunctions.Utility_DisplayArrayInTable(Common_SourceData.Common_SourceData_MCFTemperatureZone_Data(),Table_SourceData_Common_MCFTemperatureZone[[#Headers],[Temperature zone]],0)</f>
        <v/>
      </c>
      <c r="M244" s="31" t="str" cm="1">
        <f t="array" aca="1" ref="M244" ca="1">Common_InputFunctions.Utility_DisplayArrayInTable(Common_SourceData.Common_SourceData_MCFTemperatureZone_Data(),Table_SourceData_Common_MCFTemperatureZone[[#Headers],[Temperature zone]],0)</f>
        <v/>
      </c>
      <c r="N244" s="31" t="str" cm="1">
        <f t="array" aca="1" ref="N244" ca="1">Common_InputFunctions.Utility_DisplayArrayInTable(Common_SourceData.Common_SourceData_MCFTemperatureZone_Data(),Table_SourceData_Common_MCFTemperatureZone[[#Headers],[Temperature zone]],0)</f>
        <v/>
      </c>
      <c r="O244" s="31" t="str" cm="1">
        <f t="array" aca="1" ref="O244" ca="1">Common_InputFunctions.Utility_DisplayArrayInTable(Common_SourceData.Common_SourceData_MCFTemperatureZone_Data(),Table_SourceData_Common_MCFTemperatureZone[[#Headers],[Temperature zone]],0)</f>
        <v/>
      </c>
      <c r="P244" s="31" t="str" cm="1">
        <f t="array" aca="1" ref="P244" ca="1">Common_InputFunctions.Utility_DisplayArrayInTable(Common_SourceData.Common_SourceData_MCFTemperatureZone_Data(),Table_SourceData_Common_MCFTemperatureZone[[#Headers],[Temperature zone]],0)</f>
        <v/>
      </c>
      <c r="Q244" s="31" t="str" cm="1">
        <f t="array" aca="1" ref="Q244" ca="1">Common_InputFunctions.Utility_DisplayArrayInTable(Common_SourceData.Common_SourceData_MCFTemperatureZone_Data(),Table_SourceData_Common_MCFTemperatureZone[[#Headers],[Temperature zone]],0)</f>
        <v/>
      </c>
      <c r="R244" s="31" t="str" cm="1">
        <f t="array" aca="1" ref="R244" ca="1">Common_InputFunctions.Utility_DisplayArrayInTable(Common_SourceData.Common_SourceData_MCFTemperatureZone_Data(),Table_SourceData_Common_MCFTemperatureZone[[#Headers],[Temperature zone]],0)</f>
        <v/>
      </c>
      <c r="S244" s="31" t="str" cm="1">
        <f t="array" aca="1" ref="S244" ca="1">Common_InputFunctions.Utility_DisplayArrayInTable(Common_SourceData.Common_SourceData_MCFTemperatureZone_Data(),Table_SourceData_Common_MCFTemperatureZone[[#Headers],[Temperature zone]],0)</f>
        <v/>
      </c>
    </row>
    <row r="245" spans="4:19" x14ac:dyDescent="0.25">
      <c r="D245" s="1" t="str" cm="1">
        <f t="array" aca="1" ref="D245" ca="1">Common_InputFunctions.Utility_DisplayArrayInTable(Common_SourceData.Common_SourceData_MCFTemperatureZone_Data(),Table_SourceData_Common_MCFTemperatureZone[[#Headers],[Temperature zone]],0)</f>
        <v/>
      </c>
      <c r="E245" s="31" t="str" cm="1">
        <f t="array" aca="1" ref="E245" ca="1">Common_InputFunctions.Utility_DisplayArrayInTable(Common_SourceData.Common_SourceData_MCFTemperatureZone_Data(),Table_SourceData_Common_MCFTemperatureZone[[#Headers],[Temperature zone]],0)</f>
        <v/>
      </c>
      <c r="F245" s="31" t="str" cm="1">
        <f t="array" aca="1" ref="F245" ca="1">Common_InputFunctions.Utility_DisplayArrayInTable(Common_SourceData.Common_SourceData_MCFTemperatureZone_Data(),Table_SourceData_Common_MCFTemperatureZone[[#Headers],[Temperature zone]],0)</f>
        <v/>
      </c>
      <c r="G245" s="31" t="str" cm="1">
        <f t="array" aca="1" ref="G245" ca="1">Common_InputFunctions.Utility_DisplayArrayInTable(Common_SourceData.Common_SourceData_MCFTemperatureZone_Data(),Table_SourceData_Common_MCFTemperatureZone[[#Headers],[Temperature zone]],0)</f>
        <v/>
      </c>
      <c r="H245" s="31" t="str" cm="1">
        <f t="array" aca="1" ref="H245" ca="1">Common_InputFunctions.Utility_DisplayArrayInTable(Common_SourceData.Common_SourceData_MCFTemperatureZone_Data(),Table_SourceData_Common_MCFTemperatureZone[[#Headers],[Temperature zone]],0)</f>
        <v/>
      </c>
      <c r="I245" s="31" t="str" cm="1">
        <f t="array" aca="1" ref="I245" ca="1">Common_InputFunctions.Utility_DisplayArrayInTable(Common_SourceData.Common_SourceData_MCFTemperatureZone_Data(),Table_SourceData_Common_MCFTemperatureZone[[#Headers],[Temperature zone]],0)</f>
        <v/>
      </c>
      <c r="J245" s="31" t="str" cm="1">
        <f t="array" aca="1" ref="J245" ca="1">Common_InputFunctions.Utility_DisplayArrayInTable(Common_SourceData.Common_SourceData_MCFTemperatureZone_Data(),Table_SourceData_Common_MCFTemperatureZone[[#Headers],[Temperature zone]],0)</f>
        <v/>
      </c>
      <c r="K245" s="31" t="str" cm="1">
        <f t="array" aca="1" ref="K245" ca="1">Common_InputFunctions.Utility_DisplayArrayInTable(Common_SourceData.Common_SourceData_MCFTemperatureZone_Data(),Table_SourceData_Common_MCFTemperatureZone[[#Headers],[Temperature zone]],0)</f>
        <v/>
      </c>
      <c r="L245" s="31" t="str" cm="1">
        <f t="array" aca="1" ref="L245" ca="1">Common_InputFunctions.Utility_DisplayArrayInTable(Common_SourceData.Common_SourceData_MCFTemperatureZone_Data(),Table_SourceData_Common_MCFTemperatureZone[[#Headers],[Temperature zone]],0)</f>
        <v/>
      </c>
      <c r="M245" s="31" t="str" cm="1">
        <f t="array" aca="1" ref="M245" ca="1">Common_InputFunctions.Utility_DisplayArrayInTable(Common_SourceData.Common_SourceData_MCFTemperatureZone_Data(),Table_SourceData_Common_MCFTemperatureZone[[#Headers],[Temperature zone]],0)</f>
        <v/>
      </c>
      <c r="N245" s="31" t="str" cm="1">
        <f t="array" aca="1" ref="N245" ca="1">Common_InputFunctions.Utility_DisplayArrayInTable(Common_SourceData.Common_SourceData_MCFTemperatureZone_Data(),Table_SourceData_Common_MCFTemperatureZone[[#Headers],[Temperature zone]],0)</f>
        <v/>
      </c>
      <c r="O245" s="31" t="str" cm="1">
        <f t="array" aca="1" ref="O245" ca="1">Common_InputFunctions.Utility_DisplayArrayInTable(Common_SourceData.Common_SourceData_MCFTemperatureZone_Data(),Table_SourceData_Common_MCFTemperatureZone[[#Headers],[Temperature zone]],0)</f>
        <v/>
      </c>
      <c r="P245" s="31" t="str" cm="1">
        <f t="array" aca="1" ref="P245" ca="1">Common_InputFunctions.Utility_DisplayArrayInTable(Common_SourceData.Common_SourceData_MCFTemperatureZone_Data(),Table_SourceData_Common_MCFTemperatureZone[[#Headers],[Temperature zone]],0)</f>
        <v/>
      </c>
      <c r="Q245" s="31" t="str" cm="1">
        <f t="array" aca="1" ref="Q245" ca="1">Common_InputFunctions.Utility_DisplayArrayInTable(Common_SourceData.Common_SourceData_MCFTemperatureZone_Data(),Table_SourceData_Common_MCFTemperatureZone[[#Headers],[Temperature zone]],0)</f>
        <v/>
      </c>
      <c r="R245" s="31" t="str" cm="1">
        <f t="array" aca="1" ref="R245" ca="1">Common_InputFunctions.Utility_DisplayArrayInTable(Common_SourceData.Common_SourceData_MCFTemperatureZone_Data(),Table_SourceData_Common_MCFTemperatureZone[[#Headers],[Temperature zone]],0)</f>
        <v/>
      </c>
      <c r="S245" s="31" t="str" cm="1">
        <f t="array" aca="1" ref="S245" ca="1">Common_InputFunctions.Utility_DisplayArrayInTable(Common_SourceData.Common_SourceData_MCFTemperatureZone_Data(),Table_SourceData_Common_MCFTemperatureZone[[#Headers],[Temperature zone]],0)</f>
        <v/>
      </c>
    </row>
    <row r="246" spans="4:19" x14ac:dyDescent="0.25">
      <c r="D246" s="1" t="str" cm="1">
        <f t="array" aca="1" ref="D246" ca="1">Common_InputFunctions.Utility_DisplayArrayInTable(Common_SourceData.Common_SourceData_MCFTemperatureZone_Data(),Table_SourceData_Common_MCFTemperatureZone[[#Headers],[Temperature zone]],0)</f>
        <v/>
      </c>
      <c r="E246" s="31" t="str" cm="1">
        <f t="array" aca="1" ref="E246" ca="1">Common_InputFunctions.Utility_DisplayArrayInTable(Common_SourceData.Common_SourceData_MCFTemperatureZone_Data(),Table_SourceData_Common_MCFTemperatureZone[[#Headers],[Temperature zone]],0)</f>
        <v/>
      </c>
      <c r="F246" s="31" t="str" cm="1">
        <f t="array" aca="1" ref="F246" ca="1">Common_InputFunctions.Utility_DisplayArrayInTable(Common_SourceData.Common_SourceData_MCFTemperatureZone_Data(),Table_SourceData_Common_MCFTemperatureZone[[#Headers],[Temperature zone]],0)</f>
        <v/>
      </c>
      <c r="G246" s="31" t="str" cm="1">
        <f t="array" aca="1" ref="G246" ca="1">Common_InputFunctions.Utility_DisplayArrayInTable(Common_SourceData.Common_SourceData_MCFTemperatureZone_Data(),Table_SourceData_Common_MCFTemperatureZone[[#Headers],[Temperature zone]],0)</f>
        <v/>
      </c>
      <c r="H246" s="31" t="str" cm="1">
        <f t="array" aca="1" ref="H246" ca="1">Common_InputFunctions.Utility_DisplayArrayInTable(Common_SourceData.Common_SourceData_MCFTemperatureZone_Data(),Table_SourceData_Common_MCFTemperatureZone[[#Headers],[Temperature zone]],0)</f>
        <v/>
      </c>
      <c r="I246" s="31" t="str" cm="1">
        <f t="array" aca="1" ref="I246" ca="1">Common_InputFunctions.Utility_DisplayArrayInTable(Common_SourceData.Common_SourceData_MCFTemperatureZone_Data(),Table_SourceData_Common_MCFTemperatureZone[[#Headers],[Temperature zone]],0)</f>
        <v/>
      </c>
      <c r="J246" s="31" t="str" cm="1">
        <f t="array" aca="1" ref="J246" ca="1">Common_InputFunctions.Utility_DisplayArrayInTable(Common_SourceData.Common_SourceData_MCFTemperatureZone_Data(),Table_SourceData_Common_MCFTemperatureZone[[#Headers],[Temperature zone]],0)</f>
        <v/>
      </c>
      <c r="K246" s="31" t="str" cm="1">
        <f t="array" aca="1" ref="K246" ca="1">Common_InputFunctions.Utility_DisplayArrayInTable(Common_SourceData.Common_SourceData_MCFTemperatureZone_Data(),Table_SourceData_Common_MCFTemperatureZone[[#Headers],[Temperature zone]],0)</f>
        <v/>
      </c>
      <c r="L246" s="31" t="str" cm="1">
        <f t="array" aca="1" ref="L246" ca="1">Common_InputFunctions.Utility_DisplayArrayInTable(Common_SourceData.Common_SourceData_MCFTemperatureZone_Data(),Table_SourceData_Common_MCFTemperatureZone[[#Headers],[Temperature zone]],0)</f>
        <v/>
      </c>
      <c r="M246" s="31" t="str" cm="1">
        <f t="array" aca="1" ref="M246" ca="1">Common_InputFunctions.Utility_DisplayArrayInTable(Common_SourceData.Common_SourceData_MCFTemperatureZone_Data(),Table_SourceData_Common_MCFTemperatureZone[[#Headers],[Temperature zone]],0)</f>
        <v/>
      </c>
      <c r="N246" s="31" t="str" cm="1">
        <f t="array" aca="1" ref="N246" ca="1">Common_InputFunctions.Utility_DisplayArrayInTable(Common_SourceData.Common_SourceData_MCFTemperatureZone_Data(),Table_SourceData_Common_MCFTemperatureZone[[#Headers],[Temperature zone]],0)</f>
        <v/>
      </c>
      <c r="O246" s="31" t="str" cm="1">
        <f t="array" aca="1" ref="O246" ca="1">Common_InputFunctions.Utility_DisplayArrayInTable(Common_SourceData.Common_SourceData_MCFTemperatureZone_Data(),Table_SourceData_Common_MCFTemperatureZone[[#Headers],[Temperature zone]],0)</f>
        <v/>
      </c>
      <c r="P246" s="31" t="str" cm="1">
        <f t="array" aca="1" ref="P246" ca="1">Common_InputFunctions.Utility_DisplayArrayInTable(Common_SourceData.Common_SourceData_MCFTemperatureZone_Data(),Table_SourceData_Common_MCFTemperatureZone[[#Headers],[Temperature zone]],0)</f>
        <v/>
      </c>
      <c r="Q246" s="31" t="str" cm="1">
        <f t="array" aca="1" ref="Q246" ca="1">Common_InputFunctions.Utility_DisplayArrayInTable(Common_SourceData.Common_SourceData_MCFTemperatureZone_Data(),Table_SourceData_Common_MCFTemperatureZone[[#Headers],[Temperature zone]],0)</f>
        <v/>
      </c>
      <c r="R246" s="31" t="str" cm="1">
        <f t="array" aca="1" ref="R246" ca="1">Common_InputFunctions.Utility_DisplayArrayInTable(Common_SourceData.Common_SourceData_MCFTemperatureZone_Data(),Table_SourceData_Common_MCFTemperatureZone[[#Headers],[Temperature zone]],0)</f>
        <v/>
      </c>
      <c r="S246" s="31" t="str" cm="1">
        <f t="array" aca="1" ref="S246" ca="1">Common_InputFunctions.Utility_DisplayArrayInTable(Common_SourceData.Common_SourceData_MCFTemperatureZone_Data(),Table_SourceData_Common_MCFTemperatureZone[[#Headers],[Temperature zone]],0)</f>
        <v/>
      </c>
    </row>
    <row r="247" spans="4:19" x14ac:dyDescent="0.25">
      <c r="D247" s="1" t="str" cm="1">
        <f t="array" aca="1" ref="D247" ca="1">Common_InputFunctions.Utility_DisplayArrayInTable(Common_SourceData.Common_SourceData_MCFTemperatureZone_Data(),Table_SourceData_Common_MCFTemperatureZone[[#Headers],[Temperature zone]],0)</f>
        <v/>
      </c>
      <c r="E247" s="31" t="str" cm="1">
        <f t="array" aca="1" ref="E247" ca="1">Common_InputFunctions.Utility_DisplayArrayInTable(Common_SourceData.Common_SourceData_MCFTemperatureZone_Data(),Table_SourceData_Common_MCFTemperatureZone[[#Headers],[Temperature zone]],0)</f>
        <v/>
      </c>
      <c r="F247" s="31" t="str" cm="1">
        <f t="array" aca="1" ref="F247" ca="1">Common_InputFunctions.Utility_DisplayArrayInTable(Common_SourceData.Common_SourceData_MCFTemperatureZone_Data(),Table_SourceData_Common_MCFTemperatureZone[[#Headers],[Temperature zone]],0)</f>
        <v/>
      </c>
      <c r="G247" s="31" t="str" cm="1">
        <f t="array" aca="1" ref="G247" ca="1">Common_InputFunctions.Utility_DisplayArrayInTable(Common_SourceData.Common_SourceData_MCFTemperatureZone_Data(),Table_SourceData_Common_MCFTemperatureZone[[#Headers],[Temperature zone]],0)</f>
        <v/>
      </c>
      <c r="H247" s="31" t="str" cm="1">
        <f t="array" aca="1" ref="H247" ca="1">Common_InputFunctions.Utility_DisplayArrayInTable(Common_SourceData.Common_SourceData_MCFTemperatureZone_Data(),Table_SourceData_Common_MCFTemperatureZone[[#Headers],[Temperature zone]],0)</f>
        <v/>
      </c>
      <c r="I247" s="31" t="str" cm="1">
        <f t="array" aca="1" ref="I247" ca="1">Common_InputFunctions.Utility_DisplayArrayInTable(Common_SourceData.Common_SourceData_MCFTemperatureZone_Data(),Table_SourceData_Common_MCFTemperatureZone[[#Headers],[Temperature zone]],0)</f>
        <v/>
      </c>
      <c r="J247" s="31" t="str" cm="1">
        <f t="array" aca="1" ref="J247" ca="1">Common_InputFunctions.Utility_DisplayArrayInTable(Common_SourceData.Common_SourceData_MCFTemperatureZone_Data(),Table_SourceData_Common_MCFTemperatureZone[[#Headers],[Temperature zone]],0)</f>
        <v/>
      </c>
      <c r="K247" s="31" t="str" cm="1">
        <f t="array" aca="1" ref="K247" ca="1">Common_InputFunctions.Utility_DisplayArrayInTable(Common_SourceData.Common_SourceData_MCFTemperatureZone_Data(),Table_SourceData_Common_MCFTemperatureZone[[#Headers],[Temperature zone]],0)</f>
        <v/>
      </c>
      <c r="L247" s="31" t="str" cm="1">
        <f t="array" aca="1" ref="L247" ca="1">Common_InputFunctions.Utility_DisplayArrayInTable(Common_SourceData.Common_SourceData_MCFTemperatureZone_Data(),Table_SourceData_Common_MCFTemperatureZone[[#Headers],[Temperature zone]],0)</f>
        <v/>
      </c>
      <c r="M247" s="31" t="str" cm="1">
        <f t="array" aca="1" ref="M247" ca="1">Common_InputFunctions.Utility_DisplayArrayInTable(Common_SourceData.Common_SourceData_MCFTemperatureZone_Data(),Table_SourceData_Common_MCFTemperatureZone[[#Headers],[Temperature zone]],0)</f>
        <v/>
      </c>
      <c r="N247" s="31" t="str" cm="1">
        <f t="array" aca="1" ref="N247" ca="1">Common_InputFunctions.Utility_DisplayArrayInTable(Common_SourceData.Common_SourceData_MCFTemperatureZone_Data(),Table_SourceData_Common_MCFTemperatureZone[[#Headers],[Temperature zone]],0)</f>
        <v/>
      </c>
      <c r="O247" s="31" t="str" cm="1">
        <f t="array" aca="1" ref="O247" ca="1">Common_InputFunctions.Utility_DisplayArrayInTable(Common_SourceData.Common_SourceData_MCFTemperatureZone_Data(),Table_SourceData_Common_MCFTemperatureZone[[#Headers],[Temperature zone]],0)</f>
        <v/>
      </c>
      <c r="P247" s="31" t="str" cm="1">
        <f t="array" aca="1" ref="P247" ca="1">Common_InputFunctions.Utility_DisplayArrayInTable(Common_SourceData.Common_SourceData_MCFTemperatureZone_Data(),Table_SourceData_Common_MCFTemperatureZone[[#Headers],[Temperature zone]],0)</f>
        <v/>
      </c>
      <c r="Q247" s="31" t="str" cm="1">
        <f t="array" aca="1" ref="Q247" ca="1">Common_InputFunctions.Utility_DisplayArrayInTable(Common_SourceData.Common_SourceData_MCFTemperatureZone_Data(),Table_SourceData_Common_MCFTemperatureZone[[#Headers],[Temperature zone]],0)</f>
        <v/>
      </c>
      <c r="R247" s="31" t="str" cm="1">
        <f t="array" aca="1" ref="R247" ca="1">Common_InputFunctions.Utility_DisplayArrayInTable(Common_SourceData.Common_SourceData_MCFTemperatureZone_Data(),Table_SourceData_Common_MCFTemperatureZone[[#Headers],[Temperature zone]],0)</f>
        <v/>
      </c>
      <c r="S247" s="31" t="str" cm="1">
        <f t="array" aca="1" ref="S247" ca="1">Common_InputFunctions.Utility_DisplayArrayInTable(Common_SourceData.Common_SourceData_MCFTemperatureZone_Data(),Table_SourceData_Common_MCFTemperatureZone[[#Headers],[Temperature zone]],0)</f>
        <v/>
      </c>
    </row>
    <row r="248" spans="4:19" x14ac:dyDescent="0.25">
      <c r="D248" s="1" t="str" cm="1">
        <f t="array" aca="1" ref="D248" ca="1">Common_InputFunctions.Utility_DisplayArrayInTable(Common_SourceData.Common_SourceData_MCFTemperatureZone_Data(),Table_SourceData_Common_MCFTemperatureZone[[#Headers],[Temperature zone]],0)</f>
        <v/>
      </c>
      <c r="E248" s="31" t="str" cm="1">
        <f t="array" aca="1" ref="E248" ca="1">Common_InputFunctions.Utility_DisplayArrayInTable(Common_SourceData.Common_SourceData_MCFTemperatureZone_Data(),Table_SourceData_Common_MCFTemperatureZone[[#Headers],[Temperature zone]],0)</f>
        <v/>
      </c>
      <c r="F248" s="31" t="str" cm="1">
        <f t="array" aca="1" ref="F248" ca="1">Common_InputFunctions.Utility_DisplayArrayInTable(Common_SourceData.Common_SourceData_MCFTemperatureZone_Data(),Table_SourceData_Common_MCFTemperatureZone[[#Headers],[Temperature zone]],0)</f>
        <v/>
      </c>
      <c r="G248" s="31" t="str" cm="1">
        <f t="array" aca="1" ref="G248" ca="1">Common_InputFunctions.Utility_DisplayArrayInTable(Common_SourceData.Common_SourceData_MCFTemperatureZone_Data(),Table_SourceData_Common_MCFTemperatureZone[[#Headers],[Temperature zone]],0)</f>
        <v/>
      </c>
      <c r="H248" s="31" t="str" cm="1">
        <f t="array" aca="1" ref="H248" ca="1">Common_InputFunctions.Utility_DisplayArrayInTable(Common_SourceData.Common_SourceData_MCFTemperatureZone_Data(),Table_SourceData_Common_MCFTemperatureZone[[#Headers],[Temperature zone]],0)</f>
        <v/>
      </c>
      <c r="I248" s="31" t="str" cm="1">
        <f t="array" aca="1" ref="I248" ca="1">Common_InputFunctions.Utility_DisplayArrayInTable(Common_SourceData.Common_SourceData_MCFTemperatureZone_Data(),Table_SourceData_Common_MCFTemperatureZone[[#Headers],[Temperature zone]],0)</f>
        <v/>
      </c>
      <c r="J248" s="31" t="str" cm="1">
        <f t="array" aca="1" ref="J248" ca="1">Common_InputFunctions.Utility_DisplayArrayInTable(Common_SourceData.Common_SourceData_MCFTemperatureZone_Data(),Table_SourceData_Common_MCFTemperatureZone[[#Headers],[Temperature zone]],0)</f>
        <v/>
      </c>
      <c r="K248" s="31" t="str" cm="1">
        <f t="array" aca="1" ref="K248" ca="1">Common_InputFunctions.Utility_DisplayArrayInTable(Common_SourceData.Common_SourceData_MCFTemperatureZone_Data(),Table_SourceData_Common_MCFTemperatureZone[[#Headers],[Temperature zone]],0)</f>
        <v/>
      </c>
      <c r="L248" s="31" t="str" cm="1">
        <f t="array" aca="1" ref="L248" ca="1">Common_InputFunctions.Utility_DisplayArrayInTable(Common_SourceData.Common_SourceData_MCFTemperatureZone_Data(),Table_SourceData_Common_MCFTemperatureZone[[#Headers],[Temperature zone]],0)</f>
        <v/>
      </c>
      <c r="M248" s="31" t="str" cm="1">
        <f t="array" aca="1" ref="M248" ca="1">Common_InputFunctions.Utility_DisplayArrayInTable(Common_SourceData.Common_SourceData_MCFTemperatureZone_Data(),Table_SourceData_Common_MCFTemperatureZone[[#Headers],[Temperature zone]],0)</f>
        <v/>
      </c>
      <c r="N248" s="31" t="str" cm="1">
        <f t="array" aca="1" ref="N248" ca="1">Common_InputFunctions.Utility_DisplayArrayInTable(Common_SourceData.Common_SourceData_MCFTemperatureZone_Data(),Table_SourceData_Common_MCFTemperatureZone[[#Headers],[Temperature zone]],0)</f>
        <v/>
      </c>
      <c r="O248" s="31" t="str" cm="1">
        <f t="array" aca="1" ref="O248" ca="1">Common_InputFunctions.Utility_DisplayArrayInTable(Common_SourceData.Common_SourceData_MCFTemperatureZone_Data(),Table_SourceData_Common_MCFTemperatureZone[[#Headers],[Temperature zone]],0)</f>
        <v/>
      </c>
      <c r="P248" s="31" t="str" cm="1">
        <f t="array" aca="1" ref="P248" ca="1">Common_InputFunctions.Utility_DisplayArrayInTable(Common_SourceData.Common_SourceData_MCFTemperatureZone_Data(),Table_SourceData_Common_MCFTemperatureZone[[#Headers],[Temperature zone]],0)</f>
        <v/>
      </c>
      <c r="Q248" s="31" t="str" cm="1">
        <f t="array" aca="1" ref="Q248" ca="1">Common_InputFunctions.Utility_DisplayArrayInTable(Common_SourceData.Common_SourceData_MCFTemperatureZone_Data(),Table_SourceData_Common_MCFTemperatureZone[[#Headers],[Temperature zone]],0)</f>
        <v/>
      </c>
      <c r="R248" s="31" t="str" cm="1">
        <f t="array" aca="1" ref="R248" ca="1">Common_InputFunctions.Utility_DisplayArrayInTable(Common_SourceData.Common_SourceData_MCFTemperatureZone_Data(),Table_SourceData_Common_MCFTemperatureZone[[#Headers],[Temperature zone]],0)</f>
        <v/>
      </c>
      <c r="S248" s="31" t="str" cm="1">
        <f t="array" aca="1" ref="S248" ca="1">Common_InputFunctions.Utility_DisplayArrayInTable(Common_SourceData.Common_SourceData_MCFTemperatureZone_Data(),Table_SourceData_Common_MCFTemperatureZone[[#Headers],[Temperature zone]],0)</f>
        <v/>
      </c>
    </row>
    <row r="249" spans="4:19" x14ac:dyDescent="0.25">
      <c r="D249" s="1" t="str" cm="1">
        <f t="array" aca="1" ref="D249" ca="1">Common_InputFunctions.Utility_DisplayArrayInTable(Common_SourceData.Common_SourceData_MCFTemperatureZone_Data(),Table_SourceData_Common_MCFTemperatureZone[[#Headers],[Temperature zone]],0)</f>
        <v/>
      </c>
      <c r="E249" s="31" t="str" cm="1">
        <f t="array" aca="1" ref="E249" ca="1">Common_InputFunctions.Utility_DisplayArrayInTable(Common_SourceData.Common_SourceData_MCFTemperatureZone_Data(),Table_SourceData_Common_MCFTemperatureZone[[#Headers],[Temperature zone]],0)</f>
        <v/>
      </c>
      <c r="F249" s="31" t="str" cm="1">
        <f t="array" aca="1" ref="F249" ca="1">Common_InputFunctions.Utility_DisplayArrayInTable(Common_SourceData.Common_SourceData_MCFTemperatureZone_Data(),Table_SourceData_Common_MCFTemperatureZone[[#Headers],[Temperature zone]],0)</f>
        <v/>
      </c>
      <c r="G249" s="31" t="str" cm="1">
        <f t="array" aca="1" ref="G249" ca="1">Common_InputFunctions.Utility_DisplayArrayInTable(Common_SourceData.Common_SourceData_MCFTemperatureZone_Data(),Table_SourceData_Common_MCFTemperatureZone[[#Headers],[Temperature zone]],0)</f>
        <v/>
      </c>
      <c r="H249" s="31" t="str" cm="1">
        <f t="array" aca="1" ref="H249" ca="1">Common_InputFunctions.Utility_DisplayArrayInTable(Common_SourceData.Common_SourceData_MCFTemperatureZone_Data(),Table_SourceData_Common_MCFTemperatureZone[[#Headers],[Temperature zone]],0)</f>
        <v/>
      </c>
      <c r="I249" s="31" t="str" cm="1">
        <f t="array" aca="1" ref="I249" ca="1">Common_InputFunctions.Utility_DisplayArrayInTable(Common_SourceData.Common_SourceData_MCFTemperatureZone_Data(),Table_SourceData_Common_MCFTemperatureZone[[#Headers],[Temperature zone]],0)</f>
        <v/>
      </c>
      <c r="J249" s="31" t="str" cm="1">
        <f t="array" aca="1" ref="J249" ca="1">Common_InputFunctions.Utility_DisplayArrayInTable(Common_SourceData.Common_SourceData_MCFTemperatureZone_Data(),Table_SourceData_Common_MCFTemperatureZone[[#Headers],[Temperature zone]],0)</f>
        <v/>
      </c>
      <c r="K249" s="31" t="str" cm="1">
        <f t="array" aca="1" ref="K249" ca="1">Common_InputFunctions.Utility_DisplayArrayInTable(Common_SourceData.Common_SourceData_MCFTemperatureZone_Data(),Table_SourceData_Common_MCFTemperatureZone[[#Headers],[Temperature zone]],0)</f>
        <v/>
      </c>
      <c r="L249" s="31" t="str" cm="1">
        <f t="array" aca="1" ref="L249" ca="1">Common_InputFunctions.Utility_DisplayArrayInTable(Common_SourceData.Common_SourceData_MCFTemperatureZone_Data(),Table_SourceData_Common_MCFTemperatureZone[[#Headers],[Temperature zone]],0)</f>
        <v/>
      </c>
      <c r="M249" s="31" t="str" cm="1">
        <f t="array" aca="1" ref="M249" ca="1">Common_InputFunctions.Utility_DisplayArrayInTable(Common_SourceData.Common_SourceData_MCFTemperatureZone_Data(),Table_SourceData_Common_MCFTemperatureZone[[#Headers],[Temperature zone]],0)</f>
        <v/>
      </c>
      <c r="N249" s="31" t="str" cm="1">
        <f t="array" aca="1" ref="N249" ca="1">Common_InputFunctions.Utility_DisplayArrayInTable(Common_SourceData.Common_SourceData_MCFTemperatureZone_Data(),Table_SourceData_Common_MCFTemperatureZone[[#Headers],[Temperature zone]],0)</f>
        <v/>
      </c>
      <c r="O249" s="31" t="str" cm="1">
        <f t="array" aca="1" ref="O249" ca="1">Common_InputFunctions.Utility_DisplayArrayInTable(Common_SourceData.Common_SourceData_MCFTemperatureZone_Data(),Table_SourceData_Common_MCFTemperatureZone[[#Headers],[Temperature zone]],0)</f>
        <v/>
      </c>
      <c r="P249" s="31" t="str" cm="1">
        <f t="array" aca="1" ref="P249" ca="1">Common_InputFunctions.Utility_DisplayArrayInTable(Common_SourceData.Common_SourceData_MCFTemperatureZone_Data(),Table_SourceData_Common_MCFTemperatureZone[[#Headers],[Temperature zone]],0)</f>
        <v/>
      </c>
      <c r="Q249" s="31" t="str" cm="1">
        <f t="array" aca="1" ref="Q249" ca="1">Common_InputFunctions.Utility_DisplayArrayInTable(Common_SourceData.Common_SourceData_MCFTemperatureZone_Data(),Table_SourceData_Common_MCFTemperatureZone[[#Headers],[Temperature zone]],0)</f>
        <v/>
      </c>
      <c r="R249" s="31" t="str" cm="1">
        <f t="array" aca="1" ref="R249" ca="1">Common_InputFunctions.Utility_DisplayArrayInTable(Common_SourceData.Common_SourceData_MCFTemperatureZone_Data(),Table_SourceData_Common_MCFTemperatureZone[[#Headers],[Temperature zone]],0)</f>
        <v/>
      </c>
      <c r="S249" s="31" t="str" cm="1">
        <f t="array" aca="1" ref="S249" ca="1">Common_InputFunctions.Utility_DisplayArrayInTable(Common_SourceData.Common_SourceData_MCFTemperatureZone_Data(),Table_SourceData_Common_MCFTemperatureZone[[#Headers],[Temperature zone]],0)</f>
        <v/>
      </c>
    </row>
    <row r="250" spans="4:19" x14ac:dyDescent="0.25">
      <c r="D250" s="1" t="str" cm="1">
        <f t="array" aca="1" ref="D250" ca="1">Common_InputFunctions.Utility_DisplayArrayInTable(Common_SourceData.Common_SourceData_MCFTemperatureZone_Data(),Table_SourceData_Common_MCFTemperatureZone[[#Headers],[Temperature zone]],0)</f>
        <v/>
      </c>
      <c r="E250" s="31" t="str" cm="1">
        <f t="array" aca="1" ref="E250" ca="1">Common_InputFunctions.Utility_DisplayArrayInTable(Common_SourceData.Common_SourceData_MCFTemperatureZone_Data(),Table_SourceData_Common_MCFTemperatureZone[[#Headers],[Temperature zone]],0)</f>
        <v/>
      </c>
      <c r="F250" s="31" t="str" cm="1">
        <f t="array" aca="1" ref="F250" ca="1">Common_InputFunctions.Utility_DisplayArrayInTable(Common_SourceData.Common_SourceData_MCFTemperatureZone_Data(),Table_SourceData_Common_MCFTemperatureZone[[#Headers],[Temperature zone]],0)</f>
        <v/>
      </c>
      <c r="G250" s="31" t="str" cm="1">
        <f t="array" aca="1" ref="G250" ca="1">Common_InputFunctions.Utility_DisplayArrayInTable(Common_SourceData.Common_SourceData_MCFTemperatureZone_Data(),Table_SourceData_Common_MCFTemperatureZone[[#Headers],[Temperature zone]],0)</f>
        <v/>
      </c>
      <c r="H250" s="31" t="str" cm="1">
        <f t="array" aca="1" ref="H250" ca="1">Common_InputFunctions.Utility_DisplayArrayInTable(Common_SourceData.Common_SourceData_MCFTemperatureZone_Data(),Table_SourceData_Common_MCFTemperatureZone[[#Headers],[Temperature zone]],0)</f>
        <v/>
      </c>
      <c r="I250" s="31" t="str" cm="1">
        <f t="array" aca="1" ref="I250" ca="1">Common_InputFunctions.Utility_DisplayArrayInTable(Common_SourceData.Common_SourceData_MCFTemperatureZone_Data(),Table_SourceData_Common_MCFTemperatureZone[[#Headers],[Temperature zone]],0)</f>
        <v/>
      </c>
      <c r="J250" s="31" t="str" cm="1">
        <f t="array" aca="1" ref="J250" ca="1">Common_InputFunctions.Utility_DisplayArrayInTable(Common_SourceData.Common_SourceData_MCFTemperatureZone_Data(),Table_SourceData_Common_MCFTemperatureZone[[#Headers],[Temperature zone]],0)</f>
        <v/>
      </c>
      <c r="K250" s="31" t="str" cm="1">
        <f t="array" aca="1" ref="K250" ca="1">Common_InputFunctions.Utility_DisplayArrayInTable(Common_SourceData.Common_SourceData_MCFTemperatureZone_Data(),Table_SourceData_Common_MCFTemperatureZone[[#Headers],[Temperature zone]],0)</f>
        <v/>
      </c>
      <c r="L250" s="31" t="str" cm="1">
        <f t="array" aca="1" ref="L250" ca="1">Common_InputFunctions.Utility_DisplayArrayInTable(Common_SourceData.Common_SourceData_MCFTemperatureZone_Data(),Table_SourceData_Common_MCFTemperatureZone[[#Headers],[Temperature zone]],0)</f>
        <v/>
      </c>
      <c r="M250" s="31" t="str" cm="1">
        <f t="array" aca="1" ref="M250" ca="1">Common_InputFunctions.Utility_DisplayArrayInTable(Common_SourceData.Common_SourceData_MCFTemperatureZone_Data(),Table_SourceData_Common_MCFTemperatureZone[[#Headers],[Temperature zone]],0)</f>
        <v/>
      </c>
      <c r="N250" s="31" t="str" cm="1">
        <f t="array" aca="1" ref="N250" ca="1">Common_InputFunctions.Utility_DisplayArrayInTable(Common_SourceData.Common_SourceData_MCFTemperatureZone_Data(),Table_SourceData_Common_MCFTemperatureZone[[#Headers],[Temperature zone]],0)</f>
        <v/>
      </c>
      <c r="O250" s="31" t="str" cm="1">
        <f t="array" aca="1" ref="O250" ca="1">Common_InputFunctions.Utility_DisplayArrayInTable(Common_SourceData.Common_SourceData_MCFTemperatureZone_Data(),Table_SourceData_Common_MCFTemperatureZone[[#Headers],[Temperature zone]],0)</f>
        <v/>
      </c>
      <c r="P250" s="31" t="str" cm="1">
        <f t="array" aca="1" ref="P250" ca="1">Common_InputFunctions.Utility_DisplayArrayInTable(Common_SourceData.Common_SourceData_MCFTemperatureZone_Data(),Table_SourceData_Common_MCFTemperatureZone[[#Headers],[Temperature zone]],0)</f>
        <v/>
      </c>
      <c r="Q250" s="31" t="str" cm="1">
        <f t="array" aca="1" ref="Q250" ca="1">Common_InputFunctions.Utility_DisplayArrayInTable(Common_SourceData.Common_SourceData_MCFTemperatureZone_Data(),Table_SourceData_Common_MCFTemperatureZone[[#Headers],[Temperature zone]],0)</f>
        <v/>
      </c>
      <c r="R250" s="31" t="str" cm="1">
        <f t="array" aca="1" ref="R250" ca="1">Common_InputFunctions.Utility_DisplayArrayInTable(Common_SourceData.Common_SourceData_MCFTemperatureZone_Data(),Table_SourceData_Common_MCFTemperatureZone[[#Headers],[Temperature zone]],0)</f>
        <v/>
      </c>
      <c r="S250" s="31" t="str" cm="1">
        <f t="array" aca="1" ref="S250" ca="1">Common_InputFunctions.Utility_DisplayArrayInTable(Common_SourceData.Common_SourceData_MCFTemperatureZone_Data(),Table_SourceData_Common_MCFTemperatureZone[[#Headers],[Temperature zone]],0)</f>
        <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 x14ac:dyDescent="0.25">
      <c r="D257" s="31" t="s">
        <v>85</v>
      </c>
      <c r="E257" s="31" t="s">
        <v>86</v>
      </c>
    </row>
    <row r="258" spans="4:6" x14ac:dyDescent="0.25">
      <c r="D258" s="31" t="str" cm="1">
        <f t="array" aca="1" ref="D258" ca="1">Common_InputFunctions.Utility_DisplayArrayInTable(Common_SourceData.Common_SourceData_EFOrganicFertiliserAndCropResidues_Data(), Table_SourceData_Common_EFOrganicFertCropResidues[[#Headers],[Climate Zone]], 0)</f>
        <v/>
      </c>
      <c r="E258" s="31" t="str" cm="1">
        <f t="array" aca="1" ref="E258" ca="1">Common_InputFunctions.Utility_DisplayArrayInTable(Common_SourceData.Common_SourceData_EFOrganicFertiliserAndCropResidues_Data(), Table_SourceData_Common_EFOrganicFertCropResidues[[#Headers],[Climate Zone]], 0)</f>
        <v/>
      </c>
    </row>
    <row r="259" spans="4:6" x14ac:dyDescent="0.25">
      <c r="D259" s="1" t="str" cm="1">
        <f t="array" aca="1" ref="D259" ca="1">Common_InputFunctions.Utility_DisplayArrayInTable(Common_SourceData.Common_SourceData_EFOrganicFertiliserAndCropResidues_Data(), Table_SourceData_Common_EFOrganicFertCropResidues[[#Headers],[Climate Zone]], 0)</f>
        <v/>
      </c>
      <c r="E259" s="31" t="str" cm="1">
        <f t="array" aca="1" ref="E259" ca="1">Common_InputFunctions.Utility_DisplayArrayInTable(Common_SourceData.Common_SourceData_EFOrganicFertiliserAndCropResidues_Data(), Table_SourceData_Common_EFOrganicFertCropResidues[[#Headers],[Climate Zone]], 0)</f>
        <v/>
      </c>
    </row>
    <row r="263" spans="4:6" ht="23.25" x14ac:dyDescent="0.25">
      <c r="D263" s="2" t="s">
        <v>201</v>
      </c>
    </row>
    <row r="264" spans="4:6" x14ac:dyDescent="0.25">
      <c r="D264" s="1" t="s">
        <v>202</v>
      </c>
    </row>
    <row r="265" spans="4:6" x14ac:dyDescent="0.25">
      <c r="D265" s="31" t="s">
        <v>203</v>
      </c>
      <c r="E265" s="31" t="s">
        <v>204</v>
      </c>
      <c r="F265" s="31" t="s">
        <v>196</v>
      </c>
    </row>
    <row r="266" spans="4:6" x14ac:dyDescent="0.25">
      <c r="D266" s="31" t="s">
        <v>205</v>
      </c>
      <c r="E266" s="31" t="s">
        <v>206</v>
      </c>
      <c r="F266" s="31">
        <v>5</v>
      </c>
    </row>
    <row r="267" spans="4:6" x14ac:dyDescent="0.25">
      <c r="D267" s="31" t="s">
        <v>207</v>
      </c>
      <c r="E267" s="31" t="s">
        <v>198</v>
      </c>
      <c r="F267" s="31">
        <v>4</v>
      </c>
    </row>
    <row r="268" spans="4:6" x14ac:dyDescent="0.25">
      <c r="D268" s="31" t="s">
        <v>208</v>
      </c>
      <c r="E268" s="31" t="s">
        <v>209</v>
      </c>
      <c r="F268" s="31">
        <v>3</v>
      </c>
    </row>
    <row r="269" spans="4:6" x14ac:dyDescent="0.25">
      <c r="D269" s="31" t="s">
        <v>210</v>
      </c>
      <c r="E269" s="31" t="s">
        <v>211</v>
      </c>
      <c r="F269" s="31">
        <v>2</v>
      </c>
    </row>
    <row r="270" spans="4:6" x14ac:dyDescent="0.25">
      <c r="D270" s="31" t="s">
        <v>212</v>
      </c>
      <c r="E270" s="31" t="s">
        <v>213</v>
      </c>
      <c r="F270" s="31">
        <v>1</v>
      </c>
    </row>
    <row r="273" spans="4:6" x14ac:dyDescent="0.25">
      <c r="D273" s="1" t="s">
        <v>214</v>
      </c>
    </row>
    <row r="274" spans="4:6" x14ac:dyDescent="0.25">
      <c r="D274" s="31" t="s">
        <v>203</v>
      </c>
      <c r="E274" s="31" t="s">
        <v>204</v>
      </c>
      <c r="F274" s="31" t="s">
        <v>196</v>
      </c>
    </row>
    <row r="275" spans="4:6" x14ac:dyDescent="0.25">
      <c r="D275" s="31" t="s">
        <v>215</v>
      </c>
      <c r="E275" s="31" t="s">
        <v>199</v>
      </c>
      <c r="F275" s="31">
        <v>5</v>
      </c>
    </row>
    <row r="276" spans="4:6" x14ac:dyDescent="0.25">
      <c r="D276" s="31" t="s">
        <v>216</v>
      </c>
      <c r="E276" s="31" t="s">
        <v>217</v>
      </c>
      <c r="F276" s="31">
        <v>4</v>
      </c>
    </row>
    <row r="277" spans="4:6" x14ac:dyDescent="0.25">
      <c r="D277" s="31" t="s">
        <v>218</v>
      </c>
      <c r="E277" s="31" t="s">
        <v>219</v>
      </c>
      <c r="F277" s="31">
        <v>3</v>
      </c>
    </row>
    <row r="278" spans="4:6" x14ac:dyDescent="0.25">
      <c r="D278" s="31" t="s">
        <v>220</v>
      </c>
      <c r="E278" s="31" t="s">
        <v>221</v>
      </c>
      <c r="F278" s="31">
        <v>2</v>
      </c>
    </row>
    <row r="279" spans="4:6" x14ac:dyDescent="0.25">
      <c r="D279" s="31" t="s">
        <v>222</v>
      </c>
      <c r="E279" s="31" t="s">
        <v>223</v>
      </c>
      <c r="F279" s="31">
        <v>1</v>
      </c>
    </row>
    <row r="282" spans="4:6" x14ac:dyDescent="0.25">
      <c r="D282" s="1" t="s">
        <v>224</v>
      </c>
    </row>
    <row r="283" spans="4:6" x14ac:dyDescent="0.25">
      <c r="D283" s="31" t="s">
        <v>203</v>
      </c>
      <c r="E283" s="31" t="s">
        <v>204</v>
      </c>
      <c r="F283" s="31" t="s">
        <v>196</v>
      </c>
    </row>
    <row r="284" spans="4:6" x14ac:dyDescent="0.25">
      <c r="D284" s="31" t="s">
        <v>225</v>
      </c>
      <c r="E284" s="31" t="s">
        <v>226</v>
      </c>
      <c r="F284" s="31">
        <v>5</v>
      </c>
    </row>
    <row r="285" spans="4:6" x14ac:dyDescent="0.25">
      <c r="D285" s="31" t="s">
        <v>227</v>
      </c>
      <c r="E285" s="31" t="s">
        <v>228</v>
      </c>
      <c r="F285" s="31">
        <v>4</v>
      </c>
    </row>
    <row r="286" spans="4:6" x14ac:dyDescent="0.25">
      <c r="D286" s="31" t="s">
        <v>229</v>
      </c>
      <c r="E286" s="31" t="s">
        <v>200</v>
      </c>
      <c r="F286" s="31">
        <v>3</v>
      </c>
    </row>
    <row r="287" spans="4:6" x14ac:dyDescent="0.25">
      <c r="D287" s="31" t="s">
        <v>230</v>
      </c>
      <c r="E287" s="31" t="s">
        <v>231</v>
      </c>
      <c r="F287" s="31">
        <v>2</v>
      </c>
    </row>
    <row r="288" spans="4:6" x14ac:dyDescent="0.25">
      <c r="D288" s="31" t="s">
        <v>232</v>
      </c>
      <c r="E288" s="31" t="s">
        <v>233</v>
      </c>
      <c r="F288" s="31">
        <v>1</v>
      </c>
    </row>
    <row r="291" spans="4:6" x14ac:dyDescent="0.25">
      <c r="D291" s="1" t="s">
        <v>234</v>
      </c>
    </row>
    <row r="292" spans="4:6" x14ac:dyDescent="0.25">
      <c r="D292" s="31" t="s">
        <v>203</v>
      </c>
      <c r="E292" s="31" t="s">
        <v>204</v>
      </c>
      <c r="F292" s="31" t="s">
        <v>196</v>
      </c>
    </row>
    <row r="293" spans="4:6" x14ac:dyDescent="0.25">
      <c r="D293" s="31" t="s">
        <v>235</v>
      </c>
      <c r="E293" s="31" t="s">
        <v>236</v>
      </c>
      <c r="F293" s="31">
        <v>5</v>
      </c>
    </row>
    <row r="294" spans="4:6" x14ac:dyDescent="0.25">
      <c r="D294" s="31" t="s">
        <v>237</v>
      </c>
      <c r="E294" s="31" t="s">
        <v>238</v>
      </c>
      <c r="F294" s="31">
        <v>4</v>
      </c>
    </row>
    <row r="295" spans="4:6" x14ac:dyDescent="0.25">
      <c r="D295" s="31" t="s">
        <v>239</v>
      </c>
      <c r="E295" s="31" t="s">
        <v>240</v>
      </c>
      <c r="F295" s="31">
        <v>3</v>
      </c>
    </row>
    <row r="296" spans="4:6" x14ac:dyDescent="0.25">
      <c r="D296" s="31" t="s">
        <v>241</v>
      </c>
      <c r="E296" s="31" t="s">
        <v>242</v>
      </c>
      <c r="F296" s="31">
        <v>2</v>
      </c>
    </row>
    <row r="297" spans="4:6" x14ac:dyDescent="0.25">
      <c r="D297" s="31" t="s">
        <v>243</v>
      </c>
      <c r="E297" s="31" t="s">
        <v>244</v>
      </c>
      <c r="F297" s="3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35</vt:i4>
      </vt:variant>
    </vt:vector>
  </HeadingPairs>
  <TitlesOfParts>
    <vt:vector size="42" baseType="lpstr">
      <vt:lpstr>Home</vt:lpstr>
      <vt:lpstr>Results</vt:lpstr>
      <vt:lpstr>Input - Site</vt:lpstr>
      <vt:lpstr>Input - Enterprise</vt:lpstr>
      <vt:lpstr>Input - Fert Prod System</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